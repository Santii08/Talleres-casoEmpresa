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gladysveal_unisabana_edu_co/Documents/1. Alineación Estratégica/4. Mediciones/Mediciones 2024/Encuesta de Autoevaluación I y P/Informes seguimiento/"/>
    </mc:Choice>
  </mc:AlternateContent>
  <xr:revisionPtr revIDLastSave="0" documentId="8_{5577ED6A-0D51-4C4A-A9D1-BCD851D32E15}" xr6:coauthVersionLast="47" xr6:coauthVersionMax="47" xr10:uidLastSave="{00000000-0000-0000-0000-000000000000}"/>
  <bookViews>
    <workbookView xWindow="-28920" yWindow="-120" windowWidth="29040" windowHeight="15720" tabRatio="839" firstSheet="2" activeTab="2" xr2:uid="{00000000-000D-0000-FFFF-FFFF00000000}"/>
  </bookViews>
  <sheets>
    <sheet name="Cuotas Estudiantes Pregrado" sheetId="22" state="hidden" r:id="rId1"/>
    <sheet name="BDD Esudiantes" sheetId="24" state="hidden" r:id="rId2"/>
    <sheet name="Resumen Estudiantes y Profesore" sheetId="1" r:id="rId3"/>
    <sheet name="Tabla dinamica Reporte Profesor" sheetId="41" state="hidden" r:id="rId4"/>
    <sheet name="BDD Estudiantes Posgrado" sheetId="35" state="hidden" r:id="rId5"/>
    <sheet name="BDD Prof. Planta" sheetId="25" r:id="rId6"/>
    <sheet name="BDD Prof. Catedra" sheetId="26" state="hidden" r:id="rId7"/>
    <sheet name="Reporte Profesores" sheetId="27" r:id="rId8"/>
    <sheet name="Correos eliminados" sheetId="32" state="hidden" r:id="rId9"/>
    <sheet name="Ajustes profesores" sheetId="40" state="hidden" r:id="rId10"/>
    <sheet name="Cuotas Directivos" sheetId="28" r:id="rId11"/>
    <sheet name="Cuotas Administrativos" sheetId="29" r:id="rId12"/>
    <sheet name="Reporte Directivos" sheetId="30" r:id="rId13"/>
    <sheet name="Reporte Administrativos" sheetId="31" r:id="rId14"/>
    <sheet name="Hoja1" sheetId="34" state="hidden" r:id="rId15"/>
    <sheet name="Completas Eliminadas" sheetId="42" state="hidden" r:id="rId16"/>
    <sheet name="BDD Admin. Centrales" sheetId="33" state="hidden" r:id="rId17"/>
    <sheet name="Hoja2" sheetId="36" state="hidden" r:id="rId18"/>
    <sheet name="Reporte Estudiantes Posgrados" sheetId="38" r:id="rId19"/>
    <sheet name="Revision Programas Profesores" sheetId="39" r:id="rId20"/>
    <sheet name="Programas y Unidades" sheetId="23" state="hidden" r:id="rId21"/>
  </sheets>
  <definedNames>
    <definedName name="_xlnm._FilterDatabase" localSheetId="9" hidden="1">'Ajustes profesores'!$G$4:$U$151</definedName>
    <definedName name="_xlnm._FilterDatabase" localSheetId="4" hidden="1">'BDD Estudiantes Posgrado'!$A$1:$D$169</definedName>
    <definedName name="_xlnm._FilterDatabase" localSheetId="6" hidden="1">'BDD Prof. Catedra'!$B$1:$S$178</definedName>
    <definedName name="_xlnm._FilterDatabase" localSheetId="5" hidden="1">'BDD Prof. Planta'!$A$1:$P$167</definedName>
    <definedName name="_xlnm._FilterDatabase" localSheetId="8" hidden="1">'Correos eliminados'!$A$1:$D$62</definedName>
    <definedName name="_xlnm._FilterDatabase" localSheetId="11" hidden="1">'Cuotas Administrativos'!$A$26:$G$64</definedName>
    <definedName name="_xlnm._FilterDatabase" localSheetId="0" hidden="1">'Cuotas Estudiantes Pregrado'!$A$60:$P$86</definedName>
    <definedName name="_xlnm._FilterDatabase" localSheetId="13" hidden="1">'Reporte Administrativos'!$A$1:$E$265</definedName>
    <definedName name="_xlnm._FilterDatabase" localSheetId="12" hidden="1">'Reporte Directivos'!$A$1:$E$124</definedName>
    <definedName name="_xlnm._FilterDatabase" localSheetId="18" hidden="1">'Reporte Estudiantes Posgrados'!$A$1:$M$2274</definedName>
    <definedName name="_xlnm._FilterDatabase" localSheetId="7" hidden="1">'Reporte Profesores'!$A$1:$W$1686</definedName>
    <definedName name="_xlnm._FilterDatabase" localSheetId="2" hidden="1">'Resumen Estudiantes y Profesore'!$A$2:$AD$147</definedName>
    <definedName name="_xlnm._FilterDatabase" localSheetId="19" hidden="1">'Revision Programas Profesores'!$B$1:$B$166</definedName>
  </definedNames>
  <calcPr calcId="191028"/>
  <pivotCaches>
    <pivotCache cacheId="1758" r:id="rId22"/>
    <pivotCache cacheId="1759" r:id="rId23"/>
    <pivotCache cacheId="1760" r:id="rId24"/>
    <pivotCache cacheId="1761" r:id="rId25"/>
    <pivotCache cacheId="1762" r:id="rId26"/>
    <pivotCache cacheId="1763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V128" i="1"/>
  <c r="T134" i="1" l="1"/>
  <c r="A128" i="26"/>
  <c r="A128" i="25"/>
  <c r="A137" i="26"/>
  <c r="A137" i="25"/>
  <c r="A138" i="26"/>
  <c r="A138" i="25"/>
  <c r="L44" i="1"/>
  <c r="J174" i="26" l="1"/>
  <c r="L174" i="26"/>
  <c r="M174" i="26" s="1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0" i="27"/>
  <c r="E541" i="27"/>
  <c r="E542" i="27"/>
  <c r="E543" i="27"/>
  <c r="E544" i="27"/>
  <c r="E545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5" i="27"/>
  <c r="E606" i="27"/>
  <c r="E607" i="27"/>
  <c r="E608" i="27"/>
  <c r="E609" i="27"/>
  <c r="E610" i="27"/>
  <c r="E611" i="27"/>
  <c r="E612" i="27"/>
  <c r="E613" i="27"/>
  <c r="E614" i="27"/>
  <c r="E615" i="27"/>
  <c r="E616" i="27"/>
  <c r="E617" i="27"/>
  <c r="E618" i="27"/>
  <c r="E619" i="27"/>
  <c r="E620" i="27"/>
  <c r="E621" i="27"/>
  <c r="E622" i="27"/>
  <c r="E623" i="27"/>
  <c r="E624" i="27"/>
  <c r="E625" i="27"/>
  <c r="E626" i="27"/>
  <c r="E627" i="27"/>
  <c r="E628" i="27"/>
  <c r="E629" i="27"/>
  <c r="E630" i="27"/>
  <c r="E631" i="27"/>
  <c r="E632" i="27"/>
  <c r="E633" i="27"/>
  <c r="E634" i="27"/>
  <c r="E635" i="27"/>
  <c r="E636" i="27"/>
  <c r="E637" i="27"/>
  <c r="E638" i="27"/>
  <c r="E639" i="27"/>
  <c r="E640" i="27"/>
  <c r="E641" i="27"/>
  <c r="E642" i="27"/>
  <c r="E643" i="27"/>
  <c r="E644" i="27"/>
  <c r="E645" i="27"/>
  <c r="E646" i="27"/>
  <c r="E647" i="27"/>
  <c r="E648" i="27"/>
  <c r="E649" i="27"/>
  <c r="E650" i="27"/>
  <c r="E651" i="27"/>
  <c r="E652" i="27"/>
  <c r="E653" i="27"/>
  <c r="E654" i="27"/>
  <c r="E655" i="27"/>
  <c r="E656" i="27"/>
  <c r="E657" i="27"/>
  <c r="E658" i="27"/>
  <c r="E659" i="27"/>
  <c r="E660" i="27"/>
  <c r="E661" i="27"/>
  <c r="E662" i="27"/>
  <c r="E663" i="27"/>
  <c r="E664" i="27"/>
  <c r="E665" i="27"/>
  <c r="E666" i="27"/>
  <c r="E667" i="27"/>
  <c r="E668" i="27"/>
  <c r="E669" i="27"/>
  <c r="E670" i="27"/>
  <c r="E671" i="27"/>
  <c r="E672" i="27"/>
  <c r="E673" i="27"/>
  <c r="E674" i="27"/>
  <c r="E675" i="27"/>
  <c r="E676" i="27"/>
  <c r="E677" i="27"/>
  <c r="E678" i="27"/>
  <c r="E679" i="27"/>
  <c r="E680" i="27"/>
  <c r="E681" i="27"/>
  <c r="E682" i="27"/>
  <c r="E683" i="27"/>
  <c r="E684" i="27"/>
  <c r="E685" i="27"/>
  <c r="E686" i="27"/>
  <c r="E687" i="27"/>
  <c r="E688" i="27"/>
  <c r="E689" i="27"/>
  <c r="E690" i="27"/>
  <c r="E691" i="27"/>
  <c r="E692" i="27"/>
  <c r="E693" i="27"/>
  <c r="E694" i="27"/>
  <c r="E695" i="27"/>
  <c r="E696" i="27"/>
  <c r="E697" i="27"/>
  <c r="E698" i="27"/>
  <c r="E699" i="27"/>
  <c r="E700" i="27"/>
  <c r="E701" i="27"/>
  <c r="E702" i="27"/>
  <c r="E703" i="27"/>
  <c r="E704" i="27"/>
  <c r="E705" i="27"/>
  <c r="E706" i="27"/>
  <c r="E707" i="27"/>
  <c r="E708" i="27"/>
  <c r="E709" i="27"/>
  <c r="E710" i="27"/>
  <c r="E711" i="27"/>
  <c r="E712" i="27"/>
  <c r="E713" i="27"/>
  <c r="E714" i="27"/>
  <c r="E715" i="27"/>
  <c r="E716" i="27"/>
  <c r="E717" i="27"/>
  <c r="E718" i="27"/>
  <c r="E719" i="27"/>
  <c r="E720" i="27"/>
  <c r="E721" i="27"/>
  <c r="E722" i="27"/>
  <c r="E723" i="27"/>
  <c r="E724" i="27"/>
  <c r="E725" i="27"/>
  <c r="E726" i="27"/>
  <c r="E727" i="27"/>
  <c r="E728" i="27"/>
  <c r="E729" i="27"/>
  <c r="E730" i="27"/>
  <c r="E731" i="27"/>
  <c r="E732" i="27"/>
  <c r="E733" i="27"/>
  <c r="E734" i="27"/>
  <c r="E735" i="27"/>
  <c r="E736" i="27"/>
  <c r="E737" i="27"/>
  <c r="E738" i="27"/>
  <c r="E739" i="27"/>
  <c r="E740" i="27"/>
  <c r="E741" i="27"/>
  <c r="E742" i="27"/>
  <c r="E743" i="27"/>
  <c r="E744" i="27"/>
  <c r="E745" i="27"/>
  <c r="E746" i="27"/>
  <c r="E747" i="27"/>
  <c r="E748" i="27"/>
  <c r="E749" i="27"/>
  <c r="E750" i="27"/>
  <c r="E751" i="27"/>
  <c r="E752" i="27"/>
  <c r="E753" i="27"/>
  <c r="E754" i="27"/>
  <c r="E755" i="27"/>
  <c r="E756" i="27"/>
  <c r="E757" i="27"/>
  <c r="E758" i="27"/>
  <c r="E759" i="27"/>
  <c r="E760" i="27"/>
  <c r="E761" i="27"/>
  <c r="E762" i="27"/>
  <c r="E763" i="27"/>
  <c r="E764" i="27"/>
  <c r="E765" i="27"/>
  <c r="E766" i="27"/>
  <c r="E767" i="27"/>
  <c r="E768" i="27"/>
  <c r="E769" i="27"/>
  <c r="E770" i="27"/>
  <c r="E771" i="27"/>
  <c r="E772" i="27"/>
  <c r="E773" i="27"/>
  <c r="E774" i="27"/>
  <c r="E775" i="27"/>
  <c r="E776" i="27"/>
  <c r="E777" i="27"/>
  <c r="E778" i="27"/>
  <c r="E779" i="27"/>
  <c r="E780" i="27"/>
  <c r="E781" i="27"/>
  <c r="E782" i="27"/>
  <c r="E783" i="27"/>
  <c r="E784" i="27"/>
  <c r="E785" i="27"/>
  <c r="E786" i="27"/>
  <c r="E787" i="27"/>
  <c r="E788" i="27"/>
  <c r="E789" i="27"/>
  <c r="E790" i="27"/>
  <c r="E791" i="27"/>
  <c r="E792" i="27"/>
  <c r="E793" i="27"/>
  <c r="E794" i="27"/>
  <c r="E795" i="27"/>
  <c r="E796" i="27"/>
  <c r="E797" i="27"/>
  <c r="E798" i="27"/>
  <c r="E799" i="27"/>
  <c r="E800" i="27"/>
  <c r="E801" i="27"/>
  <c r="E802" i="27"/>
  <c r="E803" i="27"/>
  <c r="E804" i="27"/>
  <c r="E805" i="27"/>
  <c r="E806" i="27"/>
  <c r="E807" i="27"/>
  <c r="E808" i="27"/>
  <c r="E809" i="27"/>
  <c r="E810" i="27"/>
  <c r="E811" i="27"/>
  <c r="E812" i="27"/>
  <c r="E813" i="27"/>
  <c r="E814" i="27"/>
  <c r="E815" i="27"/>
  <c r="E816" i="27"/>
  <c r="E817" i="27"/>
  <c r="E818" i="27"/>
  <c r="E819" i="27"/>
  <c r="E820" i="27"/>
  <c r="E821" i="27"/>
  <c r="E822" i="27"/>
  <c r="E823" i="27"/>
  <c r="E824" i="27"/>
  <c r="E825" i="27"/>
  <c r="E826" i="27"/>
  <c r="E827" i="27"/>
  <c r="E828" i="27"/>
  <c r="E829" i="27"/>
  <c r="E830" i="27"/>
  <c r="E831" i="27"/>
  <c r="E832" i="27"/>
  <c r="E833" i="27"/>
  <c r="E834" i="27"/>
  <c r="E835" i="27"/>
  <c r="E836" i="27"/>
  <c r="E837" i="27"/>
  <c r="E838" i="27"/>
  <c r="E839" i="27"/>
  <c r="E840" i="27"/>
  <c r="E841" i="27"/>
  <c r="E842" i="27"/>
  <c r="E843" i="27"/>
  <c r="E844" i="27"/>
  <c r="E845" i="27"/>
  <c r="E846" i="27"/>
  <c r="E847" i="27"/>
  <c r="E848" i="27"/>
  <c r="E849" i="27"/>
  <c r="E850" i="27"/>
  <c r="E851" i="27"/>
  <c r="E852" i="27"/>
  <c r="E853" i="27"/>
  <c r="E854" i="27"/>
  <c r="E855" i="27"/>
  <c r="E856" i="27"/>
  <c r="E857" i="27"/>
  <c r="E858" i="27"/>
  <c r="E859" i="27"/>
  <c r="E860" i="27"/>
  <c r="E861" i="27"/>
  <c r="E862" i="27"/>
  <c r="E863" i="27"/>
  <c r="E864" i="27"/>
  <c r="E865" i="27"/>
  <c r="E866" i="27"/>
  <c r="E867" i="27"/>
  <c r="E868" i="27"/>
  <c r="E869" i="27"/>
  <c r="E870" i="27"/>
  <c r="E871" i="27"/>
  <c r="E872" i="27"/>
  <c r="E873" i="27"/>
  <c r="E874" i="27"/>
  <c r="E875" i="27"/>
  <c r="E876" i="27"/>
  <c r="E877" i="27"/>
  <c r="E878" i="27"/>
  <c r="E879" i="27"/>
  <c r="E880" i="27"/>
  <c r="E881" i="27"/>
  <c r="E882" i="27"/>
  <c r="E883" i="27"/>
  <c r="E884" i="27"/>
  <c r="E885" i="27"/>
  <c r="E886" i="27"/>
  <c r="E887" i="27"/>
  <c r="E888" i="27"/>
  <c r="E889" i="27"/>
  <c r="E890" i="27"/>
  <c r="E891" i="27"/>
  <c r="E892" i="27"/>
  <c r="E893" i="27"/>
  <c r="E894" i="27"/>
  <c r="E895" i="27"/>
  <c r="E896" i="27"/>
  <c r="E897" i="27"/>
  <c r="E898" i="27"/>
  <c r="E899" i="27"/>
  <c r="E900" i="27"/>
  <c r="E901" i="27"/>
  <c r="E902" i="27"/>
  <c r="E903" i="27"/>
  <c r="E904" i="27"/>
  <c r="E905" i="27"/>
  <c r="E906" i="27"/>
  <c r="E907" i="27"/>
  <c r="E908" i="27"/>
  <c r="E909" i="27"/>
  <c r="E910" i="27"/>
  <c r="E911" i="27"/>
  <c r="E912" i="27"/>
  <c r="E913" i="27"/>
  <c r="E914" i="27"/>
  <c r="E915" i="27"/>
  <c r="E916" i="27"/>
  <c r="E917" i="27"/>
  <c r="E918" i="27"/>
  <c r="E919" i="27"/>
  <c r="E920" i="27"/>
  <c r="E921" i="27"/>
  <c r="E922" i="27"/>
  <c r="E923" i="27"/>
  <c r="E924" i="27"/>
  <c r="E925" i="27"/>
  <c r="E926" i="27"/>
  <c r="E927" i="27"/>
  <c r="E928" i="27"/>
  <c r="E929" i="27"/>
  <c r="E930" i="27"/>
  <c r="E931" i="27"/>
  <c r="E932" i="27"/>
  <c r="E933" i="27"/>
  <c r="E934" i="27"/>
  <c r="E935" i="27"/>
  <c r="E936" i="27"/>
  <c r="E937" i="27"/>
  <c r="E938" i="27"/>
  <c r="E939" i="27"/>
  <c r="E940" i="27"/>
  <c r="E941" i="27"/>
  <c r="E942" i="27"/>
  <c r="E943" i="27"/>
  <c r="E944" i="27"/>
  <c r="E945" i="27"/>
  <c r="E946" i="27"/>
  <c r="E947" i="27"/>
  <c r="E948" i="27"/>
  <c r="E949" i="27"/>
  <c r="E950" i="27"/>
  <c r="E951" i="27"/>
  <c r="E952" i="27"/>
  <c r="E953" i="27"/>
  <c r="E954" i="27"/>
  <c r="E955" i="27"/>
  <c r="E956" i="27"/>
  <c r="E957" i="27"/>
  <c r="E958" i="27"/>
  <c r="E959" i="27"/>
  <c r="E960" i="27"/>
  <c r="E961" i="27"/>
  <c r="E962" i="27"/>
  <c r="E963" i="27"/>
  <c r="E964" i="27"/>
  <c r="E965" i="27"/>
  <c r="E966" i="27"/>
  <c r="E967" i="27"/>
  <c r="E968" i="27"/>
  <c r="E969" i="27"/>
  <c r="E970" i="27"/>
  <c r="E971" i="27"/>
  <c r="E972" i="27"/>
  <c r="E973" i="27"/>
  <c r="E974" i="27"/>
  <c r="E975" i="27"/>
  <c r="E976" i="27"/>
  <c r="E977" i="27"/>
  <c r="E978" i="27"/>
  <c r="E979" i="27"/>
  <c r="E980" i="27"/>
  <c r="E981" i="27"/>
  <c r="E982" i="27"/>
  <c r="E983" i="27"/>
  <c r="E984" i="27"/>
  <c r="E985" i="27"/>
  <c r="E986" i="27"/>
  <c r="E987" i="27"/>
  <c r="E988" i="27"/>
  <c r="E989" i="27"/>
  <c r="E990" i="27"/>
  <c r="E991" i="27"/>
  <c r="E992" i="27"/>
  <c r="E993" i="27"/>
  <c r="E994" i="27"/>
  <c r="E995" i="27"/>
  <c r="E996" i="27"/>
  <c r="E997" i="27"/>
  <c r="E998" i="27"/>
  <c r="E999" i="27"/>
  <c r="E1000" i="27"/>
  <c r="E1001" i="27"/>
  <c r="E1002" i="27"/>
  <c r="E1003" i="27"/>
  <c r="E1004" i="27"/>
  <c r="E1005" i="27"/>
  <c r="E1006" i="27"/>
  <c r="E1007" i="27"/>
  <c r="E1008" i="27"/>
  <c r="E1009" i="27"/>
  <c r="E1010" i="27"/>
  <c r="E1011" i="27"/>
  <c r="E1012" i="27"/>
  <c r="E1013" i="27"/>
  <c r="E1014" i="27"/>
  <c r="E1015" i="27"/>
  <c r="E1016" i="27"/>
  <c r="E1017" i="27"/>
  <c r="E1018" i="27"/>
  <c r="E1019" i="27"/>
  <c r="E1020" i="27"/>
  <c r="E1021" i="27"/>
  <c r="E1022" i="27"/>
  <c r="E1023" i="27"/>
  <c r="E1024" i="27"/>
  <c r="E1025" i="27"/>
  <c r="E1026" i="27"/>
  <c r="E1027" i="27"/>
  <c r="E1028" i="27"/>
  <c r="E1029" i="27"/>
  <c r="E1030" i="27"/>
  <c r="E1031" i="27"/>
  <c r="E1032" i="27"/>
  <c r="E1033" i="27"/>
  <c r="E1034" i="27"/>
  <c r="E1035" i="27"/>
  <c r="E1036" i="27"/>
  <c r="E1037" i="27"/>
  <c r="E1038" i="27"/>
  <c r="E1039" i="27"/>
  <c r="E1040" i="27"/>
  <c r="E1041" i="27"/>
  <c r="E1042" i="27"/>
  <c r="E1043" i="27"/>
  <c r="E1044" i="27"/>
  <c r="E1045" i="27"/>
  <c r="E1046" i="27"/>
  <c r="E1047" i="27"/>
  <c r="E1048" i="27"/>
  <c r="E1049" i="27"/>
  <c r="E1050" i="27"/>
  <c r="E1051" i="27"/>
  <c r="E1052" i="27"/>
  <c r="E1053" i="27"/>
  <c r="E1054" i="27"/>
  <c r="E1055" i="27"/>
  <c r="E1056" i="27"/>
  <c r="E1057" i="27"/>
  <c r="E1058" i="27"/>
  <c r="E1059" i="27"/>
  <c r="E1060" i="27"/>
  <c r="E1061" i="27"/>
  <c r="E1062" i="27"/>
  <c r="E1063" i="27"/>
  <c r="E1064" i="27"/>
  <c r="E1065" i="27"/>
  <c r="E1066" i="27"/>
  <c r="E1067" i="27"/>
  <c r="E1068" i="27"/>
  <c r="E1069" i="27"/>
  <c r="E1070" i="27"/>
  <c r="E1071" i="27"/>
  <c r="E1072" i="27"/>
  <c r="E1073" i="27"/>
  <c r="E1074" i="27"/>
  <c r="E1075" i="27"/>
  <c r="E1076" i="27"/>
  <c r="E1077" i="27"/>
  <c r="E1078" i="27"/>
  <c r="E1079" i="27"/>
  <c r="E1080" i="27"/>
  <c r="E1081" i="27"/>
  <c r="E1082" i="27"/>
  <c r="E1083" i="27"/>
  <c r="E1084" i="27"/>
  <c r="E1085" i="27"/>
  <c r="E1086" i="27"/>
  <c r="E1087" i="27"/>
  <c r="E1088" i="27"/>
  <c r="E1089" i="27"/>
  <c r="E1090" i="27"/>
  <c r="E1091" i="27"/>
  <c r="E1092" i="27"/>
  <c r="E1093" i="27"/>
  <c r="E1094" i="27"/>
  <c r="E1095" i="27"/>
  <c r="E1096" i="27"/>
  <c r="E1097" i="27"/>
  <c r="E1098" i="27"/>
  <c r="E1099" i="27"/>
  <c r="E1100" i="27"/>
  <c r="E1101" i="27"/>
  <c r="E1102" i="27"/>
  <c r="E1103" i="27"/>
  <c r="E1104" i="27"/>
  <c r="E1105" i="27"/>
  <c r="E1106" i="27"/>
  <c r="E1107" i="27"/>
  <c r="E1108" i="27"/>
  <c r="E1109" i="27"/>
  <c r="E1110" i="27"/>
  <c r="E1111" i="27"/>
  <c r="E1112" i="27"/>
  <c r="E1113" i="27"/>
  <c r="E1114" i="27"/>
  <c r="E1115" i="27"/>
  <c r="E1116" i="27"/>
  <c r="E1117" i="27"/>
  <c r="E1118" i="27"/>
  <c r="E1119" i="27"/>
  <c r="E1120" i="27"/>
  <c r="E1121" i="27"/>
  <c r="E1122" i="27"/>
  <c r="E1123" i="27"/>
  <c r="E1124" i="27"/>
  <c r="E1125" i="27"/>
  <c r="E1126" i="27"/>
  <c r="E1127" i="27"/>
  <c r="E1128" i="27"/>
  <c r="E1129" i="27"/>
  <c r="E1130" i="27"/>
  <c r="E1131" i="27"/>
  <c r="E1132" i="27"/>
  <c r="E1133" i="27"/>
  <c r="E1134" i="27"/>
  <c r="E1135" i="27"/>
  <c r="E1136" i="27"/>
  <c r="E1137" i="27"/>
  <c r="E1138" i="27"/>
  <c r="E1139" i="27"/>
  <c r="E1140" i="27"/>
  <c r="E1141" i="27"/>
  <c r="E1142" i="27"/>
  <c r="E1143" i="27"/>
  <c r="E1144" i="27"/>
  <c r="E1145" i="27"/>
  <c r="E1146" i="27"/>
  <c r="E1147" i="27"/>
  <c r="E1148" i="27"/>
  <c r="E1149" i="27"/>
  <c r="E1150" i="27"/>
  <c r="E1151" i="27"/>
  <c r="E1152" i="27"/>
  <c r="E1153" i="27"/>
  <c r="E1154" i="27"/>
  <c r="E1155" i="27"/>
  <c r="E1156" i="27"/>
  <c r="E1157" i="27"/>
  <c r="E1158" i="27"/>
  <c r="E1159" i="27"/>
  <c r="E1160" i="27"/>
  <c r="E1161" i="27"/>
  <c r="E1162" i="27"/>
  <c r="E1163" i="27"/>
  <c r="E1164" i="27"/>
  <c r="E1165" i="27"/>
  <c r="E1166" i="27"/>
  <c r="E1167" i="27"/>
  <c r="E1168" i="27"/>
  <c r="E1169" i="27"/>
  <c r="E1170" i="27"/>
  <c r="E1171" i="27"/>
  <c r="E1172" i="27"/>
  <c r="E1173" i="27"/>
  <c r="E1174" i="27"/>
  <c r="E1175" i="27"/>
  <c r="E1176" i="27"/>
  <c r="E1177" i="27"/>
  <c r="E1178" i="27"/>
  <c r="E1179" i="27"/>
  <c r="E1180" i="27"/>
  <c r="E1181" i="27"/>
  <c r="E1182" i="27"/>
  <c r="E1183" i="27"/>
  <c r="E1184" i="27"/>
  <c r="E1185" i="27"/>
  <c r="E1186" i="27"/>
  <c r="E1187" i="27"/>
  <c r="E1188" i="27"/>
  <c r="E1189" i="27"/>
  <c r="E1190" i="27"/>
  <c r="E1191" i="27"/>
  <c r="E1192" i="27"/>
  <c r="E1193" i="27"/>
  <c r="E1194" i="27"/>
  <c r="E1195" i="27"/>
  <c r="E1196" i="27"/>
  <c r="E1197" i="27"/>
  <c r="E1198" i="27"/>
  <c r="E1199" i="27"/>
  <c r="E1200" i="27"/>
  <c r="E1201" i="27"/>
  <c r="E1202" i="27"/>
  <c r="E1203" i="27"/>
  <c r="E1204" i="27"/>
  <c r="E1205" i="27"/>
  <c r="E1206" i="27"/>
  <c r="E1207" i="27"/>
  <c r="E1208" i="27"/>
  <c r="E1209" i="27"/>
  <c r="E1210" i="27"/>
  <c r="E1211" i="27"/>
  <c r="E1212" i="27"/>
  <c r="E1213" i="27"/>
  <c r="E1214" i="27"/>
  <c r="E1215" i="27"/>
  <c r="E1216" i="27"/>
  <c r="E1217" i="27"/>
  <c r="E1218" i="27"/>
  <c r="E1219" i="27"/>
  <c r="E1220" i="27"/>
  <c r="E1221" i="27"/>
  <c r="E1222" i="27"/>
  <c r="E1223" i="27"/>
  <c r="E1224" i="27"/>
  <c r="E1225" i="27"/>
  <c r="E1226" i="27"/>
  <c r="E1227" i="27"/>
  <c r="E1228" i="27"/>
  <c r="E1229" i="27"/>
  <c r="E1230" i="27"/>
  <c r="E1231" i="27"/>
  <c r="E1232" i="27"/>
  <c r="E1233" i="27"/>
  <c r="E1234" i="27"/>
  <c r="E1235" i="27"/>
  <c r="E1236" i="27"/>
  <c r="E1237" i="27"/>
  <c r="E1238" i="27"/>
  <c r="E1239" i="27"/>
  <c r="E1240" i="27"/>
  <c r="E1241" i="27"/>
  <c r="E1242" i="27"/>
  <c r="E1243" i="27"/>
  <c r="E1244" i="27"/>
  <c r="E1245" i="27"/>
  <c r="E1246" i="27"/>
  <c r="E1247" i="27"/>
  <c r="E1248" i="27"/>
  <c r="E1249" i="27"/>
  <c r="E1250" i="27"/>
  <c r="E1251" i="27"/>
  <c r="E1252" i="27"/>
  <c r="E1253" i="27"/>
  <c r="E1254" i="27"/>
  <c r="E1255" i="27"/>
  <c r="E1256" i="27"/>
  <c r="E1257" i="27"/>
  <c r="E1258" i="27"/>
  <c r="E1259" i="27"/>
  <c r="E1260" i="27"/>
  <c r="E1261" i="27"/>
  <c r="E1262" i="27"/>
  <c r="E1263" i="27"/>
  <c r="E1264" i="27"/>
  <c r="E1265" i="27"/>
  <c r="E1266" i="27"/>
  <c r="E1267" i="27"/>
  <c r="E1268" i="27"/>
  <c r="E1269" i="27"/>
  <c r="E1270" i="27"/>
  <c r="E1271" i="27"/>
  <c r="E1272" i="27"/>
  <c r="E1273" i="27"/>
  <c r="E1274" i="27"/>
  <c r="E1275" i="27"/>
  <c r="E1276" i="27"/>
  <c r="E1277" i="27"/>
  <c r="E1278" i="27"/>
  <c r="E1279" i="27"/>
  <c r="E1280" i="27"/>
  <c r="E1281" i="27"/>
  <c r="E1282" i="27"/>
  <c r="E1283" i="27"/>
  <c r="E1284" i="27"/>
  <c r="E1285" i="27"/>
  <c r="E1286" i="27"/>
  <c r="E1287" i="27"/>
  <c r="E1288" i="27"/>
  <c r="E1289" i="27"/>
  <c r="E1290" i="27"/>
  <c r="E1291" i="27"/>
  <c r="E1292" i="27"/>
  <c r="E1293" i="27"/>
  <c r="E1294" i="27"/>
  <c r="E1295" i="27"/>
  <c r="E1296" i="27"/>
  <c r="E1297" i="27"/>
  <c r="E1298" i="27"/>
  <c r="E1299" i="27"/>
  <c r="E1300" i="27"/>
  <c r="E1301" i="27"/>
  <c r="E1302" i="27"/>
  <c r="E1303" i="27"/>
  <c r="E1304" i="27"/>
  <c r="E1305" i="27"/>
  <c r="E1306" i="27"/>
  <c r="E1307" i="27"/>
  <c r="E1308" i="27"/>
  <c r="E1309" i="27"/>
  <c r="E1310" i="27"/>
  <c r="E1311" i="27"/>
  <c r="E1312" i="27"/>
  <c r="E1313" i="27"/>
  <c r="E1314" i="27"/>
  <c r="E1315" i="27"/>
  <c r="E1316" i="27"/>
  <c r="E1317" i="27"/>
  <c r="E1318" i="27"/>
  <c r="E1319" i="27"/>
  <c r="E1320" i="27"/>
  <c r="E1321" i="27"/>
  <c r="E1322" i="27"/>
  <c r="E1323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5" i="27"/>
  <c r="E1336" i="27"/>
  <c r="E1337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7" i="27"/>
  <c r="E1418" i="27"/>
  <c r="E1419" i="27"/>
  <c r="E1420" i="27"/>
  <c r="E1421" i="27"/>
  <c r="E1422" i="27"/>
  <c r="E1423" i="27"/>
  <c r="E1424" i="27"/>
  <c r="E1425" i="27"/>
  <c r="E1426" i="27"/>
  <c r="E1427" i="27"/>
  <c r="E1428" i="27"/>
  <c r="E1429" i="27"/>
  <c r="E1430" i="27"/>
  <c r="E1431" i="27"/>
  <c r="E1432" i="27"/>
  <c r="E1433" i="27"/>
  <c r="E1434" i="27"/>
  <c r="E1435" i="27"/>
  <c r="E1436" i="27"/>
  <c r="E1437" i="27"/>
  <c r="E1438" i="27"/>
  <c r="E1439" i="27"/>
  <c r="E1440" i="27"/>
  <c r="E1441" i="27"/>
  <c r="E1442" i="27"/>
  <c r="E1443" i="27"/>
  <c r="E1444" i="27"/>
  <c r="E1445" i="27"/>
  <c r="E1446" i="27"/>
  <c r="E1447" i="27"/>
  <c r="E1448" i="27"/>
  <c r="E1449" i="27"/>
  <c r="E1450" i="27"/>
  <c r="E1451" i="27"/>
  <c r="E1452" i="27"/>
  <c r="E1453" i="27"/>
  <c r="E1454" i="27"/>
  <c r="E1455" i="27"/>
  <c r="E1456" i="27"/>
  <c r="E1457" i="27"/>
  <c r="E1458" i="27"/>
  <c r="E1459" i="27"/>
  <c r="E1460" i="27"/>
  <c r="E1461" i="27"/>
  <c r="E1462" i="27"/>
  <c r="E1463" i="27"/>
  <c r="E1464" i="27"/>
  <c r="E1465" i="27"/>
  <c r="E1466" i="27"/>
  <c r="E1467" i="27"/>
  <c r="E1468" i="27"/>
  <c r="E1469" i="27"/>
  <c r="E1470" i="27"/>
  <c r="E1471" i="27"/>
  <c r="E1472" i="27"/>
  <c r="E1473" i="27"/>
  <c r="E1474" i="27"/>
  <c r="E1475" i="27"/>
  <c r="E1476" i="27"/>
  <c r="E1477" i="27"/>
  <c r="E1478" i="27"/>
  <c r="E1479" i="27"/>
  <c r="E1480" i="27"/>
  <c r="E1481" i="27"/>
  <c r="E1482" i="27"/>
  <c r="E1483" i="27"/>
  <c r="E1484" i="27"/>
  <c r="E1485" i="27"/>
  <c r="E1486" i="27"/>
  <c r="E1487" i="27"/>
  <c r="E1488" i="27"/>
  <c r="E1489" i="27"/>
  <c r="E1490" i="27"/>
  <c r="E1491" i="27"/>
  <c r="E1492" i="27"/>
  <c r="E1493" i="27"/>
  <c r="E1494" i="27"/>
  <c r="E1495" i="27"/>
  <c r="E1496" i="27"/>
  <c r="E1497" i="27"/>
  <c r="E1498" i="27"/>
  <c r="E1499" i="27"/>
  <c r="E1500" i="27"/>
  <c r="E1501" i="27"/>
  <c r="E1502" i="27"/>
  <c r="E1503" i="27"/>
  <c r="E1504" i="27"/>
  <c r="E1505" i="27"/>
  <c r="E1506" i="27"/>
  <c r="E1507" i="27"/>
  <c r="E1508" i="27"/>
  <c r="E1509" i="27"/>
  <c r="E1510" i="27"/>
  <c r="E1511" i="27"/>
  <c r="E1512" i="27"/>
  <c r="E1513" i="27"/>
  <c r="E1514" i="27"/>
  <c r="E1515" i="27"/>
  <c r="E1516" i="27"/>
  <c r="E1517" i="27"/>
  <c r="E1518" i="27"/>
  <c r="E1519" i="27"/>
  <c r="E1520" i="27"/>
  <c r="E1521" i="27"/>
  <c r="E1522" i="27"/>
  <c r="E1523" i="27"/>
  <c r="E1524" i="27"/>
  <c r="E1525" i="27"/>
  <c r="E1526" i="27"/>
  <c r="E1527" i="27"/>
  <c r="E1528" i="27"/>
  <c r="E1529" i="27"/>
  <c r="E1530" i="27"/>
  <c r="E1531" i="27"/>
  <c r="E1532" i="27"/>
  <c r="E1533" i="27"/>
  <c r="E1534" i="27"/>
  <c r="E1535" i="27"/>
  <c r="E1536" i="27"/>
  <c r="E1537" i="27"/>
  <c r="E1538" i="27"/>
  <c r="E1539" i="27"/>
  <c r="E1540" i="27"/>
  <c r="E1541" i="27"/>
  <c r="E1542" i="27"/>
  <c r="E1543" i="27"/>
  <c r="E1544" i="27"/>
  <c r="E1545" i="27"/>
  <c r="E1546" i="27"/>
  <c r="E1547" i="27"/>
  <c r="E1548" i="27"/>
  <c r="E1549" i="27"/>
  <c r="E1550" i="27"/>
  <c r="E1551" i="27"/>
  <c r="E1552" i="27"/>
  <c r="E1553" i="27"/>
  <c r="E1554" i="27"/>
  <c r="E1555" i="27"/>
  <c r="E1556" i="27"/>
  <c r="E1557" i="27"/>
  <c r="E1558" i="27"/>
  <c r="E1559" i="27"/>
  <c r="E1560" i="27"/>
  <c r="E1561" i="27"/>
  <c r="E1562" i="27"/>
  <c r="E1563" i="27"/>
  <c r="E1564" i="27"/>
  <c r="E1565" i="27"/>
  <c r="E1566" i="27"/>
  <c r="E1567" i="27"/>
  <c r="E1568" i="27"/>
  <c r="E1569" i="27"/>
  <c r="E1570" i="27"/>
  <c r="E1571" i="27"/>
  <c r="E1572" i="27"/>
  <c r="E1573" i="27"/>
  <c r="E1574" i="27"/>
  <c r="E1575" i="27"/>
  <c r="E1576" i="27"/>
  <c r="E1577" i="27"/>
  <c r="E1578" i="27"/>
  <c r="E1579" i="27"/>
  <c r="E1580" i="27"/>
  <c r="E1581" i="27"/>
  <c r="E1582" i="27"/>
  <c r="E1583" i="27"/>
  <c r="E1584" i="27"/>
  <c r="E1585" i="27"/>
  <c r="E1586" i="27"/>
  <c r="E1587" i="27"/>
  <c r="E1588" i="27"/>
  <c r="E1589" i="27"/>
  <c r="E1590" i="27"/>
  <c r="E1591" i="27"/>
  <c r="E1592" i="27"/>
  <c r="E1593" i="27"/>
  <c r="E1594" i="27"/>
  <c r="E1595" i="27"/>
  <c r="E1596" i="27"/>
  <c r="E1597" i="27"/>
  <c r="E1598" i="27"/>
  <c r="E1599" i="27"/>
  <c r="E1600" i="27"/>
  <c r="E1601" i="27"/>
  <c r="E1602" i="27"/>
  <c r="E1603" i="27"/>
  <c r="E1604" i="27"/>
  <c r="E1605" i="27"/>
  <c r="E1606" i="27"/>
  <c r="E1607" i="27"/>
  <c r="E1608" i="27"/>
  <c r="E1609" i="27"/>
  <c r="E1610" i="27"/>
  <c r="E1611" i="27"/>
  <c r="E1612" i="27"/>
  <c r="E1613" i="27"/>
  <c r="E1614" i="27"/>
  <c r="E1615" i="27"/>
  <c r="E1616" i="27"/>
  <c r="E1617" i="27"/>
  <c r="E1618" i="27"/>
  <c r="E1619" i="27"/>
  <c r="E1620" i="27"/>
  <c r="E1621" i="27"/>
  <c r="E1622" i="27"/>
  <c r="E1623" i="27"/>
  <c r="E1624" i="27"/>
  <c r="E1625" i="27"/>
  <c r="E1626" i="27"/>
  <c r="E1627" i="27"/>
  <c r="E1628" i="27"/>
  <c r="E1629" i="27"/>
  <c r="E1630" i="27"/>
  <c r="E1631" i="27"/>
  <c r="E1632" i="27"/>
  <c r="E1633" i="27"/>
  <c r="E1634" i="27"/>
  <c r="E1635" i="27"/>
  <c r="E1636" i="27"/>
  <c r="E1637" i="27"/>
  <c r="E1638" i="27"/>
  <c r="E1639" i="27"/>
  <c r="E1640" i="27"/>
  <c r="E1641" i="27"/>
  <c r="E1642" i="27"/>
  <c r="E1643" i="27"/>
  <c r="E1644" i="27"/>
  <c r="E1645" i="27"/>
  <c r="E1646" i="27"/>
  <c r="E1647" i="27"/>
  <c r="E1648" i="27"/>
  <c r="E1649" i="27"/>
  <c r="E1650" i="27"/>
  <c r="E1651" i="27"/>
  <c r="E1652" i="27"/>
  <c r="E1653" i="27"/>
  <c r="E1654" i="27"/>
  <c r="E1655" i="27"/>
  <c r="E1656" i="27"/>
  <c r="E1657" i="27"/>
  <c r="E1658" i="27"/>
  <c r="E1659" i="27"/>
  <c r="E1660" i="27"/>
  <c r="E1661" i="27"/>
  <c r="E1662" i="27"/>
  <c r="E1663" i="27"/>
  <c r="E1664" i="27"/>
  <c r="E1665" i="27"/>
  <c r="E1666" i="27"/>
  <c r="E1667" i="27"/>
  <c r="E1668" i="27"/>
  <c r="E1669" i="27"/>
  <c r="E1670" i="27"/>
  <c r="E1671" i="27"/>
  <c r="E1672" i="27"/>
  <c r="E1673" i="27"/>
  <c r="E1674" i="27"/>
  <c r="E1675" i="27"/>
  <c r="E2" i="27"/>
  <c r="D38" i="35"/>
  <c r="F20" i="1" s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3963" i="24"/>
  <c r="C3964" i="24"/>
  <c r="C3965" i="24"/>
  <c r="C3966" i="24"/>
  <c r="C3967" i="24"/>
  <c r="C3968" i="24"/>
  <c r="C3969" i="24"/>
  <c r="C3970" i="24"/>
  <c r="C3971" i="24"/>
  <c r="C3972" i="24"/>
  <c r="C3973" i="24"/>
  <c r="C3974" i="24"/>
  <c r="C3975" i="24"/>
  <c r="C3976" i="24"/>
  <c r="C3977" i="24"/>
  <c r="C3978" i="24"/>
  <c r="C3979" i="24"/>
  <c r="C3980" i="24"/>
  <c r="C3981" i="24"/>
  <c r="C3982" i="24"/>
  <c r="C3983" i="24"/>
  <c r="C3984" i="24"/>
  <c r="C3985" i="24"/>
  <c r="C3986" i="24"/>
  <c r="C3987" i="24"/>
  <c r="C3988" i="24"/>
  <c r="C3989" i="24"/>
  <c r="C3990" i="24"/>
  <c r="C3991" i="24"/>
  <c r="C3992" i="24"/>
  <c r="C3993" i="24"/>
  <c r="C3994" i="24"/>
  <c r="C3995" i="24"/>
  <c r="C3996" i="24"/>
  <c r="C3997" i="24"/>
  <c r="C3998" i="24"/>
  <c r="C3999" i="24"/>
  <c r="C4000" i="24"/>
  <c r="C4001" i="24"/>
  <c r="C4002" i="24"/>
  <c r="C4003" i="24"/>
  <c r="C4004" i="24"/>
  <c r="C4005" i="24"/>
  <c r="C4006" i="24"/>
  <c r="C4007" i="24"/>
  <c r="C4008" i="24"/>
  <c r="C4009" i="24"/>
  <c r="C4010" i="24"/>
  <c r="C4011" i="24"/>
  <c r="C4012" i="24"/>
  <c r="C4013" i="24"/>
  <c r="C4014" i="24"/>
  <c r="C4015" i="24"/>
  <c r="C4016" i="24"/>
  <c r="C4017" i="24"/>
  <c r="C4018" i="24"/>
  <c r="C4019" i="24"/>
  <c r="C4020" i="24"/>
  <c r="C4021" i="24"/>
  <c r="C4022" i="24"/>
  <c r="C4023" i="24"/>
  <c r="C4024" i="24"/>
  <c r="C4025" i="24"/>
  <c r="C4026" i="24"/>
  <c r="C4027" i="24"/>
  <c r="C4028" i="24"/>
  <c r="C4029" i="24"/>
  <c r="C4030" i="24"/>
  <c r="C4031" i="24"/>
  <c r="C4032" i="24"/>
  <c r="C4033" i="24"/>
  <c r="C4034" i="24"/>
  <c r="C4035" i="24"/>
  <c r="C4036" i="24"/>
  <c r="C4037" i="24"/>
  <c r="C4038" i="24"/>
  <c r="C4039" i="24"/>
  <c r="C4040" i="24"/>
  <c r="C4041" i="24"/>
  <c r="C4042" i="24"/>
  <c r="C4043" i="24"/>
  <c r="C4044" i="24"/>
  <c r="C4045" i="24"/>
  <c r="C4046" i="24"/>
  <c r="C4047" i="24"/>
  <c r="C4048" i="24"/>
  <c r="C4049" i="24"/>
  <c r="C4050" i="24"/>
  <c r="C4051" i="24"/>
  <c r="C4052" i="24"/>
  <c r="C4053" i="24"/>
  <c r="C4054" i="24"/>
  <c r="C4055" i="24"/>
  <c r="C4056" i="24"/>
  <c r="C4057" i="24"/>
  <c r="C4058" i="24"/>
  <c r="C4059" i="24"/>
  <c r="C4060" i="24"/>
  <c r="C4061" i="24"/>
  <c r="C4062" i="24"/>
  <c r="C4063" i="24"/>
  <c r="C4064" i="24"/>
  <c r="C4065" i="24"/>
  <c r="C4066" i="24"/>
  <c r="C4067" i="24"/>
  <c r="C4068" i="24"/>
  <c r="C4069" i="24"/>
  <c r="C4070" i="24"/>
  <c r="C4071" i="24"/>
  <c r="C4072" i="24"/>
  <c r="C4073" i="24"/>
  <c r="C4074" i="24"/>
  <c r="C4075" i="24"/>
  <c r="C4076" i="24"/>
  <c r="C4077" i="24"/>
  <c r="C4078" i="24"/>
  <c r="C4079" i="24"/>
  <c r="C4080" i="24"/>
  <c r="C4081" i="24"/>
  <c r="C4082" i="24"/>
  <c r="C4083" i="24"/>
  <c r="C4084" i="24"/>
  <c r="C4085" i="24"/>
  <c r="C4086" i="24"/>
  <c r="C4087" i="24"/>
  <c r="C4088" i="24"/>
  <c r="C4089" i="24"/>
  <c r="C4090" i="24"/>
  <c r="C4091" i="24"/>
  <c r="C4092" i="24"/>
  <c r="C4093" i="24"/>
  <c r="C4094" i="24"/>
  <c r="C4095" i="24"/>
  <c r="C4096" i="24"/>
  <c r="C4097" i="24"/>
  <c r="C4098" i="24"/>
  <c r="C4099" i="24"/>
  <c r="C4100" i="24"/>
  <c r="C4101" i="24"/>
  <c r="C4102" i="24"/>
  <c r="C4103" i="24"/>
  <c r="C4104" i="24"/>
  <c r="C4105" i="24"/>
  <c r="C4106" i="24"/>
  <c r="C4107" i="24"/>
  <c r="C4108" i="24"/>
  <c r="C4109" i="24"/>
  <c r="C4110" i="24"/>
  <c r="C4111" i="24"/>
  <c r="C4112" i="24"/>
  <c r="C4113" i="24"/>
  <c r="C4114" i="24"/>
  <c r="C4115" i="24"/>
  <c r="C4116" i="24"/>
  <c r="C4117" i="24"/>
  <c r="C4118" i="24"/>
  <c r="C4119" i="24"/>
  <c r="C4120" i="24"/>
  <c r="C4121" i="24"/>
  <c r="C4122" i="24"/>
  <c r="C4123" i="24"/>
  <c r="C4124" i="24"/>
  <c r="C4125" i="24"/>
  <c r="C4126" i="24"/>
  <c r="C4127" i="24"/>
  <c r="C4128" i="24"/>
  <c r="C4129" i="24"/>
  <c r="C4130" i="24"/>
  <c r="C4131" i="24"/>
  <c r="C4132" i="24"/>
  <c r="C4133" i="24"/>
  <c r="C4134" i="24"/>
  <c r="C4135" i="24"/>
  <c r="C4136" i="24"/>
  <c r="C4137" i="24"/>
  <c r="C4138" i="24"/>
  <c r="C4139" i="24"/>
  <c r="C4140" i="24"/>
  <c r="C4141" i="24"/>
  <c r="C4142" i="24"/>
  <c r="C4143" i="24"/>
  <c r="C4144" i="24"/>
  <c r="C4145" i="24"/>
  <c r="C4146" i="24"/>
  <c r="C4147" i="24"/>
  <c r="C4148" i="24"/>
  <c r="C4149" i="24"/>
  <c r="C4150" i="24"/>
  <c r="C4151" i="24"/>
  <c r="C4152" i="24"/>
  <c r="C4153" i="24"/>
  <c r="C4154" i="24"/>
  <c r="C4155" i="24"/>
  <c r="C4156" i="24"/>
  <c r="C4157" i="24"/>
  <c r="C4158" i="24"/>
  <c r="C4159" i="24"/>
  <c r="C4160" i="24"/>
  <c r="C4161" i="24"/>
  <c r="C4162" i="24"/>
  <c r="C4163" i="24"/>
  <c r="C4164" i="24"/>
  <c r="C4165" i="24"/>
  <c r="C4166" i="24"/>
  <c r="C4167" i="24"/>
  <c r="C4168" i="24"/>
  <c r="C4169" i="24"/>
  <c r="C4170" i="24"/>
  <c r="C4171" i="24"/>
  <c r="C4172" i="24"/>
  <c r="C4173" i="24"/>
  <c r="C4174" i="24"/>
  <c r="C4175" i="24"/>
  <c r="C4176" i="24"/>
  <c r="C4177" i="24"/>
  <c r="C4178" i="24"/>
  <c r="C4179" i="24"/>
  <c r="C4180" i="24"/>
  <c r="C4181" i="24"/>
  <c r="C4182" i="24"/>
  <c r="C4183" i="24"/>
  <c r="C4184" i="24"/>
  <c r="C4185" i="24"/>
  <c r="C4186" i="24"/>
  <c r="C4187" i="24"/>
  <c r="C4188" i="24"/>
  <c r="C4189" i="24"/>
  <c r="C4190" i="24"/>
  <c r="C4191" i="24"/>
  <c r="C4192" i="24"/>
  <c r="C4193" i="24"/>
  <c r="C4194" i="24"/>
  <c r="C4195" i="24"/>
  <c r="C4196" i="24"/>
  <c r="C4197" i="24"/>
  <c r="C4198" i="24"/>
  <c r="C4199" i="24"/>
  <c r="C4200" i="24"/>
  <c r="C4201" i="24"/>
  <c r="C4202" i="24"/>
  <c r="C4203" i="24"/>
  <c r="C4204" i="24"/>
  <c r="C4205" i="24"/>
  <c r="C4206" i="24"/>
  <c r="C4207" i="24"/>
  <c r="C4208" i="24"/>
  <c r="C4209" i="24"/>
  <c r="C4210" i="24"/>
  <c r="C4211" i="24"/>
  <c r="C4212" i="24"/>
  <c r="C4213" i="24"/>
  <c r="C4214" i="24"/>
  <c r="C4215" i="24"/>
  <c r="C4216" i="24"/>
  <c r="C4217" i="24"/>
  <c r="C4218" i="24"/>
  <c r="C4219" i="24"/>
  <c r="C4220" i="24"/>
  <c r="C4221" i="24"/>
  <c r="C4222" i="24"/>
  <c r="C4223" i="24"/>
  <c r="C4224" i="24"/>
  <c r="C4225" i="24"/>
  <c r="C4226" i="24"/>
  <c r="C4227" i="24"/>
  <c r="C4228" i="24"/>
  <c r="C4229" i="24"/>
  <c r="C4230" i="24"/>
  <c r="C4231" i="24"/>
  <c r="C4232" i="24"/>
  <c r="C4233" i="24"/>
  <c r="C4234" i="24"/>
  <c r="C4235" i="24"/>
  <c r="C4236" i="24"/>
  <c r="C4237" i="24"/>
  <c r="C4238" i="24"/>
  <c r="C4239" i="24"/>
  <c r="C4240" i="24"/>
  <c r="C4241" i="24"/>
  <c r="C4242" i="24"/>
  <c r="C4243" i="24"/>
  <c r="C4244" i="24"/>
  <c r="C4245" i="24"/>
  <c r="C4246" i="24"/>
  <c r="C4247" i="24"/>
  <c r="C4248" i="24"/>
  <c r="C4249" i="24"/>
  <c r="C4250" i="24"/>
  <c r="C4251" i="24"/>
  <c r="C4252" i="24"/>
  <c r="C4253" i="24"/>
  <c r="C4254" i="24"/>
  <c r="C4255" i="24"/>
  <c r="C4256" i="24"/>
  <c r="C4257" i="24"/>
  <c r="C4258" i="24"/>
  <c r="C4259" i="24"/>
  <c r="C4260" i="24"/>
  <c r="C4261" i="24"/>
  <c r="C4262" i="24"/>
  <c r="C4263" i="24"/>
  <c r="C4264" i="24"/>
  <c r="C4265" i="24"/>
  <c r="C4266" i="24"/>
  <c r="C4267" i="24"/>
  <c r="C4268" i="24"/>
  <c r="C4269" i="24"/>
  <c r="C4270" i="24"/>
  <c r="C4271" i="24"/>
  <c r="C4272" i="24"/>
  <c r="C4273" i="24"/>
  <c r="C4274" i="24"/>
  <c r="C4275" i="24"/>
  <c r="C4276" i="24"/>
  <c r="C4277" i="24"/>
  <c r="C4278" i="24"/>
  <c r="C4279" i="24"/>
  <c r="C4280" i="24"/>
  <c r="C4281" i="24"/>
  <c r="C4282" i="24"/>
  <c r="C4283" i="24"/>
  <c r="C4284" i="24"/>
  <c r="C4285" i="24"/>
  <c r="C4286" i="24"/>
  <c r="C4287" i="24"/>
  <c r="C4288" i="24"/>
  <c r="C4289" i="24"/>
  <c r="C4290" i="24"/>
  <c r="C4291" i="24"/>
  <c r="C4292" i="24"/>
  <c r="C4293" i="24"/>
  <c r="C4294" i="24"/>
  <c r="C4295" i="24"/>
  <c r="C4296" i="24"/>
  <c r="C4297" i="24"/>
  <c r="C4298" i="24"/>
  <c r="C4299" i="24"/>
  <c r="C4300" i="24"/>
  <c r="C4301" i="24"/>
  <c r="C4302" i="24"/>
  <c r="C4303" i="24"/>
  <c r="C4304" i="24"/>
  <c r="C4305" i="24"/>
  <c r="C4306" i="24"/>
  <c r="C4307" i="24"/>
  <c r="C4308" i="24"/>
  <c r="C4309" i="24"/>
  <c r="C4310" i="24"/>
  <c r="C4311" i="24"/>
  <c r="C4312" i="24"/>
  <c r="C4313" i="24"/>
  <c r="C4314" i="24"/>
  <c r="C4315" i="24"/>
  <c r="C4316" i="24"/>
  <c r="C4317" i="24"/>
  <c r="C4318" i="24"/>
  <c r="C4319" i="24"/>
  <c r="C4320" i="24"/>
  <c r="C4321" i="24"/>
  <c r="C4322" i="24"/>
  <c r="C4323" i="24"/>
  <c r="C4324" i="24"/>
  <c r="C4325" i="24"/>
  <c r="C4326" i="24"/>
  <c r="C4327" i="24"/>
  <c r="C4328" i="24"/>
  <c r="C4329" i="24"/>
  <c r="C4330" i="24"/>
  <c r="C4331" i="24"/>
  <c r="C4332" i="24"/>
  <c r="C4333" i="24"/>
  <c r="C4334" i="24"/>
  <c r="C4335" i="24"/>
  <c r="C4336" i="24"/>
  <c r="C4337" i="24"/>
  <c r="C4338" i="24"/>
  <c r="C4339" i="24"/>
  <c r="C4340" i="24"/>
  <c r="C4341" i="24"/>
  <c r="C4342" i="24"/>
  <c r="C4343" i="24"/>
  <c r="C4344" i="24"/>
  <c r="C4345" i="24"/>
  <c r="C4346" i="24"/>
  <c r="C4347" i="24"/>
  <c r="C4348" i="24"/>
  <c r="C4349" i="24"/>
  <c r="C4350" i="24"/>
  <c r="C4351" i="24"/>
  <c r="C4352" i="24"/>
  <c r="C4353" i="24"/>
  <c r="C4354" i="24"/>
  <c r="C4355" i="24"/>
  <c r="C4356" i="24"/>
  <c r="C4357" i="24"/>
  <c r="C4358" i="24"/>
  <c r="C4359" i="24"/>
  <c r="C4360" i="24"/>
  <c r="C4361" i="24"/>
  <c r="C4362" i="24"/>
  <c r="C4363" i="24"/>
  <c r="C4364" i="24"/>
  <c r="C4365" i="24"/>
  <c r="C4366" i="24"/>
  <c r="C4367" i="24"/>
  <c r="C4368" i="24"/>
  <c r="C4369" i="24"/>
  <c r="C4370" i="24"/>
  <c r="C4371" i="24"/>
  <c r="C4372" i="24"/>
  <c r="C4373" i="24"/>
  <c r="C4374" i="24"/>
  <c r="C4375" i="24"/>
  <c r="C4376" i="24"/>
  <c r="C4377" i="24"/>
  <c r="C4378" i="24"/>
  <c r="C4379" i="24"/>
  <c r="C4380" i="24"/>
  <c r="C4381" i="24"/>
  <c r="C4382" i="24"/>
  <c r="C4383" i="24"/>
  <c r="C4384" i="24"/>
  <c r="C4385" i="24"/>
  <c r="C4386" i="24"/>
  <c r="C4387" i="24"/>
  <c r="C4388" i="24"/>
  <c r="C4389" i="24"/>
  <c r="C4390" i="24"/>
  <c r="C4391" i="24"/>
  <c r="C4392" i="24"/>
  <c r="C4393" i="24"/>
  <c r="C4394" i="24"/>
  <c r="C4395" i="24"/>
  <c r="C4396" i="24"/>
  <c r="C4397" i="24"/>
  <c r="C4398" i="24"/>
  <c r="C4399" i="24"/>
  <c r="C4400" i="24"/>
  <c r="C4401" i="24"/>
  <c r="C4402" i="24"/>
  <c r="C4403" i="24"/>
  <c r="C4404" i="24"/>
  <c r="C4405" i="24"/>
  <c r="C4406" i="24"/>
  <c r="C4407" i="24"/>
  <c r="C4408" i="24"/>
  <c r="C4409" i="24"/>
  <c r="C4410" i="24"/>
  <c r="C4411" i="24"/>
  <c r="C4412" i="24"/>
  <c r="C4413" i="24"/>
  <c r="C4414" i="24"/>
  <c r="C4415" i="24"/>
  <c r="C4416" i="24"/>
  <c r="C4417" i="24"/>
  <c r="C4418" i="24"/>
  <c r="C4419" i="24"/>
  <c r="C4420" i="24"/>
  <c r="C4421" i="24"/>
  <c r="C4422" i="24"/>
  <c r="C4423" i="24"/>
  <c r="C4424" i="24"/>
  <c r="C4425" i="24"/>
  <c r="C4426" i="24"/>
  <c r="C4427" i="24"/>
  <c r="C4428" i="24"/>
  <c r="C4429" i="24"/>
  <c r="C4430" i="24"/>
  <c r="C4431" i="24"/>
  <c r="C4432" i="24"/>
  <c r="C4433" i="24"/>
  <c r="C4434" i="24"/>
  <c r="C4435" i="24"/>
  <c r="C4436" i="24"/>
  <c r="C4437" i="24"/>
  <c r="C4438" i="24"/>
  <c r="C4439" i="24"/>
  <c r="C4440" i="24"/>
  <c r="C4441" i="24"/>
  <c r="C4442" i="24"/>
  <c r="C4443" i="24"/>
  <c r="C4444" i="24"/>
  <c r="C4445" i="24"/>
  <c r="C4446" i="24"/>
  <c r="C4447" i="24"/>
  <c r="C4448" i="24"/>
  <c r="C4449" i="24"/>
  <c r="C4450" i="24"/>
  <c r="C4451" i="24"/>
  <c r="C4452" i="24"/>
  <c r="C4453" i="24"/>
  <c r="C4454" i="24"/>
  <c r="C4455" i="24"/>
  <c r="C4456" i="24"/>
  <c r="C4457" i="24"/>
  <c r="C4458" i="24"/>
  <c r="C4459" i="24"/>
  <c r="C4460" i="24"/>
  <c r="C4461" i="24"/>
  <c r="C4462" i="24"/>
  <c r="C4463" i="24"/>
  <c r="C4464" i="24"/>
  <c r="C4465" i="24"/>
  <c r="C4466" i="24"/>
  <c r="C4467" i="24"/>
  <c r="C4468" i="24"/>
  <c r="C4469" i="24"/>
  <c r="C4470" i="24"/>
  <c r="C4471" i="24"/>
  <c r="C4472" i="24"/>
  <c r="C4473" i="24"/>
  <c r="C4474" i="24"/>
  <c r="C4475" i="24"/>
  <c r="C4476" i="24"/>
  <c r="C4477" i="24"/>
  <c r="C4478" i="24"/>
  <c r="C4479" i="24"/>
  <c r="C4480" i="24"/>
  <c r="C4481" i="24"/>
  <c r="C4482" i="24"/>
  <c r="C4483" i="24"/>
  <c r="C4484" i="24"/>
  <c r="C4485" i="24"/>
  <c r="C4486" i="24"/>
  <c r="C4487" i="24"/>
  <c r="C4488" i="24"/>
  <c r="C4489" i="24"/>
  <c r="C4490" i="24"/>
  <c r="C4491" i="24"/>
  <c r="C4492" i="24"/>
  <c r="C4493" i="24"/>
  <c r="C4494" i="24"/>
  <c r="C4495" i="24"/>
  <c r="C4496" i="24"/>
  <c r="C4497" i="24"/>
  <c r="C4498" i="24"/>
  <c r="C4499" i="24"/>
  <c r="C4500" i="24"/>
  <c r="C4501" i="24"/>
  <c r="C4502" i="24"/>
  <c r="C4503" i="24"/>
  <c r="C4504" i="24"/>
  <c r="C4505" i="24"/>
  <c r="C4506" i="24"/>
  <c r="C4507" i="24"/>
  <c r="C4508" i="24"/>
  <c r="C4509" i="24"/>
  <c r="C4510" i="24"/>
  <c r="C4511" i="24"/>
  <c r="C4512" i="24"/>
  <c r="C4513" i="24"/>
  <c r="C4514" i="24"/>
  <c r="C4515" i="24"/>
  <c r="C4516" i="24"/>
  <c r="C4517" i="24"/>
  <c r="C4518" i="24"/>
  <c r="C4519" i="24"/>
  <c r="C4520" i="24"/>
  <c r="C4521" i="24"/>
  <c r="C4522" i="24"/>
  <c r="C4523" i="24"/>
  <c r="C4524" i="24"/>
  <c r="C4525" i="24"/>
  <c r="C4526" i="24"/>
  <c r="C4527" i="24"/>
  <c r="C4528" i="24"/>
  <c r="C4529" i="24"/>
  <c r="C4530" i="24"/>
  <c r="C4531" i="24"/>
  <c r="C4532" i="24"/>
  <c r="C4533" i="24"/>
  <c r="C4534" i="24"/>
  <c r="C4535" i="24"/>
  <c r="C4536" i="24"/>
  <c r="C4537" i="24"/>
  <c r="C4538" i="24"/>
  <c r="C4539" i="24"/>
  <c r="C4540" i="24"/>
  <c r="C4541" i="24"/>
  <c r="C4542" i="24"/>
  <c r="C4543" i="24"/>
  <c r="C4544" i="24"/>
  <c r="C4545" i="24"/>
  <c r="C4546" i="24"/>
  <c r="C4547" i="24"/>
  <c r="C4548" i="24"/>
  <c r="C4549" i="24"/>
  <c r="C4550" i="24"/>
  <c r="C4551" i="24"/>
  <c r="C4552" i="24"/>
  <c r="C4553" i="24"/>
  <c r="C4554" i="24"/>
  <c r="C4555" i="24"/>
  <c r="C4556" i="24"/>
  <c r="C4557" i="24"/>
  <c r="C4558" i="24"/>
  <c r="C4559" i="24"/>
  <c r="C4560" i="24"/>
  <c r="C4561" i="24"/>
  <c r="C4562" i="24"/>
  <c r="C4563" i="24"/>
  <c r="C4564" i="24"/>
  <c r="C4565" i="24"/>
  <c r="C4566" i="24"/>
  <c r="C4567" i="24"/>
  <c r="C4568" i="24"/>
  <c r="C4569" i="24"/>
  <c r="C4570" i="24"/>
  <c r="C4571" i="24"/>
  <c r="C4572" i="24"/>
  <c r="C4573" i="24"/>
  <c r="C4574" i="24"/>
  <c r="C4575" i="24"/>
  <c r="C4576" i="24"/>
  <c r="C4577" i="24"/>
  <c r="C4578" i="24"/>
  <c r="C4579" i="24"/>
  <c r="C4580" i="24"/>
  <c r="C4581" i="24"/>
  <c r="C4582" i="24"/>
  <c r="C4583" i="24"/>
  <c r="C4584" i="24"/>
  <c r="C4585" i="24"/>
  <c r="C4586" i="24"/>
  <c r="C4587" i="24"/>
  <c r="C4588" i="24"/>
  <c r="C4589" i="24"/>
  <c r="C4590" i="24"/>
  <c r="C4591" i="24"/>
  <c r="C4592" i="24"/>
  <c r="C4593" i="24"/>
  <c r="C4594" i="24"/>
  <c r="C4595" i="24"/>
  <c r="C4596" i="24"/>
  <c r="C4597" i="24"/>
  <c r="C4598" i="24"/>
  <c r="C4599" i="24"/>
  <c r="C4600" i="24"/>
  <c r="C4601" i="24"/>
  <c r="C4602" i="24"/>
  <c r="C4603" i="24"/>
  <c r="C4604" i="24"/>
  <c r="C4605" i="24"/>
  <c r="C4606" i="24"/>
  <c r="C4607" i="24"/>
  <c r="C4608" i="24"/>
  <c r="C4609" i="24"/>
  <c r="C4610" i="24"/>
  <c r="C4611" i="24"/>
  <c r="C4612" i="24"/>
  <c r="C4613" i="24"/>
  <c r="C4614" i="24"/>
  <c r="C4615" i="24"/>
  <c r="C4616" i="24"/>
  <c r="C4617" i="24"/>
  <c r="C4618" i="24"/>
  <c r="C4619" i="24"/>
  <c r="C4620" i="24"/>
  <c r="C4621" i="24"/>
  <c r="C4622" i="24"/>
  <c r="C4623" i="24"/>
  <c r="C4624" i="24"/>
  <c r="C4625" i="24"/>
  <c r="C4626" i="24"/>
  <c r="C4627" i="24"/>
  <c r="C4628" i="24"/>
  <c r="C4629" i="24"/>
  <c r="C4630" i="24"/>
  <c r="C4631" i="24"/>
  <c r="C4632" i="24"/>
  <c r="C4633" i="24"/>
  <c r="C4634" i="24"/>
  <c r="C4635" i="24"/>
  <c r="C4636" i="24"/>
  <c r="C4637" i="24"/>
  <c r="C4638" i="24"/>
  <c r="C4639" i="24"/>
  <c r="C4640" i="24"/>
  <c r="C4641" i="24"/>
  <c r="C4642" i="24"/>
  <c r="C4643" i="24"/>
  <c r="C4644" i="24"/>
  <c r="C4645" i="24"/>
  <c r="C4646" i="24"/>
  <c r="C4647" i="24"/>
  <c r="C4648" i="24"/>
  <c r="C4649" i="24"/>
  <c r="C4650" i="24"/>
  <c r="C4651" i="24"/>
  <c r="C4652" i="24"/>
  <c r="C4653" i="24"/>
  <c r="C4654" i="24"/>
  <c r="C4655" i="24"/>
  <c r="C4656" i="24"/>
  <c r="C4657" i="24"/>
  <c r="C4658" i="24"/>
  <c r="C4659" i="24"/>
  <c r="C4660" i="24"/>
  <c r="C4661" i="24"/>
  <c r="C4662" i="24"/>
  <c r="C4663" i="24"/>
  <c r="C4664" i="24"/>
  <c r="C4665" i="24"/>
  <c r="C4666" i="24"/>
  <c r="C4667" i="24"/>
  <c r="C4668" i="24"/>
  <c r="C4669" i="24"/>
  <c r="C4670" i="24"/>
  <c r="C4671" i="24"/>
  <c r="C4672" i="24"/>
  <c r="C4673" i="24"/>
  <c r="C4674" i="24"/>
  <c r="C4675" i="24"/>
  <c r="C4676" i="24"/>
  <c r="C4677" i="24"/>
  <c r="C4678" i="24"/>
  <c r="C4679" i="24"/>
  <c r="C4680" i="24"/>
  <c r="C4681" i="24"/>
  <c r="C4682" i="24"/>
  <c r="C4683" i="24"/>
  <c r="C4684" i="24"/>
  <c r="C4685" i="24"/>
  <c r="C4686" i="24"/>
  <c r="C4687" i="24"/>
  <c r="C4688" i="24"/>
  <c r="C4689" i="24"/>
  <c r="C4690" i="24"/>
  <c r="C4691" i="24"/>
  <c r="C4692" i="24"/>
  <c r="C4693" i="24"/>
  <c r="C4694" i="24"/>
  <c r="C4695" i="24"/>
  <c r="C4696" i="24"/>
  <c r="C4697" i="24"/>
  <c r="C4698" i="24"/>
  <c r="C4699" i="24"/>
  <c r="C4700" i="24"/>
  <c r="C4701" i="24"/>
  <c r="C4702" i="24"/>
  <c r="C4703" i="24"/>
  <c r="C4704" i="24"/>
  <c r="C4705" i="24"/>
  <c r="C4706" i="24"/>
  <c r="C4707" i="24"/>
  <c r="C4708" i="24"/>
  <c r="C4709" i="24"/>
  <c r="C4710" i="24"/>
  <c r="C4711" i="24"/>
  <c r="C4712" i="24"/>
  <c r="C4713" i="24"/>
  <c r="C4714" i="24"/>
  <c r="C4715" i="24"/>
  <c r="C4716" i="24"/>
  <c r="C4717" i="24"/>
  <c r="C4718" i="24"/>
  <c r="C4719" i="24"/>
  <c r="C4720" i="24"/>
  <c r="C4721" i="24"/>
  <c r="C4722" i="24"/>
  <c r="C4723" i="24"/>
  <c r="C4724" i="24"/>
  <c r="C4725" i="24"/>
  <c r="C4726" i="24"/>
  <c r="C4727" i="24"/>
  <c r="C4728" i="24"/>
  <c r="C4729" i="24"/>
  <c r="C4730" i="24"/>
  <c r="C4731" i="24"/>
  <c r="C4732" i="24"/>
  <c r="C4733" i="24"/>
  <c r="C4734" i="24"/>
  <c r="C4735" i="24"/>
  <c r="C4736" i="24"/>
  <c r="C4737" i="24"/>
  <c r="C4738" i="24"/>
  <c r="C4739" i="24"/>
  <c r="C4740" i="24"/>
  <c r="C4741" i="24"/>
  <c r="C4742" i="24"/>
  <c r="C4743" i="24"/>
  <c r="C4744" i="24"/>
  <c r="C4745" i="24"/>
  <c r="C4746" i="24"/>
  <c r="C4747" i="24"/>
  <c r="C4748" i="24"/>
  <c r="C4749" i="24"/>
  <c r="C4750" i="24"/>
  <c r="C4751" i="24"/>
  <c r="C4752" i="24"/>
  <c r="C4753" i="24"/>
  <c r="C4754" i="24"/>
  <c r="C4755" i="24"/>
  <c r="C4756" i="24"/>
  <c r="C4757" i="24"/>
  <c r="C4758" i="24"/>
  <c r="C4759" i="24"/>
  <c r="C4760" i="24"/>
  <c r="C4761" i="24"/>
  <c r="C4762" i="24"/>
  <c r="C4763" i="24"/>
  <c r="C4764" i="24"/>
  <c r="C4765" i="24"/>
  <c r="C4766" i="24"/>
  <c r="C4767" i="24"/>
  <c r="C4768" i="24"/>
  <c r="C4769" i="24"/>
  <c r="C4770" i="24"/>
  <c r="C4771" i="24"/>
  <c r="C4772" i="24"/>
  <c r="C4773" i="24"/>
  <c r="C4774" i="24"/>
  <c r="C4775" i="24"/>
  <c r="C4776" i="24"/>
  <c r="C4777" i="24"/>
  <c r="C4778" i="24"/>
  <c r="C4779" i="24"/>
  <c r="C4780" i="24"/>
  <c r="C4781" i="24"/>
  <c r="C4782" i="24"/>
  <c r="C4783" i="24"/>
  <c r="C4784" i="24"/>
  <c r="C4785" i="24"/>
  <c r="C4786" i="24"/>
  <c r="C4787" i="24"/>
  <c r="C4788" i="24"/>
  <c r="C4789" i="24"/>
  <c r="C4790" i="24"/>
  <c r="C4791" i="24"/>
  <c r="C4792" i="24"/>
  <c r="C4793" i="24"/>
  <c r="C4794" i="24"/>
  <c r="C4795" i="24"/>
  <c r="C4796" i="24"/>
  <c r="C4797" i="24"/>
  <c r="C4798" i="24"/>
  <c r="C4799" i="24"/>
  <c r="C4800" i="24"/>
  <c r="C4801" i="24"/>
  <c r="C4802" i="24"/>
  <c r="C4803" i="24"/>
  <c r="C4804" i="24"/>
  <c r="C4805" i="24"/>
  <c r="C4806" i="24"/>
  <c r="C4807" i="24"/>
  <c r="C4808" i="24"/>
  <c r="C4809" i="24"/>
  <c r="C4810" i="24"/>
  <c r="C4811" i="24"/>
  <c r="C4812" i="24"/>
  <c r="C4813" i="24"/>
  <c r="C4814" i="24"/>
  <c r="C4815" i="24"/>
  <c r="C4816" i="24"/>
  <c r="C4817" i="24"/>
  <c r="C4818" i="24"/>
  <c r="C4819" i="24"/>
  <c r="C4820" i="24"/>
  <c r="C4821" i="24"/>
  <c r="C4822" i="24"/>
  <c r="C4823" i="24"/>
  <c r="C4824" i="24"/>
  <c r="C4825" i="24"/>
  <c r="C4826" i="24"/>
  <c r="C4827" i="24"/>
  <c r="C4828" i="24"/>
  <c r="C4829" i="24"/>
  <c r="C4830" i="24"/>
  <c r="C4831" i="24"/>
  <c r="C4832" i="24"/>
  <c r="C4833" i="24"/>
  <c r="C4834" i="24"/>
  <c r="C4835" i="24"/>
  <c r="C4836" i="24"/>
  <c r="C4837" i="24"/>
  <c r="C4838" i="24"/>
  <c r="C4839" i="24"/>
  <c r="C4840" i="24"/>
  <c r="C4841" i="24"/>
  <c r="C4842" i="24"/>
  <c r="C4843" i="24"/>
  <c r="C4844" i="24"/>
  <c r="C4845" i="24"/>
  <c r="C4846" i="24"/>
  <c r="C4847" i="24"/>
  <c r="C4848" i="24"/>
  <c r="C4849" i="24"/>
  <c r="C4850" i="24"/>
  <c r="C4851" i="24"/>
  <c r="C4852" i="24"/>
  <c r="C4853" i="24"/>
  <c r="C4854" i="24"/>
  <c r="C4855" i="24"/>
  <c r="C4856" i="24"/>
  <c r="C4857" i="24"/>
  <c r="C4858" i="24"/>
  <c r="C4859" i="24"/>
  <c r="C4860" i="24"/>
  <c r="C4861" i="24"/>
  <c r="C4862" i="24"/>
  <c r="C4863" i="24"/>
  <c r="C4864" i="24"/>
  <c r="C4865" i="24"/>
  <c r="C4866" i="24"/>
  <c r="C4867" i="24"/>
  <c r="C4868" i="24"/>
  <c r="C4869" i="24"/>
  <c r="C4870" i="24"/>
  <c r="C4871" i="24"/>
  <c r="C4872" i="24"/>
  <c r="C4873" i="24"/>
  <c r="C4874" i="24"/>
  <c r="C4875" i="24"/>
  <c r="C4876" i="24"/>
  <c r="C4877" i="24"/>
  <c r="C4878" i="24"/>
  <c r="C4879" i="24"/>
  <c r="C4880" i="24"/>
  <c r="C4881" i="24"/>
  <c r="C4882" i="24"/>
  <c r="C4883" i="24"/>
  <c r="C4884" i="24"/>
  <c r="C4885" i="24"/>
  <c r="C4886" i="24"/>
  <c r="C4887" i="24"/>
  <c r="C4888" i="24"/>
  <c r="C4889" i="24"/>
  <c r="C4890" i="24"/>
  <c r="C4891" i="24"/>
  <c r="C4892" i="24"/>
  <c r="C4893" i="24"/>
  <c r="C4894" i="24"/>
  <c r="C4895" i="24"/>
  <c r="C4896" i="24"/>
  <c r="C4897" i="24"/>
  <c r="C4898" i="24"/>
  <c r="C4899" i="24"/>
  <c r="C4900" i="24"/>
  <c r="C4901" i="24"/>
  <c r="C4902" i="24"/>
  <c r="C4903" i="24"/>
  <c r="C4904" i="24"/>
  <c r="C4905" i="24"/>
  <c r="C4906" i="24"/>
  <c r="C4907" i="24"/>
  <c r="C4908" i="24"/>
  <c r="C4909" i="24"/>
  <c r="C4910" i="24"/>
  <c r="C4911" i="24"/>
  <c r="C4912" i="24"/>
  <c r="C4913" i="24"/>
  <c r="C4914" i="24"/>
  <c r="C4915" i="24"/>
  <c r="C4916" i="24"/>
  <c r="C4917" i="24"/>
  <c r="C4918" i="24"/>
  <c r="C4919" i="24"/>
  <c r="C4920" i="24"/>
  <c r="C4921" i="24"/>
  <c r="C4922" i="24"/>
  <c r="C4923" i="24"/>
  <c r="C4924" i="24"/>
  <c r="C4925" i="24"/>
  <c r="C4926" i="24"/>
  <c r="C4927" i="24"/>
  <c r="C4928" i="24"/>
  <c r="C4929" i="24"/>
  <c r="C4930" i="24"/>
  <c r="C4931" i="24"/>
  <c r="C4932" i="24"/>
  <c r="C4933" i="24"/>
  <c r="C4934" i="24"/>
  <c r="C4935" i="24"/>
  <c r="C4936" i="24"/>
  <c r="C4937" i="24"/>
  <c r="C4938" i="24"/>
  <c r="C4939" i="24"/>
  <c r="C4940" i="24"/>
  <c r="C4941" i="24"/>
  <c r="C4942" i="24"/>
  <c r="C4943" i="24"/>
  <c r="C4944" i="24"/>
  <c r="C4945" i="24"/>
  <c r="C4946" i="24"/>
  <c r="C4947" i="24"/>
  <c r="C4948" i="24"/>
  <c r="C4949" i="24"/>
  <c r="C4950" i="24"/>
  <c r="C4951" i="24"/>
  <c r="C4952" i="24"/>
  <c r="C4953" i="24"/>
  <c r="C4954" i="24"/>
  <c r="C4955" i="24"/>
  <c r="C4956" i="24"/>
  <c r="C4957" i="24"/>
  <c r="C4958" i="24"/>
  <c r="C4959" i="24"/>
  <c r="C4960" i="24"/>
  <c r="C4961" i="24"/>
  <c r="C4962" i="24"/>
  <c r="C4963" i="24"/>
  <c r="C4964" i="24"/>
  <c r="C4965" i="24"/>
  <c r="C4966" i="24"/>
  <c r="C4967" i="24"/>
  <c r="C4968" i="24"/>
  <c r="C4969" i="24"/>
  <c r="C4970" i="24"/>
  <c r="C4971" i="24"/>
  <c r="C4972" i="24"/>
  <c r="C4973" i="24"/>
  <c r="C4974" i="24"/>
  <c r="C4975" i="24"/>
  <c r="C4976" i="24"/>
  <c r="C4977" i="24"/>
  <c r="C4978" i="24"/>
  <c r="C4979" i="24"/>
  <c r="C4980" i="24"/>
  <c r="C4981" i="24"/>
  <c r="C4982" i="24"/>
  <c r="C4983" i="24"/>
  <c r="C4984" i="24"/>
  <c r="C4985" i="24"/>
  <c r="C4986" i="24"/>
  <c r="C4987" i="24"/>
  <c r="C4988" i="24"/>
  <c r="C4989" i="24"/>
  <c r="C4990" i="24"/>
  <c r="C4991" i="24"/>
  <c r="C4992" i="24"/>
  <c r="C4993" i="24"/>
  <c r="C4994" i="24"/>
  <c r="C4995" i="24"/>
  <c r="C4996" i="24"/>
  <c r="C4997" i="24"/>
  <c r="C4998" i="24"/>
  <c r="C4999" i="24"/>
  <c r="C5000" i="24"/>
  <c r="C5001" i="24"/>
  <c r="C5002" i="24"/>
  <c r="C5003" i="24"/>
  <c r="C5004" i="24"/>
  <c r="C5005" i="24"/>
  <c r="C5006" i="24"/>
  <c r="C5007" i="24"/>
  <c r="C5008" i="24"/>
  <c r="C5009" i="24"/>
  <c r="C5010" i="24"/>
  <c r="C5011" i="24"/>
  <c r="C5012" i="24"/>
  <c r="C5013" i="24"/>
  <c r="C5014" i="24"/>
  <c r="C5015" i="24"/>
  <c r="C5016" i="24"/>
  <c r="C5017" i="24"/>
  <c r="C5018" i="24"/>
  <c r="C5019" i="24"/>
  <c r="C5020" i="24"/>
  <c r="C5021" i="24"/>
  <c r="C5022" i="24"/>
  <c r="C5023" i="24"/>
  <c r="C5024" i="24"/>
  <c r="C5025" i="24"/>
  <c r="C5026" i="24"/>
  <c r="C5027" i="24"/>
  <c r="C5028" i="24"/>
  <c r="C5029" i="24"/>
  <c r="C5030" i="24"/>
  <c r="C5031" i="24"/>
  <c r="C5032" i="24"/>
  <c r="C5033" i="24"/>
  <c r="C5034" i="24"/>
  <c r="C5035" i="24"/>
  <c r="C5036" i="24"/>
  <c r="C5037" i="24"/>
  <c r="C5038" i="24"/>
  <c r="C5039" i="24"/>
  <c r="C5040" i="24"/>
  <c r="C5041" i="24"/>
  <c r="C5042" i="24"/>
  <c r="C5043" i="24"/>
  <c r="C5044" i="24"/>
  <c r="C5045" i="24"/>
  <c r="C5046" i="24"/>
  <c r="C5047" i="24"/>
  <c r="C5048" i="24"/>
  <c r="C5049" i="24"/>
  <c r="C5050" i="24"/>
  <c r="C5051" i="24"/>
  <c r="C5052" i="24"/>
  <c r="C5053" i="24"/>
  <c r="C5054" i="24"/>
  <c r="C5055" i="24"/>
  <c r="C5056" i="24"/>
  <c r="C5057" i="24"/>
  <c r="C5058" i="24"/>
  <c r="C5059" i="24"/>
  <c r="C5060" i="24"/>
  <c r="C5061" i="24"/>
  <c r="C5062" i="24"/>
  <c r="C5063" i="24"/>
  <c r="C5064" i="24"/>
  <c r="C5065" i="24"/>
  <c r="C5066" i="24"/>
  <c r="C5067" i="24"/>
  <c r="C5068" i="24"/>
  <c r="C5069" i="24"/>
  <c r="C5070" i="24"/>
  <c r="C5071" i="24"/>
  <c r="C5072" i="24"/>
  <c r="C5073" i="24"/>
  <c r="C5074" i="24"/>
  <c r="C5075" i="24"/>
  <c r="C5076" i="24"/>
  <c r="C5077" i="24"/>
  <c r="C5078" i="24"/>
  <c r="C5079" i="24"/>
  <c r="C5080" i="24"/>
  <c r="C5081" i="24"/>
  <c r="C5082" i="24"/>
  <c r="C5083" i="24"/>
  <c r="C5084" i="24"/>
  <c r="C5085" i="24"/>
  <c r="C5086" i="24"/>
  <c r="C5087" i="24"/>
  <c r="C5088" i="24"/>
  <c r="C5089" i="24"/>
  <c r="C5090" i="24"/>
  <c r="C5091" i="24"/>
  <c r="C5092" i="24"/>
  <c r="C5093" i="24"/>
  <c r="C5094" i="24"/>
  <c r="C5095" i="24"/>
  <c r="C5096" i="24"/>
  <c r="C5097" i="24"/>
  <c r="C5098" i="24"/>
  <c r="C5099" i="24"/>
  <c r="C5100" i="24"/>
  <c r="C5101" i="24"/>
  <c r="C5102" i="24"/>
  <c r="C5103" i="24"/>
  <c r="C5104" i="24"/>
  <c r="C5105" i="24"/>
  <c r="C5106" i="24"/>
  <c r="C5107" i="24"/>
  <c r="C5108" i="24"/>
  <c r="C5109" i="24"/>
  <c r="C5110" i="24"/>
  <c r="C5111" i="24"/>
  <c r="C5112" i="24"/>
  <c r="C5113" i="24"/>
  <c r="C5114" i="24"/>
  <c r="C5115" i="24"/>
  <c r="C5116" i="24"/>
  <c r="C5117" i="24"/>
  <c r="C5118" i="24"/>
  <c r="C5119" i="24"/>
  <c r="C5120" i="24"/>
  <c r="C5121" i="24"/>
  <c r="C5122" i="24"/>
  <c r="C5123" i="24"/>
  <c r="C5124" i="24"/>
  <c r="C5125" i="24"/>
  <c r="C5126" i="24"/>
  <c r="C5127" i="24"/>
  <c r="C5128" i="24"/>
  <c r="C5129" i="24"/>
  <c r="C5130" i="24"/>
  <c r="C5131" i="24"/>
  <c r="C5132" i="24"/>
  <c r="C5133" i="24"/>
  <c r="C5134" i="24"/>
  <c r="C5135" i="24"/>
  <c r="C5136" i="24"/>
  <c r="C5137" i="24"/>
  <c r="C5138" i="24"/>
  <c r="C5139" i="24"/>
  <c r="C5140" i="24"/>
  <c r="C5141" i="24"/>
  <c r="C5142" i="24"/>
  <c r="C5143" i="24"/>
  <c r="C5144" i="24"/>
  <c r="C5145" i="24"/>
  <c r="C5146" i="24"/>
  <c r="C5147" i="24"/>
  <c r="C5148" i="24"/>
  <c r="C5149" i="24"/>
  <c r="C5150" i="24"/>
  <c r="C5151" i="24"/>
  <c r="C5152" i="24"/>
  <c r="C5153" i="24"/>
  <c r="C5154" i="24"/>
  <c r="C5155" i="24"/>
  <c r="C5156" i="24"/>
  <c r="C5157" i="24"/>
  <c r="C5158" i="24"/>
  <c r="C5159" i="24"/>
  <c r="C5160" i="24"/>
  <c r="C5161" i="24"/>
  <c r="C5162" i="24"/>
  <c r="C5163" i="24"/>
  <c r="C5164" i="24"/>
  <c r="C5165" i="24"/>
  <c r="C5166" i="24"/>
  <c r="C5167" i="24"/>
  <c r="C5168" i="24"/>
  <c r="C5169" i="24"/>
  <c r="C5170" i="24"/>
  <c r="C5171" i="24"/>
  <c r="C5172" i="24"/>
  <c r="C5173" i="24"/>
  <c r="C5174" i="24"/>
  <c r="C5175" i="24"/>
  <c r="C5176" i="24"/>
  <c r="C5177" i="24"/>
  <c r="C5178" i="24"/>
  <c r="C5179" i="24"/>
  <c r="C5180" i="24"/>
  <c r="C5181" i="24"/>
  <c r="C5182" i="24"/>
  <c r="C5183" i="24"/>
  <c r="C5184" i="24"/>
  <c r="C5185" i="24"/>
  <c r="C5186" i="24"/>
  <c r="C5187" i="24"/>
  <c r="C5188" i="24"/>
  <c r="C5189" i="24"/>
  <c r="C5190" i="24"/>
  <c r="C5191" i="24"/>
  <c r="C5192" i="24"/>
  <c r="C5193" i="24"/>
  <c r="C5194" i="24"/>
  <c r="C5195" i="24"/>
  <c r="C5196" i="24"/>
  <c r="C5197" i="24"/>
  <c r="C5198" i="24"/>
  <c r="C5199" i="24"/>
  <c r="C5200" i="24"/>
  <c r="C5201" i="24"/>
  <c r="C5202" i="24"/>
  <c r="C5203" i="24"/>
  <c r="C5204" i="24"/>
  <c r="C5205" i="24"/>
  <c r="C5206" i="24"/>
  <c r="C5207" i="24"/>
  <c r="C5208" i="24"/>
  <c r="C5209" i="24"/>
  <c r="C5210" i="24"/>
  <c r="C5211" i="24"/>
  <c r="C5212" i="24"/>
  <c r="C5213" i="24"/>
  <c r="C5214" i="24"/>
  <c r="C5215" i="24"/>
  <c r="C5216" i="24"/>
  <c r="C5217" i="24"/>
  <c r="C5218" i="24"/>
  <c r="C5219" i="24"/>
  <c r="C5220" i="24"/>
  <c r="C5221" i="24"/>
  <c r="C5222" i="24"/>
  <c r="C5223" i="24"/>
  <c r="C5224" i="24"/>
  <c r="C5225" i="24"/>
  <c r="C5226" i="24"/>
  <c r="C5227" i="24"/>
  <c r="C5228" i="24"/>
  <c r="C5229" i="24"/>
  <c r="C5230" i="24"/>
  <c r="C5231" i="24"/>
  <c r="C5232" i="24"/>
  <c r="C5233" i="24"/>
  <c r="C5234" i="24"/>
  <c r="C5235" i="24"/>
  <c r="C5236" i="24"/>
  <c r="C5237" i="24"/>
  <c r="C5238" i="24"/>
  <c r="C5239" i="24"/>
  <c r="C5240" i="24"/>
  <c r="C5241" i="24"/>
  <c r="C5242" i="24"/>
  <c r="C5243" i="24"/>
  <c r="C5244" i="24"/>
  <c r="C5245" i="24"/>
  <c r="C5246" i="24"/>
  <c r="C5247" i="24"/>
  <c r="C5248" i="24"/>
  <c r="C5249" i="24"/>
  <c r="C5250" i="24"/>
  <c r="C5251" i="24"/>
  <c r="C5252" i="24"/>
  <c r="C5253" i="24"/>
  <c r="C5254" i="24"/>
  <c r="C5255" i="24"/>
  <c r="C5256" i="24"/>
  <c r="C5257" i="24"/>
  <c r="C5258" i="24"/>
  <c r="C5259" i="24"/>
  <c r="C5260" i="24"/>
  <c r="C5261" i="24"/>
  <c r="C5262" i="24"/>
  <c r="C5263" i="24"/>
  <c r="C5264" i="24"/>
  <c r="C5265" i="24"/>
  <c r="C5266" i="24"/>
  <c r="C5267" i="24"/>
  <c r="C5268" i="24"/>
  <c r="C5269" i="24"/>
  <c r="C5270" i="24"/>
  <c r="C5271" i="24"/>
  <c r="C5272" i="24"/>
  <c r="C5273" i="24"/>
  <c r="C5274" i="24"/>
  <c r="C5275" i="24"/>
  <c r="C5276" i="24"/>
  <c r="C5277" i="24"/>
  <c r="C5278" i="24"/>
  <c r="C5279" i="24"/>
  <c r="C5280" i="24"/>
  <c r="C5281" i="24"/>
  <c r="C5282" i="24"/>
  <c r="C5283" i="24"/>
  <c r="C5284" i="24"/>
  <c r="C5285" i="24"/>
  <c r="C5286" i="24"/>
  <c r="C5287" i="24"/>
  <c r="C5288" i="24"/>
  <c r="C5289" i="24"/>
  <c r="C5290" i="24"/>
  <c r="C5291" i="24"/>
  <c r="C5292" i="24"/>
  <c r="C5293" i="24"/>
  <c r="C5294" i="24"/>
  <c r="C5295" i="24"/>
  <c r="C5296" i="24"/>
  <c r="C5297" i="24"/>
  <c r="C5298" i="24"/>
  <c r="C5299" i="24"/>
  <c r="C5300" i="24"/>
  <c r="C5301" i="24"/>
  <c r="C5302" i="24"/>
  <c r="C5303" i="24"/>
  <c r="C5304" i="24"/>
  <c r="C5305" i="24"/>
  <c r="C5306" i="24"/>
  <c r="C5307" i="24"/>
  <c r="C5308" i="24"/>
  <c r="C5309" i="24"/>
  <c r="C5310" i="24"/>
  <c r="C5311" i="24"/>
  <c r="C5312" i="24"/>
  <c r="C5313" i="24"/>
  <c r="C5314" i="24"/>
  <c r="C5315" i="24"/>
  <c r="C5316" i="24"/>
  <c r="C5317" i="24"/>
  <c r="C5318" i="24"/>
  <c r="C5319" i="24"/>
  <c r="C5320" i="24"/>
  <c r="C5321" i="24"/>
  <c r="C5322" i="24"/>
  <c r="C5323" i="24"/>
  <c r="C5324" i="24"/>
  <c r="C5325" i="24"/>
  <c r="C5326" i="24"/>
  <c r="C5327" i="24"/>
  <c r="C5328" i="24"/>
  <c r="C5329" i="24"/>
  <c r="C5330" i="24"/>
  <c r="C5331" i="24"/>
  <c r="C5332" i="24"/>
  <c r="C5333" i="24"/>
  <c r="C5334" i="24"/>
  <c r="C5335" i="24"/>
  <c r="C5336" i="24"/>
  <c r="C5337" i="24"/>
  <c r="C5338" i="24"/>
  <c r="C5339" i="24"/>
  <c r="C5340" i="24"/>
  <c r="C5341" i="24"/>
  <c r="C5342" i="24"/>
  <c r="C5343" i="24"/>
  <c r="C5344" i="24"/>
  <c r="C5345" i="24"/>
  <c r="C5346" i="24"/>
  <c r="C5347" i="24"/>
  <c r="C5348" i="24"/>
  <c r="C5349" i="24"/>
  <c r="C5350" i="24"/>
  <c r="C5351" i="24"/>
  <c r="C5352" i="24"/>
  <c r="C5353" i="24"/>
  <c r="C5354" i="24"/>
  <c r="C5355" i="24"/>
  <c r="C5356" i="24"/>
  <c r="C5357" i="24"/>
  <c r="C5358" i="24"/>
  <c r="C5359" i="24"/>
  <c r="C5360" i="24"/>
  <c r="C5361" i="24"/>
  <c r="C5362" i="24"/>
  <c r="C5363" i="24"/>
  <c r="C5364" i="24"/>
  <c r="C5365" i="24"/>
  <c r="C5366" i="24"/>
  <c r="C5367" i="24"/>
  <c r="C5368" i="24"/>
  <c r="C5369" i="24"/>
  <c r="C5370" i="24"/>
  <c r="C5371" i="24"/>
  <c r="C5372" i="24"/>
  <c r="C5373" i="24"/>
  <c r="C5374" i="24"/>
  <c r="C5375" i="24"/>
  <c r="C5376" i="24"/>
  <c r="C5377" i="24"/>
  <c r="C5378" i="24"/>
  <c r="C5379" i="24"/>
  <c r="C5380" i="24"/>
  <c r="C5381" i="24"/>
  <c r="C5382" i="24"/>
  <c r="C5383" i="24"/>
  <c r="C5384" i="24"/>
  <c r="C5385" i="24"/>
  <c r="C5386" i="24"/>
  <c r="C5387" i="24"/>
  <c r="C5388" i="24"/>
  <c r="C5389" i="24"/>
  <c r="C5390" i="24"/>
  <c r="C5391" i="24"/>
  <c r="C5392" i="24"/>
  <c r="C5393" i="24"/>
  <c r="C5394" i="24"/>
  <c r="C5395" i="24"/>
  <c r="C5396" i="24"/>
  <c r="C5397" i="24"/>
  <c r="C5398" i="24"/>
  <c r="C5399" i="24"/>
  <c r="C5400" i="24"/>
  <c r="C5401" i="24"/>
  <c r="C5402" i="24"/>
  <c r="C5403" i="24"/>
  <c r="C5404" i="24"/>
  <c r="C5405" i="24"/>
  <c r="C5406" i="24"/>
  <c r="C5407" i="24"/>
  <c r="C5408" i="24"/>
  <c r="C5409" i="24"/>
  <c r="C5410" i="24"/>
  <c r="C5411" i="24"/>
  <c r="C5412" i="24"/>
  <c r="C5413" i="24"/>
  <c r="C5414" i="24"/>
  <c r="C5415" i="24"/>
  <c r="C5416" i="24"/>
  <c r="C5417" i="24"/>
  <c r="C5418" i="24"/>
  <c r="C5419" i="24"/>
  <c r="C5420" i="24"/>
  <c r="C5421" i="24"/>
  <c r="C5422" i="24"/>
  <c r="C5423" i="24"/>
  <c r="C5424" i="24"/>
  <c r="C5425" i="24"/>
  <c r="C5426" i="24"/>
  <c r="C5427" i="24"/>
  <c r="C5428" i="24"/>
  <c r="C5429" i="24"/>
  <c r="C5430" i="24"/>
  <c r="C5431" i="24"/>
  <c r="C5432" i="24"/>
  <c r="C5433" i="24"/>
  <c r="C5434" i="24"/>
  <c r="C5435" i="24"/>
  <c r="C5436" i="24"/>
  <c r="C5437" i="24"/>
  <c r="C5438" i="24"/>
  <c r="C5439" i="24"/>
  <c r="C5440" i="24"/>
  <c r="C5441" i="24"/>
  <c r="C5442" i="24"/>
  <c r="C5443" i="24"/>
  <c r="C5444" i="24"/>
  <c r="C5445" i="24"/>
  <c r="C5446" i="24"/>
  <c r="C5447" i="24"/>
  <c r="C5448" i="24"/>
  <c r="C5449" i="24"/>
  <c r="C5450" i="24"/>
  <c r="C5451" i="24"/>
  <c r="C5452" i="24"/>
  <c r="C5453" i="24"/>
  <c r="C5454" i="24"/>
  <c r="C5455" i="24"/>
  <c r="C5456" i="24"/>
  <c r="C5457" i="24"/>
  <c r="C5458" i="24"/>
  <c r="C5459" i="24"/>
  <c r="C5460" i="24"/>
  <c r="C5461" i="24"/>
  <c r="C5462" i="24"/>
  <c r="C5463" i="24"/>
  <c r="C5464" i="24"/>
  <c r="C5465" i="24"/>
  <c r="C5466" i="24"/>
  <c r="C5467" i="24"/>
  <c r="C5468" i="24"/>
  <c r="C5469" i="24"/>
  <c r="C5470" i="24"/>
  <c r="C5471" i="24"/>
  <c r="C5472" i="24"/>
  <c r="C5473" i="24"/>
  <c r="C5474" i="24"/>
  <c r="C5475" i="24"/>
  <c r="C5476" i="24"/>
  <c r="C5477" i="24"/>
  <c r="C5478" i="24"/>
  <c r="C5479" i="24"/>
  <c r="C5480" i="24"/>
  <c r="C5481" i="24"/>
  <c r="C5482" i="24"/>
  <c r="C5483" i="24"/>
  <c r="C5484" i="24"/>
  <c r="C5485" i="24"/>
  <c r="C5486" i="24"/>
  <c r="C5487" i="24"/>
  <c r="C5488" i="24"/>
  <c r="C5489" i="24"/>
  <c r="C5490" i="24"/>
  <c r="C5491" i="24"/>
  <c r="C5492" i="24"/>
  <c r="C5493" i="24"/>
  <c r="C5494" i="24"/>
  <c r="C5495" i="24"/>
  <c r="C5496" i="24"/>
  <c r="C5497" i="24"/>
  <c r="C5498" i="24"/>
  <c r="C5499" i="24"/>
  <c r="C5500" i="24"/>
  <c r="C5501" i="24"/>
  <c r="C5502" i="24"/>
  <c r="C5503" i="24"/>
  <c r="C5504" i="24"/>
  <c r="C5505" i="24"/>
  <c r="C5506" i="24"/>
  <c r="C5507" i="24"/>
  <c r="C5508" i="24"/>
  <c r="C5509" i="24"/>
  <c r="C5510" i="24"/>
  <c r="C5511" i="24"/>
  <c r="C5512" i="24"/>
  <c r="C5513" i="24"/>
  <c r="C5514" i="24"/>
  <c r="C5515" i="24"/>
  <c r="C5516" i="24"/>
  <c r="C5517" i="24"/>
  <c r="C5518" i="24"/>
  <c r="C5519" i="24"/>
  <c r="C5520" i="24"/>
  <c r="C5521" i="24"/>
  <c r="C5522" i="24"/>
  <c r="C5523" i="24"/>
  <c r="C5524" i="24"/>
  <c r="C5525" i="24"/>
  <c r="C5526" i="24"/>
  <c r="C5527" i="24"/>
  <c r="C5528" i="24"/>
  <c r="C5529" i="24"/>
  <c r="C5530" i="24"/>
  <c r="C5531" i="24"/>
  <c r="C5532" i="24"/>
  <c r="C5533" i="24"/>
  <c r="C5534" i="24"/>
  <c r="C5535" i="24"/>
  <c r="C5536" i="24"/>
  <c r="C5537" i="24"/>
  <c r="C5538" i="24"/>
  <c r="C5539" i="24"/>
  <c r="C5540" i="24"/>
  <c r="C5541" i="24"/>
  <c r="C5542" i="24"/>
  <c r="C5543" i="24"/>
  <c r="C5544" i="24"/>
  <c r="C5545" i="24"/>
  <c r="C5546" i="24"/>
  <c r="C5547" i="24"/>
  <c r="C5548" i="24"/>
  <c r="C5549" i="24"/>
  <c r="C5550" i="24"/>
  <c r="C5551" i="24"/>
  <c r="C5552" i="24"/>
  <c r="C5553" i="24"/>
  <c r="C5554" i="24"/>
  <c r="C5555" i="24"/>
  <c r="C5556" i="24"/>
  <c r="C5557" i="24"/>
  <c r="C5558" i="24"/>
  <c r="C5559" i="24"/>
  <c r="C5560" i="24"/>
  <c r="C5561" i="24"/>
  <c r="C5562" i="24"/>
  <c r="C5563" i="24"/>
  <c r="C5564" i="24"/>
  <c r="C5565" i="24"/>
  <c r="C5566" i="24"/>
  <c r="C5567" i="24"/>
  <c r="C5568" i="24"/>
  <c r="C5569" i="24"/>
  <c r="C5570" i="24"/>
  <c r="C5571" i="24"/>
  <c r="C5572" i="24"/>
  <c r="C5573" i="24"/>
  <c r="C5574" i="24"/>
  <c r="C5575" i="24"/>
  <c r="C5576" i="24"/>
  <c r="C5577" i="24"/>
  <c r="C5578" i="24"/>
  <c r="C5579" i="24"/>
  <c r="C5580" i="24"/>
  <c r="C5581" i="24"/>
  <c r="C5582" i="24"/>
  <c r="C5583" i="24"/>
  <c r="C5584" i="24"/>
  <c r="C5585" i="24"/>
  <c r="C5586" i="24"/>
  <c r="C5587" i="24"/>
  <c r="C5588" i="24"/>
  <c r="C5589" i="24"/>
  <c r="C5590" i="24"/>
  <c r="C5591" i="24"/>
  <c r="C5592" i="24"/>
  <c r="C5593" i="24"/>
  <c r="C5594" i="24"/>
  <c r="C5595" i="24"/>
  <c r="C5596" i="24"/>
  <c r="C5597" i="24"/>
  <c r="C5598" i="24"/>
  <c r="C5599" i="24"/>
  <c r="C5600" i="24"/>
  <c r="C5601" i="24"/>
  <c r="C5602" i="24"/>
  <c r="C5603" i="24"/>
  <c r="C5604" i="24"/>
  <c r="C5605" i="24"/>
  <c r="C5606" i="24"/>
  <c r="C5607" i="24"/>
  <c r="C5608" i="24"/>
  <c r="C5609" i="24"/>
  <c r="C5610" i="24"/>
  <c r="C5611" i="24"/>
  <c r="C5612" i="24"/>
  <c r="C5613" i="24"/>
  <c r="C5614" i="24"/>
  <c r="C5615" i="24"/>
  <c r="C5616" i="24"/>
  <c r="C5617" i="24"/>
  <c r="C5618" i="24"/>
  <c r="C5619" i="24"/>
  <c r="C5620" i="24"/>
  <c r="C5621" i="24"/>
  <c r="C5622" i="24"/>
  <c r="C5623" i="24"/>
  <c r="C5624" i="24"/>
  <c r="C5625" i="24"/>
  <c r="C5626" i="24"/>
  <c r="C5627" i="24"/>
  <c r="C5628" i="24"/>
  <c r="C5629" i="24"/>
  <c r="C5630" i="24"/>
  <c r="C5631" i="24"/>
  <c r="C5632" i="24"/>
  <c r="C5633" i="24"/>
  <c r="C5634" i="24"/>
  <c r="C5635" i="24"/>
  <c r="C5636" i="24"/>
  <c r="C5637" i="24"/>
  <c r="C5638" i="24"/>
  <c r="C5639" i="24"/>
  <c r="C5640" i="24"/>
  <c r="C5641" i="24"/>
  <c r="C5642" i="24"/>
  <c r="C5643" i="24"/>
  <c r="C5644" i="24"/>
  <c r="C5645" i="24"/>
  <c r="C5646" i="24"/>
  <c r="C5647" i="24"/>
  <c r="C5648" i="24"/>
  <c r="C5649" i="24"/>
  <c r="C5650" i="24"/>
  <c r="C5651" i="24"/>
  <c r="C5652" i="24"/>
  <c r="C5653" i="24"/>
  <c r="C5654" i="24"/>
  <c r="C5655" i="24"/>
  <c r="C5656" i="24"/>
  <c r="C5657" i="24"/>
  <c r="C5658" i="24"/>
  <c r="C5659" i="24"/>
  <c r="C5660" i="24"/>
  <c r="C5661" i="24"/>
  <c r="C5662" i="24"/>
  <c r="C5663" i="24"/>
  <c r="C5664" i="24"/>
  <c r="C5665" i="24"/>
  <c r="C5666" i="24"/>
  <c r="C5667" i="24"/>
  <c r="C5668" i="24"/>
  <c r="C5669" i="24"/>
  <c r="C5670" i="24"/>
  <c r="C5671" i="24"/>
  <c r="C5672" i="24"/>
  <c r="C5673" i="24"/>
  <c r="C5674" i="24"/>
  <c r="C5675" i="24"/>
  <c r="C5676" i="24"/>
  <c r="C5677" i="24"/>
  <c r="C5678" i="24"/>
  <c r="C5679" i="24"/>
  <c r="C5680" i="24"/>
  <c r="C5681" i="24"/>
  <c r="C5682" i="24"/>
  <c r="C5683" i="24"/>
  <c r="C5684" i="24"/>
  <c r="C5685" i="24"/>
  <c r="C5686" i="24"/>
  <c r="C5687" i="24"/>
  <c r="C5688" i="24"/>
  <c r="C5689" i="24"/>
  <c r="C5690" i="24"/>
  <c r="C5691" i="24"/>
  <c r="C5692" i="24"/>
  <c r="C5693" i="24"/>
  <c r="C5694" i="24"/>
  <c r="C5695" i="24"/>
  <c r="C5696" i="24"/>
  <c r="C5697" i="24"/>
  <c r="C5698" i="24"/>
  <c r="C5699" i="24"/>
  <c r="C5700" i="24"/>
  <c r="C5701" i="24"/>
  <c r="C5702" i="24"/>
  <c r="C5703" i="24"/>
  <c r="C5704" i="24"/>
  <c r="C5705" i="24"/>
  <c r="C5706" i="24"/>
  <c r="C5707" i="24"/>
  <c r="C5708" i="24"/>
  <c r="C5709" i="24"/>
  <c r="C5710" i="24"/>
  <c r="C5711" i="24"/>
  <c r="C5712" i="24"/>
  <c r="C5713" i="24"/>
  <c r="C5714" i="24"/>
  <c r="C5715" i="24"/>
  <c r="C5716" i="24"/>
  <c r="C5717" i="24"/>
  <c r="C5718" i="24"/>
  <c r="C5719" i="24"/>
  <c r="C5720" i="24"/>
  <c r="C5721" i="24"/>
  <c r="C5722" i="24"/>
  <c r="C5723" i="24"/>
  <c r="C5724" i="24"/>
  <c r="A2" i="26"/>
  <c r="T152" i="40"/>
  <c r="U152" i="40"/>
  <c r="R47" i="40"/>
  <c r="T34" i="1"/>
  <c r="K167" i="25"/>
  <c r="L167" i="25" s="1"/>
  <c r="G167" i="25"/>
  <c r="C167" i="25"/>
  <c r="G178" i="26"/>
  <c r="C178" i="26"/>
  <c r="I178" i="26"/>
  <c r="J177" i="26"/>
  <c r="D170" i="35"/>
  <c r="M22" i="25"/>
  <c r="N22" i="25" s="1"/>
  <c r="L171" i="26"/>
  <c r="M171" i="26" s="1"/>
  <c r="L175" i="26"/>
  <c r="M175" i="26" s="1"/>
  <c r="H5" i="40"/>
  <c r="J178" i="26" l="1"/>
  <c r="L31" i="40"/>
  <c r="L32" i="40"/>
  <c r="L34" i="40"/>
  <c r="L35" i="40"/>
  <c r="L37" i="40"/>
  <c r="L38" i="40"/>
  <c r="L42" i="40"/>
  <c r="L43" i="40"/>
  <c r="L44" i="40"/>
  <c r="L47" i="40"/>
  <c r="L48" i="40"/>
  <c r="L50" i="40"/>
  <c r="L52" i="40"/>
  <c r="L54" i="40"/>
  <c r="L55" i="40"/>
  <c r="L65" i="40"/>
  <c r="L67" i="40"/>
  <c r="L68" i="40"/>
  <c r="L75" i="40"/>
  <c r="L78" i="40"/>
  <c r="L81" i="40"/>
  <c r="L82" i="40"/>
  <c r="L83" i="40"/>
  <c r="L88" i="40"/>
  <c r="L91" i="40"/>
  <c r="L137" i="40"/>
  <c r="L151" i="40"/>
  <c r="K16" i="40"/>
  <c r="K18" i="40"/>
  <c r="K20" i="40"/>
  <c r="K22" i="40"/>
  <c r="K24" i="40"/>
  <c r="K28" i="40"/>
  <c r="K73" i="40"/>
  <c r="K79" i="40"/>
  <c r="K90" i="40"/>
  <c r="K108" i="40"/>
  <c r="K116" i="40"/>
  <c r="K125" i="40"/>
  <c r="I6" i="40"/>
  <c r="I7" i="40"/>
  <c r="M137" i="25" s="1"/>
  <c r="N137" i="25" s="1"/>
  <c r="I8" i="40"/>
  <c r="M136" i="25" s="1"/>
  <c r="N136" i="25" s="1"/>
  <c r="I9" i="40"/>
  <c r="M14" i="25" s="1"/>
  <c r="N14" i="25" s="1"/>
  <c r="I10" i="40"/>
  <c r="M11" i="25" s="1"/>
  <c r="N11" i="25" s="1"/>
  <c r="I11" i="40"/>
  <c r="M12" i="25" s="1"/>
  <c r="N12" i="25" s="1"/>
  <c r="I12" i="40"/>
  <c r="M13" i="25" s="1"/>
  <c r="N13" i="25" s="1"/>
  <c r="I13" i="40"/>
  <c r="M128" i="25" s="1"/>
  <c r="N128" i="25" s="1"/>
  <c r="I14" i="40"/>
  <c r="M138" i="25" s="1"/>
  <c r="N138" i="25" s="1"/>
  <c r="I15" i="40"/>
  <c r="M15" i="25" s="1"/>
  <c r="N15" i="25" s="1"/>
  <c r="I16" i="40"/>
  <c r="I17" i="40"/>
  <c r="I18" i="40"/>
  <c r="I19" i="40"/>
  <c r="I20" i="40"/>
  <c r="I21" i="40"/>
  <c r="I22" i="40"/>
  <c r="I23" i="40"/>
  <c r="I24" i="40"/>
  <c r="I25" i="40"/>
  <c r="I26" i="40"/>
  <c r="I27" i="40"/>
  <c r="M18" i="25" s="1"/>
  <c r="N18" i="25" s="1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U47" i="40" s="1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M20" i="25" s="1"/>
  <c r="N20" i="25" s="1"/>
  <c r="I94" i="40"/>
  <c r="I95" i="40"/>
  <c r="M19" i="25" s="1"/>
  <c r="N19" i="25" s="1"/>
  <c r="I96" i="40"/>
  <c r="I97" i="40"/>
  <c r="M21" i="25" s="1"/>
  <c r="N21" i="25" s="1"/>
  <c r="I98" i="40"/>
  <c r="M135" i="25" s="1"/>
  <c r="N135" i="25" s="1"/>
  <c r="I99" i="40"/>
  <c r="M23" i="25" s="1"/>
  <c r="N23" i="25" s="1"/>
  <c r="I100" i="40"/>
  <c r="M24" i="25" s="1"/>
  <c r="N24" i="25" s="1"/>
  <c r="I101" i="40"/>
  <c r="M25" i="25" s="1"/>
  <c r="N25" i="25" s="1"/>
  <c r="I102" i="40"/>
  <c r="M26" i="25" s="1"/>
  <c r="N26" i="25" s="1"/>
  <c r="I103" i="40"/>
  <c r="I104" i="40"/>
  <c r="M16" i="25" s="1"/>
  <c r="N16" i="25" s="1"/>
  <c r="I105" i="40"/>
  <c r="M17" i="25" s="1"/>
  <c r="N17" i="25" s="1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I127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M27" i="25" s="1"/>
  <c r="N27" i="25" s="1"/>
  <c r="I146" i="40"/>
  <c r="I147" i="40"/>
  <c r="I148" i="40"/>
  <c r="M28" i="25" s="1"/>
  <c r="N28" i="25" s="1"/>
  <c r="I149" i="40"/>
  <c r="I150" i="40"/>
  <c r="I151" i="40"/>
  <c r="I5" i="40"/>
  <c r="H6" i="40"/>
  <c r="H7" i="40"/>
  <c r="L137" i="26" s="1"/>
  <c r="M137" i="26" s="1"/>
  <c r="H8" i="40"/>
  <c r="L136" i="26" s="1"/>
  <c r="M136" i="26" s="1"/>
  <c r="H9" i="40"/>
  <c r="L14" i="26" s="1"/>
  <c r="M14" i="26" s="1"/>
  <c r="H10" i="40"/>
  <c r="L11" i="26" s="1"/>
  <c r="M11" i="26" s="1"/>
  <c r="H11" i="40"/>
  <c r="L12" i="26" s="1"/>
  <c r="M12" i="26" s="1"/>
  <c r="H12" i="40"/>
  <c r="L13" i="26" s="1"/>
  <c r="M13" i="26" s="1"/>
  <c r="H13" i="40"/>
  <c r="L128" i="26" s="1"/>
  <c r="M128" i="26" s="1"/>
  <c r="H14" i="40"/>
  <c r="L138" i="26" s="1"/>
  <c r="M138" i="26" s="1"/>
  <c r="H15" i="40"/>
  <c r="L15" i="26" s="1"/>
  <c r="M15" i="26" s="1"/>
  <c r="H16" i="40"/>
  <c r="H17" i="40"/>
  <c r="H18" i="40"/>
  <c r="H19" i="40"/>
  <c r="H20" i="40"/>
  <c r="H21" i="40"/>
  <c r="H22" i="40"/>
  <c r="H23" i="40"/>
  <c r="H24" i="40"/>
  <c r="H25" i="40"/>
  <c r="H26" i="40"/>
  <c r="H27" i="40"/>
  <c r="L18" i="26" s="1"/>
  <c r="M18" i="26" s="1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L20" i="26" s="1"/>
  <c r="M20" i="26" s="1"/>
  <c r="H94" i="40"/>
  <c r="H95" i="40"/>
  <c r="L19" i="26" s="1"/>
  <c r="M19" i="26" s="1"/>
  <c r="H96" i="40"/>
  <c r="H97" i="40"/>
  <c r="L21" i="26" s="1"/>
  <c r="M21" i="26" s="1"/>
  <c r="H98" i="40"/>
  <c r="L135" i="26" s="1"/>
  <c r="M135" i="26" s="1"/>
  <c r="H99" i="40"/>
  <c r="L23" i="26" s="1"/>
  <c r="M23" i="26" s="1"/>
  <c r="H100" i="40"/>
  <c r="L24" i="26" s="1"/>
  <c r="M24" i="26" s="1"/>
  <c r="H101" i="40"/>
  <c r="L25" i="26" s="1"/>
  <c r="M25" i="26" s="1"/>
  <c r="H102" i="40"/>
  <c r="L26" i="26" s="1"/>
  <c r="M26" i="26" s="1"/>
  <c r="H103" i="40"/>
  <c r="H104" i="40"/>
  <c r="L16" i="26" s="1"/>
  <c r="M16" i="26" s="1"/>
  <c r="H105" i="40"/>
  <c r="L17" i="26" s="1"/>
  <c r="M17" i="26" s="1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22" i="40"/>
  <c r="H123" i="40"/>
  <c r="H124" i="40"/>
  <c r="H125" i="40"/>
  <c r="H126" i="40"/>
  <c r="H127" i="40"/>
  <c r="H128" i="40"/>
  <c r="H129" i="40"/>
  <c r="H130" i="40"/>
  <c r="H131" i="40"/>
  <c r="H132" i="40"/>
  <c r="H133" i="40"/>
  <c r="H134" i="40"/>
  <c r="H135" i="40"/>
  <c r="H136" i="40"/>
  <c r="H137" i="40"/>
  <c r="H138" i="40"/>
  <c r="H139" i="40"/>
  <c r="H140" i="40"/>
  <c r="H141" i="40"/>
  <c r="H142" i="40"/>
  <c r="H143" i="40"/>
  <c r="H144" i="40"/>
  <c r="H145" i="40"/>
  <c r="L27" i="26" s="1"/>
  <c r="M27" i="26" s="1"/>
  <c r="H146" i="40"/>
  <c r="H147" i="40"/>
  <c r="H148" i="40"/>
  <c r="L28" i="26" s="1"/>
  <c r="M28" i="26" s="1"/>
  <c r="H149" i="40"/>
  <c r="H150" i="40"/>
  <c r="H151" i="40"/>
  <c r="K2274" i="38"/>
  <c r="K2273" i="38"/>
  <c r="K2272" i="38"/>
  <c r="K2271" i="38"/>
  <c r="K2270" i="38"/>
  <c r="K2269" i="38"/>
  <c r="K2268" i="38"/>
  <c r="K2267" i="38"/>
  <c r="K2266" i="38"/>
  <c r="K2265" i="38"/>
  <c r="K2264" i="38"/>
  <c r="K2263" i="38"/>
  <c r="K2262" i="38"/>
  <c r="K2261" i="38"/>
  <c r="K2260" i="38"/>
  <c r="K2259" i="38"/>
  <c r="K2258" i="38"/>
  <c r="K2257" i="38"/>
  <c r="K2256" i="38"/>
  <c r="K2255" i="38"/>
  <c r="K2254" i="38"/>
  <c r="K2253" i="38"/>
  <c r="K2252" i="38"/>
  <c r="K2251" i="38"/>
  <c r="K2250" i="38"/>
  <c r="K2249" i="38"/>
  <c r="K2248" i="38"/>
  <c r="K2247" i="38"/>
  <c r="K2246" i="38"/>
  <c r="K2245" i="38"/>
  <c r="K2244" i="38"/>
  <c r="K2243" i="38"/>
  <c r="K2242" i="38"/>
  <c r="K2241" i="38"/>
  <c r="K2240" i="38"/>
  <c r="K2239" i="38"/>
  <c r="K2238" i="38"/>
  <c r="K2237" i="38"/>
  <c r="K2236" i="38"/>
  <c r="K2235" i="38"/>
  <c r="K2234" i="38"/>
  <c r="K2233" i="38"/>
  <c r="K2232" i="38"/>
  <c r="K2231" i="38"/>
  <c r="K2230" i="38"/>
  <c r="K2229" i="38"/>
  <c r="K2228" i="38"/>
  <c r="K2227" i="38"/>
  <c r="K2226" i="38"/>
  <c r="K2225" i="38"/>
  <c r="K2224" i="38"/>
  <c r="K2223" i="38"/>
  <c r="K2222" i="38"/>
  <c r="K2221" i="38"/>
  <c r="K2220" i="38"/>
  <c r="K2219" i="38"/>
  <c r="K2218" i="38"/>
  <c r="K2217" i="38"/>
  <c r="K2216" i="38"/>
  <c r="K2215" i="38"/>
  <c r="K2214" i="38"/>
  <c r="K2213" i="38"/>
  <c r="K2212" i="38"/>
  <c r="K2211" i="38"/>
  <c r="K2210" i="38"/>
  <c r="K2209" i="38"/>
  <c r="K2208" i="38"/>
  <c r="K2207" i="38"/>
  <c r="K2206" i="38"/>
  <c r="K2205" i="38"/>
  <c r="K2204" i="38"/>
  <c r="K2203" i="38"/>
  <c r="K2202" i="38"/>
  <c r="K2201" i="38"/>
  <c r="K2200" i="38"/>
  <c r="K2199" i="38"/>
  <c r="K2198" i="38"/>
  <c r="K2197" i="38"/>
  <c r="K2196" i="38"/>
  <c r="K2195" i="38"/>
  <c r="K2194" i="38"/>
  <c r="K2193" i="38"/>
  <c r="K2192" i="38"/>
  <c r="K2191" i="38"/>
  <c r="K2190" i="38"/>
  <c r="K2189" i="38"/>
  <c r="K2188" i="38"/>
  <c r="K2187" i="38"/>
  <c r="K2186" i="38"/>
  <c r="K2185" i="38"/>
  <c r="K2184" i="38"/>
  <c r="K2183" i="38"/>
  <c r="K2182" i="38"/>
  <c r="K2181" i="38"/>
  <c r="K2180" i="38"/>
  <c r="K2179" i="38"/>
  <c r="K2178" i="38"/>
  <c r="K2177" i="38"/>
  <c r="K2176" i="38"/>
  <c r="K2175" i="38"/>
  <c r="K2174" i="38"/>
  <c r="K2173" i="38"/>
  <c r="K2172" i="38"/>
  <c r="K2171" i="38"/>
  <c r="K2170" i="38"/>
  <c r="K2169" i="38"/>
  <c r="K2168" i="38"/>
  <c r="K2167" i="38"/>
  <c r="K2166" i="38"/>
  <c r="K2165" i="38"/>
  <c r="K2164" i="38"/>
  <c r="K2163" i="38"/>
  <c r="K2162" i="38"/>
  <c r="K2161" i="38"/>
  <c r="K2160" i="38"/>
  <c r="K2159" i="38"/>
  <c r="K2158" i="38"/>
  <c r="K2157" i="38"/>
  <c r="K2156" i="38"/>
  <c r="K2155" i="38"/>
  <c r="K2154" i="38"/>
  <c r="K2153" i="38"/>
  <c r="K2152" i="38"/>
  <c r="K2151" i="38"/>
  <c r="K2150" i="38"/>
  <c r="K2149" i="38"/>
  <c r="K2148" i="38"/>
  <c r="K2147" i="38"/>
  <c r="K2146" i="38"/>
  <c r="K2145" i="38"/>
  <c r="K2144" i="38"/>
  <c r="K2143" i="38"/>
  <c r="K2142" i="38"/>
  <c r="K2141" i="38"/>
  <c r="K2140" i="38"/>
  <c r="K2139" i="38"/>
  <c r="K2138" i="38"/>
  <c r="K2137" i="38"/>
  <c r="K2136" i="38"/>
  <c r="K2135" i="38"/>
  <c r="K2134" i="38"/>
  <c r="K2133" i="38"/>
  <c r="K2132" i="38"/>
  <c r="K2131" i="38"/>
  <c r="K2130" i="38"/>
  <c r="K2129" i="38"/>
  <c r="K2128" i="38"/>
  <c r="K2127" i="38"/>
  <c r="K2126" i="38"/>
  <c r="K2125" i="38"/>
  <c r="K2124" i="38"/>
  <c r="K2123" i="38"/>
  <c r="K2122" i="38"/>
  <c r="K2121" i="38"/>
  <c r="K2120" i="38"/>
  <c r="K2119" i="38"/>
  <c r="K2118" i="38"/>
  <c r="K2117" i="38"/>
  <c r="K2116" i="38"/>
  <c r="K2115" i="38"/>
  <c r="K2114" i="38"/>
  <c r="K2113" i="38"/>
  <c r="K2112" i="38"/>
  <c r="K2111" i="38"/>
  <c r="K2110" i="38"/>
  <c r="K2109" i="38"/>
  <c r="K2108" i="38"/>
  <c r="K2107" i="38"/>
  <c r="K2106" i="38"/>
  <c r="K2105" i="38"/>
  <c r="K2104" i="38"/>
  <c r="K2103" i="38"/>
  <c r="K2102" i="38"/>
  <c r="K2101" i="38"/>
  <c r="K2100" i="38"/>
  <c r="K2099" i="38"/>
  <c r="K2098" i="38"/>
  <c r="K2097" i="38"/>
  <c r="K2096" i="38"/>
  <c r="K2095" i="38"/>
  <c r="K2094" i="38"/>
  <c r="K2093" i="38"/>
  <c r="K2092" i="38"/>
  <c r="K2091" i="38"/>
  <c r="K2090" i="38"/>
  <c r="K2089" i="38"/>
  <c r="K2088" i="38"/>
  <c r="K2087" i="38"/>
  <c r="K2086" i="38"/>
  <c r="K2085" i="38"/>
  <c r="K2084" i="38"/>
  <c r="K2083" i="38"/>
  <c r="K2082" i="38"/>
  <c r="K2081" i="38"/>
  <c r="K2080" i="38"/>
  <c r="K2079" i="38"/>
  <c r="K2078" i="38"/>
  <c r="K2077" i="38"/>
  <c r="K2076" i="38"/>
  <c r="K2075" i="38"/>
  <c r="K2074" i="38"/>
  <c r="K2073" i="38"/>
  <c r="K2072" i="38"/>
  <c r="K2071" i="38"/>
  <c r="K2070" i="38"/>
  <c r="K2069" i="38"/>
  <c r="K2068" i="38"/>
  <c r="K2067" i="38"/>
  <c r="K2066" i="38"/>
  <c r="K2065" i="38"/>
  <c r="K2064" i="38"/>
  <c r="K2063" i="38"/>
  <c r="K2062" i="38"/>
  <c r="K2061" i="38"/>
  <c r="K2060" i="38"/>
  <c r="K2059" i="38"/>
  <c r="K2058" i="38"/>
  <c r="K2057" i="38"/>
  <c r="K2056" i="38"/>
  <c r="K2055" i="38"/>
  <c r="K2054" i="38"/>
  <c r="K2053" i="38"/>
  <c r="K2052" i="38"/>
  <c r="K2051" i="38"/>
  <c r="K2050" i="38"/>
  <c r="K2049" i="38"/>
  <c r="K2048" i="38"/>
  <c r="K2047" i="38"/>
  <c r="K2046" i="38"/>
  <c r="K2045" i="38"/>
  <c r="K2044" i="38"/>
  <c r="K2043" i="38"/>
  <c r="K2042" i="38"/>
  <c r="K2041" i="38"/>
  <c r="K2040" i="38"/>
  <c r="K2039" i="38"/>
  <c r="K2038" i="38"/>
  <c r="K2037" i="38"/>
  <c r="K2036" i="38"/>
  <c r="K2035" i="38"/>
  <c r="K2034" i="38"/>
  <c r="K2033" i="38"/>
  <c r="K2032" i="38"/>
  <c r="K2031" i="38"/>
  <c r="K2030" i="38"/>
  <c r="K2029" i="38"/>
  <c r="K2028" i="38"/>
  <c r="K2027" i="38"/>
  <c r="K2026" i="38"/>
  <c r="K2025" i="38"/>
  <c r="K2024" i="38"/>
  <c r="K2023" i="38"/>
  <c r="K2022" i="38"/>
  <c r="K2021" i="38"/>
  <c r="K2020" i="38"/>
  <c r="K2019" i="38"/>
  <c r="K2018" i="38"/>
  <c r="K2017" i="38"/>
  <c r="K2016" i="38"/>
  <c r="K2015" i="38"/>
  <c r="K2014" i="38"/>
  <c r="K2013" i="38"/>
  <c r="K2012" i="38"/>
  <c r="K2011" i="38"/>
  <c r="K2010" i="38"/>
  <c r="K2009" i="38"/>
  <c r="K2008" i="38"/>
  <c r="K2007" i="38"/>
  <c r="K2006" i="38"/>
  <c r="K2005" i="38"/>
  <c r="K2004" i="38"/>
  <c r="K2003" i="38"/>
  <c r="K2002" i="38"/>
  <c r="K2001" i="38"/>
  <c r="K2000" i="38"/>
  <c r="K1999" i="38"/>
  <c r="K1998" i="38"/>
  <c r="K1997" i="38"/>
  <c r="K1996" i="38"/>
  <c r="K1995" i="38"/>
  <c r="K1994" i="38"/>
  <c r="K1993" i="38"/>
  <c r="K1992" i="38"/>
  <c r="K1991" i="38"/>
  <c r="K1990" i="38"/>
  <c r="K1989" i="38"/>
  <c r="K1988" i="38"/>
  <c r="K1987" i="38"/>
  <c r="K1986" i="38"/>
  <c r="K1985" i="38"/>
  <c r="K1984" i="38"/>
  <c r="K1983" i="38"/>
  <c r="K1982" i="38"/>
  <c r="K1981" i="38"/>
  <c r="K1980" i="38"/>
  <c r="K1979" i="38"/>
  <c r="K1978" i="38"/>
  <c r="K1977" i="38"/>
  <c r="K1976" i="38"/>
  <c r="K1975" i="38"/>
  <c r="K1974" i="38"/>
  <c r="K1973" i="38"/>
  <c r="K1972" i="38"/>
  <c r="K1971" i="38"/>
  <c r="K1970" i="38"/>
  <c r="K1969" i="38"/>
  <c r="K1968" i="38"/>
  <c r="K1967" i="38"/>
  <c r="K1966" i="38"/>
  <c r="K1965" i="38"/>
  <c r="K1964" i="38"/>
  <c r="K1963" i="38"/>
  <c r="K1962" i="38"/>
  <c r="K1961" i="38"/>
  <c r="K1960" i="38"/>
  <c r="K1959" i="38"/>
  <c r="K1958" i="38"/>
  <c r="K1957" i="38"/>
  <c r="K1956" i="38"/>
  <c r="K1955" i="38"/>
  <c r="K1954" i="38"/>
  <c r="K1953" i="38"/>
  <c r="K1952" i="38"/>
  <c r="K1951" i="38"/>
  <c r="K1950" i="38"/>
  <c r="K1949" i="38"/>
  <c r="K1948" i="38"/>
  <c r="K1947" i="38"/>
  <c r="K1946" i="38"/>
  <c r="K1945" i="38"/>
  <c r="K1944" i="38"/>
  <c r="K1943" i="38"/>
  <c r="K1942" i="38"/>
  <c r="K1941" i="38"/>
  <c r="K1940" i="38"/>
  <c r="K1939" i="38"/>
  <c r="K1938" i="38"/>
  <c r="K1937" i="38"/>
  <c r="K1936" i="38"/>
  <c r="K1935" i="38"/>
  <c r="K1934" i="38"/>
  <c r="K1933" i="38"/>
  <c r="K1932" i="38"/>
  <c r="K1931" i="38"/>
  <c r="K1930" i="38"/>
  <c r="K1929" i="38"/>
  <c r="K1928" i="38"/>
  <c r="K1927" i="38"/>
  <c r="K1926" i="38"/>
  <c r="K1925" i="38"/>
  <c r="K1924" i="38"/>
  <c r="K1923" i="38"/>
  <c r="K1922" i="38"/>
  <c r="K1921" i="38"/>
  <c r="K1920" i="38"/>
  <c r="K1919" i="38"/>
  <c r="K1918" i="38"/>
  <c r="K1917" i="38"/>
  <c r="K1916" i="38"/>
  <c r="K1915" i="38"/>
  <c r="K1914" i="38"/>
  <c r="K1913" i="38"/>
  <c r="K1912" i="38"/>
  <c r="K1911" i="38"/>
  <c r="K1910" i="38"/>
  <c r="K1909" i="38"/>
  <c r="K1908" i="38"/>
  <c r="K1907" i="38"/>
  <c r="K1906" i="38"/>
  <c r="K1905" i="38"/>
  <c r="K1904" i="38"/>
  <c r="K1903" i="38"/>
  <c r="K1902" i="38"/>
  <c r="K1901" i="38"/>
  <c r="K1900" i="38"/>
  <c r="K1899" i="38"/>
  <c r="K1898" i="38"/>
  <c r="K1897" i="38"/>
  <c r="K1896" i="38"/>
  <c r="K1895" i="38"/>
  <c r="K1894" i="38"/>
  <c r="K1893" i="38"/>
  <c r="K1892" i="38"/>
  <c r="K1891" i="38"/>
  <c r="K1890" i="38"/>
  <c r="K1889" i="38"/>
  <c r="K1888" i="38"/>
  <c r="K1887" i="38"/>
  <c r="K1886" i="38"/>
  <c r="K1885" i="38"/>
  <c r="K1884" i="38"/>
  <c r="K1883" i="38"/>
  <c r="K1882" i="38"/>
  <c r="K1881" i="38"/>
  <c r="K1880" i="38"/>
  <c r="K1879" i="38"/>
  <c r="K1878" i="38"/>
  <c r="K1877" i="38"/>
  <c r="K1876" i="38"/>
  <c r="K1875" i="38"/>
  <c r="K1874" i="38"/>
  <c r="K1873" i="38"/>
  <c r="K1872" i="38"/>
  <c r="K1871" i="38"/>
  <c r="K1870" i="38"/>
  <c r="K1869" i="38"/>
  <c r="K1868" i="38"/>
  <c r="K1867" i="38"/>
  <c r="K1866" i="38"/>
  <c r="K1865" i="38"/>
  <c r="K1864" i="38"/>
  <c r="K1863" i="38"/>
  <c r="K1862" i="38"/>
  <c r="K1861" i="38"/>
  <c r="K1860" i="38"/>
  <c r="K1859" i="38"/>
  <c r="K1858" i="38"/>
  <c r="K1857" i="38"/>
  <c r="K1856" i="38"/>
  <c r="K1855" i="38"/>
  <c r="K1854" i="38"/>
  <c r="K1853" i="38"/>
  <c r="K1852" i="38"/>
  <c r="K1851" i="38"/>
  <c r="K1850" i="38"/>
  <c r="K1849" i="38"/>
  <c r="K1848" i="38"/>
  <c r="K1847" i="38"/>
  <c r="K1846" i="38"/>
  <c r="K1845" i="38"/>
  <c r="K1844" i="38"/>
  <c r="K1843" i="38"/>
  <c r="K1842" i="38"/>
  <c r="K1841" i="38"/>
  <c r="K1840" i="38"/>
  <c r="K1839" i="38"/>
  <c r="K1838" i="38"/>
  <c r="K1837" i="38"/>
  <c r="K1836" i="38"/>
  <c r="K1835" i="38"/>
  <c r="K1834" i="38"/>
  <c r="K1833" i="38"/>
  <c r="K1832" i="38"/>
  <c r="K1831" i="38"/>
  <c r="K1830" i="38"/>
  <c r="K1829" i="38"/>
  <c r="K1828" i="38"/>
  <c r="K1827" i="38"/>
  <c r="K1826" i="38"/>
  <c r="K1825" i="38"/>
  <c r="K1824" i="38"/>
  <c r="K1823" i="38"/>
  <c r="K1822" i="38"/>
  <c r="K1821" i="38"/>
  <c r="K1820" i="38"/>
  <c r="K1819" i="38"/>
  <c r="K1818" i="38"/>
  <c r="K1817" i="38"/>
  <c r="K1816" i="38"/>
  <c r="K1815" i="38"/>
  <c r="K1814" i="38"/>
  <c r="K1813" i="38"/>
  <c r="K1812" i="38"/>
  <c r="K1811" i="38"/>
  <c r="K1810" i="38"/>
  <c r="K1809" i="38"/>
  <c r="K1808" i="38"/>
  <c r="K1807" i="38"/>
  <c r="K1806" i="38"/>
  <c r="K1805" i="38"/>
  <c r="K1804" i="38"/>
  <c r="K1803" i="38"/>
  <c r="K1802" i="38"/>
  <c r="K1801" i="38"/>
  <c r="K1800" i="38"/>
  <c r="K1799" i="38"/>
  <c r="K1798" i="38"/>
  <c r="K1797" i="38"/>
  <c r="K1796" i="38"/>
  <c r="K1795" i="38"/>
  <c r="K1794" i="38"/>
  <c r="K1793" i="38"/>
  <c r="K1792" i="38"/>
  <c r="K1791" i="38"/>
  <c r="K1790" i="38"/>
  <c r="K1789" i="38"/>
  <c r="K1788" i="38"/>
  <c r="K1787" i="38"/>
  <c r="K1786" i="38"/>
  <c r="K1785" i="38"/>
  <c r="K1784" i="38"/>
  <c r="K1783" i="38"/>
  <c r="K1782" i="38"/>
  <c r="K1781" i="38"/>
  <c r="K1780" i="38"/>
  <c r="K1779" i="38"/>
  <c r="K1778" i="38"/>
  <c r="K1777" i="38"/>
  <c r="K1776" i="38"/>
  <c r="K1775" i="38"/>
  <c r="K1774" i="38"/>
  <c r="K1773" i="38"/>
  <c r="K1772" i="38"/>
  <c r="K1771" i="38"/>
  <c r="K1770" i="38"/>
  <c r="K1769" i="38"/>
  <c r="K1768" i="38"/>
  <c r="K1767" i="38"/>
  <c r="K1766" i="38"/>
  <c r="K1765" i="38"/>
  <c r="K1764" i="38"/>
  <c r="K1763" i="38"/>
  <c r="K1762" i="38"/>
  <c r="K1761" i="38"/>
  <c r="K1760" i="38"/>
  <c r="K1759" i="38"/>
  <c r="K1758" i="38"/>
  <c r="K1757" i="38"/>
  <c r="K1756" i="38"/>
  <c r="K1755" i="38"/>
  <c r="K1754" i="38"/>
  <c r="K1753" i="38"/>
  <c r="K1752" i="38"/>
  <c r="K1751" i="38"/>
  <c r="K1750" i="38"/>
  <c r="K1749" i="38"/>
  <c r="K1748" i="38"/>
  <c r="K1747" i="38"/>
  <c r="K1746" i="38"/>
  <c r="K1745" i="38"/>
  <c r="K1744" i="38"/>
  <c r="K1743" i="38"/>
  <c r="K1742" i="38"/>
  <c r="K1741" i="38"/>
  <c r="K1740" i="38"/>
  <c r="K1739" i="38"/>
  <c r="K1738" i="38"/>
  <c r="K1737" i="38"/>
  <c r="K1736" i="38"/>
  <c r="K1735" i="38"/>
  <c r="K1734" i="38"/>
  <c r="K1733" i="38"/>
  <c r="K1732" i="38"/>
  <c r="K1731" i="38"/>
  <c r="K1730" i="38"/>
  <c r="K1729" i="38"/>
  <c r="K1728" i="38"/>
  <c r="K1727" i="38"/>
  <c r="K1726" i="38"/>
  <c r="K1725" i="38"/>
  <c r="K1724" i="38"/>
  <c r="K1723" i="38"/>
  <c r="K1722" i="38"/>
  <c r="K1721" i="38"/>
  <c r="K1720" i="38"/>
  <c r="K1719" i="38"/>
  <c r="K1718" i="38"/>
  <c r="K1717" i="38"/>
  <c r="K1716" i="38"/>
  <c r="K1715" i="38"/>
  <c r="K1714" i="38"/>
  <c r="K1713" i="38"/>
  <c r="K1712" i="38"/>
  <c r="K1711" i="38"/>
  <c r="K1710" i="38"/>
  <c r="K1709" i="38"/>
  <c r="K1708" i="38"/>
  <c r="K1707" i="38"/>
  <c r="K1706" i="38"/>
  <c r="K1705" i="38"/>
  <c r="K1704" i="38"/>
  <c r="K1703" i="38"/>
  <c r="K1702" i="38"/>
  <c r="K1701" i="38"/>
  <c r="K1700" i="38"/>
  <c r="K1699" i="38"/>
  <c r="K1698" i="38"/>
  <c r="K1697" i="38"/>
  <c r="K1696" i="38"/>
  <c r="K1695" i="38"/>
  <c r="K1694" i="38"/>
  <c r="K1693" i="38"/>
  <c r="K1692" i="38"/>
  <c r="K1691" i="38"/>
  <c r="K1690" i="38"/>
  <c r="K1689" i="38"/>
  <c r="K1688" i="38"/>
  <c r="K1687" i="38"/>
  <c r="K1686" i="38"/>
  <c r="K1685" i="38"/>
  <c r="K1684" i="38"/>
  <c r="K1683" i="38"/>
  <c r="K1682" i="38"/>
  <c r="K1681" i="38"/>
  <c r="K1680" i="38"/>
  <c r="K1679" i="38"/>
  <c r="K1678" i="38"/>
  <c r="K1677" i="38"/>
  <c r="K1676" i="38"/>
  <c r="K1675" i="38"/>
  <c r="K1674" i="38"/>
  <c r="K1673" i="38"/>
  <c r="K1672" i="38"/>
  <c r="K1671" i="38"/>
  <c r="K1670" i="38"/>
  <c r="K1669" i="38"/>
  <c r="K1668" i="38"/>
  <c r="K1667" i="38"/>
  <c r="K1666" i="38"/>
  <c r="K1665" i="38"/>
  <c r="K1664" i="38"/>
  <c r="K1663" i="38"/>
  <c r="K1662" i="38"/>
  <c r="K1661" i="38"/>
  <c r="K1660" i="38"/>
  <c r="K1659" i="38"/>
  <c r="K1658" i="38"/>
  <c r="K1657" i="38"/>
  <c r="K1656" i="38"/>
  <c r="K1655" i="38"/>
  <c r="K1654" i="38"/>
  <c r="K1653" i="38"/>
  <c r="K1652" i="38"/>
  <c r="K1651" i="38"/>
  <c r="K1650" i="38"/>
  <c r="K1649" i="38"/>
  <c r="K1648" i="38"/>
  <c r="K1647" i="38"/>
  <c r="K1646" i="38"/>
  <c r="K1645" i="38"/>
  <c r="K1644" i="38"/>
  <c r="K1643" i="38"/>
  <c r="K1642" i="38"/>
  <c r="K1641" i="38"/>
  <c r="K1640" i="38"/>
  <c r="K1639" i="38"/>
  <c r="K1638" i="38"/>
  <c r="K1637" i="38"/>
  <c r="K1636" i="38"/>
  <c r="K1635" i="38"/>
  <c r="K1634" i="38"/>
  <c r="K1633" i="38"/>
  <c r="K1632" i="38"/>
  <c r="K1631" i="38"/>
  <c r="K1630" i="38"/>
  <c r="K1629" i="38"/>
  <c r="K1628" i="38"/>
  <c r="K1627" i="38"/>
  <c r="K1626" i="38"/>
  <c r="K1625" i="38"/>
  <c r="K1624" i="38"/>
  <c r="K1623" i="38"/>
  <c r="K1622" i="38"/>
  <c r="K1621" i="38"/>
  <c r="K1620" i="38"/>
  <c r="K1619" i="38"/>
  <c r="K1618" i="38"/>
  <c r="K1617" i="38"/>
  <c r="K1616" i="38"/>
  <c r="K1615" i="38"/>
  <c r="K1614" i="38"/>
  <c r="K1613" i="38"/>
  <c r="K1612" i="38"/>
  <c r="K1611" i="38"/>
  <c r="K1610" i="38"/>
  <c r="K1609" i="38"/>
  <c r="K1608" i="38"/>
  <c r="K1607" i="38"/>
  <c r="K1606" i="38"/>
  <c r="K1605" i="38"/>
  <c r="K1604" i="38"/>
  <c r="K1603" i="38"/>
  <c r="K1602" i="38"/>
  <c r="K1601" i="38"/>
  <c r="K1600" i="38"/>
  <c r="K1599" i="38"/>
  <c r="K1598" i="38"/>
  <c r="K1597" i="38"/>
  <c r="K1596" i="38"/>
  <c r="K1595" i="38"/>
  <c r="K1594" i="38"/>
  <c r="K1593" i="38"/>
  <c r="K1592" i="38"/>
  <c r="K1591" i="38"/>
  <c r="K1590" i="38"/>
  <c r="K1589" i="38"/>
  <c r="K1588" i="38"/>
  <c r="K1587" i="38"/>
  <c r="K1586" i="38"/>
  <c r="K1585" i="38"/>
  <c r="K1584" i="38"/>
  <c r="K1583" i="38"/>
  <c r="K1582" i="38"/>
  <c r="K1581" i="38"/>
  <c r="K1580" i="38"/>
  <c r="K1579" i="38"/>
  <c r="K1578" i="38"/>
  <c r="K1577" i="38"/>
  <c r="K1576" i="38"/>
  <c r="K1575" i="38"/>
  <c r="K1574" i="38"/>
  <c r="K1573" i="38"/>
  <c r="K1572" i="38"/>
  <c r="K1571" i="38"/>
  <c r="K1570" i="38"/>
  <c r="K1569" i="38"/>
  <c r="K1568" i="38"/>
  <c r="K1567" i="38"/>
  <c r="K1566" i="38"/>
  <c r="K1565" i="38"/>
  <c r="K1564" i="38"/>
  <c r="K1563" i="38"/>
  <c r="K1562" i="38"/>
  <c r="K1561" i="38"/>
  <c r="K1560" i="38"/>
  <c r="K1559" i="38"/>
  <c r="K1558" i="38"/>
  <c r="K1557" i="38"/>
  <c r="K1556" i="38"/>
  <c r="K1555" i="38"/>
  <c r="K1554" i="38"/>
  <c r="K1553" i="38"/>
  <c r="K1552" i="38"/>
  <c r="K1551" i="38"/>
  <c r="K1550" i="38"/>
  <c r="K1549" i="38"/>
  <c r="K1548" i="38"/>
  <c r="K1547" i="38"/>
  <c r="K1546" i="38"/>
  <c r="K1545" i="38"/>
  <c r="K1544" i="38"/>
  <c r="K1543" i="38"/>
  <c r="K1542" i="38"/>
  <c r="K1541" i="38"/>
  <c r="K1540" i="38"/>
  <c r="K1539" i="38"/>
  <c r="K1538" i="38"/>
  <c r="K1537" i="38"/>
  <c r="K1536" i="38"/>
  <c r="K1535" i="38"/>
  <c r="K1534" i="38"/>
  <c r="K1533" i="38"/>
  <c r="K1532" i="38"/>
  <c r="K1531" i="38"/>
  <c r="K1530" i="38"/>
  <c r="K1529" i="38"/>
  <c r="K1528" i="38"/>
  <c r="K1527" i="38"/>
  <c r="K1526" i="38"/>
  <c r="K1525" i="38"/>
  <c r="K1524" i="38"/>
  <c r="K1523" i="38"/>
  <c r="K1522" i="38"/>
  <c r="K1521" i="38"/>
  <c r="K1520" i="38"/>
  <c r="K1519" i="38"/>
  <c r="K1518" i="38"/>
  <c r="K1517" i="38"/>
  <c r="K1516" i="38"/>
  <c r="K1515" i="38"/>
  <c r="K1514" i="38"/>
  <c r="K1513" i="38"/>
  <c r="K1512" i="38"/>
  <c r="K1511" i="38"/>
  <c r="K1510" i="38"/>
  <c r="K1509" i="38"/>
  <c r="K1508" i="38"/>
  <c r="K1507" i="38"/>
  <c r="K1506" i="38"/>
  <c r="K1505" i="38"/>
  <c r="K1504" i="38"/>
  <c r="K1503" i="38"/>
  <c r="K1502" i="38"/>
  <c r="K1501" i="38"/>
  <c r="K1500" i="38"/>
  <c r="K1499" i="38"/>
  <c r="K1498" i="38"/>
  <c r="K1497" i="38"/>
  <c r="K1496" i="38"/>
  <c r="K1495" i="38"/>
  <c r="K1494" i="38"/>
  <c r="K1493" i="38"/>
  <c r="K1492" i="38"/>
  <c r="K1491" i="38"/>
  <c r="K1490" i="38"/>
  <c r="K1489" i="38"/>
  <c r="K1488" i="38"/>
  <c r="K1487" i="38"/>
  <c r="K1486" i="38"/>
  <c r="K1485" i="38"/>
  <c r="K1484" i="38"/>
  <c r="K1483" i="38"/>
  <c r="K1482" i="38"/>
  <c r="K1481" i="38"/>
  <c r="K1480" i="38"/>
  <c r="K1479" i="38"/>
  <c r="K1478" i="38"/>
  <c r="K1477" i="38"/>
  <c r="K1476" i="38"/>
  <c r="K1475" i="38"/>
  <c r="K1474" i="38"/>
  <c r="K1473" i="38"/>
  <c r="K1472" i="38"/>
  <c r="K1471" i="38"/>
  <c r="K1470" i="38"/>
  <c r="K1469" i="38"/>
  <c r="K1468" i="38"/>
  <c r="K1467" i="38"/>
  <c r="K1466" i="38"/>
  <c r="K1465" i="38"/>
  <c r="K1464" i="38"/>
  <c r="K1463" i="38"/>
  <c r="K1462" i="38"/>
  <c r="K1461" i="38"/>
  <c r="K1460" i="38"/>
  <c r="K1459" i="38"/>
  <c r="K1458" i="38"/>
  <c r="K1457" i="38"/>
  <c r="K1456" i="38"/>
  <c r="K1455" i="38"/>
  <c r="K1454" i="38"/>
  <c r="K1453" i="38"/>
  <c r="K1452" i="38"/>
  <c r="K1451" i="38"/>
  <c r="K1450" i="38"/>
  <c r="K1449" i="38"/>
  <c r="K1448" i="38"/>
  <c r="K1447" i="38"/>
  <c r="K1446" i="38"/>
  <c r="K1445" i="38"/>
  <c r="K1444" i="38"/>
  <c r="K1443" i="38"/>
  <c r="K1442" i="38"/>
  <c r="K1441" i="38"/>
  <c r="K1440" i="38"/>
  <c r="K1439" i="38"/>
  <c r="K1438" i="38"/>
  <c r="K1437" i="38"/>
  <c r="K1436" i="38"/>
  <c r="K1435" i="38"/>
  <c r="K1434" i="38"/>
  <c r="K1433" i="38"/>
  <c r="K1432" i="38"/>
  <c r="K1431" i="38"/>
  <c r="K1430" i="38"/>
  <c r="K1429" i="38"/>
  <c r="K1428" i="38"/>
  <c r="K1427" i="38"/>
  <c r="K1426" i="38"/>
  <c r="K1425" i="38"/>
  <c r="K1424" i="38"/>
  <c r="K1423" i="38"/>
  <c r="K1422" i="38"/>
  <c r="K1421" i="38"/>
  <c r="K1420" i="38"/>
  <c r="K1419" i="38"/>
  <c r="K1418" i="38"/>
  <c r="K1417" i="38"/>
  <c r="K1416" i="38"/>
  <c r="K1415" i="38"/>
  <c r="K1414" i="38"/>
  <c r="K1413" i="38"/>
  <c r="K1412" i="38"/>
  <c r="K1411" i="38"/>
  <c r="K1410" i="38"/>
  <c r="K1409" i="38"/>
  <c r="K1408" i="38"/>
  <c r="K1407" i="38"/>
  <c r="K1406" i="38"/>
  <c r="K1405" i="38"/>
  <c r="K1404" i="38"/>
  <c r="K1403" i="38"/>
  <c r="K1402" i="38"/>
  <c r="K1401" i="38"/>
  <c r="K1400" i="38"/>
  <c r="K1399" i="38"/>
  <c r="K1398" i="38"/>
  <c r="K1397" i="38"/>
  <c r="K1396" i="38"/>
  <c r="K1395" i="38"/>
  <c r="K1394" i="38"/>
  <c r="K1393" i="38"/>
  <c r="K1392" i="38"/>
  <c r="K1391" i="38"/>
  <c r="K1390" i="38"/>
  <c r="K1389" i="38"/>
  <c r="K1388" i="38"/>
  <c r="K1387" i="38"/>
  <c r="K1386" i="38"/>
  <c r="K1385" i="38"/>
  <c r="K1384" i="38"/>
  <c r="K1383" i="38"/>
  <c r="K1382" i="38"/>
  <c r="K1381" i="38"/>
  <c r="K1380" i="38"/>
  <c r="K1379" i="38"/>
  <c r="K1378" i="38"/>
  <c r="K1377" i="38"/>
  <c r="K1376" i="38"/>
  <c r="K1375" i="38"/>
  <c r="K1374" i="38"/>
  <c r="K1373" i="38"/>
  <c r="K1372" i="38"/>
  <c r="K1371" i="38"/>
  <c r="K1370" i="38"/>
  <c r="K1369" i="38"/>
  <c r="K1368" i="38"/>
  <c r="K1367" i="38"/>
  <c r="K1366" i="38"/>
  <c r="K1365" i="38"/>
  <c r="K1364" i="38"/>
  <c r="K1363" i="38"/>
  <c r="K1362" i="38"/>
  <c r="K1361" i="38"/>
  <c r="K1360" i="38"/>
  <c r="K1359" i="38"/>
  <c r="K1358" i="38"/>
  <c r="K1357" i="38"/>
  <c r="K1356" i="38"/>
  <c r="K1355" i="38"/>
  <c r="K1354" i="38"/>
  <c r="K1353" i="38"/>
  <c r="K1352" i="38"/>
  <c r="K1351" i="38"/>
  <c r="K1350" i="38"/>
  <c r="K1349" i="38"/>
  <c r="K1348" i="38"/>
  <c r="K1347" i="38"/>
  <c r="K1346" i="38"/>
  <c r="K1345" i="38"/>
  <c r="K1344" i="38"/>
  <c r="K1343" i="38"/>
  <c r="K1342" i="38"/>
  <c r="K1341" i="38"/>
  <c r="K1340" i="38"/>
  <c r="K1339" i="38"/>
  <c r="K1338" i="38"/>
  <c r="K1337" i="38"/>
  <c r="K1336" i="38"/>
  <c r="K1335" i="38"/>
  <c r="K1334" i="38"/>
  <c r="K1333" i="38"/>
  <c r="K1332" i="38"/>
  <c r="K1331" i="38"/>
  <c r="K1330" i="38"/>
  <c r="K1329" i="38"/>
  <c r="K1328" i="38"/>
  <c r="K1327" i="38"/>
  <c r="K1326" i="38"/>
  <c r="K1325" i="38"/>
  <c r="K1324" i="38"/>
  <c r="K1323" i="38"/>
  <c r="K1322" i="38"/>
  <c r="K1321" i="38"/>
  <c r="K1320" i="38"/>
  <c r="K1319" i="38"/>
  <c r="K1318" i="38"/>
  <c r="K1317" i="38"/>
  <c r="K1316" i="38"/>
  <c r="K1315" i="38"/>
  <c r="K1314" i="38"/>
  <c r="K1313" i="38"/>
  <c r="K1312" i="38"/>
  <c r="K1311" i="38"/>
  <c r="K1310" i="38"/>
  <c r="K1309" i="38"/>
  <c r="K1308" i="38"/>
  <c r="K1307" i="38"/>
  <c r="K1306" i="38"/>
  <c r="K1305" i="38"/>
  <c r="K1304" i="38"/>
  <c r="K1303" i="38"/>
  <c r="K1302" i="38"/>
  <c r="K1301" i="38"/>
  <c r="K1300" i="38"/>
  <c r="K1299" i="38"/>
  <c r="K1298" i="38"/>
  <c r="K1297" i="38"/>
  <c r="K1296" i="38"/>
  <c r="K1295" i="38"/>
  <c r="K1294" i="38"/>
  <c r="K1293" i="38"/>
  <c r="K1292" i="38"/>
  <c r="K1291" i="38"/>
  <c r="K1290" i="38"/>
  <c r="K1289" i="38"/>
  <c r="K1288" i="38"/>
  <c r="K1287" i="38"/>
  <c r="K1286" i="38"/>
  <c r="K1285" i="38"/>
  <c r="K1284" i="38"/>
  <c r="K1283" i="38"/>
  <c r="K1282" i="38"/>
  <c r="K1281" i="38"/>
  <c r="K1280" i="38"/>
  <c r="K1279" i="38"/>
  <c r="K1278" i="38"/>
  <c r="K1277" i="38"/>
  <c r="K1276" i="38"/>
  <c r="K1275" i="38"/>
  <c r="K1274" i="38"/>
  <c r="K1273" i="38"/>
  <c r="K1272" i="38"/>
  <c r="K1271" i="38"/>
  <c r="K1270" i="38"/>
  <c r="K1269" i="38"/>
  <c r="K1268" i="38"/>
  <c r="K1267" i="38"/>
  <c r="K1266" i="38"/>
  <c r="K1265" i="38"/>
  <c r="K1264" i="38"/>
  <c r="K1263" i="38"/>
  <c r="K1262" i="38"/>
  <c r="K1261" i="38"/>
  <c r="K1260" i="38"/>
  <c r="K1259" i="38"/>
  <c r="K1258" i="38"/>
  <c r="K1257" i="38"/>
  <c r="K1256" i="38"/>
  <c r="K1255" i="38"/>
  <c r="K1254" i="38"/>
  <c r="K1253" i="38"/>
  <c r="K1252" i="38"/>
  <c r="K1251" i="38"/>
  <c r="K1250" i="38"/>
  <c r="K1249" i="38"/>
  <c r="K1248" i="38"/>
  <c r="K1247" i="38"/>
  <c r="K1246" i="38"/>
  <c r="K1245" i="38"/>
  <c r="K1244" i="38"/>
  <c r="K1243" i="38"/>
  <c r="K1242" i="38"/>
  <c r="K1241" i="38"/>
  <c r="K1240" i="38"/>
  <c r="K1239" i="38"/>
  <c r="K1238" i="38"/>
  <c r="K1237" i="38"/>
  <c r="K1236" i="38"/>
  <c r="K1235" i="38"/>
  <c r="K1234" i="38"/>
  <c r="K1233" i="38"/>
  <c r="K1232" i="38"/>
  <c r="K1231" i="38"/>
  <c r="K1230" i="38"/>
  <c r="K1229" i="38"/>
  <c r="K1228" i="38"/>
  <c r="K1227" i="38"/>
  <c r="K1226" i="38"/>
  <c r="K1225" i="38"/>
  <c r="K1224" i="38"/>
  <c r="K1223" i="38"/>
  <c r="K1222" i="38"/>
  <c r="K1221" i="38"/>
  <c r="K1220" i="38"/>
  <c r="K1219" i="38"/>
  <c r="K1218" i="38"/>
  <c r="K1217" i="38"/>
  <c r="K1216" i="38"/>
  <c r="K1215" i="38"/>
  <c r="K1214" i="38"/>
  <c r="K1213" i="38"/>
  <c r="K1212" i="38"/>
  <c r="K1211" i="38"/>
  <c r="K1210" i="38"/>
  <c r="K1209" i="38"/>
  <c r="K1208" i="38"/>
  <c r="K1207" i="38"/>
  <c r="K1206" i="38"/>
  <c r="K1205" i="38"/>
  <c r="K1204" i="38"/>
  <c r="K1203" i="38"/>
  <c r="K1202" i="38"/>
  <c r="K1201" i="38"/>
  <c r="K1200" i="38"/>
  <c r="K1199" i="38"/>
  <c r="K1198" i="38"/>
  <c r="K1197" i="38"/>
  <c r="K1196" i="38"/>
  <c r="K1195" i="38"/>
  <c r="K1194" i="38"/>
  <c r="K1193" i="38"/>
  <c r="K1192" i="38"/>
  <c r="K1191" i="38"/>
  <c r="K1190" i="38"/>
  <c r="K1189" i="38"/>
  <c r="K1188" i="38"/>
  <c r="K1187" i="38"/>
  <c r="K1186" i="38"/>
  <c r="K1185" i="38"/>
  <c r="K1184" i="38"/>
  <c r="K1183" i="38"/>
  <c r="K1182" i="38"/>
  <c r="K1181" i="38"/>
  <c r="K1180" i="38"/>
  <c r="K1179" i="38"/>
  <c r="K1178" i="38"/>
  <c r="K1177" i="38"/>
  <c r="K1176" i="38"/>
  <c r="K1175" i="38"/>
  <c r="K1174" i="38"/>
  <c r="K1173" i="38"/>
  <c r="K1172" i="38"/>
  <c r="K1171" i="38"/>
  <c r="K1170" i="38"/>
  <c r="K1169" i="38"/>
  <c r="K1168" i="38"/>
  <c r="K1167" i="38"/>
  <c r="K1166" i="38"/>
  <c r="K1165" i="38"/>
  <c r="K1164" i="38"/>
  <c r="K1163" i="38"/>
  <c r="K1162" i="38"/>
  <c r="K1161" i="38"/>
  <c r="K1160" i="38"/>
  <c r="K1159" i="38"/>
  <c r="K1158" i="38"/>
  <c r="K1157" i="38"/>
  <c r="K1156" i="38"/>
  <c r="K1155" i="38"/>
  <c r="K1154" i="38"/>
  <c r="K1153" i="38"/>
  <c r="K1152" i="38"/>
  <c r="K1151" i="38"/>
  <c r="K1150" i="38"/>
  <c r="K1149" i="38"/>
  <c r="K1148" i="38"/>
  <c r="K1147" i="38"/>
  <c r="K1146" i="38"/>
  <c r="K1145" i="38"/>
  <c r="K1144" i="38"/>
  <c r="K1143" i="38"/>
  <c r="K1142" i="38"/>
  <c r="K1141" i="38"/>
  <c r="K1140" i="38"/>
  <c r="K1139" i="38"/>
  <c r="K1138" i="38"/>
  <c r="K1137" i="38"/>
  <c r="K1136" i="38"/>
  <c r="K1135" i="38"/>
  <c r="K1134" i="38"/>
  <c r="K1133" i="38"/>
  <c r="K1132" i="38"/>
  <c r="K1131" i="38"/>
  <c r="K1130" i="38"/>
  <c r="K1129" i="38"/>
  <c r="K1128" i="38"/>
  <c r="K1127" i="38"/>
  <c r="K1126" i="38"/>
  <c r="K1125" i="38"/>
  <c r="K1124" i="38"/>
  <c r="K1123" i="38"/>
  <c r="K1122" i="38"/>
  <c r="K1121" i="38"/>
  <c r="K1120" i="38"/>
  <c r="K1119" i="38"/>
  <c r="K1118" i="38"/>
  <c r="K1117" i="38"/>
  <c r="K1116" i="38"/>
  <c r="K1115" i="38"/>
  <c r="K1114" i="38"/>
  <c r="K1113" i="38"/>
  <c r="K1112" i="38"/>
  <c r="K1111" i="38"/>
  <c r="K1110" i="38"/>
  <c r="K1109" i="38"/>
  <c r="K1108" i="38"/>
  <c r="K1107" i="38"/>
  <c r="K1106" i="38"/>
  <c r="K1105" i="38"/>
  <c r="K1104" i="38"/>
  <c r="K1103" i="38"/>
  <c r="K1102" i="38"/>
  <c r="K1101" i="38"/>
  <c r="K1100" i="38"/>
  <c r="K1099" i="38"/>
  <c r="K1098" i="38"/>
  <c r="K1097" i="38"/>
  <c r="K1096" i="38"/>
  <c r="K1095" i="38"/>
  <c r="K1094" i="38"/>
  <c r="K1093" i="38"/>
  <c r="K1092" i="38"/>
  <c r="K1091" i="38"/>
  <c r="K1090" i="38"/>
  <c r="K1089" i="38"/>
  <c r="K1088" i="38"/>
  <c r="K1087" i="38"/>
  <c r="K1086" i="38"/>
  <c r="K1085" i="38"/>
  <c r="K1084" i="38"/>
  <c r="K1083" i="38"/>
  <c r="K1082" i="38"/>
  <c r="K1081" i="38"/>
  <c r="K1080" i="38"/>
  <c r="K1079" i="38"/>
  <c r="K1078" i="38"/>
  <c r="K1077" i="38"/>
  <c r="K1076" i="38"/>
  <c r="K1075" i="38"/>
  <c r="K1074" i="38"/>
  <c r="K1073" i="38"/>
  <c r="K1072" i="38"/>
  <c r="K1071" i="38"/>
  <c r="K1070" i="38"/>
  <c r="K1069" i="38"/>
  <c r="K1068" i="38"/>
  <c r="K1067" i="38"/>
  <c r="K1066" i="38"/>
  <c r="K1065" i="38"/>
  <c r="K1064" i="38"/>
  <c r="K1063" i="38"/>
  <c r="K1062" i="38"/>
  <c r="K1061" i="38"/>
  <c r="K1060" i="38"/>
  <c r="K1059" i="38"/>
  <c r="K1058" i="38"/>
  <c r="K1057" i="38"/>
  <c r="K1056" i="38"/>
  <c r="K1055" i="38"/>
  <c r="K1054" i="38"/>
  <c r="K1053" i="38"/>
  <c r="K1052" i="38"/>
  <c r="K1051" i="38"/>
  <c r="K1050" i="38"/>
  <c r="K1049" i="38"/>
  <c r="K1048" i="38"/>
  <c r="K1047" i="38"/>
  <c r="K1046" i="38"/>
  <c r="K1045" i="38"/>
  <c r="K1044" i="38"/>
  <c r="K1043" i="38"/>
  <c r="K1042" i="38"/>
  <c r="K1041" i="38"/>
  <c r="K1040" i="38"/>
  <c r="K1039" i="38"/>
  <c r="K1038" i="38"/>
  <c r="K1037" i="38"/>
  <c r="K1036" i="38"/>
  <c r="K1035" i="38"/>
  <c r="K1034" i="38"/>
  <c r="K1033" i="38"/>
  <c r="K1032" i="38"/>
  <c r="K1031" i="38"/>
  <c r="K1030" i="38"/>
  <c r="K1029" i="38"/>
  <c r="K1028" i="38"/>
  <c r="K1027" i="38"/>
  <c r="K1026" i="38"/>
  <c r="K1025" i="38"/>
  <c r="K1024" i="38"/>
  <c r="K1023" i="38"/>
  <c r="K1022" i="38"/>
  <c r="K1021" i="38"/>
  <c r="K1020" i="38"/>
  <c r="K1019" i="38"/>
  <c r="K1018" i="38"/>
  <c r="K1017" i="38"/>
  <c r="K1016" i="38"/>
  <c r="K1015" i="38"/>
  <c r="K1014" i="38"/>
  <c r="K1013" i="38"/>
  <c r="K1012" i="38"/>
  <c r="K1011" i="38"/>
  <c r="K1010" i="38"/>
  <c r="K1009" i="38"/>
  <c r="K1008" i="38"/>
  <c r="K1007" i="38"/>
  <c r="K1006" i="38"/>
  <c r="K1005" i="38"/>
  <c r="K1004" i="38"/>
  <c r="K1003" i="38"/>
  <c r="K1002" i="38"/>
  <c r="K1001" i="38"/>
  <c r="K1000" i="38"/>
  <c r="K999" i="38"/>
  <c r="K998" i="38"/>
  <c r="K997" i="38"/>
  <c r="K996" i="38"/>
  <c r="K995" i="38"/>
  <c r="K994" i="38"/>
  <c r="K993" i="38"/>
  <c r="K992" i="38"/>
  <c r="K991" i="38"/>
  <c r="K990" i="38"/>
  <c r="K989" i="38"/>
  <c r="K988" i="38"/>
  <c r="K987" i="38"/>
  <c r="K986" i="38"/>
  <c r="K985" i="38"/>
  <c r="K984" i="38"/>
  <c r="K983" i="38"/>
  <c r="K982" i="38"/>
  <c r="K981" i="38"/>
  <c r="K980" i="38"/>
  <c r="K979" i="38"/>
  <c r="K978" i="38"/>
  <c r="K977" i="38"/>
  <c r="K976" i="38"/>
  <c r="K975" i="38"/>
  <c r="K974" i="38"/>
  <c r="K973" i="38"/>
  <c r="K972" i="38"/>
  <c r="K971" i="38"/>
  <c r="K970" i="38"/>
  <c r="K969" i="38"/>
  <c r="K968" i="38"/>
  <c r="K967" i="38"/>
  <c r="K966" i="38"/>
  <c r="K965" i="38"/>
  <c r="K964" i="38"/>
  <c r="K963" i="38"/>
  <c r="K962" i="38"/>
  <c r="K961" i="38"/>
  <c r="K960" i="38"/>
  <c r="K959" i="38"/>
  <c r="K958" i="38"/>
  <c r="K957" i="38"/>
  <c r="K956" i="38"/>
  <c r="K955" i="38"/>
  <c r="K954" i="38"/>
  <c r="K953" i="38"/>
  <c r="K952" i="38"/>
  <c r="K951" i="38"/>
  <c r="K950" i="38"/>
  <c r="K949" i="38"/>
  <c r="K948" i="38"/>
  <c r="K947" i="38"/>
  <c r="K946" i="38"/>
  <c r="K945" i="38"/>
  <c r="K944" i="38"/>
  <c r="K943" i="38"/>
  <c r="K942" i="38"/>
  <c r="K941" i="38"/>
  <c r="K940" i="38"/>
  <c r="K939" i="38"/>
  <c r="K938" i="38"/>
  <c r="K937" i="38"/>
  <c r="K936" i="38"/>
  <c r="K935" i="38"/>
  <c r="K934" i="38"/>
  <c r="K933" i="38"/>
  <c r="K932" i="38"/>
  <c r="K931" i="38"/>
  <c r="K930" i="38"/>
  <c r="K929" i="38"/>
  <c r="K928" i="38"/>
  <c r="K927" i="38"/>
  <c r="K926" i="38"/>
  <c r="K925" i="38"/>
  <c r="K924" i="38"/>
  <c r="K923" i="38"/>
  <c r="K922" i="38"/>
  <c r="K921" i="38"/>
  <c r="K920" i="38"/>
  <c r="K919" i="38"/>
  <c r="K918" i="38"/>
  <c r="K917" i="38"/>
  <c r="K916" i="38"/>
  <c r="K915" i="38"/>
  <c r="K914" i="38"/>
  <c r="K913" i="38"/>
  <c r="K912" i="38"/>
  <c r="K911" i="38"/>
  <c r="K910" i="38"/>
  <c r="K909" i="38"/>
  <c r="K908" i="38"/>
  <c r="K907" i="38"/>
  <c r="K906" i="38"/>
  <c r="K905" i="38"/>
  <c r="K904" i="38"/>
  <c r="K903" i="38"/>
  <c r="K902" i="38"/>
  <c r="K901" i="38"/>
  <c r="K900" i="38"/>
  <c r="K899" i="38"/>
  <c r="K898" i="38"/>
  <c r="K897" i="38"/>
  <c r="K896" i="38"/>
  <c r="K895" i="38"/>
  <c r="K894" i="38"/>
  <c r="K893" i="38"/>
  <c r="K892" i="38"/>
  <c r="K891" i="38"/>
  <c r="K890" i="38"/>
  <c r="K889" i="38"/>
  <c r="K888" i="38"/>
  <c r="K887" i="38"/>
  <c r="K886" i="38"/>
  <c r="K885" i="38"/>
  <c r="K884" i="38"/>
  <c r="K883" i="38"/>
  <c r="K882" i="38"/>
  <c r="K881" i="38"/>
  <c r="K880" i="38"/>
  <c r="K879" i="38"/>
  <c r="K878" i="38"/>
  <c r="K877" i="38"/>
  <c r="K876" i="38"/>
  <c r="K875" i="38"/>
  <c r="K874" i="38"/>
  <c r="K873" i="38"/>
  <c r="K872" i="38"/>
  <c r="K871" i="38"/>
  <c r="K870" i="38"/>
  <c r="K869" i="38"/>
  <c r="K868" i="38"/>
  <c r="K867" i="38"/>
  <c r="K866" i="38"/>
  <c r="K865" i="38"/>
  <c r="K864" i="38"/>
  <c r="K863" i="38"/>
  <c r="K862" i="38"/>
  <c r="K861" i="38"/>
  <c r="K860" i="38"/>
  <c r="K859" i="38"/>
  <c r="K858" i="38"/>
  <c r="K857" i="38"/>
  <c r="K856" i="38"/>
  <c r="K855" i="38"/>
  <c r="K854" i="38"/>
  <c r="K853" i="38"/>
  <c r="K852" i="38"/>
  <c r="K851" i="38"/>
  <c r="K850" i="38"/>
  <c r="K849" i="38"/>
  <c r="K848" i="38"/>
  <c r="K847" i="38"/>
  <c r="K846" i="38"/>
  <c r="K845" i="38"/>
  <c r="K844" i="38"/>
  <c r="K843" i="38"/>
  <c r="K842" i="38"/>
  <c r="K841" i="38"/>
  <c r="K840" i="38"/>
  <c r="K839" i="38"/>
  <c r="K838" i="38"/>
  <c r="K837" i="38"/>
  <c r="K836" i="38"/>
  <c r="K835" i="38"/>
  <c r="K834" i="38"/>
  <c r="K833" i="38"/>
  <c r="K832" i="38"/>
  <c r="K831" i="38"/>
  <c r="K830" i="38"/>
  <c r="K829" i="38"/>
  <c r="K828" i="38"/>
  <c r="K827" i="38"/>
  <c r="K826" i="38"/>
  <c r="K825" i="38"/>
  <c r="K824" i="38"/>
  <c r="K823" i="38"/>
  <c r="K822" i="38"/>
  <c r="K821" i="38"/>
  <c r="K820" i="38"/>
  <c r="K819" i="38"/>
  <c r="K818" i="38"/>
  <c r="K817" i="38"/>
  <c r="K816" i="38"/>
  <c r="K815" i="38"/>
  <c r="K814" i="38"/>
  <c r="K813" i="38"/>
  <c r="K812" i="38"/>
  <c r="K811" i="38"/>
  <c r="K810" i="38"/>
  <c r="K809" i="38"/>
  <c r="K808" i="38"/>
  <c r="K807" i="38"/>
  <c r="K806" i="38"/>
  <c r="K805" i="38"/>
  <c r="K804" i="38"/>
  <c r="K803" i="38"/>
  <c r="K802" i="38"/>
  <c r="K801" i="38"/>
  <c r="K800" i="38"/>
  <c r="K799" i="38"/>
  <c r="K798" i="38"/>
  <c r="K797" i="38"/>
  <c r="K796" i="38"/>
  <c r="K795" i="38"/>
  <c r="K794" i="38"/>
  <c r="K793" i="38"/>
  <c r="K792" i="38"/>
  <c r="K791" i="38"/>
  <c r="K790" i="38"/>
  <c r="K789" i="38"/>
  <c r="K788" i="38"/>
  <c r="K787" i="38"/>
  <c r="K786" i="38"/>
  <c r="K785" i="38"/>
  <c r="K784" i="38"/>
  <c r="K783" i="38"/>
  <c r="K782" i="38"/>
  <c r="K781" i="38"/>
  <c r="K780" i="38"/>
  <c r="K779" i="38"/>
  <c r="K778" i="38"/>
  <c r="K777" i="38"/>
  <c r="K776" i="38"/>
  <c r="K775" i="38"/>
  <c r="K774" i="38"/>
  <c r="K773" i="38"/>
  <c r="K772" i="38"/>
  <c r="K771" i="38"/>
  <c r="K770" i="38"/>
  <c r="K769" i="38"/>
  <c r="K768" i="38"/>
  <c r="K767" i="38"/>
  <c r="K766" i="38"/>
  <c r="K765" i="38"/>
  <c r="K764" i="38"/>
  <c r="K763" i="38"/>
  <c r="K762" i="38"/>
  <c r="K761" i="38"/>
  <c r="K760" i="38"/>
  <c r="K759" i="38"/>
  <c r="K758" i="38"/>
  <c r="K757" i="38"/>
  <c r="K756" i="38"/>
  <c r="K755" i="38"/>
  <c r="K754" i="38"/>
  <c r="K753" i="38"/>
  <c r="K752" i="38"/>
  <c r="K751" i="38"/>
  <c r="K750" i="38"/>
  <c r="K749" i="38"/>
  <c r="K748" i="38"/>
  <c r="K747" i="38"/>
  <c r="K746" i="38"/>
  <c r="K745" i="38"/>
  <c r="K744" i="38"/>
  <c r="K743" i="38"/>
  <c r="K742" i="38"/>
  <c r="K741" i="38"/>
  <c r="K740" i="38"/>
  <c r="K739" i="38"/>
  <c r="K738" i="38"/>
  <c r="K737" i="38"/>
  <c r="K736" i="38"/>
  <c r="K735" i="38"/>
  <c r="K734" i="38"/>
  <c r="K733" i="38"/>
  <c r="K732" i="38"/>
  <c r="K731" i="38"/>
  <c r="K730" i="38"/>
  <c r="K729" i="38"/>
  <c r="K728" i="38"/>
  <c r="K727" i="38"/>
  <c r="K726" i="38"/>
  <c r="K725" i="38"/>
  <c r="K724" i="38"/>
  <c r="K723" i="38"/>
  <c r="K722" i="38"/>
  <c r="K721" i="38"/>
  <c r="K720" i="38"/>
  <c r="K719" i="38"/>
  <c r="K718" i="38"/>
  <c r="K717" i="38"/>
  <c r="K716" i="38"/>
  <c r="K715" i="38"/>
  <c r="K714" i="38"/>
  <c r="K713" i="38"/>
  <c r="K712" i="38"/>
  <c r="K711" i="38"/>
  <c r="K710" i="38"/>
  <c r="K709" i="38"/>
  <c r="K708" i="38"/>
  <c r="K707" i="38"/>
  <c r="K706" i="38"/>
  <c r="K705" i="38"/>
  <c r="K704" i="38"/>
  <c r="K703" i="38"/>
  <c r="K702" i="38"/>
  <c r="K701" i="38"/>
  <c r="K700" i="38"/>
  <c r="K699" i="38"/>
  <c r="K698" i="38"/>
  <c r="K697" i="38"/>
  <c r="K696" i="38"/>
  <c r="K695" i="38"/>
  <c r="K694" i="38"/>
  <c r="K693" i="38"/>
  <c r="K692" i="38"/>
  <c r="K691" i="38"/>
  <c r="K690" i="38"/>
  <c r="K689" i="38"/>
  <c r="K688" i="38"/>
  <c r="K687" i="38"/>
  <c r="K686" i="38"/>
  <c r="K685" i="38"/>
  <c r="K684" i="38"/>
  <c r="K683" i="38"/>
  <c r="K682" i="38"/>
  <c r="K681" i="38"/>
  <c r="K680" i="38"/>
  <c r="K679" i="38"/>
  <c r="K678" i="38"/>
  <c r="K677" i="38"/>
  <c r="K676" i="38"/>
  <c r="K675" i="38"/>
  <c r="K674" i="38"/>
  <c r="K673" i="38"/>
  <c r="K672" i="38"/>
  <c r="K671" i="38"/>
  <c r="K670" i="38"/>
  <c r="K669" i="38"/>
  <c r="K668" i="38"/>
  <c r="K667" i="38"/>
  <c r="K666" i="38"/>
  <c r="K665" i="38"/>
  <c r="K664" i="38"/>
  <c r="K663" i="38"/>
  <c r="K662" i="38"/>
  <c r="K661" i="38"/>
  <c r="K660" i="38"/>
  <c r="K659" i="38"/>
  <c r="K658" i="38"/>
  <c r="K657" i="38"/>
  <c r="K656" i="38"/>
  <c r="K655" i="38"/>
  <c r="K654" i="38"/>
  <c r="K653" i="38"/>
  <c r="K652" i="38"/>
  <c r="K651" i="38"/>
  <c r="K650" i="38"/>
  <c r="K649" i="38"/>
  <c r="K648" i="38"/>
  <c r="K647" i="38"/>
  <c r="K646" i="38"/>
  <c r="K645" i="38"/>
  <c r="K644" i="38"/>
  <c r="K643" i="38"/>
  <c r="K642" i="38"/>
  <c r="K641" i="38"/>
  <c r="K640" i="38"/>
  <c r="K639" i="38"/>
  <c r="K638" i="38"/>
  <c r="K637" i="38"/>
  <c r="K636" i="38"/>
  <c r="K635" i="38"/>
  <c r="K634" i="38"/>
  <c r="K633" i="38"/>
  <c r="K632" i="38"/>
  <c r="K631" i="38"/>
  <c r="K630" i="38"/>
  <c r="K629" i="38"/>
  <c r="K628" i="38"/>
  <c r="K627" i="38"/>
  <c r="K626" i="38"/>
  <c r="K625" i="38"/>
  <c r="K624" i="38"/>
  <c r="K623" i="38"/>
  <c r="K622" i="38"/>
  <c r="K621" i="38"/>
  <c r="K620" i="38"/>
  <c r="K619" i="38"/>
  <c r="K618" i="38"/>
  <c r="K617" i="38"/>
  <c r="K616" i="38"/>
  <c r="K615" i="38"/>
  <c r="K614" i="38"/>
  <c r="K613" i="38"/>
  <c r="K612" i="38"/>
  <c r="K611" i="38"/>
  <c r="K610" i="38"/>
  <c r="K609" i="38"/>
  <c r="K608" i="38"/>
  <c r="K607" i="38"/>
  <c r="K606" i="38"/>
  <c r="K605" i="38"/>
  <c r="K604" i="38"/>
  <c r="K603" i="38"/>
  <c r="K602" i="38"/>
  <c r="K601" i="38"/>
  <c r="K600" i="38"/>
  <c r="K599" i="38"/>
  <c r="K598" i="38"/>
  <c r="K597" i="38"/>
  <c r="K596" i="38"/>
  <c r="K595" i="38"/>
  <c r="K594" i="38"/>
  <c r="K593" i="38"/>
  <c r="K592" i="38"/>
  <c r="K591" i="38"/>
  <c r="K590" i="38"/>
  <c r="K589" i="38"/>
  <c r="K588" i="38"/>
  <c r="K587" i="38"/>
  <c r="K586" i="38"/>
  <c r="K585" i="38"/>
  <c r="K584" i="38"/>
  <c r="K583" i="38"/>
  <c r="K582" i="38"/>
  <c r="K581" i="38"/>
  <c r="K580" i="38"/>
  <c r="K579" i="38"/>
  <c r="K578" i="38"/>
  <c r="K577" i="38"/>
  <c r="K576" i="38"/>
  <c r="K575" i="38"/>
  <c r="K574" i="38"/>
  <c r="K573" i="38"/>
  <c r="K572" i="38"/>
  <c r="K571" i="38"/>
  <c r="K570" i="38"/>
  <c r="K569" i="38"/>
  <c r="K568" i="38"/>
  <c r="K567" i="38"/>
  <c r="K566" i="38"/>
  <c r="K565" i="38"/>
  <c r="K564" i="38"/>
  <c r="K563" i="38"/>
  <c r="K562" i="38"/>
  <c r="K561" i="38"/>
  <c r="K560" i="38"/>
  <c r="K559" i="38"/>
  <c r="K558" i="38"/>
  <c r="K557" i="38"/>
  <c r="K556" i="38"/>
  <c r="K555" i="38"/>
  <c r="K554" i="38"/>
  <c r="K553" i="38"/>
  <c r="K552" i="38"/>
  <c r="K551" i="38"/>
  <c r="K550" i="38"/>
  <c r="K549" i="38"/>
  <c r="K548" i="38"/>
  <c r="K547" i="38"/>
  <c r="K546" i="38"/>
  <c r="K545" i="38"/>
  <c r="K544" i="38"/>
  <c r="K543" i="38"/>
  <c r="K542" i="38"/>
  <c r="K541" i="38"/>
  <c r="K540" i="38"/>
  <c r="K539" i="38"/>
  <c r="K538" i="38"/>
  <c r="K537" i="38"/>
  <c r="K536" i="38"/>
  <c r="K535" i="38"/>
  <c r="K534" i="38"/>
  <c r="K533" i="38"/>
  <c r="K532" i="38"/>
  <c r="K531" i="38"/>
  <c r="K530" i="38"/>
  <c r="K529" i="38"/>
  <c r="K528" i="38"/>
  <c r="K527" i="38"/>
  <c r="K526" i="38"/>
  <c r="K525" i="38"/>
  <c r="K524" i="38"/>
  <c r="K523" i="38"/>
  <c r="K522" i="38"/>
  <c r="K521" i="38"/>
  <c r="K520" i="38"/>
  <c r="K519" i="38"/>
  <c r="K518" i="38"/>
  <c r="K517" i="38"/>
  <c r="K516" i="38"/>
  <c r="K515" i="38"/>
  <c r="K514" i="38"/>
  <c r="K513" i="38"/>
  <c r="K512" i="38"/>
  <c r="K511" i="38"/>
  <c r="K510" i="38"/>
  <c r="K509" i="38"/>
  <c r="K508" i="38"/>
  <c r="K507" i="38"/>
  <c r="K506" i="38"/>
  <c r="K505" i="38"/>
  <c r="K504" i="38"/>
  <c r="K503" i="38"/>
  <c r="K502" i="38"/>
  <c r="K501" i="38"/>
  <c r="K500" i="38"/>
  <c r="K499" i="38"/>
  <c r="K498" i="38"/>
  <c r="K497" i="38"/>
  <c r="K496" i="38"/>
  <c r="K495" i="38"/>
  <c r="K494" i="38"/>
  <c r="K493" i="38"/>
  <c r="K492" i="38"/>
  <c r="K491" i="38"/>
  <c r="K490" i="38"/>
  <c r="K489" i="38"/>
  <c r="K488" i="38"/>
  <c r="K487" i="38"/>
  <c r="K486" i="38"/>
  <c r="K485" i="38"/>
  <c r="K484" i="38"/>
  <c r="K483" i="38"/>
  <c r="K482" i="38"/>
  <c r="K481" i="38"/>
  <c r="K480" i="38"/>
  <c r="K479" i="38"/>
  <c r="K478" i="38"/>
  <c r="K477" i="38"/>
  <c r="K476" i="38"/>
  <c r="K475" i="38"/>
  <c r="K474" i="38"/>
  <c r="K473" i="38"/>
  <c r="K472" i="38"/>
  <c r="K471" i="38"/>
  <c r="K470" i="38"/>
  <c r="K469" i="38"/>
  <c r="K468" i="38"/>
  <c r="K467" i="38"/>
  <c r="K466" i="38"/>
  <c r="K465" i="38"/>
  <c r="K464" i="38"/>
  <c r="K463" i="38"/>
  <c r="K462" i="38"/>
  <c r="K461" i="38"/>
  <c r="K460" i="38"/>
  <c r="K459" i="38"/>
  <c r="K458" i="38"/>
  <c r="K457" i="38"/>
  <c r="K456" i="38"/>
  <c r="K455" i="38"/>
  <c r="K454" i="38"/>
  <c r="K453" i="38"/>
  <c r="K452" i="38"/>
  <c r="K451" i="38"/>
  <c r="K450" i="38"/>
  <c r="K449" i="38"/>
  <c r="K448" i="38"/>
  <c r="K447" i="38"/>
  <c r="K446" i="38"/>
  <c r="K445" i="38"/>
  <c r="K444" i="38"/>
  <c r="K443" i="38"/>
  <c r="K442" i="38"/>
  <c r="K441" i="38"/>
  <c r="K440" i="38"/>
  <c r="K439" i="38"/>
  <c r="K438" i="38"/>
  <c r="K437" i="38"/>
  <c r="K436" i="38"/>
  <c r="K435" i="38"/>
  <c r="K434" i="38"/>
  <c r="K433" i="38"/>
  <c r="K432" i="38"/>
  <c r="K431" i="38"/>
  <c r="K430" i="38"/>
  <c r="K429" i="38"/>
  <c r="K428" i="38"/>
  <c r="K427" i="38"/>
  <c r="K426" i="38"/>
  <c r="K425" i="38"/>
  <c r="K424" i="38"/>
  <c r="K423" i="38"/>
  <c r="K422" i="38"/>
  <c r="K421" i="38"/>
  <c r="K420" i="38"/>
  <c r="K419" i="38"/>
  <c r="K418" i="38"/>
  <c r="K417" i="38"/>
  <c r="K416" i="38"/>
  <c r="K415" i="38"/>
  <c r="K414" i="38"/>
  <c r="K413" i="38"/>
  <c r="K412" i="38"/>
  <c r="K411" i="38"/>
  <c r="K410" i="38"/>
  <c r="K409" i="38"/>
  <c r="K408" i="38"/>
  <c r="K407" i="38"/>
  <c r="K406" i="38"/>
  <c r="K405" i="38"/>
  <c r="K404" i="38"/>
  <c r="K403" i="38"/>
  <c r="K402" i="38"/>
  <c r="K401" i="38"/>
  <c r="K400" i="38"/>
  <c r="K399" i="38"/>
  <c r="K398" i="38"/>
  <c r="K397" i="38"/>
  <c r="K396" i="38"/>
  <c r="K395" i="38"/>
  <c r="K394" i="38"/>
  <c r="K393" i="38"/>
  <c r="K392" i="38"/>
  <c r="K391" i="38"/>
  <c r="K390" i="38"/>
  <c r="K389" i="38"/>
  <c r="K388" i="38"/>
  <c r="K387" i="38"/>
  <c r="K386" i="38"/>
  <c r="K385" i="38"/>
  <c r="K384" i="38"/>
  <c r="K383" i="38"/>
  <c r="K382" i="38"/>
  <c r="K381" i="38"/>
  <c r="K380" i="38"/>
  <c r="K379" i="38"/>
  <c r="K378" i="38"/>
  <c r="K377" i="38"/>
  <c r="K376" i="38"/>
  <c r="K375" i="38"/>
  <c r="K374" i="38"/>
  <c r="K373" i="38"/>
  <c r="K372" i="38"/>
  <c r="K371" i="38"/>
  <c r="K370" i="38"/>
  <c r="K369" i="38"/>
  <c r="K368" i="38"/>
  <c r="K367" i="38"/>
  <c r="K366" i="38"/>
  <c r="K365" i="38"/>
  <c r="K364" i="38"/>
  <c r="K363" i="38"/>
  <c r="K362" i="38"/>
  <c r="K361" i="38"/>
  <c r="K360" i="38"/>
  <c r="K359" i="38"/>
  <c r="K358" i="38"/>
  <c r="K357" i="38"/>
  <c r="K356" i="38"/>
  <c r="K355" i="38"/>
  <c r="K354" i="38"/>
  <c r="K353" i="38"/>
  <c r="K352" i="38"/>
  <c r="K351" i="38"/>
  <c r="K350" i="38"/>
  <c r="K349" i="38"/>
  <c r="K348" i="38"/>
  <c r="K347" i="38"/>
  <c r="K346" i="38"/>
  <c r="K345" i="38"/>
  <c r="K344" i="38"/>
  <c r="K343" i="38"/>
  <c r="K342" i="38"/>
  <c r="K341" i="38"/>
  <c r="K340" i="38"/>
  <c r="K339" i="38"/>
  <c r="K338" i="38"/>
  <c r="K337" i="38"/>
  <c r="K336" i="38"/>
  <c r="K335" i="38"/>
  <c r="K334" i="38"/>
  <c r="K333" i="38"/>
  <c r="K332" i="38"/>
  <c r="K331" i="38"/>
  <c r="K330" i="38"/>
  <c r="K329" i="38"/>
  <c r="K328" i="38"/>
  <c r="K327" i="38"/>
  <c r="K326" i="38"/>
  <c r="K325" i="38"/>
  <c r="K324" i="38"/>
  <c r="K323" i="38"/>
  <c r="K322" i="38"/>
  <c r="K321" i="38"/>
  <c r="K320" i="38"/>
  <c r="K319" i="38"/>
  <c r="K318" i="38"/>
  <c r="K317" i="38"/>
  <c r="K316" i="38"/>
  <c r="K315" i="38"/>
  <c r="K314" i="38"/>
  <c r="K313" i="38"/>
  <c r="K312" i="38"/>
  <c r="K311" i="38"/>
  <c r="K310" i="38"/>
  <c r="K309" i="38"/>
  <c r="K308" i="38"/>
  <c r="K307" i="38"/>
  <c r="K306" i="38"/>
  <c r="K305" i="38"/>
  <c r="K304" i="38"/>
  <c r="K303" i="38"/>
  <c r="K302" i="38"/>
  <c r="K301" i="38"/>
  <c r="K300" i="38"/>
  <c r="K299" i="38"/>
  <c r="K298" i="38"/>
  <c r="K297" i="38"/>
  <c r="K296" i="38"/>
  <c r="K295" i="38"/>
  <c r="K294" i="38"/>
  <c r="K293" i="38"/>
  <c r="K292" i="38"/>
  <c r="K291" i="38"/>
  <c r="K290" i="38"/>
  <c r="K289" i="38"/>
  <c r="K288" i="38"/>
  <c r="K287" i="38"/>
  <c r="K286" i="38"/>
  <c r="K285" i="38"/>
  <c r="K284" i="38"/>
  <c r="K283" i="38"/>
  <c r="K282" i="38"/>
  <c r="K281" i="38"/>
  <c r="K280" i="38"/>
  <c r="K279" i="38"/>
  <c r="K278" i="38"/>
  <c r="K277" i="38"/>
  <c r="K276" i="38"/>
  <c r="K275" i="38"/>
  <c r="K274" i="38"/>
  <c r="K273" i="38"/>
  <c r="K272" i="38"/>
  <c r="K271" i="38"/>
  <c r="K270" i="38"/>
  <c r="K269" i="38"/>
  <c r="K268" i="38"/>
  <c r="K267" i="38"/>
  <c r="K266" i="38"/>
  <c r="K265" i="38"/>
  <c r="K264" i="38"/>
  <c r="K263" i="38"/>
  <c r="K262" i="38"/>
  <c r="K261" i="38"/>
  <c r="K260" i="38"/>
  <c r="K259" i="38"/>
  <c r="K258" i="38"/>
  <c r="K257" i="38"/>
  <c r="K256" i="38"/>
  <c r="K255" i="38"/>
  <c r="K254" i="38"/>
  <c r="K253" i="38"/>
  <c r="K252" i="38"/>
  <c r="K251" i="38"/>
  <c r="K250" i="38"/>
  <c r="K249" i="38"/>
  <c r="K248" i="38"/>
  <c r="K247" i="38"/>
  <c r="K246" i="38"/>
  <c r="K245" i="38"/>
  <c r="K244" i="38"/>
  <c r="K243" i="38"/>
  <c r="K242" i="38"/>
  <c r="K241" i="38"/>
  <c r="K240" i="38"/>
  <c r="K239" i="38"/>
  <c r="K238" i="38"/>
  <c r="K237" i="38"/>
  <c r="K236" i="38"/>
  <c r="K235" i="38"/>
  <c r="K234" i="38"/>
  <c r="K233" i="38"/>
  <c r="K232" i="38"/>
  <c r="K231" i="38"/>
  <c r="K230" i="38"/>
  <c r="K229" i="38"/>
  <c r="K228" i="38"/>
  <c r="K227" i="38"/>
  <c r="K226" i="38"/>
  <c r="K225" i="38"/>
  <c r="K224" i="38"/>
  <c r="K223" i="38"/>
  <c r="K222" i="38"/>
  <c r="K221" i="38"/>
  <c r="K220" i="38"/>
  <c r="K219" i="38"/>
  <c r="K218" i="38"/>
  <c r="K217" i="38"/>
  <c r="K216" i="38"/>
  <c r="K215" i="38"/>
  <c r="K214" i="38"/>
  <c r="K213" i="38"/>
  <c r="Z146" i="1" l="1"/>
  <c r="Z141" i="1"/>
  <c r="Z126" i="1"/>
  <c r="Z60" i="1"/>
  <c r="Z53" i="1"/>
  <c r="Z47" i="1"/>
  <c r="Z44" i="1"/>
  <c r="Z41" i="1"/>
  <c r="Z40" i="1"/>
  <c r="Z37" i="1"/>
  <c r="Z35" i="1"/>
  <c r="Z33" i="1"/>
  <c r="Z31" i="1"/>
  <c r="R140" i="1"/>
  <c r="R108" i="1"/>
  <c r="R107" i="1"/>
  <c r="R102" i="1"/>
  <c r="R98" i="1"/>
  <c r="R97" i="1"/>
  <c r="R96" i="1"/>
  <c r="R93" i="1"/>
  <c r="R89" i="1"/>
  <c r="R88" i="1"/>
  <c r="R87" i="1"/>
  <c r="R86" i="1"/>
  <c r="R75" i="1"/>
  <c r="R74" i="1"/>
  <c r="R69" i="1"/>
  <c r="R67" i="1"/>
  <c r="R66" i="1"/>
  <c r="R63" i="1"/>
  <c r="R62" i="1"/>
  <c r="R59" i="1"/>
  <c r="R57" i="1"/>
  <c r="R56" i="1"/>
  <c r="R55" i="1"/>
  <c r="R52" i="1"/>
  <c r="R49" i="1"/>
  <c r="R48" i="1"/>
  <c r="R45" i="1"/>
  <c r="J30" i="1"/>
  <c r="J29" i="1"/>
  <c r="J28" i="1"/>
  <c r="F93" i="1" l="1"/>
  <c r="U157" i="1"/>
  <c r="M157" i="1"/>
  <c r="E157" i="1"/>
  <c r="U154" i="1"/>
  <c r="M154" i="1"/>
  <c r="E154" i="1"/>
  <c r="D154" i="1"/>
  <c r="U152" i="1"/>
  <c r="M152" i="1"/>
  <c r="E152" i="1"/>
  <c r="D152" i="1"/>
  <c r="U156" i="1"/>
  <c r="U155" i="1"/>
  <c r="U153" i="1"/>
  <c r="U151" i="1"/>
  <c r="U150" i="1"/>
  <c r="U149" i="1"/>
  <c r="M156" i="1"/>
  <c r="M155" i="1"/>
  <c r="M153" i="1"/>
  <c r="M151" i="1"/>
  <c r="M150" i="1"/>
  <c r="M149" i="1"/>
  <c r="E156" i="1"/>
  <c r="E155" i="1"/>
  <c r="E153" i="1"/>
  <c r="E151" i="1"/>
  <c r="E150" i="1"/>
  <c r="E149" i="1"/>
  <c r="D156" i="1"/>
  <c r="D155" i="1"/>
  <c r="D153" i="1"/>
  <c r="D151" i="1"/>
  <c r="D150" i="1"/>
  <c r="D149" i="1"/>
  <c r="M158" i="1"/>
  <c r="D157" i="1"/>
  <c r="J93" i="1" l="1"/>
  <c r="R151" i="40" s="1"/>
  <c r="U151" i="40" s="1"/>
  <c r="J66" i="41"/>
  <c r="J74" i="41"/>
  <c r="H189" i="41"/>
  <c r="G189" i="41"/>
  <c r="H10" i="26" l="1"/>
  <c r="A178" i="26"/>
  <c r="H153" i="40"/>
  <c r="A164" i="25"/>
  <c r="M164" i="25" s="1"/>
  <c r="N164" i="25" s="1"/>
  <c r="A176" i="26" l="1"/>
  <c r="L176" i="26" s="1"/>
  <c r="M176" i="26" s="1"/>
  <c r="A174" i="26"/>
  <c r="A173" i="26"/>
  <c r="L173" i="26" s="1"/>
  <c r="M173" i="26" s="1"/>
  <c r="A172" i="26"/>
  <c r="L172" i="26" s="1"/>
  <c r="M172" i="26" s="1"/>
  <c r="A170" i="26"/>
  <c r="L170" i="26" s="1"/>
  <c r="M170" i="26" s="1"/>
  <c r="A169" i="26"/>
  <c r="L169" i="26" s="1"/>
  <c r="M169" i="26" s="1"/>
  <c r="A168" i="26"/>
  <c r="L168" i="26" s="1"/>
  <c r="M168" i="26" s="1"/>
  <c r="A167" i="26"/>
  <c r="L167" i="26" s="1"/>
  <c r="M167" i="26" s="1"/>
  <c r="A166" i="26"/>
  <c r="L166" i="26" s="1"/>
  <c r="M166" i="26" s="1"/>
  <c r="A165" i="26"/>
  <c r="L165" i="26" s="1"/>
  <c r="M165" i="26" s="1"/>
  <c r="A164" i="26"/>
  <c r="L164" i="26" s="1"/>
  <c r="M164" i="26" s="1"/>
  <c r="A163" i="26"/>
  <c r="L163" i="26" s="1"/>
  <c r="M163" i="26" s="1"/>
  <c r="A162" i="26"/>
  <c r="L162" i="26" s="1"/>
  <c r="M162" i="26" s="1"/>
  <c r="A161" i="26"/>
  <c r="L161" i="26" s="1"/>
  <c r="M161" i="26" s="1"/>
  <c r="A160" i="26"/>
  <c r="L160" i="26" s="1"/>
  <c r="M160" i="26" s="1"/>
  <c r="A159" i="26"/>
  <c r="L159" i="26" s="1"/>
  <c r="M159" i="26" s="1"/>
  <c r="A158" i="26"/>
  <c r="L158" i="26" s="1"/>
  <c r="M158" i="26" s="1"/>
  <c r="A157" i="26"/>
  <c r="L157" i="26" s="1"/>
  <c r="M157" i="26" s="1"/>
  <c r="A156" i="26"/>
  <c r="L156" i="26" s="1"/>
  <c r="M156" i="26" s="1"/>
  <c r="A155" i="26"/>
  <c r="L155" i="26" s="1"/>
  <c r="M155" i="26" s="1"/>
  <c r="A154" i="26"/>
  <c r="L154" i="26" s="1"/>
  <c r="M154" i="26" s="1"/>
  <c r="A153" i="26"/>
  <c r="L153" i="26" s="1"/>
  <c r="M153" i="26" s="1"/>
  <c r="A152" i="26"/>
  <c r="L152" i="26" s="1"/>
  <c r="M152" i="26" s="1"/>
  <c r="A151" i="26"/>
  <c r="L151" i="26" s="1"/>
  <c r="M151" i="26" s="1"/>
  <c r="A150" i="26"/>
  <c r="L150" i="26" s="1"/>
  <c r="M150" i="26" s="1"/>
  <c r="A149" i="26"/>
  <c r="L149" i="26" s="1"/>
  <c r="M149" i="26" s="1"/>
  <c r="A148" i="26"/>
  <c r="L148" i="26" s="1"/>
  <c r="M148" i="26" s="1"/>
  <c r="A147" i="26"/>
  <c r="L147" i="26" s="1"/>
  <c r="M147" i="26" s="1"/>
  <c r="A146" i="26"/>
  <c r="L146" i="26" s="1"/>
  <c r="M146" i="26" s="1"/>
  <c r="A145" i="26"/>
  <c r="L145" i="26" s="1"/>
  <c r="M145" i="26" s="1"/>
  <c r="A144" i="26"/>
  <c r="L144" i="26" s="1"/>
  <c r="M144" i="26" s="1"/>
  <c r="A143" i="26"/>
  <c r="L143" i="26" s="1"/>
  <c r="M143" i="26" s="1"/>
  <c r="A142" i="26"/>
  <c r="L142" i="26" s="1"/>
  <c r="M142" i="26" s="1"/>
  <c r="A141" i="26"/>
  <c r="L141" i="26" s="1"/>
  <c r="M141" i="26" s="1"/>
  <c r="A140" i="26"/>
  <c r="L140" i="26" s="1"/>
  <c r="M140" i="26" s="1"/>
  <c r="A139" i="26"/>
  <c r="L139" i="26" s="1"/>
  <c r="M139" i="26" s="1"/>
  <c r="A134" i="26"/>
  <c r="L134" i="26" s="1"/>
  <c r="M134" i="26" s="1"/>
  <c r="A133" i="26"/>
  <c r="L133" i="26" s="1"/>
  <c r="M133" i="26" s="1"/>
  <c r="A132" i="26"/>
  <c r="L132" i="26" s="1"/>
  <c r="M132" i="26" s="1"/>
  <c r="A131" i="26"/>
  <c r="L131" i="26" s="1"/>
  <c r="M131" i="26" s="1"/>
  <c r="A130" i="26"/>
  <c r="L130" i="26" s="1"/>
  <c r="M130" i="26" s="1"/>
  <c r="A129" i="26"/>
  <c r="L129" i="26" s="1"/>
  <c r="M129" i="26" s="1"/>
  <c r="A127" i="26"/>
  <c r="L127" i="26" s="1"/>
  <c r="M127" i="26" s="1"/>
  <c r="A126" i="26"/>
  <c r="L126" i="26" s="1"/>
  <c r="M126" i="26" s="1"/>
  <c r="A125" i="26"/>
  <c r="L125" i="26" s="1"/>
  <c r="M125" i="26" s="1"/>
  <c r="A124" i="26"/>
  <c r="L124" i="26" s="1"/>
  <c r="M124" i="26" s="1"/>
  <c r="A123" i="26"/>
  <c r="L123" i="26" s="1"/>
  <c r="M123" i="26" s="1"/>
  <c r="A122" i="26"/>
  <c r="L122" i="26" s="1"/>
  <c r="M122" i="26" s="1"/>
  <c r="A121" i="26"/>
  <c r="L121" i="26" s="1"/>
  <c r="M121" i="26" s="1"/>
  <c r="A120" i="26"/>
  <c r="L120" i="26" s="1"/>
  <c r="M120" i="26" s="1"/>
  <c r="A119" i="26"/>
  <c r="L119" i="26" s="1"/>
  <c r="M119" i="26" s="1"/>
  <c r="A118" i="26"/>
  <c r="L118" i="26" s="1"/>
  <c r="M118" i="26" s="1"/>
  <c r="A117" i="26"/>
  <c r="L117" i="26" s="1"/>
  <c r="M117" i="26" s="1"/>
  <c r="A116" i="26"/>
  <c r="L116" i="26" s="1"/>
  <c r="M116" i="26" s="1"/>
  <c r="A115" i="26"/>
  <c r="L115" i="26" s="1"/>
  <c r="M115" i="26" s="1"/>
  <c r="A114" i="26"/>
  <c r="L114" i="26" s="1"/>
  <c r="M114" i="26" s="1"/>
  <c r="A113" i="26"/>
  <c r="L113" i="26" s="1"/>
  <c r="M113" i="26" s="1"/>
  <c r="A112" i="26"/>
  <c r="L112" i="26" s="1"/>
  <c r="M112" i="26" s="1"/>
  <c r="A111" i="26"/>
  <c r="L111" i="26" s="1"/>
  <c r="M111" i="26" s="1"/>
  <c r="A110" i="26"/>
  <c r="L110" i="26" s="1"/>
  <c r="M110" i="26" s="1"/>
  <c r="A109" i="26"/>
  <c r="L109" i="26" s="1"/>
  <c r="M109" i="26" s="1"/>
  <c r="A108" i="26"/>
  <c r="L108" i="26" s="1"/>
  <c r="M108" i="26" s="1"/>
  <c r="A107" i="26"/>
  <c r="L107" i="26" s="1"/>
  <c r="M107" i="26" s="1"/>
  <c r="A106" i="26"/>
  <c r="L106" i="26" s="1"/>
  <c r="M106" i="26" s="1"/>
  <c r="A105" i="26"/>
  <c r="L105" i="26" s="1"/>
  <c r="M105" i="26" s="1"/>
  <c r="A104" i="26"/>
  <c r="L104" i="26" s="1"/>
  <c r="M104" i="26" s="1"/>
  <c r="A103" i="26"/>
  <c r="L103" i="26" s="1"/>
  <c r="M103" i="26" s="1"/>
  <c r="A102" i="26"/>
  <c r="L102" i="26" s="1"/>
  <c r="M102" i="26" s="1"/>
  <c r="A101" i="26"/>
  <c r="L101" i="26" s="1"/>
  <c r="M101" i="26" s="1"/>
  <c r="A100" i="26"/>
  <c r="L100" i="26" s="1"/>
  <c r="M100" i="26" s="1"/>
  <c r="A99" i="26"/>
  <c r="L99" i="26" s="1"/>
  <c r="M99" i="26" s="1"/>
  <c r="A98" i="26"/>
  <c r="L98" i="26" s="1"/>
  <c r="M98" i="26" s="1"/>
  <c r="A97" i="26"/>
  <c r="L97" i="26" s="1"/>
  <c r="M97" i="26" s="1"/>
  <c r="A96" i="26"/>
  <c r="L96" i="26" s="1"/>
  <c r="M96" i="26" s="1"/>
  <c r="A95" i="26"/>
  <c r="L95" i="26" s="1"/>
  <c r="M95" i="26" s="1"/>
  <c r="A94" i="26"/>
  <c r="L94" i="26" s="1"/>
  <c r="M94" i="26" s="1"/>
  <c r="A93" i="26"/>
  <c r="L93" i="26" s="1"/>
  <c r="M93" i="26" s="1"/>
  <c r="A92" i="26"/>
  <c r="L92" i="26" s="1"/>
  <c r="M92" i="26" s="1"/>
  <c r="A91" i="26"/>
  <c r="L91" i="26" s="1"/>
  <c r="M91" i="26" s="1"/>
  <c r="A90" i="26"/>
  <c r="L90" i="26" s="1"/>
  <c r="M90" i="26" s="1"/>
  <c r="A89" i="26"/>
  <c r="L89" i="26" s="1"/>
  <c r="M89" i="26" s="1"/>
  <c r="A88" i="26"/>
  <c r="L88" i="26" s="1"/>
  <c r="M88" i="26" s="1"/>
  <c r="A87" i="26"/>
  <c r="L87" i="26" s="1"/>
  <c r="M87" i="26" s="1"/>
  <c r="A86" i="26"/>
  <c r="L86" i="26" s="1"/>
  <c r="M86" i="26" s="1"/>
  <c r="A85" i="26"/>
  <c r="L85" i="26" s="1"/>
  <c r="M85" i="26" s="1"/>
  <c r="A84" i="26"/>
  <c r="L84" i="26" s="1"/>
  <c r="M84" i="26" s="1"/>
  <c r="A83" i="26"/>
  <c r="L83" i="26" s="1"/>
  <c r="M83" i="26" s="1"/>
  <c r="A82" i="26"/>
  <c r="L82" i="26" s="1"/>
  <c r="M82" i="26" s="1"/>
  <c r="A81" i="26"/>
  <c r="L81" i="26" s="1"/>
  <c r="M81" i="26" s="1"/>
  <c r="A80" i="26"/>
  <c r="L80" i="26" s="1"/>
  <c r="M80" i="26" s="1"/>
  <c r="A79" i="26"/>
  <c r="L79" i="26" s="1"/>
  <c r="M79" i="26" s="1"/>
  <c r="A78" i="26"/>
  <c r="L78" i="26" s="1"/>
  <c r="M78" i="26" s="1"/>
  <c r="A77" i="26"/>
  <c r="L77" i="26" s="1"/>
  <c r="M77" i="26" s="1"/>
  <c r="A76" i="26"/>
  <c r="L76" i="26" s="1"/>
  <c r="M76" i="26" s="1"/>
  <c r="A75" i="26"/>
  <c r="L75" i="26" s="1"/>
  <c r="M75" i="26" s="1"/>
  <c r="A74" i="26"/>
  <c r="L74" i="26" s="1"/>
  <c r="M74" i="26" s="1"/>
  <c r="A73" i="26"/>
  <c r="L73" i="26" s="1"/>
  <c r="M73" i="26" s="1"/>
  <c r="A72" i="26"/>
  <c r="L72" i="26" s="1"/>
  <c r="M72" i="26" s="1"/>
  <c r="A71" i="26"/>
  <c r="L71" i="26" s="1"/>
  <c r="M71" i="26" s="1"/>
  <c r="A70" i="26"/>
  <c r="L70" i="26" s="1"/>
  <c r="M70" i="26" s="1"/>
  <c r="A69" i="26"/>
  <c r="L69" i="26" s="1"/>
  <c r="M69" i="26" s="1"/>
  <c r="A68" i="26"/>
  <c r="L68" i="26" s="1"/>
  <c r="M68" i="26" s="1"/>
  <c r="A67" i="26"/>
  <c r="L67" i="26" s="1"/>
  <c r="M67" i="26" s="1"/>
  <c r="A66" i="26"/>
  <c r="L66" i="26" s="1"/>
  <c r="M66" i="26" s="1"/>
  <c r="A65" i="26"/>
  <c r="L65" i="26" s="1"/>
  <c r="M65" i="26" s="1"/>
  <c r="A64" i="26"/>
  <c r="L64" i="26" s="1"/>
  <c r="M64" i="26" s="1"/>
  <c r="A63" i="26"/>
  <c r="L63" i="26" s="1"/>
  <c r="M63" i="26" s="1"/>
  <c r="A62" i="26"/>
  <c r="L62" i="26" s="1"/>
  <c r="M62" i="26" s="1"/>
  <c r="A61" i="26"/>
  <c r="L61" i="26" s="1"/>
  <c r="M61" i="26" s="1"/>
  <c r="A60" i="26"/>
  <c r="L60" i="26" s="1"/>
  <c r="M60" i="26" s="1"/>
  <c r="A59" i="26"/>
  <c r="L59" i="26" s="1"/>
  <c r="M59" i="26" s="1"/>
  <c r="A58" i="26"/>
  <c r="L58" i="26" s="1"/>
  <c r="M58" i="26" s="1"/>
  <c r="A57" i="26"/>
  <c r="L57" i="26" s="1"/>
  <c r="M57" i="26" s="1"/>
  <c r="A56" i="26"/>
  <c r="L56" i="26" s="1"/>
  <c r="M56" i="26" s="1"/>
  <c r="A55" i="26"/>
  <c r="L55" i="26" s="1"/>
  <c r="M55" i="26" s="1"/>
  <c r="A54" i="26"/>
  <c r="L54" i="26" s="1"/>
  <c r="M54" i="26" s="1"/>
  <c r="A53" i="26"/>
  <c r="L53" i="26" s="1"/>
  <c r="M53" i="26" s="1"/>
  <c r="A52" i="26"/>
  <c r="L52" i="26" s="1"/>
  <c r="M52" i="26" s="1"/>
  <c r="A51" i="26"/>
  <c r="L51" i="26" s="1"/>
  <c r="M51" i="26" s="1"/>
  <c r="A50" i="26"/>
  <c r="L50" i="26" s="1"/>
  <c r="M50" i="26" s="1"/>
  <c r="A49" i="26"/>
  <c r="L49" i="26" s="1"/>
  <c r="M49" i="26" s="1"/>
  <c r="A48" i="26"/>
  <c r="L48" i="26" s="1"/>
  <c r="M48" i="26" s="1"/>
  <c r="A47" i="26"/>
  <c r="L47" i="26" s="1"/>
  <c r="M47" i="26" s="1"/>
  <c r="A46" i="26"/>
  <c r="L46" i="26" s="1"/>
  <c r="M46" i="26" s="1"/>
  <c r="A45" i="26"/>
  <c r="L45" i="26" s="1"/>
  <c r="M45" i="26" s="1"/>
  <c r="A44" i="26"/>
  <c r="L44" i="26" s="1"/>
  <c r="M44" i="26" s="1"/>
  <c r="A43" i="26"/>
  <c r="L43" i="26" s="1"/>
  <c r="M43" i="26" s="1"/>
  <c r="A42" i="26"/>
  <c r="L42" i="26" s="1"/>
  <c r="M42" i="26" s="1"/>
  <c r="A41" i="26"/>
  <c r="L41" i="26" s="1"/>
  <c r="M41" i="26" s="1"/>
  <c r="A40" i="26"/>
  <c r="L40" i="26" s="1"/>
  <c r="M40" i="26" s="1"/>
  <c r="A39" i="26"/>
  <c r="L39" i="26" s="1"/>
  <c r="M39" i="26" s="1"/>
  <c r="A38" i="26"/>
  <c r="L38" i="26" s="1"/>
  <c r="M38" i="26" s="1"/>
  <c r="A37" i="26"/>
  <c r="L37" i="26" s="1"/>
  <c r="M37" i="26" s="1"/>
  <c r="A36" i="26"/>
  <c r="L36" i="26" s="1"/>
  <c r="M36" i="26" s="1"/>
  <c r="A35" i="26"/>
  <c r="L35" i="26" s="1"/>
  <c r="M35" i="26" s="1"/>
  <c r="A34" i="26"/>
  <c r="L34" i="26" s="1"/>
  <c r="M34" i="26" s="1"/>
  <c r="A33" i="26"/>
  <c r="L33" i="26" s="1"/>
  <c r="M33" i="26" s="1"/>
  <c r="A32" i="26"/>
  <c r="L32" i="26" s="1"/>
  <c r="M32" i="26" s="1"/>
  <c r="A31" i="26"/>
  <c r="L31" i="26" s="1"/>
  <c r="M31" i="26" s="1"/>
  <c r="A30" i="26"/>
  <c r="L30" i="26" s="1"/>
  <c r="M30" i="26" s="1"/>
  <c r="A29" i="26"/>
  <c r="L29" i="26" s="1"/>
  <c r="M29" i="26" s="1"/>
  <c r="A22" i="26"/>
  <c r="L22" i="26" s="1"/>
  <c r="M22" i="26" s="1"/>
  <c r="A10" i="26"/>
  <c r="L10" i="26" s="1"/>
  <c r="M10" i="26" s="1"/>
  <c r="A9" i="26"/>
  <c r="L9" i="26" s="1"/>
  <c r="M9" i="26" s="1"/>
  <c r="A8" i="26"/>
  <c r="L8" i="26" s="1"/>
  <c r="M8" i="26" s="1"/>
  <c r="A7" i="26"/>
  <c r="L7" i="26" s="1"/>
  <c r="M7" i="26" s="1"/>
  <c r="A6" i="26"/>
  <c r="L6" i="26" s="1"/>
  <c r="M6" i="26" s="1"/>
  <c r="A5" i="26"/>
  <c r="L5" i="26" s="1"/>
  <c r="M5" i="26" s="1"/>
  <c r="A4" i="26"/>
  <c r="L4" i="26" s="1"/>
  <c r="M4" i="26" s="1"/>
  <c r="A3" i="26"/>
  <c r="L3" i="26" s="1"/>
  <c r="M3" i="26" s="1"/>
  <c r="L2" i="26"/>
  <c r="M2" i="26" s="1"/>
  <c r="I153" i="40"/>
  <c r="L2" i="25"/>
  <c r="A166" i="25"/>
  <c r="M166" i="25" s="1"/>
  <c r="N166" i="25" s="1"/>
  <c r="A163" i="25"/>
  <c r="M163" i="25" s="1"/>
  <c r="N163" i="25" s="1"/>
  <c r="A162" i="25"/>
  <c r="M162" i="25" s="1"/>
  <c r="N162" i="25" s="1"/>
  <c r="A161" i="25"/>
  <c r="M161" i="25" s="1"/>
  <c r="N161" i="25" s="1"/>
  <c r="A160" i="25"/>
  <c r="M160" i="25" s="1"/>
  <c r="N160" i="25" s="1"/>
  <c r="A159" i="25"/>
  <c r="M159" i="25" s="1"/>
  <c r="N159" i="25" s="1"/>
  <c r="A158" i="25"/>
  <c r="M158" i="25" s="1"/>
  <c r="N158" i="25" s="1"/>
  <c r="A157" i="25"/>
  <c r="M157" i="25" s="1"/>
  <c r="N157" i="25" s="1"/>
  <c r="A156" i="25"/>
  <c r="M156" i="25" s="1"/>
  <c r="N156" i="25" s="1"/>
  <c r="A155" i="25"/>
  <c r="M155" i="25" s="1"/>
  <c r="N155" i="25" s="1"/>
  <c r="A154" i="25"/>
  <c r="M154" i="25" s="1"/>
  <c r="N154" i="25" s="1"/>
  <c r="A153" i="25"/>
  <c r="M153" i="25" s="1"/>
  <c r="N153" i="25" s="1"/>
  <c r="A152" i="25"/>
  <c r="M152" i="25" s="1"/>
  <c r="N152" i="25" s="1"/>
  <c r="A151" i="25"/>
  <c r="M151" i="25" s="1"/>
  <c r="N151" i="25" s="1"/>
  <c r="A150" i="25"/>
  <c r="M150" i="25" s="1"/>
  <c r="N150" i="25" s="1"/>
  <c r="A149" i="25"/>
  <c r="M149" i="25" s="1"/>
  <c r="N149" i="25" s="1"/>
  <c r="A148" i="25"/>
  <c r="M148" i="25" s="1"/>
  <c r="N148" i="25" s="1"/>
  <c r="A147" i="25"/>
  <c r="M147" i="25" s="1"/>
  <c r="N147" i="25" s="1"/>
  <c r="A146" i="25"/>
  <c r="M146" i="25" s="1"/>
  <c r="N146" i="25" s="1"/>
  <c r="A145" i="25"/>
  <c r="M145" i="25" s="1"/>
  <c r="N145" i="25" s="1"/>
  <c r="A144" i="25"/>
  <c r="M144" i="25" s="1"/>
  <c r="N144" i="25" s="1"/>
  <c r="A143" i="25"/>
  <c r="M143" i="25" s="1"/>
  <c r="N143" i="25" s="1"/>
  <c r="A142" i="25"/>
  <c r="M142" i="25" s="1"/>
  <c r="N142" i="25" s="1"/>
  <c r="A141" i="25"/>
  <c r="M141" i="25" s="1"/>
  <c r="N141" i="25" s="1"/>
  <c r="A140" i="25"/>
  <c r="M140" i="25" s="1"/>
  <c r="N140" i="25" s="1"/>
  <c r="A139" i="25"/>
  <c r="M139" i="25" s="1"/>
  <c r="N139" i="25" s="1"/>
  <c r="A134" i="25"/>
  <c r="M134" i="25" s="1"/>
  <c r="N134" i="25" s="1"/>
  <c r="A133" i="25"/>
  <c r="M133" i="25" s="1"/>
  <c r="N133" i="25" s="1"/>
  <c r="A132" i="25"/>
  <c r="M132" i="25" s="1"/>
  <c r="N132" i="25" s="1"/>
  <c r="A131" i="25"/>
  <c r="M131" i="25" s="1"/>
  <c r="N131" i="25" s="1"/>
  <c r="A130" i="25"/>
  <c r="M130" i="25" s="1"/>
  <c r="N130" i="25" s="1"/>
  <c r="A129" i="25"/>
  <c r="M129" i="25" s="1"/>
  <c r="N129" i="25" s="1"/>
  <c r="A127" i="25"/>
  <c r="M127" i="25" s="1"/>
  <c r="N127" i="25" s="1"/>
  <c r="A126" i="25"/>
  <c r="M126" i="25" s="1"/>
  <c r="N126" i="25" s="1"/>
  <c r="A125" i="25"/>
  <c r="M125" i="25" s="1"/>
  <c r="N125" i="25" s="1"/>
  <c r="A124" i="25"/>
  <c r="M124" i="25" s="1"/>
  <c r="N124" i="25" s="1"/>
  <c r="A123" i="25"/>
  <c r="M123" i="25" s="1"/>
  <c r="N123" i="25" s="1"/>
  <c r="A122" i="25"/>
  <c r="M122" i="25" s="1"/>
  <c r="N122" i="25" s="1"/>
  <c r="A121" i="25"/>
  <c r="M121" i="25" s="1"/>
  <c r="N121" i="25" s="1"/>
  <c r="A120" i="25"/>
  <c r="M120" i="25" s="1"/>
  <c r="N120" i="25" s="1"/>
  <c r="A119" i="25"/>
  <c r="M119" i="25" s="1"/>
  <c r="N119" i="25" s="1"/>
  <c r="A118" i="25"/>
  <c r="M118" i="25" s="1"/>
  <c r="N118" i="25" s="1"/>
  <c r="A117" i="25"/>
  <c r="M117" i="25" s="1"/>
  <c r="N117" i="25" s="1"/>
  <c r="A116" i="25"/>
  <c r="M116" i="25" s="1"/>
  <c r="N116" i="25" s="1"/>
  <c r="A115" i="25"/>
  <c r="M115" i="25" s="1"/>
  <c r="N115" i="25" s="1"/>
  <c r="A114" i="25"/>
  <c r="M114" i="25" s="1"/>
  <c r="N114" i="25" s="1"/>
  <c r="A113" i="25"/>
  <c r="M113" i="25" s="1"/>
  <c r="N113" i="25" s="1"/>
  <c r="A112" i="25"/>
  <c r="M112" i="25" s="1"/>
  <c r="N112" i="25" s="1"/>
  <c r="A111" i="25"/>
  <c r="M111" i="25" s="1"/>
  <c r="N111" i="25" s="1"/>
  <c r="A110" i="25"/>
  <c r="M110" i="25" s="1"/>
  <c r="N110" i="25" s="1"/>
  <c r="A109" i="25"/>
  <c r="M109" i="25" s="1"/>
  <c r="N109" i="25" s="1"/>
  <c r="A108" i="25"/>
  <c r="M108" i="25" s="1"/>
  <c r="N108" i="25" s="1"/>
  <c r="A107" i="25"/>
  <c r="M107" i="25" s="1"/>
  <c r="N107" i="25" s="1"/>
  <c r="A106" i="25"/>
  <c r="M106" i="25" s="1"/>
  <c r="N106" i="25" s="1"/>
  <c r="A105" i="25"/>
  <c r="M105" i="25" s="1"/>
  <c r="N105" i="25" s="1"/>
  <c r="A104" i="25"/>
  <c r="M104" i="25" s="1"/>
  <c r="N104" i="25" s="1"/>
  <c r="A103" i="25"/>
  <c r="M103" i="25" s="1"/>
  <c r="N103" i="25" s="1"/>
  <c r="A102" i="25"/>
  <c r="M102" i="25" s="1"/>
  <c r="N102" i="25" s="1"/>
  <c r="A101" i="25"/>
  <c r="M101" i="25" s="1"/>
  <c r="N101" i="25" s="1"/>
  <c r="A100" i="25"/>
  <c r="M100" i="25" s="1"/>
  <c r="N100" i="25" s="1"/>
  <c r="A99" i="25"/>
  <c r="M99" i="25" s="1"/>
  <c r="N99" i="25" s="1"/>
  <c r="A98" i="25"/>
  <c r="M98" i="25" s="1"/>
  <c r="N98" i="25" s="1"/>
  <c r="A97" i="25"/>
  <c r="M97" i="25" s="1"/>
  <c r="N97" i="25" s="1"/>
  <c r="A96" i="25"/>
  <c r="M96" i="25" s="1"/>
  <c r="N96" i="25" s="1"/>
  <c r="A95" i="25"/>
  <c r="M95" i="25" s="1"/>
  <c r="N95" i="25" s="1"/>
  <c r="A94" i="25"/>
  <c r="M94" i="25" s="1"/>
  <c r="N94" i="25" s="1"/>
  <c r="A93" i="25"/>
  <c r="M93" i="25" s="1"/>
  <c r="N93" i="25" s="1"/>
  <c r="A92" i="25"/>
  <c r="M92" i="25" s="1"/>
  <c r="N92" i="25" s="1"/>
  <c r="A91" i="25"/>
  <c r="M91" i="25" s="1"/>
  <c r="N91" i="25" s="1"/>
  <c r="A90" i="25"/>
  <c r="M90" i="25" s="1"/>
  <c r="N90" i="25" s="1"/>
  <c r="A89" i="25"/>
  <c r="M89" i="25" s="1"/>
  <c r="N89" i="25" s="1"/>
  <c r="A88" i="25"/>
  <c r="M88" i="25" s="1"/>
  <c r="N88" i="25" s="1"/>
  <c r="A87" i="25"/>
  <c r="M87" i="25" s="1"/>
  <c r="N87" i="25" s="1"/>
  <c r="A86" i="25"/>
  <c r="M86" i="25" s="1"/>
  <c r="N86" i="25" s="1"/>
  <c r="A85" i="25"/>
  <c r="M85" i="25" s="1"/>
  <c r="N85" i="25" s="1"/>
  <c r="A84" i="25"/>
  <c r="M84" i="25" s="1"/>
  <c r="N84" i="25" s="1"/>
  <c r="A83" i="25"/>
  <c r="M83" i="25" s="1"/>
  <c r="N83" i="25" s="1"/>
  <c r="A82" i="25"/>
  <c r="M82" i="25" s="1"/>
  <c r="N82" i="25" s="1"/>
  <c r="A81" i="25"/>
  <c r="M81" i="25" s="1"/>
  <c r="N81" i="25" s="1"/>
  <c r="A80" i="25"/>
  <c r="M80" i="25" s="1"/>
  <c r="N80" i="25" s="1"/>
  <c r="A79" i="25"/>
  <c r="M79" i="25" s="1"/>
  <c r="N79" i="25" s="1"/>
  <c r="A78" i="25"/>
  <c r="M78" i="25" s="1"/>
  <c r="N78" i="25" s="1"/>
  <c r="A77" i="25"/>
  <c r="M77" i="25" s="1"/>
  <c r="N77" i="25" s="1"/>
  <c r="A76" i="25"/>
  <c r="M76" i="25" s="1"/>
  <c r="N76" i="25" s="1"/>
  <c r="A75" i="25"/>
  <c r="M75" i="25" s="1"/>
  <c r="N75" i="25" s="1"/>
  <c r="A74" i="25"/>
  <c r="M74" i="25" s="1"/>
  <c r="N74" i="25" s="1"/>
  <c r="A73" i="25"/>
  <c r="M73" i="25" s="1"/>
  <c r="N73" i="25" s="1"/>
  <c r="A72" i="25"/>
  <c r="M72" i="25" s="1"/>
  <c r="N72" i="25" s="1"/>
  <c r="A71" i="25"/>
  <c r="M71" i="25" s="1"/>
  <c r="N71" i="25" s="1"/>
  <c r="A70" i="25"/>
  <c r="M70" i="25" s="1"/>
  <c r="N70" i="25" s="1"/>
  <c r="A69" i="25"/>
  <c r="M69" i="25" s="1"/>
  <c r="N69" i="25" s="1"/>
  <c r="A68" i="25"/>
  <c r="M68" i="25" s="1"/>
  <c r="N68" i="25" s="1"/>
  <c r="A67" i="25"/>
  <c r="M67" i="25" s="1"/>
  <c r="N67" i="25" s="1"/>
  <c r="A66" i="25"/>
  <c r="M66" i="25" s="1"/>
  <c r="N66" i="25" s="1"/>
  <c r="A65" i="25"/>
  <c r="M65" i="25" s="1"/>
  <c r="N65" i="25" s="1"/>
  <c r="A64" i="25"/>
  <c r="M64" i="25" s="1"/>
  <c r="N64" i="25" s="1"/>
  <c r="A63" i="25"/>
  <c r="M63" i="25" s="1"/>
  <c r="N63" i="25" s="1"/>
  <c r="A62" i="25"/>
  <c r="M62" i="25" s="1"/>
  <c r="N62" i="25" s="1"/>
  <c r="A61" i="25"/>
  <c r="M61" i="25" s="1"/>
  <c r="N61" i="25" s="1"/>
  <c r="A60" i="25"/>
  <c r="M60" i="25" s="1"/>
  <c r="N60" i="25" s="1"/>
  <c r="A59" i="25"/>
  <c r="M59" i="25" s="1"/>
  <c r="N59" i="25" s="1"/>
  <c r="A58" i="25"/>
  <c r="M58" i="25" s="1"/>
  <c r="N58" i="25" s="1"/>
  <c r="A57" i="25"/>
  <c r="M57" i="25" s="1"/>
  <c r="N57" i="25" s="1"/>
  <c r="A56" i="25"/>
  <c r="M56" i="25" s="1"/>
  <c r="N56" i="25" s="1"/>
  <c r="A55" i="25"/>
  <c r="M55" i="25" s="1"/>
  <c r="N55" i="25" s="1"/>
  <c r="A54" i="25"/>
  <c r="M54" i="25" s="1"/>
  <c r="N54" i="25" s="1"/>
  <c r="A53" i="25"/>
  <c r="M53" i="25" s="1"/>
  <c r="N53" i="25" s="1"/>
  <c r="A52" i="25"/>
  <c r="M52" i="25" s="1"/>
  <c r="N52" i="25" s="1"/>
  <c r="A51" i="25"/>
  <c r="M51" i="25" s="1"/>
  <c r="N51" i="25" s="1"/>
  <c r="A50" i="25"/>
  <c r="M50" i="25" s="1"/>
  <c r="N50" i="25" s="1"/>
  <c r="A49" i="25"/>
  <c r="M49" i="25" s="1"/>
  <c r="N49" i="25" s="1"/>
  <c r="A48" i="25"/>
  <c r="M48" i="25" s="1"/>
  <c r="N48" i="25" s="1"/>
  <c r="A47" i="25"/>
  <c r="M47" i="25" s="1"/>
  <c r="N47" i="25" s="1"/>
  <c r="A46" i="25"/>
  <c r="M46" i="25" s="1"/>
  <c r="N46" i="25" s="1"/>
  <c r="A45" i="25"/>
  <c r="M45" i="25" s="1"/>
  <c r="N45" i="25" s="1"/>
  <c r="A44" i="25"/>
  <c r="M44" i="25" s="1"/>
  <c r="N44" i="25" s="1"/>
  <c r="A43" i="25"/>
  <c r="M43" i="25" s="1"/>
  <c r="N43" i="25" s="1"/>
  <c r="A42" i="25"/>
  <c r="M42" i="25" s="1"/>
  <c r="N42" i="25" s="1"/>
  <c r="A41" i="25"/>
  <c r="M41" i="25" s="1"/>
  <c r="N41" i="25" s="1"/>
  <c r="A40" i="25"/>
  <c r="M40" i="25" s="1"/>
  <c r="N40" i="25" s="1"/>
  <c r="A39" i="25"/>
  <c r="M39" i="25" s="1"/>
  <c r="N39" i="25" s="1"/>
  <c r="A38" i="25"/>
  <c r="M38" i="25" s="1"/>
  <c r="N38" i="25" s="1"/>
  <c r="A37" i="25"/>
  <c r="M37" i="25" s="1"/>
  <c r="N37" i="25" s="1"/>
  <c r="A36" i="25"/>
  <c r="M36" i="25" s="1"/>
  <c r="N36" i="25" s="1"/>
  <c r="A35" i="25"/>
  <c r="M35" i="25" s="1"/>
  <c r="N35" i="25" s="1"/>
  <c r="A34" i="25"/>
  <c r="M34" i="25" s="1"/>
  <c r="N34" i="25" s="1"/>
  <c r="A33" i="25"/>
  <c r="M33" i="25" s="1"/>
  <c r="N33" i="25" s="1"/>
  <c r="A32" i="25"/>
  <c r="M32" i="25" s="1"/>
  <c r="N32" i="25" s="1"/>
  <c r="A31" i="25"/>
  <c r="M31" i="25" s="1"/>
  <c r="N31" i="25" s="1"/>
  <c r="A30" i="25"/>
  <c r="M30" i="25" s="1"/>
  <c r="N30" i="25" s="1"/>
  <c r="A29" i="25"/>
  <c r="M29" i="25" s="1"/>
  <c r="N29" i="25" s="1"/>
  <c r="A10" i="25"/>
  <c r="M10" i="25" s="1"/>
  <c r="N10" i="25" s="1"/>
  <c r="A9" i="25"/>
  <c r="M9" i="25" s="1"/>
  <c r="N9" i="25" s="1"/>
  <c r="A8" i="25"/>
  <c r="M8" i="25" s="1"/>
  <c r="N8" i="25" s="1"/>
  <c r="A7" i="25"/>
  <c r="M7" i="25" s="1"/>
  <c r="N7" i="25" s="1"/>
  <c r="A6" i="25"/>
  <c r="M6" i="25" s="1"/>
  <c r="N6" i="25" s="1"/>
  <c r="A5" i="25"/>
  <c r="M5" i="25" s="1"/>
  <c r="N5" i="25" s="1"/>
  <c r="A4" i="25"/>
  <c r="M4" i="25" s="1"/>
  <c r="N4" i="25" s="1"/>
  <c r="A3" i="25"/>
  <c r="M3" i="25" s="1"/>
  <c r="N3" i="25" s="1"/>
  <c r="A2" i="25"/>
  <c r="M2" i="25" s="1"/>
  <c r="N2" i="25" s="1"/>
  <c r="N28" i="40"/>
  <c r="N73" i="40"/>
  <c r="T136" i="1"/>
  <c r="M178" i="26" l="1"/>
  <c r="I55" i="41"/>
  <c r="J55" i="41" s="1"/>
  <c r="I61" i="41"/>
  <c r="J61" i="41" s="1"/>
  <c r="I69" i="41"/>
  <c r="J69" i="41" s="1"/>
  <c r="I77" i="41"/>
  <c r="J77" i="41" s="1"/>
  <c r="I83" i="41"/>
  <c r="J83" i="41" s="1"/>
  <c r="I88" i="41"/>
  <c r="J88" i="41" s="1"/>
  <c r="I119" i="41"/>
  <c r="J119" i="41" s="1"/>
  <c r="I123" i="41"/>
  <c r="J123" i="41" s="1"/>
  <c r="I128" i="41"/>
  <c r="J128" i="41" s="1"/>
  <c r="I132" i="41"/>
  <c r="J132" i="41" s="1"/>
  <c r="I136" i="41"/>
  <c r="J136" i="41" s="1"/>
  <c r="I141" i="41"/>
  <c r="J141" i="41" s="1"/>
  <c r="I145" i="41"/>
  <c r="J145" i="41" s="1"/>
  <c r="I149" i="41"/>
  <c r="J149" i="41" s="1"/>
  <c r="I153" i="41"/>
  <c r="J153" i="41" s="1"/>
  <c r="I160" i="41"/>
  <c r="J160" i="41" s="1"/>
  <c r="I165" i="41"/>
  <c r="J165" i="41" s="1"/>
  <c r="I171" i="41"/>
  <c r="J171" i="41" s="1"/>
  <c r="I175" i="41"/>
  <c r="J175" i="41" s="1"/>
  <c r="I183" i="41"/>
  <c r="J183" i="41" s="1"/>
  <c r="I187" i="41"/>
  <c r="J187" i="41" s="1"/>
  <c r="I62" i="41"/>
  <c r="J62" i="41" s="1"/>
  <c r="I70" i="41"/>
  <c r="J70" i="41" s="1"/>
  <c r="I78" i="41"/>
  <c r="J78" i="41" s="1"/>
  <c r="I84" i="41"/>
  <c r="J84" i="41" s="1"/>
  <c r="I96" i="41"/>
  <c r="J96" i="41" s="1"/>
  <c r="I120" i="41"/>
  <c r="J120" i="41" s="1"/>
  <c r="I125" i="41"/>
  <c r="J125" i="41" s="1"/>
  <c r="I129" i="41"/>
  <c r="J129" i="41" s="1"/>
  <c r="I133" i="41"/>
  <c r="J133" i="41" s="1"/>
  <c r="I138" i="41"/>
  <c r="J138" i="41" s="1"/>
  <c r="I142" i="41"/>
  <c r="J142" i="41" s="1"/>
  <c r="I146" i="41"/>
  <c r="J146" i="41" s="1"/>
  <c r="I150" i="41"/>
  <c r="J150" i="41" s="1"/>
  <c r="I156" i="41"/>
  <c r="J156" i="41" s="1"/>
  <c r="I161" i="41"/>
  <c r="J161" i="41" s="1"/>
  <c r="I166" i="41"/>
  <c r="J166" i="41" s="1"/>
  <c r="I172" i="41"/>
  <c r="J172" i="41" s="1"/>
  <c r="I178" i="41"/>
  <c r="J178" i="41" s="1"/>
  <c r="I184" i="41"/>
  <c r="J184" i="41" s="1"/>
  <c r="I188" i="41"/>
  <c r="J188" i="41" s="1"/>
  <c r="I60" i="41"/>
  <c r="J60" i="41" s="1"/>
  <c r="I68" i="41"/>
  <c r="J68" i="41" s="1"/>
  <c r="I80" i="41"/>
  <c r="J80" i="41" s="1"/>
  <c r="I87" i="41"/>
  <c r="J87" i="41" s="1"/>
  <c r="I117" i="41"/>
  <c r="J117" i="41" s="1"/>
  <c r="I127" i="41"/>
  <c r="J127" i="41" s="1"/>
  <c r="I131" i="41"/>
  <c r="J131" i="41" s="1"/>
  <c r="I135" i="41"/>
  <c r="J135" i="41" s="1"/>
  <c r="I140" i="41"/>
  <c r="J140" i="41" s="1"/>
  <c r="I144" i="41"/>
  <c r="J144" i="41" s="1"/>
  <c r="I148" i="41"/>
  <c r="J148" i="41" s="1"/>
  <c r="I152" i="41"/>
  <c r="J152" i="41" s="1"/>
  <c r="I159" i="41"/>
  <c r="J159" i="41" s="1"/>
  <c r="I163" i="41"/>
  <c r="J163" i="41" s="1"/>
  <c r="I174" i="41"/>
  <c r="J174" i="41" s="1"/>
  <c r="I186" i="41"/>
  <c r="J186" i="41" s="1"/>
  <c r="I56" i="41"/>
  <c r="J56" i="41" s="1"/>
  <c r="I181" i="41"/>
  <c r="J181" i="41" s="1"/>
  <c r="I59" i="41"/>
  <c r="J59" i="41" s="1"/>
  <c r="I65" i="41"/>
  <c r="J65" i="41" s="1"/>
  <c r="I71" i="41"/>
  <c r="J71" i="41" s="1"/>
  <c r="I79" i="41"/>
  <c r="J79" i="41" s="1"/>
  <c r="I85" i="41"/>
  <c r="J85" i="41" s="1"/>
  <c r="I102" i="41"/>
  <c r="J102" i="41" s="1"/>
  <c r="I121" i="41"/>
  <c r="J121" i="41" s="1"/>
  <c r="I126" i="41"/>
  <c r="J126" i="41" s="1"/>
  <c r="I130" i="41"/>
  <c r="J130" i="41" s="1"/>
  <c r="I134" i="41"/>
  <c r="J134" i="41" s="1"/>
  <c r="I139" i="41"/>
  <c r="J139" i="41" s="1"/>
  <c r="I143" i="41"/>
  <c r="J143" i="41" s="1"/>
  <c r="I147" i="41"/>
  <c r="J147" i="41" s="1"/>
  <c r="I151" i="41"/>
  <c r="J151" i="41" s="1"/>
  <c r="I158" i="41"/>
  <c r="J158" i="41" s="1"/>
  <c r="I162" i="41"/>
  <c r="J162" i="41" s="1"/>
  <c r="I169" i="41"/>
  <c r="J169" i="41" s="1"/>
  <c r="I173" i="41"/>
  <c r="J173" i="41" s="1"/>
  <c r="I179" i="41"/>
  <c r="J179" i="41" s="1"/>
  <c r="I185" i="41"/>
  <c r="J185" i="41" s="1"/>
  <c r="I122" i="41"/>
  <c r="J122" i="41" s="1"/>
  <c r="I170" i="41"/>
  <c r="J170" i="41" s="1"/>
  <c r="I76" i="41"/>
  <c r="J76" i="41" s="1"/>
  <c r="I11" i="41"/>
  <c r="I26" i="41"/>
  <c r="I30" i="41"/>
  <c r="I34" i="41"/>
  <c r="I38" i="41"/>
  <c r="I43" i="41"/>
  <c r="I8" i="41"/>
  <c r="I13" i="41"/>
  <c r="I18" i="41"/>
  <c r="I22" i="41"/>
  <c r="I39" i="41"/>
  <c r="I27" i="41"/>
  <c r="I31" i="41"/>
  <c r="I35" i="41"/>
  <c r="I40" i="41"/>
  <c r="I44" i="41"/>
  <c r="I9" i="41"/>
  <c r="I14" i="41"/>
  <c r="I19" i="41"/>
  <c r="I23" i="41"/>
  <c r="I5" i="41"/>
  <c r="I15" i="41"/>
  <c r="I28" i="41"/>
  <c r="I32" i="41"/>
  <c r="I36" i="41"/>
  <c r="I41" i="41"/>
  <c r="I6" i="41"/>
  <c r="I10" i="41"/>
  <c r="I16" i="41"/>
  <c r="I20" i="41"/>
  <c r="I24" i="41"/>
  <c r="I45" i="41"/>
  <c r="I29" i="41"/>
  <c r="I33" i="41"/>
  <c r="I37" i="41"/>
  <c r="I42" i="41"/>
  <c r="I7" i="41"/>
  <c r="I12" i="41"/>
  <c r="I17" i="41"/>
  <c r="I21" i="41"/>
  <c r="I63" i="41"/>
  <c r="J63" i="41" s="1"/>
  <c r="I72" i="41"/>
  <c r="J72" i="41" s="1"/>
  <c r="I81" i="41"/>
  <c r="J81" i="41" s="1"/>
  <c r="I89" i="41"/>
  <c r="J89" i="41" s="1"/>
  <c r="I93" i="41"/>
  <c r="J93" i="41" s="1"/>
  <c r="I97" i="41"/>
  <c r="J97" i="41" s="1"/>
  <c r="I101" i="41"/>
  <c r="J101" i="41" s="1"/>
  <c r="I105" i="41"/>
  <c r="J105" i="41" s="1"/>
  <c r="I109" i="41"/>
  <c r="J109" i="41" s="1"/>
  <c r="I113" i="41"/>
  <c r="J113" i="41" s="1"/>
  <c r="I137" i="41"/>
  <c r="J137" i="41" s="1"/>
  <c r="I157" i="41"/>
  <c r="J157" i="41" s="1"/>
  <c r="I177" i="41"/>
  <c r="J177" i="41" s="1"/>
  <c r="I108" i="41"/>
  <c r="J108" i="41" s="1"/>
  <c r="I168" i="41"/>
  <c r="J168" i="41" s="1"/>
  <c r="I64" i="41"/>
  <c r="J64" i="41" s="1"/>
  <c r="I73" i="41"/>
  <c r="J73" i="41" s="1"/>
  <c r="I82" i="41"/>
  <c r="J82" i="41" s="1"/>
  <c r="I86" i="41"/>
  <c r="J86" i="41" s="1"/>
  <c r="I90" i="41"/>
  <c r="J90" i="41" s="1"/>
  <c r="I94" i="41"/>
  <c r="J94" i="41" s="1"/>
  <c r="I98" i="41"/>
  <c r="J98" i="41" s="1"/>
  <c r="I106" i="41"/>
  <c r="J106" i="41" s="1"/>
  <c r="I110" i="41"/>
  <c r="J110" i="41" s="1"/>
  <c r="I114" i="41"/>
  <c r="J114" i="41" s="1"/>
  <c r="I118" i="41"/>
  <c r="J118" i="41" s="1"/>
  <c r="I154" i="41"/>
  <c r="J154" i="41" s="1"/>
  <c r="I182" i="41"/>
  <c r="J182" i="41" s="1"/>
  <c r="I57" i="41"/>
  <c r="I75" i="41"/>
  <c r="J75" i="41" s="1"/>
  <c r="I91" i="41"/>
  <c r="J91" i="41" s="1"/>
  <c r="I95" i="41"/>
  <c r="J95" i="41" s="1"/>
  <c r="I99" i="41"/>
  <c r="J99" i="41" s="1"/>
  <c r="I103" i="41"/>
  <c r="J103" i="41" s="1"/>
  <c r="I107" i="41"/>
  <c r="J107" i="41" s="1"/>
  <c r="I111" i="41"/>
  <c r="J111" i="41" s="1"/>
  <c r="I115" i="41"/>
  <c r="J115" i="41" s="1"/>
  <c r="I155" i="41"/>
  <c r="J155" i="41" s="1"/>
  <c r="I167" i="41"/>
  <c r="J167" i="41" s="1"/>
  <c r="I58" i="41"/>
  <c r="J58" i="41" s="1"/>
  <c r="I67" i="41"/>
  <c r="J67" i="41" s="1"/>
  <c r="I92" i="41"/>
  <c r="J92" i="41" s="1"/>
  <c r="I100" i="41"/>
  <c r="J100" i="41" s="1"/>
  <c r="I104" i="41"/>
  <c r="J104" i="41" s="1"/>
  <c r="I112" i="41"/>
  <c r="J112" i="41" s="1"/>
  <c r="I116" i="41"/>
  <c r="J116" i="41" s="1"/>
  <c r="I124" i="41"/>
  <c r="J124" i="41" s="1"/>
  <c r="I164" i="41"/>
  <c r="J164" i="41" s="1"/>
  <c r="I176" i="41"/>
  <c r="J176" i="41" s="1"/>
  <c r="I180" i="41"/>
  <c r="J180" i="41" s="1"/>
  <c r="L24" i="1"/>
  <c r="L20" i="1"/>
  <c r="F89" i="1"/>
  <c r="F87" i="1"/>
  <c r="J87" i="1" l="1"/>
  <c r="G89" i="1"/>
  <c r="J89" i="1"/>
  <c r="J57" i="41"/>
  <c r="I189" i="41"/>
  <c r="I89" i="1"/>
  <c r="H89" i="1"/>
  <c r="T147" i="1"/>
  <c r="L92" i="1"/>
  <c r="B43" i="22"/>
  <c r="O65" i="40" l="1"/>
  <c r="R65" i="40"/>
  <c r="U65" i="40" s="1"/>
  <c r="O43" i="40"/>
  <c r="R43" i="40"/>
  <c r="U43" i="40" s="1"/>
  <c r="T112" i="1"/>
  <c r="J171" i="26" l="1"/>
  <c r="J172" i="26"/>
  <c r="J173" i="26"/>
  <c r="J175" i="26"/>
  <c r="H93" i="1"/>
  <c r="G93" i="1"/>
  <c r="I93" i="1"/>
  <c r="T39" i="1" l="1"/>
  <c r="L39" i="1"/>
  <c r="J164" i="26"/>
  <c r="V39" i="1" s="1"/>
  <c r="J165" i="26"/>
  <c r="V136" i="1" s="1"/>
  <c r="Z136" i="1" s="1"/>
  <c r="J166" i="26"/>
  <c r="J167" i="26"/>
  <c r="J168" i="26"/>
  <c r="J169" i="26"/>
  <c r="J170" i="26"/>
  <c r="L136" i="1"/>
  <c r="K141" i="40" l="1"/>
  <c r="W39" i="1"/>
  <c r="K25" i="40"/>
  <c r="Y136" i="1"/>
  <c r="Z39" i="1"/>
  <c r="X136" i="1"/>
  <c r="W136" i="1"/>
  <c r="Y39" i="1"/>
  <c r="X39" i="1"/>
  <c r="L163" i="25"/>
  <c r="L164" i="25"/>
  <c r="N136" i="1" s="1"/>
  <c r="L166" i="25"/>
  <c r="O136" i="1" l="1"/>
  <c r="L141" i="40"/>
  <c r="R136" i="1"/>
  <c r="Q141" i="40" s="1"/>
  <c r="T141" i="40" s="1"/>
  <c r="Q136" i="1"/>
  <c r="N141" i="40" s="1"/>
  <c r="P136" i="1"/>
  <c r="O48" i="22" l="1"/>
  <c r="R48" i="22" s="1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9" i="22"/>
  <c r="O50" i="22"/>
  <c r="O51" i="22"/>
  <c r="O52" i="22"/>
  <c r="O54" i="22"/>
  <c r="O55" i="22"/>
  <c r="O56" i="22"/>
  <c r="O57" i="22"/>
  <c r="O58" i="22"/>
  <c r="O32" i="22"/>
  <c r="O53" i="22" l="1"/>
  <c r="R52" i="22"/>
  <c r="L94" i="1"/>
  <c r="V90" i="1"/>
  <c r="L106" i="1"/>
  <c r="L104" i="1"/>
  <c r="L76" i="1"/>
  <c r="L101" i="1"/>
  <c r="W90" i="1" l="1"/>
  <c r="K150" i="40"/>
  <c r="Z90" i="1"/>
  <c r="N90" i="1"/>
  <c r="N39" i="1"/>
  <c r="Y90" i="1"/>
  <c r="X90" i="1"/>
  <c r="A154" i="35"/>
  <c r="F137" i="1"/>
  <c r="F135" i="1"/>
  <c r="F133" i="1"/>
  <c r="F124" i="1"/>
  <c r="F114" i="1"/>
  <c r="F145" i="1"/>
  <c r="F140" i="1"/>
  <c r="F122" i="1"/>
  <c r="F143" i="1"/>
  <c r="F147" i="1"/>
  <c r="F134" i="1"/>
  <c r="F132" i="1"/>
  <c r="F131" i="1"/>
  <c r="F130" i="1"/>
  <c r="F129" i="1"/>
  <c r="F128" i="1"/>
  <c r="F111" i="1"/>
  <c r="F125" i="1"/>
  <c r="J125" i="1" s="1"/>
  <c r="F142" i="1"/>
  <c r="F127" i="1"/>
  <c r="F123" i="1"/>
  <c r="F121" i="1"/>
  <c r="F110" i="1"/>
  <c r="F138" i="1"/>
  <c r="F120" i="1"/>
  <c r="F146" i="1"/>
  <c r="J146" i="1" s="1"/>
  <c r="F139" i="1"/>
  <c r="F119" i="1"/>
  <c r="F118" i="1"/>
  <c r="F117" i="1"/>
  <c r="F116" i="1"/>
  <c r="F115" i="1"/>
  <c r="F113" i="1"/>
  <c r="F126" i="1"/>
  <c r="F112" i="1"/>
  <c r="F109" i="1"/>
  <c r="F85" i="1"/>
  <c r="F66" i="1"/>
  <c r="F60" i="1"/>
  <c r="F65" i="1"/>
  <c r="F59" i="1"/>
  <c r="F83" i="1"/>
  <c r="F82" i="1"/>
  <c r="F58" i="1"/>
  <c r="F92" i="1"/>
  <c r="F57" i="1"/>
  <c r="F56" i="1"/>
  <c r="F55" i="1"/>
  <c r="F54" i="1"/>
  <c r="F53" i="1"/>
  <c r="F52" i="1"/>
  <c r="F51" i="1"/>
  <c r="F50" i="1"/>
  <c r="F49" i="1"/>
  <c r="F44" i="1"/>
  <c r="F47" i="1"/>
  <c r="F80" i="1"/>
  <c r="F103" i="1"/>
  <c r="F91" i="1"/>
  <c r="F79" i="1"/>
  <c r="F102" i="1"/>
  <c r="F88" i="1"/>
  <c r="F78" i="1"/>
  <c r="F106" i="1"/>
  <c r="F105" i="1"/>
  <c r="F104" i="1"/>
  <c r="F77" i="1"/>
  <c r="F76" i="1"/>
  <c r="F101" i="1"/>
  <c r="F100" i="1"/>
  <c r="F94" i="1"/>
  <c r="F68" i="1"/>
  <c r="F75" i="1"/>
  <c r="F74" i="1"/>
  <c r="F73" i="1"/>
  <c r="F72" i="1"/>
  <c r="F67" i="1"/>
  <c r="F95" i="1"/>
  <c r="F97" i="1"/>
  <c r="O47" i="40"/>
  <c r="F71" i="1"/>
  <c r="F99" i="1"/>
  <c r="F98" i="1"/>
  <c r="F48" i="1"/>
  <c r="F70" i="1"/>
  <c r="F46" i="1"/>
  <c r="F84" i="1"/>
  <c r="F45" i="1"/>
  <c r="F64" i="1"/>
  <c r="F63" i="1"/>
  <c r="F62" i="1"/>
  <c r="F43" i="1"/>
  <c r="F108" i="1"/>
  <c r="F107" i="1"/>
  <c r="J107" i="1" s="1"/>
  <c r="F61" i="1"/>
  <c r="F42" i="1"/>
  <c r="F41" i="1"/>
  <c r="F40" i="1"/>
  <c r="F38" i="1"/>
  <c r="F37" i="1"/>
  <c r="F36" i="1"/>
  <c r="F35" i="1"/>
  <c r="F34" i="1"/>
  <c r="F33" i="1"/>
  <c r="F32" i="1"/>
  <c r="A167" i="35"/>
  <c r="A166" i="35"/>
  <c r="L138" i="1"/>
  <c r="T93" i="1"/>
  <c r="L3" i="25"/>
  <c r="L4" i="25"/>
  <c r="L5" i="25"/>
  <c r="L6" i="25"/>
  <c r="L7" i="25"/>
  <c r="L8" i="25"/>
  <c r="L9" i="25"/>
  <c r="L10" i="25"/>
  <c r="L11" i="25"/>
  <c r="N10" i="1" s="1"/>
  <c r="L12" i="25"/>
  <c r="N9" i="1" s="1"/>
  <c r="L13" i="25"/>
  <c r="N11" i="1" s="1"/>
  <c r="L14" i="25"/>
  <c r="N12" i="1" s="1"/>
  <c r="L15" i="25"/>
  <c r="N13" i="1" s="1"/>
  <c r="L16" i="25"/>
  <c r="N14" i="1" s="1"/>
  <c r="L17" i="25"/>
  <c r="N15" i="1" s="1"/>
  <c r="L18" i="25"/>
  <c r="N16" i="1" s="1"/>
  <c r="L19" i="25"/>
  <c r="N17" i="1" s="1"/>
  <c r="L20" i="25"/>
  <c r="N18" i="1" s="1"/>
  <c r="L21" i="25"/>
  <c r="N19" i="1" s="1"/>
  <c r="L22" i="25"/>
  <c r="L23" i="25"/>
  <c r="N21" i="1" s="1"/>
  <c r="L24" i="25"/>
  <c r="N22" i="1" s="1"/>
  <c r="L25" i="25"/>
  <c r="N23" i="1" s="1"/>
  <c r="L26" i="25"/>
  <c r="N24" i="1" s="1"/>
  <c r="L27" i="25"/>
  <c r="N25" i="1" s="1"/>
  <c r="L28" i="25"/>
  <c r="N26" i="1" s="1"/>
  <c r="L29" i="25"/>
  <c r="N113" i="1" s="1"/>
  <c r="L30" i="25"/>
  <c r="N114" i="1" s="1"/>
  <c r="L31" i="25"/>
  <c r="N115" i="1" s="1"/>
  <c r="L32" i="25"/>
  <c r="N116" i="1" s="1"/>
  <c r="L33" i="25"/>
  <c r="N117" i="1" s="1"/>
  <c r="L34" i="25"/>
  <c r="N118" i="1" s="1"/>
  <c r="L35" i="25"/>
  <c r="N119" i="1" s="1"/>
  <c r="L36" i="25"/>
  <c r="L37" i="25"/>
  <c r="N120" i="1" s="1"/>
  <c r="L38" i="25"/>
  <c r="N121" i="1" s="1"/>
  <c r="L39" i="25"/>
  <c r="N122" i="1" s="1"/>
  <c r="L40" i="25"/>
  <c r="N127" i="1" s="1"/>
  <c r="L41" i="25"/>
  <c r="N143" i="1" s="1"/>
  <c r="L42" i="25"/>
  <c r="N133" i="1" s="1"/>
  <c r="L43" i="25"/>
  <c r="N109" i="1" s="1"/>
  <c r="L44" i="25"/>
  <c r="N110" i="1" s="1"/>
  <c r="L45" i="25"/>
  <c r="N111" i="1" s="1"/>
  <c r="L46" i="25"/>
  <c r="N126" i="1" s="1"/>
  <c r="L47" i="25"/>
  <c r="N123" i="1" s="1"/>
  <c r="L48" i="25"/>
  <c r="N125" i="1" s="1"/>
  <c r="L49" i="25"/>
  <c r="N134" i="1" s="1"/>
  <c r="L50" i="25"/>
  <c r="N135" i="1" s="1"/>
  <c r="L51" i="25"/>
  <c r="N137" i="1" s="1"/>
  <c r="L52" i="25"/>
  <c r="N128" i="1" s="1"/>
  <c r="L53" i="25"/>
  <c r="N130" i="1" s="1"/>
  <c r="L54" i="25"/>
  <c r="N131" i="1" s="1"/>
  <c r="L55" i="25"/>
  <c r="N132" i="1" s="1"/>
  <c r="L56" i="25"/>
  <c r="L57" i="25"/>
  <c r="N147" i="1" s="1"/>
  <c r="L58" i="25"/>
  <c r="L59" i="25"/>
  <c r="L60" i="25"/>
  <c r="N112" i="1" s="1"/>
  <c r="L61" i="25"/>
  <c r="N142" i="1" s="1"/>
  <c r="L62" i="25"/>
  <c r="N41" i="1" s="1"/>
  <c r="L63" i="25"/>
  <c r="N42" i="1" s="1"/>
  <c r="L64" i="25"/>
  <c r="N43" i="1" s="1"/>
  <c r="L65" i="25"/>
  <c r="L66" i="25"/>
  <c r="N46" i="1" s="1"/>
  <c r="L67" i="25"/>
  <c r="N47" i="1" s="1"/>
  <c r="L68" i="25"/>
  <c r="L69" i="25"/>
  <c r="N50" i="1" s="1"/>
  <c r="L70" i="25"/>
  <c r="N51" i="1" s="1"/>
  <c r="L71" i="25"/>
  <c r="L72" i="25"/>
  <c r="N53" i="1" s="1"/>
  <c r="L73" i="25"/>
  <c r="N54" i="1" s="1"/>
  <c r="L74" i="25"/>
  <c r="L75" i="25"/>
  <c r="L76" i="25"/>
  <c r="N58" i="1" s="1"/>
  <c r="L77" i="25"/>
  <c r="L78" i="25"/>
  <c r="N60" i="1" s="1"/>
  <c r="L79" i="25"/>
  <c r="N33" i="1" s="1"/>
  <c r="L80" i="25"/>
  <c r="N34" i="1" s="1"/>
  <c r="L81" i="25"/>
  <c r="N35" i="1" s="1"/>
  <c r="L82" i="25"/>
  <c r="N36" i="1" s="1"/>
  <c r="L83" i="25"/>
  <c r="L84" i="25"/>
  <c r="N61" i="1" s="1"/>
  <c r="L85" i="25"/>
  <c r="L86" i="25"/>
  <c r="L87" i="25"/>
  <c r="N64" i="1" s="1"/>
  <c r="L88" i="25"/>
  <c r="N65" i="1" s="1"/>
  <c r="L89" i="25"/>
  <c r="L90" i="25"/>
  <c r="N68" i="1" s="1"/>
  <c r="L91" i="25"/>
  <c r="N84" i="1" s="1"/>
  <c r="L92" i="25"/>
  <c r="N85" i="1" s="1"/>
  <c r="L93" i="25"/>
  <c r="N44" i="1" s="1"/>
  <c r="L94" i="25"/>
  <c r="N82" i="1" s="1"/>
  <c r="L95" i="25"/>
  <c r="N83" i="1" s="1"/>
  <c r="L96" i="25"/>
  <c r="N70" i="1" s="1"/>
  <c r="L97" i="25"/>
  <c r="N71" i="1" s="1"/>
  <c r="L98" i="25"/>
  <c r="N72" i="1" s="1"/>
  <c r="L99" i="25"/>
  <c r="N73" i="1" s="1"/>
  <c r="L100" i="25"/>
  <c r="L101" i="25"/>
  <c r="N76" i="1" s="1"/>
  <c r="L102" i="25"/>
  <c r="N77" i="1" s="1"/>
  <c r="L103" i="25"/>
  <c r="N78" i="1" s="1"/>
  <c r="L104" i="25"/>
  <c r="N79" i="1" s="1"/>
  <c r="L105" i="25"/>
  <c r="N80" i="1" s="1"/>
  <c r="L106" i="25"/>
  <c r="L107" i="25"/>
  <c r="L108" i="25"/>
  <c r="L109" i="25"/>
  <c r="L110" i="25"/>
  <c r="L111" i="25"/>
  <c r="N99" i="1" s="1"/>
  <c r="L112" i="25"/>
  <c r="L113" i="25"/>
  <c r="L114" i="25"/>
  <c r="L115" i="25"/>
  <c r="N100" i="1" s="1"/>
  <c r="L116" i="25"/>
  <c r="N101" i="1" s="1"/>
  <c r="L117" i="25"/>
  <c r="N104" i="1" s="1"/>
  <c r="L118" i="25"/>
  <c r="N105" i="1" s="1"/>
  <c r="L119" i="25"/>
  <c r="N106" i="1" s="1"/>
  <c r="L120" i="25"/>
  <c r="L121" i="25"/>
  <c r="L122" i="25"/>
  <c r="N103" i="1" s="1"/>
  <c r="L123" i="25"/>
  <c r="L124" i="25"/>
  <c r="L125" i="25"/>
  <c r="L126" i="25"/>
  <c r="L127" i="25"/>
  <c r="L128" i="25"/>
  <c r="N29" i="1" s="1"/>
  <c r="L129" i="25"/>
  <c r="L130" i="25"/>
  <c r="N129" i="1" s="1"/>
  <c r="L131" i="25"/>
  <c r="N31" i="1" s="1"/>
  <c r="L132" i="25"/>
  <c r="L133" i="25"/>
  <c r="N124" i="1" s="1"/>
  <c r="L134" i="25"/>
  <c r="N32" i="1" s="1"/>
  <c r="L135" i="25"/>
  <c r="N20" i="1" s="1"/>
  <c r="L136" i="25"/>
  <c r="N27" i="1" s="1"/>
  <c r="L137" i="25"/>
  <c r="N30" i="1" s="1"/>
  <c r="L138" i="25"/>
  <c r="N28" i="1" s="1"/>
  <c r="L139" i="25"/>
  <c r="N40" i="1" s="1"/>
  <c r="L140" i="25"/>
  <c r="N37" i="1" s="1"/>
  <c r="L141" i="25"/>
  <c r="L142" i="25"/>
  <c r="L143" i="25"/>
  <c r="L144" i="25"/>
  <c r="N91" i="1" s="1"/>
  <c r="L145" i="25"/>
  <c r="N38" i="1" s="1"/>
  <c r="L146" i="25"/>
  <c r="L147" i="25"/>
  <c r="N95" i="1" s="1"/>
  <c r="L148" i="25"/>
  <c r="L149" i="25"/>
  <c r="L150" i="25"/>
  <c r="N94" i="1" s="1"/>
  <c r="L151" i="25"/>
  <c r="N81" i="1" s="1"/>
  <c r="L152" i="25"/>
  <c r="L153" i="25"/>
  <c r="N92" i="1" s="1"/>
  <c r="L154" i="25"/>
  <c r="L155" i="25"/>
  <c r="N139" i="1" s="1"/>
  <c r="L156" i="25"/>
  <c r="N146" i="1" s="1"/>
  <c r="L157" i="25"/>
  <c r="N138" i="1" s="1"/>
  <c r="L158" i="25"/>
  <c r="L159" i="25"/>
  <c r="N141" i="1" s="1"/>
  <c r="L160" i="25"/>
  <c r="N144" i="1" s="1"/>
  <c r="L161" i="25"/>
  <c r="L162" i="25"/>
  <c r="N145" i="1" s="1"/>
  <c r="J3" i="26"/>
  <c r="J4" i="26"/>
  <c r="J5" i="26"/>
  <c r="J6" i="26"/>
  <c r="J7" i="26"/>
  <c r="J8" i="26"/>
  <c r="J9" i="26"/>
  <c r="J10" i="26"/>
  <c r="J11" i="26"/>
  <c r="V10" i="1" s="1"/>
  <c r="J12" i="26"/>
  <c r="V9" i="1" s="1"/>
  <c r="J13" i="26"/>
  <c r="V11" i="1" s="1"/>
  <c r="J14" i="26"/>
  <c r="V12" i="1" s="1"/>
  <c r="J15" i="26"/>
  <c r="V13" i="1" s="1"/>
  <c r="J16" i="26"/>
  <c r="V14" i="1" s="1"/>
  <c r="J17" i="26"/>
  <c r="V15" i="1" s="1"/>
  <c r="J18" i="26"/>
  <c r="V16" i="1" s="1"/>
  <c r="J19" i="26"/>
  <c r="V17" i="1" s="1"/>
  <c r="J20" i="26"/>
  <c r="V18" i="1" s="1"/>
  <c r="J21" i="26"/>
  <c r="V19" i="1" s="1"/>
  <c r="J22" i="26"/>
  <c r="J23" i="26"/>
  <c r="V21" i="1" s="1"/>
  <c r="J24" i="26"/>
  <c r="V22" i="1" s="1"/>
  <c r="J25" i="26"/>
  <c r="V23" i="1" s="1"/>
  <c r="J26" i="26"/>
  <c r="V24" i="1" s="1"/>
  <c r="J27" i="26"/>
  <c r="V25" i="1" s="1"/>
  <c r="J28" i="26"/>
  <c r="V26" i="1" s="1"/>
  <c r="J29" i="26"/>
  <c r="V113" i="1" s="1"/>
  <c r="J30" i="26"/>
  <c r="V114" i="1" s="1"/>
  <c r="J31" i="26"/>
  <c r="V115" i="1" s="1"/>
  <c r="J32" i="26"/>
  <c r="V116" i="1" s="1"/>
  <c r="J33" i="26"/>
  <c r="V117" i="1" s="1"/>
  <c r="J34" i="26"/>
  <c r="V118" i="1" s="1"/>
  <c r="J35" i="26"/>
  <c r="V119" i="1" s="1"/>
  <c r="J36" i="26"/>
  <c r="J37" i="26"/>
  <c r="V120" i="1" s="1"/>
  <c r="J38" i="26"/>
  <c r="V121" i="1" s="1"/>
  <c r="J39" i="26"/>
  <c r="V122" i="1" s="1"/>
  <c r="J40" i="26"/>
  <c r="V127" i="1" s="1"/>
  <c r="J41" i="26"/>
  <c r="V143" i="1" s="1"/>
  <c r="J42" i="26"/>
  <c r="V133" i="1" s="1"/>
  <c r="J43" i="26"/>
  <c r="V109" i="1" s="1"/>
  <c r="J44" i="26"/>
  <c r="V110" i="1" s="1"/>
  <c r="J45" i="26"/>
  <c r="V111" i="1" s="1"/>
  <c r="J46" i="26"/>
  <c r="J47" i="26"/>
  <c r="V123" i="1" s="1"/>
  <c r="J48" i="26"/>
  <c r="V125" i="1" s="1"/>
  <c r="J49" i="26"/>
  <c r="V134" i="1" s="1"/>
  <c r="J50" i="26"/>
  <c r="V135" i="1" s="1"/>
  <c r="J51" i="26"/>
  <c r="V137" i="1" s="1"/>
  <c r="J52" i="26"/>
  <c r="J53" i="26"/>
  <c r="V130" i="1" s="1"/>
  <c r="J54" i="26"/>
  <c r="V131" i="1" s="1"/>
  <c r="J55" i="26"/>
  <c r="V132" i="1" s="1"/>
  <c r="J56" i="26"/>
  <c r="J57" i="26"/>
  <c r="V147" i="1" s="1"/>
  <c r="J58" i="26"/>
  <c r="J59" i="26"/>
  <c r="J60" i="26"/>
  <c r="V112" i="1" s="1"/>
  <c r="J61" i="26"/>
  <c r="V142" i="1" s="1"/>
  <c r="J62" i="26"/>
  <c r="J63" i="26"/>
  <c r="V42" i="1" s="1"/>
  <c r="J64" i="26"/>
  <c r="V43" i="1" s="1"/>
  <c r="J65" i="26"/>
  <c r="V45" i="1" s="1"/>
  <c r="J66" i="26"/>
  <c r="V46" i="1" s="1"/>
  <c r="J67" i="26"/>
  <c r="J68" i="26"/>
  <c r="V49" i="1" s="1"/>
  <c r="J69" i="26"/>
  <c r="V50" i="1" s="1"/>
  <c r="J70" i="26"/>
  <c r="V51" i="1" s="1"/>
  <c r="J71" i="26"/>
  <c r="V52" i="1" s="1"/>
  <c r="J72" i="26"/>
  <c r="J73" i="26"/>
  <c r="V54" i="1" s="1"/>
  <c r="J74" i="26"/>
  <c r="V56" i="1" s="1"/>
  <c r="J75" i="26"/>
  <c r="V57" i="1" s="1"/>
  <c r="J76" i="26"/>
  <c r="V58" i="1" s="1"/>
  <c r="J77" i="26"/>
  <c r="V59" i="1" s="1"/>
  <c r="J78" i="26"/>
  <c r="J79" i="26"/>
  <c r="J80" i="26"/>
  <c r="V34" i="1" s="1"/>
  <c r="J81" i="26"/>
  <c r="J82" i="26"/>
  <c r="V36" i="1" s="1"/>
  <c r="J83" i="26"/>
  <c r="V67" i="1" s="1"/>
  <c r="J84" i="26"/>
  <c r="V61" i="1" s="1"/>
  <c r="J85" i="26"/>
  <c r="V62" i="1" s="1"/>
  <c r="J86" i="26"/>
  <c r="V63" i="1" s="1"/>
  <c r="J87" i="26"/>
  <c r="V64" i="1" s="1"/>
  <c r="J88" i="26"/>
  <c r="V65" i="1" s="1"/>
  <c r="J89" i="26"/>
  <c r="V66" i="1" s="1"/>
  <c r="J90" i="26"/>
  <c r="V68" i="1" s="1"/>
  <c r="J91" i="26"/>
  <c r="V84" i="1" s="1"/>
  <c r="J92" i="26"/>
  <c r="V85" i="1" s="1"/>
  <c r="J93" i="26"/>
  <c r="J94" i="26"/>
  <c r="V82" i="1" s="1"/>
  <c r="J95" i="26"/>
  <c r="V83" i="1" s="1"/>
  <c r="J96" i="26"/>
  <c r="V70" i="1" s="1"/>
  <c r="J97" i="26"/>
  <c r="V71" i="1" s="1"/>
  <c r="J98" i="26"/>
  <c r="V72" i="1" s="1"/>
  <c r="J99" i="26"/>
  <c r="V73" i="1" s="1"/>
  <c r="J100" i="26"/>
  <c r="V75" i="1" s="1"/>
  <c r="J101" i="26"/>
  <c r="V76" i="1" s="1"/>
  <c r="J102" i="26"/>
  <c r="V77" i="1" s="1"/>
  <c r="J103" i="26"/>
  <c r="V78" i="1" s="1"/>
  <c r="J104" i="26"/>
  <c r="V79" i="1" s="1"/>
  <c r="J105" i="26"/>
  <c r="V80" i="1" s="1"/>
  <c r="J106" i="26"/>
  <c r="J107" i="26"/>
  <c r="J108" i="26"/>
  <c r="V107" i="1" s="1"/>
  <c r="J109" i="26"/>
  <c r="V108" i="1" s="1"/>
  <c r="J110" i="26"/>
  <c r="V98" i="1" s="1"/>
  <c r="J111" i="26"/>
  <c r="V99" i="1" s="1"/>
  <c r="J112" i="26"/>
  <c r="V96" i="1" s="1"/>
  <c r="J113" i="26"/>
  <c r="V97" i="1" s="1"/>
  <c r="J114" i="26"/>
  <c r="J115" i="26"/>
  <c r="V100" i="1" s="1"/>
  <c r="J116" i="26"/>
  <c r="V101" i="1" s="1"/>
  <c r="J117" i="26"/>
  <c r="V104" i="1" s="1"/>
  <c r="J118" i="26"/>
  <c r="V105" i="1" s="1"/>
  <c r="J119" i="26"/>
  <c r="V106" i="1" s="1"/>
  <c r="J120" i="26"/>
  <c r="J121" i="26"/>
  <c r="V102" i="1" s="1"/>
  <c r="J122" i="26"/>
  <c r="V103" i="1" s="1"/>
  <c r="J123" i="26"/>
  <c r="J124" i="26"/>
  <c r="J125" i="26"/>
  <c r="J126" i="26"/>
  <c r="J127" i="26"/>
  <c r="J128" i="26"/>
  <c r="V29" i="1" s="1"/>
  <c r="J129" i="26"/>
  <c r="J130" i="26"/>
  <c r="V129" i="1" s="1"/>
  <c r="J131" i="26"/>
  <c r="J132" i="26"/>
  <c r="V48" i="1" s="1"/>
  <c r="J133" i="26"/>
  <c r="V124" i="1" s="1"/>
  <c r="J134" i="26"/>
  <c r="V32" i="1" s="1"/>
  <c r="J135" i="26"/>
  <c r="V20" i="1" s="1"/>
  <c r="J136" i="26"/>
  <c r="V27" i="1" s="1"/>
  <c r="J137" i="26"/>
  <c r="V30" i="1" s="1"/>
  <c r="J138" i="26"/>
  <c r="V28" i="1" s="1"/>
  <c r="J139" i="26"/>
  <c r="J140" i="26"/>
  <c r="J141" i="26"/>
  <c r="V89" i="1" s="1"/>
  <c r="J142" i="26"/>
  <c r="V87" i="1" s="1"/>
  <c r="J143" i="26"/>
  <c r="V88" i="1" s="1"/>
  <c r="J144" i="26"/>
  <c r="V91" i="1" s="1"/>
  <c r="J145" i="26"/>
  <c r="V38" i="1" s="1"/>
  <c r="J146" i="26"/>
  <c r="V69" i="1" s="1"/>
  <c r="J147" i="26"/>
  <c r="V95" i="1" s="1"/>
  <c r="J148" i="26"/>
  <c r="V86" i="1" s="1"/>
  <c r="J149" i="26"/>
  <c r="V74" i="1" s="1"/>
  <c r="J150" i="26"/>
  <c r="V94" i="1" s="1"/>
  <c r="J151" i="26"/>
  <c r="V81" i="1" s="1"/>
  <c r="J152" i="26"/>
  <c r="V55" i="1" s="1"/>
  <c r="J153" i="26"/>
  <c r="V92" i="1" s="1"/>
  <c r="J154" i="26"/>
  <c r="J155" i="26"/>
  <c r="V139" i="1" s="1"/>
  <c r="J156" i="26"/>
  <c r="J157" i="26"/>
  <c r="V138" i="1" s="1"/>
  <c r="J158" i="26"/>
  <c r="J159" i="26"/>
  <c r="J160" i="26"/>
  <c r="V144" i="1" s="1"/>
  <c r="J161" i="26"/>
  <c r="V140" i="1" s="1"/>
  <c r="J162" i="26"/>
  <c r="V145" i="1" s="1"/>
  <c r="J163" i="26"/>
  <c r="V93" i="1" s="1"/>
  <c r="J2" i="26"/>
  <c r="O31" i="40" l="1"/>
  <c r="R31" i="40"/>
  <c r="U31" i="40" s="1"/>
  <c r="Q151" i="40"/>
  <c r="T151" i="40" s="1"/>
  <c r="P44" i="1"/>
  <c r="R44" i="1"/>
  <c r="O44" i="1"/>
  <c r="Q44" i="1"/>
  <c r="R73" i="1"/>
  <c r="Q73" i="1"/>
  <c r="Y34" i="1"/>
  <c r="Z34" i="1"/>
  <c r="L118" i="40"/>
  <c r="O118" i="40" s="1"/>
  <c r="L7" i="40"/>
  <c r="L80" i="40"/>
  <c r="L134" i="40"/>
  <c r="L126" i="40"/>
  <c r="L112" i="40"/>
  <c r="L97" i="40"/>
  <c r="L128" i="40"/>
  <c r="L116" i="40"/>
  <c r="L70" i="40"/>
  <c r="L22" i="40"/>
  <c r="L8" i="40"/>
  <c r="L13" i="40"/>
  <c r="L69" i="40"/>
  <c r="L41" i="40"/>
  <c r="L92" i="40"/>
  <c r="L89" i="40"/>
  <c r="L30" i="40"/>
  <c r="L19" i="40"/>
  <c r="L85" i="40"/>
  <c r="L79" i="40"/>
  <c r="L33" i="40"/>
  <c r="L107" i="40"/>
  <c r="L127" i="40"/>
  <c r="L124" i="40"/>
  <c r="L119" i="40"/>
  <c r="L122" i="40"/>
  <c r="L111" i="40"/>
  <c r="L148" i="40"/>
  <c r="L100" i="40"/>
  <c r="L93" i="40"/>
  <c r="L104" i="40"/>
  <c r="L11" i="40"/>
  <c r="L23" i="40"/>
  <c r="L46" i="40"/>
  <c r="L76" i="40"/>
  <c r="L130" i="40"/>
  <c r="L117" i="40"/>
  <c r="L101" i="40"/>
  <c r="L12" i="40"/>
  <c r="L115" i="40"/>
  <c r="L74" i="40"/>
  <c r="L49" i="40"/>
  <c r="L24" i="40"/>
  <c r="L16" i="40"/>
  <c r="L58" i="40"/>
  <c r="L45" i="40"/>
  <c r="L66" i="40"/>
  <c r="L53" i="40"/>
  <c r="L87" i="40"/>
  <c r="L39" i="40"/>
  <c r="L36" i="40"/>
  <c r="L18" i="40"/>
  <c r="L73" i="40"/>
  <c r="L29" i="40"/>
  <c r="L132" i="40"/>
  <c r="L142" i="40"/>
  <c r="L121" i="40"/>
  <c r="L106" i="40"/>
  <c r="L136" i="40"/>
  <c r="L114" i="40"/>
  <c r="L110" i="40"/>
  <c r="L145" i="40"/>
  <c r="L99" i="40"/>
  <c r="L95" i="40"/>
  <c r="L15" i="40"/>
  <c r="L10" i="40"/>
  <c r="L143" i="40"/>
  <c r="L72" i="40"/>
  <c r="L20" i="40"/>
  <c r="L123" i="40"/>
  <c r="L133" i="40"/>
  <c r="L135" i="40"/>
  <c r="L109" i="40"/>
  <c r="L105" i="40"/>
  <c r="L125" i="40"/>
  <c r="L14" i="40"/>
  <c r="L17" i="40"/>
  <c r="L129" i="40"/>
  <c r="L71" i="40"/>
  <c r="L63" i="40"/>
  <c r="L61" i="40"/>
  <c r="L51" i="40"/>
  <c r="L86" i="40"/>
  <c r="L56" i="40"/>
  <c r="L21" i="40"/>
  <c r="L90" i="40"/>
  <c r="L77" i="40"/>
  <c r="L40" i="40"/>
  <c r="L28" i="40"/>
  <c r="L131" i="40"/>
  <c r="L140" i="40"/>
  <c r="L108" i="40"/>
  <c r="L144" i="40"/>
  <c r="L120" i="40"/>
  <c r="L113" i="40"/>
  <c r="L139" i="40"/>
  <c r="L27" i="40"/>
  <c r="L9" i="40"/>
  <c r="K133" i="40"/>
  <c r="K19" i="40"/>
  <c r="J68" i="1"/>
  <c r="J106" i="1"/>
  <c r="R64" i="40" s="1"/>
  <c r="U64" i="40" s="1"/>
  <c r="J47" i="1"/>
  <c r="J51" i="1"/>
  <c r="J58" i="1"/>
  <c r="J109" i="1"/>
  <c r="J119" i="1"/>
  <c r="J127" i="1"/>
  <c r="J122" i="1"/>
  <c r="J34" i="1"/>
  <c r="J38" i="1"/>
  <c r="J61" i="1"/>
  <c r="J62" i="1"/>
  <c r="J84" i="1"/>
  <c r="J98" i="1"/>
  <c r="J97" i="1"/>
  <c r="J73" i="1"/>
  <c r="R53" i="40" s="1"/>
  <c r="U53" i="40" s="1"/>
  <c r="J94" i="1"/>
  <c r="R57" i="40" s="1"/>
  <c r="U57" i="40" s="1"/>
  <c r="J77" i="1"/>
  <c r="J78" i="1"/>
  <c r="J91" i="1"/>
  <c r="J44" i="1"/>
  <c r="J52" i="1"/>
  <c r="J56" i="1"/>
  <c r="J82" i="1"/>
  <c r="J60" i="1"/>
  <c r="J112" i="1"/>
  <c r="J116" i="1"/>
  <c r="J139" i="1"/>
  <c r="J110" i="1"/>
  <c r="J142" i="1"/>
  <c r="J129" i="1"/>
  <c r="J134" i="1"/>
  <c r="J140" i="1"/>
  <c r="J133" i="1"/>
  <c r="J35" i="1"/>
  <c r="J40" i="1"/>
  <c r="J63" i="1"/>
  <c r="J46" i="1"/>
  <c r="J99" i="1"/>
  <c r="J95" i="1"/>
  <c r="J74" i="1"/>
  <c r="J100" i="1"/>
  <c r="J104" i="1"/>
  <c r="R62" i="40" s="1"/>
  <c r="U62" i="40" s="1"/>
  <c r="J88" i="1"/>
  <c r="J103" i="1"/>
  <c r="J49" i="1"/>
  <c r="J53" i="1"/>
  <c r="J57" i="1"/>
  <c r="J83" i="1"/>
  <c r="J66" i="1"/>
  <c r="J126" i="1"/>
  <c r="J117" i="1"/>
  <c r="J121" i="1"/>
  <c r="J130" i="1"/>
  <c r="J147" i="1"/>
  <c r="J145" i="1"/>
  <c r="J135" i="1"/>
  <c r="J33" i="1"/>
  <c r="J37" i="1"/>
  <c r="J42" i="1"/>
  <c r="J43" i="1"/>
  <c r="J45" i="1"/>
  <c r="J48" i="1"/>
  <c r="J72" i="1"/>
  <c r="J76" i="1"/>
  <c r="R60" i="40" s="1"/>
  <c r="U60" i="40" s="1"/>
  <c r="J79" i="1"/>
  <c r="J55" i="1"/>
  <c r="J65" i="1"/>
  <c r="J115" i="1"/>
  <c r="J138" i="1"/>
  <c r="R118" i="40" s="1"/>
  <c r="U118" i="40" s="1"/>
  <c r="J128" i="1"/>
  <c r="J132" i="1"/>
  <c r="J124" i="1"/>
  <c r="J32" i="1"/>
  <c r="J36" i="1"/>
  <c r="J41" i="1"/>
  <c r="J108" i="1"/>
  <c r="J64" i="1"/>
  <c r="J70" i="1"/>
  <c r="J71" i="1"/>
  <c r="J67" i="1"/>
  <c r="J75" i="1"/>
  <c r="J101" i="1"/>
  <c r="R59" i="40" s="1"/>
  <c r="U59" i="40" s="1"/>
  <c r="J105" i="1"/>
  <c r="J102" i="1"/>
  <c r="J80" i="1"/>
  <c r="J50" i="1"/>
  <c r="J54" i="1"/>
  <c r="J92" i="1"/>
  <c r="R84" i="40" s="1"/>
  <c r="U84" i="40" s="1"/>
  <c r="J59" i="1"/>
  <c r="J85" i="1"/>
  <c r="J113" i="1"/>
  <c r="J118" i="1"/>
  <c r="J120" i="1"/>
  <c r="J123" i="1"/>
  <c r="J111" i="1"/>
  <c r="J131" i="1"/>
  <c r="J143" i="1"/>
  <c r="J114" i="1"/>
  <c r="J137" i="1"/>
  <c r="Z147" i="1"/>
  <c r="K134" i="40"/>
  <c r="Z112" i="1"/>
  <c r="K107" i="40"/>
  <c r="W93" i="1"/>
  <c r="K151" i="40"/>
  <c r="N151" i="40" s="1"/>
  <c r="P106" i="1"/>
  <c r="L64" i="40"/>
  <c r="O64" i="40" s="1"/>
  <c r="O94" i="1"/>
  <c r="L57" i="40"/>
  <c r="O57" i="40" s="1"/>
  <c r="R24" i="1"/>
  <c r="L102" i="40"/>
  <c r="R39" i="1"/>
  <c r="Q25" i="40" s="1"/>
  <c r="T25" i="40" s="1"/>
  <c r="L25" i="40"/>
  <c r="R20" i="1"/>
  <c r="L98" i="40"/>
  <c r="O145" i="1"/>
  <c r="L138" i="40"/>
  <c r="R92" i="1"/>
  <c r="L84" i="40"/>
  <c r="O84" i="40" s="1"/>
  <c r="P104" i="1"/>
  <c r="L62" i="40"/>
  <c r="O62" i="40" s="1"/>
  <c r="P76" i="1"/>
  <c r="L60" i="40"/>
  <c r="O60" i="40" s="1"/>
  <c r="R90" i="1"/>
  <c r="Q150" i="40" s="1"/>
  <c r="T150" i="40" s="1"/>
  <c r="L150" i="40"/>
  <c r="P101" i="1"/>
  <c r="L59" i="40"/>
  <c r="O59" i="40" s="1"/>
  <c r="R76" i="1"/>
  <c r="R94" i="1"/>
  <c r="R104" i="1"/>
  <c r="R138" i="1"/>
  <c r="R101" i="1"/>
  <c r="R106" i="1"/>
  <c r="Z93" i="1"/>
  <c r="F154" i="1"/>
  <c r="J154" i="1" s="1"/>
  <c r="V154" i="1"/>
  <c r="V152" i="1"/>
  <c r="N152" i="1"/>
  <c r="V157" i="1"/>
  <c r="N157" i="1"/>
  <c r="N154" i="1"/>
  <c r="V151" i="1"/>
  <c r="W151" i="1" s="1"/>
  <c r="N150" i="1"/>
  <c r="O150" i="1" s="1"/>
  <c r="F153" i="1"/>
  <c r="F151" i="1"/>
  <c r="J151" i="1" s="1"/>
  <c r="F155" i="1"/>
  <c r="J155" i="1" s="1"/>
  <c r="O90" i="1"/>
  <c r="N155" i="1"/>
  <c r="O138" i="1"/>
  <c r="N151" i="1"/>
  <c r="N149" i="1"/>
  <c r="N153" i="1"/>
  <c r="N156" i="1"/>
  <c r="V156" i="1"/>
  <c r="V155" i="1"/>
  <c r="V150" i="1"/>
  <c r="V149" i="1"/>
  <c r="V153" i="1"/>
  <c r="Y147" i="1"/>
  <c r="X147" i="1"/>
  <c r="W147" i="1"/>
  <c r="O92" i="1"/>
  <c r="Q92" i="1"/>
  <c r="P92" i="1"/>
  <c r="W112" i="1"/>
  <c r="Y112" i="1"/>
  <c r="X112" i="1"/>
  <c r="G38" i="1"/>
  <c r="I38" i="1"/>
  <c r="H38" i="1"/>
  <c r="H61" i="1"/>
  <c r="G61" i="1"/>
  <c r="I61" i="1"/>
  <c r="G84" i="1"/>
  <c r="H84" i="1"/>
  <c r="I84" i="1"/>
  <c r="G87" i="1"/>
  <c r="I87" i="1"/>
  <c r="H87" i="1"/>
  <c r="G72" i="1"/>
  <c r="I72" i="1"/>
  <c r="H72" i="1"/>
  <c r="H68" i="1"/>
  <c r="G68" i="1"/>
  <c r="I68" i="1"/>
  <c r="H76" i="1"/>
  <c r="G76" i="1"/>
  <c r="I76" i="1"/>
  <c r="H106" i="1"/>
  <c r="G106" i="1"/>
  <c r="I106" i="1"/>
  <c r="H102" i="1"/>
  <c r="G102" i="1"/>
  <c r="I102" i="1"/>
  <c r="I80" i="1"/>
  <c r="H80" i="1"/>
  <c r="G80" i="1"/>
  <c r="H50" i="1"/>
  <c r="G50" i="1"/>
  <c r="I50" i="1"/>
  <c r="H54" i="1"/>
  <c r="G54" i="1"/>
  <c r="I54" i="1"/>
  <c r="G92" i="1"/>
  <c r="I92" i="1"/>
  <c r="H92" i="1"/>
  <c r="G59" i="1"/>
  <c r="I59" i="1"/>
  <c r="H59" i="1"/>
  <c r="I85" i="1"/>
  <c r="H85" i="1"/>
  <c r="G85" i="1"/>
  <c r="I113" i="1"/>
  <c r="H113" i="1"/>
  <c r="G113" i="1"/>
  <c r="I118" i="1"/>
  <c r="H118" i="1"/>
  <c r="G118" i="1"/>
  <c r="G146" i="1"/>
  <c r="I146" i="1"/>
  <c r="H146" i="1"/>
  <c r="G121" i="1"/>
  <c r="H121" i="1"/>
  <c r="I121" i="1"/>
  <c r="G125" i="1"/>
  <c r="H125" i="1"/>
  <c r="I125" i="1"/>
  <c r="G130" i="1"/>
  <c r="I130" i="1"/>
  <c r="H130" i="1"/>
  <c r="G147" i="1"/>
  <c r="I147" i="1"/>
  <c r="H147" i="1"/>
  <c r="G145" i="1"/>
  <c r="I145" i="1"/>
  <c r="H145" i="1"/>
  <c r="I133" i="1"/>
  <c r="H133" i="1"/>
  <c r="G133" i="1"/>
  <c r="H35" i="1"/>
  <c r="G35" i="1"/>
  <c r="I35" i="1"/>
  <c r="G40" i="1"/>
  <c r="H40" i="1"/>
  <c r="I40" i="1"/>
  <c r="G107" i="1"/>
  <c r="H107" i="1"/>
  <c r="I107" i="1"/>
  <c r="G63" i="1"/>
  <c r="H63" i="1"/>
  <c r="I63" i="1"/>
  <c r="H46" i="1"/>
  <c r="G46" i="1"/>
  <c r="I46" i="1"/>
  <c r="H98" i="1"/>
  <c r="G98" i="1"/>
  <c r="I98" i="1"/>
  <c r="H97" i="1"/>
  <c r="G97" i="1"/>
  <c r="I97" i="1"/>
  <c r="G73" i="1"/>
  <c r="I73" i="1"/>
  <c r="H73" i="1"/>
  <c r="G94" i="1"/>
  <c r="I94" i="1"/>
  <c r="H94" i="1"/>
  <c r="G77" i="1"/>
  <c r="I77" i="1"/>
  <c r="H77" i="1"/>
  <c r="G79" i="1"/>
  <c r="I79" i="1"/>
  <c r="H79" i="1"/>
  <c r="H47" i="1"/>
  <c r="G47" i="1"/>
  <c r="I47" i="1"/>
  <c r="G51" i="1"/>
  <c r="I51" i="1"/>
  <c r="H51" i="1"/>
  <c r="G55" i="1"/>
  <c r="I55" i="1"/>
  <c r="H55" i="1"/>
  <c r="I58" i="1"/>
  <c r="H58" i="1"/>
  <c r="G58" i="1"/>
  <c r="I65" i="1"/>
  <c r="H65" i="1"/>
  <c r="G65" i="1"/>
  <c r="G109" i="1"/>
  <c r="H109" i="1"/>
  <c r="I109" i="1"/>
  <c r="G115" i="1"/>
  <c r="H115" i="1"/>
  <c r="I115" i="1"/>
  <c r="G119" i="1"/>
  <c r="H119" i="1"/>
  <c r="I119" i="1"/>
  <c r="H120" i="1"/>
  <c r="G120" i="1"/>
  <c r="I120" i="1"/>
  <c r="H123" i="1"/>
  <c r="G123" i="1"/>
  <c r="I123" i="1"/>
  <c r="G111" i="1"/>
  <c r="I111" i="1"/>
  <c r="H111" i="1"/>
  <c r="I131" i="1"/>
  <c r="H131" i="1"/>
  <c r="G131" i="1"/>
  <c r="I143" i="1"/>
  <c r="H143" i="1"/>
  <c r="G143" i="1"/>
  <c r="G114" i="1"/>
  <c r="H114" i="1"/>
  <c r="I114" i="1"/>
  <c r="G135" i="1"/>
  <c r="H135" i="1"/>
  <c r="I135" i="1"/>
  <c r="G34" i="1"/>
  <c r="I34" i="1"/>
  <c r="H34" i="1"/>
  <c r="H62" i="1"/>
  <c r="G62" i="1"/>
  <c r="I62" i="1"/>
  <c r="G32" i="1"/>
  <c r="H32" i="1"/>
  <c r="I32" i="1"/>
  <c r="G36" i="1"/>
  <c r="H36" i="1"/>
  <c r="I36" i="1"/>
  <c r="H41" i="1"/>
  <c r="G41" i="1"/>
  <c r="I41" i="1"/>
  <c r="H108" i="1"/>
  <c r="G108" i="1"/>
  <c r="I108" i="1"/>
  <c r="H64" i="1"/>
  <c r="G64" i="1"/>
  <c r="I64" i="1"/>
  <c r="G70" i="1"/>
  <c r="I70" i="1"/>
  <c r="H70" i="1"/>
  <c r="G99" i="1"/>
  <c r="I99" i="1"/>
  <c r="H99" i="1"/>
  <c r="G95" i="1"/>
  <c r="I95" i="1"/>
  <c r="H95" i="1"/>
  <c r="H74" i="1"/>
  <c r="G74" i="1"/>
  <c r="I74" i="1"/>
  <c r="H100" i="1"/>
  <c r="G100" i="1"/>
  <c r="I100" i="1"/>
  <c r="H104" i="1"/>
  <c r="G104" i="1"/>
  <c r="I104" i="1"/>
  <c r="H78" i="1"/>
  <c r="G78" i="1"/>
  <c r="I78" i="1"/>
  <c r="H91" i="1"/>
  <c r="G91" i="1"/>
  <c r="I91" i="1"/>
  <c r="I44" i="1"/>
  <c r="H44" i="1"/>
  <c r="G44" i="1"/>
  <c r="I52" i="1"/>
  <c r="H52" i="1"/>
  <c r="G52" i="1"/>
  <c r="I56" i="1"/>
  <c r="H56" i="1"/>
  <c r="G56" i="1"/>
  <c r="G82" i="1"/>
  <c r="H82" i="1"/>
  <c r="I82" i="1"/>
  <c r="G60" i="1"/>
  <c r="I60" i="1"/>
  <c r="H60" i="1"/>
  <c r="H112" i="1"/>
  <c r="G112" i="1"/>
  <c r="I112" i="1"/>
  <c r="H116" i="1"/>
  <c r="G116" i="1"/>
  <c r="I116" i="1"/>
  <c r="G139" i="1"/>
  <c r="I139" i="1"/>
  <c r="H139" i="1"/>
  <c r="G138" i="1"/>
  <c r="I138" i="1"/>
  <c r="H138" i="1"/>
  <c r="G127" i="1"/>
  <c r="I127" i="1"/>
  <c r="H127" i="1"/>
  <c r="I128" i="1"/>
  <c r="H128" i="1"/>
  <c r="G128" i="1"/>
  <c r="G132" i="1"/>
  <c r="I132" i="1"/>
  <c r="H132" i="1"/>
  <c r="G122" i="1"/>
  <c r="H122" i="1"/>
  <c r="I122" i="1"/>
  <c r="H137" i="1"/>
  <c r="G137" i="1"/>
  <c r="I137" i="1"/>
  <c r="H33" i="1"/>
  <c r="G33" i="1"/>
  <c r="I33" i="1"/>
  <c r="H37" i="1"/>
  <c r="G37" i="1"/>
  <c r="I37" i="1"/>
  <c r="G42" i="1"/>
  <c r="I42" i="1"/>
  <c r="H42" i="1"/>
  <c r="G43" i="1"/>
  <c r="I43" i="1"/>
  <c r="H43" i="1"/>
  <c r="G45" i="1"/>
  <c r="I45" i="1"/>
  <c r="H45" i="1"/>
  <c r="H48" i="1"/>
  <c r="G48" i="1"/>
  <c r="I48" i="1"/>
  <c r="H71" i="1"/>
  <c r="G71" i="1"/>
  <c r="I71" i="1"/>
  <c r="H67" i="1"/>
  <c r="G67" i="1"/>
  <c r="I67" i="1"/>
  <c r="G75" i="1"/>
  <c r="I75" i="1"/>
  <c r="H75" i="1"/>
  <c r="G101" i="1"/>
  <c r="I101" i="1"/>
  <c r="H101" i="1"/>
  <c r="G105" i="1"/>
  <c r="I105" i="1"/>
  <c r="H105" i="1"/>
  <c r="G88" i="1"/>
  <c r="I88" i="1"/>
  <c r="H88" i="1"/>
  <c r="G103" i="1"/>
  <c r="I103" i="1"/>
  <c r="H103" i="1"/>
  <c r="G49" i="1"/>
  <c r="I49" i="1"/>
  <c r="H49" i="1"/>
  <c r="G53" i="1"/>
  <c r="H53" i="1"/>
  <c r="I53" i="1"/>
  <c r="G57" i="1"/>
  <c r="H57" i="1"/>
  <c r="I57" i="1"/>
  <c r="H83" i="1"/>
  <c r="G83" i="1"/>
  <c r="I83" i="1"/>
  <c r="H66" i="1"/>
  <c r="G66" i="1"/>
  <c r="I66" i="1"/>
  <c r="G126" i="1"/>
  <c r="I126" i="1"/>
  <c r="H126" i="1"/>
  <c r="G117" i="1"/>
  <c r="I117" i="1"/>
  <c r="H117" i="1"/>
  <c r="I110" i="1"/>
  <c r="H110" i="1"/>
  <c r="G110" i="1"/>
  <c r="I142" i="1"/>
  <c r="H142" i="1"/>
  <c r="G142" i="1"/>
  <c r="H129" i="1"/>
  <c r="G129" i="1"/>
  <c r="I129" i="1"/>
  <c r="H134" i="1"/>
  <c r="G134" i="1"/>
  <c r="I134" i="1"/>
  <c r="H140" i="1"/>
  <c r="G140" i="1"/>
  <c r="I140" i="1"/>
  <c r="G124" i="1"/>
  <c r="I124" i="1"/>
  <c r="H124" i="1"/>
  <c r="P90" i="1"/>
  <c r="O39" i="1"/>
  <c r="Q39" i="1"/>
  <c r="N25" i="40" s="1"/>
  <c r="P39" i="1"/>
  <c r="F39" i="1"/>
  <c r="F141" i="1"/>
  <c r="J141" i="1" s="1"/>
  <c r="F90" i="1"/>
  <c r="F136" i="1"/>
  <c r="F69" i="1"/>
  <c r="F81" i="1"/>
  <c r="J144" i="1"/>
  <c r="F86" i="1"/>
  <c r="O76" i="1"/>
  <c r="O101" i="1"/>
  <c r="O104" i="1"/>
  <c r="O106" i="1"/>
  <c r="P94" i="1"/>
  <c r="P138" i="1"/>
  <c r="Y93" i="1"/>
  <c r="X93" i="1"/>
  <c r="F2" i="29"/>
  <c r="G2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F2" i="28"/>
  <c r="T61" i="1"/>
  <c r="K30" i="40" s="1"/>
  <c r="T63" i="1"/>
  <c r="K35" i="40" s="1"/>
  <c r="O50" i="40" l="1"/>
  <c r="R50" i="40"/>
  <c r="U50" i="40" s="1"/>
  <c r="O137" i="40"/>
  <c r="R137" i="40"/>
  <c r="U137" i="40" s="1"/>
  <c r="O82" i="40"/>
  <c r="R82" i="40"/>
  <c r="U82" i="40" s="1"/>
  <c r="O55" i="40"/>
  <c r="R55" i="40"/>
  <c r="U55" i="40" s="1"/>
  <c r="O75" i="40"/>
  <c r="R75" i="40"/>
  <c r="U75" i="40" s="1"/>
  <c r="O78" i="40"/>
  <c r="R78" i="40"/>
  <c r="U78" i="40" s="1"/>
  <c r="O67" i="40"/>
  <c r="R67" i="40"/>
  <c r="U67" i="40" s="1"/>
  <c r="O81" i="40"/>
  <c r="R81" i="40"/>
  <c r="U81" i="40" s="1"/>
  <c r="O88" i="40"/>
  <c r="R88" i="40"/>
  <c r="U88" i="40" s="1"/>
  <c r="O54" i="40"/>
  <c r="R54" i="40"/>
  <c r="U54" i="40" s="1"/>
  <c r="O48" i="40"/>
  <c r="R48" i="40"/>
  <c r="U48" i="40" s="1"/>
  <c r="O37" i="40"/>
  <c r="R37" i="40"/>
  <c r="U37" i="40" s="1"/>
  <c r="O91" i="40"/>
  <c r="R91" i="40"/>
  <c r="U91" i="40" s="1"/>
  <c r="O44" i="40"/>
  <c r="R44" i="40"/>
  <c r="U44" i="40" s="1"/>
  <c r="O68" i="40"/>
  <c r="R68" i="40"/>
  <c r="U68" i="40" s="1"/>
  <c r="O35" i="40"/>
  <c r="R35" i="40"/>
  <c r="U35" i="40" s="1"/>
  <c r="O32" i="40"/>
  <c r="R32" i="40"/>
  <c r="U32" i="40" s="1"/>
  <c r="O42" i="40"/>
  <c r="R42" i="40"/>
  <c r="U42" i="40" s="1"/>
  <c r="O83" i="40"/>
  <c r="R83" i="40"/>
  <c r="U83" i="40" s="1"/>
  <c r="O34" i="40"/>
  <c r="R34" i="40"/>
  <c r="U34" i="40" s="1"/>
  <c r="Q35" i="40"/>
  <c r="T35" i="40" s="1"/>
  <c r="Z61" i="1"/>
  <c r="Z63" i="1"/>
  <c r="J39" i="1"/>
  <c r="R25" i="40" s="1"/>
  <c r="U25" i="40" s="1"/>
  <c r="J81" i="1"/>
  <c r="J69" i="1"/>
  <c r="J86" i="1"/>
  <c r="J90" i="1"/>
  <c r="O25" i="40"/>
  <c r="I153" i="1"/>
  <c r="J153" i="1"/>
  <c r="F149" i="1"/>
  <c r="J149" i="1" s="1"/>
  <c r="J136" i="1"/>
  <c r="G153" i="1"/>
  <c r="F152" i="1"/>
  <c r="Q150" i="1"/>
  <c r="H153" i="1"/>
  <c r="F150" i="1"/>
  <c r="Y151" i="1"/>
  <c r="G155" i="1"/>
  <c r="I155" i="1"/>
  <c r="H155" i="1"/>
  <c r="H151" i="1"/>
  <c r="G151" i="1"/>
  <c r="I151" i="1"/>
  <c r="Q153" i="1"/>
  <c r="O153" i="1"/>
  <c r="O154" i="1"/>
  <c r="Q154" i="1"/>
  <c r="O155" i="1"/>
  <c r="Q155" i="1"/>
  <c r="Q149" i="1"/>
  <c r="O149" i="1"/>
  <c r="Q156" i="1"/>
  <c r="O156" i="1"/>
  <c r="O151" i="1"/>
  <c r="Q151" i="1"/>
  <c r="O152" i="1"/>
  <c r="Q152" i="1"/>
  <c r="W155" i="1"/>
  <c r="Y155" i="1"/>
  <c r="W154" i="1"/>
  <c r="Y154" i="1"/>
  <c r="W156" i="1"/>
  <c r="Y156" i="1"/>
  <c r="W152" i="1"/>
  <c r="Y152" i="1"/>
  <c r="W153" i="1"/>
  <c r="Y153" i="1"/>
  <c r="W149" i="1"/>
  <c r="Y149" i="1"/>
  <c r="W150" i="1"/>
  <c r="Y150" i="1"/>
  <c r="Q157" i="1"/>
  <c r="O157" i="1"/>
  <c r="Y157" i="1"/>
  <c r="W157" i="1"/>
  <c r="H86" i="1"/>
  <c r="G86" i="1"/>
  <c r="I86" i="1"/>
  <c r="H136" i="1"/>
  <c r="G136" i="1"/>
  <c r="I136" i="1"/>
  <c r="G81" i="1"/>
  <c r="I81" i="1"/>
  <c r="H81" i="1"/>
  <c r="G90" i="1"/>
  <c r="I90" i="1"/>
  <c r="H90" i="1"/>
  <c r="H39" i="1"/>
  <c r="G39" i="1"/>
  <c r="I39" i="1"/>
  <c r="H69" i="1"/>
  <c r="G69" i="1"/>
  <c r="I69" i="1"/>
  <c r="H141" i="1"/>
  <c r="G141" i="1"/>
  <c r="I141" i="1"/>
  <c r="G16" i="29"/>
  <c r="F31" i="1"/>
  <c r="N163" i="1"/>
  <c r="N164" i="1"/>
  <c r="N165" i="1"/>
  <c r="N166" i="1"/>
  <c r="N167" i="1"/>
  <c r="N168" i="1"/>
  <c r="N169" i="1"/>
  <c r="N170" i="1"/>
  <c r="O52" i="40" l="1"/>
  <c r="R52" i="40"/>
  <c r="U52" i="40" s="1"/>
  <c r="O141" i="40"/>
  <c r="R141" i="40"/>
  <c r="U141" i="40" s="1"/>
  <c r="O38" i="40"/>
  <c r="R38" i="40"/>
  <c r="U38" i="40" s="1"/>
  <c r="O151" i="40"/>
  <c r="R150" i="40"/>
  <c r="U150" i="40" s="1"/>
  <c r="L94" i="40"/>
  <c r="L146" i="40"/>
  <c r="L103" i="40"/>
  <c r="L6" i="40"/>
  <c r="L147" i="40"/>
  <c r="L26" i="40"/>
  <c r="L96" i="40"/>
  <c r="J31" i="1"/>
  <c r="G149" i="1"/>
  <c r="H149" i="1"/>
  <c r="O163" i="1"/>
  <c r="L5" i="40"/>
  <c r="I149" i="1"/>
  <c r="G150" i="1"/>
  <c r="J150" i="1"/>
  <c r="I152" i="1"/>
  <c r="J152" i="1"/>
  <c r="H150" i="1"/>
  <c r="H152" i="1"/>
  <c r="G152" i="1"/>
  <c r="I150" i="1"/>
  <c r="F156" i="1"/>
  <c r="F157" i="1"/>
  <c r="I154" i="1"/>
  <c r="G154" i="1"/>
  <c r="H154" i="1"/>
  <c r="H31" i="1"/>
  <c r="G31" i="1"/>
  <c r="I31" i="1"/>
  <c r="V163" i="1"/>
  <c r="V164" i="1"/>
  <c r="V165" i="1"/>
  <c r="V166" i="1"/>
  <c r="V167" i="1"/>
  <c r="V168" i="1"/>
  <c r="V169" i="1"/>
  <c r="V170" i="1"/>
  <c r="E2" i="28"/>
  <c r="W163" i="1" l="1"/>
  <c r="I157" i="1"/>
  <c r="J157" i="1"/>
  <c r="G156" i="1"/>
  <c r="J156" i="1"/>
  <c r="H156" i="1"/>
  <c r="I156" i="1"/>
  <c r="H157" i="1"/>
  <c r="G157" i="1"/>
  <c r="L54" i="1"/>
  <c r="O54" i="1"/>
  <c r="R80" i="40" l="1"/>
  <c r="U80" i="40" s="1"/>
  <c r="R54" i="1"/>
  <c r="O80" i="40"/>
  <c r="P54" i="1"/>
  <c r="Y141" i="1"/>
  <c r="Y146" i="1"/>
  <c r="Y126" i="1"/>
  <c r="Y60" i="1"/>
  <c r="Y53" i="1"/>
  <c r="Y47" i="1"/>
  <c r="Y41" i="1"/>
  <c r="Y40" i="1"/>
  <c r="Y37" i="1"/>
  <c r="Y35" i="1"/>
  <c r="Y33" i="1"/>
  <c r="Y31" i="1"/>
  <c r="U158" i="1"/>
  <c r="W36" i="1"/>
  <c r="W32" i="1"/>
  <c r="T137" i="1"/>
  <c r="K142" i="40" s="1"/>
  <c r="T135" i="1"/>
  <c r="K140" i="40" s="1"/>
  <c r="T133" i="1"/>
  <c r="K144" i="40" s="1"/>
  <c r="T124" i="1"/>
  <c r="K143" i="40" s="1"/>
  <c r="T114" i="1"/>
  <c r="K139" i="40" s="1"/>
  <c r="T145" i="1"/>
  <c r="K138" i="40" s="1"/>
  <c r="T140" i="1"/>
  <c r="K137" i="40" s="1"/>
  <c r="T122" i="1"/>
  <c r="K136" i="40" s="1"/>
  <c r="T143" i="1"/>
  <c r="K135" i="40" s="1"/>
  <c r="T132" i="1"/>
  <c r="K132" i="40" s="1"/>
  <c r="T131" i="1"/>
  <c r="K131" i="40" s="1"/>
  <c r="T130" i="1"/>
  <c r="K130" i="40" s="1"/>
  <c r="T129" i="1"/>
  <c r="K129" i="40" s="1"/>
  <c r="T144" i="1"/>
  <c r="K128" i="40" s="1"/>
  <c r="T128" i="1"/>
  <c r="K127" i="40" s="1"/>
  <c r="T111" i="1"/>
  <c r="K126" i="40" s="1"/>
  <c r="T125" i="1"/>
  <c r="K124" i="40" s="1"/>
  <c r="T142" i="1"/>
  <c r="K123" i="40" s="1"/>
  <c r="T127" i="1"/>
  <c r="K122" i="40" s="1"/>
  <c r="T123" i="1"/>
  <c r="K121" i="40" s="1"/>
  <c r="T121" i="1"/>
  <c r="K120" i="40" s="1"/>
  <c r="T110" i="1"/>
  <c r="K119" i="40" s="1"/>
  <c r="T138" i="1"/>
  <c r="K118" i="40" s="1"/>
  <c r="T120" i="1"/>
  <c r="K117" i="40" s="1"/>
  <c r="T139" i="1"/>
  <c r="K115" i="40" s="1"/>
  <c r="T119" i="1"/>
  <c r="K114" i="40" s="1"/>
  <c r="T118" i="1"/>
  <c r="K113" i="40" s="1"/>
  <c r="T117" i="1"/>
  <c r="K112" i="40" s="1"/>
  <c r="T116" i="1"/>
  <c r="K111" i="40" s="1"/>
  <c r="T115" i="1"/>
  <c r="K110" i="40" s="1"/>
  <c r="T113" i="1"/>
  <c r="K109" i="40" s="1"/>
  <c r="T109" i="1"/>
  <c r="K106" i="40" s="1"/>
  <c r="T85" i="1"/>
  <c r="K92" i="40" s="1"/>
  <c r="T66" i="1"/>
  <c r="K91" i="40" s="1"/>
  <c r="T65" i="1"/>
  <c r="K89" i="40" s="1"/>
  <c r="T59" i="1"/>
  <c r="K88" i="40" s="1"/>
  <c r="T83" i="1"/>
  <c r="K87" i="40" s="1"/>
  <c r="T82" i="1"/>
  <c r="K86" i="40" s="1"/>
  <c r="T58" i="1"/>
  <c r="K85" i="40" s="1"/>
  <c r="T92" i="1"/>
  <c r="K84" i="40" s="1"/>
  <c r="T57" i="1"/>
  <c r="K83" i="40" s="1"/>
  <c r="T56" i="1"/>
  <c r="K82" i="40" s="1"/>
  <c r="T55" i="1"/>
  <c r="K81" i="40" s="1"/>
  <c r="T54" i="1"/>
  <c r="K80" i="40" s="1"/>
  <c r="T52" i="1"/>
  <c r="K78" i="40" s="1"/>
  <c r="T51" i="1"/>
  <c r="K77" i="40" s="1"/>
  <c r="T50" i="1"/>
  <c r="K76" i="40" s="1"/>
  <c r="T49" i="1"/>
  <c r="K75" i="40" s="1"/>
  <c r="T81" i="1"/>
  <c r="K74" i="40" s="1"/>
  <c r="T80" i="1"/>
  <c r="K72" i="40" s="1"/>
  <c r="T103" i="1"/>
  <c r="K71" i="40" s="1"/>
  <c r="T91" i="1"/>
  <c r="K70" i="40" s="1"/>
  <c r="T79" i="1"/>
  <c r="K69" i="40" s="1"/>
  <c r="T102" i="1"/>
  <c r="K68" i="40" s="1"/>
  <c r="T88" i="1"/>
  <c r="K67" i="40" s="1"/>
  <c r="T78" i="1"/>
  <c r="K66" i="40" s="1"/>
  <c r="T89" i="1"/>
  <c r="K65" i="40" s="1"/>
  <c r="T106" i="1"/>
  <c r="K64" i="40" s="1"/>
  <c r="T105" i="1"/>
  <c r="K63" i="40" s="1"/>
  <c r="T104" i="1"/>
  <c r="K62" i="40" s="1"/>
  <c r="T77" i="1"/>
  <c r="K61" i="40" s="1"/>
  <c r="T76" i="1"/>
  <c r="K60" i="40" s="1"/>
  <c r="T101" i="1"/>
  <c r="K59" i="40" s="1"/>
  <c r="T100" i="1"/>
  <c r="K58" i="40" s="1"/>
  <c r="T94" i="1"/>
  <c r="K57" i="40" s="1"/>
  <c r="T68" i="1"/>
  <c r="K56" i="40" s="1"/>
  <c r="T75" i="1"/>
  <c r="K55" i="40" s="1"/>
  <c r="T74" i="1"/>
  <c r="K54" i="40" s="1"/>
  <c r="T73" i="1"/>
  <c r="K53" i="40" s="1"/>
  <c r="T86" i="1"/>
  <c r="K52" i="40" s="1"/>
  <c r="T72" i="1"/>
  <c r="K51" i="40" s="1"/>
  <c r="T67" i="1"/>
  <c r="K50" i="40" s="1"/>
  <c r="T95" i="1"/>
  <c r="K49" i="40" s="1"/>
  <c r="T97" i="1"/>
  <c r="K48" i="40" s="1"/>
  <c r="T96" i="1"/>
  <c r="K47" i="40" s="1"/>
  <c r="T71" i="1"/>
  <c r="K46" i="40" s="1"/>
  <c r="T99" i="1"/>
  <c r="K45" i="40" s="1"/>
  <c r="T98" i="1"/>
  <c r="K44" i="40" s="1"/>
  <c r="T87" i="1"/>
  <c r="K43" i="40" s="1"/>
  <c r="T48" i="1"/>
  <c r="K42" i="40" s="1"/>
  <c r="T70" i="1"/>
  <c r="K41" i="40" s="1"/>
  <c r="T46" i="1"/>
  <c r="K40" i="40" s="1"/>
  <c r="T84" i="1"/>
  <c r="K39" i="40" s="1"/>
  <c r="T69" i="1"/>
  <c r="K38" i="40" s="1"/>
  <c r="T45" i="1"/>
  <c r="K37" i="40" s="1"/>
  <c r="T64" i="1"/>
  <c r="K36" i="40" s="1"/>
  <c r="T62" i="1"/>
  <c r="K34" i="40" s="1"/>
  <c r="T43" i="1"/>
  <c r="K33" i="40" s="1"/>
  <c r="T108" i="1"/>
  <c r="K32" i="40" s="1"/>
  <c r="T107" i="1"/>
  <c r="K31" i="40" s="1"/>
  <c r="T42" i="1"/>
  <c r="K29" i="40" s="1"/>
  <c r="T38" i="1"/>
  <c r="K23" i="40" s="1"/>
  <c r="T36" i="1"/>
  <c r="K21" i="40" s="1"/>
  <c r="T32" i="1"/>
  <c r="K17" i="40" s="1"/>
  <c r="O81" i="1"/>
  <c r="O80" i="1"/>
  <c r="O91" i="1"/>
  <c r="O78" i="1"/>
  <c r="L78" i="1"/>
  <c r="L79" i="1"/>
  <c r="L91" i="1"/>
  <c r="L103" i="1"/>
  <c r="L80" i="1"/>
  <c r="L47" i="1"/>
  <c r="L81" i="1"/>
  <c r="L50" i="1"/>
  <c r="L51" i="1"/>
  <c r="L53" i="1"/>
  <c r="L58" i="1"/>
  <c r="L82" i="1"/>
  <c r="L83" i="1"/>
  <c r="L65" i="1"/>
  <c r="L60" i="1"/>
  <c r="L85" i="1"/>
  <c r="L109" i="1"/>
  <c r="L112" i="1"/>
  <c r="L126" i="1"/>
  <c r="L113" i="1"/>
  <c r="L115" i="1"/>
  <c r="L116" i="1"/>
  <c r="L117" i="1"/>
  <c r="L118" i="1"/>
  <c r="L119" i="1"/>
  <c r="L139" i="1"/>
  <c r="L146" i="1"/>
  <c r="L120" i="1"/>
  <c r="L110" i="1"/>
  <c r="L121" i="1"/>
  <c r="L123" i="1"/>
  <c r="Q37" i="40" l="1"/>
  <c r="T37" i="40" s="1"/>
  <c r="Q53" i="40"/>
  <c r="T53" i="40" s="1"/>
  <c r="Q57" i="40"/>
  <c r="T57" i="40" s="1"/>
  <c r="Q65" i="40"/>
  <c r="T65" i="40" s="1"/>
  <c r="Q78" i="40"/>
  <c r="T78" i="40" s="1"/>
  <c r="Q83" i="40"/>
  <c r="T83" i="40" s="1"/>
  <c r="Q38" i="40"/>
  <c r="T38" i="40" s="1"/>
  <c r="Q42" i="40"/>
  <c r="T42" i="40" s="1"/>
  <c r="Q50" i="40"/>
  <c r="T50" i="40" s="1"/>
  <c r="Q54" i="40"/>
  <c r="T54" i="40" s="1"/>
  <c r="Q62" i="40"/>
  <c r="T62" i="40" s="1"/>
  <c r="Q75" i="40"/>
  <c r="T75" i="40" s="1"/>
  <c r="Q80" i="40"/>
  <c r="T80" i="40" s="1"/>
  <c r="Q84" i="40"/>
  <c r="T84" i="40" s="1"/>
  <c r="Q88" i="40"/>
  <c r="T88" i="40" s="1"/>
  <c r="Q34" i="40"/>
  <c r="T34" i="40" s="1"/>
  <c r="Q43" i="40"/>
  <c r="T43" i="40" s="1"/>
  <c r="Q47" i="40"/>
  <c r="T47" i="40" s="1"/>
  <c r="Q55" i="40"/>
  <c r="T55" i="40" s="1"/>
  <c r="Q59" i="40"/>
  <c r="T59" i="40" s="1"/>
  <c r="Q67" i="40"/>
  <c r="T67" i="40" s="1"/>
  <c r="Q81" i="40"/>
  <c r="T81" i="40" s="1"/>
  <c r="Q118" i="40"/>
  <c r="T118" i="40" s="1"/>
  <c r="Q137" i="40"/>
  <c r="T137" i="40" s="1"/>
  <c r="Q32" i="40"/>
  <c r="T32" i="40" s="1"/>
  <c r="Q31" i="40"/>
  <c r="T31" i="40" s="1"/>
  <c r="Q44" i="40"/>
  <c r="T44" i="40" s="1"/>
  <c r="Q48" i="40"/>
  <c r="T48" i="40" s="1"/>
  <c r="Q52" i="40"/>
  <c r="T52" i="40" s="1"/>
  <c r="Q60" i="40"/>
  <c r="T60" i="40" s="1"/>
  <c r="Q64" i="40"/>
  <c r="T64" i="40" s="1"/>
  <c r="Q68" i="40"/>
  <c r="T68" i="40" s="1"/>
  <c r="Q82" i="40"/>
  <c r="T82" i="40" s="1"/>
  <c r="Q91" i="40"/>
  <c r="T91" i="40" s="1"/>
  <c r="R116" i="40"/>
  <c r="U116" i="40" s="1"/>
  <c r="R115" i="40"/>
  <c r="U115" i="40" s="1"/>
  <c r="R107" i="40"/>
  <c r="U107" i="40" s="1"/>
  <c r="R89" i="40"/>
  <c r="U89" i="40" s="1"/>
  <c r="R79" i="40"/>
  <c r="U79" i="40" s="1"/>
  <c r="R73" i="40"/>
  <c r="U73" i="40" s="1"/>
  <c r="R69" i="40"/>
  <c r="U69" i="40" s="1"/>
  <c r="R119" i="40"/>
  <c r="U119" i="40" s="1"/>
  <c r="R114" i="40"/>
  <c r="U114" i="40" s="1"/>
  <c r="R110" i="40"/>
  <c r="U110" i="40" s="1"/>
  <c r="R106" i="40"/>
  <c r="U106" i="40" s="1"/>
  <c r="R87" i="40"/>
  <c r="U87" i="40" s="1"/>
  <c r="R77" i="40"/>
  <c r="U77" i="40" s="1"/>
  <c r="R72" i="40"/>
  <c r="U72" i="40" s="1"/>
  <c r="R66" i="40"/>
  <c r="U66" i="40" s="1"/>
  <c r="R121" i="40"/>
  <c r="U121" i="40" s="1"/>
  <c r="R112" i="40"/>
  <c r="U112" i="40" s="1"/>
  <c r="R120" i="40"/>
  <c r="U120" i="40" s="1"/>
  <c r="R111" i="40"/>
  <c r="U111" i="40" s="1"/>
  <c r="R117" i="40"/>
  <c r="U117" i="40" s="1"/>
  <c r="R113" i="40"/>
  <c r="U113" i="40" s="1"/>
  <c r="R109" i="40"/>
  <c r="U109" i="40" s="1"/>
  <c r="R92" i="40"/>
  <c r="U92" i="40" s="1"/>
  <c r="R86" i="40"/>
  <c r="U86" i="40" s="1"/>
  <c r="R76" i="40"/>
  <c r="U76" i="40" s="1"/>
  <c r="R71" i="40"/>
  <c r="U71" i="40" s="1"/>
  <c r="R108" i="40"/>
  <c r="U108" i="40" s="1"/>
  <c r="R90" i="40"/>
  <c r="U90" i="40" s="1"/>
  <c r="R85" i="40"/>
  <c r="U85" i="40" s="1"/>
  <c r="R74" i="40"/>
  <c r="U74" i="40" s="1"/>
  <c r="R70" i="40"/>
  <c r="U70" i="40" s="1"/>
  <c r="R139" i="1"/>
  <c r="Q115" i="40" s="1"/>
  <c r="T115" i="40" s="1"/>
  <c r="R119" i="1"/>
  <c r="Q114" i="40" s="1"/>
  <c r="T114" i="40" s="1"/>
  <c r="R78" i="1"/>
  <c r="Q66" i="40" s="1"/>
  <c r="T66" i="40" s="1"/>
  <c r="R103" i="1"/>
  <c r="Q71" i="40" s="1"/>
  <c r="T71" i="40" s="1"/>
  <c r="R47" i="1"/>
  <c r="Q73" i="40" s="1"/>
  <c r="T73" i="40" s="1"/>
  <c r="R109" i="1"/>
  <c r="Q106" i="40" s="1"/>
  <c r="T106" i="40" s="1"/>
  <c r="R80" i="1"/>
  <c r="Q72" i="40" s="1"/>
  <c r="T72" i="40" s="1"/>
  <c r="R81" i="1"/>
  <c r="Q74" i="40" s="1"/>
  <c r="T74" i="40" s="1"/>
  <c r="R91" i="1"/>
  <c r="Q70" i="40" s="1"/>
  <c r="T70" i="40" s="1"/>
  <c r="Z32" i="1"/>
  <c r="Z98" i="1"/>
  <c r="Z102" i="1"/>
  <c r="Z115" i="1"/>
  <c r="Z144" i="1"/>
  <c r="Z133" i="1"/>
  <c r="Z36" i="1"/>
  <c r="Z108" i="1"/>
  <c r="Z99" i="1"/>
  <c r="Z95" i="1"/>
  <c r="Z73" i="1"/>
  <c r="Z94" i="1"/>
  <c r="Z77" i="1"/>
  <c r="Z89" i="1"/>
  <c r="Z52" i="1"/>
  <c r="Z83" i="1"/>
  <c r="Z85" i="1"/>
  <c r="Z116" i="1"/>
  <c r="Z139" i="1"/>
  <c r="Z121" i="1"/>
  <c r="Z125" i="1"/>
  <c r="Z129" i="1"/>
  <c r="Z134" i="1"/>
  <c r="Z145" i="1"/>
  <c r="Z135" i="1"/>
  <c r="Z107" i="1"/>
  <c r="Z46" i="1"/>
  <c r="Z86" i="1"/>
  <c r="Z51" i="1"/>
  <c r="Z66" i="1"/>
  <c r="Z110" i="1"/>
  <c r="Z142" i="1"/>
  <c r="Z132" i="1"/>
  <c r="Z38" i="1"/>
  <c r="Z43" i="1"/>
  <c r="Z69" i="1"/>
  <c r="Z71" i="1"/>
  <c r="Z67" i="1"/>
  <c r="Z74" i="1"/>
  <c r="Z91" i="1"/>
  <c r="Z92" i="1"/>
  <c r="Z109" i="1"/>
  <c r="Z117" i="1"/>
  <c r="Z120" i="1"/>
  <c r="Z123" i="1"/>
  <c r="Z111" i="1"/>
  <c r="Z130" i="1"/>
  <c r="Z143" i="1"/>
  <c r="Z114" i="1"/>
  <c r="Z137" i="1"/>
  <c r="Z64" i="1"/>
  <c r="Z97" i="1"/>
  <c r="Z82" i="1"/>
  <c r="Z140" i="1"/>
  <c r="Z42" i="1"/>
  <c r="Z84" i="1"/>
  <c r="Z87" i="1"/>
  <c r="Z96" i="1"/>
  <c r="Z75" i="1"/>
  <c r="Z88" i="1"/>
  <c r="Z50" i="1"/>
  <c r="Z58" i="1"/>
  <c r="Z65" i="1"/>
  <c r="Z113" i="1"/>
  <c r="Z118" i="1"/>
  <c r="Z138" i="1"/>
  <c r="Z127" i="1"/>
  <c r="Z128" i="1"/>
  <c r="Z131" i="1"/>
  <c r="Z122" i="1"/>
  <c r="Z124" i="1"/>
  <c r="Y56" i="1"/>
  <c r="Z56" i="1"/>
  <c r="Y45" i="1"/>
  <c r="Z45" i="1"/>
  <c r="Y57" i="1"/>
  <c r="Z57" i="1"/>
  <c r="Y48" i="1"/>
  <c r="Z48" i="1"/>
  <c r="Y49" i="1"/>
  <c r="Z49" i="1"/>
  <c r="Y59" i="1"/>
  <c r="Z59" i="1"/>
  <c r="Y68" i="1"/>
  <c r="Z68" i="1"/>
  <c r="Y79" i="1"/>
  <c r="Z79" i="1"/>
  <c r="Y62" i="1"/>
  <c r="Z62" i="1"/>
  <c r="Y55" i="1"/>
  <c r="Z55" i="1"/>
  <c r="O87" i="40"/>
  <c r="R83" i="1"/>
  <c r="Q87" i="40" s="1"/>
  <c r="T87" i="40" s="1"/>
  <c r="O77" i="40"/>
  <c r="R51" i="1"/>
  <c r="Q77" i="40" s="1"/>
  <c r="T77" i="40" s="1"/>
  <c r="O113" i="40"/>
  <c r="R118" i="1"/>
  <c r="Q113" i="40" s="1"/>
  <c r="T113" i="40" s="1"/>
  <c r="O109" i="40"/>
  <c r="R113" i="1"/>
  <c r="Q109" i="40" s="1"/>
  <c r="T109" i="40" s="1"/>
  <c r="O86" i="40"/>
  <c r="R82" i="1"/>
  <c r="Q86" i="40" s="1"/>
  <c r="T86" i="40" s="1"/>
  <c r="O116" i="40"/>
  <c r="R146" i="1"/>
  <c r="Q116" i="40" s="1"/>
  <c r="T116" i="40" s="1"/>
  <c r="O108" i="40"/>
  <c r="R126" i="1"/>
  <c r="Q108" i="40" s="1"/>
  <c r="T108" i="40" s="1"/>
  <c r="O90" i="40"/>
  <c r="R60" i="1"/>
  <c r="Q90" i="40" s="1"/>
  <c r="T90" i="40" s="1"/>
  <c r="O85" i="40"/>
  <c r="R58" i="1"/>
  <c r="Q85" i="40" s="1"/>
  <c r="T85" i="40" s="1"/>
  <c r="O120" i="40"/>
  <c r="R121" i="1"/>
  <c r="Q120" i="40" s="1"/>
  <c r="T120" i="40" s="1"/>
  <c r="O111" i="40"/>
  <c r="R116" i="1"/>
  <c r="Q111" i="40" s="1"/>
  <c r="T111" i="40" s="1"/>
  <c r="O107" i="40"/>
  <c r="R112" i="1"/>
  <c r="Q107" i="40" s="1"/>
  <c r="T107" i="40" s="1"/>
  <c r="O89" i="40"/>
  <c r="R65" i="1"/>
  <c r="Q89" i="40" s="1"/>
  <c r="T89" i="40" s="1"/>
  <c r="O79" i="40"/>
  <c r="R53" i="1"/>
  <c r="Q79" i="40" s="1"/>
  <c r="T79" i="40" s="1"/>
  <c r="O73" i="40"/>
  <c r="O69" i="40"/>
  <c r="R79" i="1"/>
  <c r="Q69" i="40" s="1"/>
  <c r="T69" i="40" s="1"/>
  <c r="O119" i="40"/>
  <c r="R110" i="1"/>
  <c r="Q119" i="40" s="1"/>
  <c r="T119" i="40" s="1"/>
  <c r="O110" i="40"/>
  <c r="R115" i="1"/>
  <c r="Q110" i="40" s="1"/>
  <c r="T110" i="40" s="1"/>
  <c r="O72" i="40"/>
  <c r="O66" i="40"/>
  <c r="O117" i="40"/>
  <c r="R120" i="1"/>
  <c r="Q117" i="40" s="1"/>
  <c r="T117" i="40" s="1"/>
  <c r="O71" i="40"/>
  <c r="O114" i="40"/>
  <c r="O92" i="40"/>
  <c r="R85" i="1"/>
  <c r="Q92" i="40" s="1"/>
  <c r="T92" i="40" s="1"/>
  <c r="O76" i="40"/>
  <c r="R50" i="1"/>
  <c r="Q76" i="40" s="1"/>
  <c r="T76" i="40" s="1"/>
  <c r="O121" i="40"/>
  <c r="R123" i="1"/>
  <c r="Q121" i="40" s="1"/>
  <c r="T121" i="40" s="1"/>
  <c r="O112" i="40"/>
  <c r="R117" i="1"/>
  <c r="Q112" i="40" s="1"/>
  <c r="T112" i="40" s="1"/>
  <c r="O74" i="40"/>
  <c r="N74" i="40"/>
  <c r="Z81" i="1"/>
  <c r="N62" i="40"/>
  <c r="Z104" i="1"/>
  <c r="N51" i="40"/>
  <c r="Z72" i="1"/>
  <c r="N63" i="40"/>
  <c r="Z105" i="1"/>
  <c r="N33" i="40"/>
  <c r="N58" i="40"/>
  <c r="Z100" i="1"/>
  <c r="N64" i="40"/>
  <c r="Z106" i="1"/>
  <c r="N41" i="40"/>
  <c r="Z70" i="1"/>
  <c r="N59" i="40"/>
  <c r="Z101" i="1"/>
  <c r="N71" i="40"/>
  <c r="Z103" i="1"/>
  <c r="N60" i="40"/>
  <c r="Z76" i="1"/>
  <c r="N66" i="40"/>
  <c r="Z78" i="1"/>
  <c r="N72" i="40"/>
  <c r="Z80" i="1"/>
  <c r="N80" i="40"/>
  <c r="Z54" i="1"/>
  <c r="N114" i="40"/>
  <c r="Z119" i="1"/>
  <c r="N57" i="40"/>
  <c r="Y94" i="1"/>
  <c r="T152" i="1"/>
  <c r="T154" i="1"/>
  <c r="T157" i="1"/>
  <c r="O70" i="40"/>
  <c r="O115" i="40"/>
  <c r="L151" i="1"/>
  <c r="O106" i="40"/>
  <c r="T155" i="1"/>
  <c r="T151" i="1"/>
  <c r="T156" i="1"/>
  <c r="N84" i="40"/>
  <c r="T153" i="1"/>
  <c r="T150" i="1"/>
  <c r="T149" i="1"/>
  <c r="Y113" i="1"/>
  <c r="N70" i="40"/>
  <c r="Y91" i="1"/>
  <c r="Y123" i="1"/>
  <c r="Y95" i="1"/>
  <c r="Y73" i="1"/>
  <c r="Y77" i="1"/>
  <c r="Y81" i="1"/>
  <c r="Y66" i="1"/>
  <c r="Y138" i="1"/>
  <c r="Y122" i="1"/>
  <c r="Y133" i="1"/>
  <c r="Y61" i="1"/>
  <c r="Y69" i="1"/>
  <c r="Y71" i="1"/>
  <c r="Y67" i="1"/>
  <c r="Y74" i="1"/>
  <c r="Y100" i="1"/>
  <c r="Y104" i="1"/>
  <c r="Y78" i="1"/>
  <c r="Y85" i="1"/>
  <c r="Y116" i="1"/>
  <c r="Y110" i="1"/>
  <c r="Y142" i="1"/>
  <c r="Y140" i="1"/>
  <c r="Y87" i="1"/>
  <c r="Y101" i="1"/>
  <c r="Y92" i="1"/>
  <c r="Y117" i="1"/>
  <c r="Y129" i="1"/>
  <c r="Y42" i="1"/>
  <c r="Y70" i="1"/>
  <c r="Y99" i="1"/>
  <c r="Y89" i="1"/>
  <c r="Y115" i="1"/>
  <c r="Y119" i="1"/>
  <c r="Y127" i="1"/>
  <c r="Y134" i="1"/>
  <c r="Y36" i="1"/>
  <c r="Y63" i="1"/>
  <c r="Y72" i="1"/>
  <c r="Y88" i="1"/>
  <c r="Y38" i="1"/>
  <c r="Y108" i="1"/>
  <c r="Y64" i="1"/>
  <c r="Y46" i="1"/>
  <c r="Y98" i="1"/>
  <c r="Y97" i="1"/>
  <c r="Y86" i="1"/>
  <c r="Y76" i="1"/>
  <c r="Y106" i="1"/>
  <c r="Y102" i="1"/>
  <c r="Y80" i="1"/>
  <c r="Y51" i="1"/>
  <c r="Y58" i="1"/>
  <c r="Y65" i="1"/>
  <c r="Y118" i="1"/>
  <c r="Y120" i="1"/>
  <c r="Y111" i="1"/>
  <c r="Y130" i="1"/>
  <c r="Y143" i="1"/>
  <c r="Y124" i="1"/>
  <c r="Y107" i="1"/>
  <c r="Y84" i="1"/>
  <c r="Y96" i="1"/>
  <c r="Y75" i="1"/>
  <c r="Y105" i="1"/>
  <c r="Y103" i="1"/>
  <c r="Y139" i="1"/>
  <c r="Y125" i="1"/>
  <c r="Y109" i="1"/>
  <c r="Y145" i="1"/>
  <c r="Y137" i="1"/>
  <c r="Y82" i="1"/>
  <c r="Y128" i="1"/>
  <c r="Y131" i="1"/>
  <c r="Y54" i="1"/>
  <c r="Y83" i="1"/>
  <c r="Y144" i="1"/>
  <c r="Y132" i="1"/>
  <c r="X36" i="1"/>
  <c r="X34" i="1"/>
  <c r="X32" i="1"/>
  <c r="X107" i="1"/>
  <c r="W107" i="1"/>
  <c r="X63" i="1"/>
  <c r="W63" i="1"/>
  <c r="X84" i="1"/>
  <c r="W84" i="1"/>
  <c r="X87" i="1"/>
  <c r="W87" i="1"/>
  <c r="X96" i="1"/>
  <c r="W96" i="1"/>
  <c r="X72" i="1"/>
  <c r="W72" i="1"/>
  <c r="X75" i="1"/>
  <c r="W75" i="1"/>
  <c r="X101" i="1"/>
  <c r="W101" i="1"/>
  <c r="X105" i="1"/>
  <c r="W105" i="1"/>
  <c r="X88" i="1"/>
  <c r="W88" i="1"/>
  <c r="X103" i="1"/>
  <c r="W103" i="1"/>
  <c r="X49" i="1"/>
  <c r="W49" i="1"/>
  <c r="X57" i="1"/>
  <c r="W57" i="1"/>
  <c r="X82" i="1"/>
  <c r="W82" i="1"/>
  <c r="X116" i="1"/>
  <c r="W116" i="1"/>
  <c r="X120" i="1"/>
  <c r="W120" i="1"/>
  <c r="X121" i="1"/>
  <c r="W121" i="1"/>
  <c r="X125" i="1"/>
  <c r="W125" i="1"/>
  <c r="X128" i="1"/>
  <c r="W128" i="1"/>
  <c r="X131" i="1"/>
  <c r="W131" i="1"/>
  <c r="X143" i="1"/>
  <c r="W143" i="1"/>
  <c r="X124" i="1"/>
  <c r="W124" i="1"/>
  <c r="W108" i="1"/>
  <c r="X108" i="1"/>
  <c r="W64" i="1"/>
  <c r="X64" i="1"/>
  <c r="W46" i="1"/>
  <c r="X46" i="1"/>
  <c r="W98" i="1"/>
  <c r="X98" i="1"/>
  <c r="W97" i="1"/>
  <c r="X97" i="1"/>
  <c r="W86" i="1"/>
  <c r="X86" i="1"/>
  <c r="W68" i="1"/>
  <c r="X68" i="1"/>
  <c r="W76" i="1"/>
  <c r="X76" i="1"/>
  <c r="W106" i="1"/>
  <c r="X106" i="1"/>
  <c r="W102" i="1"/>
  <c r="X102" i="1"/>
  <c r="W80" i="1"/>
  <c r="X80" i="1"/>
  <c r="W50" i="1"/>
  <c r="X50" i="1"/>
  <c r="W54" i="1"/>
  <c r="X54" i="1"/>
  <c r="W83" i="1"/>
  <c r="X83" i="1"/>
  <c r="W66" i="1"/>
  <c r="X66" i="1"/>
  <c r="W117" i="1"/>
  <c r="X117" i="1"/>
  <c r="W139" i="1"/>
  <c r="X139" i="1"/>
  <c r="W138" i="1"/>
  <c r="X138" i="1"/>
  <c r="W123" i="1"/>
  <c r="X123" i="1"/>
  <c r="W144" i="1"/>
  <c r="X144" i="1"/>
  <c r="W132" i="1"/>
  <c r="X132" i="1"/>
  <c r="W122" i="1"/>
  <c r="X122" i="1"/>
  <c r="W133" i="1"/>
  <c r="X133" i="1"/>
  <c r="W34" i="1"/>
  <c r="X140" i="1"/>
  <c r="W140" i="1"/>
  <c r="X114" i="1"/>
  <c r="W114" i="1"/>
  <c r="X135" i="1"/>
  <c r="W135" i="1"/>
  <c r="X42" i="1"/>
  <c r="W42" i="1"/>
  <c r="X43" i="1"/>
  <c r="W43" i="1"/>
  <c r="X45" i="1"/>
  <c r="W45" i="1"/>
  <c r="X70" i="1"/>
  <c r="W70" i="1"/>
  <c r="X99" i="1"/>
  <c r="W99" i="1"/>
  <c r="X95" i="1"/>
  <c r="W95" i="1"/>
  <c r="X73" i="1"/>
  <c r="W73" i="1"/>
  <c r="X94" i="1"/>
  <c r="W94" i="1"/>
  <c r="X77" i="1"/>
  <c r="W77" i="1"/>
  <c r="X89" i="1"/>
  <c r="W89" i="1"/>
  <c r="X79" i="1"/>
  <c r="W79" i="1"/>
  <c r="X51" i="1"/>
  <c r="W51" i="1"/>
  <c r="X55" i="1"/>
  <c r="W55" i="1"/>
  <c r="X92" i="1"/>
  <c r="W92" i="1"/>
  <c r="X59" i="1"/>
  <c r="W59" i="1"/>
  <c r="X85" i="1"/>
  <c r="W85" i="1"/>
  <c r="X113" i="1"/>
  <c r="W113" i="1"/>
  <c r="X118" i="1"/>
  <c r="W118" i="1"/>
  <c r="X127" i="1"/>
  <c r="W127" i="1"/>
  <c r="X129" i="1"/>
  <c r="W129" i="1"/>
  <c r="X134" i="1"/>
  <c r="W134" i="1"/>
  <c r="X38" i="1"/>
  <c r="W38" i="1"/>
  <c r="X61" i="1"/>
  <c r="W61" i="1"/>
  <c r="X62" i="1"/>
  <c r="W62" i="1"/>
  <c r="X69" i="1"/>
  <c r="W69" i="1"/>
  <c r="X48" i="1"/>
  <c r="W48" i="1"/>
  <c r="X71" i="1"/>
  <c r="W71" i="1"/>
  <c r="X67" i="1"/>
  <c r="W67" i="1"/>
  <c r="X74" i="1"/>
  <c r="W74" i="1"/>
  <c r="X100" i="1"/>
  <c r="W100" i="1"/>
  <c r="X104" i="1"/>
  <c r="W104" i="1"/>
  <c r="X78" i="1"/>
  <c r="W78" i="1"/>
  <c r="X91" i="1"/>
  <c r="W91" i="1"/>
  <c r="X81" i="1"/>
  <c r="W81" i="1"/>
  <c r="X52" i="1"/>
  <c r="W52" i="1"/>
  <c r="X56" i="1"/>
  <c r="W56" i="1"/>
  <c r="X58" i="1"/>
  <c r="W58" i="1"/>
  <c r="X65" i="1"/>
  <c r="W65" i="1"/>
  <c r="X109" i="1"/>
  <c r="W109" i="1"/>
  <c r="X115" i="1"/>
  <c r="W115" i="1"/>
  <c r="X119" i="1"/>
  <c r="W119" i="1"/>
  <c r="X110" i="1"/>
  <c r="W110" i="1"/>
  <c r="X142" i="1"/>
  <c r="W142" i="1"/>
  <c r="X111" i="1"/>
  <c r="W111" i="1"/>
  <c r="X130" i="1"/>
  <c r="W130" i="1"/>
  <c r="X145" i="1"/>
  <c r="W145" i="1"/>
  <c r="X137" i="1"/>
  <c r="W137" i="1"/>
  <c r="Q51" i="1"/>
  <c r="N77" i="40" s="1"/>
  <c r="P51" i="1"/>
  <c r="O51" i="1"/>
  <c r="Q55" i="1"/>
  <c r="N81" i="40" s="1"/>
  <c r="Q59" i="1"/>
  <c r="N88" i="40" s="1"/>
  <c r="Q85" i="1"/>
  <c r="N92" i="40" s="1"/>
  <c r="P85" i="1"/>
  <c r="O85" i="1"/>
  <c r="Q113" i="1"/>
  <c r="N109" i="40" s="1"/>
  <c r="P113" i="1"/>
  <c r="O113" i="1"/>
  <c r="Q118" i="1"/>
  <c r="N113" i="40" s="1"/>
  <c r="P118" i="1"/>
  <c r="O118" i="1"/>
  <c r="Q89" i="1"/>
  <c r="N65" i="40" s="1"/>
  <c r="Q88" i="1"/>
  <c r="N67" i="40" s="1"/>
  <c r="Q79" i="1"/>
  <c r="N69" i="40" s="1"/>
  <c r="P79" i="1"/>
  <c r="P103" i="1"/>
  <c r="P47" i="1"/>
  <c r="Q49" i="1"/>
  <c r="N75" i="40" s="1"/>
  <c r="Q52" i="1"/>
  <c r="N78" i="40" s="1"/>
  <c r="Q56" i="1"/>
  <c r="N82" i="40" s="1"/>
  <c r="Q58" i="1"/>
  <c r="N85" i="40" s="1"/>
  <c r="P58" i="1"/>
  <c r="O58" i="1"/>
  <c r="Q65" i="1"/>
  <c r="N89" i="40" s="1"/>
  <c r="P65" i="1"/>
  <c r="O65" i="1"/>
  <c r="Q109" i="1"/>
  <c r="N106" i="40" s="1"/>
  <c r="P109" i="1"/>
  <c r="O109" i="1"/>
  <c r="Q115" i="1"/>
  <c r="N110" i="40" s="1"/>
  <c r="P115" i="1"/>
  <c r="O115" i="1"/>
  <c r="P119" i="1"/>
  <c r="O119" i="1"/>
  <c r="Q146" i="1"/>
  <c r="N116" i="40" s="1"/>
  <c r="P146" i="1"/>
  <c r="O146" i="1"/>
  <c r="Q110" i="1"/>
  <c r="N119" i="40" s="1"/>
  <c r="P110" i="1"/>
  <c r="O110" i="1"/>
  <c r="O79" i="1"/>
  <c r="O103" i="1"/>
  <c r="O47" i="1"/>
  <c r="Q53" i="1"/>
  <c r="N79" i="40" s="1"/>
  <c r="P53" i="1"/>
  <c r="O53" i="1"/>
  <c r="Q57" i="1"/>
  <c r="N83" i="40" s="1"/>
  <c r="Q82" i="1"/>
  <c r="N86" i="40" s="1"/>
  <c r="P82" i="1"/>
  <c r="O82" i="1"/>
  <c r="Q60" i="1"/>
  <c r="N90" i="40" s="1"/>
  <c r="P60" i="1"/>
  <c r="O60" i="1"/>
  <c r="Q112" i="1"/>
  <c r="N107" i="40" s="1"/>
  <c r="P112" i="1"/>
  <c r="O112" i="1"/>
  <c r="Q116" i="1"/>
  <c r="N111" i="40" s="1"/>
  <c r="P116" i="1"/>
  <c r="O116" i="1"/>
  <c r="Q120" i="1"/>
  <c r="N117" i="40" s="1"/>
  <c r="P120" i="1"/>
  <c r="O120" i="1"/>
  <c r="Q121" i="1"/>
  <c r="N120" i="40" s="1"/>
  <c r="P121" i="1"/>
  <c r="O121" i="1"/>
  <c r="P78" i="1"/>
  <c r="Q102" i="1"/>
  <c r="N68" i="40" s="1"/>
  <c r="P91" i="1"/>
  <c r="P80" i="1"/>
  <c r="P81" i="1"/>
  <c r="Q50" i="1"/>
  <c r="N76" i="40" s="1"/>
  <c r="P50" i="1"/>
  <c r="O50" i="1"/>
  <c r="Q83" i="1"/>
  <c r="N87" i="40" s="1"/>
  <c r="P83" i="1"/>
  <c r="O83" i="1"/>
  <c r="Q66" i="1"/>
  <c r="N91" i="40" s="1"/>
  <c r="Q126" i="1"/>
  <c r="N108" i="40" s="1"/>
  <c r="P126" i="1"/>
  <c r="O126" i="1"/>
  <c r="Q117" i="1"/>
  <c r="N112" i="40" s="1"/>
  <c r="P117" i="1"/>
  <c r="O117" i="1"/>
  <c r="Q139" i="1"/>
  <c r="N115" i="40" s="1"/>
  <c r="P139" i="1"/>
  <c r="O139" i="1"/>
  <c r="Q138" i="1"/>
  <c r="N118" i="40" s="1"/>
  <c r="Q123" i="1"/>
  <c r="N121" i="40" s="1"/>
  <c r="P123" i="1"/>
  <c r="O123" i="1"/>
  <c r="O137" i="1"/>
  <c r="O147" i="1"/>
  <c r="O132" i="1"/>
  <c r="O129" i="1"/>
  <c r="O144" i="1"/>
  <c r="O141" i="1"/>
  <c r="O127" i="1"/>
  <c r="O105" i="1"/>
  <c r="O68" i="1"/>
  <c r="O46" i="1"/>
  <c r="O64" i="1"/>
  <c r="O41" i="1"/>
  <c r="O38" i="1"/>
  <c r="O36" i="1"/>
  <c r="O34" i="1"/>
  <c r="O32" i="1"/>
  <c r="L137" i="1"/>
  <c r="L135" i="1"/>
  <c r="L133" i="1"/>
  <c r="L124" i="1"/>
  <c r="L114" i="1"/>
  <c r="L145" i="1"/>
  <c r="L122" i="1"/>
  <c r="L143" i="1"/>
  <c r="L147" i="1"/>
  <c r="L134" i="1"/>
  <c r="L132" i="1"/>
  <c r="L131" i="1"/>
  <c r="L130" i="1"/>
  <c r="L129" i="1"/>
  <c r="L144" i="1"/>
  <c r="L128" i="1"/>
  <c r="L111" i="1"/>
  <c r="L141" i="1"/>
  <c r="L125" i="1"/>
  <c r="L142" i="1"/>
  <c r="L127" i="1"/>
  <c r="L105" i="1"/>
  <c r="L77" i="1"/>
  <c r="L100" i="1"/>
  <c r="L68" i="1"/>
  <c r="L72" i="1"/>
  <c r="L95" i="1"/>
  <c r="L71" i="1"/>
  <c r="L99" i="1"/>
  <c r="L70" i="1"/>
  <c r="L46" i="1"/>
  <c r="L84" i="1"/>
  <c r="L64" i="1"/>
  <c r="L43" i="1"/>
  <c r="L61" i="1"/>
  <c r="L42" i="1"/>
  <c r="L41" i="1"/>
  <c r="L40" i="1"/>
  <c r="L38" i="1"/>
  <c r="L37" i="1"/>
  <c r="L36" i="1"/>
  <c r="L35" i="1"/>
  <c r="L34" i="1"/>
  <c r="L33" i="1"/>
  <c r="L31" i="1"/>
  <c r="E12" i="29"/>
  <c r="E4" i="29"/>
  <c r="R18" i="40" l="1"/>
  <c r="U18" i="40" s="1"/>
  <c r="R46" i="40"/>
  <c r="U46" i="40" s="1"/>
  <c r="R127" i="40"/>
  <c r="U127" i="40" s="1"/>
  <c r="R135" i="40"/>
  <c r="U135" i="40" s="1"/>
  <c r="R23" i="40"/>
  <c r="U23" i="40" s="1"/>
  <c r="R40" i="40"/>
  <c r="U40" i="40" s="1"/>
  <c r="R124" i="40"/>
  <c r="U124" i="40" s="1"/>
  <c r="R144" i="40"/>
  <c r="U144" i="40" s="1"/>
  <c r="R39" i="40"/>
  <c r="U39" i="40" s="1"/>
  <c r="R123" i="40"/>
  <c r="U123" i="40" s="1"/>
  <c r="R131" i="40"/>
  <c r="U131" i="40" s="1"/>
  <c r="R30" i="40"/>
  <c r="U30" i="40" s="1"/>
  <c r="R61" i="40"/>
  <c r="U61" i="40" s="1"/>
  <c r="R132" i="40"/>
  <c r="U132" i="40" s="1"/>
  <c r="R16" i="40"/>
  <c r="U16" i="40" s="1"/>
  <c r="R20" i="40"/>
  <c r="U20" i="40" s="1"/>
  <c r="R24" i="40"/>
  <c r="U24" i="40" s="1"/>
  <c r="R33" i="40"/>
  <c r="U33" i="40" s="1"/>
  <c r="R41" i="40"/>
  <c r="U41" i="40" s="1"/>
  <c r="R51" i="40"/>
  <c r="U51" i="40" s="1"/>
  <c r="R63" i="40"/>
  <c r="U63" i="40" s="1"/>
  <c r="R125" i="40"/>
  <c r="U125" i="40" s="1"/>
  <c r="R129" i="40"/>
  <c r="U129" i="40" s="1"/>
  <c r="R133" i="40"/>
  <c r="U133" i="40" s="1"/>
  <c r="R138" i="40"/>
  <c r="U138" i="40" s="1"/>
  <c r="R140" i="40"/>
  <c r="U140" i="40" s="1"/>
  <c r="R22" i="40"/>
  <c r="U22" i="40" s="1"/>
  <c r="R29" i="40"/>
  <c r="U29" i="40" s="1"/>
  <c r="R58" i="40"/>
  <c r="U58" i="40" s="1"/>
  <c r="R143" i="40"/>
  <c r="U143" i="40" s="1"/>
  <c r="R19" i="40"/>
  <c r="U19" i="40" s="1"/>
  <c r="R49" i="40"/>
  <c r="U49" i="40" s="1"/>
  <c r="R128" i="40"/>
  <c r="U128" i="40" s="1"/>
  <c r="R136" i="40"/>
  <c r="U136" i="40" s="1"/>
  <c r="R17" i="40"/>
  <c r="U17" i="40" s="1"/>
  <c r="R21" i="40"/>
  <c r="U21" i="40" s="1"/>
  <c r="R28" i="40"/>
  <c r="U28" i="40" s="1"/>
  <c r="R36" i="40"/>
  <c r="U36" i="40" s="1"/>
  <c r="R45" i="40"/>
  <c r="U45" i="40" s="1"/>
  <c r="R56" i="40"/>
  <c r="U56" i="40" s="1"/>
  <c r="R122" i="40"/>
  <c r="U122" i="40" s="1"/>
  <c r="R126" i="40"/>
  <c r="U126" i="40" s="1"/>
  <c r="R130" i="40"/>
  <c r="U130" i="40" s="1"/>
  <c r="R134" i="40"/>
  <c r="U134" i="40" s="1"/>
  <c r="R139" i="40"/>
  <c r="U139" i="40" s="1"/>
  <c r="R142" i="40"/>
  <c r="U142" i="40" s="1"/>
  <c r="R61" i="1"/>
  <c r="Q30" i="40" s="1"/>
  <c r="T30" i="40" s="1"/>
  <c r="R95" i="1"/>
  <c r="Q49" i="40" s="1"/>
  <c r="T49" i="40" s="1"/>
  <c r="R132" i="1"/>
  <c r="Q132" i="40" s="1"/>
  <c r="T132" i="40" s="1"/>
  <c r="R41" i="1"/>
  <c r="Q28" i="40" s="1"/>
  <c r="T28" i="40" s="1"/>
  <c r="R99" i="1"/>
  <c r="Q45" i="40" s="1"/>
  <c r="T45" i="40" s="1"/>
  <c r="R31" i="1"/>
  <c r="Q16" i="40" s="1"/>
  <c r="T16" i="40" s="1"/>
  <c r="R43" i="1"/>
  <c r="Q33" i="40" s="1"/>
  <c r="T33" i="40" s="1"/>
  <c r="R70" i="1"/>
  <c r="Q41" i="40" s="1"/>
  <c r="T41" i="40" s="1"/>
  <c r="R141" i="1"/>
  <c r="Q125" i="40" s="1"/>
  <c r="T125" i="40" s="1"/>
  <c r="Z154" i="1"/>
  <c r="R71" i="1"/>
  <c r="Q46" i="40" s="1"/>
  <c r="T46" i="40" s="1"/>
  <c r="Q71" i="1"/>
  <c r="R72" i="1"/>
  <c r="Q51" i="40" s="1"/>
  <c r="T51" i="40" s="1"/>
  <c r="Q72" i="1"/>
  <c r="X154" i="1"/>
  <c r="O17" i="40"/>
  <c r="R32" i="1"/>
  <c r="Q17" i="40" s="1"/>
  <c r="T17" i="40" s="1"/>
  <c r="O133" i="40"/>
  <c r="R134" i="1"/>
  <c r="Q133" i="40" s="1"/>
  <c r="T133" i="40" s="1"/>
  <c r="O22" i="40"/>
  <c r="R37" i="1"/>
  <c r="Q22" i="40" s="1"/>
  <c r="T22" i="40" s="1"/>
  <c r="O19" i="40"/>
  <c r="R34" i="1"/>
  <c r="Q19" i="40" s="1"/>
  <c r="T19" i="40" s="1"/>
  <c r="O123" i="40"/>
  <c r="R142" i="1"/>
  <c r="Q123" i="40" s="1"/>
  <c r="T123" i="40" s="1"/>
  <c r="O131" i="40"/>
  <c r="R131" i="1"/>
  <c r="Q131" i="40" s="1"/>
  <c r="T131" i="40" s="1"/>
  <c r="O143" i="40"/>
  <c r="R124" i="1"/>
  <c r="Q143" i="40" s="1"/>
  <c r="T143" i="40" s="1"/>
  <c r="O20" i="40"/>
  <c r="R35" i="1"/>
  <c r="Q20" i="40" s="1"/>
  <c r="T20" i="40" s="1"/>
  <c r="O24" i="40"/>
  <c r="R40" i="1"/>
  <c r="Q24" i="40" s="1"/>
  <c r="T24" i="40" s="1"/>
  <c r="O33" i="40"/>
  <c r="O41" i="40"/>
  <c r="O51" i="40"/>
  <c r="O61" i="40"/>
  <c r="R77" i="1"/>
  <c r="Q61" i="40" s="1"/>
  <c r="T61" i="40" s="1"/>
  <c r="O124" i="40"/>
  <c r="R125" i="1"/>
  <c r="Q124" i="40" s="1"/>
  <c r="T124" i="40" s="1"/>
  <c r="O128" i="40"/>
  <c r="R144" i="1"/>
  <c r="Q128" i="40" s="1"/>
  <c r="T128" i="40" s="1"/>
  <c r="O136" i="40"/>
  <c r="R122" i="1"/>
  <c r="Q136" i="40" s="1"/>
  <c r="T136" i="40" s="1"/>
  <c r="O144" i="40"/>
  <c r="R133" i="1"/>
  <c r="Q144" i="40" s="1"/>
  <c r="T144" i="40" s="1"/>
  <c r="O21" i="40"/>
  <c r="R36" i="1"/>
  <c r="Q21" i="40" s="1"/>
  <c r="T21" i="40" s="1"/>
  <c r="O63" i="40"/>
  <c r="R105" i="1"/>
  <c r="Q63" i="40" s="1"/>
  <c r="T63" i="40" s="1"/>
  <c r="O36" i="40"/>
  <c r="R64" i="1"/>
  <c r="Q36" i="40" s="1"/>
  <c r="T36" i="40" s="1"/>
  <c r="O129" i="40"/>
  <c r="R129" i="1"/>
  <c r="Q129" i="40" s="1"/>
  <c r="T129" i="40" s="1"/>
  <c r="O140" i="40"/>
  <c r="R135" i="1"/>
  <c r="Q140" i="40" s="1"/>
  <c r="T140" i="40" s="1"/>
  <c r="O29" i="40"/>
  <c r="R42" i="1"/>
  <c r="Q29" i="40" s="1"/>
  <c r="T29" i="40" s="1"/>
  <c r="O39" i="40"/>
  <c r="R84" i="1"/>
  <c r="Q39" i="40" s="1"/>
  <c r="T39" i="40" s="1"/>
  <c r="O46" i="40"/>
  <c r="O56" i="40"/>
  <c r="R68" i="1"/>
  <c r="Q56" i="40" s="1"/>
  <c r="T56" i="40" s="1"/>
  <c r="O122" i="40"/>
  <c r="R127" i="1"/>
  <c r="Q122" i="40" s="1"/>
  <c r="T122" i="40" s="1"/>
  <c r="O126" i="40"/>
  <c r="R111" i="1"/>
  <c r="Q126" i="40" s="1"/>
  <c r="T126" i="40" s="1"/>
  <c r="O130" i="40"/>
  <c r="R130" i="1"/>
  <c r="Q130" i="40" s="1"/>
  <c r="T130" i="40" s="1"/>
  <c r="O134" i="40"/>
  <c r="R147" i="1"/>
  <c r="Q134" i="40" s="1"/>
  <c r="T134" i="40" s="1"/>
  <c r="O139" i="40"/>
  <c r="R114" i="1"/>
  <c r="Q139" i="40" s="1"/>
  <c r="T139" i="40" s="1"/>
  <c r="O142" i="40"/>
  <c r="R137" i="1"/>
  <c r="Q142" i="40" s="1"/>
  <c r="T142" i="40" s="1"/>
  <c r="P151" i="1"/>
  <c r="R151" i="1"/>
  <c r="O53" i="40"/>
  <c r="O138" i="40"/>
  <c r="R145" i="1"/>
  <c r="Q138" i="40" s="1"/>
  <c r="T138" i="40" s="1"/>
  <c r="O18" i="40"/>
  <c r="R33" i="1"/>
  <c r="Q18" i="40" s="1"/>
  <c r="T18" i="40" s="1"/>
  <c r="O23" i="40"/>
  <c r="R38" i="1"/>
  <c r="Q23" i="40" s="1"/>
  <c r="T23" i="40" s="1"/>
  <c r="O40" i="40"/>
  <c r="R46" i="1"/>
  <c r="Q40" i="40" s="1"/>
  <c r="T40" i="40" s="1"/>
  <c r="O58" i="40"/>
  <c r="R100" i="1"/>
  <c r="Q58" i="40" s="1"/>
  <c r="T58" i="40" s="1"/>
  <c r="O127" i="40"/>
  <c r="R128" i="1"/>
  <c r="Q127" i="40" s="1"/>
  <c r="T127" i="40" s="1"/>
  <c r="O135" i="40"/>
  <c r="R143" i="1"/>
  <c r="Q135" i="40" s="1"/>
  <c r="T135" i="40" s="1"/>
  <c r="X156" i="1"/>
  <c r="Z156" i="1"/>
  <c r="X149" i="1"/>
  <c r="Z149" i="1"/>
  <c r="X151" i="1"/>
  <c r="Z151" i="1"/>
  <c r="X157" i="1"/>
  <c r="Z157" i="1"/>
  <c r="X150" i="1"/>
  <c r="Z150" i="1"/>
  <c r="X155" i="1"/>
  <c r="Z155" i="1"/>
  <c r="X153" i="1"/>
  <c r="Z153" i="1"/>
  <c r="X152" i="1"/>
  <c r="Z152" i="1"/>
  <c r="L152" i="1"/>
  <c r="O45" i="40"/>
  <c r="L154" i="1"/>
  <c r="L157" i="1"/>
  <c r="O30" i="40"/>
  <c r="O125" i="40"/>
  <c r="L150" i="1"/>
  <c r="L149" i="1"/>
  <c r="O49" i="40"/>
  <c r="L153" i="1"/>
  <c r="L156" i="1"/>
  <c r="O28" i="40"/>
  <c r="L155" i="1"/>
  <c r="O16" i="40"/>
  <c r="Q132" i="1"/>
  <c r="N132" i="40" s="1"/>
  <c r="O132" i="40"/>
  <c r="Q133" i="1"/>
  <c r="N144" i="40" s="1"/>
  <c r="Q36" i="1"/>
  <c r="N21" i="40" s="1"/>
  <c r="Q108" i="1"/>
  <c r="N32" i="40" s="1"/>
  <c r="Q98" i="1"/>
  <c r="N44" i="40" s="1"/>
  <c r="Q86" i="1"/>
  <c r="N52" i="40" s="1"/>
  <c r="Q127" i="1"/>
  <c r="N122" i="40" s="1"/>
  <c r="Q37" i="1"/>
  <c r="N22" i="40" s="1"/>
  <c r="Q99" i="1"/>
  <c r="N45" i="40" s="1"/>
  <c r="Q95" i="1"/>
  <c r="N49" i="40" s="1"/>
  <c r="N53" i="40"/>
  <c r="Q142" i="1"/>
  <c r="N123" i="40" s="1"/>
  <c r="Q111" i="1"/>
  <c r="N126" i="40" s="1"/>
  <c r="Q130" i="1"/>
  <c r="N130" i="40" s="1"/>
  <c r="Q32" i="1"/>
  <c r="N17" i="40" s="1"/>
  <c r="Q64" i="1"/>
  <c r="N36" i="40" s="1"/>
  <c r="Q46" i="1"/>
  <c r="N40" i="40" s="1"/>
  <c r="Q97" i="1"/>
  <c r="N48" i="40" s="1"/>
  <c r="Q68" i="1"/>
  <c r="N56" i="40" s="1"/>
  <c r="Q141" i="1"/>
  <c r="N125" i="40" s="1"/>
  <c r="Q129" i="1"/>
  <c r="N129" i="40" s="1"/>
  <c r="Q33" i="1"/>
  <c r="N18" i="40" s="1"/>
  <c r="Q42" i="1"/>
  <c r="N29" i="40" s="1"/>
  <c r="Q45" i="1"/>
  <c r="N37" i="40" s="1"/>
  <c r="Q34" i="1"/>
  <c r="N19" i="40" s="1"/>
  <c r="Q38" i="1"/>
  <c r="N23" i="40" s="1"/>
  <c r="Q61" i="1"/>
  <c r="N30" i="40" s="1"/>
  <c r="Q62" i="1"/>
  <c r="N34" i="40" s="1"/>
  <c r="Q69" i="1"/>
  <c r="N38" i="40" s="1"/>
  <c r="Q48" i="1"/>
  <c r="N42" i="40" s="1"/>
  <c r="N46" i="40"/>
  <c r="Q67" i="1"/>
  <c r="N50" i="40" s="1"/>
  <c r="Q74" i="1"/>
  <c r="N54" i="40" s="1"/>
  <c r="Q125" i="1"/>
  <c r="N124" i="40" s="1"/>
  <c r="Q128" i="1"/>
  <c r="N127" i="40" s="1"/>
  <c r="Q131" i="1"/>
  <c r="N131" i="40" s="1"/>
  <c r="Q77" i="1"/>
  <c r="N61" i="40" s="1"/>
  <c r="Q31" i="1"/>
  <c r="N16" i="40" s="1"/>
  <c r="Q35" i="1"/>
  <c r="N20" i="40" s="1"/>
  <c r="Q40" i="1"/>
  <c r="N24" i="40" s="1"/>
  <c r="Q107" i="1"/>
  <c r="N31" i="40" s="1"/>
  <c r="Q63" i="1"/>
  <c r="N35" i="40" s="1"/>
  <c r="Q84" i="1"/>
  <c r="N39" i="40" s="1"/>
  <c r="Q87" i="1"/>
  <c r="N43" i="40" s="1"/>
  <c r="Q96" i="1"/>
  <c r="N47" i="40" s="1"/>
  <c r="Q75" i="1"/>
  <c r="N55" i="40" s="1"/>
  <c r="Q144" i="1"/>
  <c r="N128" i="40" s="1"/>
  <c r="P143" i="1"/>
  <c r="P124" i="1"/>
  <c r="Q147" i="1"/>
  <c r="N134" i="40" s="1"/>
  <c r="Q145" i="1"/>
  <c r="N138" i="40" s="1"/>
  <c r="Q137" i="1"/>
  <c r="N142" i="40" s="1"/>
  <c r="Q122" i="1"/>
  <c r="N136" i="40" s="1"/>
  <c r="Q140" i="1"/>
  <c r="N137" i="40" s="1"/>
  <c r="Q114" i="1"/>
  <c r="N139" i="40" s="1"/>
  <c r="Q135" i="1"/>
  <c r="N140" i="40" s="1"/>
  <c r="Q143" i="1"/>
  <c r="N135" i="40" s="1"/>
  <c r="P33" i="1"/>
  <c r="P37" i="1"/>
  <c r="P42" i="1"/>
  <c r="P43" i="1"/>
  <c r="P70" i="1"/>
  <c r="P99" i="1"/>
  <c r="P95" i="1"/>
  <c r="P73" i="1"/>
  <c r="P77" i="1"/>
  <c r="P142" i="1"/>
  <c r="P111" i="1"/>
  <c r="P130" i="1"/>
  <c r="P64" i="1"/>
  <c r="P147" i="1"/>
  <c r="Q124" i="1"/>
  <c r="N143" i="40" s="1"/>
  <c r="P32" i="1"/>
  <c r="P36" i="1"/>
  <c r="P41" i="1"/>
  <c r="P68" i="1"/>
  <c r="P129" i="1"/>
  <c r="P137" i="1"/>
  <c r="P46" i="1"/>
  <c r="P127" i="1"/>
  <c r="P145" i="1"/>
  <c r="P31" i="1"/>
  <c r="P35" i="1"/>
  <c r="P40" i="1"/>
  <c r="P84" i="1"/>
  <c r="P114" i="1"/>
  <c r="P135" i="1"/>
  <c r="P141" i="1"/>
  <c r="P72" i="1"/>
  <c r="O35" i="1"/>
  <c r="O84" i="1"/>
  <c r="P34" i="1"/>
  <c r="P38" i="1"/>
  <c r="P61" i="1"/>
  <c r="P71" i="1"/>
  <c r="O100" i="1"/>
  <c r="P100" i="1"/>
  <c r="O125" i="1"/>
  <c r="P125" i="1"/>
  <c r="O128" i="1"/>
  <c r="P128" i="1"/>
  <c r="P131" i="1"/>
  <c r="O131" i="1"/>
  <c r="O122" i="1"/>
  <c r="P122" i="1"/>
  <c r="O133" i="1"/>
  <c r="P133" i="1"/>
  <c r="O31" i="1"/>
  <c r="O40" i="1"/>
  <c r="O72" i="1"/>
  <c r="O114" i="1"/>
  <c r="O135" i="1"/>
  <c r="P105" i="1"/>
  <c r="P144" i="1"/>
  <c r="P132" i="1"/>
  <c r="O61" i="1"/>
  <c r="O71" i="1"/>
  <c r="O33" i="1"/>
  <c r="O37" i="1"/>
  <c r="O42" i="1"/>
  <c r="O43" i="1"/>
  <c r="O70" i="1"/>
  <c r="O99" i="1"/>
  <c r="O95" i="1"/>
  <c r="O73" i="1"/>
  <c r="O77" i="1"/>
  <c r="O142" i="1"/>
  <c r="O111" i="1"/>
  <c r="O130" i="1"/>
  <c r="O143" i="1"/>
  <c r="O124" i="1"/>
  <c r="Q134" i="1"/>
  <c r="N133" i="40" s="1"/>
  <c r="O134" i="1"/>
  <c r="P134" i="1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27" i="29"/>
  <c r="V171" i="1"/>
  <c r="W169" i="1"/>
  <c r="W168" i="1"/>
  <c r="W167" i="1"/>
  <c r="W165" i="1"/>
  <c r="W164" i="1"/>
  <c r="T171" i="1"/>
  <c r="T170" i="1"/>
  <c r="K147" i="40" s="1"/>
  <c r="T169" i="1"/>
  <c r="K146" i="40" s="1"/>
  <c r="T168" i="1"/>
  <c r="K103" i="40" s="1"/>
  <c r="T167" i="1"/>
  <c r="K96" i="40" s="1"/>
  <c r="T166" i="1"/>
  <c r="K94" i="40" s="1"/>
  <c r="T165" i="1"/>
  <c r="K26" i="40" s="1"/>
  <c r="T164" i="1"/>
  <c r="K6" i="40" s="1"/>
  <c r="T163" i="1"/>
  <c r="K5" i="40" s="1"/>
  <c r="L163" i="1"/>
  <c r="R5" i="40" s="1"/>
  <c r="L164" i="1"/>
  <c r="R6" i="40" s="1"/>
  <c r="U6" i="40" s="1"/>
  <c r="L165" i="1"/>
  <c r="R26" i="40" s="1"/>
  <c r="U26" i="40" s="1"/>
  <c r="O165" i="1"/>
  <c r="O166" i="1"/>
  <c r="O168" i="1"/>
  <c r="O169" i="1"/>
  <c r="O170" i="1"/>
  <c r="N171" i="1"/>
  <c r="L166" i="1"/>
  <c r="R94" i="40" s="1"/>
  <c r="U94" i="40" s="1"/>
  <c r="L167" i="1"/>
  <c r="R96" i="40" s="1"/>
  <c r="U96" i="40" s="1"/>
  <c r="L168" i="1"/>
  <c r="R103" i="40" s="1"/>
  <c r="U103" i="40" s="1"/>
  <c r="L169" i="1"/>
  <c r="R146" i="40" s="1"/>
  <c r="U146" i="40" s="1"/>
  <c r="L170" i="1"/>
  <c r="R147" i="40" s="1"/>
  <c r="U147" i="40" s="1"/>
  <c r="L171" i="1"/>
  <c r="R149" i="40" s="1"/>
  <c r="U149" i="40" s="1"/>
  <c r="U5" i="40" l="1"/>
  <c r="L149" i="40"/>
  <c r="L153" i="40" s="1"/>
  <c r="R171" i="1"/>
  <c r="Q149" i="40" s="1"/>
  <c r="T149" i="40" s="1"/>
  <c r="Q171" i="1"/>
  <c r="O96" i="40"/>
  <c r="R167" i="1"/>
  <c r="Q96" i="40" s="1"/>
  <c r="T96" i="40" s="1"/>
  <c r="Q167" i="1"/>
  <c r="O26" i="40"/>
  <c r="R165" i="1"/>
  <c r="Q26" i="40" s="1"/>
  <c r="T26" i="40" s="1"/>
  <c r="Q165" i="1"/>
  <c r="O6" i="40"/>
  <c r="Q164" i="1"/>
  <c r="R164" i="1"/>
  <c r="Q6" i="40" s="1"/>
  <c r="T6" i="40" s="1"/>
  <c r="O103" i="40"/>
  <c r="Q168" i="1"/>
  <c r="R168" i="1"/>
  <c r="Q103" i="40" s="1"/>
  <c r="T103" i="40" s="1"/>
  <c r="O147" i="40"/>
  <c r="R170" i="1"/>
  <c r="Q147" i="40" s="1"/>
  <c r="T147" i="40" s="1"/>
  <c r="Q170" i="1"/>
  <c r="O94" i="40"/>
  <c r="Q166" i="1"/>
  <c r="R166" i="1"/>
  <c r="Q94" i="40" s="1"/>
  <c r="T94" i="40" s="1"/>
  <c r="O146" i="40"/>
  <c r="R169" i="1"/>
  <c r="Q146" i="40" s="1"/>
  <c r="T146" i="40" s="1"/>
  <c r="Q169" i="1"/>
  <c r="O5" i="40"/>
  <c r="R163" i="1"/>
  <c r="Q5" i="40" s="1"/>
  <c r="T5" i="40" s="1"/>
  <c r="Q163" i="1"/>
  <c r="Z167" i="1"/>
  <c r="Y167" i="1"/>
  <c r="Z164" i="1"/>
  <c r="Y164" i="1"/>
  <c r="Z168" i="1"/>
  <c r="Y168" i="1"/>
  <c r="Z171" i="1"/>
  <c r="Y171" i="1"/>
  <c r="Z165" i="1"/>
  <c r="Y165" i="1"/>
  <c r="Z169" i="1"/>
  <c r="Y169" i="1"/>
  <c r="W171" i="1"/>
  <c r="K149" i="40"/>
  <c r="Z163" i="1"/>
  <c r="Y163" i="1"/>
  <c r="Z166" i="1"/>
  <c r="Y166" i="1"/>
  <c r="Z170" i="1"/>
  <c r="Y170" i="1"/>
  <c r="P153" i="1"/>
  <c r="R153" i="1"/>
  <c r="P155" i="1"/>
  <c r="R155" i="1"/>
  <c r="P152" i="1"/>
  <c r="R152" i="1"/>
  <c r="P149" i="1"/>
  <c r="R149" i="1"/>
  <c r="P157" i="1"/>
  <c r="R157" i="1"/>
  <c r="P156" i="1"/>
  <c r="R156" i="1"/>
  <c r="P150" i="1"/>
  <c r="R150" i="1"/>
  <c r="P154" i="1"/>
  <c r="R154" i="1"/>
  <c r="N5" i="40"/>
  <c r="N96" i="40"/>
  <c r="P170" i="1"/>
  <c r="P164" i="1"/>
  <c r="N94" i="40"/>
  <c r="P169" i="1"/>
  <c r="P171" i="1"/>
  <c r="P167" i="1"/>
  <c r="P165" i="1"/>
  <c r="N103" i="40"/>
  <c r="N6" i="40"/>
  <c r="P166" i="1"/>
  <c r="O164" i="1"/>
  <c r="N147" i="40"/>
  <c r="O171" i="1"/>
  <c r="O167" i="1"/>
  <c r="P163" i="1"/>
  <c r="P168" i="1"/>
  <c r="N146" i="40"/>
  <c r="N26" i="40"/>
  <c r="X171" i="1"/>
  <c r="X168" i="1"/>
  <c r="X163" i="1"/>
  <c r="X166" i="1"/>
  <c r="X170" i="1"/>
  <c r="X165" i="1"/>
  <c r="X167" i="1"/>
  <c r="X169" i="1"/>
  <c r="W166" i="1"/>
  <c r="W170" i="1"/>
  <c r="X164" i="1"/>
  <c r="O149" i="40" l="1"/>
  <c r="N149" i="40"/>
  <c r="D28" i="29"/>
  <c r="D29" i="29"/>
  <c r="G29" i="29" s="1"/>
  <c r="D30" i="29"/>
  <c r="D31" i="29"/>
  <c r="D32" i="29"/>
  <c r="D33" i="29"/>
  <c r="G33" i="29" s="1"/>
  <c r="D34" i="29"/>
  <c r="D35" i="29"/>
  <c r="D36" i="29"/>
  <c r="D37" i="29"/>
  <c r="G37" i="29" s="1"/>
  <c r="D38" i="29"/>
  <c r="D39" i="29"/>
  <c r="D40" i="29"/>
  <c r="D41" i="29"/>
  <c r="G41" i="29" s="1"/>
  <c r="D42" i="29"/>
  <c r="D43" i="29"/>
  <c r="D44" i="29"/>
  <c r="D45" i="29"/>
  <c r="E45" i="29" s="1"/>
  <c r="D46" i="29"/>
  <c r="D47" i="29"/>
  <c r="D48" i="29"/>
  <c r="D49" i="29"/>
  <c r="G49" i="29" s="1"/>
  <c r="D50" i="29"/>
  <c r="D51" i="29"/>
  <c r="D52" i="29"/>
  <c r="D53" i="29"/>
  <c r="G53" i="29" s="1"/>
  <c r="D54" i="29"/>
  <c r="D55" i="29"/>
  <c r="D56" i="29"/>
  <c r="D57" i="29"/>
  <c r="F57" i="29" s="1"/>
  <c r="D58" i="29"/>
  <c r="D59" i="29"/>
  <c r="D60" i="29"/>
  <c r="D61" i="29"/>
  <c r="F61" i="29" s="1"/>
  <c r="D62" i="29"/>
  <c r="D63" i="29"/>
  <c r="D27" i="29"/>
  <c r="C64" i="29"/>
  <c r="B64" i="29"/>
  <c r="G27" i="29" l="1"/>
  <c r="F27" i="29"/>
  <c r="E27" i="29"/>
  <c r="F48" i="29"/>
  <c r="G48" i="29"/>
  <c r="E48" i="29"/>
  <c r="F36" i="29"/>
  <c r="G36" i="29"/>
  <c r="F28" i="29"/>
  <c r="G28" i="29"/>
  <c r="E28" i="29"/>
  <c r="F56" i="29"/>
  <c r="E56" i="29"/>
  <c r="F40" i="29"/>
  <c r="G40" i="29"/>
  <c r="E40" i="29"/>
  <c r="E55" i="29"/>
  <c r="F55" i="29"/>
  <c r="G43" i="29"/>
  <c r="E43" i="29"/>
  <c r="F43" i="29"/>
  <c r="E35" i="29"/>
  <c r="F35" i="29"/>
  <c r="F54" i="29"/>
  <c r="E54" i="29"/>
  <c r="F34" i="29"/>
  <c r="E34" i="29"/>
  <c r="F60" i="29"/>
  <c r="G60" i="29"/>
  <c r="E60" i="29"/>
  <c r="F52" i="29"/>
  <c r="G52" i="29"/>
  <c r="E52" i="29"/>
  <c r="F44" i="29"/>
  <c r="G44" i="29"/>
  <c r="E44" i="29"/>
  <c r="D64" i="29"/>
  <c r="G64" i="29" s="1"/>
  <c r="F32" i="29"/>
  <c r="G32" i="29"/>
  <c r="E32" i="29"/>
  <c r="E63" i="29"/>
  <c r="F63" i="29"/>
  <c r="G63" i="29"/>
  <c r="E59" i="29"/>
  <c r="F59" i="29"/>
  <c r="G51" i="29"/>
  <c r="E51" i="29"/>
  <c r="F51" i="29"/>
  <c r="G47" i="29"/>
  <c r="E47" i="29"/>
  <c r="F47" i="29"/>
  <c r="G39" i="29"/>
  <c r="E39" i="29"/>
  <c r="F39" i="29"/>
  <c r="G31" i="29"/>
  <c r="E31" i="29"/>
  <c r="F31" i="29"/>
  <c r="F62" i="29"/>
  <c r="E62" i="29"/>
  <c r="G62" i="29"/>
  <c r="E58" i="29"/>
  <c r="F58" i="29"/>
  <c r="G58" i="29"/>
  <c r="F50" i="29"/>
  <c r="G50" i="29"/>
  <c r="E50" i="29"/>
  <c r="E46" i="29"/>
  <c r="F46" i="29"/>
  <c r="G46" i="29"/>
  <c r="F42" i="29"/>
  <c r="G42" i="29"/>
  <c r="E42" i="29"/>
  <c r="F38" i="29"/>
  <c r="G38" i="29"/>
  <c r="E38" i="29"/>
  <c r="F30" i="29"/>
  <c r="E30" i="29"/>
  <c r="G30" i="29"/>
  <c r="G57" i="29"/>
  <c r="G45" i="29"/>
  <c r="E61" i="29"/>
  <c r="E57" i="29"/>
  <c r="E53" i="29"/>
  <c r="E49" i="29"/>
  <c r="E41" i="29"/>
  <c r="F53" i="29"/>
  <c r="F49" i="29"/>
  <c r="F45" i="29"/>
  <c r="F41" i="29"/>
  <c r="F37" i="29"/>
  <c r="F33" i="29"/>
  <c r="F29" i="29"/>
  <c r="E33" i="29"/>
  <c r="E29" i="29"/>
  <c r="E64" i="29" l="1"/>
  <c r="F64" i="29"/>
  <c r="K55" i="22"/>
  <c r="C3875" i="24"/>
  <c r="C3876" i="24"/>
  <c r="C3877" i="24"/>
  <c r="C3878" i="24"/>
  <c r="C3879" i="24"/>
  <c r="C3880" i="24"/>
  <c r="C3881" i="24"/>
  <c r="C3882" i="24"/>
  <c r="C3883" i="24"/>
  <c r="C3884" i="24"/>
  <c r="C3885" i="24"/>
  <c r="C3886" i="24"/>
  <c r="C3887" i="24"/>
  <c r="C3888" i="24"/>
  <c r="C3889" i="24"/>
  <c r="C3890" i="24"/>
  <c r="C3891" i="24"/>
  <c r="C3892" i="24"/>
  <c r="C3893" i="24"/>
  <c r="C3894" i="24"/>
  <c r="C3895" i="24"/>
  <c r="C3896" i="24"/>
  <c r="C3897" i="24"/>
  <c r="C3898" i="24"/>
  <c r="C3899" i="24"/>
  <c r="C3900" i="24"/>
  <c r="C3901" i="24"/>
  <c r="C3902" i="24"/>
  <c r="C3903" i="24"/>
  <c r="C3904" i="24"/>
  <c r="C3905" i="24"/>
  <c r="C3906" i="24"/>
  <c r="C3907" i="24"/>
  <c r="C3908" i="24"/>
  <c r="C3909" i="24"/>
  <c r="C3910" i="24"/>
  <c r="C3911" i="24"/>
  <c r="C3912" i="24"/>
  <c r="C3913" i="24"/>
  <c r="C3914" i="24"/>
  <c r="C3915" i="24"/>
  <c r="C3916" i="24"/>
  <c r="C3917" i="24"/>
  <c r="C3918" i="24"/>
  <c r="C3919" i="24"/>
  <c r="C3920" i="24"/>
  <c r="C3921" i="24"/>
  <c r="C3922" i="24"/>
  <c r="C3923" i="24"/>
  <c r="C3924" i="24"/>
  <c r="C3925" i="24"/>
  <c r="C3926" i="24"/>
  <c r="C3927" i="24"/>
  <c r="C3928" i="24"/>
  <c r="C3929" i="24"/>
  <c r="C3930" i="24"/>
  <c r="C3931" i="24"/>
  <c r="C3932" i="24"/>
  <c r="C3933" i="24"/>
  <c r="C3934" i="24"/>
  <c r="C3935" i="24"/>
  <c r="C3936" i="24"/>
  <c r="C3937" i="24"/>
  <c r="C3938" i="24"/>
  <c r="C3939" i="24"/>
  <c r="C3940" i="24"/>
  <c r="C3941" i="24"/>
  <c r="C3942" i="24"/>
  <c r="C3943" i="24"/>
  <c r="C3944" i="24"/>
  <c r="C3945" i="24"/>
  <c r="C3946" i="24"/>
  <c r="C3947" i="24"/>
  <c r="C3948" i="24"/>
  <c r="C3949" i="24"/>
  <c r="C3950" i="24"/>
  <c r="C3951" i="24"/>
  <c r="C3952" i="24"/>
  <c r="C3953" i="24"/>
  <c r="C3954" i="24"/>
  <c r="C3955" i="24"/>
  <c r="C3956" i="24"/>
  <c r="C3957" i="24"/>
  <c r="C3958" i="24"/>
  <c r="C3959" i="24"/>
  <c r="C3960" i="24"/>
  <c r="C3961" i="24"/>
  <c r="C3962" i="24"/>
  <c r="N25" i="22"/>
  <c r="E25" i="1" s="1"/>
  <c r="C3867" i="24"/>
  <c r="C3868" i="24"/>
  <c r="C3869" i="24"/>
  <c r="C3870" i="24"/>
  <c r="C3871" i="24"/>
  <c r="C3872" i="24"/>
  <c r="C3873" i="24"/>
  <c r="C3874" i="24"/>
  <c r="C18" i="29"/>
  <c r="D18" i="29"/>
  <c r="G23" i="29"/>
  <c r="F23" i="29"/>
  <c r="G22" i="29"/>
  <c r="F22" i="29"/>
  <c r="E22" i="29"/>
  <c r="G21" i="29"/>
  <c r="F21" i="29"/>
  <c r="E21" i="29"/>
  <c r="C24" i="29"/>
  <c r="D24" i="29"/>
  <c r="B24" i="29"/>
  <c r="E24" i="29" l="1"/>
  <c r="G24" i="29"/>
  <c r="E16" i="29" l="1"/>
  <c r="G17" i="29" l="1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B18" i="29"/>
  <c r="F18" i="29" s="1"/>
  <c r="G18" i="29" l="1"/>
  <c r="G15" i="29"/>
  <c r="E15" i="29"/>
  <c r="G14" i="29"/>
  <c r="E14" i="29"/>
  <c r="E13" i="29"/>
  <c r="G12" i="29"/>
  <c r="G11" i="29"/>
  <c r="E11" i="29"/>
  <c r="G10" i="29"/>
  <c r="E10" i="29"/>
  <c r="G9" i="29"/>
  <c r="E9" i="29"/>
  <c r="G8" i="29"/>
  <c r="E8" i="29"/>
  <c r="G7" i="29"/>
  <c r="E7" i="29"/>
  <c r="G6" i="29"/>
  <c r="E6" i="29"/>
  <c r="G5" i="29"/>
  <c r="E5" i="29"/>
  <c r="G4" i="29"/>
  <c r="G3" i="29"/>
  <c r="E3" i="29"/>
  <c r="G2" i="29"/>
  <c r="E2" i="29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C17" i="28"/>
  <c r="E17" i="28" l="1"/>
  <c r="E18" i="29"/>
  <c r="F24" i="29" l="1"/>
  <c r="B17" i="28"/>
  <c r="D17" i="28"/>
  <c r="C3812" i="24"/>
  <c r="C3813" i="24"/>
  <c r="C3814" i="24"/>
  <c r="C3815" i="24"/>
  <c r="C3816" i="24"/>
  <c r="C3817" i="24"/>
  <c r="C3818" i="24"/>
  <c r="C3819" i="24"/>
  <c r="C3820" i="24"/>
  <c r="C3821" i="24"/>
  <c r="C3822" i="24"/>
  <c r="C3823" i="24"/>
  <c r="C3824" i="24"/>
  <c r="C3825" i="24"/>
  <c r="C3826" i="24"/>
  <c r="C3827" i="24"/>
  <c r="C3828" i="24"/>
  <c r="C3829" i="24"/>
  <c r="C3830" i="24"/>
  <c r="C3831" i="24"/>
  <c r="C3832" i="24"/>
  <c r="C3833" i="24"/>
  <c r="C3834" i="24"/>
  <c r="C3835" i="24"/>
  <c r="C3836" i="24"/>
  <c r="C3837" i="24"/>
  <c r="C3838" i="24"/>
  <c r="C3839" i="24"/>
  <c r="C3840" i="24"/>
  <c r="C3841" i="24"/>
  <c r="C3842" i="24"/>
  <c r="C3843" i="24"/>
  <c r="C3844" i="24"/>
  <c r="C3845" i="24"/>
  <c r="C3846" i="24"/>
  <c r="C3847" i="24"/>
  <c r="C3848" i="24"/>
  <c r="C3849" i="24"/>
  <c r="C3850" i="24"/>
  <c r="C3851" i="24"/>
  <c r="C3852" i="24"/>
  <c r="C3853" i="24"/>
  <c r="C3854" i="24"/>
  <c r="C3855" i="24"/>
  <c r="C3856" i="24"/>
  <c r="C3857" i="24"/>
  <c r="C3858" i="24"/>
  <c r="C3859" i="24"/>
  <c r="C3860" i="24"/>
  <c r="C3861" i="24"/>
  <c r="C3862" i="24"/>
  <c r="C3863" i="24"/>
  <c r="C3864" i="24"/>
  <c r="C3865" i="24"/>
  <c r="C3866" i="24"/>
  <c r="C3805" i="24"/>
  <c r="C3806" i="24"/>
  <c r="C3807" i="24"/>
  <c r="C3808" i="24"/>
  <c r="C3809" i="24"/>
  <c r="C3810" i="24"/>
  <c r="C3811" i="24"/>
  <c r="N5" i="22"/>
  <c r="E4" i="1" s="1"/>
  <c r="N6" i="22"/>
  <c r="E5" i="1" s="1"/>
  <c r="N7" i="22"/>
  <c r="E6" i="1" s="1"/>
  <c r="N8" i="22"/>
  <c r="E7" i="1" s="1"/>
  <c r="N9" i="22"/>
  <c r="E8" i="1" s="1"/>
  <c r="N10" i="22"/>
  <c r="E9" i="1" s="1"/>
  <c r="N11" i="22"/>
  <c r="E10" i="1" s="1"/>
  <c r="N12" i="22"/>
  <c r="E11" i="1" s="1"/>
  <c r="N13" i="22"/>
  <c r="E12" i="1" s="1"/>
  <c r="N14" i="22"/>
  <c r="E13" i="1" s="1"/>
  <c r="N15" i="22"/>
  <c r="E15" i="1" s="1"/>
  <c r="N16" i="22"/>
  <c r="E16" i="1" s="1"/>
  <c r="N17" i="22"/>
  <c r="E17" i="1" s="1"/>
  <c r="N18" i="22"/>
  <c r="E18" i="1" s="1"/>
  <c r="N19" i="22"/>
  <c r="E19" i="1" s="1"/>
  <c r="N20" i="22"/>
  <c r="E21" i="1" s="1"/>
  <c r="N21" i="22"/>
  <c r="E22" i="1" s="1"/>
  <c r="N22" i="22"/>
  <c r="E23" i="1" s="1"/>
  <c r="N23" i="22"/>
  <c r="N24" i="22"/>
  <c r="E24" i="1" s="1"/>
  <c r="N26" i="22"/>
  <c r="E26" i="1" s="1"/>
  <c r="N27" i="22"/>
  <c r="E27" i="1" s="1"/>
  <c r="N28" i="22"/>
  <c r="N4" i="22"/>
  <c r="E3" i="1" s="1"/>
  <c r="E158" i="1" l="1"/>
  <c r="G17" i="28"/>
  <c r="F17" i="28"/>
  <c r="C3684" i="24"/>
  <c r="C3685" i="24"/>
  <c r="C3686" i="24"/>
  <c r="C3687" i="24"/>
  <c r="C3688" i="24"/>
  <c r="C3689" i="24"/>
  <c r="C3690" i="24"/>
  <c r="C3691" i="24"/>
  <c r="C3692" i="24"/>
  <c r="C3693" i="24"/>
  <c r="C3694" i="24"/>
  <c r="C3695" i="24"/>
  <c r="C3696" i="24"/>
  <c r="C3697" i="24"/>
  <c r="C3698" i="24"/>
  <c r="C3699" i="24"/>
  <c r="C3700" i="24"/>
  <c r="C3701" i="24"/>
  <c r="C3702" i="24"/>
  <c r="C3703" i="24"/>
  <c r="C3704" i="24"/>
  <c r="C3705" i="24"/>
  <c r="C3706" i="24"/>
  <c r="C3707" i="24"/>
  <c r="C3708" i="24"/>
  <c r="C3709" i="24"/>
  <c r="C3710" i="24"/>
  <c r="C3711" i="24"/>
  <c r="C3712" i="24"/>
  <c r="C3713" i="24"/>
  <c r="C3714" i="24"/>
  <c r="C3715" i="24"/>
  <c r="C3716" i="24"/>
  <c r="C3717" i="24"/>
  <c r="C3718" i="24"/>
  <c r="C3719" i="24"/>
  <c r="C3720" i="24"/>
  <c r="C3721" i="24"/>
  <c r="C3722" i="24"/>
  <c r="C3723" i="24"/>
  <c r="C3724" i="24"/>
  <c r="C3725" i="24"/>
  <c r="C3726" i="24"/>
  <c r="C3727" i="24"/>
  <c r="C3728" i="24"/>
  <c r="C3729" i="24"/>
  <c r="C3730" i="24"/>
  <c r="C3731" i="24"/>
  <c r="C3732" i="24"/>
  <c r="C3733" i="24"/>
  <c r="C3734" i="24"/>
  <c r="C3735" i="24"/>
  <c r="C3736" i="24"/>
  <c r="C3737" i="24"/>
  <c r="C3738" i="24"/>
  <c r="C3739" i="24"/>
  <c r="C3740" i="24"/>
  <c r="C3741" i="24"/>
  <c r="C3742" i="24"/>
  <c r="C3743" i="24"/>
  <c r="C3744" i="24"/>
  <c r="C3745" i="24"/>
  <c r="C3746" i="24"/>
  <c r="C3747" i="24"/>
  <c r="C3748" i="24"/>
  <c r="C3749" i="24"/>
  <c r="C3750" i="24"/>
  <c r="C3751" i="24"/>
  <c r="C3752" i="24"/>
  <c r="C3753" i="24"/>
  <c r="C3754" i="24"/>
  <c r="C3755" i="24"/>
  <c r="C3756" i="24"/>
  <c r="C3757" i="24"/>
  <c r="C3758" i="24"/>
  <c r="C3759" i="24"/>
  <c r="C3760" i="24"/>
  <c r="C3761" i="24"/>
  <c r="C3762" i="24"/>
  <c r="C3763" i="24"/>
  <c r="C3764" i="24"/>
  <c r="C3765" i="24"/>
  <c r="C3766" i="24"/>
  <c r="C3767" i="24"/>
  <c r="C3768" i="24"/>
  <c r="C3769" i="24"/>
  <c r="C3770" i="24"/>
  <c r="C3771" i="24"/>
  <c r="C3772" i="24"/>
  <c r="C3773" i="24"/>
  <c r="C3774" i="24"/>
  <c r="C3775" i="24"/>
  <c r="C3776" i="24"/>
  <c r="C3777" i="24"/>
  <c r="C3778" i="24"/>
  <c r="C3779" i="24"/>
  <c r="C3780" i="24"/>
  <c r="C3781" i="24"/>
  <c r="C3782" i="24"/>
  <c r="C3783" i="24"/>
  <c r="C3784" i="24"/>
  <c r="C3785" i="24"/>
  <c r="C3786" i="24"/>
  <c r="C3787" i="24"/>
  <c r="C3788" i="24"/>
  <c r="C3789" i="24"/>
  <c r="C3790" i="24"/>
  <c r="C3791" i="24"/>
  <c r="C3792" i="24"/>
  <c r="C3793" i="24"/>
  <c r="C3794" i="24"/>
  <c r="C3795" i="24"/>
  <c r="C3796" i="24"/>
  <c r="C3797" i="24"/>
  <c r="C3798" i="24"/>
  <c r="C3799" i="24"/>
  <c r="C3800" i="24"/>
  <c r="C3801" i="24"/>
  <c r="C3802" i="24"/>
  <c r="C3803" i="24"/>
  <c r="C3804" i="24"/>
  <c r="O28" i="1"/>
  <c r="O29" i="1"/>
  <c r="O30" i="1" l="1"/>
  <c r="T30" i="1"/>
  <c r="K7" i="40" s="1"/>
  <c r="T29" i="1"/>
  <c r="K13" i="40" s="1"/>
  <c r="T28" i="1"/>
  <c r="K14" i="40" s="1"/>
  <c r="T27" i="1"/>
  <c r="K8" i="40" s="1"/>
  <c r="T26" i="1"/>
  <c r="K148" i="40" s="1"/>
  <c r="T25" i="1"/>
  <c r="K145" i="40" s="1"/>
  <c r="T24" i="1"/>
  <c r="K102" i="40" s="1"/>
  <c r="T23" i="1"/>
  <c r="K101" i="40" s="1"/>
  <c r="T22" i="1"/>
  <c r="K100" i="40" s="1"/>
  <c r="T21" i="1"/>
  <c r="K99" i="40" s="1"/>
  <c r="T20" i="1"/>
  <c r="K98" i="40" s="1"/>
  <c r="T19" i="1"/>
  <c r="K97" i="40" s="1"/>
  <c r="T18" i="1"/>
  <c r="K93" i="40" s="1"/>
  <c r="T17" i="1"/>
  <c r="K95" i="40" s="1"/>
  <c r="T16" i="1"/>
  <c r="K27" i="40" s="1"/>
  <c r="T15" i="1"/>
  <c r="K105" i="40" s="1"/>
  <c r="T14" i="1"/>
  <c r="K104" i="40" s="1"/>
  <c r="T13" i="1"/>
  <c r="K15" i="40" s="1"/>
  <c r="T12" i="1"/>
  <c r="K9" i="40" s="1"/>
  <c r="T11" i="1"/>
  <c r="K12" i="40" s="1"/>
  <c r="T10" i="1"/>
  <c r="K10" i="40" s="1"/>
  <c r="T9" i="1"/>
  <c r="K11" i="40" s="1"/>
  <c r="T6" i="1"/>
  <c r="L30" i="1"/>
  <c r="L29" i="1"/>
  <c r="L28" i="1"/>
  <c r="L27" i="1"/>
  <c r="L26" i="1"/>
  <c r="L25" i="1"/>
  <c r="L23" i="1"/>
  <c r="L22" i="1"/>
  <c r="L21" i="1"/>
  <c r="L19" i="1"/>
  <c r="L18" i="1"/>
  <c r="L17" i="1"/>
  <c r="L16" i="1"/>
  <c r="L15" i="1"/>
  <c r="L14" i="1"/>
  <c r="L13" i="1"/>
  <c r="L12" i="1"/>
  <c r="L11" i="1"/>
  <c r="L10" i="1"/>
  <c r="L9" i="1"/>
  <c r="O9" i="1"/>
  <c r="H10" i="25"/>
  <c r="L8" i="1" s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D10" i="26"/>
  <c r="O27" i="1"/>
  <c r="O26" i="1"/>
  <c r="O25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D10" i="25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O4" i="22"/>
  <c r="M86" i="22"/>
  <c r="I58" i="22"/>
  <c r="I85" i="22" s="1"/>
  <c r="I114" i="22" s="1"/>
  <c r="I142" i="22" s="1"/>
  <c r="C3683" i="24"/>
  <c r="C3682" i="24"/>
  <c r="C3681" i="24"/>
  <c r="C3680" i="24"/>
  <c r="C3679" i="24"/>
  <c r="C3678" i="24"/>
  <c r="C3677" i="24"/>
  <c r="C3676" i="24"/>
  <c r="C3675" i="24"/>
  <c r="C3674" i="24"/>
  <c r="C3673" i="24"/>
  <c r="C3672" i="24"/>
  <c r="C3671" i="24"/>
  <c r="C3670" i="24"/>
  <c r="C3669" i="24"/>
  <c r="C3668" i="24"/>
  <c r="C3667" i="24"/>
  <c r="C3666" i="24"/>
  <c r="C3665" i="24"/>
  <c r="C3664" i="24"/>
  <c r="C3663" i="24"/>
  <c r="C3662" i="24"/>
  <c r="C3661" i="24"/>
  <c r="C3660" i="24"/>
  <c r="C3659" i="24"/>
  <c r="C3658" i="24"/>
  <c r="C3657" i="24"/>
  <c r="C3656" i="24"/>
  <c r="C3655" i="24"/>
  <c r="C3654" i="24"/>
  <c r="C3653" i="24"/>
  <c r="C3652" i="24"/>
  <c r="C3651" i="24"/>
  <c r="C3650" i="24"/>
  <c r="C3649" i="24"/>
  <c r="C3648" i="24"/>
  <c r="C3647" i="24"/>
  <c r="C3646" i="24"/>
  <c r="C3645" i="24"/>
  <c r="C3644" i="24"/>
  <c r="C3643" i="24"/>
  <c r="C3642" i="24"/>
  <c r="C3641" i="24"/>
  <c r="C3640" i="24"/>
  <c r="C3639" i="24"/>
  <c r="C3638" i="24"/>
  <c r="C3637" i="24"/>
  <c r="C3636" i="24"/>
  <c r="C3635" i="24"/>
  <c r="C3634" i="24"/>
  <c r="C3633" i="24"/>
  <c r="C3632" i="24"/>
  <c r="C3631" i="24"/>
  <c r="C3630" i="24"/>
  <c r="C3629" i="24"/>
  <c r="C3628" i="24"/>
  <c r="C3627" i="24"/>
  <c r="C3626" i="24"/>
  <c r="C3625" i="24"/>
  <c r="C3624" i="24"/>
  <c r="C3623" i="24"/>
  <c r="C3622" i="24"/>
  <c r="C3621" i="24"/>
  <c r="C3620" i="24"/>
  <c r="C3619" i="24"/>
  <c r="C3618" i="24"/>
  <c r="C3617" i="24"/>
  <c r="C3616" i="24"/>
  <c r="C3615" i="24"/>
  <c r="C3614" i="24"/>
  <c r="C3613" i="24"/>
  <c r="C3612" i="24"/>
  <c r="C3611" i="24"/>
  <c r="C3610" i="24"/>
  <c r="C3609" i="24"/>
  <c r="C3608" i="24"/>
  <c r="C3607" i="24"/>
  <c r="C3606" i="24"/>
  <c r="C3605" i="24"/>
  <c r="C3604" i="24"/>
  <c r="C3603" i="24"/>
  <c r="C3602" i="24"/>
  <c r="C3601" i="24"/>
  <c r="C3600" i="24"/>
  <c r="C3599" i="24"/>
  <c r="C3598" i="24"/>
  <c r="C3597" i="24"/>
  <c r="C3596" i="24"/>
  <c r="C3595" i="24"/>
  <c r="C3594" i="24"/>
  <c r="C3593" i="24"/>
  <c r="C3592" i="24"/>
  <c r="C3591" i="24"/>
  <c r="C3590" i="24"/>
  <c r="C3589" i="24"/>
  <c r="C3588" i="24"/>
  <c r="C3587" i="24"/>
  <c r="C3586" i="24"/>
  <c r="C3585" i="24"/>
  <c r="C3584" i="24"/>
  <c r="C3583" i="24"/>
  <c r="C3582" i="24"/>
  <c r="C3581" i="24"/>
  <c r="C3580" i="24"/>
  <c r="C3579" i="24"/>
  <c r="C3578" i="24"/>
  <c r="C3577" i="24"/>
  <c r="C3576" i="24"/>
  <c r="C3575" i="24"/>
  <c r="C3574" i="24"/>
  <c r="C3573" i="24"/>
  <c r="C3572" i="24"/>
  <c r="C3571" i="24"/>
  <c r="C3570" i="24"/>
  <c r="C3569" i="24"/>
  <c r="C3568" i="24"/>
  <c r="C3567" i="24"/>
  <c r="C3566" i="24"/>
  <c r="C3565" i="24"/>
  <c r="C3564" i="24"/>
  <c r="C3563" i="24"/>
  <c r="C3562" i="24"/>
  <c r="C3561" i="24"/>
  <c r="C3560" i="24"/>
  <c r="C3559" i="24"/>
  <c r="C3558" i="24"/>
  <c r="C3557" i="24"/>
  <c r="C3556" i="24"/>
  <c r="C3555" i="24"/>
  <c r="C3554" i="24"/>
  <c r="C3553" i="24"/>
  <c r="C3552" i="24"/>
  <c r="C3551" i="24"/>
  <c r="C3550" i="24"/>
  <c r="C3549" i="24"/>
  <c r="C3548" i="24"/>
  <c r="C3547" i="24"/>
  <c r="C3546" i="24"/>
  <c r="C3545" i="24"/>
  <c r="C3544" i="24"/>
  <c r="C3543" i="24"/>
  <c r="C3542" i="24"/>
  <c r="C3541" i="24"/>
  <c r="C3540" i="24"/>
  <c r="C3539" i="24"/>
  <c r="C3538" i="24"/>
  <c r="C3537" i="24"/>
  <c r="C3536" i="24"/>
  <c r="C3535" i="24"/>
  <c r="C3534" i="24"/>
  <c r="C3533" i="24"/>
  <c r="C3532" i="24"/>
  <c r="C3531" i="24"/>
  <c r="C3530" i="24"/>
  <c r="C3529" i="24"/>
  <c r="C3528" i="24"/>
  <c r="C3527" i="24"/>
  <c r="C3526" i="24"/>
  <c r="C3525" i="24"/>
  <c r="C3524" i="24"/>
  <c r="C3523" i="24"/>
  <c r="C3522" i="24"/>
  <c r="C3521" i="24"/>
  <c r="C3520" i="24"/>
  <c r="C3519" i="24"/>
  <c r="C3518" i="24"/>
  <c r="C3517" i="24"/>
  <c r="C3516" i="24"/>
  <c r="C3515" i="24"/>
  <c r="C3514" i="24"/>
  <c r="C3513" i="24"/>
  <c r="C3512" i="24"/>
  <c r="C3511" i="24"/>
  <c r="C3510" i="24"/>
  <c r="C3509" i="24"/>
  <c r="C3508" i="24"/>
  <c r="C3507" i="24"/>
  <c r="C3506" i="24"/>
  <c r="C3505" i="24"/>
  <c r="C3504" i="24"/>
  <c r="C3503" i="24"/>
  <c r="C3502" i="24"/>
  <c r="C3501" i="24"/>
  <c r="C3500" i="24"/>
  <c r="C3499" i="24"/>
  <c r="C3498" i="24"/>
  <c r="C3497" i="24"/>
  <c r="C3496" i="24"/>
  <c r="C3495" i="24"/>
  <c r="C3494" i="24"/>
  <c r="C3493" i="24"/>
  <c r="C3492" i="24"/>
  <c r="C3491" i="24"/>
  <c r="C3490" i="24"/>
  <c r="C3489" i="24"/>
  <c r="C3488" i="24"/>
  <c r="C3487" i="24"/>
  <c r="C3486" i="24"/>
  <c r="C3485" i="24"/>
  <c r="C3484" i="24"/>
  <c r="C3483" i="24"/>
  <c r="C3482" i="24"/>
  <c r="C3481" i="24"/>
  <c r="C3480" i="24"/>
  <c r="C3479" i="24"/>
  <c r="C3478" i="24"/>
  <c r="C3477" i="24"/>
  <c r="C3476" i="24"/>
  <c r="C3475" i="24"/>
  <c r="C3474" i="24"/>
  <c r="C3473" i="24"/>
  <c r="C3472" i="24"/>
  <c r="C3471" i="24"/>
  <c r="C3470" i="24"/>
  <c r="C3469" i="24"/>
  <c r="C3468" i="24"/>
  <c r="C3467" i="24"/>
  <c r="C3466" i="24"/>
  <c r="C3465" i="24"/>
  <c r="C3464" i="24"/>
  <c r="C3463" i="24"/>
  <c r="C3462" i="24"/>
  <c r="C3461" i="24"/>
  <c r="C3460" i="24"/>
  <c r="C3459" i="24"/>
  <c r="C3458" i="24"/>
  <c r="C3457" i="24"/>
  <c r="C3456" i="24"/>
  <c r="C3455" i="24"/>
  <c r="C3454" i="24"/>
  <c r="C3453" i="24"/>
  <c r="C3452" i="24"/>
  <c r="C3451" i="24"/>
  <c r="C3450" i="24"/>
  <c r="C3449" i="24"/>
  <c r="C3448" i="24"/>
  <c r="C3447" i="24"/>
  <c r="C3446" i="24"/>
  <c r="C3445" i="24"/>
  <c r="C3444" i="24"/>
  <c r="C3443" i="24"/>
  <c r="C3442" i="24"/>
  <c r="C3441" i="24"/>
  <c r="C3440" i="24"/>
  <c r="C3439" i="24"/>
  <c r="C3438" i="24"/>
  <c r="C3437" i="24"/>
  <c r="C3436" i="24"/>
  <c r="C3435" i="24"/>
  <c r="C3434" i="24"/>
  <c r="C3433" i="24"/>
  <c r="C3432" i="24"/>
  <c r="C3431" i="24"/>
  <c r="C3430" i="24"/>
  <c r="C3429" i="24"/>
  <c r="C3428" i="24"/>
  <c r="C3427" i="24"/>
  <c r="C3426" i="24"/>
  <c r="C3425" i="24"/>
  <c r="C3424" i="24"/>
  <c r="C3423" i="24"/>
  <c r="C3422" i="24"/>
  <c r="C3421" i="24"/>
  <c r="C3420" i="24"/>
  <c r="C3419" i="24"/>
  <c r="C3418" i="24"/>
  <c r="C3417" i="24"/>
  <c r="C3416" i="24"/>
  <c r="C3415" i="24"/>
  <c r="C3414" i="24"/>
  <c r="C3413" i="24"/>
  <c r="C3412" i="24"/>
  <c r="C3411" i="24"/>
  <c r="C3410" i="24"/>
  <c r="C3409" i="24"/>
  <c r="C3408" i="24"/>
  <c r="C3407" i="24"/>
  <c r="C3406" i="24"/>
  <c r="C3405" i="24"/>
  <c r="C3404" i="24"/>
  <c r="C3403" i="24"/>
  <c r="C3402" i="24"/>
  <c r="C3401" i="24"/>
  <c r="C3400" i="24"/>
  <c r="C3399" i="24"/>
  <c r="C3398" i="24"/>
  <c r="C3397" i="24"/>
  <c r="C3396" i="24"/>
  <c r="C3395" i="24"/>
  <c r="C3394" i="24"/>
  <c r="C3393" i="24"/>
  <c r="C3392" i="24"/>
  <c r="C3391" i="24"/>
  <c r="C3390" i="24"/>
  <c r="C3389" i="24"/>
  <c r="C3388" i="24"/>
  <c r="C3387" i="24"/>
  <c r="C3386" i="24"/>
  <c r="C3385" i="24"/>
  <c r="C3384" i="24"/>
  <c r="C3383" i="24"/>
  <c r="C3382" i="24"/>
  <c r="C3381" i="24"/>
  <c r="C3380" i="24"/>
  <c r="C3379" i="24"/>
  <c r="C3378" i="24"/>
  <c r="C3377" i="24"/>
  <c r="C3376" i="24"/>
  <c r="C3375" i="24"/>
  <c r="C3374" i="24"/>
  <c r="C3373" i="24"/>
  <c r="C3372" i="24"/>
  <c r="C3371" i="24"/>
  <c r="C3370" i="24"/>
  <c r="C3369" i="24"/>
  <c r="C3368" i="24"/>
  <c r="C3367" i="24"/>
  <c r="C3366" i="24"/>
  <c r="C3365" i="24"/>
  <c r="C3364" i="24"/>
  <c r="C3363" i="24"/>
  <c r="C3362" i="24"/>
  <c r="C3361" i="24"/>
  <c r="C3360" i="24"/>
  <c r="C3359" i="24"/>
  <c r="C3358" i="24"/>
  <c r="C3357" i="24"/>
  <c r="C3356" i="24"/>
  <c r="C3355" i="24"/>
  <c r="C3354" i="24"/>
  <c r="C3353" i="24"/>
  <c r="C3352" i="24"/>
  <c r="C3351" i="24"/>
  <c r="C3350" i="24"/>
  <c r="C3349" i="24"/>
  <c r="C3348" i="24"/>
  <c r="C3347" i="24"/>
  <c r="C3346" i="24"/>
  <c r="C3345" i="24"/>
  <c r="C3344" i="24"/>
  <c r="C3343" i="24"/>
  <c r="C3342" i="24"/>
  <c r="C3341" i="24"/>
  <c r="C3340" i="24"/>
  <c r="C3339" i="24"/>
  <c r="C3338" i="24"/>
  <c r="C3337" i="24"/>
  <c r="C3336" i="24"/>
  <c r="C3335" i="24"/>
  <c r="C3334" i="24"/>
  <c r="C3333" i="24"/>
  <c r="C3332" i="24"/>
  <c r="C3331" i="24"/>
  <c r="C3330" i="24"/>
  <c r="C3329" i="24"/>
  <c r="C3328" i="24"/>
  <c r="C3327" i="24"/>
  <c r="C3326" i="24"/>
  <c r="C3325" i="24"/>
  <c r="C3324" i="24"/>
  <c r="C3323" i="24"/>
  <c r="C3322" i="24"/>
  <c r="C3321" i="24"/>
  <c r="C3320" i="24"/>
  <c r="C3319" i="24"/>
  <c r="C3318" i="24"/>
  <c r="C3317" i="24"/>
  <c r="C3316" i="24"/>
  <c r="C3315" i="24"/>
  <c r="C3314" i="24"/>
  <c r="C3313" i="24"/>
  <c r="C3312" i="24"/>
  <c r="C3311" i="24"/>
  <c r="C3310" i="24"/>
  <c r="C3309" i="24"/>
  <c r="C3308" i="24"/>
  <c r="C3307" i="24"/>
  <c r="C3306" i="24"/>
  <c r="C3305" i="24"/>
  <c r="C3304" i="24"/>
  <c r="C3303" i="24"/>
  <c r="C3302" i="24"/>
  <c r="C3301" i="24"/>
  <c r="C3300" i="24"/>
  <c r="C3299" i="24"/>
  <c r="C3298" i="24"/>
  <c r="C3297" i="24"/>
  <c r="C3296" i="24"/>
  <c r="C3295" i="24"/>
  <c r="C3294" i="24"/>
  <c r="C3293" i="24"/>
  <c r="C3292" i="24"/>
  <c r="C3291" i="24"/>
  <c r="C3290" i="24"/>
  <c r="C3289" i="24"/>
  <c r="C3288" i="24"/>
  <c r="C3287" i="24"/>
  <c r="C3286" i="24"/>
  <c r="C3285" i="24"/>
  <c r="C3284" i="24"/>
  <c r="C3283" i="24"/>
  <c r="C3282" i="24"/>
  <c r="C3281" i="24"/>
  <c r="C3280" i="24"/>
  <c r="C3279" i="24"/>
  <c r="C3278" i="24"/>
  <c r="C3277" i="24"/>
  <c r="C3276" i="24"/>
  <c r="C3275" i="24"/>
  <c r="C3274" i="24"/>
  <c r="C3273" i="24"/>
  <c r="C3272" i="24"/>
  <c r="C3271" i="24"/>
  <c r="C3270" i="24"/>
  <c r="C3269" i="24"/>
  <c r="C3268" i="24"/>
  <c r="C3267" i="24"/>
  <c r="C3266" i="24"/>
  <c r="C3265" i="24"/>
  <c r="C3264" i="24"/>
  <c r="C3263" i="24"/>
  <c r="C3262" i="24"/>
  <c r="C3261" i="24"/>
  <c r="C3260" i="24"/>
  <c r="C3259" i="24"/>
  <c r="C3258" i="24"/>
  <c r="C3257" i="24"/>
  <c r="C3256" i="24"/>
  <c r="C3255" i="24"/>
  <c r="C3254" i="24"/>
  <c r="C3253" i="24"/>
  <c r="C3252" i="24"/>
  <c r="C3251" i="24"/>
  <c r="C3250" i="24"/>
  <c r="C3249" i="24"/>
  <c r="C3248" i="24"/>
  <c r="C3247" i="24"/>
  <c r="C3246" i="24"/>
  <c r="C3245" i="24"/>
  <c r="C3244" i="24"/>
  <c r="C3243" i="24"/>
  <c r="C3242" i="24"/>
  <c r="C3241" i="24"/>
  <c r="C3240" i="24"/>
  <c r="C3239" i="24"/>
  <c r="C3238" i="24"/>
  <c r="C3237" i="24"/>
  <c r="C3236" i="24"/>
  <c r="C3235" i="24"/>
  <c r="C3234" i="24"/>
  <c r="C3233" i="24"/>
  <c r="C3232" i="24"/>
  <c r="C3231" i="24"/>
  <c r="C3230" i="24"/>
  <c r="C3229" i="24"/>
  <c r="C3228" i="24"/>
  <c r="C3227" i="24"/>
  <c r="C3226" i="24"/>
  <c r="C3225" i="24"/>
  <c r="C3224" i="24"/>
  <c r="C3223" i="24"/>
  <c r="C3222" i="24"/>
  <c r="C3221" i="24"/>
  <c r="C3220" i="24"/>
  <c r="C3219" i="24"/>
  <c r="C3218" i="24"/>
  <c r="C3217" i="24"/>
  <c r="C3216" i="24"/>
  <c r="C3215" i="24"/>
  <c r="C3214" i="24"/>
  <c r="C3213" i="24"/>
  <c r="C3212" i="24"/>
  <c r="C3211" i="24"/>
  <c r="C3210" i="24"/>
  <c r="C3209" i="24"/>
  <c r="C3208" i="24"/>
  <c r="C3207" i="24"/>
  <c r="C3206" i="24"/>
  <c r="C3205" i="24"/>
  <c r="C3204" i="24"/>
  <c r="C3203" i="24"/>
  <c r="C3202" i="24"/>
  <c r="C3201" i="24"/>
  <c r="C3200" i="24"/>
  <c r="C3199" i="24"/>
  <c r="C3198" i="24"/>
  <c r="C3197" i="24"/>
  <c r="C3196" i="24"/>
  <c r="C3195" i="24"/>
  <c r="C3194" i="24"/>
  <c r="C3193" i="24"/>
  <c r="C3192" i="24"/>
  <c r="C3191" i="24"/>
  <c r="C3190" i="24"/>
  <c r="C3189" i="24"/>
  <c r="C3188" i="24"/>
  <c r="C3187" i="24"/>
  <c r="C3186" i="24"/>
  <c r="C3185" i="24"/>
  <c r="C3184" i="24"/>
  <c r="C3183" i="24"/>
  <c r="C3182" i="24"/>
  <c r="C3181" i="24"/>
  <c r="C3180" i="24"/>
  <c r="C3179" i="24"/>
  <c r="C3178" i="24"/>
  <c r="C3177" i="24"/>
  <c r="C3176" i="24"/>
  <c r="C3175" i="24"/>
  <c r="C3174" i="24"/>
  <c r="C3173" i="24"/>
  <c r="C3172" i="24"/>
  <c r="C3171" i="24"/>
  <c r="C3170" i="24"/>
  <c r="C3169" i="24"/>
  <c r="C3168" i="24"/>
  <c r="C3167" i="24"/>
  <c r="C3166" i="24"/>
  <c r="C3165" i="24"/>
  <c r="C3164" i="24"/>
  <c r="C3163" i="24"/>
  <c r="C3162" i="24"/>
  <c r="C3161" i="24"/>
  <c r="C3160" i="24"/>
  <c r="C3159" i="24"/>
  <c r="C3158" i="24"/>
  <c r="C3157" i="24"/>
  <c r="C3156" i="24"/>
  <c r="C3155" i="24"/>
  <c r="C3154" i="24"/>
  <c r="C3153" i="24"/>
  <c r="C3152" i="24"/>
  <c r="C3151" i="24"/>
  <c r="C3150" i="24"/>
  <c r="C3149" i="24"/>
  <c r="C3148" i="24"/>
  <c r="C3147" i="24"/>
  <c r="C3146" i="24"/>
  <c r="C3145" i="24"/>
  <c r="C3144" i="24"/>
  <c r="C3143" i="24"/>
  <c r="C3142" i="24"/>
  <c r="C3141" i="24"/>
  <c r="C3140" i="24"/>
  <c r="C3139" i="24"/>
  <c r="C3138" i="24"/>
  <c r="C3137" i="24"/>
  <c r="C3136" i="24"/>
  <c r="C3135" i="24"/>
  <c r="C3134" i="24"/>
  <c r="C3133" i="24"/>
  <c r="C3132" i="24"/>
  <c r="C3131" i="24"/>
  <c r="C3130" i="24"/>
  <c r="C3129" i="24"/>
  <c r="C3128" i="24"/>
  <c r="C3127" i="24"/>
  <c r="C3126" i="24"/>
  <c r="C3125" i="24"/>
  <c r="C3124" i="24"/>
  <c r="C3123" i="24"/>
  <c r="C3122" i="24"/>
  <c r="C3121" i="24"/>
  <c r="C3120" i="24"/>
  <c r="C3119" i="24"/>
  <c r="C3118" i="24"/>
  <c r="C3117" i="24"/>
  <c r="C3116" i="24"/>
  <c r="C3115" i="24"/>
  <c r="C3114" i="24"/>
  <c r="C3113" i="24"/>
  <c r="C3112" i="24"/>
  <c r="C3111" i="24"/>
  <c r="C3110" i="24"/>
  <c r="C3109" i="24"/>
  <c r="C3108" i="24"/>
  <c r="C3107" i="24"/>
  <c r="C3106" i="24"/>
  <c r="C3105" i="24"/>
  <c r="C3104" i="24"/>
  <c r="C3103" i="24"/>
  <c r="C3102" i="24"/>
  <c r="C3101" i="24"/>
  <c r="C3100" i="24"/>
  <c r="C3099" i="24"/>
  <c r="C3098" i="24"/>
  <c r="C3097" i="24"/>
  <c r="C3096" i="24"/>
  <c r="C3095" i="24"/>
  <c r="C3094" i="24"/>
  <c r="C3093" i="24"/>
  <c r="C3092" i="24"/>
  <c r="C3091" i="24"/>
  <c r="C3090" i="24"/>
  <c r="C3089" i="24"/>
  <c r="C3088" i="24"/>
  <c r="C3087" i="24"/>
  <c r="C3086" i="24"/>
  <c r="C3085" i="24"/>
  <c r="C3084" i="24"/>
  <c r="C3083" i="24"/>
  <c r="C3082" i="24"/>
  <c r="C3081" i="24"/>
  <c r="C3080" i="24"/>
  <c r="C3079" i="24"/>
  <c r="C3078" i="24"/>
  <c r="C3077" i="24"/>
  <c r="C3076" i="24"/>
  <c r="C3075" i="24"/>
  <c r="C3074" i="24"/>
  <c r="C3073" i="24"/>
  <c r="C3072" i="24"/>
  <c r="C3071" i="24"/>
  <c r="C3070" i="24"/>
  <c r="C3069" i="24"/>
  <c r="C3068" i="24"/>
  <c r="C3067" i="24"/>
  <c r="C3066" i="24"/>
  <c r="C3065" i="24"/>
  <c r="C3064" i="24"/>
  <c r="C3063" i="24"/>
  <c r="C3062" i="24"/>
  <c r="C3061" i="24"/>
  <c r="C3060" i="24"/>
  <c r="C3059" i="24"/>
  <c r="C3058" i="24"/>
  <c r="C3057" i="24"/>
  <c r="C3056" i="24"/>
  <c r="C3055" i="24"/>
  <c r="C3054" i="24"/>
  <c r="C3053" i="24"/>
  <c r="C3052" i="24"/>
  <c r="C3051" i="24"/>
  <c r="C3050" i="24"/>
  <c r="C3049" i="24"/>
  <c r="C3048" i="24"/>
  <c r="C3047" i="24"/>
  <c r="C3046" i="24"/>
  <c r="C3045" i="24"/>
  <c r="C3044" i="24"/>
  <c r="C3043" i="24"/>
  <c r="C3042" i="24"/>
  <c r="C3041" i="24"/>
  <c r="C3040" i="24"/>
  <c r="C3039" i="24"/>
  <c r="C3038" i="24"/>
  <c r="C3037" i="24"/>
  <c r="C3036" i="24"/>
  <c r="C3035" i="24"/>
  <c r="C3034" i="24"/>
  <c r="C3033" i="24"/>
  <c r="C3032" i="24"/>
  <c r="C3031" i="24"/>
  <c r="C3030" i="24"/>
  <c r="C3029" i="24"/>
  <c r="C3028" i="24"/>
  <c r="C3027" i="24"/>
  <c r="C3026" i="24"/>
  <c r="C3025" i="24"/>
  <c r="C3024" i="24"/>
  <c r="C3023" i="24"/>
  <c r="C3022" i="24"/>
  <c r="C3021" i="24"/>
  <c r="C3020" i="24"/>
  <c r="C3019" i="24"/>
  <c r="C3018" i="24"/>
  <c r="C3017" i="24"/>
  <c r="C3016" i="24"/>
  <c r="C3015" i="24"/>
  <c r="C3014" i="24"/>
  <c r="C3013" i="24"/>
  <c r="C3012" i="24"/>
  <c r="C3011" i="24"/>
  <c r="C3010" i="24"/>
  <c r="C3009" i="24"/>
  <c r="C3008" i="24"/>
  <c r="C3007" i="24"/>
  <c r="C3006" i="24"/>
  <c r="C3005" i="24"/>
  <c r="C3004" i="24"/>
  <c r="C3003" i="24"/>
  <c r="C3002" i="24"/>
  <c r="C3001" i="24"/>
  <c r="C3000" i="24"/>
  <c r="C2999" i="24"/>
  <c r="C2998" i="24"/>
  <c r="C2997" i="24"/>
  <c r="C2996" i="24"/>
  <c r="C2995" i="24"/>
  <c r="C2994" i="24"/>
  <c r="C2993" i="24"/>
  <c r="C2992" i="24"/>
  <c r="C2991" i="24"/>
  <c r="C2990" i="24"/>
  <c r="C2989" i="24"/>
  <c r="C2988" i="24"/>
  <c r="C2987" i="24"/>
  <c r="C2986" i="24"/>
  <c r="C2985" i="24"/>
  <c r="C2984" i="24"/>
  <c r="C2983" i="24"/>
  <c r="C2982" i="24"/>
  <c r="C2981" i="24"/>
  <c r="C2980" i="24"/>
  <c r="C2979" i="24"/>
  <c r="C2978" i="24"/>
  <c r="C2977" i="24"/>
  <c r="C2976" i="24"/>
  <c r="C2975" i="24"/>
  <c r="C2974" i="24"/>
  <c r="C2973" i="24"/>
  <c r="C2972" i="24"/>
  <c r="C2971" i="24"/>
  <c r="C2970" i="24"/>
  <c r="C2969" i="24"/>
  <c r="C2968" i="24"/>
  <c r="C2967" i="24"/>
  <c r="C2966" i="24"/>
  <c r="C2965" i="24"/>
  <c r="C2964" i="24"/>
  <c r="C2963" i="24"/>
  <c r="C2962" i="24"/>
  <c r="C2961" i="24"/>
  <c r="C2960" i="24"/>
  <c r="C2959" i="24"/>
  <c r="C2958" i="24"/>
  <c r="C2957" i="24"/>
  <c r="C2956" i="24"/>
  <c r="C2955" i="24"/>
  <c r="C2954" i="24"/>
  <c r="C2953" i="24"/>
  <c r="C2952" i="24"/>
  <c r="C2951" i="24"/>
  <c r="C2950" i="24"/>
  <c r="C2949" i="24"/>
  <c r="C2948" i="24"/>
  <c r="C2947" i="24"/>
  <c r="C2946" i="24"/>
  <c r="C2945" i="24"/>
  <c r="C2944" i="24"/>
  <c r="C2943" i="24"/>
  <c r="C2942" i="24"/>
  <c r="C2941" i="24"/>
  <c r="C2940" i="24"/>
  <c r="C2939" i="24"/>
  <c r="C2938" i="24"/>
  <c r="C2937" i="24"/>
  <c r="C2936" i="24"/>
  <c r="C2935" i="24"/>
  <c r="C2934" i="24"/>
  <c r="C2933" i="24"/>
  <c r="C2932" i="24"/>
  <c r="C2931" i="24"/>
  <c r="C2930" i="24"/>
  <c r="C2929" i="24"/>
  <c r="C2928" i="24"/>
  <c r="C2927" i="24"/>
  <c r="C2926" i="24"/>
  <c r="C2925" i="24"/>
  <c r="C2924" i="24"/>
  <c r="C2923" i="24"/>
  <c r="C2922" i="24"/>
  <c r="C2921" i="24"/>
  <c r="C2920" i="24"/>
  <c r="C2919" i="24"/>
  <c r="C2918" i="24"/>
  <c r="C2917" i="24"/>
  <c r="C2916" i="24"/>
  <c r="C2915" i="24"/>
  <c r="C2914" i="24"/>
  <c r="C2913" i="24"/>
  <c r="C2912" i="24"/>
  <c r="C2911" i="24"/>
  <c r="C2910" i="24"/>
  <c r="C2909" i="24"/>
  <c r="C2908" i="24"/>
  <c r="C2907" i="24"/>
  <c r="C2906" i="24"/>
  <c r="C2905" i="24"/>
  <c r="C2904" i="24"/>
  <c r="C2903" i="24"/>
  <c r="C2902" i="24"/>
  <c r="C2901" i="24"/>
  <c r="C2900" i="24"/>
  <c r="C2899" i="24"/>
  <c r="C2898" i="24"/>
  <c r="C2897" i="24"/>
  <c r="C2896" i="24"/>
  <c r="C2895" i="24"/>
  <c r="C2894" i="24"/>
  <c r="C2893" i="24"/>
  <c r="C2892" i="24"/>
  <c r="C2891" i="24"/>
  <c r="C2890" i="24"/>
  <c r="C2889" i="24"/>
  <c r="C2888" i="24"/>
  <c r="C2887" i="24"/>
  <c r="C2886" i="24"/>
  <c r="C2885" i="24"/>
  <c r="C2884" i="24"/>
  <c r="C2883" i="24"/>
  <c r="C2882" i="24"/>
  <c r="C2881" i="24"/>
  <c r="C2880" i="24"/>
  <c r="C2879" i="24"/>
  <c r="C2878" i="24"/>
  <c r="C2877" i="24"/>
  <c r="C2876" i="24"/>
  <c r="C2875" i="24"/>
  <c r="C2874" i="24"/>
  <c r="C2873" i="24"/>
  <c r="C2872" i="24"/>
  <c r="C2871" i="24"/>
  <c r="C2870" i="24"/>
  <c r="C2869" i="24"/>
  <c r="C2868" i="24"/>
  <c r="C2867" i="24"/>
  <c r="C2866" i="24"/>
  <c r="C2865" i="24"/>
  <c r="C2864" i="24"/>
  <c r="C2863" i="24"/>
  <c r="C2862" i="24"/>
  <c r="C2861" i="24"/>
  <c r="C2860" i="24"/>
  <c r="C2859" i="24"/>
  <c r="C2858" i="24"/>
  <c r="C2857" i="24"/>
  <c r="C2856" i="24"/>
  <c r="C2855" i="24"/>
  <c r="C2854" i="24"/>
  <c r="C2853" i="24"/>
  <c r="C2852" i="24"/>
  <c r="C2851" i="24"/>
  <c r="C2850" i="24"/>
  <c r="C2849" i="24"/>
  <c r="C2848" i="24"/>
  <c r="C2847" i="24"/>
  <c r="C2846" i="24"/>
  <c r="C2845" i="24"/>
  <c r="C2844" i="24"/>
  <c r="C2843" i="24"/>
  <c r="C2842" i="24"/>
  <c r="C2841" i="24"/>
  <c r="C2840" i="24"/>
  <c r="C2839" i="24"/>
  <c r="C2838" i="24"/>
  <c r="C2837" i="24"/>
  <c r="C2836" i="24"/>
  <c r="C2835" i="24"/>
  <c r="C2834" i="24"/>
  <c r="C2833" i="24"/>
  <c r="C2832" i="24"/>
  <c r="C2831" i="24"/>
  <c r="C2830" i="24"/>
  <c r="C2829" i="24"/>
  <c r="C2828" i="24"/>
  <c r="C2827" i="24"/>
  <c r="C2826" i="24"/>
  <c r="C2825" i="24"/>
  <c r="C2824" i="24"/>
  <c r="C2823" i="24"/>
  <c r="C2822" i="24"/>
  <c r="C2821" i="24"/>
  <c r="C2820" i="24"/>
  <c r="C2819" i="24"/>
  <c r="C2818" i="24"/>
  <c r="C2817" i="24"/>
  <c r="C2816" i="24"/>
  <c r="C2815" i="24"/>
  <c r="C2814" i="24"/>
  <c r="C2813" i="24"/>
  <c r="C2812" i="24"/>
  <c r="C2811" i="24"/>
  <c r="C2810" i="24"/>
  <c r="C2809" i="24"/>
  <c r="C2808" i="24"/>
  <c r="C2807" i="24"/>
  <c r="C2806" i="24"/>
  <c r="C2805" i="24"/>
  <c r="C2804" i="24"/>
  <c r="C2803" i="24"/>
  <c r="C2802" i="24"/>
  <c r="C2801" i="24"/>
  <c r="C2800" i="24"/>
  <c r="C2799" i="24"/>
  <c r="C2798" i="24"/>
  <c r="C2797" i="24"/>
  <c r="C2796" i="24"/>
  <c r="C2795" i="24"/>
  <c r="C2794" i="24"/>
  <c r="C2793" i="24"/>
  <c r="C2792" i="24"/>
  <c r="C2791" i="24"/>
  <c r="C2790" i="24"/>
  <c r="C2789" i="24"/>
  <c r="C2788" i="24"/>
  <c r="C2787" i="24"/>
  <c r="C2786" i="24"/>
  <c r="C2785" i="24"/>
  <c r="C2784" i="24"/>
  <c r="C2783" i="24"/>
  <c r="C2782" i="24"/>
  <c r="C2781" i="24"/>
  <c r="C2780" i="24"/>
  <c r="C2779" i="24"/>
  <c r="C2778" i="24"/>
  <c r="C2777" i="24"/>
  <c r="C2776" i="24"/>
  <c r="C2775" i="24"/>
  <c r="C2774" i="24"/>
  <c r="C2773" i="24"/>
  <c r="C2772" i="24"/>
  <c r="C2771" i="24"/>
  <c r="C2770" i="24"/>
  <c r="C2769" i="24"/>
  <c r="C2768" i="24"/>
  <c r="C2767" i="24"/>
  <c r="C2766" i="24"/>
  <c r="C2765" i="24"/>
  <c r="C2764" i="24"/>
  <c r="C2763" i="24"/>
  <c r="C2762" i="24"/>
  <c r="C2761" i="24"/>
  <c r="C2760" i="24"/>
  <c r="C2759" i="24"/>
  <c r="C2758" i="24"/>
  <c r="C2757" i="24"/>
  <c r="C2756" i="24"/>
  <c r="C2755" i="24"/>
  <c r="C2754" i="24"/>
  <c r="C2753" i="24"/>
  <c r="C2752" i="24"/>
  <c r="C2751" i="24"/>
  <c r="C2750" i="24"/>
  <c r="C2749" i="24"/>
  <c r="C2748" i="24"/>
  <c r="C2747" i="24"/>
  <c r="C2746" i="24"/>
  <c r="C2745" i="24"/>
  <c r="C2744" i="24"/>
  <c r="C2743" i="24"/>
  <c r="C2742" i="24"/>
  <c r="C2741" i="24"/>
  <c r="C2740" i="24"/>
  <c r="C2739" i="24"/>
  <c r="C2738" i="24"/>
  <c r="C2737" i="24"/>
  <c r="C2736" i="24"/>
  <c r="C2735" i="24"/>
  <c r="C2734" i="24"/>
  <c r="C2733" i="24"/>
  <c r="C2732" i="24"/>
  <c r="C2731" i="24"/>
  <c r="C2730" i="24"/>
  <c r="C2729" i="24"/>
  <c r="C2728" i="24"/>
  <c r="C2727" i="24"/>
  <c r="C2726" i="24"/>
  <c r="C2725" i="24"/>
  <c r="C2724" i="24"/>
  <c r="C2723" i="24"/>
  <c r="C2722" i="24"/>
  <c r="C2721" i="24"/>
  <c r="C2720" i="24"/>
  <c r="C2719" i="24"/>
  <c r="C2718" i="24"/>
  <c r="C2717" i="24"/>
  <c r="C2716" i="24"/>
  <c r="C2715" i="24"/>
  <c r="C2714" i="24"/>
  <c r="C2713" i="24"/>
  <c r="C2712" i="24"/>
  <c r="C2711" i="24"/>
  <c r="C2710" i="24"/>
  <c r="C2709" i="24"/>
  <c r="C2708" i="24"/>
  <c r="C2707" i="24"/>
  <c r="C2706" i="24"/>
  <c r="C2705" i="24"/>
  <c r="C2704" i="24"/>
  <c r="C2703" i="24"/>
  <c r="C2702" i="24"/>
  <c r="C2701" i="24"/>
  <c r="C2700" i="24"/>
  <c r="C2699" i="24"/>
  <c r="C2698" i="24"/>
  <c r="C2697" i="24"/>
  <c r="C2696" i="24"/>
  <c r="C2695" i="24"/>
  <c r="C2694" i="24"/>
  <c r="C2693" i="24"/>
  <c r="C2692" i="24"/>
  <c r="C2691" i="24"/>
  <c r="C2690" i="24"/>
  <c r="C2689" i="24"/>
  <c r="C2688" i="24"/>
  <c r="C2687" i="24"/>
  <c r="C2686" i="24"/>
  <c r="C2685" i="24"/>
  <c r="C2684" i="24"/>
  <c r="C2683" i="24"/>
  <c r="C2682" i="24"/>
  <c r="C2681" i="24"/>
  <c r="C2680" i="24"/>
  <c r="C2679" i="24"/>
  <c r="C2678" i="24"/>
  <c r="C2677" i="24"/>
  <c r="C2676" i="24"/>
  <c r="C2675" i="24"/>
  <c r="C2674" i="24"/>
  <c r="C2673" i="24"/>
  <c r="C2672" i="24"/>
  <c r="C2671" i="24"/>
  <c r="C2670" i="24"/>
  <c r="C2669" i="24"/>
  <c r="C2668" i="24"/>
  <c r="C2667" i="24"/>
  <c r="C2666" i="24"/>
  <c r="C2665" i="24"/>
  <c r="C2664" i="24"/>
  <c r="C2663" i="24"/>
  <c r="C2662" i="24"/>
  <c r="C2661" i="24"/>
  <c r="C2660" i="24"/>
  <c r="C2659" i="24"/>
  <c r="C2658" i="24"/>
  <c r="C2657" i="24"/>
  <c r="C2656" i="24"/>
  <c r="C2655" i="24"/>
  <c r="C2654" i="24"/>
  <c r="C2653" i="24"/>
  <c r="C2652" i="24"/>
  <c r="C2651" i="24"/>
  <c r="C2650" i="24"/>
  <c r="C2649" i="24"/>
  <c r="C2648" i="24"/>
  <c r="C2647" i="24"/>
  <c r="C2646" i="24"/>
  <c r="C2645" i="24"/>
  <c r="C2644" i="24"/>
  <c r="C2643" i="24"/>
  <c r="C2642" i="24"/>
  <c r="C2641" i="24"/>
  <c r="C2640" i="24"/>
  <c r="C2639" i="24"/>
  <c r="C2638" i="24"/>
  <c r="C2637" i="24"/>
  <c r="C2636" i="24"/>
  <c r="C2635" i="24"/>
  <c r="C2634" i="24"/>
  <c r="C2633" i="24"/>
  <c r="C2632" i="24"/>
  <c r="C2631" i="24"/>
  <c r="C2630" i="24"/>
  <c r="C2629" i="24"/>
  <c r="C2628" i="24"/>
  <c r="C2627" i="24"/>
  <c r="C2626" i="24"/>
  <c r="C2625" i="24"/>
  <c r="C2624" i="24"/>
  <c r="C2623" i="24"/>
  <c r="C2622" i="24"/>
  <c r="C2621" i="24"/>
  <c r="C2620" i="24"/>
  <c r="C2619" i="24"/>
  <c r="C2618" i="24"/>
  <c r="C2617" i="24"/>
  <c r="C2616" i="24"/>
  <c r="C2615" i="24"/>
  <c r="C2614" i="24"/>
  <c r="C2613" i="24"/>
  <c r="C2612" i="24"/>
  <c r="C2611" i="24"/>
  <c r="C2610" i="24"/>
  <c r="C2609" i="24"/>
  <c r="C2608" i="24"/>
  <c r="C2607" i="24"/>
  <c r="C2606" i="24"/>
  <c r="C2605" i="24"/>
  <c r="C2604" i="24"/>
  <c r="C2603" i="24"/>
  <c r="C2602" i="24"/>
  <c r="C2601" i="24"/>
  <c r="C2600" i="24"/>
  <c r="C2599" i="24"/>
  <c r="C2598" i="24"/>
  <c r="C2597" i="24"/>
  <c r="C2596" i="24"/>
  <c r="C2595" i="24"/>
  <c r="C2594" i="24"/>
  <c r="C2593" i="24"/>
  <c r="C2592" i="24"/>
  <c r="C2591" i="24"/>
  <c r="C2590" i="24"/>
  <c r="C2589" i="24"/>
  <c r="C2588" i="24"/>
  <c r="C2587" i="24"/>
  <c r="C2586" i="24"/>
  <c r="C2585" i="24"/>
  <c r="C2584" i="24"/>
  <c r="C2583" i="24"/>
  <c r="C2582" i="24"/>
  <c r="C2581" i="24"/>
  <c r="C2580" i="24"/>
  <c r="C2579" i="24"/>
  <c r="C2578" i="24"/>
  <c r="C2577" i="24"/>
  <c r="C2576" i="24"/>
  <c r="C2575" i="24"/>
  <c r="C2574" i="24"/>
  <c r="C2573" i="24"/>
  <c r="C2572" i="24"/>
  <c r="C2571" i="24"/>
  <c r="C2570" i="24"/>
  <c r="C2569" i="24"/>
  <c r="C2568" i="24"/>
  <c r="C2567" i="24"/>
  <c r="C2566" i="24"/>
  <c r="C2565" i="24"/>
  <c r="C2564" i="24"/>
  <c r="C2563" i="24"/>
  <c r="C2562" i="24"/>
  <c r="C2561" i="24"/>
  <c r="C2560" i="24"/>
  <c r="C2559" i="24"/>
  <c r="C2558" i="24"/>
  <c r="C2557" i="24"/>
  <c r="C2556" i="24"/>
  <c r="C2555" i="24"/>
  <c r="C2554" i="24"/>
  <c r="C2553" i="24"/>
  <c r="C2552" i="24"/>
  <c r="C2551" i="24"/>
  <c r="C2550" i="24"/>
  <c r="C2549" i="24"/>
  <c r="C2548" i="24"/>
  <c r="C2547" i="24"/>
  <c r="C2546" i="24"/>
  <c r="C2545" i="24"/>
  <c r="C2544" i="24"/>
  <c r="C2543" i="24"/>
  <c r="C2542" i="24"/>
  <c r="C2541" i="24"/>
  <c r="C2540" i="24"/>
  <c r="C2539" i="24"/>
  <c r="C2538" i="24"/>
  <c r="C2537" i="24"/>
  <c r="C2536" i="24"/>
  <c r="C2535" i="24"/>
  <c r="C2534" i="24"/>
  <c r="C2533" i="24"/>
  <c r="C2532" i="24"/>
  <c r="C2531" i="24"/>
  <c r="C2530" i="24"/>
  <c r="C2529" i="24"/>
  <c r="C2528" i="24"/>
  <c r="C2527" i="24"/>
  <c r="C2526" i="24"/>
  <c r="C2525" i="24"/>
  <c r="C2524" i="24"/>
  <c r="C2523" i="24"/>
  <c r="C2522" i="24"/>
  <c r="C2521" i="24"/>
  <c r="C2520" i="24"/>
  <c r="C2519" i="24"/>
  <c r="C2518" i="24"/>
  <c r="C2517" i="24"/>
  <c r="C2516" i="24"/>
  <c r="C2515" i="24"/>
  <c r="C2514" i="24"/>
  <c r="C2513" i="24"/>
  <c r="C2512" i="24"/>
  <c r="C2511" i="24"/>
  <c r="C2510" i="24"/>
  <c r="C2509" i="24"/>
  <c r="C2508" i="24"/>
  <c r="C2507" i="24"/>
  <c r="C2506" i="24"/>
  <c r="C2505" i="24"/>
  <c r="C2504" i="24"/>
  <c r="C2503" i="24"/>
  <c r="C2502" i="24"/>
  <c r="C2501" i="24"/>
  <c r="C2500" i="24"/>
  <c r="C2499" i="24"/>
  <c r="C2498" i="24"/>
  <c r="C2497" i="24"/>
  <c r="C2496" i="24"/>
  <c r="C2495" i="24"/>
  <c r="C2494" i="24"/>
  <c r="C2493" i="24"/>
  <c r="C2492" i="24"/>
  <c r="C2491" i="24"/>
  <c r="C2490" i="24"/>
  <c r="C2489" i="24"/>
  <c r="C2488" i="24"/>
  <c r="C2487" i="24"/>
  <c r="C2486" i="24"/>
  <c r="C2485" i="24"/>
  <c r="C2484" i="24"/>
  <c r="C2483" i="24"/>
  <c r="C2482" i="24"/>
  <c r="C2481" i="24"/>
  <c r="C2480" i="24"/>
  <c r="C2479" i="24"/>
  <c r="C2478" i="24"/>
  <c r="C2477" i="24"/>
  <c r="C2476" i="24"/>
  <c r="C2475" i="24"/>
  <c r="C2474" i="24"/>
  <c r="C2473" i="24"/>
  <c r="C2472" i="24"/>
  <c r="C2471" i="24"/>
  <c r="C2470" i="24"/>
  <c r="C2469" i="24"/>
  <c r="C2468" i="24"/>
  <c r="C2467" i="24"/>
  <c r="C2466" i="24"/>
  <c r="C2465" i="24"/>
  <c r="C2464" i="24"/>
  <c r="C2463" i="24"/>
  <c r="C2462" i="24"/>
  <c r="C2461" i="24"/>
  <c r="C2460" i="24"/>
  <c r="C2459" i="24"/>
  <c r="C2458" i="24"/>
  <c r="C2457" i="24"/>
  <c r="C2456" i="24"/>
  <c r="C2455" i="24"/>
  <c r="C2454" i="24"/>
  <c r="C2453" i="24"/>
  <c r="C2452" i="24"/>
  <c r="C2451" i="24"/>
  <c r="C2450" i="24"/>
  <c r="C2449" i="24"/>
  <c r="C2448" i="24"/>
  <c r="C2447" i="24"/>
  <c r="C2446" i="24"/>
  <c r="C2445" i="24"/>
  <c r="C2444" i="24"/>
  <c r="C2443" i="24"/>
  <c r="C2442" i="24"/>
  <c r="C2441" i="24"/>
  <c r="C2440" i="24"/>
  <c r="C2439" i="24"/>
  <c r="C2438" i="24"/>
  <c r="C2437" i="24"/>
  <c r="C2436" i="24"/>
  <c r="C2435" i="24"/>
  <c r="C2434" i="24"/>
  <c r="C2433" i="24"/>
  <c r="C2432" i="24"/>
  <c r="C2431" i="24"/>
  <c r="C2430" i="24"/>
  <c r="C2429" i="24"/>
  <c r="C2428" i="24"/>
  <c r="C2427" i="24"/>
  <c r="C2426" i="24"/>
  <c r="C2425" i="24"/>
  <c r="C2424" i="24"/>
  <c r="C2423" i="24"/>
  <c r="C2422" i="24"/>
  <c r="C2421" i="24"/>
  <c r="C2420" i="24"/>
  <c r="C2419" i="24"/>
  <c r="C2418" i="24"/>
  <c r="C2417" i="24"/>
  <c r="C2416" i="24"/>
  <c r="C2415" i="24"/>
  <c r="C2414" i="24"/>
  <c r="C2413" i="24"/>
  <c r="C2412" i="24"/>
  <c r="C2411" i="24"/>
  <c r="C2410" i="24"/>
  <c r="C2409" i="24"/>
  <c r="C2408" i="24"/>
  <c r="C2407" i="24"/>
  <c r="C2406" i="24"/>
  <c r="C2405" i="24"/>
  <c r="C2404" i="24"/>
  <c r="C2403" i="24"/>
  <c r="C2402" i="24"/>
  <c r="C2401" i="24"/>
  <c r="C2400" i="24"/>
  <c r="C2399" i="24"/>
  <c r="C2398" i="24"/>
  <c r="C2397" i="24"/>
  <c r="C2396" i="24"/>
  <c r="C2395" i="24"/>
  <c r="C2394" i="24"/>
  <c r="C2393" i="24"/>
  <c r="C2392" i="24"/>
  <c r="C2391" i="24"/>
  <c r="C2390" i="24"/>
  <c r="C2389" i="24"/>
  <c r="C2388" i="24"/>
  <c r="C2387" i="24"/>
  <c r="C2386" i="24"/>
  <c r="C2385" i="24"/>
  <c r="C2384" i="24"/>
  <c r="C2383" i="24"/>
  <c r="C2382" i="24"/>
  <c r="C2381" i="24"/>
  <c r="C2380" i="24"/>
  <c r="C2379" i="24"/>
  <c r="C2378" i="24"/>
  <c r="C2377" i="24"/>
  <c r="C2376" i="24"/>
  <c r="C2375" i="24"/>
  <c r="C2374" i="24"/>
  <c r="C2373" i="24"/>
  <c r="C2372" i="24"/>
  <c r="C2371" i="24"/>
  <c r="C2370" i="24"/>
  <c r="C2369" i="24"/>
  <c r="C2368" i="24"/>
  <c r="C2367" i="24"/>
  <c r="C2366" i="24"/>
  <c r="C2365" i="24"/>
  <c r="C2364" i="24"/>
  <c r="C2363" i="24"/>
  <c r="C2362" i="24"/>
  <c r="C2361" i="24"/>
  <c r="C2360" i="24"/>
  <c r="C2359" i="24"/>
  <c r="C2358" i="24"/>
  <c r="C2357" i="24"/>
  <c r="C2356" i="24"/>
  <c r="C2355" i="24"/>
  <c r="C2354" i="24"/>
  <c r="C2353" i="24"/>
  <c r="C2352" i="24"/>
  <c r="C2351" i="24"/>
  <c r="C2350" i="24"/>
  <c r="C2349" i="24"/>
  <c r="C2348" i="24"/>
  <c r="C2347" i="24"/>
  <c r="C2346" i="24"/>
  <c r="C2345" i="24"/>
  <c r="C2344" i="24"/>
  <c r="C2343" i="24"/>
  <c r="C2342" i="24"/>
  <c r="C2341" i="24"/>
  <c r="C2340" i="24"/>
  <c r="C2339" i="24"/>
  <c r="C2338" i="24"/>
  <c r="C2337" i="24"/>
  <c r="C2336" i="24"/>
  <c r="C2335" i="24"/>
  <c r="C2334" i="24"/>
  <c r="C2333" i="24"/>
  <c r="C2332" i="24"/>
  <c r="C2331" i="24"/>
  <c r="C2330" i="24"/>
  <c r="C2329" i="24"/>
  <c r="C2328" i="24"/>
  <c r="C2327" i="24"/>
  <c r="C2326" i="24"/>
  <c r="C2325" i="24"/>
  <c r="C2324" i="24"/>
  <c r="C2323" i="24"/>
  <c r="C2322" i="24"/>
  <c r="C2321" i="24"/>
  <c r="C2320" i="24"/>
  <c r="C2319" i="24"/>
  <c r="C2318" i="24"/>
  <c r="C2317" i="24"/>
  <c r="C2316" i="24"/>
  <c r="C2315" i="24"/>
  <c r="C2314" i="24"/>
  <c r="C2313" i="24"/>
  <c r="C2312" i="24"/>
  <c r="C2311" i="24"/>
  <c r="C2310" i="24"/>
  <c r="C2309" i="24"/>
  <c r="C2308" i="24"/>
  <c r="C2307" i="24"/>
  <c r="C2306" i="24"/>
  <c r="C2305" i="24"/>
  <c r="C2304" i="24"/>
  <c r="C2303" i="24"/>
  <c r="C2302" i="24"/>
  <c r="C2301" i="24"/>
  <c r="C2300" i="24"/>
  <c r="C2299" i="24"/>
  <c r="C2298" i="24"/>
  <c r="C2297" i="24"/>
  <c r="C2296" i="24"/>
  <c r="C2295" i="24"/>
  <c r="C2294" i="24"/>
  <c r="C2293" i="24"/>
  <c r="C2292" i="24"/>
  <c r="C2291" i="24"/>
  <c r="C2290" i="24"/>
  <c r="C2289" i="24"/>
  <c r="C2288" i="24"/>
  <c r="C2287" i="24"/>
  <c r="C2286" i="24"/>
  <c r="C2285" i="24"/>
  <c r="C2284" i="24"/>
  <c r="C2283" i="24"/>
  <c r="C2282" i="24"/>
  <c r="C2281" i="24"/>
  <c r="C2280" i="24"/>
  <c r="C2279" i="24"/>
  <c r="C2278" i="24"/>
  <c r="C2277" i="24"/>
  <c r="C2276" i="24"/>
  <c r="C2275" i="24"/>
  <c r="C2274" i="24"/>
  <c r="C2273" i="24"/>
  <c r="C2272" i="24"/>
  <c r="C2271" i="24"/>
  <c r="C2270" i="24"/>
  <c r="C2269" i="24"/>
  <c r="C2268" i="24"/>
  <c r="C2267" i="24"/>
  <c r="C2266" i="24"/>
  <c r="C2265" i="24"/>
  <c r="C2264" i="24"/>
  <c r="C2263" i="24"/>
  <c r="C2262" i="24"/>
  <c r="C2261" i="24"/>
  <c r="C2260" i="24"/>
  <c r="C2259" i="24"/>
  <c r="C2258" i="24"/>
  <c r="C2257" i="24"/>
  <c r="C2256" i="24"/>
  <c r="C2255" i="24"/>
  <c r="C2254" i="24"/>
  <c r="C2253" i="24"/>
  <c r="C2252" i="24"/>
  <c r="C2251" i="24"/>
  <c r="C2250" i="24"/>
  <c r="C2249" i="24"/>
  <c r="C2248" i="24"/>
  <c r="C2247" i="24"/>
  <c r="C2246" i="24"/>
  <c r="C2245" i="24"/>
  <c r="C2244" i="24"/>
  <c r="C2243" i="24"/>
  <c r="C2242" i="24"/>
  <c r="C2241" i="24"/>
  <c r="C2240" i="24"/>
  <c r="C2239" i="24"/>
  <c r="C2238" i="24"/>
  <c r="C2237" i="24"/>
  <c r="C2236" i="24"/>
  <c r="C2235" i="24"/>
  <c r="C2234" i="24"/>
  <c r="C2233" i="24"/>
  <c r="C2232" i="24"/>
  <c r="C2231" i="24"/>
  <c r="C2230" i="24"/>
  <c r="C2229" i="24"/>
  <c r="C2228" i="24"/>
  <c r="C2227" i="24"/>
  <c r="C2226" i="24"/>
  <c r="C2225" i="24"/>
  <c r="C2224" i="24"/>
  <c r="C2223" i="24"/>
  <c r="C2222" i="24"/>
  <c r="C2221" i="24"/>
  <c r="C2220" i="24"/>
  <c r="C2219" i="24"/>
  <c r="C2218" i="24"/>
  <c r="C2217" i="24"/>
  <c r="C2216" i="24"/>
  <c r="C2215" i="24"/>
  <c r="C2214" i="24"/>
  <c r="C2213" i="24"/>
  <c r="C2212" i="24"/>
  <c r="C2211" i="24"/>
  <c r="C2210" i="24"/>
  <c r="C2209" i="24"/>
  <c r="C2208" i="24"/>
  <c r="C2207" i="24"/>
  <c r="C2206" i="24"/>
  <c r="C2205" i="24"/>
  <c r="C2204" i="24"/>
  <c r="C2203" i="24"/>
  <c r="C2202" i="24"/>
  <c r="C2201" i="24"/>
  <c r="C2200" i="24"/>
  <c r="C2199" i="24"/>
  <c r="C2198" i="24"/>
  <c r="C2197" i="24"/>
  <c r="C2196" i="24"/>
  <c r="C2195" i="24"/>
  <c r="C2194" i="24"/>
  <c r="C2193" i="24"/>
  <c r="C2192" i="24"/>
  <c r="C2191" i="24"/>
  <c r="C2190" i="24"/>
  <c r="C2189" i="24"/>
  <c r="C2188" i="24"/>
  <c r="C2187" i="24"/>
  <c r="C2186" i="24"/>
  <c r="C2185" i="24"/>
  <c r="C2184" i="24"/>
  <c r="C2183" i="24"/>
  <c r="C2182" i="24"/>
  <c r="C2181" i="24"/>
  <c r="C2180" i="24"/>
  <c r="C2179" i="24"/>
  <c r="C2178" i="24"/>
  <c r="C2177" i="24"/>
  <c r="C2176" i="24"/>
  <c r="C2175" i="24"/>
  <c r="C2174" i="24"/>
  <c r="C2173" i="24"/>
  <c r="C2172" i="24"/>
  <c r="C2171" i="24"/>
  <c r="C2170" i="24"/>
  <c r="C2169" i="24"/>
  <c r="C2168" i="24"/>
  <c r="C2167" i="24"/>
  <c r="C2166" i="24"/>
  <c r="C2165" i="24"/>
  <c r="C2164" i="24"/>
  <c r="C2163" i="24"/>
  <c r="C2162" i="24"/>
  <c r="C2161" i="24"/>
  <c r="C2160" i="24"/>
  <c r="C2159" i="24"/>
  <c r="C2158" i="24"/>
  <c r="C2157" i="24"/>
  <c r="C2156" i="24"/>
  <c r="C2155" i="24"/>
  <c r="C2154" i="24"/>
  <c r="C2153" i="24"/>
  <c r="C2152" i="24"/>
  <c r="C2151" i="24"/>
  <c r="C2150" i="24"/>
  <c r="C2149" i="24"/>
  <c r="C2148" i="24"/>
  <c r="C2147" i="24"/>
  <c r="C2146" i="24"/>
  <c r="C2145" i="24"/>
  <c r="C2144" i="24"/>
  <c r="C2143" i="24"/>
  <c r="C2142" i="24"/>
  <c r="C2141" i="24"/>
  <c r="C2140" i="24"/>
  <c r="C2139" i="24"/>
  <c r="C2138" i="24"/>
  <c r="C2137" i="24"/>
  <c r="C2136" i="24"/>
  <c r="C2135" i="24"/>
  <c r="C2134" i="24"/>
  <c r="C2133" i="24"/>
  <c r="C2132" i="24"/>
  <c r="C2131" i="24"/>
  <c r="C2130" i="24"/>
  <c r="C2129" i="24"/>
  <c r="C2128" i="24"/>
  <c r="C2127" i="24"/>
  <c r="C2126" i="24"/>
  <c r="C2125" i="24"/>
  <c r="C2124" i="24"/>
  <c r="C2123" i="24"/>
  <c r="C2122" i="24"/>
  <c r="C2121" i="24"/>
  <c r="C2120" i="24"/>
  <c r="C2119" i="24"/>
  <c r="C2118" i="24"/>
  <c r="C2117" i="24"/>
  <c r="C2116" i="24"/>
  <c r="C2115" i="24"/>
  <c r="C2114" i="24"/>
  <c r="C2113" i="24"/>
  <c r="C2112" i="24"/>
  <c r="C2111" i="24"/>
  <c r="C2110" i="24"/>
  <c r="C2109" i="24"/>
  <c r="C2108" i="24"/>
  <c r="C2107" i="24"/>
  <c r="C2106" i="24"/>
  <c r="C2105" i="24"/>
  <c r="C2104" i="24"/>
  <c r="C2103" i="24"/>
  <c r="C2102" i="24"/>
  <c r="C2101" i="24"/>
  <c r="C2100" i="24"/>
  <c r="C2099" i="24"/>
  <c r="C2098" i="24"/>
  <c r="C2097" i="24"/>
  <c r="C2096" i="24"/>
  <c r="C2095" i="24"/>
  <c r="C2094" i="24"/>
  <c r="C2093" i="24"/>
  <c r="C2092" i="24"/>
  <c r="C2091" i="24"/>
  <c r="C2090" i="24"/>
  <c r="C2089" i="24"/>
  <c r="C2088" i="24"/>
  <c r="C2087" i="24"/>
  <c r="C2086" i="24"/>
  <c r="C2085" i="24"/>
  <c r="C2084" i="24"/>
  <c r="C2083" i="24"/>
  <c r="C2082" i="24"/>
  <c r="C2081" i="24"/>
  <c r="C2080" i="24"/>
  <c r="C2079" i="24"/>
  <c r="C2078" i="24"/>
  <c r="C2077" i="24"/>
  <c r="C2076" i="24"/>
  <c r="C2075" i="24"/>
  <c r="C2074" i="24"/>
  <c r="C2073" i="24"/>
  <c r="C2072" i="24"/>
  <c r="C2071" i="24"/>
  <c r="C2070" i="24"/>
  <c r="C2069" i="24"/>
  <c r="C2068" i="24"/>
  <c r="C2067" i="24"/>
  <c r="C2066" i="24"/>
  <c r="C2065" i="24"/>
  <c r="C2064" i="24"/>
  <c r="C2063" i="24"/>
  <c r="C2062" i="24"/>
  <c r="C2061" i="24"/>
  <c r="C2060" i="24"/>
  <c r="C2059" i="24"/>
  <c r="C2058" i="24"/>
  <c r="C2057" i="24"/>
  <c r="C2056" i="24"/>
  <c r="C2055" i="24"/>
  <c r="C2054" i="24"/>
  <c r="C2053" i="24"/>
  <c r="C2052" i="24"/>
  <c r="C2051" i="24"/>
  <c r="C2050" i="24"/>
  <c r="C2049" i="24"/>
  <c r="C2048" i="24"/>
  <c r="C2047" i="24"/>
  <c r="C2046" i="24"/>
  <c r="C2045" i="24"/>
  <c r="C2044" i="24"/>
  <c r="C2043" i="24"/>
  <c r="C2042" i="24"/>
  <c r="C2041" i="24"/>
  <c r="C2040" i="24"/>
  <c r="C2039" i="24"/>
  <c r="C2038" i="24"/>
  <c r="C2037" i="24"/>
  <c r="C2036" i="24"/>
  <c r="C2035" i="24"/>
  <c r="C2034" i="24"/>
  <c r="C2033" i="24"/>
  <c r="C2032" i="24"/>
  <c r="C2031" i="24"/>
  <c r="C2030" i="24"/>
  <c r="C2029" i="24"/>
  <c r="C2028" i="24"/>
  <c r="C2027" i="24"/>
  <c r="C2026" i="24"/>
  <c r="C2025" i="24"/>
  <c r="C2024" i="24"/>
  <c r="C2023" i="24"/>
  <c r="C2022" i="24"/>
  <c r="C2021" i="24"/>
  <c r="C2020" i="24"/>
  <c r="C2019" i="24"/>
  <c r="C2018" i="24"/>
  <c r="C2017" i="24"/>
  <c r="C2016" i="24"/>
  <c r="C2015" i="24"/>
  <c r="C2014" i="24"/>
  <c r="C2013" i="24"/>
  <c r="C2012" i="24"/>
  <c r="C2011" i="24"/>
  <c r="C2010" i="24"/>
  <c r="C2009" i="24"/>
  <c r="C2008" i="24"/>
  <c r="C2007" i="24"/>
  <c r="C2006" i="24"/>
  <c r="C2005" i="24"/>
  <c r="C2004" i="24"/>
  <c r="C2003" i="24"/>
  <c r="C2002" i="24"/>
  <c r="C2001" i="24"/>
  <c r="C2000" i="24"/>
  <c r="C1999" i="24"/>
  <c r="C1998" i="24"/>
  <c r="C1997" i="24"/>
  <c r="C1996" i="24"/>
  <c r="C1995" i="24"/>
  <c r="C1994" i="24"/>
  <c r="C1993" i="24"/>
  <c r="C1992" i="24"/>
  <c r="C1991" i="24"/>
  <c r="C1990" i="24"/>
  <c r="C1989" i="24"/>
  <c r="C1988" i="24"/>
  <c r="C1987" i="24"/>
  <c r="C1986" i="24"/>
  <c r="C1985" i="24"/>
  <c r="C1984" i="24"/>
  <c r="C1983" i="24"/>
  <c r="C1982" i="24"/>
  <c r="C1981" i="24"/>
  <c r="C1980" i="24"/>
  <c r="C1979" i="24"/>
  <c r="C1978" i="24"/>
  <c r="C1977" i="24"/>
  <c r="C1976" i="24"/>
  <c r="C1975" i="24"/>
  <c r="C1974" i="24"/>
  <c r="C1973" i="24"/>
  <c r="C1972" i="24"/>
  <c r="C1971" i="24"/>
  <c r="C1970" i="24"/>
  <c r="C1969" i="24"/>
  <c r="C1968" i="24"/>
  <c r="C1967" i="24"/>
  <c r="C1966" i="24"/>
  <c r="C1965" i="24"/>
  <c r="C1964" i="24"/>
  <c r="C1963" i="24"/>
  <c r="C1962" i="24"/>
  <c r="C1961" i="24"/>
  <c r="C1960" i="24"/>
  <c r="C1959" i="24"/>
  <c r="C1958" i="24"/>
  <c r="C1957" i="24"/>
  <c r="C1956" i="24"/>
  <c r="C1955" i="24"/>
  <c r="C1954" i="24"/>
  <c r="C1953" i="24"/>
  <c r="C1952" i="24"/>
  <c r="C1951" i="24"/>
  <c r="C1950" i="24"/>
  <c r="C1949" i="24"/>
  <c r="C1948" i="24"/>
  <c r="C1947" i="24"/>
  <c r="C1946" i="24"/>
  <c r="C1945" i="24"/>
  <c r="C1944" i="24"/>
  <c r="C1943" i="24"/>
  <c r="C1942" i="24"/>
  <c r="C1941" i="24"/>
  <c r="C1940" i="24"/>
  <c r="C1939" i="24"/>
  <c r="C1938" i="24"/>
  <c r="C1937" i="24"/>
  <c r="C1936" i="24"/>
  <c r="C1935" i="24"/>
  <c r="C1934" i="24"/>
  <c r="C1933" i="24"/>
  <c r="C1932" i="24"/>
  <c r="C1931" i="24"/>
  <c r="C1930" i="24"/>
  <c r="C1929" i="24"/>
  <c r="C1928" i="24"/>
  <c r="C1927" i="24"/>
  <c r="C1926" i="24"/>
  <c r="C1925" i="24"/>
  <c r="C1924" i="24"/>
  <c r="C1923" i="24"/>
  <c r="C1922" i="24"/>
  <c r="C1921" i="24"/>
  <c r="C1920" i="24"/>
  <c r="C1919" i="24"/>
  <c r="C1918" i="24"/>
  <c r="C1917" i="24"/>
  <c r="C1916" i="24"/>
  <c r="C1915" i="24"/>
  <c r="C1914" i="24"/>
  <c r="C1913" i="24"/>
  <c r="C1912" i="24"/>
  <c r="C1911" i="24"/>
  <c r="C1910" i="24"/>
  <c r="C1909" i="24"/>
  <c r="C1908" i="24"/>
  <c r="C1907" i="24"/>
  <c r="C1906" i="24"/>
  <c r="C1905" i="24"/>
  <c r="C1904" i="24"/>
  <c r="C1903" i="24"/>
  <c r="C1902" i="24"/>
  <c r="C1901" i="24"/>
  <c r="C1900" i="24"/>
  <c r="C1899" i="24"/>
  <c r="C1898" i="24"/>
  <c r="C1897" i="24"/>
  <c r="C1896" i="24"/>
  <c r="C1895" i="24"/>
  <c r="C1894" i="24"/>
  <c r="C1893" i="24"/>
  <c r="C1892" i="24"/>
  <c r="C1891" i="24"/>
  <c r="C1890" i="24"/>
  <c r="C1889" i="24"/>
  <c r="C1888" i="24"/>
  <c r="C1887" i="24"/>
  <c r="C1886" i="24"/>
  <c r="C1885" i="24"/>
  <c r="C1884" i="24"/>
  <c r="C1883" i="24"/>
  <c r="C1882" i="24"/>
  <c r="C1881" i="24"/>
  <c r="C1880" i="24"/>
  <c r="C1879" i="24"/>
  <c r="C1878" i="24"/>
  <c r="C1877" i="24"/>
  <c r="C1876" i="24"/>
  <c r="C1875" i="24"/>
  <c r="C1874" i="24"/>
  <c r="C1873" i="24"/>
  <c r="C1872" i="24"/>
  <c r="C1871" i="24"/>
  <c r="C1870" i="24"/>
  <c r="C1869" i="24"/>
  <c r="C1868" i="24"/>
  <c r="C1867" i="24"/>
  <c r="C1866" i="24"/>
  <c r="C1865" i="24"/>
  <c r="C1864" i="24"/>
  <c r="C1863" i="24"/>
  <c r="C1862" i="24"/>
  <c r="C1861" i="24"/>
  <c r="C1860" i="24"/>
  <c r="C1859" i="24"/>
  <c r="C1858" i="24"/>
  <c r="C1857" i="24"/>
  <c r="C1856" i="24"/>
  <c r="C1855" i="24"/>
  <c r="C1854" i="24"/>
  <c r="C1853" i="24"/>
  <c r="C1852" i="24"/>
  <c r="C1851" i="24"/>
  <c r="C1850" i="24"/>
  <c r="C1849" i="24"/>
  <c r="C1848" i="24"/>
  <c r="C1847" i="24"/>
  <c r="C1846" i="24"/>
  <c r="C1845" i="24"/>
  <c r="C1844" i="24"/>
  <c r="C1843" i="24"/>
  <c r="C1842" i="24"/>
  <c r="C1841" i="24"/>
  <c r="C1840" i="24"/>
  <c r="C1839" i="24"/>
  <c r="C1838" i="24"/>
  <c r="C1837" i="24"/>
  <c r="C1836" i="24"/>
  <c r="C1835" i="24"/>
  <c r="C1834" i="24"/>
  <c r="C1833" i="24"/>
  <c r="C1832" i="24"/>
  <c r="C1831" i="24"/>
  <c r="C1830" i="24"/>
  <c r="C1829" i="24"/>
  <c r="C1828" i="24"/>
  <c r="C1827" i="24"/>
  <c r="C1826" i="24"/>
  <c r="C1825" i="24"/>
  <c r="C1824" i="24"/>
  <c r="C1823" i="24"/>
  <c r="C1822" i="24"/>
  <c r="C1821" i="24"/>
  <c r="C1820" i="24"/>
  <c r="C1819" i="24"/>
  <c r="C1818" i="24"/>
  <c r="C1817" i="24"/>
  <c r="C1816" i="24"/>
  <c r="C1815" i="24"/>
  <c r="C1814" i="24"/>
  <c r="C1813" i="24"/>
  <c r="C1812" i="24"/>
  <c r="C1811" i="24"/>
  <c r="C1810" i="24"/>
  <c r="C1809" i="24"/>
  <c r="C1808" i="24"/>
  <c r="C1807" i="24"/>
  <c r="C1806" i="24"/>
  <c r="C1805" i="24"/>
  <c r="C1804" i="24"/>
  <c r="C1803" i="24"/>
  <c r="C1802" i="24"/>
  <c r="C1801" i="24"/>
  <c r="C1800" i="24"/>
  <c r="C1799" i="24"/>
  <c r="C1798" i="24"/>
  <c r="C1797" i="24"/>
  <c r="C1796" i="24"/>
  <c r="C1795" i="24"/>
  <c r="C1794" i="24"/>
  <c r="C1793" i="24"/>
  <c r="C1792" i="24"/>
  <c r="C1791" i="24"/>
  <c r="C1790" i="24"/>
  <c r="C1789" i="24"/>
  <c r="C1788" i="24"/>
  <c r="C1787" i="24"/>
  <c r="C1786" i="24"/>
  <c r="C1785" i="24"/>
  <c r="C1784" i="24"/>
  <c r="C1783" i="24"/>
  <c r="C1782" i="24"/>
  <c r="C1781" i="24"/>
  <c r="C1780" i="24"/>
  <c r="C1779" i="24"/>
  <c r="C1778" i="24"/>
  <c r="C1777" i="24"/>
  <c r="C1776" i="24"/>
  <c r="C1775" i="24"/>
  <c r="C1774" i="24"/>
  <c r="C1773" i="24"/>
  <c r="C1772" i="24"/>
  <c r="C1771" i="24"/>
  <c r="C1770" i="24"/>
  <c r="C1769" i="24"/>
  <c r="C1768" i="24"/>
  <c r="C1767" i="24"/>
  <c r="C1766" i="24"/>
  <c r="C1765" i="24"/>
  <c r="C1764" i="24"/>
  <c r="C1763" i="24"/>
  <c r="C1762" i="24"/>
  <c r="C1761" i="24"/>
  <c r="C1760" i="24"/>
  <c r="C1759" i="24"/>
  <c r="C1758" i="24"/>
  <c r="C1757" i="24"/>
  <c r="C1756" i="24"/>
  <c r="C1755" i="24"/>
  <c r="C1754" i="24"/>
  <c r="C1753" i="24"/>
  <c r="C1752" i="24"/>
  <c r="C1751" i="24"/>
  <c r="C1750" i="24"/>
  <c r="C1749" i="24"/>
  <c r="C1748" i="24"/>
  <c r="C1747" i="24"/>
  <c r="C1746" i="24"/>
  <c r="C1745" i="24"/>
  <c r="C1744" i="24"/>
  <c r="C1743" i="24"/>
  <c r="C1742" i="24"/>
  <c r="C1741" i="24"/>
  <c r="C1740" i="24"/>
  <c r="C1739" i="24"/>
  <c r="C1738" i="24"/>
  <c r="C1737" i="24"/>
  <c r="C1736" i="24"/>
  <c r="C1735" i="24"/>
  <c r="C1734" i="24"/>
  <c r="C1733" i="24"/>
  <c r="C1732" i="24"/>
  <c r="C1731" i="24"/>
  <c r="C1730" i="24"/>
  <c r="C1729" i="24"/>
  <c r="C1728" i="24"/>
  <c r="C1727" i="24"/>
  <c r="C1726" i="24"/>
  <c r="C1725" i="24"/>
  <c r="C1724" i="24"/>
  <c r="C1723" i="24"/>
  <c r="C1722" i="24"/>
  <c r="C1721" i="24"/>
  <c r="C1720" i="24"/>
  <c r="C1719" i="24"/>
  <c r="C1718" i="24"/>
  <c r="C1717" i="24"/>
  <c r="C1716" i="24"/>
  <c r="C1715" i="24"/>
  <c r="C1714" i="24"/>
  <c r="C1713" i="24"/>
  <c r="C1712" i="24"/>
  <c r="C1711" i="24"/>
  <c r="C1710" i="24"/>
  <c r="C1709" i="24"/>
  <c r="C1708" i="24"/>
  <c r="C1707" i="24"/>
  <c r="C1706" i="24"/>
  <c r="C1705" i="24"/>
  <c r="C1704" i="24"/>
  <c r="C1703" i="24"/>
  <c r="C1702" i="24"/>
  <c r="C1701" i="24"/>
  <c r="C1700" i="24"/>
  <c r="C1699" i="24"/>
  <c r="C1698" i="24"/>
  <c r="C1697" i="24"/>
  <c r="C1696" i="24"/>
  <c r="C1695" i="24"/>
  <c r="C1694" i="24"/>
  <c r="C1693" i="24"/>
  <c r="C1692" i="24"/>
  <c r="C1691" i="24"/>
  <c r="C1690" i="24"/>
  <c r="C1689" i="24"/>
  <c r="C1688" i="24"/>
  <c r="C1687" i="24"/>
  <c r="C1686" i="24"/>
  <c r="C1685" i="24"/>
  <c r="C1684" i="24"/>
  <c r="C1683" i="24"/>
  <c r="C1682" i="24"/>
  <c r="C1681" i="24"/>
  <c r="C1680" i="24"/>
  <c r="C1679" i="24"/>
  <c r="C1678" i="24"/>
  <c r="C1677" i="24"/>
  <c r="C1676" i="24"/>
  <c r="C1675" i="24"/>
  <c r="C1674" i="24"/>
  <c r="C1673" i="24"/>
  <c r="C1672" i="24"/>
  <c r="C1671" i="24"/>
  <c r="C1670" i="24"/>
  <c r="C1669" i="24"/>
  <c r="C1668" i="24"/>
  <c r="C1667" i="24"/>
  <c r="C1666" i="24"/>
  <c r="C1665" i="24"/>
  <c r="C1664" i="24"/>
  <c r="C1663" i="24"/>
  <c r="C1662" i="24"/>
  <c r="C1661" i="24"/>
  <c r="C1660" i="24"/>
  <c r="C1659" i="24"/>
  <c r="C1658" i="24"/>
  <c r="C1657" i="24"/>
  <c r="C1656" i="24"/>
  <c r="C1655" i="24"/>
  <c r="C1654" i="24"/>
  <c r="C1653" i="24"/>
  <c r="C1652" i="24"/>
  <c r="C1651" i="24"/>
  <c r="C1650" i="24"/>
  <c r="C1649" i="24"/>
  <c r="C1648" i="24"/>
  <c r="C1647" i="24"/>
  <c r="C1646" i="24"/>
  <c r="C1645" i="24"/>
  <c r="C1644" i="24"/>
  <c r="C1643" i="24"/>
  <c r="C1642" i="24"/>
  <c r="C1641" i="24"/>
  <c r="C1640" i="24"/>
  <c r="C1639" i="24"/>
  <c r="C1638" i="24"/>
  <c r="C1637" i="24"/>
  <c r="C1636" i="24"/>
  <c r="C1635" i="24"/>
  <c r="C1634" i="24"/>
  <c r="C1633" i="24"/>
  <c r="C1632" i="24"/>
  <c r="C1631" i="24"/>
  <c r="C1630" i="24"/>
  <c r="C1629" i="24"/>
  <c r="C1628" i="24"/>
  <c r="C1627" i="24"/>
  <c r="C1626" i="24"/>
  <c r="C1625" i="24"/>
  <c r="C1624" i="24"/>
  <c r="C1623" i="24"/>
  <c r="C1622" i="24"/>
  <c r="C1621" i="24"/>
  <c r="C1620" i="24"/>
  <c r="C1619" i="24"/>
  <c r="C1618" i="24"/>
  <c r="C1617" i="24"/>
  <c r="C1616" i="24"/>
  <c r="C1615" i="24"/>
  <c r="C1614" i="24"/>
  <c r="C1613" i="24"/>
  <c r="C1612" i="24"/>
  <c r="C1611" i="24"/>
  <c r="C1610" i="24"/>
  <c r="C1609" i="24"/>
  <c r="C1608" i="24"/>
  <c r="C1607" i="24"/>
  <c r="C1606" i="24"/>
  <c r="C1605" i="24"/>
  <c r="C1604" i="24"/>
  <c r="C1603" i="24"/>
  <c r="C1602" i="24"/>
  <c r="C1601" i="24"/>
  <c r="C1600" i="24"/>
  <c r="C1599" i="24"/>
  <c r="C1598" i="24"/>
  <c r="C1597" i="24"/>
  <c r="C1596" i="24"/>
  <c r="C1595" i="24"/>
  <c r="C1594" i="24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690" i="24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L111" i="22"/>
  <c r="K82" i="22"/>
  <c r="K111" i="22" s="1"/>
  <c r="K139" i="22" s="1"/>
  <c r="H58" i="22"/>
  <c r="H85" i="22" s="1"/>
  <c r="G58" i="22"/>
  <c r="G85" i="22" s="1"/>
  <c r="F58" i="22"/>
  <c r="F85" i="22" s="1"/>
  <c r="E58" i="22"/>
  <c r="E85" i="22" s="1"/>
  <c r="D58" i="22"/>
  <c r="D85" i="22" s="1"/>
  <c r="C58" i="22"/>
  <c r="C85" i="22" s="1"/>
  <c r="B58" i="22"/>
  <c r="H57" i="22"/>
  <c r="H84" i="22" s="1"/>
  <c r="G57" i="22"/>
  <c r="G84" i="22" s="1"/>
  <c r="F57" i="22"/>
  <c r="F84" i="22" s="1"/>
  <c r="F113" i="22" s="1"/>
  <c r="F141" i="22" s="1"/>
  <c r="E57" i="22"/>
  <c r="E84" i="22" s="1"/>
  <c r="D57" i="22"/>
  <c r="D84" i="22" s="1"/>
  <c r="D113" i="22" s="1"/>
  <c r="D141" i="22" s="1"/>
  <c r="C57" i="22"/>
  <c r="C84" i="22" s="1"/>
  <c r="B57" i="22"/>
  <c r="H56" i="22"/>
  <c r="H83" i="22" s="1"/>
  <c r="G56" i="22"/>
  <c r="G83" i="22" s="1"/>
  <c r="F56" i="22"/>
  <c r="F83" i="22" s="1"/>
  <c r="E56" i="22"/>
  <c r="E83" i="22" s="1"/>
  <c r="D56" i="22"/>
  <c r="D83" i="22" s="1"/>
  <c r="C56" i="22"/>
  <c r="C83" i="22" s="1"/>
  <c r="B56" i="22"/>
  <c r="B83" i="22" s="1"/>
  <c r="J55" i="22"/>
  <c r="J82" i="22" s="1"/>
  <c r="I55" i="22"/>
  <c r="I82" i="22" s="1"/>
  <c r="H55" i="22"/>
  <c r="H82" i="22" s="1"/>
  <c r="G55" i="22"/>
  <c r="G82" i="22" s="1"/>
  <c r="F55" i="22"/>
  <c r="F82" i="22" s="1"/>
  <c r="E55" i="22"/>
  <c r="E82" i="22" s="1"/>
  <c r="D55" i="22"/>
  <c r="D82" i="22" s="1"/>
  <c r="C55" i="22"/>
  <c r="C82" i="22" s="1"/>
  <c r="B55" i="22"/>
  <c r="H54" i="22"/>
  <c r="H81" i="22" s="1"/>
  <c r="H110" i="22" s="1"/>
  <c r="H138" i="22" s="1"/>
  <c r="G54" i="22"/>
  <c r="G81" i="22" s="1"/>
  <c r="F54" i="22"/>
  <c r="F81" i="22" s="1"/>
  <c r="E54" i="22"/>
  <c r="E81" i="22" s="1"/>
  <c r="D54" i="22"/>
  <c r="D81" i="22" s="1"/>
  <c r="D110" i="22" s="1"/>
  <c r="D138" i="22" s="1"/>
  <c r="C54" i="22"/>
  <c r="C81" i="22" s="1"/>
  <c r="C110" i="22" s="1"/>
  <c r="C138" i="22" s="1"/>
  <c r="B54" i="22"/>
  <c r="I52" i="22"/>
  <c r="H52" i="22"/>
  <c r="G52" i="22"/>
  <c r="F52" i="22"/>
  <c r="E52" i="22"/>
  <c r="D52" i="22"/>
  <c r="C52" i="22"/>
  <c r="B52" i="22"/>
  <c r="H51" i="22"/>
  <c r="H79" i="22" s="1"/>
  <c r="G51" i="22"/>
  <c r="G79" i="22" s="1"/>
  <c r="F51" i="22"/>
  <c r="F79" i="22" s="1"/>
  <c r="E51" i="22"/>
  <c r="E79" i="22" s="1"/>
  <c r="D51" i="22"/>
  <c r="D79" i="22" s="1"/>
  <c r="C51" i="22"/>
  <c r="C79" i="22" s="1"/>
  <c r="B51" i="22"/>
  <c r="H50" i="22"/>
  <c r="H78" i="22" s="1"/>
  <c r="G50" i="22"/>
  <c r="G78" i="22" s="1"/>
  <c r="F50" i="22"/>
  <c r="F78" i="22" s="1"/>
  <c r="E50" i="22"/>
  <c r="E78" i="22" s="1"/>
  <c r="D50" i="22"/>
  <c r="D78" i="22" s="1"/>
  <c r="C50" i="22"/>
  <c r="C78" i="22" s="1"/>
  <c r="B50" i="22"/>
  <c r="H49" i="22"/>
  <c r="H77" i="22" s="1"/>
  <c r="G49" i="22"/>
  <c r="G77" i="22" s="1"/>
  <c r="F49" i="22"/>
  <c r="F77" i="22" s="1"/>
  <c r="E49" i="22"/>
  <c r="E77" i="22" s="1"/>
  <c r="D49" i="22"/>
  <c r="D77" i="22" s="1"/>
  <c r="C49" i="22"/>
  <c r="C77" i="22" s="1"/>
  <c r="B49" i="22"/>
  <c r="I48" i="22"/>
  <c r="H48" i="22"/>
  <c r="G48" i="22"/>
  <c r="F48" i="22"/>
  <c r="E48" i="22"/>
  <c r="D48" i="22"/>
  <c r="C48" i="22"/>
  <c r="B48" i="22"/>
  <c r="H47" i="22"/>
  <c r="H76" i="22" s="1"/>
  <c r="G47" i="22"/>
  <c r="G76" i="22" s="1"/>
  <c r="F47" i="22"/>
  <c r="F76" i="22" s="1"/>
  <c r="E47" i="22"/>
  <c r="E76" i="22" s="1"/>
  <c r="D47" i="22"/>
  <c r="D76" i="22" s="1"/>
  <c r="C47" i="22"/>
  <c r="C76" i="22" s="1"/>
  <c r="B47" i="22"/>
  <c r="I46" i="22"/>
  <c r="I75" i="22" s="1"/>
  <c r="H46" i="22"/>
  <c r="H75" i="22" s="1"/>
  <c r="G46" i="22"/>
  <c r="G75" i="22" s="1"/>
  <c r="F46" i="22"/>
  <c r="F75" i="22" s="1"/>
  <c r="E46" i="22"/>
  <c r="E75" i="22" s="1"/>
  <c r="D46" i="22"/>
  <c r="D75" i="22" s="1"/>
  <c r="C46" i="22"/>
  <c r="C75" i="22" s="1"/>
  <c r="B46" i="22"/>
  <c r="H45" i="22"/>
  <c r="H74" i="22" s="1"/>
  <c r="G45" i="22"/>
  <c r="G74" i="22" s="1"/>
  <c r="F45" i="22"/>
  <c r="F74" i="22" s="1"/>
  <c r="E45" i="22"/>
  <c r="E74" i="22" s="1"/>
  <c r="D45" i="22"/>
  <c r="D74" i="22" s="1"/>
  <c r="C45" i="22"/>
  <c r="C74" i="22" s="1"/>
  <c r="B45" i="22"/>
  <c r="H44" i="22"/>
  <c r="H73" i="22" s="1"/>
  <c r="G44" i="22"/>
  <c r="G73" i="22" s="1"/>
  <c r="F44" i="22"/>
  <c r="F73" i="22" s="1"/>
  <c r="E44" i="22"/>
  <c r="E73" i="22" s="1"/>
  <c r="D44" i="22"/>
  <c r="D73" i="22" s="1"/>
  <c r="C44" i="22"/>
  <c r="C73" i="22" s="1"/>
  <c r="B44" i="22"/>
  <c r="J43" i="22"/>
  <c r="J72" i="22" s="1"/>
  <c r="I43" i="22"/>
  <c r="I72" i="22" s="1"/>
  <c r="H43" i="22"/>
  <c r="H72" i="22" s="1"/>
  <c r="G43" i="22"/>
  <c r="G72" i="22" s="1"/>
  <c r="F43" i="22"/>
  <c r="F72" i="22" s="1"/>
  <c r="E43" i="22"/>
  <c r="E72" i="22" s="1"/>
  <c r="D43" i="22"/>
  <c r="D72" i="22" s="1"/>
  <c r="C43" i="22"/>
  <c r="C72" i="22" s="1"/>
  <c r="I42" i="22"/>
  <c r="I71" i="22" s="1"/>
  <c r="H42" i="22"/>
  <c r="H71" i="22" s="1"/>
  <c r="G42" i="22"/>
  <c r="G71" i="22" s="1"/>
  <c r="F42" i="22"/>
  <c r="F71" i="22" s="1"/>
  <c r="E42" i="22"/>
  <c r="E71" i="22" s="1"/>
  <c r="D42" i="22"/>
  <c r="D71" i="22" s="1"/>
  <c r="C42" i="22"/>
  <c r="C71" i="22" s="1"/>
  <c r="B42" i="22"/>
  <c r="H41" i="22"/>
  <c r="H70" i="22" s="1"/>
  <c r="G41" i="22"/>
  <c r="G70" i="22" s="1"/>
  <c r="F41" i="22"/>
  <c r="F70" i="22" s="1"/>
  <c r="E41" i="22"/>
  <c r="E70" i="22" s="1"/>
  <c r="D41" i="22"/>
  <c r="D70" i="22" s="1"/>
  <c r="C41" i="22"/>
  <c r="C70" i="22" s="1"/>
  <c r="B41" i="22"/>
  <c r="H40" i="22"/>
  <c r="H69" i="22" s="1"/>
  <c r="G40" i="22"/>
  <c r="G69" i="22" s="1"/>
  <c r="F40" i="22"/>
  <c r="F69" i="22" s="1"/>
  <c r="E40" i="22"/>
  <c r="E69" i="22" s="1"/>
  <c r="D40" i="22"/>
  <c r="D69" i="22" s="1"/>
  <c r="C40" i="22"/>
  <c r="C69" i="22" s="1"/>
  <c r="B40" i="22"/>
  <c r="H39" i="22"/>
  <c r="H68" i="22" s="1"/>
  <c r="G39" i="22"/>
  <c r="G68" i="22" s="1"/>
  <c r="F39" i="22"/>
  <c r="F68" i="22" s="1"/>
  <c r="E39" i="22"/>
  <c r="E68" i="22" s="1"/>
  <c r="D39" i="22"/>
  <c r="D68" i="22" s="1"/>
  <c r="C39" i="22"/>
  <c r="C68" i="22" s="1"/>
  <c r="B39" i="22"/>
  <c r="H38" i="22"/>
  <c r="H67" i="22" s="1"/>
  <c r="G38" i="22"/>
  <c r="G67" i="22" s="1"/>
  <c r="F38" i="22"/>
  <c r="F67" i="22" s="1"/>
  <c r="E38" i="22"/>
  <c r="E67" i="22" s="1"/>
  <c r="D38" i="22"/>
  <c r="D67" i="22" s="1"/>
  <c r="C38" i="22"/>
  <c r="C67" i="22" s="1"/>
  <c r="B38" i="22"/>
  <c r="H37" i="22"/>
  <c r="H66" i="22" s="1"/>
  <c r="G37" i="22"/>
  <c r="G66" i="22" s="1"/>
  <c r="F37" i="22"/>
  <c r="F66" i="22" s="1"/>
  <c r="E37" i="22"/>
  <c r="E66" i="22" s="1"/>
  <c r="D37" i="22"/>
  <c r="D66" i="22" s="1"/>
  <c r="C37" i="22"/>
  <c r="C66" i="22" s="1"/>
  <c r="B37" i="22"/>
  <c r="H36" i="22"/>
  <c r="H65" i="22" s="1"/>
  <c r="G36" i="22"/>
  <c r="G65" i="22" s="1"/>
  <c r="F36" i="22"/>
  <c r="F65" i="22" s="1"/>
  <c r="E36" i="22"/>
  <c r="E65" i="22" s="1"/>
  <c r="D36" i="22"/>
  <c r="D65" i="22" s="1"/>
  <c r="C36" i="22"/>
  <c r="C65" i="22" s="1"/>
  <c r="B36" i="22"/>
  <c r="H35" i="22"/>
  <c r="H64" i="22" s="1"/>
  <c r="G35" i="22"/>
  <c r="G64" i="22" s="1"/>
  <c r="F35" i="22"/>
  <c r="F64" i="22" s="1"/>
  <c r="E35" i="22"/>
  <c r="E64" i="22" s="1"/>
  <c r="D35" i="22"/>
  <c r="D64" i="22" s="1"/>
  <c r="C35" i="22"/>
  <c r="C64" i="22" s="1"/>
  <c r="B35" i="22"/>
  <c r="H34" i="22"/>
  <c r="H63" i="22" s="1"/>
  <c r="G34" i="22"/>
  <c r="G63" i="22" s="1"/>
  <c r="F34" i="22"/>
  <c r="F63" i="22" s="1"/>
  <c r="E34" i="22"/>
  <c r="E63" i="22" s="1"/>
  <c r="D34" i="22"/>
  <c r="D63" i="22" s="1"/>
  <c r="C34" i="22"/>
  <c r="C63" i="22" s="1"/>
  <c r="B34" i="22"/>
  <c r="H33" i="22"/>
  <c r="H62" i="22" s="1"/>
  <c r="G33" i="22"/>
  <c r="G62" i="22" s="1"/>
  <c r="F33" i="22"/>
  <c r="F62" i="22" s="1"/>
  <c r="E33" i="22"/>
  <c r="E62" i="22" s="1"/>
  <c r="D33" i="22"/>
  <c r="D62" i="22" s="1"/>
  <c r="C33" i="22"/>
  <c r="C62" i="22" s="1"/>
  <c r="B33" i="22"/>
  <c r="H32" i="22"/>
  <c r="H61" i="22" s="1"/>
  <c r="G32" i="22"/>
  <c r="G61" i="22" s="1"/>
  <c r="F32" i="22"/>
  <c r="F61" i="22" s="1"/>
  <c r="E32" i="22"/>
  <c r="E61" i="22" s="1"/>
  <c r="D32" i="22"/>
  <c r="D61" i="22" s="1"/>
  <c r="C32" i="22"/>
  <c r="C61" i="22" s="1"/>
  <c r="B32" i="22"/>
  <c r="N29" i="22"/>
  <c r="M29" i="22"/>
  <c r="P28" i="22"/>
  <c r="O28" i="22"/>
  <c r="P27" i="22"/>
  <c r="O27" i="22"/>
  <c r="P26" i="22"/>
  <c r="O26" i="22"/>
  <c r="P25" i="22"/>
  <c r="O25" i="22"/>
  <c r="P24" i="22"/>
  <c r="O24" i="22"/>
  <c r="P23" i="22"/>
  <c r="O23" i="22"/>
  <c r="P22" i="22"/>
  <c r="O22" i="22"/>
  <c r="P21" i="22"/>
  <c r="O21" i="22"/>
  <c r="P20" i="22"/>
  <c r="O20" i="22"/>
  <c r="P19" i="22"/>
  <c r="O19" i="22"/>
  <c r="P18" i="22"/>
  <c r="O18" i="22"/>
  <c r="P17" i="22"/>
  <c r="O17" i="22"/>
  <c r="P16" i="22"/>
  <c r="O16" i="22"/>
  <c r="P15" i="22"/>
  <c r="O15" i="22"/>
  <c r="P14" i="22"/>
  <c r="O14" i="22"/>
  <c r="P13" i="22"/>
  <c r="O13" i="22"/>
  <c r="P12" i="22"/>
  <c r="O12" i="22"/>
  <c r="P11" i="22"/>
  <c r="O11" i="22"/>
  <c r="P10" i="22"/>
  <c r="O10" i="22"/>
  <c r="P9" i="22"/>
  <c r="O9" i="22"/>
  <c r="P8" i="22"/>
  <c r="O8" i="22"/>
  <c r="P7" i="22"/>
  <c r="O7" i="22"/>
  <c r="P6" i="22"/>
  <c r="O6" i="22"/>
  <c r="P5" i="22"/>
  <c r="O5" i="22"/>
  <c r="P4" i="22"/>
  <c r="K153" i="40" l="1"/>
  <c r="Q98" i="40"/>
  <c r="T98" i="40" s="1"/>
  <c r="Q102" i="40"/>
  <c r="T102" i="40" s="1"/>
  <c r="R14" i="40"/>
  <c r="U14" i="40" s="1"/>
  <c r="R13" i="40"/>
  <c r="U13" i="40" s="1"/>
  <c r="R7" i="40"/>
  <c r="U7" i="40" s="1"/>
  <c r="R29" i="1"/>
  <c r="Q13" i="40" s="1"/>
  <c r="T13" i="40" s="1"/>
  <c r="R9" i="1"/>
  <c r="Q11" i="40" s="1"/>
  <c r="T11" i="40" s="1"/>
  <c r="R27" i="1"/>
  <c r="Q8" i="40" s="1"/>
  <c r="T8" i="40" s="1"/>
  <c r="R28" i="1"/>
  <c r="Q14" i="40" s="1"/>
  <c r="T14" i="40" s="1"/>
  <c r="R26" i="1"/>
  <c r="Q148" i="40" s="1"/>
  <c r="T148" i="40" s="1"/>
  <c r="R30" i="1"/>
  <c r="Q7" i="40" s="1"/>
  <c r="T7" i="40" s="1"/>
  <c r="Z28" i="1"/>
  <c r="Z9" i="1"/>
  <c r="Z13" i="1"/>
  <c r="Z17" i="1"/>
  <c r="Z21" i="1"/>
  <c r="Z25" i="1"/>
  <c r="Z29" i="1"/>
  <c r="Z20" i="1"/>
  <c r="Z10" i="1"/>
  <c r="Z14" i="1"/>
  <c r="Z18" i="1"/>
  <c r="Z22" i="1"/>
  <c r="Z26" i="1"/>
  <c r="Z30" i="1"/>
  <c r="Z12" i="1"/>
  <c r="Z16" i="1"/>
  <c r="Z24" i="1"/>
  <c r="Z11" i="1"/>
  <c r="Z15" i="1"/>
  <c r="Z19" i="1"/>
  <c r="Z23" i="1"/>
  <c r="R13" i="1"/>
  <c r="Q15" i="40" s="1"/>
  <c r="T15" i="40" s="1"/>
  <c r="R17" i="1"/>
  <c r="Q95" i="40" s="1"/>
  <c r="T95" i="40" s="1"/>
  <c r="R22" i="1"/>
  <c r="Q100" i="40" s="1"/>
  <c r="T100" i="40" s="1"/>
  <c r="R10" i="1"/>
  <c r="Q10" i="40" s="1"/>
  <c r="T10" i="40" s="1"/>
  <c r="R14" i="1"/>
  <c r="Q104" i="40" s="1"/>
  <c r="T104" i="40" s="1"/>
  <c r="R18" i="1"/>
  <c r="Q93" i="40" s="1"/>
  <c r="T93" i="40" s="1"/>
  <c r="R23" i="1"/>
  <c r="Q101" i="40" s="1"/>
  <c r="T101" i="40" s="1"/>
  <c r="R11" i="1"/>
  <c r="Q12" i="40" s="1"/>
  <c r="T12" i="40" s="1"/>
  <c r="R15" i="1"/>
  <c r="Q105" i="40" s="1"/>
  <c r="T105" i="40" s="1"/>
  <c r="R19" i="1"/>
  <c r="Q97" i="40" s="1"/>
  <c r="T97" i="40" s="1"/>
  <c r="R25" i="1"/>
  <c r="Q145" i="40" s="1"/>
  <c r="T145" i="40" s="1"/>
  <c r="R12" i="1"/>
  <c r="Q9" i="40" s="1"/>
  <c r="T9" i="40" s="1"/>
  <c r="R16" i="1"/>
  <c r="Q27" i="40" s="1"/>
  <c r="T27" i="40" s="1"/>
  <c r="R21" i="1"/>
  <c r="Q99" i="40" s="1"/>
  <c r="T99" i="40" s="1"/>
  <c r="N8" i="40"/>
  <c r="Z27" i="1"/>
  <c r="D158" i="1"/>
  <c r="P28" i="1"/>
  <c r="O14" i="40"/>
  <c r="P29" i="1"/>
  <c r="O13" i="40"/>
  <c r="P26" i="1"/>
  <c r="P30" i="1"/>
  <c r="O7" i="40"/>
  <c r="H53" i="22"/>
  <c r="N57" i="22"/>
  <c r="P57" i="22" s="1"/>
  <c r="B61" i="22"/>
  <c r="N61" i="22" s="1"/>
  <c r="J3" i="1" s="1"/>
  <c r="N32" i="22"/>
  <c r="P32" i="22" s="1"/>
  <c r="B82" i="22"/>
  <c r="B111" i="22" s="1"/>
  <c r="B139" i="22" s="1"/>
  <c r="N55" i="22"/>
  <c r="P55" i="22" s="1"/>
  <c r="B64" i="22"/>
  <c r="B93" i="22" s="1"/>
  <c r="B121" i="22" s="1"/>
  <c r="N35" i="22"/>
  <c r="P35" i="22" s="1"/>
  <c r="B68" i="22"/>
  <c r="N68" i="22" s="1"/>
  <c r="N39" i="22"/>
  <c r="P39" i="22" s="1"/>
  <c r="B75" i="22"/>
  <c r="N75" i="22" s="1"/>
  <c r="Q46" i="22" s="1"/>
  <c r="R46" i="22" s="1"/>
  <c r="N46" i="22"/>
  <c r="P46" i="22" s="1"/>
  <c r="B76" i="22"/>
  <c r="N76" i="22" s="1"/>
  <c r="Q47" i="22" s="1"/>
  <c r="R47" i="22" s="1"/>
  <c r="N47" i="22"/>
  <c r="P47" i="22" s="1"/>
  <c r="B81" i="22"/>
  <c r="B110" i="22" s="1"/>
  <c r="B138" i="22" s="1"/>
  <c r="N54" i="22"/>
  <c r="P54" i="22" s="1"/>
  <c r="N56" i="22"/>
  <c r="P56" i="22" s="1"/>
  <c r="B69" i="22"/>
  <c r="N69" i="22" s="1"/>
  <c r="Q40" i="22" s="1"/>
  <c r="R40" i="22" s="1"/>
  <c r="N40" i="22"/>
  <c r="P40" i="22" s="1"/>
  <c r="B63" i="22"/>
  <c r="B92" i="22" s="1"/>
  <c r="B120" i="22" s="1"/>
  <c r="N34" i="22"/>
  <c r="P34" i="22" s="1"/>
  <c r="B67" i="22"/>
  <c r="N67" i="22" s="1"/>
  <c r="Q38" i="22" s="1"/>
  <c r="R38" i="22" s="1"/>
  <c r="N38" i="22"/>
  <c r="P38" i="22" s="1"/>
  <c r="B71" i="22"/>
  <c r="N71" i="22" s="1"/>
  <c r="N42" i="22"/>
  <c r="P42" i="22" s="1"/>
  <c r="B72" i="22"/>
  <c r="N72" i="22" s="1"/>
  <c r="O72" i="22" s="1"/>
  <c r="N43" i="22"/>
  <c r="P43" i="22" s="1"/>
  <c r="B74" i="22"/>
  <c r="N74" i="22" s="1"/>
  <c r="Q45" i="22" s="1"/>
  <c r="R45" i="22" s="1"/>
  <c r="N45" i="22"/>
  <c r="P45" i="22" s="1"/>
  <c r="B79" i="22"/>
  <c r="N79" i="22" s="1"/>
  <c r="Q51" i="22" s="1"/>
  <c r="R51" i="22" s="1"/>
  <c r="N51" i="22"/>
  <c r="P51" i="22" s="1"/>
  <c r="B65" i="22"/>
  <c r="B94" i="22" s="1"/>
  <c r="B122" i="22" s="1"/>
  <c r="N36" i="22"/>
  <c r="P36" i="22" s="1"/>
  <c r="B77" i="22"/>
  <c r="N77" i="22" s="1"/>
  <c r="Q49" i="22" s="1"/>
  <c r="R49" i="22" s="1"/>
  <c r="N49" i="22"/>
  <c r="P49" i="22" s="1"/>
  <c r="B62" i="22"/>
  <c r="B91" i="22" s="1"/>
  <c r="B119" i="22" s="1"/>
  <c r="N33" i="22"/>
  <c r="P33" i="22" s="1"/>
  <c r="B66" i="22"/>
  <c r="B95" i="22" s="1"/>
  <c r="B123" i="22" s="1"/>
  <c r="N37" i="22"/>
  <c r="P37" i="22" s="1"/>
  <c r="B70" i="22"/>
  <c r="B99" i="22" s="1"/>
  <c r="B127" i="22" s="1"/>
  <c r="N41" i="22"/>
  <c r="P41" i="22" s="1"/>
  <c r="B73" i="22"/>
  <c r="N73" i="22" s="1"/>
  <c r="Q44" i="22" s="1"/>
  <c r="R44" i="22" s="1"/>
  <c r="N44" i="22"/>
  <c r="P44" i="22" s="1"/>
  <c r="B78" i="22"/>
  <c r="N78" i="22" s="1"/>
  <c r="Q50" i="22" s="1"/>
  <c r="R50" i="22" s="1"/>
  <c r="N50" i="22"/>
  <c r="P50" i="22" s="1"/>
  <c r="B85" i="22"/>
  <c r="N85" i="22" s="1"/>
  <c r="Q58" i="22" s="1"/>
  <c r="R58" i="22" s="1"/>
  <c r="N58" i="22"/>
  <c r="P58" i="22" s="1"/>
  <c r="B84" i="22"/>
  <c r="B113" i="22" s="1"/>
  <c r="B141" i="22" s="1"/>
  <c r="N3" i="1"/>
  <c r="N158" i="1" s="1"/>
  <c r="N4" i="1"/>
  <c r="O4" i="1" s="1"/>
  <c r="N5" i="1"/>
  <c r="O5" i="1" s="1"/>
  <c r="N6" i="1"/>
  <c r="O6" i="1" s="1"/>
  <c r="N7" i="1"/>
  <c r="O7" i="1" s="1"/>
  <c r="N8" i="1"/>
  <c r="O8" i="1" s="1"/>
  <c r="V3" i="1"/>
  <c r="V158" i="1" s="1"/>
  <c r="V4" i="1"/>
  <c r="V5" i="1"/>
  <c r="V6" i="1"/>
  <c r="V7" i="1"/>
  <c r="V8" i="1"/>
  <c r="W9" i="1"/>
  <c r="P24" i="1"/>
  <c r="O24" i="1"/>
  <c r="X12" i="1"/>
  <c r="X16" i="1"/>
  <c r="X20" i="1"/>
  <c r="X24" i="1"/>
  <c r="X28" i="1"/>
  <c r="T5" i="1"/>
  <c r="P12" i="1"/>
  <c r="P16" i="1"/>
  <c r="Y30" i="1"/>
  <c r="P10" i="1"/>
  <c r="P18" i="1"/>
  <c r="P11" i="1"/>
  <c r="P15" i="1"/>
  <c r="P19" i="1"/>
  <c r="P23" i="1"/>
  <c r="P27" i="1"/>
  <c r="P14" i="1"/>
  <c r="P22" i="1"/>
  <c r="L6" i="1"/>
  <c r="T7" i="1"/>
  <c r="X13" i="1"/>
  <c r="X17" i="1"/>
  <c r="X21" i="1"/>
  <c r="X25" i="1"/>
  <c r="X29" i="1"/>
  <c r="T3" i="1"/>
  <c r="T158" i="1" s="1"/>
  <c r="T8" i="1"/>
  <c r="T4" i="1"/>
  <c r="X9" i="1"/>
  <c r="X14" i="1"/>
  <c r="X30" i="1"/>
  <c r="X10" i="1"/>
  <c r="X18" i="1"/>
  <c r="X22" i="1"/>
  <c r="X26" i="1"/>
  <c r="X11" i="1"/>
  <c r="X15" i="1"/>
  <c r="X19" i="1"/>
  <c r="X23" i="1"/>
  <c r="X27" i="1"/>
  <c r="L3" i="1"/>
  <c r="L4" i="1"/>
  <c r="L5" i="1"/>
  <c r="L7" i="1"/>
  <c r="P20" i="1"/>
  <c r="Y27" i="1"/>
  <c r="P13" i="1"/>
  <c r="P17" i="1"/>
  <c r="P21" i="1"/>
  <c r="P25" i="1"/>
  <c r="P9" i="1"/>
  <c r="C113" i="22"/>
  <c r="C141" i="22" s="1"/>
  <c r="G113" i="22"/>
  <c r="G141" i="22" s="1"/>
  <c r="E92" i="22"/>
  <c r="E120" i="22" s="1"/>
  <c r="E100" i="22"/>
  <c r="E128" i="22" s="1"/>
  <c r="H107" i="22"/>
  <c r="H135" i="22" s="1"/>
  <c r="G53" i="22"/>
  <c r="G80" i="22" s="1"/>
  <c r="G109" i="22" s="1"/>
  <c r="G137" i="22" s="1"/>
  <c r="I53" i="22"/>
  <c r="I80" i="22" s="1"/>
  <c r="I109" i="22" s="1"/>
  <c r="I137" i="22" s="1"/>
  <c r="E96" i="22"/>
  <c r="E124" i="22" s="1"/>
  <c r="I100" i="22"/>
  <c r="I128" i="22" s="1"/>
  <c r="F104" i="22"/>
  <c r="F132" i="22" s="1"/>
  <c r="C53" i="22"/>
  <c r="C80" i="22" s="1"/>
  <c r="C109" i="22" s="1"/>
  <c r="C137" i="22" s="1"/>
  <c r="E108" i="22"/>
  <c r="E136" i="22" s="1"/>
  <c r="B53" i="22"/>
  <c r="F53" i="22"/>
  <c r="F80" i="22" s="1"/>
  <c r="F109" i="22" s="1"/>
  <c r="F137" i="22" s="1"/>
  <c r="D111" i="22"/>
  <c r="D139" i="22" s="1"/>
  <c r="H111" i="22"/>
  <c r="H139" i="22" s="1"/>
  <c r="C112" i="22"/>
  <c r="C140" i="22" s="1"/>
  <c r="G112" i="22"/>
  <c r="G140" i="22" s="1"/>
  <c r="E114" i="22"/>
  <c r="E142" i="22" s="1"/>
  <c r="C96" i="22"/>
  <c r="C124" i="22" s="1"/>
  <c r="H104" i="22"/>
  <c r="H132" i="22" s="1"/>
  <c r="E90" i="22"/>
  <c r="E118" i="22" s="1"/>
  <c r="G92" i="22"/>
  <c r="G120" i="22" s="1"/>
  <c r="G96" i="22"/>
  <c r="G124" i="22" s="1"/>
  <c r="D104" i="22"/>
  <c r="D132" i="22" s="1"/>
  <c r="D112" i="22"/>
  <c r="D140" i="22" s="1"/>
  <c r="E94" i="22"/>
  <c r="E122" i="22" s="1"/>
  <c r="E98" i="22"/>
  <c r="E126" i="22" s="1"/>
  <c r="G100" i="22"/>
  <c r="G128" i="22" s="1"/>
  <c r="F102" i="22"/>
  <c r="F130" i="22" s="1"/>
  <c r="F95" i="22"/>
  <c r="F123" i="22" s="1"/>
  <c r="H97" i="22"/>
  <c r="H125" i="22" s="1"/>
  <c r="G101" i="22"/>
  <c r="G129" i="22" s="1"/>
  <c r="C103" i="22"/>
  <c r="C131" i="22" s="1"/>
  <c r="D105" i="22"/>
  <c r="D133" i="22" s="1"/>
  <c r="E106" i="22"/>
  <c r="E134" i="22" s="1"/>
  <c r="C108" i="22"/>
  <c r="C136" i="22" s="1"/>
  <c r="D53" i="22"/>
  <c r="D80" i="22" s="1"/>
  <c r="D109" i="22" s="1"/>
  <c r="D137" i="22" s="1"/>
  <c r="H80" i="22"/>
  <c r="H109" i="22" s="1"/>
  <c r="H137" i="22" s="1"/>
  <c r="H90" i="22"/>
  <c r="H118" i="22" s="1"/>
  <c r="H98" i="22"/>
  <c r="H126" i="22" s="1"/>
  <c r="G104" i="22"/>
  <c r="G132" i="22" s="1"/>
  <c r="E107" i="22"/>
  <c r="E135" i="22" s="1"/>
  <c r="F112" i="22"/>
  <c r="F140" i="22" s="1"/>
  <c r="D114" i="22"/>
  <c r="D142" i="22" s="1"/>
  <c r="H114" i="22"/>
  <c r="H142" i="22" s="1"/>
  <c r="G90" i="22"/>
  <c r="G118" i="22" s="1"/>
  <c r="D97" i="22"/>
  <c r="D125" i="22" s="1"/>
  <c r="N83" i="22"/>
  <c r="P83" i="22" s="1"/>
  <c r="C92" i="22"/>
  <c r="C120" i="22" s="1"/>
  <c r="H99" i="22"/>
  <c r="H127" i="22" s="1"/>
  <c r="F105" i="22"/>
  <c r="F133" i="22" s="1"/>
  <c r="E111" i="22"/>
  <c r="E139" i="22" s="1"/>
  <c r="F114" i="22"/>
  <c r="F142" i="22" s="1"/>
  <c r="C94" i="22"/>
  <c r="C122" i="22" s="1"/>
  <c r="G98" i="22"/>
  <c r="G126" i="22" s="1"/>
  <c r="G108" i="22"/>
  <c r="G136" i="22" s="1"/>
  <c r="D95" i="22"/>
  <c r="D123" i="22" s="1"/>
  <c r="G97" i="22"/>
  <c r="G125" i="22" s="1"/>
  <c r="F101" i="22"/>
  <c r="F129" i="22" s="1"/>
  <c r="F110" i="22"/>
  <c r="F138" i="22" s="1"/>
  <c r="I111" i="22"/>
  <c r="I139" i="22" s="1"/>
  <c r="D91" i="22"/>
  <c r="D119" i="22" s="1"/>
  <c r="C98" i="22"/>
  <c r="C126" i="22" s="1"/>
  <c r="H102" i="22"/>
  <c r="H130" i="22" s="1"/>
  <c r="D107" i="22"/>
  <c r="D135" i="22" s="1"/>
  <c r="E91" i="22"/>
  <c r="E119" i="22" s="1"/>
  <c r="C93" i="22"/>
  <c r="C121" i="22" s="1"/>
  <c r="G93" i="22"/>
  <c r="G121" i="22" s="1"/>
  <c r="E95" i="22"/>
  <c r="E123" i="22" s="1"/>
  <c r="C97" i="22"/>
  <c r="C125" i="22" s="1"/>
  <c r="E99" i="22"/>
  <c r="E127" i="22" s="1"/>
  <c r="J101" i="22"/>
  <c r="J129" i="22" s="1"/>
  <c r="C100" i="22"/>
  <c r="C128" i="22" s="1"/>
  <c r="E101" i="22"/>
  <c r="E129" i="22" s="1"/>
  <c r="C90" i="22"/>
  <c r="C118" i="22" s="1"/>
  <c r="H93" i="22"/>
  <c r="H121" i="22" s="1"/>
  <c r="G94" i="22"/>
  <c r="G122" i="22" s="1"/>
  <c r="D102" i="22"/>
  <c r="D130" i="22" s="1"/>
  <c r="F100" i="22"/>
  <c r="F128" i="22" s="1"/>
  <c r="C104" i="22"/>
  <c r="C132" i="22" s="1"/>
  <c r="C111" i="22"/>
  <c r="C139" i="22" s="1"/>
  <c r="G111" i="22"/>
  <c r="G139" i="22" s="1"/>
  <c r="E113" i="22"/>
  <c r="E141" i="22" s="1"/>
  <c r="H91" i="22"/>
  <c r="H119" i="22" s="1"/>
  <c r="H95" i="22"/>
  <c r="H123" i="22" s="1"/>
  <c r="F97" i="22"/>
  <c r="F125" i="22" s="1"/>
  <c r="I101" i="22"/>
  <c r="I129" i="22" s="1"/>
  <c r="E103" i="22"/>
  <c r="E131" i="22" s="1"/>
  <c r="C106" i="22"/>
  <c r="C134" i="22" s="1"/>
  <c r="G106" i="22"/>
  <c r="G134" i="22" s="1"/>
  <c r="F107" i="22"/>
  <c r="F135" i="22" s="1"/>
  <c r="F90" i="22"/>
  <c r="F118" i="22" s="1"/>
  <c r="G91" i="22"/>
  <c r="G119" i="22" s="1"/>
  <c r="D92" i="22"/>
  <c r="D120" i="22" s="1"/>
  <c r="C95" i="22"/>
  <c r="C123" i="22" s="1"/>
  <c r="H96" i="22"/>
  <c r="H124" i="22" s="1"/>
  <c r="F98" i="22"/>
  <c r="F126" i="22" s="1"/>
  <c r="D100" i="22"/>
  <c r="D128" i="22" s="1"/>
  <c r="H100" i="22"/>
  <c r="H128" i="22" s="1"/>
  <c r="C102" i="22"/>
  <c r="C130" i="22" s="1"/>
  <c r="G102" i="22"/>
  <c r="G130" i="22" s="1"/>
  <c r="D103" i="22"/>
  <c r="D131" i="22" s="1"/>
  <c r="F93" i="22"/>
  <c r="F121" i="22" s="1"/>
  <c r="D99" i="22"/>
  <c r="D127" i="22" s="1"/>
  <c r="H112" i="22"/>
  <c r="H140" i="22" s="1"/>
  <c r="F92" i="22"/>
  <c r="F120" i="22" s="1"/>
  <c r="E93" i="22"/>
  <c r="E121" i="22" s="1"/>
  <c r="D94" i="22"/>
  <c r="D122" i="22" s="1"/>
  <c r="G99" i="22"/>
  <c r="G127" i="22" s="1"/>
  <c r="D101" i="22"/>
  <c r="D129" i="22" s="1"/>
  <c r="H103" i="22"/>
  <c r="H131" i="22" s="1"/>
  <c r="F106" i="22"/>
  <c r="F134" i="22" s="1"/>
  <c r="E53" i="22"/>
  <c r="E80" i="22" s="1"/>
  <c r="E109" i="22" s="1"/>
  <c r="E137" i="22" s="1"/>
  <c r="E110" i="22"/>
  <c r="E138" i="22" s="1"/>
  <c r="H92" i="22"/>
  <c r="H120" i="22" s="1"/>
  <c r="F94" i="22"/>
  <c r="F122" i="22" s="1"/>
  <c r="D96" i="22"/>
  <c r="D124" i="22" s="1"/>
  <c r="F91" i="22"/>
  <c r="F119" i="22" s="1"/>
  <c r="D93" i="22"/>
  <c r="D121" i="22" s="1"/>
  <c r="F99" i="22"/>
  <c r="F127" i="22" s="1"/>
  <c r="C101" i="22"/>
  <c r="C129" i="22" s="1"/>
  <c r="G103" i="22"/>
  <c r="G131" i="22" s="1"/>
  <c r="H105" i="22"/>
  <c r="H133" i="22" s="1"/>
  <c r="G110" i="22"/>
  <c r="G138" i="22" s="1"/>
  <c r="F111" i="22"/>
  <c r="F139" i="22" s="1"/>
  <c r="J111" i="22"/>
  <c r="J139" i="22" s="1"/>
  <c r="E112" i="22"/>
  <c r="E140" i="22" s="1"/>
  <c r="H113" i="22"/>
  <c r="H141" i="22" s="1"/>
  <c r="C114" i="22"/>
  <c r="C142" i="22" s="1"/>
  <c r="G114" i="22"/>
  <c r="G142" i="22" s="1"/>
  <c r="D90" i="22"/>
  <c r="D118" i="22" s="1"/>
  <c r="C91" i="22"/>
  <c r="C119" i="22" s="1"/>
  <c r="H94" i="22"/>
  <c r="H122" i="22" s="1"/>
  <c r="G95" i="22"/>
  <c r="G123" i="22" s="1"/>
  <c r="F96" i="22"/>
  <c r="F124" i="22" s="1"/>
  <c r="E97" i="22"/>
  <c r="E125" i="22" s="1"/>
  <c r="D98" i="22"/>
  <c r="D126" i="22" s="1"/>
  <c r="C99" i="22"/>
  <c r="C127" i="22" s="1"/>
  <c r="H101" i="22"/>
  <c r="H129" i="22" s="1"/>
  <c r="E102" i="22"/>
  <c r="E130" i="22" s="1"/>
  <c r="E105" i="22"/>
  <c r="E133" i="22" s="1"/>
  <c r="D108" i="22"/>
  <c r="D136" i="22" s="1"/>
  <c r="H108" i="22"/>
  <c r="H136" i="22" s="1"/>
  <c r="B112" i="22"/>
  <c r="B140" i="22" s="1"/>
  <c r="F103" i="22"/>
  <c r="F131" i="22" s="1"/>
  <c r="E104" i="22"/>
  <c r="E132" i="22" s="1"/>
  <c r="I104" i="22"/>
  <c r="I132" i="22" s="1"/>
  <c r="C105" i="22"/>
  <c r="C133" i="22" s="1"/>
  <c r="G105" i="22"/>
  <c r="G133" i="22" s="1"/>
  <c r="D106" i="22"/>
  <c r="D134" i="22" s="1"/>
  <c r="H106" i="22"/>
  <c r="H134" i="22" s="1"/>
  <c r="C107" i="22"/>
  <c r="C135" i="22" s="1"/>
  <c r="G107" i="22"/>
  <c r="G135" i="22" s="1"/>
  <c r="F108" i="22"/>
  <c r="F136" i="22" s="1"/>
  <c r="Q153" i="40" l="1"/>
  <c r="T153" i="40" s="1"/>
  <c r="N66" i="22"/>
  <c r="Q37" i="22" s="1"/>
  <c r="R37" i="22" s="1"/>
  <c r="B105" i="22"/>
  <c r="B133" i="22" s="1"/>
  <c r="N82" i="22"/>
  <c r="Q55" i="22" s="1"/>
  <c r="R55" i="22" s="1"/>
  <c r="R7" i="1"/>
  <c r="R5" i="1"/>
  <c r="J18" i="1"/>
  <c r="J17" i="1"/>
  <c r="R8" i="1"/>
  <c r="J23" i="1"/>
  <c r="L158" i="1"/>
  <c r="R3" i="1"/>
  <c r="J8" i="1"/>
  <c r="J19" i="1"/>
  <c r="J14" i="1"/>
  <c r="J25" i="1"/>
  <c r="J9" i="1"/>
  <c r="R6" i="1"/>
  <c r="R4" i="1"/>
  <c r="J21" i="1"/>
  <c r="J16" i="1"/>
  <c r="J11" i="1"/>
  <c r="J22" i="1"/>
  <c r="W8" i="1"/>
  <c r="Z8" i="1"/>
  <c r="W7" i="1"/>
  <c r="Z7" i="1"/>
  <c r="W6" i="1"/>
  <c r="Z6" i="1"/>
  <c r="W5" i="1"/>
  <c r="Z5" i="1"/>
  <c r="W4" i="1"/>
  <c r="Z4" i="1"/>
  <c r="X158" i="1"/>
  <c r="Z3" i="1"/>
  <c r="N64" i="22"/>
  <c r="X3" i="1"/>
  <c r="B98" i="22"/>
  <c r="B126" i="22" s="1"/>
  <c r="M126" i="22" s="1"/>
  <c r="G11" i="1" s="1"/>
  <c r="B106" i="22"/>
  <c r="B134" i="22" s="1"/>
  <c r="M134" i="22" s="1"/>
  <c r="G21" i="1" s="1"/>
  <c r="B90" i="22"/>
  <c r="B118" i="22" s="1"/>
  <c r="M118" i="22" s="1"/>
  <c r="G3" i="1" s="1"/>
  <c r="B104" i="22"/>
  <c r="B132" i="22" s="1"/>
  <c r="M132" i="22" s="1"/>
  <c r="G18" i="1" s="1"/>
  <c r="N81" i="22"/>
  <c r="H24" i="1" s="1"/>
  <c r="B100" i="22"/>
  <c r="B128" i="22" s="1"/>
  <c r="M128" i="22" s="1"/>
  <c r="G13" i="1" s="1"/>
  <c r="B107" i="22"/>
  <c r="B135" i="22" s="1"/>
  <c r="M135" i="22" s="1"/>
  <c r="G22" i="1" s="1"/>
  <c r="N65" i="22"/>
  <c r="N63" i="22"/>
  <c r="P63" i="22" s="1"/>
  <c r="B103" i="22"/>
  <c r="B131" i="22" s="1"/>
  <c r="M131" i="22" s="1"/>
  <c r="G17" i="1" s="1"/>
  <c r="N70" i="22"/>
  <c r="N62" i="22"/>
  <c r="N84" i="22"/>
  <c r="N113" i="22" s="1"/>
  <c r="O113" i="22" s="1"/>
  <c r="B108" i="22"/>
  <c r="B136" i="22" s="1"/>
  <c r="M136" i="22" s="1"/>
  <c r="G23" i="1" s="1"/>
  <c r="B114" i="22"/>
  <c r="B142" i="22" s="1"/>
  <c r="M142" i="22" s="1"/>
  <c r="G14" i="1" s="1"/>
  <c r="B97" i="22"/>
  <c r="B125" i="22" s="1"/>
  <c r="M125" i="22" s="1"/>
  <c r="G10" i="1" s="1"/>
  <c r="B101" i="22"/>
  <c r="B129" i="22" s="1"/>
  <c r="M129" i="22" s="1"/>
  <c r="G15" i="1" s="1"/>
  <c r="B96" i="22"/>
  <c r="B124" i="22" s="1"/>
  <c r="M124" i="22" s="1"/>
  <c r="G9" i="1" s="1"/>
  <c r="O83" i="22"/>
  <c r="Q61" i="22"/>
  <c r="T61" i="22" s="1"/>
  <c r="Q32" i="22"/>
  <c r="R32" i="22" s="1"/>
  <c r="B102" i="22"/>
  <c r="B130" i="22" s="1"/>
  <c r="M130" i="22" s="1"/>
  <c r="G16" i="1" s="1"/>
  <c r="N53" i="22"/>
  <c r="P53" i="22" s="1"/>
  <c r="H18" i="1"/>
  <c r="Q75" i="22"/>
  <c r="T75" i="22" s="1"/>
  <c r="H23" i="1"/>
  <c r="Q79" i="22"/>
  <c r="T79" i="22" s="1"/>
  <c r="H8" i="1"/>
  <c r="Q66" i="22"/>
  <c r="T66" i="22" s="1"/>
  <c r="H21" i="1"/>
  <c r="Q77" i="22"/>
  <c r="T77" i="22" s="1"/>
  <c r="H25" i="1"/>
  <c r="Q82" i="22"/>
  <c r="T82" i="22" s="1"/>
  <c r="H17" i="1"/>
  <c r="Q74" i="22"/>
  <c r="T74" i="22" s="1"/>
  <c r="H22" i="1"/>
  <c r="Q78" i="22"/>
  <c r="T78" i="22" s="1"/>
  <c r="H9" i="1"/>
  <c r="Q67" i="22"/>
  <c r="T67" i="22" s="1"/>
  <c r="H19" i="1"/>
  <c r="Q76" i="22"/>
  <c r="T76" i="22" s="1"/>
  <c r="H11" i="1"/>
  <c r="Q69" i="22"/>
  <c r="T69" i="22" s="1"/>
  <c r="H16" i="1"/>
  <c r="Q73" i="22"/>
  <c r="T73" i="22" s="1"/>
  <c r="H14" i="1"/>
  <c r="Q85" i="22"/>
  <c r="T85" i="22" s="1"/>
  <c r="B80" i="22"/>
  <c r="B109" i="22" s="1"/>
  <c r="B137" i="22" s="1"/>
  <c r="M137" i="22" s="1"/>
  <c r="G20" i="1" s="1"/>
  <c r="H3" i="1"/>
  <c r="P5" i="1"/>
  <c r="W3" i="1"/>
  <c r="W158" i="1" s="1"/>
  <c r="P8" i="1"/>
  <c r="O3" i="1"/>
  <c r="O158" i="1" s="1"/>
  <c r="N101" i="22"/>
  <c r="O101" i="22" s="1"/>
  <c r="X8" i="1"/>
  <c r="X6" i="1"/>
  <c r="X7" i="1"/>
  <c r="X5" i="1"/>
  <c r="X4" i="1"/>
  <c r="P3" i="1"/>
  <c r="P6" i="1"/>
  <c r="P4" i="1"/>
  <c r="P7" i="1"/>
  <c r="P72" i="22"/>
  <c r="N112" i="22"/>
  <c r="O112" i="22" s="1"/>
  <c r="N100" i="22"/>
  <c r="O100" i="22" s="1"/>
  <c r="N93" i="22"/>
  <c r="O93" i="22" s="1"/>
  <c r="O68" i="22"/>
  <c r="M127" i="22"/>
  <c r="G12" i="1" s="1"/>
  <c r="M140" i="22"/>
  <c r="G26" i="1" s="1"/>
  <c r="M141" i="22"/>
  <c r="G27" i="1" s="1"/>
  <c r="N97" i="22"/>
  <c r="O97" i="22" s="1"/>
  <c r="M121" i="22"/>
  <c r="G6" i="1" s="1"/>
  <c r="O71" i="22"/>
  <c r="P64" i="22"/>
  <c r="P68" i="22"/>
  <c r="P71" i="22"/>
  <c r="M122" i="22"/>
  <c r="G7" i="1" s="1"/>
  <c r="M119" i="22"/>
  <c r="G4" i="1" s="1"/>
  <c r="M133" i="22"/>
  <c r="G19" i="1" s="1"/>
  <c r="N96" i="22"/>
  <c r="O96" i="22" s="1"/>
  <c r="P67" i="22"/>
  <c r="O67" i="22"/>
  <c r="N90" i="22"/>
  <c r="O90" i="22" s="1"/>
  <c r="O61" i="22"/>
  <c r="P61" i="22"/>
  <c r="P66" i="22"/>
  <c r="N95" i="22"/>
  <c r="O95" i="22" s="1"/>
  <c r="O66" i="22"/>
  <c r="O82" i="22"/>
  <c r="P82" i="22"/>
  <c r="N111" i="22"/>
  <c r="O111" i="22" s="1"/>
  <c r="P75" i="22"/>
  <c r="N104" i="22"/>
  <c r="O104" i="22" s="1"/>
  <c r="O75" i="22"/>
  <c r="M120" i="22"/>
  <c r="G5" i="1" s="1"/>
  <c r="N98" i="22"/>
  <c r="O98" i="22" s="1"/>
  <c r="O69" i="22"/>
  <c r="P69" i="22"/>
  <c r="P78" i="22"/>
  <c r="N107" i="22"/>
  <c r="O107" i="22" s="1"/>
  <c r="O78" i="22"/>
  <c r="N103" i="22"/>
  <c r="O103" i="22" s="1"/>
  <c r="P74" i="22"/>
  <c r="O74" i="22"/>
  <c r="P81" i="22"/>
  <c r="N105" i="22"/>
  <c r="O105" i="22" s="1"/>
  <c r="P76" i="22"/>
  <c r="O76" i="22"/>
  <c r="O85" i="22"/>
  <c r="N114" i="22"/>
  <c r="O114" i="22" s="1"/>
  <c r="P85" i="22"/>
  <c r="M138" i="22"/>
  <c r="G24" i="1" s="1"/>
  <c r="M139" i="22"/>
  <c r="G25" i="1" s="1"/>
  <c r="M123" i="22"/>
  <c r="G8" i="1" s="1"/>
  <c r="O77" i="22"/>
  <c r="N106" i="22"/>
  <c r="O106" i="22" s="1"/>
  <c r="P77" i="22"/>
  <c r="O73" i="22"/>
  <c r="N102" i="22"/>
  <c r="O102" i="22" s="1"/>
  <c r="P73" i="22"/>
  <c r="P79" i="22"/>
  <c r="N108" i="22"/>
  <c r="O108" i="22" s="1"/>
  <c r="O79" i="22"/>
  <c r="O100" i="40" l="1"/>
  <c r="R100" i="40"/>
  <c r="U100" i="40" s="1"/>
  <c r="O12" i="40"/>
  <c r="R12" i="40"/>
  <c r="U12" i="40" s="1"/>
  <c r="O101" i="40"/>
  <c r="R101" i="40"/>
  <c r="U101" i="40" s="1"/>
  <c r="O27" i="40"/>
  <c r="R27" i="40"/>
  <c r="U27" i="40" s="1"/>
  <c r="O99" i="40"/>
  <c r="R99" i="40"/>
  <c r="U99" i="40" s="1"/>
  <c r="O95" i="40"/>
  <c r="R95" i="40"/>
  <c r="U95" i="40" s="1"/>
  <c r="O93" i="40"/>
  <c r="R93" i="40"/>
  <c r="U93" i="40" s="1"/>
  <c r="O11" i="40"/>
  <c r="R11" i="40"/>
  <c r="U11" i="40" s="1"/>
  <c r="O145" i="40"/>
  <c r="R145" i="40"/>
  <c r="U145" i="40" s="1"/>
  <c r="O104" i="40"/>
  <c r="R104" i="40"/>
  <c r="U104" i="40" s="1"/>
  <c r="O97" i="40"/>
  <c r="R97" i="40"/>
  <c r="U97" i="40" s="1"/>
  <c r="R158" i="1"/>
  <c r="O65" i="22"/>
  <c r="O84" i="22"/>
  <c r="O64" i="22"/>
  <c r="P158" i="1"/>
  <c r="Q39" i="22"/>
  <c r="R39" i="22" s="1"/>
  <c r="J10" i="1"/>
  <c r="Q42" i="22"/>
  <c r="R42" i="22" s="1"/>
  <c r="J13" i="1"/>
  <c r="Q33" i="22"/>
  <c r="R33" i="22" s="1"/>
  <c r="J4" i="1"/>
  <c r="Q36" i="22"/>
  <c r="R36" i="22" s="1"/>
  <c r="J7" i="1"/>
  <c r="Q35" i="22"/>
  <c r="R35" i="22" s="1"/>
  <c r="J6" i="1"/>
  <c r="Q43" i="22"/>
  <c r="R43" i="22" s="1"/>
  <c r="J15" i="1"/>
  <c r="Q41" i="22"/>
  <c r="R41" i="22" s="1"/>
  <c r="J12" i="1"/>
  <c r="Q57" i="22"/>
  <c r="R57" i="22" s="1"/>
  <c r="J27" i="1"/>
  <c r="Q56" i="22"/>
  <c r="R56" i="22" s="1"/>
  <c r="J26" i="1"/>
  <c r="Q54" i="22"/>
  <c r="R54" i="22" s="1"/>
  <c r="J24" i="1"/>
  <c r="Z158" i="1"/>
  <c r="Y158" i="1"/>
  <c r="G158" i="1"/>
  <c r="P65" i="22"/>
  <c r="N110" i="22"/>
  <c r="O110" i="22" s="1"/>
  <c r="O62" i="22"/>
  <c r="N94" i="22"/>
  <c r="O94" i="22" s="1"/>
  <c r="O81" i="22"/>
  <c r="P84" i="22"/>
  <c r="N92" i="22"/>
  <c r="O92" i="22" s="1"/>
  <c r="O63" i="22"/>
  <c r="Q81" i="22"/>
  <c r="T81" i="22" s="1"/>
  <c r="N99" i="22"/>
  <c r="O99" i="22" s="1"/>
  <c r="O70" i="22"/>
  <c r="P70" i="22"/>
  <c r="Q70" i="22"/>
  <c r="T70" i="22" s="1"/>
  <c r="N91" i="22"/>
  <c r="O91" i="22" s="1"/>
  <c r="Q62" i="22"/>
  <c r="T62" i="22" s="1"/>
  <c r="H7" i="1"/>
  <c r="P62" i="22"/>
  <c r="H4" i="1"/>
  <c r="H12" i="1"/>
  <c r="Q65" i="22"/>
  <c r="T65" i="22" s="1"/>
  <c r="N80" i="22"/>
  <c r="P80" i="22" s="1"/>
  <c r="H27" i="1"/>
  <c r="Q84" i="22"/>
  <c r="T84" i="22" s="1"/>
  <c r="H15" i="1"/>
  <c r="Q72" i="22"/>
  <c r="T72" i="22" s="1"/>
  <c r="H26" i="1"/>
  <c r="Q83" i="22"/>
  <c r="T83" i="22" s="1"/>
  <c r="H6" i="1"/>
  <c r="Q64" i="22"/>
  <c r="T64" i="22" s="1"/>
  <c r="H10" i="1"/>
  <c r="Q68" i="22"/>
  <c r="T68" i="22" s="1"/>
  <c r="H13" i="1"/>
  <c r="Q71" i="22"/>
  <c r="T71" i="22" s="1"/>
  <c r="M143" i="22"/>
  <c r="I27" i="1"/>
  <c r="O148" i="40" l="1"/>
  <c r="R148" i="40"/>
  <c r="U148" i="40" s="1"/>
  <c r="O8" i="40"/>
  <c r="R8" i="40"/>
  <c r="O15" i="40"/>
  <c r="R15" i="40"/>
  <c r="U15" i="40" s="1"/>
  <c r="O102" i="40"/>
  <c r="R102" i="40"/>
  <c r="U102" i="40" s="1"/>
  <c r="O9" i="40"/>
  <c r="R9" i="40"/>
  <c r="U9" i="40" s="1"/>
  <c r="O10" i="40"/>
  <c r="R10" i="40"/>
  <c r="U10" i="40" s="1"/>
  <c r="O105" i="40"/>
  <c r="R105" i="40"/>
  <c r="U105" i="40" s="1"/>
  <c r="Q34" i="22"/>
  <c r="R34" i="22" s="1"/>
  <c r="J5" i="1"/>
  <c r="H5" i="1"/>
  <c r="Q63" i="22"/>
  <c r="T63" i="22" s="1"/>
  <c r="N109" i="22"/>
  <c r="O109" i="22" s="1"/>
  <c r="O80" i="22"/>
  <c r="N86" i="22"/>
  <c r="Q30" i="1"/>
  <c r="N7" i="40" s="1"/>
  <c r="Q29" i="1"/>
  <c r="N13" i="40" s="1"/>
  <c r="Q28" i="1"/>
  <c r="N14" i="40" s="1"/>
  <c r="Q26" i="1"/>
  <c r="N148" i="40" s="1"/>
  <c r="Q25" i="1"/>
  <c r="N145" i="40" s="1"/>
  <c r="Q24" i="1"/>
  <c r="N102" i="40" s="1"/>
  <c r="Q23" i="1"/>
  <c r="N101" i="40" s="1"/>
  <c r="Q22" i="1"/>
  <c r="N100" i="40" s="1"/>
  <c r="Q21" i="1"/>
  <c r="N99" i="40" s="1"/>
  <c r="Q20" i="1"/>
  <c r="N98" i="40" s="1"/>
  <c r="Q19" i="1"/>
  <c r="N97" i="40" s="1"/>
  <c r="Q18" i="1"/>
  <c r="N93" i="40" s="1"/>
  <c r="Q17" i="1"/>
  <c r="N95" i="40" s="1"/>
  <c r="Q16" i="1"/>
  <c r="N27" i="40" s="1"/>
  <c r="Q15" i="1"/>
  <c r="N105" i="40" s="1"/>
  <c r="Q14" i="1"/>
  <c r="N104" i="40" s="1"/>
  <c r="Q13" i="1"/>
  <c r="N15" i="40" s="1"/>
  <c r="Q12" i="1"/>
  <c r="N9" i="40" s="1"/>
  <c r="Q11" i="1"/>
  <c r="N12" i="40" s="1"/>
  <c r="Q10" i="1"/>
  <c r="N10" i="40" s="1"/>
  <c r="Q9" i="1"/>
  <c r="N11" i="40" s="1"/>
  <c r="Q8" i="1"/>
  <c r="Q7" i="1"/>
  <c r="Q6" i="1"/>
  <c r="Q5" i="1"/>
  <c r="Q4" i="1"/>
  <c r="Q3" i="1"/>
  <c r="U8" i="40" l="1"/>
  <c r="N153" i="40"/>
  <c r="F158" i="1"/>
  <c r="J158" i="1" s="1"/>
  <c r="J20" i="1"/>
  <c r="O86" i="22"/>
  <c r="P86" i="22"/>
  <c r="H20" i="1"/>
  <c r="Q80" i="22"/>
  <c r="T80" i="22" s="1"/>
  <c r="Q53" i="22"/>
  <c r="R53" i="22" s="1"/>
  <c r="O98" i="40" l="1"/>
  <c r="O153" i="40" s="1"/>
  <c r="R98" i="40"/>
  <c r="Y28" i="1"/>
  <c r="U98" i="40" l="1"/>
  <c r="R153" i="40"/>
  <c r="U153" i="40" s="1"/>
  <c r="Y8" i="1"/>
  <c r="Y29" i="1"/>
  <c r="Y7" i="1"/>
  <c r="Y6" i="1"/>
  <c r="Y5" i="1"/>
  <c r="Y4" i="1"/>
  <c r="Y3" i="1"/>
  <c r="I29" i="1"/>
  <c r="I28" i="1"/>
  <c r="Y26" i="1" l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I20" i="1" l="1"/>
  <c r="I5" i="1"/>
  <c r="I13" i="1"/>
  <c r="I21" i="1"/>
  <c r="I22" i="1"/>
  <c r="I24" i="1"/>
  <c r="I9" i="1"/>
  <c r="I23" i="1"/>
  <c r="I11" i="1"/>
  <c r="I7" i="1"/>
  <c r="I3" i="1"/>
  <c r="I15" i="1"/>
  <c r="I19" i="1"/>
  <c r="I4" i="1"/>
  <c r="I8" i="1"/>
  <c r="I12" i="1"/>
  <c r="I16" i="1"/>
  <c r="I17" i="1"/>
  <c r="I25" i="1"/>
  <c r="I6" i="1"/>
  <c r="I10" i="1"/>
  <c r="I14" i="1"/>
  <c r="I18" i="1"/>
  <c r="I26" i="1"/>
  <c r="H158" i="1" l="1"/>
  <c r="Q158" i="1"/>
  <c r="I15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fonseca</author>
  </authors>
  <commentList>
    <comment ref="O14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 solicito cerrar</t>
        </r>
      </text>
    </comment>
  </commentList>
</comments>
</file>

<file path=xl/sharedStrings.xml><?xml version="1.0" encoding="utf-8"?>
<sst xmlns="http://schemas.openxmlformats.org/spreadsheetml/2006/main" count="38370" uniqueCount="11431">
  <si>
    <t>MUESTRA POR SEMESTRE PREGRADO</t>
  </si>
  <si>
    <t>NOMBRE DEL PROGRAMA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</si>
  <si>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</si>
  <si>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</si>
  <si>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</si>
  <si>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</si>
  <si>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</si>
  <si>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</si>
  <si>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</si>
  <si>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>SEMESTRE 9</t>
  </si>
  <si>
    <t>SEMESTRE 10</t>
  </si>
  <si>
    <t>SEMESTRE 11</t>
  </si>
  <si>
    <t>SEMESTRE 12</t>
  </si>
  <si>
    <t>TOTAL POBLACIÓN</t>
  </si>
  <si>
    <t>MUESTRA</t>
  </si>
  <si>
    <t>ALCANCE</t>
  </si>
  <si>
    <t>ME (95%)</t>
  </si>
  <si>
    <t>Administración &amp; Servicio</t>
  </si>
  <si>
    <t>Administración de Empresas</t>
  </si>
  <si>
    <t>Administración de Mercadeo y Logística Internacionales</t>
  </si>
  <si>
    <t>Administración de Negocios Internacionales</t>
  </si>
  <si>
    <t>Economía y Finanzas Internacionales</t>
  </si>
  <si>
    <t>Gastronomía</t>
  </si>
  <si>
    <t>Comunicación Corporativa</t>
  </si>
  <si>
    <t>Comunicación Audiovisual y Multimedios</t>
  </si>
  <si>
    <t>Comunicación Social y Periodismo</t>
  </si>
  <si>
    <t>Ciencias Políticas</t>
  </si>
  <si>
    <t>Derecho</t>
  </si>
  <si>
    <t>Licenciatura en Educación Infantil</t>
  </si>
  <si>
    <t>Enfermería</t>
  </si>
  <si>
    <t>Fisioterapia</t>
  </si>
  <si>
    <t>Filosofía</t>
  </si>
  <si>
    <t>Ingeniería Civil</t>
  </si>
  <si>
    <t>Ingeniería Industrial</t>
  </si>
  <si>
    <t>Ingeniería Informática</t>
  </si>
  <si>
    <t>Ingeniería Mecánica</t>
  </si>
  <si>
    <t>Ingeniería de Bioproducción / Producción Agroindustrial</t>
  </si>
  <si>
    <t>Ingeniería Química</t>
  </si>
  <si>
    <t>Medicina</t>
  </si>
  <si>
    <t>Psicología</t>
  </si>
  <si>
    <t>Ciencia de Datos</t>
  </si>
  <si>
    <t>Licenciatura en Ciencias Naturales</t>
  </si>
  <si>
    <t>Ingeniería de Producción Agroindustrial</t>
  </si>
  <si>
    <t>Ingeniería de Bioproducción</t>
  </si>
  <si>
    <t>LOGRADO</t>
  </si>
  <si>
    <t>TOTAL EJECUCIÓN</t>
  </si>
  <si>
    <t>ALCANCE EJECUCIÓN</t>
  </si>
  <si>
    <t>ME Lograddo (95%)</t>
  </si>
  <si>
    <t>Se solicita cerrar el programa</t>
  </si>
  <si>
    <t>Verificar si los semestres en los que no se hcieron encuestas tienen estudiantes, si no hay estudiantes se puede cerrar.</t>
  </si>
  <si>
    <t>El ME es bajo pero no hay encuestas en todos los semestres</t>
  </si>
  <si>
    <t>Hay encuestas en todos los semestres pero el margen de error es superior al 6%</t>
  </si>
  <si>
    <t>No hay encuestas en todos los semestres y el ME aun es alto</t>
  </si>
  <si>
    <t>total</t>
  </si>
  <si>
    <t>FALTANTES</t>
  </si>
  <si>
    <t>TOTAL</t>
  </si>
  <si>
    <t>F3</t>
  </si>
  <si>
    <t>Semestre</t>
  </si>
  <si>
    <t>Nombre de Programa</t>
  </si>
  <si>
    <t>Cuenta de Nombre de Programa</t>
  </si>
  <si>
    <t>Etiquetas de columna</t>
  </si>
  <si>
    <t>Etiquetas de fila</t>
  </si>
  <si>
    <t>Total general</t>
  </si>
  <si>
    <t>ESTUDIANTES</t>
  </si>
  <si>
    <t>PROFESOR PLANTA</t>
  </si>
  <si>
    <t>PROFESOR CATEDRA</t>
  </si>
  <si>
    <t>COD</t>
  </si>
  <si>
    <t>PROGRAMA</t>
  </si>
  <si>
    <t>UNIDAD</t>
  </si>
  <si>
    <t>Universo</t>
  </si>
  <si>
    <t>Muestra (ME 5 % NC 95%)</t>
  </si>
  <si>
    <t>Realizado</t>
  </si>
  <si>
    <t>Faltantes</t>
  </si>
  <si>
    <t>Alcance Vs Población</t>
  </si>
  <si>
    <t>ME 
(NC 95%)</t>
  </si>
  <si>
    <t>ME 
(NC 90%)</t>
  </si>
  <si>
    <t>Tipo de medición</t>
  </si>
  <si>
    <t>ESCUELA INTERNACIONAL DE CIENCIAS ECONÓMICAS Y ADMINISTRATIVAS</t>
  </si>
  <si>
    <t>Encuesta</t>
  </si>
  <si>
    <t>Encuestas (ME &lt;= 7,0% a NC 90%)</t>
  </si>
  <si>
    <t>Encuestas (ME &gt; 7,0% a NC 90% y Alcance &gt;= 80%)</t>
  </si>
  <si>
    <t>Sondeo (ME &gt; 7,0% a NC 90% y Alcance &lt; 80%)</t>
  </si>
  <si>
    <t>Sin información / Sin respuestas</t>
  </si>
  <si>
    <t>FACULTAD DE COMUNICACIÓN</t>
  </si>
  <si>
    <t>FACULTAD DE DERECHO Y CIENCIAS POLÍTICAS</t>
  </si>
  <si>
    <t>FACULTAD DE EDUCACIÓN</t>
  </si>
  <si>
    <t>Sondeo</t>
  </si>
  <si>
    <t>FACULTAD DE ENFERMERÍA Y REHABILITACIÓN</t>
  </si>
  <si>
    <t>FACULTAD DE FILOSOFÍA Y CIENCIAS HUMANAS</t>
  </si>
  <si>
    <t>FACULTAD DE INGENIERÍA</t>
  </si>
  <si>
    <t>FACULTAD DE MEDICINA</t>
  </si>
  <si>
    <t>FACULTAD DE PSICOLOGÍA</t>
  </si>
  <si>
    <t>Centro Internacional de Lenguas y Culturas Extranjeras</t>
  </si>
  <si>
    <t>CENTRO INTERNACIONAL DE LENGUAS Y CULTURAS EXTRANJERAS</t>
  </si>
  <si>
    <t>Core Curriculum Persona y Cultura</t>
  </si>
  <si>
    <t>CORE CURRICULUM PERSONA Y CULTURA</t>
  </si>
  <si>
    <t>Centro de Tecnología para la Academia</t>
  </si>
  <si>
    <t>CENTRO DE TECNOLOGÍA PARA LA ACADEMIA</t>
  </si>
  <si>
    <t>DOCTORADO EN ADMINISTRACIÓN DE ORGANIZACIONES</t>
  </si>
  <si>
    <t>DOCTORADO EN BIOCIENCIAS</t>
  </si>
  <si>
    <t xml:space="preserve">Sondeo </t>
  </si>
  <si>
    <t>DOCTORADO EN COMUNICACIÓN</t>
  </si>
  <si>
    <t>DOCTORADO EN DERECHO</t>
  </si>
  <si>
    <t>DOCTORADO EN EDUCACIÓN</t>
  </si>
  <si>
    <t>DOCTORADO EN ENFERMERÍA</t>
  </si>
  <si>
    <t>DOCTORADO EN INGENIERÍA</t>
  </si>
  <si>
    <t>DOCTORADO EN INNOVACIÓN EDUCATIVA CON USO DE TIC</t>
  </si>
  <si>
    <t>DOCTORADO EN PSICOLOGÍA</t>
  </si>
  <si>
    <t>DOCTORADO EN LOGÍSTICA Y GESTIÓN DE CADENA DE SUMINISTRO</t>
  </si>
  <si>
    <t>ESPECIALIZACIÓN EN ANESTESIOLOGÍA Y MEDICINA PERIOPERATORIA</t>
  </si>
  <si>
    <t>ESPECIALIZACIÓN EN CIRUGÍA GENERAL</t>
  </si>
  <si>
    <t>ESPECIALIZACIÓN EN CUIDADO INTENSIVO PEDIÁTRICO</t>
  </si>
  <si>
    <t>ESPECIALIZACIÓN EN BIOÉTICA - CHÍA</t>
  </si>
  <si>
    <t>ESPECIALIZACIÓN EN ELECTROFISIOLOGÍA CARDIOVASCULAR</t>
  </si>
  <si>
    <t>ESPECIALIZACIÓN EN FARMACOLOGÍA CLÍNICA</t>
  </si>
  <si>
    <t>ESPECIALIZACIÓN EN GINECOLOGÍA Y OBSTETRICIA</t>
  </si>
  <si>
    <t>ESPECIALIZACIÓN EN GASTROENTEROLOGÍA</t>
  </si>
  <si>
    <t>ESPECIALIZACIÓN EN MEDICINA CRÍTICA</t>
  </si>
  <si>
    <t>ESPECIALIZACIÓN EN MEDICINA DEL DOLOR Y CUIDADOS PALIATIVOS</t>
  </si>
  <si>
    <t>ESPECIALIZACIÓN EN MEDICINA FAMILIAR Y COMUNITARIA</t>
  </si>
  <si>
    <t>ESPECIALIZACIÓN EN MEDICINA FÍSICA Y REHABILITACIÓN</t>
  </si>
  <si>
    <t>ESPECIALIZACIÓN EN MEDICINA INTERNA</t>
  </si>
  <si>
    <t>ESPECIALIZACIÓN EN NEUMOLOGÍA</t>
  </si>
  <si>
    <t>ESPECIALIZACIÓN EN NEUMOLOGÍA PEDIÁTRICA</t>
  </si>
  <si>
    <t>ESPECIALIZACIÓN EN NEUROLOGÍA</t>
  </si>
  <si>
    <t>ESPECIALIZACIÓN EN OFTALMOLOGÍA</t>
  </si>
  <si>
    <t>ESPECIALIZACIÓN EN PEDIATRÍA</t>
  </si>
  <si>
    <t>ESPECIALIZACIÓN EN RADIOLOGÍA E IMÁGENES DIAGNÓSTICAS</t>
  </si>
  <si>
    <t>ESPECIALIZACIÓN EN REUMATOLOGÍA</t>
  </si>
  <si>
    <t>ESPECIALIZACIÓN EN CONTRATACIÓN ESTATAL</t>
  </si>
  <si>
    <t>ESPECIALIZACIÓN EN DERECHO COMERCIAL</t>
  </si>
  <si>
    <t>ESPECIALIZACIÓN EN DERECHO TRIBUTARIO</t>
  </si>
  <si>
    <t>ESPECIALIZACIÓN EN DERECHO Y EMPRESA</t>
  </si>
  <si>
    <t>ESPECIALIZACIÓN EN RESPONSABILIDAD CIVIL Y DEL ESTADO</t>
  </si>
  <si>
    <t>ESPECIALIZACIÓN EN SEGUROS Y SEGURIDAD SOCIAL</t>
  </si>
  <si>
    <t>ESPECIALIZACIÓN EN GERENCIA DE LA COMUNICACIÓN ORGANIZACIONAL</t>
  </si>
  <si>
    <t>ESPECIALIZACIÓN EN GERENCIA EDUCATIVA</t>
  </si>
  <si>
    <t>ESPECIALIZACIÓN EN EMPRENDIMIENTO Y NEGOCIOS DIGITALES- CHÍA</t>
  </si>
  <si>
    <t>INSTITUTO FORUM</t>
  </si>
  <si>
    <t>ESPECIALIZACIÓN EN FINANZAS CORPORATIVAS CHÍA</t>
  </si>
  <si>
    <t>ESPECIALIZACIÓN EN GERENCIA COMERCIAL CHÍA</t>
  </si>
  <si>
    <t>ESPECIALIZACIÓN EN GERENCIA DE PRODUCCIÓN Y OPERACIONES CHÍA</t>
  </si>
  <si>
    <t>ESPECIALIZACIÓN EN GERENCIA DE PROYECTOS CON ENFOQUE EN HABILIDADES DIRECTIVAS CHÍA</t>
  </si>
  <si>
    <t>ESPECIALIZACIÓN EN GERENCIA DE RIESGOS - CHÍA</t>
  </si>
  <si>
    <t>ESPECIALIZACIÓN EN GERENCIA DEL SERVICIO CHÍA</t>
  </si>
  <si>
    <t>ESPECIALIZACIÓN EN GERENCIA ESTRATÉGICA CHÍA</t>
  </si>
  <si>
    <t>ESPECIALIZACIÓN EN GERENCIA ESTRATÉGICA DE MARCA CHÍA</t>
  </si>
  <si>
    <t>ESPECIALIZACIÓN EN GERENCIA FINANCIERA INTERNACIONAL CHÍA</t>
  </si>
  <si>
    <t>ESPECIALIZACIÓN EN GERENCIA LOGÍSTICA CHÍA</t>
  </si>
  <si>
    <t>ESPECIALIZACIÓN EN GESTIÓN PARA EL DESARROLLO HUMANO EN LA ORGANIZACIÓN CHÍA</t>
  </si>
  <si>
    <t>ESPECIALIZACIÓN EN LIDERAZGO Y COACHING- CHÍA</t>
  </si>
  <si>
    <t>ESPECIALIZACIÓN EN PSICOLOGÍA CLÍNICA DE LA NIÑEZ Y LA ADOLESCENCIA</t>
  </si>
  <si>
    <t>ESPECIALIZACIÓN EN PSICOLOGÍA EDUCATIVA</t>
  </si>
  <si>
    <t>ESPECIALIZACIÓN EN ENFERMERÍA EN CUIDADO CRÍTICO</t>
  </si>
  <si>
    <t>ESPECIALIZACIÓN EN TERAPIA MANUAL ORTOPÉDICA</t>
  </si>
  <si>
    <t>ESPECIALIZACIÓN EN GERENCIA DE PROYECTOS CON ENFOQUE EN HABILIDADES DIRECTIVAS - BOGOTÁ</t>
  </si>
  <si>
    <t>ESPECIALIZACIÓN EN GERENCIA COMERCIAL - BOGOTÁ</t>
  </si>
  <si>
    <t>ESPECIALIZACIÓN EN GERENCIA LOGÍSTICA - BOGOTÁ</t>
  </si>
  <si>
    <t>ESPECIALIZACIÓN EN GERENCIA FINANCIERA INTERNACIONAL -BOGOTÁ</t>
  </si>
  <si>
    <t>ESPECIALIZACIÓN EN GERENCIA ESTRATÉGICA - BOGOTÁ</t>
  </si>
  <si>
    <t>ESPECIALIZACIÓN EN GESTIÓN PARA EL DESARROLLO HUMANO EN LA ORGANIZACIÓN - BOGOTÁ</t>
  </si>
  <si>
    <t>ESPECIALIZACIÓN EN PEDAGOGÍA E INVESTIGACIÓN EN EL AULA - VIRTUAL</t>
  </si>
  <si>
    <t>ESPECIALIZACIÓN EN GESTIÓN PARA EL DESARROLLO HUMANO EN LA ORGANIZACIÓN - VIRTUAL</t>
  </si>
  <si>
    <t>ESPECIALIZACIÓN EN GERENCIA ESTRATÉGICA - VIRTUAL</t>
  </si>
  <si>
    <t>ESPECIALIZACIÓN EN GERENCIA COMERCIAL VIRTUAL</t>
  </si>
  <si>
    <t>ESPECIALIZACIÓN EN GERENCIA COMERCIAL IBAGUÉ</t>
  </si>
  <si>
    <t>ESPECIALIZACIÓN EN GERENCIA COMERCIAL MEDELLÍN</t>
  </si>
  <si>
    <t>ESPECIALIZACIÓN EN GERENCIA COMERCIAL BARRANQUILLA</t>
  </si>
  <si>
    <t>ESPECIALIZACIÓN EN GERENCIA COMERCIAL BUCARAMANGA</t>
  </si>
  <si>
    <t>ESPECIALIZACIÓN EN GERENCIA ESTRATÉGICA BARRANQUILLA</t>
  </si>
  <si>
    <t>ESPECIALIZACIÓN EN GERENCIA ESTRATÉGICA BUCARAMANGA</t>
  </si>
  <si>
    <t>ESPECIALIZACIÓN EN GERENCIA LOGÍSTICA BUCARAMANGA</t>
  </si>
  <si>
    <t>ESPECIALIZACIÓN EN GESTIÓN PARA EL DESARROLLO HUMANO EN LA ORGANIZACIÓN BUCARAMANGA</t>
  </si>
  <si>
    <t>ESPECIALIZACIÓN EN GERENCIA ESTRATÉGICA IBAGUÉ</t>
  </si>
  <si>
    <t>ESPECIALIZACIÓN EN GERENCIA ESTRATÉGICA MEDELLÍN</t>
  </si>
  <si>
    <t>ESPECIALIZACIÓN EN GERENCIA ESTRATÉGICA VILLAVICENCIO</t>
  </si>
  <si>
    <t>ESPECIALIZACIÓN EN CONTRATACIÓN ESTATAL - IBAGUÉ</t>
  </si>
  <si>
    <t>ESPECIALIZACIÓN EN CONTRATACIÓN ESTATAL - NEIVA</t>
  </si>
  <si>
    <t>MAESTRÍA EN ANALÍTICA APLICADA</t>
  </si>
  <si>
    <t>MAESTRÍA EN DISEÑO Y GESTIÓN DE PROCESOS</t>
  </si>
  <si>
    <t>MAESTRÍA EN GERENCIA DE INGENIERÍA</t>
  </si>
  <si>
    <t>MAESTRÍA EN ASESORÍA FAMILIAR Y GESTIÓN DE PROGRAMAS PARA LA FAMILIA</t>
  </si>
  <si>
    <t>INSTITUTO DE LA FAMILIA: ILFARUS</t>
  </si>
  <si>
    <t>MAESTRÍA EN COMUNICACIÓN ESTRATÉGICA</t>
  </si>
  <si>
    <t>MAESTRÍA EN PERIODISMO Y COMUNICACIÓN DIGITAL</t>
  </si>
  <si>
    <t>MAESTRÍA EN CONTRATACIÓN ESTATAL</t>
  </si>
  <si>
    <t>MAESTRÍA EN DERECHO CONSTITUCIONAL</t>
  </si>
  <si>
    <t>MAESTRÍA EN DERECHO DE LA EMPRESA Y DE LOS NEGOCIOS</t>
  </si>
  <si>
    <t>MAESTRÍA EN DERECHO INTERNACIONAL</t>
  </si>
  <si>
    <t>MAESTRÍA EN DESARROLLO INFANTIL</t>
  </si>
  <si>
    <t>MAESTRÍA EN DIRECCIÓN Y GESTIÓN DE INSTITUCIONES EDUCATIVAS</t>
  </si>
  <si>
    <t>MAESTRÍA EN EDUCACIÓN</t>
  </si>
  <si>
    <t>MAESTRÍA EN PEDAGOGÍA</t>
  </si>
  <si>
    <t>MAESTRÍA EN EDUCACIÓN MÉDICA</t>
  </si>
  <si>
    <t>MAESTRÍA EN SALUD PÚBLICA</t>
  </si>
  <si>
    <t>MAESTRÍA EN EPIDEMIOLOGÍA</t>
  </si>
  <si>
    <t>MAESTRÍA EN BIOÉTICA</t>
  </si>
  <si>
    <t>MAESTRÍA EN ENFERMERÍA PRESENCIAL</t>
  </si>
  <si>
    <t>MAESTRÍA EN GERENCIA DE INVERSIÓN</t>
  </si>
  <si>
    <t>MAESTRÍA EN GERENCIA DE LA INNOVACIÓN</t>
  </si>
  <si>
    <t>MAESTRÍA EN GERENCIA DE OPERACIONES</t>
  </si>
  <si>
    <t>MAESTRÍA EN GERENCIA ESTRATÉGICA</t>
  </si>
  <si>
    <t>MAESTRÍA EN GERENCIA INTERNACIONAL</t>
  </si>
  <si>
    <t>MAESTRÍA EN TEOLOGÍA</t>
  </si>
  <si>
    <t>MAESTRÍA EN GERENCIA Y DESARROLLO DE PERSONAS</t>
  </si>
  <si>
    <t>MAESTRÍA EN PSICOLOGÍA</t>
  </si>
  <si>
    <t>MAESTRÍA EN PSICOLOGÍA CLÍNICA DE LA NIÑEZ Y LA ADOLESCENCIA</t>
  </si>
  <si>
    <t>MAESTRÍA EN PSICOLOGÍA DE LA SALUD Y LA DISCAPACIDAD</t>
  </si>
  <si>
    <t>MAESTRÍA EN DIRECCIÓN Y GESTIÓN DE INSTITUCIONES EDUCATIVAS - RIOHACHA</t>
  </si>
  <si>
    <t>MAESTRÍA EN DESARROLLO INFANTIL - RIOHACHA</t>
  </si>
  <si>
    <t>MAESTRÍA EN PEDAGOGÍA - NEIVA</t>
  </si>
  <si>
    <t>MAESTRÍA EN FISIOTERAPIA - VIRTUAL</t>
  </si>
  <si>
    <t>MAESTRÍA EN ENFERMERÍA VIRTUAL</t>
  </si>
  <si>
    <t>MAESTRÍA EN LINGÜÍSTICA PANHISPÁNICA - VIRTUAL</t>
  </si>
  <si>
    <t>MAESTRÍA EN GERENCIA DE INVERSIÓN - VIRTUAL</t>
  </si>
  <si>
    <t>MAESTRÍA EN PEDAGOGÍA E INVESTIGACIÓN EN AULA - VIRTUAL</t>
  </si>
  <si>
    <t>MAESTRÍA EN DIDÁCTICA DEL INGLÉS PARA EL APRENDIZAJE AUTODIRIGIDO - VIRTUAL</t>
  </si>
  <si>
    <t>MAESTRÍA EN INNOVACIÓN EDUCATIVA MEDIADA POR TIC - VIRTUAL</t>
  </si>
  <si>
    <t>TOTAL MAESTRIAS PRESENCIALES</t>
  </si>
  <si>
    <t>TOTAL MAESTRIAS VIRTUALES</t>
  </si>
  <si>
    <t>TOTAL MAESTRIAS POR EXTENSION</t>
  </si>
  <si>
    <t>TOTAL ESPECIALIZACIONES PRESENCIALES</t>
  </si>
  <si>
    <t>TOTAL ESPECIALIZACIONES VIRTUALES</t>
  </si>
  <si>
    <t>TOTAL ESPECIALIZACIONES POR EXTENSION</t>
  </si>
  <si>
    <t>TOTAL ESPECIALIZACIONES MEDICO QUIRURGICAS</t>
  </si>
  <si>
    <t>TOTAL DOCTORADOS</t>
  </si>
  <si>
    <t>TOTAL POSGRADOS</t>
  </si>
  <si>
    <t>TOTAL INSTITUCIONAL</t>
  </si>
  <si>
    <t>AREAS EICEA</t>
  </si>
  <si>
    <t>Faltantes Vs Muestra</t>
  </si>
  <si>
    <t>Alcance Vs Poblacion</t>
  </si>
  <si>
    <t>ADMINISTRACIÓN Y ORGANIZACIONES</t>
  </si>
  <si>
    <t>ARTES CULINARIAS Y CIENCIAS DE LA ALIMENTACIÓN</t>
  </si>
  <si>
    <t>ECONOMÍA</t>
  </si>
  <si>
    <t>FINANZAS</t>
  </si>
  <si>
    <t>GESTIÓN DE OPERACIONES</t>
  </si>
  <si>
    <t>INNOVACIÓN Y EMPRENDIMIENTO</t>
  </si>
  <si>
    <t>MERCADEO</t>
  </si>
  <si>
    <t>NEGOCIACIÓN Y COMERCIO INTERNACIONAL</t>
  </si>
  <si>
    <t>SERVICIO, HOSPITALIDAD Y CALIDAD</t>
  </si>
  <si>
    <t>ESTATUS</t>
  </si>
  <si>
    <t>Replicado</t>
  </si>
  <si>
    <t>Cuenta de PROGRAMA</t>
  </si>
  <si>
    <t>Cátedra</t>
  </si>
  <si>
    <t>Planta</t>
  </si>
  <si>
    <t>Cuenta de ESTATUS</t>
  </si>
  <si>
    <t>Completa</t>
  </si>
  <si>
    <t>Incompleta</t>
  </si>
  <si>
    <t>No diligenciada</t>
  </si>
  <si>
    <t>Hoja BDD Prof. Catedra</t>
  </si>
  <si>
    <t>Centro de tecnologias parta la academia</t>
  </si>
  <si>
    <t>Core curriculum persona y cultura</t>
  </si>
  <si>
    <t>Departamento de lenguas y culturas extranjeras</t>
  </si>
  <si>
    <t>resumen</t>
  </si>
  <si>
    <t>Value</t>
  </si>
  <si>
    <t>Label</t>
  </si>
  <si>
    <t>Total</t>
  </si>
  <si>
    <t>Especialización en Anestesiología y Medicina Perioperatoria</t>
  </si>
  <si>
    <t>Especialización en Cirugía General</t>
  </si>
  <si>
    <t>Especialización en Cuidado Intensivo Pediátrico</t>
  </si>
  <si>
    <t>Especialización en Electrofisiología Cardiovascular</t>
  </si>
  <si>
    <t>Especialización en Farmacología Clínica</t>
  </si>
  <si>
    <t>Especialización en Ginecología y Obstetricia</t>
  </si>
  <si>
    <t>Especialización en Medicina Crítica y Cuidado Intensivo</t>
  </si>
  <si>
    <t>Especialización en Medicina Familiar y Comunitaria</t>
  </si>
  <si>
    <t>Especialización en Medicina Física y Rehabilitación</t>
  </si>
  <si>
    <t>Especialización en Medicina Interna</t>
  </si>
  <si>
    <t>Especialización en Neumología</t>
  </si>
  <si>
    <t>Especialización en Neurología</t>
  </si>
  <si>
    <t>Especialización en Oftalmología</t>
  </si>
  <si>
    <t>Especialización en Pediatría</t>
  </si>
  <si>
    <t>Especialización en Radiología e Imágenes Diagnósticas</t>
  </si>
  <si>
    <t>Especialización en Reumatología</t>
  </si>
  <si>
    <t>Especialización en Gastroenterología</t>
  </si>
  <si>
    <t>Especialización en Medicina del Dolor y Cuidados Paliativos</t>
  </si>
  <si>
    <t>Especialización en Neumología Pediátrica</t>
  </si>
  <si>
    <t>Ingeniería de Bioproducción / Ingeniería Agroindustrial</t>
  </si>
  <si>
    <t>Doctorado en Administración de Organizaciones - Chía</t>
  </si>
  <si>
    <t>Maestría en Gerencia de Inversión - Chía</t>
  </si>
  <si>
    <t>Maestría en Gerencia de Operaciones - Chía</t>
  </si>
  <si>
    <t>Maestría en Gerencia Estratégica - Chía</t>
  </si>
  <si>
    <t>Maestría en Gerencia Internacional - Chía</t>
  </si>
  <si>
    <t>Maestría en Gerencia de la Innovación - Chía</t>
  </si>
  <si>
    <t>Doctorado en Comunicación - Chía</t>
  </si>
  <si>
    <t>Maestría en Comunicación Estratégica - Chía</t>
  </si>
  <si>
    <t>Maestría en Periodismo y Comunicación Digital - Chía</t>
  </si>
  <si>
    <t>Doctorado en Derecho - Chía</t>
  </si>
  <si>
    <t>Maestría en Derecho Constitucional - Chía</t>
  </si>
  <si>
    <t>Maestría en Derecho de la Empresa y de los Negocios - Chía</t>
  </si>
  <si>
    <t>Maestría en Derecho Internacional - Chía</t>
  </si>
  <si>
    <t>Maestría en Contratación Estatal - Chía</t>
  </si>
  <si>
    <t>Doctorado en Educación - Chía</t>
  </si>
  <si>
    <t>Doctorado en Innovación Educativa con uso de TIC - Chía</t>
  </si>
  <si>
    <t>Maestría en Desarrollo Infantil - Chía</t>
  </si>
  <si>
    <t>Maestría en Educación - Chía</t>
  </si>
  <si>
    <t>Maestría en Informática Educativa - Chía</t>
  </si>
  <si>
    <t>MAESTRÍA EN DIDÁCTICA DEL INGLÉS PARA EL APRENDIZAJE AUTODIRIGIDO</t>
  </si>
  <si>
    <t>Maestría en Didáctica del Inglés con Énfasis en Ambientes de Aprendizaje Autónomo - Chía</t>
  </si>
  <si>
    <t>Maestría en Dirección y Gestión de Instituciones Educativas - Chía</t>
  </si>
  <si>
    <t>Maestría en Pedagogía - Chía</t>
  </si>
  <si>
    <t>Doctorado en Enfermería - Chía</t>
  </si>
  <si>
    <t>Maestría en Enfermería - Chía</t>
  </si>
  <si>
    <t>Maestría en Lingüística Panhispánica - Chía</t>
  </si>
  <si>
    <t>Maestría en Teología - Chía</t>
  </si>
  <si>
    <t>Doctorado en Biociencias - Chía</t>
  </si>
  <si>
    <t>Doctorado en Logística y Gestión de Cadenas de Suministros - Chía</t>
  </si>
  <si>
    <t>Doctorado en Ingeniería - Chía</t>
  </si>
  <si>
    <t>Maestría en Diseño y Gestión de Procesos - Chía</t>
  </si>
  <si>
    <t>Maestría en Gerencia de Ingeniería - Chía</t>
  </si>
  <si>
    <t>Maestría en Analítica Aplicada - Chía</t>
  </si>
  <si>
    <t>Maestría en Bioética - Chía</t>
  </si>
  <si>
    <t>Maestría en Epidemiología - Chía</t>
  </si>
  <si>
    <t>Maestría en Educación Médica - Chía</t>
  </si>
  <si>
    <t>Maestría en Salud Pública - Chía</t>
  </si>
  <si>
    <t>Maestría en Psicología - Chía</t>
  </si>
  <si>
    <t>Maestría en Gerencia y Desarrollo de Personas - Chía</t>
  </si>
  <si>
    <t>Maestría en Psicología de la Salud y la Discapacidad - Chía</t>
  </si>
  <si>
    <t>MAESTRÍA EN PROYECTOS EDUCATIVOS MEDIADOS POR TIC</t>
  </si>
  <si>
    <t>Maestría en Proyectos Educativos Mediados por TIC - Virtual</t>
  </si>
  <si>
    <t>Maestría en Innovación Educativa Mediada por TIC - Virtual</t>
  </si>
  <si>
    <t>Maestría en Pedagogía e Investigación en Aula - Virtual</t>
  </si>
  <si>
    <t>Maestría en Didáctica Del Inglés Para el Aprendizaje Autodirigido - Virtual</t>
  </si>
  <si>
    <t>Maestría en Pedagogía - Riohacha</t>
  </si>
  <si>
    <t>Maestría en Desarrollo Infantil - Riohacha</t>
  </si>
  <si>
    <t>Se le suma 1 del 158</t>
  </si>
  <si>
    <t>Maestría en Dirección y Gestión de Instituciones Educativas - Riohacha</t>
  </si>
  <si>
    <t>Maestría en Dirección y Gestión de Instituciones Educativas - Neiva</t>
  </si>
  <si>
    <t>Maestría en Pedagogía - Neiva</t>
  </si>
  <si>
    <t>Maestría en Pedagogía - Valledupar</t>
  </si>
  <si>
    <t>Maestría en Dirección y Gestión de Instituciones Educativas - Valledupar</t>
  </si>
  <si>
    <t>Maestría en Enfermería - Virtual</t>
  </si>
  <si>
    <t>Maestría en Asesoría Familiar y Gestión de Programas para la Familia - Virtual</t>
  </si>
  <si>
    <t>Especialización en Gerencia de la Comunicación Organizacional - Chía</t>
  </si>
  <si>
    <t>Especialización en Contratación Estatal - Chía</t>
  </si>
  <si>
    <t>Especialización en Derecho Comercial - Chía</t>
  </si>
  <si>
    <t>Especialización en Derecho Tributario - Chía</t>
  </si>
  <si>
    <t>Especialización en Derecho y Empresa - Chía</t>
  </si>
  <si>
    <t>Especialización en Responsabilidad Civil y del Estado - Chía</t>
  </si>
  <si>
    <t>Especialización en Seguros y Seguridad Social - Chía</t>
  </si>
  <si>
    <t>Especialización en Gerencia Educativa - Chía</t>
  </si>
  <si>
    <t>Especialización en Enfermería en Cuidado Crítico - Chía</t>
  </si>
  <si>
    <t>Especialización en Terapia Manual Ortopédica - Chía</t>
  </si>
  <si>
    <t>Especialización en Bioética - Chía</t>
  </si>
  <si>
    <t>Especialización en Psicología Clínica de la Niñez y la Adolescencia - Chía</t>
  </si>
  <si>
    <t>Especialización en Psicología Educativa - Chía</t>
  </si>
  <si>
    <t>Especialización en Desarrollo Personal y Familiar - Chía</t>
  </si>
  <si>
    <t>Especialización en Gerencia Financiera Internacional - Chía. (Especialización en Finanzas y Negocios Internacionales)</t>
  </si>
  <si>
    <t>Especialización en Gerencia Comercial - Chía</t>
  </si>
  <si>
    <t>Especialización en Gerencia de Producción y Operaciones - Chía</t>
  </si>
  <si>
    <t>Especialización en Gerencia Estratégica de Marca - Chía</t>
  </si>
  <si>
    <t>Especialización en Gerencia Estratégica - Chía</t>
  </si>
  <si>
    <t>Especialización en Gerencia Logística - Chía</t>
  </si>
  <si>
    <t>Especialización en Gestión para el Desarrollo Humano en la Organización - Chía</t>
  </si>
  <si>
    <t>Especialización en Finanzas Corporativas - Chía</t>
  </si>
  <si>
    <t>Especialización en Gerencia del Servicio - Chía</t>
  </si>
  <si>
    <t>Especialización en Gerencia de Proyectos con Enfoque en Habilidades Directivas - Chía</t>
  </si>
  <si>
    <t>Especialización en Gerencia de Riesgos - Chía</t>
  </si>
  <si>
    <t>Especialización en Contratación Estatal Ibagué -Tolima</t>
  </si>
  <si>
    <t>Especialización en Contratación Estatal - Neiva</t>
  </si>
  <si>
    <t>Especialización en Pedagogía e Investigación en el Aula - Virtual</t>
  </si>
  <si>
    <t>Especialización en Gerencia Estratégica - Virtual</t>
  </si>
  <si>
    <t>Especialización en Gestión para el Desarrollo Humano en la Organización - Virtual</t>
  </si>
  <si>
    <t>Especialización en Gerencia Comercial - Virtual</t>
  </si>
  <si>
    <t>Especialización en Gerencia Comercial Bucaramanga - Santander</t>
  </si>
  <si>
    <t>Especialización En Gerencia Comercial Ibagué - Tolima</t>
  </si>
  <si>
    <t>Especialización en Gerencia Comercial Medellín - Antioquia</t>
  </si>
  <si>
    <t>Especialización en Gerencia Comercial - Villavicencio</t>
  </si>
  <si>
    <t>Especialización en Gerencia Estratégica - Medellín</t>
  </si>
  <si>
    <t>Especialización En Gerencia Estratégica - Ibagué</t>
  </si>
  <si>
    <t>Especialización En Gerencia Estratégica - Villavicencio</t>
  </si>
  <si>
    <t>Especialización en Gerencia Estratégica - Bucaramanga</t>
  </si>
  <si>
    <t>Especialización en Gerencia Logística. Bucaramanga</t>
  </si>
  <si>
    <t>Especialización en Gestión para el Desarrollo Humano en la Organización - Bucaramanga</t>
  </si>
  <si>
    <t>Especialización en Gerencia Logística - Barranquilla</t>
  </si>
  <si>
    <t>Especialización en Gerencia Comercial - Barranquilla</t>
  </si>
  <si>
    <t>Especialización en Gerencia Estratégica - Barranquilla</t>
  </si>
  <si>
    <t>Especialización en Gerencia Estratégica</t>
  </si>
  <si>
    <t>Especialización en Gestión para el Desarrollo Humano Organizacional</t>
  </si>
  <si>
    <t>Especialización en Gerencia Comercial</t>
  </si>
  <si>
    <t>Especialización en Gerencia Logística</t>
  </si>
  <si>
    <t>Si no encuentra su programa dentro de estas opciones por favor regrese a la pregunta anterior y seleccione la opción que mas se ajusta a su perfil de...</t>
  </si>
  <si>
    <t>Esp. Gerencia comercial Bogotá</t>
  </si>
  <si>
    <t>Especialización en Gerencia Comercial - Bogotá</t>
  </si>
  <si>
    <t>Especialización en Gerencia Logística - Bogotá</t>
  </si>
  <si>
    <t>Especialización en Gestión para el Desarrollo Humano en la Organización - Bogotá</t>
  </si>
  <si>
    <t>Maestría en Psicología Clínica de la Niñez y la Adolescencia</t>
  </si>
  <si>
    <t>Maestría en Fisioterapia - Virtual</t>
  </si>
  <si>
    <t>Especialización en Emprendimiento y Negocios Digitales- Chía</t>
  </si>
  <si>
    <t>Especialización en gerencia de proyectos con enfoque en habilidades directivas - Bogotá</t>
  </si>
  <si>
    <t>Especialización en liderazgo y coaching - Chía</t>
  </si>
  <si>
    <t>MAESTRÍA EN DESARROLLO INFANTIL - GUAJIRA</t>
  </si>
  <si>
    <t>Maestría en desarrollo infantil - Guajira</t>
  </si>
  <si>
    <t>MAESTRÍA EN DIRECCIÓN Y GESTIÓN DE INSTITUCIONES EDUCATIVAS GUAJIRA</t>
  </si>
  <si>
    <t>Maestría en dirección y gestión de instituciones educativas Guajira</t>
  </si>
  <si>
    <t>MAESTRÍA EN FISIOTERAPIA</t>
  </si>
  <si>
    <t>Maestría en fisioterapia</t>
  </si>
  <si>
    <t>Maestría en gerencia de inversión - Virtual</t>
  </si>
  <si>
    <t>MAESTRÍA EN PEDAGOGÍA E INVESTIGACIÓN EN EL AULA</t>
  </si>
  <si>
    <t>Maestría en pedagogía e investigación en el aula</t>
  </si>
  <si>
    <t>MAESTRÍA EN PEDAGOGÍA HUILA</t>
  </si>
  <si>
    <t>Maestría en pedagogía Huila</t>
  </si>
  <si>
    <t>Maestría en Lingüística Panhispánica - Virtual</t>
  </si>
  <si>
    <t>Especialización en Gerencia Estratégica - Bogotá</t>
  </si>
  <si>
    <t>Doctorado en Psicología</t>
  </si>
  <si>
    <t>Executive MBA</t>
  </si>
  <si>
    <t>ESPECIALIZACIÓN EN PEDAGOGÍA E INVESTIGACIÓN EN EL AULA</t>
  </si>
  <si>
    <t>Actual</t>
  </si>
  <si>
    <t>nuevo</t>
  </si>
  <si>
    <t>REALIZADO</t>
  </si>
  <si>
    <t>Count</t>
  </si>
  <si>
    <t>Suma</t>
  </si>
  <si>
    <t>UNIVERSO</t>
  </si>
  <si>
    <t>COD. UNIDAD</t>
  </si>
  <si>
    <t>Encuesta replicadas</t>
  </si>
  <si>
    <t>SUMA REALIZADO</t>
  </si>
  <si>
    <t>Universo BDD</t>
  </si>
  <si>
    <t>Diferencias</t>
  </si>
  <si>
    <t>ADMINISTRACIï¿½N Y ORGANIZACIONES</t>
  </si>
  <si>
    <t>ARTES CULINARIAS Y CIENCIAS DE LA ALIMENTACIï¿½N</t>
  </si>
  <si>
    <t>ECONOMï¿½A</t>
  </si>
  <si>
    <t>GESTIï¿½N DE OPERACIONES</t>
  </si>
  <si>
    <t>INNOVACIï¿½N Y EMPRENDIMIENTO</t>
  </si>
  <si>
    <t>NEGOCIACIï¿½N Y COMERCIO INTERNACIONAL</t>
  </si>
  <si>
    <t>COMUNICACIÓN AUDIOVISUAL Y MULTIMEDIOS</t>
  </si>
  <si>
    <t>COMUNICACIï¿½N AUDIOVISUAL Y MULTIMEDIOS</t>
  </si>
  <si>
    <t>COMUNICACIÓN CORPORATIVA</t>
  </si>
  <si>
    <t>COMUNICACIï¿½N CORPORATIVA</t>
  </si>
  <si>
    <t>COMUNICACIÓN SOCIAL Y PERIODISMO</t>
  </si>
  <si>
    <t>COMUNICACIï¿½N SOCIAL Y PERIODISMO</t>
  </si>
  <si>
    <t>CIENCIAS POLÍTICAS</t>
  </si>
  <si>
    <t>CIENCIAS POLï¿½TICAS</t>
  </si>
  <si>
    <t>DERECHO</t>
  </si>
  <si>
    <t>LICENCIATURA EN CIENCIAS NATURALES</t>
  </si>
  <si>
    <t>LICENCIATURA EN EDUCACIÓN INFANTIL</t>
  </si>
  <si>
    <t>LICENCIATURA EN EDUCACIï¿½N INFANTIL</t>
  </si>
  <si>
    <t>ENFERMERÍA</t>
  </si>
  <si>
    <t>ENFERMERï¿½A</t>
  </si>
  <si>
    <t>FISIOTERAPIA</t>
  </si>
  <si>
    <t>FILOSOFÍA</t>
  </si>
  <si>
    <t>FILOSOFï¿½A</t>
  </si>
  <si>
    <t>INGENIERÍA CIVIL</t>
  </si>
  <si>
    <t>INGENIERï¿½A CIVIL</t>
  </si>
  <si>
    <t>INGENIERÍA DE PRODUCCIÓN AGROINDUSTRIAL</t>
  </si>
  <si>
    <t>INGENIERÍA INDUSTRIAL</t>
  </si>
  <si>
    <t>INGENIERï¿½A INDUSTRIAL</t>
  </si>
  <si>
    <t>INGENIERÍA INFORMÁTICA</t>
  </si>
  <si>
    <t>INGENIERï¿½A INFORMï¿½TICA</t>
  </si>
  <si>
    <t>INGENIERÍA MECÁNICA</t>
  </si>
  <si>
    <t>INGENIERï¿½A MECï¿½NICA</t>
  </si>
  <si>
    <t>INGENIERÍA QUÍMICA</t>
  </si>
  <si>
    <t>INGENIERï¿½A QUï¿½MICA</t>
  </si>
  <si>
    <t>MEDICINA</t>
  </si>
  <si>
    <t>PSICOLOGÍA</t>
  </si>
  <si>
    <t>PSICOLOGï¿½A</t>
  </si>
  <si>
    <t>MAESTRï¿½A EN COMUNICACIï¿½N ESTRï¿½TEGICA</t>
  </si>
  <si>
    <t>MAESTRï¿½A EN PERIODISMO Y COMUNICACIï¿½N DIGITAL</t>
  </si>
  <si>
    <t>MAESTRIA EN CONTRATACION ESTATAL</t>
  </si>
  <si>
    <t>MAESTRIA EN DERECHO CONSTITUCIONAL</t>
  </si>
  <si>
    <t>MAESTRIA EN DERECHO DE LA EMPRESA Y DE LOS NEGOCIOS</t>
  </si>
  <si>
    <t>MAESTRIA EN DERECHO INTERNACIONAL</t>
  </si>
  <si>
    <t>MAESTRï¿½A EN DESARROLLO INFANTIL - CHIA</t>
  </si>
  <si>
    <t>MAESTRÍA EN DIDÁCTICA DEL INGLÉS CON ÉNFASIS EN AMBIENTES DE APRENDIZAJE AUTÓNOMO</t>
  </si>
  <si>
    <t>MAESTRï¿½A EN DIRECCIï¿½N Y GESTIï¿½N DE INSTITUCIONES EDUCATIVAS</t>
  </si>
  <si>
    <t>MAESTRï¿½A EN EDUCACIï¿½N</t>
  </si>
  <si>
    <t>MAESTRï¿½A EN PEDAGOGï¿½A</t>
  </si>
  <si>
    <t>MAESTRï¿½A EN ENFERMERï¿½A</t>
  </si>
  <si>
    <t>MAESTRï¿½A EN LINGï¿½ï¿½STICA PANHISPï¿½NICA - CHï¿½A</t>
  </si>
  <si>
    <t>MAESTRï¿½A EN TEOLOGï¿½A - CHï¿½A</t>
  </si>
  <si>
    <t>MAESTRï¿½A EN ANALï¿½TICA APLICADA - CHï¿½A</t>
  </si>
  <si>
    <t>MAESTRï¿½A EN DISEï¿½O Y GESTIï¿½N DE PROCESOS - CHï¿½A</t>
  </si>
  <si>
    <t>MAESTRï¿½A EN GERENCIA DE INGENIERï¿½A - CHï¿½A</t>
  </si>
  <si>
    <t>MAESTRï¿½A EN BIOï¿½TICA</t>
  </si>
  <si>
    <t>MAESTRï¿½A EN EDUCACIï¿½N Mï¿½DICA</t>
  </si>
  <si>
    <t>MAESTRï¿½A EN EPIDEMIOLOGï¿½A</t>
  </si>
  <si>
    <t>MAESTRï¿½A EN GERENCIA Y DESARROLLO DE PERSONAS</t>
  </si>
  <si>
    <t>MAESTRIA EN PSICOLOGIA</t>
  </si>
  <si>
    <t>MAESTRIA EN PSICOLOGIA DE LA SALUD Y DISCAPACIDAD</t>
  </si>
  <si>
    <t>MAESTRï¿½A EN GERENCIA DE INVERSIï¿½N</t>
  </si>
  <si>
    <t>MAESTRï¿½A EN GERENCIA DE OPERACIONES</t>
  </si>
  <si>
    <t>MAESTRï¿½A EN GERENCIA ESTRATï¿½GICA</t>
  </si>
  <si>
    <t>MAESTRï¿½A EN GERENCIA INTERNACIONAL</t>
  </si>
  <si>
    <t>MAESTRï¿½A EN DIDï¿½CTICA DEL INGLï¿½S PARA EL APRENDIZAJE AUTODIRIGIDO</t>
  </si>
  <si>
    <t>MAESTRï¿½A EN INNOVACIï¿½N EDUCATIVA MEDIADA POR TIC</t>
  </si>
  <si>
    <t>MAESTRï¿½A EN PEDAGOGIA E INVESTIGACIï¿½N EN EL AULA</t>
  </si>
  <si>
    <t>MAESTRï¿½A EN PROYECTOS EDUCATIVOS MEDIADOS POR TIC</t>
  </si>
  <si>
    <t>Se elimino no deben caer encuesta aca</t>
  </si>
  <si>
    <t>MAESTRï¿½A EN ASESORï¿½A FAMILIAR Y GESTIï¿½N DE PROGRAMAS PARA LA FAMILIA - VIRTUAL</t>
  </si>
  <si>
    <t>MAESTRï¿½A EN ENFERMERï¿½A - VIRTUAL</t>
  </si>
  <si>
    <t>ESPECIALIZACIï¿½N EN ANESTESIOLOGï¿½A Y MEDICINA PERIOPERATORIA</t>
  </si>
  <si>
    <t>ESPECIALIZACIï¿½N EN CIRUGï¿½A GENERAL</t>
  </si>
  <si>
    <t>ESPECIALIZACIï¿½N EN CUIDADO INTENSIVO PEDIï¿½TRICO</t>
  </si>
  <si>
    <t>ESPECIALIZACIï¿½N EN FARMACOLOGï¿½A CLï¿½NICA</t>
  </si>
  <si>
    <t>ESPECIALIZACIï¿½N EN GINECOLOGï¿½A Y OBSTETRICIA</t>
  </si>
  <si>
    <t>ESPECIALIZACIï¿½N EN MEDICINA DEL DOLOR Y CUIDADOS PALIATIVOS</t>
  </si>
  <si>
    <t>ESPECIALIZACIï¿½N EN MEDICINA FAMILIAR Y COMUNITARIA</t>
  </si>
  <si>
    <t>ESPECIALIZACIï¿½N EN MEDICINA INTERNA</t>
  </si>
  <si>
    <t>ESPECIALIZACIï¿½N EN PEDIATRï¿½A</t>
  </si>
  <si>
    <t>ESPECIALIZACIï¿½N EN REUMATOLOGï¿½A</t>
  </si>
  <si>
    <t>DOCTORADO EN COMUNICACIï¿½N</t>
  </si>
  <si>
    <t>DOCTORADO EN EDUCACIï¿½N</t>
  </si>
  <si>
    <t>DOCTORADO EN ENFERMERï¿½A</t>
  </si>
  <si>
    <t>ESPECIALIZACIï¿½N EN CONTRATACIï¿½N ESTATAL - CHï¿½A</t>
  </si>
  <si>
    <t>ESPECIALIZACIï¿½N EN DERECHO Y EMPRESA - CHï¿½A</t>
  </si>
  <si>
    <t>ESPECIALIZACIï¿½N EN RESPONSABILIDAD CIVIL Y DEL ESTADO - CHï¿½A</t>
  </si>
  <si>
    <t>ESPECIALIZACIï¿½N EN GERENCIA EDUCATIVA</t>
  </si>
  <si>
    <t>ESPECIALIZACIï¿½N EN ENFERMERï¿½A EN CUIDADO CRï¿½TICO - CHï¿½A</t>
  </si>
  <si>
    <t>ESPECIALIZACIï¿½N EN TERAPIA MANUAL ORTOPï¿½DICA - CHï¿½A</t>
  </si>
  <si>
    <t>ESPECIALIZACION EN PSICOLOGIA CLINICA DE LA NIï¿½EZ Y LA ADOLESCENCIA</t>
  </si>
  <si>
    <t>ESPECIALIZACION EN PSICOLOGIA EDUCATIVA</t>
  </si>
  <si>
    <t>ESPECIALIZACIï¿½N EN FINANZAS CORPORATIVAS - CHï¿½A</t>
  </si>
  <si>
    <t>ESPECIALIZACIï¿½N EN GERENCIA COMERCIAL - CHIA</t>
  </si>
  <si>
    <t>ESPECIALIZACIï¿½N EN GERENCIA DE PRODUCCIï¿½N Y OPERACIONES  - CHIA</t>
  </si>
  <si>
    <t>ESPECIALIZACIï¿½N EN GERENCIA DE PROYECTOS CON ENFOQUE EN HABILIDADES DIRECTIVAS - CHï¿½A</t>
  </si>
  <si>
    <t>ESPECIALIZACIï¿½N EN GERENCIA ESTRATï¿½GICA DE MARCA  - CHIA</t>
  </si>
  <si>
    <t>ESPECIALIZACIï¿½N EN GERENCIA FINANCIERA INTERNACIONAL - CHIA</t>
  </si>
  <si>
    <t>ESPECIALIZACIï¿½N EN GERENCIA LOGï¿½STICA - CHï¿½A</t>
  </si>
  <si>
    <t>ESPECIALIZACIï¿½N EN GESTIï¿½N PARA EL DESARROLLO HUMANO EN LA ORGANIZACIï¿½N - CHï¿½A</t>
  </si>
  <si>
    <t>ESPECIALIZACIÓN EN DESARROLLO PERSONAL Y FAMILIAR</t>
  </si>
  <si>
    <t>ESPECIALIZACIï¿½N EN PEDAGOGï¿½A E INVESTIGACIï¿½N EN EL AULA</t>
  </si>
  <si>
    <t>ESPECIALIZACIï¿½N EN GERENCIA COMERCIAL BUCARAMANGA - SANTANDER</t>
  </si>
  <si>
    <t>ESPECIALIZACIÓN EN GERENCIA COMERCIAL VILLAVICENCIO</t>
  </si>
  <si>
    <t>ESPECIALIZACIï¿½N EN GERENCIA ESTRATï¿½GICA - BARRANQUILLA</t>
  </si>
  <si>
    <t>ESPECIALIZACIï¿½N EN GERENCIA ESTRATï¿½GICA - MEDELLï¿½N</t>
  </si>
  <si>
    <t>ESPECIALIZACIÓN EN GERENCIA LOGÍSTICA BARRANQUILLA</t>
  </si>
  <si>
    <t>ESPECIALIZACIï¿½N EN GESTIï¿½N PARA EL DESARROLLO HUMANO EN LA ORGANIZACIï¿½N - BUCARAMANGA</t>
  </si>
  <si>
    <t>MAESTRï¿½A EN DIRECCIï¿½N Y GESTIï¿½N DE INSTITUCIONES EDUCATIVAS - GUAJIRA</t>
  </si>
  <si>
    <t>MAESTRÍA EN DIRECCIÓN Y GESTIÓN DE INSTITUCIONES EDUCATIVAS HUILA</t>
  </si>
  <si>
    <t>MAESTRIA INFORMÁTICA EDUCATIVA</t>
  </si>
  <si>
    <t>DEPARTAMENTO LENGUAS Y CULTURAS EXTRANJERAS</t>
  </si>
  <si>
    <t>CORE CURRICULUM PERSONA Y CULTURA (INSTITUTO DE LA FAMILIA)</t>
  </si>
  <si>
    <t>MAESTRï¿½A EN GERENCIA DE LA INNOVACIï¿½N</t>
  </si>
  <si>
    <t>DOCTORADO EN ADMINISTRACIï¿½N DE ORGANIZACIONES</t>
  </si>
  <si>
    <t>MAESTRï¿½A EN SALUD Pï¿½BLICA</t>
  </si>
  <si>
    <t>INGENIERÍA DE BIOPRODUCCIÓN</t>
  </si>
  <si>
    <t>INGENIERï¿½A DE BIOPRODUCCIï¿½N</t>
  </si>
  <si>
    <t>CIENCIA DE DATOS</t>
  </si>
  <si>
    <t>CENTRO DE TECNOLOGÍA PARTA LA ACADEMIA</t>
  </si>
  <si>
    <t>DOCTORADO EN LOGï¿½STICA Y GESTIï¿½N DE CADENAS DE SUMINISTROS</t>
  </si>
  <si>
    <t>DOCTORADO EN INGENIERï¿½A</t>
  </si>
  <si>
    <t>ESPECIALIZACIï¿½N EN GESTIï¿½N PARA EL DESARROLLO HUMANO EN LA ORGANIZACIï¿½N - BOGOTï¿½</t>
  </si>
  <si>
    <t>DOCTORADO EN INNOVACIï¿½N EDUCATIVA CON USO DE TIC</t>
  </si>
  <si>
    <t>ESPECIALIZACIï¿½N EN GERENCIA COMERCIAL VIRTUAL</t>
  </si>
  <si>
    <t>ESPECIALIZACIï¿½N EN LIDERAZGO Y COACHING- CHï¿½A</t>
  </si>
  <si>
    <t>MAESTRï¿½A EN DESARROLLO INFANTIL - RIOHACHA</t>
  </si>
  <si>
    <t>MAESTRï¿½A EN DIDï¿½CTICA DEL INGLï¿½S PARA EL APRENDIZAJE AUTODIRIGIDO - VIRTUAL</t>
  </si>
  <si>
    <t>MAESTRï¿½A EN FISIOTERAPIA</t>
  </si>
  <si>
    <t>MAESTRï¿½A EN FISIOTERAPIA  - VIRTUAL</t>
  </si>
  <si>
    <t>MAESTRï¿½A EN GERENCIA DE INVERSIï¿½N - VIRTUAL</t>
  </si>
  <si>
    <t>MAESTRï¿½A EN PEDAGOGï¿½A E INVESTIGACIï¿½N EN AULA - VIRTUAL</t>
  </si>
  <si>
    <t xml:space="preserve">EXECUTIVE MBA	</t>
  </si>
  <si>
    <t>MAESTRÏ¿½A EN COMUNICACIÏ¿½N ESTRÏ¿½TEGICA</t>
  </si>
  <si>
    <t>MAESTRÏ¿½A EN PERIODISMO Y COMUNICACIÏ¿½N DIGITAL</t>
  </si>
  <si>
    <t>MAESTRÏ¿½A EN DESARROLLO INFANTIL - CHIA</t>
  </si>
  <si>
    <t>MAESTRÏ¿½A EN DIRECCIÏ¿½N Y GESTIÏ¿½N DE INSTITUCIONES EDUCATIVAS</t>
  </si>
  <si>
    <t>MAESTRÏ¿½A EN EDUCACIÏ¿½N</t>
  </si>
  <si>
    <t>MAESTRÏ¿½A EN PEDAGOGÏ¿½A</t>
  </si>
  <si>
    <t>MAESTRÏ¿½A EN ENFERMERÏ¿½A</t>
  </si>
  <si>
    <t>MAESTRÏ¿½A EN LINGÏ¿½Ï¿½STICA PANHISPÏ¿½NICA - CHÏ¿½A</t>
  </si>
  <si>
    <t>MAESTRÏ¿½A EN TEOLOGÏ¿½A - CHÏ¿½A</t>
  </si>
  <si>
    <t>MAESTRÏ¿½A EN ANALÏ¿½TICA APLICADA - CHÏ¿½A</t>
  </si>
  <si>
    <t>MAESTRÏ¿½A EN DISEÏ¿½O Y GESTIÏ¿½N DE PROCESOS - CHÏ¿½A</t>
  </si>
  <si>
    <t>MAESTRÏ¿½A EN GERENCIA DE INGENIERÏ¿½A - CHÏ¿½A</t>
  </si>
  <si>
    <t>MAESTRÏ¿½A EN EDUCACIÏ¿½N MÏ¿½DICA</t>
  </si>
  <si>
    <t>MAESTRÏ¿½A EN EPIDEMIOLOGÏ¿½A</t>
  </si>
  <si>
    <t>MAESTRÏ¿½A EN GERENCIA Y DESARROLLO DE PERSONAS</t>
  </si>
  <si>
    <t>MAESTRÏ¿½A EN GERENCIA DE INVERSIÏ¿½N</t>
  </si>
  <si>
    <t>MAESTRÏ¿½A EN GERENCIA DE OPERACIONES</t>
  </si>
  <si>
    <t>MAESTRÏ¿½A EN GERENCIA ESTRATÏ¿½GICA</t>
  </si>
  <si>
    <t>MAESTRÏ¿½A EN GERENCIA INTERNACIONAL</t>
  </si>
  <si>
    <t>Se cambio el nombre (Confirmar) --&gt; En Sawtooth no dice VIRTUAL</t>
  </si>
  <si>
    <t>MAESTRÏ¿½A EN PEDAGOGIA E INVESTIGACIÏ¿½N EN EL AULA</t>
  </si>
  <si>
    <t>MAESTRÏ¿½A EN PROYECTOS EDUCATIVOS MEDIADOS POR TIC</t>
  </si>
  <si>
    <t>Esta en la base de datos pero no en el resumen</t>
  </si>
  <si>
    <t>MAESTRÏ¿½A EN ENFERMERÏ¿½A - VIRTUAL</t>
  </si>
  <si>
    <t>ESPECIALIZACIÏ¿½N EN CIRUGÏ¿½A GENERAL</t>
  </si>
  <si>
    <t>ESPECIALIZACIÏ¿½N EN CUIDADO INTENSIVO PEDIÏ¿½TRICO</t>
  </si>
  <si>
    <t>ESPECIALIZACIÏ¿½N EN ELECTROFISIOLOGÏ¿½A CARDIOVASCULAR</t>
  </si>
  <si>
    <t>ESPECIALIZACIÏ¿½N EN FARMACOLOGÏ¿½A CLÏ¿½NICA</t>
  </si>
  <si>
    <t>ESPECIALIZACIÏ¿½N EN MEDICINA CRÏ¿½TICA Y CUIDADO INTENSIVO</t>
  </si>
  <si>
    <t>ESPECIALIZACIÏ¿½N EN MEDICINA DEL DOLOR Y CUIDADOS PALIATIVOS</t>
  </si>
  <si>
    <t>ESPECIALIZACIÏ¿½N EN MEDICINA FAMILIAR Y COMUNITARIA</t>
  </si>
  <si>
    <t>ESPECIALIZACIÏ¿½N EN MEDICINA FÏ¿½SICA Y REHABILITACIÏ¿½N</t>
  </si>
  <si>
    <t>ESPECIALIZACIÏ¿½N EN NEUMOLOGÏ¿½A</t>
  </si>
  <si>
    <t>ESPECIALIZACIÏ¿½N EN NEUROLOGÏ¿½A</t>
  </si>
  <si>
    <t>ESPECIALIZACIÏ¿½N EN OFTALMOLOGÏ¿½A</t>
  </si>
  <si>
    <t>ESPECIALIZACIÏ¿½N EN PEDIATRÏ¿½A</t>
  </si>
  <si>
    <t>ESPECIALIZACIÏ¿½N EN RADIOLOGÏ¿½A E IMÏ¿½GENES DIAGNÏ¿½STICAS</t>
  </si>
  <si>
    <t>DOCTORADO EN ENFERMERÏ¿½A</t>
  </si>
  <si>
    <t>ESPECIALIZACIÏ¿½N EN GERENCIA DE LA COMUNICACIÏ¿½N ORGANIZACIONAL</t>
  </si>
  <si>
    <t>ESPECIALIZACIÏ¿½N EN CONTRATACIÏ¿½N ESTATAL - CHÏ¿½A</t>
  </si>
  <si>
    <t>ESPECIALIZACIÏ¿½N EN DERECHO COMERCIAL - CHÏ¿½A</t>
  </si>
  <si>
    <t>ESPECIALIZACIÏ¿½N EN DERECHO TRIBUTARIO - CHÏ¿½A</t>
  </si>
  <si>
    <t>ESPECIALIZACIÏ¿½N EN DERECHO Y EMPRESA - CHÏ¿½A</t>
  </si>
  <si>
    <t>ESPECIALIZACIÏ¿½N EN RESPONSABILIDAD CIVIL Y DEL ESTADO - CHÏ¿½A</t>
  </si>
  <si>
    <t>ESPECIALIZACIÏ¿½N EN SEGUROS Y SEGURIDAD SOCIAL - CHÏ¿½A</t>
  </si>
  <si>
    <t>ESPECIALIZACIÏ¿½N EN GERENCIA EDUCATIVA</t>
  </si>
  <si>
    <t>ESPECIALIZACIÏ¿½N EN ENFERMERÏ¿½A EN CUIDADO CRÏ¿½TICO - CHÏ¿½A</t>
  </si>
  <si>
    <t>ESPECIALIZACIÏ¿½N EN TERAPIA MANUAL ORTOPÏ¿½DICA - CHÏ¿½A</t>
  </si>
  <si>
    <t>ESPECIALIZACIÓN EN BIOÉTICA</t>
  </si>
  <si>
    <t>ESPECIALIZACION EN PSICOLOGIA CLINICA DE LA NIÏ¿½EZ Y LA ADOLESCENCIA</t>
  </si>
  <si>
    <t>ESPECIALIZACIÏ¿½N EN FINANZAS CORPORATIVAS - CHÏ¿½A</t>
  </si>
  <si>
    <t>ESPECIALIZACIÏ¿½N EN GERENCIA COMERCIAL - CHIA</t>
  </si>
  <si>
    <t>ESPECIALIZACIÏ¿½N EN GERENCIA DE PRODUCCIÏ¿½N Y OPERACIONES  - CHIA</t>
  </si>
  <si>
    <t>ESPECIALIZACIÏ¿½N EN GERENCIA DE PROYECTOS CON ENFOQUE EN HABILIDADES DIRECTIVAS - CHÏ¿½A</t>
  </si>
  <si>
    <t>ESPECIALIZACIÏ¿½N EN GERENCIA DEL SERVICIO - CHÏ¿½A</t>
  </si>
  <si>
    <t>ESPECIALIZACIÏ¿½N EN GERENCIA ESTRATÏ¿½GICA - CHIA</t>
  </si>
  <si>
    <t>ESPECIALIZACIÏ¿½N EN GERENCIA ESTRATÏ¿½GICA DE MARCA  - CHIA</t>
  </si>
  <si>
    <t>ESPECIALIZACIÏ¿½N EN GERENCIA FINANCIERA INTERNACIONAL - CHIA</t>
  </si>
  <si>
    <t>ESPECIALIZACIÏ¿½N EN GERENCIA LOGÏ¿½STICA - CHÏ¿½A</t>
  </si>
  <si>
    <t>ESPECIALIZACIÏ¿½N EN GESTIÏ¿½N PARA EL DESARROLLO HUMANO EN LA ORGANIZACIÏ¿½N - CHÏ¿½A</t>
  </si>
  <si>
    <t>ESPECIALIZACIÏ¿½N EN PEDAGOGÏ¿½A E INVESTIGACIÏ¿½N EN EL AULA</t>
  </si>
  <si>
    <t>ESPECIALIZACION EN CONTRATACION ESTATAL IBAGUE</t>
  </si>
  <si>
    <t>ESPECIALIZACION EN CONTRATACION ESTATAL NEIVA</t>
  </si>
  <si>
    <t>ESPECIALIZACIÏ¿½N EN GERENCIA COMERCIAL - BARRANQUILLA</t>
  </si>
  <si>
    <t>ESPECIALIZACIÏ¿½N EN GERENCIA COMERCIAL BUCARAMANGA - SANTANDER</t>
  </si>
  <si>
    <t>ESPECIALIZACIÏ¿½N EN GERENCIA COMERCIAL IBAGUÏ¿½ - TOLIMA</t>
  </si>
  <si>
    <t>ESPECIALIZACIÏ¿½N EN GERENCIA COMERCIAL MEDELLÏ¿½N - ANTIOQUIA</t>
  </si>
  <si>
    <t>ESPECIALIZACIÏ¿½N EN GERENCIA ESTRATÏ¿½GICA - BARRANQUILLA</t>
  </si>
  <si>
    <t>ESPECIALIZACIÏ¿½N EN GERENCIA ESTRATÏ¿½GICA - BUCARAMANGA</t>
  </si>
  <si>
    <t>ESPECIALIZACIÏ¿½N EN GERENCIA ESTRATÏ¿½GICA - IBAGUÏ¿½</t>
  </si>
  <si>
    <t>ESPECIALIZACIÏ¿½N EN GERENCIA ESTRATÏ¿½GICA - MEDELLÏ¿½N</t>
  </si>
  <si>
    <t>ESPECIALIZACIÏ¿½N EN GERENCIA ESTRATÏ¿½GICA - VILLAVICENCIO</t>
  </si>
  <si>
    <t>ESPECIALIZACIÏ¿½N EN GERENCIA LOGÏ¿½STICA - BUCARAMANGA</t>
  </si>
  <si>
    <t>ESPECIALIZACIÏ¿½N EN GESTIÏ¿½N PARA EL DESARROLLO HUMANO EN LA ORGANIZACIÏ¿½N - BUCARAMANGA</t>
  </si>
  <si>
    <t>MAESTRÏ¿½A EN PEDAGOGÏ¿½A - HUILA</t>
  </si>
  <si>
    <t>INFORMÁTICA EDUCATIVA</t>
  </si>
  <si>
    <t>MAESTRÏ¿½A EN GERENCIA DE LA INNOVACIÏ¿½N</t>
  </si>
  <si>
    <t>DOCTORADO EN ADMINISTRACIÓN DE LAS ORGANIZACIONES</t>
  </si>
  <si>
    <t>ESPECIALIZACIÏ¿½N EN GASTROENTEROLOGÏ¿½A</t>
  </si>
  <si>
    <t>MAESTRÏ¿½A EN SALUD PÏ¿½BLICA</t>
  </si>
  <si>
    <t>CENTRO DE TECNOLOGï¿½AS PARA LA ACADEMIA</t>
  </si>
  <si>
    <t>DOCTORADO EN LOGÍSTICA</t>
  </si>
  <si>
    <t>ESPECIALIZACIÏ¿½N EN GERENCIA FINANCIERA INTERNACIONAL - BOGOTÏ¿½</t>
  </si>
  <si>
    <t>ESPECIALIZACIÏ¿½N EN GERENCIA COMERCIAL - BOGOTÏ¿½</t>
  </si>
  <si>
    <t>ESPECIALIZACIÏ¿½N EN GERENCIA LOGÏ¿½STICA - BOGOTÏ¿½</t>
  </si>
  <si>
    <t>ESPECIALIZACIÏ¿½N EN GESTIÏ¿½N PARA EL DESARROLLO HUMANO EN LA ORGANIZACIÏ¿½N - BOGOTÏ¿½</t>
  </si>
  <si>
    <t>DOCTORADO EN INNOVACIÏ¿½N EDUCATIVA CON USO DE TIC</t>
  </si>
  <si>
    <t>ESPECIALIZACIÏ¿½N EN EMPRENDIMIENTO Y NEGOCIOS DIGITALES- CHÏ¿½A</t>
  </si>
  <si>
    <t>ESPECIALIZACIÏ¿½N EN GERENCIA COMERCIAL VIRTUAL</t>
  </si>
  <si>
    <t>ESPECIALIZACIÏ¿½N EN GERENCIA DE PROYECTOS CON ENFOQUE EN HABILIDADES DIRECTIVAS - BOGOTÏ¿½</t>
  </si>
  <si>
    <t>ESPECIALIZACIÏ¿½N EN GERENCIA DE RIESGOS - CHÏ¿½A</t>
  </si>
  <si>
    <t>ESPECIALIZACIÏ¿½N EN GERENCIA ESTRATÏ¿½GICA - VIRTUAL</t>
  </si>
  <si>
    <t>ESPECIALIZACIÏ¿½N EN LIDERAZGO Y COACHING- CHÏ¿½A</t>
  </si>
  <si>
    <t>ESPECIALIZACIÏ¿½N EN NEUMOLOGÏ¿½A PEDIÏ¿½TRICA</t>
  </si>
  <si>
    <t>ESPECIALIZACIÏ¿½N EN PEDAGOGÏ¿½A E INVESTIGACIÏ¿½N EN EL AULA - VIRTUAL</t>
  </si>
  <si>
    <t>MAESTRÏ¿½A EN DESARROLLO INFANTIL - GUAJIRA</t>
  </si>
  <si>
    <t>MAESTRÏ¿½A EN DESARROLLO INFANTIL - RIOHACHA</t>
  </si>
  <si>
    <t>MAESTRÏ¿½A EN DIRECCIÏ¿½N Y GESTIÏ¿½N DE INSTITUCIONES EDUCATIVAS - RIOHACHA</t>
  </si>
  <si>
    <t>MAESTRÏ¿½A EN GERENCIA DE INVERSIÏ¿½N - VIRTUAL</t>
  </si>
  <si>
    <t>MAESTRÏ¿½A EN PEDAGOGÏ¿½A - NEIVA</t>
  </si>
  <si>
    <t>MAESTRÏ¿½A EN PEDAGOGÏ¿½A E INVESTIGACIÏ¿½N EN AULA - VIRTUAL</t>
  </si>
  <si>
    <t>MAESTRÍA EN PEDAGOGÍA - RIOHACHA</t>
  </si>
  <si>
    <t>MAESTRÍA EN DIRECCIÓN Y GESTIÓN DE INSTITUCIONES EDUCATIVAS - NEIVA</t>
  </si>
  <si>
    <t>MAESTRÍA EN PEDAGOGÍA - VALLEDUPAR</t>
  </si>
  <si>
    <t>MAESTRÍA EN DIRECCIÓN Y GESTIÓN DE INSTITUCIONES EDUCATIVAS - VALLEDUPAR</t>
  </si>
  <si>
    <t>MAESTRÍA EN ASESORÍA FAMILIAR Y GESTIÓN DE PROGRAMAS PARA LA FAMILIA - VIRTUAL</t>
  </si>
  <si>
    <t>Esta duplicada (revisar Sawtooth) --&gt;</t>
  </si>
  <si>
    <t>MAESTRÍA EN LINGÜÍSTICA PANHISPÁNICA - VIRTUAL (duplicado revisar)</t>
  </si>
  <si>
    <t>ESPECIALIZACIÓN EN CONTRATACIÓN ESTATAL - IBAGUÉ, TOLIMA</t>
  </si>
  <si>
    <t>ESPECIALIZACIÓN EN GERENCIA COMERCIAL - IBAGUÉ, TOLIMA</t>
  </si>
  <si>
    <t>ESPECIALIZACIÓN EN GESTIÓN PARA EL DESARROLLO HUMANO ORGANIZACIONAL - VIRTUAL</t>
  </si>
  <si>
    <t>DOCTORADO EN PSICOLOGÍA (duplicado revisar)</t>
  </si>
  <si>
    <t>Este programa no aparece en Sawtooth porque todas son encuestas replicadas</t>
  </si>
  <si>
    <t>CORREO 1</t>
  </si>
  <si>
    <t>CORREO</t>
  </si>
  <si>
    <t>PROGRAMA (BDD SAWTOOTH)</t>
  </si>
  <si>
    <t>ID</t>
  </si>
  <si>
    <t>TIPO</t>
  </si>
  <si>
    <t>BuscarV</t>
  </si>
  <si>
    <t>NIVEL</t>
  </si>
  <si>
    <t>LINK</t>
  </si>
  <si>
    <t>acarbonellg@gmail.com</t>
  </si>
  <si>
    <t>acarbonellg@gmail.com1</t>
  </si>
  <si>
    <t>Especializaciï¿½n en Emprendimiento y Negocios Digitales- Chï¿½a</t>
  </si>
  <si>
    <t>Posgrado</t>
  </si>
  <si>
    <t>https://ProfCatedra2024.sawtoothsoftware.com/cgi-bin/ciwweb.pl?studyname=ProfCatedra2024&amp;Correo=acarbonellg@gmail.com1</t>
  </si>
  <si>
    <t>adalberto.prada@unisabana.edu.co</t>
  </si>
  <si>
    <t>adalberto.prada@unisabana.edu.co01</t>
  </si>
  <si>
    <t>Maestrï¿½a en Gerencia de Ingenierï¿½a - Chï¿½a</t>
  </si>
  <si>
    <t>https://ProfCatedra2024.sawtoothsoftware.com/cgi-bin/ciwweb.pl?studyname=ProfCatedra2024&amp;Correo=adalberto.prada@unisabana.edu.co01</t>
  </si>
  <si>
    <t>adrian.martinez@unisabana.edu.co</t>
  </si>
  <si>
    <t>adrian.martinez@unisabana.edu.co1</t>
  </si>
  <si>
    <t>Pregrado</t>
  </si>
  <si>
    <t>https://ProfCatedra2024.sawtoothsoftware.com/cgi-bin/ciwweb.pl?studyname=ProfCatedra2024&amp;Correo=adrian.martinez@unisabana.edu.co1</t>
  </si>
  <si>
    <t>adriana.acevedo@unisabana.edu.co</t>
  </si>
  <si>
    <t>adriana.acevedo@unisabana.edu.co1</t>
  </si>
  <si>
    <t>https://ProfCatedra2024.sawtoothsoftware.com/cgi-bin/ciwweb.pl?studyname=ProfCatedra2024&amp;Correo=adriana.acevedo@unisabana.edu.co1</t>
  </si>
  <si>
    <t>adriana.maldonado@unisabana.edu.co</t>
  </si>
  <si>
    <t>adriana.maldonado@unisabana.edu.co1</t>
  </si>
  <si>
    <t>https://ProfCatedra2024.sawtoothsoftware.com/cgi-bin/ciwweb.pl?studyname=ProfCatedra2024&amp;Correo=adriana.maldonado@unisabana.edu.co1</t>
  </si>
  <si>
    <t>adrianagarciagama@gmail.com</t>
  </si>
  <si>
    <t>ADRIANAGARCIAGAMA@GMAIL.COM1</t>
  </si>
  <si>
    <t>Especializaciï¿½n en Responsabilidad Civil y del Estado - Chï¿½a</t>
  </si>
  <si>
    <t>https://ProfCatedra2024.sawtoothsoftware.com/cgi-bin/ciwweb.pl?studyname=ProfCatedra2024&amp;Correo=ADRIANAGARCIAGAMA@GMAIL.COM1</t>
  </si>
  <si>
    <t>adrianapeme@unisabana.edu.co</t>
  </si>
  <si>
    <t>adrianapeme@unisabana.edu.co01</t>
  </si>
  <si>
    <t>Especializaciï¿½n en Gerencia Comercial Virtual</t>
  </si>
  <si>
    <t>https://ProfCatedra2024.sawtoothsoftware.com/cgi-bin/ciwweb.pl?studyname=ProfCatedra2024&amp;Correo=adrianapeme@unisabana.edu.co01</t>
  </si>
  <si>
    <t>adrianapeme@unisabana.edu.co02</t>
  </si>
  <si>
    <t>Especializaciï¿½n en Gerencia del Servicio - Chï¿½a</t>
  </si>
  <si>
    <t>https://ProfCatedra2024.sawtoothsoftware.com/cgi-bin/ciwweb.pl?studyname=ProfCatedra2024&amp;Correo=adrianapeme@unisabana.edu.co02</t>
  </si>
  <si>
    <t>adrianapeme@unisabana.edu.co03</t>
  </si>
  <si>
    <t>Especializaciï¿½n en Liderazgo y Coaching- Chï¿½a</t>
  </si>
  <si>
    <t>https://ProfCatedra2024.sawtoothsoftware.com/cgi-bin/ciwweb.pl?studyname=ProfCatedra2024&amp;Correo=adrianapeme@unisabana.edu.co03</t>
  </si>
  <si>
    <t>agaitanrozo@yahoo.es1</t>
  </si>
  <si>
    <t>AGAITANROZO@YAHOO.ES1</t>
  </si>
  <si>
    <t>https://ProfCatedra2024.sawtoothsoftware.com/cgi-bin/ciwweb.pl?studyname=ProfCatedra2024&amp;Correo=AGAITANROZO@YAHOO.ES1</t>
  </si>
  <si>
    <t>alba.sachica1@unisabana.edu.co</t>
  </si>
  <si>
    <t>alba.sachica1@unisabana.edu.co01</t>
  </si>
  <si>
    <t>Especializaciï¿½n en Enfermerï¿½a en Cuidado Crï¿½tico - Chï¿½a</t>
  </si>
  <si>
    <t>https://ProfCatedra2024.sawtoothsoftware.com/cgi-bin/ciwweb.pl?studyname=ProfCatedra2024&amp;Correo=alba.sachica1@unisabana.edu.co01</t>
  </si>
  <si>
    <t>alba.sachica1@unisabana.edu.co02</t>
  </si>
  <si>
    <t>Especializaciï¿½n en Terapia Manual Ortopï¿½dica - Chï¿½a</t>
  </si>
  <si>
    <t>https://ProfCatedra2024.sawtoothsoftware.com/cgi-bin/ciwweb.pl?studyname=ProfCatedra2024&amp;Correo=alba.sachica1@unisabana.edu.co02</t>
  </si>
  <si>
    <t>alba.sachica1@unisabana.edu.co03</t>
  </si>
  <si>
    <t>Maestrï¿½a en Enfermerï¿½a</t>
  </si>
  <si>
    <t>https://ProfCatedra2024.sawtoothsoftware.com/cgi-bin/ciwweb.pl?studyname=ProfCatedra2024&amp;Correo=alba.sachica1@unisabana.edu.co03</t>
  </si>
  <si>
    <t>alba.sachica1@unisabana.edu.co04</t>
  </si>
  <si>
    <t>Maestrï¿½a en Enfermerï¿½a - Virtual</t>
  </si>
  <si>
    <t>https://ProfCatedra2024.sawtoothsoftware.com/cgi-bin/ciwweb.pl?studyname=ProfCatedra2024&amp;Correo=alba.sachica1@unisabana.edu.co04</t>
  </si>
  <si>
    <t>alba.sachica1@unisabana.edu.co07</t>
  </si>
  <si>
    <t>MaestrÃ­a en AsesorÃ­a Familiar y GestiÃ³n de Programas para la Familia</t>
  </si>
  <si>
    <t>https://ProfCatedra2024.sawtoothsoftware.com/cgi-bin/ciwweb.pl?studyname=ProfCatedra2024&amp;Correo=alba.sachica1@unisabana.edu.co07</t>
  </si>
  <si>
    <t>albertoduqueramirez@gmail.com</t>
  </si>
  <si>
    <t>ALBERTODUQUERAMIREZ@GMAIL.COM1</t>
  </si>
  <si>
    <t>https://ProfCatedra2024.sawtoothsoftware.com/cgi-bin/ciwweb.pl?studyname=ProfCatedra2024&amp;Correo=ALBERTODUQUERAMIREZ@GMAIL.COM1</t>
  </si>
  <si>
    <t>aldemar.moreno@unisabana.edu.co</t>
  </si>
  <si>
    <t>aldemar.moreno@unisabana.edu.co1</t>
  </si>
  <si>
    <t>https://ProfCatedra2024.sawtoothsoftware.com/cgi-bin/ciwweb.pl?studyname=ProfCatedra2024&amp;Correo=aldemar.moreno@unisabana.edu.co1</t>
  </si>
  <si>
    <t>alejandra.henao@unisabana.edu.co</t>
  </si>
  <si>
    <t>alejandra.henao@unisabana.edu.co1</t>
  </si>
  <si>
    <t>https://ProfCatedra2024.sawtoothsoftware.com/cgi-bin/ciwweb.pl?studyname=ProfCatedra2024&amp;Correo=alejandra.henao@unisabana.edu.co1</t>
  </si>
  <si>
    <t>alejandro.castro1@unisabana.edu.co</t>
  </si>
  <si>
    <t>alejandro.castro1@unisabana.edu.co1</t>
  </si>
  <si>
    <t>https://ProfCatedra2024.sawtoothsoftware.com/cgi-bin/ciwweb.pl?studyname=ProfCatedra2024&amp;Correo=alejandro.castro1@unisabana.edu.co1</t>
  </si>
  <si>
    <t>alejandro.munevar@unisabana.edu.co</t>
  </si>
  <si>
    <t>alejandro.munevar@unisabana.edu.co1</t>
  </si>
  <si>
    <t>https://ProfCatedra2024.sawtoothsoftware.com/cgi-bin/ciwweb.pl?studyname=ProfCatedra2024&amp;Correo=alejandro.munevar@unisabana.edu.co1</t>
  </si>
  <si>
    <t>alexandra.jimenez1@unisabana.edu.co</t>
  </si>
  <si>
    <t>alexandra.jimenez1@unisabana.edu.co03</t>
  </si>
  <si>
    <t>Especializaciï¿½n en Gestiï¿½n para el Desarrollo Humano en la Organizaciï¿½n - Bucaramanga</t>
  </si>
  <si>
    <t>https://ProfCatedra2024.sawtoothsoftware.com/cgi-bin/ciwweb.pl?studyname=ProfCatedra2024&amp;Correo=alexandra.jimenez1@unisabana.edu.co03</t>
  </si>
  <si>
    <t>alexandra.rodriguez_cont@unisabana.edu.co</t>
  </si>
  <si>
    <t>alexandra.rodriguez_cont@unisabana.edu.co07</t>
  </si>
  <si>
    <t>https://ProfCatedra2024.sawtoothsoftware.com/cgi-bin/ciwweb.pl?studyname=ProfCatedra2024&amp;Correo=alexandra.rodriguez_cont@unisabana.edu.co07</t>
  </si>
  <si>
    <t>alfonso.cubillos@unisabana.edu.co</t>
  </si>
  <si>
    <t>alfonso.cubillos@unisabana.edu.co01</t>
  </si>
  <si>
    <t>Maestrï¿½a en Analï¿½tica Aplicada - Chï¿½a</t>
  </si>
  <si>
    <t>https://ProfCatedra2024.sawtoothsoftware.com/cgi-bin/ciwweb.pl?studyname=ProfCatedra2024&amp;Correo=alfonso.cubillos@unisabana.edu.co01</t>
  </si>
  <si>
    <t>alirio.angarita@unisabana.edu.co</t>
  </si>
  <si>
    <t>alirio.angarita@unisabana.edu.co1</t>
  </si>
  <si>
    <t>https://ProfCatedra2024.sawtoothsoftware.com/cgi-bin/ciwweb.pl?studyname=ProfCatedra2024&amp;Correo=alirio.angarita@unisabana.edu.co1</t>
  </si>
  <si>
    <t>alvaro.moncada1@unisabana.edu.co</t>
  </si>
  <si>
    <t>alvaro.moncada1@unisabana.edu.co1</t>
  </si>
  <si>
    <t>https://ProfCatedra2024.sawtoothsoftware.com/cgi-bin/ciwweb.pl?studyname=ProfCatedra2024&amp;Correo=alvaro.moncada1@unisabana.edu.co1</t>
  </si>
  <si>
    <t>alvarosiehe@unisabana.edu.co</t>
  </si>
  <si>
    <t>alvarosiehe@unisabana.edu.co1</t>
  </si>
  <si>
    <t>https://ProfCatedra2024.sawtoothsoftware.com/cgi-bin/ciwweb.pl?studyname=ProfCatedra2024&amp;Correo=alvarosiehe@unisabana.edu.co1</t>
  </si>
  <si>
    <t>amelita99@yahoo.com</t>
  </si>
  <si>
    <t>AMELITA99@YAHOO.COM1</t>
  </si>
  <si>
    <t>https://ProfCatedra2024.sawtoothsoftware.com/cgi-bin/ciwweb.pl?studyname=ProfCatedra2024&amp;Correo=AMELITA99@YAHOO.COM1</t>
  </si>
  <si>
    <t>ana.grandas1@unisabana.edu.co</t>
  </si>
  <si>
    <t>ana.grandas1@unisabana.edu.co1</t>
  </si>
  <si>
    <t>https://ProfCatedra2024.sawtoothsoftware.com/cgi-bin/ciwweb.pl?studyname=ProfCatedra2024&amp;Correo=ana.grandas1@unisabana.edu.co1</t>
  </si>
  <si>
    <t>ana.herrera7@unisabana.edu.co</t>
  </si>
  <si>
    <t>ana.herrera7@unisabana.edu.co07</t>
  </si>
  <si>
    <t>https://ProfCatedra2024.sawtoothsoftware.com/cgi-bin/ciwweb.pl?studyname=ProfCatedra2024&amp;Correo=ana.herrera7@unisabana.edu.co07</t>
  </si>
  <si>
    <t>ana.moya@unisabana.edu.co</t>
  </si>
  <si>
    <t>ana.moya@unisabana.edu.co1</t>
  </si>
  <si>
    <t>https://ProfCatedra2024.sawtoothsoftware.com/cgi-bin/ciwweb.pl?studyname=ProfCatedra2024&amp;Correo=ana.moya@unisabana.edu.co1</t>
  </si>
  <si>
    <t>ana.olivos@unisabana.edu.co</t>
  </si>
  <si>
    <t>ana.olivos@unisabana.edu.co1</t>
  </si>
  <si>
    <t>https://ProfCatedra2024.sawtoothsoftware.com/cgi-bin/ciwweb.pl?studyname=ProfCatedra2024&amp;Correo=ana.olivos@unisabana.edu.co1</t>
  </si>
  <si>
    <t>ana.rodriguez6@unisabana.edu.co</t>
  </si>
  <si>
    <t>ana.rodriguez6@unisabana.edu.co1</t>
  </si>
  <si>
    <t>https://ProfCatedra2024.sawtoothsoftware.com/cgi-bin/ciwweb.pl?studyname=ProfCatedra2024&amp;Correo=ana.rodriguez6@unisabana.edu.co1</t>
  </si>
  <si>
    <t>ana.zambrano@unisabana.edu.co</t>
  </si>
  <si>
    <t>ana.zambrano@unisabana.edu.co1</t>
  </si>
  <si>
    <t>https://ProfCatedra2024.sawtoothsoftware.com/cgi-bin/ciwweb.pl?studyname=ProfCatedra2024&amp;Correo=ana.zambrano@unisabana.edu.co1</t>
  </si>
  <si>
    <t>anamariagarciagaleano@gmail.com</t>
  </si>
  <si>
    <t>ANAMARIAGARCIAGALEANO@GMAIL.COM1</t>
  </si>
  <si>
    <t>Especializaciï¿½n en Derecho Tributario - Chï¿½a</t>
  </si>
  <si>
    <t>https://ProfCatedra2024.sawtoothsoftware.com/cgi-bin/ciwweb.pl?studyname=ProfCatedra2024&amp;Correo=ANAMARIAGARCIAGALEANO@GMAIL.COM1</t>
  </si>
  <si>
    <t>andherrerag@gmail.com</t>
  </si>
  <si>
    <t>andherrerag@gmail.com1</t>
  </si>
  <si>
    <t>Maestrï¿½a en Gerencia de Inversiï¿½n</t>
  </si>
  <si>
    <t>https://ProfCatedra2024.sawtoothsoftware.com/cgi-bin/ciwweb.pl?studyname=ProfCatedra2024&amp;Correo=andherrerag@gmail.com1</t>
  </si>
  <si>
    <t>andherrerag@gmail.com2</t>
  </si>
  <si>
    <t>Maestrï¿½a en Gerencia de Inversiï¿½n - Virtual</t>
  </si>
  <si>
    <t>https://ProfCatedra2024.sawtoothsoftware.com/cgi-bin/ciwweb.pl?studyname=ProfCatedra2024&amp;Correo=andherrerag@gmail.com2</t>
  </si>
  <si>
    <t>andrea.areiza@unisabana.edu.co</t>
  </si>
  <si>
    <t>andrea.areiza@unisabana.edu.co1</t>
  </si>
  <si>
    <t>https://ProfCatedra2024.sawtoothsoftware.com/cgi-bin/ciwweb.pl?studyname=ProfCatedra2024&amp;Correo=andrea.areiza@unisabana.edu.co1</t>
  </si>
  <si>
    <t>andrea.ceballos@unisabana.edu.co</t>
  </si>
  <si>
    <t>andrea.ceballos@unisabana.edu.co01</t>
  </si>
  <si>
    <t>https://ProfCatedra2024.sawtoothsoftware.com/cgi-bin/ciwweb.pl?studyname=ProfCatedra2024&amp;Correo=andrea.ceballos@unisabana.edu.co01</t>
  </si>
  <si>
    <t>andrea.ceballos@unisabana.edu.co1</t>
  </si>
  <si>
    <t>https://ProfCatedra2024.sawtoothsoftware.com/cgi-bin/ciwweb.pl?studyname=ProfCatedra2024&amp;Correo=andrea.ceballos@unisabana.edu.co1</t>
  </si>
  <si>
    <t>andrea.paez1@unisabana.edu.co</t>
  </si>
  <si>
    <t>andrea.paez1@unisabana.edu.co1</t>
  </si>
  <si>
    <t>https://ProfCatedra2024.sawtoothsoftware.com/cgi-bin/ciwweb.pl?studyname=ProfCatedra2024&amp;Correo=andrea.paez1@unisabana.edu.co1</t>
  </si>
  <si>
    <t>andrea.restrepo@unisabana.edu.co</t>
  </si>
  <si>
    <t>andrea.restrepo@unisabana.edu.co1</t>
  </si>
  <si>
    <t>https://ProfCatedra2024.sawtoothsoftware.com/cgi-bin/ciwweb.pl?studyname=ProfCatedra2024&amp;Correo=andrea.restrepo@unisabana.edu.co1</t>
  </si>
  <si>
    <t>andreasuajim@unisabana.edu.co</t>
  </si>
  <si>
    <t>andreasuajim@unisabana.edu.co1</t>
  </si>
  <si>
    <t>https://ProfCatedra2024.sawtoothsoftware.com/cgi-bin/ciwweb.pl?studyname=ProfCatedra2024&amp;Correo=andreasuajim@unisabana.edu.co1</t>
  </si>
  <si>
    <t>andres.cardona1@unisabana.edu.co</t>
  </si>
  <si>
    <t>andres.cardona1@unisabana.edu.co03</t>
  </si>
  <si>
    <t>https://ProfCatedra2024.sawtoothsoftware.com/cgi-bin/ciwweb.pl?studyname=ProfCatedra2024&amp;Correo=andres.cardona1@unisabana.edu.co03</t>
  </si>
  <si>
    <t>andres.cardona1@unisabana.edu.co1</t>
  </si>
  <si>
    <t>https://ProfCatedra2024.sawtoothsoftware.com/cgi-bin/ciwweb.pl?studyname=ProfCatedra2024&amp;Correo=andres.cardona1@unisabana.edu.co1</t>
  </si>
  <si>
    <t>andres.carreno@unisabana.edu.co</t>
  </si>
  <si>
    <t>andres.carreno@Unisabana.edu.co01</t>
  </si>
  <si>
    <t>https://ProfCatedra2024.sawtoothsoftware.com/cgi-bin/ciwweb.pl?studyname=ProfCatedra2024&amp;Correo=andres.carreno@Unisabana.edu.co01</t>
  </si>
  <si>
    <t>andres.montanez1@unisabana.edu.co</t>
  </si>
  <si>
    <t>andres.montanez1@unisabana.edu.co1</t>
  </si>
  <si>
    <t>https://ProfCatedra2024.sawtoothsoftware.com/cgi-bin/ciwweb.pl?studyname=ProfCatedra2024&amp;Correo=andres.montanez1@unisabana.edu.co1</t>
  </si>
  <si>
    <t>andres.ordonez1@unisabana.edu.co</t>
  </si>
  <si>
    <t>andres.ordonez1@unisabana.edu.co1</t>
  </si>
  <si>
    <t>https://ProfCatedra2024.sawtoothsoftware.com/cgi-bin/ciwweb.pl?studyname=ProfCatedra2024&amp;Correo=andres.ordonez1@unisabana.edu.co1</t>
  </si>
  <si>
    <t>andres.ortiz9@unisabana.edu.co</t>
  </si>
  <si>
    <t>andres.ortiz9@unisabana.edu.co1</t>
  </si>
  <si>
    <t>https://ProfCatedra2024.sawtoothsoftware.com/cgi-bin/ciwweb.pl?studyname=ProfCatedra2024&amp;Correo=andres.ortiz9@unisabana.edu.co1</t>
  </si>
  <si>
    <t>andres.robayo1@unisabana.edu.co</t>
  </si>
  <si>
    <t>andres.robayo1@unisabana.edu.co1</t>
  </si>
  <si>
    <t>https://ProfCatedra2024.sawtoothsoftware.com/cgi-bin/ciwweb.pl?studyname=ProfCatedra2024&amp;Correo=andres.robayo1@unisabana.edu.co1</t>
  </si>
  <si>
    <t>andres.rodriguez14@unisabana.edu.co</t>
  </si>
  <si>
    <t>andres.rodriguez14@unisabana.edu.co1</t>
  </si>
  <si>
    <t>https://ProfCatedra2024.sawtoothsoftware.com/cgi-bin/ciwweb.pl?studyname=ProfCatedra2024&amp;Correo=andres.rodriguez14@unisabana.edu.co1</t>
  </si>
  <si>
    <t>andres.rojas4@unisabana.edu.co</t>
  </si>
  <si>
    <t>andres.rojas4@unisabana.edu.co1</t>
  </si>
  <si>
    <t>https://ProfCatedra2024.sawtoothsoftware.com/cgi-bin/ciwweb.pl?studyname=ProfCatedra2024&amp;Correo=andres.rojas4@unisabana.edu.co1</t>
  </si>
  <si>
    <t>andres.torres4@unisabana.edu.co</t>
  </si>
  <si>
    <t>andres.torres4@unisabana.edu.co1</t>
  </si>
  <si>
    <t>https://ProfCatedra2024.sawtoothsoftware.com/cgi-bin/ciwweb.pl?studyname=ProfCatedra2024&amp;Correo=andres.torres4@unisabana.edu.co1</t>
  </si>
  <si>
    <t>andrescarrillo@usantotomas.edu.co</t>
  </si>
  <si>
    <t>ANDRESCARRILLO@USANTOTOMAS.edu.co01</t>
  </si>
  <si>
    <t>https://ProfCatedra2024.sawtoothsoftware.com/cgi-bin/ciwweb.pl?studyname=ProfCatedra2024&amp;Correo=ANDRESCARRILLO@USANTOTOMAS.edu.co01</t>
  </si>
  <si>
    <t>andresrodriguez@hotmail.fr1</t>
  </si>
  <si>
    <t>ANDRESRODRIGUEZ@HOTMAIL.FR1</t>
  </si>
  <si>
    <t>https://ProfCatedra2024.sawtoothsoftware.com/cgi-bin/ciwweb.pl?studyname=ProfCatedra2024&amp;Correo=ANDRESRODRIGUEZ@HOTMAIL.FR1</t>
  </si>
  <si>
    <t>angel.gutierrez@unisabana.edu.co</t>
  </si>
  <si>
    <t>angel.gutierrez@unisabana.edu.co01</t>
  </si>
  <si>
    <t>https://ProfCatedra2024.sawtoothsoftware.com/cgi-bin/ciwweb.pl?studyname=ProfCatedra2024&amp;Correo=angel.gutierrez@unisabana.edu.co01</t>
  </si>
  <si>
    <t>angela.dominguez2@unisabana.edu.co</t>
  </si>
  <si>
    <t>angela.dominguez2@unisabana.edu.co1</t>
  </si>
  <si>
    <t>https://ProfCatedra2024.sawtoothsoftware.com/cgi-bin/ciwweb.pl?studyname=ProfCatedra2024&amp;Correo=angela.dominguez2@unisabana.edu.co1</t>
  </si>
  <si>
    <t>angela.hernandez4@unisabana.edu.co</t>
  </si>
  <si>
    <t>angela.hernandez4@unisabana.edu.co1</t>
  </si>
  <si>
    <t>https://ProfCatedra2024.sawtoothsoftware.com/cgi-bin/ciwweb.pl?studyname=ProfCatedra2024&amp;Correo=angela.hernandez4@unisabana.edu.co1</t>
  </si>
  <si>
    <t>angela.rodriguez3@unisabana.edu.co</t>
  </si>
  <si>
    <t>angela.rodriguez3@unisabana.edu.co1</t>
  </si>
  <si>
    <t>https://ProfCatedra2024.sawtoothsoftware.com/cgi-bin/ciwweb.pl?studyname=ProfCatedra2024&amp;Correo=angela.rodriguez3@unisabana.edu.co1</t>
  </si>
  <si>
    <t>angela.vargas5@unisabana.edu.co</t>
  </si>
  <si>
    <t>angela.vargas5@unisabana.edu.co1</t>
  </si>
  <si>
    <t>https://ProfCatedra2024.sawtoothsoftware.com/cgi-bin/ciwweb.pl?studyname=ProfCatedra2024&amp;Correo=angela.vargas5@unisabana.edu.co1</t>
  </si>
  <si>
    <t>angelgup@unisabana.edu.co</t>
  </si>
  <si>
    <t>angelgup@unisabana.edu.co01</t>
  </si>
  <si>
    <t>Maestrï¿½a en Gerencia Estratï¿½gica</t>
  </si>
  <si>
    <t>https://ProfCatedra2024.sawtoothsoftware.com/cgi-bin/ciwweb.pl?studyname=ProfCatedra2024&amp;Correo=angelgup@unisabana.edu.co01</t>
  </si>
  <si>
    <t>angelica.bejarano@unisabana.edu.co</t>
  </si>
  <si>
    <t>angelica.bejarano@unisabana.edu.co1</t>
  </si>
  <si>
    <t>https://ProfCatedra2024.sawtoothsoftware.com/cgi-bin/ciwweb.pl?studyname=ProfCatedra2024&amp;Correo=angelica.bejarano@unisabana.edu.co1</t>
  </si>
  <si>
    <t>angelica.nieves1@unisabana.edu.co</t>
  </si>
  <si>
    <t>angelica.nieves1@unisabana.edu.co1</t>
  </si>
  <si>
    <t>https://ProfCatedra2024.sawtoothsoftware.com/cgi-bin/ciwweb.pl?studyname=ProfCatedra2024&amp;Correo=angelica.nieves1@unisabana.edu.co1</t>
  </si>
  <si>
    <t>annabel.astuy_cont@unisabana.edu.co</t>
  </si>
  <si>
    <t>annabel.astuy_cont@unisabana.edu.co07</t>
  </si>
  <si>
    <t>https://ProfCatedra2024.sawtoothsoftware.com/cgi-bin/ciwweb.pl?studyname=ProfCatedra2024&amp;Correo=annabel.astuy_cont@unisabana.edu.co07</t>
  </si>
  <si>
    <t>antonia.gacharna@unisabana.edu.co</t>
  </si>
  <si>
    <t>antonia.gacharna@unisabana.edu.co1</t>
  </si>
  <si>
    <t>https://ProfCatedra2024.sawtoothsoftware.com/cgi-bin/ciwweb.pl?studyname=ProfCatedra2024&amp;Correo=antonia.gacharna@unisabana.edu.co1</t>
  </si>
  <si>
    <t>arley.calderon@unisabana.edu.co</t>
  </si>
  <si>
    <t>Arley.Calderon@unisabana.edu.co1</t>
  </si>
  <si>
    <t>https://ProfCatedra2024.sawtoothsoftware.com/cgi-bin/ciwweb.pl?studyname=ProfCatedra2024&amp;Correo=Arley.Calderon@unisabana.edu.co1</t>
  </si>
  <si>
    <t>asmith.parra@gmail.com</t>
  </si>
  <si>
    <t>asmith.parra@gmail.com1</t>
  </si>
  <si>
    <t>Maestrï¿½a en Gerencia Internacional</t>
  </si>
  <si>
    <t>https://ProfCatedra2024.sawtoothsoftware.com/cgi-bin/ciwweb.pl?studyname=ProfCatedra2024&amp;Correo=asmith.parra@gmail.com1</t>
  </si>
  <si>
    <t>augusto.delgadillo@unisabana.edu.co</t>
  </si>
  <si>
    <t>augusto.delgadillo@unisabana.edu.co01</t>
  </si>
  <si>
    <t>Especializaciï¿½n en Gerencia de Riesgos - Chï¿½a</t>
  </si>
  <si>
    <t>https://ProfCatedra2024.sawtoothsoftware.com/cgi-bin/ciwweb.pl?studyname=ProfCatedra2024&amp;Correo=augusto.delgadillo@unisabana.edu.co01</t>
  </si>
  <si>
    <t>beatriz.herrera@unisabana.edu.co</t>
  </si>
  <si>
    <t>beatriz.herrera@unisabana.edu.co01</t>
  </si>
  <si>
    <t>https://ProfCatedra2024.sawtoothsoftware.com/cgi-bin/ciwweb.pl?studyname=ProfCatedra2024&amp;Correo=beatriz.herrera@unisabana.edu.co01</t>
  </si>
  <si>
    <t>beatriz.herrera@unisabana.edu.co02</t>
  </si>
  <si>
    <t>Especializaciï¿½n en Gestiï¿½n para el Desarrollo Humano en la Organizaciï¿½n - Chï¿½a</t>
  </si>
  <si>
    <t>https://ProfCatedra2024.sawtoothsoftware.com/cgi-bin/ciwweb.pl?studyname=ProfCatedra2024&amp;Correo=beatriz.herrera@unisabana.edu.co02</t>
  </si>
  <si>
    <t>belvy.sanchez@unisabana.edu.co</t>
  </si>
  <si>
    <t>belvy.sanchez@unisabana.edu.co1</t>
  </si>
  <si>
    <t>https://ProfCatedra2024.sawtoothsoftware.com/cgi-bin/ciwweb.pl?studyname=ProfCatedra2024&amp;Correo=belvy.sanchez@unisabana.edu.co1</t>
  </si>
  <si>
    <t>benjamin.venegas@unisabana.edu.co</t>
  </si>
  <si>
    <t>benjamin.venegas@unisabana.edu.co1</t>
  </si>
  <si>
    <t>https://ProfCatedra2024.sawtoothsoftware.com/cgi-bin/ciwweb.pl?studyname=ProfCatedra2024&amp;Correo=benjamin.venegas@unisabana.edu.co1</t>
  </si>
  <si>
    <t>bernardo.luque@unisabana.edu.co</t>
  </si>
  <si>
    <t>bernardo.luque@unisabana.edu.co1</t>
  </si>
  <si>
    <t>https://ProfCatedra2024.sawtoothsoftware.com/cgi-bin/ciwweb.pl?studyname=ProfCatedra2024&amp;Correo=bernardo.luque@unisabana.edu.co1</t>
  </si>
  <si>
    <t>bibiana.ramirez@unisabana.edu.co</t>
  </si>
  <si>
    <t>bibiana.ramirez@unisabana.edu.co1</t>
  </si>
  <si>
    <t>https://ProfCatedra2024.sawtoothsoftware.com/cgi-bin/ciwweb.pl?studyname=ProfCatedra2024&amp;Correo=bibiana.ramirez@unisabana.edu.co1</t>
  </si>
  <si>
    <t>bohorquezsandoval@gmail.com</t>
  </si>
  <si>
    <t>BOHORQUEZSANDOVAL@GMAIL.COM1</t>
  </si>
  <si>
    <t>https://ProfCatedra2024.sawtoothsoftware.com/cgi-bin/ciwweb.pl?studyname=ProfCatedra2024&amp;Correo=BOHORQUEZSANDOVAL@GMAIL.COM1</t>
  </si>
  <si>
    <t>brianda.sarmiento@unisabana.edu.co</t>
  </si>
  <si>
    <t>brianda.sarmiento@unisabana.edu.co01</t>
  </si>
  <si>
    <t>https://ProfCatedra2024.sawtoothsoftware.com/cgi-bin/ciwweb.pl?studyname=ProfCatedra2024&amp;Correo=brianda.sarmiento@unisabana.edu.co01</t>
  </si>
  <si>
    <t>brianda.sarmiento@unisabana.edu.co02</t>
  </si>
  <si>
    <t>MAESTRï¿½A EN DESARROLLO INFANTIL - GUAJIRA</t>
  </si>
  <si>
    <t>https://ProfCatedra2024.sawtoothsoftware.com/cgi-bin/ciwweb.pl?studyname=ProfCatedra2024&amp;Correo=brianda.sarmiento@unisabana.edu.co02</t>
  </si>
  <si>
    <t>brianda.sarmiento@unisabana.edu.co1</t>
  </si>
  <si>
    <t>https://ProfCatedra2024.sawtoothsoftware.com/cgi-bin/ciwweb.pl?studyname=ProfCatedra2024&amp;Correo=brianda.sarmiento@unisabana.edu.co1</t>
  </si>
  <si>
    <t>camila.moreno1@unisabana.edu.co</t>
  </si>
  <si>
    <t>camila.moreno1@unisabana.edu.co1</t>
  </si>
  <si>
    <t>https://ProfCatedra2024.sawtoothsoftware.com/cgi-bin/ciwweb.pl?studyname=ProfCatedra2024&amp;Correo=camila.moreno1@unisabana.edu.co1</t>
  </si>
  <si>
    <t>camilo.gomez5@unisabana.edu.co</t>
  </si>
  <si>
    <t>camilo.gomez5@unisabana.edu.co1</t>
  </si>
  <si>
    <t>https://ProfCatedra2024.sawtoothsoftware.com/cgi-bin/ciwweb.pl?studyname=ProfCatedra2024&amp;Correo=camilo.gomez5@unisabana.edu.co1</t>
  </si>
  <si>
    <t>camilo.navarrete@unisabana.edu.co</t>
  </si>
  <si>
    <t>camilo.navarrete@unisabana.edu.co01</t>
  </si>
  <si>
    <t>Maestrï¿½a en Teologï¿½a - Chï¿½a</t>
  </si>
  <si>
    <t>https://ProfCatedra2024.sawtoothsoftware.com/cgi-bin/ciwweb.pl?studyname=ProfCatedra2024&amp;Correo=camilo.navarrete@unisabana.edu.co01</t>
  </si>
  <si>
    <t>camilo.rincon2@unisabana.edu.co</t>
  </si>
  <si>
    <t>camilo.rincon2@unisabana.edu.co01</t>
  </si>
  <si>
    <t>https://ProfCatedra2024.sawtoothsoftware.com/cgi-bin/ciwweb.pl?studyname=ProfCatedra2024&amp;Correo=camilo.rincon2@unisabana.edu.co01</t>
  </si>
  <si>
    <t>camilo.salazar1@unisabana.edu.co</t>
  </si>
  <si>
    <t>camilo.salazar1@unisabana.edu.co1</t>
  </si>
  <si>
    <t>https://ProfCatedra2024.sawtoothsoftware.com/cgi-bin/ciwweb.pl?studyname=ProfCatedra2024&amp;Correo=camilo.salazar1@unisabana.edu.co1</t>
  </si>
  <si>
    <t>camilo.torres@unisabana.edu.co</t>
  </si>
  <si>
    <t>camilo.torres@unisabana.edu.co01</t>
  </si>
  <si>
    <t>https://ProfCatedra2024.sawtoothsoftware.com/cgi-bin/ciwweb.pl?studyname=ProfCatedra2024&amp;Correo=camilo.torres@unisabana.edu.co01</t>
  </si>
  <si>
    <t>carlo.sarmiento@unisabana.edu.co</t>
  </si>
  <si>
    <t>carlo.sarmiento@unisabana.edu.co01</t>
  </si>
  <si>
    <t>Maestrï¿½a en Periodismo y Comunicaciï¿½n Digital</t>
  </si>
  <si>
    <t>https://ProfCatedra2024.sawtoothsoftware.com/cgi-bin/ciwweb.pl?studyname=ProfCatedra2024&amp;Correo=carlo.sarmiento@unisabana.edu.co01</t>
  </si>
  <si>
    <t>carlo.sarmiento@unisabana.edu.co1</t>
  </si>
  <si>
    <t>https://ProfCatedra2024.sawtoothsoftware.com/cgi-bin/ciwweb.pl?studyname=ProfCatedra2024&amp;Correo=carlo.sarmiento@unisabana.edu.co1</t>
  </si>
  <si>
    <t>carlo.sarmiento@unisabana.edu.co2</t>
  </si>
  <si>
    <t>https://ProfCatedra2024.sawtoothsoftware.com/cgi-bin/ciwweb.pl?studyname=ProfCatedra2024&amp;Correo=carlo.sarmiento@unisabana.edu.co2</t>
  </si>
  <si>
    <t>carlo.sarmiento@unisabana.edu.co3</t>
  </si>
  <si>
    <t>https://ProfCatedra2024.sawtoothsoftware.com/cgi-bin/ciwweb.pl?studyname=ProfCatedra2024&amp;Correo=carlo.sarmiento@unisabana.edu.co3</t>
  </si>
  <si>
    <t>carlos.aguirre2@unisabana.edu.co</t>
  </si>
  <si>
    <t>carlos.aguirre2@unisabana.edu.co01</t>
  </si>
  <si>
    <t>Especializaciï¿½n en Neumologï¿½a</t>
  </si>
  <si>
    <t>https://ProfCatedra2024.sawtoothsoftware.com/cgi-bin/ciwweb.pl?studyname=ProfCatedra2024&amp;Correo=carlos.aguirre2@unisabana.edu.co01</t>
  </si>
  <si>
    <t>carlos.alvarado2@unisabana.edu.co</t>
  </si>
  <si>
    <t>carlos.alvarado2@unisabana.edu.co1</t>
  </si>
  <si>
    <t>https://ProfCatedra2024.sawtoothsoftware.com/cgi-bin/ciwweb.pl?studyname=ProfCatedra2024&amp;Correo=carlos.alvarado2@unisabana.edu.co1</t>
  </si>
  <si>
    <t>carlos.bustamante@unisabana.edu.co</t>
  </si>
  <si>
    <t>carlos.bustamante@unisabana.edu.co01</t>
  </si>
  <si>
    <t>Especializaciï¿½n en Farmacologï¿½a Clï¿½nica</t>
  </si>
  <si>
    <t>https://ProfCatedra2024.sawtoothsoftware.com/cgi-bin/ciwweb.pl?studyname=ProfCatedra2024&amp;Correo=carlos.bustamante@unisabana.edu.co01</t>
  </si>
  <si>
    <t>carlos.entrena@unisabana.edu.co</t>
  </si>
  <si>
    <t>carlos.entrena@unisabana.edu.co1</t>
  </si>
  <si>
    <t>https://ProfCatedra2024.sawtoothsoftware.com/cgi-bin/ciwweb.pl?studyname=ProfCatedra2024&amp;Correo=carlos.entrena@unisabana.edu.co1</t>
  </si>
  <si>
    <t>carlos.giron@unisabana.edu.co</t>
  </si>
  <si>
    <t>carlos.giron@unisabana.edu.co01</t>
  </si>
  <si>
    <t>Especializaciï¿½n en Gerencia Estratï¿½gica - Medellï¿½n</t>
  </si>
  <si>
    <t>https://ProfCatedra2024.sawtoothsoftware.com/cgi-bin/ciwweb.pl?studyname=ProfCatedra2024&amp;Correo=carlos.giron@unisabana.edu.co01</t>
  </si>
  <si>
    <t>carlos.gomez17@unisabana.edu.co</t>
  </si>
  <si>
    <t>carlos.gomez17@unisabana.edu.co01</t>
  </si>
  <si>
    <t>https://ProfCatedra2024.sawtoothsoftware.com/cgi-bin/ciwweb.pl?studyname=ProfCatedra2024&amp;Correo=carlos.gomez17@unisabana.edu.co01</t>
  </si>
  <si>
    <t>carlos.manrique3@unisabana.edu.co</t>
  </si>
  <si>
    <t>carlos.manrique3@unisabana.edu.co1</t>
  </si>
  <si>
    <t>https://ProfCatedra2024.sawtoothsoftware.com/cgi-bin/ciwweb.pl?studyname=ProfCatedra2024&amp;Correo=carlos.manrique3@unisabana.edu.co1</t>
  </si>
  <si>
    <t>carlos.moreno9@unisabana.edu.co</t>
  </si>
  <si>
    <t>carlos.moreno9@unisabana.edu.co07</t>
  </si>
  <si>
    <t>ESPECIALIZACIÃ“N EN EMPRENDIMIENTO Y NEGOCIOS DIGITALES- CHÃA</t>
  </si>
  <si>
    <t>https://ProfCatedra2024.sawtoothsoftware.com/cgi-bin/ciwweb.pl?studyname=ProfCatedra2024&amp;Correo=carlos.moreno9@unisabana.edu.co07</t>
  </si>
  <si>
    <t>carlos.paz@unisabana.edu.co</t>
  </si>
  <si>
    <t>carlos.paz@unisabana.edu.co1</t>
  </si>
  <si>
    <t>https://ProfCatedra2024.sawtoothsoftware.com/cgi-bin/ciwweb.pl?studyname=ProfCatedra2024&amp;Correo=carlos.paz@unisabana.edu.co1</t>
  </si>
  <si>
    <t>carlos.rojas@unisabana.edu.co</t>
  </si>
  <si>
    <t>carlos.rojas@unisabana.edu.co01</t>
  </si>
  <si>
    <t>Especializaciï¿½n en Gerencia Estratï¿½gica - Chia</t>
  </si>
  <si>
    <t>https://ProfCatedra2024.sawtoothsoftware.com/cgi-bin/ciwweb.pl?studyname=ProfCatedra2024&amp;Correo=carlos.rojas@unisabana.edu.co01</t>
  </si>
  <si>
    <t>carlos.rojas@unisabana.edu.co02</t>
  </si>
  <si>
    <t>Especializaciï¿½n En Gerencia Estratï¿½gica - Bucaramanga</t>
  </si>
  <si>
    <t>https://ProfCatedra2024.sawtoothsoftware.com/cgi-bin/ciwweb.pl?studyname=ProfCatedra2024&amp;Correo=carlos.rojas@unisabana.edu.co02</t>
  </si>
  <si>
    <t>carlos.sanchez9@unisabana.edu.co</t>
  </si>
  <si>
    <t>carlos.sanchez9@unisabana.edu.co1</t>
  </si>
  <si>
    <t>https://ProfCatedra2024.sawtoothsoftware.com/cgi-bin/ciwweb.pl?studyname=ProfCatedra2024&amp;Correo=carlos.sanchez9@unisabana.edu.co1</t>
  </si>
  <si>
    <t>carlos.torres3@unisabana.edu.co</t>
  </si>
  <si>
    <t>carlos.torres3@unisabana.edu.co01</t>
  </si>
  <si>
    <t>https://ProfCatedra2024.sawtoothsoftware.com/cgi-bin/ciwweb.pl?studyname=ProfCatedra2024&amp;Correo=carlos.torres3@unisabana.edu.co01</t>
  </si>
  <si>
    <t>carlosarturoramirez@hotmail.com</t>
  </si>
  <si>
    <t>CARLOSARTURORAMIREZ@HOTMAIL.COM1</t>
  </si>
  <si>
    <t>https://ProfCatedra2024.sawtoothsoftware.com/cgi-bin/ciwweb.pl?studyname=ProfCatedra2024&amp;Correo=CARLOSARTURORAMIREZ@HOTMAIL.COM1</t>
  </si>
  <si>
    <t>carlosdm@unisabana.edu.co</t>
  </si>
  <si>
    <t>CarlosDM@unisabana.edu.co1</t>
  </si>
  <si>
    <t>https://ProfCatedra2024.sawtoothsoftware.com/cgi-bin/ciwweb.pl?studyname=ProfCatedra2024&amp;Correo=CarlosDM@unisabana.edu.co1</t>
  </si>
  <si>
    <t>carmen.carrero@unisabana.edu.co</t>
  </si>
  <si>
    <t>carmen.carrero@unisabana.edu.co1</t>
  </si>
  <si>
    <t>https://ProfCatedra2024.sawtoothsoftware.com/cgi-bin/ciwweb.pl?studyname=ProfCatedra2024&amp;Correo=carmen.carrero@unisabana.edu.co1</t>
  </si>
  <si>
    <t>carolina.correa4@unisabana.edu.co</t>
  </si>
  <si>
    <t>carolina.correa4@unisabana.edu.co1</t>
  </si>
  <si>
    <t>https://ProfCatedra2024.sawtoothsoftware.com/cgi-bin/ciwweb.pl?studyname=ProfCatedra2024&amp;Correo=carolina.correa4@unisabana.edu.co1</t>
  </si>
  <si>
    <t>carolina.lozano2@unisabana.edu.co</t>
  </si>
  <si>
    <t>carolina.lozano2@unisabana.edu.co1</t>
  </si>
  <si>
    <t>https://ProfCatedra2024.sawtoothsoftware.com/cgi-bin/ciwweb.pl?studyname=ProfCatedra2024&amp;Correo=carolina.lozano2@unisabana.edu.co1</t>
  </si>
  <si>
    <t>carolina.munoz2@unisabana.edu.co</t>
  </si>
  <si>
    <t>carolina.munoz2@unisabana.edu.co1</t>
  </si>
  <si>
    <t>https://ProfCatedra2024.sawtoothsoftware.com/cgi-bin/ciwweb.pl?studyname=ProfCatedra2024&amp;Correo=carolina.munoz2@unisabana.edu.co1</t>
  </si>
  <si>
    <t>carolinavama@unisabana.edu.co</t>
  </si>
  <si>
    <t>Carolinavama@unisabana.edu.co1</t>
  </si>
  <si>
    <t>https://ProfCatedra2024.sawtoothsoftware.com/cgi-bin/ciwweb.pl?studyname=ProfCatedra2024&amp;Correo=Carolinavama@unisabana.edu.co1</t>
  </si>
  <si>
    <t>catalina.yucuma@gmail.com</t>
  </si>
  <si>
    <t>CATALINA.YUCUMA@GMAIL.COM1</t>
  </si>
  <si>
    <t>https://ProfCatedra2024.sawtoothsoftware.com/cgi-bin/ciwweb.pl?studyname=ProfCatedra2024&amp;Correo=CATALINA.YUCUMA@GMAIL.COM1</t>
  </si>
  <si>
    <t>cejaramillo@arrubladevis.com</t>
  </si>
  <si>
    <t>CEJARAMILLO@ARRUBLADEVIS.COM1</t>
  </si>
  <si>
    <t>https://ProfCatedra2024.sawtoothsoftware.com/cgi-bin/ciwweb.pl?studyname=ProfCatedra2024&amp;Correo=CEJARAMILLO@ARRUBLADEVIS.COM1</t>
  </si>
  <si>
    <t>cerezo_manuel26@hotmail.com</t>
  </si>
  <si>
    <t>cerezo_manuel26@hotmail.com1</t>
  </si>
  <si>
    <t>https://ProfCatedra2024.sawtoothsoftware.com/cgi-bin/ciwweb.pl?studyname=ProfCatedra2024&amp;Correo=cerezo_manuel26@hotmail.com1</t>
  </si>
  <si>
    <t>cesar.orjuela1@unisabana.edu.co</t>
  </si>
  <si>
    <t>cesar.orjuela1@unisabana.edu.co1</t>
  </si>
  <si>
    <t>https://ProfCatedra2024.sawtoothsoftware.com/cgi-bin/ciwweb.pl?studyname=ProfCatedra2024&amp;Correo=cesar.orjuela1@unisabana.edu.co1</t>
  </si>
  <si>
    <t>cesar.romero@unisabana.edu.co</t>
  </si>
  <si>
    <t>cesar.romero@unisabana.edu.co1</t>
  </si>
  <si>
    <t>https://ProfCatedra2024.sawtoothsoftware.com/cgi-bin/ciwweb.pl?studyname=ProfCatedra2024&amp;Correo=cesar.romero@unisabana.edu.co1</t>
  </si>
  <si>
    <t>cesar.vega1@unisabana.edu.co</t>
  </si>
  <si>
    <t>cesar.vega1@unisabana.edu.co1</t>
  </si>
  <si>
    <t>https://ProfCatedra2024.sawtoothsoftware.com/cgi-bin/ciwweb.pl?studyname=ProfCatedra2024&amp;Correo=cesar.vega1@unisabana.edu.co1</t>
  </si>
  <si>
    <t>cindi.penagos@unisabana.edu.co</t>
  </si>
  <si>
    <t>cindi.penagos@unisabana.edu.co1</t>
  </si>
  <si>
    <t>https://ProfCatedra2024.sawtoothsoftware.com/cgi-bin/ciwweb.pl?studyname=ProfCatedra2024&amp;Correo=cindi.penagos@unisabana.edu.co1</t>
  </si>
  <si>
    <t>cindy.espitia1@unisabana.edu.co</t>
  </si>
  <si>
    <t>cindy.espitia1@unisabana.edu.co1</t>
  </si>
  <si>
    <t>https://ProfCatedra2024.sawtoothsoftware.com/cgi-bin/ciwweb.pl?studyname=ProfCatedra2024&amp;Correo=cindy.espitia1@unisabana.edu.co1</t>
  </si>
  <si>
    <t>cindy.espitia1@unisabana.edu.co2</t>
  </si>
  <si>
    <t>https://ProfCatedra2024.sawtoothsoftware.com/cgi-bin/ciwweb.pl?studyname=ProfCatedra2024&amp;Correo=cindy.espitia1@unisabana.edu.co2</t>
  </si>
  <si>
    <t>cindy.espitia1@unisabana.edu.co3</t>
  </si>
  <si>
    <t>https://ProfCatedra2024.sawtoothsoftware.com/cgi-bin/ciwweb.pl?studyname=ProfCatedra2024&amp;Correo=cindy.espitia1@unisabana.edu.co3</t>
  </si>
  <si>
    <t>cindyesmu@gmail.com</t>
  </si>
  <si>
    <t>CINDYESMU@GMAIL.COM1</t>
  </si>
  <si>
    <t>https://ProfCatedra2024.sawtoothsoftware.com/cgi-bin/ciwweb.pl?studyname=ProfCatedra2024&amp;Correo=CINDYESMU@GMAIL.COM1</t>
  </si>
  <si>
    <t>clara.tarazona@unisabana.edu.co</t>
  </si>
  <si>
    <t>clara.tarazona@unisabana.edu.co1</t>
  </si>
  <si>
    <t>https://ProfCatedra2024.sawtoothsoftware.com/cgi-bin/ciwweb.pl?studyname=ProfCatedra2024&amp;Correo=clara.tarazona@unisabana.edu.co1</t>
  </si>
  <si>
    <t>claudia.becerra1@unisabana.edu.co</t>
  </si>
  <si>
    <t>claudia.becerra1@unisabana.edu.co01</t>
  </si>
  <si>
    <t>https://ProfCatedra2024.sawtoothsoftware.com/cgi-bin/ciwweb.pl?studyname=ProfCatedra2024&amp;Correo=claudia.becerra1@unisabana.edu.co01</t>
  </si>
  <si>
    <t>claudia.lugo1@unisabana.edu.co</t>
  </si>
  <si>
    <t>claudia.lugo1@unisabana.edu.co01</t>
  </si>
  <si>
    <t>Maestrï¿½a en Lingï¿½ï¿½stica Panhispï¿½nica - Chï¿½a</t>
  </si>
  <si>
    <t>https://ProfCatedra2024.sawtoothsoftware.com/cgi-bin/ciwweb.pl?studyname=ProfCatedra2024&amp;Correo=claudia.lugo1@unisabana.edu.co01</t>
  </si>
  <si>
    <t>claudia.pinzon@unisabana.edu.co</t>
  </si>
  <si>
    <t>claudia.pinzon@unisabana.edu.co1</t>
  </si>
  <si>
    <t>https://ProfCatedra2024.sawtoothsoftware.com/cgi-bin/ciwweb.pl?studyname=ProfCatedra2024&amp;Correo=claudia.pinzon@unisabana.edu.co1</t>
  </si>
  <si>
    <t>claudia.romero1@unisabana.edu.co</t>
  </si>
  <si>
    <t>claudia.romero1@unisabana.edu.co1</t>
  </si>
  <si>
    <t>https://ProfCatedra2024.sawtoothsoftware.com/cgi-bin/ciwweb.pl?studyname=ProfCatedra2024&amp;Correo=claudia.romero1@unisabana.edu.co1</t>
  </si>
  <si>
    <t>claudia.romero1@unisabana.edu.co2</t>
  </si>
  <si>
    <t>https://ProfCatedra2024.sawtoothsoftware.com/cgi-bin/ciwweb.pl?studyname=ProfCatedra2024&amp;Correo=claudia.romero1@unisabana.edu.co2</t>
  </si>
  <si>
    <t>claudia.romero1@unisabana.edu.co3</t>
  </si>
  <si>
    <t>https://ProfCatedra2024.sawtoothsoftware.com/cgi-bin/ciwweb.pl?studyname=ProfCatedra2024&amp;Correo=claudia.romero1@unisabana.edu.co3</t>
  </si>
  <si>
    <t>claudia.trujillo@unisabana.edu.co</t>
  </si>
  <si>
    <t>claudia.trujillo@unisabana.edu.co1</t>
  </si>
  <si>
    <t>https://ProfCatedra2024.sawtoothsoftware.com/cgi-bin/ciwweb.pl?studyname=ProfCatedra2024&amp;Correo=claudia.trujillo@unisabana.edu.co1</t>
  </si>
  <si>
    <t>claudiapatriciabarrantes@gmail.com</t>
  </si>
  <si>
    <t>CLAUDIAPATRICIABARRANTES@GMAIL.COM1</t>
  </si>
  <si>
    <t>Especializaciï¿½n en Contrataciï¿½n Estatal - Chï¿½a</t>
  </si>
  <si>
    <t>https://ProfCatedra2024.sawtoothsoftware.com/cgi-bin/ciwweb.pl?studyname=ProfCatedra2024&amp;Correo=CLAUDIAPATRICIABARRANTES@GMAIL.COM1</t>
  </si>
  <si>
    <t>cleliap1@gmail.com</t>
  </si>
  <si>
    <t>cleliap1@gmail.com1</t>
  </si>
  <si>
    <t>https://ProfCatedra2024.sawtoothsoftware.com/cgi-bin/ciwweb.pl?studyname=ProfCatedra2024&amp;Correo=cleliap1@gmail.com1</t>
  </si>
  <si>
    <t>cristhian.canon1@unisabana.edu.co</t>
  </si>
  <si>
    <t>cristhian.canon1@unisabana.edu.co1</t>
  </si>
  <si>
    <t>https://ProfCatedra2024.sawtoothsoftware.com/cgi-bin/ciwweb.pl?studyname=ProfCatedra2024&amp;Correo=cristhian.canon1@unisabana.edu.co1</t>
  </si>
  <si>
    <t>cristian.funeme@unisabana.edu.co</t>
  </si>
  <si>
    <t>cristian.funeme@unisabana.edu.co1</t>
  </si>
  <si>
    <t>https://ProfCatedra2024.sawtoothsoftware.com/cgi-bin/ciwweb.pl?studyname=ProfCatedra2024&amp;Correo=cristian.funeme@unisabana.edu.co1</t>
  </si>
  <si>
    <t>cristian.rodriguez4@unisabana.edu.co</t>
  </si>
  <si>
    <t>cristian.rodriguez4@unisabana.edu.co01</t>
  </si>
  <si>
    <t>https://ProfCatedra2024.sawtoothsoftware.com/cgi-bin/ciwweb.pl?studyname=ProfCatedra2024&amp;Correo=cristian.rodriguez4@unisabana.edu.co01</t>
  </si>
  <si>
    <t>cristian.serrano@unisabana.edu.co</t>
  </si>
  <si>
    <t>cristian.serrano@unisabana.edu.co1</t>
  </si>
  <si>
    <t>https://ProfCatedra2024.sawtoothsoftware.com/cgi-bin/ciwweb.pl?studyname=ProfCatedra2024&amp;Correo=cristian.serrano@unisabana.edu.co1</t>
  </si>
  <si>
    <t>cristinacharry@yahoo.es1</t>
  </si>
  <si>
    <t>CRISTINACHARRY@YAHOO.ES1</t>
  </si>
  <si>
    <t>https://ProfCatedra2024.sawtoothsoftware.com/cgi-bin/ciwweb.pl?studyname=ProfCatedra2024&amp;Correo=CRISTINACHARRY@YAHOO.ES1</t>
  </si>
  <si>
    <t>daniel.ayala1@unisabana.edu.co</t>
  </si>
  <si>
    <t>daniel.ayala1@unisabana.edu.co01</t>
  </si>
  <si>
    <t>https://ProfCatedra2024.sawtoothsoftware.com/cgi-bin/ciwweb.pl?studyname=ProfCatedra2024&amp;Correo=daniel.ayala1@unisabana.edu.co01</t>
  </si>
  <si>
    <t>daniel.ayala1@unisabana.edu.co02</t>
  </si>
  <si>
    <t>https://ProfCatedra2024.sawtoothsoftware.com/cgi-bin/ciwweb.pl?studyname=ProfCatedra2024&amp;Correo=daniel.ayala1@unisabana.edu.co02</t>
  </si>
  <si>
    <t>daniel.ayala1@unisabana.edu.co1</t>
  </si>
  <si>
    <t>https://ProfCatedra2024.sawtoothsoftware.com/cgi-bin/ciwweb.pl?studyname=ProfCatedra2024&amp;Correo=daniel.ayala1@unisabana.edu.co1</t>
  </si>
  <si>
    <t>daniel.ayala1@unisabana.edu.co2</t>
  </si>
  <si>
    <t>https://ProfCatedra2024.sawtoothsoftware.com/cgi-bin/ciwweb.pl?studyname=ProfCatedra2024&amp;Correo=daniel.ayala1@unisabana.edu.co2</t>
  </si>
  <si>
    <t>daniel.gomez5@unisabana.edu.co</t>
  </si>
  <si>
    <t>daniel.gomez5@unisabana.edu.co01</t>
  </si>
  <si>
    <t>Maestrï¿½a en Gerencia de la Innovaciï¿½n</t>
  </si>
  <si>
    <t>https://ProfCatedra2024.sawtoothsoftware.com/cgi-bin/ciwweb.pl?studyname=ProfCatedra2024&amp;Correo=daniel.gomez5@unisabana.edu.co01</t>
  </si>
  <si>
    <t>daniel.parra@unisabana.edu.co</t>
  </si>
  <si>
    <t>daniel.parra@unisabana.edu.co1</t>
  </si>
  <si>
    <t>https://ProfCatedra2024.sawtoothsoftware.com/cgi-bin/ciwweb.pl?studyname=ProfCatedra2024&amp;Correo=daniel.parra@unisabana.edu.co1</t>
  </si>
  <si>
    <t>daniel.ramirez1@unisabana.edu.co</t>
  </si>
  <si>
    <t>daniel.ramirez1@unisabana.edu.co1</t>
  </si>
  <si>
    <t>https://ProfCatedra2024.sawtoothsoftware.com/cgi-bin/ciwweb.pl?studyname=ProfCatedra2024&amp;Correo=daniel.ramirez1@unisabana.edu.co1</t>
  </si>
  <si>
    <t>daniel.rodriguez8@unisabana.edu.co</t>
  </si>
  <si>
    <t>daniel.rodriguez8@unisabana.edu.co01</t>
  </si>
  <si>
    <t>https://ProfCatedra2024.sawtoothsoftware.com/cgi-bin/ciwweb.pl?studyname=ProfCatedra2024&amp;Correo=daniel.rodriguez8@unisabana.edu.co01</t>
  </si>
  <si>
    <t>daniel.saavedra@unisabana.edu.co</t>
  </si>
  <si>
    <t>daniel.saavedra@unisabana.edu.co1</t>
  </si>
  <si>
    <t>https://ProfCatedra2024.sawtoothsoftware.com/cgi-bin/ciwweb.pl?studyname=ProfCatedra2024&amp;Correo=daniel.saavedra@unisabana.edu.co1</t>
  </si>
  <si>
    <t>daniela.barbosa@unisabana.edu.co</t>
  </si>
  <si>
    <t>daniela.barbosa@unisabana.edu.co1</t>
  </si>
  <si>
    <t>https://ProfCatedra2024.sawtoothsoftware.com/cgi-bin/ciwweb.pl?studyname=ProfCatedra2024&amp;Correo=daniela.barbosa@unisabana.edu.co1</t>
  </si>
  <si>
    <t>daniela.jurado@unisabana.edu.co</t>
  </si>
  <si>
    <t>daniela.jurado@unisabana.edu.co1</t>
  </si>
  <si>
    <t>https://ProfCatedra2024.sawtoothsoftware.com/cgi-bin/ciwweb.pl?studyname=ProfCatedra2024&amp;Correo=daniela.jurado@unisabana.edu.co1</t>
  </si>
  <si>
    <t>danna.nunez@unisabana.edu.co</t>
  </si>
  <si>
    <t>danna.nunez@unisabana.edu.co1</t>
  </si>
  <si>
    <t>https://ProfCatedra2024.sawtoothsoftware.com/cgi-bin/ciwweb.pl?studyname=ProfCatedra2024&amp;Correo=danna.nunez@unisabana.edu.co1</t>
  </si>
  <si>
    <t>dario.rojas@unisabana.edu.co</t>
  </si>
  <si>
    <t>dario.rojas@unisabana.edu.co01</t>
  </si>
  <si>
    <t>Especializaciï¿½n en Medicina Familiar y Comunitaria</t>
  </si>
  <si>
    <t>https://ProfCatedra2024.sawtoothsoftware.com/cgi-bin/ciwweb.pl?studyname=ProfCatedra2024&amp;Correo=dario.rojas@unisabana.edu.co01</t>
  </si>
  <si>
    <t>dario.rojas@unisabana.edu.co02</t>
  </si>
  <si>
    <t>Maestrï¿½a en Salud Pï¿½blica</t>
  </si>
  <si>
    <t>https://ProfCatedra2024.sawtoothsoftware.com/cgi-bin/ciwweb.pl?studyname=ProfCatedra2024&amp;Correo=dario.rojas@unisabana.edu.co02</t>
  </si>
  <si>
    <t>dario.rojas@unisabana.edu.co1</t>
  </si>
  <si>
    <t>https://ProfCatedra2024.sawtoothsoftware.com/cgi-bin/ciwweb.pl?studyname=ProfCatedra2024&amp;Correo=dario.rojas@unisabana.edu.co1</t>
  </si>
  <si>
    <t>davendanosura@gmail.com</t>
  </si>
  <si>
    <t>DAVENDANOSURA@GMAIL.COM1</t>
  </si>
  <si>
    <t>https://ProfCatedra2024.sawtoothsoftware.com/cgi-bin/ciwweb.pl?studyname=ProfCatedra2024&amp;Correo=DAVENDANOSURA@GMAIL.COM1</t>
  </si>
  <si>
    <t>david.castaneda1@unisabana.edu.co</t>
  </si>
  <si>
    <t>david.castaneda1@unisabana.edu.co1</t>
  </si>
  <si>
    <t>https://ProfCatedra2024.sawtoothsoftware.com/cgi-bin/ciwweb.pl?studyname=ProfCatedra2024&amp;Correo=david.castaneda1@unisabana.edu.co1</t>
  </si>
  <si>
    <t>david.ruiz@unisabana.edu.co</t>
  </si>
  <si>
    <t>david.ruiz@unisabana.edu.co1</t>
  </si>
  <si>
    <t>https://ProfCatedra2024.sawtoothsoftware.com/cgi-bin/ciwweb.pl?studyname=ProfCatedra2024&amp;Correo=david.ruiz@unisabana.edu.co1</t>
  </si>
  <si>
    <t>david.stewart@unisabana.edu.co</t>
  </si>
  <si>
    <t>david.stewart@unisabana.edu.co1</t>
  </si>
  <si>
    <t>https://ProfCatedra2024.sawtoothsoftware.com/cgi-bin/ciwweb.pl?studyname=ProfCatedra2024&amp;Correo=david.stewart@unisabana.edu.co1</t>
  </si>
  <si>
    <t>davidrozo@gmail.com</t>
  </si>
  <si>
    <t>davidrozo@gmail.com1</t>
  </si>
  <si>
    <t>https://ProfCatedra2024.sawtoothsoftware.com/cgi-bin/ciwweb.pl?studyname=ProfCatedra2024&amp;Correo=davidrozo@gmail.com1</t>
  </si>
  <si>
    <t>dayana.moreno1@unisabana.edu.co</t>
  </si>
  <si>
    <t>dayana.moreno1@unisabana.edu.co1</t>
  </si>
  <si>
    <t>https://ProfCatedra2024.sawtoothsoftware.com/cgi-bin/ciwweb.pl?studyname=ProfCatedra2024&amp;Correo=dayana.moreno1@unisabana.edu.co1</t>
  </si>
  <si>
    <t>dedtmat.garces@unisabana.edu.co</t>
  </si>
  <si>
    <t>dedtmat.garces@unisabana.edu.co1</t>
  </si>
  <si>
    <t>https://ProfCatedra2024.sawtoothsoftware.com/cgi-bin/ciwweb.pl?studyname=ProfCatedra2024&amp;Correo=dedtmat.garces@unisabana.edu.co1</t>
  </si>
  <si>
    <t>dedtmat.garces@unisabana.edu.co2</t>
  </si>
  <si>
    <t>https://ProfCatedra2024.sawtoothsoftware.com/cgi-bin/ciwweb.pl?studyname=ProfCatedra2024&amp;Correo=dedtmat.garces@unisabana.edu.co2</t>
  </si>
  <si>
    <t>dedtmat.garces@unisabana.edu.co3</t>
  </si>
  <si>
    <t>https://ProfCatedra2024.sawtoothsoftware.com/cgi-bin/ciwweb.pl?studyname=ProfCatedra2024&amp;Correo=dedtmat.garces@unisabana.edu.co3</t>
  </si>
  <si>
    <t>deissy.mora@unisabana.edu.co</t>
  </si>
  <si>
    <t>deissy.mora@unisabana.edu.co1</t>
  </si>
  <si>
    <t>https://ProfCatedra2024.sawtoothsoftware.com/cgi-bin/ciwweb.pl?studyname=ProfCatedra2024&amp;Correo=deissy.mora@unisabana.edu.co1</t>
  </si>
  <si>
    <t>deisy.forero@unisabana.edu.co</t>
  </si>
  <si>
    <t>deisy.forero@unisabana.edu.co01</t>
  </si>
  <si>
    <t>https://ProfCatedra2024.sawtoothsoftware.com/cgi-bin/ciwweb.pl?studyname=ProfCatedra2024&amp;Correo=deisy.forero@unisabana.edu.co01</t>
  </si>
  <si>
    <t>deisy.forero@unisabana.edu.co02</t>
  </si>
  <si>
    <t>https://ProfCatedra2024.sawtoothsoftware.com/cgi-bin/ciwweb.pl?studyname=ProfCatedra2024&amp;Correo=deisy.forero@unisabana.edu.co02</t>
  </si>
  <si>
    <t>deisy.quiroz@unisabana.edu.co</t>
  </si>
  <si>
    <t>deisy.quiroz@unisabana.edu.co2</t>
  </si>
  <si>
    <t>https://ProfCatedra2024.sawtoothsoftware.com/cgi-bin/ciwweb.pl?studyname=ProfCatedra2024&amp;Correo=deisy.quiroz@unisabana.edu.co2</t>
  </si>
  <si>
    <t>diana.alvarez1@unisabana.edu.co</t>
  </si>
  <si>
    <t>diana.alvarez1@unisabana.edu.co01</t>
  </si>
  <si>
    <t>https://ProfCatedra2024.sawtoothsoftware.com/cgi-bin/ciwweb.pl?studyname=ProfCatedra2024&amp;Correo=diana.alvarez1@unisabana.edu.co01</t>
  </si>
  <si>
    <t>diana.arcila@unisabana.edu.co</t>
  </si>
  <si>
    <t>diana.arcila@unisabana.edu.co1</t>
  </si>
  <si>
    <t>https://ProfCatedra2024.sawtoothsoftware.com/cgi-bin/ciwweb.pl?studyname=ProfCatedra2024&amp;Correo=diana.arcila@unisabana.edu.co1</t>
  </si>
  <si>
    <t>diana.cardenas4@unisabana.edu.co</t>
  </si>
  <si>
    <t>diana.cardenas4@unisabana.edu.co1</t>
  </si>
  <si>
    <t>https://ProfCatedra2024.sawtoothsoftware.com/cgi-bin/ciwweb.pl?studyname=ProfCatedra2024&amp;Correo=diana.cardenas4@unisabana.edu.co1</t>
  </si>
  <si>
    <t>diana.cruz3@unisabana.edu.co</t>
  </si>
  <si>
    <t>diana.cruz3@unisabana.edu.co01</t>
  </si>
  <si>
    <t>https://ProfCatedra2024.sawtoothsoftware.com/cgi-bin/ciwweb.pl?studyname=ProfCatedra2024&amp;Correo=diana.cruz3@unisabana.edu.co01</t>
  </si>
  <si>
    <t>diana.ferrucho@unisabana.edu.co</t>
  </si>
  <si>
    <t>diana.ferrucho@unisabana.edu.co1</t>
  </si>
  <si>
    <t>https://ProfCatedra2024.sawtoothsoftware.com/cgi-bin/ciwweb.pl?studyname=ProfCatedra2024&amp;Correo=diana.ferrucho@unisabana.edu.co1</t>
  </si>
  <si>
    <t>diana.garzon8@unisabana.edu.co</t>
  </si>
  <si>
    <t>diana.garzon8@unisabana.edu.co1</t>
  </si>
  <si>
    <t>https://ProfCatedra2024.sawtoothsoftware.com/cgi-bin/ciwweb.pl?studyname=ProfCatedra2024&amp;Correo=diana.garzon8@unisabana.edu.co1</t>
  </si>
  <si>
    <t>diana.leguizamon@unisabana.edu.co</t>
  </si>
  <si>
    <t>diana.leguizamon@unisabana.edu.co1</t>
  </si>
  <si>
    <t>https://ProfCatedra2024.sawtoothsoftware.com/cgi-bin/ciwweb.pl?studyname=ProfCatedra2024&amp;Correo=diana.leguizamon@unisabana.edu.co1</t>
  </si>
  <si>
    <t>diana.patarroyo1@unisabana.edu.co</t>
  </si>
  <si>
    <t>diana.patarroyo1@unisabana.edu.co1</t>
  </si>
  <si>
    <t>https://ProfCatedra2024.sawtoothsoftware.com/cgi-bin/ciwweb.pl?studyname=ProfCatedra2024&amp;Correo=diana.patarroyo1@unisabana.edu.co1</t>
  </si>
  <si>
    <t>diana.silva3@unisabana.edu.co</t>
  </si>
  <si>
    <t>diana.silva3@unisabana.edu.co01</t>
  </si>
  <si>
    <t>https://ProfCatedra2024.sawtoothsoftware.com/cgi-bin/ciwweb.pl?studyname=ProfCatedra2024&amp;Correo=diana.silva3@unisabana.edu.co01</t>
  </si>
  <si>
    <t>diana.velasco@unisabana.edu.co</t>
  </si>
  <si>
    <t>diana.velasco@unisabana.edu.co01</t>
  </si>
  <si>
    <t>https://ProfCatedra2024.sawtoothsoftware.com/cgi-bin/ciwweb.pl?studyname=ProfCatedra2024&amp;Correo=diana.velasco@unisabana.edu.co01</t>
  </si>
  <si>
    <t>diana.velasco@unisabana.edu.co1</t>
  </si>
  <si>
    <t>https://ProfCatedra2024.sawtoothsoftware.com/cgi-bin/ciwweb.pl?studyname=ProfCatedra2024&amp;Correo=diana.velasco@unisabana.edu.co1</t>
  </si>
  <si>
    <t>diananimo@unisabana.edu.co</t>
  </si>
  <si>
    <t>diananimo@unisabana.edu.co1</t>
  </si>
  <si>
    <t>https://ProfCatedra2024.sawtoothsoftware.com/cgi-bin/ciwweb.pl?studyname=ProfCatedra2024&amp;Correo=diananimo@unisabana.edu.co1</t>
  </si>
  <si>
    <t>didier.calderon@unisabana.edu.co</t>
  </si>
  <si>
    <t>didier.calderon@unisabana.edu.co1</t>
  </si>
  <si>
    <t>https://ProfCatedra2024.sawtoothsoftware.com/cgi-bin/ciwweb.pl?studyname=ProfCatedra2024&amp;Correo=didier.calderon@unisabana.edu.co1</t>
  </si>
  <si>
    <t>diego.camacho1@unisabana.edu.co</t>
  </si>
  <si>
    <t>diego.camacho1@unisabana.edu.co01</t>
  </si>
  <si>
    <t>Especializaciï¿½n en Gerencia Financiera Internacional - Bogotï¿½</t>
  </si>
  <si>
    <t>https://ProfCatedra2024.sawtoothsoftware.com/cgi-bin/ciwweb.pl?studyname=ProfCatedra2024&amp;Correo=diego.camacho1@unisabana.edu.co01</t>
  </si>
  <si>
    <t>diego.fonseca@unisabana.edu.co</t>
  </si>
  <si>
    <t>diego.fonseca@unisabana.edu.co1</t>
  </si>
  <si>
    <t>https://ProfCatedra2024.sawtoothsoftware.com/cgi-bin/ciwweb.pl?studyname=ProfCatedra2024&amp;Correo=diego.fonseca@unisabana.edu.co1</t>
  </si>
  <si>
    <t>diego.garcia9@unisabana.edu.co</t>
  </si>
  <si>
    <t>diego.garcia9@unisabana.edu.co1</t>
  </si>
  <si>
    <t>https://ProfCatedra2024.sawtoothsoftware.com/cgi-bin/ciwweb.pl?studyname=ProfCatedra2024&amp;Correo=diego.garcia9@unisabana.edu.co1</t>
  </si>
  <si>
    <t>diego.ramirez5@unisabana.edu.co</t>
  </si>
  <si>
    <t>diego.ramirez5@unisabana.edu.co1</t>
  </si>
  <si>
    <t>https://ProfCatedra2024.sawtoothsoftware.com/cgi-bin/ciwweb.pl?studyname=ProfCatedra2024&amp;Correo=diego.ramirez5@unisabana.edu.co1</t>
  </si>
  <si>
    <t>diego.rodriguez11@unisabana.edu.co</t>
  </si>
  <si>
    <t>diego.rodriguez11@unisabana.edu.co01</t>
  </si>
  <si>
    <t>Especializaciï¿½n en Finanzas Corporativas - Chï¿½a</t>
  </si>
  <si>
    <t>https://ProfCatedra2024.sawtoothsoftware.com/cgi-bin/ciwweb.pl?studyname=ProfCatedra2024&amp;Correo=diego.rodriguez11@unisabana.edu.co01</t>
  </si>
  <si>
    <t>diego.rodriguez11@unisabana.edu.co02</t>
  </si>
  <si>
    <t>Especializaciï¿½n en Gerencia Financiera Internacional - Chia</t>
  </si>
  <si>
    <t>https://ProfCatedra2024.sawtoothsoftware.com/cgi-bin/ciwweb.pl?studyname=ProfCatedra2024&amp;Correo=diego.rodriguez11@unisabana.edu.co02</t>
  </si>
  <si>
    <t>doraat@unisabana.edu.co</t>
  </si>
  <si>
    <t>Doraat@unisabana.edu.co01</t>
  </si>
  <si>
    <t>Especializaciï¿½n en Gerencia Comercial - Bogotï¿½</t>
  </si>
  <si>
    <t>https://ProfCatedra2024.sawtoothsoftware.com/cgi-bin/ciwweb.pl?studyname=ProfCatedra2024&amp;Correo=Doraat@unisabana.edu.co01</t>
  </si>
  <si>
    <t>drinconv@gmail.com</t>
  </si>
  <si>
    <t>DRINCONV@GMAIL.COM1</t>
  </si>
  <si>
    <t>Especializaciï¿½n en Derecho y Empresa - Chï¿½a</t>
  </si>
  <si>
    <t>https://ProfCatedra2024.sawtoothsoftware.com/cgi-bin/ciwweb.pl?studyname=ProfCatedra2024&amp;Correo=DRINCONV@GMAIL.COM1</t>
  </si>
  <si>
    <t>DRINCONV@GMAIL.COM2</t>
  </si>
  <si>
    <t>https://ProfCatedra2024.sawtoothsoftware.com/cgi-bin/ciwweb.pl?studyname=ProfCatedra2024&amp;Correo=DRINCONV@GMAIL.COM2</t>
  </si>
  <si>
    <t>eder.ospino1@unisabana.edu.co</t>
  </si>
  <si>
    <t>eder.ospino1@unisabana.edu.co1</t>
  </si>
  <si>
    <t>https://ProfCatedra2024.sawtoothsoftware.com/cgi-bin/ciwweb.pl?studyname=ProfCatedra2024&amp;Correo=eder.ospino1@unisabana.edu.co1</t>
  </si>
  <si>
    <t>edgar.leon.law@gmail.com</t>
  </si>
  <si>
    <t>EDGAR.LEON.LAW@GMAIL.COM1</t>
  </si>
  <si>
    <t>https://ProfCatedra2024.sawtoothsoftware.com/cgi-bin/ciwweb.pl?studyname=ProfCatedra2024&amp;Correo=EDGAR.LEON.LAW@GMAIL.COM1</t>
  </si>
  <si>
    <t>edgar.munoz1@unisabana.edu.co</t>
  </si>
  <si>
    <t>edgar.munoz1@unisabana.edu.co1</t>
  </si>
  <si>
    <t>https://ProfCatedra2024.sawtoothsoftware.com/cgi-bin/ciwweb.pl?studyname=ProfCatedra2024&amp;Correo=edgar.munoz1@unisabana.edu.co1</t>
  </si>
  <si>
    <t>edgar.rey@unisabana.edu.co</t>
  </si>
  <si>
    <t>edgar.rey@unisabana.edu.co1</t>
  </si>
  <si>
    <t>https://ProfCatedra2024.sawtoothsoftware.com/cgi-bin/ciwweb.pl?studyname=ProfCatedra2024&amp;Correo=edgar.rey@unisabana.edu.co1</t>
  </si>
  <si>
    <t>edgardo.cuello@unisabana.edu.co</t>
  </si>
  <si>
    <t>edgardo.cuello@unisabana.edu.co01</t>
  </si>
  <si>
    <t>Especializaciï¿½n En Gerencia Estratï¿½gica - Villavicencio</t>
  </si>
  <si>
    <t>https://ProfCatedra2024.sawtoothsoftware.com/cgi-bin/ciwweb.pl?studyname=ProfCatedra2024&amp;Correo=edgardo.cuello@unisabana.edu.co01</t>
  </si>
  <si>
    <t>eduardo.acuna1@unisabana.edu.co</t>
  </si>
  <si>
    <t>eduardo.acuna1@unisabana.edu.co1</t>
  </si>
  <si>
    <t>https://ProfCatedra2024.sawtoothsoftware.com/cgi-bin/ciwweb.pl?studyname=ProfCatedra2024&amp;Correo=eduardo.acuna1@unisabana.edu.co1</t>
  </si>
  <si>
    <t>eduardo.ribeiro@unisabana.edu.co</t>
  </si>
  <si>
    <t>eduardo.ribeiro@unisabana.edu.co1</t>
  </si>
  <si>
    <t>https://ProfCatedra2024.sawtoothsoftware.com/cgi-bin/ciwweb.pl?studyname=ProfCatedra2024&amp;Correo=eduardo.ribeiro@unisabana.edu.co1</t>
  </si>
  <si>
    <t>efrain.fierro@unisabana.edu.co</t>
  </si>
  <si>
    <t>efrain.fierro@unisabana.edu.co1</t>
  </si>
  <si>
    <t>https://ProfCatedra2024.sawtoothsoftware.com/cgi-bin/ciwweb.pl?studyname=ProfCatedra2024&amp;Correo=efrain.fierro@unisabana.edu.co1</t>
  </si>
  <si>
    <t>ejustariz@ustarizabogados.com</t>
  </si>
  <si>
    <t>EJUSTARIZ@USTARIZABOGADOS.COM1</t>
  </si>
  <si>
    <t>https://ProfCatedra2024.sawtoothsoftware.com/cgi-bin/ciwweb.pl?studyname=ProfCatedra2024&amp;Correo=EJUSTARIZ@USTARIZABOGADOS.COM1</t>
  </si>
  <si>
    <t>EJUSTARIZ@USTARIZABOGADOS.COM2</t>
  </si>
  <si>
    <t>https://ProfCatedra2024.sawtoothsoftware.com/cgi-bin/ciwweb.pl?studyname=ProfCatedra2024&amp;Correo=EJUSTARIZ@USTARIZABOGADOS.COM2</t>
  </si>
  <si>
    <t>eliana.lozano@unisabana.edu.co</t>
  </si>
  <si>
    <t>eliana.lozano@unisabana.edu.co1</t>
  </si>
  <si>
    <t>https://ProfCatedra2024.sawtoothsoftware.com/cgi-bin/ciwweb.pl?studyname=ProfCatedra2024&amp;Correo=eliana.lozano@unisabana.edu.co1</t>
  </si>
  <si>
    <t>eliana.mahecha@unisabana.edu.co</t>
  </si>
  <si>
    <t>eliana.mahecha@unisabana.edu.co1</t>
  </si>
  <si>
    <t>https://ProfCatedra2024.sawtoothsoftware.com/cgi-bin/ciwweb.pl?studyname=ProfCatedra2024&amp;Correo=eliana.mahecha@unisabana.edu.co1</t>
  </si>
  <si>
    <t>elias.amaya1@unisabana.edu.co</t>
  </si>
  <si>
    <t>elias.amaya1@unisabana.edu.co1</t>
  </si>
  <si>
    <t>https://ProfCatedra2024.sawtoothsoftware.com/cgi-bin/ciwweb.pl?studyname=ProfCatedra2024&amp;Correo=elias.amaya1@unisabana.edu.co1</t>
  </si>
  <si>
    <t>fabian.dulce@unisabana.edu.co</t>
  </si>
  <si>
    <t>fabian.dulce@unisabana.edu.co1</t>
  </si>
  <si>
    <t>https://ProfCatedra2024.sawtoothsoftware.com/cgi-bin/ciwweb.pl?studyname=ProfCatedra2024&amp;Correo=fabian.dulce@unisabana.edu.co1</t>
  </si>
  <si>
    <t>fabio.gil1@unisabana.edu.co</t>
  </si>
  <si>
    <t>fabio.gil1@unisabana.edu.co1</t>
  </si>
  <si>
    <t>https://ProfCatedra2024.sawtoothsoftware.com/cgi-bin/ciwweb.pl?studyname=ProfCatedra2024&amp;Correo=fabio.gil1@unisabana.edu.co1</t>
  </si>
  <si>
    <t>faviorm@unisabana.edu.co</t>
  </si>
  <si>
    <t>Faviorm@unisabana.edu.co01</t>
  </si>
  <si>
    <t>Especializaciï¿½n en Pediatrï¿½a</t>
  </si>
  <si>
    <t>https://ProfCatedra2024.sawtoothsoftware.com/cgi-bin/ciwweb.pl?studyname=ProfCatedra2024&amp;Correo=Faviorm@unisabana.edu.co01</t>
  </si>
  <si>
    <t>fbernate@franciscobernate.com</t>
  </si>
  <si>
    <t>FBERNATE@FRANCISCOBERNATE.COM1</t>
  </si>
  <si>
    <t>https://ProfCatedra2024.sawtoothsoftware.com/cgi-bin/ciwweb.pl?studyname=ProfCatedra2024&amp;Correo=FBERNATE@FRANCISCOBERNATE.COM1</t>
  </si>
  <si>
    <t>fbravo@bravoabogados.co</t>
  </si>
  <si>
    <t>FBRAVO@BRAVOABOGADOS.CO1</t>
  </si>
  <si>
    <t>https://ProfCatedra2024.sawtoothsoftware.com/cgi-bin/ciwweb.pl?studyname=ProfCatedra2024&amp;Correo=FBRAVO@BRAVOABOGADOS.CO1</t>
  </si>
  <si>
    <t>felipe.arroyave@unisabana.edu.co</t>
  </si>
  <si>
    <t>Felipe.Arroyave@unisabana.edu.co1</t>
  </si>
  <si>
    <t>https://ProfCatedra2024.sawtoothsoftware.com/cgi-bin/ciwweb.pl?studyname=ProfCatedra2024&amp;Correo=Felipe.Arroyave@unisabana.edu.co1</t>
  </si>
  <si>
    <t>felipe.casas1@unisabana.edu.co</t>
  </si>
  <si>
    <t>felipe.casas1@unisabana.edu.co01</t>
  </si>
  <si>
    <t>Especializaciï¿½n en Cirugï¿½a General</t>
  </si>
  <si>
    <t>https://ProfCatedra2024.sawtoothsoftware.com/cgi-bin/ciwweb.pl?studyname=ProfCatedra2024&amp;Correo=felipe.casas1@unisabana.edu.co01</t>
  </si>
  <si>
    <t>felipe.huertas@unisabana.edu.co</t>
  </si>
  <si>
    <t>felipe.huertas@unisabana.edu.co1</t>
  </si>
  <si>
    <t>https://ProfCatedra2024.sawtoothsoftware.com/cgi-bin/ciwweb.pl?studyname=ProfCatedra2024&amp;Correo=felipe.huertas@unisabana.edu.co1</t>
  </si>
  <si>
    <t>felipe.turbay@unisabana.edu.co</t>
  </si>
  <si>
    <t>felipe.turbay@unisabana.edu.co1</t>
  </si>
  <si>
    <t>https://ProfCatedra2024.sawtoothsoftware.com/cgi-bin/ciwweb.pl?studyname=ProfCatedra2024&amp;Correo=felipe.turbay@unisabana.edu.co1</t>
  </si>
  <si>
    <t>fernando.camacho@unisabana.edu.co</t>
  </si>
  <si>
    <t>fernando.camacho@unisabana.edu.co01</t>
  </si>
  <si>
    <t>https://ProfCatedra2024.sawtoothsoftware.com/cgi-bin/ciwweb.pl?studyname=ProfCatedra2024&amp;Correo=fernando.camacho@unisabana.edu.co01</t>
  </si>
  <si>
    <t>fernandoc@unisabana.edu.co</t>
  </si>
  <si>
    <t>FernandoC@unisabana.edu.co01</t>
  </si>
  <si>
    <t>https://ProfCatedra2024.sawtoothsoftware.com/cgi-bin/ciwweb.pl?studyname=ProfCatedra2024&amp;Correo=FernandoC@unisabana.edu.co01</t>
  </si>
  <si>
    <t>FernandoC@unisabana.edu.co02</t>
  </si>
  <si>
    <t>https://ProfCatedra2024.sawtoothsoftware.com/cgi-bin/ciwweb.pl?studyname=ProfCatedra2024&amp;Correo=FernandoC@unisabana.edu.co02</t>
  </si>
  <si>
    <t>fernandocg@unisabana.edu.co</t>
  </si>
  <si>
    <t>FernandoCG@unisabana.edu.co1</t>
  </si>
  <si>
    <t>https://ProfCatedra2024.sawtoothsoftware.com/cgi-bin/ciwweb.pl?studyname=ProfCatedra2024&amp;Correo=FernandoCG@unisabana.edu.co1</t>
  </si>
  <si>
    <t>fernandopicozuniga@gmail.com</t>
  </si>
  <si>
    <t>FERNANDOPICOZUNIGA@GMAIL.COM1</t>
  </si>
  <si>
    <t>https://ProfCatedra2024.sawtoothsoftware.com/cgi-bin/ciwweb.pl?studyname=ProfCatedra2024&amp;Correo=FERNANDOPICOZUNIGA@GMAIL.COM1</t>
  </si>
  <si>
    <t>fhumar@fabiohumar.com</t>
  </si>
  <si>
    <t>FHUMAR@FABIOHUMAR.COM1</t>
  </si>
  <si>
    <t>https://ProfCatedra2024.sawtoothsoftware.com/cgi-bin/ciwweb.pl?studyname=ProfCatedra2024&amp;Correo=FHUMAR@FABIOHUMAR.COM1</t>
  </si>
  <si>
    <t>flavio.puentes1@unisabana.edu.co</t>
  </si>
  <si>
    <t>flavio.puentes1@unisabana.edu.co01</t>
  </si>
  <si>
    <t>https://ProfCatedra2024.sawtoothsoftware.com/cgi-bin/ciwweb.pl?studyname=ProfCatedra2024&amp;Correo=flavio.puentes1@unisabana.edu.co01</t>
  </si>
  <si>
    <t>flor.rodriguez2@unisabana.edu.co</t>
  </si>
  <si>
    <t>flor.rodriguez2@unisabana.edu.co1</t>
  </si>
  <si>
    <t>https://ProfCatedra2024.sawtoothsoftware.com/cgi-bin/ciwweb.pl?studyname=ProfCatedra2024&amp;Correo=flor.rodriguez2@unisabana.edu.co1</t>
  </si>
  <si>
    <t>francisco.casas@unisabana.edu.co</t>
  </si>
  <si>
    <t>francisco.casas@unisabana.edu.co1</t>
  </si>
  <si>
    <t>https://ProfCatedra2024.sawtoothsoftware.com/cgi-bin/ciwweb.pl?studyname=ProfCatedra2024&amp;Correo=francisco.casas@unisabana.edu.co1</t>
  </si>
  <si>
    <t>francisco.casas@unisabana.edu.co2</t>
  </si>
  <si>
    <t>https://ProfCatedra2024.sawtoothsoftware.com/cgi-bin/ciwweb.pl?studyname=ProfCatedra2024&amp;Correo=francisco.casas@unisabana.edu.co2</t>
  </si>
  <si>
    <t>franklyn.rodriguez@unisabana.edu.co</t>
  </si>
  <si>
    <t>franklyn.rodriguez@unisabana.edu.co1</t>
  </si>
  <si>
    <t>https://ProfCatedra2024.sawtoothsoftware.com/cgi-bin/ciwweb.pl?studyname=ProfCatedra2024&amp;Correo=franklyn.rodriguez@unisabana.edu.co1</t>
  </si>
  <si>
    <t>freddy.saavedra@unisabana.edu.co</t>
  </si>
  <si>
    <t>freddy.saavedra@unisabana.edu.co1</t>
  </si>
  <si>
    <t>https://ProfCatedra2024.sawtoothsoftware.com/cgi-bin/ciwweb.pl?studyname=ProfCatedra2024&amp;Correo=freddy.saavedra@unisabana.edu.co1</t>
  </si>
  <si>
    <t>gabriel.ariza1@unisabana.edu.co</t>
  </si>
  <si>
    <t>gabriel.ariza1@unisabana.edu.co01</t>
  </si>
  <si>
    <t>https://ProfCatedra2024.sawtoothsoftware.com/cgi-bin/ciwweb.pl?studyname=ProfCatedra2024&amp;Correo=gabriel.ariza1@unisabana.edu.co01</t>
  </si>
  <si>
    <t>gabriel.bonilla@unisabana.edu.co</t>
  </si>
  <si>
    <t>gabriel.bonilla@unisabana.edu.co01</t>
  </si>
  <si>
    <t>https://ProfCatedra2024.sawtoothsoftware.com/cgi-bin/ciwweb.pl?studyname=ProfCatedra2024&amp;Correo=gabriel.bonilla@unisabana.edu.co01</t>
  </si>
  <si>
    <t>gabriel.bonilla@unisabana.edu.co02</t>
  </si>
  <si>
    <t>https://ProfCatedra2024.sawtoothsoftware.com/cgi-bin/ciwweb.pl?studyname=ProfCatedra2024&amp;Correo=gabriel.bonilla@unisabana.edu.co02</t>
  </si>
  <si>
    <t>gabriel.pena@unisabana.edu.co</t>
  </si>
  <si>
    <t>gabriel.pena@unisabana.edu.co1</t>
  </si>
  <si>
    <t>https://ProfCatedra2024.sawtoothsoftware.com/cgi-bin/ciwweb.pl?studyname=ProfCatedra2024&amp;Correo=gabriel.pena@unisabana.edu.co1</t>
  </si>
  <si>
    <t>gabriela.atehortua@unisabana.edu.co</t>
  </si>
  <si>
    <t>gabriela.atehortua@unisabana.edu.co01</t>
  </si>
  <si>
    <t>https://ProfCatedra2024.sawtoothsoftware.com/cgi-bin/ciwweb.pl?studyname=ProfCatedra2024&amp;Correo=gabriela.atehortua@unisabana.edu.co01</t>
  </si>
  <si>
    <t>gabriela.atehortua@unisabana.edu.co02</t>
  </si>
  <si>
    <t>MAESTRï¿½A EN PEDAGOGï¿½A - HUILA</t>
  </si>
  <si>
    <t>https://ProfCatedra2024.sawtoothsoftware.com/cgi-bin/ciwweb.pl?studyname=ProfCatedra2024&amp;Correo=gabriela.atehortua@unisabana.edu.co02</t>
  </si>
  <si>
    <t>gabriela.atehortua@unisabana.edu.co1</t>
  </si>
  <si>
    <t>https://ProfCatedra2024.sawtoothsoftware.com/cgi-bin/ciwweb.pl?studyname=ProfCatedra2024&amp;Correo=gabriela.atehortua@unisabana.edu.co1</t>
  </si>
  <si>
    <t>gabriela.hernandez@unisabana.edu.co</t>
  </si>
  <si>
    <t>gabriela.hernandez@unisabana.edu.co01</t>
  </si>
  <si>
    <t>https://ProfCatedra2024.sawtoothsoftware.com/cgi-bin/ciwweb.pl?studyname=ProfCatedra2024&amp;Correo=gabriela.hernandez@unisabana.edu.co01</t>
  </si>
  <si>
    <t>gerardo.mendoza@unisabana.edu.co</t>
  </si>
  <si>
    <t>gerardo.mendoza@unisabana.edu.co1</t>
  </si>
  <si>
    <t>https://ProfCatedra2024.sawtoothsoftware.com/cgi-bin/ciwweb.pl?studyname=ProfCatedra2024&amp;Correo=gerardo.mendoza@unisabana.edu.co1</t>
  </si>
  <si>
    <t>gerardor@unisabana.edu.co</t>
  </si>
  <si>
    <t>gerardoR@unisabana.edu.co01</t>
  </si>
  <si>
    <t>https://ProfCatedra2024.sawtoothsoftware.com/cgi-bin/ciwweb.pl?studyname=ProfCatedra2024&amp;Correo=gerardoR@unisabana.edu.co01</t>
  </si>
  <si>
    <t>gerardoR@unisabana.edu.co02</t>
  </si>
  <si>
    <t>https://ProfCatedra2024.sawtoothsoftware.com/cgi-bin/ciwweb.pl?studyname=ProfCatedra2024&amp;Correo=gerardoR@unisabana.edu.co02</t>
  </si>
  <si>
    <t>german.ahumada@unisabana.edu.co</t>
  </si>
  <si>
    <t>german.ahumada@unisabana.edu.co1</t>
  </si>
  <si>
    <t>https://ProfCatedra2024.sawtoothsoftware.com/cgi-bin/ciwweb.pl?studyname=ProfCatedra2024&amp;Correo=german.ahumada@unisabana.edu.co1</t>
  </si>
  <si>
    <t>german.fontanilla@unisabana.edu.co</t>
  </si>
  <si>
    <t>german.fontanilla@unisabana.edu.co1</t>
  </si>
  <si>
    <t>https://ProfCatedra2024.sawtoothsoftware.com/cgi-bin/ciwweb.pl?studyname=ProfCatedra2024&amp;Correo=german.fontanilla@unisabana.edu.co1</t>
  </si>
  <si>
    <t>germanarango@yahoo.com</t>
  </si>
  <si>
    <t>GERMANARANGO@YAHOO.COM1</t>
  </si>
  <si>
    <t>https://ProfCatedra2024.sawtoothsoftware.com/cgi-bin/ciwweb.pl?studyname=ProfCatedra2024&amp;Correo=GERMANARANGO@YAHOO.COM1</t>
  </si>
  <si>
    <t>GERMANARANGO@YAHOO.COM2</t>
  </si>
  <si>
    <t>https://ProfCatedra2024.sawtoothsoftware.com/cgi-bin/ciwweb.pl?studyname=ProfCatedra2024&amp;Correo=GERMANARANGO@YAHOO.COM2</t>
  </si>
  <si>
    <t>germanhr@unisabana.edu.co</t>
  </si>
  <si>
    <t>Germanhr@unisabana.edu.co01</t>
  </si>
  <si>
    <t>https://ProfCatedra2024.sawtoothsoftware.com/cgi-bin/ciwweb.pl?studyname=ProfCatedra2024&amp;Correo=Germanhr@unisabana.edu.co01</t>
  </si>
  <si>
    <t>Germanhr@unisabana.edu.co02</t>
  </si>
  <si>
    <t>https://ProfCatedra2024.sawtoothsoftware.com/cgi-bin/ciwweb.pl?studyname=ProfCatedra2024&amp;Correo=Germanhr@unisabana.edu.co02</t>
  </si>
  <si>
    <t>gicel.rodriguez@unisabana.edu.co</t>
  </si>
  <si>
    <t>gicel.rodriguez@unisabana.edu.co1</t>
  </si>
  <si>
    <t>https://ProfCatedra2024.sawtoothsoftware.com/cgi-bin/ciwweb.pl?studyname=ProfCatedra2024&amp;Correo=gicel.rodriguez@unisabana.edu.co1</t>
  </si>
  <si>
    <t>gilberto.calero@unisabana.edu.co</t>
  </si>
  <si>
    <t>gilberto.calero@unisabana.edu.co1</t>
  </si>
  <si>
    <t>https://ProfCatedra2024.sawtoothsoftware.com/cgi-bin/ciwweb.pl?studyname=ProfCatedra2024&amp;Correo=gilberto.calero@unisabana.edu.co1</t>
  </si>
  <si>
    <t>gina.montano1@unisabana.edu.co</t>
  </si>
  <si>
    <t>gina.montano1@unisabana.edu.co1</t>
  </si>
  <si>
    <t>https://ProfCatedra2024.sawtoothsoftware.com/cgi-bin/ciwweb.pl?studyname=ProfCatedra2024&amp;Correo=gina.montano1@unisabana.edu.co1</t>
  </si>
  <si>
    <t>gina.rodriguez1@unisabana.edu.co</t>
  </si>
  <si>
    <t>gina.rodriguez1@unisabana.edu.co01</t>
  </si>
  <si>
    <t>https://ProfCatedra2024.sawtoothsoftware.com/cgi-bin/ciwweb.pl?studyname=ProfCatedra2024&amp;Correo=gina.rodriguez1@unisabana.edu.co01</t>
  </si>
  <si>
    <t>giovanny.roa@unisabana.edu.co</t>
  </si>
  <si>
    <t>giovanny.roa@unisabana.edu.co01</t>
  </si>
  <si>
    <t>https://ProfCatedra2024.sawtoothsoftware.com/cgi-bin/ciwweb.pl?studyname=ProfCatedra2024&amp;Correo=giovanny.roa@unisabana.edu.co01</t>
  </si>
  <si>
    <t>giovanny.roa@unisabana.edu.co02</t>
  </si>
  <si>
    <t>Especializaciï¿½n En Gerencia Estratï¿½gica - Ibaguï¿½</t>
  </si>
  <si>
    <t>https://ProfCatedra2024.sawtoothsoftware.com/cgi-bin/ciwweb.pl?studyname=ProfCatedra2024&amp;Correo=giovanny.roa@unisabana.edu.co02</t>
  </si>
  <si>
    <t>giovanny.roa@unisabana.edu.co07</t>
  </si>
  <si>
    <t>https://ProfCatedra2024.sawtoothsoftware.com/cgi-bin/ciwweb.pl?studyname=ProfCatedra2024&amp;Correo=giovanny.roa@unisabana.edu.co07</t>
  </si>
  <si>
    <t>giovannyavbarbosa@gmail.com</t>
  </si>
  <si>
    <t>GIOVANNYAVBARBOSA@GMAIL.COM1</t>
  </si>
  <si>
    <t>https://ProfCatedra2024.sawtoothsoftware.com/cgi-bin/ciwweb.pl?studyname=ProfCatedra2024&amp;Correo=GIOVANNYAVBARBOSA@GMAIL.COM1</t>
  </si>
  <si>
    <t>giuliana.zito@unisabana.edu.co</t>
  </si>
  <si>
    <t>giuliana.zito@unisabana.edu.co1</t>
  </si>
  <si>
    <t>https://ProfCatedra2024.sawtoothsoftware.com/cgi-bin/ciwweb.pl?studyname=ProfCatedra2024&amp;Correo=giuliana.zito@unisabana.edu.co1</t>
  </si>
  <si>
    <t>gloria.arias@unisabana.edu.co</t>
  </si>
  <si>
    <t>gloria.arias@unisabana.edu.co1</t>
  </si>
  <si>
    <t>https://ProfCatedra2024.sawtoothsoftware.com/cgi-bin/ciwweb.pl?studyname=ProfCatedra2024&amp;Correo=gloria.arias@unisabana.edu.co1</t>
  </si>
  <si>
    <t>gloria.delgado@unisabana.edu.co</t>
  </si>
  <si>
    <t>gloria.delgado@unisabana.edu.co01</t>
  </si>
  <si>
    <t>https://ProfCatedra2024.sawtoothsoftware.com/cgi-bin/ciwweb.pl?studyname=ProfCatedra2024&amp;Correo=gloria.delgado@unisabana.edu.co01</t>
  </si>
  <si>
    <t>guido.castro@unisabana.edu.co</t>
  </si>
  <si>
    <t>guido.castro@unisabana.edu.co01</t>
  </si>
  <si>
    <t>https://ProfCatedra2024.sawtoothsoftware.com/cgi-bin/ciwweb.pl?studyname=ProfCatedra2024&amp;Correo=guido.castro@unisabana.edu.co01</t>
  </si>
  <si>
    <t>gustavo.gomez@unisabana.edu.co</t>
  </si>
  <si>
    <t>gustavo.gomez@unisabana.edu.co01</t>
  </si>
  <si>
    <t>https://ProfCatedra2024.sawtoothsoftware.com/cgi-bin/ciwweb.pl?studyname=ProfCatedra2024&amp;Correo=gustavo.gomez@unisabana.edu.co01</t>
  </si>
  <si>
    <t>gustavo.gomez@unisabana.edu.co1</t>
  </si>
  <si>
    <t>https://ProfCatedra2024.sawtoothsoftware.com/cgi-bin/ciwweb.pl?studyname=ProfCatedra2024&amp;Correo=gustavo.gomez@unisabana.edu.co1</t>
  </si>
  <si>
    <t>gustavo.ramirez1@unisabana.edu.co</t>
  </si>
  <si>
    <t>gustavo.ramirez1@unisabana.edu.co01</t>
  </si>
  <si>
    <t>https://ProfCatedra2024.sawtoothsoftware.com/cgi-bin/ciwweb.pl?studyname=ProfCatedra2024&amp;Correo=gustavo.ramirez1@unisabana.edu.co01</t>
  </si>
  <si>
    <t>gustavo.ramirez1@unisabana.edu.co02</t>
  </si>
  <si>
    <t>https://ProfCatedra2024.sawtoothsoftware.com/cgi-bin/ciwweb.pl?studyname=ProfCatedra2024&amp;Correo=gustavo.ramirez1@unisabana.edu.co02</t>
  </si>
  <si>
    <t>hans.correa@unisabana.edu.co</t>
  </si>
  <si>
    <t>hans.correa@unisabana.edu.co1</t>
  </si>
  <si>
    <t>https://ProfCatedra2024.sawtoothsoftware.com/cgi-bin/ciwweb.pl?studyname=ProfCatedra2024&amp;Correo=hans.correa@unisabana.edu.co1</t>
  </si>
  <si>
    <t>harol.piravaguen@unisabana.edu.co</t>
  </si>
  <si>
    <t>harol.piravaguen@unisabana.edu.co1</t>
  </si>
  <si>
    <t>https://ProfCatedra2024.sawtoothsoftware.com/cgi-bin/ciwweb.pl?studyname=ProfCatedra2024&amp;Correo=harol.piravaguen@unisabana.edu.co1</t>
  </si>
  <si>
    <t>harvey.hernandez@unisabana.edu.co</t>
  </si>
  <si>
    <t>harvey.hernandez@unisabana.edu.co1</t>
  </si>
  <si>
    <t>https://ProfCatedra2024.sawtoothsoftware.com/cgi-bin/ciwweb.pl?studyname=ProfCatedra2024&amp;Correo=harvey.hernandez@unisabana.edu.co1</t>
  </si>
  <si>
    <t>hector.posso@unisabana.edu.co</t>
  </si>
  <si>
    <t>hector.posso@Unisabana.edu.co01</t>
  </si>
  <si>
    <t>Maestrï¿½a en Epidemiologï¿½a</t>
  </si>
  <si>
    <t>https://ProfCatedra2024.sawtoothsoftware.com/cgi-bin/ciwweb.pl?studyname=ProfCatedra2024&amp;Correo=hector.posso@Unisabana.edu.co01</t>
  </si>
  <si>
    <t>hectorfa@unisabana.edu.co</t>
  </si>
  <si>
    <t>HectorFA@unisabana.edu.co1</t>
  </si>
  <si>
    <t>https://ProfCatedra2024.sawtoothsoftware.com/cgi-bin/ciwweb.pl?studyname=ProfCatedra2024&amp;Correo=HectorFA@unisabana.edu.co1</t>
  </si>
  <si>
    <t>henry.moya@unisabana.edu.co</t>
  </si>
  <si>
    <t>henry.moya@unisabana.edu.co1</t>
  </si>
  <si>
    <t>https://ProfCatedra2024.sawtoothsoftware.com/cgi-bin/ciwweb.pl?studyname=ProfCatedra2024&amp;Correo=henry.moya@unisabana.edu.co1</t>
  </si>
  <si>
    <t>henry.ramirez@unisabana.edu.co</t>
  </si>
  <si>
    <t>henry.ramirez@unisabana.edu.co1</t>
  </si>
  <si>
    <t>https://ProfCatedra2024.sawtoothsoftware.com/cgi-bin/ciwweb.pl?studyname=ProfCatedra2024&amp;Correo=henry.ramirez@unisabana.edu.co1</t>
  </si>
  <si>
    <t>hernando.mullet@unisabana.edu.co</t>
  </si>
  <si>
    <t>hernando.mullet@unisabana.edu.co01</t>
  </si>
  <si>
    <t>Especializaciï¿½n en Cuidado Intensivo Pediï¿½trico</t>
  </si>
  <si>
    <t>https://ProfCatedra2024.sawtoothsoftware.com/cgi-bin/ciwweb.pl?studyname=ProfCatedra2024&amp;Correo=hernando.mullet@unisabana.edu.co01</t>
  </si>
  <si>
    <t>hugo.camacho@unisabana.edu.co</t>
  </si>
  <si>
    <t>hugo.camacho@unisabana.edu.co1</t>
  </si>
  <si>
    <t>https://ProfCatedra2024.sawtoothsoftware.com/cgi-bin/ciwweb.pl?studyname=ProfCatedra2024&amp;Correo=hugo.camacho@unisabana.edu.co1</t>
  </si>
  <si>
    <t>hugo.nino1@unisabana.edu.co</t>
  </si>
  <si>
    <t>hugo.nino1@unisabana.edu.co01</t>
  </si>
  <si>
    <t>Especializaciï¿½n en Gerencia Logï¿½stica - Bogotï¿½</t>
  </si>
  <si>
    <t>https://ProfCatedra2024.sawtoothsoftware.com/cgi-bin/ciwweb.pl?studyname=ProfCatedra2024&amp;Correo=hugo.nino1@unisabana.edu.co01</t>
  </si>
  <si>
    <t>hugo.urena@unisabana.edu.co</t>
  </si>
  <si>
    <t>hugo.urena@unisabana.edu.co1</t>
  </si>
  <si>
    <t>https://ProfCatedra2024.sawtoothsoftware.com/cgi-bin/ciwweb.pl?studyname=ProfCatedra2024&amp;Correo=hugo.urena@unisabana.edu.co1</t>
  </si>
  <si>
    <t>ignacio.perez@unisabana.edu.co</t>
  </si>
  <si>
    <t>ignacio.perez@unisabana.edu.co01</t>
  </si>
  <si>
    <t>Maestrï¿½a en Gerencia de Operaciones</t>
  </si>
  <si>
    <t>https://ProfCatedra2024.sawtoothsoftware.com/cgi-bin/ciwweb.pl?studyname=ProfCatedra2024&amp;Correo=ignacio.perez@unisabana.edu.co01</t>
  </si>
  <si>
    <t>ingri.moreno@unisabana.edu.co</t>
  </si>
  <si>
    <t>ingri.moreno@unisabana.edu.co2</t>
  </si>
  <si>
    <t>https://ProfCatedra2024.sawtoothsoftware.com/cgi-bin/ciwweb.pl?studyname=ProfCatedra2024&amp;Correo=ingri.moreno@unisabana.edu.co2</t>
  </si>
  <si>
    <t>ingrid.bustos2@unisabana.edu.co</t>
  </si>
  <si>
    <t>ingrid.bustos2@unisabana.edu.co1</t>
  </si>
  <si>
    <t>https://ProfCatedra2024.sawtoothsoftware.com/cgi-bin/ciwweb.pl?studyname=ProfCatedra2024&amp;Correo=ingrid.bustos2@unisabana.edu.co1</t>
  </si>
  <si>
    <t>irma.aristizabal1@unisabana.edu.co</t>
  </si>
  <si>
    <t>irma.aristizabal1@unisabana.edu.co1</t>
  </si>
  <si>
    <t>CENTRO DE TECNOLOGÍAS PARA LA ACADEMIA</t>
  </si>
  <si>
    <t>https://ProfCatedra2024.sawtoothsoftware.com/cgi-bin/ciwweb.pl?studyname=ProfCatedra2024&amp;Correo=irma.aristizabal1@unisabana.edu.co1</t>
  </si>
  <si>
    <t>isabela.granados@unisabana.edu.co</t>
  </si>
  <si>
    <t>isabela.granados@unisabana.edu.co1</t>
  </si>
  <si>
    <t>https://ProfCatedra2024.sawtoothsoftware.com/cgi-bin/ciwweb.pl?studyname=ProfCatedra2024&amp;Correo=isabela.granados@unisabana.edu.co1</t>
  </si>
  <si>
    <t>ivan.lozano@unisabana.edu.co</t>
  </si>
  <si>
    <t>ivan.lozano@unisabana.edu.co1</t>
  </si>
  <si>
    <t>https://ProfCatedra2024.sawtoothsoftware.com/cgi-bin/ciwweb.pl?studyname=ProfCatedra2024&amp;Correo=ivan.lozano@unisabana.edu.co1</t>
  </si>
  <si>
    <t>ivan.sierra@unisabana.edu.co</t>
  </si>
  <si>
    <t>ivan.sierra@unisabana.edu.co1</t>
  </si>
  <si>
    <t>https://ProfCatedra2024.sawtoothsoftware.com/cgi-bin/ciwweb.pl?studyname=ProfCatedra2024&amp;Correo=ivan.sierra@unisabana.edu.co1</t>
  </si>
  <si>
    <t>ivan.unigarro1@unisabana.edu.co</t>
  </si>
  <si>
    <t>ivan.unigarro1@unisabana.edu.co1</t>
  </si>
  <si>
    <t>https://ProfCatedra2024.sawtoothsoftware.com/cgi-bin/ciwweb.pl?studyname=ProfCatedra2024&amp;Correo=ivan.unigarro1@unisabana.edu.co1</t>
  </si>
  <si>
    <t>jacqueline.lopez@unisabana.edu.co</t>
  </si>
  <si>
    <t>jacqueline.lopez@unisabana.edu.co1</t>
  </si>
  <si>
    <t>https://ProfCatedra2024.sawtoothsoftware.com/cgi-bin/ciwweb.pl?studyname=ProfCatedra2024&amp;Correo=jacqueline.lopez@unisabana.edu.co1</t>
  </si>
  <si>
    <t>jader.castano1@unisabana.edu.co</t>
  </si>
  <si>
    <t>jader.castano1@unisabana.edu.co02</t>
  </si>
  <si>
    <t>Especializaciï¿½n en Gerencia de Proyectos con Enfoque en Habilidades Directivas - Chï¿½a</t>
  </si>
  <si>
    <t>https://ProfCatedra2024.sawtoothsoftware.com/cgi-bin/ciwweb.pl?studyname=ProfCatedra2024&amp;Correo=jader.castano1@unisabana.edu.co02</t>
  </si>
  <si>
    <t>jaime.avila1@unisabana.edu.co</t>
  </si>
  <si>
    <t>jaime.avila1@unisabana.edu.co1</t>
  </si>
  <si>
    <t>https://ProfCatedra2024.sawtoothsoftware.com/cgi-bin/ciwweb.pl?studyname=ProfCatedra2024&amp;Correo=jaime.avila1@unisabana.edu.co1</t>
  </si>
  <si>
    <t>jaime.barcenas1@unisabana.edu.co</t>
  </si>
  <si>
    <t>jaime.barcenas1@unisabana.edu.co1</t>
  </si>
  <si>
    <t>https://ProfCatedra2024.sawtoothsoftware.com/cgi-bin/ciwweb.pl?studyname=ProfCatedra2024&amp;Correo=jaime.barcenas1@unisabana.edu.co1</t>
  </si>
  <si>
    <t>jaime.marin@unisabana.edu.co</t>
  </si>
  <si>
    <t>jaime.marin@unisabana.edu.co1</t>
  </si>
  <si>
    <t>https://ProfCatedra2024.sawtoothsoftware.com/cgi-bin/ciwweb.pl?studyname=ProfCatedra2024&amp;Correo=jaime.marin@unisabana.edu.co1</t>
  </si>
  <si>
    <t>jaime.martinez1@unisabana.edu.co</t>
  </si>
  <si>
    <t>jaime.martinez1@unisabana.edu.co01</t>
  </si>
  <si>
    <t>https://ProfCatedra2024.sawtoothsoftware.com/cgi-bin/ciwweb.pl?studyname=ProfCatedra2024&amp;Correo=jaime.martinez1@unisabana.edu.co01</t>
  </si>
  <si>
    <t>jaime.martinez1@unisabana.edu.co02</t>
  </si>
  <si>
    <t>https://ProfCatedra2024.sawtoothsoftware.com/cgi-bin/ciwweb.pl?studyname=ProfCatedra2024&amp;Correo=jaime.martinez1@unisabana.edu.co02</t>
  </si>
  <si>
    <t>jaime.martinez1@unisabana.edu.co1</t>
  </si>
  <si>
    <t>https://ProfCatedra2024.sawtoothsoftware.com/cgi-bin/ciwweb.pl?studyname=ProfCatedra2024&amp;Correo=jaime.martinez1@unisabana.edu.co1</t>
  </si>
  <si>
    <t>jaimechavesv@consultoriajuridicadecolombia.com.co</t>
  </si>
  <si>
    <t>JAIMECHAVESV@CONSULTORIAJURIDICADECOLOMBIA.COM.CO1</t>
  </si>
  <si>
    <t>https://ProfCatedra2024.sawtoothsoftware.com/cgi-bin/ciwweb.pl?studyname=ProfCatedra2024&amp;Correo=JAIMECHAVESV@CONSULTORIAJURIDICADECOLOMBIA.COM.CO1</t>
  </si>
  <si>
    <t>jaimemm@unisabana.edu.co</t>
  </si>
  <si>
    <t>JaimeMM@unisabana.edu.co01</t>
  </si>
  <si>
    <t>https://ProfCatedra2024.sawtoothsoftware.com/cgi-bin/ciwweb.pl?studyname=ProfCatedra2024&amp;Correo=JaimeMM@unisabana.edu.co01</t>
  </si>
  <si>
    <t>jairo.rubiano@unisabana.edu.co</t>
  </si>
  <si>
    <t>jairo.rubiano@unisabana.edu.co1</t>
  </si>
  <si>
    <t>https://ProfCatedra2024.sawtoothsoftware.com/cgi-bin/ciwweb.pl?studyname=ProfCatedra2024&amp;Correo=jairo.rubiano@unisabana.edu.co1</t>
  </si>
  <si>
    <t>jairo.zapata@unisabana.edu.co</t>
  </si>
  <si>
    <t>jairo.zapata@unisabana.edu.co1</t>
  </si>
  <si>
    <t>https://ProfCatedra2024.sawtoothsoftware.com/cgi-bin/ciwweb.pl?studyname=ProfCatedra2024&amp;Correo=jairo.zapata@unisabana.edu.co1</t>
  </si>
  <si>
    <t>javier.herrera1@unisabana.edu.co</t>
  </si>
  <si>
    <t>javier.herrera1@unisabana.edu.co01</t>
  </si>
  <si>
    <t>https://ProfCatedra2024.sawtoothsoftware.com/cgi-bin/ciwweb.pl?studyname=ProfCatedra2024&amp;Correo=javier.herrera1@unisabana.edu.co01</t>
  </si>
  <si>
    <t>javier.jurado2@unisabana.edu.co</t>
  </si>
  <si>
    <t>javier.jurado2@unisabana.edu.co01</t>
  </si>
  <si>
    <t>https://ProfCatedra2024.sawtoothsoftware.com/cgi-bin/ciwweb.pl?studyname=ProfCatedra2024&amp;Correo=javier.jurado2@unisabana.edu.co01</t>
  </si>
  <si>
    <t>javier.prada@unisabana.edu.co</t>
  </si>
  <si>
    <t>javier.prada@unisabana.edu.co1</t>
  </si>
  <si>
    <t>https://ProfCatedra2024.sawtoothsoftware.com/cgi-bin/ciwweb.pl?studyname=ProfCatedra2024&amp;Correo=javier.prada@unisabana.edu.co1</t>
  </si>
  <si>
    <t>javier.salazar@unisabana.edu.co</t>
  </si>
  <si>
    <t>javier.salazar@unisabana.edu.co1</t>
  </si>
  <si>
    <t>https://ProfCatedra2024.sawtoothsoftware.com/cgi-bin/ciwweb.pl?studyname=ProfCatedra2024&amp;Correo=javier.salazar@unisabana.edu.co1</t>
  </si>
  <si>
    <t>javieros@unisabana.edu.co</t>
  </si>
  <si>
    <t>JavierOS@unisabana.edu.co1</t>
  </si>
  <si>
    <t>https://ProfCatedra2024.sawtoothsoftware.com/cgi-bin/ciwweb.pl?studyname=ProfCatedra2024&amp;Correo=JavierOS@unisabana.edu.co1</t>
  </si>
  <si>
    <t>JavierOS@unisabana.edu.co2</t>
  </si>
  <si>
    <t>https://ProfCatedra2024.sawtoothsoftware.com/cgi-bin/ciwweb.pl?studyname=ProfCatedra2024&amp;Correo=JavierOS@unisabana.edu.co2</t>
  </si>
  <si>
    <t>JavierOS@unisabana.edu.co3</t>
  </si>
  <si>
    <t>https://ProfCatedra2024.sawtoothsoftware.com/cgi-bin/ciwweb.pl?studyname=ProfCatedra2024&amp;Correo=JavierOS@unisabana.edu.co3</t>
  </si>
  <si>
    <t>jehison.fernandez1@unisabana.edu.co</t>
  </si>
  <si>
    <t>jehison.fernandez1@unisabana.edu.co1</t>
  </si>
  <si>
    <t>https://ProfCatedra2024.sawtoothsoftware.com/cgi-bin/ciwweb.pl?studyname=ProfCatedra2024&amp;Correo=jehison.fernandez1@unisabana.edu.co1</t>
  </si>
  <si>
    <t>jeimy.ariza@unisabana.edu.co</t>
  </si>
  <si>
    <t>jeimy.ariza@unisabana.edu.co1</t>
  </si>
  <si>
    <t>https://ProfCatedra2024.sawtoothsoftware.com/cgi-bin/ciwweb.pl?studyname=ProfCatedra2024&amp;Correo=jeimy.ariza@unisabana.edu.co1</t>
  </si>
  <si>
    <t>jelbenav@bancolombia.com.co</t>
  </si>
  <si>
    <t>JELBENAV@BANCOLOMBIA.COM.CO1</t>
  </si>
  <si>
    <t>https://ProfCatedra2024.sawtoothsoftware.com/cgi-bin/ciwweb.pl?studyname=ProfCatedra2024&amp;Correo=JELBENAV@BANCOLOMBIA.COM.CO1</t>
  </si>
  <si>
    <t>jenny.rodriguez13@unisabana.edu.co</t>
  </si>
  <si>
    <t>jenny.rodriguez13@unisabana.edu.co1</t>
  </si>
  <si>
    <t>https://ProfCatedra2024.sawtoothsoftware.com/cgi-bin/ciwweb.pl?studyname=ProfCatedra2024&amp;Correo=jenny.rodriguez13@unisabana.edu.co1</t>
  </si>
  <si>
    <t>jeronimo.garcia@unisabana.edu.co</t>
  </si>
  <si>
    <t>jeronimo.garcia@unisabana.edu.co1</t>
  </si>
  <si>
    <t>https://ProfCatedra2024.sawtoothsoftware.com/cgi-bin/ciwweb.pl?studyname=ProfCatedra2024&amp;Correo=jeronimo.garcia@unisabana.edu.co1</t>
  </si>
  <si>
    <t>jeronimo.garcia@unisabana.edu.co3</t>
  </si>
  <si>
    <t>https://ProfCatedra2024.sawtoothsoftware.com/cgi-bin/ciwweb.pl?studyname=ProfCatedra2024&amp;Correo=jeronimo.garcia@unisabana.edu.co3</t>
  </si>
  <si>
    <t>jesicabiviana9@gmail.com</t>
  </si>
  <si>
    <t>jesicabiviana9@gmail.com1</t>
  </si>
  <si>
    <t>https://ProfCatedra2024.sawtoothsoftware.com/cgi-bin/ciwweb.pl?studyname=ProfCatedra2024&amp;Correo=jesicabiviana9@gmail.com1</t>
  </si>
  <si>
    <t>jessica.upegui@unisabana.edu.co</t>
  </si>
  <si>
    <t>jessica.upegui@unisabana.edu.co01</t>
  </si>
  <si>
    <t>https://ProfCatedra2024.sawtoothsoftware.com/cgi-bin/ciwweb.pl?studyname=ProfCatedra2024&amp;Correo=jessica.upegui@unisabana.edu.co01</t>
  </si>
  <si>
    <t>jessica.waked@unisabana.edu.co</t>
  </si>
  <si>
    <t>jessica.waked@unisabana.edu.co1</t>
  </si>
  <si>
    <t>https://ProfCatedra2024.sawtoothsoftware.com/cgi-bin/ciwweb.pl?studyname=ProfCatedra2024&amp;Correo=jessica.waked@unisabana.edu.co1</t>
  </si>
  <si>
    <t>jesus.agreda@unisabana.edu.co</t>
  </si>
  <si>
    <t>jesus.agreda@unisabana.edu.co1</t>
  </si>
  <si>
    <t>https://ProfCatedra2024.sawtoothsoftware.com/cgi-bin/ciwweb.pl?studyname=ProfCatedra2024&amp;Correo=jesus.agreda@unisabana.edu.co1</t>
  </si>
  <si>
    <t>jesus.cifuentes@unisabana.edu.co</t>
  </si>
  <si>
    <t>jesus.cifuentes@unisabana.edu.co1</t>
  </si>
  <si>
    <t>https://ProfCatedra2024.sawtoothsoftware.com/cgi-bin/ciwweb.pl?studyname=ProfCatedra2024&amp;Correo=jesus.cifuentes@unisabana.edu.co1</t>
  </si>
  <si>
    <t>jf@zartaasociados.com</t>
  </si>
  <si>
    <t>JF@ZARTAASOCIADOS.COM1</t>
  </si>
  <si>
    <t>Especializaciï¿½n en Seguros y Seguridad Social - Chï¿½a</t>
  </si>
  <si>
    <t>https://ProfCatedra2024.sawtoothsoftware.com/cgi-bin/ciwweb.pl?studyname=ProfCatedra2024&amp;Correo=JF@ZARTAASOCIADOS.COM1</t>
  </si>
  <si>
    <t>jhebravobu@unal.edu.co</t>
  </si>
  <si>
    <t>jhebravobu@unal.edu.co1</t>
  </si>
  <si>
    <t>https://ProfCatedra2024.sawtoothsoftware.com/cgi-bin/ciwweb.pl?studyname=ProfCatedra2024&amp;Correo=jhebravobu@unal.edu.co1</t>
  </si>
  <si>
    <t>jhonathan.rodriguez@unisabana.edu.co</t>
  </si>
  <si>
    <t>jhonathan.rodriguez@unisabana.edu.co1</t>
  </si>
  <si>
    <t>https://ProfCatedra2024.sawtoothsoftware.com/cgi-bin/ciwweb.pl?studyname=ProfCatedra2024&amp;Correo=jhonathan.rodriguez@unisabana.edu.co1</t>
  </si>
  <si>
    <t>jimmy.rojas@unisabana.edu.co</t>
  </si>
  <si>
    <t>jimmy.rojas@unisabana.edu.co1</t>
  </si>
  <si>
    <t>https://ProfCatedra2024.sawtoothsoftware.com/cgi-bin/ciwweb.pl?studyname=ProfCatedra2024&amp;Correo=jimmy.rojas@unisabana.edu.co1</t>
  </si>
  <si>
    <t>john.cabrera_cont@unisabana.edu.co</t>
  </si>
  <si>
    <t>john.cabrera_cont@unisabana.edu.co02</t>
  </si>
  <si>
    <t>https://ProfCatedra2024.sawtoothsoftware.com/cgi-bin/ciwweb.pl?studyname=ProfCatedra2024&amp;Correo=john.cabrera_cont@unisabana.edu.co02</t>
  </si>
  <si>
    <t>john.feliciano1@unisabana.edu.co</t>
  </si>
  <si>
    <t>john.feliciano1@unisabana.edu.co01</t>
  </si>
  <si>
    <t>https://ProfCatedra2024.sawtoothsoftware.com/cgi-bin/ciwweb.pl?studyname=ProfCatedra2024&amp;Correo=john.feliciano1@unisabana.edu.co01</t>
  </si>
  <si>
    <t>john.motta@unisabana.edu.co</t>
  </si>
  <si>
    <t>john.motta@unisabana.edu.co1</t>
  </si>
  <si>
    <t>https://ProfCatedra2024.sawtoothsoftware.com/cgi-bin/ciwweb.pl?studyname=ProfCatedra2024&amp;Correo=john.motta@unisabana.edu.co1</t>
  </si>
  <si>
    <t>john.pinzon1@unisabana.edu.co</t>
  </si>
  <si>
    <t>john.pinzon1@unisabana.edu.co1</t>
  </si>
  <si>
    <t>https://ProfCatedra2024.sawtoothsoftware.com/cgi-bin/ciwweb.pl?studyname=ProfCatedra2024&amp;Correo=john.pinzon1@unisabana.edu.co1</t>
  </si>
  <si>
    <t>jorge.avila@unisabana.edu.co</t>
  </si>
  <si>
    <t>jorge.avila@unisabana.edu.co02</t>
  </si>
  <si>
    <t>https://ProfCatedra2024.sawtoothsoftware.com/cgi-bin/ciwweb.pl?studyname=ProfCatedra2024&amp;Correo=jorge.avila@unisabana.edu.co02</t>
  </si>
  <si>
    <t>jorge.bolivar@unisabana.edu.co</t>
  </si>
  <si>
    <t>jorge.bolivar@unisabana.edu.co01</t>
  </si>
  <si>
    <t>https://ProfCatedra2024.sawtoothsoftware.com/cgi-bin/ciwweb.pl?studyname=ProfCatedra2024&amp;Correo=jorge.bolivar@unisabana.edu.co01</t>
  </si>
  <si>
    <t>jorge.cortazar@unisabana.edu.co</t>
  </si>
  <si>
    <t>jorge.cortazar@unisabana.edu.co1</t>
  </si>
  <si>
    <t>https://ProfCatedra2024.sawtoothsoftware.com/cgi-bin/ciwweb.pl?studyname=ProfCatedra2024&amp;Correo=jorge.cortazar@unisabana.edu.co1</t>
  </si>
  <si>
    <t>jorge.leyva1@unisabana.edu.co</t>
  </si>
  <si>
    <t>jorge.leyva1@unisabana.edu.co01</t>
  </si>
  <si>
    <t>https://ProfCatedra2024.sawtoothsoftware.com/cgi-bin/ciwweb.pl?studyname=ProfCatedra2024&amp;Correo=jorge.leyva1@unisabana.edu.co01</t>
  </si>
  <si>
    <t>jorge.martinez_cont@unisabana.edu.co</t>
  </si>
  <si>
    <t>JORGE.MARTINEZ_CONT@UNISABANA.edu.co01</t>
  </si>
  <si>
    <t>https://ProfCatedra2024.sawtoothsoftware.com/cgi-bin/ciwweb.pl?studyname=ProfCatedra2024&amp;Correo=JORGE.MARTINEZ_CONT@UNISABANA.edu.co01</t>
  </si>
  <si>
    <t>jorge.sanmartin@unisabana.edu.co</t>
  </si>
  <si>
    <t>jorge.sanmartin@unisabana.edu.co1</t>
  </si>
  <si>
    <t>https://ProfCatedra2024.sawtoothsoftware.com/cgi-bin/ciwweb.pl?studyname=ProfCatedra2024&amp;Correo=jorge.sanmartin@unisabana.edu.co1</t>
  </si>
  <si>
    <t>jorgevico@unisabana.edu.co</t>
  </si>
  <si>
    <t>jorgevico@unisabana.edu.co1</t>
  </si>
  <si>
    <t>https://ProfCatedra2024.sawtoothsoftware.com/cgi-bin/ciwweb.pl?studyname=ProfCatedra2024&amp;Correo=jorgevico@unisabana.edu.co1</t>
  </si>
  <si>
    <t>jose.avellaneda@unisabana.edu.co</t>
  </si>
  <si>
    <t>jose.avellaneda@unisabana.edu.co1</t>
  </si>
  <si>
    <t>https://ProfCatedra2024.sawtoothsoftware.com/cgi-bin/ciwweb.pl?studyname=ProfCatedra2024&amp;Correo=jose.avellaneda@unisabana.edu.co1</t>
  </si>
  <si>
    <t>jose.bautista2@unisabana.edu.co</t>
  </si>
  <si>
    <t>jose.bautista2@unisabana.edu.co1</t>
  </si>
  <si>
    <t>https://ProfCatedra2024.sawtoothsoftware.com/cgi-bin/ciwweb.pl?studyname=ProfCatedra2024&amp;Correo=jose.bautista2@unisabana.edu.co1</t>
  </si>
  <si>
    <t>jose.castano@unisabana.edu.co</t>
  </si>
  <si>
    <t>jose.castano@unisabana.edu.co02</t>
  </si>
  <si>
    <t>Maestrï¿½a en Direcciï¿½n y Gestiï¿½n de Instituciones Educativas - Riohacha</t>
  </si>
  <si>
    <t>https://ProfCatedra2024.sawtoothsoftware.com/cgi-bin/ciwweb.pl?studyname=ProfCatedra2024&amp;Correo=jose.castano@unisabana.edu.co02</t>
  </si>
  <si>
    <t>jose.castano1@unisabana.edu.co</t>
  </si>
  <si>
    <t>jose.castano1@unisabana.edu.co1</t>
  </si>
  <si>
    <t>https://ProfCatedra2024.sawtoothsoftware.com/cgi-bin/ciwweb.pl?studyname=ProfCatedra2024&amp;Correo=jose.castano1@unisabana.edu.co1</t>
  </si>
  <si>
    <t>jose.diaz2@unisabana.edu.co</t>
  </si>
  <si>
    <t>jose.diaz2@unisabana.edu.co1</t>
  </si>
  <si>
    <t>https://ProfCatedra2024.sawtoothsoftware.com/cgi-bin/ciwweb.pl?studyname=ProfCatedra2024&amp;Correo=jose.diaz2@unisabana.edu.co1</t>
  </si>
  <si>
    <t>jose.jerez@unisabana.edu.co</t>
  </si>
  <si>
    <t>jose.jerez@unisabana.edu.co1</t>
  </si>
  <si>
    <t>https://ProfCatedra2024.sawtoothsoftware.com/cgi-bin/ciwweb.pl?studyname=ProfCatedra2024&amp;Correo=jose.jerez@unisabana.edu.co1</t>
  </si>
  <si>
    <t>jose.mejia@unisabana.edu.co</t>
  </si>
  <si>
    <t>jose.mejia@unisabana.edu.co01</t>
  </si>
  <si>
    <t>https://ProfCatedra2024.sawtoothsoftware.com/cgi-bin/ciwweb.pl?studyname=ProfCatedra2024&amp;Correo=jose.mejia@unisabana.edu.co01</t>
  </si>
  <si>
    <t>jose.mejia@unisabana.edu.co1</t>
  </si>
  <si>
    <t>https://ProfCatedra2024.sawtoothsoftware.com/cgi-bin/ciwweb.pl?studyname=ProfCatedra2024&amp;Correo=jose.mejia@unisabana.edu.co1</t>
  </si>
  <si>
    <t>jose.parra@unisabana.edu.co</t>
  </si>
  <si>
    <t>jose.parra@unisabana.edu.co1</t>
  </si>
  <si>
    <t>https://ProfCatedra2024.sawtoothsoftware.com/cgi-bin/ciwweb.pl?studyname=ProfCatedra2024&amp;Correo=jose.parra@unisabana.edu.co1</t>
  </si>
  <si>
    <t>jose.riano@unisabana.edu.co</t>
  </si>
  <si>
    <t>jose.riano@unisabana.edu.co1</t>
  </si>
  <si>
    <t>https://ProfCatedra2024.sawtoothsoftware.com/cgi-bin/ciwweb.pl?studyname=ProfCatedra2024&amp;Correo=jose.riano@unisabana.edu.co1</t>
  </si>
  <si>
    <t>jose.riveros1@unisabana.edu.co</t>
  </si>
  <si>
    <t>jose.riveros1@unisabana.edu.co1</t>
  </si>
  <si>
    <t>https://ProfCatedra2024.sawtoothsoftware.com/cgi-bin/ciwweb.pl?studyname=ProfCatedra2024&amp;Correo=jose.riveros1@unisabana.edu.co1</t>
  </si>
  <si>
    <t>jose.rodriguez13@unisabana.edu.co</t>
  </si>
  <si>
    <t>jose.rodriguez13@unisabana.edu.co01</t>
  </si>
  <si>
    <t>Especializaciï¿½n en Gerencia de Proyectos con Enfoque en Habilidades Directivas - Bogotï¿½</t>
  </si>
  <si>
    <t>https://ProfCatedra2024.sawtoothsoftware.com/cgi-bin/ciwweb.pl?studyname=ProfCatedra2024&amp;Correo=jose.rodriguez13@unisabana.edu.co01</t>
  </si>
  <si>
    <t>jose.sanchez8@unisabana.edu.co</t>
  </si>
  <si>
    <t>jose.sanchez8@unisabana.edu.co1</t>
  </si>
  <si>
    <t>https://ProfCatedra2024.sawtoothsoftware.com/cgi-bin/ciwweb.pl?studyname=ProfCatedra2024&amp;Correo=jose.sanchez8@unisabana.edu.co1</t>
  </si>
  <si>
    <t>jose.sarmiento2@unisabana.edu.co</t>
  </si>
  <si>
    <t>jose.sarmiento2@unisabana.edu.co1</t>
  </si>
  <si>
    <t>https://ProfCatedra2024.sawtoothsoftware.com/cgi-bin/ciwweb.pl?studyname=ProfCatedra2024&amp;Correo=jose.sarmiento2@unisabana.edu.co1</t>
  </si>
  <si>
    <t>joseroa@unisabana.edu.co</t>
  </si>
  <si>
    <t>JoseRoA@unisabana.edu.co1</t>
  </si>
  <si>
    <t>https://ProfCatedra2024.sawtoothsoftware.com/cgi-bin/ciwweb.pl?studyname=ProfCatedra2024&amp;Correo=JoseRoA@unisabana.edu.co1</t>
  </si>
  <si>
    <t>juan.acevedo3@unisabana.edu.co</t>
  </si>
  <si>
    <t>juan.acevedo3@unisabana.edu.co1</t>
  </si>
  <si>
    <t>https://ProfCatedra2024.sawtoothsoftware.com/cgi-bin/ciwweb.pl?studyname=ProfCatedra2024&amp;Correo=juan.acevedo3@unisabana.edu.co1</t>
  </si>
  <si>
    <t>juan.beltran4@unisabana.edu.co</t>
  </si>
  <si>
    <t>juan.beltran4@unisabana.edu.co1</t>
  </si>
  <si>
    <t>https://ProfCatedra2024.sawtoothsoftware.com/cgi-bin/ciwweb.pl?studyname=ProfCatedra2024&amp;Correo=juan.beltran4@unisabana.edu.co1</t>
  </si>
  <si>
    <t>juan.bernal9@unisabana.edu.co</t>
  </si>
  <si>
    <t>juan.bernal9@unisabana.edu.co1</t>
  </si>
  <si>
    <t>https://ProfCatedra2024.sawtoothsoftware.com/cgi-bin/ciwweb.pl?studyname=ProfCatedra2024&amp;Correo=juan.bernal9@unisabana.edu.co1</t>
  </si>
  <si>
    <t>juan.betancourt@unisabana.edu.co</t>
  </si>
  <si>
    <t>juan.betancourt@unisabana.edu.co1</t>
  </si>
  <si>
    <t>https://ProfCatedra2024.sawtoothsoftware.com/cgi-bin/ciwweb.pl?studyname=ProfCatedra2024&amp;Correo=juan.betancourt@unisabana.edu.co1</t>
  </si>
  <si>
    <t>juan.castiblanco1@unisabana.edu.co</t>
  </si>
  <si>
    <t>juan.castiblanco1@unisabana.edu.co1</t>
  </si>
  <si>
    <t>https://ProfCatedra2024.sawtoothsoftware.com/cgi-bin/ciwweb.pl?studyname=ProfCatedra2024&amp;Correo=juan.castiblanco1@unisabana.edu.co1</t>
  </si>
  <si>
    <t>juan.cobos@unisabana.edu.co</t>
  </si>
  <si>
    <t>juan.cobos@unisabana.edu.co1</t>
  </si>
  <si>
    <t>https://ProfCatedra2024.sawtoothsoftware.com/cgi-bin/ciwweb.pl?studyname=ProfCatedra2024&amp;Correo=juan.cobos@unisabana.edu.co1</t>
  </si>
  <si>
    <t>juan.cobos@unisabana.edu.co2</t>
  </si>
  <si>
    <t>https://ProfCatedra2024.sawtoothsoftware.com/cgi-bin/ciwweb.pl?studyname=ProfCatedra2024&amp;Correo=juan.cobos@unisabana.edu.co2</t>
  </si>
  <si>
    <t>juan.cobos@unisabana.edu.co3</t>
  </si>
  <si>
    <t>https://ProfCatedra2024.sawtoothsoftware.com/cgi-bin/ciwweb.pl?studyname=ProfCatedra2024&amp;Correo=juan.cobos@unisabana.edu.co3</t>
  </si>
  <si>
    <t>juan.correales@unisabana.edu.co</t>
  </si>
  <si>
    <t>juan.correales@unisabana.edu.co01</t>
  </si>
  <si>
    <t>https://ProfCatedra2024.sawtoothsoftware.com/cgi-bin/ciwweb.pl?studyname=ProfCatedra2024&amp;Correo=juan.correales@unisabana.edu.co01</t>
  </si>
  <si>
    <t>juan.enciso2@unisabana.edu.co</t>
  </si>
  <si>
    <t>juan.enciso2@unisabana.edu.co01</t>
  </si>
  <si>
    <t>https://ProfCatedra2024.sawtoothsoftware.com/cgi-bin/ciwweb.pl?studyname=ProfCatedra2024&amp;Correo=juan.enciso2@unisabana.edu.co01</t>
  </si>
  <si>
    <t>juan.enciso2@unisabana.edu.co1</t>
  </si>
  <si>
    <t>https://ProfCatedra2024.sawtoothsoftware.com/cgi-bin/ciwweb.pl?studyname=ProfCatedra2024&amp;Correo=juan.enciso2@unisabana.edu.co1</t>
  </si>
  <si>
    <t>juan.espejo1@unisabana.edu.co</t>
  </si>
  <si>
    <t>juan.espejo1@unisabana.edu.co01</t>
  </si>
  <si>
    <t>https://ProfCatedra2024.sawtoothsoftware.com/cgi-bin/ciwweb.pl?studyname=ProfCatedra2024&amp;Correo=juan.espejo1@unisabana.edu.co01</t>
  </si>
  <si>
    <t>juan.espinosa2@unisabana.edu.co</t>
  </si>
  <si>
    <t>juan.espinosa2@unisabana.edu.co1</t>
  </si>
  <si>
    <t>https://ProfCatedra2024.sawtoothsoftware.com/cgi-bin/ciwweb.pl?studyname=ProfCatedra2024&amp;Correo=juan.espinosa2@unisabana.edu.co1</t>
  </si>
  <si>
    <t>juan.garcia12@unisabana.edu.co</t>
  </si>
  <si>
    <t>juan.garcia12@unisabana.edu.co1</t>
  </si>
  <si>
    <t>https://ProfCatedra2024.sawtoothsoftware.com/cgi-bin/ciwweb.pl?studyname=ProfCatedra2024&amp;Correo=juan.garcia12@unisabana.edu.co1</t>
  </si>
  <si>
    <t>juan.garcia13@unisabana.edu.co</t>
  </si>
  <si>
    <t>juan.garcia13@unisabana.edu.co1</t>
  </si>
  <si>
    <t>https://ProfCatedra2024.sawtoothsoftware.com/cgi-bin/ciwweb.pl?studyname=ProfCatedra2024&amp;Correo=juan.garcia13@unisabana.edu.co1</t>
  </si>
  <si>
    <t>juan.giraldo1@unisabana.edu.co</t>
  </si>
  <si>
    <t>juan.giraldo1@unisabana.edu.co1</t>
  </si>
  <si>
    <t>https://ProfCatedra2024.sawtoothsoftware.com/cgi-bin/ciwweb.pl?studyname=ProfCatedra2024&amp;Correo=juan.giraldo1@unisabana.edu.co1</t>
  </si>
  <si>
    <t>juan.gonzalez10@unisabana.edu.co</t>
  </si>
  <si>
    <t>juan.gonzalez10@unisabana.edu.co1</t>
  </si>
  <si>
    <t>https://ProfCatedra2024.sawtoothsoftware.com/cgi-bin/ciwweb.pl?studyname=ProfCatedra2024&amp;Correo=juan.gonzalez10@unisabana.edu.co1</t>
  </si>
  <si>
    <t>juan.grosso1@unisabana.edu.co</t>
  </si>
  <si>
    <t>juan.grosso1@unisabana.edu.co01</t>
  </si>
  <si>
    <t>https://ProfCatedra2024.sawtoothsoftware.com/cgi-bin/ciwweb.pl?studyname=ProfCatedra2024&amp;Correo=juan.grosso1@unisabana.edu.co01</t>
  </si>
  <si>
    <t>juan.gutierrez1@unisabana.edu.co</t>
  </si>
  <si>
    <t>juan.gutierrez1@unisabana.edu.co01</t>
  </si>
  <si>
    <t>Especializaciï¿½n en Gerencia Comercial - Chia</t>
  </si>
  <si>
    <t>https://ProfCatedra2024.sawtoothsoftware.com/cgi-bin/ciwweb.pl?studyname=ProfCatedra2024&amp;Correo=juan.gutierrez1@unisabana.edu.co01</t>
  </si>
  <si>
    <t>juan.gutierrez1@unisabana.edu.co02</t>
  </si>
  <si>
    <t>https://ProfCatedra2024.sawtoothsoftware.com/cgi-bin/ciwweb.pl?studyname=ProfCatedra2024&amp;Correo=juan.gutierrez1@unisabana.edu.co02</t>
  </si>
  <si>
    <t>juan.hernandez@unisabana.edu.co</t>
  </si>
  <si>
    <t>JUAN.HERNANDEZ@UNISABANA.EDU.CO1</t>
  </si>
  <si>
    <t>https://ProfCatedra2024.sawtoothsoftware.com/cgi-bin/ciwweb.pl?studyname=ProfCatedra2024&amp;Correo=JUAN.HERNANDEZ@UNISABANA.EDU.CO1</t>
  </si>
  <si>
    <t>juan.jaramillo1@unisabana.edu.co</t>
  </si>
  <si>
    <t>juan.jaramillo1@unisabana.edu.co1</t>
  </si>
  <si>
    <t>https://ProfCatedra2024.sawtoothsoftware.com/cgi-bin/ciwweb.pl?studyname=ProfCatedra2024&amp;Correo=juan.jaramillo1@unisabana.edu.co1</t>
  </si>
  <si>
    <t>juan.mojica3@unisabana.edu.co</t>
  </si>
  <si>
    <t>juan.Mojica3@unisabana.edu.co1</t>
  </si>
  <si>
    <t>https://ProfCatedra2024.sawtoothsoftware.com/cgi-bin/ciwweb.pl?studyname=ProfCatedra2024&amp;Correo=juan.Mojica3@unisabana.edu.co1</t>
  </si>
  <si>
    <t>alba.munoz@unisabana.edu.co</t>
  </si>
  <si>
    <t>alba.munoz@unisabana.edu.co1</t>
  </si>
  <si>
    <t>https://ProfCatedra2024.sawtoothsoftware.com/cgi-bin/ciwweb.pl?studyname=ProfCatedra2024&amp;Correo=alba.munoz@unisabana.edu.co1</t>
  </si>
  <si>
    <t>alexander.jimenez@unisabana.edu.co</t>
  </si>
  <si>
    <t>alexander.jimenez@unisabana.edu.co1</t>
  </si>
  <si>
    <t>https://ProfCatedra2024.sawtoothsoftware.com/cgi-bin/ciwweb.pl?studyname=ProfCatedra2024&amp;Correo=alexander.jimenez@unisabana.edu.co1</t>
  </si>
  <si>
    <t>alvaro.pulido@unisabana.edu.co</t>
  </si>
  <si>
    <t>alvaro.pulido@unisabana.edu.co1</t>
  </si>
  <si>
    <t>https://ProfCatedra2024.sawtoothsoftware.com/cgi-bin/ciwweb.pl?studyname=ProfCatedra2024&amp;Correo=alvaro.pulido@unisabana.edu.co1</t>
  </si>
  <si>
    <t>alver.castillo@unisabana.edu.co</t>
  </si>
  <si>
    <t>alver.castillo@unisabana.edu.co1</t>
  </si>
  <si>
    <t>https://ProfCatedra2024.sawtoothsoftware.com/cgi-bin/ciwweb.pl?studyname=ProfCatedra2024&amp;Correo=alver.castillo@unisabana.edu.co1</t>
  </si>
  <si>
    <t>ana.moreno3@unisabana.edu.co</t>
  </si>
  <si>
    <t>ana.moreno3@unisabana.edu.co1</t>
  </si>
  <si>
    <t>https://ProfCatedra2024.sawtoothsoftware.com/cgi-bin/ciwweb.pl?studyname=ProfCatedra2024&amp;Correo=ana.moreno3@unisabana.edu.co1</t>
  </si>
  <si>
    <t>andres.guevara3@unisabana.edu.co</t>
  </si>
  <si>
    <t>andres.guevara3@unisabana.edu.co1</t>
  </si>
  <si>
    <t>https://ProfCatedra2024.sawtoothsoftware.com/cgi-bin/ciwweb.pl?studyname=ProfCatedra2024&amp;Correo=andres.guevara3@unisabana.edu.co1</t>
  </si>
  <si>
    <t>angela.bertieri@unisabana.edu.co</t>
  </si>
  <si>
    <t>angela.bertieri@unisabana.edu.co1</t>
  </si>
  <si>
    <t>https://ProfCatedra2024.sawtoothsoftware.com/cgi-bin/ciwweb.pl?studyname=ProfCatedra2024&amp;Correo=angela.bertieri@unisabana.edu.co1</t>
  </si>
  <si>
    <t>angela.romero3@unisabana.edu.co</t>
  </si>
  <si>
    <t>angela.romero3@unisabana.edu.co1</t>
  </si>
  <si>
    <t>https://ProfCatedra2024.sawtoothsoftware.com/cgi-bin/ciwweb.pl?studyname=ProfCatedra2024&amp;Correo=angela.romero3@unisabana.edu.co1</t>
  </si>
  <si>
    <t>angelacorga@unisabana.edu.co</t>
  </si>
  <si>
    <t>angelacorga@unisabana.edu.co1</t>
  </si>
  <si>
    <t>https://ProfCatedra2024.sawtoothsoftware.com/cgi-bin/ciwweb.pl?studyname=ProfCatedra2024&amp;Correo=angelacorga@unisabana.edu.co1</t>
  </si>
  <si>
    <t>antonio.rodriguez@unisabana.edu.co</t>
  </si>
  <si>
    <t>antonio.rodriguez@unisabana.edu.co1</t>
  </si>
  <si>
    <t>https://ProfCatedra2024.sawtoothsoftware.com/cgi-bin/ciwweb.pl?studyname=ProfCatedra2024&amp;Correo=antonio.rodriguez@unisabana.edu.co1</t>
  </si>
  <si>
    <t>camilo.vargas@unisabana.edu.co</t>
  </si>
  <si>
    <t>camilo.vargas@unisabana.edu.co1</t>
  </si>
  <si>
    <t>https://ProfCatedra2024.sawtoothsoftware.com/cgi-bin/ciwweb.pl?studyname=ProfCatedra2024&amp;Correo=camilo.vargas@unisabana.edu.co1</t>
  </si>
  <si>
    <t>carlos.gomez21@unisabana.edu.co</t>
  </si>
  <si>
    <t>carlos.gomez21@unisabana.edu.co1</t>
  </si>
  <si>
    <t>https://ProfCatedra2024.sawtoothsoftware.com/cgi-bin/ciwweb.pl?studyname=ProfCatedra2024&amp;Correo=carlos.gomez21@unisabana.edu.co1</t>
  </si>
  <si>
    <t>carlos.prias@unisabana.edu.co</t>
  </si>
  <si>
    <t>carlos.prias@unisabana.edu.co1</t>
  </si>
  <si>
    <t>https://ProfCatedra2024.sawtoothsoftware.com/cgi-bin/ciwweb.pl?studyname=ProfCatedra2024&amp;Correo=carlos.prias@unisabana.edu.co1</t>
  </si>
  <si>
    <t>cesar.beltran@gmail.com</t>
  </si>
  <si>
    <t>cesar.beltran@gmail.com1</t>
  </si>
  <si>
    <t>https://ProfCatedra2024.sawtoothsoftware.com/cgi-bin/ciwweb.pl?studyname=ProfCatedra2024&amp;Correo=cesar.beltran@gmail.com1</t>
  </si>
  <si>
    <t>cesar.diaz1@unisabana.edu.co</t>
  </si>
  <si>
    <t>cesar.diaz1@unisabana.edu.co1</t>
  </si>
  <si>
    <t>https://ProfCatedra2024.sawtoothsoftware.com/cgi-bin/ciwweb.pl?studyname=ProfCatedra2024&amp;Correo=cesar.diaz1@unisabana.edu.co1</t>
  </si>
  <si>
    <t>cflorezt@hotmail.com</t>
  </si>
  <si>
    <t>cflorezt@hotmail.com1</t>
  </si>
  <si>
    <t>https://ProfCatedra2024.sawtoothsoftware.com/cgi-bin/ciwweb.pl?studyname=ProfCatedra2024&amp;Correo=cflorezt@hotmail.com1</t>
  </si>
  <si>
    <t>claudia.jaramillo2@unisabana.edu.co</t>
  </si>
  <si>
    <t>claudia.jaramillo2@unisabana.edu.co1</t>
  </si>
  <si>
    <t>https://ProfCatedra2024.sawtoothsoftware.com/cgi-bin/ciwweb.pl?studyname=ProfCatedra2024&amp;Correo=claudia.jaramillo2@unisabana.edu.co1</t>
  </si>
  <si>
    <t>daniel.gomez5@unisabana.edu.co1</t>
  </si>
  <si>
    <t>https://ProfCatedra2024.sawtoothsoftware.com/cgi-bin/ciwweb.pl?studyname=ProfCatedra2024&amp;Correo=daniel.gomez5@unisabana.edu.co1</t>
  </si>
  <si>
    <t>daniel.robayo@unisabana.edu.co</t>
  </si>
  <si>
    <t>daniel.robayo@unisabana.edu.co1</t>
  </si>
  <si>
    <t>https://ProfCatedra2024.sawtoothsoftware.com/cgi-bin/ciwweb.pl?studyname=ProfCatedra2024&amp;Correo=daniel.robayo@unisabana.edu.co1</t>
  </si>
  <si>
    <t>david.avila@unisabana.edu.co</t>
  </si>
  <si>
    <t>david.avila@unisabana.edu.co1</t>
  </si>
  <si>
    <t>https://ProfCatedra2024.sawtoothsoftware.com/cgi-bin/ciwweb.pl?studyname=ProfCatedra2024&amp;Correo=david.avila@unisabana.edu.co1</t>
  </si>
  <si>
    <t>davidheme@unisabana.edu.co</t>
  </si>
  <si>
    <t>davidheme@unisabana.edu.co1</t>
  </si>
  <si>
    <t>https://ProfCatedra2024.sawtoothsoftware.com/cgi-bin/ciwweb.pl?studyname=ProfCatedra2024&amp;Correo=davidheme@unisabana.edu.co1</t>
  </si>
  <si>
    <t>diego.guevara@unisabana.edu.co</t>
  </si>
  <si>
    <t>diego.guevara@unisabana.edu.co1</t>
  </si>
  <si>
    <t>https://ProfCatedra2024.sawtoothsoftware.com/cgi-bin/ciwweb.pl?studyname=ProfCatedra2024&amp;Correo=diego.guevara@unisabana.edu.co1</t>
  </si>
  <si>
    <t>edwin.rojas@unisabana.edu.co</t>
  </si>
  <si>
    <t>edwin.rojas@unisabana.edu.co1</t>
  </si>
  <si>
    <t>https://ProfCatedra2024.sawtoothsoftware.com/cgi-bin/ciwweb.pl?studyname=ProfCatedra2024&amp;Correo=edwin.rojas@unisabana.edu.co1</t>
  </si>
  <si>
    <t>faure.rodriguez1@unisabana.edu.co</t>
  </si>
  <si>
    <t>faure.rodriguez1@unisabana.edu.co1</t>
  </si>
  <si>
    <t>https://ProfCatedra2024.sawtoothsoftware.com/cgi-bin/ciwweb.pl?studyname=ProfCatedra2024&amp;Correo=faure.rodriguez1@unisabana.edu.co1</t>
  </si>
  <si>
    <t>francisco.moreno2@unisabana.edu.co</t>
  </si>
  <si>
    <t>francisco.moreno2@unisabana.edu.co1</t>
  </si>
  <si>
    <t>https://ProfCatedra2024.sawtoothsoftware.com/cgi-bin/ciwweb.pl?studyname=ProfCatedra2024&amp;Correo=francisco.moreno2@unisabana.edu.co1</t>
  </si>
  <si>
    <t>hector.lopez3@unisabana.edu.co</t>
  </si>
  <si>
    <t>hector.lopez3@unisabana.edu.co1</t>
  </si>
  <si>
    <t>https://ProfCatedra2024.sawtoothsoftware.com/cgi-bin/ciwweb.pl?studyname=ProfCatedra2024&amp;Correo=hector.lopez3@unisabana.edu.co1</t>
  </si>
  <si>
    <t>ing.karol.moreno@gmail.com</t>
  </si>
  <si>
    <t>ing.karol.moreno@gmail.com1</t>
  </si>
  <si>
    <t>https://ProfCatedra2024.sawtoothsoftware.com/cgi-bin/ciwweb.pl?studyname=ProfCatedra2024&amp;Correo=ing.karol.moreno@gmail.com1</t>
  </si>
  <si>
    <t>jairo.sarmiento@unisabana.edu.co</t>
  </si>
  <si>
    <t>jairo.sarmiento@unisabana.edu.co1</t>
  </si>
  <si>
    <t>https://ProfCatedra2024.sawtoothsoftware.com/cgi-bin/ciwweb.pl?studyname=ProfCatedra2024&amp;Correo=jairo.sarmiento@unisabana.edu.co1</t>
  </si>
  <si>
    <t>jesus.ruiz@unisabana.edu.co</t>
  </si>
  <si>
    <t>jesus.ruiz@unisabana.edu.co1</t>
  </si>
  <si>
    <t>https://ProfCatedra2024.sawtoothsoftware.com/cgi-bin/ciwweb.pl?studyname=ProfCatedra2024&amp;Correo=jesus.ruiz@unisabana.edu.co1</t>
  </si>
  <si>
    <t>jhenny.perez@unisabana.edu.co</t>
  </si>
  <si>
    <t>jhenny.perez@unisabana.edu.co1</t>
  </si>
  <si>
    <t>https://ProfCatedra2024.sawtoothsoftware.com/cgi-bin/ciwweb.pl?studyname=ProfCatedra2024&amp;Correo=jhenny.perez@unisabana.edu.co1</t>
  </si>
  <si>
    <t>jhon.quiceno@unisabana.edu.co</t>
  </si>
  <si>
    <t>jhon.quiceno@unisabana.edu.co1</t>
  </si>
  <si>
    <t>https://ProfCatedra2024.sawtoothsoftware.com/cgi-bin/ciwweb.pl?studyname=ProfCatedra2024&amp;Correo=jhon.quiceno@unisabana.edu.co1</t>
  </si>
  <si>
    <t>john.mora@unisabana.edu.co</t>
  </si>
  <si>
    <t>john.mora@unisabana.edu.co1</t>
  </si>
  <si>
    <t>https://ProfCatedra2024.sawtoothsoftware.com/cgi-bin/ciwweb.pl?studyname=ProfCatedra2024&amp;Correo=john.mora@unisabana.edu.co1</t>
  </si>
  <si>
    <t>jose.capera@unisabana.edu.co</t>
  </si>
  <si>
    <t>jose.capera@unisabana.edu.co1</t>
  </si>
  <si>
    <t>https://ProfCatedra2024.sawtoothsoftware.com/cgi-bin/ciwweb.pl?studyname=ProfCatedra2024&amp;Correo=jose.capera@unisabana.edu.co1</t>
  </si>
  <si>
    <t>juan.anzola@unisabana.edu.co</t>
  </si>
  <si>
    <t>juan.anzola@unisabana.edu.co1</t>
  </si>
  <si>
    <t>https://ProfCatedra2024.sawtoothsoftware.com/cgi-bin/ciwweb.pl?studyname=ProfCatedra2024&amp;Correo=juan.anzola@unisabana.edu.co1</t>
  </si>
  <si>
    <t>juan.bargans@unisabana.edu.co</t>
  </si>
  <si>
    <t>Juan.Bargans@unisabana.edu.co1</t>
  </si>
  <si>
    <t>https://ProfCatedra2024.sawtoothsoftware.com/cgi-bin/ciwweb.pl?studyname=ProfCatedra2024&amp;Correo=Juan.Bargans@unisabana.edu.co1</t>
  </si>
  <si>
    <t>juan.murillo2@unisabana.edu.co</t>
  </si>
  <si>
    <t>juan.murillo2@unisabana.edu.co1</t>
  </si>
  <si>
    <t>https://ProfCatedra2024.sawtoothsoftware.com/cgi-bin/ciwweb.pl?studyname=ProfCatedra2024&amp;Correo=juan.murillo2@unisabana.edu.co1</t>
  </si>
  <si>
    <t>juan.nunez@unisabana.edu.co</t>
  </si>
  <si>
    <t>juan.nunez@unisabana.edu.co1</t>
  </si>
  <si>
    <t>https://ProfCatedra2024.sawtoothsoftware.com/cgi-bin/ciwweb.pl?studyname=ProfCatedra2024&amp;Correo=juan.nunez@unisabana.edu.co1</t>
  </si>
  <si>
    <t>juan.quintero14@unisabana.edu.co</t>
  </si>
  <si>
    <t>juan.quintero14@unisabana.edu.co1</t>
  </si>
  <si>
    <t>https://ProfCatedra2024.sawtoothsoftware.com/cgi-bin/ciwweb.pl?studyname=ProfCatedra2024&amp;Correo=juan.quintero14@unisabana.edu.co1</t>
  </si>
  <si>
    <t>julia.diaz@unisabana.edu.co</t>
  </si>
  <si>
    <t>julia.diaz@unisabana.edu.co1</t>
  </si>
  <si>
    <t>https://ProfCatedra2024.sawtoothsoftware.com/cgi-bin/ciwweb.pl?studyname=ProfCatedra2024&amp;Correo=julia.diaz@unisabana.edu.co1</t>
  </si>
  <si>
    <t>julianavete@unisabana.edu.co</t>
  </si>
  <si>
    <t>julianavete@unisabana.edu.co1</t>
  </si>
  <si>
    <t>https://ProfCatedra2024.sawtoothsoftware.com/cgi-bin/ciwweb.pl?studyname=ProfCatedra2024&amp;Correo=julianavete@unisabana.edu.co1</t>
  </si>
  <si>
    <t>ka.lee@unisabana.edu.co</t>
  </si>
  <si>
    <t>ka.lee@unisabana.edu.co1</t>
  </si>
  <si>
    <t>https://ProfCatedra2024.sawtoothsoftware.com/cgi-bin/ciwweb.pl?studyname=ProfCatedra2024&amp;Correo=ka.lee@unisabana.edu.co1</t>
  </si>
  <si>
    <t>laura.vanegas@unisabana.edu.co</t>
  </si>
  <si>
    <t>laura.vanegas@unisabana.edu.co1</t>
  </si>
  <si>
    <t>https://ProfCatedra2024.sawtoothsoftware.com/cgi-bin/ciwweb.pl?studyname=ProfCatedra2024&amp;Correo=laura.vanegas@unisabana.edu.co1</t>
  </si>
  <si>
    <t>leslie.aguirre@unisabana.edu.co</t>
  </si>
  <si>
    <t>leslie.aguirre@unisabana.edu.co1</t>
  </si>
  <si>
    <t>https://ProfCatedra2024.sawtoothsoftware.com/cgi-bin/ciwweb.pl?studyname=ProfCatedra2024&amp;Correo=leslie.aguirre@unisabana.edu.co1</t>
  </si>
  <si>
    <t>lina.gomez5@unisabana.edu.co</t>
  </si>
  <si>
    <t>lina.gomez5@unisabana.edu.co1</t>
  </si>
  <si>
    <t>https://ProfCatedra2024.sawtoothsoftware.com/cgi-bin/ciwweb.pl?studyname=ProfCatedra2024&amp;Correo=lina.gomez5@unisabana.edu.co1</t>
  </si>
  <si>
    <t>luis.barrientos@unisabana.edu.co</t>
  </si>
  <si>
    <t>luis.barrientos@unisabana.edu.co1</t>
  </si>
  <si>
    <t>https://ProfCatedra2024.sawtoothsoftware.com/cgi-bin/ciwweb.pl?studyname=ProfCatedra2024&amp;Correo=luis.barrientos@unisabana.edu.co1</t>
  </si>
  <si>
    <t>luis.contreras1@unisabana.edu.co</t>
  </si>
  <si>
    <t>luis.contreras1@unisabana.edu.co1</t>
  </si>
  <si>
    <t>https://ProfCatedra2024.sawtoothsoftware.com/cgi-bin/ciwweb.pl?studyname=ProfCatedra2024&amp;Correo=luis.contreras1@unisabana.edu.co1</t>
  </si>
  <si>
    <t>luis.lopez8@unisabana.edu.co</t>
  </si>
  <si>
    <t>luis.lopez8@unisabana.edu.co1</t>
  </si>
  <si>
    <t>https://ProfCatedra2024.sawtoothsoftware.com/cgi-bin/ciwweb.pl?studyname=ProfCatedra2024&amp;Correo=luis.lopez8@unisabana.edu.co1</t>
  </si>
  <si>
    <t>luis.ordonez1@unisabana.edu.co</t>
  </si>
  <si>
    <t>luis.ordonez1@unisabana.edu.co1</t>
  </si>
  <si>
    <t>https://ProfCatedra2024.sawtoothsoftware.com/cgi-bin/ciwweb.pl?studyname=ProfCatedra2024&amp;Correo=luis.ordonez1@unisabana.edu.co1</t>
  </si>
  <si>
    <t>luis_parra02@hotmail.com</t>
  </si>
  <si>
    <t>luis_parra02@hotmail.com1</t>
  </si>
  <si>
    <t>https://ProfCatedra2024.sawtoothsoftware.com/cgi-bin/ciwweb.pl?studyname=ProfCatedra2024&amp;Correo=luis_parra02@hotmail.com1</t>
  </si>
  <si>
    <t>luisangro@unisabana.edu.co</t>
  </si>
  <si>
    <t>luisangro@unisabana.edu.co1</t>
  </si>
  <si>
    <t>https://ProfCatedra2024.sawtoothsoftware.com/cgi-bin/ciwweb.pl?studyname=ProfCatedra2024&amp;Correo=luisangro@unisabana.edu.co1</t>
  </si>
  <si>
    <t>luz.dueri@unisabana.edu.co</t>
  </si>
  <si>
    <t>luz.dueri@unisabana.edu.co1</t>
  </si>
  <si>
    <t>https://ProfCatedra2024.sawtoothsoftware.com/cgi-bin/ciwweb.pl?studyname=ProfCatedra2024&amp;Correo=luz.dueri@unisabana.edu.co1</t>
  </si>
  <si>
    <t>maira.ortegon@unisabana.edu.co</t>
  </si>
  <si>
    <t>maira.ortegon@unisabana.edu.co1</t>
  </si>
  <si>
    <t>https://ProfCatedra2024.sawtoothsoftware.com/cgi-bin/ciwweb.pl?studyname=ProfCatedra2024&amp;Correo=maira.ortegon@unisabana.edu.co1</t>
  </si>
  <si>
    <t>maria.granados1@unisabana.edu.co</t>
  </si>
  <si>
    <t>MARIA.GRANADOS1@UNISABANA.EDU.CO1</t>
  </si>
  <si>
    <t>https://ProfCatedra2024.sawtoothsoftware.com/cgi-bin/ciwweb.pl?studyname=ProfCatedra2024&amp;Correo=MARIA.GRANADOS1@UNISABANA.EDU.CO1</t>
  </si>
  <si>
    <t>maria.lopez16@unisabana.edu.co</t>
  </si>
  <si>
    <t>maria.lopez16@unisabana.edu.co1</t>
  </si>
  <si>
    <t>https://ProfCatedra2024.sawtoothsoftware.com/cgi-bin/ciwweb.pl?studyname=ProfCatedra2024&amp;Correo=maria.lopez16@unisabana.edu.co1</t>
  </si>
  <si>
    <t>maria.mora1@unisabana.edu.co</t>
  </si>
  <si>
    <t>maria.mora1@unisabana.edu.co1</t>
  </si>
  <si>
    <t>https://ProfCatedra2024.sawtoothsoftware.com/cgi-bin/ciwweb.pl?studyname=ProfCatedra2024&amp;Correo=maria.mora1@unisabana.edu.co1</t>
  </si>
  <si>
    <t>maria.morales10@unisabana.edu.co</t>
  </si>
  <si>
    <t>maria.morales10@unisabana.edu.co1</t>
  </si>
  <si>
    <t>https://ProfCatedra2024.sawtoothsoftware.com/cgi-bin/ciwweb.pl?studyname=ProfCatedra2024&amp;Correo=maria.morales10@unisabana.edu.co1</t>
  </si>
  <si>
    <t>maria.quevedo@unisabana.edu.co</t>
  </si>
  <si>
    <t>maria.quevedo@unisabana.edu.co1</t>
  </si>
  <si>
    <t>https://ProfCatedra2024.sawtoothsoftware.com/cgi-bin/ciwweb.pl?studyname=ProfCatedra2024&amp;Correo=maria.quevedo@unisabana.edu.co1</t>
  </si>
  <si>
    <t>mariaderom@unisabana.edu.co</t>
  </si>
  <si>
    <t>mariaderom@unisabana.edu.co1</t>
  </si>
  <si>
    <t>https://ProfCatedra2024.sawtoothsoftware.com/cgi-bin/ciwweb.pl?studyname=ProfCatedra2024&amp;Correo=mariaderom@unisabana.edu.co1</t>
  </si>
  <si>
    <t>mario.alvarez2@unisabana.edu.co</t>
  </si>
  <si>
    <t>mario.alvarez2@unisabana.edu.co1</t>
  </si>
  <si>
    <t>https://ProfCatedra2024.sawtoothsoftware.com/cgi-bin/ciwweb.pl?studyname=ProfCatedra2024&amp;Correo=mario.alvarez2@unisabana.edu.co1</t>
  </si>
  <si>
    <t>mario.manzi@unisabana.edu.co</t>
  </si>
  <si>
    <t>mario.manzi@unisabana.edu.co1</t>
  </si>
  <si>
    <t>https://ProfCatedra2024.sawtoothsoftware.com/cgi-bin/ciwweb.pl?studyname=ProfCatedra2024&amp;Correo=mario.manzi@unisabana.edu.co1</t>
  </si>
  <si>
    <t>marisolescru@unisabana.edu.co</t>
  </si>
  <si>
    <t>marisolescru@unisabana.edu.co1</t>
  </si>
  <si>
    <t>https://ProfCatedra2024.sawtoothsoftware.com/cgi-bin/ciwweb.pl?studyname=ProfCatedra2024&amp;Correo=marisolescru@unisabana.edu.co1</t>
  </si>
  <si>
    <t>miguelesch@unisabana.edu.co</t>
  </si>
  <si>
    <t>miguelesch@unisabana.edu.co1</t>
  </si>
  <si>
    <t>https://ProfCatedra2024.sawtoothsoftware.com/cgi-bin/ciwweb.pl?studyname=ProfCatedra2024&amp;Correo=miguelesch@unisabana.edu.co1</t>
  </si>
  <si>
    <t>nadia.olea1@unisabana.edu.co</t>
  </si>
  <si>
    <t>nadia.olea1@unisabana.edu.co1</t>
  </si>
  <si>
    <t>https://ProfCatedra2024.sawtoothsoftware.com/cgi-bin/ciwweb.pl?studyname=ProfCatedra2024&amp;Correo=nadia.olea1@unisabana.edu.co1</t>
  </si>
  <si>
    <t>nancy.franco@unisabana.edu.co</t>
  </si>
  <si>
    <t>nancy.franco@unisabana.edu.co1</t>
  </si>
  <si>
    <t>https://ProfCatedra2024.sawtoothsoftware.com/cgi-bin/ciwweb.pl?studyname=ProfCatedra2024&amp;Correo=nancy.franco@unisabana.edu.co1</t>
  </si>
  <si>
    <t>oscar.parra2@unisabana.edu.co</t>
  </si>
  <si>
    <t>oscar.parra2@unisabana.edu.co1</t>
  </si>
  <si>
    <t>https://ProfCatedra2024.sawtoothsoftware.com/cgi-bin/ciwweb.pl?studyname=ProfCatedra2024&amp;Correo=oscar.parra2@unisabana.edu.co1</t>
  </si>
  <si>
    <t>pedro.garcia@unisabana.edu.co</t>
  </si>
  <si>
    <t>pedro.garcia@unisabana.edu.co1</t>
  </si>
  <si>
    <t>https://ProfCatedra2024.sawtoothsoftware.com/cgi-bin/ciwweb.pl?studyname=ProfCatedra2024&amp;Correo=pedro.garcia@unisabana.edu.co1</t>
  </si>
  <si>
    <t>pedrorasa@unisabana.edu.co</t>
  </si>
  <si>
    <t>pedrorasa@unisabana.edu.co1</t>
  </si>
  <si>
    <t>https://ProfCatedra2024.sawtoothsoftware.com/cgi-bin/ciwweb.pl?studyname=ProfCatedra2024&amp;Correo=pedrorasa@unisabana.edu.co1</t>
  </si>
  <si>
    <t>rodinson.arrieta_cont@unisabana.edu.co</t>
  </si>
  <si>
    <t>rodinson.arrieta_cont@unisabana.edu.co1</t>
  </si>
  <si>
    <t>https://ProfCatedra2024.sawtoothsoftware.com/cgi-bin/ciwweb.pl?studyname=ProfCatedra2024&amp;Correo=rodinson.arrieta_cont@unisabana.edu.co1</t>
  </si>
  <si>
    <t>rodrigo.toro@unisabana.edu.co</t>
  </si>
  <si>
    <t>rodrigo.toro@unisabana.edu.co1</t>
  </si>
  <si>
    <t>https://ProfCatedra2024.sawtoothsoftware.com/cgi-bin/ciwweb.pl?studyname=ProfCatedra2024&amp;Correo=rodrigo.toro@unisabana.edu.co1</t>
  </si>
  <si>
    <t>s.tellolee@gmail.com</t>
  </si>
  <si>
    <t>s.tellolee@gmail.com1</t>
  </si>
  <si>
    <t>https://ProfCatedra2024.sawtoothsoftware.com/cgi-bin/ciwweb.pl?studyname=ProfCatedra2024&amp;Correo=s.tellolee@gmail.com1</t>
  </si>
  <si>
    <t>santiagoride@unisabana.edu.co</t>
  </si>
  <si>
    <t>santiagoride@unisabana.edu.co1</t>
  </si>
  <si>
    <t>https://ProfCatedra2024.sawtoothsoftware.com/cgi-bin/ciwweb.pl?studyname=ProfCatedra2024&amp;Correo=santiagoride@unisabana.edu.co1</t>
  </si>
  <si>
    <t>sergiogr9506@gmail.com</t>
  </si>
  <si>
    <t>sergiogr9506@gmail.com1</t>
  </si>
  <si>
    <t>https://ProfCatedra2024.sawtoothsoftware.com/cgi-bin/ciwweb.pl?studyname=ProfCatedra2024&amp;Correo=sergiogr9506@gmail.com1</t>
  </si>
  <si>
    <t>https://ProfCatedra2024.sawtoothsoftware.com/cgi-bin/ciwweb.pl?studyname=ProfCatedra2024&amp;Correo=</t>
  </si>
  <si>
    <t>squevedor92@gmail.com</t>
  </si>
  <si>
    <t>squevedor92@gmail.com1</t>
  </si>
  <si>
    <t>https://ProfCatedra2024.sawtoothsoftware.com/cgi-bin/ciwweb.pl?studyname=ProfCatedra2024&amp;Correo=squevedor92@gmail.com1</t>
  </si>
  <si>
    <t>stephan.langdon@unisabana.edu.co</t>
  </si>
  <si>
    <t>stephan.langdon@unisabana.edu.co1</t>
  </si>
  <si>
    <t>https://ProfCatedra2024.sawtoothsoftware.com/cgi-bin/ciwweb.pl?studyname=ProfCatedra2024&amp;Correo=stephan.langdon@unisabana.edu.co1</t>
  </si>
  <si>
    <t>tatiana.monsalve@unisabana.edu.co</t>
  </si>
  <si>
    <t>tatiana.monsalve@unisabana.edu.co1</t>
  </si>
  <si>
    <t>https://ProfCatedra2024.sawtoothsoftware.com/cgi-bin/ciwweb.pl?studyname=ProfCatedra2024&amp;Correo=tatiana.monsalve@unisabana.edu.co1</t>
  </si>
  <si>
    <t>valentina.vieira1@unisabana.edu.co</t>
  </si>
  <si>
    <t>valentina.vieira1@unisabana.edu.co1</t>
  </si>
  <si>
    <t>https://ProfCatedra2024.sawtoothsoftware.com/cgi-bin/ciwweb.pl?studyname=ProfCatedra2024&amp;Correo=valentina.vieira1@unisabana.edu.co1</t>
  </si>
  <si>
    <t>vera.nunez@unisabana.edu.co</t>
  </si>
  <si>
    <t>vera.nunez@unisabana.edu.co1</t>
  </si>
  <si>
    <t>https://ProfCatedra2024.sawtoothsoftware.com/cgi-bin/ciwweb.pl?studyname=ProfCatedra2024&amp;Correo=vera.nunez@unisabana.edu.co1</t>
  </si>
  <si>
    <t>victor.alvarez@unisabana.edu.co</t>
  </si>
  <si>
    <t>victor.alvarez@unisabana.edu.co1</t>
  </si>
  <si>
    <t>https://ProfCatedra2024.sawtoothsoftware.com/cgi-bin/ciwweb.pl?studyname=ProfCatedra2024&amp;Correo=victor.alvarez@unisabana.edu.co1</t>
  </si>
  <si>
    <t>victor.rojas1@unisabana.edu.co</t>
  </si>
  <si>
    <t>victor.rojas1@unisabana.edu.co1</t>
  </si>
  <si>
    <t>https://ProfCatedra2024.sawtoothsoftware.com/cgi-bin/ciwweb.pl?studyname=ProfCatedra2024&amp;Correo=victor.rojas1@unisabana.edu.co1</t>
  </si>
  <si>
    <t>william.torres@unisabana.edu.co</t>
  </si>
  <si>
    <t>william.torres@unisabana.edu.co1</t>
  </si>
  <si>
    <t>https://ProfCatedra2024.sawtoothsoftware.com/cgi-bin/ciwweb.pl?studyname=ProfCatedra2024&amp;Correo=william.torres@unisabana.edu.co1</t>
  </si>
  <si>
    <t>wilson.balaguera@unisabana.edu.co</t>
  </si>
  <si>
    <t>wilson.balaguera@unisabana.edu.co1</t>
  </si>
  <si>
    <t>https://ProfCatedra2024.sawtoothsoftware.com/cgi-bin/ciwweb.pl?studyname=ProfCatedra2024&amp;Correo=wilson.balaguera@unisabana.edu.co1</t>
  </si>
  <si>
    <t>oscar.parra2@unisabana.edu.co2</t>
  </si>
  <si>
    <t>https://ProfCatedra2024.sawtoothsoftware.com/cgi-bin/ciwweb.pl?studyname=ProfCatedra2024&amp;Correo=oscar.parra2@unisabana.edu.co2</t>
  </si>
  <si>
    <t>yaleni.solano@unisabana.edu.co</t>
  </si>
  <si>
    <t>yaleni.solano@unisabana.edu.co3</t>
  </si>
  <si>
    <t>https://ProfCatedra2024.sawtoothsoftware.com/cgi-bin/ciwweb.pl?studyname=ProfCatedra2024&amp;Correo=yaleni.solano@unisabana.edu.co3</t>
  </si>
  <si>
    <t>maria.areiza@unisabana.edu.co</t>
  </si>
  <si>
    <t>maria.areiza@unisabana.edu.co1</t>
  </si>
  <si>
    <t>https://ProfCatedra2024.sawtoothsoftware.com/cgi-bin/ciwweb.pl?studyname=ProfCatedra2024&amp;Correo=maria.areiza@unisabana.edu.co1</t>
  </si>
  <si>
    <t>gabriel.ariza1@unisabana.edu.co1</t>
  </si>
  <si>
    <t>https://ProfCatedra2024.sawtoothsoftware.com/cgi-bin/ciwweb.pl?studyname=ProfCatedra2024&amp;Correo=gabriel.ariza1@unisabana.edu.co1</t>
  </si>
  <si>
    <t>carlos.bustamante@unisabana.edu.co1</t>
  </si>
  <si>
    <t>https://ProfCatedra2024.sawtoothsoftware.com/cgi-bin/ciwweb.pl?studyname=ProfCatedra2024&amp;Correo=carlos.bustamante@unisabana.edu.co1</t>
  </si>
  <si>
    <t>francisco.calle@unisabana.edu.co</t>
  </si>
  <si>
    <t>francisco.calle@unisabana.edu.co1</t>
  </si>
  <si>
    <t>https://ProfCatedra2024.sawtoothsoftware.com/cgi-bin/ciwweb.pl?studyname=ProfCatedra2024&amp;Correo=francisco.calle@unisabana.edu.co1</t>
  </si>
  <si>
    <t>jorge.casas1@unisabana.edu.co</t>
  </si>
  <si>
    <t>jorge.casas1@unisabana.edu.co1</t>
  </si>
  <si>
    <t>https://ProfCatedra2024.sawtoothsoftware.com/cgi-bin/ciwweb.pl?studyname=ProfCatedra2024&amp;Correo=jorge.casas1@unisabana.edu.co1</t>
  </si>
  <si>
    <t>freddy.cifuentes1@unisabana.edu.co</t>
  </si>
  <si>
    <t>freddy.cifuentes1@unisabana.edu.co1</t>
  </si>
  <si>
    <t>https://ProfCatedra2024.sawtoothsoftware.com/cgi-bin/ciwweb.pl?studyname=ProfCatedra2024&amp;Correo=freddy.cifuentes1@unisabana.edu.co1</t>
  </si>
  <si>
    <t>angela.correal2@unisabana.edu.co</t>
  </si>
  <si>
    <t>angela.correal2@unisabana.edu.co1</t>
  </si>
  <si>
    <t>https://ProfCatedra2024.sawtoothsoftware.com/cgi-bin/ciwweb.pl?studyname=ProfCatedra2024&amp;Correo=angela.correal2@unisabana.edu.co1</t>
  </si>
  <si>
    <t>marisol.escano@unisabana.edu.co</t>
  </si>
  <si>
    <t>marisol.escano@unisabana.edu.co1</t>
  </si>
  <si>
    <t>https://ProfCatedra2024.sawtoothsoftware.com/cgi-bin/ciwweb.pl?studyname=ProfCatedra2024&amp;Correo=marisol.escano@unisabana.edu.co1</t>
  </si>
  <si>
    <t>zhenia.guzman@unisabana.edu.co</t>
  </si>
  <si>
    <t>zhenia.guzman@unisabana.edu.co1</t>
  </si>
  <si>
    <t>https://ProfCatedra2024.sawtoothsoftware.com/cgi-bin/ciwweb.pl?studyname=ProfCatedra2024&amp;Correo=zhenia.guzman@unisabana.edu.co1</t>
  </si>
  <si>
    <t>guillermo.hunter@unisabana.edu.co</t>
  </si>
  <si>
    <t>guillermo.hunter@unisabana.edu.co1</t>
  </si>
  <si>
    <t>https://ProfCatedra2024.sawtoothsoftware.com/cgi-bin/ciwweb.pl?studyname=ProfCatedra2024&amp;Correo=guillermo.hunter@unisabana.edu.co1</t>
  </si>
  <si>
    <t>angie.lopez1@unisabana.edu.co</t>
  </si>
  <si>
    <t>angie.lopez1@unisabana.edu.co1</t>
  </si>
  <si>
    <t>https://ProfCatedra2024.sawtoothsoftware.com/cgi-bin/ciwweb.pl?studyname=ProfCatedra2024&amp;Correo=angie.lopez1@unisabana.edu.co1</t>
  </si>
  <si>
    <t>ana.moreno4@unisabana.edu.co</t>
  </si>
  <si>
    <t>ana.moreno4@unisabana.edu.co1</t>
  </si>
  <si>
    <t>https://ProfCatedra2024.sawtoothsoftware.com/cgi-bin/ciwweb.pl?studyname=ProfCatedra2024&amp;Correo=ana.moreno4@unisabana.edu.co1</t>
  </si>
  <si>
    <t>nathaly.motta@unisabana.edu.co</t>
  </si>
  <si>
    <t>nathaly.motta@unisabana.edu.co1</t>
  </si>
  <si>
    <t>https://ProfCatedra2024.sawtoothsoftware.com/cgi-bin/ciwweb.pl?studyname=ProfCatedra2024&amp;Correo=nathaly.motta@unisabana.edu.co1</t>
  </si>
  <si>
    <t>fanny.nino@unisabana.edu.co</t>
  </si>
  <si>
    <t>fanny.nino@unisabana.edu.co1</t>
  </si>
  <si>
    <t>https://ProfCatedra2024.sawtoothsoftware.com/cgi-bin/ciwweb.pl?studyname=ProfCatedra2024&amp;Correo=fanny.nino@unisabana.edu.co1</t>
  </si>
  <si>
    <t>laura.perez2@unisabana.edu.co</t>
  </si>
  <si>
    <t>laura.perez2@unisabana.edu.co1</t>
  </si>
  <si>
    <t>https://ProfCatedra2024.sawtoothsoftware.com/cgi-bin/ciwweb.pl?studyname=ProfCatedra2024&amp;Correo=laura.perez2@unisabana.edu.co1</t>
  </si>
  <si>
    <t>luisa.prieto1@unisabana.edu.co</t>
  </si>
  <si>
    <t>luisa.prieto1@unisabana.edu.co1</t>
  </si>
  <si>
    <t>https://ProfCatedra2024.sawtoothsoftware.com/cgi-bin/ciwweb.pl?studyname=ProfCatedra2024&amp;Correo=luisa.prieto1@unisabana.edu.co1</t>
  </si>
  <si>
    <t>diana.suarez8@unisabana.edu.co</t>
  </si>
  <si>
    <t>diana.suarez8@unisabana.edu.co1</t>
  </si>
  <si>
    <t>https://ProfCatedra2024.sawtoothsoftware.com/cgi-bin/ciwweb.pl?studyname=ProfCatedra2024&amp;Correo=diana.suarez8@unisabana.edu.co1</t>
  </si>
  <si>
    <t>elga.taboada@clinicaunisabana.edu.co</t>
  </si>
  <si>
    <t>Elga.Taboada@clinicaunisabana.edu.co1</t>
  </si>
  <si>
    <t>https://ProfCatedra2024.sawtoothsoftware.com/cgi-bin/ciwweb.pl?studyname=ProfCatedra2024&amp;Correo=Elga.Taboada@clinicaunisabana.edu.co1</t>
  </si>
  <si>
    <t>rafael.tinoco@unisabana.edu.co</t>
  </si>
  <si>
    <t>rafael.tinoco@unisabana.edu.co1</t>
  </si>
  <si>
    <t>https://ProfCatedra2024.sawtoothsoftware.com/cgi-bin/ciwweb.pl?studyname=ProfCatedra2024&amp;Correo=rafael.tinoco@unisabana.edu.co1</t>
  </si>
  <si>
    <t>angelicavadu@unisabana.edu.co</t>
  </si>
  <si>
    <t>angelicavadu@unisabana.edu.co1</t>
  </si>
  <si>
    <t>https://ProfCatedra2024.sawtoothsoftware.com/cgi-bin/ciwweb.pl?studyname=ProfCatedra2024&amp;Correo=angelicavadu@unisabana.edu.co1</t>
  </si>
  <si>
    <t>john.villegas@unisabana.edu.co</t>
  </si>
  <si>
    <t>john.villegas@unisabana.edu.co1</t>
  </si>
  <si>
    <t>https://ProfCatedra2024.sawtoothsoftware.com/cgi-bin/ciwweb.pl?studyname=ProfCatedra2024&amp;Correo=john.villegas@unisabana.edu.co1</t>
  </si>
  <si>
    <t>gerencia@seguridadsocialcolmbia.com.co</t>
  </si>
  <si>
    <t>GERENCIA@SEGURIDADSOCIALCOLMBIA.COM.CO1</t>
  </si>
  <si>
    <t>https://ProfCatedra2024.sawtoothsoftware.com/cgi-bin/ciwweb.pl?studyname=ProfCatedra2024&amp;Correo=GERENCIA@SEGURIDADSOCIALCOLMBIA.COM.CO1</t>
  </si>
  <si>
    <t>acastrillon@kpmg.com</t>
  </si>
  <si>
    <t>ACASTRILLON@KPMG.COM1</t>
  </si>
  <si>
    <t>https://ProfCatedra2024.sawtoothsoftware.com/cgi-bin/ciwweb.pl?studyname=ProfCatedra2024&amp;Correo=ACASTRILLON@KPMG.COM1</t>
  </si>
  <si>
    <t>adriana.castro1@unisabana.edu.co</t>
  </si>
  <si>
    <t>adriana.castro1@unisabana.edu.co01</t>
  </si>
  <si>
    <t>Maestrï¿½a en Diseï¿½o y Gestiï¿½n de Procesos - Chï¿½a</t>
  </si>
  <si>
    <t>https://ProfCatedra2024.sawtoothsoftware.com/cgi-bin/ciwweb.pl?studyname=ProfCatedra2024&amp;Correo=adriana.castro1@unisabana.edu.co01</t>
  </si>
  <si>
    <t>adriana.lopez5@unisabana.edu.co</t>
  </si>
  <si>
    <t>adriana.lopez5@unisabana.edu.co01</t>
  </si>
  <si>
    <t>https://ProfCatedra2024.sawtoothsoftware.com/cgi-bin/ciwweb.pl?studyname=ProfCatedra2024&amp;Correo=adriana.lopez5@unisabana.edu.co01</t>
  </si>
  <si>
    <t>alejandrahear@unisabana.edu.co</t>
  </si>
  <si>
    <t>alejandrahear@unisabana.edu.co01</t>
  </si>
  <si>
    <t>https://ProfCatedra2024.sawtoothsoftware.com/cgi-bin/ciwweb.pl?studyname=ProfCatedra2024&amp;Correo=alejandrahear@unisabana.edu.co01</t>
  </si>
  <si>
    <t>ana.grandas1@unisabana.edu.co01</t>
  </si>
  <si>
    <t>https://ProfCatedra2024.sawtoothsoftware.com/cgi-bin/ciwweb.pl?studyname=ProfCatedra2024&amp;Correo=ana.grandas1@unisabana.edu.co01</t>
  </si>
  <si>
    <t>andrea.medina@unisabana.edu.co</t>
  </si>
  <si>
    <t>andrea.medina@unisabana.edu.co01</t>
  </si>
  <si>
    <t>Especializaciï¿½n en Gerencia Educativa - Chï¿½a</t>
  </si>
  <si>
    <t>https://ProfCatedra2024.sawtoothsoftware.com/cgi-bin/ciwweb.pl?studyname=ProfCatedra2024&amp;Correo=andrea.medina@unisabana.edu.co01</t>
  </si>
  <si>
    <t>andres.angarita1@unisabana.edu.co</t>
  </si>
  <si>
    <t>andres.angarita1@unisabana.edu.co01</t>
  </si>
  <si>
    <t>https://ProfCatedra2024.sawtoothsoftware.com/cgi-bin/ciwweb.pl?studyname=ProfCatedra2024&amp;Correo=andres.angarita1@unisabana.edu.co01</t>
  </si>
  <si>
    <t>andres.betancourt1@unisabana.edu.co</t>
  </si>
  <si>
    <t>andres.betancourt1@unisabana.edu.co01</t>
  </si>
  <si>
    <t>Especializaciï¿½n en Neurologï¿½a</t>
  </si>
  <si>
    <t>https://ProfCatedra2024.sawtoothsoftware.com/cgi-bin/ciwweb.pl?studyname=ProfCatedra2024&amp;Correo=andres.betancourt1@unisabana.edu.co01</t>
  </si>
  <si>
    <t>andres.mancipe@gmail.com</t>
  </si>
  <si>
    <t>ANDRES.MANCIPE@GMAIL.COM1</t>
  </si>
  <si>
    <t>https://ProfCatedra2024.sawtoothsoftware.com/cgi-bin/ciwweb.pl?studyname=ProfCatedra2024&amp;Correo=ANDRES.MANCIPE@GMAIL.COM1</t>
  </si>
  <si>
    <t>andres.martinez10@unisabana.edu.co</t>
  </si>
  <si>
    <t>andres.martinez10@unisabana.edu.co01</t>
  </si>
  <si>
    <t>https://ProfCatedra2024.sawtoothsoftware.com/cgi-bin/ciwweb.pl?studyname=ProfCatedra2024&amp;Correo=andres.martinez10@unisabana.edu.co01</t>
  </si>
  <si>
    <t>andres.montoyad1@gmail.com</t>
  </si>
  <si>
    <t>andres.montoyad1@gmail.com1</t>
  </si>
  <si>
    <t>Especializaciï¿½n en Gastroenterologï¿½a</t>
  </si>
  <si>
    <t>https://ProfCatedra2024.sawtoothsoftware.com/cgi-bin/ciwweb.pl?studyname=ProfCatedra2024&amp;Correo=andres.montoyad1@gmail.com1</t>
  </si>
  <si>
    <t>angela.aillon@unisabana.edu.co</t>
  </si>
  <si>
    <t>angela.aillon@unisabana.edu.co01</t>
  </si>
  <si>
    <t>https://ProfCatedra2024.sawtoothsoftware.com/cgi-bin/ciwweb.pl?studyname=ProfCatedra2024&amp;Correo=angela.aillon@unisabana.edu.co01</t>
  </si>
  <si>
    <t>angela.bertieri@unisabana.edu.co01</t>
  </si>
  <si>
    <t>https://ProfCatedra2024.sawtoothsoftware.com/cgi-bin/ciwweb.pl?studyname=ProfCatedra2024&amp;Correo=angela.bertieri@unisabana.edu.co01</t>
  </si>
  <si>
    <t>angela.dominguez2@unisabana.edu.co01</t>
  </si>
  <si>
    <t>https://ProfCatedra2024.sawtoothsoftware.com/cgi-bin/ciwweb.pl?studyname=ProfCatedra2024&amp;Correo=angela.dominguez2@unisabana.edu.co01</t>
  </si>
  <si>
    <t>aris.rodriguez@unisabana.edu.co</t>
  </si>
  <si>
    <t>aris.rodriguez@unisabana.edu.co01</t>
  </si>
  <si>
    <t>https://ProfCatedra2024.sawtoothsoftware.com/cgi-bin/ciwweb.pl?studyname=ProfCatedra2024&amp;Correo=aris.rodriguez@unisabana.edu.co01</t>
  </si>
  <si>
    <t>beatriz.lara1@unisabana.edu.co</t>
  </si>
  <si>
    <t>beatriz.lara1@unisabana.edu.co01</t>
  </si>
  <si>
    <t>Especializaciï¿½n en Gestiï¿½n para el Desarrollo Humano en la Organizaciï¿½n - Bogotï¿½</t>
  </si>
  <si>
    <t>https://ProfCatedra2024.sawtoothsoftware.com/cgi-bin/ciwweb.pl?studyname=ProfCatedra2024&amp;Correo=beatriz.lara1@unisabana.edu.co01</t>
  </si>
  <si>
    <t>camilo.aljure@unisabana.edu.co</t>
  </si>
  <si>
    <t>camilo.aljure@unisabana.edu.co01</t>
  </si>
  <si>
    <t>https://ProfCatedra2024.sawtoothsoftware.com/cgi-bin/ciwweb.pl?studyname=ProfCatedra2024&amp;Correo=camilo.aljure@unisabana.edu.co01</t>
  </si>
  <si>
    <t>camiloguzman63@outlook.com</t>
  </si>
  <si>
    <t>CAMILOGUZMAN63@OUTLOOK.COM1</t>
  </si>
  <si>
    <t>https://ProfCatedra2024.sawtoothsoftware.com/cgi-bin/ciwweb.pl?studyname=ProfCatedra2024&amp;Correo=CAMILOGUZMAN63@OUTLOOK.COM1</t>
  </si>
  <si>
    <t>carlos.tapias1@unisabana.edu.co</t>
  </si>
  <si>
    <t>carlos.tapias1@unisabana.edu.co01</t>
  </si>
  <si>
    <t>Especializaciï¿½n en Electrofisiologï¿½a Cardiovascular</t>
  </si>
  <si>
    <t>https://ProfCatedra2024.sawtoothsoftware.com/cgi-bin/ciwweb.pl?studyname=ProfCatedra2024&amp;Correo=carlos.tapias1@unisabana.edu.co01</t>
  </si>
  <si>
    <t>carlos.villalba@clinicaunisabana.edu.co</t>
  </si>
  <si>
    <t>carlos.villalba@clinicaunisabana.edu.co01</t>
  </si>
  <si>
    <t>https://ProfCatedra2024.sawtoothsoftware.com/cgi-bin/ciwweb.pl?studyname=ProfCatedra2024&amp;Correo=carlos.villalba@clinicaunisabana.edu.co01</t>
  </si>
  <si>
    <t>cesar.roma@dret.legal1</t>
  </si>
  <si>
    <t>CESAR.ROMA@DRET.LEGAL1</t>
  </si>
  <si>
    <t>https://ProfCatedra2024.sawtoothsoftware.com/cgi-bin/ciwweb.pl?studyname=ProfCatedra2024&amp;Correo=CESAR.ROMA@DRET.LEGAL1</t>
  </si>
  <si>
    <t>cherrera@gmail.com</t>
  </si>
  <si>
    <t>CHERRERA@GMAIL.COM1</t>
  </si>
  <si>
    <t>https://ProfCatedra2024.sawtoothsoftware.com/cgi-bin/ciwweb.pl?studyname=ProfCatedra2024&amp;Correo=CHERRERA@GMAIL.COM1</t>
  </si>
  <si>
    <t>juan.osman@unisabana.edu.co</t>
  </si>
  <si>
    <t>juan.osman@unisabana.edu.co1</t>
  </si>
  <si>
    <t>https://ProfCatedra2024.sawtoothsoftware.com/cgi-bin/ciwweb.pl?studyname=ProfCatedra2024&amp;Correo=juan.osman@unisabana.edu.co1</t>
  </si>
  <si>
    <t>claudia.poveda1@unisabana.edu.co</t>
  </si>
  <si>
    <t>claudia.poveda1@unisabana.edu.co01</t>
  </si>
  <si>
    <t>Especializaciï¿½n en Medicina Crï¿½tica y Cuidado Intensivo</t>
  </si>
  <si>
    <t>https://ProfCatedra2024.sawtoothsoftware.com/cgi-bin/ciwweb.pl?studyname=ProfCatedra2024&amp;Correo=claudia.poveda1@unisabana.edu.co01</t>
  </si>
  <si>
    <t>claudiapem@unisabana.edu.co</t>
  </si>
  <si>
    <t>Claudiapem@unisabana.edu.co01</t>
  </si>
  <si>
    <t>https://ProfCatedra2024.sawtoothsoftware.com/cgi-bin/ciwweb.pl?studyname=ProfCatedra2024&amp;Correo=Claudiapem@unisabana.edu.co01</t>
  </si>
  <si>
    <t>contanza.alarcon@unisabana.edu.co</t>
  </si>
  <si>
    <t>contanza.alarcon@unisabana.edu.co01</t>
  </si>
  <si>
    <t>Maestrï¿½a en Desarrollo Infantil - Riohacha</t>
  </si>
  <si>
    <t>https://ProfCatedra2024.sawtoothsoftware.com/cgi-bin/ciwweb.pl?studyname=ProfCatedra2024&amp;Correo=contanza.alarcon@unisabana.edu.co01</t>
  </si>
  <si>
    <t>cristhiandavi1@hotmail.com</t>
  </si>
  <si>
    <t>CRISTHIANDAVI1@HOTMAIL.COM1</t>
  </si>
  <si>
    <t>https://ProfCatedra2024.sawtoothsoftware.com/cgi-bin/ciwweb.pl?studyname=ProfCatedra2024&amp;Correo=CRISTHIANDAVI1@HOTMAIL.COM1</t>
  </si>
  <si>
    <t>daniel.prieto@unisabana.edu.co</t>
  </si>
  <si>
    <t>daniel.prieto@unisabana.edu.co01</t>
  </si>
  <si>
    <t>https://ProfCatedra2024.sawtoothsoftware.com/cgi-bin/ciwweb.pl?studyname=ProfCatedra2024&amp;Correo=daniel.prieto@unisabana.edu.co01</t>
  </si>
  <si>
    <t>david.rozo@unisabana.edu.co</t>
  </si>
  <si>
    <t>david.rozo@unisabana.edu.co01</t>
  </si>
  <si>
    <t>https://ProfCatedra2024.sawtoothsoftware.com/cgi-bin/ciwweb.pl?studyname=ProfCatedra2024&amp;Correo=david.rozo@unisabana.edu.co01</t>
  </si>
  <si>
    <t>diana.hernnadez@rhcadvisers.co</t>
  </si>
  <si>
    <t>DIANA.HERNNADEZ@RHCADVISERS.CO1</t>
  </si>
  <si>
    <t>https://ProfCatedra2024.sawtoothsoftware.com/cgi-bin/ciwweb.pl?studyname=ProfCatedra2024&amp;Correo=DIANA.HERNNADEZ@RHCADVISERS.CO1</t>
  </si>
  <si>
    <t>diana.santana1@unisabana.edu.co</t>
  </si>
  <si>
    <t>diana.santana1@unisabana.edu.co01</t>
  </si>
  <si>
    <t>https://ProfCatedra2024.sawtoothsoftware.com/cgi-bin/ciwweb.pl?studyname=ProfCatedra2024&amp;Correo=diana.santana1@unisabana.edu.co01</t>
  </si>
  <si>
    <t>dianispeba@hotmail.com</t>
  </si>
  <si>
    <t>DIANISPEBA@HOTMAIL.COM1</t>
  </si>
  <si>
    <t>https://ProfCatedra2024.sawtoothsoftware.com/cgi-bin/ciwweb.pl?studyname=ProfCatedra2024&amp;Correo=DIANISPEBA@HOTMAIL.COM1</t>
  </si>
  <si>
    <t>juan.ramirez1@unisabana.edu.co</t>
  </si>
  <si>
    <t>juan.ramirez1@unisabana.edu.co1</t>
  </si>
  <si>
    <t>https://ProfCatedra2024.sawtoothsoftware.com/cgi-bin/ciwweb.pl?studyname=ProfCatedra2024&amp;Correo=juan.ramirez1@unisabana.edu.co1</t>
  </si>
  <si>
    <t>diego.guevara@unisabana.edu.co01</t>
  </si>
  <si>
    <t>https://ProfCatedra2024.sawtoothsoftware.com/cgi-bin/ciwweb.pl?studyname=ProfCatedra2024&amp;Correo=diego.guevara@unisabana.edu.co01</t>
  </si>
  <si>
    <t>diego.hernandez3@unisabana.edu.co</t>
  </si>
  <si>
    <t>diego.hernandez3@unisabana.edu.co01</t>
  </si>
  <si>
    <t>https://ProfCatedra2024.sawtoothsoftware.com/cgi-bin/ciwweb.pl?studyname=ProfCatedra2024&amp;Correo=diego.hernandez3@unisabana.edu.co01</t>
  </si>
  <si>
    <t>edgar.munar@unisabana.edu.co</t>
  </si>
  <si>
    <t>edgar.munar@unisabana.edu.co01</t>
  </si>
  <si>
    <t>https://ProfCatedra2024.sawtoothsoftware.com/cgi-bin/ciwweb.pl?studyname=ProfCatedra2024&amp;Correo=edgar.munar@unisabana.edu.co01</t>
  </si>
  <si>
    <t>eduardoarce@yahoo.es1</t>
  </si>
  <si>
    <t>EDUARDOARCE@YAHOO.ES1</t>
  </si>
  <si>
    <t>https://ProfCatedra2024.sawtoothsoftware.com/cgi-bin/ciwweb.pl?studyname=ProfCatedra2024&amp;Correo=EDUARDOARCE@YAHOO.ES1</t>
  </si>
  <si>
    <t>eduenas@neumologica.org1</t>
  </si>
  <si>
    <t>Especializaciï¿½n en Neumologï¿½a Pediï¿½trica</t>
  </si>
  <si>
    <t>https://ProfCatedra2024.sawtoothsoftware.com/cgi-bin/ciwweb.pl?studyname=ProfCatedra2024&amp;Correo=eduenas@neumologica.org1</t>
  </si>
  <si>
    <t>edwiny_87@hotmail.com</t>
  </si>
  <si>
    <t>EDWINY_87@HOTMAIL.COM1</t>
  </si>
  <si>
    <t>https://ProfCatedra2024.sawtoothsoftware.com/cgi-bin/ciwweb.pl?studyname=ProfCatedra2024&amp;Correo=EDWINY_87@HOTMAIL.COM1</t>
  </si>
  <si>
    <t>enriquerm@unisabana.edu.co</t>
  </si>
  <si>
    <t>EnriqueRM@unisabana.edu.co01</t>
  </si>
  <si>
    <t>https://ProfCatedra2024.sawtoothsoftware.com/cgi-bin/ciwweb.pl?studyname=ProfCatedra2024&amp;Correo=EnriqueRM@unisabana.edu.co01</t>
  </si>
  <si>
    <t>fabricio_mantilla@hotmail.com</t>
  </si>
  <si>
    <t>fabricio_mantilla@hotmail.com1</t>
  </si>
  <si>
    <t>https://ProfCatedra2024.sawtoothsoftware.com/cgi-bin/ciwweb.pl?studyname=ProfCatedra2024&amp;Correo=fabricio_mantilla@hotmail.com1</t>
  </si>
  <si>
    <t>ferpal48@hotmail.com</t>
  </si>
  <si>
    <t>FERPAL48@HOTMAIL.COM1</t>
  </si>
  <si>
    <t>Especializaciï¿½n en Derecho Comercial - Chï¿½a</t>
  </si>
  <si>
    <t>https://ProfCatedra2024.sawtoothsoftware.com/cgi-bin/ciwweb.pl?studyname=ProfCatedra2024&amp;Correo=FERPAL48@HOTMAIL.COM1</t>
  </si>
  <si>
    <t>fidelsm@unisabana.edu.co</t>
  </si>
  <si>
    <t>FidelSM@unisabana.edu.co01</t>
  </si>
  <si>
    <t>https://ProfCatedra2024.sawtoothsoftware.com/cgi-bin/ciwweb.pl?studyname=ProfCatedra2024&amp;Correo=FidelSM@unisabana.edu.co01</t>
  </si>
  <si>
    <t>juan.ramirez1@unisabana.edu.co2</t>
  </si>
  <si>
    <t>https://ProfCatedra2024.sawtoothsoftware.com/cgi-bin/ciwweb.pl?studyname=ProfCatedra2024&amp;Correo=juan.ramirez1@unisabana.edu.co2</t>
  </si>
  <si>
    <t>gabrielazarante@hotmail.com</t>
  </si>
  <si>
    <t>GABRIELAZARANTE@HOTMAIL.COM1</t>
  </si>
  <si>
    <t>https://ProfCatedra2024.sawtoothsoftware.com/cgi-bin/ciwweb.pl?studyname=ProfCatedra2024&amp;Correo=GABRIELAZARANTE@HOTMAIL.COM1</t>
  </si>
  <si>
    <t>germaneponce@gmail.com</t>
  </si>
  <si>
    <t>GERMANEPONCE@GMAIL.COM1</t>
  </si>
  <si>
    <t>https://ProfCatedra2024.sawtoothsoftware.com/cgi-bin/ciwweb.pl?studyname=ProfCatedra2024&amp;Correo=GERMANEPONCE@GMAIL.COM1</t>
  </si>
  <si>
    <t>gerson_2ged@hotmail.com</t>
  </si>
  <si>
    <t>gerson_2ged@hotmail.com1</t>
  </si>
  <si>
    <t>https://ProfCatedra2024.sawtoothsoftware.com/cgi-bin/ciwweb.pl?studyname=ProfCatedra2024&amp;Correo=gerson_2ged@hotmail.com1</t>
  </si>
  <si>
    <t>gina.valderrama@unisabana.edu.co</t>
  </si>
  <si>
    <t>gina.valderrama@unisabana.edu.co01</t>
  </si>
  <si>
    <t>https://ProfCatedra2024.sawtoothsoftware.com/cgi-bin/ciwweb.pl?studyname=ProfCatedra2024&amp;Correo=gina.valderrama@unisabana.edu.co01</t>
  </si>
  <si>
    <t>juan.ramirez1@unisabana.edu.co3</t>
  </si>
  <si>
    <t>https://ProfCatedra2024.sawtoothsoftware.com/cgi-bin/ciwweb.pl?studyname=ProfCatedra2024&amp;Correo=juan.ramirez1@unisabana.edu.co3</t>
  </si>
  <si>
    <t>hcastillo@araries.com</t>
  </si>
  <si>
    <t>HCASTILLO@ARARIES.COM1</t>
  </si>
  <si>
    <t>https://ProfCatedra2024.sawtoothsoftware.com/cgi-bin/ciwweb.pl?studyname=ProfCatedra2024&amp;Correo=HCASTILLO@ARARIES.COM1</t>
  </si>
  <si>
    <t>hector.roldan1@unisabana.edu.co</t>
  </si>
  <si>
    <t>hector.roldan1@unisabana.edu.co01</t>
  </si>
  <si>
    <t>https://ProfCatedra2024.sawtoothsoftware.com/cgi-bin/ciwweb.pl?studyname=ProfCatedra2024&amp;Correo=hector.roldan1@unisabana.edu.co01</t>
  </si>
  <si>
    <t>HectorFA@unisabana.edu.co01</t>
  </si>
  <si>
    <t>Especializaciï¿½n en Oftalmologï¿½a</t>
  </si>
  <si>
    <t>https://ProfCatedra2024.sawtoothsoftware.com/cgi-bin/ciwweb.pl?studyname=ProfCatedra2024&amp;Correo=HectorFA@unisabana.edu.co01</t>
  </si>
  <si>
    <t>hugosan32@hotmail.com</t>
  </si>
  <si>
    <t>HUGOSAN32@HOTMAIL.COM1</t>
  </si>
  <si>
    <t>https://ProfCatedra2024.sawtoothsoftware.com/cgi-bin/ciwweb.pl?studyname=ProfCatedra2024&amp;Correo=HUGOSAN32@HOTMAIL.COM1</t>
  </si>
  <si>
    <t>ingri.moreno@unisabana.edu.co01</t>
  </si>
  <si>
    <t>https://ProfCatedra2024.sawtoothsoftware.com/cgi-bin/ciwweb.pl?studyname=ProfCatedra2024&amp;Correo=ingri.moreno@unisabana.edu.co01</t>
  </si>
  <si>
    <t>isabella.bello@pwc.com</t>
  </si>
  <si>
    <t>ISABELLA.BELLO@PWC.COM1</t>
  </si>
  <si>
    <t>https://ProfCatedra2024.sawtoothsoftware.com/cgi-bin/ciwweb.pl?studyname=ProfCatedra2024&amp;Correo=ISABELLA.BELLO@PWC.COM1</t>
  </si>
  <si>
    <t>ivan.gutierrez@unisabana.edu.co</t>
  </si>
  <si>
    <t>ivan.gutierrez@unisabana.edu.co01</t>
  </si>
  <si>
    <t>Especializaciï¿½n en Gerencia Logï¿½stica - Chï¿½a</t>
  </si>
  <si>
    <t>https://ProfCatedra2024.sawtoothsoftware.com/cgi-bin/ciwweb.pl?studyname=ProfCatedra2024&amp;Correo=ivan.gutierrez@unisabana.edu.co01</t>
  </si>
  <si>
    <t>ivan.moya@unisabana.edu.co</t>
  </si>
  <si>
    <t>ivan.moya@unisabana.edu.co01</t>
  </si>
  <si>
    <t>https://ProfCatedra2024.sawtoothsoftware.com/cgi-bin/ciwweb.pl?studyname=ProfCatedra2024&amp;Correo=ivan.moya@unisabana.edu.co01</t>
  </si>
  <si>
    <t>ivan.unigarro1@unisabana.edu.co01</t>
  </si>
  <si>
    <t>https://ProfCatedra2024.sawtoothsoftware.com/cgi-bin/ciwweb.pl?studyname=ProfCatedra2024&amp;Correo=ivan.unigarro1@unisabana.edu.co01</t>
  </si>
  <si>
    <t>ivette.amaya@unisabana.edu.co</t>
  </si>
  <si>
    <t>ivette.amaya@unisabana.edu.co01</t>
  </si>
  <si>
    <t>https://ProfCatedra2024.sawtoothsoftware.com/cgi-bin/ciwweb.pl?studyname=ProfCatedra2024&amp;Correo=ivette.amaya@unisabana.edu.co01</t>
  </si>
  <si>
    <t>jaclancheros@gmail.com</t>
  </si>
  <si>
    <t>JACLANCHEROS@GMAIL.COM1</t>
  </si>
  <si>
    <t>https://ProfCatedra2024.sawtoothsoftware.com/cgi-bin/ciwweb.pl?studyname=ProfCatedra2024&amp;Correo=JACLANCHEROS@GMAIL.COM1</t>
  </si>
  <si>
    <t>jader.castano1@unisabana.edu.co01</t>
  </si>
  <si>
    <t>https://ProfCatedra2024.sawtoothsoftware.com/cgi-bin/ciwweb.pl?studyname=ProfCatedra2024&amp;Correo=jader.castano1@unisabana.edu.co01</t>
  </si>
  <si>
    <t>jaime.barcenas1@unisabana.edu.co01</t>
  </si>
  <si>
    <t>https://ProfCatedra2024.sawtoothsoftware.com/cgi-bin/ciwweb.pl?studyname=ProfCatedra2024&amp;Correo=jaime.barcenas1@unisabana.edu.co01</t>
  </si>
  <si>
    <t>jaime.leal@unisabana.edu.co</t>
  </si>
  <si>
    <t>jaime.leal@unisabana.edu.co01</t>
  </si>
  <si>
    <t>Maestrï¿½a en Educaciï¿½n Mï¿½dica</t>
  </si>
  <si>
    <t>https://ProfCatedra2024.sawtoothsoftware.com/cgi-bin/ciwweb.pl?studyname=ProfCatedra2024&amp;Correo=jaime.leal@unisabana.edu.co01</t>
  </si>
  <si>
    <t>jaimerive@gmail.com</t>
  </si>
  <si>
    <t>JAIMERIVE@GMAIL.COM1</t>
  </si>
  <si>
    <t>https://ProfCatedra2024.sawtoothsoftware.com/cgi-bin/ciwweb.pl?studyname=ProfCatedra2024&amp;Correo=JAIMERIVE@GMAIL.COM1</t>
  </si>
  <si>
    <t>javierfgonzalezm@yahoo.com</t>
  </si>
  <si>
    <t>JAVIERFGONZALEZM@YAHOO.COM1</t>
  </si>
  <si>
    <t>https://ProfCatedra2024.sawtoothsoftware.com/cgi-bin/ciwweb.pl?studyname=ProfCatedra2024&amp;Correo=JAVIERFGONZALEZM@YAHOO.COM1</t>
  </si>
  <si>
    <t>jenny.robayo1@unisabana.edu.co</t>
  </si>
  <si>
    <t>jenny.robayo1@unisabana.edu.co01</t>
  </si>
  <si>
    <t>https://ProfCatedra2024.sawtoothsoftware.com/cgi-bin/ciwweb.pl?studyname=ProfCatedra2024&amp;Correo=jenny.robayo1@unisabana.edu.co01</t>
  </si>
  <si>
    <t>jgomezp@sura.com.co</t>
  </si>
  <si>
    <t>JGOMEZP@SURA.COM.CO1</t>
  </si>
  <si>
    <t>https://ProfCatedra2024.sawtoothsoftware.com/cgi-bin/ciwweb.pl?studyname=ProfCatedra2024&amp;Correo=JGOMEZP@SURA.COM.CO1</t>
  </si>
  <si>
    <t>john.cabrera_cont@unisabana.edu.co01</t>
  </si>
  <si>
    <t>https://ProfCatedra2024.sawtoothsoftware.com/cgi-bin/ciwweb.pl?studyname=ProfCatedra2024&amp;Correo=john.cabrera_cont@unisabana.edu.co01</t>
  </si>
  <si>
    <t>john.mora@unisabana.edu.co01</t>
  </si>
  <si>
    <t>https://ProfCatedra2024.sawtoothsoftware.com/cgi-bin/ciwweb.pl?studyname=ProfCatedra2024&amp;Correo=john.mora@unisabana.edu.co01</t>
  </si>
  <si>
    <t>jorge.avila@unisabana.edu.co01</t>
  </si>
  <si>
    <t>https://ProfCatedra2024.sawtoothsoftware.com/cgi-bin/ciwweb.pl?studyname=ProfCatedra2024&amp;Correo=jorge.avila@unisabana.edu.co01</t>
  </si>
  <si>
    <t>jorge.verdugo@unisabana.edu.co</t>
  </si>
  <si>
    <t>jorge.verdugo@unisabana.edu.co01</t>
  </si>
  <si>
    <t>https://ProfCatedra2024.sawtoothsoftware.com/cgi-bin/ciwweb.pl?studyname=ProfCatedra2024&amp;Correo=jorge.verdugo@unisabana.edu.co01</t>
  </si>
  <si>
    <t>juan.ramirez22@unisabana.edu.co</t>
  </si>
  <si>
    <t>juan.ramirez22@unisabana.edu.co01</t>
  </si>
  <si>
    <t>https://ProfCatedra2024.sawtoothsoftware.com/cgi-bin/ciwweb.pl?studyname=ProfCatedra2024&amp;Correo=juan.ramirez22@unisabana.edu.co01</t>
  </si>
  <si>
    <t>joseat_cont@unisabana.edu.co</t>
  </si>
  <si>
    <t>joseat_cont@unisabana.edu.co01</t>
  </si>
  <si>
    <t>https://ProfCatedra2024.sawtoothsoftware.com/cgi-bin/ciwweb.pl?studyname=ProfCatedra2024&amp;Correo=joseat_cont@unisabana.edu.co01</t>
  </si>
  <si>
    <t>josemiguelruedavasquez4@hotmail.com</t>
  </si>
  <si>
    <t>JOSEMIGUELRUEDAVASQUEZ4@HOTMAIL.COM1</t>
  </si>
  <si>
    <t>https://ProfCatedra2024.sawtoothsoftware.com/cgi-bin/ciwweb.pl?studyname=ProfCatedra2024&amp;Correo=JOSEMIGUELRUEDAVASQUEZ4@HOTMAIL.COM1</t>
  </si>
  <si>
    <t>jparaujo5@hotmail.com</t>
  </si>
  <si>
    <t>JPARAUJO5@HOTMAIL.COM1</t>
  </si>
  <si>
    <t>https://ProfCatedra2024.sawtoothsoftware.com/cgi-bin/ciwweb.pl?studyname=ProfCatedra2024&amp;Correo=JPARAUJO5@HOTMAIL.COM1</t>
  </si>
  <si>
    <t>juan.aldana2@clinicaunisabana.edu.co</t>
  </si>
  <si>
    <t>juan.aldana2@clinicaunisabana.edu.co01</t>
  </si>
  <si>
    <t>Especializaciï¿½n en Radiologï¿½a e Imï¿½genes Diagnï¿½sticas</t>
  </si>
  <si>
    <t>https://ProfCatedra2024.sawtoothsoftware.com/cgi-bin/ciwweb.pl?studyname=ProfCatedra2024&amp;Correo=juan.aldana2@clinicaunisabana.edu.co01</t>
  </si>
  <si>
    <t>juan.guevara@unisabana.edu.co</t>
  </si>
  <si>
    <t>juan.guevara@unisabana.edu.co01</t>
  </si>
  <si>
    <t>https://ProfCatedra2024.sawtoothsoftware.com/cgi-bin/ciwweb.pl?studyname=ProfCatedra2024&amp;Correo=juan.guevara@unisabana.edu.co01</t>
  </si>
  <si>
    <t>juan.jaramillo1@unisabana.edu.co01</t>
  </si>
  <si>
    <t>https://ProfCatedra2024.sawtoothsoftware.com/cgi-bin/ciwweb.pl?studyname=ProfCatedra2024&amp;Correo=juan.jaramillo1@unisabana.edu.co01</t>
  </si>
  <si>
    <t>juan.lanas@unisabana.edu.co</t>
  </si>
  <si>
    <t>juan.lanas@unisabana.edu.co01</t>
  </si>
  <si>
    <t>https://ProfCatedra2024.sawtoothsoftware.com/cgi-bin/ciwweb.pl?studyname=ProfCatedra2024&amp;Correo=juan.lanas@unisabana.edu.co01</t>
  </si>
  <si>
    <t>juan.marin2@unisabana.edu.co</t>
  </si>
  <si>
    <t>juan.marin2@unisabana.edu.co01</t>
  </si>
  <si>
    <t>Especializaciï¿½n En Gerencia Comercial Ibaguï¿½ - Tolima</t>
  </si>
  <si>
    <t>https://ProfCatedra2024.sawtoothsoftware.com/cgi-bin/ciwweb.pl?studyname=ProfCatedra2024&amp;Correo=juan.marin2@unisabana.edu.co01</t>
  </si>
  <si>
    <t>juancarlosllanorondon@gmail.com</t>
  </si>
  <si>
    <t>JUANCARLOSLLANORONDON@GMAIL.COM1</t>
  </si>
  <si>
    <t>https://ProfCatedra2024.sawtoothsoftware.com/cgi-bin/ciwweb.pl?studyname=ProfCatedra2024&amp;Correo=JUANCARLOSLLANORONDON@GMAIL.COM1</t>
  </si>
  <si>
    <t>juancarlosqg@hotmail.com</t>
  </si>
  <si>
    <t>JUANCARLOSQG@HOTMAIL.COM1</t>
  </si>
  <si>
    <t>https://ProfCatedra2024.sawtoothsoftware.com/cgi-bin/ciwweb.pl?studyname=ProfCatedra2024&amp;Correo=JUANCARLOSQG@HOTMAIL.COM1</t>
  </si>
  <si>
    <t>julian.molina1@unisabana.edu.co</t>
  </si>
  <si>
    <t>julian.molina1@unisabana.edu.co01</t>
  </si>
  <si>
    <t>https://ProfCatedra2024.sawtoothsoftware.com/cgi-bin/ciwweb.pl?studyname=ProfCatedra2024&amp;Correo=julian.molina1@unisabana.edu.co01</t>
  </si>
  <si>
    <t>juliana.vallejo@unisabana.edu.co</t>
  </si>
  <si>
    <t>juliana.vallejo@unisabana.edu.co01</t>
  </si>
  <si>
    <t>https://ProfCatedra2024.sawtoothsoftware.com/cgi-bin/ciwweb.pl?studyname=ProfCatedra2024&amp;Correo=juliana.vallejo@unisabana.edu.co01</t>
  </si>
  <si>
    <t>jvillalba_cuellar@yahoo.com</t>
  </si>
  <si>
    <t>JVILLALBA_CUELLAR@YAHOO.COM1</t>
  </si>
  <si>
    <t>https://ProfCatedra2024.sawtoothsoftware.com/cgi-bin/ciwweb.pl?studyname=ProfCatedra2024&amp;Correo=JVILLALBA_CUELLAR@YAHOO.COM1</t>
  </si>
  <si>
    <t>laura.palomino1@unisabana.edu.co</t>
  </si>
  <si>
    <t>laura.palomino1@unisabana.edu.co01</t>
  </si>
  <si>
    <t>https://ProfCatedra2024.sawtoothsoftware.com/cgi-bin/ciwweb.pl?studyname=ProfCatedra2024&amp;Correo=laura.palomino1@unisabana.edu.co01</t>
  </si>
  <si>
    <t>lauramunbo@unisabana.edu.co</t>
  </si>
  <si>
    <t>lauramunbo@unisabana.edu.co01</t>
  </si>
  <si>
    <t>https://ProfCatedra2024.sawtoothsoftware.com/cgi-bin/ciwweb.pl?studyname=ProfCatedra2024&amp;Correo=lauramunbo@unisabana.edu.co01</t>
  </si>
  <si>
    <t>leoalvarezcasallas@hotmail.com</t>
  </si>
  <si>
    <t>LEOALVAREZCASALLAS@HOTMAIL.COM1</t>
  </si>
  <si>
    <t>https://ProfCatedra2024.sawtoothsoftware.com/cgi-bin/ciwweb.pl?studyname=ProfCatedra2024&amp;Correo=LEOALVAREZCASALLAS@HOTMAIL.COM1</t>
  </si>
  <si>
    <t>leocc@hotmail.com</t>
  </si>
  <si>
    <t>LEOCC@HOTMAIL.COM1</t>
  </si>
  <si>
    <t>https://ProfCatedra2024.sawtoothsoftware.com/cgi-bin/ciwweb.pl?studyname=ProfCatedra2024&amp;Correo=LEOCC@HOTMAIL.COM1</t>
  </si>
  <si>
    <t>lida.isaza@unisabana.edu.co</t>
  </si>
  <si>
    <t>lida.isaza@unisabana.edu.co01</t>
  </si>
  <si>
    <t>Especializaciï¿½n en Pedagogï¿½a e Investigaciï¿½n en el Aula - Virtual</t>
  </si>
  <si>
    <t>https://ProfCatedra2024.sawtoothsoftware.com/cgi-bin/ciwweb.pl?studyname=ProfCatedra2024&amp;Correo=lida.isaza@unisabana.edu.co01</t>
  </si>
  <si>
    <t>lizcaicedo@gmail.com</t>
  </si>
  <si>
    <t>LIZCAICEDO@GMAIL.COM1</t>
  </si>
  <si>
    <t>https://ProfCatedra2024.sawtoothsoftware.com/cgi-bin/ciwweb.pl?studyname=ProfCatedra2024&amp;Correo=LIZCAICEDO@GMAIL.COM1</t>
  </si>
  <si>
    <t>lspitia@gmail.com</t>
  </si>
  <si>
    <t>LSPITIA@GMAIL.COM1</t>
  </si>
  <si>
    <t>https://ProfCatedra2024.sawtoothsoftware.com/cgi-bin/ciwweb.pl?studyname=ProfCatedra2024&amp;Correo=LSPITIA@GMAIL.COM1</t>
  </si>
  <si>
    <t>lucia.solano_cont@unisabana.edu.co</t>
  </si>
  <si>
    <t>lucia.solano_cont@unisabana.edu.co01</t>
  </si>
  <si>
    <t>https://ProfCatedra2024.sawtoothsoftware.com/cgi-bin/ciwweb.pl?studyname=ProfCatedra2024&amp;Correo=lucia.solano_cont@unisabana.edu.co01</t>
  </si>
  <si>
    <t>luis.lopez8@unisabana.edu.co01</t>
  </si>
  <si>
    <t>https://ProfCatedra2024.sawtoothsoftware.com/cgi-bin/ciwweb.pl?studyname=ProfCatedra2024&amp;Correo=luis.lopez8@unisabana.edu.co01</t>
  </si>
  <si>
    <t>luis.martinez2@unisabana.edu.co</t>
  </si>
  <si>
    <t>luis.martinez2@unisabana.edu.co01</t>
  </si>
  <si>
    <t>https://ProfCatedra2024.sawtoothsoftware.com/cgi-bin/ciwweb.pl?studyname=ProfCatedra2024&amp;Correo=luis.martinez2@unisabana.edu.co01</t>
  </si>
  <si>
    <t>luis.rodriguez2@unisabana.edu.co</t>
  </si>
  <si>
    <t>luis.rodriguez2@unisabana.edu.co01</t>
  </si>
  <si>
    <t>https://ProfCatedra2024.sawtoothsoftware.com/cgi-bin/ciwweb.pl?studyname=ProfCatedra2024&amp;Correo=luis.rodriguez2@unisabana.edu.co01</t>
  </si>
  <si>
    <t>luis.silva2@unisabana.edu.co</t>
  </si>
  <si>
    <t>luis.silva2@unisabana.edu.co01</t>
  </si>
  <si>
    <t>Especializaciï¿½n en Gerencia de Producciï¿½n y Operaciones  - Chia</t>
  </si>
  <si>
    <t>https://ProfCatedra2024.sawtoothsoftware.com/cgi-bin/ciwweb.pl?studyname=ProfCatedra2024&amp;Correo=luis.silva2@unisabana.edu.co01</t>
  </si>
  <si>
    <t>juan.ramirez22@unisabana.edu.co02</t>
  </si>
  <si>
    <t>https://ProfCatedra2024.sawtoothsoftware.com/cgi-bin/ciwweb.pl?studyname=ProfCatedra2024&amp;Correo=juan.ramirez22@unisabana.edu.co02</t>
  </si>
  <si>
    <t>luisa.castillo@unisabana.edu.co</t>
  </si>
  <si>
    <t>luisa.castillo@unisabana.edu.co01</t>
  </si>
  <si>
    <t>https://ProfCatedra2024.sawtoothsoftware.com/cgi-bin/ciwweb.pl?studyname=ProfCatedra2024&amp;Correo=luisa.castillo@unisabana.edu.co01</t>
  </si>
  <si>
    <t>luisfever@gmail.com</t>
  </si>
  <si>
    <t>LUISFEVER@GMAIL.COM1</t>
  </si>
  <si>
    <t>https://ProfCatedra2024.sawtoothsoftware.com/cgi-bin/ciwweb.pl?studyname=ProfCatedra2024&amp;Correo=LUISFEVER@GMAIL.COM1</t>
  </si>
  <si>
    <t>manuel.marin1@unisabana.edu.co</t>
  </si>
  <si>
    <t>manuel.marin1@unisabana.edu.co01</t>
  </si>
  <si>
    <t>https://ProfCatedra2024.sawtoothsoftware.com/cgi-bin/ciwweb.pl?studyname=ProfCatedra2024&amp;Correo=manuel.marin1@unisabana.edu.co01</t>
  </si>
  <si>
    <t>manuel.mosquera@unisabana.edu.co</t>
  </si>
  <si>
    <t>manuel.mosquera@unisabana.edu.co01</t>
  </si>
  <si>
    <t>https://ProfCatedra2024.sawtoothsoftware.com/cgi-bin/ciwweb.pl?studyname=ProfCatedra2024&amp;Correo=manuel.mosquera@unisabana.edu.co01</t>
  </si>
  <si>
    <t>maria.escobar2@unisabana.edu.co</t>
  </si>
  <si>
    <t>maria.escobar2@unisabana.edu.co01</t>
  </si>
  <si>
    <t>https://ProfCatedra2024.sawtoothsoftware.com/cgi-bin/ciwweb.pl?studyname=ProfCatedra2024&amp;Correo=maria.escobar2@unisabana.edu.co01</t>
  </si>
  <si>
    <t>maria.granados1@unisabana.edu.co01</t>
  </si>
  <si>
    <t>https://ProfCatedra2024.sawtoothsoftware.com/cgi-bin/ciwweb.pl?studyname=ProfCatedra2024&amp;Correo=maria.granados1@unisabana.edu.co01</t>
  </si>
  <si>
    <t>maria.restrepo7@unisabana.edu.co</t>
  </si>
  <si>
    <t>maria.restrepo7@unisabana.edu.co01</t>
  </si>
  <si>
    <t>https://ProfCatedra2024.sawtoothsoftware.com/cgi-bin/ciwweb.pl?studyname=ProfCatedra2024&amp;Correo=maria.restrepo7@unisabana.edu.co01</t>
  </si>
  <si>
    <t>mariano.doncel@unisabana.edu.co</t>
  </si>
  <si>
    <t>mariano.doncel@unisabana.edu.co01</t>
  </si>
  <si>
    <t>https://ProfCatedra2024.sawtoothsoftware.com/cgi-bin/ciwweb.pl?studyname=ProfCatedra2024&amp;Correo=mariano.doncel@unisabana.edu.co01</t>
  </si>
  <si>
    <t>marianolozanor@gmail.com</t>
  </si>
  <si>
    <t>MARIANOLOZANOR@GMAIL.COM1</t>
  </si>
  <si>
    <t>https://ProfCatedra2024.sawtoothsoftware.com/cgi-bin/ciwweb.pl?studyname=ProfCatedra2024&amp;Correo=MARIANOLOZANOR@GMAIL.COM1</t>
  </si>
  <si>
    <t>mario.manzi@unisabana.edu.co01</t>
  </si>
  <si>
    <t>https://ProfCatedra2024.sawtoothsoftware.com/cgi-bin/ciwweb.pl?studyname=ProfCatedra2024&amp;Correo=mario.manzi@unisabana.edu.co01</t>
  </si>
  <si>
    <t>marpec69@yahoo.com</t>
  </si>
  <si>
    <t>MARPEC69@YAHOO.COM1</t>
  </si>
  <si>
    <t>https://ProfCatedra2024.sawtoothsoftware.com/cgi-bin/ciwweb.pl?studyname=ProfCatedra2024&amp;Correo=MARPEC69@YAHOO.COM1</t>
  </si>
  <si>
    <t>marthaemartineze@gmail.com</t>
  </si>
  <si>
    <t>MARTHAEMARTINEZE@GMAIL.COM1</t>
  </si>
  <si>
    <t>https://ProfCatedra2024.sawtoothsoftware.com/cgi-bin/ciwweb.pl?studyname=ProfCatedra2024&amp;Correo=MARTHAEMARTINEZE@GMAIL.COM1</t>
  </si>
  <si>
    <t>mauricio.suarez1@unisabana.edu.co</t>
  </si>
  <si>
    <t>mauricio.suarez1@unisabana.edu.co01</t>
  </si>
  <si>
    <t>https://ProfCatedra2024.sawtoothsoftware.com/cgi-bin/ciwweb.pl?studyname=ProfCatedra2024&amp;Correo=mauricio.suarez1@unisabana.edu.co01</t>
  </si>
  <si>
    <t>miguelangelfandino@gmail.com</t>
  </si>
  <si>
    <t>MIGUELANGELFANDINO@GMAIL.COM1</t>
  </si>
  <si>
    <t>https://ProfCatedra2024.sawtoothsoftware.com/cgi-bin/ciwweb.pl?studyname=ProfCatedra2024&amp;Correo=MIGUELANGELFANDINO@GMAIL.COM1</t>
  </si>
  <si>
    <t>mnmontoyacespedes@gmail.com</t>
  </si>
  <si>
    <t>MNMONTOYACESPEDES@GMAIL.COM1</t>
  </si>
  <si>
    <t>https://ProfCatedra2024.sawtoothsoftware.com/cgi-bin/ciwweb.pl?studyname=ProfCatedra2024&amp;Correo=MNMONTOYACESPEDES@GMAIL.COM1</t>
  </si>
  <si>
    <t>moncayov@hotmail.com</t>
  </si>
  <si>
    <t>MONCAYOV@HOTMAIL.COM1</t>
  </si>
  <si>
    <t>https://ProfCatedra2024.sawtoothsoftware.com/cgi-bin/ciwweb.pl?studyname=ProfCatedra2024&amp;Correo=MONCAYOV@HOTMAIL.COM1</t>
  </si>
  <si>
    <t>nestor.diazgranados1@unisabana.edu.co</t>
  </si>
  <si>
    <t>nestor.diazgranados1@unisabana.edu.co01</t>
  </si>
  <si>
    <t>https://ProfCatedra2024.sawtoothsoftware.com/cgi-bin/ciwweb.pl?studyname=ProfCatedra2024&amp;Correo=nestor.diazgranados1@unisabana.edu.co01</t>
  </si>
  <si>
    <t>newman.gutierrez@unisabana.edu.co</t>
  </si>
  <si>
    <t>newman.gutierrez@unisabana.edu.co01</t>
  </si>
  <si>
    <t>https://ProfCatedra2024.sawtoothsoftware.com/cgi-bin/ciwweb.pl?studyname=ProfCatedra2024&amp;Correo=newman.gutierrez@unisabana.edu.co01</t>
  </si>
  <si>
    <t>obdulio.velasquez@unisabana.edu.co</t>
  </si>
  <si>
    <t>OBDULIO.VELASQUEZ@UNISABANA.edu.co01</t>
  </si>
  <si>
    <t>https://ProfCatedra2024.sawtoothsoftware.com/cgi-bin/ciwweb.pl?studyname=ProfCatedra2024&amp;Correo=OBDULIO.VELASQUEZ@UNISABANA.edu.co01</t>
  </si>
  <si>
    <t>orlandoramirezgamboa@gmail.com</t>
  </si>
  <si>
    <t>ORLANDORAMIREZGAMBOA@GMAIL.COM1</t>
  </si>
  <si>
    <t>https://ProfCatedra2024.sawtoothsoftware.com/cgi-bin/ciwweb.pl?studyname=ProfCatedra2024&amp;Correo=ORLANDORAMIREZGAMBOA@GMAIL.COM1</t>
  </si>
  <si>
    <t>orlandorg@unisabana.edu.co</t>
  </si>
  <si>
    <t>OrlandoRG@unisabana.edu.co01</t>
  </si>
  <si>
    <t>https://ProfCatedra2024.sawtoothsoftware.com/cgi-bin/ciwweb.pl?studyname=ProfCatedra2024&amp;Correo=OrlandoRG@unisabana.edu.co01</t>
  </si>
  <si>
    <t>rafael.castro@unisabana.edu.co</t>
  </si>
  <si>
    <t>rafael.castro@unisabana.edu.co01</t>
  </si>
  <si>
    <t>https://ProfCatedra2024.sawtoothsoftware.com/cgi-bin/ciwweb.pl?studyname=ProfCatedra2024&amp;Correo=rafael.castro@unisabana.edu.co01</t>
  </si>
  <si>
    <t>richard.ramirez@unisabana.edu.co</t>
  </si>
  <si>
    <t>richard.ramirez@unisabana.edu.co01</t>
  </si>
  <si>
    <t>https://ProfCatedra2024.sawtoothsoftware.com/cgi-bin/ciwweb.pl?studyname=ProfCatedra2024&amp;Correo=richard.ramirez@unisabana.edu.co01</t>
  </si>
  <si>
    <t>robertosuec@unisabana.edu.co</t>
  </si>
  <si>
    <t>ROBERTOSUEC@UNISABANA.edu.co01</t>
  </si>
  <si>
    <t>https://ProfCatedra2024.sawtoothsoftware.com/cgi-bin/ciwweb.pl?studyname=ProfCatedra2024&amp;Correo=ROBERTOSUEC@UNISABANA.edu.co01</t>
  </si>
  <si>
    <t>rodolfo.meza@unisabana.edu.co</t>
  </si>
  <si>
    <t>rodolfo.meza@unisabana.edu.co01</t>
  </si>
  <si>
    <t>https://ProfCatedra2024.sawtoothsoftware.com/cgi-bin/ciwweb.pl?studyname=ProfCatedra2024&amp;Correo=rodolfo.meza@unisabana.edu.co01</t>
  </si>
  <si>
    <t>ruben.martinez@unisabana.edu.co</t>
  </si>
  <si>
    <t>ruben.martinez@unisabana.edu.co01</t>
  </si>
  <si>
    <t>https://ProfCatedra2024.sawtoothsoftware.com/cgi-bin/ciwweb.pl?studyname=ProfCatedra2024&amp;Correo=ruben.martinez@unisabana.edu.co01</t>
  </si>
  <si>
    <t>scastrillon@grupovanti.com</t>
  </si>
  <si>
    <t>SCASTRILLON@GRUPOVANTI.COM1</t>
  </si>
  <si>
    <t>https://ProfCatedra2024.sawtoothsoftware.com/cgi-bin/ciwweb.pl?studyname=ProfCatedra2024&amp;Correo=SCASTRILLON@GRUPOVANTI.COM1</t>
  </si>
  <si>
    <t>santiago.arrieta1@unisabana.edu.co</t>
  </si>
  <si>
    <t>santiago.arrieta1@unisabana.edu.co01</t>
  </si>
  <si>
    <t>Maestrï¿½a en Comunicaciï¿½n Estrï¿½tegica</t>
  </si>
  <si>
    <t>https://ProfCatedra2024.sawtoothsoftware.com/cgi-bin/ciwweb.pl?studyname=ProfCatedra2024&amp;Correo=santiago.arrieta1@unisabana.edu.co01</t>
  </si>
  <si>
    <t>santiago.bayona1@unisabana.edu.co</t>
  </si>
  <si>
    <t>santiago.bayona1@unisabana.edu.co01</t>
  </si>
  <si>
    <t>https://ProfCatedra2024.sawtoothsoftware.com/cgi-bin/ciwweb.pl?studyname=ProfCatedra2024&amp;Correo=santiago.bayona1@unisabana.edu.co01</t>
  </si>
  <si>
    <t>santiago.ocampo1@unisabana.edu.co</t>
  </si>
  <si>
    <t>santiago.ocampo1@unisabana.edu.co01</t>
  </si>
  <si>
    <t>Especializaciï¿½n en Gerencia de la Comunicaciï¿½n Organizacional</t>
  </si>
  <si>
    <t>https://ProfCatedra2024.sawtoothsoftware.com/cgi-bin/ciwweb.pl?studyname=ProfCatedra2024&amp;Correo=santiago.ocampo1@unisabana.edu.co01</t>
  </si>
  <si>
    <t>sebasrubiano@hotmail.com</t>
  </si>
  <si>
    <t>SEBASRUBIANO@HOTMAIL.COM1</t>
  </si>
  <si>
    <t>https://ProfCatedra2024.sawtoothsoftware.com/cgi-bin/ciwweb.pl?studyname=ProfCatedra2024&amp;Correo=SEBASRUBIANO@HOTMAIL.COM1</t>
  </si>
  <si>
    <t>sergio.duque1@unisabana.edu.co</t>
  </si>
  <si>
    <t>sergio.duque1@unisabana.edu.co01</t>
  </si>
  <si>
    <t>https://ProfCatedra2024.sawtoothsoftware.com/cgi-bin/ciwweb.pl?studyname=ProfCatedra2024&amp;Correo=sergio.duque1@unisabana.edu.co01</t>
  </si>
  <si>
    <t>silvana.ahumada@unisabana.edu.co</t>
  </si>
  <si>
    <t>silvana.ahumada@unisabana.edu.co01</t>
  </si>
  <si>
    <t>https://ProfCatedra2024.sawtoothsoftware.com/cgi-bin/ciwweb.pl?studyname=ProfCatedra2024&amp;Correo=silvana.ahumada@unisabana.edu.co01</t>
  </si>
  <si>
    <t>steve.martinez1@unisabana.edu.co</t>
  </si>
  <si>
    <t>steve.martinez1@unisabana.edu.co01</t>
  </si>
  <si>
    <t>Especializaciï¿½n en Gerencia Comercial Bucaramanga - Santander</t>
  </si>
  <si>
    <t>https://ProfCatedra2024.sawtoothsoftware.com/cgi-bin/ciwweb.pl?studyname=ProfCatedra2024&amp;Correo=steve.martinez1@unisabana.edu.co01</t>
  </si>
  <si>
    <t>viviana.fajardo@unisabana.edu.co</t>
  </si>
  <si>
    <t>viviana.fajardo@unisabana.edu.co01</t>
  </si>
  <si>
    <t>https://ProfCatedra2024.sawtoothsoftware.com/cgi-bin/ciwweb.pl?studyname=ProfCatedra2024&amp;Correo=viviana.fajardo@unisabana.edu.co01</t>
  </si>
  <si>
    <t>vmplazas@hotmail.com</t>
  </si>
  <si>
    <t>VMPLAZAS@HOTMAIL.COM1</t>
  </si>
  <si>
    <t>https://ProfCatedra2024.sawtoothsoftware.com/cgi-bin/ciwweb.pl?studyname=ProfCatedra2024&amp;Correo=VMPLAZAS@HOTMAIL.COM1</t>
  </si>
  <si>
    <t>william.pinzon@segurosdelestado.com</t>
  </si>
  <si>
    <t>WILLIAM.PINZON@SEGUROSDELESTADO.COM1</t>
  </si>
  <si>
    <t>https://ProfCatedra2024.sawtoothsoftware.com/cgi-bin/ciwweb.pl?studyname=ProfCatedra2024&amp;Correo=WILLIAM.PINZON@SEGUROSDELESTADO.COM1</t>
  </si>
  <si>
    <t>yenny.celemin@unisabana.edu.co</t>
  </si>
  <si>
    <t>yenny.celemin@unisabana.edu.co01</t>
  </si>
  <si>
    <t>https://ProfCatedra2024.sawtoothsoftware.com/cgi-bin/ciwweb.pl?studyname=ProfCatedra2024&amp;Correo=yenny.celemin@unisabana.edu.co01</t>
  </si>
  <si>
    <t>zulma.velandia1@unisabana.edu.co</t>
  </si>
  <si>
    <t>zulma.velandia1@unisabana.edu.co01</t>
  </si>
  <si>
    <t>https://ProfCatedra2024.sawtoothsoftware.com/cgi-bin/ciwweb.pl?studyname=ProfCatedra2024&amp;Correo=zulma.velandia1@unisabana.edu.co01</t>
  </si>
  <si>
    <t>zulmagbecerra@gmail.com</t>
  </si>
  <si>
    <t>ZULMAGBECERRA@GMAIL.COM1</t>
  </si>
  <si>
    <t>https://ProfCatedra2024.sawtoothsoftware.com/cgi-bin/ciwweb.pl?studyname=ProfCatedra2024&amp;Correo=ZULMAGBECERRA@GMAIL.COM1</t>
  </si>
  <si>
    <t>adriana.lopez5@unisabana.edu.co02</t>
  </si>
  <si>
    <t>https://ProfCatedra2024.sawtoothsoftware.com/cgi-bin/ciwweb.pl?studyname=ProfCatedra2024&amp;Correo=adriana.lopez5@unisabana.edu.co02</t>
  </si>
  <si>
    <t>alvaro.salcedo@unisabana.edu.co</t>
  </si>
  <si>
    <t>alvaro.salcedo@unisabana.edu.co02</t>
  </si>
  <si>
    <t>https://ProfCatedra2024.sawtoothsoftware.com/cgi-bin/ciwweb.pl?studyname=ProfCatedra2024&amp;Correo=alvaro.salcedo@unisabana.edu.co02</t>
  </si>
  <si>
    <t>ANDRES.MANCIPE@GMAIL.COM2</t>
  </si>
  <si>
    <t>https://ProfCatedra2024.sawtoothsoftware.com/cgi-bin/ciwweb.pl?studyname=ProfCatedra2024&amp;Correo=ANDRES.MANCIPE@GMAIL.COM2</t>
  </si>
  <si>
    <t>andresrohe@unisabana.edu.co</t>
  </si>
  <si>
    <t>andresrohe@unisabana.edu.co02</t>
  </si>
  <si>
    <t>https://ProfCatedra2024.sawtoothsoftware.com/cgi-bin/ciwweb.pl?studyname=ProfCatedra2024&amp;Correo=andresrohe@unisabana.edu.co02</t>
  </si>
  <si>
    <t>carlos.salazar5@unisabana.edu.co</t>
  </si>
  <si>
    <t>carlos.salazar5@unisabana.edu.co02</t>
  </si>
  <si>
    <t>https://ProfCatedra2024.sawtoothsoftware.com/cgi-bin/ciwweb.pl?studyname=ProfCatedra2024&amp;Correo=carlos.salazar5@unisabana.edu.co02</t>
  </si>
  <si>
    <t>CHERRERA@GMAIL.COM2</t>
  </si>
  <si>
    <t>https://ProfCatedra2024.sawtoothsoftware.com/cgi-bin/ciwweb.pl?studyname=ProfCatedra2024&amp;Correo=CHERRERA@GMAIL.COM2</t>
  </si>
  <si>
    <t>CLAUDIAPATRICIABARRANTES@GMAIL.COM2</t>
  </si>
  <si>
    <t>https://ProfCatedra2024.sawtoothsoftware.com/cgi-bin/ciwweb.pl?studyname=ProfCatedra2024&amp;Correo=CLAUDIAPATRICIABARRANTES@GMAIL.COM2</t>
  </si>
  <si>
    <t>cristinacharry@yahoo.es2</t>
  </si>
  <si>
    <t>CRISTINACHARRY@YAHOO.ES2</t>
  </si>
  <si>
    <t>https://ProfCatedra2024.sawtoothsoftware.com/cgi-bin/ciwweb.pl?studyname=ProfCatedra2024&amp;Correo=CRISTINACHARRY@YAHOO.ES2</t>
  </si>
  <si>
    <t>daniel.prieto@unisabana.edu.co02</t>
  </si>
  <si>
    <t>https://ProfCatedra2024.sawtoothsoftware.com/cgi-bin/ciwweb.pl?studyname=ProfCatedra2024&amp;Correo=daniel.prieto@unisabana.edu.co02</t>
  </si>
  <si>
    <t>FERPAL48@HOTMAIL.COM2</t>
  </si>
  <si>
    <t>https://ProfCatedra2024.sawtoothsoftware.com/cgi-bin/ciwweb.pl?studyname=ProfCatedra2024&amp;Correo=FERPAL48@HOTMAIL.COM2</t>
  </si>
  <si>
    <t>flavio.puentes1@unisabana.edu.co02</t>
  </si>
  <si>
    <t>https://ProfCatedra2024.sawtoothsoftware.com/cgi-bin/ciwweb.pl?studyname=ProfCatedra2024&amp;Correo=flavio.puentes1@unisabana.edu.co02</t>
  </si>
  <si>
    <t>ivan.gutierrez@unisabana.edu.co02</t>
  </si>
  <si>
    <t>Especializaciï¿½n en Gerencia Logï¿½stica - Bucaramanga</t>
  </si>
  <si>
    <t>https://ProfCatedra2024.sawtoothsoftware.com/cgi-bin/ciwweb.pl?studyname=ProfCatedra2024&amp;Correo=ivan.gutierrez@unisabana.edu.co02</t>
  </si>
  <si>
    <t>ivan.moya@unisabana.edu.co02</t>
  </si>
  <si>
    <t>Especializaciï¿½n en Gerencia Estratï¿½gica de Marca  - Chia</t>
  </si>
  <si>
    <t>https://ProfCatedra2024.sawtoothsoftware.com/cgi-bin/ciwweb.pl?studyname=ProfCatedra2024&amp;Correo=ivan.moya@unisabana.edu.co02</t>
  </si>
  <si>
    <t>ivan.unigarro1@unisabana.edu.co02</t>
  </si>
  <si>
    <t>https://ProfCatedra2024.sawtoothsoftware.com/cgi-bin/ciwweb.pl?studyname=ProfCatedra2024&amp;Correo=ivan.unigarro1@unisabana.edu.co02</t>
  </si>
  <si>
    <t>jorge.figueroa@unisabana.edu.co</t>
  </si>
  <si>
    <t>jorge.figueroa@unisabana.edu.co02</t>
  </si>
  <si>
    <t>https://ProfCatedra2024.sawtoothsoftware.com/cgi-bin/ciwweb.pl?studyname=ProfCatedra2024&amp;Correo=jorge.figueroa@unisabana.edu.co02</t>
  </si>
  <si>
    <t>JOSEMIGUELRUEDAVASQUEZ4@HOTMAIL.COM2</t>
  </si>
  <si>
    <t>https://ProfCatedra2024.sawtoothsoftware.com/cgi-bin/ciwweb.pl?studyname=ProfCatedra2024&amp;Correo=JOSEMIGUELRUEDAVASQUEZ4@HOTMAIL.COM2</t>
  </si>
  <si>
    <t>juan.marin2@unisabana.edu.co02</t>
  </si>
  <si>
    <t>https://ProfCatedra2024.sawtoothsoftware.com/cgi-bin/ciwweb.pl?studyname=ProfCatedra2024&amp;Correo=juan.marin2@unisabana.edu.co02</t>
  </si>
  <si>
    <t>lida.isaza@unisabana.edu.co02</t>
  </si>
  <si>
    <t>Maestrï¿½a en Pedagogï¿½a - Neiva</t>
  </si>
  <si>
    <t>https://ProfCatedra2024.sawtoothsoftware.com/cgi-bin/ciwweb.pl?studyname=ProfCatedra2024&amp;Correo=lida.isaza@unisabana.edu.co02</t>
  </si>
  <si>
    <t>luis.rodriguez2@unisabana.edu.co02</t>
  </si>
  <si>
    <t>https://ProfCatedra2024.sawtoothsoftware.com/cgi-bin/ciwweb.pl?studyname=ProfCatedra2024&amp;Correo=luis.rodriguez2@unisabana.edu.co02</t>
  </si>
  <si>
    <t>luis.silva2@unisabana.edu.co02</t>
  </si>
  <si>
    <t>https://ProfCatedra2024.sawtoothsoftware.com/cgi-bin/ciwweb.pl?studyname=ProfCatedra2024&amp;Correo=luis.silva2@unisabana.edu.co02</t>
  </si>
  <si>
    <t>manuel.marin1@unisabana.edu.co02</t>
  </si>
  <si>
    <t>https://ProfCatedra2024.sawtoothsoftware.com/cgi-bin/ciwweb.pl?studyname=ProfCatedra2024&amp;Correo=manuel.marin1@unisabana.edu.co02</t>
  </si>
  <si>
    <t>MARIANOLOZANOR@GMAIL.COM2</t>
  </si>
  <si>
    <t>https://ProfCatedra2024.sawtoothsoftware.com/cgi-bin/ciwweb.pl?studyname=ProfCatedra2024&amp;Correo=MARIANOLOZANOR@GMAIL.COM2</t>
  </si>
  <si>
    <t>mauricio.suarez1@unisabana.edu.co02</t>
  </si>
  <si>
    <t>https://ProfCatedra2024.sawtoothsoftware.com/cgi-bin/ciwweb.pl?studyname=ProfCatedra2024&amp;Correo=mauricio.suarez1@unisabana.edu.co02</t>
  </si>
  <si>
    <t>MNMONTOYACESPEDES@GMAIL.COM2</t>
  </si>
  <si>
    <t>https://ProfCatedra2024.sawtoothsoftware.com/cgi-bin/ciwweb.pl?studyname=ProfCatedra2024&amp;Correo=MNMONTOYACESPEDES@GMAIL.COM2</t>
  </si>
  <si>
    <t>newman.gutierrez@unisabana.edu.co02</t>
  </si>
  <si>
    <t>https://ProfCatedra2024.sawtoothsoftware.com/cgi-bin/ciwweb.pl?studyname=ProfCatedra2024&amp;Correo=newman.gutierrez@unisabana.edu.co02</t>
  </si>
  <si>
    <t>OrlandoRG@unisabana.edu.co02</t>
  </si>
  <si>
    <t>https://ProfCatedra2024.sawtoothsoftware.com/cgi-bin/ciwweb.pl?studyname=ProfCatedra2024&amp;Correo=OrlandoRG@unisabana.edu.co02</t>
  </si>
  <si>
    <t>rafael.castro@unisabana.edu.co02</t>
  </si>
  <si>
    <t>https://ProfCatedra2024.sawtoothsoftware.com/cgi-bin/ciwweb.pl?studyname=ProfCatedra2024&amp;Correo=rafael.castro@unisabana.edu.co02</t>
  </si>
  <si>
    <t>richard.ramirez@unisabana.edu.co02</t>
  </si>
  <si>
    <t>https://ProfCatedra2024.sawtoothsoftware.com/cgi-bin/ciwweb.pl?studyname=ProfCatedra2024&amp;Correo=richard.ramirez@unisabana.edu.co02</t>
  </si>
  <si>
    <t>ROBERTOSUEC@UNISABANA.edu.co02</t>
  </si>
  <si>
    <t>https://ProfCatedra2024.sawtoothsoftware.com/cgi-bin/ciwweb.pl?studyname=ProfCatedra2024&amp;Correo=ROBERTOSUEC@UNISABANA.edu.co02</t>
  </si>
  <si>
    <t>silvana.ahumada@unisabana.edu.co02</t>
  </si>
  <si>
    <t>https://ProfCatedra2024.sawtoothsoftware.com/cgi-bin/ciwweb.pl?studyname=ProfCatedra2024&amp;Correo=silvana.ahumada@unisabana.edu.co02</t>
  </si>
  <si>
    <t>yenny.celemin@unisabana.edu.co02</t>
  </si>
  <si>
    <t>https://ProfCatedra2024.sawtoothsoftware.com/cgi-bin/ciwweb.pl?studyname=ProfCatedra2024&amp;Correo=yenny.celemin@unisabana.edu.co02</t>
  </si>
  <si>
    <t>yolanda.ruiz1@unisabana.edu.co</t>
  </si>
  <si>
    <t>yolanda.ruiz1@unisabana.edu.co02</t>
  </si>
  <si>
    <t>https://ProfCatedra2024.sawtoothsoftware.com/cgi-bin/ciwweb.pl?studyname=ProfCatedra2024&amp;Correo=yolanda.ruiz1@unisabana.edu.co02</t>
  </si>
  <si>
    <t>zulma.velandia1@unisabana.edu.co02</t>
  </si>
  <si>
    <t>https://ProfCatedra2024.sawtoothsoftware.com/cgi-bin/ciwweb.pl?studyname=ProfCatedra2024&amp;Correo=zulma.velandia1@unisabana.edu.co02</t>
  </si>
  <si>
    <t>alvaro.salcedo@unisabana.edu.co03</t>
  </si>
  <si>
    <t>https://ProfCatedra2024.sawtoothsoftware.com/cgi-bin/ciwweb.pl?studyname=ProfCatedra2024&amp;Correo=alvaro.salcedo@unisabana.edu.co03</t>
  </si>
  <si>
    <t>andresrohe@unisabana.edu.co03</t>
  </si>
  <si>
    <t>https://ProfCatedra2024.sawtoothsoftware.com/cgi-bin/ciwweb.pl?studyname=ProfCatedra2024&amp;Correo=andresrohe@unisabana.edu.co03</t>
  </si>
  <si>
    <t>juan.enciso2@unisabana.edu.co03</t>
  </si>
  <si>
    <t>Maestrï¿½a en Pedagogï¿½a e Investigaciï¿½n en Aula - Virtual</t>
  </si>
  <si>
    <t>https://ProfCatedra2024.sawtoothsoftware.com/cgi-bin/ciwweb.pl?studyname=ProfCatedra2024&amp;Correo=juan.enciso2@unisabana.edu.co03</t>
  </si>
  <si>
    <t>lida.isaza@unisabana.edu.co03</t>
  </si>
  <si>
    <t>https://ProfCatedra2024.sawtoothsoftware.com/cgi-bin/ciwweb.pl?studyname=ProfCatedra2024&amp;Correo=lida.isaza@unisabana.edu.co03</t>
  </si>
  <si>
    <t>manuel.marin1@unisabana.edu.co03</t>
  </si>
  <si>
    <t>https://ProfCatedra2024.sawtoothsoftware.com/cgi-bin/ciwweb.pl?studyname=ProfCatedra2024&amp;Correo=manuel.marin1@unisabana.edu.co03</t>
  </si>
  <si>
    <t>silvana.ahumada@unisabana.edu.co03</t>
  </si>
  <si>
    <t>https://ProfCatedra2024.sawtoothsoftware.com/cgi-bin/ciwweb.pl?studyname=ProfCatedra2024&amp;Correo=silvana.ahumada@unisabana.edu.co03</t>
  </si>
  <si>
    <t>juan.enciso2@unisabana.edu.co04</t>
  </si>
  <si>
    <t>https://ProfCatedra2024.sawtoothsoftware.com/cgi-bin/ciwweb.pl?studyname=ProfCatedra2024&amp;Correo=juan.enciso2@unisabana.edu.co04</t>
  </si>
  <si>
    <t>silvana.ahumada@unisabana.edu.co04</t>
  </si>
  <si>
    <t>https://ProfCatedra2024.sawtoothsoftware.com/cgi-bin/ciwweb.pl?studyname=ProfCatedra2024&amp;Correo=silvana.ahumada@unisabana.edu.co04</t>
  </si>
  <si>
    <t>juancn@unisabana.edu.co</t>
  </si>
  <si>
    <t>juancn@unisabana.edu.co07</t>
  </si>
  <si>
    <t>Doctorado en PsicologÃ­a</t>
  </si>
  <si>
    <t>https://ProfCatedra2024.sawtoothsoftware.com/cgi-bin/ciwweb.pl?studyname=ProfCatedra2024&amp;Correo=juancn@unisabana.edu.co07</t>
  </si>
  <si>
    <t>andres.ortiz9@unisabana.edu.co07</t>
  </si>
  <si>
    <t>MAESTRÃA EN PSICOLOGÃA CLINICA DE LA NIÃ‘EZ Y LA ADOLESCENCIA</t>
  </si>
  <si>
    <t>https://ProfCatedra2024.sawtoothsoftware.com/cgi-bin/ciwweb.pl?studyname=ProfCatedra2024&amp;Correo=andres.ortiz9@unisabana.edu.co07</t>
  </si>
  <si>
    <t>eugenio.valderrama@unisabana.edu.co</t>
  </si>
  <si>
    <t>eugenio.valderrama@unisabana.edu.co07</t>
  </si>
  <si>
    <t>https://ProfCatedra2024.sawtoothsoftware.com/cgi-bin/ciwweb.pl?studyname=ProfCatedra2024&amp;Correo=eugenio.valderrama@unisabana.edu.co07</t>
  </si>
  <si>
    <t>jesus.girado@unisabana.edu.co</t>
  </si>
  <si>
    <t>jesus.girado@unisabana.edu.co07</t>
  </si>
  <si>
    <t>https://ProfCatedra2024.sawtoothsoftware.com/cgi-bin/ciwweb.pl?studyname=ProfCatedra2024&amp;Correo=jesus.girado@unisabana.edu.co07</t>
  </si>
  <si>
    <t>catalina.velandia@unisabana.edu.co</t>
  </si>
  <si>
    <t>catalina.velandia@unisabana.edu.co07</t>
  </si>
  <si>
    <t>https://ProfCatedra2024.sawtoothsoftware.com/cgi-bin/ciwweb.pl?studyname=ProfCatedra2024&amp;Correo=catalina.velandia@unisabana.edu.co07</t>
  </si>
  <si>
    <t>jorge.leyva1@unisabana.edu.co07</t>
  </si>
  <si>
    <t>https://ProfCatedra2024.sawtoothsoftware.com/cgi-bin/ciwweb.pl?studyname=ProfCatedra2024&amp;Correo=jorge.leyva1@unisabana.edu.co07</t>
  </si>
  <si>
    <t>luis.paz@unisabana.edu.co</t>
  </si>
  <si>
    <t>luis.paz@unisabana.edu.co07</t>
  </si>
  <si>
    <t>https://ProfCatedra2024.sawtoothsoftware.com/cgi-bin/ciwweb.pl?studyname=ProfCatedra2024&amp;Correo=luis.paz@unisabana.edu.co07</t>
  </si>
  <si>
    <t>maria.urbina2@unisabana.edu.co</t>
  </si>
  <si>
    <t>maria.urbina2@unisabana.edu.co07</t>
  </si>
  <si>
    <t>https://ProfCatedra2024.sawtoothsoftware.com/cgi-bin/ciwweb.pl?studyname=ProfCatedra2024&amp;Correo=maria.urbina2@unisabana.edu.co07</t>
  </si>
  <si>
    <t>nicolas.rodriguez5@unisabana.edu.co</t>
  </si>
  <si>
    <t>nicolas.rodriguez5@unisabana.edu.co07</t>
  </si>
  <si>
    <t>https://ProfCatedra2024.sawtoothsoftware.com/cgi-bin/ciwweb.pl?studyname=ProfCatedra2024&amp;Correo=nicolas.rodriguez5@unisabana.edu.co07</t>
  </si>
  <si>
    <t>cesar.parada@unisabana.edu.co</t>
  </si>
  <si>
    <t>cesar.parada@unisabana.edu.co07</t>
  </si>
  <si>
    <t>https://ProfCatedra2024.sawtoothsoftware.com/cgi-bin/ciwweb.pl?studyname=ProfCatedra2024&amp;Correo=cesar.parada@unisabana.edu.co07</t>
  </si>
  <si>
    <t>adner.capachero@unisabana.edu.co</t>
  </si>
  <si>
    <t>adner.capachero@unisabana.edu.co02</t>
  </si>
  <si>
    <t>https://ProfPlanta2024.sawtoothsoftware.com/cgi-bin/ciwweb.pl?studyname=ProfPlanta2024&amp;Correo=adner.capachero@unisabana.edu.co02</t>
  </si>
  <si>
    <t>adriana.castellanos@unisabana.edu.co</t>
  </si>
  <si>
    <t>adriana.castellanos@unisabana.edu.co01</t>
  </si>
  <si>
    <t>https://ProfPlanta2024.sawtoothsoftware.com/cgi-bin/ciwweb.pl?studyname=ProfPlanta2024&amp;Correo=adriana.castellanos@unisabana.edu.co01</t>
  </si>
  <si>
    <t>adriana.castellanos@unisabana.edu.co02</t>
  </si>
  <si>
    <t>https://ProfPlanta2024.sawtoothsoftware.com/cgi-bin/ciwweb.pl?studyname=ProfPlanta2024&amp;Correo=adriana.castellanos@unisabana.edu.co02</t>
  </si>
  <si>
    <t>alejandra.fuentes@unisabana.edu.co</t>
  </si>
  <si>
    <t>alejandra.fuentes@unisabana.edu.co02</t>
  </si>
  <si>
    <t>https://ProfPlanta2024.sawtoothsoftware.com/cgi-bin/ciwweb.pl?studyname=ProfPlanta2024&amp;Correo=alejandra.fuentes@unisabana.edu.co02</t>
  </si>
  <si>
    <t>alejandra.fuentes@unisabana.edu.co03</t>
  </si>
  <si>
    <t>https://ProfPlanta2024.sawtoothsoftware.com/cgi-bin/ciwweb.pl?studyname=ProfPlanta2024&amp;Correo=alejandra.fuentes@unisabana.edu.co03</t>
  </si>
  <si>
    <t>alexandra.jimenez1@unisabana.edu.co01</t>
  </si>
  <si>
    <t>Especializaciï¿½n en Gerencia Comercial - Barranquilla</t>
  </si>
  <si>
    <t>https://ProfCatedra2024.sawtoothsoftware.com/cgi-bin/ciwweb.pl?studyname=ProfCatedra2024&amp;Correo=alexandra.jimenez1@unisabana.edu.co01</t>
  </si>
  <si>
    <t>alexandra.jimenez1@unisabana.edu.co02</t>
  </si>
  <si>
    <t>https://ProfCatedra2024.sawtoothsoftware.com/cgi-bin/ciwweb.pl?studyname=ProfCatedra2024&amp;Correo=alexandra.jimenez1@unisabana.edu.co02</t>
  </si>
  <si>
    <t>andres.cardona1@unisabana.edu.co01</t>
  </si>
  <si>
    <t>https://ProfCatedra2024.sawtoothsoftware.com/cgi-bin/ciwweb.pl?studyname=ProfCatedra2024&amp;Correo=andres.cardona1@unisabana.edu.co01</t>
  </si>
  <si>
    <t>andres.cardona1@unisabana.edu.co02</t>
  </si>
  <si>
    <t>https://ProfCatedra2024.sawtoothsoftware.com/cgi-bin/ciwweb.pl?studyname=ProfCatedra2024&amp;Correo=andres.cardona1@unisabana.edu.co02</t>
  </si>
  <si>
    <t>andres.carreno@Unisabana.edu.co02</t>
  </si>
  <si>
    <t>https://ProfCatedra2024.sawtoothsoftware.com/cgi-bin/ciwweb.pl?studyname=ProfCatedra2024&amp;Correo=andres.carreno@Unisabana.edu.co02</t>
  </si>
  <si>
    <t>angela.trujillo@unisabana.edu.co</t>
  </si>
  <si>
    <t>angela.trujillo@unisabana.edu.co01</t>
  </si>
  <si>
    <t>https://ProfPlanta2024.sawtoothsoftware.com/cgi-bin/ciwweb.pl?studyname=ProfPlanta2024&amp;Correo=angela.trujillo@unisabana.edu.co01</t>
  </si>
  <si>
    <t>juan.ulloa1@unisabana.edu.co</t>
  </si>
  <si>
    <t>juan.ulloa1@unisabana.edu.co1</t>
  </si>
  <si>
    <t>https://ProfCatedra2024.sawtoothsoftware.com/cgi-bin/ciwweb.pl?studyname=ProfCatedra2024&amp;Correo=juan.ulloa1@unisabana.edu.co1</t>
  </si>
  <si>
    <t>carlos.monroy@unisabana.edu.co</t>
  </si>
  <si>
    <t>carlos.monroy@unisabana.edu.co01</t>
  </si>
  <si>
    <t>https://ProfPlanta2024.sawtoothsoftware.com/cgi-bin/ciwweb.pl?studyname=ProfPlanta2024&amp;Correo=carlos.monroy@unisabana.edu.co01</t>
  </si>
  <si>
    <t>carlos.monroy@unisabana.edu.co07</t>
  </si>
  <si>
    <t>https://ProfPlanta2024.sawtoothsoftware.com/cgi-bin/ciwweb.pl?studyname=ProfPlanta2024&amp;Correo=carlos.monroy@unisabana.edu.co07</t>
  </si>
  <si>
    <t>DAVENDANOSURA@GMAIL.COM2</t>
  </si>
  <si>
    <t>https://ProfCatedra2024.sawtoothsoftware.com/cgi-bin/ciwweb.pl?studyname=ProfCatedra2024&amp;Correo=DAVENDANOSURA@GMAIL.COM2</t>
  </si>
  <si>
    <t>deisy.quiroz@unisabana.edu.co1</t>
  </si>
  <si>
    <t>https://ProfCatedra2024.sawtoothsoftware.com/cgi-bin/ciwweb.pl?studyname=ProfCatedra2024&amp;Correo=deisy.quiroz@unisabana.edu.co1</t>
  </si>
  <si>
    <t>juana.jaramillo@unisabana.edu.co</t>
  </si>
  <si>
    <t>juana.jaramillo@unisabana.edu.co01</t>
  </si>
  <si>
    <t>https://ProfCatedra2024.sawtoothsoftware.com/cgi-bin/ciwweb.pl?studyname=ProfCatedra2024&amp;Correo=juana.jaramillo@unisabana.edu.co01</t>
  </si>
  <si>
    <t>sergio.torres_cont@unisabana.edu.co</t>
  </si>
  <si>
    <t>sergio.torres_cont@unisabana.edu.co01</t>
  </si>
  <si>
    <t>https://ProfCatedra2024.sawtoothsoftware.com/cgi-bin/ciwweb.pl?studyname=ProfCatedra2024&amp;Correo=sergio.torres_cont@unisabana.edu.co01</t>
  </si>
  <si>
    <t>deisy.quiroz@unisabana.edu.co3</t>
  </si>
  <si>
    <t>https://ProfCatedra2024.sawtoothsoftware.com/cgi-bin/ciwweb.pl?studyname=ProfCatedra2024&amp;Correo=deisy.quiroz@unisabana.edu.co3</t>
  </si>
  <si>
    <t>Doraat@unisabana.edu.co02</t>
  </si>
  <si>
    <t>https://ProfCatedra2024.sawtoothsoftware.com/cgi-bin/ciwweb.pl?studyname=ProfCatedra2024&amp;Correo=Doraat@unisabana.edu.co02</t>
  </si>
  <si>
    <t>Doraat@unisabana.edu.co03</t>
  </si>
  <si>
    <t>https://ProfCatedra2024.sawtoothsoftware.com/cgi-bin/ciwweb.pl?studyname=ProfCatedra2024&amp;Correo=Doraat@unisabana.edu.co03</t>
  </si>
  <si>
    <t>flor.baracaldo@unisabana.edu.co</t>
  </si>
  <si>
    <t>flor.baracaldo@unisabana.edu.co01</t>
  </si>
  <si>
    <t>https://ProfPlanta2024.sawtoothsoftware.com/cgi-bin/ciwweb.pl?studyname=ProfPlanta2024&amp;Correo=flor.baracaldo@unisabana.edu.co01</t>
  </si>
  <si>
    <t>gabriela.atehortua@unisabana.edu.co03</t>
  </si>
  <si>
    <t>https://ProfCatedra2024.sawtoothsoftware.com/cgi-bin/ciwweb.pl?studyname=ProfCatedra2024&amp;Correo=gabriela.atehortua@unisabana.edu.co03</t>
  </si>
  <si>
    <t>&lt;-- Antes</t>
  </si>
  <si>
    <t>luis.maria@unisabana.edu.co</t>
  </si>
  <si>
    <t>luis.maria@unisabana.edu.co02</t>
  </si>
  <si>
    <t>https://ProfCatedra2024.sawtoothsoftware.com/cgi-bin/ciwweb.pl?studyname=ProfCatedra2024&amp;Correo=luis.maria@unisabana.edu.co02</t>
  </si>
  <si>
    <t>ingri.moreno@unisabana.edu.co1</t>
  </si>
  <si>
    <t>https://ProfCatedra2024.sawtoothsoftware.com/cgi-bin/ciwweb.pl?studyname=ProfCatedra2024&amp;Correo=ingri.moreno@unisabana.edu.co1</t>
  </si>
  <si>
    <t>jaime.rodriguez3@unisabana.edu.co</t>
  </si>
  <si>
    <t>Jaime.Rodriguez3@unisabana.edu.co01</t>
  </si>
  <si>
    <t>https://ProfCatedra2024.sawtoothsoftware.com/cgi-bin/ciwweb.pl?studyname=ProfCatedra2024&amp;Correo=Jaime.Rodriguez3@unisabana.edu.co01</t>
  </si>
  <si>
    <t>jeronimo.garcia@unisabana.edu.co2</t>
  </si>
  <si>
    <t>https://ProfCatedra2024.sawtoothsoftware.com/cgi-bin/ciwweb.pl?studyname=ProfCatedra2024&amp;Correo=jeronimo.garcia@unisabana.edu.co2</t>
  </si>
  <si>
    <t>jose.castano@unisabana.edu.co01</t>
  </si>
  <si>
    <t>https://ProfCatedra2024.sawtoothsoftware.com/cgi-bin/ciwweb.pl?studyname=ProfCatedra2024&amp;Correo=jose.castano@unisabana.edu.co01</t>
  </si>
  <si>
    <t>jose.rodriguez3@unisabana.edu.co</t>
  </si>
  <si>
    <t>jose.rodriguez3@unisabana.edu.co2</t>
  </si>
  <si>
    <t>https://ProfPlanta2024.sawtoothsoftware.com/cgi-bin/ciwweb.pl?studyname=ProfPlanta2024&amp;Correo=jose.rodriguez3@unisabana.edu.co2</t>
  </si>
  <si>
    <t>juan.cardenas4@unisabana.edu.co</t>
  </si>
  <si>
    <t>juan.cardenas4@unisabana.edu.co2</t>
  </si>
  <si>
    <t>https://ProfPlanta2024.sawtoothsoftware.com/cgi-bin/ciwweb.pl?studyname=ProfPlanta2024&amp;Correo=juan.cardenas4@unisabana.edu.co2</t>
  </si>
  <si>
    <t>sergio.torres_cont@unisabana.edu.co04</t>
  </si>
  <si>
    <t>https://ProfCatedra2024.sawtoothsoftware.com/cgi-bin/ciwweb.pl?studyname=ProfCatedra2024&amp;Correo=sergio.torres_cont@unisabana.edu.co04</t>
  </si>
  <si>
    <t>juan.cardenas4@unisabana.edu.co3</t>
  </si>
  <si>
    <t>https://ProfPlanta2024.sawtoothsoftware.com/cgi-bin/ciwweb.pl?studyname=ProfPlanta2024&amp;Correo=juan.cardenas4@unisabana.edu.co3</t>
  </si>
  <si>
    <t>juan.enciso2@unisabana.edu.co02</t>
  </si>
  <si>
    <t>https://ProfCatedra2024.sawtoothsoftware.com/cgi-bin/ciwweb.pl?studyname=ProfCatedra2024&amp;Correo=juan.enciso2@unisabana.edu.co02</t>
  </si>
  <si>
    <t>julian.carreno@unisabana.edu.co</t>
  </si>
  <si>
    <t>Julian.Carreno@unisabana.edu.co2</t>
  </si>
  <si>
    <t>https://ProfPlanta2024.sawtoothsoftware.com/cgi-bin/ciwweb.pl?studyname=ProfPlanta2024&amp;Correo=Julian.Carreno@unisabana.edu.co2</t>
  </si>
  <si>
    <t>Julian.Carreno@unisabana.edu.co3</t>
  </si>
  <si>
    <t>https://ProfPlanta2024.sawtoothsoftware.com/cgi-bin/ciwweb.pl?studyname=ProfPlanta2024&amp;Correo=Julian.Carreno@unisabana.edu.co3</t>
  </si>
  <si>
    <t>laura.carreno@unisabana.edu.co</t>
  </si>
  <si>
    <t>laura.carreno@unisabana.edu.co1</t>
  </si>
  <si>
    <t>https://ProfPlanta2024.sawtoothsoftware.com/cgi-bin/ciwweb.pl?studyname=ProfPlanta2024&amp;Correo=laura.carreno@unisabana.edu.co1</t>
  </si>
  <si>
    <t>lida.isaza@unisabana.edu.co2</t>
  </si>
  <si>
    <t>https://ProfCatedra2024.sawtoothsoftware.com/cgi-bin/ciwweb.pl?studyname=ProfCatedra2024&amp;Correo=lida.isaza@unisabana.edu.co2</t>
  </si>
  <si>
    <t>liliana.paredes@unisabana.edu.co</t>
  </si>
  <si>
    <t>liliana.paredes@unisabana.edu.co2</t>
  </si>
  <si>
    <t>https://ProfPlanta2024.sawtoothsoftware.com/cgi-bin/ciwweb.pl?studyname=ProfPlanta2024&amp;Correo=liliana.paredes@unisabana.edu.co2</t>
  </si>
  <si>
    <t>luis.lopez10@unisabana.edu.co</t>
  </si>
  <si>
    <t>luis.lopez10@unisabana.edu.co02</t>
  </si>
  <si>
    <t>https://ProfCatedra2024.sawtoothsoftware.com/cgi-bin/ciwweb.pl?studyname=ProfCatedra2024&amp;Correo=luis.lopez10@unisabana.edu.co02</t>
  </si>
  <si>
    <t>luis.parra2@unisabana.edu.co</t>
  </si>
  <si>
    <t>luis.parra2@unisabana.edu.co1</t>
  </si>
  <si>
    <t>https://ProfCatedra2024.sawtoothsoftware.com/cgi-bin/ciwweb.pl?studyname=ProfCatedra2024&amp;Correo=luis.parra2@unisabana.edu.co1</t>
  </si>
  <si>
    <t>luisaaa@unisabana.edu.co</t>
  </si>
  <si>
    <t>Luisaaa@unisabana.edu.co01</t>
  </si>
  <si>
    <t>https://ProfCatedra2024.sawtoothsoftware.com/cgi-bin/ciwweb.pl?studyname=ProfCatedra2024&amp;Correo=Luisaaa@unisabana.edu.co01</t>
  </si>
  <si>
    <t>luz.villalba@unisabana.edu.co</t>
  </si>
  <si>
    <t>luz.villalba@unisabana.edu.co1</t>
  </si>
  <si>
    <t>https://ProfPlanta2024.sawtoothsoftware.com/cgi-bin/ciwweb.pl?studyname=ProfPlanta2024&amp;Correo=luz.villalba@unisabana.edu.co1</t>
  </si>
  <si>
    <t>luz.villalba@unisabana.edu.co3</t>
  </si>
  <si>
    <t>https://ProfPlanta2024.sawtoothsoftware.com/cgi-bin/ciwweb.pl?studyname=ProfPlanta2024&amp;Correo=luz.villalba@unisabana.edu.co3</t>
  </si>
  <si>
    <t>manuel.rodriguez3@unisabana.edu.co</t>
  </si>
  <si>
    <t>manuel.rodriguez3@unisabana.edu.co2</t>
  </si>
  <si>
    <t>https://ProfCatedra2024.sawtoothsoftware.com/cgi-bin/ciwweb.pl?studyname=ProfCatedra2024&amp;Correo=manuel.rodriguez3@unisabana.edu.co2</t>
  </si>
  <si>
    <t>manuel.rodriguez3@unisabana.edu.co3</t>
  </si>
  <si>
    <t>https://ProfCatedra2024.sawtoothsoftware.com/cgi-bin/ciwweb.pl?studyname=ProfCatedra2024&amp;Correo=manuel.rodriguez3@unisabana.edu.co3</t>
  </si>
  <si>
    <t>maria.arbelaez4@unisabana.edu.co</t>
  </si>
  <si>
    <t>maria.arbelaez4@unisabana.edu.co1</t>
  </si>
  <si>
    <t>https://ProfPlanta2024.sawtoothsoftware.com/cgi-bin/ciwweb.pl?studyname=ProfPlanta2024&amp;Correo=maria.arbelaez4@unisabana.edu.co1</t>
  </si>
  <si>
    <t>maria.arbelaez4@unisabana.edu.co3</t>
  </si>
  <si>
    <t>https://ProfPlanta2024.sawtoothsoftware.com/cgi-bin/ciwweb.pl?studyname=ProfPlanta2024&amp;Correo=maria.arbelaez4@unisabana.edu.co3</t>
  </si>
  <si>
    <t>maria.castillo2@unisabana.edu.co</t>
  </si>
  <si>
    <t>maria.castillo2@unisabana.edu.co02</t>
  </si>
  <si>
    <t>https://ProfCatedra2024.sawtoothsoftware.com/cgi-bin/ciwweb.pl?studyname=ProfCatedra2024&amp;Correo=maria.castillo2@unisabana.edu.co02</t>
  </si>
  <si>
    <t>maria.mejia2@unisabana.edu.co</t>
  </si>
  <si>
    <t>maria.mejia2@unisabana.edu.co02</t>
  </si>
  <si>
    <t>https://ProfPlanta2024.sawtoothsoftware.com/cgi-bin/ciwweb.pl?studyname=ProfPlanta2024&amp;Correo=maria.mejia2@unisabana.edu.co02</t>
  </si>
  <si>
    <t>maria.villar2@unisabana.edu.co</t>
  </si>
  <si>
    <t>maria.villar2@unisabana.edu.co01</t>
  </si>
  <si>
    <t>https://ProfCatedra2024.sawtoothsoftware.com/cgi-bin/ciwweb.pl?studyname=ProfCatedra2024&amp;Correo=maria.villar2@unisabana.edu.co01</t>
  </si>
  <si>
    <t>rociohp@unisabana.edu.co</t>
  </si>
  <si>
    <t>RocioHP@unisabana.edu.co01</t>
  </si>
  <si>
    <t>https://ProfPlanta2024.sawtoothsoftware.com/cgi-bin/ciwweb.pl?studyname=ProfPlanta2024&amp;Correo=RocioHP@unisabana.edu.co01</t>
  </si>
  <si>
    <t>RocioHP@unisabana.edu.co02</t>
  </si>
  <si>
    <t>https://ProfPlanta2024.sawtoothsoftware.com/cgi-bin/ciwweb.pl?studyname=ProfPlanta2024&amp;Correo=RocioHP@unisabana.edu.co02</t>
  </si>
  <si>
    <t>santiago.wills@unisabana.edu.co</t>
  </si>
  <si>
    <t>santiago.wills@unisabana.edu.co2</t>
  </si>
  <si>
    <t>https://ProfCatedra2024.sawtoothsoftware.com/cgi-bin/ciwweb.pl?studyname=ProfCatedra2024&amp;Correo=santiago.wills@unisabana.edu.co2</t>
  </si>
  <si>
    <t>sergio.torres_cont@unisabana.edu.co03</t>
  </si>
  <si>
    <t>https://ProfCatedra2024.sawtoothsoftware.com/cgi-bin/ciwweb.pl?studyname=ProfCatedra2024&amp;Correo=sergio.torres_cont@unisabana.edu.co03</t>
  </si>
  <si>
    <t>mikel.ibarra@unisabana.edu.co</t>
  </si>
  <si>
    <t>juanenco@unisabana.edu.co</t>
  </si>
  <si>
    <t>juanenco@unisabana.edu.co1</t>
  </si>
  <si>
    <t>https://ProfCatedra2024.sawtoothsoftware.com/cgi-bin/ciwweb.pl?studyname=ProfCatedra2024&amp;Correo=juanenco@unisabana.edu.co1</t>
  </si>
  <si>
    <t>juanita.macias@unisabana.edu.co</t>
  </si>
  <si>
    <t>juanita.macias@unisabana.edu.co1</t>
  </si>
  <si>
    <t>https://ProfCatedra2024.sawtoothsoftware.com/cgi-bin/ciwweb.pl?studyname=ProfCatedra2024&amp;Correo=juanita.macias@unisabana.edu.co1</t>
  </si>
  <si>
    <t>juanmordi@unisabana.edu.co</t>
  </si>
  <si>
    <t>juanmordi@unisabana.edu.co1</t>
  </si>
  <si>
    <t>https://ProfCatedra2024.sawtoothsoftware.com/cgi-bin/ciwweb.pl?studyname=ProfCatedra2024&amp;Correo=juanmordi@unisabana.edu.co1</t>
  </si>
  <si>
    <t>juanrig@unisabana.edu.co</t>
  </si>
  <si>
    <t>juanrig@unisabana.edu.co01</t>
  </si>
  <si>
    <t>https://ProfCatedra2024.sawtoothsoftware.com/cgi-bin/ciwweb.pl?studyname=ProfCatedra2024&amp;Correo=juanrig@unisabana.edu.co01</t>
  </si>
  <si>
    <t>juansanari@unisabana.edu.co</t>
  </si>
  <si>
    <t>juansanari@unisabana.edu.co01</t>
  </si>
  <si>
    <t>https://ProfCatedra2024.sawtoothsoftware.com/cgi-bin/ciwweb.pl?studyname=ProfCatedra2024&amp;Correo=juansanari@unisabana.edu.co01</t>
  </si>
  <si>
    <t>julia.diaz@unisabana.edu.co01</t>
  </si>
  <si>
    <t>https://ProfCatedra2024.sawtoothsoftware.com/cgi-bin/ciwweb.pl?studyname=ProfCatedra2024&amp;Correo=julia.diaz@unisabana.edu.co01</t>
  </si>
  <si>
    <t>julia.diaz@unisabana.edu.co02</t>
  </si>
  <si>
    <t>https://ProfCatedra2024.sawtoothsoftware.com/cgi-bin/ciwweb.pl?studyname=ProfCatedra2024&amp;Correo=julia.diaz@unisabana.edu.co02</t>
  </si>
  <si>
    <t>julian.bohorquez@unisabana.edu.co</t>
  </si>
  <si>
    <t>julian.bohorquez@unisabana.edu.co1</t>
  </si>
  <si>
    <t>https://ProfCatedra2024.sawtoothsoftware.com/cgi-bin/ciwweb.pl?studyname=ProfCatedra2024&amp;Correo=julian.bohorquez@unisabana.edu.co1</t>
  </si>
  <si>
    <t>julian.obando@unisabana.edu.co</t>
  </si>
  <si>
    <t>julian.obando@unisabana.edu.co1</t>
  </si>
  <si>
    <t>https://ProfCatedra2024.sawtoothsoftware.com/cgi-bin/ciwweb.pl?studyname=ProfCatedra2024&amp;Correo=julian.obando@unisabana.edu.co1</t>
  </si>
  <si>
    <t>julian.urrea1@unisabana.edu.co</t>
  </si>
  <si>
    <t>julian.urrea1@unisabana.edu.co1</t>
  </si>
  <si>
    <t>https://ProfCatedra2024.sawtoothsoftware.com/cgi-bin/ciwweb.pl?studyname=ProfCatedra2024&amp;Correo=julian.urrea1@unisabana.edu.co1</t>
  </si>
  <si>
    <t>juliana.cardona@unisabana.edu.co</t>
  </si>
  <si>
    <t>juliana.cardona@unisabana.edu.co01</t>
  </si>
  <si>
    <t>https://ProfCatedra2024.sawtoothsoftware.com/cgi-bin/ciwweb.pl?studyname=ProfCatedra2024&amp;Correo=juliana.cardona@unisabana.edu.co01</t>
  </si>
  <si>
    <t>julieth.prieto1@unisabana.edu.co</t>
  </si>
  <si>
    <t>julieth.prieto1@unisabana.edu.co1</t>
  </si>
  <si>
    <t>https://ProfCatedra2024.sawtoothsoftware.com/cgi-bin/ciwweb.pl?studyname=ProfCatedra2024&amp;Correo=julieth.prieto1@unisabana.edu.co1</t>
  </si>
  <si>
    <t>karinalb_cont@unisabana.edu.co</t>
  </si>
  <si>
    <t>karinalb_cont@unisabana.edu.co01</t>
  </si>
  <si>
    <t>https://ProfCatedra2024.sawtoothsoftware.com/cgi-bin/ciwweb.pl?studyname=ProfCatedra2024&amp;Correo=karinalb_cont@unisabana.edu.co01</t>
  </si>
  <si>
    <t>katherine.bauer1@unisabana.edu.co</t>
  </si>
  <si>
    <t>katherine.bauer1@unisabana.edu.co1</t>
  </si>
  <si>
    <t>https://ProfCatedra2024.sawtoothsoftware.com/cgi-bin/ciwweb.pl?studyname=ProfCatedra2024&amp;Correo=katherine.bauer1@unisabana.edu.co1</t>
  </si>
  <si>
    <t>kelly.zarate1@unisabana.edu.co</t>
  </si>
  <si>
    <t>kelly.zarate1@unisabana.edu.co01</t>
  </si>
  <si>
    <t>https://ProfCatedra2024.sawtoothsoftware.com/cgi-bin/ciwweb.pl?studyname=ProfCatedra2024&amp;Correo=kelly.zarate1@unisabana.edu.co01</t>
  </si>
  <si>
    <t>kelly.zarate1@unisabana.edu.co1</t>
  </si>
  <si>
    <t>https://ProfCatedra2024.sawtoothsoftware.com/cgi-bin/ciwweb.pl?studyname=ProfCatedra2024&amp;Correo=kelly.zarate1@unisabana.edu.co1</t>
  </si>
  <si>
    <t>laura.avila3@unisabana.edu.co</t>
  </si>
  <si>
    <t>laura.avila3@unisabana.edu.co1</t>
  </si>
  <si>
    <t>https://ProfCatedra2024.sawtoothsoftware.com/cgi-bin/ciwweb.pl?studyname=ProfCatedra2024&amp;Correo=laura.avila3@unisabana.edu.co1</t>
  </si>
  <si>
    <t>laura.mena1@unisabana.edu.co</t>
  </si>
  <si>
    <t>laura.mena1@unisabana.edu.co1</t>
  </si>
  <si>
    <t>https://ProfCatedra2024.sawtoothsoftware.com/cgi-bin/ciwweb.pl?studyname=ProfCatedra2024&amp;Correo=laura.mena1@unisabana.edu.co1</t>
  </si>
  <si>
    <t>laura.rodriguez24@unisabana.edu.co</t>
  </si>
  <si>
    <t>laura.rodriguez24@unisabana.edu.co1</t>
  </si>
  <si>
    <t>https://ProfCatedra2024.sawtoothsoftware.com/cgi-bin/ciwweb.pl?studyname=ProfCatedra2024&amp;Correo=laura.rodriguez24@unisabana.edu.co1</t>
  </si>
  <si>
    <t>lauraramro@unisabana.edu.co</t>
  </si>
  <si>
    <t>lauraramro@unisabana.edu.co1</t>
  </si>
  <si>
    <t>https://ProfCatedra2024.sawtoothsoftware.com/cgi-bin/ciwweb.pl?studyname=ProfCatedra2024&amp;Correo=lauraramro@unisabana.edu.co1</t>
  </si>
  <si>
    <t>leidy.contreras@unisabana.edu.co</t>
  </si>
  <si>
    <t>leidy.contreras@unisabana.edu.co1</t>
  </si>
  <si>
    <t>https://ProfCatedra2024.sawtoothsoftware.com/cgi-bin/ciwweb.pl?studyname=ProfCatedra2024&amp;Correo=leidy.contreras@unisabana.edu.co1</t>
  </si>
  <si>
    <t>leidy.gomez1@unisabana.edu.co</t>
  </si>
  <si>
    <t>leidy.gomez1@unisabana.edu.co1</t>
  </si>
  <si>
    <t>https://ProfCatedra2024.sawtoothsoftware.com/cgi-bin/ciwweb.pl?studyname=ProfCatedra2024&amp;Correo=leidy.gomez1@unisabana.edu.co1</t>
  </si>
  <si>
    <t>leidy.martinez4@unisabana.edu.co</t>
  </si>
  <si>
    <t>leidy.martinez4@unisabana.edu.co1</t>
  </si>
  <si>
    <t>https://ProfCatedra2024.sawtoothsoftware.com/cgi-bin/ciwweb.pl?studyname=ProfCatedra2024&amp;Correo=leidy.martinez4@unisabana.edu.co1</t>
  </si>
  <si>
    <t>leonardo.ariza@unisabana.edu.co</t>
  </si>
  <si>
    <t>leonardo.ariza@unisabana.edu.co1</t>
  </si>
  <si>
    <t>https://ProfCatedra2024.sawtoothsoftware.com/cgi-bin/ciwweb.pl?studyname=ProfCatedra2024&amp;Correo=leonardo.ariza@unisabana.edu.co1</t>
  </si>
  <si>
    <t>leonardo.moya@unisabana.edu.co</t>
  </si>
  <si>
    <t>leonardo.moya@unisabana.edu.co1</t>
  </si>
  <si>
    <t>https://ProfCatedra2024.sawtoothsoftware.com/cgi-bin/ciwweb.pl?studyname=ProfCatedra2024&amp;Correo=leonardo.moya@unisabana.edu.co1</t>
  </si>
  <si>
    <t>leslie.hernandez1@unisabana.edu.co</t>
  </si>
  <si>
    <t>leslie.hernandez1@unisabana.edu.co1</t>
  </si>
  <si>
    <t>https://ProfCatedra2024.sawtoothsoftware.com/cgi-bin/ciwweb.pl?studyname=ProfCatedra2024&amp;Correo=leslie.hernandez1@unisabana.edu.co1</t>
  </si>
  <si>
    <t>libiaro@unisabana.edu.co</t>
  </si>
  <si>
    <t>libiaro@unisabana.edu.co01</t>
  </si>
  <si>
    <t>https://ProfCatedra2024.sawtoothsoftware.com/cgi-bin/ciwweb.pl?studyname=ProfCatedra2024&amp;Correo=libiaro@unisabana.edu.co01</t>
  </si>
  <si>
    <t>libiaro@unisabana.edu.co02</t>
  </si>
  <si>
    <t>https://ProfCatedra2024.sawtoothsoftware.com/cgi-bin/ciwweb.pl?studyname=ProfCatedra2024&amp;Correo=libiaro@unisabana.edu.co02</t>
  </si>
  <si>
    <t>libiaro@unisabana.edu.co03</t>
  </si>
  <si>
    <t>https://ProfCatedra2024.sawtoothsoftware.com/cgi-bin/ciwweb.pl?studyname=ProfCatedra2024&amp;Correo=libiaro@unisabana.edu.co03</t>
  </si>
  <si>
    <t>lida.isaza@unisabana.edu.co1</t>
  </si>
  <si>
    <t>https://ProfCatedra2024.sawtoothsoftware.com/cgi-bin/ciwweb.pl?studyname=ProfCatedra2024&amp;Correo=lida.isaza@unisabana.edu.co1</t>
  </si>
  <si>
    <t>lida.pena1@unisabana.edu.co</t>
  </si>
  <si>
    <t>lida.pena1@unisabana.edu.co1</t>
  </si>
  <si>
    <t>https://ProfCatedra2024.sawtoothsoftware.com/cgi-bin/ciwweb.pl?studyname=ProfCatedra2024&amp;Correo=lida.pena1@unisabana.edu.co1</t>
  </si>
  <si>
    <t>lidapag@yahoo.com</t>
  </si>
  <si>
    <t>LIDAPAG@YAHOO.COM1</t>
  </si>
  <si>
    <t>https://ProfCatedra2024.sawtoothsoftware.com/cgi-bin/ciwweb.pl?studyname=ProfCatedra2024&amp;Correo=LIDAPAG@YAHOO.COM1</t>
  </si>
  <si>
    <t>ligia.arevalo@unisabana.edu.co</t>
  </si>
  <si>
    <t>ligia.arevalo@unisabana.edu.co1</t>
  </si>
  <si>
    <t>https://ProfCatedra2024.sawtoothsoftware.com/cgi-bin/ciwweb.pl?studyname=ProfCatedra2024&amp;Correo=ligia.arevalo@unisabana.edu.co1</t>
  </si>
  <si>
    <t>ligia.arevalo@unisabana.edu.co2</t>
  </si>
  <si>
    <t>https://ProfCatedra2024.sawtoothsoftware.com/cgi-bin/ciwweb.pl?studyname=ProfCatedra2024&amp;Correo=ligia.arevalo@unisabana.edu.co2</t>
  </si>
  <si>
    <t>liliana.amaya@unisabana.edu.co</t>
  </si>
  <si>
    <t>liliana.amaya@unisabana.edu.co1</t>
  </si>
  <si>
    <t>https://ProfCatedra2024.sawtoothsoftware.com/cgi-bin/ciwweb.pl?studyname=ProfCatedra2024&amp;Correo=liliana.amaya@unisabana.edu.co1</t>
  </si>
  <si>
    <t>liliana.aponte@unisabana.edu.co</t>
  </si>
  <si>
    <t>liliana.aponte@unisabana.edu.co01</t>
  </si>
  <si>
    <t>https://ProfCatedra2024.sawtoothsoftware.com/cgi-bin/ciwweb.pl?studyname=ProfCatedra2024&amp;Correo=liliana.aponte@unisabana.edu.co01</t>
  </si>
  <si>
    <t>liliana.arias@unisabana.edu.co</t>
  </si>
  <si>
    <t>liliana.arias@unisabana.edu.co01</t>
  </si>
  <si>
    <t>https://ProfCatedra2024.sawtoothsoftware.com/cgi-bin/ciwweb.pl?studyname=ProfCatedra2024&amp;Correo=liliana.arias@unisabana.edu.co01</t>
  </si>
  <si>
    <t>liliana.arias@unisabana.edu.co02</t>
  </si>
  <si>
    <t>https://ProfCatedra2024.sawtoothsoftware.com/cgi-bin/ciwweb.pl?studyname=ProfCatedra2024&amp;Correo=liliana.arias@unisabana.edu.co02</t>
  </si>
  <si>
    <t>liliana.arias@unisabana.edu.co03</t>
  </si>
  <si>
    <t>https://ProfCatedra2024.sawtoothsoftware.com/cgi-bin/ciwweb.pl?studyname=ProfCatedra2024&amp;Correo=liliana.arias@unisabana.edu.co03</t>
  </si>
  <si>
    <t>liliana.arias@unisabana.edu.co04</t>
  </si>
  <si>
    <t>https://ProfCatedra2024.sawtoothsoftware.com/cgi-bin/ciwweb.pl?studyname=ProfCatedra2024&amp;Correo=liliana.arias@unisabana.edu.co04</t>
  </si>
  <si>
    <t>liliana.garcia@clinicaunisabana.edu.co</t>
  </si>
  <si>
    <t>liliana.garcia@clinicaunisabana.edu.co01</t>
  </si>
  <si>
    <t>Especializaciï¿½n en Medicina Fï¿½sica y Rehabilitaciï¿½n</t>
  </si>
  <si>
    <t>https://ProfCatedra2024.sawtoothsoftware.com/cgi-bin/ciwweb.pl?studyname=ProfCatedra2024&amp;Correo=liliana.garcia@clinicaunisabana.edu.co01</t>
  </si>
  <si>
    <t>liliana.rojas@unisabana.edu.co</t>
  </si>
  <si>
    <t>liliana.rojas@unisabana.edu.co1</t>
  </si>
  <si>
    <t>https://ProfCatedra2024.sawtoothsoftware.com/cgi-bin/ciwweb.pl?studyname=ProfCatedra2024&amp;Correo=liliana.rojas@unisabana.edu.co1</t>
  </si>
  <si>
    <t>liliana.triana@unisabana.edu.co</t>
  </si>
  <si>
    <t>liliana.triana@unisabana.edu.co01</t>
  </si>
  <si>
    <t>https://ProfCatedra2024.sawtoothsoftware.com/cgi-bin/ciwweb.pl?studyname=ProfCatedra2024&amp;Correo=liliana.triana@unisabana.edu.co01</t>
  </si>
  <si>
    <t>lilianapinillat@gmail.com</t>
  </si>
  <si>
    <t>lilianapinillat@gmail.com1</t>
  </si>
  <si>
    <t>https://ProfCatedra2024.sawtoothsoftware.com/cgi-bin/ciwweb.pl?studyname=ProfCatedra2024&amp;Correo=lilianapinillat@gmail.com1</t>
  </si>
  <si>
    <t>lilianapo@unisabana.edu.co</t>
  </si>
  <si>
    <t>Lilianapo@unisabana.edu.co1</t>
  </si>
  <si>
    <t>https://ProfCatedra2024.sawtoothsoftware.com/cgi-bin/ciwweb.pl?studyname=ProfCatedra2024&amp;Correo=Lilianapo@unisabana.edu.co1</t>
  </si>
  <si>
    <t>lina.avella@unisabana.edu.co</t>
  </si>
  <si>
    <t>lina.avella@unisabana.edu.co1</t>
  </si>
  <si>
    <t>https://ProfCatedra2024.sawtoothsoftware.com/cgi-bin/ciwweb.pl?studyname=ProfCatedra2024&amp;Correo=lina.avella@unisabana.edu.co1</t>
  </si>
  <si>
    <t>lina.gomez5@unisabana.edu.co01</t>
  </si>
  <si>
    <t>https://ProfCatedra2024.sawtoothsoftware.com/cgi-bin/ciwweb.pl?studyname=ProfCatedra2024&amp;Correo=lina.gomez5@unisabana.edu.co01</t>
  </si>
  <si>
    <t>lina.guio1@unisabana.edu.co</t>
  </si>
  <si>
    <t>lina.guio1@unisabana.edu.co1</t>
  </si>
  <si>
    <t>https://ProfCatedra2024.sawtoothsoftware.com/cgi-bin/ciwweb.pl?studyname=ProfCatedra2024&amp;Correo=lina.guio1@unisabana.edu.co1</t>
  </si>
  <si>
    <t>lina.ramirez1@unisabana.edu.co</t>
  </si>
  <si>
    <t>lina.ramirez1@unisabana.edu.co1</t>
  </si>
  <si>
    <t>https://ProfCatedra2024.sawtoothsoftware.com/cgi-bin/ciwweb.pl?studyname=ProfCatedra2024&amp;Correo=lina.ramirez1@unisabana.edu.co1</t>
  </si>
  <si>
    <t>lina.rojas4@unisabana.edu.co</t>
  </si>
  <si>
    <t>lina.rojas4@unisabana.edu.co1</t>
  </si>
  <si>
    <t>https://ProfCatedra2024.sawtoothsoftware.com/cgi-bin/ciwweb.pl?studyname=ProfCatedra2024&amp;Correo=lina.rojas4@unisabana.edu.co1</t>
  </si>
  <si>
    <t>lina.tellez@unisabana.edu.co</t>
  </si>
  <si>
    <t>LINA.TELLEZ@UNISABANA.edu.co01</t>
  </si>
  <si>
    <t>https://ProfCatedra2024.sawtoothsoftware.com/cgi-bin/ciwweb.pl?studyname=ProfCatedra2024&amp;Correo=LINA.TELLEZ@UNISABANA.edu.co01</t>
  </si>
  <si>
    <t>LINA.TELLEZ@UNISABANA.edu.co02</t>
  </si>
  <si>
    <t>https://ProfCatedra2024.sawtoothsoftware.com/cgi-bin/ciwweb.pl?studyname=ProfCatedra2024&amp;Correo=LINA.TELLEZ@UNISABANA.edu.co02</t>
  </si>
  <si>
    <t>LINA.TELLEZ@UNISABANA.edu.co03</t>
  </si>
  <si>
    <t>https://ProfCatedra2024.sawtoothsoftware.com/cgi-bin/ciwweb.pl?studyname=ProfCatedra2024&amp;Correo=LINA.TELLEZ@UNISABANA.edu.co03</t>
  </si>
  <si>
    <t>lina.tellez@unisabana.edu.co1</t>
  </si>
  <si>
    <t>https://ProfCatedra2024.sawtoothsoftware.com/cgi-bin/ciwweb.pl?studyname=ProfCatedra2024&amp;Correo=lina.tellez@unisabana.edu.co1</t>
  </si>
  <si>
    <t>lina.virviescas@unisabana.edu.co</t>
  </si>
  <si>
    <t>lina.virviescas@unisabana.edu.co1</t>
  </si>
  <si>
    <t>https://ProfCatedra2024.sawtoothsoftware.com/cgi-bin/ciwweb.pl?studyname=ProfCatedra2024&amp;Correo=lina.virviescas@unisabana.edu.co1</t>
  </si>
  <si>
    <t>linaesve@unisabana.edu.co</t>
  </si>
  <si>
    <t>linaesve@unisabana.edu.co07</t>
  </si>
  <si>
    <t>https://ProfCatedra2024.sawtoothsoftware.com/cgi-bin/ciwweb.pl?studyname=ProfCatedra2024&amp;Correo=linaesve@unisabana.edu.co07</t>
  </si>
  <si>
    <t>lindamarto@unisabana.edu.co</t>
  </si>
  <si>
    <t>lindamarto@unisabana.edu.co1</t>
  </si>
  <si>
    <t>https://ProfCatedra2024.sawtoothsoftware.com/cgi-bin/ciwweb.pl?studyname=ProfCatedra2024&amp;Correo=lindamarto@unisabana.edu.co1</t>
  </si>
  <si>
    <t>lisethesvi@unisabana.edu.co</t>
  </si>
  <si>
    <t>lisethesvi@unisabana.edu.co1</t>
  </si>
  <si>
    <t>https://ProfCatedra2024.sawtoothsoftware.com/cgi-bin/ciwweb.pl?studyname=ProfCatedra2024&amp;Correo=lisethesvi@unisabana.edu.co1</t>
  </si>
  <si>
    <t>lucia.barbosa@unisabana.edu.co</t>
  </si>
  <si>
    <t>lucia.barbosa@unisabana.edu.co01</t>
  </si>
  <si>
    <t>https://ProfCatedra2024.sawtoothsoftware.com/cgi-bin/ciwweb.pl?studyname=ProfCatedra2024&amp;Correo=lucia.barbosa@unisabana.edu.co01</t>
  </si>
  <si>
    <t>luis.baquero2@unisabana.edu.co</t>
  </si>
  <si>
    <t>luis.baquero2@unisabana.edu.co01</t>
  </si>
  <si>
    <t>https://ProfCatedra2024.sawtoothsoftware.com/cgi-bin/ciwweb.pl?studyname=ProfCatedra2024&amp;Correo=luis.baquero2@unisabana.edu.co01</t>
  </si>
  <si>
    <t>luis.barrientos@unisabana.edu.co01</t>
  </si>
  <si>
    <t>https://ProfCatedra2024.sawtoothsoftware.com/cgi-bin/ciwweb.pl?studyname=ProfCatedra2024&amp;Correo=luis.barrientos@unisabana.edu.co01</t>
  </si>
  <si>
    <t>luis.caballero@unisabana.edu.co</t>
  </si>
  <si>
    <t>luis.caballero@unisabana.edu.co1</t>
  </si>
  <si>
    <t>https://ProfCatedra2024.sawtoothsoftware.com/cgi-bin/ciwweb.pl?studyname=ProfCatedra2024&amp;Correo=luis.caballero@unisabana.edu.co1</t>
  </si>
  <si>
    <t>luis.camacho@unisabana.edu.co</t>
  </si>
  <si>
    <t>luis.camacho@unisabana.edu.co1</t>
  </si>
  <si>
    <t>https://ProfCatedra2024.sawtoothsoftware.com/cgi-bin/ciwweb.pl?studyname=ProfCatedra2024&amp;Correo=luis.camacho@unisabana.edu.co1</t>
  </si>
  <si>
    <t>luis.garcia1@unisabana.edu.co</t>
  </si>
  <si>
    <t>luis.garcia1@unisabana.edu.co1</t>
  </si>
  <si>
    <t>https://ProfCatedra2024.sawtoothsoftware.com/cgi-bin/ciwweb.pl?studyname=ProfCatedra2024&amp;Correo=luis.garcia1@unisabana.edu.co1</t>
  </si>
  <si>
    <t>luis.gomez@unisabana.edu.co</t>
  </si>
  <si>
    <t>luis.gomez@unisabana.edu.co1</t>
  </si>
  <si>
    <t>https://ProfCatedra2024.sawtoothsoftware.com/cgi-bin/ciwweb.pl?studyname=ProfCatedra2024&amp;Correo=luis.gomez@unisabana.edu.co1</t>
  </si>
  <si>
    <t>luis.gutierrez3@unisabana.edu.co</t>
  </si>
  <si>
    <t>luis.gutierrez3@unisabana.edu.co01</t>
  </si>
  <si>
    <t>https://ProfCatedra2024.sawtoothsoftware.com/cgi-bin/ciwweb.pl?studyname=ProfCatedra2024&amp;Correo=luis.gutierrez3@unisabana.edu.co01</t>
  </si>
  <si>
    <t>luis.gutierrez3@unisabana.edu.co1</t>
  </si>
  <si>
    <t>https://ProfCatedra2024.sawtoothsoftware.com/cgi-bin/ciwweb.pl?studyname=ProfCatedra2024&amp;Correo=luis.gutierrez3@unisabana.edu.co1</t>
  </si>
  <si>
    <t>luis.jaimes@unisabana.edu.co</t>
  </si>
  <si>
    <t>luis.jaimes@unisabana.edu.co1</t>
  </si>
  <si>
    <t>https://ProfCatedra2024.sawtoothsoftware.com/cgi-bin/ciwweb.pl?studyname=ProfCatedra2024&amp;Correo=luis.jaimes@unisabana.edu.co1</t>
  </si>
  <si>
    <t>luis.lopez10@unisabana.edu.co01</t>
  </si>
  <si>
    <t>Especializaciï¿½n en Gerencia Estratï¿½gica - Barranquilla</t>
  </si>
  <si>
    <t>https://ProfCatedra2024.sawtoothsoftware.com/cgi-bin/ciwweb.pl?studyname=ProfCatedra2024&amp;Correo=luis.lopez10@unisabana.edu.co01</t>
  </si>
  <si>
    <t>luis.maria@unisabana.edu.co01</t>
  </si>
  <si>
    <t>https://ProfCatedra2024.sawtoothsoftware.com/cgi-bin/ciwweb.pl?studyname=ProfCatedra2024&amp;Correo=luis.maria@unisabana.edu.co01</t>
  </si>
  <si>
    <t>luis.parra2@unisabana.edu.co2</t>
  </si>
  <si>
    <t>https://ProfCatedra2024.sawtoothsoftware.com/cgi-bin/ciwweb.pl?studyname=ProfCatedra2024&amp;Correo=luis.parra2@unisabana.edu.co2</t>
  </si>
  <si>
    <t>luis.rodriguez2@unisabana.edu.co1</t>
  </si>
  <si>
    <t>https://ProfCatedra2024.sawtoothsoftware.com/cgi-bin/ciwweb.pl?studyname=ProfCatedra2024&amp;Correo=luis.rodriguez2@unisabana.edu.co1</t>
  </si>
  <si>
    <t>luis.silva2@unisabana.edu.co03</t>
  </si>
  <si>
    <t>https://ProfCatedra2024.sawtoothsoftware.com/cgi-bin/ciwweb.pl?studyname=ProfCatedra2024&amp;Correo=luis.silva2@unisabana.edu.co03</t>
  </si>
  <si>
    <t>luis.uribe@unisabana.edu.co</t>
  </si>
  <si>
    <t>luis.uribe@unisabana.edu.co1</t>
  </si>
  <si>
    <t>https://ProfCatedra2024.sawtoothsoftware.com/cgi-bin/ciwweb.pl?studyname=ProfCatedra2024&amp;Correo=luis.uribe@unisabana.edu.co1</t>
  </si>
  <si>
    <t>luisa.cuellar1@unisabana.edu.co</t>
  </si>
  <si>
    <t>luisa.cuellar1@unisabana.edu.co1</t>
  </si>
  <si>
    <t>https://ProfCatedra2024.sawtoothsoftware.com/cgi-bin/ciwweb.pl?studyname=ProfCatedra2024&amp;Correo=luisa.cuellar1@unisabana.edu.co1</t>
  </si>
  <si>
    <t>luisa.garcia1@unisabana.edu.co</t>
  </si>
  <si>
    <t>luisa.garcia1@unisabana.edu.co1</t>
  </si>
  <si>
    <t>https://ProfCatedra2024.sawtoothsoftware.com/cgi-bin/ciwweb.pl?studyname=ProfCatedra2024&amp;Correo=luisa.garcia1@unisabana.edu.co1</t>
  </si>
  <si>
    <t>luisa.villamil@unisabana.edu.co</t>
  </si>
  <si>
    <t>luisa.villamil@unisabana.edu.co01</t>
  </si>
  <si>
    <t>Doctorado en Biociencias</t>
  </si>
  <si>
    <t>https://ProfCatedra2024.sawtoothsoftware.com/cgi-bin/ciwweb.pl?studyname=ProfCatedra2024&amp;Correo=luisa.villamil@unisabana.edu.co01</t>
  </si>
  <si>
    <t>luisa.zapata1@unisabana.edu.co</t>
  </si>
  <si>
    <t>luisa.zapata1@unisabana.edu.co01</t>
  </si>
  <si>
    <t>https://ProfCatedra2024.sawtoothsoftware.com/cgi-bin/ciwweb.pl?studyname=ProfCatedra2024&amp;Correo=luisa.zapata1@unisabana.edu.co01</t>
  </si>
  <si>
    <t>Luisaaa@unisabana.edu.co02</t>
  </si>
  <si>
    <t>https://ProfCatedra2024.sawtoothsoftware.com/cgi-bin/ciwweb.pl?studyname=ProfCatedra2024&amp;Correo=Luisaaa@unisabana.edu.co02</t>
  </si>
  <si>
    <t>Luisaaa@unisabana.edu.co03</t>
  </si>
  <si>
    <t>https://ProfCatedra2024.sawtoothsoftware.com/cgi-bin/ciwweb.pl?studyname=ProfCatedra2024&amp;Correo=Luisaaa@unisabana.edu.co03</t>
  </si>
  <si>
    <t>luissv@unisabana.edu.co</t>
  </si>
  <si>
    <t>LuisSV@unisabana.edu.co1</t>
  </si>
  <si>
    <t>https://ProfCatedra2024.sawtoothsoftware.com/cgi-bin/ciwweb.pl?studyname=ProfCatedra2024&amp;Correo=LuisSV@unisabana.edu.co1</t>
  </si>
  <si>
    <t>luz.diaz2@unisabana.edu.co</t>
  </si>
  <si>
    <t>luz.diaz2@unisabana.edu.co1</t>
  </si>
  <si>
    <t>https://ProfCatedra2024.sawtoothsoftware.com/cgi-bin/ciwweb.pl?studyname=ProfCatedra2024&amp;Correo=luz.diaz2@unisabana.edu.co1</t>
  </si>
  <si>
    <t>luz.sandoval@unisabana.edu.co</t>
  </si>
  <si>
    <t>luz.sandoval@unisabana.edu.co01</t>
  </si>
  <si>
    <t>https://ProfCatedra2024.sawtoothsoftware.com/cgi-bin/ciwweb.pl?studyname=ProfCatedra2024&amp;Correo=luz.sandoval@unisabana.edu.co01</t>
  </si>
  <si>
    <t>luzma@unisabana.edu.co</t>
  </si>
  <si>
    <t>luzma@unisabana.edu.co01</t>
  </si>
  <si>
    <t>Especializaciï¿½n En Gerencia Estratï¿½gica - Virtual</t>
  </si>
  <si>
    <t>https://ProfCatedra2024.sawtoothsoftware.com/cgi-bin/ciwweb.pl?studyname=ProfCatedra2024&amp;Correo=luzma@unisabana.edu.co01</t>
  </si>
  <si>
    <t>manuel.gonzalez2@unisabana.edu.co</t>
  </si>
  <si>
    <t>manuel.gonzalez2@unisabana.edu.co01</t>
  </si>
  <si>
    <t>Especializaciï¿½n en Gerencia Comercial Medellï¿½n - Antioquia</t>
  </si>
  <si>
    <t>https://ProfCatedra2024.sawtoothsoftware.com/cgi-bin/ciwweb.pl?studyname=ProfCatedra2024&amp;Correo=manuel.gonzalez2@unisabana.edu.co01</t>
  </si>
  <si>
    <t>manuel.plazas@unisabana.edu.co</t>
  </si>
  <si>
    <t>manuel.plazas@unisabana.edu.co1</t>
  </si>
  <si>
    <t>https://ProfCatedra2024.sawtoothsoftware.com/cgi-bin/ciwweb.pl?studyname=ProfCatedra2024&amp;Correo=manuel.plazas@unisabana.edu.co1</t>
  </si>
  <si>
    <t>manuel.prada3@unisabana.edu.co</t>
  </si>
  <si>
    <t>manuel.prada3@unisabana.edu.co01</t>
  </si>
  <si>
    <t>https://ProfCatedra2024.sawtoothsoftware.com/cgi-bin/ciwweb.pl?studyname=ProfCatedra2024&amp;Correo=manuel.prada3@unisabana.edu.co01</t>
  </si>
  <si>
    <t>manuel.prada3@unisabana.edu.co1</t>
  </si>
  <si>
    <t>https://ProfCatedra2024.sawtoothsoftware.com/cgi-bin/ciwweb.pl?studyname=ProfCatedra2024&amp;Correo=manuel.prada3@unisabana.edu.co1</t>
  </si>
  <si>
    <t>manuel.rodriguez3@unisabana.edu.co1</t>
  </si>
  <si>
    <t>https://ProfCatedra2024.sawtoothsoftware.com/cgi-bin/ciwweb.pl?studyname=ProfCatedra2024&amp;Correo=manuel.rodriguez3@unisabana.edu.co1</t>
  </si>
  <si>
    <t>manuelhg@unisabana.edu.co</t>
  </si>
  <si>
    <t>ManuelHG@unisabana.edu.co1</t>
  </si>
  <si>
    <t>https://ProfCatedra2024.sawtoothsoftware.com/cgi-bin/ciwweb.pl?studyname=ProfCatedra2024&amp;Correo=ManuelHG@unisabana.edu.co1</t>
  </si>
  <si>
    <t>manuelnuto@unisabana.edu.co</t>
  </si>
  <si>
    <t>manuelnuto@unisabana.edu.co1</t>
  </si>
  <si>
    <t>https://ProfCatedra2024.sawtoothsoftware.com/cgi-bin/ciwweb.pl?studyname=ProfCatedra2024&amp;Correo=manuelnuto@unisabana.edu.co1</t>
  </si>
  <si>
    <t>marcela.chavez@unisabana.edu.co</t>
  </si>
  <si>
    <t>marcela.chavez@unisabana.edu.co01</t>
  </si>
  <si>
    <t>https://ProfCatedra2024.sawtoothsoftware.com/cgi-bin/ciwweb.pl?studyname=ProfCatedra2024&amp;Correo=marcela.chavez@unisabana.edu.co01</t>
  </si>
  <si>
    <t>marcela.chavez@unisabana.edu.co1</t>
  </si>
  <si>
    <t>https://ProfCatedra2024.sawtoothsoftware.com/cgi-bin/ciwweb.pl?studyname=ProfCatedra2024&amp;Correo=marcela.chavez@unisabana.edu.co1</t>
  </si>
  <si>
    <t>marcia.costa@unisabana.edu.co</t>
  </si>
  <si>
    <t>marcia.costa@unisabana.edu.co1</t>
  </si>
  <si>
    <t>https://ProfCatedra2024.sawtoothsoftware.com/cgi-bin/ciwweb.pl?studyname=ProfCatedra2024&amp;Correo=marcia.costa@unisabana.edu.co1</t>
  </si>
  <si>
    <t>marco.correa@unisabana.edu.co</t>
  </si>
  <si>
    <t>marco.correa@unisabana.edu.co1</t>
  </si>
  <si>
    <t>https://ProfCatedra2024.sawtoothsoftware.com/cgi-bin/ciwweb.pl?studyname=ProfCatedra2024&amp;Correo=marco.correa@unisabana.edu.co1</t>
  </si>
  <si>
    <t>margarita.cadavid@unisabana.edu.co</t>
  </si>
  <si>
    <t>margarita.cadavid@unisabana.edu.co1</t>
  </si>
  <si>
    <t>https://ProfCatedra2024.sawtoothsoftware.com/cgi-bin/ciwweb.pl?studyname=ProfCatedra2024&amp;Correo=margarita.cadavid@unisabana.edu.co1</t>
  </si>
  <si>
    <t>margaritaad@unisabana.edu.co</t>
  </si>
  <si>
    <t>MargaritaAD@unisabana.edu.co1</t>
  </si>
  <si>
    <t>https://ProfCatedra2024.sawtoothsoftware.com/cgi-bin/ciwweb.pl?studyname=ProfCatedra2024&amp;Correo=MargaritaAD@unisabana.edu.co1</t>
  </si>
  <si>
    <t>maria.barrera4@unisabana.edu.co</t>
  </si>
  <si>
    <t>maria.barrera4@unisabana.edu.co1</t>
  </si>
  <si>
    <t>https://ProfCatedra2024.sawtoothsoftware.com/cgi-bin/ciwweb.pl?studyname=ProfCatedra2024&amp;Correo=maria.barrera4@unisabana.edu.co1</t>
  </si>
  <si>
    <t>maria.bernal1@unisabana.edu.co</t>
  </si>
  <si>
    <t>maria.bernal1@unisabana.edu.co1</t>
  </si>
  <si>
    <t>https://ProfCatedra2024.sawtoothsoftware.com/cgi-bin/ciwweb.pl?studyname=ProfCatedra2024&amp;Correo=maria.bernal1@unisabana.edu.co1</t>
  </si>
  <si>
    <t>maria.castillo2@unisabana.edu.co01</t>
  </si>
  <si>
    <t>https://ProfCatedra2024.sawtoothsoftware.com/cgi-bin/ciwweb.pl?studyname=ProfCatedra2024&amp;Correo=maria.castillo2@unisabana.edu.co01</t>
  </si>
  <si>
    <t>maria.castillo2@unisabana.edu.co1</t>
  </si>
  <si>
    <t>https://ProfCatedra2024.sawtoothsoftware.com/cgi-bin/ciwweb.pl?studyname=ProfCatedra2024&amp;Correo=maria.castillo2@unisabana.edu.co1</t>
  </si>
  <si>
    <t>maria.charria1@unisabana.edu.co</t>
  </si>
  <si>
    <t>maria.charria1@unisabana.edu.co1</t>
  </si>
  <si>
    <t>https://ProfCatedra2024.sawtoothsoftware.com/cgi-bin/ciwweb.pl?studyname=ProfCatedra2024&amp;Correo=maria.charria1@unisabana.edu.co1</t>
  </si>
  <si>
    <t>maria.diaz11@unisabana.edu.co</t>
  </si>
  <si>
    <t>maria.diaz11@unisabana.edu.co1</t>
  </si>
  <si>
    <t>https://ProfCatedra2024.sawtoothsoftware.com/cgi-bin/ciwweb.pl?studyname=ProfCatedra2024&amp;Correo=maria.diaz11@unisabana.edu.co1</t>
  </si>
  <si>
    <t>maria.duran1@unisabana.edu.co</t>
  </si>
  <si>
    <t>maria.duran1@unisabana.edu.co01</t>
  </si>
  <si>
    <t>Doctorado en Enfermerï¿½a</t>
  </si>
  <si>
    <t>https://ProfCatedra2024.sawtoothsoftware.com/cgi-bin/ciwweb.pl?studyname=ProfCatedra2024&amp;Correo=maria.duran1@unisabana.edu.co01</t>
  </si>
  <si>
    <t>maria.duran1@unisabana.edu.co02</t>
  </si>
  <si>
    <t>https://ProfCatedra2024.sawtoothsoftware.com/cgi-bin/ciwweb.pl?studyname=ProfCatedra2024&amp;Correo=maria.duran1@unisabana.edu.co02</t>
  </si>
  <si>
    <t>maria.duran1@unisabana.edu.co03</t>
  </si>
  <si>
    <t>https://ProfCatedra2024.sawtoothsoftware.com/cgi-bin/ciwweb.pl?studyname=ProfCatedra2024&amp;Correo=maria.duran1@unisabana.edu.co03</t>
  </si>
  <si>
    <t>maria.escobar2@unisabana.edu.co1</t>
  </si>
  <si>
    <t>https://ProfCatedra2024.sawtoothsoftware.com/cgi-bin/ciwweb.pl?studyname=ProfCatedra2024&amp;Correo=maria.escobar2@unisabana.edu.co1</t>
  </si>
  <si>
    <t>maria.fernandez1@unisabana.edu.co</t>
  </si>
  <si>
    <t>maria.fernandez1@unisabana.edu.co1</t>
  </si>
  <si>
    <t>https://ProfCatedra2024.sawtoothsoftware.com/cgi-bin/ciwweb.pl?studyname=ProfCatedra2024&amp;Correo=maria.fernandez1@unisabana.edu.co1</t>
  </si>
  <si>
    <t>maria.fino@unisabana.edu.co</t>
  </si>
  <si>
    <t>maria.fino@unisabana.edu.co1</t>
  </si>
  <si>
    <t>https://ProfCatedra2024.sawtoothsoftware.com/cgi-bin/ciwweb.pl?studyname=ProfCatedra2024&amp;Correo=maria.fino@unisabana.edu.co1</t>
  </si>
  <si>
    <t>maria.gamboa1@unisabana.edu.co</t>
  </si>
  <si>
    <t>maria.gamboa1@unisabana.edu.co1</t>
  </si>
  <si>
    <t>https://ProfCatedra2024.sawtoothsoftware.com/cgi-bin/ciwweb.pl?studyname=ProfCatedra2024&amp;Correo=maria.gamboa1@unisabana.edu.co1</t>
  </si>
  <si>
    <t>maria.guerrero2@unisabana.edu.co</t>
  </si>
  <si>
    <t>maria.guerrero2@unisabana.edu.co1</t>
  </si>
  <si>
    <t>https://ProfCatedra2024.sawtoothsoftware.com/cgi-bin/ciwweb.pl?studyname=ProfCatedra2024&amp;Correo=maria.guerrero2@unisabana.edu.co1</t>
  </si>
  <si>
    <t>maria.hernandez8@unisabana.edu.co</t>
  </si>
  <si>
    <t>maria.hernandez8@unisabana.edu.co1</t>
  </si>
  <si>
    <t>https://ProfCatedra2024.sawtoothsoftware.com/cgi-bin/ciwweb.pl?studyname=ProfCatedra2024&amp;Correo=maria.hernandez8@unisabana.edu.co1</t>
  </si>
  <si>
    <t>maria.jaramillo12@unisabana.edu.co</t>
  </si>
  <si>
    <t>maria.jaramillo12@unisabana.edu.co1</t>
  </si>
  <si>
    <t>https://ProfCatedra2024.sawtoothsoftware.com/cgi-bin/ciwweb.pl?studyname=ProfCatedra2024&amp;Correo=maria.jaramillo12@unisabana.edu.co1</t>
  </si>
  <si>
    <t>maria.leon@unisabana.edu.co</t>
  </si>
  <si>
    <t>maria.leon@unisabana.edu.co1</t>
  </si>
  <si>
    <t>https://ProfCatedra2024.sawtoothsoftware.com/cgi-bin/ciwweb.pl?studyname=ProfCatedra2024&amp;Correo=maria.leon@unisabana.edu.co1</t>
  </si>
  <si>
    <t>maria.martinez12@unisabana.edu.co</t>
  </si>
  <si>
    <t>maria.martinez12@unisabana.edu.co1</t>
  </si>
  <si>
    <t>https://ProfCatedra2024.sawtoothsoftware.com/cgi-bin/ciwweb.pl?studyname=ProfCatedra2024&amp;Correo=maria.martinez12@unisabana.edu.co1</t>
  </si>
  <si>
    <t>maria.moreno3@unisabana.edu.co</t>
  </si>
  <si>
    <t>maria.moreno3@unisabana.edu.co1</t>
  </si>
  <si>
    <t>https://ProfCatedra2024.sawtoothsoftware.com/cgi-bin/ciwweb.pl?studyname=ProfCatedra2024&amp;Correo=maria.moreno3@unisabana.edu.co1</t>
  </si>
  <si>
    <t>maria.munoz1@unisabana.edu.co</t>
  </si>
  <si>
    <t>maria.munoz1@unisabana.edu.co01</t>
  </si>
  <si>
    <t>https://ProfCatedra2024.sawtoothsoftware.com/cgi-bin/ciwweb.pl?studyname=ProfCatedra2024&amp;Correo=maria.munoz1@unisabana.edu.co01</t>
  </si>
  <si>
    <t>maria.obregon@unisabana.edu.co</t>
  </si>
  <si>
    <t>maria.obregon@unisabana.edu.co1</t>
  </si>
  <si>
    <t>https://ProfCatedra2024.sawtoothsoftware.com/cgi-bin/ciwweb.pl?studyname=ProfCatedra2024&amp;Correo=maria.obregon@unisabana.edu.co1</t>
  </si>
  <si>
    <t>maria.ocampo@unisabana.edu.co</t>
  </si>
  <si>
    <t>MARIA.OCAMPO@UNISABANA.EDU.CO1</t>
  </si>
  <si>
    <t>https://ProfCatedra2024.sawtoothsoftware.com/cgi-bin/ciwweb.pl?studyname=ProfCatedra2024&amp;Correo=MARIA.OCAMPO@UNISABANA.EDU.CO1</t>
  </si>
  <si>
    <t>maria.paredes@unisabana.edu.co</t>
  </si>
  <si>
    <t>maria.paredes@unisabana.edu.co1</t>
  </si>
  <si>
    <t>https://ProfCatedra2024.sawtoothsoftware.com/cgi-bin/ciwweb.pl?studyname=ProfCatedra2024&amp;Correo=maria.paredes@unisabana.edu.co1</t>
  </si>
  <si>
    <t>maria.pareles@unisabana.edu.co</t>
  </si>
  <si>
    <t>maria.pareles@unisabana.edu.co1</t>
  </si>
  <si>
    <t>https://ProfCatedra2024.sawtoothsoftware.com/cgi-bin/ciwweb.pl?studyname=ProfCatedra2024&amp;Correo=maria.pareles@unisabana.edu.co1</t>
  </si>
  <si>
    <t>maria.restrepo7@unisabana.edu.co1</t>
  </si>
  <si>
    <t>https://ProfCatedra2024.sawtoothsoftware.com/cgi-bin/ciwweb.pl?studyname=ProfCatedra2024&amp;Correo=maria.restrepo7@unisabana.edu.co1</t>
  </si>
  <si>
    <t>maria.sarmiento7@unisabana.edu.co</t>
  </si>
  <si>
    <t>maria.sarmiento7@unisabana.edu.co1</t>
  </si>
  <si>
    <t>https://ProfCatedra2024.sawtoothsoftware.com/cgi-bin/ciwweb.pl?studyname=ProfCatedra2024&amp;Correo=maria.sarmiento7@unisabana.edu.co1</t>
  </si>
  <si>
    <t>maria.serrato@unisabana.edu.co</t>
  </si>
  <si>
    <t>maria.serrato@unisabana.edu.co1</t>
  </si>
  <si>
    <t>https://ProfCatedra2024.sawtoothsoftware.com/cgi-bin/ciwweb.pl?studyname=ProfCatedra2024&amp;Correo=maria.serrato@unisabana.edu.co1</t>
  </si>
  <si>
    <t>maria.urbina2@unisabana.edu.co01</t>
  </si>
  <si>
    <t>https://ProfCatedra2024.sawtoothsoftware.com/cgi-bin/ciwweb.pl?studyname=ProfCatedra2024&amp;Correo=maria.urbina2@unisabana.edu.co01</t>
  </si>
  <si>
    <t>maria.villar2@unisabana.edu.co02</t>
  </si>
  <si>
    <t>https://ProfCatedra2024.sawtoothsoftware.com/cgi-bin/ciwweb.pl?studyname=ProfCatedra2024&amp;Correo=maria.villar2@unisabana.edu.co02</t>
  </si>
  <si>
    <t>marielys.flores1@unisabana.edu.co</t>
  </si>
  <si>
    <t>marielys.flores1@unisabana.edu.co01</t>
  </si>
  <si>
    <t>https://ProfCatedra2024.sawtoothsoftware.com/cgi-bin/ciwweb.pl?studyname=ProfCatedra2024&amp;Correo=marielys.flores1@unisabana.edu.co01</t>
  </si>
  <si>
    <t>marielys.flores1@unisabana.edu.co1</t>
  </si>
  <si>
    <t>https://ProfCatedra2024.sawtoothsoftware.com/cgi-bin/ciwweb.pl?studyname=ProfCatedra2024&amp;Correo=marielys.flores1@unisabana.edu.co1</t>
  </si>
  <si>
    <t>mario.alvarez2@unisabana.edu.co01</t>
  </si>
  <si>
    <t>https://ProfCatedra2024.sawtoothsoftware.com/cgi-bin/ciwweb.pl?studyname=ProfCatedra2024&amp;Correo=mario.alvarez2@unisabana.edu.co01</t>
  </si>
  <si>
    <t>mario.castro1@unisabana.edu.co</t>
  </si>
  <si>
    <t>mario.castro1@unisabana.edu.co1</t>
  </si>
  <si>
    <t>https://ProfCatedra2024.sawtoothsoftware.com/cgi-bin/ciwweb.pl?studyname=ProfCatedra2024&amp;Correo=mario.castro1@unisabana.edu.co1</t>
  </si>
  <si>
    <t>mario.valderrama@unisabana.edu.co</t>
  </si>
  <si>
    <t>mario.valderrama@unisabana.edu.co01</t>
  </si>
  <si>
    <t>https://ProfCatedra2024.sawtoothsoftware.com/cgi-bin/ciwweb.pl?studyname=ProfCatedra2024&amp;Correo=mario.valderrama@unisabana.edu.co01</t>
  </si>
  <si>
    <t>mario.valderrama@unisabana.edu.co1</t>
  </si>
  <si>
    <t>https://ProfCatedra2024.sawtoothsoftware.com/cgi-bin/ciwweb.pl?studyname=ProfCatedra2024&amp;Correo=mario.valderrama@unisabana.edu.co1</t>
  </si>
  <si>
    <t>mariosg@unisabana.edu.co</t>
  </si>
  <si>
    <t>mariosg@unisabana.edu.co1</t>
  </si>
  <si>
    <t>https://ProfCatedra2024.sawtoothsoftware.com/cgi-bin/ciwweb.pl?studyname=ProfCatedra2024&amp;Correo=mariosg@unisabana.edu.co1</t>
  </si>
  <si>
    <t>marisol.sandoval@unisabana.edu.co</t>
  </si>
  <si>
    <t>marisol.sandoval@unisabana.edu.co1</t>
  </si>
  <si>
    <t>https://ProfCatedra2024.sawtoothsoftware.com/cgi-bin/ciwweb.pl?studyname=ProfCatedra2024&amp;Correo=marisol.sandoval@unisabana.edu.co1</t>
  </si>
  <si>
    <t>martha.caicedo1@unisabana.edu.co</t>
  </si>
  <si>
    <t>martha.caicedo1@unisabana.edu.co1</t>
  </si>
  <si>
    <t>https://ProfCatedra2024.sawtoothsoftware.com/cgi-bin/ciwweb.pl?studyname=ProfCatedra2024&amp;Correo=martha.caicedo1@unisabana.edu.co1</t>
  </si>
  <si>
    <t>martha.cuevas@unisabana.edu.co</t>
  </si>
  <si>
    <t>martha.cuevas@unisabana.edu.co01</t>
  </si>
  <si>
    <t>https://ProfCatedra2024.sawtoothsoftware.com/cgi-bin/ciwweb.pl?studyname=ProfCatedra2024&amp;Correo=martha.cuevas@unisabana.edu.co01</t>
  </si>
  <si>
    <t>martha.striedinger@unisabana.edu.co</t>
  </si>
  <si>
    <t>martha.striedinger@unisabana.edu.co01</t>
  </si>
  <si>
    <t>https://ProfCatedra2024.sawtoothsoftware.com/cgi-bin/ciwweb.pl?studyname=ProfCatedra2024&amp;Correo=martha.striedinger@unisabana.edu.co01</t>
  </si>
  <si>
    <t>martha.striedinger@unisabana.edu.co07</t>
  </si>
  <si>
    <t>MAESTRÃA EN GERENCIA DE INGENIERÃA</t>
  </si>
  <si>
    <t>https://ProfCatedra2024.sawtoothsoftware.com/cgi-bin/ciwweb.pl?studyname=ProfCatedra2024&amp;Correo=martha.striedinger@unisabana.edu.co07</t>
  </si>
  <si>
    <t>martha.striedinger@unisabana.edu.co1</t>
  </si>
  <si>
    <t>https://ProfCatedra2024.sawtoothsoftware.com/cgi-bin/ciwweb.pl?studyname=ProfCatedra2024&amp;Correo=martha.striedinger@unisabana.edu.co1</t>
  </si>
  <si>
    <t>martinez.mauricio@unisabana.edu.co</t>
  </si>
  <si>
    <t>martinez.mauricio@unisabana.edu.co1</t>
  </si>
  <si>
    <t>https://ProfCatedra2024.sawtoothsoftware.com/cgi-bin/ciwweb.pl?studyname=ProfCatedra2024&amp;Correo=martinez.mauricio@unisabana.edu.co1</t>
  </si>
  <si>
    <t>mauricio.cuervo@unisabana.edu.co</t>
  </si>
  <si>
    <t>mauricio.cuervo@unisabana.edu.co1</t>
  </si>
  <si>
    <t>https://ProfCatedra2024.sawtoothsoftware.com/cgi-bin/ciwweb.pl?studyname=ProfCatedra2024&amp;Correo=mauricio.cuervo@unisabana.edu.co1</t>
  </si>
  <si>
    <t>mauricio.diaz1@unisabana.edu.co</t>
  </si>
  <si>
    <t>mauricio.diaz1@unisabana.edu.co1</t>
  </si>
  <si>
    <t>https://ProfCatedra2024.sawtoothsoftware.com/cgi-bin/ciwweb.pl?studyname=ProfCatedra2024&amp;Correo=mauricio.diaz1@unisabana.edu.co1</t>
  </si>
  <si>
    <t>mauricio.diaz1@unisabana.edu.co2</t>
  </si>
  <si>
    <t>https://ProfCatedra2024.sawtoothsoftware.com/cgi-bin/ciwweb.pl?studyname=ProfCatedra2024&amp;Correo=mauricio.diaz1@unisabana.edu.co2</t>
  </si>
  <si>
    <t>mauricio.diaz1@unisabana.edu.co3</t>
  </si>
  <si>
    <t>https://ProfCatedra2024.sawtoothsoftware.com/cgi-bin/ciwweb.pl?studyname=ProfCatedra2024&amp;Correo=mauricio.diaz1@unisabana.edu.co3</t>
  </si>
  <si>
    <t>mauricio.escobar1@unisabana.edu.co</t>
  </si>
  <si>
    <t>mauricio.escobar1@unisabana.edu.co01</t>
  </si>
  <si>
    <t>https://ProfCatedra2024.sawtoothsoftware.com/cgi-bin/ciwweb.pl?studyname=ProfCatedra2024&amp;Correo=mauricio.escobar1@unisabana.edu.co01</t>
  </si>
  <si>
    <t>mauricio.gomez3@unisabana.edu.co</t>
  </si>
  <si>
    <t>mauricio.gomez3@unisabana.edu.co01</t>
  </si>
  <si>
    <t>https://ProfCatedra2024.sawtoothsoftware.com/cgi-bin/ciwweb.pl?studyname=ProfCatedra2024&amp;Correo=mauricio.gomez3@unisabana.edu.co01</t>
  </si>
  <si>
    <t>mauricio.gomez3@unisabana.edu.co1</t>
  </si>
  <si>
    <t>https://ProfCatedra2024.sawtoothsoftware.com/cgi-bin/ciwweb.pl?studyname=ProfCatedra2024&amp;Correo=mauricio.gomez3@unisabana.edu.co1</t>
  </si>
  <si>
    <t>mauricio.montes@unisabana.edu.co</t>
  </si>
  <si>
    <t>mauricio.montes@unisabana.edu.co1</t>
  </si>
  <si>
    <t>https://ProfCatedra2024.sawtoothsoftware.com/cgi-bin/ciwweb.pl?studyname=ProfCatedra2024&amp;Correo=mauricio.montes@unisabana.edu.co1</t>
  </si>
  <si>
    <t>mauricio.romero1@unisabana.edu.co</t>
  </si>
  <si>
    <t>mauricio.romero1@unisabana.edu.co1</t>
  </si>
  <si>
    <t>https://ProfCatedra2024.sawtoothsoftware.com/cgi-bin/ciwweb.pl?studyname=ProfCatedra2024&amp;Correo=mauricio.romero1@unisabana.edu.co1</t>
  </si>
  <si>
    <t>mayra.borda@unisabana.edu.co</t>
  </si>
  <si>
    <t>mayra.borda@unisabana.edu.co1</t>
  </si>
  <si>
    <t>https://ProfCatedra2024.sawtoothsoftware.com/cgi-bin/ciwweb.pl?studyname=ProfCatedra2024&amp;Correo=mayra.borda@unisabana.edu.co1</t>
  </si>
  <si>
    <t>mayra.nunez@unisabana.edu.co</t>
  </si>
  <si>
    <t>mayra.nunez@unisabana.edu.co01</t>
  </si>
  <si>
    <t>https://ProfCatedra2024.sawtoothsoftware.com/cgi-bin/ciwweb.pl?studyname=ProfCatedra2024&amp;Correo=mayra.nunez@unisabana.edu.co01</t>
  </si>
  <si>
    <t>mbettinj@gmail.com</t>
  </si>
  <si>
    <t>MBETTINJ@GMAIL.COM1</t>
  </si>
  <si>
    <t>https://ProfCatedra2024.sawtoothsoftware.com/cgi-bin/ciwweb.pl?studyname=ProfCatedra2024&amp;Correo=MBETTINJ@GMAIL.COM1</t>
  </si>
  <si>
    <t>melissa.reyes@unisabana.edu.co</t>
  </si>
  <si>
    <t>melissa.reyes@unisabana.edu.co01</t>
  </si>
  <si>
    <t>Especializaciï¿½n en Medicina del Dolor y Cuidados Paliativos</t>
  </si>
  <si>
    <t>https://ProfCatedra2024.sawtoothsoftware.com/cgi-bin/ciwweb.pl?studyname=ProfCatedra2024&amp;Correo=melissa.reyes@unisabana.edu.co01</t>
  </si>
  <si>
    <t>miguel.medina@unisabana.edu.co</t>
  </si>
  <si>
    <t>miguel.medina@unisabana.edu.co1</t>
  </si>
  <si>
    <t>https://ProfCatedra2024.sawtoothsoftware.com/cgi-bin/ciwweb.pl?studyname=ProfCatedra2024&amp;Correo=miguel.medina@unisabana.edu.co1</t>
  </si>
  <si>
    <t>miguel.pineros@unisabana.edu.co</t>
  </si>
  <si>
    <t>miguel.pineros@unisabana.edu.co1</t>
  </si>
  <si>
    <t>https://ProfCatedra2024.sawtoothsoftware.com/cgi-bin/ciwweb.pl?studyname=ProfCatedra2024&amp;Correo=miguel.pineros@unisabana.edu.co1</t>
  </si>
  <si>
    <t>miguel.varela1@unisabana.edu.co</t>
  </si>
  <si>
    <t>miguel.varela1@unisabana.edu.co1</t>
  </si>
  <si>
    <t>https://ProfCatedra2024.sawtoothsoftware.com/cgi-bin/ciwweb.pl?studyname=ProfCatedra2024&amp;Correo=miguel.varela1@unisabana.edu.co1</t>
  </si>
  <si>
    <t>miguelcarto@unisabana.edu.co</t>
  </si>
  <si>
    <t>miguelcarto@unisabana.edu.co1</t>
  </si>
  <si>
    <t>https://ProfCatedra2024.sawtoothsoftware.com/cgi-bin/ciwweb.pl?studyname=ProfCatedra2024&amp;Correo=miguelcarto@unisabana.edu.co1</t>
  </si>
  <si>
    <t>mikel.ibarra@unisabana.edu.co01</t>
  </si>
  <si>
    <t>https://ProfCatedra2024.sawtoothsoftware.com/cgi-bin/ciwweb.pl?studyname=ProfCatedra2024&amp;Correo=mikel.ibarra@unisabana.edu.co01</t>
  </si>
  <si>
    <t>mikel.ibarra@unisabana.edu.co02</t>
  </si>
  <si>
    <t>https://ProfCatedra2024.sawtoothsoftware.com/cgi-bin/ciwweb.pl?studyname=ProfCatedra2024&amp;Correo=mikel.ibarra@unisabana.edu.co02</t>
  </si>
  <si>
    <t>milciades.ibanez@unisabana.edu.co</t>
  </si>
  <si>
    <t>milciades.ibanez@unisabana.edu.co01</t>
  </si>
  <si>
    <t>https://ProfCatedra2024.sawtoothsoftware.com/cgi-bin/ciwweb.pl?studyname=ProfCatedra2024&amp;Correo=milciades.ibanez@unisabana.edu.co01</t>
  </si>
  <si>
    <t>milton.bautista@unisabana.edu.co</t>
  </si>
  <si>
    <t>milton.bautista@unisabana.edu.co01</t>
  </si>
  <si>
    <t>https://ProfCatedra2024.sawtoothsoftware.com/cgi-bin/ciwweb.pl?studyname=ProfCatedra2024&amp;Correo=milton.bautista@unisabana.edu.co01</t>
  </si>
  <si>
    <t>mochoat@dian.gov.co</t>
  </si>
  <si>
    <t>MOCHOAT@DIAN.GOV.CO1</t>
  </si>
  <si>
    <t>https://ProfCatedra2024.sawtoothsoftware.com/cgi-bin/ciwweb.pl?studyname=ProfCatedra2024&amp;Correo=MOCHOAT@DIAN.GOV.CO1</t>
  </si>
  <si>
    <t>monica.parrado1@unisabana.edu.co</t>
  </si>
  <si>
    <t>monica.parrado1@unisabana.edu.co01</t>
  </si>
  <si>
    <t>https://ProfCatedra2024.sawtoothsoftware.com/cgi-bin/ciwweb.pl?studyname=ProfCatedra2024&amp;Correo=monica.parrado1@unisabana.edu.co01</t>
  </si>
  <si>
    <t>monica.parrado1@unisabana.edu.co1</t>
  </si>
  <si>
    <t>https://ProfCatedra2024.sawtoothsoftware.com/cgi-bin/ciwweb.pl?studyname=ProfCatedra2024&amp;Correo=monica.parrado1@unisabana.edu.co1</t>
  </si>
  <si>
    <t>monica.peralta@unisabana.edu.co</t>
  </si>
  <si>
    <t>monica.peralta@unisabana.edu.co1</t>
  </si>
  <si>
    <t>https://ProfCatedra2024.sawtoothsoftware.com/cgi-bin/ciwweb.pl?studyname=ProfCatedra2024&amp;Correo=monica.peralta@unisabana.edu.co1</t>
  </si>
  <si>
    <t>monica.rios1@unisabana.edu.co</t>
  </si>
  <si>
    <t>monica.rios1@unisabana.edu.co1</t>
  </si>
  <si>
    <t>https://ProfCatedra2024.sawtoothsoftware.com/cgi-bin/ciwweb.pl?studyname=ProfCatedra2024&amp;Correo=monica.rios1@unisabana.edu.co1</t>
  </si>
  <si>
    <t>monica.sanchez@unisabana.edu.co</t>
  </si>
  <si>
    <t>monica.sanchez@unisabana.edu.co01</t>
  </si>
  <si>
    <t>https://ProfCatedra2024.sawtoothsoftware.com/cgi-bin/ciwweb.pl?studyname=ProfCatedra2024&amp;Correo=monica.sanchez@unisabana.edu.co01</t>
  </si>
  <si>
    <t>monica.tovar1@unisabana.edu.co</t>
  </si>
  <si>
    <t>monica.tovar1@unisabana.edu.co01</t>
  </si>
  <si>
    <t>https://ProfCatedra2024.sawtoothsoftware.com/cgi-bin/ciwweb.pl?studyname=ProfCatedra2024&amp;Correo=monica.tovar1@unisabana.edu.co01</t>
  </si>
  <si>
    <t>monicamarcela.riosgutierrez@gmail.com</t>
  </si>
  <si>
    <t>monicamarcela.riosgutierrez@gmail.com1</t>
  </si>
  <si>
    <t>https://ProfCatedra2024.sawtoothsoftware.com/cgi-bin/ciwweb.pl?studyname=ProfCatedra2024&amp;Correo=monicamarcela.riosgutierrez@gmail.com1</t>
  </si>
  <si>
    <t>myriam.vargas@unisabana.edu.co</t>
  </si>
  <si>
    <t>myriam.vargas@unisabana.edu.co1</t>
  </si>
  <si>
    <t>https://ProfCatedra2024.sawtoothsoftware.com/cgi-bin/ciwweb.pl?studyname=ProfCatedra2024&amp;Correo=myriam.vargas@unisabana.edu.co1</t>
  </si>
  <si>
    <t>nancy.almanza@unisabana.edu.co</t>
  </si>
  <si>
    <t>nancy.almanza@unisabana.edu.co1</t>
  </si>
  <si>
    <t>https://ProfCatedra2024.sawtoothsoftware.com/cgi-bin/ciwweb.pl?studyname=ProfCatedra2024&amp;Correo=nancy.almanza@unisabana.edu.co1</t>
  </si>
  <si>
    <t>nancy.grande@unisabana.edu.co</t>
  </si>
  <si>
    <t>nancy.grande@unisabana.edu.co1</t>
  </si>
  <si>
    <t>https://ProfCatedra2024.sawtoothsoftware.com/cgi-bin/ciwweb.pl?studyname=ProfCatedra2024&amp;Correo=nancy.grande@unisabana.edu.co1</t>
  </si>
  <si>
    <t>nancy.rivera1@unisabana.edu.co</t>
  </si>
  <si>
    <t>nancy.rivera1@unisabana.edu.co01</t>
  </si>
  <si>
    <t>https://ProfCatedra2024.sawtoothsoftware.com/cgi-bin/ciwweb.pl?studyname=ProfCatedra2024&amp;Correo=nancy.rivera1@unisabana.edu.co01</t>
  </si>
  <si>
    <t>nestor.valderrama@inalde.edu.co</t>
  </si>
  <si>
    <t>nestor.valderrama@inalde.edu.co01</t>
  </si>
  <si>
    <t>https://ProfCatedra2024.sawtoothsoftware.com/cgi-bin/ciwweb.pl?studyname=ProfCatedra2024&amp;Correo=nestor.valderrama@inalde.edu.co01</t>
  </si>
  <si>
    <t>nestor.valderrama@inalde.edu.co02</t>
  </si>
  <si>
    <t>https://ProfCatedra2024.sawtoothsoftware.com/cgi-bin/ciwweb.pl?studyname=ProfCatedra2024&amp;Correo=nestor.valderrama@inalde.edu.co02</t>
  </si>
  <si>
    <t>nestor.zambrano@unisabana.edu.co</t>
  </si>
  <si>
    <t>nestor.zambrano@unisabana.edu.co01</t>
  </si>
  <si>
    <t>https://ProfCatedra2024.sawtoothsoftware.com/cgi-bin/ciwweb.pl?studyname=ProfCatedra2024&amp;Correo=nestor.zambrano@unisabana.edu.co01</t>
  </si>
  <si>
    <t>nestor.zambrano@unisabana.edu.co02</t>
  </si>
  <si>
    <t>https://ProfCatedra2024.sawtoothsoftware.com/cgi-bin/ciwweb.pl?studyname=ProfCatedra2024&amp;Correo=nestor.zambrano@unisabana.edu.co02</t>
  </si>
  <si>
    <t>nicolas.herran@unisabana.edu.co</t>
  </si>
  <si>
    <t>nicolas.herran@unisabana.edu.co1</t>
  </si>
  <si>
    <t>https://ProfCatedra2024.sawtoothsoftware.com/cgi-bin/ciwweb.pl?studyname=ProfCatedra2024&amp;Correo=nicolas.herran@unisabana.edu.co1</t>
  </si>
  <si>
    <t>nicolas.lozada@unisabana.edu.co</t>
  </si>
  <si>
    <t>nicolas.lozada@unisabana.edu.co1</t>
  </si>
  <si>
    <t>https://ProfCatedra2024.sawtoothsoftware.com/cgi-bin/ciwweb.pl?studyname=ProfCatedra2024&amp;Correo=nicolas.lozada@unisabana.edu.co1</t>
  </si>
  <si>
    <t>nicolas.mayorga@unisabana.edu.co</t>
  </si>
  <si>
    <t>nicolas.mayorga@unisabana.edu.co1</t>
  </si>
  <si>
    <t>https://ProfCatedra2024.sawtoothsoftware.com/cgi-bin/ciwweb.pl?studyname=ProfCatedra2024&amp;Correo=nicolas.mayorga@unisabana.edu.co1</t>
  </si>
  <si>
    <t>nicolas.saiz@unisabana.edu.co</t>
  </si>
  <si>
    <t>nicolas.saiz@unisabana.edu.co1</t>
  </si>
  <si>
    <t>https://ProfCatedra2024.sawtoothsoftware.com/cgi-bin/ciwweb.pl?studyname=ProfCatedra2024&amp;Correo=nicolas.saiz@unisabana.edu.co1</t>
  </si>
  <si>
    <t>nicolasgiela@unisabana.edu.co</t>
  </si>
  <si>
    <t>nicolasgiela@unisabana.edu.co1</t>
  </si>
  <si>
    <t>https://ProfCatedra2024.sawtoothsoftware.com/cgi-bin/ciwweb.pl?studyname=ProfCatedra2024&amp;Correo=nicolasgiela@unisabana.edu.co1</t>
  </si>
  <si>
    <t>nidia.garcia3@unisabana.edu.co</t>
  </si>
  <si>
    <t>nidia.garcia3@unisabana.edu.co1</t>
  </si>
  <si>
    <t>https://ProfCatedra2024.sawtoothsoftware.com/cgi-bin/ciwweb.pl?studyname=ProfCatedra2024&amp;Correo=nidia.garcia3@unisabana.edu.co1</t>
  </si>
  <si>
    <t>nidia.pineda1@unisabana.edu.co</t>
  </si>
  <si>
    <t>Nidia.Pineda1@unisabana.edu.co2</t>
  </si>
  <si>
    <t>https://ProfCatedra2024.sawtoothsoftware.com/cgi-bin/ciwweb.pl?studyname=ProfCatedra2024&amp;Correo=Nidia.Pineda1@unisabana.edu.co2</t>
  </si>
  <si>
    <t>nsacipa@scolalegal.com</t>
  </si>
  <si>
    <t>NSACIPA@SCOLALEGAL.COM1</t>
  </si>
  <si>
    <t>https://ProfCatedra2024.sawtoothsoftware.com/cgi-bin/ciwweb.pl?studyname=ProfCatedra2024&amp;Correo=NSACIPA@SCOLALEGAL.COM1</t>
  </si>
  <si>
    <t>nubia.amado@unisabana.edu.co</t>
  </si>
  <si>
    <t>nubia.amado@unisabana.edu.co1</t>
  </si>
  <si>
    <t>https://ProfCatedra2024.sawtoothsoftware.com/cgi-bin/ciwweb.pl?studyname=ProfCatedra2024&amp;Correo=nubia.amado@unisabana.edu.co1</t>
  </si>
  <si>
    <t>nubia.amado@unisabana.edu.co2</t>
  </si>
  <si>
    <t>https://ProfCatedra2024.sawtoothsoftware.com/cgi-bin/ciwweb.pl?studyname=ProfCatedra2024&amp;Correo=nubia.amado@unisabana.edu.co2</t>
  </si>
  <si>
    <t>omar.caceres1@unisabana.edu.co</t>
  </si>
  <si>
    <t>omar.caceres1@unisabana.edu.co01</t>
  </si>
  <si>
    <t>https://ProfCatedra2024.sawtoothsoftware.com/cgi-bin/ciwweb.pl?studyname=ProfCatedra2024&amp;Correo=omar.caceres1@unisabana.edu.co01</t>
  </si>
  <si>
    <t>omar.silva@unisabana.edu.co</t>
  </si>
  <si>
    <t>omar.silva@unisabana.edu.co1</t>
  </si>
  <si>
    <t>https://ProfCatedra2024.sawtoothsoftware.com/cgi-bin/ciwweb.pl?studyname=ProfCatedra2024&amp;Correo=omar.silva@unisabana.edu.co1</t>
  </si>
  <si>
    <t>oscar.ayala@unisabana.edu.co</t>
  </si>
  <si>
    <t>oscar.ayala@unisabana.edu.co01</t>
  </si>
  <si>
    <t>https://ProfCatedra2024.sawtoothsoftware.com/cgi-bin/ciwweb.pl?studyname=ProfCatedra2024&amp;Correo=oscar.ayala@unisabana.edu.co01</t>
  </si>
  <si>
    <t>oscar.coy1@unisabana.edu.co</t>
  </si>
  <si>
    <t>oscar.coy1@unisabana.edu.co1</t>
  </si>
  <si>
    <t>https://ProfCatedra2024.sawtoothsoftware.com/cgi-bin/ciwweb.pl?studyname=ProfCatedra2024&amp;Correo=oscar.coy1@unisabana.edu.co1</t>
  </si>
  <si>
    <t>oscar.suarez@unisabana.edu.co</t>
  </si>
  <si>
    <t>oscar.suarez@unisabana.edu.co1</t>
  </si>
  <si>
    <t>https://ProfCatedra2024.sawtoothsoftware.com/cgi-bin/ciwweb.pl?studyname=ProfCatedra2024&amp;Correo=oscar.suarez@unisabana.edu.co1</t>
  </si>
  <si>
    <t>oscarjpv@yahoo.es1</t>
  </si>
  <si>
    <t>OSCARJPV@YAHOO.ES1</t>
  </si>
  <si>
    <t>https://ProfCatedra2024.sawtoothsoftware.com/cgi-bin/ciwweb.pl?studyname=ProfCatedra2024&amp;Correo=OSCARJPV@YAHOO.ES1</t>
  </si>
  <si>
    <t>oscarmega@unisabana.edu.co</t>
  </si>
  <si>
    <t>OSCARMEGA@UNISABANA.EDU.CO1</t>
  </si>
  <si>
    <t>https://ProfCatedra2024.sawtoothsoftware.com/cgi-bin/ciwweb.pl?studyname=ProfCatedra2024&amp;Correo=OSCARMEGA@UNISABANA.EDU.CO1</t>
  </si>
  <si>
    <t>pablo.gutierrez@unisabana.edu.co</t>
  </si>
  <si>
    <t>pablo.gutierrez@unisabana.edu.co07</t>
  </si>
  <si>
    <t>https://ProfCatedra2024.sawtoothsoftware.com/cgi-bin/ciwweb.pl?studyname=ProfCatedra2024&amp;Correo=pablo.gutierrez@unisabana.edu.co07</t>
  </si>
  <si>
    <t>pablo.paez@unisabana.edu.co</t>
  </si>
  <si>
    <t>pablo.paez@unisabana.edu.co1</t>
  </si>
  <si>
    <t>https://ProfCatedra2024.sawtoothsoftware.com/cgi-bin/ciwweb.pl?studyname=ProfCatedra2024&amp;Correo=pablo.paez@unisabana.edu.co1</t>
  </si>
  <si>
    <t>paola.hartmann@unisabana.edu.co</t>
  </si>
  <si>
    <t>paola.hartmann@unisabana.edu.co1</t>
  </si>
  <si>
    <t>https://ProfCatedra2024.sawtoothsoftware.com/cgi-bin/ciwweb.pl?studyname=ProfCatedra2024&amp;Correo=paola.hartmann@unisabana.edu.co1</t>
  </si>
  <si>
    <t>paola.ordonez@unisabana.edu.co</t>
  </si>
  <si>
    <t>paola.ordonez@unisabana.edu.co01</t>
  </si>
  <si>
    <t>https://ProfCatedra2024.sawtoothsoftware.com/cgi-bin/ciwweb.pl?studyname=ProfCatedra2024&amp;Correo=paola.ordonez@unisabana.edu.co01</t>
  </si>
  <si>
    <t>paola.ordonez@unisabana.edu.co1</t>
  </si>
  <si>
    <t>https://ProfCatedra2024.sawtoothsoftware.com/cgi-bin/ciwweb.pl?studyname=ProfCatedra2024&amp;Correo=paola.ordonez@unisabana.edu.co1</t>
  </si>
  <si>
    <t>patricia.otero@unisabana.edu.co</t>
  </si>
  <si>
    <t>patricia.otero@unisabana.edu.co01</t>
  </si>
  <si>
    <t>https://ProfCatedra2024.sawtoothsoftware.com/cgi-bin/ciwweb.pl?studyname=ProfCatedra2024&amp;Correo=patricia.otero@unisabana.edu.co01</t>
  </si>
  <si>
    <t>paula.acevedo1@unisabana.edu.co</t>
  </si>
  <si>
    <t>paula.acevedo1@unisabana.edu.co1</t>
  </si>
  <si>
    <t>https://ProfCatedra2024.sawtoothsoftware.com/cgi-bin/ciwweb.pl?studyname=ProfCatedra2024&amp;Correo=paula.acevedo1@unisabana.edu.co1</t>
  </si>
  <si>
    <t>paula.lopez5@unisabana.edu.co</t>
  </si>
  <si>
    <t>paula.lopez5@unisabana.edu.co1</t>
  </si>
  <si>
    <t>https://ProfCatedra2024.sawtoothsoftware.com/cgi-bin/ciwweb.pl?studyname=ProfCatedra2024&amp;Correo=paula.lopez5@unisabana.edu.co1</t>
  </si>
  <si>
    <t>paulacacr@unisabana.edu.co</t>
  </si>
  <si>
    <t>paulacacr@unisabana.edu.co1</t>
  </si>
  <si>
    <t>https://ProfCatedra2024.sawtoothsoftware.com/cgi-bin/ciwweb.pl?studyname=ProfCatedra2024&amp;Correo=paulacacr@unisabana.edu.co1</t>
  </si>
  <si>
    <t>pcallejascastro@gmail.com</t>
  </si>
  <si>
    <t>PCALLEJASCASTRO@GMAIL.COM1</t>
  </si>
  <si>
    <t>https://ProfCatedra2024.sawtoothsoftware.com/cgi-bin/ciwweb.pl?studyname=ProfCatedra2024&amp;Correo=PCALLEJASCASTRO@GMAIL.COM1</t>
  </si>
  <si>
    <t>pedro.casas@unisabana.edu.co</t>
  </si>
  <si>
    <t>pedro.casas@unisabana.edu.co01</t>
  </si>
  <si>
    <t>https://ProfCatedra2024.sawtoothsoftware.com/cgi-bin/ciwweb.pl?studyname=ProfCatedra2024&amp;Correo=pedro.casas@unisabana.edu.co01</t>
  </si>
  <si>
    <t>pedro.contreras1@unisabana.edu.co</t>
  </si>
  <si>
    <t>pedro.contreras1@unisabana.edu.co1</t>
  </si>
  <si>
    <t>https://ProfCatedra2024.sawtoothsoftware.com/cgi-bin/ciwweb.pl?studyname=ProfCatedra2024&amp;Correo=pedro.contreras1@unisabana.edu.co1</t>
  </si>
  <si>
    <t>pedro.dussan@unisabana.edu.co</t>
  </si>
  <si>
    <t>pedro.dussan@unisabana.edu.co1</t>
  </si>
  <si>
    <t>https://ProfCatedra2024.sawtoothsoftware.com/cgi-bin/ciwweb.pl?studyname=ProfCatedra2024&amp;Correo=pedro.dussan@unisabana.edu.co1</t>
  </si>
  <si>
    <t>pedro.garcia@unisabana.edu.co01</t>
  </si>
  <si>
    <t>https://ProfCatedra2024.sawtoothsoftware.com/cgi-bin/ciwweb.pl?studyname=ProfCatedra2024&amp;Correo=pedro.garcia@unisabana.edu.co01</t>
  </si>
  <si>
    <t>rafael.gonzalez2@unisabana.edu.co</t>
  </si>
  <si>
    <t>rafael.gonzalez2@unisabana.edu.co1</t>
  </si>
  <si>
    <t>https://ProfCatedra2024.sawtoothsoftware.com/cgi-bin/ciwweb.pl?studyname=ProfCatedra2024&amp;Correo=rafael.gonzalez2@unisabana.edu.co1</t>
  </si>
  <si>
    <t>rafael.gonzalez3@unisabana.edu.co</t>
  </si>
  <si>
    <t>rafael.gonzalez3@unisabana.edu.co1</t>
  </si>
  <si>
    <t>https://ProfCatedra2024.sawtoothsoftware.com/cgi-bin/ciwweb.pl?studyname=ProfCatedra2024&amp;Correo=rafael.gonzalez3@unisabana.edu.co1</t>
  </si>
  <si>
    <t>rafael.meza1@unisabana.edu.co</t>
  </si>
  <si>
    <t>rafael.meza1@unisabana.edu.co1</t>
  </si>
  <si>
    <t>https://ProfCatedra2024.sawtoothsoftware.com/cgi-bin/ciwweb.pl?studyname=ProfCatedra2024&amp;Correo=rafael.meza1@unisabana.edu.co1</t>
  </si>
  <si>
    <t>rafael.mora2@unisabana.edu.co</t>
  </si>
  <si>
    <t>rafael.mora2@unisabana.edu.co1</t>
  </si>
  <si>
    <t>https://ProfCatedra2024.sawtoothsoftware.com/cgi-bin/ciwweb.pl?studyname=ProfCatedra2024&amp;Correo=rafael.mora2@unisabana.edu.co1</t>
  </si>
  <si>
    <t>rafael.tordecilla@unisabana.edu.co</t>
  </si>
  <si>
    <t>rafael.tordecilla@unisabana.edu.co01</t>
  </si>
  <si>
    <t>https://ProfCatedra2024.sawtoothsoftware.com/cgi-bin/ciwweb.pl?studyname=ProfCatedra2024&amp;Correo=rafael.tordecilla@unisabana.edu.co01</t>
  </si>
  <si>
    <t>rafael.tordecilla1@unisabana.edu.co</t>
  </si>
  <si>
    <t>rafael.tordecilla1@unisabana.edu.co1</t>
  </si>
  <si>
    <t>https://ProfCatedra2024.sawtoothsoftware.com/cgi-bin/ciwweb.pl?studyname=ProfCatedra2024&amp;Correo=rafael.tordecilla1@unisabana.edu.co1</t>
  </si>
  <si>
    <t>ramirohernandez@hym-co.com</t>
  </si>
  <si>
    <t>RAMIROHERNANDEZ@HYM-CO.COM1</t>
  </si>
  <si>
    <t>https://ProfCatedra2024.sawtoothsoftware.com/cgi-bin/ciwweb.pl?studyname=ProfCatedra2024&amp;Correo=RAMIROHERNANDEZ@HYM-CO.COM1</t>
  </si>
  <si>
    <t>rbordaridao@hotmail.com</t>
  </si>
  <si>
    <t>RBORDARIDAO@HOTMAIL.COM1</t>
  </si>
  <si>
    <t>https://ProfCatedra2024.sawtoothsoftware.com/cgi-bin/ciwweb.pl?studyname=ProfCatedra2024&amp;Correo=RBORDARIDAO@HOTMAIL.COM1</t>
  </si>
  <si>
    <t>ricardo.angelp@hotmail.com</t>
  </si>
  <si>
    <t>RICARDO.ANGELP@HOTMAIL.COM1</t>
  </si>
  <si>
    <t>https://ProfCatedra2024.sawtoothsoftware.com/cgi-bin/ciwweb.pl?studyname=ProfCatedra2024&amp;Correo=RICARDO.ANGELP@HOTMAIL.COM1</t>
  </si>
  <si>
    <t>ricardo.pena1@unisabana.edu.co</t>
  </si>
  <si>
    <t>ricardo.pena1@unisabana.edu.co01</t>
  </si>
  <si>
    <t>https://ProfCatedra2024.sawtoothsoftware.com/cgi-bin/ciwweb.pl?studyname=ProfCatedra2024&amp;Correo=ricardo.pena1@unisabana.edu.co01</t>
  </si>
  <si>
    <t>riveros_jonathan@hotmail.com</t>
  </si>
  <si>
    <t>RIVEROS_JONATHAN@HOTMAIL.COM1</t>
  </si>
  <si>
    <t>https://ProfCatedra2024.sawtoothsoftware.com/cgi-bin/ciwweb.pl?studyname=ProfCatedra2024&amp;Correo=RIVEROS_JONATHAN@HOTMAIL.COM1</t>
  </si>
  <si>
    <t>rocio.prieto@unisabana.edu.co</t>
  </si>
  <si>
    <t>rocio.prieto@unisabana.edu.co1</t>
  </si>
  <si>
    <t>https://ProfCatedra2024.sawtoothsoftware.com/cgi-bin/ciwweb.pl?studyname=ProfCatedra2024&amp;Correo=rocio.prieto@unisabana.edu.co1</t>
  </si>
  <si>
    <t>rodrigo.diaz2@unisabana.edu.co</t>
  </si>
  <si>
    <t>rodrigo.diaz2@unisabana.edu.co01</t>
  </si>
  <si>
    <t>https://ProfCatedra2024.sawtoothsoftware.com/cgi-bin/ciwweb.pl?studyname=ProfCatedra2024&amp;Correo=rodrigo.diaz2@unisabana.edu.co01</t>
  </si>
  <si>
    <t>rodrigo.granados@unisabana.edu.co</t>
  </si>
  <si>
    <t>rodrigo.granados@unisabana.edu.co01</t>
  </si>
  <si>
    <t>https://ProfCatedra2024.sawtoothsoftware.com/cgi-bin/ciwweb.pl?studyname=ProfCatedra2024&amp;Correo=rodrigo.granados@unisabana.edu.co01</t>
  </si>
  <si>
    <t>rodrigo.granados@unisabana.edu.co02</t>
  </si>
  <si>
    <t>https://ProfCatedra2024.sawtoothsoftware.com/cgi-bin/ciwweb.pl?studyname=ProfCatedra2024&amp;Correo=rodrigo.granados@unisabana.edu.co02</t>
  </si>
  <si>
    <t>rodrigomarin-abogado@hotmail.com</t>
  </si>
  <si>
    <t>RODRIGOMARIN-ABOGADO@HOTMAIL.COM1</t>
  </si>
  <si>
    <t>https://ProfCatedra2024.sawtoothsoftware.com/cgi-bin/ciwweb.pl?studyname=ProfCatedra2024&amp;Correo=RODRIGOMARIN-ABOGADO@HOTMAIL.COM1</t>
  </si>
  <si>
    <t>ronal.rodriguez@unisabana.edu.co</t>
  </si>
  <si>
    <t>ronal.rodriguez@unisabana.edu.co1</t>
  </si>
  <si>
    <t>https://ProfCatedra2024.sawtoothsoftware.com/cgi-bin/ciwweb.pl?studyname=ProfCatedra2024&amp;Correo=ronal.rodriguez@unisabana.edu.co1</t>
  </si>
  <si>
    <t>rosario.bernal@unisabana.edu.co</t>
  </si>
  <si>
    <t>rosario.bernal@unisabana.edu.co1</t>
  </si>
  <si>
    <t>https://ProfCatedra2024.sawtoothsoftware.com/cgi-bin/ciwweb.pl?studyname=ProfCatedra2024&amp;Correo=rosario.bernal@unisabana.edu.co1</t>
  </si>
  <si>
    <t>rosario.bernal@unisabana.edu.co2</t>
  </si>
  <si>
    <t>https://ProfCatedra2024.sawtoothsoftware.com/cgi-bin/ciwweb.pl?studyname=ProfCatedra2024&amp;Correo=rosario.bernal@unisabana.edu.co2</t>
  </si>
  <si>
    <t>samuel.barbosa@unisabana.edu.co</t>
  </si>
  <si>
    <t>samuel.barbosa@unisabana.edu.co1</t>
  </si>
  <si>
    <t>https://ProfCatedra2024.sawtoothsoftware.com/cgi-bin/ciwweb.pl?studyname=ProfCatedra2024&amp;Correo=samuel.barbosa@unisabana.edu.co1</t>
  </si>
  <si>
    <t>samueledortiz@hotmail.com</t>
  </si>
  <si>
    <t>SAMUELEDORTIZ@HOTMAIL.COM1</t>
  </si>
  <si>
    <t>https://ProfCatedra2024.sawtoothsoftware.com/cgi-bin/ciwweb.pl?studyname=ProfCatedra2024&amp;Correo=SAMUELEDORTIZ@HOTMAIL.COM1</t>
  </si>
  <si>
    <t>sandra.barragan@unisabana.edu.co</t>
  </si>
  <si>
    <t>sandra.barragan@unisabana.edu.co1</t>
  </si>
  <si>
    <t>https://ProfCatedra2024.sawtoothsoftware.com/cgi-bin/ciwweb.pl?studyname=ProfCatedra2024&amp;Correo=sandra.barragan@unisabana.edu.co1</t>
  </si>
  <si>
    <t>sandra.jarro@unisabana.edu.co</t>
  </si>
  <si>
    <t>sandra.jarro@unisabana.edu.co1</t>
  </si>
  <si>
    <t>https://ProfCatedra2024.sawtoothsoftware.com/cgi-bin/ciwweb.pl?studyname=ProfCatedra2024&amp;Correo=sandra.jarro@unisabana.edu.co1</t>
  </si>
  <si>
    <t>sandra.molina@unisabana.edu.co</t>
  </si>
  <si>
    <t>sandra.molina@unisabana.edu.co1</t>
  </si>
  <si>
    <t>https://ProfCatedra2024.sawtoothsoftware.com/cgi-bin/ciwweb.pl?studyname=ProfCatedra2024&amp;Correo=sandra.molina@unisabana.edu.co1</t>
  </si>
  <si>
    <t>sandra.saavedra1@unisabana.edu.co</t>
  </si>
  <si>
    <t>sandra.saavedra1@unisabana.edu.co1</t>
  </si>
  <si>
    <t>https://ProfCatedra2024.sawtoothsoftware.com/cgi-bin/ciwweb.pl?studyname=ProfCatedra2024&amp;Correo=sandra.saavedra1@unisabana.edu.co1</t>
  </si>
  <si>
    <t>sandra.vanegas4@unisabana.edu.co</t>
  </si>
  <si>
    <t>sandra.vanegas4@unisabana.edu.co1</t>
  </si>
  <si>
    <t>https://ProfCatedra2024.sawtoothsoftware.com/cgi-bin/ciwweb.pl?studyname=ProfCatedra2024&amp;Correo=sandra.vanegas4@unisabana.edu.co1</t>
  </si>
  <si>
    <t>sandy.ortiz@unisabana.edu.co</t>
  </si>
  <si>
    <t>sandy.ortiz@unisabana.edu.co1</t>
  </si>
  <si>
    <t>https://ProfCatedra2024.sawtoothsoftware.com/cgi-bin/ciwweb.pl?studyname=ProfCatedra2024&amp;Correo=sandy.ortiz@unisabana.edu.co1</t>
  </si>
  <si>
    <t>santiago.espinosa@unisabana.edu.co</t>
  </si>
  <si>
    <t>santiago.espinosa@unisabana.edu.co1</t>
  </si>
  <si>
    <t>https://ProfCatedra2024.sawtoothsoftware.com/cgi-bin/ciwweb.pl?studyname=ProfCatedra2024&amp;Correo=santiago.espinosa@unisabana.edu.co1</t>
  </si>
  <si>
    <t>santiago.gutierrez@unisabana.edu.co</t>
  </si>
  <si>
    <t>santiago.gutierrez@unisabana.edu.co1</t>
  </si>
  <si>
    <t>https://ProfCatedra2024.sawtoothsoftware.com/cgi-bin/ciwweb.pl?studyname=ProfCatedra2024&amp;Correo=santiago.gutierrez@unisabana.edu.co1</t>
  </si>
  <si>
    <t>santiago.osorio1@unisabana.edu.co</t>
  </si>
  <si>
    <t>santiago.osorio1@unisabana.edu.co1</t>
  </si>
  <si>
    <t>https://ProfCatedra2024.sawtoothsoftware.com/cgi-bin/ciwweb.pl?studyname=ProfCatedra2024&amp;Correo=santiago.osorio1@unisabana.edu.co1</t>
  </si>
  <si>
    <t>santiago.ramirez@unisabana.edu.co</t>
  </si>
  <si>
    <t>santiago.ramirez@unisabana.edu.co1</t>
  </si>
  <si>
    <t>https://ProfCatedra2024.sawtoothsoftware.com/cgi-bin/ciwweb.pl?studyname=ProfCatedra2024&amp;Correo=santiago.ramirez@unisabana.edu.co1</t>
  </si>
  <si>
    <t>santiago.wills@unisabana.edu.co1</t>
  </si>
  <si>
    <t>https://ProfCatedra2024.sawtoothsoftware.com/cgi-bin/ciwweb.pl?studyname=ProfCatedra2024&amp;Correo=santiago.wills@unisabana.edu.co1</t>
  </si>
  <si>
    <t>santiago.wills@unisabana.edu.co3</t>
  </si>
  <si>
    <t>https://ProfCatedra2024.sawtoothsoftware.com/cgi-bin/ciwweb.pl?studyname=ProfCatedra2024&amp;Correo=santiago.wills@unisabana.edu.co3</t>
  </si>
  <si>
    <t>santiagomv@unisabana.edu.co</t>
  </si>
  <si>
    <t>santiagomv@unisabana.edu.co01</t>
  </si>
  <si>
    <t>https://ProfCatedra2024.sawtoothsoftware.com/cgi-bin/ciwweb.pl?studyname=ProfCatedra2024&amp;Correo=santiagomv@unisabana.edu.co01</t>
  </si>
  <si>
    <t>santiagomv@unisabana.edu.co02</t>
  </si>
  <si>
    <t>https://ProfCatedra2024.sawtoothsoftware.com/cgi-bin/ciwweb.pl?studyname=ProfCatedra2024&amp;Correo=santiagomv@unisabana.edu.co02</t>
  </si>
  <si>
    <t>santiagoreve@unisabana.edu.co</t>
  </si>
  <si>
    <t>santiagoreve@unisabana.edu.co07</t>
  </si>
  <si>
    <t>https://ProfCatedra2024.sawtoothsoftware.com/cgi-bin/ciwweb.pl?studyname=ProfCatedra2024&amp;Correo=santiagoreve@unisabana.edu.co07</t>
  </si>
  <si>
    <t>sebastian.jaramillo@unisabana.edu.co</t>
  </si>
  <si>
    <t>sebastian.jaramillo@unisabana.edu.co1</t>
  </si>
  <si>
    <t>https://ProfCatedra2024.sawtoothsoftware.com/cgi-bin/ciwweb.pl?studyname=ProfCatedra2024&amp;Correo=sebastian.jaramillo@unisabana.edu.co1</t>
  </si>
  <si>
    <t>sergio.arrieta@unisabana.edu.co</t>
  </si>
  <si>
    <t>sergio.arrieta@unisabana.edu.co1</t>
  </si>
  <si>
    <t>https://ProfCatedra2024.sawtoothsoftware.com/cgi-bin/ciwweb.pl?studyname=ProfCatedra2024&amp;Correo=sergio.arrieta@unisabana.edu.co1</t>
  </si>
  <si>
    <t>sergio.rubiano@unisabana.edu.co</t>
  </si>
  <si>
    <t>sergio.rubiano@unisabana.edu.co1</t>
  </si>
  <si>
    <t>https://ProfCatedra2024.sawtoothsoftware.com/cgi-bin/ciwweb.pl?studyname=ProfCatedra2024&amp;Correo=sergio.rubiano@unisabana.edu.co1</t>
  </si>
  <si>
    <t>sergio.torres_cont@unisabana.edu.co02</t>
  </si>
  <si>
    <t>https://ProfCatedra2024.sawtoothsoftware.com/cgi-bin/ciwweb.pl?studyname=ProfCatedra2024&amp;Correo=sergio.torres_cont@unisabana.edu.co02</t>
  </si>
  <si>
    <t>sergio.torres2@unisabana.edu.co</t>
  </si>
  <si>
    <t>sergio.torres2@unisabana.edu.co1</t>
  </si>
  <si>
    <t>https://ProfCatedra2024.sawtoothsoftware.com/cgi-bin/ciwweb.pl?studyname=ProfCatedra2024&amp;Correo=sergio.torres2@unisabana.edu.co1</t>
  </si>
  <si>
    <t>silvana.ahumada@unisabana.edu.co1</t>
  </si>
  <si>
    <t>https://ProfCatedra2024.sawtoothsoftware.com/cgi-bin/ciwweb.pl?studyname=ProfCatedra2024&amp;Correo=silvana.ahumada@unisabana.edu.co1</t>
  </si>
  <si>
    <t>simon.granja@unisabana.edu.co</t>
  </si>
  <si>
    <t>simon.granja@unisabana.edu.co1</t>
  </si>
  <si>
    <t>https://ProfCatedra2024.sawtoothsoftware.com/cgi-bin/ciwweb.pl?studyname=ProfCatedra2024&amp;Correo=simon.granja@unisabana.edu.co1</t>
  </si>
  <si>
    <t>simon.ramon@unisabana.edu.co</t>
  </si>
  <si>
    <t>simon.ramon@unisabana.edu.co1</t>
  </si>
  <si>
    <t>https://ProfCatedra2024.sawtoothsoftware.com/cgi-bin/ciwweb.pl?studyname=ProfCatedra2024&amp;Correo=simon.ramon@unisabana.edu.co1</t>
  </si>
  <si>
    <t>sneyder.garcia@unisabana.edu.co</t>
  </si>
  <si>
    <t>sneyder.garcia@unisabana.edu.co1</t>
  </si>
  <si>
    <t>https://ProfCatedra2024.sawtoothsoftware.com/cgi-bin/ciwweb.pl?studyname=ProfCatedra2024&amp;Correo=sneyder.garcia@unisabana.edu.co1</t>
  </si>
  <si>
    <t>solange.monsalve1@unisabana.edu.co</t>
  </si>
  <si>
    <t>solange.monsalve1@unisabana.edu.co1</t>
  </si>
  <si>
    <t>https://ProfCatedra2024.sawtoothsoftware.com/cgi-bin/ciwweb.pl?studyname=ProfCatedra2024&amp;Correo=solange.monsalve1@unisabana.edu.co1</t>
  </si>
  <si>
    <t>stella.venegas@unisabana.edu.co</t>
  </si>
  <si>
    <t>stella.venegas@unisabana.edu.co1</t>
  </si>
  <si>
    <t>https://ProfCatedra2024.sawtoothsoftware.com/cgi-bin/ciwweb.pl?studyname=ProfCatedra2024&amp;Correo=stella.venegas@unisabana.edu.co1</t>
  </si>
  <si>
    <t>suanny.pinzon@unisabana.edu.co</t>
  </si>
  <si>
    <t>suanny.pinzon@unisabana.edu.co1</t>
  </si>
  <si>
    <t>https://ProfCatedra2024.sawtoothsoftware.com/cgi-bin/ciwweb.pl?studyname=ProfCatedra2024&amp;Correo=suanny.pinzon@unisabana.edu.co1</t>
  </si>
  <si>
    <t>sulma.vera@unisabana.edu.co</t>
  </si>
  <si>
    <t>sulma.vera@unisabana.edu.co1</t>
  </si>
  <si>
    <t>https://ProfCatedra2024.sawtoothsoftware.com/cgi-bin/ciwweb.pl?studyname=ProfCatedra2024&amp;Correo=sulma.vera@unisabana.edu.co1</t>
  </si>
  <si>
    <t>tabata.cuervo1@unisabana.edu.co</t>
  </si>
  <si>
    <t>tabata.cuervo1@unisabana.edu.co01</t>
  </si>
  <si>
    <t>https://ProfCatedra2024.sawtoothsoftware.com/cgi-bin/ciwweb.pl?studyname=ProfCatedra2024&amp;Correo=tabata.cuervo1@unisabana.edu.co01</t>
  </si>
  <si>
    <t>tabata.cuervo1@unisabana.edu.co1</t>
  </si>
  <si>
    <t>https://ProfCatedra2024.sawtoothsoftware.com/cgi-bin/ciwweb.pl?studyname=ProfCatedra2024&amp;Correo=tabata.cuervo1@unisabana.edu.co1</t>
  </si>
  <si>
    <t>tarek.manzur@unisabana.edu.co</t>
  </si>
  <si>
    <t>tarek.manzur@unisabana.edu.co1</t>
  </si>
  <si>
    <t>https://ProfCatedra2024.sawtoothsoftware.com/cgi-bin/ciwweb.pl?studyname=ProfCatedra2024&amp;Correo=tarek.manzur@unisabana.edu.co1</t>
  </si>
  <si>
    <t>teadira.perez@unisabana.edu.co</t>
  </si>
  <si>
    <t>teadira.perez@unisabana.edu.co1</t>
  </si>
  <si>
    <t>https://ProfCatedra2024.sawtoothsoftware.com/cgi-bin/ciwweb.pl?studyname=ProfCatedra2024&amp;Correo=teadira.perez@unisabana.edu.co1</t>
  </si>
  <si>
    <t>tomas.londono@unisabana.edu.co</t>
  </si>
  <si>
    <t>tomas.londono@unisabana.edu.co1</t>
  </si>
  <si>
    <t>https://ProfCatedra2024.sawtoothsoftware.com/cgi-bin/ciwweb.pl?studyname=ProfCatedra2024&amp;Correo=tomas.londono@unisabana.edu.co1</t>
  </si>
  <si>
    <t>tyrone.vargas1@unisabana.edu.co</t>
  </si>
  <si>
    <t>tyrone.vargas1@unisabana.edu.co01</t>
  </si>
  <si>
    <t>https://ProfCatedra2024.sawtoothsoftware.com/cgi-bin/ciwweb.pl?studyname=ProfCatedra2024&amp;Correo=tyrone.vargas1@unisabana.edu.co01</t>
  </si>
  <si>
    <t>tyrone.vargas1@unisabana.edu.co02</t>
  </si>
  <si>
    <t>https://ProfCatedra2024.sawtoothsoftware.com/cgi-bin/ciwweb.pl?studyname=ProfCatedra2024&amp;Correo=tyrone.vargas1@unisabana.edu.co02</t>
  </si>
  <si>
    <t>vera.nunez@unisabana.edu.co01</t>
  </si>
  <si>
    <t>https://ProfCatedra2024.sawtoothsoftware.com/cgi-bin/ciwweb.pl?studyname=ProfCatedra2024&amp;Correo=vera.nunez@unisabana.edu.co01</t>
  </si>
  <si>
    <t>veronica.zas@unisabana.edu.co</t>
  </si>
  <si>
    <t>veronica.zas@unisabana.edu.co1</t>
  </si>
  <si>
    <t>https://ProfCatedra2024.sawtoothsoftware.com/cgi-bin/ciwweb.pl?studyname=ProfCatedra2024&amp;Correo=veronica.zas@unisabana.edu.co1</t>
  </si>
  <si>
    <t>victor.parra@unisabana.edu.co</t>
  </si>
  <si>
    <t>victor.parra@unisabana.edu.co1</t>
  </si>
  <si>
    <t>https://ProfCatedra2024.sawtoothsoftware.com/cgi-bin/ciwweb.pl?studyname=ProfCatedra2024&amp;Correo=victor.parra@unisabana.edu.co1</t>
  </si>
  <si>
    <t>viktoriya.andreeva@unisabana.edu.co</t>
  </si>
  <si>
    <t>viktoriya.andreeva@unisabana.edu.co1</t>
  </si>
  <si>
    <t>https://ProfCatedra2024.sawtoothsoftware.com/cgi-bin/ciwweb.pl?studyname=ProfCatedra2024&amp;Correo=viktoriya.andreeva@unisabana.edu.co1</t>
  </si>
  <si>
    <t>virgilio.ramon_cont@unisabana.edu.co</t>
  </si>
  <si>
    <t>virgilio.ramon_cont@unisabana.edu.co07</t>
  </si>
  <si>
    <t>ESPECIALIZACIÃ“N EN GERENCIA ESTRATÃ‰GICA CHÃA</t>
  </si>
  <si>
    <t>https://ProfCatedra2024.sawtoothsoftware.com/cgi-bin/ciwweb.pl?studyname=ProfCatedra2024&amp;Correo=virgilio.ramon_cont@unisabana.edu.co07</t>
  </si>
  <si>
    <t>viviana.mendez1@unisabana.edu.co</t>
  </si>
  <si>
    <t>viviana.mendez1@unisabana.edu.co1</t>
  </si>
  <si>
    <t>https://ProfCatedra2024.sawtoothsoftware.com/cgi-bin/ciwweb.pl?studyname=ProfCatedra2024&amp;Correo=viviana.mendez1@unisabana.edu.co1</t>
  </si>
  <si>
    <t>wbeimar.vera@unisabana.edu.co</t>
  </si>
  <si>
    <t>wbeimar.vera@unisabana.edu.co1</t>
  </si>
  <si>
    <t>https://ProfCatedra2024.sawtoothsoftware.com/cgi-bin/ciwweb.pl?studyname=ProfCatedra2024&amp;Correo=wbeimar.vera@unisabana.edu.co1</t>
  </si>
  <si>
    <t>wilber.garcia@unisabana.edu.co</t>
  </si>
  <si>
    <t>wilber.garcia@unisabana.edu.co1</t>
  </si>
  <si>
    <t>https://ProfCatedra2024.sawtoothsoftware.com/cgi-bin/ciwweb.pl?studyname=ProfCatedra2024&amp;Correo=wilber.garcia@unisabana.edu.co1</t>
  </si>
  <si>
    <t>william.espitia@unisabana.edu.co</t>
  </si>
  <si>
    <t>william.espitia@unisabana.edu.co1</t>
  </si>
  <si>
    <t>https://ProfCatedra2024.sawtoothsoftware.com/cgi-bin/ciwweb.pl?studyname=ProfCatedra2024&amp;Correo=william.espitia@unisabana.edu.co1</t>
  </si>
  <si>
    <t>william.moscoso@unisabana.edu.co</t>
  </si>
  <si>
    <t>william.moscoso@unisabana.edu.co01</t>
  </si>
  <si>
    <t>https://ProfCatedra2024.sawtoothsoftware.com/cgi-bin/ciwweb.pl?studyname=ProfCatedra2024&amp;Correo=william.moscoso@unisabana.edu.co01</t>
  </si>
  <si>
    <t>wilmer.beltran@unisabana.edu.co</t>
  </si>
  <si>
    <t>wilmer.beltran@unisabana.edu.co1</t>
  </si>
  <si>
    <t>https://ProfCatedra2024.sawtoothsoftware.com/cgi-bin/ciwweb.pl?studyname=ProfCatedra2024&amp;Correo=wilmer.beltran@unisabana.edu.co1</t>
  </si>
  <si>
    <t>wilmer.triana@unisabana.edu.co</t>
  </si>
  <si>
    <t>wilmer.triana@unisabana.edu.co1</t>
  </si>
  <si>
    <t>https://ProfCatedra2024.sawtoothsoftware.com/cgi-bin/ciwweb.pl?studyname=ProfCatedra2024&amp;Correo=wilmer.triana@unisabana.edu.co1</t>
  </si>
  <si>
    <t>wilson.castro1@unisabana.edu.co</t>
  </si>
  <si>
    <t>wilson.castro1@unisabana.edu.co01</t>
  </si>
  <si>
    <t>https://ProfCatedra2024.sawtoothsoftware.com/cgi-bin/ciwweb.pl?studyname=ProfCatedra2024&amp;Correo=wilson.castro1@unisabana.edu.co01</t>
  </si>
  <si>
    <t>wilson.castro1@unisabana.edu.co03</t>
  </si>
  <si>
    <t>https://ProfCatedra2024.sawtoothsoftware.com/cgi-bin/ciwweb.pl?studyname=ProfCatedra2024&amp;Correo=wilson.castro1@unisabana.edu.co03</t>
  </si>
  <si>
    <t>yaddy.nino@unisabana.edu.co</t>
  </si>
  <si>
    <t>yaddy.nino@unisabana.edu.co1</t>
  </si>
  <si>
    <t>https://ProfCatedra2024.sawtoothsoftware.com/cgi-bin/ciwweb.pl?studyname=ProfCatedra2024&amp;Correo=yaddy.nino@unisabana.edu.co1</t>
  </si>
  <si>
    <t>yaddy.nino@unisabana.edu.co2</t>
  </si>
  <si>
    <t>https://ProfCatedra2024.sawtoothsoftware.com/cgi-bin/ciwweb.pl?studyname=ProfCatedra2024&amp;Correo=yaddy.nino@unisabana.edu.co2</t>
  </si>
  <si>
    <t>yaddy.nino@unisabana.edu.co3</t>
  </si>
  <si>
    <t>https://ProfCatedra2024.sawtoothsoftware.com/cgi-bin/ciwweb.pl?studyname=ProfCatedra2024&amp;Correo=yaddy.nino@unisabana.edu.co3</t>
  </si>
  <si>
    <t>yadira.carrion1@unisabana.edu.co</t>
  </si>
  <si>
    <t>yadira.carrion1@unisabana.edu.co01</t>
  </si>
  <si>
    <t>https://ProfCatedra2024.sawtoothsoftware.com/cgi-bin/ciwweb.pl?studyname=ProfCatedra2024&amp;Correo=yadira.carrion1@unisabana.edu.co01</t>
  </si>
  <si>
    <t>yaolavem@unal.edu.co</t>
  </si>
  <si>
    <t>yaolavem@unal.edu.co1</t>
  </si>
  <si>
    <t>https://ProfCatedra2024.sawtoothsoftware.com/cgi-bin/ciwweb.pl?studyname=ProfCatedra2024&amp;Correo=yaolavem@unal.edu.co1</t>
  </si>
  <si>
    <t>yeimmy.contreras@unisabana.edu.co</t>
  </si>
  <si>
    <t>yeimmy.contreras@unisabana.edu.co1</t>
  </si>
  <si>
    <t>https://ProfCatedra2024.sawtoothsoftware.com/cgi-bin/ciwweb.pl?studyname=ProfCatedra2024&amp;Correo=yeimmy.contreras@unisabana.edu.co1</t>
  </si>
  <si>
    <t>yeison.patarroyo@unisabana.edu.co</t>
  </si>
  <si>
    <t>yeison.patarroyo@unisabana.edu.co1</t>
  </si>
  <si>
    <t>https://ProfCatedra2024.sawtoothsoftware.com/cgi-bin/ciwweb.pl?studyname=ProfCatedra2024&amp;Correo=yeison.patarroyo@unisabana.edu.co1</t>
  </si>
  <si>
    <t>yenny.duran@unisabana.edu.co</t>
  </si>
  <si>
    <t>yenny.duran@unisabana.edu.co1</t>
  </si>
  <si>
    <t>https://ProfCatedra2024.sawtoothsoftware.com/cgi-bin/ciwweb.pl?studyname=ProfCatedra2024&amp;Correo=yenny.duran@unisabana.edu.co1</t>
  </si>
  <si>
    <t>yenymr@unisabana.edu.co</t>
  </si>
  <si>
    <t>yenyMR@unisabana.edu.co1</t>
  </si>
  <si>
    <t>https://ProfCatedra2024.sawtoothsoftware.com/cgi-bin/ciwweb.pl?studyname=ProfCatedra2024&amp;Correo=yenyMR@unisabana.edu.co1</t>
  </si>
  <si>
    <t>yomaira.uscategui1@unisabana.edu.co</t>
  </si>
  <si>
    <t>yomaira.uscategui1@unisabana.edu.co1</t>
  </si>
  <si>
    <t>https://ProfCatedra2024.sawtoothsoftware.com/cgi-bin/ciwweb.pl?studyname=ProfCatedra2024&amp;Correo=yomaira.uscategui1@unisabana.edu.co1</t>
  </si>
  <si>
    <t>yomairausma@unisabana.edu.co</t>
  </si>
  <si>
    <t>yomairausma@unisabana.edu.co1</t>
  </si>
  <si>
    <t>https://ProfCatedra2024.sawtoothsoftware.com/cgi-bin/ciwweb.pl?studyname=ProfCatedra2024&amp;Correo=yomairausma@unisabana.edu.co1</t>
  </si>
  <si>
    <t>yuli.contreras@unisabana.edu.co</t>
  </si>
  <si>
    <t>yuli.contreras@unisabana.edu.co1</t>
  </si>
  <si>
    <t>https://ProfCatedra2024.sawtoothsoftware.com/cgi-bin/ciwweb.pl?studyname=ProfCatedra2024&amp;Correo=yuli.contreras@unisabana.edu.co1</t>
  </si>
  <si>
    <t>yulycudu@unisabana.edu.co</t>
  </si>
  <si>
    <t>yulycudu@unisabana.edu.co1</t>
  </si>
  <si>
    <t>https://ProfCatedra2024.sawtoothsoftware.com/cgi-bin/ciwweb.pl?studyname=ProfCatedra2024&amp;Correo=yulycudu@unisabana.edu.co1</t>
  </si>
  <si>
    <t>yury.ricaurte@unisabana.edu.co</t>
  </si>
  <si>
    <t>yury.ricaurte@unisabana.edu.co1</t>
  </si>
  <si>
    <t>https://ProfCatedra2024.sawtoothsoftware.com/cgi-bin/ciwweb.pl?studyname=ProfCatedra2024&amp;Correo=yury.ricaurte@unisabana.edu.co1</t>
  </si>
  <si>
    <t>zamir.hamad@unisabana.edu.co</t>
  </si>
  <si>
    <t>Zamir.Hamad@unisabana.edu.co1</t>
  </si>
  <si>
    <t>https://ProfCatedra2024.sawtoothsoftware.com/cgi-bin/ciwweb.pl?studyname=ProfCatedra2024&amp;Correo=Zamir.Hamad@unisabana.edu.co1</t>
  </si>
  <si>
    <t>zulma.velandia1@unisabana.edu.co1</t>
  </si>
  <si>
    <t>https://ProfCatedra2024.sawtoothsoftware.com/cgi-bin/ciwweb.pl?studyname=ProfCatedra2024&amp;Correo=zulma.velandia1@unisabana.edu.co1</t>
  </si>
  <si>
    <t>zulma.velandia1@unisabana.edu.co2</t>
  </si>
  <si>
    <t>https://ProfCatedra2024.sawtoothsoftware.com/cgi-bin/ciwweb.pl?studyname=ProfCatedra2024&amp;Correo=zulma.velandia1@unisabana.edu.co2</t>
  </si>
  <si>
    <t>zulma.velandia1@unisabana.edu.co3</t>
  </si>
  <si>
    <t>https://ProfCatedra2024.sawtoothsoftware.com/cgi-bin/ciwweb.pl?studyname=ProfCatedra2024&amp;Correo=zulma.velandia1@unisabana.edu.co3</t>
  </si>
  <si>
    <t>adner.capachero@unisabana.edu.co01</t>
  </si>
  <si>
    <t>https://ProfPlanta2024.sawtoothsoftware.com/cgi-bin/ciwweb.pl?studyname=ProfPlanta2024&amp;Correo=adner.capachero@unisabana.edu.co01</t>
  </si>
  <si>
    <t>adrian.santana@unisabana.edu.co</t>
  </si>
  <si>
    <t>adrian.santana@unisabana.edu.co01</t>
  </si>
  <si>
    <t>https://ProfPlanta2024.sawtoothsoftware.com/cgi-bin/ciwweb.pl?studyname=ProfPlanta2024&amp;Correo=adrian.santana@unisabana.edu.co01</t>
  </si>
  <si>
    <t>adriana.castellanos@unisabana.edu.co03</t>
  </si>
  <si>
    <t>https://ProfPlanta2024.sawtoothsoftware.com/cgi-bin/ciwweb.pl?studyname=ProfPlanta2024&amp;Correo=adriana.castellanos@unisabana.edu.co03</t>
  </si>
  <si>
    <t>adriana.castellanos@unisabana.edu.co1</t>
  </si>
  <si>
    <t>https://ProfPlanta2024.sawtoothsoftware.com/cgi-bin/ciwweb.pl?studyname=ProfPlanta2024&amp;Correo=adriana.castellanos@unisabana.edu.co1</t>
  </si>
  <si>
    <t>adriana.cavanzo1@unisabana.edu.co</t>
  </si>
  <si>
    <t>adriana.cavanzo1@unisabana.edu.co01</t>
  </si>
  <si>
    <t>https://ProfPlanta2024.sawtoothsoftware.com/cgi-bin/ciwweb.pl?studyname=ProfPlanta2024&amp;Correo=adriana.cavanzo1@unisabana.edu.co01</t>
  </si>
  <si>
    <t>adriana.cavanzo1@unisabana.edu.co1</t>
  </si>
  <si>
    <t>https://ProfPlanta2024.sawtoothsoftware.com/cgi-bin/ciwweb.pl?studyname=ProfPlanta2024&amp;Correo=adriana.cavanzo1@unisabana.edu.co1</t>
  </si>
  <si>
    <t>adriana.guzman@unisabana.edu.co</t>
  </si>
  <si>
    <t>adriana.guzman@unisabana.edu.co1</t>
  </si>
  <si>
    <t>https://ProfPlanta2024.sawtoothsoftware.com/cgi-bin/ciwweb.pl?studyname=ProfPlanta2024&amp;Correo=adriana.guzman@unisabana.edu.co1</t>
  </si>
  <si>
    <t>aida.casadiego@unisabana.edu.co</t>
  </si>
  <si>
    <t>aida.casadiego@unisabana.edu.co1</t>
  </si>
  <si>
    <t>https://ProfPlanta2024.sawtoothsoftware.com/cgi-bin/ciwweb.pl?studyname=ProfPlanta2024&amp;Correo=aida.casadiego@unisabana.edu.co1</t>
  </si>
  <si>
    <t>alba.siabatto@unisabana.edu.co</t>
  </si>
  <si>
    <t>alba.siabatto@unisabana.edu.co1</t>
  </si>
  <si>
    <t>https://ProfPlanta2024.sawtoothsoftware.com/cgi-bin/ciwweb.pl?studyname=ProfPlanta2024&amp;Correo=alba.siabatto@unisabana.edu.co1</t>
  </si>
  <si>
    <t>albedro.cadena@unisabana.edu.co</t>
  </si>
  <si>
    <t>albedro.cadena@unisabana.edu.co1</t>
  </si>
  <si>
    <t>https://ProfPlanta2024.sawtoothsoftware.com/cgi-bin/ciwweb.pl?studyname=ProfPlanta2024&amp;Correo=albedro.cadena@unisabana.edu.co1</t>
  </si>
  <si>
    <t>alejandra.fuentes@unisabana.edu.co01</t>
  </si>
  <si>
    <t>https://ProfPlanta2024.sawtoothsoftware.com/cgi-bin/ciwweb.pl?studyname=ProfPlanta2024&amp;Correo=alejandra.fuentes@unisabana.edu.co01</t>
  </si>
  <si>
    <t>alejandro.acosta1@unisabana.edu.co</t>
  </si>
  <si>
    <t>Alejandro.acosta1@unisabana.edu.co01</t>
  </si>
  <si>
    <t>https://ProfPlanta2024.sawtoothsoftware.com/cgi-bin/ciwweb.pl?studyname=ProfPlanta2024&amp;Correo=Alejandro.acosta1@unisabana.edu.co01</t>
  </si>
  <si>
    <t>Alejandro.acosta1@unisabana.edu.co1</t>
  </si>
  <si>
    <t>https://ProfPlanta2024.sawtoothsoftware.com/cgi-bin/ciwweb.pl?studyname=ProfPlanta2024&amp;Correo=Alejandro.acosta1@unisabana.edu.co1</t>
  </si>
  <si>
    <t>Alejandro.acosta1@unisabana.edu.co2</t>
  </si>
  <si>
    <t>https://ProfPlanta2024.sawtoothsoftware.com/cgi-bin/ciwweb.pl?studyname=ProfPlanta2024&amp;Correo=Alejandro.acosta1@unisabana.edu.co2</t>
  </si>
  <si>
    <t>alejandro.aponte@unisabana.edu.co</t>
  </si>
  <si>
    <t>alejandro.aponte@unisabana.edu.co01</t>
  </si>
  <si>
    <t>https://ProfPlanta2024.sawtoothsoftware.com/cgi-bin/ciwweb.pl?studyname=ProfPlanta2024&amp;Correo=alejandro.aponte@unisabana.edu.co01</t>
  </si>
  <si>
    <t>alejandro.aponte@unisabana.edu.co1</t>
  </si>
  <si>
    <t>https://ProfPlanta2024.sawtoothsoftware.com/cgi-bin/ciwweb.pl?studyname=ProfPlanta2024&amp;Correo=alejandro.aponte@unisabana.edu.co1</t>
  </si>
  <si>
    <t>alexandra.pedraza@unisabana.edu.co</t>
  </si>
  <si>
    <t>alexandra.pedraza@unisabana.edu.co01</t>
  </si>
  <si>
    <t>https://ProfPlanta2024.sawtoothsoftware.com/cgi-bin/ciwweb.pl?studyname=ProfPlanta2024&amp;Correo=alexandra.pedraza@unisabana.edu.co01</t>
  </si>
  <si>
    <t>alexandra.pedraza@unisabana.edu.co02</t>
  </si>
  <si>
    <t>https://ProfPlanta2024.sawtoothsoftware.com/cgi-bin/ciwweb.pl?studyname=ProfPlanta2024&amp;Correo=alexandra.pedraza@unisabana.edu.co02</t>
  </si>
  <si>
    <t>alexandra.pedraza@unisabana.edu.co03</t>
  </si>
  <si>
    <t>https://ProfPlanta2024.sawtoothsoftware.com/cgi-bin/ciwweb.pl?studyname=ProfPlanta2024&amp;Correo=alexandra.pedraza@unisabana.edu.co03</t>
  </si>
  <si>
    <t>alexandra.pedraza@unisabana.edu.co1</t>
  </si>
  <si>
    <t>https://ProfPlanta2024.sawtoothsoftware.com/cgi-bin/ciwweb.pl?studyname=ProfPlanta2024&amp;Correo=alexandra.pedraza@unisabana.edu.co1</t>
  </si>
  <si>
    <t>alexandra.pedraza@unisabana.edu.co2</t>
  </si>
  <si>
    <t>https://ProfPlanta2024.sawtoothsoftware.com/cgi-bin/ciwweb.pl?studyname=ProfPlanta2024&amp;Correo=alexandra.pedraza@unisabana.edu.co2</t>
  </si>
  <si>
    <t>alfonso.sarmiento@unisabana.edu.co</t>
  </si>
  <si>
    <t>alfonso.sarmiento@unisabana.edu.co01</t>
  </si>
  <si>
    <t>https://ProfPlanta2024.sawtoothsoftware.com/cgi-bin/ciwweb.pl?studyname=ProfPlanta2024&amp;Correo=alfonso.sarmiento@unisabana.edu.co01</t>
  </si>
  <si>
    <t>alfonso.sarmiento@unisabana.edu.co02</t>
  </si>
  <si>
    <t>https://ProfPlanta2024.sawtoothsoftware.com/cgi-bin/ciwweb.pl?studyname=ProfPlanta2024&amp;Correo=alfonso.sarmiento@unisabana.edu.co02</t>
  </si>
  <si>
    <t>alfonsosava@unisabana.edu.co</t>
  </si>
  <si>
    <t>alfonsosava@unisabana.edu.co1</t>
  </si>
  <si>
    <t>https://ProfPlanta2024.sawtoothsoftware.com/cgi-bin/ciwweb.pl?studyname=ProfPlanta2024&amp;Correo=alfonsosava@unisabana.edu.co1</t>
  </si>
  <si>
    <t>alirio.bastidas@unisabana.edu.co</t>
  </si>
  <si>
    <t>alirio.bastidas@unisabana.edu.co01</t>
  </si>
  <si>
    <t>https://ProfPlanta2024.sawtoothsoftware.com/cgi-bin/ciwweb.pl?studyname=ProfPlanta2024&amp;Correo=alirio.bastidas@unisabana.edu.co01</t>
  </si>
  <si>
    <t>alirio.bastidas@unisabana.edu.co02</t>
  </si>
  <si>
    <t>https://ProfPlanta2024.sawtoothsoftware.com/cgi-bin/ciwweb.pl?studyname=ProfPlanta2024&amp;Correo=alirio.bastidas@unisabana.edu.co02</t>
  </si>
  <si>
    <t>alirio.bastidas@unisabana.edu.co1</t>
  </si>
  <si>
    <t>https://ProfPlanta2024.sawtoothsoftware.com/cgi-bin/ciwweb.pl?studyname=ProfPlanta2024&amp;Correo=alirio.bastidas@unisabana.edu.co1</t>
  </si>
  <si>
    <t>alvaro.mendoza@unisabana.edu.co</t>
  </si>
  <si>
    <t>alvaro.mendoza@unisabana.edu.co1</t>
  </si>
  <si>
    <t>https://ProfPlanta2024.sawtoothsoftware.com/cgi-bin/ciwweb.pl?studyname=ProfPlanta2024&amp;Correo=alvaro.mendoza@unisabana.edu.co1</t>
  </si>
  <si>
    <t>amanda.rodriguez1@unisabana.edu.co</t>
  </si>
  <si>
    <t>amanda.rodriguez1@unisabana.edu.co01</t>
  </si>
  <si>
    <t>https://ProfPlanta2024.sawtoothsoftware.com/cgi-bin/ciwweb.pl?studyname=ProfPlanta2024&amp;Correo=amanda.rodriguez1@unisabana.edu.co01</t>
  </si>
  <si>
    <t>ana.idarraga@unisabana.edu.co</t>
  </si>
  <si>
    <t>ana.idarraga@unisabana.edu.co01</t>
  </si>
  <si>
    <t>https://ProfPlanta2024.sawtoothsoftware.com/cgi-bin/ciwweb.pl?studyname=ProfPlanta2024&amp;Correo=ana.idarraga@unisabana.edu.co01</t>
  </si>
  <si>
    <t>ana.idarraga@unisabana.edu.co1</t>
  </si>
  <si>
    <t>https://ProfPlanta2024.sawtoothsoftware.com/cgi-bin/ciwweb.pl?studyname=ProfPlanta2024&amp;Correo=ana.idarraga@unisabana.edu.co1</t>
  </si>
  <si>
    <t>ana.olaya@unisabana.edu.co</t>
  </si>
  <si>
    <t>ana.olaya@unisabana.edu.co01</t>
  </si>
  <si>
    <t>https://ProfPlanta2024.sawtoothsoftware.com/cgi-bin/ciwweb.pl?studyname=ProfPlanta2024&amp;Correo=ana.olaya@unisabana.edu.co01</t>
  </si>
  <si>
    <t>ana.olaya@unisabana.edu.co02</t>
  </si>
  <si>
    <t>https://ProfPlanta2024.sawtoothsoftware.com/cgi-bin/ciwweb.pl?studyname=ProfPlanta2024&amp;Correo=ana.olaya@unisabana.edu.co02</t>
  </si>
  <si>
    <t>ana.olaya@unisabana.edu.co03</t>
  </si>
  <si>
    <t>https://ProfPlanta2024.sawtoothsoftware.com/cgi-bin/ciwweb.pl?studyname=ProfPlanta2024&amp;Correo=ana.olaya@unisabana.edu.co03</t>
  </si>
  <si>
    <t>ana.santos@unisabana.edu.co</t>
  </si>
  <si>
    <t>ana.santos@unisabana.edu.co01</t>
  </si>
  <si>
    <t>https://ProfPlanta2024.sawtoothsoftware.com/cgi-bin/ciwweb.pl?studyname=ProfPlanta2024&amp;Correo=ana.santos@unisabana.edu.co01</t>
  </si>
  <si>
    <t>ana.santos@unisabana.edu.co02</t>
  </si>
  <si>
    <t>https://ProfPlanta2024.sawtoothsoftware.com/cgi-bin/ciwweb.pl?studyname=ProfPlanta2024&amp;Correo=ana.santos@unisabana.edu.co02</t>
  </si>
  <si>
    <t>ana.santos@unisabana.edu.co1</t>
  </si>
  <si>
    <t>https://ProfPlanta2024.sawtoothsoftware.com/cgi-bin/ciwweb.pl?studyname=ProfPlanta2024&amp;Correo=ana.santos@unisabana.edu.co1</t>
  </si>
  <si>
    <t>ana.silva3@unisabana.edu.co</t>
  </si>
  <si>
    <t>ana.silva3@unisabana.edu.co1</t>
  </si>
  <si>
    <t>https://ProfPlanta2024.sawtoothsoftware.com/cgi-bin/ciwweb.pl?studyname=ProfPlanta2024&amp;Correo=ana.silva3@unisabana.edu.co1</t>
  </si>
  <si>
    <t>ana.ternent@unisabana.edu.co</t>
  </si>
  <si>
    <t>ana.ternent@unisabana.edu.co01</t>
  </si>
  <si>
    <t>https://ProfPlanta2024.sawtoothsoftware.com/cgi-bin/ciwweb.pl?studyname=ProfPlanta2024&amp;Correo=ana.ternent@unisabana.edu.co01</t>
  </si>
  <si>
    <t>ana.ternent@unisabana.edu.co02</t>
  </si>
  <si>
    <t>https://ProfPlanta2024.sawtoothsoftware.com/cgi-bin/ciwweb.pl?studyname=ProfPlanta2024&amp;Correo=ana.ternent@unisabana.edu.co02</t>
  </si>
  <si>
    <t>ana.ternent@unisabana.edu.co1</t>
  </si>
  <si>
    <t>https://ProfPlanta2024.sawtoothsoftware.com/cgi-bin/ciwweb.pl?studyname=ProfPlanta2024&amp;Correo=ana.ternent@unisabana.edu.co1</t>
  </si>
  <si>
    <t>ana.vargas@unisabana.edu.co</t>
  </si>
  <si>
    <t>ana.vargas@unisabana.edu.co01</t>
  </si>
  <si>
    <t>https://ProfPlanta2024.sawtoothsoftware.com/cgi-bin/ciwweb.pl?studyname=ProfPlanta2024&amp;Correo=ana.vargas@unisabana.edu.co01</t>
  </si>
  <si>
    <t>ana.vargas@unisabana.edu.co02</t>
  </si>
  <si>
    <t>https://ProfPlanta2024.sawtoothsoftware.com/cgi-bin/ciwweb.pl?studyname=ProfPlanta2024&amp;Correo=ana.vargas@unisabana.edu.co02</t>
  </si>
  <si>
    <t>ana.vargas@unisabana.edu.co1</t>
  </si>
  <si>
    <t>https://ProfPlanta2024.sawtoothsoftware.com/cgi-bin/ciwweb.pl?studyname=ProfPlanta2024&amp;Correo=ana.vargas@unisabana.edu.co1</t>
  </si>
  <si>
    <t>ana.vargas@unisabana.edu.co2</t>
  </si>
  <si>
    <t>https://ProfPlanta2024.sawtoothsoftware.com/cgi-bin/ciwweb.pl?studyname=ProfPlanta2024&amp;Correo=ana.vargas@unisabana.edu.co2</t>
  </si>
  <si>
    <t>anagr@unisabana.edu.co</t>
  </si>
  <si>
    <t>AnaGR@unisabana.edu.co1</t>
  </si>
  <si>
    <t>https://ProfPlanta2024.sawtoothsoftware.com/cgi-bin/ciwweb.pl?studyname=ProfPlanta2024&amp;Correo=AnaGR@unisabana.edu.co1</t>
  </si>
  <si>
    <t>anasam@unisabana.edu.co</t>
  </si>
  <si>
    <t>Anasam@unisabana.edu.co1</t>
  </si>
  <si>
    <t>https://ProfPlanta2024.sawtoothsoftware.com/cgi-bin/ciwweb.pl?studyname=ProfPlanta2024&amp;Correo=Anasam@unisabana.edu.co1</t>
  </si>
  <si>
    <t>andrea.garcia2@unisabana.edu.co</t>
  </si>
  <si>
    <t>andrea.garcia2@unisabana.edu.co07</t>
  </si>
  <si>
    <t>https://ProfPlanta2024.sawtoothsoftware.com/cgi-bin/ciwweb.pl?studyname=ProfPlanta2024&amp;Correo=andrea.garcia2@unisabana.edu.co07</t>
  </si>
  <si>
    <t>andres.agudelo@unisabana.edu.co</t>
  </si>
  <si>
    <t>andres.agudelo@unisabana.edu.co01</t>
  </si>
  <si>
    <t>https://ProfPlanta2024.sawtoothsoftware.com/cgi-bin/ciwweb.pl?studyname=ProfPlanta2024&amp;Correo=andres.agudelo@unisabana.edu.co01</t>
  </si>
  <si>
    <t>andres.agudelo@unisabana.edu.co02</t>
  </si>
  <si>
    <t>https://ProfPlanta2024.sawtoothsoftware.com/cgi-bin/ciwweb.pl?studyname=ProfPlanta2024&amp;Correo=andres.agudelo@unisabana.edu.co02</t>
  </si>
  <si>
    <t>andres.agudelo@unisabana.edu.co1</t>
  </si>
  <si>
    <t>https://ProfPlanta2024.sawtoothsoftware.com/cgi-bin/ciwweb.pl?studyname=ProfPlanta2024&amp;Correo=andres.agudelo@unisabana.edu.co1</t>
  </si>
  <si>
    <t>andres.chiappe@unisabana.edu.co</t>
  </si>
  <si>
    <t>andres.chiappe@unisabana.edu.co01</t>
  </si>
  <si>
    <t>https://ProfPlanta2024.sawtoothsoftware.com/cgi-bin/ciwweb.pl?studyname=ProfPlanta2024&amp;Correo=andres.chiappe@unisabana.edu.co01</t>
  </si>
  <si>
    <t>andres.chiappe@unisabana.edu.co02</t>
  </si>
  <si>
    <t>https://ProfPlanta2024.sawtoothsoftware.com/cgi-bin/ciwweb.pl?studyname=ProfPlanta2024&amp;Correo=andres.chiappe@unisabana.edu.co02</t>
  </si>
  <si>
    <t>andres.forero1@unisabana.edu.co</t>
  </si>
  <si>
    <t>andres.forero1@unisabana.edu.co1</t>
  </si>
  <si>
    <t>https://ProfPlanta2024.sawtoothsoftware.com/cgi-bin/ciwweb.pl?studyname=ProfPlanta2024&amp;Correo=andres.forero1@unisabana.edu.co1</t>
  </si>
  <si>
    <t>andres.lopez4@unisabana.edu.co</t>
  </si>
  <si>
    <t>andres.lopez4@unisabana.edu.co01</t>
  </si>
  <si>
    <t>https://ProfPlanta2024.sawtoothsoftware.com/cgi-bin/ciwweb.pl?studyname=ProfPlanta2024&amp;Correo=andres.lopez4@unisabana.edu.co01</t>
  </si>
  <si>
    <t>andres.lopez4@unisabana.edu.co1</t>
  </si>
  <si>
    <t>https://ProfPlanta2024.sawtoothsoftware.com/cgi-bin/ciwweb.pl?studyname=ProfPlanta2024&amp;Correo=andres.lopez4@unisabana.edu.co1</t>
  </si>
  <si>
    <t>andres.lopez4@unisabana.edu.co2</t>
  </si>
  <si>
    <t>https://ProfPlanta2024.sawtoothsoftware.com/cgi-bin/ciwweb.pl?studyname=ProfPlanta2024&amp;Correo=andres.lopez4@unisabana.edu.co2</t>
  </si>
  <si>
    <t>andres.martinez8@unisabana.edu.co</t>
  </si>
  <si>
    <t>andres.martinez8@unisabana.edu.co1</t>
  </si>
  <si>
    <t>https://ProfPlanta2024.sawtoothsoftware.com/cgi-bin/ciwweb.pl?studyname=ProfPlanta2024&amp;Correo=andres.martinez8@unisabana.edu.co1</t>
  </si>
  <si>
    <t>andres.mejia@unisabana.edu.co</t>
  </si>
  <si>
    <t>andres.mejia@unisabana.edu.co04</t>
  </si>
  <si>
    <t>https://ProfPlanta2024.sawtoothsoftware.com/cgi-bin/ciwweb.pl?studyname=ProfPlanta2024&amp;Correo=andres.mejia@unisabana.edu.co04</t>
  </si>
  <si>
    <t>andres.munoz1@unisabana.edu.co</t>
  </si>
  <si>
    <t>andres.munoz1@unisabana.edu.co1</t>
  </si>
  <si>
    <t>https://ProfPlanta2024.sawtoothsoftware.com/cgi-bin/ciwweb.pl?studyname=ProfPlanta2024&amp;Correo=andres.munoz1@unisabana.edu.co1</t>
  </si>
  <si>
    <t>andres.salazar@unisabana.edu.co</t>
  </si>
  <si>
    <t>andres.salazar@unisabana.edu.co1</t>
  </si>
  <si>
    <t>https://ProfPlanta2024.sawtoothsoftware.com/cgi-bin/ciwweb.pl?studyname=ProfPlanta2024&amp;Correo=andres.salazar@unisabana.edu.co1</t>
  </si>
  <si>
    <t>andres.villegas@unisabana.edu.co</t>
  </si>
  <si>
    <t>andres.villegas@unisabana.edu.co1</t>
  </si>
  <si>
    <t>https://ProfPlanta2024.sawtoothsoftware.com/cgi-bin/ciwweb.pl?studyname=ProfPlanta2024&amp;Correo=andres.villegas@unisabana.edu.co1</t>
  </si>
  <si>
    <t>angela.acero@unisabana.edu.co</t>
  </si>
  <si>
    <t>angela.acero@unisabana.edu.co1</t>
  </si>
  <si>
    <t>https://ProfPlanta2024.sawtoothsoftware.com/cgi-bin/ciwweb.pl?studyname=ProfPlanta2024&amp;Correo=angela.acero@unisabana.edu.co1</t>
  </si>
  <si>
    <t>angela.delgado@unisabana.edu.co</t>
  </si>
  <si>
    <t>angela.delgado@unisabana.edu.co1</t>
  </si>
  <si>
    <t>https://ProfPlanta2024.sawtoothsoftware.com/cgi-bin/ciwweb.pl?studyname=ProfPlanta2024&amp;Correo=angela.delgado@unisabana.edu.co1</t>
  </si>
  <si>
    <t>angela.gamba@unisabana.edu.co</t>
  </si>
  <si>
    <t>angela.gamba@unisabana.edu.co1</t>
  </si>
  <si>
    <t>https://ProfPlanta2024.sawtoothsoftware.com/cgi-bin/ciwweb.pl?studyname=ProfPlanta2024&amp;Correo=angela.gamba@unisabana.edu.co1</t>
  </si>
  <si>
    <t>angela.moncaleano@unisabana.edu.co</t>
  </si>
  <si>
    <t>angela.moncaleano@unisabana.edu.co1</t>
  </si>
  <si>
    <t>https://ProfPlanta2024.sawtoothsoftware.com/cgi-bin/ciwweb.pl?studyname=ProfPlanta2024&amp;Correo=angela.moncaleano@unisabana.edu.co1</t>
  </si>
  <si>
    <t>angela.preciado@unisabana.edu.co</t>
  </si>
  <si>
    <t>angela.preciado@unisabana.edu.co01</t>
  </si>
  <si>
    <t>https://ProfPlanta2024.sawtoothsoftware.com/cgi-bin/ciwweb.pl?studyname=ProfPlanta2024&amp;Correo=angela.preciado@unisabana.edu.co01</t>
  </si>
  <si>
    <t>angela.preciado@unisabana.edu.co1</t>
  </si>
  <si>
    <t>https://ProfPlanta2024.sawtoothsoftware.com/cgi-bin/ciwweb.pl?studyname=ProfPlanta2024&amp;Correo=angela.preciado@unisabana.edu.co1</t>
  </si>
  <si>
    <t>angela.rubiano@unisabana.edu.co</t>
  </si>
  <si>
    <t>angela.rubiano@unisabana.edu.co01</t>
  </si>
  <si>
    <t>https://ProfPlanta2024.sawtoothsoftware.com/cgi-bin/ciwweb.pl?studyname=ProfPlanta2024&amp;Correo=angela.rubiano@unisabana.edu.co01</t>
  </si>
  <si>
    <t>angela.rubiano@unisabana.edu.co02</t>
  </si>
  <si>
    <t>https://ProfPlanta2024.sawtoothsoftware.com/cgi-bin/ciwweb.pl?studyname=ProfPlanta2024&amp;Correo=angela.rubiano@unisabana.edu.co02</t>
  </si>
  <si>
    <t>angela.rubiano@unisabana.edu.co03</t>
  </si>
  <si>
    <t>https://ProfPlanta2024.sawtoothsoftware.com/cgi-bin/ciwweb.pl?studyname=ProfPlanta2024&amp;Correo=angela.rubiano@unisabana.edu.co03</t>
  </si>
  <si>
    <t>angela.rubiano@unisabana.edu.co1</t>
  </si>
  <si>
    <t>https://ProfPlanta2024.sawtoothsoftware.com/cgi-bin/ciwweb.pl?studyname=ProfPlanta2024&amp;Correo=angela.rubiano@unisabana.edu.co1</t>
  </si>
  <si>
    <t>angela.trujillo@unisabana.edu.co02</t>
  </si>
  <si>
    <t>https://ProfPlanta2024.sawtoothsoftware.com/cgi-bin/ciwweb.pl?studyname=ProfPlanta2024&amp;Correo=angela.trujillo@unisabana.edu.co02</t>
  </si>
  <si>
    <t>angela.trujillo@unisabana.edu.co07</t>
  </si>
  <si>
    <t>https://ProfPlanta2024.sawtoothsoftware.com/cgi-bin/ciwweb.pl?studyname=ProfPlanta2024&amp;Correo=angela.trujillo@unisabana.edu.co07</t>
  </si>
  <si>
    <t>angelica.ospina@unisabana.edu.co</t>
  </si>
  <si>
    <t>angelica.ospina@unisabana.edu.co01</t>
  </si>
  <si>
    <t>https://ProfPlanta2024.sawtoothsoftware.com/cgi-bin/ciwweb.pl?studyname=ProfPlanta2024&amp;Correo=angelica.ospina@unisabana.edu.co01</t>
  </si>
  <si>
    <t>angelica.ospina@unisabana.edu.co02</t>
  </si>
  <si>
    <t>https://ProfPlanta2024.sawtoothsoftware.com/cgi-bin/ciwweb.pl?studyname=ProfPlanta2024&amp;Correo=angelica.ospina@unisabana.edu.co02</t>
  </si>
  <si>
    <t>angelica.ospina@unisabana.edu.co03</t>
  </si>
  <si>
    <t>https://ProfPlanta2024.sawtoothsoftware.com/cgi-bin/ciwweb.pl?studyname=ProfPlanta2024&amp;Correo=angelica.ospina@unisabana.edu.co03</t>
  </si>
  <si>
    <t>angelica.ospina@unisabana.edu.co1</t>
  </si>
  <si>
    <t>https://ProfPlanta2024.sawtoothsoftware.com/cgi-bin/ciwweb.pl?studyname=ProfPlanta2024&amp;Correo=angelica.ospina@unisabana.edu.co1</t>
  </si>
  <si>
    <t>angelica.ramirez2@unisabana.edu.co</t>
  </si>
  <si>
    <t>angelica.ramirez2@unisabana.edu.co1</t>
  </si>
  <si>
    <t>https://ProfPlanta2024.sawtoothsoftware.com/cgi-bin/ciwweb.pl?studyname=ProfPlanta2024&amp;Correo=angelica.ramirez2@unisabana.edu.co1</t>
  </si>
  <si>
    <t>anna.filomena@unisabana.edu.co</t>
  </si>
  <si>
    <t>anna.filomena@unisabana.edu.co1</t>
  </si>
  <si>
    <t>https://ProfPlanta2024.sawtoothsoftware.com/cgi-bin/ciwweb.pl?studyname=ProfPlanta2024&amp;Correo=anna.filomena@unisabana.edu.co1</t>
  </si>
  <si>
    <t>astrid.robayo@unisabana.edu.co</t>
  </si>
  <si>
    <t>astrid.robayo@unisabana.edu.co01</t>
  </si>
  <si>
    <t>https://ProfPlanta2024.sawtoothsoftware.com/cgi-bin/ciwweb.pl?studyname=ProfPlanta2024&amp;Correo=astrid.robayo@unisabana.edu.co01</t>
  </si>
  <si>
    <t>astrid.robayo@unisabana.edu.co02</t>
  </si>
  <si>
    <t>https://ProfPlanta2024.sawtoothsoftware.com/cgi-bin/ciwweb.pl?studyname=ProfPlanta2024&amp;Correo=astrid.robayo@unisabana.edu.co02</t>
  </si>
  <si>
    <t>astrid.robayo@unisabana.edu.co03</t>
  </si>
  <si>
    <t>https://ProfPlanta2024.sawtoothsoftware.com/cgi-bin/ciwweb.pl?studyname=ProfPlanta2024&amp;Correo=astrid.robayo@unisabana.edu.co03</t>
  </si>
  <si>
    <t>astrid.robayo@unisabana.edu.co04</t>
  </si>
  <si>
    <t>https://ProfPlanta2024.sawtoothsoftware.com/cgi-bin/ciwweb.pl?studyname=ProfPlanta2024&amp;Correo=astrid.robayo@unisabana.edu.co04</t>
  </si>
  <si>
    <t>astrid.robayo@unisabana.edu.co1</t>
  </si>
  <si>
    <t>https://ProfPlanta2024.sawtoothsoftware.com/cgi-bin/ciwweb.pl?studyname=ProfPlanta2024&amp;Correo=astrid.robayo@unisabana.edu.co1</t>
  </si>
  <si>
    <t>astrid.robayo@unisabana.edu.co2</t>
  </si>
  <si>
    <t>https://ProfPlanta2024.sawtoothsoftware.com/cgi-bin/ciwweb.pl?studyname=ProfPlanta2024&amp;Correo=astrid.robayo@unisabana.edu.co2</t>
  </si>
  <si>
    <t>bernardo.estrada@unisabana.edu.co</t>
  </si>
  <si>
    <t>bernardo.estrada@unisabana.edu.co01</t>
  </si>
  <si>
    <t>https://ProfPlanta2024.sawtoothsoftware.com/cgi-bin/ciwweb.pl?studyname=ProfPlanta2024&amp;Correo=bernardo.estrada@unisabana.edu.co01</t>
  </si>
  <si>
    <t>bibiana.zapata@unisabana.edu.co</t>
  </si>
  <si>
    <t>bibiana.zapata@unisabana.edu.co1</t>
  </si>
  <si>
    <t>https://ProfPlanta2024.sawtoothsoftware.com/cgi-bin/ciwweb.pl?studyname=ProfPlanta2024&amp;Correo=bibiana.zapata@unisabana.edu.co1</t>
  </si>
  <si>
    <t>camila.figueroa1@unisabana.edu.co</t>
  </si>
  <si>
    <t>camila.figueroa1@unisabana.edu.co1</t>
  </si>
  <si>
    <t>https://ProfPlanta2024.sawtoothsoftware.com/cgi-bin/ciwweb.pl?studyname=ProfPlanta2024&amp;Correo=camila.figueroa1@unisabana.edu.co1</t>
  </si>
  <si>
    <t>camila.herrera@unisabana.edu.co</t>
  </si>
  <si>
    <t>camila.herrera@unisabana.edu.co01</t>
  </si>
  <si>
    <t>https://ProfPlanta2024.sawtoothsoftware.com/cgi-bin/ciwweb.pl?studyname=ProfPlanta2024&amp;Correo=camila.herrera@unisabana.edu.co01</t>
  </si>
  <si>
    <t>camila.herrera@unisabana.edu.co1</t>
  </si>
  <si>
    <t>https://ProfPlanta2024.sawtoothsoftware.com/cgi-bin/ciwweb.pl?studyname=ProfPlanta2024&amp;Correo=camila.herrera@unisabana.edu.co1</t>
  </si>
  <si>
    <t>camilo.arias@unisabana.edu.co</t>
  </si>
  <si>
    <t>camilo.arias@unisabana.edu.co1</t>
  </si>
  <si>
    <t>https://ProfPlanta2024.sawtoothsoftware.com/cgi-bin/ciwweb.pl?studyname=ProfPlanta2024&amp;Correo=camilo.arias@unisabana.edu.co1</t>
  </si>
  <si>
    <t>camilo.botero@unisabana.edu.co</t>
  </si>
  <si>
    <t>camilo.botero@unisabana.edu.co1</t>
  </si>
  <si>
    <t>https://ProfPlanta2024.sawtoothsoftware.com/cgi-bin/ciwweb.pl?studyname=ProfPlanta2024&amp;Correo=camilo.botero@unisabana.edu.co1</t>
  </si>
  <si>
    <t>camilo.co0rreal@unisabana.edu.co</t>
  </si>
  <si>
    <t>camilo.co0rreal@unisabana.edu.co01</t>
  </si>
  <si>
    <t>https://ProfPlanta2024.sawtoothsoftware.com/cgi-bin/ciwweb.pl?studyname=ProfPlanta2024&amp;Correo=camilo.co0rreal@unisabana.edu.co01</t>
  </si>
  <si>
    <t>camilo.correal@unisabana.edu.co</t>
  </si>
  <si>
    <t>camilo.correal@unisabana.edu.co1</t>
  </si>
  <si>
    <t>https://ProfPlanta2024.sawtoothsoftware.com/cgi-bin/ciwweb.pl?studyname=ProfPlanta2024&amp;Correo=camilo.correal@unisabana.edu.co1</t>
  </si>
  <si>
    <t>camilo.posada@unisabana.edu.co</t>
  </si>
  <si>
    <t>camilo.posada@unisabana.edu.co1</t>
  </si>
  <si>
    <t>https://ProfPlanta2024.sawtoothsoftware.com/cgi-bin/ciwweb.pl?studyname=ProfPlanta2024&amp;Correo=camilo.posada@unisabana.edu.co1</t>
  </si>
  <si>
    <t>camilo.rengifo@unisabana.edu.co</t>
  </si>
  <si>
    <t>camilo.rengifo@unisabana.edu.co01</t>
  </si>
  <si>
    <t>https://ProfPlanta2024.sawtoothsoftware.com/cgi-bin/ciwweb.pl?studyname=ProfPlanta2024&amp;Correo=camilo.rengifo@unisabana.edu.co01</t>
  </si>
  <si>
    <t>camilo.rengifo@unisabana.edu.co02</t>
  </si>
  <si>
    <t>https://ProfPlanta2024.sawtoothsoftware.com/cgi-bin/ciwweb.pl?studyname=ProfPlanta2024&amp;Correo=camilo.rengifo@unisabana.edu.co02</t>
  </si>
  <si>
    <t>camilo.rengifo@unisabana.edu.co1</t>
  </si>
  <si>
    <t>https://ProfPlanta2024.sawtoothsoftware.com/cgi-bin/ciwweb.pl?studyname=ProfPlanta2024&amp;Correo=camilo.rengifo@unisabana.edu.co1</t>
  </si>
  <si>
    <t>camilo.rincon2@unisabana.edu.co1</t>
  </si>
  <si>
    <t>https://ProfPlanta2024.sawtoothsoftware.com/cgi-bin/ciwweb.pl?studyname=ProfPlanta2024&amp;Correo=camilo.rincon2@unisabana.edu.co1</t>
  </si>
  <si>
    <t>carlos.bernal7@unisabana.edu.co</t>
  </si>
  <si>
    <t>carlos.bernal7@unisabana.edu.co01</t>
  </si>
  <si>
    <t>https://ProfPlanta2024.sawtoothsoftware.com/cgi-bin/ciwweb.pl?studyname=ProfPlanta2024&amp;Correo=carlos.bernal7@unisabana.edu.co01</t>
  </si>
  <si>
    <t>carlos.bernal7@unisabana.edu.co02</t>
  </si>
  <si>
    <t>https://ProfPlanta2024.sawtoothsoftware.com/cgi-bin/ciwweb.pl?studyname=ProfPlanta2024&amp;Correo=carlos.bernal7@unisabana.edu.co02</t>
  </si>
  <si>
    <t>carlos.bernal7@unisabana.edu.co1</t>
  </si>
  <si>
    <t>https://ProfPlanta2024.sawtoothsoftware.com/cgi-bin/ciwweb.pl?studyname=ProfPlanta2024&amp;Correo=carlos.bernal7@unisabana.edu.co1</t>
  </si>
  <si>
    <t>carlos.castro@unisabana.edu.co</t>
  </si>
  <si>
    <t>carlos.castro@unisabana.edu.co1</t>
  </si>
  <si>
    <t>https://ProfPlanta2024.sawtoothsoftware.com/cgi-bin/ciwweb.pl?studyname=ProfPlanta2024&amp;Correo=carlos.castro@unisabana.edu.co1</t>
  </si>
  <si>
    <t>carlos.dominguez@unisabana.edu.co</t>
  </si>
  <si>
    <t>carlos.dominguez@unisabana.edu.co01</t>
  </si>
  <si>
    <t>https://ProfPlanta2024.sawtoothsoftware.com/cgi-bin/ciwweb.pl?studyname=ProfPlanta2024&amp;Correo=carlos.dominguez@unisabana.edu.co01</t>
  </si>
  <si>
    <t>carlos.dominguez@unisabana.edu.co02</t>
  </si>
  <si>
    <t>https://ProfPlanta2024.sawtoothsoftware.com/cgi-bin/ciwweb.pl?studyname=ProfPlanta2024&amp;Correo=carlos.dominguez@unisabana.edu.co02</t>
  </si>
  <si>
    <t>carlos.dominguez@unisabana.edu.co1</t>
  </si>
  <si>
    <t>https://ProfPlanta2024.sawtoothsoftware.com/cgi-bin/ciwweb.pl?studyname=ProfPlanta2024&amp;Correo=carlos.dominguez@unisabana.edu.co1</t>
  </si>
  <si>
    <t>carlos.dominguez2@unisabana.edu.co</t>
  </si>
  <si>
    <t>carlos.dominguez2@unisabana.edu.co1</t>
  </si>
  <si>
    <t>https://ProfPlanta2024.sawtoothsoftware.com/cgi-bin/ciwweb.pl?studyname=ProfPlanta2024&amp;Correo=carlos.dominguez2@unisabana.edu.co1</t>
  </si>
  <si>
    <t>carlos.gutierrez6@unisabana.edu.co</t>
  </si>
  <si>
    <t>carlos.gutierrez6@unisabana.edu.co1</t>
  </si>
  <si>
    <t>https://ProfPlanta2024.sawtoothsoftware.com/cgi-bin/ciwweb.pl?studyname=ProfPlanta2024&amp;Correo=carlos.gutierrez6@unisabana.edu.co1</t>
  </si>
  <si>
    <t>carlos.jimenez@unisabana.edu.co</t>
  </si>
  <si>
    <t>carlos.jimenez@unisabana.edu.co01</t>
  </si>
  <si>
    <t>https://ProfPlanta2024.sawtoothsoftware.com/cgi-bin/ciwweb.pl?studyname=ProfPlanta2024&amp;Correo=carlos.jimenez@unisabana.edu.co01</t>
  </si>
  <si>
    <t>carlos.jimenez@unisabana.edu.co1</t>
  </si>
  <si>
    <t>https://ProfPlanta2024.sawtoothsoftware.com/cgi-bin/ciwweb.pl?studyname=ProfPlanta2024&amp;Correo=carlos.jimenez@unisabana.edu.co1</t>
  </si>
  <si>
    <t>carlos.jimenez@unisabana.edu.co2</t>
  </si>
  <si>
    <t>https://ProfPlanta2024.sawtoothsoftware.com/cgi-bin/ciwweb.pl?studyname=ProfPlanta2024&amp;Correo=carlos.jimenez@unisabana.edu.co2</t>
  </si>
  <si>
    <t>carlos.jimenez3@unisabana.edu.co</t>
  </si>
  <si>
    <t>carlos.jimenez3@unisabana.edu.co1</t>
  </si>
  <si>
    <t>https://ProfPlanta2024.sawtoothsoftware.com/cgi-bin/ciwweb.pl?studyname=ProfPlanta2024&amp;Correo=carlos.jimenez3@unisabana.edu.co1</t>
  </si>
  <si>
    <t>carlos.mera@unisabana.edu.co</t>
  </si>
  <si>
    <t>carlos.mera@unisabana.edu.co1</t>
  </si>
  <si>
    <t>https://ProfPlanta2024.sawtoothsoftware.com/cgi-bin/ciwweb.pl?studyname=ProfPlanta2024&amp;Correo=carlos.mera@unisabana.edu.co1</t>
  </si>
  <si>
    <t>carlos.monroy@unisabana.edu.co02</t>
  </si>
  <si>
    <t>https://ProfPlanta2024.sawtoothsoftware.com/cgi-bin/ciwweb.pl?studyname=ProfPlanta2024&amp;Correo=carlos.monroy@unisabana.edu.co02</t>
  </si>
  <si>
    <t>carlos.monroy@unisabana.edu.co1</t>
  </si>
  <si>
    <t>https://ProfPlanta2024.sawtoothsoftware.com/cgi-bin/ciwweb.pl?studyname=ProfPlanta2024&amp;Correo=carlos.monroy@unisabana.edu.co1</t>
  </si>
  <si>
    <t>carlos.montes1@unisabana.edu.co</t>
  </si>
  <si>
    <t>carlos.montes1@unisabana.edu.co01</t>
  </si>
  <si>
    <t>https://ProfPlanta2024.sawtoothsoftware.com/cgi-bin/ciwweb.pl?studyname=ProfPlanta2024&amp;Correo=carlos.montes1@unisabana.edu.co01</t>
  </si>
  <si>
    <t>carlos.montes1@unisabana.edu.co1</t>
  </si>
  <si>
    <t>https://ProfPlanta2024.sawtoothsoftware.com/cgi-bin/ciwweb.pl?studyname=ProfPlanta2024&amp;Correo=carlos.montes1@unisabana.edu.co1</t>
  </si>
  <si>
    <t>carlos.quintero5@unisabana.edu.co</t>
  </si>
  <si>
    <t>Carlos.Quintero5@unisabana.edu.co01</t>
  </si>
  <si>
    <t>https://ProfPlanta2024.sawtoothsoftware.com/cgi-bin/ciwweb.pl?studyname=ProfPlanta2024&amp;Correo=Carlos.Quintero5@unisabana.edu.co01</t>
  </si>
  <si>
    <t>carlos.rodriguez13@unisabana.edu.co</t>
  </si>
  <si>
    <t>carlos.rodriguez13@unisabana.edu.co01</t>
  </si>
  <si>
    <t>https://ProfPlanta2024.sawtoothsoftware.com/cgi-bin/ciwweb.pl?studyname=ProfPlanta2024&amp;Correo=carlos.rodriguez13@unisabana.edu.co01</t>
  </si>
  <si>
    <t>carlos.rodriguez13@unisabana.edu.co1</t>
  </si>
  <si>
    <t>https://ProfPlanta2024.sawtoothsoftware.com/cgi-bin/ciwweb.pl?studyname=ProfPlanta2024&amp;Correo=carlos.rodriguez13@unisabana.edu.co1</t>
  </si>
  <si>
    <t>carlos.salgado2@unisabana.edu.co</t>
  </si>
  <si>
    <t>carlos.salgado2@unisabana.edu.co01</t>
  </si>
  <si>
    <t>https://ProfPlanta2024.sawtoothsoftware.com/cgi-bin/ciwweb.pl?studyname=ProfPlanta2024&amp;Correo=carlos.salgado2@unisabana.edu.co01</t>
  </si>
  <si>
    <t>carlos.salgado2@unisabana.edu.co1</t>
  </si>
  <si>
    <t>https://ProfPlanta2024.sawtoothsoftware.com/cgi-bin/ciwweb.pl?studyname=ProfPlanta2024&amp;Correo=carlos.salgado2@unisabana.edu.co1</t>
  </si>
  <si>
    <t>carloscp@unisabana.edu.co</t>
  </si>
  <si>
    <t>carloscp@unisabana.edu.co01</t>
  </si>
  <si>
    <t>https://ProfPlanta2024.sawtoothsoftware.com/cgi-bin/ciwweb.pl?studyname=ProfPlanta2024&amp;Correo=carloscp@unisabana.edu.co01</t>
  </si>
  <si>
    <t>carloscp@unisabana.edu.co1</t>
  </si>
  <si>
    <t>https://ProfPlanta2024.sawtoothsoftware.com/cgi-bin/ciwweb.pl?studyname=ProfPlanta2024&amp;Correo=carloscp@unisabana.edu.co1</t>
  </si>
  <si>
    <t>carlosveme@unisabana.edu.co</t>
  </si>
  <si>
    <t>carlosveme@unisabana.edu.co01</t>
  </si>
  <si>
    <t>https://ProfPlanta2024.sawtoothsoftware.com/cgi-bin/ciwweb.pl?studyname=ProfPlanta2024&amp;Correo=carlosveme@unisabana.edu.co01</t>
  </si>
  <si>
    <t>carol.vanegas@unisabana.edu.co</t>
  </si>
  <si>
    <t>carol.vanegas@unisabana.edu.co01</t>
  </si>
  <si>
    <t>https://ProfPlanta2024.sawtoothsoftware.com/cgi-bin/ciwweb.pl?studyname=ProfPlanta2024&amp;Correo=carol.vanegas@unisabana.edu.co01</t>
  </si>
  <si>
    <t>carol.vanegas@unisabana.edu.co02</t>
  </si>
  <si>
    <t>https://ProfPlanta2024.sawtoothsoftware.com/cgi-bin/ciwweb.pl?studyname=ProfPlanta2024&amp;Correo=carol.vanegas@unisabana.edu.co02</t>
  </si>
  <si>
    <t>carol.vanegas@unisabana.edu.co03</t>
  </si>
  <si>
    <t>https://ProfPlanta2024.sawtoothsoftware.com/cgi-bin/ciwweb.pl?studyname=ProfPlanta2024&amp;Correo=carol.vanegas@unisabana.edu.co03</t>
  </si>
  <si>
    <t>carolina.plat1@unisabana.edu.co</t>
  </si>
  <si>
    <t>carolina.plat1@unisabana.edu.co07</t>
  </si>
  <si>
    <t>https://ProfPlanta2024.sawtoothsoftware.com/cgi-bin/ciwweb.pl?studyname=ProfPlanta2024&amp;Correo=carolina.plat1@unisabana.edu.co07</t>
  </si>
  <si>
    <t>carolina.plata1@unisabana.edu.co</t>
  </si>
  <si>
    <t>carolina.plata1@unisabana.edu.co1</t>
  </si>
  <si>
    <t>https://ProfPlanta2024.sawtoothsoftware.com/cgi-bin/ciwweb.pl?studyname=ProfPlanta2024&amp;Correo=carolina.plata1@unisabana.edu.co1</t>
  </si>
  <si>
    <t>catalina.bermudez2@unisabana.edu.co</t>
  </si>
  <si>
    <t>catalina.bermudez2@unisabana.edu.co01</t>
  </si>
  <si>
    <t>https://ProfPlanta2024.sawtoothsoftware.com/cgi-bin/ciwweb.pl?studyname=ProfPlanta2024&amp;Correo=catalina.bermudez2@unisabana.edu.co01</t>
  </si>
  <si>
    <t>cesar.bernal@unisabana.edu.co</t>
  </si>
  <si>
    <t>cesar.bernal@unisabana.edu.co01</t>
  </si>
  <si>
    <t>https://ProfPlanta2024.sawtoothsoftware.com/cgi-bin/ciwweb.pl?studyname=ProfPlanta2024&amp;Correo=cesar.bernal@unisabana.edu.co01</t>
  </si>
  <si>
    <t>cesar.bernal@unisabana.edu.co02</t>
  </si>
  <si>
    <t>https://ProfPlanta2024.sawtoothsoftware.com/cgi-bin/ciwweb.pl?studyname=ProfPlanta2024&amp;Correo=cesar.bernal@unisabana.edu.co02</t>
  </si>
  <si>
    <t>cesar.bernal@unisabana.edu.co1</t>
  </si>
  <si>
    <t>https://ProfPlanta2024.sawtoothsoftware.com/cgi-bin/ciwweb.pl?studyname=ProfPlanta2024&amp;Correo=cesar.bernal@unisabana.edu.co1</t>
  </si>
  <si>
    <t>cesar.nino@unisabana.edu.co</t>
  </si>
  <si>
    <t>cesar.nino@unisabana.edu.co1</t>
  </si>
  <si>
    <t>https://ProfPlanta2024.sawtoothsoftware.com/cgi-bin/ciwweb.pl?studyname=ProfPlanta2024&amp;Correo=cesar.nino@unisabana.edu.co1</t>
  </si>
  <si>
    <t>christian.morales@unisabana.edu.co</t>
  </si>
  <si>
    <t>christian.morales@unisabana.edu.co1</t>
  </si>
  <si>
    <t>https://ProfPlanta2024.sawtoothsoftware.com/cgi-bin/ciwweb.pl?studyname=ProfPlanta2024&amp;Correo=christian.morales@unisabana.edu.co1</t>
  </si>
  <si>
    <t>ciro.parra@unisabana.edu.co</t>
  </si>
  <si>
    <t>ciro.parra@unisabana.edu.co02</t>
  </si>
  <si>
    <t>https://ProfPlanta2024.sawtoothsoftware.com/cgi-bin/ciwweb.pl?studyname=ProfPlanta2024&amp;Correo=ciro.parra@unisabana.edu.co02</t>
  </si>
  <si>
    <t>claudia.acero@unisabana.edu.co</t>
  </si>
  <si>
    <t>claudia.acero@unisabana.edu.co1</t>
  </si>
  <si>
    <t>https://ProfPlanta2024.sawtoothsoftware.com/cgi-bin/ciwweb.pl?studyname=ProfPlanta2024&amp;Correo=claudia.acero@unisabana.edu.co1</t>
  </si>
  <si>
    <t>claudia.garzon@unisabana.edu.co</t>
  </si>
  <si>
    <t>claudia.garzon@unisabana.edu.co01</t>
  </si>
  <si>
    <t>https://ProfPlanta2024.sawtoothsoftware.com/cgi-bin/ciwweb.pl?studyname=ProfPlanta2024&amp;Correo=claudia.garzon@unisabana.edu.co01</t>
  </si>
  <si>
    <t>claudia.garzon@unisabana.edu.co02</t>
  </si>
  <si>
    <t>https://ProfPlanta2024.sawtoothsoftware.com/cgi-bin/ciwweb.pl?studyname=ProfPlanta2024&amp;Correo=claudia.garzon@unisabana.edu.co02</t>
  </si>
  <si>
    <t>claudia.garzon@unisabana.edu.co1</t>
  </si>
  <si>
    <t>https://ProfPlanta2024.sawtoothsoftware.com/cgi-bin/ciwweb.pl?studyname=ProfPlanta2024&amp;Correo=claudia.garzon@unisabana.edu.co1</t>
  </si>
  <si>
    <t>claudia.jaimes2@unisabana.edu.co</t>
  </si>
  <si>
    <t>claudia.jaimes2@unisabana.edu.co1</t>
  </si>
  <si>
    <t>https://ProfPlanta2024.sawtoothsoftware.com/cgi-bin/ciwweb.pl?studyname=ProfPlanta2024&amp;Correo=claudia.jaimes2@unisabana.edu.co1</t>
  </si>
  <si>
    <t>claudia.mora@unisabana.edu.co</t>
  </si>
  <si>
    <t>claudia.mora@unisabana.edu.co01</t>
  </si>
  <si>
    <t>https://ProfPlanta2024.sawtoothsoftware.com/cgi-bin/ciwweb.pl?studyname=ProfPlanta2024&amp;Correo=claudia.mora@unisabana.edu.co01</t>
  </si>
  <si>
    <t>claudia.mora@unisabana.edu.co1</t>
  </si>
  <si>
    <t>https://ProfPlanta2024.sawtoothsoftware.com/cgi-bin/ciwweb.pl?studyname=ProfPlanta2024&amp;Correo=claudia.mora@unisabana.edu.co1</t>
  </si>
  <si>
    <t>clelia.pineda@unisabana.edu.co</t>
  </si>
  <si>
    <t>clelia.pineda@unisabana.edu.co01</t>
  </si>
  <si>
    <t>https://ProfPlanta2024.sawtoothsoftware.com/cgi-bin/ciwweb.pl?studyname=ProfPlanta2024&amp;Correo=clelia.pineda@unisabana.edu.co01</t>
  </si>
  <si>
    <t>cristhian.matusan@unisabana.edu.co</t>
  </si>
  <si>
    <t>cristhian.matusan@unisabana.edu.co01</t>
  </si>
  <si>
    <t>https://ProfPlanta2024.sawtoothsoftware.com/cgi-bin/ciwweb.pl?studyname=ProfPlanta2024&amp;Correo=cristhian.matusan@unisabana.edu.co01</t>
  </si>
  <si>
    <t>cristhian.matusan@unisabana.edu.co1</t>
  </si>
  <si>
    <t>https://ProfPlanta2024.sawtoothsoftware.com/cgi-bin/ciwweb.pl?studyname=ProfPlanta2024&amp;Correo=cristhian.matusan@unisabana.edu.co1</t>
  </si>
  <si>
    <t>cristian.conen@unisabana.edu.co</t>
  </si>
  <si>
    <t>cristian.conen@unisabana.edu.co1</t>
  </si>
  <si>
    <t>https://ProfPlanta2024.sawtoothsoftware.com/cgi-bin/ciwweb.pl?studyname=ProfPlanta2024&amp;Correo=cristian.conen@unisabana.edu.co1</t>
  </si>
  <si>
    <t>cristian.penagos@unisabana.edu.co</t>
  </si>
  <si>
    <t>cristian.penagos@unisabana.edu.co1</t>
  </si>
  <si>
    <t>https://ProfPlanta2024.sawtoothsoftware.com/cgi-bin/ciwweb.pl?studyname=ProfPlanta2024&amp;Correo=cristian.penagos@unisabana.edu.co1</t>
  </si>
  <si>
    <t>cristian.rojas@unisabana.edu.co</t>
  </si>
  <si>
    <t>cristian.rojas@unisabana.edu.co1</t>
  </si>
  <si>
    <t>https://ProfPlanta2024.sawtoothsoftware.com/cgi-bin/ciwweb.pl?studyname=ProfPlanta2024&amp;Correo=cristian.rojas@unisabana.edu.co1</t>
  </si>
  <si>
    <t>cristina.bohorquez1@unisabana.edu.co</t>
  </si>
  <si>
    <t>cristina.bohorquez1@unisabana.edu.co01</t>
  </si>
  <si>
    <t>https://ProfPlanta2024.sawtoothsoftware.com/cgi-bin/ciwweb.pl?studyname=ProfPlanta2024&amp;Correo=cristina.bohorquez1@unisabana.edu.co01</t>
  </si>
  <si>
    <t>cristina.bohorquez1@unisabana.edu.co02</t>
  </si>
  <si>
    <t>https://ProfPlanta2024.sawtoothsoftware.com/cgi-bin/ciwweb.pl?studyname=ProfPlanta2024&amp;Correo=cristina.bohorquez1@unisabana.edu.co02</t>
  </si>
  <si>
    <t>cristina.bohorquez1@unisabana.edu.co1</t>
  </si>
  <si>
    <t>https://ProfPlanta2024.sawtoothsoftware.com/cgi-bin/ciwweb.pl?studyname=ProfPlanta2024&amp;Correo=cristina.bohorquez1@unisabana.edu.co1</t>
  </si>
  <si>
    <t>cristinarp@unisabana.edu.co</t>
  </si>
  <si>
    <t>CristinaRP@unisabana.edu.co1</t>
  </si>
  <si>
    <t>https://ProfPlanta2024.sawtoothsoftware.com/cgi-bin/ciwweb.pl?studyname=ProfPlanta2024&amp;Correo=CristinaRP@unisabana.edu.co1</t>
  </si>
  <si>
    <t>daniel.botero@unisabana.edu.co</t>
  </si>
  <si>
    <t>daniel.botero@unisabana.edu.co01</t>
  </si>
  <si>
    <t>https://ProfPlanta2024.sawtoothsoftware.com/cgi-bin/ciwweb.pl?studyname=ProfPlanta2024&amp;Correo=daniel.botero@unisabana.edu.co01</t>
  </si>
  <si>
    <t>daniel.botero@unisabana.edu.co1</t>
  </si>
  <si>
    <t>https://ProfPlanta2024.sawtoothsoftware.com/cgi-bin/ciwweb.pl?studyname=ProfPlanta2024&amp;Correo=daniel.botero@unisabana.edu.co1</t>
  </si>
  <si>
    <t>daniel.gomez4@unisabana.edu.co</t>
  </si>
  <si>
    <t>daniel.gomez4@unisabana.edu.co1</t>
  </si>
  <si>
    <t>https://ProfPlanta2024.sawtoothsoftware.com/cgi-bin/ciwweb.pl?studyname=ProfPlanta2024&amp;Correo=daniel.gomez4@unisabana.edu.co1</t>
  </si>
  <si>
    <t>daniel.morales@unisabana.edu.co</t>
  </si>
  <si>
    <t>daniel.morales@unisabana.edu.co1</t>
  </si>
  <si>
    <t>https://ProfPlanta2024.sawtoothsoftware.com/cgi-bin/ciwweb.pl?studyname=ProfPlanta2024&amp;Correo=daniel.morales@unisabana.edu.co1</t>
  </si>
  <si>
    <t>daniel.rodriguez1@unisabana.edu.co</t>
  </si>
  <si>
    <t>daniel.rodriguez1@unisabana.edu.co01</t>
  </si>
  <si>
    <t>https://ProfPlanta2024.sawtoothsoftware.com/cgi-bin/ciwweb.pl?studyname=ProfPlanta2024&amp;Correo=daniel.rodriguez1@unisabana.edu.co01</t>
  </si>
  <si>
    <t>daniel.rodriguez1@unisabana.edu.co1</t>
  </si>
  <si>
    <t>https://ProfPlanta2024.sawtoothsoftware.com/cgi-bin/ciwweb.pl?studyname=ProfPlanta2024&amp;Correo=daniel.rodriguez1@unisabana.edu.co1</t>
  </si>
  <si>
    <t>daniela.henao1@unisabana.edu.co</t>
  </si>
  <si>
    <t>daniela.henao1@unisabana.edu.co1</t>
  </si>
  <si>
    <t>https://ProfPlanta2024.sawtoothsoftware.com/cgi-bin/ciwweb.pl?studyname=ProfPlanta2024&amp;Correo=daniela.henao1@unisabana.edu.co1</t>
  </si>
  <si>
    <t>danny.illera@unisabana.edu.co</t>
  </si>
  <si>
    <t>danny.illera@unisabana.edu.co01</t>
  </si>
  <si>
    <t>https://ProfPlanta2024.sawtoothsoftware.com/cgi-bin/ciwweb.pl?studyname=ProfPlanta2024&amp;Correo=danny.illera@unisabana.edu.co01</t>
  </si>
  <si>
    <t>danny.illera@unisabana.edu.co1</t>
  </si>
  <si>
    <t>https://ProfPlanta2024.sawtoothsoftware.com/cgi-bin/ciwweb.pl?studyname=ProfPlanta2024&amp;Correo=danny.illera@unisabana.edu.co1</t>
  </si>
  <si>
    <t>david.celeita@unisabana.edu.co</t>
  </si>
  <si>
    <t>david.celeita@unisabana.edu.co1</t>
  </si>
  <si>
    <t>https://ProfPlanta2024.sawtoothsoftware.com/cgi-bin/ciwweb.pl?studyname=ProfPlanta2024&amp;Correo=david.celeita@unisabana.edu.co1</t>
  </si>
  <si>
    <t>diana.bedoya1@unisabana.edu.co</t>
  </si>
  <si>
    <t>diana.bedoya1@unisabana.edu.co01</t>
  </si>
  <si>
    <t>https://ProfPlanta2024.sawtoothsoftware.com/cgi-bin/ciwweb.pl?studyname=ProfPlanta2024&amp;Correo=diana.bedoya1@unisabana.edu.co01</t>
  </si>
  <si>
    <t>diana.duran2@unisabana.edu.co</t>
  </si>
  <si>
    <t>diana.duran2@unisabana.edu.co1</t>
  </si>
  <si>
    <t>https://ProfPlanta2024.sawtoothsoftware.com/cgi-bin/ciwweb.pl?studyname=ProfPlanta2024&amp;Correo=diana.duran2@unisabana.edu.co1</t>
  </si>
  <si>
    <t>diana.gallego@unisabana.edu.co</t>
  </si>
  <si>
    <t>diana.gallego@unisabana.edu.co01</t>
  </si>
  <si>
    <t>https://ProfPlanta2024.sawtoothsoftware.com/cgi-bin/ciwweb.pl?studyname=ProfPlanta2024&amp;Correo=diana.gallego@unisabana.edu.co01</t>
  </si>
  <si>
    <t>diana.gallego@unisabana.edu.co1</t>
  </si>
  <si>
    <t>https://ProfPlanta2024.sawtoothsoftware.com/cgi-bin/ciwweb.pl?studyname=ProfPlanta2024&amp;Correo=diana.gallego@unisabana.edu.co1</t>
  </si>
  <si>
    <t>diana.gomez21@unisabana.edu.co</t>
  </si>
  <si>
    <t>diana.gomez21@unisabana.edu.co1</t>
  </si>
  <si>
    <t>https://ProfPlanta2024.sawtoothsoftware.com/cgi-bin/ciwweb.pl?studyname=ProfPlanta2024&amp;Correo=diana.gomez21@unisabana.edu.co1</t>
  </si>
  <si>
    <t>diana.munoz5@unisabana.edu.co</t>
  </si>
  <si>
    <t>diana.munoz5@unisabana.edu.co01</t>
  </si>
  <si>
    <t>https://ProfPlanta2024.sawtoothsoftware.com/cgi-bin/ciwweb.pl?studyname=ProfPlanta2024&amp;Correo=diana.munoz5@unisabana.edu.co01</t>
  </si>
  <si>
    <t>diana.obando@unisabana.edu.co</t>
  </si>
  <si>
    <t>diana.obando@unisabana.edu.co01</t>
  </si>
  <si>
    <t>https://ProfPlanta2024.sawtoothsoftware.com/cgi-bin/ciwweb.pl?studyname=ProfPlanta2024&amp;Correo=diana.obando@unisabana.edu.co01</t>
  </si>
  <si>
    <t>diana.obando1@unisabana.edu.co</t>
  </si>
  <si>
    <t>diana.obando1@unisabana.edu.co07</t>
  </si>
  <si>
    <t>https://ProfPlanta2024.sawtoothsoftware.com/cgi-bin/ciwweb.pl?studyname=ProfPlanta2024&amp;Correo=diana.obando1@unisabana.edu.co07</t>
  </si>
  <si>
    <t>dianaar@unisabana.edu.co</t>
  </si>
  <si>
    <t>dianaar@unisabana.edu.co01</t>
  </si>
  <si>
    <t>https://ProfPlanta2024.sawtoothsoftware.com/cgi-bin/ciwweb.pl?studyname=ProfPlanta2024&amp;Correo=dianaar@unisabana.edu.co01</t>
  </si>
  <si>
    <t>dianaar@unisabana.edu.co02</t>
  </si>
  <si>
    <t>https://ProfPlanta2024.sawtoothsoftware.com/cgi-bin/ciwweb.pl?studyname=ProfPlanta2024&amp;Correo=dianaar@unisabana.edu.co02</t>
  </si>
  <si>
    <t>dianaar@unisabana.edu.co1</t>
  </si>
  <si>
    <t>https://ProfPlanta2024.sawtoothsoftware.com/cgi-bin/ciwweb.pl?studyname=ProfPlanta2024&amp;Correo=dianaar@unisabana.edu.co1</t>
  </si>
  <si>
    <t>diego.aldana@unisabana.edu.co</t>
  </si>
  <si>
    <t>diego.aldana@unisabana.edu.co1</t>
  </si>
  <si>
    <t>https://ProfPlanta2024.sawtoothsoftware.com/cgi-bin/ciwweb.pl?studyname=ProfPlanta2024&amp;Correo=diego.aldana@unisabana.edu.co1</t>
  </si>
  <si>
    <t>diego.becerra2@unisabana.edu.co</t>
  </si>
  <si>
    <t>diego.becerra2@unisabana.edu.co01</t>
  </si>
  <si>
    <t>https://ProfPlanta2024.sawtoothsoftware.com/cgi-bin/ciwweb.pl?studyname=ProfPlanta2024&amp;Correo=diego.becerra2@unisabana.edu.co01</t>
  </si>
  <si>
    <t>diego.becerra2@unisabana.edu.co02</t>
  </si>
  <si>
    <t>https://ProfPlanta2024.sawtoothsoftware.com/cgi-bin/ciwweb.pl?studyname=ProfPlanta2024&amp;Correo=diego.becerra2@unisabana.edu.co02</t>
  </si>
  <si>
    <t>diego.becerra2@unisabana.edu.co1</t>
  </si>
  <si>
    <t>https://ProfPlanta2024.sawtoothsoftware.com/cgi-bin/ciwweb.pl?studyname=ProfPlanta2024&amp;Correo=diego.becerra2@unisabana.edu.co1</t>
  </si>
  <si>
    <t>diego.carvajal1@unisabana.edu.co</t>
  </si>
  <si>
    <t>diego.carvajal1@unisabana.edu.co1</t>
  </si>
  <si>
    <t>https://ProfPlanta2024.sawtoothsoftware.com/cgi-bin/ciwweb.pl?studyname=ProfPlanta2024&amp;Correo=diego.carvajal1@unisabana.edu.co1</t>
  </si>
  <si>
    <t>diego.duarte1@unisabana.edu.co</t>
  </si>
  <si>
    <t>diego.duarte1@unisabana.edu.co1</t>
  </si>
  <si>
    <t>https://ProfPlanta2024.sawtoothsoftware.com/cgi-bin/ciwweb.pl?studyname=ProfPlanta2024&amp;Correo=diego.duarte1@unisabana.edu.co1</t>
  </si>
  <si>
    <t>diego.josa1@unisabana.edu.co</t>
  </si>
  <si>
    <t>diego.josa1@unisabana.edu.co1</t>
  </si>
  <si>
    <t>https://ProfPlanta2024.sawtoothsoftware.com/cgi-bin/ciwweb.pl?studyname=ProfPlanta2024&amp;Correo=diego.josa1@unisabana.edu.co1</t>
  </si>
  <si>
    <t>diego.rodriguez3@unisabana.edu.co</t>
  </si>
  <si>
    <t>diego.rodriguez3@unisabana.edu.co1</t>
  </si>
  <si>
    <t>https://ProfPlanta2024.sawtoothsoftware.com/cgi-bin/ciwweb.pl?studyname=ProfPlanta2024&amp;Correo=diego.rodriguez3@unisabana.edu.co1</t>
  </si>
  <si>
    <t>diego.rodriguez3@unisabana.edu.co2</t>
  </si>
  <si>
    <t>https://ProfPlanta2024.sawtoothsoftware.com/cgi-bin/ciwweb.pl?studyname=ProfPlanta2024&amp;Correo=diego.rodriguez3@unisabana.edu.co2</t>
  </si>
  <si>
    <t>diego.sandoval@unisabana.edu.co</t>
  </si>
  <si>
    <t>diego.sandoval@unisabana.edu.co1</t>
  </si>
  <si>
    <t>https://ProfPlanta2024.sawtoothsoftware.com/cgi-bin/ciwweb.pl?studyname=ProfPlanta2024&amp;Correo=diego.sandoval@unisabana.edu.co1</t>
  </si>
  <si>
    <t>diego.sierra1@clinicaunisabana.edu.co</t>
  </si>
  <si>
    <t>diego.sierra1@clinicaunisabana.edu.co01</t>
  </si>
  <si>
    <t>https://ProfPlanta2024.sawtoothsoftware.com/cgi-bin/ciwweb.pl?studyname=ProfPlanta2024&amp;Correo=diego.sierra1@clinicaunisabana.edu.co01</t>
  </si>
  <si>
    <t>diego.sierra1@clinicaunisabana.edu.co1</t>
  </si>
  <si>
    <t>https://ProfPlanta2024.sawtoothsoftware.com/cgi-bin/ciwweb.pl?studyname=ProfPlanta2024&amp;Correo=diego.sierra1@clinicaunisabana.edu.co1</t>
  </si>
  <si>
    <t>edgar.lizcano@unisabana.edu.co</t>
  </si>
  <si>
    <t>edgar.lizcano@unisabana.edu.co1</t>
  </si>
  <si>
    <t>https://ProfPlanta2024.sawtoothsoftware.com/cgi-bin/ciwweb.pl?studyname=ProfPlanta2024&amp;Correo=edgar.lizcano@unisabana.edu.co1</t>
  </si>
  <si>
    <t>edgar.mayorga@unisabana.edu.co</t>
  </si>
  <si>
    <t>edgar.mayorga@unisabana.edu.co01</t>
  </si>
  <si>
    <t>https://ProfPlanta2024.sawtoothsoftware.com/cgi-bin/ciwweb.pl?studyname=ProfPlanta2024&amp;Correo=edgar.mayorga@unisabana.edu.co01</t>
  </si>
  <si>
    <t>edgar.mayorga@unisabana.edu.co1</t>
  </si>
  <si>
    <t>https://ProfPlanta2024.sawtoothsoftware.com/cgi-bin/ciwweb.pl?studyname=ProfPlanta2024&amp;Correo=edgar.mayorga@unisabana.edu.co1</t>
  </si>
  <si>
    <t>edgar.riveros@unisabana.edu.co</t>
  </si>
  <si>
    <t>edgar.riveros@unisabana.edu.co07</t>
  </si>
  <si>
    <t>https://ProfPlanta2024.sawtoothsoftware.com/cgi-bin/ciwweb.pl?studyname=ProfPlanta2024&amp;Correo=edgar.riveros@unisabana.edu.co07</t>
  </si>
  <si>
    <t>edgar.riveros@unisabana.edu.co1</t>
  </si>
  <si>
    <t>https://ProfPlanta2024.sawtoothsoftware.com/cgi-bin/ciwweb.pl?studyname=ProfPlanta2024&amp;Correo=edgar.riveros@unisabana.edu.co1</t>
  </si>
  <si>
    <t>edilberto.garcia1@unisabana.edu.co</t>
  </si>
  <si>
    <t>edilberto.garcia1@unisabana.edu.co1</t>
  </si>
  <si>
    <t>https://ProfPlanta2024.sawtoothsoftware.com/cgi-bin/ciwweb.pl?studyname=ProfPlanta2024&amp;Correo=edilberto.garcia1@unisabana.edu.co1</t>
  </si>
  <si>
    <t>edward.acero@unisabana.edu.co</t>
  </si>
  <si>
    <t>edward.acero@unisabana.edu.co1</t>
  </si>
  <si>
    <t>https://ProfPlanta2024.sawtoothsoftware.com/cgi-bin/ciwweb.pl?studyname=ProfPlanta2024&amp;Correo=edward.acero@unisabana.edu.co1</t>
  </si>
  <si>
    <t>edward.goyeneche@unisabana.edu.co</t>
  </si>
  <si>
    <t>edward.goyeneche@unisabana.edu.co01</t>
  </si>
  <si>
    <t>https://ProfPlanta2024.sawtoothsoftware.com/cgi-bin/ciwweb.pl?studyname=ProfPlanta2024&amp;Correo=edward.goyeneche@unisabana.edu.co01</t>
  </si>
  <si>
    <t>edward.goyeneche@unisabana.edu.co1</t>
  </si>
  <si>
    <t>https://ProfPlanta2024.sawtoothsoftware.com/cgi-bin/ciwweb.pl?studyname=ProfPlanta2024&amp;Correo=edward.goyeneche@unisabana.edu.co1</t>
  </si>
  <si>
    <t>edwinchp@unisabana.edu.co</t>
  </si>
  <si>
    <t>edwinchp@unisabana.edu.co1</t>
  </si>
  <si>
    <t>https://ProfPlanta2024.sawtoothsoftware.com/cgi-bin/ciwweb.pl?studyname=ProfPlanta2024&amp;Correo=edwinchp@unisabana.edu.co1</t>
  </si>
  <si>
    <t>elga.vargas@unisabana.edu.co</t>
  </si>
  <si>
    <t>elga.vargas@unisabana.edu.co1</t>
  </si>
  <si>
    <t>https://ProfPlanta2024.sawtoothsoftware.com/cgi-bin/ciwweb.pl?studyname=ProfPlanta2024&amp;Correo=elga.vargas@unisabana.edu.co1</t>
  </si>
  <si>
    <t>erick.vilaro@unisabana.edu.co</t>
  </si>
  <si>
    <t>erick.vilaro@unisabana.edu.co1</t>
  </si>
  <si>
    <t>https://ProfPlanta2024.sawtoothsoftware.com/cgi-bin/ciwweb.pl?studyname=ProfPlanta2024&amp;Correo=erick.vilaro@unisabana.edu.co1</t>
  </si>
  <si>
    <t>erika.duque@unisabana.edu.co</t>
  </si>
  <si>
    <t>erika.duque@unisabana.edu.co1</t>
  </si>
  <si>
    <t>https://ProfPlanta2024.sawtoothsoftware.com/cgi-bin/ciwweb.pl?studyname=ProfPlanta2024&amp;Correo=erika.duque@unisabana.edu.co1</t>
  </si>
  <si>
    <t>erlyn.solano@unisabana.edu.co</t>
  </si>
  <si>
    <t>erlyn.solano@unisabana.edu.co1</t>
  </si>
  <si>
    <t>https://ProfPlanta2024.sawtoothsoftware.com/cgi-bin/ciwweb.pl?studyname=ProfPlanta2024&amp;Correo=erlyn.solano@unisabana.edu.co1</t>
  </si>
  <si>
    <t>erwin.hernandez1@unisabana.edu.co</t>
  </si>
  <si>
    <t>erwin.hernandez1@unisabana.edu.co01</t>
  </si>
  <si>
    <t>https://ProfPlanta2024.sawtoothsoftware.com/cgi-bin/ciwweb.pl?studyname=ProfPlanta2024&amp;Correo=erwin.hernandez1@unisabana.edu.co01</t>
  </si>
  <si>
    <t>erwin.hernandez1@unisabana.edu.co1</t>
  </si>
  <si>
    <t>https://ProfPlanta2024.sawtoothsoftware.com/cgi-bin/ciwweb.pl?studyname=ProfPlanta2024&amp;Correo=erwin.hernandez1@unisabana.edu.co1</t>
  </si>
  <si>
    <t>esteban.lopez1@unisabana.edu.co</t>
  </si>
  <si>
    <t>esteban.lopez1@unisabana.edu.co01</t>
  </si>
  <si>
    <t>https://ProfPlanta2024.sawtoothsoftware.com/cgi-bin/ciwweb.pl?studyname=ProfPlanta2024&amp;Correo=esteban.lopez1@unisabana.edu.co01</t>
  </si>
  <si>
    <t>esteban.lopez1@unisabana.edu.co1</t>
  </si>
  <si>
    <t>https://ProfPlanta2024.sawtoothsoftware.com/cgi-bin/ciwweb.pl?studyname=ProfPlanta2024&amp;Correo=esteban.lopez1@unisabana.edu.co1</t>
  </si>
  <si>
    <t>estefania.losada@unisabana.edu.co</t>
  </si>
  <si>
    <t>estefania.losada@unisabana.edu.co1</t>
  </si>
  <si>
    <t>https://ProfPlanta2024.sawtoothsoftware.com/cgi-bin/ciwweb.pl?studyname=ProfPlanta2024&amp;Correo=estefania.losada@unisabana.edu.co1</t>
  </si>
  <si>
    <t>fabio.victorino1@unisabana.edu.co</t>
  </si>
  <si>
    <t>fabio.victorino1@unisabana.edu.co01</t>
  </si>
  <si>
    <t>https://ProfPlanta2024.sawtoothsoftware.com/cgi-bin/ciwweb.pl?studyname=ProfPlanta2024&amp;Correo=fabio.victorino1@unisabana.edu.co01</t>
  </si>
  <si>
    <t>fabio.victorino1@unisabana.edu.co02</t>
  </si>
  <si>
    <t>https://ProfPlanta2024.sawtoothsoftware.com/cgi-bin/ciwweb.pl?studyname=ProfPlanta2024&amp;Correo=fabio.victorino1@unisabana.edu.co02</t>
  </si>
  <si>
    <t>fanny.almenarez@unisabana.edu.co</t>
  </si>
  <si>
    <t>fanny.almenarez@unisabana.edu.co1</t>
  </si>
  <si>
    <t>https://ProfPlanta2024.sawtoothsoftware.com/cgi-bin/ciwweb.pl?studyname=ProfPlanta2024&amp;Correo=fanny.almenarez@unisabana.edu.co1</t>
  </si>
  <si>
    <t>felipe.cardenas@unisabana.edu.co</t>
  </si>
  <si>
    <t>felipe.cardenas@unisabana.edu.co01</t>
  </si>
  <si>
    <t>https://ProfPlanta2024.sawtoothsoftware.com/cgi-bin/ciwweb.pl?studyname=ProfPlanta2024&amp;Correo=felipe.cardenas@unisabana.edu.co01</t>
  </si>
  <si>
    <t>felipe.cardenas@unisabana.edu.co02</t>
  </si>
  <si>
    <t>https://ProfPlanta2024.sawtoothsoftware.com/cgi-bin/ciwweb.pl?studyname=ProfPlanta2024&amp;Correo=felipe.cardenas@unisabana.edu.co02</t>
  </si>
  <si>
    <t>felipe.cardenas@unisabana.edu.co03</t>
  </si>
  <si>
    <t>https://ProfPlanta2024.sawtoothsoftware.com/cgi-bin/ciwweb.pl?studyname=ProfPlanta2024&amp;Correo=felipe.cardenas@unisabana.edu.co03</t>
  </si>
  <si>
    <t>felipe.cardenas@unisabana.edu.co04</t>
  </si>
  <si>
    <t>https://ProfPlanta2024.sawtoothsoftware.com/cgi-bin/ciwweb.pl?studyname=ProfPlanta2024&amp;Correo=felipe.cardenas@unisabana.edu.co04</t>
  </si>
  <si>
    <t>felipe.cardenas@unisabana.edu.co1</t>
  </si>
  <si>
    <t>https://ProfPlanta2024.sawtoothsoftware.com/cgi-bin/ciwweb.pl?studyname=ProfPlanta2024&amp;Correo=felipe.cardenas@unisabana.edu.co1</t>
  </si>
  <si>
    <t>felipe.castilla1@unisabana.edu.co</t>
  </si>
  <si>
    <t>felipe.castilla1@unisabana.edu.co1</t>
  </si>
  <si>
    <t>https://ProfPlanta2024.sawtoothsoftware.com/cgi-bin/ciwweb.pl?studyname=ProfPlanta2024&amp;Correo=felipe.castilla1@unisabana.edu.co1</t>
  </si>
  <si>
    <t>felix.mohr@unisabana.edu.co</t>
  </si>
  <si>
    <t>felix.mohr@unisabana.edu.co01</t>
  </si>
  <si>
    <t>https://ProfPlanta2024.sawtoothsoftware.com/cgi-bin/ciwweb.pl?studyname=ProfPlanta2024&amp;Correo=felix.mohr@unisabana.edu.co01</t>
  </si>
  <si>
    <t>felix.mohr@unisabana.edu.co1</t>
  </si>
  <si>
    <t>https://ProfPlanta2024.sawtoothsoftware.com/cgi-bin/ciwweb.pl?studyname=ProfPlanta2024&amp;Correo=felix.mohr@unisabana.edu.co1</t>
  </si>
  <si>
    <t>fernando.cvitanic@unisabana.edu.co</t>
  </si>
  <si>
    <t>fernando.cvitanic@unisabana.edu.co1</t>
  </si>
  <si>
    <t>https://ProfPlanta2024.sawtoothsoftware.com/cgi-bin/ciwweb.pl?studyname=ProfPlanta2024&amp;Correo=fernando.cvitanic@unisabana.edu.co1</t>
  </si>
  <si>
    <t>fernando.cvitanic@unisabana.edu.co2</t>
  </si>
  <si>
    <t>https://ProfPlanta2024.sawtoothsoftware.com/cgi-bin/ciwweb.pl?studyname=ProfPlanta2024&amp;Correo=fernando.cvitanic@unisabana.edu.co2</t>
  </si>
  <si>
    <t>fernando.cvitanic@unisabana.edu.co3</t>
  </si>
  <si>
    <t>https://ProfPlanta2024.sawtoothsoftware.com/cgi-bin/ciwweb.pl?studyname=ProfPlanta2024&amp;Correo=fernando.cvitanic@unisabana.edu.co3</t>
  </si>
  <si>
    <t>fernando.lizcano@unisabana.edu.co</t>
  </si>
  <si>
    <t>fernando.lizcano@unisabana.edu.co01</t>
  </si>
  <si>
    <t>https://ProfPlanta2024.sawtoothsoftware.com/cgi-bin/ciwweb.pl?studyname=ProfPlanta2024&amp;Correo=fernando.lizcano@unisabana.edu.co01</t>
  </si>
  <si>
    <t>fernando.lizcano@unisabana.edu.co1</t>
  </si>
  <si>
    <t>https://ProfPlanta2024.sawtoothsoftware.com/cgi-bin/ciwweb.pl?studyname=ProfPlanta2024&amp;Correo=fernando.lizcano@unisabana.edu.co1</t>
  </si>
  <si>
    <t>fernando.rios@unisabana.edu.co</t>
  </si>
  <si>
    <t>fernando.rios@unisabana.edu.co01</t>
  </si>
  <si>
    <t>https://ProfPlanta2024.sawtoothsoftware.com/cgi-bin/ciwweb.pl?studyname=ProfPlanta2024&amp;Correo=fernando.rios@unisabana.edu.co01</t>
  </si>
  <si>
    <t>fernando.rios@unisabana.edu.co1</t>
  </si>
  <si>
    <t>https://ProfPlanta2024.sawtoothsoftware.com/cgi-bin/ciwweb.pl?studyname=ProfPlanta2024&amp;Correo=fernando.rios@unisabana.edu.co1</t>
  </si>
  <si>
    <t>flor.baracaldo@unisabana.edu.co02</t>
  </si>
  <si>
    <t>https://ProfPlanta2024.sawtoothsoftware.com/cgi-bin/ciwweb.pl?studyname=ProfPlanta2024&amp;Correo=flor.baracaldo@unisabana.edu.co02</t>
  </si>
  <si>
    <t>flor.baracaldo@unisabana.edu.co1</t>
  </si>
  <si>
    <t>https://ProfPlanta2024.sawtoothsoftware.com/cgi-bin/ciwweb.pl?studyname=ProfPlanta2024&amp;Correo=flor.baracaldo@unisabana.edu.co1</t>
  </si>
  <si>
    <t>francisco.lamus@unisabana.edu.co</t>
  </si>
  <si>
    <t>francisco.lamus@unisabana.edu.co01</t>
  </si>
  <si>
    <t>https://ProfPlanta2024.sawtoothsoftware.com/cgi-bin/ciwweb.pl?studyname=ProfPlanta2024&amp;Correo=francisco.lamus@unisabana.edu.co01</t>
  </si>
  <si>
    <t>gabriel.soche@unisabana.edu.co</t>
  </si>
  <si>
    <t>gabriel.soche@unisabana.edu.co01</t>
  </si>
  <si>
    <t>https://ProfPlanta2024.sawtoothsoftware.com/cgi-bin/ciwweb.pl?studyname=ProfPlanta2024&amp;Correo=gabriel.soche@unisabana.edu.co01</t>
  </si>
  <si>
    <t>gabriel.soche@unisabana.edu.co1</t>
  </si>
  <si>
    <t>https://ProfPlanta2024.sawtoothsoftware.com/cgi-bin/ciwweb.pl?studyname=ProfPlanta2024&amp;Correo=gabriel.soche@unisabana.edu.co1</t>
  </si>
  <si>
    <t>gabriela.caez@unisabana.edu.co</t>
  </si>
  <si>
    <t>gabriela.caez@unisabana.edu.co01</t>
  </si>
  <si>
    <t>https://ProfPlanta2024.sawtoothsoftware.com/cgi-bin/ciwweb.pl?studyname=ProfPlanta2024&amp;Correo=gabriela.caez@unisabana.edu.co01</t>
  </si>
  <si>
    <t>gabriela.caez@unisabana.edu.co1</t>
  </si>
  <si>
    <t>https://ProfPlanta2024.sawtoothsoftware.com/cgi-bin/ciwweb.pl?studyname=ProfPlanta2024&amp;Correo=gabriela.caez@unisabana.edu.co1</t>
  </si>
  <si>
    <t>gabriela.caez@unisabana.edu.co2</t>
  </si>
  <si>
    <t>https://ProfPlanta2024.sawtoothsoftware.com/cgi-bin/ciwweb.pl?studyname=ProfPlanta2024&amp;Correo=gabriela.caez@unisabana.edu.co2</t>
  </si>
  <si>
    <t>gilberto.gamboa@unisabana.edu.co</t>
  </si>
  <si>
    <t>gilberto.gamboa@unisabana.edu.co01</t>
  </si>
  <si>
    <t>https://ProfPlanta2024.sawtoothsoftware.com/cgi-bin/ciwweb.pl?studyname=ProfPlanta2024&amp;Correo=gilberto.gamboa@unisabana.edu.co01</t>
  </si>
  <si>
    <t>gilberto.gamboa@unisabana.edu.co1</t>
  </si>
  <si>
    <t>https://ProfPlanta2024.sawtoothsoftware.com/cgi-bin/ciwweb.pl?studyname=ProfPlanta2024&amp;Correo=gilberto.gamboa@unisabana.edu.co1</t>
  </si>
  <si>
    <t>gina.velasco@unisabana.edu.co</t>
  </si>
  <si>
    <t>gina.velasco@unisabana.edu.co1</t>
  </si>
  <si>
    <t>https://ProfPlanta2024.sawtoothsoftware.com/cgi-bin/ciwweb.pl?studyname=ProfPlanta2024&amp;Correo=gina.velasco@unisabana.edu.co1</t>
  </si>
  <si>
    <t>ginnagl@unisabana.edu.co</t>
  </si>
  <si>
    <t>Ginnagl@unisabana.edu.co01</t>
  </si>
  <si>
    <t>https://ProfPlanta2024.sawtoothsoftware.com/cgi-bin/ciwweb.pl?studyname=ProfPlanta2024&amp;Correo=Ginnagl@unisabana.edu.co01</t>
  </si>
  <si>
    <t>Ginnagl@unisabana.edu.co1</t>
  </si>
  <si>
    <t>https://ProfPlanta2024.sawtoothsoftware.com/cgi-bin/ciwweb.pl?studyname=ProfPlanta2024&amp;Correo=Ginnagl@unisabana.edu.co1</t>
  </si>
  <si>
    <t>giovana.rojas@unisabana.edu.co</t>
  </si>
  <si>
    <t>giovana.rojas@unisabana.edu.co1</t>
  </si>
  <si>
    <t>https://ProfPlanta2024.sawtoothsoftware.com/cgi-bin/ciwweb.pl?studyname=ProfPlanta2024&amp;Correo=giovana.rojas@unisabana.edu.co1</t>
  </si>
  <si>
    <t>giovanni.hernandez@unisabana.edu.co</t>
  </si>
  <si>
    <t>giovanni.hernandez@unisabana.edu.co01</t>
  </si>
  <si>
    <t>https://ProfPlanta2024.sawtoothsoftware.com/cgi-bin/ciwweb.pl?studyname=ProfPlanta2024&amp;Correo=giovanni.hernandez@unisabana.edu.co01</t>
  </si>
  <si>
    <t>giovanni.hernandez@unisabana.edu.co02</t>
  </si>
  <si>
    <t>https://ProfPlanta2024.sawtoothsoftware.com/cgi-bin/ciwweb.pl?studyname=ProfPlanta2024&amp;Correo=giovanni.hernandez@unisabana.edu.co02</t>
  </si>
  <si>
    <t>giovanni.hernandez@unisabana.edu.co03</t>
  </si>
  <si>
    <t>https://ProfPlanta2024.sawtoothsoftware.com/cgi-bin/ciwweb.pl?studyname=ProfPlanta2024&amp;Correo=giovanni.hernandez@unisabana.edu.co03</t>
  </si>
  <si>
    <t>giovanni.hernandez@unisabana.edu.co04</t>
  </si>
  <si>
    <t>https://ProfPlanta2024.sawtoothsoftware.com/cgi-bin/ciwweb.pl?studyname=ProfPlanta2024&amp;Correo=giovanni.hernandez@unisabana.edu.co04</t>
  </si>
  <si>
    <t>gloria.carvajal@unisabana.edu.co</t>
  </si>
  <si>
    <t>gloria.carvajal@unisabana.edu.co01</t>
  </si>
  <si>
    <t>https://ProfPlanta2024.sawtoothsoftware.com/cgi-bin/ciwweb.pl?studyname=ProfPlanta2024&amp;Correo=gloria.carvajal@unisabana.edu.co01</t>
  </si>
  <si>
    <t>gloria.carvajal@unisabana.edu.co02</t>
  </si>
  <si>
    <t>https://ProfPlanta2024.sawtoothsoftware.com/cgi-bin/ciwweb.pl?studyname=ProfPlanta2024&amp;Correo=gloria.carvajal@unisabana.edu.co02</t>
  </si>
  <si>
    <t>gloria.carvajal@unisabana.edu.co03</t>
  </si>
  <si>
    <t>https://ProfPlanta2024.sawtoothsoftware.com/cgi-bin/ciwweb.pl?studyname=ProfPlanta2024&amp;Correo=gloria.carvajal@unisabana.edu.co03</t>
  </si>
  <si>
    <t>gonzalo.mejia@unisabana.edu.co</t>
  </si>
  <si>
    <t>gonzalo.mejia@unisabana.edu.co01</t>
  </si>
  <si>
    <t>https://ProfPlanta2024.sawtoothsoftware.com/cgi-bin/ciwweb.pl?studyname=ProfPlanta2024&amp;Correo=gonzalo.mejia@unisabana.edu.co01</t>
  </si>
  <si>
    <t>gonzalo.mejia@unisabana.edu.co02</t>
  </si>
  <si>
    <t>https://ProfPlanta2024.sawtoothsoftware.com/cgi-bin/ciwweb.pl?studyname=ProfPlanta2024&amp;Correo=gonzalo.mejia@unisabana.edu.co02</t>
  </si>
  <si>
    <t>gonzalo.mejia@unisabana.edu.co1</t>
  </si>
  <si>
    <t>https://ProfPlanta2024.sawtoothsoftware.com/cgi-bin/ciwweb.pl?studyname=ProfPlanta2024&amp;Correo=gonzalo.mejia@unisabana.edu.co1</t>
  </si>
  <si>
    <t>https://ProfPlanta2024.sawtoothsoftware.com/cgi-bin/ciwweb.pl?studyname=ProfPlanta2024&amp;Correo=guido.castro@unisabana.edu.co01</t>
  </si>
  <si>
    <t>guido.castro@unisabana.edu.co1</t>
  </si>
  <si>
    <t>https://ProfPlanta2024.sawtoothsoftware.com/cgi-bin/ciwweb.pl?studyname=ProfPlanta2024&amp;Correo=guido.castro@unisabana.edu.co1</t>
  </si>
  <si>
    <t>gustavo.riveros1@unisabana.edu.co</t>
  </si>
  <si>
    <t>gustavo.riveros1@unisabana.edu.co01</t>
  </si>
  <si>
    <t>https://ProfPlanta2024.sawtoothsoftware.com/cgi-bin/ciwweb.pl?studyname=ProfPlanta2024&amp;Correo=gustavo.riveros1@unisabana.edu.co01</t>
  </si>
  <si>
    <t>gustavo.riveros1@unisabana.edu.co02</t>
  </si>
  <si>
    <t>https://ProfPlanta2024.sawtoothsoftware.com/cgi-bin/ciwweb.pl?studyname=ProfPlanta2024&amp;Correo=gustavo.riveros1@unisabana.edu.co02</t>
  </si>
  <si>
    <t>hanier.fajardo@unisabana.edu.co</t>
  </si>
  <si>
    <t>hanier.fajardo@unisabana.edu.co01</t>
  </si>
  <si>
    <t>https://ProfPlanta2024.sawtoothsoftware.com/cgi-bin/ciwweb.pl?studyname=ProfPlanta2024&amp;Correo=hanier.fajardo@unisabana.edu.co01</t>
  </si>
  <si>
    <t>hanier.fajardo@unisabana.edu.co1</t>
  </si>
  <si>
    <t>https://ProfPlanta2024.sawtoothsoftware.com/cgi-bin/ciwweb.pl?studyname=ProfPlanta2024&amp;Correo=hanier.fajardo@unisabana.edu.co1</t>
  </si>
  <si>
    <t>henry.leon@clinicaunisabana.edu.co</t>
  </si>
  <si>
    <t>henry.leon@clinicaunisabana.edu.co1</t>
  </si>
  <si>
    <t>https://ProfPlanta2024.sawtoothsoftware.com/cgi-bin/ciwweb.pl?studyname=ProfPlanta2024&amp;Correo=henry.leon@clinicaunisabana.edu.co1</t>
  </si>
  <si>
    <t>henry.oliveros@unisabana.edu.co</t>
  </si>
  <si>
    <t>henry.oliveros@unisabana.edu.co01</t>
  </si>
  <si>
    <t>https://ProfPlanta2024.sawtoothsoftware.com/cgi-bin/ciwweb.pl?studyname=ProfPlanta2024&amp;Correo=henry.oliveros@unisabana.edu.co01</t>
  </si>
  <si>
    <t>hilba.guzman1@unisabana.edu.co</t>
  </si>
  <si>
    <t>hilba.guzman1@unisabana.edu.co1</t>
  </si>
  <si>
    <t>https://ProfPlanta2024.sawtoothsoftware.com/cgi-bin/ciwweb.pl?studyname=ProfPlanta2024&amp;Correo=hilba.guzman1@unisabana.edu.co1</t>
  </si>
  <si>
    <t>ignacio.briceno@unisabana.edu.co</t>
  </si>
  <si>
    <t>ignacio.briceno@unisabana.edu.co01</t>
  </si>
  <si>
    <t>https://ProfPlanta2024.sawtoothsoftware.com/cgi-bin/ciwweb.pl?studyname=ProfPlanta2024&amp;Correo=ignacio.briceno@unisabana.edu.co01</t>
  </si>
  <si>
    <t>ignacio.briceno@unisabana.edu.co1</t>
  </si>
  <si>
    <t>https://ProfPlanta2024.sawtoothsoftware.com/cgi-bin/ciwweb.pl?studyname=ProfPlanta2024&amp;Correo=ignacio.briceno@unisabana.edu.co1</t>
  </si>
  <si>
    <t>indira.rodriguez@unisabana.edu.co</t>
  </si>
  <si>
    <t>indira.rodriguez@unisabana.edu.co01</t>
  </si>
  <si>
    <t>https://ProfPlanta2024.sawtoothsoftware.com/cgi-bin/ciwweb.pl?studyname=ProfPlanta2024&amp;Correo=indira.rodriguez@unisabana.edu.co01</t>
  </si>
  <si>
    <t>indira.rodriguez@unisabana.edu.co02</t>
  </si>
  <si>
    <t>https://ProfPlanta2024.sawtoothsoftware.com/cgi-bin/ciwweb.pl?studyname=ProfPlanta2024&amp;Correo=indira.rodriguez@unisabana.edu.co02</t>
  </si>
  <si>
    <t>indira.rodriguez@unisabana.edu.co1</t>
  </si>
  <si>
    <t>https://ProfPlanta2024.sawtoothsoftware.com/cgi-bin/ciwweb.pl?studyname=ProfPlanta2024&amp;Correo=indira.rodriguez@unisabana.edu.co1</t>
  </si>
  <si>
    <t>indira.sotelo@unisabana.edu.co</t>
  </si>
  <si>
    <t>indira.sotelo@unisabana.edu.co01</t>
  </si>
  <si>
    <t>https://ProfPlanta2024.sawtoothsoftware.com/cgi-bin/ciwweb.pl?studyname=ProfPlanta2024&amp;Correo=indira.sotelo@unisabana.edu.co01</t>
  </si>
  <si>
    <t>ingrid.ruiz@unisabana.edu.co</t>
  </si>
  <si>
    <t>ingrid.ruiz@unisabana.edu.co1</t>
  </si>
  <si>
    <t>https://ProfPlanta2024.sawtoothsoftware.com/cgi-bin/ciwweb.pl?studyname=ProfPlanta2024&amp;Correo=ingrid.ruiz@unisabana.edu.co1</t>
  </si>
  <si>
    <t>ivan.cabeza@unisabana.edu.co</t>
  </si>
  <si>
    <t>ivan.cabeza@unisabana.edu.co01</t>
  </si>
  <si>
    <t>https://ProfPlanta2024.sawtoothsoftware.com/cgi-bin/ciwweb.pl?studyname=ProfPlanta2024&amp;Correo=ivan.cabeza@unisabana.edu.co01</t>
  </si>
  <si>
    <t>ivan.cabeza@unisabana.edu.co2</t>
  </si>
  <si>
    <t>https://ProfPlanta2024.sawtoothsoftware.com/cgi-bin/ciwweb.pl?studyname=ProfPlanta2024&amp;Correo=ivan.cabeza@unisabana.edu.co2</t>
  </si>
  <si>
    <t>ivan.serrano@unisabana.edu.co</t>
  </si>
  <si>
    <t>ivan.serrano@unisabana.edu.co01</t>
  </si>
  <si>
    <t>https://ProfPlanta2024.sawtoothsoftware.com/cgi-bin/ciwweb.pl?studyname=ProfPlanta2024&amp;Correo=ivan.serrano@unisabana.edu.co01</t>
  </si>
  <si>
    <t>ivan.serrano@unisabana.edu.co1</t>
  </si>
  <si>
    <t>https://ProfPlanta2024.sawtoothsoftware.com/cgi-bin/ciwweb.pl?studyname=ProfPlanta2024&amp;Correo=ivan.serrano@unisabana.edu.co1</t>
  </si>
  <si>
    <t>ivanma@unisabana.edu.co</t>
  </si>
  <si>
    <t>IvanMA@unisabana.edu.co01</t>
  </si>
  <si>
    <t>https://ProfPlanta2024.sawtoothsoftware.com/cgi-bin/ciwweb.pl?studyname=ProfPlanta2024&amp;Correo=IvanMA@unisabana.edu.co01</t>
  </si>
  <si>
    <t>ivon.guevara@unisabana.edu.co</t>
  </si>
  <si>
    <t>ivon.guevara@unisabana.edu.co1</t>
  </si>
  <si>
    <t>https://ProfPlanta2024.sawtoothsoftware.com/cgi-bin/ciwweb.pl?studyname=ProfPlanta2024&amp;Correo=ivon.guevara@unisabana.edu.co1</t>
  </si>
  <si>
    <t>ivonpaca@unisabana.edu.co</t>
  </si>
  <si>
    <t>IVONPACA@UNISABANA.EDU.CO1</t>
  </si>
  <si>
    <t>https://ProfPlanta2024.sawtoothsoftware.com/cgi-bin/ciwweb.pl?studyname=ProfPlanta2024&amp;Correo=IVONPACA@UNISABANA.EDU.CO1</t>
  </si>
  <si>
    <t>https://ProfPlanta2024.sawtoothsoftware.com/cgi-bin/ciwweb.pl?studyname=ProfPlanta2024&amp;Correo=Jaime.Rodriguez3@unisabana.edu.co01</t>
  </si>
  <si>
    <t>Jaime.Rodriguez3@unisabana.edu.co02</t>
  </si>
  <si>
    <t>https://ProfPlanta2024.sawtoothsoftware.com/cgi-bin/ciwweb.pl?studyname=ProfPlanta2024&amp;Correo=Jaime.Rodriguez3@unisabana.edu.co02</t>
  </si>
  <si>
    <t>Jaime.Rodriguez3@unisabana.edu.co1</t>
  </si>
  <si>
    <t>https://ProfPlanta2024.sawtoothsoftware.com/cgi-bin/ciwweb.pl?studyname=ProfPlanta2024&amp;Correo=Jaime.Rodriguez3@unisabana.edu.co1</t>
  </si>
  <si>
    <t>jaimefe@unisabana.edu.co</t>
  </si>
  <si>
    <t>JaimeFe@unisabana.edu.co01</t>
  </si>
  <si>
    <t>https://ProfPlanta2024.sawtoothsoftware.com/cgi-bin/ciwweb.pl?studyname=ProfPlanta2024&amp;Correo=JaimeFe@unisabana.edu.co01</t>
  </si>
  <si>
    <t>JaimeFe@unisabana.edu.co1</t>
  </si>
  <si>
    <t>https://ProfPlanta2024.sawtoothsoftware.com/cgi-bin/ciwweb.pl?studyname=ProfPlanta2024&amp;Correo=JaimeFe@unisabana.edu.co1</t>
  </si>
  <si>
    <t>jairo.jimenez2@unisabana.edu.co</t>
  </si>
  <si>
    <t>Jairo.Jimenez2@unisabana.edu.co01</t>
  </si>
  <si>
    <t>https://ProfPlanta2024.sawtoothsoftware.com/cgi-bin/ciwweb.pl?studyname=ProfPlanta2024&amp;Correo=Jairo.Jimenez2@unisabana.edu.co01</t>
  </si>
  <si>
    <t>Jairo.Jimenez2@unisabana.edu.co02</t>
  </si>
  <si>
    <t>https://ProfPlanta2024.sawtoothsoftware.com/cgi-bin/ciwweb.pl?studyname=ProfPlanta2024&amp;Correo=Jairo.Jimenez2@unisabana.edu.co02</t>
  </si>
  <si>
    <t>jairo.montoya@unisabana.edu.co</t>
  </si>
  <si>
    <t>jairo.montoya@unisabana.edu.co01</t>
  </si>
  <si>
    <t>https://ProfPlanta2024.sawtoothsoftware.com/cgi-bin/ciwweb.pl?studyname=ProfPlanta2024&amp;Correo=jairo.montoya@unisabana.edu.co01</t>
  </si>
  <si>
    <t>jairo.montoya@unisabana.edu.co02</t>
  </si>
  <si>
    <t>https://ProfPlanta2024.sawtoothsoftware.com/cgi-bin/ciwweb.pl?studyname=ProfPlanta2024&amp;Correo=jairo.montoya@unisabana.edu.co02</t>
  </si>
  <si>
    <t>janeth.lizcano@unisabana.edu.co</t>
  </si>
  <si>
    <t>janeth.lizcano@unisabana.edu.co1</t>
  </si>
  <si>
    <t>https://ProfPlanta2024.sawtoothsoftware.com/cgi-bin/ciwweb.pl?studyname=ProfPlanta2024&amp;Correo=janeth.lizcano@unisabana.edu.co1</t>
  </si>
  <si>
    <t>javier.mayorga@unisabana.edu.co</t>
  </si>
  <si>
    <t>javier.mayorga@unisabana.edu.co01</t>
  </si>
  <si>
    <t>https://ProfPlanta2024.sawtoothsoftware.com/cgi-bin/ciwweb.pl?studyname=ProfPlanta2024&amp;Correo=javier.mayorga@unisabana.edu.co01</t>
  </si>
  <si>
    <t>javierpc@unisabana.edu.co</t>
  </si>
  <si>
    <t>Javierpc@unisabana.edu.co1</t>
  </si>
  <si>
    <t>https://ProfPlanta2024.sawtoothsoftware.com/cgi-bin/ciwweb.pl?studyname=ProfPlanta2024&amp;Correo=Javierpc@unisabana.edu.co1</t>
  </si>
  <si>
    <t>Javierpc@unisabana.edu.co2</t>
  </si>
  <si>
    <t>https://ProfPlanta2024.sawtoothsoftware.com/cgi-bin/ciwweb.pl?studyname=ProfPlanta2024&amp;Correo=Javierpc@unisabana.edu.co2</t>
  </si>
  <si>
    <t>Javierpc@unisabana.edu.co3</t>
  </si>
  <si>
    <t>https://ProfPlanta2024.sawtoothsoftware.com/cgi-bin/ciwweb.pl?studyname=ProfPlanta2024&amp;Correo=Javierpc@unisabana.edu.co3</t>
  </si>
  <si>
    <t>jenny.rodriguez11@unisabana.edu.co</t>
  </si>
  <si>
    <t>jenny.rodriguez11@unisabana.edu.co1</t>
  </si>
  <si>
    <t>https://ProfPlanta2024.sawtoothsoftware.com/cgi-bin/ciwweb.pl?studyname=ProfPlanta2024&amp;Correo=jenny.rodriguez11@unisabana.edu.co1</t>
  </si>
  <si>
    <t>jennyfer.camargo@unisabana.edu.co</t>
  </si>
  <si>
    <t>jennyfer.camargo@unisabana.edu.co1</t>
  </si>
  <si>
    <t>https://ProfPlanta2024.sawtoothsoftware.com/cgi-bin/ciwweb.pl?studyname=ProfPlanta2024&amp;Correo=jennyfer.camargo@unisabana.edu.co1</t>
  </si>
  <si>
    <t>jeronimo.rivera@unisabana.edu.co</t>
  </si>
  <si>
    <t>jeronimo.rivera@unisabana.edu.co01</t>
  </si>
  <si>
    <t>https://ProfPlanta2024.sawtoothsoftware.com/cgi-bin/ciwweb.pl?studyname=ProfPlanta2024&amp;Correo=jeronimo.rivera@unisabana.edu.co01</t>
  </si>
  <si>
    <t>jesus.girado@unisabana.edu.co01</t>
  </si>
  <si>
    <t>https://ProfPlanta2024.sawtoothsoftware.com/cgi-bin/ciwweb.pl?studyname=ProfPlanta2024&amp;Correo=jesus.girado@unisabana.edu.co01</t>
  </si>
  <si>
    <t>jimmy.mendieta@unisabana.edu.co</t>
  </si>
  <si>
    <t>jimmy.mendieta@unisabana.edu.co01</t>
  </si>
  <si>
    <t>https://ProfPlanta2024.sawtoothsoftware.com/cgi-bin/ciwweb.pl?studyname=ProfPlanta2024&amp;Correo=jimmy.mendieta@unisabana.edu.co01</t>
  </si>
  <si>
    <t>jimmy.mendieta@unisabana.edu.co02</t>
  </si>
  <si>
    <t>https://ProfPlanta2024.sawtoothsoftware.com/cgi-bin/ciwweb.pl?studyname=ProfPlanta2024&amp;Correo=jimmy.mendieta@unisabana.edu.co02</t>
  </si>
  <si>
    <t>jimmy.mendieta@unisabana.edu.co1</t>
  </si>
  <si>
    <t>https://ProfPlanta2024.sawtoothsoftware.com/cgi-bin/ciwweb.pl?studyname=ProfPlanta2024&amp;Correo=jimmy.mendieta@unisabana.edu.co1</t>
  </si>
  <si>
    <t>jimmy.mendieta@unisabana.edu.co2</t>
  </si>
  <si>
    <t>https://ProfPlanta2024.sawtoothsoftware.com/cgi-bin/ciwweb.pl?studyname=ProfPlanta2024&amp;Correo=jimmy.mendieta@unisabana.edu.co2</t>
  </si>
  <si>
    <t>joaquin.erazo@unisabana.edu.co</t>
  </si>
  <si>
    <t>joaquin.erazo@unisabana.edu.co1</t>
  </si>
  <si>
    <t>https://ProfPlanta2024.sawtoothsoftware.com/cgi-bin/ciwweb.pl?studyname=ProfPlanta2024&amp;Correo=joaquin.erazo@unisabana.edu.co1</t>
  </si>
  <si>
    <t>johanna.camargo1@unisabana.edu.co</t>
  </si>
  <si>
    <t>johanna.camargo1@unisabana.edu.co01</t>
  </si>
  <si>
    <t>https://ProfPlanta2024.sawtoothsoftware.com/cgi-bin/ciwweb.pl?studyname=ProfPlanta2024&amp;Correo=johanna.camargo1@unisabana.edu.co01</t>
  </si>
  <si>
    <t>johanna.camargo1@unisabana.edu.co02</t>
  </si>
  <si>
    <t>https://ProfPlanta2024.sawtoothsoftware.com/cgi-bin/ciwweb.pl?studyname=ProfPlanta2024&amp;Correo=johanna.camargo1@unisabana.edu.co02</t>
  </si>
  <si>
    <t>johanna.choconta1@unisabana.edu.co</t>
  </si>
  <si>
    <t>johanna.choconta1@unisabana.edu.co01</t>
  </si>
  <si>
    <t>https://ProfPlanta2024.sawtoothsoftware.com/cgi-bin/ciwweb.pl?studyname=ProfPlanta2024&amp;Correo=johanna.choconta1@unisabana.edu.co01</t>
  </si>
  <si>
    <t>johanna.choconta1@unisabana.edu.co1</t>
  </si>
  <si>
    <t>https://ProfPlanta2024.sawtoothsoftware.com/cgi-bin/ciwweb.pl?studyname=ProfPlanta2024&amp;Correo=johanna.choconta1@unisabana.edu.co1</t>
  </si>
  <si>
    <t>johanna.jimenez1@unisabana.edu.co</t>
  </si>
  <si>
    <t>johanna.jimenez1@unisabana.edu.co1</t>
  </si>
  <si>
    <t>https://ProfPlanta2024.sawtoothsoftware.com/cgi-bin/ciwweb.pl?studyname=ProfPlanta2024&amp;Correo=johanna.jimenez1@unisabana.edu.co1</t>
  </si>
  <si>
    <t>john.londono@unisabana.edu.co</t>
  </si>
  <si>
    <t>john.londono@unisabana.edu.co01</t>
  </si>
  <si>
    <t>https://ProfPlanta2024.sawtoothsoftware.com/cgi-bin/ciwweb.pl?studyname=ProfPlanta2024&amp;Correo=john.londono@unisabana.edu.co01</t>
  </si>
  <si>
    <t>john.londono@unisabana.edu.co1</t>
  </si>
  <si>
    <t>https://ProfPlanta2024.sawtoothsoftware.com/cgi-bin/ciwweb.pl?studyname=ProfPlanta2024&amp;Correo=john.londono@unisabana.edu.co1</t>
  </si>
  <si>
    <t>jorge.arbelaez@unisabana.edu.co</t>
  </si>
  <si>
    <t>jorge.arbelaez@unisabana.edu.co1</t>
  </si>
  <si>
    <t>https://ProfPlanta2024.sawtoothsoftware.com/cgi-bin/ciwweb.pl?studyname=ProfPlanta2024&amp;Correo=jorge.arbelaez@unisabana.edu.co1</t>
  </si>
  <si>
    <t>jorge.castellanos@unisabana.edu.co</t>
  </si>
  <si>
    <t>jorge.castellanos@unisabana.edu.co1</t>
  </si>
  <si>
    <t>https://ProfPlanta2024.sawtoothsoftware.com/cgi-bin/ciwweb.pl?studyname=ProfPlanta2024&amp;Correo=jorge.castellanos@unisabana.edu.co1</t>
  </si>
  <si>
    <t>jorge.gaitan@unisabana.edu.co</t>
  </si>
  <si>
    <t>jorge.gaitan@unisabana.edu.co1</t>
  </si>
  <si>
    <t>https://ProfPlanta2024.sawtoothsoftware.com/cgi-bin/ciwweb.pl?studyname=ProfPlanta2024&amp;Correo=jorge.gaitan@unisabana.edu.co1</t>
  </si>
  <si>
    <t>jorge.restrepo1@unisabana.edu.co</t>
  </si>
  <si>
    <t>jorge.restrepo1@unisabana.edu.co01</t>
  </si>
  <si>
    <t>https://ProfPlanta2024.sawtoothsoftware.com/cgi-bin/ciwweb.pl?studyname=ProfPlanta2024&amp;Correo=jorge.restrepo1@unisabana.edu.co01</t>
  </si>
  <si>
    <t>jose.guanipa@unisabana.edu.co</t>
  </si>
  <si>
    <t>jose.guanipa@unisabana.edu.co1</t>
  </si>
  <si>
    <t>https://ProfPlanta2024.sawtoothsoftware.com/cgi-bin/ciwweb.pl?studyname=ProfPlanta2024&amp;Correo=jose.guanipa@unisabana.edu.co1</t>
  </si>
  <si>
    <t>jose.rodriguez3@unisabana.edu.co01</t>
  </si>
  <si>
    <t>https://ProfPlanta2024.sawtoothsoftware.com/cgi-bin/ciwweb.pl?studyname=ProfPlanta2024&amp;Correo=jose.rodriguez3@unisabana.edu.co01</t>
  </si>
  <si>
    <t>jose.rodriguez3@unisabana.edu.co1</t>
  </si>
  <si>
    <t>https://ProfPlanta2024.sawtoothsoftware.com/cgi-bin/ciwweb.pl?studyname=ProfPlanta2024&amp;Correo=jose.rodriguez3@unisabana.edu.co1</t>
  </si>
  <si>
    <t>jose.suarez1@unisabana.edu.co</t>
  </si>
  <si>
    <t>jose.suarez1@unisabana.edu.co1</t>
  </si>
  <si>
    <t>https://ProfPlanta2024.sawtoothsoftware.com/cgi-bin/ciwweb.pl?studyname=ProfPlanta2024&amp;Correo=jose.suarez1@unisabana.edu.co1</t>
  </si>
  <si>
    <t>juan.aranda@unisabana.edu.co</t>
  </si>
  <si>
    <t>juan.aranda@unisabana.edu.co01</t>
  </si>
  <si>
    <t>https://ProfPlanta2024.sawtoothsoftware.com/cgi-bin/ciwweb.pl?studyname=ProfPlanta2024&amp;Correo=juan.aranda@unisabana.edu.co01</t>
  </si>
  <si>
    <t>juan.aranda@unisabana.edu.co1</t>
  </si>
  <si>
    <t>INGENIERï¿½A INDFORMATICA</t>
  </si>
  <si>
    <t>https://ProfPlanta2024.sawtoothsoftware.com/cgi-bin/ciwweb.pl?studyname=ProfPlanta2024&amp;Correo=juan.aranda@unisabana.edu.co1</t>
  </si>
  <si>
    <t>juan.cardenas4@unisabana.edu.co01</t>
  </si>
  <si>
    <t>https://ProfPlanta2024.sawtoothsoftware.com/cgi-bin/ciwweb.pl?studyname=ProfPlanta2024&amp;Correo=juan.cardenas4@unisabana.edu.co01</t>
  </si>
  <si>
    <t>juan.cardenas4@unisabana.edu.co1</t>
  </si>
  <si>
    <t>https://ProfPlanta2024.sawtoothsoftware.com/cgi-bin/ciwweb.pl?studyname=ProfPlanta2024&amp;Correo=juan.cardenas4@unisabana.edu.co1</t>
  </si>
  <si>
    <t>juan.castro2@unisabana.edu.co</t>
  </si>
  <si>
    <t>juan.castro2@unisabana.edu.co1</t>
  </si>
  <si>
    <t>https://ProfPlanta2024.sawtoothsoftware.com/cgi-bin/ciwweb.pl?studyname=ProfPlanta2024&amp;Correo=juan.castro2@unisabana.edu.co1</t>
  </si>
  <si>
    <t>juan.castro2@unisabana.edu.co2</t>
  </si>
  <si>
    <t>https://ProfPlanta2024.sawtoothsoftware.com/cgi-bin/ciwweb.pl?studyname=ProfPlanta2024&amp;Correo=juan.castro2@unisabana.edu.co2</t>
  </si>
  <si>
    <t>juan.castro2@unisabana.edu.co3</t>
  </si>
  <si>
    <t>https://ProfPlanta2024.sawtoothsoftware.com/cgi-bin/ciwweb.pl?studyname=ProfPlanta2024&amp;Correo=juan.castro2@unisabana.edu.co3</t>
  </si>
  <si>
    <t>juan.de@unisabana.edu.co</t>
  </si>
  <si>
    <t>juan.de@unisabana.edu.co1</t>
  </si>
  <si>
    <t>https://ProfPlanta2024.sawtoothsoftware.com/cgi-bin/ciwweb.pl?studyname=ProfPlanta2024&amp;Correo=juan.de@unisabana.edu.co1</t>
  </si>
  <si>
    <t>juan.espejo1@unisabana.edu.co1</t>
  </si>
  <si>
    <t>https://ProfPlanta2024.sawtoothsoftware.com/cgi-bin/ciwweb.pl?studyname=ProfPlanta2024&amp;Correo=juan.espejo1@unisabana.edu.co1</t>
  </si>
  <si>
    <t>juan.garcia@unisabana.edu.co</t>
  </si>
  <si>
    <t>juan.garcia@unisabana.edu.co01</t>
  </si>
  <si>
    <t>https://ProfPlanta2024.sawtoothsoftware.com/cgi-bin/ciwweb.pl?studyname=ProfPlanta2024&amp;Correo=juan.garcia@unisabana.edu.co01</t>
  </si>
  <si>
    <t>juan.garcia@unisabana.edu.co1</t>
  </si>
  <si>
    <t>https://ProfPlanta2024.sawtoothsoftware.com/cgi-bin/ciwweb.pl?studyname=ProfPlanta2024&amp;Correo=juan.garcia@unisabana.edu.co1</t>
  </si>
  <si>
    <t>juan.garzon@unisabana.edu.co</t>
  </si>
  <si>
    <t>juan.garzon@unisabana.edu.co01</t>
  </si>
  <si>
    <t>https://ProfPlanta2024.sawtoothsoftware.com/cgi-bin/ciwweb.pl?studyname=ProfPlanta2024&amp;Correo=juan.garzon@unisabana.edu.co01</t>
  </si>
  <si>
    <t>juan.garzon@unisabana.edu.co1</t>
  </si>
  <si>
    <t>https://ProfPlanta2024.sawtoothsoftware.com/cgi-bin/ciwweb.pl?studyname=ProfPlanta2024&amp;Correo=juan.garzon@unisabana.edu.co1</t>
  </si>
  <si>
    <t>juan.garzon@unisabana.edu.co2</t>
  </si>
  <si>
    <t>https://ProfPlanta2024.sawtoothsoftware.com/cgi-bin/ciwweb.pl?studyname=ProfPlanta2024&amp;Correo=juan.garzon@unisabana.edu.co2</t>
  </si>
  <si>
    <t>juan.giraldo9@unisabana.edu.co</t>
  </si>
  <si>
    <t>juan.giraldo9@unisabana.edu.co07</t>
  </si>
  <si>
    <t>https://ProfPlanta2024.sawtoothsoftware.com/cgi-bin/ciwweb.pl?studyname=ProfPlanta2024&amp;Correo=juan.giraldo9@unisabana.edu.co07</t>
  </si>
  <si>
    <t>juan.giraldo9@unisabana.edu.co1</t>
  </si>
  <si>
    <t>https://ProfPlanta2024.sawtoothsoftware.com/cgi-bin/ciwweb.pl?studyname=ProfPlanta2024&amp;Correo=juan.giraldo9@unisabana.edu.co1</t>
  </si>
  <si>
    <t>juan.gonzalez14@unisabana.edu.co</t>
  </si>
  <si>
    <t>juan.gonzalez14@unisabana.edu.co1</t>
  </si>
  <si>
    <t>https://ProfPlanta2024.sawtoothsoftware.com/cgi-bin/ciwweb.pl?studyname=ProfPlanta2024&amp;Correo=juan.gonzalez14@unisabana.edu.co1</t>
  </si>
  <si>
    <t>juan.herrera2@unisabana.edu.co</t>
  </si>
  <si>
    <t>juan.herrera2@unisabana.edu.co1</t>
  </si>
  <si>
    <t>https://ProfPlanta2024.sawtoothsoftware.com/cgi-bin/ciwweb.pl?studyname=ProfPlanta2024&amp;Correo=juan.herrera2@unisabana.edu.co1</t>
  </si>
  <si>
    <t>juan.martinez15@unisabana.edu.co</t>
  </si>
  <si>
    <t>juan.martinez15@unisabana.edu.co01</t>
  </si>
  <si>
    <t>https://ProfPlanta2024.sawtoothsoftware.com/cgi-bin/ciwweb.pl?studyname=ProfPlanta2024&amp;Correo=juan.martinez15@unisabana.edu.co01</t>
  </si>
  <si>
    <t>juan.martinez15@unisabana.edu.co02</t>
  </si>
  <si>
    <t>https://ProfPlanta2024.sawtoothsoftware.com/cgi-bin/ciwweb.pl?studyname=ProfPlanta2024&amp;Correo=juan.martinez15@unisabana.edu.co02</t>
  </si>
  <si>
    <t>juan.martinez15@unisabana.edu.co1</t>
  </si>
  <si>
    <t>https://ProfPlanta2024.sawtoothsoftware.com/cgi-bin/ciwweb.pl?studyname=ProfPlanta2024&amp;Correo=juan.martinez15@unisabana.edu.co1</t>
  </si>
  <si>
    <t>juan.mojica2@unisabana.edu.co</t>
  </si>
  <si>
    <t>juan.mojica2@unisabana.edu.co01</t>
  </si>
  <si>
    <t>https://ProfPlanta2024.sawtoothsoftware.com/cgi-bin/ciwweb.pl?studyname=ProfPlanta2024&amp;Correo=juan.mojica2@unisabana.edu.co01</t>
  </si>
  <si>
    <t>juan.mojica2@unisabana.edu.co1</t>
  </si>
  <si>
    <t>https://ProfPlanta2024.sawtoothsoftware.com/cgi-bin/ciwweb.pl?studyname=ProfPlanta2024&amp;Correo=juan.mojica2@unisabana.edu.co1</t>
  </si>
  <si>
    <t>juan.ortiz7@unisabana.edu.co</t>
  </si>
  <si>
    <t>juan.ortiz7@unisabana.edu.co1</t>
  </si>
  <si>
    <t>https://ProfPlanta2024.sawtoothsoftware.com/cgi-bin/ciwweb.pl?studyname=ProfPlanta2024&amp;Correo=juan.ortiz7@unisabana.edu.co1</t>
  </si>
  <si>
    <t>juan.sandoval1@unisabana.edu.co</t>
  </si>
  <si>
    <t>juan.sandoval1@unisabana.edu.co01</t>
  </si>
  <si>
    <t>https://ProfPlanta2024.sawtoothsoftware.com/cgi-bin/ciwweb.pl?studyname=ProfPlanta2024&amp;Correo=juan.sandoval1@unisabana.edu.co01</t>
  </si>
  <si>
    <t>juan.sandoval1@unisabana.edu.co02</t>
  </si>
  <si>
    <t>https://ProfPlanta2024.sawtoothsoftware.com/cgi-bin/ciwweb.pl?studyname=ProfPlanta2024&amp;Correo=juan.sandoval1@unisabana.edu.co02</t>
  </si>
  <si>
    <t>juan.sandoval1@unisabana.edu.co07</t>
  </si>
  <si>
    <t>https://ProfPlanta2024.sawtoothsoftware.com/cgi-bin/ciwweb.pl?studyname=ProfPlanta2024&amp;Correo=juan.sandoval1@unisabana.edu.co07</t>
  </si>
  <si>
    <t>juan.sarmiento3@unisabana.edu.co</t>
  </si>
  <si>
    <t>juan.sarmiento3@unisabana.edu.co01</t>
  </si>
  <si>
    <t>https://ProfPlanta2024.sawtoothsoftware.com/cgi-bin/ciwweb.pl?studyname=ProfPlanta2024&amp;Correo=juan.sarmiento3@unisabana.edu.co01</t>
  </si>
  <si>
    <t>juan.sarmiento3@unisabana.edu.co02</t>
  </si>
  <si>
    <t>https://ProfPlanta2024.sawtoothsoftware.com/cgi-bin/ciwweb.pl?studyname=ProfPlanta2024&amp;Correo=juan.sarmiento3@unisabana.edu.co02</t>
  </si>
  <si>
    <t>juan.sarmiento3@unisabana.edu.co1</t>
  </si>
  <si>
    <t>https://ProfPlanta2024.sawtoothsoftware.com/cgi-bin/ciwweb.pl?studyname=ProfPlanta2024&amp;Correo=juan.sarmiento3@unisabana.edu.co1</t>
  </si>
  <si>
    <t>https://ProfPlanta2024.sawtoothsoftware.com/cgi-bin/ciwweb.pl?studyname=ProfPlanta2024&amp;Correo=juana.jaramillo@unisabana.edu.co01</t>
  </si>
  <si>
    <t>juana.jaramillo@unisabana.edu.co07</t>
  </si>
  <si>
    <t>https://ProfPlanta2024.sawtoothsoftware.com/cgi-bin/ciwweb.pl?studyname=ProfPlanta2024&amp;Correo=juana.jaramillo@unisabana.edu.co07</t>
  </si>
  <si>
    <t>juana.jaramillo@unisabana.edu.co1</t>
  </si>
  <si>
    <t>https://ProfPlanta2024.sawtoothsoftware.com/cgi-bin/ciwweb.pl?studyname=ProfPlanta2024&amp;Correo=juana.jaramillo@unisabana.edu.co1</t>
  </si>
  <si>
    <t>juanreca@unisabana.edu.co</t>
  </si>
  <si>
    <t>juanreca@unisabana.edu.co07</t>
  </si>
  <si>
    <t>https://ProfPlanta2024.sawtoothsoftware.com/cgi-bin/ciwweb.pl?studyname=ProfPlanta2024&amp;Correo=juanreca@unisabana.edu.co07</t>
  </si>
  <si>
    <t>juanreca@unisabana.edu.co1</t>
  </si>
  <si>
    <t>https://ProfPlanta2024.sawtoothsoftware.com/cgi-bin/ciwweb.pl?studyname=ProfPlanta2024&amp;Correo=juanreca@unisabana.edu.co1</t>
  </si>
  <si>
    <t>Julian.Carreno@unisabana.edu.co1</t>
  </si>
  <si>
    <t>https://ProfPlanta2024.sawtoothsoftware.com/cgi-bin/ciwweb.pl?studyname=ProfPlanta2024&amp;Correo=Julian.Carreno@unisabana.edu.co1</t>
  </si>
  <si>
    <t>julian.huertas1@unisabana.edu.co</t>
  </si>
  <si>
    <t>julian.huertas1@unisabana.edu.co01</t>
  </si>
  <si>
    <t>https://ProfPlanta2024.sawtoothsoftware.com/cgi-bin/ciwweb.pl?studyname=ProfPlanta2024&amp;Correo=julian.huertas1@unisabana.edu.co01</t>
  </si>
  <si>
    <t>julian.huertas1@unisabana.edu.co1</t>
  </si>
  <si>
    <t>https://ProfPlanta2024.sawtoothsoftware.com/cgi-bin/ciwweb.pl?studyname=ProfPlanta2024&amp;Correo=julian.huertas1@unisabana.edu.co1</t>
  </si>
  <si>
    <t>juliana.llanes@unisabana.edu.co</t>
  </si>
  <si>
    <t>juliana.llanes@unisabana.edu.co1</t>
  </si>
  <si>
    <t>https://ProfPlanta2024.sawtoothsoftware.com/cgi-bin/ciwweb.pl?studyname=ProfPlanta2024&amp;Correo=juliana.llanes@unisabana.edu.co1</t>
  </si>
  <si>
    <t>julie.cedeno@unisabana.edu.co</t>
  </si>
  <si>
    <t>julie.cedeno@unisabana.edu.co01</t>
  </si>
  <si>
    <t>https://ProfPlanta2024.sawtoothsoftware.com/cgi-bin/ciwweb.pl?studyname=ProfPlanta2024&amp;Correo=julie.cedeno@unisabana.edu.co01</t>
  </si>
  <si>
    <t>julie.cedeno@unisabana.edu.co02</t>
  </si>
  <si>
    <t>https://ProfPlanta2024.sawtoothsoftware.com/cgi-bin/ciwweb.pl?studyname=ProfPlanta2024&amp;Correo=julie.cedeno@unisabana.edu.co02</t>
  </si>
  <si>
    <t>julie.cedeno@unisabana.edu.co1</t>
  </si>
  <si>
    <t>https://ProfPlanta2024.sawtoothsoftware.com/cgi-bin/ciwweb.pl?studyname=ProfPlanta2024&amp;Correo=julie.cedeno@unisabana.edu.co1</t>
  </si>
  <si>
    <t>julio.martinez@unisabana.edu.co</t>
  </si>
  <si>
    <t>julio.martinez@unisabana.edu.co1</t>
  </si>
  <si>
    <t>https://ProfPlanta2024.sawtoothsoftware.com/cgi-bin/ciwweb.pl?studyname=ProfPlanta2024&amp;Correo=julio.martinez@unisabana.edu.co1</t>
  </si>
  <si>
    <t>juliocc@unisabana.edu.co</t>
  </si>
  <si>
    <t>Juliocc@unisabana.edu.co01</t>
  </si>
  <si>
    <t>https://ProfPlanta2024.sawtoothsoftware.com/cgi-bin/ciwweb.pl?studyname=ProfPlanta2024&amp;Correo=Juliocc@unisabana.edu.co01</t>
  </si>
  <si>
    <t>jullyorjve@unisabana.edu.co</t>
  </si>
  <si>
    <t>jullyorjve@unisabana.edu.co01</t>
  </si>
  <si>
    <t>https://ProfPlanta2024.sawtoothsoftware.com/cgi-bin/ciwweb.pl?studyname=ProfPlanta2024&amp;Correo=jullyorjve@unisabana.edu.co01</t>
  </si>
  <si>
    <t>jullyorjve@unisabana.edu.co1</t>
  </si>
  <si>
    <t>https://ProfPlanta2024.sawtoothsoftware.com/cgi-bin/ciwweb.pl?studyname=ProfPlanta2024&amp;Correo=jullyorjve@unisabana.edu.co1</t>
  </si>
  <si>
    <t>kemel.ghotme@unisabana.edu.co</t>
  </si>
  <si>
    <t>kemel.ghotme@unisabana.edu.co1</t>
  </si>
  <si>
    <t>https://ProfPlanta2024.sawtoothsoftware.com/cgi-bin/ciwweb.pl?studyname=ProfPlanta2024&amp;Correo=kemel.ghotme@unisabana.edu.co1</t>
  </si>
  <si>
    <t>lady.duque@unisabana.edu.co</t>
  </si>
  <si>
    <t>lady.duque@unisabana.edu.co1</t>
  </si>
  <si>
    <t>https://ProfPlanta2024.sawtoothsoftware.com/cgi-bin/ciwweb.pl?studyname=ProfPlanta2024&amp;Correo=lady.duque@unisabana.edu.co1</t>
  </si>
  <si>
    <t>laura.carreno@unisabana.edu.co01</t>
  </si>
  <si>
    <t>https://ProfPlanta2024.sawtoothsoftware.com/cgi-bin/ciwweb.pl?studyname=ProfPlanta2024&amp;Correo=laura.carreno@unisabana.edu.co01</t>
  </si>
  <si>
    <t>laura.carreno@unisabana.edu.co03</t>
  </si>
  <si>
    <t>https://ProfPlanta2024.sawtoothsoftware.com/cgi-bin/ciwweb.pl?studyname=ProfPlanta2024&amp;Correo=laura.carreno@unisabana.edu.co03</t>
  </si>
  <si>
    <t>laura.carreno@unisabana.edu.co2</t>
  </si>
  <si>
    <t>https://ProfPlanta2024.sawtoothsoftware.com/cgi-bin/ciwweb.pl?studyname=ProfPlanta2024&amp;Correo=laura.carreno@unisabana.edu.co2</t>
  </si>
  <si>
    <t>laura.fonseca@unisabana.edu.co</t>
  </si>
  <si>
    <t>laura.fonseca@unisabana.edu.co07</t>
  </si>
  <si>
    <t>https://ProfPlanta2024.sawtoothsoftware.com/cgi-bin/ciwweb.pl?studyname=ProfPlanta2024&amp;Correo=laura.fonseca@unisabana.edu.co07</t>
  </si>
  <si>
    <t>laura.fonseca2@unisabana.edu.co</t>
  </si>
  <si>
    <t>laura.fonseca2@unisabana.edu.co01</t>
  </si>
  <si>
    <t>https://ProfPlanta2024.sawtoothsoftware.com/cgi-bin/ciwweb.pl?studyname=ProfPlanta2024&amp;Correo=laura.fonseca2@unisabana.edu.co01</t>
  </si>
  <si>
    <t>laura.fonseca2@unisabana.edu.co1</t>
  </si>
  <si>
    <t>https://ProfPlanta2024.sawtoothsoftware.com/cgi-bin/ciwweb.pl?studyname=ProfPlanta2024&amp;Correo=laura.fonseca2@unisabana.edu.co1</t>
  </si>
  <si>
    <t>laura.fuerte1@unisabana.edu.co</t>
  </si>
  <si>
    <t>laura.fuerte1@unisabana.edu.co01</t>
  </si>
  <si>
    <t>https://ProfPlanta2024.sawtoothsoftware.com/cgi-bin/ciwweb.pl?studyname=ProfPlanta2024&amp;Correo=laura.fuerte1@unisabana.edu.co01</t>
  </si>
  <si>
    <t>laura.fuerte1@unisabana.edu.co02</t>
  </si>
  <si>
    <t>https://ProfPlanta2024.sawtoothsoftware.com/cgi-bin/ciwweb.pl?studyname=ProfPlanta2024&amp;Correo=laura.fuerte1@unisabana.edu.co02</t>
  </si>
  <si>
    <t>laura.fuerte1@unisabana.edu.co1</t>
  </si>
  <si>
    <t>https://ProfPlanta2024.sawtoothsoftware.com/cgi-bin/ciwweb.pl?studyname=ProfPlanta2024&amp;Correo=laura.fuerte1@unisabana.edu.co1</t>
  </si>
  <si>
    <t>laura.lopez7@unisabana.edu.co</t>
  </si>
  <si>
    <t>laura.lopez7@unisabana.edu.co1</t>
  </si>
  <si>
    <t>https://ProfPlanta2024.sawtoothsoftware.com/cgi-bin/ciwweb.pl?studyname=ProfPlanta2024&amp;Correo=laura.lopez7@unisabana.edu.co1</t>
  </si>
  <si>
    <t>laura.lopez7@unisabana.edu.co2</t>
  </si>
  <si>
    <t>https://ProfPlanta2024.sawtoothsoftware.com/cgi-bin/ciwweb.pl?studyname=ProfPlanta2024&amp;Correo=laura.lopez7@unisabana.edu.co2</t>
  </si>
  <si>
    <t>laura.rodriguez23@unisabana.edu.co</t>
  </si>
  <si>
    <t>laura.rodriguez23@unisabana.edu.co1</t>
  </si>
  <si>
    <t>https://ProfPlanta2024.sawtoothsoftware.com/cgi-bin/ciwweb.pl?studyname=ProfPlanta2024&amp;Correo=laura.rodriguez23@unisabana.edu.co1</t>
  </si>
  <si>
    <t>ledy.armirola@unisabana.edu.co</t>
  </si>
  <si>
    <t>ledy.armirola@unisabana.edu.co01</t>
  </si>
  <si>
    <t>https://ProfPlanta2024.sawtoothsoftware.com/cgi-bin/ciwweb.pl?studyname=ProfPlanta2024&amp;Correo=ledy.armirola@unisabana.edu.co01</t>
  </si>
  <si>
    <t>ledy.armirola@unisabana.edu.co1</t>
  </si>
  <si>
    <t>https://ProfPlanta2024.sawtoothsoftware.com/cgi-bin/ciwweb.pl?studyname=ProfPlanta2024&amp;Correo=ledy.armirola@unisabana.edu.co1</t>
  </si>
  <si>
    <t>ledy.armirola@unisabana.edu.co2</t>
  </si>
  <si>
    <t>https://ProfPlanta2024.sawtoothsoftware.com/cgi-bin/ciwweb.pl?studyname=ProfPlanta2024&amp;Correo=ledy.armirola@unisabana.edu.co2</t>
  </si>
  <si>
    <t>leidy.diaz3@unisabana.edu.co</t>
  </si>
  <si>
    <t>leidy.diaz3@unisabana.edu.co01</t>
  </si>
  <si>
    <t>https://ProfPlanta2024.sawtoothsoftware.com/cgi-bin/ciwweb.pl?studyname=ProfPlanta2024&amp;Correo=leidy.diaz3@unisabana.edu.co01</t>
  </si>
  <si>
    <t>leidy.diaz3@unisabana.edu.co02</t>
  </si>
  <si>
    <t>https://ProfPlanta2024.sawtoothsoftware.com/cgi-bin/ciwweb.pl?studyname=ProfPlanta2024&amp;Correo=leidy.diaz3@unisabana.edu.co02</t>
  </si>
  <si>
    <t>leidy.leon@unisabana.edu.co</t>
  </si>
  <si>
    <t>leidy.leon@unisabana.edu.co01</t>
  </si>
  <si>
    <t>https://ProfPlanta2024.sawtoothsoftware.com/cgi-bin/ciwweb.pl?studyname=ProfPlanta2024&amp;Correo=leidy.leon@unisabana.edu.co01</t>
  </si>
  <si>
    <t>leidy.leon@unisabana.edu.co1</t>
  </si>
  <si>
    <t>https://ProfPlanta2024.sawtoothsoftware.com/cgi-bin/ciwweb.pl?studyname=ProfPlanta2024&amp;Correo=leidy.leon@unisabana.edu.co1</t>
  </si>
  <si>
    <t>leonardo.moreno@unisabana.edu.co</t>
  </si>
  <si>
    <t>leonardo.moreno@unisabana.edu.co1</t>
  </si>
  <si>
    <t>https://ProfPlanta2024.sawtoothsoftware.com/cgi-bin/ciwweb.pl?studyname=ProfPlanta2024&amp;Correo=leonardo.moreno@unisabana.edu.co1</t>
  </si>
  <si>
    <t>leonardo.moreno@unisabana.edu.co2</t>
  </si>
  <si>
    <t>https://ProfPlanta2024.sawtoothsoftware.com/cgi-bin/ciwweb.pl?studyname=ProfPlanta2024&amp;Correo=leonardo.moreno@unisabana.edu.co2</t>
  </si>
  <si>
    <t>lesly.velandia@unisabana.edu.co</t>
  </si>
  <si>
    <t>lesly.velandia@unisabana.edu.co1</t>
  </si>
  <si>
    <t>https://ProfPlanta2024.sawtoothsoftware.com/cgi-bin/ciwweb.pl?studyname=ProfPlanta2024&amp;Correo=lesly.velandia@unisabana.edu.co1</t>
  </si>
  <si>
    <t>liliana.cuesta@unisabana.edu.co</t>
  </si>
  <si>
    <t>liliana.cuesta@unisabana.edu.co01</t>
  </si>
  <si>
    <t>https://ProfPlanta2024.sawtoothsoftware.com/cgi-bin/ciwweb.pl?studyname=ProfPlanta2024&amp;Correo=liliana.cuesta@unisabana.edu.co01</t>
  </si>
  <si>
    <t>liliana.gutierrez1@unisabana.edu.co</t>
  </si>
  <si>
    <t>liliana.gutierrez1@unisabana.edu.co01</t>
  </si>
  <si>
    <t>https://ProfPlanta2024.sawtoothsoftware.com/cgi-bin/ciwweb.pl?studyname=ProfPlanta2024&amp;Correo=liliana.gutierrez1@unisabana.edu.co01</t>
  </si>
  <si>
    <t>liliana.gutierrez1@unisabana.edu.co02</t>
  </si>
  <si>
    <t>https://ProfPlanta2024.sawtoothsoftware.com/cgi-bin/ciwweb.pl?studyname=ProfPlanta2024&amp;Correo=liliana.gutierrez1@unisabana.edu.co02</t>
  </si>
  <si>
    <t>liliana.gutierrez1@unisabana.edu.co1</t>
  </si>
  <si>
    <t>https://ProfPlanta2024.sawtoothsoftware.com/cgi-bin/ciwweb.pl?studyname=ProfPlanta2024&amp;Correo=liliana.gutierrez1@unisabana.edu.co1</t>
  </si>
  <si>
    <t>liliana.paredes@unisabana.edu.co01</t>
  </si>
  <si>
    <t>https://ProfPlanta2024.sawtoothsoftware.com/cgi-bin/ciwweb.pl?studyname=ProfPlanta2024&amp;Correo=liliana.paredes@unisabana.edu.co01</t>
  </si>
  <si>
    <t>liliana.paredes@unisabana.edu.co1</t>
  </si>
  <si>
    <t>https://ProfPlanta2024.sawtoothsoftware.com/cgi-bin/ciwweb.pl?studyname=ProfPlanta2024&amp;Correo=liliana.paredes@unisabana.edu.co1</t>
  </si>
  <si>
    <t>liliana.paredes@unisabana.edu.co3</t>
  </si>
  <si>
    <t>https://ProfPlanta2024.sawtoothsoftware.com/cgi-bin/ciwweb.pl?studyname=ProfPlanta2024&amp;Correo=liliana.paredes@unisabana.edu.co3</t>
  </si>
  <si>
    <t>lilianaoa@unisabana.edu.co</t>
  </si>
  <si>
    <t>lilianaoa@unisabana.edu.co1</t>
  </si>
  <si>
    <t>https://ProfPlanta2024.sawtoothsoftware.com/cgi-bin/ciwweb.pl?studyname=ProfPlanta2024&amp;Correo=lilianaoa@unisabana.edu.co1</t>
  </si>
  <si>
    <t>lina.gomez3@unisabana.edu.co</t>
  </si>
  <si>
    <t>lina.gomez3@unisabana.edu.co1</t>
  </si>
  <si>
    <t>https://ProfPlanta2024.sawtoothsoftware.com/cgi-bin/ciwweb.pl?studyname=ProfPlanta2024&amp;Correo=lina.gomez3@unisabana.edu.co1</t>
  </si>
  <si>
    <t>lina.grimaldos@unisabana.edu.co</t>
  </si>
  <si>
    <t>lina.grimaldos@unisabana.edu.co1</t>
  </si>
  <si>
    <t>https://ProfPlanta2024.sawtoothsoftware.com/cgi-bin/ciwweb.pl?studyname=ProfPlanta2024&amp;Correo=lina.grimaldos@unisabana.edu.co1</t>
  </si>
  <si>
    <t>lina.grimaldos@unisabana.edu.co2</t>
  </si>
  <si>
    <t>https://ProfPlanta2024.sawtoothsoftware.com/cgi-bin/ciwweb.pl?studyname=ProfPlanta2024&amp;Correo=lina.grimaldos@unisabana.edu.co2</t>
  </si>
  <si>
    <t>lina.ruiz1@unisabana.edu.co</t>
  </si>
  <si>
    <t>LINA.RUIZ1@UNISABANA.EDU.CO1</t>
  </si>
  <si>
    <t>https://ProfPlanta2024.sawtoothsoftware.com/cgi-bin/ciwweb.pl?studyname=ProfPlanta2024&amp;Correo=LINA.RUIZ1@UNISABANA.EDU.CO1</t>
  </si>
  <si>
    <t>lina.sorza@unisabana.edu.co</t>
  </si>
  <si>
    <t>lina.sorza@unisabana.edu.co1</t>
  </si>
  <si>
    <t>https://ProfPlanta2024.sawtoothsoftware.com/cgi-bin/ciwweb.pl?studyname=ProfPlanta2024&amp;Correo=lina.sorza@unisabana.edu.co1</t>
  </si>
  <si>
    <t>liza.pinzon@unisabana.edu.co</t>
  </si>
  <si>
    <t>liza.pinzon@unisabana.edu.co01</t>
  </si>
  <si>
    <t>https://ProfPlanta2024.sawtoothsoftware.com/cgi-bin/ciwweb.pl?studyname=ProfPlanta2024&amp;Correo=liza.pinzon@unisabana.edu.co01</t>
  </si>
  <si>
    <t>liza.pinzon@unisabana.edu.co02</t>
  </si>
  <si>
    <t>https://ProfPlanta2024.sawtoothsoftware.com/cgi-bin/ciwweb.pl?studyname=ProfPlanta2024&amp;Correo=liza.pinzon@unisabana.edu.co02</t>
  </si>
  <si>
    <t>lizeth.pedraza@unisabana.edu.co</t>
  </si>
  <si>
    <t>Lizeth.pedraza@unisabana.edu.co07</t>
  </si>
  <si>
    <t>https://ProfPlanta2024.sawtoothsoftware.com/cgi-bin/ciwweb.pl?studyname=ProfPlanta2024&amp;Correo=Lizeth.pedraza@unisabana.edu.co07</t>
  </si>
  <si>
    <t>loyda.gomez@unisabana.edu.co</t>
  </si>
  <si>
    <t>loyda.gomez@unisabana.edu.co1</t>
  </si>
  <si>
    <t>https://ProfPlanta2024.sawtoothsoftware.com/cgi-bin/ciwweb.pl?studyname=ProfPlanta2024&amp;Correo=loyda.gomez@unisabana.edu.co1</t>
  </si>
  <si>
    <t>loyda.gomez@unisabana.edu.co2</t>
  </si>
  <si>
    <t>https://ProfPlanta2024.sawtoothsoftware.com/cgi-bin/ciwweb.pl?studyname=ProfPlanta2024&amp;Correo=loyda.gomez@unisabana.edu.co2</t>
  </si>
  <si>
    <t>lucia.barbosa@unisabana.edu.co1</t>
  </si>
  <si>
    <t>https://ProfPlanta2024.sawtoothsoftware.com/cgi-bin/ciwweb.pl?studyname=ProfPlanta2024&amp;Correo=lucia.barbosa@unisabana.edu.co1</t>
  </si>
  <si>
    <t>luis.celis@unisabana.edu.co</t>
  </si>
  <si>
    <t>luis.celis@unisabana.edu.co1</t>
  </si>
  <si>
    <t>https://ProfPlanta2024.sawtoothsoftware.com/cgi-bin/ciwweb.pl?studyname=ProfPlanta2024&amp;Correo=luis.celis@unisabana.edu.co1</t>
  </si>
  <si>
    <t>luis.diaz1@unisabana.edu.co</t>
  </si>
  <si>
    <t>luis.diaz1@unisabana.edu.co01</t>
  </si>
  <si>
    <t>https://ProfPlanta2024.sawtoothsoftware.com/cgi-bin/ciwweb.pl?studyname=ProfPlanta2024&amp;Correo=luis.diaz1@unisabana.edu.co01</t>
  </si>
  <si>
    <t>luis.diaz1@unisabana.edu.co02</t>
  </si>
  <si>
    <t>https://ProfPlanta2024.sawtoothsoftware.com/cgi-bin/ciwweb.pl?studyname=ProfPlanta2024&amp;Correo=luis.diaz1@unisabana.edu.co02</t>
  </si>
  <si>
    <t>luis.diaz1@unisabana.edu.co1</t>
  </si>
  <si>
    <t>https://ProfPlanta2024.sawtoothsoftware.com/cgi-bin/ciwweb.pl?studyname=ProfPlanta2024&amp;Correo=luis.diaz1@unisabana.edu.co1</t>
  </si>
  <si>
    <t>luis.gomez10@unisabana.edu.co</t>
  </si>
  <si>
    <t>luis.gomez10@unisabana.edu.co01</t>
  </si>
  <si>
    <t>https://ProfPlanta2024.sawtoothsoftware.com/cgi-bin/ciwweb.pl?studyname=ProfPlanta2024&amp;Correo=luis.gomez10@unisabana.edu.co01</t>
  </si>
  <si>
    <t>luis.paipa@unisabana.edu.co</t>
  </si>
  <si>
    <t>luis.paipa@unisabana.edu.co01</t>
  </si>
  <si>
    <t>https://ProfPlanta2024.sawtoothsoftware.com/cgi-bin/ciwweb.pl?studyname=ProfPlanta2024&amp;Correo=luis.paipa@unisabana.edu.co01</t>
  </si>
  <si>
    <t>luis.paipa@unisabana.edu.co1</t>
  </si>
  <si>
    <t>https://ProfPlanta2024.sawtoothsoftware.com/cgi-bin/ciwweb.pl?studyname=ProfPlanta2024&amp;Correo=luis.paipa@unisabana.edu.co1</t>
  </si>
  <si>
    <t>luis.pineda@unisabana.edu.co</t>
  </si>
  <si>
    <t>luis.pineda@unisabana.edu.co01</t>
  </si>
  <si>
    <t>https://ProfPlanta2024.sawtoothsoftware.com/cgi-bin/ciwweb.pl?studyname=ProfPlanta2024&amp;Correo=luis.pineda@unisabana.edu.co01</t>
  </si>
  <si>
    <t>luis.prieto@unisabana.edu.co</t>
  </si>
  <si>
    <t>luis.prieto@unisabana.edu.co01</t>
  </si>
  <si>
    <t>https://ProfPlanta2024.sawtoothsoftware.com/cgi-bin/ciwweb.pl?studyname=ProfPlanta2024&amp;Correo=luis.prieto@unisabana.edu.co01</t>
  </si>
  <si>
    <t>luis.prieto@unisabana.edu.co1</t>
  </si>
  <si>
    <t>https://ProfPlanta2024.sawtoothsoftware.com/cgi-bin/ciwweb.pl?studyname=ProfPlanta2024&amp;Correo=luis.prieto@unisabana.edu.co1</t>
  </si>
  <si>
    <t>luis.reyes5@unisabana.edu.co</t>
  </si>
  <si>
    <t>luis.reyes5@unisabana.edu.co1</t>
  </si>
  <si>
    <t>https://ProfPlanta2024.sawtoothsoftware.com/cgi-bin/ciwweb.pl?studyname=ProfPlanta2024&amp;Correo=luis.reyes5@unisabana.edu.co1</t>
  </si>
  <si>
    <t>luisa.zapata1@unisabana.edu.co1</t>
  </si>
  <si>
    <t>https://ProfPlanta2024.sawtoothsoftware.com/cgi-bin/ciwweb.pl?studyname=ProfPlanta2024&amp;Correo=luisa.zapata1@unisabana.edu.co1</t>
  </si>
  <si>
    <t>luisbc@unisabana.edu.co</t>
  </si>
  <si>
    <t>LuisBC@unisabana.edu.co01</t>
  </si>
  <si>
    <t>https://ProfPlanta2024.sawtoothsoftware.com/cgi-bin/ciwweb.pl?studyname=ProfPlanta2024&amp;Correo=LuisBC@unisabana.edu.co01</t>
  </si>
  <si>
    <t>LuisBC@unisabana.edu.co1</t>
  </si>
  <si>
    <t>https://ProfPlanta2024.sawtoothsoftware.com/cgi-bin/ciwweb.pl?studyname=ProfPlanta2024&amp;Correo=LuisBC@unisabana.edu.co1</t>
  </si>
  <si>
    <t>luisf.giraldo@unisabana.edu.co</t>
  </si>
  <si>
    <t>luisf.giraldo@unisabana.edu.co01</t>
  </si>
  <si>
    <t>https://ProfPlanta2024.sawtoothsoftware.com/cgi-bin/ciwweb.pl?studyname=ProfPlanta2024&amp;Correo=luisf.giraldo@unisabana.edu.co01</t>
  </si>
  <si>
    <t>luisf.giraldo@unisabana.edu.co02</t>
  </si>
  <si>
    <t>https://ProfPlanta2024.sawtoothsoftware.com/cgi-bin/ciwweb.pl?studyname=ProfPlanta2024&amp;Correo=luisf.giraldo@unisabana.edu.co02</t>
  </si>
  <si>
    <t>luisf.giraldo@unisabana.edu.co03</t>
  </si>
  <si>
    <t>ESPECIALIZACIÃ“N EN NEUMOLOGÃA</t>
  </si>
  <si>
    <t>https://ProfPlanta2024.sawtoothsoftware.com/cgi-bin/ciwweb.pl?studyname=ProfPlanta2024&amp;Correo=luisf.giraldo@unisabana.edu.co03</t>
  </si>
  <si>
    <t>luz.alejo@unisabana.edu.co</t>
  </si>
  <si>
    <t>luz.alejo@unisabana.edu.co01</t>
  </si>
  <si>
    <t>https://ProfPlanta2024.sawtoothsoftware.com/cgi-bin/ciwweb.pl?studyname=ProfPlanta2024&amp;Correo=luz.alejo@unisabana.edu.co01</t>
  </si>
  <si>
    <t>luz.alejo@unisabana.edu.co1</t>
  </si>
  <si>
    <t>https://ProfPlanta2024.sawtoothsoftware.com/cgi-bin/ciwweb.pl?studyname=ProfPlanta2024&amp;Correo=luz.alejo@unisabana.edu.co1</t>
  </si>
  <si>
    <t>luz.mancera2@unisabana.edu.co</t>
  </si>
  <si>
    <t>luz.mancera2@unisabana.edu.co1</t>
  </si>
  <si>
    <t>https://ProfPlanta2024.sawtoothsoftware.com/cgi-bin/ciwweb.pl?studyname=ProfPlanta2024&amp;Correo=luz.mancera2@unisabana.edu.co1</t>
  </si>
  <si>
    <t>luz.torres3@unisabana.edu.co</t>
  </si>
  <si>
    <t>luz.torres3@unisabana.edu.co01</t>
  </si>
  <si>
    <t>https://ProfPlanta2024.sawtoothsoftware.com/cgi-bin/ciwweb.pl?studyname=ProfPlanta2024&amp;Correo=luz.torres3@unisabana.edu.co01</t>
  </si>
  <si>
    <t>luz.torres3@unisabana.edu.co02</t>
  </si>
  <si>
    <t>https://ProfPlanta2024.sawtoothsoftware.com/cgi-bin/ciwweb.pl?studyname=ProfPlanta2024&amp;Correo=luz.torres3@unisabana.edu.co02</t>
  </si>
  <si>
    <t>luz.torres3@unisabana.edu.co03</t>
  </si>
  <si>
    <t>https://ProfPlanta2024.sawtoothsoftware.com/cgi-bin/ciwweb.pl?studyname=ProfPlanta2024&amp;Correo=luz.torres3@unisabana.edu.co03</t>
  </si>
  <si>
    <t>luz.torres3@unisabana.edu.co1</t>
  </si>
  <si>
    <t>https://ProfPlanta2024.sawtoothsoftware.com/cgi-bin/ciwweb.pl?studyname=ProfPlanta2024&amp;Correo=luz.torres3@unisabana.edu.co1</t>
  </si>
  <si>
    <t>luz.villalba@unisabana.edu.co2</t>
  </si>
  <si>
    <t>https://ProfPlanta2024.sawtoothsoftware.com/cgi-bin/ciwweb.pl?studyname=ProfPlanta2024&amp;Correo=luz.villalba@unisabana.edu.co2</t>
  </si>
  <si>
    <t>luz.villegas1@unisabana.edu.co</t>
  </si>
  <si>
    <t>luz.villegas1@unisabana.edu.co01</t>
  </si>
  <si>
    <t>https://ProfPlanta2024.sawtoothsoftware.com/cgi-bin/ciwweb.pl?studyname=ProfPlanta2024&amp;Correo=luz.villegas1@unisabana.edu.co01</t>
  </si>
  <si>
    <t>luz.villegas1@unisabana.edu.co02</t>
  </si>
  <si>
    <t>https://ProfPlanta2024.sawtoothsoftware.com/cgi-bin/ciwweb.pl?studyname=ProfPlanta2024&amp;Correo=luz.villegas1@unisabana.edu.co02</t>
  </si>
  <si>
    <t>luz.villegas1@unisabana.edu.co03</t>
  </si>
  <si>
    <t>https://ProfPlanta2024.sawtoothsoftware.com/cgi-bin/ciwweb.pl?studyname=ProfPlanta2024&amp;Correo=luz.villegas1@unisabana.edu.co03</t>
  </si>
  <si>
    <t>manuel.figueredo@unisabana.edu.co</t>
  </si>
  <si>
    <t>manuel.figueredo@unisabana.edu.co01</t>
  </si>
  <si>
    <t>https://ProfPlanta2024.sawtoothsoftware.com/cgi-bin/ciwweb.pl?studyname=ProfPlanta2024&amp;Correo=manuel.figueredo@unisabana.edu.co01</t>
  </si>
  <si>
    <t>manuel.figueredo@unisabana.edu.co02</t>
  </si>
  <si>
    <t>https://ProfPlanta2024.sawtoothsoftware.com/cgi-bin/ciwweb.pl?studyname=ProfPlanta2024&amp;Correo=manuel.figueredo@unisabana.edu.co02</t>
  </si>
  <si>
    <t>manuel.figueredo@unisabana.edu.co1</t>
  </si>
  <si>
    <t>https://ProfPlanta2024.sawtoothsoftware.com/cgi-bin/ciwweb.pl?studyname=ProfPlanta2024&amp;Correo=manuel.figueredo@unisabana.edu.co1</t>
  </si>
  <si>
    <t>manuel.gonzalez@unisabana.edu.co</t>
  </si>
  <si>
    <t>manuel.gonzalez@unisabana.edu.co01</t>
  </si>
  <si>
    <t>https://ProfPlanta2024.sawtoothsoftware.com/cgi-bin/ciwweb.pl?studyname=ProfPlanta2024&amp;Correo=manuel.gonzalez@unisabana.edu.co01</t>
  </si>
  <si>
    <t>manuel.pareja@unisabana.edu.co</t>
  </si>
  <si>
    <t>manuel.pareja@unisabana.edu.co1</t>
  </si>
  <si>
    <t>https://ProfPlanta2024.sawtoothsoftware.com/cgi-bin/ciwweb.pl?studyname=ProfPlanta2024&amp;Correo=manuel.pareja@unisabana.edu.co1</t>
  </si>
  <si>
    <t>manuel.prada3@unisabana.edu.co07</t>
  </si>
  <si>
    <t>https://ProfPlanta2024.sawtoothsoftware.com/cgi-bin/ciwweb.pl?studyname=ProfPlanta2024&amp;Correo=manuel.prada3@unisabana.edu.co07</t>
  </si>
  <si>
    <t>manuel.valero@unisabana.edu.co</t>
  </si>
  <si>
    <t>manuel.valero@unisabana.edu.co01</t>
  </si>
  <si>
    <t>https://ProfPlanta2024.sawtoothsoftware.com/cgi-bin/ciwweb.pl?studyname=ProfPlanta2024&amp;Correo=manuel.valero@unisabana.edu.co01</t>
  </si>
  <si>
    <t>manuel.valero@unisabana.edu.co1</t>
  </si>
  <si>
    <t>https://ProfPlanta2024.sawtoothsoftware.com/cgi-bin/ciwweb.pl?studyname=ProfPlanta2024&amp;Correo=manuel.valero@unisabana.edu.co1</t>
  </si>
  <si>
    <t>marcela.duran1@unisabana.edu.co</t>
  </si>
  <si>
    <t>marcela.duran1@unisabana.edu.co1</t>
  </si>
  <si>
    <t>https://ProfPlanta2024.sawtoothsoftware.com/cgi-bin/ciwweb.pl?studyname=ProfPlanta2024&amp;Correo=marcela.duran1@unisabana.edu.co1</t>
  </si>
  <si>
    <t>marcela.duran1@unisabana.edu.co2</t>
  </si>
  <si>
    <t>https://ProfPlanta2024.sawtoothsoftware.com/cgi-bin/ciwweb.pl?studyname=ProfPlanta2024&amp;Correo=marcela.duran1@unisabana.edu.co2</t>
  </si>
  <si>
    <t>marcela.duran1@unisabana.edu.co3</t>
  </si>
  <si>
    <t>https://ProfPlanta2024.sawtoothsoftware.com/cgi-bin/ciwweb.pl?studyname=ProfPlanta2024&amp;Correo=marcela.duran1@unisabana.edu.co3</t>
  </si>
  <si>
    <t>marcos.ferreira@unisabana.edu.co</t>
  </si>
  <si>
    <t>marcos.ferreira@unisabana.edu.co1</t>
  </si>
  <si>
    <t>https://ProfPlanta2024.sawtoothsoftware.com/cgi-bin/ciwweb.pl?studyname=ProfPlanta2024&amp;Correo=marcos.ferreira@unisabana.edu.co1</t>
  </si>
  <si>
    <t>marcoscz@unisabana.edu.co</t>
  </si>
  <si>
    <t>marcoscz@unisabana.edu.co01</t>
  </si>
  <si>
    <t>https://ProfPlanta2024.sawtoothsoftware.com/cgi-bin/ciwweb.pl?studyname=ProfPlanta2024&amp;Correo=marcoscz@unisabana.edu.co01</t>
  </si>
  <si>
    <t>marcoscz@unisabana.edu.co1</t>
  </si>
  <si>
    <t>https://ProfPlanta2024.sawtoothsoftware.com/cgi-bin/ciwweb.pl?studyname=ProfPlanta2024&amp;Correo=marcoscz@unisabana.edu.co1</t>
  </si>
  <si>
    <t>margarethalmo@unisabana.edu.co</t>
  </si>
  <si>
    <t>margarethalmo@unisabana.edu.co01</t>
  </si>
  <si>
    <t>https://ProfPlanta2024.sawtoothsoftware.com/cgi-bin/ciwweb.pl?studyname=ProfPlanta2024&amp;Correo=margarethalmo@unisabana.edu.co01</t>
  </si>
  <si>
    <t>margarethalmo@unisabana.edu.co02</t>
  </si>
  <si>
    <t>https://ProfPlanta2024.sawtoothsoftware.com/cgi-bin/ciwweb.pl?studyname=ProfPlanta2024&amp;Correo=margarethalmo@unisabana.edu.co02</t>
  </si>
  <si>
    <t>margarethalmo@unisabana.edu.co1</t>
  </si>
  <si>
    <t>https://ProfPlanta2024.sawtoothsoftware.com/cgi-bin/ciwweb.pl?studyname=ProfPlanta2024&amp;Correo=margarethalmo@unisabana.edu.co1</t>
  </si>
  <si>
    <t>margarita.cardenas@unisabana.edu.co</t>
  </si>
  <si>
    <t>margarita.cardenas@unisabana.edu.co01</t>
  </si>
  <si>
    <t>https://ProfPlanta2024.sawtoothsoftware.com/cgi-bin/ciwweb.pl?studyname=ProfPlanta2024&amp;Correo=margarita.cardenas@unisabana.edu.co01</t>
  </si>
  <si>
    <t>margarita.cardenas@unisabana.edu.co02</t>
  </si>
  <si>
    <t>https://ProfPlanta2024.sawtoothsoftware.com/cgi-bin/ciwweb.pl?studyname=ProfPlanta2024&amp;Correo=margarita.cardenas@unisabana.edu.co02</t>
  </si>
  <si>
    <t>margarita.pomar@unisabana.edu.co</t>
  </si>
  <si>
    <t>margarita.pomar@unisabana.edu.co01</t>
  </si>
  <si>
    <t>https://ProfPlanta2024.sawtoothsoftware.com/cgi-bin/ciwweb.pl?studyname=ProfPlanta2024&amp;Correo=margarita.pomar@unisabana.edu.co01</t>
  </si>
  <si>
    <t>margarita.pomar@unisabana.edu.co1</t>
  </si>
  <si>
    <t>https://ProfPlanta2024.sawtoothsoftware.com/cgi-bin/ciwweb.pl?studyname=ProfPlanta2024&amp;Correo=margarita.pomar@unisabana.edu.co1</t>
  </si>
  <si>
    <t>maria.abaunza@unisabana.edu.co</t>
  </si>
  <si>
    <t>maria.abaunza@unisabana.edu.co1</t>
  </si>
  <si>
    <t>https://ProfPlanta2024.sawtoothsoftware.com/cgi-bin/ciwweb.pl?studyname=ProfPlanta2024&amp;Correo=maria.abaunza@unisabana.edu.co1</t>
  </si>
  <si>
    <t>maria.aguilar1@unisabana.edu.co</t>
  </si>
  <si>
    <t>maria.aguilar1@unisabana.edu.co1</t>
  </si>
  <si>
    <t>https://ProfPlanta2024.sawtoothsoftware.com/cgi-bin/ciwweb.pl?studyname=ProfPlanta2024&amp;Correo=maria.aguilar1@unisabana.edu.co1</t>
  </si>
  <si>
    <t>maria.angel6@unisabana.edu.co</t>
  </si>
  <si>
    <t>maria.angel6@unisabana.edu.co01</t>
  </si>
  <si>
    <t>https://ProfPlanta2024.sawtoothsoftware.com/cgi-bin/ciwweb.pl?studyname=ProfPlanta2024&amp;Correo=maria.angel6@unisabana.edu.co01</t>
  </si>
  <si>
    <t>maria.angel6@unisabana.edu.co1</t>
  </si>
  <si>
    <t>https://ProfPlanta2024.sawtoothsoftware.com/cgi-bin/ciwweb.pl?studyname=ProfPlanta2024&amp;Correo=maria.angel6@unisabana.edu.co1</t>
  </si>
  <si>
    <t>maria.arbelaez4@unisabana.edu.co2</t>
  </si>
  <si>
    <t>https://ProfPlanta2024.sawtoothsoftware.com/cgi-bin/ciwweb.pl?studyname=ProfPlanta2024&amp;Correo=maria.arbelaez4@unisabana.edu.co2</t>
  </si>
  <si>
    <t>maria.barrios1@unisabana.edu.co</t>
  </si>
  <si>
    <t>maria.barrios1@unisabana.edu.co01</t>
  </si>
  <si>
    <t>https://ProfPlanta2024.sawtoothsoftware.com/cgi-bin/ciwweb.pl?studyname=ProfPlanta2024&amp;Correo=maria.barrios1@unisabana.edu.co01</t>
  </si>
  <si>
    <t>maria.correa3@unisabana.edu.co</t>
  </si>
  <si>
    <t>maria.correa3@unisabana.edu.co1</t>
  </si>
  <si>
    <t>https://ProfPlanta2024.sawtoothsoftware.com/cgi-bin/ciwweb.pl?studyname=ProfPlanta2024&amp;Correo=maria.correa3@unisabana.edu.co1</t>
  </si>
  <si>
    <t>maria.deaza@unisabana.edu.co</t>
  </si>
  <si>
    <t>maria.deaza@unisabana.edu.co1</t>
  </si>
  <si>
    <t>https://ProfPlanta2024.sawtoothsoftware.com/cgi-bin/ciwweb.pl?studyname=ProfPlanta2024&amp;Correo=maria.deaza@unisabana.edu.co1</t>
  </si>
  <si>
    <t>maria.docal@unisabana.edu.co</t>
  </si>
  <si>
    <t>maria.docal@unisabana.edu.co01</t>
  </si>
  <si>
    <t>https://ProfPlanta2024.sawtoothsoftware.com/cgi-bin/ciwweb.pl?studyname=ProfPlanta2024&amp;Correo=maria.docal@unisabana.edu.co01</t>
  </si>
  <si>
    <t>maria.gonzalez2@unisabana.edu.co</t>
  </si>
  <si>
    <t>Maria.Gonzalez2@unisabana.edu.co1</t>
  </si>
  <si>
    <t>https://ProfPlanta2024.sawtoothsoftware.com/cgi-bin/ciwweb.pl?studyname=ProfPlanta2024&amp;Correo=Maria.Gonzalez2@unisabana.edu.co1</t>
  </si>
  <si>
    <t>maria.jaramillo10@unisabana.edu.co</t>
  </si>
  <si>
    <t>maria.jaramillo10@unisabana.edu.co1</t>
  </si>
  <si>
    <t>https://ProfPlanta2024.sawtoothsoftware.com/cgi-bin/ciwweb.pl?studyname=ProfPlanta2024&amp;Correo=maria.jaramillo10@unisabana.edu.co1</t>
  </si>
  <si>
    <t>maria.macias1@unisabana.edu.co</t>
  </si>
  <si>
    <t>maria.macias1@unisabana.edu.co01</t>
  </si>
  <si>
    <t>https://ProfPlanta2024.sawtoothsoftware.com/cgi-bin/ciwweb.pl?studyname=ProfPlanta2024&amp;Correo=maria.macias1@unisabana.edu.co01</t>
  </si>
  <si>
    <t>maria.macias1@unisabana.edu.co1</t>
  </si>
  <si>
    <t>https://ProfPlanta2024.sawtoothsoftware.com/cgi-bin/ciwweb.pl?studyname=ProfPlanta2024&amp;Correo=maria.macias1@unisabana.edu.co1</t>
  </si>
  <si>
    <t>maria.maldonado@unisabana.edu.co</t>
  </si>
  <si>
    <t>maria.maldonado@unisabana.edu.co1</t>
  </si>
  <si>
    <t>https://ProfPlanta2024.sawtoothsoftware.com/cgi-bin/ciwweb.pl?studyname=ProfPlanta2024&amp;Correo=maria.maldonado@unisabana.edu.co1</t>
  </si>
  <si>
    <t>maria.maldonado5@unisabana.edu.co</t>
  </si>
  <si>
    <t>maria.maldonado5@unisabana.edu.co01</t>
  </si>
  <si>
    <t>https://ProfPlanta2024.sawtoothsoftware.com/cgi-bin/ciwweb.pl?studyname=ProfPlanta2024&amp;Correo=maria.maldonado5@unisabana.edu.co01</t>
  </si>
  <si>
    <t>maria.mazzanti@unisabana.edu.co</t>
  </si>
  <si>
    <t>maria.mazzanti@unisabana.edu.co01</t>
  </si>
  <si>
    <t>https://ProfPlanta2024.sawtoothsoftware.com/cgi-bin/ciwweb.pl?studyname=ProfPlanta2024&amp;Correo=maria.mazzanti@unisabana.edu.co01</t>
  </si>
  <si>
    <t>maria.mejia2@unisabana.edu.co01</t>
  </si>
  <si>
    <t>https://ProfPlanta2024.sawtoothsoftware.com/cgi-bin/ciwweb.pl?studyname=ProfPlanta2024&amp;Correo=maria.mejia2@unisabana.edu.co01</t>
  </si>
  <si>
    <t>maria.mejia2@unisabana.edu.co1</t>
  </si>
  <si>
    <t>https://ProfPlanta2024.sawtoothsoftware.com/cgi-bin/ciwweb.pl?studyname=ProfPlanta2024&amp;Correo=maria.mejia2@unisabana.edu.co1</t>
  </si>
  <si>
    <t>maria.quintanilla1@unisabana.edu.co</t>
  </si>
  <si>
    <t>maria.quintanilla1@unisabana.edu.co01</t>
  </si>
  <si>
    <t>https://ProfPlanta2024.sawtoothsoftware.com/cgi-bin/ciwweb.pl?studyname=ProfPlanta2024&amp;Correo=maria.quintanilla1@unisabana.edu.co01</t>
  </si>
  <si>
    <t>maria.quintanilla1@unisabana.edu.co02</t>
  </si>
  <si>
    <t>https://ProfPlanta2024.sawtoothsoftware.com/cgi-bin/ciwweb.pl?studyname=ProfPlanta2024&amp;Correo=maria.quintanilla1@unisabana.edu.co02</t>
  </si>
  <si>
    <t>maria.quintanilla1@unisabana.edu.co1</t>
  </si>
  <si>
    <t>https://ProfPlanta2024.sawtoothsoftware.com/cgi-bin/ciwweb.pl?studyname=ProfPlanta2024&amp;Correo=maria.quintanilla1@unisabana.edu.co1</t>
  </si>
  <si>
    <t>maria.quiroz@unisabana.edu.co</t>
  </si>
  <si>
    <t>maria.quiroz@unisabana.edu.co01</t>
  </si>
  <si>
    <t>https://ProfPlanta2024.sawtoothsoftware.com/cgi-bin/ciwweb.pl?studyname=ProfPlanta2024&amp;Correo=maria.quiroz@unisabana.edu.co01</t>
  </si>
  <si>
    <t>maria.quiroz@unisabana.edu.co07</t>
  </si>
  <si>
    <t>https://ProfPlanta2024.sawtoothsoftware.com/cgi-bin/ciwweb.pl?studyname=ProfPlanta2024&amp;Correo=maria.quiroz@unisabana.edu.co07</t>
  </si>
  <si>
    <t>maria.quiroz@unisabana.edu.co1</t>
  </si>
  <si>
    <t>https://ProfPlanta2024.sawtoothsoftware.com/cgi-bin/ciwweb.pl?studyname=ProfPlanta2024&amp;Correo=maria.quiroz@unisabana.edu.co1</t>
  </si>
  <si>
    <t>maria.rojas22@unisabana.edu.co</t>
  </si>
  <si>
    <t>maria.rojas22@unisabana.edu.co01</t>
  </si>
  <si>
    <t>https://ProfPlanta2024.sawtoothsoftware.com/cgi-bin/ciwweb.pl?studyname=ProfPlanta2024&amp;Correo=maria.rojas22@unisabana.edu.co01</t>
  </si>
  <si>
    <t>maria.rojas22@unisabana.edu.co1</t>
  </si>
  <si>
    <t>https://ProfPlanta2024.sawtoothsoftware.com/cgi-bin/ciwweb.pl?studyname=ProfPlanta2024&amp;Correo=maria.rojas22@unisabana.edu.co1</t>
  </si>
  <si>
    <t>maria.sanchez2@unisabana.edu.co</t>
  </si>
  <si>
    <t>maria.sanchez2@unisabana.edu.co01</t>
  </si>
  <si>
    <t>https://ProfPlanta2024.sawtoothsoftware.com/cgi-bin/ciwweb.pl?studyname=ProfPlanta2024&amp;Correo=maria.sanchez2@unisabana.edu.co01</t>
  </si>
  <si>
    <t>maria.sanchez2@unisabana.edu.co02</t>
  </si>
  <si>
    <t>https://ProfPlanta2024.sawtoothsoftware.com/cgi-bin/ciwweb.pl?studyname=ProfPlanta2024&amp;Correo=maria.sanchez2@unisabana.edu.co02</t>
  </si>
  <si>
    <t>maria.sanchez2@unisabana.edu.co03</t>
  </si>
  <si>
    <t>https://ProfPlanta2024.sawtoothsoftware.com/cgi-bin/ciwweb.pl?studyname=ProfPlanta2024&amp;Correo=maria.sanchez2@unisabana.edu.co03</t>
  </si>
  <si>
    <t>maria.sanchez2@unisabana.edu.co1</t>
  </si>
  <si>
    <t>https://ProfPlanta2024.sawtoothsoftware.com/cgi-bin/ciwweb.pl?studyname=ProfPlanta2024&amp;Correo=maria.sanchez2@unisabana.edu.co1</t>
  </si>
  <si>
    <t>maria.tovar5@unisabana.edu.co</t>
  </si>
  <si>
    <t>maria.tovar5@unisabana.edu.co01</t>
  </si>
  <si>
    <t>https://ProfPlanta2024.sawtoothsoftware.com/cgi-bin/ciwweb.pl?studyname=ProfPlanta2024&amp;Correo=maria.tovar5@unisabana.edu.co01</t>
  </si>
  <si>
    <t>maria.umbacia@unisabana.edu.co</t>
  </si>
  <si>
    <t>maria.umbacia@unisabana.edu.co01</t>
  </si>
  <si>
    <t>https://ProfPlanta2024.sawtoothsoftware.com/cgi-bin/ciwweb.pl?studyname=ProfPlanta2024&amp;Correo=maria.umbacia@unisabana.edu.co01</t>
  </si>
  <si>
    <t>maria.umbacia@unisabana.edu.co1</t>
  </si>
  <si>
    <t>https://ProfPlanta2024.sawtoothsoftware.com/cgi-bin/ciwweb.pl?studyname=ProfPlanta2024&amp;Correo=maria.umbacia@unisabana.edu.co1</t>
  </si>
  <si>
    <t>maria.uribe3@unisabana.edu.co</t>
  </si>
  <si>
    <t>maria.uribe3@unisabana.edu.co1</t>
  </si>
  <si>
    <t>https://ProfPlanta2024.sawtoothsoftware.com/cgi-bin/ciwweb.pl?studyname=ProfPlanta2024&amp;Correo=maria.uribe3@unisabana.edu.co1</t>
  </si>
  <si>
    <t>maria.velasco2@unisabana.edu.co</t>
  </si>
  <si>
    <t>maria.velasco2@unisabana.edu.co1</t>
  </si>
  <si>
    <t>https://ProfPlanta2024.sawtoothsoftware.com/cgi-bin/ciwweb.pl?studyname=ProfPlanta2024&amp;Correo=maria.velasco2@unisabana.edu.co1</t>
  </si>
  <si>
    <t>mariae.moreno@unisabana.edu.co</t>
  </si>
  <si>
    <t>mariae.moreno@unisabana.edu.co01</t>
  </si>
  <si>
    <t>https://ProfPlanta2024.sawtoothsoftware.com/cgi-bin/ciwweb.pl?studyname=ProfPlanta2024&amp;Correo=mariae.moreno@unisabana.edu.co01</t>
  </si>
  <si>
    <t>mariae.moreno@unisabana.edu.co02</t>
  </si>
  <si>
    <t>https://ProfPlanta2024.sawtoothsoftware.com/cgi-bin/ciwweb.pl?studyname=ProfPlanta2024&amp;Correo=mariae.moreno@unisabana.edu.co02</t>
  </si>
  <si>
    <t>mariae.moreno@unisabana.edu.co03</t>
  </si>
  <si>
    <t>https://ProfPlanta2024.sawtoothsoftware.com/cgi-bin/ciwweb.pl?studyname=ProfPlanta2024&amp;Correo=mariae.moreno@unisabana.edu.co03</t>
  </si>
  <si>
    <t>mariae.moreno@unisabana.edu.co04</t>
  </si>
  <si>
    <t>https://ProfPlanta2024.sawtoothsoftware.com/cgi-bin/ciwweb.pl?studyname=ProfPlanta2024&amp;Correo=mariae.moreno@unisabana.edu.co04</t>
  </si>
  <si>
    <t>mariasc@unisabana.edu.co</t>
  </si>
  <si>
    <t>mariasc@unisabana.edu.co1</t>
  </si>
  <si>
    <t>https://ProfPlanta2024.sawtoothsoftware.com/cgi-bin/ciwweb.pl?studyname=ProfPlanta2024&amp;Correo=mariasc@unisabana.edu.co1</t>
  </si>
  <si>
    <t>maricela.montes@unisabana.edu.co</t>
  </si>
  <si>
    <t>maricela.montes@unisabana.edu.co01</t>
  </si>
  <si>
    <t>https://ProfPlanta2024.sawtoothsoftware.com/cgi-bin/ciwweb.pl?studyname=ProfPlanta2024&amp;Correo=maricela.montes@unisabana.edu.co01</t>
  </si>
  <si>
    <t>maricela.montes@unisabana.edu.co1</t>
  </si>
  <si>
    <t>https://ProfPlanta2024.sawtoothsoftware.com/cgi-bin/ciwweb.pl?studyname=ProfPlanta2024&amp;Correo=maricela.montes@unisabana.edu.co1</t>
  </si>
  <si>
    <t>mario.juha@unisabana.edu.co</t>
  </si>
  <si>
    <t>mario.juha@unisabana.edu.co01</t>
  </si>
  <si>
    <t>https://ProfPlanta2024.sawtoothsoftware.com/cgi-bin/ciwweb.pl?studyname=ProfPlanta2024&amp;Correo=mario.juha@unisabana.edu.co01</t>
  </si>
  <si>
    <t>mario.juha@unisabana.edu.co02</t>
  </si>
  <si>
    <t>https://ProfPlanta2024.sawtoothsoftware.com/cgi-bin/ciwweb.pl?studyname=ProfPlanta2024&amp;Correo=mario.juha@unisabana.edu.co02</t>
  </si>
  <si>
    <t>mario.juha@unisabana.edu.co1</t>
  </si>
  <si>
    <t>https://ProfPlanta2024.sawtoothsoftware.com/cgi-bin/ciwweb.pl?studyname=ProfPlanta2024&amp;Correo=mario.juha@unisabana.edu.co1</t>
  </si>
  <si>
    <t>mario.martinez@unisabana.edu.co</t>
  </si>
  <si>
    <t>mario.martinez@unisabana.edu.co1</t>
  </si>
  <si>
    <t>https://ProfPlanta2024.sawtoothsoftware.com/cgi-bin/ciwweb.pl?studyname=ProfPlanta2024&amp;Correo=mario.martinez@unisabana.edu.co1</t>
  </si>
  <si>
    <t>maritzarp@unisabana.edu.co</t>
  </si>
  <si>
    <t>MaritzaRP@unisabana.edu.co01</t>
  </si>
  <si>
    <t>https://ProfPlanta2024.sawtoothsoftware.com/cgi-bin/ciwweb.pl?studyname=ProfPlanta2024&amp;Correo=MaritzaRP@unisabana.edu.co01</t>
  </si>
  <si>
    <t>MaritzaRP@unisabana.edu.co1</t>
  </si>
  <si>
    <t>https://ProfPlanta2024.sawtoothsoftware.com/cgi-bin/ciwweb.pl?studyname=ProfPlanta2024&amp;Correo=MaritzaRP@unisabana.edu.co1</t>
  </si>
  <si>
    <t>martha.acosta@unisabana.edu.co</t>
  </si>
  <si>
    <t>martha.acosta@unisabana.edu.co01</t>
  </si>
  <si>
    <t>https://ProfPlanta2024.sawtoothsoftware.com/cgi-bin/ciwweb.pl?studyname=ProfPlanta2024&amp;Correo=martha.acosta@unisabana.edu.co01</t>
  </si>
  <si>
    <t>martha.acosta@unisabana.edu.co02</t>
  </si>
  <si>
    <t>https://ProfPlanta2024.sawtoothsoftware.com/cgi-bin/ciwweb.pl?studyname=ProfPlanta2024&amp;Correo=martha.acosta@unisabana.edu.co02</t>
  </si>
  <si>
    <t>martha.acosta@unisabana.edu.co1</t>
  </si>
  <si>
    <t>https://ProfPlanta2024.sawtoothsoftware.com/cgi-bin/ciwweb.pl?studyname=ProfPlanta2024&amp;Correo=martha.acosta@unisabana.edu.co1</t>
  </si>
  <si>
    <t>martha.co0bo@unisabana.edu.co</t>
  </si>
  <si>
    <t>martha.co0bo@unisabana.edu.co01</t>
  </si>
  <si>
    <t>https://ProfPlanta2024.sawtoothsoftware.com/cgi-bin/ciwweb.pl?studyname=ProfPlanta2024&amp;Correo=martha.co0bo@unisabana.edu.co01</t>
  </si>
  <si>
    <t>martha.co0bo@unisabana.edu.co02</t>
  </si>
  <si>
    <t>https://ProfPlanta2024.sawtoothsoftware.com/cgi-bin/ciwweb.pl?studyname=ProfPlanta2024&amp;Correo=martha.co0bo@unisabana.edu.co02</t>
  </si>
  <si>
    <t>martha.gonzalez@unisabana.edu.co</t>
  </si>
  <si>
    <t>martha.gonzalez@unisabana.edu.co07</t>
  </si>
  <si>
    <t>https://ProfPlanta2024.sawtoothsoftware.com/cgi-bin/ciwweb.pl?studyname=ProfPlanta2024&amp;Correo=martha.gonzalez@unisabana.edu.co07</t>
  </si>
  <si>
    <t>martha.leon@unisabana.edu.co</t>
  </si>
  <si>
    <t>martha.leon@unisabana.edu.co01</t>
  </si>
  <si>
    <t>https://ProfPlanta2024.sawtoothsoftware.com/cgi-bin/ciwweb.pl?studyname=ProfPlanta2024&amp;Correo=martha.leon@unisabana.edu.co01</t>
  </si>
  <si>
    <t>martha.leon@unisabana.edu.co1</t>
  </si>
  <si>
    <t>https://ProfPlanta2024.sawtoothsoftware.com/cgi-bin/ciwweb.pl?studyname=ProfPlanta2024&amp;Correo=martha.leon@unisabana.edu.co1</t>
  </si>
  <si>
    <t>martha.miranda@unisabana.edu.co</t>
  </si>
  <si>
    <t>martha.miranda@unisabana.edu.co1</t>
  </si>
  <si>
    <t>https://ProfPlanta2024.sawtoothsoftware.com/cgi-bin/ciwweb.pl?studyname=ProfPlanta2024&amp;Correo=martha.miranda@unisabana.edu.co1</t>
  </si>
  <si>
    <t>martha.misas@unisabana.edu.co</t>
  </si>
  <si>
    <t>martha.misas@unisabana.edu.co1</t>
  </si>
  <si>
    <t>https://ProfPlanta2024.sawtoothsoftware.com/cgi-bin/ciwweb.pl?studyname=ProfPlanta2024&amp;Correo=martha.misas@unisabana.edu.co1</t>
  </si>
  <si>
    <t>martha.roa@unisabana.edu.co</t>
  </si>
  <si>
    <t>martha.roa@unisabana.edu.co1</t>
  </si>
  <si>
    <t>https://ProfPlanta2024.sawtoothsoftware.com/cgi-bin/ciwweb.pl?studyname=ProfPlanta2024&amp;Correo=martha.roa@unisabana.edu.co1</t>
  </si>
  <si>
    <t>maryorygl@unisabana.edu.co</t>
  </si>
  <si>
    <t>Maryorygl@unisabana.edu.co01</t>
  </si>
  <si>
    <t>https://ProfPlanta2024.sawtoothsoftware.com/cgi-bin/ciwweb.pl?studyname=ProfPlanta2024&amp;Correo=Maryorygl@unisabana.edu.co01</t>
  </si>
  <si>
    <t>mauricio.agudelo@unisabana.edu.co</t>
  </si>
  <si>
    <t>mauricio.agudelo@unisabana.edu.co01</t>
  </si>
  <si>
    <t>https://ProfPlanta2024.sawtoothsoftware.com/cgi-bin/ciwweb.pl?studyname=ProfPlanta2024&amp;Correo=mauricio.agudelo@unisabana.edu.co01</t>
  </si>
  <si>
    <t>mauricio.agudelo@unisabana.edu.co1</t>
  </si>
  <si>
    <t>https://ProfPlanta2024.sawtoothsoftware.com/cgi-bin/ciwweb.pl?studyname=ProfPlanta2024&amp;Correo=mauricio.agudelo@unisabana.edu.co1</t>
  </si>
  <si>
    <t>mauricio.agudelo@unisabana.edu.co2</t>
  </si>
  <si>
    <t>https://ProfPlanta2024.sawtoothsoftware.com/cgi-bin/ciwweb.pl?studyname=ProfPlanta2024&amp;Correo=mauricio.agudelo@unisabana.edu.co2</t>
  </si>
  <si>
    <t>mauricio.sanchez2@unisabana.edu.co</t>
  </si>
  <si>
    <t>mauricio.sanchez2@unisabana.edu.co1</t>
  </si>
  <si>
    <t>https://ProfPlanta2024.sawtoothsoftware.com/cgi-bin/ciwweb.pl?studyname=ProfPlanta2024&amp;Correo=mauricio.sanchez2@unisabana.edu.co1</t>
  </si>
  <si>
    <t>mauricio.ulloa@unisabana.edu.co</t>
  </si>
  <si>
    <t>mauricio.ulloa@unisabana.edu.co01</t>
  </si>
  <si>
    <t>https://ProfPlanta2024.sawtoothsoftware.com/cgi-bin/ciwweb.pl?studyname=ProfPlanta2024&amp;Correo=mauricio.ulloa@unisabana.edu.co01</t>
  </si>
  <si>
    <t>mauricio.ulloa@unisabana.edu.co1</t>
  </si>
  <si>
    <t>https://ProfPlanta2024.sawtoothsoftware.com/cgi-bin/ciwweb.pl?studyname=ProfPlanta2024&amp;Correo=mauricio.ulloa@unisabana.edu.co1</t>
  </si>
  <si>
    <t>miguel.sarmiento@unisabana.edu.co</t>
  </si>
  <si>
    <t>miguel.sarmiento@unisabana.edu.co1</t>
  </si>
  <si>
    <t>https://ProfPlanta2024.sawtoothsoftware.com/cgi-bin/ciwweb.pl?studyname=ProfPlanta2024&amp;Correo=miguel.sarmiento@unisabana.edu.co1</t>
  </si>
  <si>
    <t>miguel.uribe1@unisabana.edu.co</t>
  </si>
  <si>
    <t>miguel.uribe1@unisabana.edu.co1</t>
  </si>
  <si>
    <t>https://ProfPlanta2024.sawtoothsoftware.com/cgi-bin/ciwweb.pl?studyname=ProfPlanta2024&amp;Correo=miguel.uribe1@unisabana.edu.co1</t>
  </si>
  <si>
    <t>milena.saavedra@unisabana.edu.co</t>
  </si>
  <si>
    <t>milena.saavedra@unisabana.edu.co1</t>
  </si>
  <si>
    <t>https://ProfPlanta2024.sawtoothsoftware.com/cgi-bin/ciwweb.pl?studyname=ProfPlanta2024&amp;Correo=milena.saavedra@unisabana.edu.co1</t>
  </si>
  <si>
    <t>monica.diaz1@unisabana.edu.co</t>
  </si>
  <si>
    <t>MONICA.DIAZ1@UNISABANA.EDU.CO1</t>
  </si>
  <si>
    <t>https://ProfPlanta2024.sawtoothsoftware.com/cgi-bin/ciwweb.pl?studyname=ProfPlanta2024&amp;Correo=MONICA.DIAZ1@UNISABANA.EDU.CO1</t>
  </si>
  <si>
    <t>monica.hurtado@unisabana.edu.co</t>
  </si>
  <si>
    <t>monica.hurtado@unisabana.edu.co1</t>
  </si>
  <si>
    <t>https://ProfPlanta2024.sawtoothsoftware.com/cgi-bin/ciwweb.pl?studyname=ProfPlanta2024&amp;Correo=monica.hurtado@unisabana.edu.co1</t>
  </si>
  <si>
    <t>nadia.proanos1@unisabana.edu.co</t>
  </si>
  <si>
    <t>nadia.proanos1@unisabana.edu.co01</t>
  </si>
  <si>
    <t>https://ProfPlanta2024.sawtoothsoftware.com/cgi-bin/ciwweb.pl?studyname=ProfPlanta2024&amp;Correo=nadia.proanos1@unisabana.edu.co01</t>
  </si>
  <si>
    <t>nadia.proanos1@unisabana.edu.co1</t>
  </si>
  <si>
    <t>https://ProfPlanta2024.sawtoothsoftware.com/cgi-bin/ciwweb.pl?studyname=ProfPlanta2024&amp;Correo=nadia.proanos1@unisabana.edu.co1</t>
  </si>
  <si>
    <t>nancy.munoz@unisabana.edu.co</t>
  </si>
  <si>
    <t>nancy.munoz@unisabana.edu.co1</t>
  </si>
  <si>
    <t>https://ProfPlanta2024.sawtoothsoftware.com/cgi-bin/ciwweb.pl?studyname=ProfPlanta2024&amp;Correo=nancy.munoz@unisabana.edu.co1</t>
  </si>
  <si>
    <t>natalia.arango1@unisabana.edu.co</t>
  </si>
  <si>
    <t>natalia.arango1@unisabana.edu.co1</t>
  </si>
  <si>
    <t>https://ProfPlanta2024.sawtoothsoftware.com/cgi-bin/ciwweb.pl?studyname=ProfPlanta2024&amp;Correo=natalia.arango1@unisabana.edu.co1</t>
  </si>
  <si>
    <t>natalia.arango1@unisabana.edu.co2</t>
  </si>
  <si>
    <t>https://ProfPlanta2024.sawtoothsoftware.com/cgi-bin/ciwweb.pl?studyname=ProfPlanta2024&amp;Correo=natalia.arango1@unisabana.edu.co2</t>
  </si>
  <si>
    <t>natalia.co0nde@unisabana.edu.co</t>
  </si>
  <si>
    <t>natalia.co0nde@unisabana.edu.co01</t>
  </si>
  <si>
    <t>https://ProfPlanta2024.sawtoothsoftware.com/cgi-bin/ciwweb.pl?studyname=ProfPlanta2024&amp;Correo=natalia.co0nde@unisabana.edu.co01</t>
  </si>
  <si>
    <t>natalia.conde@unisabana.edu.co</t>
  </si>
  <si>
    <t>natalia.conde@unisabana.edu.co1</t>
  </si>
  <si>
    <t>https://ProfPlanta2024.sawtoothsoftware.com/cgi-bin/ciwweb.pl?studyname=ProfPlanta2024&amp;Correo=natalia.conde@unisabana.edu.co1</t>
  </si>
  <si>
    <t>natalia.conde@unisabana.edu.co2</t>
  </si>
  <si>
    <t>https://ProfPlanta2024.sawtoothsoftware.com/cgi-bin/ciwweb.pl?studyname=ProfPlanta2024&amp;Correo=natalia.conde@unisabana.edu.co2</t>
  </si>
  <si>
    <t>neil.valentin@unisabana.edu.co</t>
  </si>
  <si>
    <t>neil.valentin@unisabana.edu.co01</t>
  </si>
  <si>
    <t>https://ProfPlanta2024.sawtoothsoftware.com/cgi-bin/ciwweb.pl?studyname=ProfPlanta2024&amp;Correo=neil.valentin@unisabana.edu.co01</t>
  </si>
  <si>
    <t>neil.valentin@unisabana.edu.co1</t>
  </si>
  <si>
    <t>https://ProfPlanta2024.sawtoothsoftware.com/cgi-bin/ciwweb.pl?studyname=ProfPlanta2024&amp;Correo=neil.valentin@unisabana.edu.co1</t>
  </si>
  <si>
    <t>neila.diaz@unisabana.edu.co</t>
  </si>
  <si>
    <t>neila.diaz@unisabana.edu.co1</t>
  </si>
  <si>
    <t>https://ProfPlanta2024.sawtoothsoftware.com/cgi-bin/ciwweb.pl?studyname=ProfPlanta2024&amp;Correo=neila.diaz@unisabana.edu.co1</t>
  </si>
  <si>
    <t>nelly.ojeda@unisabana.edu.co</t>
  </si>
  <si>
    <t>nelly.ojeda@unisabana.edu.co1</t>
  </si>
  <si>
    <t>https://ProfPlanta2024.sawtoothsoftware.com/cgi-bin/ciwweb.pl?studyname=ProfPlanta2024&amp;Correo=nelly.ojeda@unisabana.edu.co1</t>
  </si>
  <si>
    <t>nestor.sanchez1@unisabana.edu.co</t>
  </si>
  <si>
    <t>nestor.sanchez1@unisabana.edu.co01</t>
  </si>
  <si>
    <t>https://ProfPlanta2024.sawtoothsoftware.com/cgi-bin/ciwweb.pl?studyname=ProfPlanta2024&amp;Correo=nestor.sanchez1@unisabana.edu.co01</t>
  </si>
  <si>
    <t>nestor.sanchez1@unisabana.edu.co1</t>
  </si>
  <si>
    <t>https://ProfPlanta2024.sawtoothsoftware.com/cgi-bin/ciwweb.pl?studyname=ProfPlanta2024&amp;Correo=nestor.sanchez1@unisabana.edu.co1</t>
  </si>
  <si>
    <t>nicolas.garzon@unisabana.edu.co</t>
  </si>
  <si>
    <t>nicolas.garzon@unisabana.edu.co01</t>
  </si>
  <si>
    <t>https://ProfPlanta2024.sawtoothsoftware.com/cgi-bin/ciwweb.pl?studyname=ProfPlanta2024&amp;Correo=nicolas.garzon@unisabana.edu.co01</t>
  </si>
  <si>
    <t>nicolas.garzon@unisabana.edu.co1</t>
  </si>
  <si>
    <t>https://ProfPlanta2024.sawtoothsoftware.com/cgi-bin/ciwweb.pl?studyname=ProfPlanta2024&amp;Correo=nicolas.garzon@unisabana.edu.co1</t>
  </si>
  <si>
    <t>nicolas.rodriguez5@unisabana.edu.co01</t>
  </si>
  <si>
    <t>https://ProfPlanta2024.sawtoothsoftware.com/cgi-bin/ciwweb.pl?studyname=ProfPlanta2024&amp;Correo=nicolas.rodriguez5@unisabana.edu.co01</t>
  </si>
  <si>
    <t>nohora.angulo@unisabana.edu.co</t>
  </si>
  <si>
    <t>nohora.angulo@unisabana.edu.co1</t>
  </si>
  <si>
    <t>https://ProfPlanta2024.sawtoothsoftware.com/cgi-bin/ciwweb.pl?studyname=ProfPlanta2024&amp;Correo=nohora.angulo@unisabana.edu.co1</t>
  </si>
  <si>
    <t>olga.restrepo@unisabana.edu.co</t>
  </si>
  <si>
    <t>olga.restrepo@unisabana.edu.co1</t>
  </si>
  <si>
    <t>https://ProfPlanta2024.sawtoothsoftware.com/cgi-bin/ciwweb.pl?studyname=ProfPlanta2024&amp;Correo=olga.restrepo@unisabana.edu.co1</t>
  </si>
  <si>
    <t>olga.reyes1@unisabana.edu.co</t>
  </si>
  <si>
    <t>olga.reyes1@unisabana.edu.co01</t>
  </si>
  <si>
    <t>https://ProfPlanta2024.sawtoothsoftware.com/cgi-bin/ciwweb.pl?studyname=ProfPlanta2024&amp;Correo=olga.reyes1@unisabana.edu.co01</t>
  </si>
  <si>
    <t>olga.reyes1@unisabana.edu.co02</t>
  </si>
  <si>
    <t>https://ProfPlanta2024.sawtoothsoftware.com/cgi-bin/ciwweb.pl?studyname=ProfPlanta2024&amp;Correo=olga.reyes1@unisabana.edu.co02</t>
  </si>
  <si>
    <t>olga.reyes1@unisabana.edu.co03</t>
  </si>
  <si>
    <t>https://ProfPlanta2024.sawtoothsoftware.com/cgi-bin/ciwweb.pl?studyname=ProfPlanta2024&amp;Correo=olga.reyes1@unisabana.edu.co03</t>
  </si>
  <si>
    <t>olga.reyes1@unisabana.edu.co04</t>
  </si>
  <si>
    <t>https://ProfPlanta2024.sawtoothsoftware.com/cgi-bin/ciwweb.pl?studyname=ProfPlanta2024&amp;Correo=olga.reyes1@unisabana.edu.co04</t>
  </si>
  <si>
    <t>olga.reyes1@unisabana.edu.co1</t>
  </si>
  <si>
    <t>https://ProfPlanta2024.sawtoothsoftware.com/cgi-bin/ciwweb.pl?studyname=ProfPlanta2024&amp;Correo=olga.reyes1@unisabana.edu.co1</t>
  </si>
  <si>
    <t>omar.arias1@unisabana.edu.co</t>
  </si>
  <si>
    <t>omar.arias1@unisabana.edu.co1</t>
  </si>
  <si>
    <t>https://ProfPlanta2024.sawtoothsoftware.com/cgi-bin/ciwweb.pl?studyname=ProfPlanta2024&amp;Correo=omar.arias1@unisabana.edu.co1</t>
  </si>
  <si>
    <t>oscar.boude@unisabana.edu.co</t>
  </si>
  <si>
    <t>oscar.boude@unisabana.edu.co01</t>
  </si>
  <si>
    <t>https://ProfPlanta2024.sawtoothsoftware.com/cgi-bin/ciwweb.pl?studyname=ProfPlanta2024&amp;Correo=oscar.boude@unisabana.edu.co01</t>
  </si>
  <si>
    <t>oscar.boude@unisabana.edu.co02</t>
  </si>
  <si>
    <t>https://ProfPlanta2024.sawtoothsoftware.com/cgi-bin/ciwweb.pl?studyname=ProfPlanta2024&amp;Correo=oscar.boude@unisabana.edu.co02</t>
  </si>
  <si>
    <t>oscar.boude@unisabana.edu.co03</t>
  </si>
  <si>
    <t>https://ProfPlanta2024.sawtoothsoftware.com/cgi-bin/ciwweb.pl?studyname=ProfPlanta2024&amp;Correo=oscar.boude@unisabana.edu.co03</t>
  </si>
  <si>
    <t>pablo.gutierrez@unisabana.edu.co01</t>
  </si>
  <si>
    <t>https://ProfPlanta2024.sawtoothsoftware.com/cgi-bin/ciwweb.pl?studyname=ProfPlanta2024&amp;Correo=pablo.gutierrez@unisabana.edu.co01</t>
  </si>
  <si>
    <t>pamela.leyva1@unisabana.edu.co</t>
  </si>
  <si>
    <t>pamela.leyva1@unisabana.edu.co01</t>
  </si>
  <si>
    <t>https://ProfPlanta2024.sawtoothsoftware.com/cgi-bin/ciwweb.pl?studyname=ProfPlanta2024&amp;Correo=pamela.leyva1@unisabana.edu.co01</t>
  </si>
  <si>
    <t>paola.arbelaez@unisabana.edu.co</t>
  </si>
  <si>
    <t>paola.arbelaez@unisabana.edu.co1</t>
  </si>
  <si>
    <t>https://ProfPlanta2024.sawtoothsoftware.com/cgi-bin/ciwweb.pl?studyname=ProfPlanta2024&amp;Correo=paola.arbelaez@unisabana.edu.co1</t>
  </si>
  <si>
    <t>paola.sarmiento1@unisabana.edu.co</t>
  </si>
  <si>
    <t>paola.sarmiento1@unisabana.edu.co01</t>
  </si>
  <si>
    <t>https://ProfPlanta2024.sawtoothsoftware.com/cgi-bin/ciwweb.pl?studyname=ProfPlanta2024&amp;Correo=paola.sarmiento1@unisabana.edu.co01</t>
  </si>
  <si>
    <t>paola.sarmiento1@unisabana.edu.co1</t>
  </si>
  <si>
    <t>https://ProfPlanta2024.sawtoothsoftware.com/cgi-bin/ciwweb.pl?studyname=ProfPlanta2024&amp;Correo=paola.sarmiento1@unisabana.edu.co1</t>
  </si>
  <si>
    <t>paola.uribe@unisabana.edu.co</t>
  </si>
  <si>
    <t>paola.uribe@unisabana.edu.co1</t>
  </si>
  <si>
    <t>https://ProfPlanta2024.sawtoothsoftware.com/cgi-bin/ciwweb.pl?studyname=ProfPlanta2024&amp;Correo=paola.uribe@unisabana.edu.co1</t>
  </si>
  <si>
    <t>paolaalbde@unisabana.edu.co</t>
  </si>
  <si>
    <t>paolaalbde@unisabana.edu.co01</t>
  </si>
  <si>
    <t>https://ProfPlanta2024.sawtoothsoftware.com/cgi-bin/ciwweb.pl?studyname=ProfPlanta2024&amp;Correo=paolaalbde@unisabana.edu.co01</t>
  </si>
  <si>
    <t>paolaalbde@unisabana.edu.co1</t>
  </si>
  <si>
    <t>https://ProfPlanta2024.sawtoothsoftware.com/cgi-bin/ciwweb.pl?studyname=ProfPlanta2024&amp;Correo=paolaalbde@unisabana.edu.co1</t>
  </si>
  <si>
    <t>paolaalbde@unisabana.edu.co2</t>
  </si>
  <si>
    <t>https://ProfPlanta2024.sawtoothsoftware.com/cgi-bin/ciwweb.pl?studyname=ProfPlanta2024&amp;Correo=paolaalbde@unisabana.edu.co2</t>
  </si>
  <si>
    <t>paolaalbde@unisabana.edu.co3</t>
  </si>
  <si>
    <t>https://ProfPlanta2024.sawtoothsoftware.com/cgi-bin/ciwweb.pl?studyname=ProfPlanta2024&amp;Correo=paolaalbde@unisabana.edu.co3</t>
  </si>
  <si>
    <t>paula.bonilla3@unisabana.edu.co</t>
  </si>
  <si>
    <t>paula.bonilla3@unisabana.edu.co01</t>
  </si>
  <si>
    <t>https://ProfPlanta2024.sawtoothsoftware.com/cgi-bin/ciwweb.pl?studyname=ProfPlanta2024&amp;Correo=paula.bonilla3@unisabana.edu.co01</t>
  </si>
  <si>
    <t>paula.bonilla3@unisabana.edu.co1</t>
  </si>
  <si>
    <t>https://ProfPlanta2024.sawtoothsoftware.com/cgi-bin/ciwweb.pl?studyname=ProfPlanta2024&amp;Correo=paula.bonilla3@unisabana.edu.co1</t>
  </si>
  <si>
    <t>paula.gonzalez4@unisabana.edu.co</t>
  </si>
  <si>
    <t>paula.gonzalez4@unisabana.edu.co1</t>
  </si>
  <si>
    <t>https://ProfPlanta2024.sawtoothsoftware.com/cgi-bin/ciwweb.pl?studyname=ProfPlanta2024&amp;Correo=paula.gonzalez4@unisabana.edu.co1</t>
  </si>
  <si>
    <t>pedro.sarmiento@unisabana.edu.co</t>
  </si>
  <si>
    <t>pedro.sarmiento@unisabana.edu.co01</t>
  </si>
  <si>
    <t>https://ProfPlanta2024.sawtoothsoftware.com/cgi-bin/ciwweb.pl?studyname=ProfPlanta2024&amp;Correo=pedro.sarmiento@unisabana.edu.co01</t>
  </si>
  <si>
    <t>rafael.alvarez@unisabana.edu.co</t>
  </si>
  <si>
    <t>rafael.alvarez@unisabana.edu.co1</t>
  </si>
  <si>
    <t>https://ProfPlanta2024.sawtoothsoftware.com/cgi-bin/ciwweb.pl?studyname=ProfPlanta2024&amp;Correo=rafael.alvarez@unisabana.edu.co1</t>
  </si>
  <si>
    <t>rafael.henriquez@unisabana.edu.co</t>
  </si>
  <si>
    <t>rafael.henriquez@unisabana.edu.co1</t>
  </si>
  <si>
    <t>https://ProfPlanta2024.sawtoothsoftware.com/cgi-bin/ciwweb.pl?studyname=ProfPlanta2024&amp;Correo=rafael.henriquez@unisabana.edu.co1</t>
  </si>
  <si>
    <t>ricardo.aldana@unisabana.edu.co</t>
  </si>
  <si>
    <t>ricardo.aldana@unisabana.edu.co1</t>
  </si>
  <si>
    <t>https://ProfPlanta2024.sawtoothsoftware.com/cgi-bin/ciwweb.pl?studyname=ProfPlanta2024&amp;Correo=ricardo.aldana@unisabana.edu.co1</t>
  </si>
  <si>
    <t>ricardo.cano@unisabana.edu.co</t>
  </si>
  <si>
    <t>ricardo.cano@unisabana.edu.co1</t>
  </si>
  <si>
    <t>https://ProfPlanta2024.sawtoothsoftware.com/cgi-bin/ciwweb.pl?studyname=ProfPlanta2024&amp;Correo=ricardo.cano@unisabana.edu.co1</t>
  </si>
  <si>
    <t>ricardo.sotaquira@unisabana.edu.co</t>
  </si>
  <si>
    <t>ricardo.sotaquira@unisabana.edu.co01</t>
  </si>
  <si>
    <t>https://ProfPlanta2024.sawtoothsoftware.com/cgi-bin/ciwweb.pl?studyname=ProfPlanta2024&amp;Correo=ricardo.sotaquira@unisabana.edu.co01</t>
  </si>
  <si>
    <t>ricardo.sotaquira@unisabana.edu.co1</t>
  </si>
  <si>
    <t>https://ProfPlanta2024.sawtoothsoftware.com/cgi-bin/ciwweb.pl?studyname=ProfPlanta2024&amp;Correo=ricardo.sotaquira@unisabana.edu.co1</t>
  </si>
  <si>
    <t>roberto.garcia@unisabana.edu.co</t>
  </si>
  <si>
    <t>roberto.garcia@unisabana.edu.co1</t>
  </si>
  <si>
    <t>https://ProfPlanta2024.sawtoothsoftware.com/cgi-bin/ciwweb.pl?studyname=ProfPlanta2024&amp;Correo=roberto.garcia@unisabana.edu.co1</t>
  </si>
  <si>
    <t>RocioHP@unisabana.edu.co03</t>
  </si>
  <si>
    <t>https://ProfPlanta2024.sawtoothsoftware.com/cgi-bin/ciwweb.pl?studyname=ProfPlanta2024&amp;Correo=RocioHP@unisabana.edu.co03</t>
  </si>
  <si>
    <t>rodrigo.cuevas@clinicaunisabana.edu.co</t>
  </si>
  <si>
    <t>Rodrigo.Cuevas@clinicaunisabana.edu.co1</t>
  </si>
  <si>
    <t>https://ProfPlanta2024.sawtoothsoftware.com/cgi-bin/ciwweb.pl?studyname=ProfPlanta2024&amp;Correo=Rodrigo.Cuevas@clinicaunisabana.edu.co1</t>
  </si>
  <si>
    <t>ronal.forero@unisabana.edu.co</t>
  </si>
  <si>
    <t>ronal.forero@unisabana.edu.co01</t>
  </si>
  <si>
    <t>https://ProfPlanta2024.sawtoothsoftware.com/cgi-bin/ciwweb.pl?studyname=ProfPlanta2024&amp;Correo=ronal.forero@unisabana.edu.co01</t>
  </si>
  <si>
    <t>rosa.duran@unisabana.edu.co</t>
  </si>
  <si>
    <t>rosa.duran@unisabana.edu.co01</t>
  </si>
  <si>
    <t>https://ProfPlanta2024.sawtoothsoftware.com/cgi-bin/ciwweb.pl?studyname=ProfPlanta2024&amp;Correo=rosa.duran@unisabana.edu.co01</t>
  </si>
  <si>
    <t>rosabucr@unisabana.edu.co</t>
  </si>
  <si>
    <t>rosabucr@unisabana.edu.co01</t>
  </si>
  <si>
    <t>https://ProfPlanta2024.sawtoothsoftware.com/cgi-bin/ciwweb.pl?studyname=ProfPlanta2024&amp;Correo=rosabucr@unisabana.edu.co01</t>
  </si>
  <si>
    <t>rosabucr@unisabana.edu.co1</t>
  </si>
  <si>
    <t>https://ProfPlanta2024.sawtoothsoftware.com/cgi-bin/ciwweb.pl?studyname=ProfPlanta2024&amp;Correo=rosabucr@unisabana.edu.co1</t>
  </si>
  <si>
    <t>ruth.ruiz@unisabana.edu.co</t>
  </si>
  <si>
    <t>ruth.ruiz@unisabana.edu.co01</t>
  </si>
  <si>
    <t>https://ProfPlanta2024.sawtoothsoftware.com/cgi-bin/ciwweb.pl?studyname=ProfPlanta2024&amp;Correo=ruth.ruiz@unisabana.edu.co01</t>
  </si>
  <si>
    <t>ruth.ruiz@unisabana.edu.co2</t>
  </si>
  <si>
    <t>https://ProfPlanta2024.sawtoothsoftware.com/cgi-bin/ciwweb.pl?studyname=ProfPlanta2024&amp;Correo=ruth.ruiz@unisabana.edu.co2</t>
  </si>
  <si>
    <t>sandra.rodriguez11@unisabana.edu.co</t>
  </si>
  <si>
    <t>sandra.rodriguez11@unisabana.edu.co1</t>
  </si>
  <si>
    <t>https://ProfPlanta2024.sawtoothsoftware.com/cgi-bin/ciwweb.pl?studyname=ProfPlanta2024&amp;Correo=sandra.rodriguez11@unisabana.edu.co1</t>
  </si>
  <si>
    <t>sandra.toro@unisabana.edu.co</t>
  </si>
  <si>
    <t>sandra.toro@unisabana.edu.co1</t>
  </si>
  <si>
    <t>https://ProfPlanta2024.sawtoothsoftware.com/cgi-bin/ciwweb.pl?studyname=ProfPlanta2024&amp;Correo=sandra.toro@unisabana.edu.co1</t>
  </si>
  <si>
    <t>santiago.co0rtes1@unisabana.edu.co</t>
  </si>
  <si>
    <t>santiago.co0rtes1@unisabana.edu.co01</t>
  </si>
  <si>
    <t>https://ProfPlanta2024.sawtoothsoftware.com/cgi-bin/ciwweb.pl?studyname=ProfPlanta2024&amp;Correo=santiago.co0rtes1@unisabana.edu.co01</t>
  </si>
  <si>
    <t>santiago.cortes1@unisabana.edu.co</t>
  </si>
  <si>
    <t>santiago.cortes1@unisabana.edu.co1</t>
  </si>
  <si>
    <t>https://ProfPlanta2024.sawtoothsoftware.com/cgi-bin/ciwweb.pl?studyname=ProfPlanta2024&amp;Correo=santiago.cortes1@unisabana.edu.co1</t>
  </si>
  <si>
    <t>sara.arias@unisabana.edu.co</t>
  </si>
  <si>
    <t>sara.arias@unisabana.edu.co01</t>
  </si>
  <si>
    <t>https://ProfPlanta2024.sawtoothsoftware.com/cgi-bin/ciwweb.pl?studyname=ProfPlanta2024&amp;Correo=sara.arias@unisabana.edu.co01</t>
  </si>
  <si>
    <t>sara.arias@unisabana.edu.co1</t>
  </si>
  <si>
    <t>https://ProfPlanta2024.sawtoothsoftware.com/cgi-bin/ciwweb.pl?studyname=ProfPlanta2024&amp;Correo=sara.arias@unisabana.edu.co1</t>
  </si>
  <si>
    <t>sarah.romero@unisabana.edu.co</t>
  </si>
  <si>
    <t>sarah.romero@unisabana.edu.co1</t>
  </si>
  <si>
    <t>https://ProfPlanta2024.sawtoothsoftware.com/cgi-bin/ciwweb.pl?studyname=ProfPlanta2024&amp;Correo=sarah.romero@unisabana.edu.co1</t>
  </si>
  <si>
    <t>sergio.agudelo1@unisabana.edu.co</t>
  </si>
  <si>
    <t>sergio.agudelo1@unisabana.edu.co01</t>
  </si>
  <si>
    <t>https://ProfPlanta2024.sawtoothsoftware.com/cgi-bin/ciwweb.pl?studyname=ProfPlanta2024&amp;Correo=sergio.agudelo1@unisabana.edu.co01</t>
  </si>
  <si>
    <t>sergio.agudelo1@unisabana.edu.co1</t>
  </si>
  <si>
    <t>https://ProfPlanta2024.sawtoothsoftware.com/cgi-bin/ciwweb.pl?studyname=ProfPlanta2024&amp;Correo=sergio.agudelo1@unisabana.edu.co1</t>
  </si>
  <si>
    <t>sergio.arciniegas@unisabana.edu.co</t>
  </si>
  <si>
    <t>sergio.arciniegas@unisabana.edu.co1</t>
  </si>
  <si>
    <t>https://ProfPlanta2024.sawtoothsoftware.com/cgi-bin/ciwweb.pl?studyname=ProfPlanta2024&amp;Correo=sergio.arciniegas@unisabana.edu.co1</t>
  </si>
  <si>
    <t>sergio.lozano@unisabana.edu.co</t>
  </si>
  <si>
    <t>sergio.lozano@unisabana.edu.co1</t>
  </si>
  <si>
    <t>https://ProfPlanta2024.sawtoothsoftware.com/cgi-bin/ciwweb.pl?studyname=ProfPlanta2024&amp;Correo=sergio.lozano@unisabana.edu.co1</t>
  </si>
  <si>
    <t>silvia.gast@unisabana.edu.co</t>
  </si>
  <si>
    <t>silvia.gast@unisabana.edu.co1</t>
  </si>
  <si>
    <t>https://ProfPlanta2024.sawtoothsoftware.com/cgi-bin/ciwweb.pl?studyname=ProfPlanta2024&amp;Correo=silvia.gast@unisabana.edu.co1</t>
  </si>
  <si>
    <t>sonia.cardenas2@unisabana.edu.co</t>
  </si>
  <si>
    <t>sonia.cardenas2@unisabana.edu.co1</t>
  </si>
  <si>
    <t>https://ProfPlanta2024.sawtoothsoftware.com/cgi-bin/ciwweb.pl?studyname=ProfPlanta2024&amp;Correo=sonia.cardenas2@unisabana.edu.co1</t>
  </si>
  <si>
    <t>tatiana.avila@unisabana.edu.co</t>
  </si>
  <si>
    <t>tatiana.avila@unisabana.edu.co1</t>
  </si>
  <si>
    <t>https://ProfPlanta2024.sawtoothsoftware.com/cgi-bin/ciwweb.pl?studyname=ProfPlanta2024&amp;Correo=tatiana.avila@unisabana.edu.co1</t>
  </si>
  <si>
    <t>tatiana.osorio@unisabana.edu.co</t>
  </si>
  <si>
    <t>tatiana.osorio@unisabana.edu.co1</t>
  </si>
  <si>
    <t>https://ProfPlanta2024.sawtoothsoftware.com/cgi-bin/ciwweb.pl?studyname=ProfPlanta2024&amp;Correo=tatiana.osorio@unisabana.edu.co1</t>
  </si>
  <si>
    <t>tatianaghija@unisabana.edu.co</t>
  </si>
  <si>
    <t>tatianaghija@unisabana.edu.co01</t>
  </si>
  <si>
    <t>https://ProfPlanta2024.sawtoothsoftware.com/cgi-bin/ciwweb.pl?studyname=ProfPlanta2024&amp;Correo=tatianaghija@unisabana.edu.co01</t>
  </si>
  <si>
    <t>tatianaghija@unisabana.edu.co1</t>
  </si>
  <si>
    <t>https://ProfPlanta2024.sawtoothsoftware.com/cgi-bin/ciwweb.pl?studyname=ProfPlanta2024&amp;Correo=tatianaghija@unisabana.edu.co1</t>
  </si>
  <si>
    <t>tebbie.chacon1@unisabana.edu.co</t>
  </si>
  <si>
    <t>tebbie.chacon1@unisabana.edu.co2</t>
  </si>
  <si>
    <t>https://ProfPlanta2024.sawtoothsoftware.com/cgi-bin/ciwweb.pl?studyname=ProfPlanta2024&amp;Correo=tebbie.chacon1@unisabana.edu.co2</t>
  </si>
  <si>
    <t>ulf.thoene@unisabana.edu.co</t>
  </si>
  <si>
    <t>ulf.thoene@unisabana.edu.co1</t>
  </si>
  <si>
    <t>https://ProfPlanta2024.sawtoothsoftware.com/cgi-bin/ciwweb.pl?studyname=ProfPlanta2024&amp;Correo=ulf.thoene@unisabana.edu.co1</t>
  </si>
  <si>
    <t>victor.gamboa@unisabana.edu.co</t>
  </si>
  <si>
    <t>victor.gamboa@unisabana.edu.co1</t>
  </si>
  <si>
    <t>https://ProfPlanta2024.sawtoothsoftware.com/cgi-bin/ciwweb.pl?studyname=ProfPlanta2024&amp;Correo=victor.gamboa@unisabana.edu.co1</t>
  </si>
  <si>
    <t>victor.garcia2@unisabana.edu.co</t>
  </si>
  <si>
    <t>victor.garcia2@unisabana.edu.co01</t>
  </si>
  <si>
    <t>https://ProfPlanta2024.sawtoothsoftware.com/cgi-bin/ciwweb.pl?studyname=ProfPlanta2024&amp;Correo=victor.garcia2@unisabana.edu.co01</t>
  </si>
  <si>
    <t>victoria.cabrera@unisabana.edu.co</t>
  </si>
  <si>
    <t>victoria.cabrera@unisabana.edu.co01</t>
  </si>
  <si>
    <t>https://ProfPlanta2024.sawtoothsoftware.com/cgi-bin/ciwweb.pl?studyname=ProfPlanta2024&amp;Correo=victoria.cabrera@unisabana.edu.co01</t>
  </si>
  <si>
    <t>wilder.villamil@unisabana.edu.co</t>
  </si>
  <si>
    <t>wilder.villamil@unisabana.edu.co01</t>
  </si>
  <si>
    <t>https://ProfPlanta2024.sawtoothsoftware.com/cgi-bin/ciwweb.pl?studyname=ProfPlanta2024&amp;Correo=wilder.villamil@unisabana.edu.co01</t>
  </si>
  <si>
    <t>william.guerrero1@unisabana.edu.co</t>
  </si>
  <si>
    <t>william.guerrero1@unisabana.edu.co01</t>
  </si>
  <si>
    <t>https://ProfPlanta2024.sawtoothsoftware.com/cgi-bin/ciwweb.pl?studyname=ProfPlanta2024&amp;Correo=william.guerrero1@unisabana.edu.co01</t>
  </si>
  <si>
    <t>william.guerrero1@unisabana.edu.co02</t>
  </si>
  <si>
    <t>https://ProfPlanta2024.sawtoothsoftware.com/cgi-bin/ciwweb.pl?studyname=ProfPlanta2024&amp;Correo=william.guerrero1@unisabana.edu.co02</t>
  </si>
  <si>
    <t>william.hernandez2@unisabana.edu.co</t>
  </si>
  <si>
    <t>william.hernandez2@unisabana.edu.co01</t>
  </si>
  <si>
    <t>https://ProfPlanta2024.sawtoothsoftware.com/cgi-bin/ciwweb.pl?studyname=ProfPlanta2024&amp;Correo=william.hernandez2@unisabana.edu.co01</t>
  </si>
  <si>
    <t>william.hernandez2@unisabana.edu.co02</t>
  </si>
  <si>
    <t>https://ProfPlanta2024.sawtoothsoftware.com/cgi-bin/ciwweb.pl?studyname=ProfPlanta2024&amp;Correo=william.hernandez2@unisabana.edu.co02</t>
  </si>
  <si>
    <t>william.hernandez2@unisabana.edu.co1</t>
  </si>
  <si>
    <t>https://ProfPlanta2024.sawtoothsoftware.com/cgi-bin/ciwweb.pl?studyname=ProfPlanta2024&amp;Correo=william.hernandez2@unisabana.edu.co1</t>
  </si>
  <si>
    <t>wilmar.segura@unisabana.edu.co</t>
  </si>
  <si>
    <t>wilmar.segura@unisabana.edu.co1</t>
  </si>
  <si>
    <t>https://ProfPlanta2024.sawtoothsoftware.com/cgi-bin/ciwweb.pl?studyname=ProfPlanta2024&amp;Correo=wilmar.segura@unisabana.edu.co1</t>
  </si>
  <si>
    <t>wilson.betancur@unisabana.edu.co</t>
  </si>
  <si>
    <t>wilson.betancur@unisabana.edu.co1</t>
  </si>
  <si>
    <t>https://ProfPlanta2024.sawtoothsoftware.com/cgi-bin/ciwweb.pl?studyname=ProfPlanta2024&amp;Correo=wilson.betancur@unisabana.edu.co1</t>
  </si>
  <si>
    <t>wilson.betancur@unisabana.edu.co2</t>
  </si>
  <si>
    <t>https://ProfPlanta2024.sawtoothsoftware.com/cgi-bin/ciwweb.pl?studyname=ProfPlanta2024&amp;Correo=wilson.betancur@unisabana.edu.co2</t>
  </si>
  <si>
    <t>wilson.briceno@unisabana.edu.co</t>
  </si>
  <si>
    <t>wilson.briceno@unisabana.edu.co01</t>
  </si>
  <si>
    <t>https://ProfPlanta2024.sawtoothsoftware.com/cgi-bin/ciwweb.pl?studyname=ProfPlanta2024&amp;Correo=wilson.briceno@unisabana.edu.co01</t>
  </si>
  <si>
    <t>wilson.briceno@unisabana.edu.co1</t>
  </si>
  <si>
    <t>https://ProfPlanta2024.sawtoothsoftware.com/cgi-bin/ciwweb.pl?studyname=ProfPlanta2024&amp;Correo=wilson.briceno@unisabana.edu.co1</t>
  </si>
  <si>
    <t>wilson.parra1@unisabana.edu.co</t>
  </si>
  <si>
    <t>wilson.parra1@unisabana.edu.co1</t>
  </si>
  <si>
    <t>https://ProfPlanta2024.sawtoothsoftware.com/cgi-bin/ciwweb.pl?studyname=ProfPlanta2024&amp;Correo=wilson.parra1@unisabana.edu.co1</t>
  </si>
  <si>
    <t>wilson.rodriguez1@unisabana.edu.co</t>
  </si>
  <si>
    <t>wilson.rodriguez1@unisabana.edu.co1</t>
  </si>
  <si>
    <t>https://ProfPlanta2024.sawtoothsoftware.com/cgi-bin/ciwweb.pl?studyname=ProfPlanta2024&amp;Correo=wilson.rodriguez1@unisabana.edu.co1</t>
  </si>
  <si>
    <t>yady.gonzalez@unisabana.edu.co</t>
  </si>
  <si>
    <t>yady.gonzalez@unisabana.edu.co1</t>
  </si>
  <si>
    <t>https://ProfPlanta2024.sawtoothsoftware.com/cgi-bin/ciwweb.pl?studyname=ProfPlanta2024&amp;Correo=yady.gonzalez@unisabana.edu.co1</t>
  </si>
  <si>
    <t>yady.gonzalez@unisabana.edu.co2</t>
  </si>
  <si>
    <t>https://ProfPlanta2024.sawtoothsoftware.com/cgi-bin/ciwweb.pl?studyname=ProfPlanta2024&amp;Correo=yady.gonzalez@unisabana.edu.co2</t>
  </si>
  <si>
    <t>yeimysd@unisabana.edu.co</t>
  </si>
  <si>
    <t>yeimysd@unisabana.edu.co1</t>
  </si>
  <si>
    <t>https://ProfPlanta2024.sawtoothsoftware.com/cgi-bin/ciwweb.pl?studyname=ProfPlanta2024&amp;Correo=yeimysd@unisabana.edu.co1</t>
  </si>
  <si>
    <t>yili.espitia@unisabana.edu.co</t>
  </si>
  <si>
    <t>yili.espitia@unisabana.edu.co1</t>
  </si>
  <si>
    <t>https://ProfPlanta2024.sawtoothsoftware.com/cgi-bin/ciwweb.pl?studyname=ProfPlanta2024&amp;Correo=yili.espitia@unisabana.edu.co1</t>
  </si>
  <si>
    <t>yili.espitia@unisabana.edu.co2</t>
  </si>
  <si>
    <t>https://ProfPlanta2024.sawtoothsoftware.com/cgi-bin/ciwweb.pl?studyname=ProfPlanta2024&amp;Correo=yili.espitia@unisabana.edu.co2</t>
  </si>
  <si>
    <t>yosimar.diaz1@unisabana.edu.co</t>
  </si>
  <si>
    <t>yosimar.diaz1@unisabana.edu.co01</t>
  </si>
  <si>
    <t>https://ProfPlanta2024.sawtoothsoftware.com/cgi-bin/ciwweb.pl?studyname=ProfPlanta2024&amp;Correo=yosimar.diaz1@unisabana.edu.co01</t>
  </si>
  <si>
    <t>yosimar.diaz1@unisabana.edu.co1</t>
  </si>
  <si>
    <t>https://ProfPlanta2024.sawtoothsoftware.com/cgi-bin/ciwweb.pl?studyname=ProfPlanta2024&amp;Correo=yosimar.diaz1@unisabana.edu.co1</t>
  </si>
  <si>
    <t>yosimar.diaz1@unisabana.edu.co2</t>
  </si>
  <si>
    <t>https://ProfPlanta2024.sawtoothsoftware.com/cgi-bin/ciwweb.pl?studyname=ProfPlanta2024&amp;Correo=yosimar.diaz1@unisabana.edu.co2</t>
  </si>
  <si>
    <t>yuli.fuentes@unisabana.edu.co</t>
  </si>
  <si>
    <t>yuli.fuentes@unisabana.edu.co01</t>
  </si>
  <si>
    <t>https://ProfPlanta2024.sawtoothsoftware.com/cgi-bin/ciwweb.pl?studyname=ProfPlanta2024&amp;Correo=yuli.fuentes@unisabana.edu.co01</t>
  </si>
  <si>
    <t>yuli.fuentes@unisabana.edu.co1</t>
  </si>
  <si>
    <t>https://ProfPlanta2024.sawtoothsoftware.com/cgi-bin/ciwweb.pl?studyname=ProfPlanta2024&amp;Correo=yuli.fuentes@unisabana.edu.co1</t>
  </si>
  <si>
    <t>yulieth.zabaleta1@unisabana.edu.co</t>
  </si>
  <si>
    <t>yulieth.zabaleta1@unisabana.edu.co01</t>
  </si>
  <si>
    <t>https://ProfPlanta2024.sawtoothsoftware.com/cgi-bin/ciwweb.pl?studyname=ProfPlanta2024&amp;Correo=yulieth.zabaleta1@unisabana.edu.co01</t>
  </si>
  <si>
    <t>yulieth.zabaleta1@unisabana.edu.co02</t>
  </si>
  <si>
    <t>https://ProfPlanta2024.sawtoothsoftware.com/cgi-bin/ciwweb.pl?studyname=ProfPlanta2024&amp;Correo=yulieth.zabaleta1@unisabana.edu.co02</t>
  </si>
  <si>
    <t>yulieth.zabaleta1@unisabana.edu.co1</t>
  </si>
  <si>
    <t>https://ProfPlanta2024.sawtoothsoftware.com/cgi-bin/ciwweb.pl?studyname=ProfPlanta2024&amp;Correo=yulieth.zabaleta1@unisabana.edu.co1</t>
  </si>
  <si>
    <t>yustinne.cardenas@unisabana.edu.co</t>
  </si>
  <si>
    <t>yustinne.cardenas@unisabana.edu.co1</t>
  </si>
  <si>
    <t>https://ProfPlanta2024.sawtoothsoftware.com/cgi-bin/ciwweb.pl?studyname=ProfPlanta2024&amp;Correo=yustinne.cardenas@unisabana.edu.co1</t>
  </si>
  <si>
    <t>zulanye.figueredo@unisabana.edu.co</t>
  </si>
  <si>
    <t>zulanye.figueredo@unisabana.edu.co1</t>
  </si>
  <si>
    <t>https://ProfPlanta2024.sawtoothsoftware.com/cgi-bin/ciwweb.pl?studyname=ProfPlanta2024&amp;Correo=zulanye.figueredo@unisabana.edu.co1</t>
  </si>
  <si>
    <t>camilo.rincon2@unisabana.edu.co02</t>
  </si>
  <si>
    <t>https://ProfCatedra2024.sawtoothsoftware.com/cgi-bin/ciwweb.pl?studyname=ProfCatedra2024&amp;Correo=camilo.rincon2@unisabana.edu.co02</t>
  </si>
  <si>
    <t>david.tovar@unisabana.edu.co1</t>
  </si>
  <si>
    <t>Restaurar</t>
  </si>
  <si>
    <t>pedro.angel@unisabana.edu.co01</t>
  </si>
  <si>
    <t>manuel.barrero@unisabana.edu.co01</t>
  </si>
  <si>
    <t>luis.torres8@unisabana.edu.co01</t>
  </si>
  <si>
    <t>andresrohe@unisabana.edu.co01</t>
  </si>
  <si>
    <t>revisar</t>
  </si>
  <si>
    <t>Nombre</t>
  </si>
  <si>
    <t>Programa</t>
  </si>
  <si>
    <t>Correo</t>
  </si>
  <si>
    <t>vinculacion</t>
  </si>
  <si>
    <t>RAMIREZ VALDERRAMA GUSTAVO</t>
  </si>
  <si>
    <t>Administración y Organizaciones</t>
  </si>
  <si>
    <t>GUSTAVO.RAMIREZ1@HOTMAIL.COM</t>
  </si>
  <si>
    <t>QUINTERO VILLAMIZAR KELLY JOHANNA</t>
  </si>
  <si>
    <t>kelly.quintero@unisabana.edu.co</t>
  </si>
  <si>
    <t>PINEDA RODRIGUEZ NIDIA KATHERIN</t>
  </si>
  <si>
    <t>Nidia.Pineda1@unisabana.edu.co</t>
  </si>
  <si>
    <t>PINEDO HERRERA CARLOS ANTONIO</t>
  </si>
  <si>
    <t>carlos.pinedo1@unisabana.edu.co</t>
  </si>
  <si>
    <t>BONZA AVILA JAVIER EDUARDO</t>
  </si>
  <si>
    <t>Economía</t>
  </si>
  <si>
    <t>javier.bonza@unisabana.edu.co</t>
  </si>
  <si>
    <t>GODOY BEJARANO JESUS MARIA</t>
  </si>
  <si>
    <t>jesus.godoy@unisabana.edu.co</t>
  </si>
  <si>
    <t>ZAMUDIO AVILA NICOLAS ANTONIO</t>
  </si>
  <si>
    <t>Finanzas</t>
  </si>
  <si>
    <t>nicolas.zamidio@unisabana.edu.co</t>
  </si>
  <si>
    <t>MILLAN PAYAN JAVIER OLMEDO</t>
  </si>
  <si>
    <t>javier.millan@unisabana.edu.co</t>
  </si>
  <si>
    <t>ALFARO ARIAS CAMILO ALBERTO</t>
  </si>
  <si>
    <t>camilo.alfaro@unisabana.edu.co</t>
  </si>
  <si>
    <t>LOPEZ FRANCO CARLOS ANDRES</t>
  </si>
  <si>
    <t>carlos.lopez6@unisabana.edu.co</t>
  </si>
  <si>
    <t>MARTÍNEZ ESCOBAR JUAN CARLOS</t>
  </si>
  <si>
    <t>jcmebc@gmail.com</t>
  </si>
  <si>
    <t>SALCEDO BOTERO FELIPE</t>
  </si>
  <si>
    <t>felipe.salcedo@unisabana.edu.co</t>
  </si>
  <si>
    <t>ENCISO ESPITIA LUIS MIGUEL</t>
  </si>
  <si>
    <t>lmencisoe@unal.edu.co</t>
  </si>
  <si>
    <t>VALENZUELA CABRERA CAMILO ANDRES</t>
  </si>
  <si>
    <t>camilo.valenzuela@unisabana.edu.co</t>
  </si>
  <si>
    <t>BERNAL SIMBAQUEVA DANIELA ALEXANDRA</t>
  </si>
  <si>
    <t>daniela.bernal@unisabana.edu.co</t>
  </si>
  <si>
    <t>PARRA TRIANA LUIS ANTONIO</t>
  </si>
  <si>
    <t xml:space="preserve">BAUSID MARIAM </t>
  </si>
  <si>
    <t>mariam.bouzid@unisabana.edu.co</t>
  </si>
  <si>
    <t>CASTILLO NAVETTY OSWALDO</t>
  </si>
  <si>
    <t>navetty@yahoo.com</t>
  </si>
  <si>
    <t>SIERRA CETINA MAURICIO ALEJANDRO</t>
  </si>
  <si>
    <t>mauriciosice@unisabana.edu.co</t>
  </si>
  <si>
    <t>ARDILA CASTRO FABIAN LEONARDO</t>
  </si>
  <si>
    <t>fabian.ardila@unisabana.edu.co</t>
  </si>
  <si>
    <t>RESTREPO GONZALEZ JUAN FELIPE</t>
  </si>
  <si>
    <t>juan.restrepo3@unisabana.edu.co</t>
  </si>
  <si>
    <t>CONTRERAS CONTRERAS CARLOS JULIO</t>
  </si>
  <si>
    <t>Ingeniería Quimica</t>
  </si>
  <si>
    <t>carlos.contreras2@unisabana.edu.co</t>
  </si>
  <si>
    <t>GUTIERREZ TAMAYO MAURICIO</t>
  </si>
  <si>
    <t>Innovación y Emprendimiento</t>
  </si>
  <si>
    <t>mauricio.gutierrez@unisabana.edu.co</t>
  </si>
  <si>
    <t>HUERFANO DELGADO DAVID GUILLERMO</t>
  </si>
  <si>
    <t>Lic en Ciencias Naturales</t>
  </si>
  <si>
    <t>david.huerfano@unisabana.edu.co</t>
  </si>
  <si>
    <t>TOVAR RODRIGUEZ DAVID FERNANDO</t>
  </si>
  <si>
    <t>david.tovar@unisabana.edu.co</t>
  </si>
  <si>
    <t>CAMPOS LEON ESTRELLA LIRDEYA</t>
  </si>
  <si>
    <t>estrella.campos@unisabana.edu.co</t>
  </si>
  <si>
    <t>TOVAR AÑEZ EDUARDO ENRIQUE</t>
  </si>
  <si>
    <t>Servicio y Hospitalidad</t>
  </si>
  <si>
    <t>eduardo.tovar@unisabana.edu.co</t>
  </si>
  <si>
    <t>ARIZA MURCIA GUILLERMO</t>
  </si>
  <si>
    <t>Guillermoam@unisabana.edu.co</t>
  </si>
  <si>
    <t>GARZÓN RODRÍGUEZ NICOLÁS</t>
  </si>
  <si>
    <t>nicolasgaro@unisabana.edu.co</t>
  </si>
  <si>
    <t>SOLANO ALARCON YALENI</t>
  </si>
  <si>
    <t xml:space="preserve">Comunicación Audiovisual y Multimedios </t>
  </si>
  <si>
    <t>ARRIETA BERNAL SANTIAGO</t>
  </si>
  <si>
    <t xml:space="preserve">Comunicación Social y Periodismo </t>
  </si>
  <si>
    <t>MOTTA RODRIGUEZ SANDRA DANIELA</t>
  </si>
  <si>
    <t>sandra.motta2@unisabana.edu.co</t>
  </si>
  <si>
    <t>CAMELO SALAMANCA YINA PAOLA</t>
  </si>
  <si>
    <t>yina.camelo@unisabana.edu.co</t>
  </si>
  <si>
    <t>GONZALEZ RIVERA JULIANA</t>
  </si>
  <si>
    <t>juliana.gonzalez2@unisabana.edu.co</t>
  </si>
  <si>
    <t>JARRIN QUINTERO JAIRO ALBERTO</t>
  </si>
  <si>
    <t>Gestión de Operaciones</t>
  </si>
  <si>
    <t>jairo.jarrin@unisabana.edu.co</t>
  </si>
  <si>
    <t>REYES RUBIANO LORENA SILVANA</t>
  </si>
  <si>
    <t>lorena.reyes1@unisabana.edu.co</t>
  </si>
  <si>
    <t>CABEZA ROJAS IVAN ORLANDO</t>
  </si>
  <si>
    <t>Ingeniería de bioproducción</t>
  </si>
  <si>
    <t>BARRAZA BOTET CESAR LUIS</t>
  </si>
  <si>
    <t>Ingeniería mecánica</t>
  </si>
  <si>
    <t>cesar.barraza@unisabana.edu.co</t>
  </si>
  <si>
    <t>QUINTANILLA CARVAJAL MARIA XIMENA</t>
  </si>
  <si>
    <t>Ingeniería química</t>
  </si>
  <si>
    <t>RUIZ PARDO RUTH YOLANDA</t>
  </si>
  <si>
    <t>Ingeniería  Química</t>
  </si>
  <si>
    <t>DIRECTOR</t>
  </si>
  <si>
    <t>TOLEDO CORTES SANTIAGO</t>
  </si>
  <si>
    <t>DIRECTOR DE PROGRAMA DE CIENCIAS DATOS</t>
  </si>
  <si>
    <t xml:space="preserve">López Luis Fernando </t>
  </si>
  <si>
    <t>Director del Centro de Tecnologías para la Academia</t>
  </si>
  <si>
    <t>luisf.lopez@unisabana.edu.co1</t>
  </si>
  <si>
    <t>ADMINISTRATIVOS</t>
  </si>
  <si>
    <t>CASTRO CRUZ WILLIAM ANDRES</t>
  </si>
  <si>
    <t>DIRECCIÓN DE DESARROLLO PROFESORAL</t>
  </si>
  <si>
    <t>william.castro@unisabana.edu.co</t>
  </si>
  <si>
    <t>MONTOYA TAVERA DAVID ALBERTO</t>
  </si>
  <si>
    <t>DIRECCIÓN DE TECNOLOGÍA Y TRANSFORMACIÓN DIGITAL</t>
  </si>
  <si>
    <t>david.montoya@unisabana.edu.co</t>
  </si>
  <si>
    <t>RODRIGUEZ LOVERA NATALIA</t>
  </si>
  <si>
    <t>DIRECCIÓN FINANCIERA</t>
  </si>
  <si>
    <t>natalia.rodriguez7@unisabana.edu.co</t>
  </si>
  <si>
    <t>ESCOBAR MONTENEGRO WALTHER JAVIER</t>
  </si>
  <si>
    <t>DIRECCIÓN DE ADMISIONES</t>
  </si>
  <si>
    <t>walther.escobar@unisabana.edu.co</t>
  </si>
  <si>
    <t>SUAREZ REYES NICOLE DAYANA</t>
  </si>
  <si>
    <t>UNISABANA E-LEARNING</t>
  </si>
  <si>
    <t>nicole.suarez@unisabana.edu.co</t>
  </si>
  <si>
    <t>AGUILAR DIAZ ANDRES FELIPE</t>
  </si>
  <si>
    <t>UNISABANA HUB</t>
  </si>
  <si>
    <t>andres.aguilar1@unisabana.edu.co</t>
  </si>
  <si>
    <t>ALARCON PARDO ANGELICA MARIA</t>
  </si>
  <si>
    <t>angelica.alarcon1@unisabana.edu.co</t>
  </si>
  <si>
    <t>ALVAREZ GUZMAN MARIA CAROLINA</t>
  </si>
  <si>
    <t>DIRECCIÓN DE RELACIONES INTERNACIONALES</t>
  </si>
  <si>
    <t>maria.alvarez1@unisabana.edu.co</t>
  </si>
  <si>
    <t>FALTA ELIMINAR DEL ENVIO DE CORREOS:</t>
  </si>
  <si>
    <t>PROFESORES:</t>
  </si>
  <si>
    <t>KONOVALOV OLEG</t>
  </si>
  <si>
    <t>oleg.konovalov@unisabana.edu.co</t>
  </si>
  <si>
    <t>ADMINISTRATIVOS:</t>
  </si>
  <si>
    <t>CEBALLOS ESCOBAR LINA MARIA</t>
  </si>
  <si>
    <t>ABOGADO GENERALISTA</t>
  </si>
  <si>
    <t>DIRECCIÓN JURÍDICA</t>
  </si>
  <si>
    <t>PEREZ VARGAS MARIANA</t>
  </si>
  <si>
    <t>COORDINADOR CAMBIO Y CULTURA</t>
  </si>
  <si>
    <t>DIRECCIÓN DE DESARROLLO HUMANO</t>
  </si>
  <si>
    <t>DIRECTIVOS:</t>
  </si>
  <si>
    <t>SIERRA PARRA DANIELA</t>
  </si>
  <si>
    <t>daniela.sierra@unisabana.edu.co</t>
  </si>
  <si>
    <t>DIRECTOR DE PROGRAMA DE ADMINISTRACIÓN DE NEGOCIOS INTERNACIONALES</t>
  </si>
  <si>
    <t>PACHON AREVALO ANDREA</t>
  </si>
  <si>
    <t>andrea.pachon@unisabana.edu.co</t>
  </si>
  <si>
    <t>DILIGENCIADO</t>
  </si>
  <si>
    <t>PLANTA</t>
  </si>
  <si>
    <t>No</t>
  </si>
  <si>
    <t>POSGRADO</t>
  </si>
  <si>
    <t>andres.giraldo2@unisabana.edu.co</t>
  </si>
  <si>
    <t>andres.giraldo2@unisabana.edu.co1</t>
  </si>
  <si>
    <t>CATEDRA</t>
  </si>
  <si>
    <t>PREGRADO</t>
  </si>
  <si>
    <t>ciro.parra@unisabana.edu.CO</t>
  </si>
  <si>
    <t>ciro.parra@unisabana.edu.co1</t>
  </si>
  <si>
    <t>ciro.parra@unisabana.edu.co2</t>
  </si>
  <si>
    <t>ciro.parra@unisabana.edu.co01</t>
  </si>
  <si>
    <t>dayana.moreno1@unisabana.edu.co01</t>
  </si>
  <si>
    <t>dayana.moreno1@unisabana.edu.co02</t>
  </si>
  <si>
    <t>dayana.moreno1@unisabana.edu.co03</t>
  </si>
  <si>
    <t>diana.zarabanda@unisabana.edu.co</t>
  </si>
  <si>
    <t>diana.zarabanda@unisabana.edu.co01</t>
  </si>
  <si>
    <t>diana.zarabanda@unisabana.edu.co02</t>
  </si>
  <si>
    <t>gerson.maturana@unisabana.edu.co</t>
  </si>
  <si>
    <t>gerson.maturana@unisabana.edu.co01</t>
  </si>
  <si>
    <t>ivan.tarazona1@unisabana.edu.co</t>
  </si>
  <si>
    <t>ivan.tarazona1@unisabana.edu.co01</t>
  </si>
  <si>
    <t>luis.torres8@unisabana.edu.co</t>
  </si>
  <si>
    <t>luism.beltran@unisabana.edu.CO</t>
  </si>
  <si>
    <t>luism.beltran@unisabana.edu.co1</t>
  </si>
  <si>
    <t>manuel.barrero@unisabana.edu.co</t>
  </si>
  <si>
    <t>manuel.osorio1@unisabana.edu.co</t>
  </si>
  <si>
    <t>manuel.osorio1@unisabana.edu.co01</t>
  </si>
  <si>
    <t>nidia.alfaro1@unisabana.edu.co</t>
  </si>
  <si>
    <t>nidia.alfaro1@unisabana.edu.co01</t>
  </si>
  <si>
    <t>pedro.angel@unisabana.edu.co</t>
  </si>
  <si>
    <t>rafael.wilches1@unisabana.edu.co</t>
  </si>
  <si>
    <t>rafael.wilches1@unisabana.edu.co01</t>
  </si>
  <si>
    <t>virgilio.ramon@unisabana.edu.co</t>
  </si>
  <si>
    <t>virgilio.ramon@unisabana.edu.co01</t>
  </si>
  <si>
    <t>virgilio.ramon@unisabana.edu.co02</t>
  </si>
  <si>
    <t>virgilio.ramon@unisabana.edu.co03</t>
  </si>
  <si>
    <t>william.gomez1@unisabana.edu.co</t>
  </si>
  <si>
    <t>william.gomez1@unisabana.edu.co01</t>
  </si>
  <si>
    <t>zulma.sarmiento1@unisabana.edu.co</t>
  </si>
  <si>
    <t>zulma.sarmiento1@unisabana.edu.co01</t>
  </si>
  <si>
    <t>andres.mejia@unisabana.edu.co01</t>
  </si>
  <si>
    <t>andres.mejia@unisabana.edu.co02</t>
  </si>
  <si>
    <t>andres.mejia@unisabana.edu.co03</t>
  </si>
  <si>
    <t>alvaro.pedraza@unisabana.edu.co1</t>
  </si>
  <si>
    <t>https://ProfPlanta2024.sawtoothsoftware.com/cgi-bin/ciwweb.pl?studyname=ProfPlanta2024&amp;Correo=alvaro.pedraza@unisabana.edu.co1</t>
  </si>
  <si>
    <t>juan.ortega@unisabana.edu.co01</t>
  </si>
  <si>
    <t>https://ProfCatedra2024.sawtoothsoftware.com/cgi-bin/ciwweb.pl?studyname=ProfCatedra2024&amp;Correo=juan.ortega@unisabana.edu.co01</t>
  </si>
  <si>
    <t>luis.rabelo_cont@unisabana.edu.co01</t>
  </si>
  <si>
    <t>https://ProfCatedra2024.sawtoothsoftware.com/cgi-bin/ciwweb.pl?studyname=ProfCatedra2024&amp;Correo=luis.rabelo_cont@unisabana.edu.co01</t>
  </si>
  <si>
    <t>Eliminados en Mayo 22</t>
  </si>
  <si>
    <t>carlos.tapias1@unisabana.edu.co1</t>
  </si>
  <si>
    <t>https://ProfCatedra2024.sawtoothsoftware.com/cgi-bin/ciwweb.pl?studyname=ProfCatedra2024&amp;Correo=carlos.tapias1@unisabana.edu.co1</t>
  </si>
  <si>
    <t>carlos.villalba@clinicaunisabana.edu.co1</t>
  </si>
  <si>
    <t>https://ProfCatedra2024.sawtoothsoftware.com/cgi-bin/ciwweb.pl?studyname=ProfCatedra2024&amp;Correo=carlos.villalba@clinicaunisabana.edu.co1</t>
  </si>
  <si>
    <t>FidelSM@unisabana.edu.co1</t>
  </si>
  <si>
    <t>https://ProfCatedra2024.sawtoothsoftware.com/cgi-bin/ciwweb.pl?studyname=ProfCatedra2024&amp;Correo=FidelSM@unisabana.edu.co1</t>
  </si>
  <si>
    <t>https://ProfCatedra2024.sawtoothsoftware.com/cgi-bin/ciwweb.pl?studyname=ProfCatedra2024&amp;Correo=andresrohe@unisabana.edu.co01</t>
  </si>
  <si>
    <t>https://ProfCatedra2024.sawtoothsoftware.com/cgi-bin/ciwweb.pl?studyname=ProfCatedra2024&amp;Correo=dayana.moreno1@unisabana.edu.co01</t>
  </si>
  <si>
    <t>yolanda.ruiz1@unisabana.edu.co01</t>
  </si>
  <si>
    <t>https://ProfCatedra2024.sawtoothsoftware.com/cgi-bin/ciwweb.pl?studyname=ProfCatedra2024&amp;Correo=yolanda.ruiz1@unisabana.edu.co01</t>
  </si>
  <si>
    <t>john.mora@unisabana.edu.co02</t>
  </si>
  <si>
    <t>https://ProfCatedra2024.sawtoothsoftware.com/cgi-bin/ciwweb.pl?studyname=ProfCatedra2024&amp;Correo=john.mora@unisabana.edu.co02</t>
  </si>
  <si>
    <t>wilson.castro1@unisabana.edu.co07</t>
  </si>
  <si>
    <t>https://ProfCatedra2024.sawtoothsoftware.com/cgi-bin/ciwweb.pl?studyname=ProfCatedra2024&amp;Correo=wilson.castro1@unisabana.edu.co07</t>
  </si>
  <si>
    <t>diego.becerra2@unisabana.edu.co03</t>
  </si>
  <si>
    <t>https://ProfPlanta2024.sawtoothsoftware.com/cgi-bin/ciwweb.pl?studyname=ProfPlanta2024&amp;Correo=diego.becerra2@unisabana.edu.co03</t>
  </si>
  <si>
    <t>henry.oliveros@unisabana.edu.co1</t>
  </si>
  <si>
    <t>https://ProfPlanta2024.sawtoothsoftware.com/cgi-bin/ciwweb.pl?studyname=ProfPlanta2024&amp;Correo=henry.oliveros@unisabana.edu.co1</t>
  </si>
  <si>
    <t>juan.martinez20@unisabana.edu.co1</t>
  </si>
  <si>
    <t>https://ProfPlanta2024.sawtoothsoftware.com/cgi-bin/ciwweb.pl?studyname=ProfPlanta2024&amp;Correo=juan.martinez20@unisabana.edu.co1</t>
  </si>
  <si>
    <t>laura.carreno@unisabana.edu.co02</t>
  </si>
  <si>
    <t>https://ProfPlanta2024.sawtoothsoftware.com/cgi-bin/ciwweb.pl?studyname=ProfPlanta2024&amp;Correo=laura.carreno@unisabana.edu.co02</t>
  </si>
  <si>
    <t>luisf.giraldo@unisabana.edu.co1</t>
  </si>
  <si>
    <t>https://ProfPlanta2024.sawtoothsoftware.com/cgi-bin/ciwweb.pl?studyname=ProfPlanta2024&amp;Correo=luisf.giraldo@unisabana.edu.co1</t>
  </si>
  <si>
    <t>rosa.duran@unisabana.edu.co1</t>
  </si>
  <si>
    <t>https://ProfPlanta2024.sawtoothsoftware.com/cgi-bin/ciwweb.pl?studyname=ProfPlanta2024&amp;Correo=rosa.duran@unisabana.edu.co1</t>
  </si>
  <si>
    <t>Eliminados en Junio 12</t>
  </si>
  <si>
    <t>dario.parra1@unisabana.edu.co01</t>
  </si>
  <si>
    <t>carlos.salazar5@unisabana.edu.co01</t>
  </si>
  <si>
    <t>william.moscoso@unisabana.edu.co07</t>
  </si>
  <si>
    <t>(Varios elementos)</t>
  </si>
  <si>
    <t>tabla dinamica hoja reporte profesores</t>
  </si>
  <si>
    <t>INFORMACIÓN HOJA REPORTE PROFESORES</t>
  </si>
  <si>
    <t>HOJA RESUMEN REALIZADAS</t>
  </si>
  <si>
    <t>DIFERENCIAS</t>
  </si>
  <si>
    <t>HOJA RESUMEN UNIVERSO</t>
  </si>
  <si>
    <t>ME</t>
  </si>
  <si>
    <t>terminado</t>
  </si>
  <si>
    <t>Alcance mayor a 75% o ME inferior al 8%</t>
  </si>
  <si>
    <t>INSTITUTO FÓRUM</t>
  </si>
  <si>
    <t>UNIDADES ADMINISTRATIVAS</t>
  </si>
  <si>
    <t>POBLACIÓN</t>
  </si>
  <si>
    <t>MUESTRA (ME 5%)</t>
  </si>
  <si>
    <t>UNIDADES CENTRALES</t>
  </si>
  <si>
    <t>La muestra se genero por dirección</t>
  </si>
  <si>
    <t>SERVICIOS GENERALES</t>
  </si>
  <si>
    <t>DIRECCIÓN DE ALIMENTOS Y BEBIDAS</t>
  </si>
  <si>
    <t>DIRECCIÓN DE ENTORNO SALUDABLE Y SOSTENIBLE</t>
  </si>
  <si>
    <t>DIRECCIÓN DE OPERACIONES</t>
  </si>
  <si>
    <t>CAPELLANÍA</t>
  </si>
  <si>
    <t>DIRECCIÓN DE ALUMNI SABANA</t>
  </si>
  <si>
    <t>DIRECCIÓN DE BIBLIOTECA</t>
  </si>
  <si>
    <t>DIRECCIÓN DE BIENESTAR Y EXPERIENCIA DEL ESTUDIANTE</t>
  </si>
  <si>
    <t>DIRECCIÓN DE COMUNICACIÓN INSTITUCIONAL</t>
  </si>
  <si>
    <t>DIRECCIÓN DE CONTROL INTERNO</t>
  </si>
  <si>
    <t>DIRECCIÓN DE CULTURA INSTITUCIONAL</t>
  </si>
  <si>
    <t>DIRECCIÓN DE CURRÍCULO</t>
  </si>
  <si>
    <t>DIRECCIÓN DE DESARROLLO ESTRATÉGICO</t>
  </si>
  <si>
    <t>DIRECCIÓN DE GESTIÓN DOCUMENTAL</t>
  </si>
  <si>
    <t>DIRECCIÓN DE INNOVACIÓN Y EMPRENDIMIENTO</t>
  </si>
  <si>
    <t>DIRECCIÓN DE LIFELONG LEARNING</t>
  </si>
  <si>
    <t>DIRECCIÓN DE PROYECCCIÓN SOCIAL Y ENGAGEMENT</t>
  </si>
  <si>
    <t>DIRECCIÓN DE PUBLICACIONES Y DIVULGACIÓN CIENTÍFICA</t>
  </si>
  <si>
    <t>DIRECCIÓN DE REGISTRO ACADÉMICO</t>
  </si>
  <si>
    <t>DIRECCION GENERAL DE INVESTIGACIÓN</t>
  </si>
  <si>
    <t>MACROPROYECTO DE TRANSFORMACIÓN ACADÉMICA</t>
  </si>
  <si>
    <t>PROYECTO DE OMNICANALIDAD</t>
  </si>
  <si>
    <t>PROYECTO GRECIA</t>
  </si>
  <si>
    <t>PROYECTO MENTIS</t>
  </si>
  <si>
    <t>PROYECTO UNISABANA CENTER FOR TRANSLATIONAL SCIENCE</t>
  </si>
  <si>
    <t>PROYECTO UNISABANA TEC</t>
  </si>
  <si>
    <t>PROYECTO WEB U3G</t>
  </si>
  <si>
    <t>RECTORÍA</t>
  </si>
  <si>
    <t>SECRETARÍA GENERAL</t>
  </si>
  <si>
    <t>Cargo</t>
  </si>
  <si>
    <t>Unidad</t>
  </si>
  <si>
    <t>Link</t>
  </si>
  <si>
    <t>ENCARGADO MAESTRÍA EN DIRECCIÓN Y GESTIÓN DE INSTITUCIONES EDUCATIVAS - RIOHACHA</t>
  </si>
  <si>
    <t>https://Directivos2024.sawtoothsoftware.com/cgi-bin/ciwweb.pl?studyname=Directivos2024&amp;Correo=alexandra.pedraza@unisabana.edu.co2</t>
  </si>
  <si>
    <t>alexandra.pedraza@unisabana.edu.co3</t>
  </si>
  <si>
    <t>ENCARGADO MAESTRÍA EN DESARROLLO INFANTIL - RIOHACHA</t>
  </si>
  <si>
    <t>https://Directivos2024.sawtoothsoftware.com/cgi-bin/ciwweb.pl?studyname=Directivos2024&amp;Correo=alexandra.pedraza@unisabana.edu.co3</t>
  </si>
  <si>
    <t>ana.olaya@unisabana.edu.co1</t>
  </si>
  <si>
    <t>DIRECTOR DE PROGRAMA DE ECONOMï¿½A Y FINANZAS INTERNACIONALES</t>
  </si>
  <si>
    <t>ESCUELA INTERNACIONAL DE CIENCIAS ECONOMICAS Y ADMINISTRATIVAS</t>
  </si>
  <si>
    <t>Si</t>
  </si>
  <si>
    <t>https://Directivos2024.sawtoothsoftware.com/cgi-bin/ciwweb.pl?studyname=Directivos2024&amp;Correo=ana.olaya@unisabana.edu.co1</t>
  </si>
  <si>
    <t>ENCARGADO MAESTRÍA EN DIDï¿½CTICA DEL INGLï¿½S PARA EL APRENDIZAJE AUTODIRIGIDO - VIRTUAL</t>
  </si>
  <si>
    <t>https://Directivos2024.sawtoothsoftware.com/cgi-bin/ciwweb.pl?studyname=Directivos2024&amp;Correo=ana.ternent@unisabana.edu.co1</t>
  </si>
  <si>
    <t>ana.ternent@unisabana.edu.co2</t>
  </si>
  <si>
    <t>ENCARGADO MAESTRÍA EN PEDAGOGï¿½A - CHï¿½A</t>
  </si>
  <si>
    <t>https://Directivos2024.sawtoothsoftware.com/cgi-bin/ciwweb.pl?studyname=Directivos2024&amp;Correo=ana.ternent@unisabana.edu.co2</t>
  </si>
  <si>
    <t>andres.mejia@unisabana.edu.co1</t>
  </si>
  <si>
    <t>DIRECTOR DE MAESTRIA EN GERENCIA ESTRATï¿½GICA</t>
  </si>
  <si>
    <t>https://Directivos2024.sawtoothsoftware.com/cgi-bin/ciwweb.pl?studyname=Directivos2024&amp;Correo=andres.mejia@unisabana.edu.co1</t>
  </si>
  <si>
    <t>andres.mejia@unisabana.edu.co2</t>
  </si>
  <si>
    <t>DIRECTOR DE MAESTRIA EN GERENCIA DE LA INNOVACIÓN</t>
  </si>
  <si>
    <t>https://Directivos2024.sawtoothsoftware.com/cgi-bin/ciwweb.pl?studyname=Directivos2024&amp;Correo=andres.mejia@unisabana.edu.co2</t>
  </si>
  <si>
    <t>andres.montoya2@unisabana.edu.co1</t>
  </si>
  <si>
    <t>COORDINADOR DE ESPECIALIZACIÓN EN GASTROENTEROLOGï¿½A</t>
  </si>
  <si>
    <t>https://Directivos2024.sawtoothsoftware.com/cgi-bin/ciwweb.pl?studyname=Directivos2024&amp;Correo=andres.montoya2@unisabana.edu.co1</t>
  </si>
  <si>
    <t>antonio.barreto@unisabana.edu.co1</t>
  </si>
  <si>
    <t>DIRECTOR DE MAESTRIA EN CONTRATACIÓN ESTATAL</t>
  </si>
  <si>
    <t>FACULTAD DE DERECHO Y CIENCIAS POLï¿½TICAS</t>
  </si>
  <si>
    <t>https://Directivos2024.sawtoothsoftware.com/cgi-bin/ciwweb.pl?studyname=Directivos2024&amp;Correo=antonio.barreto@unisabana.edu.co1</t>
  </si>
  <si>
    <t>carlos.aguirre@unisabana.edu.co1</t>
  </si>
  <si>
    <t>COORDINADOR DE ESPECIALIZACIÓN EN NEUMOLOGï¿½A</t>
  </si>
  <si>
    <t>https://Directivos2024.sawtoothsoftware.com/cgi-bin/ciwweb.pl?studyname=Directivos2024&amp;Correo=carlos.aguirre@unisabana.edu.co1</t>
  </si>
  <si>
    <t>COORDINADOR DE ESPECIALIZACIÓN EN ELECTROFISIOLOGï¿½A CARDIOVASCULAR</t>
  </si>
  <si>
    <t>https://Directivos2024.sawtoothsoftware.com/cgi-bin/ciwweb.pl?studyname=Directivos2024&amp;Correo=carlos.tapias1@unisabana.edu.co1</t>
  </si>
  <si>
    <t>claudia.poveda1@unisabana.edu.co1</t>
  </si>
  <si>
    <t>COORDINADOR DE ESPECIALIZACIÓN EN MEDICINA CRï¿½TICA Y CUIDADO INTENSIVO</t>
  </si>
  <si>
    <t>https://Directivos2024.sawtoothsoftware.com/cgi-bin/ciwweb.pl?studyname=Directivos2024&amp;Correo=claudia.poveda1@unisabana.edu.co1</t>
  </si>
  <si>
    <t>daniela.sierra@unisabana.edu.co1</t>
  </si>
  <si>
    <t>https://Directivos2024.sawtoothsoftware.com/cgi-bin/ciwweb.pl?studyname=Directivos2024&amp;Correo=daniela.sierra@unisabana.edu.co1</t>
  </si>
  <si>
    <t>ENCARGADO MAESTRÍA EN INNOVACIÓN EDUCATIVA MEDIADA POR TIC - VIRTUAL</t>
  </si>
  <si>
    <t>https://Directivos2024.sawtoothsoftware.com/cgi-bin/ciwweb.pl?studyname=Directivos2024&amp;Correo=diego.becerra2@unisabana.edu.co1</t>
  </si>
  <si>
    <t>edgar.ibarra@unisabana.edu.co1</t>
  </si>
  <si>
    <t>DIRECTOR DE ESPECIALIZACION EN GERENCIA ESTRATï¿½GICA (VIRTUAL)</t>
  </si>
  <si>
    <t>https://Directivos2024.sawtoothsoftware.com/cgi-bin/ciwweb.pl?studyname=Directivos2024&amp;Correo=edgar.ibarra@unisabana.edu.co1</t>
  </si>
  <si>
    <t>edgar.ibarra@unisabana.edu.co2</t>
  </si>
  <si>
    <t>DIRECTOR DE ESPECIALIZACION EN GERENCIA ESTRATï¿½GICA (CHï¿½A)</t>
  </si>
  <si>
    <t>https://Directivos2024.sawtoothsoftware.com/cgi-bin/ciwweb.pl?studyname=Directivos2024&amp;Correo=edgar.ibarra@unisabana.edu.co2</t>
  </si>
  <si>
    <t>edgar.ibarra@unisabana.edu.co3</t>
  </si>
  <si>
    <t>DIRECTOR DE ESPECIALIZACION EN GERENCIA ESTRATï¿½GICA (MEDELLIN)</t>
  </si>
  <si>
    <t>https://Directivos2024.sawtoothsoftware.com/cgi-bin/ciwweb.pl?studyname=Directivos2024&amp;Correo=edgar.ibarra@unisabana.edu.co3</t>
  </si>
  <si>
    <t>edgar.ibarra@unisabana.edu.co4</t>
  </si>
  <si>
    <t>DIRECTOR DE ESPECIALIZACION EN GERENCIA ESTRATï¿½GICA (VILLAVICENCIO)</t>
  </si>
  <si>
    <t>https://Directivos2024.sawtoothsoftware.com/cgi-bin/ciwweb.pl?studyname=Directivos2024&amp;Correo=edgar.ibarra@unisabana.edu.co4</t>
  </si>
  <si>
    <t>edgar.ibarra@unisabana.edu.co5</t>
  </si>
  <si>
    <t>DIRECTOR DE ESPECIALIZACION EN GERENCIA ESTRATï¿½GICA (IBAGUE)</t>
  </si>
  <si>
    <t>https://Directivos2024.sawtoothsoftware.com/cgi-bin/ciwweb.pl?studyname=Directivos2024&amp;Correo=edgar.ibarra@unisabana.edu.co5</t>
  </si>
  <si>
    <t>edgar.ibarra@unisabana.edu.co6</t>
  </si>
  <si>
    <t>DIRECTOR DE ESPECIALIZACION EN GERENCIA ESTRATï¿½GICA (BARRANQUILLA)</t>
  </si>
  <si>
    <t>https://Directivos2024.sawtoothsoftware.com/cgi-bin/ciwweb.pl?studyname=Directivos2024&amp;Correo=edgar.ibarra@unisabana.edu.co6</t>
  </si>
  <si>
    <t>edgar.ibarra@unisabana.edu.co7</t>
  </si>
  <si>
    <t>DIRECTOR DE ESPECIALIZACION EN GERENCIA ESTRATï¿½GICA (BUCARAMANGA)</t>
  </si>
  <si>
    <t>https://Directivos2024.sawtoothsoftware.com/cgi-bin/ciwweb.pl?studyname=Directivos2024&amp;Correo=edgar.ibarra@unisabana.edu.co7</t>
  </si>
  <si>
    <t>edgar.ibarra@unisabana.edu.co8</t>
  </si>
  <si>
    <t>DIRECTOR DE ESPECIALIZACION EN EMPRENDIMIENTO Y NEGOCIOS DIGITALES (CHï¿½A)</t>
  </si>
  <si>
    <t>https://Directivos2024.sawtoothsoftware.com/cgi-bin/ciwweb.pl?studyname=Directivos2024&amp;Correo=edgar.ibarra@unisabana.edu.co8</t>
  </si>
  <si>
    <t>COORDINADOR DE ESPECIALIZACIÓN EN NEUMOLOGï¿½A PEDIï¿½TRICA</t>
  </si>
  <si>
    <t>https://Directivos2024.sawtoothsoftware.com/cgi-bin/ciwweb.pl?studyname=Directivos2024&amp;Correo=eduenas@neumologica.org1</t>
  </si>
  <si>
    <t>fabio.pulido@unisabana.edu.co1</t>
  </si>
  <si>
    <t>DIRECTOR DE DOCTORADO EN DERECHO</t>
  </si>
  <si>
    <t>https://Directivos2024.sawtoothsoftware.com/cgi-bin/ciwweb.pl?studyname=Directivos2024&amp;Correo=fabio.pulido@unisabana.edu.co1</t>
  </si>
  <si>
    <t>fabio.pulido@unisabana.edu.co2</t>
  </si>
  <si>
    <t>DIRECTOR DE MAESTRÍA EN DERECHO CONSTITUCIONAL</t>
  </si>
  <si>
    <t>https://Directivos2024.sawtoothsoftware.com/cgi-bin/ciwweb.pl?studyname=Directivos2024&amp;Correo=fabio.pulido@unisabana.edu.co2</t>
  </si>
  <si>
    <t>fidelsm@unisabana.edu.co1</t>
  </si>
  <si>
    <t>COORDINADOR DE ESPECIALIZACIÓN EN NEUROLOGï¿½A</t>
  </si>
  <si>
    <t>https://Directivos2024.sawtoothsoftware.com/cgi-bin/ciwweb.pl?studyname=Directivos2024&amp;Correo=fidelsm@unisabana.edu.co1</t>
  </si>
  <si>
    <t>francisco.lamus@unisabana.edu.co1</t>
  </si>
  <si>
    <t>DIRECTOR DE MAESTRIA EN SALUD PUBLICA</t>
  </si>
  <si>
    <t>https://Directivos2024.sawtoothsoftware.com/cgi-bin/ciwweb.pl?studyname=Directivos2024&amp;Correo=francisco.lamus@unisabana.edu.co1</t>
  </si>
  <si>
    <t>hectorfa@unisabana.edu.co1</t>
  </si>
  <si>
    <t>COORDINADOR DE ESPECIALIZACIÓN EN OFTALMOLOGï¿½A</t>
  </si>
  <si>
    <t>https://Directivos2024.sawtoothsoftware.com/cgi-bin/ciwweb.pl?studyname=Directivos2024&amp;Correo=hectorfa@unisabana.edu.co1</t>
  </si>
  <si>
    <t>jaimefe@unisabana.edu.co1</t>
  </si>
  <si>
    <t>COORDINADOR DE ESPECIALIZACIÓN EN CUIDADO INTENSIVO PEDIï¿½TRICO</t>
  </si>
  <si>
    <t>https://Directivos2024.sawtoothsoftware.com/cgi-bin/ciwweb.pl?studyname=Directivos2024&amp;Correo=jaimefe@unisabana.edu.co1</t>
  </si>
  <si>
    <t>jairo.jimenez2@unisabana.edu.co2</t>
  </si>
  <si>
    <t>ENCARGADO MAESTRÍA EN EDUCACIÓN - CHï¿½A</t>
  </si>
  <si>
    <t>https://Directivos2024.sawtoothsoftware.com/cgi-bin/ciwweb.pl?studyname=Directivos2024&amp;Correo=jairo.jimenez2@unisabana.edu.co2</t>
  </si>
  <si>
    <t>jorge.oviedo@unisabana.edu.co1</t>
  </si>
  <si>
    <t>DIRECTOR DE MAESTRÍA EN DERECHO DE LA EMPRESA Y DE LOS NEGOCIOS</t>
  </si>
  <si>
    <t>https://Directivos2024.sawtoothsoftware.com/cgi-bin/ciwweb.pl?studyname=Directivos2024&amp;Correo=jorge.oviedo@unisabana.edu.co1</t>
  </si>
  <si>
    <t>jorge.restrepo1@unisabana.edu.co1</t>
  </si>
  <si>
    <t>DIRECTOR DE MAESTRIA EN EDUCACIÓN MEDICA</t>
  </si>
  <si>
    <t>https://Directivos2024.sawtoothsoftware.com/cgi-bin/ciwweb.pl?studyname=Directivos2024&amp;Correo=jorge.restrepo1@unisabana.edu.co1</t>
  </si>
  <si>
    <t>juan.aldana2@clinicaunisabana.edu.co1</t>
  </si>
  <si>
    <t>COORDINADOR DE ESPECIALIZACIÓN EN RADIOLOGï¿½A E IMï¿½GENES DIAGNOSTICAS</t>
  </si>
  <si>
    <t>https://Directivos2024.sawtoothsoftware.com/cgi-bin/ciwweb.pl?studyname=Directivos2024&amp;Correo=juan.aldana2@clinicaunisabana.edu.co1</t>
  </si>
  <si>
    <t>juan.camelo@unisabana.edu.co1</t>
  </si>
  <si>
    <t>DIRECTOR GENERAL DE PROYECCIÓN SOCIAL Y COCREACIÓN</t>
  </si>
  <si>
    <t>DIRECCIÓN GENERAL DE PROYECCIÓN SOCIAL Y COCREACIÓN</t>
  </si>
  <si>
    <t>https://Directivos2024.sawtoothsoftware.com/cgi-bin/ciwweb.pl?studyname=Directivos2024&amp;Correo=juan.camelo@unisabana.edu.co1</t>
  </si>
  <si>
    <t>juan.cordoba@unisabana.edu.co1</t>
  </si>
  <si>
    <t>VICERRECTOR DE PROFESORES E INVESTIGACIÓN</t>
  </si>
  <si>
    <t>VICERRECTORÍA DE PROFESORES E INVESTIGACIÓN</t>
  </si>
  <si>
    <t>https://Directivos2024.sawtoothsoftware.com/cgi-bin/ciwweb.pl?studyname=Directivos2024&amp;Correo=juan.cordoba@unisabana.edu.co1</t>
  </si>
  <si>
    <t>juan.hernandez1@unisabana.edu.co1</t>
  </si>
  <si>
    <t>DIRECTOR DE MAESTRIA EN PERIODISMO Y COMUNICACIÓN DIGITAL</t>
  </si>
  <si>
    <t>https://Directivos2024.sawtoothsoftware.com/cgi-bin/ciwweb.pl?studyname=Directivos2024&amp;Correo=juan.hernandez1@unisabana.edu.co1</t>
  </si>
  <si>
    <t>leidy.diaz3@unisabana.edu.co2</t>
  </si>
  <si>
    <t>DIRECTOR DE MAESTRÍA EN PSICOLOGï¿½A DE LA SALUD Y LA DISCAPACIDAD</t>
  </si>
  <si>
    <t>FACULTAD DE PSICOLOGï¿½A Y CIENCIAS DEL COMPORTAMIENTO</t>
  </si>
  <si>
    <t>https://Directivos2024.sawtoothsoftware.com/cgi-bin/ciwweb.pl?studyname=Directivos2024&amp;Correo=leidy.diaz3@unisabana.edu.co2</t>
  </si>
  <si>
    <t>DIRECTOR DE PROGRAMA DE INGENIERÍA INDUSTRIAL</t>
  </si>
  <si>
    <t>https://Directivos2024.sawtoothsoftware.com/cgi-bin/ciwweb.pl?studyname=Directivos2024&amp;Correo=luz.mancera2@unisabana.edu.co1</t>
  </si>
  <si>
    <t>DIRECTOR DE MAESTRIA EN GERENCIA DE INGENIERÍA</t>
  </si>
  <si>
    <t>https://Directivos2024.sawtoothsoftware.com/cgi-bin/ciwweb.pl?studyname=Directivos2024&amp;Correo=manuel.figueredo@unisabana.edu.co1</t>
  </si>
  <si>
    <t>COORDINADOR DE ESPECIALIZACIÓN EN GINECOLOGï¿½A Y OBSTETRICIA</t>
  </si>
  <si>
    <t>https://Directivos2024.sawtoothsoftware.com/cgi-bin/ciwweb.pl?studyname=Directivos2024&amp;Correo=marcoscz@unisabana.edu.co1</t>
  </si>
  <si>
    <t>maria.chona@unisabana.edu.co1</t>
  </si>
  <si>
    <t>DIRECTOR DE BIENESTAR Y EXPERIENCIA DEL ESTUDIANTE</t>
  </si>
  <si>
    <t>https://Directivos2024.sawtoothsoftware.com/cgi-bin/ciwweb.pl?studyname=Directivos2024&amp;Correo=maria.chona@unisabana.edu.co1</t>
  </si>
  <si>
    <t>maria.londono1@unisabana.edu.co1</t>
  </si>
  <si>
    <t>DIRECTOR DE MAESTRIA EN DERECHO INTERNACIONAL</t>
  </si>
  <si>
    <t>https://Directivos2024.sawtoothsoftware.com/cgi-bin/ciwweb.pl?studyname=Directivos2024&amp;Correo=maria.londono1@unisabana.edu.co1</t>
  </si>
  <si>
    <t>maria.panesso2@unisabana.edu.co1</t>
  </si>
  <si>
    <t>DIRECTOR DE MAESTRIA EN FISIOTERAPIA (VIRTUAL)</t>
  </si>
  <si>
    <t>https://Directivos2024.sawtoothsoftware.com/cgi-bin/ciwweb.pl?studyname=Directivos2024&amp;Correo=maria.panesso2@unisabana.edu.co1</t>
  </si>
  <si>
    <t>maria.panesso2@unisabana.edu.co2</t>
  </si>
  <si>
    <t>DIRECTOR ESPECIALIZACIÓN EN TERAPIA MANUAL ORTOPï¿½DICA</t>
  </si>
  <si>
    <t>https://Directivos2024.sawtoothsoftware.com/cgi-bin/ciwweb.pl?studyname=Directivos2024&amp;Correo=maria.panesso2@unisabana.edu.co2</t>
  </si>
  <si>
    <t>maria.zarate@unisabana.edu.co2</t>
  </si>
  <si>
    <t>DIRECTOR DE PROGRAMA EN LICENCIATURA EN CIENCIAS NATURALES</t>
  </si>
  <si>
    <t>https://Directivos2024.sawtoothsoftware.com/cgi-bin/ciwweb.pl?studyname=Directivos2024&amp;Correo=maria.zarate@unisabana.edu.co2</t>
  </si>
  <si>
    <t>pedro.sarmiento@unisabana.edu.co1</t>
  </si>
  <si>
    <t>DIRECTOR DE MAESTRIA EN BIOï¿½TICA</t>
  </si>
  <si>
    <t>https://Directivos2024.sawtoothsoftware.com/cgi-bin/ciwweb.pl?studyname=Directivos2024&amp;Correo=pedro.sarmiento@unisabana.edu.co1</t>
  </si>
  <si>
    <t>pedro.sarmiento@unisabana.edu.co2</t>
  </si>
  <si>
    <t>COORDINADOR DE ESPECIALIZACIÓN EN BIOï¿½TICA</t>
  </si>
  <si>
    <t>https://Directivos2024.sawtoothsoftware.com/cgi-bin/ciwweb.pl?studyname=Directivos2024&amp;Correo=pedro.sarmiento@unisabana.edu.co2</t>
  </si>
  <si>
    <t>rolando.roncancio@unisabana.edu.co1</t>
  </si>
  <si>
    <t>RECTOR</t>
  </si>
  <si>
    <t>https://Directivos2024.sawtoothsoftware.com/cgi-bin/ciwweb.pl?studyname=Directivos2024&amp;Correo=rolando.roncancio@unisabana.edu.co1</t>
  </si>
  <si>
    <t>ruth.ruiz@unisabana.edu.co1</t>
  </si>
  <si>
    <t>DIRECTOR DE MAESTRIA EN DISEï¿½O Y GESTIÓN DE PROCESOS</t>
  </si>
  <si>
    <t>https://Directivos2024.sawtoothsoftware.com/cgi-bin/ciwweb.pl?studyname=Directivos2024&amp;Correo=ruth.ruiz@unisabana.edu.co1</t>
  </si>
  <si>
    <t>Sandra.suarez@unisabana.edu.co2</t>
  </si>
  <si>
    <t>DIRECTOR DE ESPECIALIZACION EN GESTIÓN PARA EL DESARROLLO HUMANO EN LA ORGANIZACIÓN (CHï¿½A)</t>
  </si>
  <si>
    <t>https://Directivos2024.sawtoothsoftware.com/cgi-bin/ciwweb.pl?studyname=Directivos2024&amp;Correo=Sandra.suarez@unisabana.edu.co2</t>
  </si>
  <si>
    <t>Sandra.suarez@unisabana.edu.co3</t>
  </si>
  <si>
    <t>DIRECTOR DE ESPECIALIZACION EN GESTIÓN PARA EL DESARROLLO HUMANO EN LA ORGANIZACIÓN (VIRTUAL)</t>
  </si>
  <si>
    <t>https://Directivos2024.sawtoothsoftware.com/cgi-bin/ciwweb.pl?studyname=Directivos2024&amp;Correo=Sandra.suarez@unisabana.edu.co3</t>
  </si>
  <si>
    <t>Sandra.suarez@unisabana.edu.co4</t>
  </si>
  <si>
    <t>DIRECTOR DE ESPECIALIZACION EN GESTIÓN PARA EL DESARROLLO HUMANO EN LA ORGANIZACIÓN (BUCARAMANGA)</t>
  </si>
  <si>
    <t>https://Directivos2024.sawtoothsoftware.com/cgi-bin/ciwweb.pl?studyname=Directivos2024&amp;Correo=Sandra.suarez@unisabana.edu.co4</t>
  </si>
  <si>
    <t>Sandra.suarez@unisabana.edu.co5</t>
  </si>
  <si>
    <t>DIRECTOR DE ESPECIALIZACION EN LIDERAZGO Y COACHING (CHï¿½A)</t>
  </si>
  <si>
    <t>https://Directivos2024.sawtoothsoftware.com/cgi-bin/ciwweb.pl?studyname=Directivos2024&amp;Correo=Sandra.suarez@unisabana.edu.co5</t>
  </si>
  <si>
    <t>leidyleca@unisabana.edu.co1</t>
  </si>
  <si>
    <t>DIRECTORA DE PROGRAMA DE CIENCIAS DATOS</t>
  </si>
  <si>
    <t>https://Directivos2024.sawtoothsoftware.com/cgi-bin/ciwweb.pl?studyname=Directivos2024&amp;Correo=leidyleca@unisabana.edu.co1</t>
  </si>
  <si>
    <t>alejandra.fuentes@unisabana.edu.co1</t>
  </si>
  <si>
    <t>DIRECTOR PROFESORES E INVESTIGACIÓN</t>
  </si>
  <si>
    <t>https://Directivos2024.sawtoothsoftware.com/cgi-bin/ciwweb.pl?studyname=Directivos2024&amp;Correo=alejandra.fuentes@unisabana.edu.co1</t>
  </si>
  <si>
    <t>angelica.villarraga@unisabana.edu.co1</t>
  </si>
  <si>
    <t>JEFE. HTAL SIMULA. Y AULAS ESP</t>
  </si>
  <si>
    <t>https://Directivos2024.sawtoothsoftware.com/cgi-bin/ciwweb.pl?studyname=Directivos2024&amp;Correo=angelica.villarraga@unisabana.edu.co1</t>
  </si>
  <si>
    <t>camila.feriz@unisabana.edu.co1</t>
  </si>
  <si>
    <t>JEFE DE INTERNACIONALIZACIÓN</t>
  </si>
  <si>
    <t>https://Directivos2024.sawtoothsoftware.com/cgi-bin/ciwweb.pl?studyname=Directivos2024&amp;Correo=camila.feriz@unisabana.edu.co1</t>
  </si>
  <si>
    <t>carlos.arevalo1@unisabana.edu.co1</t>
  </si>
  <si>
    <t>DECANO FACULTAD DERECHO</t>
  </si>
  <si>
    <t>https://Directivos2024.sawtoothsoftware.com/cgi-bin/ciwweb.pl?studyname=Directivos2024&amp;Correo=carlos.arevalo1@unisabana.edu.co1</t>
  </si>
  <si>
    <t>christian.restrepo@unisabana.edu.co1</t>
  </si>
  <si>
    <t>JEFE ADMINISTRATIVO</t>
  </si>
  <si>
    <t>INSTITUTO DE LA FAMILIA</t>
  </si>
  <si>
    <t>https://Directivos2024.sawtoothsoftware.com/cgi-bin/ciwweb.pl?studyname=Directivos2024&amp;Correo=christian.restrepo@unisabana.edu.co1</t>
  </si>
  <si>
    <t>fallon.jimenez@unisabana.edu.co1</t>
  </si>
  <si>
    <t>https://Directivos2024.sawtoothsoftware.com/cgi-bin/ciwweb.pl?studyname=Directivos2024&amp;Correo=fallon.jimenez@unisabana.edu.co1</t>
  </si>
  <si>
    <t>Ivan.Guayacan@unisabana.edu.co1</t>
  </si>
  <si>
    <t>https://Directivos2024.sawtoothsoftware.com/cgi-bin/ciwweb.pl?studyname=Directivos2024&amp;Correo=Ivan.Guayacan@unisabana.edu.co1</t>
  </si>
  <si>
    <t>ivonne.gonzalez@unisabana.edu.co1</t>
  </si>
  <si>
    <t>DIRECTOR GENENERAL DEL CENTRO INTERNACIONAL DE LENGUAS Y CULTURAS EXTRANJERAS</t>
  </si>
  <si>
    <t>https://Directivos2024.sawtoothsoftware.com/cgi-bin/ciwweb.pl?studyname=Directivos2024&amp;Correo=ivonne.gonzalez@unisabana.edu.co1</t>
  </si>
  <si>
    <t>jenny.rodriguez9@unisabana.edu.co1</t>
  </si>
  <si>
    <t>https://Directivos2024.sawtoothsoftware.com/cgi-bin/ciwweb.pl?studyname=Directivos2024&amp;Correo=jenny.rodriguez9@unisabana.edu.co1</t>
  </si>
  <si>
    <t>jermaine.mcdougald1@unisabana.edu.co1</t>
  </si>
  <si>
    <t>DIRECTOR ELT BUSINESS DEVELOPMENT</t>
  </si>
  <si>
    <t>https://Directivos2024.sawtoothsoftware.com/cgi-bin/ciwweb.pl?studyname=Directivos2024&amp;Correo=jermaine.mcdougald1@unisabana.edu.co1</t>
  </si>
  <si>
    <t>jesus.girado@unisabana.edu.co1</t>
  </si>
  <si>
    <t>DECANO FACULTAD FILOSOFIA-CIENHUM Y DIR PROFESORES E INVESTIGACIÓN</t>
  </si>
  <si>
    <t>FACULTAD DE FILOSOFï¿½A Y CIENCIAS HUMANAS</t>
  </si>
  <si>
    <t>https://Directivos2024.sawtoothsoftware.com/cgi-bin/ciwweb.pl?studyname=Directivos2024&amp;Correo=jesus.girado@unisabana.edu.co1</t>
  </si>
  <si>
    <t>DIRECTOR DE POSGRADOS</t>
  </si>
  <si>
    <t>https://Directivos2024.sawtoothsoftware.com/cgi-bin/ciwweb.pl?studyname=Directivos2024&amp;Correo=leonardo.moreno@unisabana.edu.co1</t>
  </si>
  <si>
    <t>luz.hernandez2@unisabana.edu.co1</t>
  </si>
  <si>
    <t>DIRECTOR BILINGUISMO E INTERCULTURALIDAD</t>
  </si>
  <si>
    <t>https://Directivos2024.sawtoothsoftware.com/cgi-bin/ciwweb.pl?studyname=Directivos2024&amp;Correo=luz.hernandez2@unisabana.edu.co1</t>
  </si>
  <si>
    <t>DIRECTOR DE PROCESOS ACADï¿½MICOS</t>
  </si>
  <si>
    <t>https://Directivos2024.sawtoothsoftware.com/cgi-bin/ciwweb.pl?studyname=Directivos2024&amp;Correo=manuel.valero@unisabana.edu.co1</t>
  </si>
  <si>
    <t>marcela.gonzalezm@unisabana.edu.co1</t>
  </si>
  <si>
    <t>DIRECTOR DE ESTUDIANTES</t>
  </si>
  <si>
    <t>https://Directivos2024.sawtoothsoftware.com/cgi-bin/ciwweb.pl?studyname=Directivos2024&amp;Correo=marcela.gonzalezm@unisabana.edu.co1</t>
  </si>
  <si>
    <t>maritza.ceballos@unisabana.edu.co1</t>
  </si>
  <si>
    <t>DIRECTOR POSGRADOS Y EDU CONTINUA</t>
  </si>
  <si>
    <t>https://Directivos2024.sawtoothsoftware.com/cgi-bin/ciwweb.pl?studyname=Directivos2024&amp;Correo=maritza.ceballos@unisabana.edu.co1</t>
  </si>
  <si>
    <t>DIRECTOR DE PROYECCIÓN Y RELACIONAMIENTO</t>
  </si>
  <si>
    <t>https://Directivos2024.sawtoothsoftware.com/cgi-bin/ciwweb.pl?studyname=Directivos2024&amp;Correo=miguel.uribe1@unisabana.edu.co1</t>
  </si>
  <si>
    <t>nohora.pachon@unisabana.edu.co1</t>
  </si>
  <si>
    <t>https://Directivos2024.sawtoothsoftware.com/cgi-bin/ciwweb.pl?studyname=Directivos2024&amp;Correo=nohora.pachon@unisabana.edu.co1</t>
  </si>
  <si>
    <t>pamela.arevalo1@unisabana.edu.co1</t>
  </si>
  <si>
    <t>JEFE DE FORMACIÓN</t>
  </si>
  <si>
    <t>DIRECCIÓN DE CORE CURRICULUM PERSONA Y CULTURA</t>
  </si>
  <si>
    <t>https://Directivos2024.sawtoothsoftware.com/cgi-bin/ciwweb.pl?studyname=Directivos2024&amp;Correo=pamela.arevalo1@unisabana.edu.co1</t>
  </si>
  <si>
    <t>JEFE DE PRï¿½CTICAS Y ALUMNI</t>
  </si>
  <si>
    <t>https://Directivos2024.sawtoothsoftware.com/cgi-bin/ciwweb.pl?studyname=Directivos2024&amp;Correo=yady.gonzalez@unisabana.edu.co1</t>
  </si>
  <si>
    <t>alejandra.fuentes@unisabana.edu.co2</t>
  </si>
  <si>
    <t>https://Directivos2024.sawtoothsoftware.com/cgi-bin/ciwweb.pl?studyname=Directivos2024&amp;Correo=alejandra.fuentes@unisabana.edu.co2</t>
  </si>
  <si>
    <t>ana.cordoba@unisabana.edu.co2</t>
  </si>
  <si>
    <t>https://Directivos2024.sawtoothsoftware.com/cgi-bin/ciwweb.pl?studyname=Directivos2024&amp;Correo=ana.cordoba@unisabana.edu.co2</t>
  </si>
  <si>
    <t>angela.trujillo@unisabana.edu.co2</t>
  </si>
  <si>
    <t>https://Directivos2024.sawtoothsoftware.com/cgi-bin/ciwweb.pl?studyname=Directivos2024&amp;Correo=angela.trujillo@unisabana.edu.co2</t>
  </si>
  <si>
    <t>angelica.villarraga@unisabana.edu.co2</t>
  </si>
  <si>
    <t>https://Directivos2024.sawtoothsoftware.com/cgi-bin/ciwweb.pl?studyname=Directivos2024&amp;Correo=angelica.villarraga@unisabana.edu.co2</t>
  </si>
  <si>
    <t>camila.feriz@unisabana.edu.co2</t>
  </si>
  <si>
    <t>https://Directivos2024.sawtoothsoftware.com/cgi-bin/ciwweb.pl?studyname=Directivos2024&amp;Correo=camila.feriz@unisabana.edu.co2</t>
  </si>
  <si>
    <t>carla.urdaneta@unisabana.edu.co2</t>
  </si>
  <si>
    <t>https://Directivos2024.sawtoothsoftware.com/cgi-bin/ciwweb.pl?studyname=Directivos2024&amp;Correo=carla.urdaneta@unisabana.edu.co2</t>
  </si>
  <si>
    <t>carlos.arevalo1@unisabana.edu.co2</t>
  </si>
  <si>
    <t>https://Directivos2024.sawtoothsoftware.com/cgi-bin/ciwweb.pl?studyname=Directivos2024&amp;Correo=carlos.arevalo1@unisabana.edu.co2</t>
  </si>
  <si>
    <t>diana.ramos1@unisabana.edu.co1</t>
  </si>
  <si>
    <t>https://Directivos2024.sawtoothsoftware.com/cgi-bin/ciwweb.pl?studyname=Directivos2024&amp;Correo=diana.ramos1@unisabana.edu.co1</t>
  </si>
  <si>
    <t>fallon.jimenez@unisabana.edu.co2</t>
  </si>
  <si>
    <t>https://Directivos2024.sawtoothsoftware.com/cgi-bin/ciwweb.pl?studyname=Directivos2024&amp;Correo=fallon.jimenez@unisabana.edu.co2</t>
  </si>
  <si>
    <t>Ivan.Guayacan@unisabana.edu.co2</t>
  </si>
  <si>
    <t>https://Directivos2024.sawtoothsoftware.com/cgi-bin/ciwweb.pl?studyname=Directivos2024&amp;Correo=Ivan.Guayacan@unisabana.edu.co2</t>
  </si>
  <si>
    <t>jenniferroca@unisabana.edu.co2</t>
  </si>
  <si>
    <t>https://Directivos2024.sawtoothsoftware.com/cgi-bin/ciwweb.pl?studyname=Directivos2024&amp;Correo=jenniferroca@unisabana.edu.co2</t>
  </si>
  <si>
    <t>jenniffer.jimenez@unisabana.edu.co2</t>
  </si>
  <si>
    <t>https://Directivos2024.sawtoothsoftware.com/cgi-bin/ciwweb.pl?studyname=Directivos2024&amp;Correo=jenniffer.jimenez@unisabana.edu.co2</t>
  </si>
  <si>
    <t>jenny.rodriguez9@unisabana.edu.co2</t>
  </si>
  <si>
    <t>https://Directivos2024.sawtoothsoftware.com/cgi-bin/ciwweb.pl?studyname=Directivos2024&amp;Correo=jenny.rodriguez9@unisabana.edu.co2</t>
  </si>
  <si>
    <t>jesus.girado@unisabana.edu.co2</t>
  </si>
  <si>
    <t>https://Directivos2024.sawtoothsoftware.com/cgi-bin/ciwweb.pl?studyname=Directivos2024&amp;Correo=jesus.girado@unisabana.edu.co2</t>
  </si>
  <si>
    <t>Juanacl@unisabana.edu.co2</t>
  </si>
  <si>
    <t>DIRECTOR PROYECCIÓN Y RELACIONAMIENTO</t>
  </si>
  <si>
    <t>https://Directivos2024.sawtoothsoftware.com/cgi-bin/ciwweb.pl?studyname=Directivos2024&amp;Correo=Juanacl@unisabana.edu.co2</t>
  </si>
  <si>
    <t>manuel.gonzalez@unisabana.edu.co2</t>
  </si>
  <si>
    <t>DECANO FACULTAD COMUNICACION</t>
  </si>
  <si>
    <t>https://Directivos2024.sawtoothsoftware.com/cgi-bin/ciwweb.pl?studyname=Directivos2024&amp;Correo=manuel.gonzalez@unisabana.edu.co2</t>
  </si>
  <si>
    <t>manuel.valero@unisabana.edu.co2</t>
  </si>
  <si>
    <t>https://Directivos2024.sawtoothsoftware.com/cgi-bin/ciwweb.pl?studyname=Directivos2024&amp;Correo=manuel.valero@unisabana.edu.co2</t>
  </si>
  <si>
    <t>marcela.gonzalezm@unisabana.edu.co2</t>
  </si>
  <si>
    <t>https://Directivos2024.sawtoothsoftware.com/cgi-bin/ciwweb.pl?studyname=Directivos2024&amp;Correo=marcela.gonzalezm@unisabana.edu.co2</t>
  </si>
  <si>
    <t>maria.maldonado5@unisabana.edu.co2</t>
  </si>
  <si>
    <t>DIRECTORA DE PRï¿½CTICAS Y ALUMNI</t>
  </si>
  <si>
    <t>https://Directivos2024.sawtoothsoftware.com/cgi-bin/ciwweb.pl?studyname=Directivos2024&amp;Correo=maria.maldonado5@unisabana.edu.co2</t>
  </si>
  <si>
    <t>maritza.ceballos@unisabana.edu.co2</t>
  </si>
  <si>
    <t>https://Directivos2024.sawtoothsoftware.com/cgi-bin/ciwweb.pl?studyname=Directivos2024&amp;Correo=maritza.ceballos@unisabana.edu.co2</t>
  </si>
  <si>
    <t>miguel.uribe1@unisabana.edu.co2</t>
  </si>
  <si>
    <t>https://Directivos2024.sawtoothsoftware.com/cgi-bin/ciwweb.pl?studyname=Directivos2024&amp;Correo=miguel.uribe1@unisabana.edu.co2</t>
  </si>
  <si>
    <t>nohora.pachon@unisabana.edu.co2</t>
  </si>
  <si>
    <t>https://Directivos2024.sawtoothsoftware.com/cgi-bin/ciwweb.pl?studyname=Directivos2024&amp;Correo=nohora.pachon@unisabana.edu.co2</t>
  </si>
  <si>
    <t>sonia.cediel@unisabana.edu.co2</t>
  </si>
  <si>
    <t>https://Directivos2024.sawtoothsoftware.com/cgi-bin/ciwweb.pl?studyname=Directivos2024&amp;Correo=sonia.cediel@unisabana.edu.co2</t>
  </si>
  <si>
    <t>luisf.lopez@unisabana.edu.co2</t>
  </si>
  <si>
    <t>DIRECTOR BIBLIOTECA</t>
  </si>
  <si>
    <t>https://Directivos2024.sawtoothsoftware.com/cgi-bin/ciwweb.pl?studyname=Directivos2024&amp;Correo=luisf.lopez@unisabana.edu.co2</t>
  </si>
  <si>
    <t>alejandra.fuentes@unisabana.edu.co3</t>
  </si>
  <si>
    <t>https://Directivos2024.sawtoothsoftware.com/cgi-bin/ciwweb.pl?studyname=Directivos2024&amp;Correo=alejandra.fuentes@unisabana.edu.co3</t>
  </si>
  <si>
    <t>ana.cordoba@unisabana.edu.co3</t>
  </si>
  <si>
    <t>https://Directivos2024.sawtoothsoftware.com/cgi-bin/ciwweb.pl?studyname=Directivos2024&amp;Correo=ana.cordoba@unisabana.edu.co3</t>
  </si>
  <si>
    <t>ana.vargas@unisabana.edu.co3</t>
  </si>
  <si>
    <t>https://Directivos2024.sawtoothsoftware.com/cgi-bin/ciwweb.pl?studyname=Directivos2024&amp;Correo=ana.vargas@unisabana.edu.co3</t>
  </si>
  <si>
    <t>angelica.villarraga@unisabana.edu.co3</t>
  </si>
  <si>
    <t>https://Directivos2024.sawtoothsoftware.com/cgi-bin/ciwweb.pl?studyname=Directivos2024&amp;Correo=angelica.villarraga@unisabana.edu.co3</t>
  </si>
  <si>
    <t>carlos.arevalo1@unisabana.edu.co3</t>
  </si>
  <si>
    <t>https://Directivos2024.sawtoothsoftware.com/cgi-bin/ciwweb.pl?studyname=Directivos2024&amp;Correo=carlos.arevalo1@unisabana.edu.co3</t>
  </si>
  <si>
    <t>diego.rodriguez3@unisabana.edu.co3</t>
  </si>
  <si>
    <t>DECANO FACULTAD EDUCACION</t>
  </si>
  <si>
    <t>https://Directivos2024.sawtoothsoftware.com/cgi-bin/ciwweb.pl?studyname=Directivos2024&amp;Correo=diego.rodriguez3@unisabana.edu.co3</t>
  </si>
  <si>
    <t>fallon.jimenez@unisabana.edu.co3</t>
  </si>
  <si>
    <t>https://Directivos2024.sawtoothsoftware.com/cgi-bin/ciwweb.pl?studyname=Directivos2024&amp;Correo=fallon.jimenez@unisabana.edu.co3</t>
  </si>
  <si>
    <t>Ivan.Guayacan@unisabana.edu.co3</t>
  </si>
  <si>
    <t>https://Directivos2024.sawtoothsoftware.com/cgi-bin/ciwweb.pl?studyname=Directivos2024&amp;Correo=Ivan.Guayacan@unisabana.edu.co3</t>
  </si>
  <si>
    <t>jenniferroca@unisabana.edu.co3</t>
  </si>
  <si>
    <t>https://Directivos2024.sawtoothsoftware.com/cgi-bin/ciwweb.pl?studyname=Directivos2024&amp;Correo=jenniferroca@unisabana.edu.co3</t>
  </si>
  <si>
    <t>jenniffer.jimenez@unisabana.edu.co3</t>
  </si>
  <si>
    <t>https://Directivos2024.sawtoothsoftware.com/cgi-bin/ciwweb.pl?studyname=Directivos2024&amp;Correo=jenniffer.jimenez@unisabana.edu.co3</t>
  </si>
  <si>
    <t>jenny.rodriguez9@unisabana.edu.co3</t>
  </si>
  <si>
    <t>https://Directivos2024.sawtoothsoftware.com/cgi-bin/ciwweb.pl?studyname=Directivos2024&amp;Correo=jenny.rodriguez9@unisabana.edu.co3</t>
  </si>
  <si>
    <t>Juanacl@unisabana.edu.co3</t>
  </si>
  <si>
    <t>https://Directivos2024.sawtoothsoftware.com/cgi-bin/ciwweb.pl?studyname=Directivos2024&amp;Correo=Juanacl@unisabana.edu.co3</t>
  </si>
  <si>
    <t>manuel.gonzalez@unisabana.edu.co3</t>
  </si>
  <si>
    <t>https://Directivos2024.sawtoothsoftware.com/cgi-bin/ciwweb.pl?studyname=Directivos2024&amp;Correo=manuel.gonzalez@unisabana.edu.co3</t>
  </si>
  <si>
    <t>marcela.gonzalezm@unisabana.edu.co3</t>
  </si>
  <si>
    <t>https://Directivos2024.sawtoothsoftware.com/cgi-bin/ciwweb.pl?studyname=Directivos2024&amp;Correo=marcela.gonzalezm@unisabana.edu.co3</t>
  </si>
  <si>
    <t>maritza.ceballos@unisabana.edu.co3</t>
  </si>
  <si>
    <t>DIRECTOR DE MAESTRIA EN COMUNICACIÓN ESTRATï¿½GICA</t>
  </si>
  <si>
    <t>https://Directivos2024.sawtoothsoftware.com/cgi-bin/ciwweb.pl?studyname=Directivos2024&amp;Correo=maritza.ceballos@unisabana.edu.co3</t>
  </si>
  <si>
    <t>nohora.pachon@unisabana.edu.co3</t>
  </si>
  <si>
    <t>https://Directivos2024.sawtoothsoftware.com/cgi-bin/ciwweb.pl?studyname=Directivos2024&amp;Correo=nohora.pachon@unisabana.edu.co3</t>
  </si>
  <si>
    <t>sonia.cediel@unisabana.edu.co3</t>
  </si>
  <si>
    <t>https://Directivos2024.sawtoothsoftware.com/cgi-bin/ciwweb.pl?studyname=Directivos2024&amp;Correo=sonia.cediel@unisabana.edu.co3</t>
  </si>
  <si>
    <t>DIRECTOR CENTRO TECNOLOGIAS PARA LA ACADEMIA</t>
  </si>
  <si>
    <t>https://Directivos2024.sawtoothsoftware.com/cgi-bin/ciwweb.pl?studyname=Directivos2024&amp;Correo=luisf.lopez@unisabana.edu.co1</t>
  </si>
  <si>
    <t>gloria.carvajal@unisabana.edu.co4</t>
  </si>
  <si>
    <t>DIRECTOR DE MAESTRIA EN ENFERMERÍA (VIRTUAL)</t>
  </si>
  <si>
    <t>https://Directivos2024.sawtoothsoftware.com/cgi-bin/ciwweb.pl?studyname=Directivos2024&amp;Correo=gloria.carvajal@unisabana.edu.co4</t>
  </si>
  <si>
    <t>Ivan.Guayacan@unisabana.edu.co4</t>
  </si>
  <si>
    <t>https://Directivos2024.sawtoothsoftware.com/cgi-bin/ciwweb.pl?studyname=Directivos2024&amp;Correo=Ivan.Guayacan@unisabana.edu.co4</t>
  </si>
  <si>
    <t>jenniferroca@unisabana.edu.co4</t>
  </si>
  <si>
    <t>https://Directivos2024.sawtoothsoftware.com/cgi-bin/ciwweb.pl?studyname=Directivos2024&amp;Correo=jenniferroca@unisabana.edu.co4</t>
  </si>
  <si>
    <t>maria.maldonado5@unisabana.edu.co4</t>
  </si>
  <si>
    <t>https://Directivos2024.sawtoothsoftware.com/cgi-bin/ciwweb.pl?studyname=Directivos2024&amp;Correo=maria.maldonado5@unisabana.edu.co4</t>
  </si>
  <si>
    <t>gloria.carvajal@unisabana.edu.co5</t>
  </si>
  <si>
    <t>DIRECTOR DE MAESTRIA EN ENFERMERÍA</t>
  </si>
  <si>
    <t>https://Directivos2024.sawtoothsoftware.com/cgi-bin/ciwweb.pl?studyname=Directivos2024&amp;Correo=gloria.carvajal@unisabana.edu.co5</t>
  </si>
  <si>
    <t>johanna.otalora@unisabana.edu.co3</t>
  </si>
  <si>
    <t>https://Directivos2024.sawtoothsoftware.com/cgi-bin/ciwweb.pl?studyname=Directivos2024&amp;Correo=johanna.otalora@unisabana.edu.co3</t>
  </si>
  <si>
    <t>diana.ramos1@unisabana.edu.co2</t>
  </si>
  <si>
    <t>https://Directivos2024.sawtoothsoftware.com/cgi-bin/ciwweb.pl?studyname=Directivos2024&amp;Correo=diana.ramos1@unisabana.edu.co2</t>
  </si>
  <si>
    <t>sandra.zambrano@unisabana.edu.co</t>
  </si>
  <si>
    <t>AUXILIAR ADMINISTRATIVO</t>
  </si>
  <si>
    <t>https://Admin2024.sawtoothsoftware.com/cgi-bin/ciwweb.pl?studyname=Admin2024&amp;Correo=sandra.zambrano@unisabana.edu.co</t>
  </si>
  <si>
    <t>catalina.ramirez2@unisabana.edu.co</t>
  </si>
  <si>
    <t>JEFE EDITORIAL</t>
  </si>
  <si>
    <t>DIRECCIÓN DE PUBLICACIONES Y DIVULGACIÓN CIENTï¿½FICA</t>
  </si>
  <si>
    <t>https://Admin2024.sawtoothsoftware.com/cgi-bin/ciwweb.pl?studyname=Admin2024&amp;Correo=catalina.ramirez2@unisabana.edu.co</t>
  </si>
  <si>
    <t>sandra.puentes1@unisabana.edu.co</t>
  </si>
  <si>
    <t>https://Admin2024.sawtoothsoftware.com/cgi-bin/ciwweb.pl?studyname=Admin2024&amp;Correo=sandra.puentes1@unisabana.edu.co</t>
  </si>
  <si>
    <t>ana.luque1@unisabana.edu.co</t>
  </si>
  <si>
    <t>JEFE DE CULTURA INSTITUCIONAL</t>
  </si>
  <si>
    <t>https://Admin2024.sawtoothsoftware.com/cgi-bin/ciwweb.pl?studyname=Admin2024&amp;Correo=ana.luque1@unisabana.edu.co</t>
  </si>
  <si>
    <t>cesar.yepes@unisabana.edu.co</t>
  </si>
  <si>
    <t>JEFE PROYECCION DE LA IDENTIDAD INSTITUCIONAL</t>
  </si>
  <si>
    <t>https://Admin2024.sawtoothsoftware.com/cgi-bin/ciwweb.pl?studyname=Admin2024&amp;Correo=cesar.yepes@unisabana.edu.co</t>
  </si>
  <si>
    <t>valentina.medina@unisabana.edu.co</t>
  </si>
  <si>
    <t>PROFESIONAL TEMPORAL</t>
  </si>
  <si>
    <t>https://Admin2024.sawtoothsoftware.com/cgi-bin/ciwweb.pl?studyname=Admin2024&amp;Correo=valentina.medina@unisabana.edu.co</t>
  </si>
  <si>
    <t>paola.piza@unisabana.edu.co</t>
  </si>
  <si>
    <t>COORDINADOR DE GESTION CURRICULAR</t>
  </si>
  <si>
    <t>https://Admin2024.sawtoothsoftware.com/cgi-bin/ciwweb.pl?studyname=Admin2024&amp;Correo=paola.piza@unisabana.edu.co</t>
  </si>
  <si>
    <t>maria.acevedo1@unisabana.edu.co</t>
  </si>
  <si>
    <t>ENFERMERA</t>
  </si>
  <si>
    <t>https://Admin2024.sawtoothsoftware.com/cgi-bin/ciwweb.pl?studyname=Admin2024&amp;Correo=maria.acevedo1@unisabana.edu.co</t>
  </si>
  <si>
    <t>cristhian.bossa@unisabana.edu.co</t>
  </si>
  <si>
    <t>COORDINADOR ADMINISTRATIVO</t>
  </si>
  <si>
    <t>https://Admin2024.sawtoothsoftware.com/cgi-bin/ciwweb.pl?studyname=Admin2024&amp;Correo=cristhian.bossa@unisabana.edu.co</t>
  </si>
  <si>
    <t>liliam.chia@unisabana.edu.co</t>
  </si>
  <si>
    <t>PSICOLOGO EDUCATIVO</t>
  </si>
  <si>
    <t>https://Admin2024.sawtoothsoftware.com/cgi-bin/ciwweb.pl?studyname=Admin2024&amp;Correo=liliam.chia@unisabana.edu.co</t>
  </si>
  <si>
    <t>juan.correa2@unisabana.edu.co</t>
  </si>
  <si>
    <t>MEDICO DEPORTOLOGO</t>
  </si>
  <si>
    <t>https://Admin2024.sawtoothsoftware.com/cgi-bin/ciwweb.pl?studyname=Admin2024&amp;Correo=juan.correa2@unisabana.edu.co</t>
  </si>
  <si>
    <t>catalina.gomez3@unisabana.edu.co</t>
  </si>
  <si>
    <t>COORDINADOR COMUNICACION Y PROTOCOLO</t>
  </si>
  <si>
    <t>https://Admin2024.sawtoothsoftware.com/cgi-bin/ciwweb.pl?studyname=Admin2024&amp;Correo=catalina.gomez3@unisabana.edu.co</t>
  </si>
  <si>
    <t>natalia.llano@unisabana.edu.co</t>
  </si>
  <si>
    <t>JEFE DESARROLLO. CULT. PROT Y EVEN.</t>
  </si>
  <si>
    <t>https://Admin2024.sawtoothsoftware.com/cgi-bin/ciwweb.pl?studyname=Admin2024&amp;Correo=natalia.llano@unisabana.edu.co</t>
  </si>
  <si>
    <t>laura.marconi@unisabana.edu.co</t>
  </si>
  <si>
    <t>JEFE DE GESTION DE BECARIOS</t>
  </si>
  <si>
    <t>https://Admin2024.sawtoothsoftware.com/cgi-bin/ciwweb.pl?studyname=Admin2024&amp;Correo=laura.marconi@unisabana.edu.co</t>
  </si>
  <si>
    <t>jelver.rodriguez@unisabana.edu.co</t>
  </si>
  <si>
    <t>PROFESIONAL DE ACONDIC. FISICO</t>
  </si>
  <si>
    <t>https://Admin2024.sawtoothsoftware.com/cgi-bin/ciwweb.pl?studyname=Admin2024&amp;Correo=jelver.rodriguez@unisabana.edu.co</t>
  </si>
  <si>
    <t>luz.zabala@unisabana.edu.co</t>
  </si>
  <si>
    <t>AUXILIAR DE BIENESTAR</t>
  </si>
  <si>
    <t>https://Admin2024.sawtoothsoftware.com/cgi-bin/ciwweb.pl?studyname=Admin2024&amp;Correo=luz.zabala@unisabana.edu.co</t>
  </si>
  <si>
    <t>Magdabg@unisabana.edu.co</t>
  </si>
  <si>
    <t>COORDINADOR MUSICAL</t>
  </si>
  <si>
    <t>https://Admin2024.sawtoothsoftware.com/cgi-bin/ciwweb.pl?studyname=Admin2024&amp;Correo=Magdabg@unisabana.edu.co</t>
  </si>
  <si>
    <t>yuly.gonzalez1@unisabana.edu.co</t>
  </si>
  <si>
    <t>TECNICO SERVICIOS BIBLIOTECA</t>
  </si>
  <si>
    <t>https://Admin2024.sawtoothsoftware.com/cgi-bin/ciwweb.pl?studyname=Admin2024&amp;Correo=yuly.gonzalez1@unisabana.edu.co</t>
  </si>
  <si>
    <t>ana.leal1@unisabana.edu.co</t>
  </si>
  <si>
    <t>REFERENCISTA BIBLIOTECA</t>
  </si>
  <si>
    <t>https://Admin2024.sawtoothsoftware.com/cgi-bin/ciwweb.pl?studyname=Admin2024&amp;Correo=ana.leal1@unisabana.edu.co</t>
  </si>
  <si>
    <t>simon.martinez@unisabana.edu.co</t>
  </si>
  <si>
    <t>COOR PROM. CULT. BIBLIOGRAFICA</t>
  </si>
  <si>
    <t>https://Admin2024.sawtoothsoftware.com/cgi-bin/ciwweb.pl?studyname=Admin2024&amp;Correo=simon.martinez@unisabana.edu.co</t>
  </si>
  <si>
    <t>natalia.rueda@unisabana.edu.co</t>
  </si>
  <si>
    <t>https://Admin2024.sawtoothsoftware.com/cgi-bin/ciwweb.pl?studyname=Admin2024&amp;Correo=natalia.rueda@unisabana.edu.co</t>
  </si>
  <si>
    <t>javier.saenz@unisabana.edu.co</t>
  </si>
  <si>
    <t>ANALIS. DE INFO BIBLIOGRAFICA</t>
  </si>
  <si>
    <t>https://Admin2024.sawtoothsoftware.com/cgi-bin/ciwweb.pl?studyname=Admin2024&amp;Correo=javier.saenz@unisabana.edu.co</t>
  </si>
  <si>
    <t>martha.rocha@unisabana.edu.co</t>
  </si>
  <si>
    <t>https://Admin2024.sawtoothsoftware.com/cgi-bin/ciwweb.pl?studyname=Admin2024&amp;Correo=martha.rocha@unisabana.edu.co</t>
  </si>
  <si>
    <t>genly.gonzalez@unisabana.edu.co</t>
  </si>
  <si>
    <t>COOR. DE ATRACCION DEL TALENTO</t>
  </si>
  <si>
    <t>https://Admin2024.sawtoothsoftware.com/cgi-bin/ciwweb.pl?studyname=Admin2024&amp;Correo=genly.gonzalez@unisabana.edu.co</t>
  </si>
  <si>
    <t>maria.medinat@unisabana.edu.co</t>
  </si>
  <si>
    <t>JEFE HRBP ENFA.EXPER EMPLEADO</t>
  </si>
  <si>
    <t>https://Admin2024.sawtoothsoftware.com/cgi-bin/ciwweb.pl?studyname=Admin2024&amp;Correo=maria.medinat@unisabana.edu.co</t>
  </si>
  <si>
    <t>jennynima@unisabana.edu.co</t>
  </si>
  <si>
    <t>COORD. BIENESTAR EMPLEADOS</t>
  </si>
  <si>
    <t>https://Admin2024.sawtoothsoftware.com/cgi-bin/ciwweb.pl?studyname=Admin2024&amp;Correo=jennynima@unisabana.edu.co</t>
  </si>
  <si>
    <t>eliana.perez2@unisabana.edu.co</t>
  </si>
  <si>
    <t>GENERALISTA</t>
  </si>
  <si>
    <t>https://Admin2024.sawtoothsoftware.com/cgi-bin/ciwweb.pl?studyname=Admin2024&amp;Correo=eliana.perez2@unisabana.edu.co</t>
  </si>
  <si>
    <t>mariana.perez@unisabana.edu.co</t>
  </si>
  <si>
    <t>https://Admin2024.sawtoothsoftware.com/cgi-bin/ciwweb.pl?studyname=Admin2024&amp;Correo=mariana.perez@unisabana.edu.co</t>
  </si>
  <si>
    <t>diana.ramos1@unisabana.edu.co</t>
  </si>
  <si>
    <t>JEFE HRBP ENFASIS COMPENSACION</t>
  </si>
  <si>
    <t>https://Admin2024.sawtoothsoftware.com/cgi-bin/ciwweb.pl?studyname=Admin2024&amp;Correo=diana.ramos1@unisabana.edu.co</t>
  </si>
  <si>
    <t>dayana.rios@unisabana.edu.co</t>
  </si>
  <si>
    <t>AUX. CARTERA Y CERTIFICACIONES</t>
  </si>
  <si>
    <t>https://Admin2024.sawtoothsoftware.com/cgi-bin/ciwweb.pl?studyname=Admin2024&amp;Correo=dayana.rios@unisabana.edu.co</t>
  </si>
  <si>
    <t>sandra.rodriguez13@unisabana.edu.co</t>
  </si>
  <si>
    <t>https://Admin2024.sawtoothsoftware.com/cgi-bin/ciwweb.pl?studyname=Admin2024&amp;Correo=sandra.rodriguez13@unisabana.edu.co</t>
  </si>
  <si>
    <t>lady.romero1@unisabana.edu.co</t>
  </si>
  <si>
    <t>AUXILIAR DE NOMINA</t>
  </si>
  <si>
    <t>https://Admin2024.sawtoothsoftware.com/cgi-bin/ciwweb.pl?studyname=Admin2024&amp;Correo=lady.romero1@unisabana.edu.co</t>
  </si>
  <si>
    <t>jovana.sanchez@unisabana.edu.co</t>
  </si>
  <si>
    <t>COORD. CONTRATACION Y CARTERA</t>
  </si>
  <si>
    <t>https://Admin2024.sawtoothsoftware.com/cgi-bin/ciwweb.pl?studyname=Admin2024&amp;Correo=jovana.sanchez@unisabana.edu.co</t>
  </si>
  <si>
    <t>erika.suarez@unisabana.edu.co</t>
  </si>
  <si>
    <t>AUXILIAR DE CONTRATACION</t>
  </si>
  <si>
    <t>https://Admin2024.sawtoothsoftware.com/cgi-bin/ciwweb.pl?studyname=Admin2024&amp;Correo=erika.suarez@unisabana.edu.co</t>
  </si>
  <si>
    <t>sebastianaa@unisabana.edu.co</t>
  </si>
  <si>
    <t>INGENIERO ESPECIALISTA JUNIOR</t>
  </si>
  <si>
    <t>https://Admin2024.sawtoothsoftware.com/cgi-bin/ciwweb.pl?studyname=Admin2024&amp;Correo=sebastianaa@unisabana.edu.co</t>
  </si>
  <si>
    <t>andres.amaya1@unisabana.edu.co</t>
  </si>
  <si>
    <t>INGENIERO ESPECIALISTA SENIOR</t>
  </si>
  <si>
    <t>https://Admin2024.sawtoothsoftware.com/cgi-bin/ciwweb.pl?studyname=Admin2024&amp;Correo=andres.amaya1@unisabana.edu.co</t>
  </si>
  <si>
    <t>caren.barrera@unisabana.edu.co</t>
  </si>
  <si>
    <t>ASESOR SERVICIOS TECNOLOGICOS</t>
  </si>
  <si>
    <t>https://Admin2024.sawtoothsoftware.com/cgi-bin/ciwweb.pl?studyname=Admin2024&amp;Correo=caren.barrera@unisabana.edu.co</t>
  </si>
  <si>
    <t>juan.canchon@unisabana.edu.co</t>
  </si>
  <si>
    <t>INGENIERO JUNIOR TEMPORAL</t>
  </si>
  <si>
    <t>https://Admin2024.sawtoothsoftware.com/cgi-bin/ciwweb.pl?studyname=Admin2024&amp;Correo=juan.canchon@unisabana.edu.co</t>
  </si>
  <si>
    <t>robinson.castro@unisabana.edu.co</t>
  </si>
  <si>
    <t>https://Admin2024.sawtoothsoftware.com/cgi-bin/ciwweb.pl?studyname=Admin2024&amp;Correo=robinson.castro@unisabana.edu.co</t>
  </si>
  <si>
    <t>duvan.farias@unisabana.edu.co</t>
  </si>
  <si>
    <t>INGENIERO DE SOPORTE</t>
  </si>
  <si>
    <t>https://Admin2024.sawtoothsoftware.com/cgi-bin/ciwweb.pl?studyname=Admin2024&amp;Correo=duvan.farias@unisabana.edu.co</t>
  </si>
  <si>
    <t>litza.garcia@unisabana.edu.co</t>
  </si>
  <si>
    <t>GESTOR DE COM. EN PROYECTOS TI</t>
  </si>
  <si>
    <t>https://Admin2024.sawtoothsoftware.com/cgi-bin/ciwweb.pl?studyname=Admin2024&amp;Correo=litza.garcia@unisabana.edu.co</t>
  </si>
  <si>
    <t>manuel.garcia2@unisabana.edu.co</t>
  </si>
  <si>
    <t>https://Admin2024.sawtoothsoftware.com/cgi-bin/ciwweb.pl?studyname=Admin2024&amp;Correo=manuel.garcia2@unisabana.edu.co</t>
  </si>
  <si>
    <t>carlos.jimenez5@unisabana.edu.co</t>
  </si>
  <si>
    <t>https://Admin2024.sawtoothsoftware.com/cgi-bin/ciwweb.pl?studyname=Admin2024&amp;Correo=carlos.jimenez5@unisabana.edu.co</t>
  </si>
  <si>
    <t>juan.leon5@unisabana.edu.co</t>
  </si>
  <si>
    <t>https://Admin2024.sawtoothsoftware.com/cgi-bin/ciwweb.pl?studyname=Admin2024&amp;Correo=juan.leon5@unisabana.edu.co</t>
  </si>
  <si>
    <t>isabel.marrugo@unisabana.edu.co</t>
  </si>
  <si>
    <t>INGENIERO MASTER</t>
  </si>
  <si>
    <t>https://Admin2024.sawtoothsoftware.com/cgi-bin/ciwweb.pl?studyname=Admin2024&amp;Correo=isabel.marrugo@unisabana.edu.co</t>
  </si>
  <si>
    <t>fernando.montero@unisabana.edu.co</t>
  </si>
  <si>
    <t>https://Admin2024.sawtoothsoftware.com/cgi-bin/ciwweb.pl?studyname=Admin2024&amp;Correo=fernando.montero@unisabana.edu.co</t>
  </si>
  <si>
    <t>ARQUITECTO DE SOLUCIONES DE TI</t>
  </si>
  <si>
    <t>https://Admin2024.sawtoothsoftware.com/cgi-bin/ciwweb.pl?studyname=Admin2024&amp;Correo=julian.obando@unisabana.edu.co</t>
  </si>
  <si>
    <t>oscar.pardo@unisabana.edu.co</t>
  </si>
  <si>
    <t>https://Admin2024.sawtoothsoftware.com/cgi-bin/ciwweb.pl?studyname=Admin2024&amp;Correo=oscar.pardo@unisabana.edu.co</t>
  </si>
  <si>
    <t>ivonne.pinzon@unisabana.edu.co</t>
  </si>
  <si>
    <t>DISEï¿½ADOR EXPER. DIGITALES</t>
  </si>
  <si>
    <t>https://Admin2024.sawtoothsoftware.com/cgi-bin/ciwweb.pl?studyname=Admin2024&amp;Correo=ivonne.pinzon@unisabana.edu.co</t>
  </si>
  <si>
    <t>https://Admin2024.sawtoothsoftware.com/cgi-bin/ciwweb.pl?studyname=Admin2024&amp;Correo=maria.quevedo@unisabana.edu.co</t>
  </si>
  <si>
    <t>sebastian.rivera@unisabana.edu.co</t>
  </si>
  <si>
    <t>https://Admin2024.sawtoothsoftware.com/cgi-bin/ciwweb.pl?studyname=Admin2024&amp;Correo=sebastian.rivera@unisabana.edu.co</t>
  </si>
  <si>
    <t>santiago.roa@unisabana.edu.co</t>
  </si>
  <si>
    <t>https://Admin2024.sawtoothsoftware.com/cgi-bin/ciwweb.pl?studyname=Admin2024&amp;Correo=santiago.roa@unisabana.edu.co</t>
  </si>
  <si>
    <t>german.sanchez@unisabana.edu.co</t>
  </si>
  <si>
    <t>https://Admin2024.sawtoothsoftware.com/cgi-bin/ciwweb.pl?studyname=Admin2024&amp;Correo=german.sanchez@unisabana.edu.co</t>
  </si>
  <si>
    <t>andres.tellez1@unisabana.edu.co</t>
  </si>
  <si>
    <t>https://Admin2024.sawtoothsoftware.com/cgi-bin/ciwweb.pl?studyname=Admin2024&amp;Correo=andres.tellez1@unisabana.edu.co</t>
  </si>
  <si>
    <t>diego.diaz@unisabana.edu.co</t>
  </si>
  <si>
    <t>https://Admin2024.sawtoothsoftware.com/cgi-bin/ciwweb.pl?studyname=Admin2024&amp;Correo=diego.diaz@unisabana.edu.co</t>
  </si>
  <si>
    <t>luis.jimenez@unisabana.edu.co</t>
  </si>
  <si>
    <t>AUXILIAR AYUDAS AUDIOVISUALES</t>
  </si>
  <si>
    <t>https://Admin2024.sawtoothsoftware.com/cgi-bin/ciwweb.pl?studyname=Admin2024&amp;Correo=luis.jimenez@unisabana.edu.co</t>
  </si>
  <si>
    <t>fabian.medina@unisabana.edu.co</t>
  </si>
  <si>
    <t>https://Admin2024.sawtoothsoftware.com/cgi-bin/ciwweb.pl?studyname=Admin2024&amp;Correo=fabian.medina@unisabana.edu.co</t>
  </si>
  <si>
    <t>catherinerolo@unisabana.edu.co</t>
  </si>
  <si>
    <t>https://Admin2024.sawtoothsoftware.com/cgi-bin/ciwweb.pl?studyname=Admin2024&amp;Correo=catherinerolo@unisabana.edu.co</t>
  </si>
  <si>
    <t>andres.afanador1@unisabana.edu.co</t>
  </si>
  <si>
    <t>https://Admin2024.sawtoothsoftware.com/cgi-bin/ciwweb.pl?studyname=Admin2024&amp;Correo=andres.afanador1@unisabana.edu.co</t>
  </si>
  <si>
    <t>sergio.bahamon@unisabana.edu.co</t>
  </si>
  <si>
    <t>https://Admin2024.sawtoothsoftware.com/cgi-bin/ciwweb.pl?studyname=Admin2024&amp;Correo=sergio.bahamon@unisabana.edu.co</t>
  </si>
  <si>
    <t>oscar.camelo@unisabana.edu.co</t>
  </si>
  <si>
    <t>https://Admin2024.sawtoothsoftware.com/cgi-bin/ciwweb.pl?studyname=Admin2024&amp;Correo=oscar.camelo@unisabana.edu.co</t>
  </si>
  <si>
    <t>jeison.guarin@unisabana.edu.co</t>
  </si>
  <si>
    <t>https://Admin2024.sawtoothsoftware.com/cgi-bin/ciwweb.pl?studyname=Admin2024&amp;Correo=jeison.guarin@unisabana.edu.co</t>
  </si>
  <si>
    <t>juan.marquez2@unisabana.edu.co</t>
  </si>
  <si>
    <t>https://Admin2024.sawtoothsoftware.com/cgi-bin/ciwweb.pl?studyname=Admin2024&amp;Correo=juan.marquez2@unisabana.edu.co</t>
  </si>
  <si>
    <t>carlos.sandoval1@unisabana.edu.co</t>
  </si>
  <si>
    <t>https://Admin2024.sawtoothsoftware.com/cgi-bin/ciwweb.pl?studyname=Admin2024&amp;Correo=carlos.sandoval1@unisabana.edu.co</t>
  </si>
  <si>
    <t>camilo.ruiz2@unisabana.edu.co</t>
  </si>
  <si>
    <t>https://Admin2024.sawtoothsoftware.com/cgi-bin/ciwweb.pl?studyname=Admin2024&amp;Correo=camilo.ruiz2@unisabana.edu.co</t>
  </si>
  <si>
    <t>leidy.bohorquez1@unisabana.edu.co</t>
  </si>
  <si>
    <t>SUPERVISOR DE ASEO</t>
  </si>
  <si>
    <t>https://Admin2024.sawtoothsoftware.com/cgi-bin/ciwweb.pl?studyname=Admin2024&amp;Correo=leidy.bohorquez1@unisabana.edu.co</t>
  </si>
  <si>
    <t>zully.sierra@unisabana.edu.co</t>
  </si>
  <si>
    <t>https://Admin2024.sawtoothsoftware.com/cgi-bin/ciwweb.pl?studyname=Admin2024&amp;Correo=zully.sierra@unisabana.edu.co</t>
  </si>
  <si>
    <t>diana.arias3@unisabana.edu.co</t>
  </si>
  <si>
    <t>COORD. DE CONTABILIDAD</t>
  </si>
  <si>
    <t>https://Admin2024.sawtoothsoftware.com/cgi-bin/ciwweb.pl?studyname=Admin2024&amp;Correo=diana.arias3@unisabana.edu.co</t>
  </si>
  <si>
    <t>luz.barrera2@unisabana.edu.co</t>
  </si>
  <si>
    <t>AUX. DE ORIENTACION AL CLIENTE</t>
  </si>
  <si>
    <t>https://Admin2024.sawtoothsoftware.com/cgi-bin/ciwweb.pl?studyname=Admin2024&amp;Correo=luz.barrera2@unisabana.edu.co</t>
  </si>
  <si>
    <t>giset.camargo@unisabana.edu.co</t>
  </si>
  <si>
    <t>AUX. FINANCIACION Y AYUDAS ECO</t>
  </si>
  <si>
    <t>https://Admin2024.sawtoothsoftware.com/cgi-bin/ciwweb.pl?studyname=Admin2024&amp;Correo=giset.camargo@unisabana.edu.co</t>
  </si>
  <si>
    <t>natalia.corredor@unisabana.edu.co</t>
  </si>
  <si>
    <t>https://Admin2024.sawtoothsoftware.com/cgi-bin/ciwweb.pl?studyname=Admin2024&amp;Correo=natalia.corredor@unisabana.edu.co</t>
  </si>
  <si>
    <t>yeimy.espitia@unisabana.edu.co</t>
  </si>
  <si>
    <t>https://Admin2024.sawtoothsoftware.com/cgi-bin/ciwweb.pl?studyname=Admin2024&amp;Correo=yeimy.espitia@unisabana.edu.co</t>
  </si>
  <si>
    <t>joanny.hernandez@unisabana.edu.co</t>
  </si>
  <si>
    <t>https://Admin2024.sawtoothsoftware.com/cgi-bin/ciwweb.pl?studyname=Admin2024&amp;Correo=joanny.hernandez@unisabana.edu.co</t>
  </si>
  <si>
    <t>angee.ipuz@unisabana.edu.co</t>
  </si>
  <si>
    <t>AUXILIAR TEMPORAL</t>
  </si>
  <si>
    <t>https://Admin2024.sawtoothsoftware.com/cgi-bin/ciwweb.pl?studyname=Admin2024&amp;Correo=angee.ipuz@unisabana.edu.co</t>
  </si>
  <si>
    <t>gloria.jimenez1@unisabana.edu.co</t>
  </si>
  <si>
    <t>https://Admin2024.sawtoothsoftware.com/cgi-bin/ciwweb.pl?studyname=Admin2024&amp;Correo=gloria.jimenez1@unisabana.edu.co</t>
  </si>
  <si>
    <t>martha.paez@unisabana.edu.co</t>
  </si>
  <si>
    <t>GESTOR DE CONTABILIDAD</t>
  </si>
  <si>
    <t>https://Admin2024.sawtoothsoftware.com/cgi-bin/ciwweb.pl?studyname=Admin2024&amp;Correo=martha.paez@unisabana.edu.co</t>
  </si>
  <si>
    <t>martha.pedraza@unisabana.edu.co</t>
  </si>
  <si>
    <t>COORD. ADQUISICIONES</t>
  </si>
  <si>
    <t>https://Admin2024.sawtoothsoftware.com/cgi-bin/ciwweb.pl?studyname=Admin2024&amp;Correo=martha.pedraza@unisabana.edu.co</t>
  </si>
  <si>
    <t>claudia.pinzon1@unisabana.edu.co</t>
  </si>
  <si>
    <t>JEFE BECAS Y AYUDAS ECONOMICAS</t>
  </si>
  <si>
    <t>https://Admin2024.sawtoothsoftware.com/cgi-bin/ciwweb.pl?studyname=Admin2024&amp;Correo=claudia.pinzon1@unisabana.edu.co</t>
  </si>
  <si>
    <t>stella.prieto@unisabana.edu.co</t>
  </si>
  <si>
    <t>SECRETARIA AUXILIAR</t>
  </si>
  <si>
    <t>https://Admin2024.sawtoothsoftware.com/cgi-bin/ciwweb.pl?studyname=Admin2024&amp;Correo=stella.prieto@unisabana.edu.co</t>
  </si>
  <si>
    <t>luis.rincon2@unisabana.edu.co</t>
  </si>
  <si>
    <t>https://Admin2024.sawtoothsoftware.com/cgi-bin/ciwweb.pl?studyname=Admin2024&amp;Correo=luis.rincon2@unisabana.edu.co</t>
  </si>
  <si>
    <t>ingrid.rodriguez2@unisabana.edu.co</t>
  </si>
  <si>
    <t>https://Admin2024.sawtoothsoftware.com/cgi-bin/ciwweb.pl?studyname=Admin2024&amp;Correo=ingrid.rodriguez2@unisabana.edu.co</t>
  </si>
  <si>
    <t>angie.sanchez1@unisabana.edu.co</t>
  </si>
  <si>
    <t>ANALIS. DE FINAN. UNIVERSIT.</t>
  </si>
  <si>
    <t>https://Admin2024.sawtoothsoftware.com/cgi-bin/ciwweb.pl?studyname=Admin2024&amp;Correo=angie.sanchez1@unisabana.edu.co</t>
  </si>
  <si>
    <t>natalia.vanegas@unisabana.edu.co</t>
  </si>
  <si>
    <t>https://Admin2024.sawtoothsoftware.com/cgi-bin/ciwweb.pl?studyname=Admin2024&amp;Correo=natalia.vanegas@unisabana.edu.co</t>
  </si>
  <si>
    <t>ingrid.velandia@unisabana.edu.co</t>
  </si>
  <si>
    <t>COOR. FACTURACION POSG Y EDU C</t>
  </si>
  <si>
    <t>https://Admin2024.sawtoothsoftware.com/cgi-bin/ciwweb.pl?studyname=Admin2024&amp;Correo=ingrid.velandia@unisabana.edu.co</t>
  </si>
  <si>
    <t>diana.wilches1@unisabana.edu.co</t>
  </si>
  <si>
    <t>ANALIS. FINANCIERO</t>
  </si>
  <si>
    <t>https://Admin2024.sawtoothsoftware.com/cgi-bin/ciwweb.pl?studyname=Admin2024&amp;Correo=diana.wilches1@unisabana.edu.co</t>
  </si>
  <si>
    <t>pilar.miranda@unisabana.edu.co</t>
  </si>
  <si>
    <t>JEFE DE ADQUISICIONES</t>
  </si>
  <si>
    <t>https://Admin2024.sawtoothsoftware.com/cgi-bin/ciwweb.pl?studyname=Admin2024&amp;Correo=pilar.miranda@unisabana.edu.co</t>
  </si>
  <si>
    <t>oscar.colorado@unisabana.edu.co</t>
  </si>
  <si>
    <t>TECNICO DE REGISTRO ACADEMICO</t>
  </si>
  <si>
    <t>DIRECCIÓN DE REGISTRO ACADï¿½MICO</t>
  </si>
  <si>
    <t>https://Admin2024.sawtoothsoftware.com/cgi-bin/ciwweb.pl?studyname=Admin2024&amp;Correo=oscar.colorado@unisabana.edu.co</t>
  </si>
  <si>
    <t>egly.cubides@unisabana.edu.co</t>
  </si>
  <si>
    <t>https://Admin2024.sawtoothsoftware.com/cgi-bin/ciwweb.pl?studyname=Admin2024&amp;Correo=egly.cubides@unisabana.edu.co</t>
  </si>
  <si>
    <t>maria.garzon7@unisabana.edu.co</t>
  </si>
  <si>
    <t>https://Admin2024.sawtoothsoftware.com/cgi-bin/ciwweb.pl?studyname=Admin2024&amp;Correo=maria.garzon7@unisabana.edu.co</t>
  </si>
  <si>
    <t>diana.rodriguez14@unisabana.edu.co</t>
  </si>
  <si>
    <t>https://Admin2024.sawtoothsoftware.com/cgi-bin/ciwweb.pl?studyname=Admin2024&amp;Correo=diana.rodriguez14@unisabana.edu.co</t>
  </si>
  <si>
    <t>adriana.tocasuche@unisabana.edu.co</t>
  </si>
  <si>
    <t>https://Admin2024.sawtoothsoftware.com/cgi-bin/ciwweb.pl?studyname=Admin2024&amp;Correo=adriana.tocasuche@unisabana.edu.co</t>
  </si>
  <si>
    <t>lina.ceballos@unisabana.edu.co</t>
  </si>
  <si>
    <t>DIRECCIÓN JURï¿½DICA</t>
  </si>
  <si>
    <t>https://Admin2024.sawtoothsoftware.com/cgi-bin/ciwweb.pl?studyname=Admin2024&amp;Correo=lina.ceballos@unisabana.edu.co</t>
  </si>
  <si>
    <t>karen.gonzalez1@unisabana.edu.co</t>
  </si>
  <si>
    <t>https://Admin2024.sawtoothsoftware.com/cgi-bin/ciwweb.pl?studyname=Admin2024&amp;Correo=karen.gonzalez1@unisabana.edu.co</t>
  </si>
  <si>
    <t>mateo.ballen@unisabana.edu.co</t>
  </si>
  <si>
    <t>GESTOR DE COMUNICACIONES</t>
  </si>
  <si>
    <t>https://Admin2024.sawtoothsoftware.com/cgi-bin/ciwweb.pl?studyname=Admin2024&amp;Correo=mateo.ballen@unisabana.edu.co</t>
  </si>
  <si>
    <t>pilar.fajardo@unisabana.edu.co</t>
  </si>
  <si>
    <t>JEFE DE COMUNICACION DIGITAL</t>
  </si>
  <si>
    <t>https://Admin2024.sawtoothsoftware.com/cgi-bin/ciwweb.pl?studyname=Admin2024&amp;Correo=pilar.fajardo@unisabana.edu.co</t>
  </si>
  <si>
    <t>natalia.garzon3@unisabana.edu.co</t>
  </si>
  <si>
    <t>COORD. COMUNICACION INTERNA</t>
  </si>
  <si>
    <t>https://Admin2024.sawtoothsoftware.com/cgi-bin/ciwweb.pl?studyname=Admin2024&amp;Correo=natalia.garzon3@unisabana.edu.co</t>
  </si>
  <si>
    <t>alvaro.gonzalez1@unisabana.edu.co</t>
  </si>
  <si>
    <t>COORD. DE COMUNICACION DIGITAL</t>
  </si>
  <si>
    <t>https://Admin2024.sawtoothsoftware.com/cgi-bin/ciwweb.pl?studyname=Admin2024&amp;Correo=alvaro.gonzalez1@unisabana.edu.co</t>
  </si>
  <si>
    <t>juan.jaimes2@unisabana.edu.co</t>
  </si>
  <si>
    <t>https://Admin2024.sawtoothsoftware.com/cgi-bin/ciwweb.pl?studyname=Admin2024&amp;Correo=juan.jaimes2@unisabana.edu.co</t>
  </si>
  <si>
    <t>Cristina.Macias@unisabana.edu.co</t>
  </si>
  <si>
    <t>JEFE DE COMUNICACION INTERNA</t>
  </si>
  <si>
    <t>https://Admin2024.sawtoothsoftware.com/cgi-bin/ciwweb.pl?studyname=Admin2024&amp;Correo=Cristina.Macias@unisabana.edu.co</t>
  </si>
  <si>
    <t>anamaria.monroy@unisabana.edu.co</t>
  </si>
  <si>
    <t>https://Admin2024.sawtoothsoftware.com/cgi-bin/ciwweb.pl?studyname=Admin2024&amp;Correo=anamaria.monroy@unisabana.edu.co</t>
  </si>
  <si>
    <t>laurapazram@unisabana.edu.co</t>
  </si>
  <si>
    <t>https://Admin2024.sawtoothsoftware.com/cgi-bin/ciwweb.pl?studyname=Admin2024&amp;Correo=laurapazram@unisabana.edu.co</t>
  </si>
  <si>
    <t>sergiotaca@unisabana.edu.co</t>
  </si>
  <si>
    <t>https://Admin2024.sawtoothsoftware.com/cgi-bin/ciwweb.pl?studyname=Admin2024&amp;Correo=sergiotaca@unisabana.edu.co</t>
  </si>
  <si>
    <t>sebastian.silva2@unisabana.edu.co</t>
  </si>
  <si>
    <t>JEFE DE COMUNICACION EXTERNA</t>
  </si>
  <si>
    <t>https://Admin2024.sawtoothsoftware.com/cgi-bin/ciwweb.pl?studyname=Admin2024&amp;Correo=sebastian.silva2@unisabana.edu.co</t>
  </si>
  <si>
    <t>maria.gomez33@unisabana.edu.co</t>
  </si>
  <si>
    <t>COORD DE COMUNICACION EXTERNA</t>
  </si>
  <si>
    <t>https://Admin2024.sawtoothsoftware.com/cgi-bin/ciwweb.pl?studyname=Admin2024&amp;Correo=maria.gomez33@unisabana.edu.co</t>
  </si>
  <si>
    <t>william.munoz@unisabana.edu.co</t>
  </si>
  <si>
    <t>COORD. DE GESTIï¿½N DOCUMENTAL</t>
  </si>
  <si>
    <t>DIRECCIÓN DE GESTIï¿½N DOCUMENTAL</t>
  </si>
  <si>
    <t>https://Admin2024.sawtoothsoftware.com/cgi-bin/ciwweb.pl?studyname=Admin2024&amp;Correo=william.munoz@unisabana.edu.co</t>
  </si>
  <si>
    <t>william.ruiz@unisabana.edu.co</t>
  </si>
  <si>
    <t>MENSAJERO</t>
  </si>
  <si>
    <t>https://Admin2024.sawtoothsoftware.com/cgi-bin/ciwweb.pl?studyname=Admin2024&amp;Correo=william.ruiz@unisabana.edu.co</t>
  </si>
  <si>
    <t>leonardo.toro@unisabana.edu.co</t>
  </si>
  <si>
    <t>https://Admin2024.sawtoothsoftware.com/cgi-bin/ciwweb.pl?studyname=Admin2024&amp;Correo=leonardo.toro@unisabana.edu.co</t>
  </si>
  <si>
    <t>diana.cardenas5@unisabana.edu.co</t>
  </si>
  <si>
    <t>AUDITOR INTERNO</t>
  </si>
  <si>
    <t>https://Admin2024.sawtoothsoftware.com/cgi-bin/ciwweb.pl?studyname=Admin2024&amp;Correo=diana.cardenas5@unisabana.edu.co</t>
  </si>
  <si>
    <t>francisco.martin@unisabana.edu.co</t>
  </si>
  <si>
    <t>CAPELLAN MAYOR</t>
  </si>
  <si>
    <t>CAPELLANï¿½A</t>
  </si>
  <si>
    <t>https://Admin2024.sawtoothsoftware.com/cgi-bin/ciwweb.pl?studyname=Admin2024&amp;Correo=francisco.martin@unisabana.edu.co</t>
  </si>
  <si>
    <t>david.samudio@unisabana.edu.co</t>
  </si>
  <si>
    <t>CAPELLAN</t>
  </si>
  <si>
    <t>https://Admin2024.sawtoothsoftware.com/cgi-bin/ciwweb.pl?studyname=Admin2024&amp;Correo=david.samudio@unisabana.edu.co</t>
  </si>
  <si>
    <t>Carlo.Silva@unisabana.edu.co</t>
  </si>
  <si>
    <t>https://Admin2024.sawtoothsoftware.com/cgi-bin/ciwweb.pl?studyname=Admin2024&amp;Correo=Carlo.Silva@unisabana.edu.co</t>
  </si>
  <si>
    <t>andres.alvarado1@unisabana.edu.co</t>
  </si>
  <si>
    <t>COORD. PROM Y ADMISIONES PREG.</t>
  </si>
  <si>
    <t>https://Admin2024.sawtoothsoftware.com/cgi-bin/ciwweb.pl?studyname=Admin2024&amp;Correo=andres.alvarado1@unisabana.edu.co</t>
  </si>
  <si>
    <t>maria.arciniegas1@unisabana.edu.co</t>
  </si>
  <si>
    <t>ANAL.INT.NEG. PARA MARKETING</t>
  </si>
  <si>
    <t>https://Admin2024.sawtoothsoftware.com/cgi-bin/ciwweb.pl?studyname=Admin2024&amp;Correo=maria.arciniegas1@unisabana.edu.co</t>
  </si>
  <si>
    <t>diana.mancera@unisabana.edu.co</t>
  </si>
  <si>
    <t>ORGANIZADOR LOGISTICO</t>
  </si>
  <si>
    <t>https://Admin2024.sawtoothsoftware.com/cgi-bin/ciwweb.pl?studyname=Admin2024&amp;Correo=diana.mancera@unisabana.edu.co</t>
  </si>
  <si>
    <t>monica.rojas4@unisabana.edu.co</t>
  </si>
  <si>
    <t>https://Admin2024.sawtoothsoftware.com/cgi-bin/ciwweb.pl?studyname=Admin2024&amp;Correo=monica.rojas4@unisabana.edu.co</t>
  </si>
  <si>
    <t>jeimmy.segura@unisabana.edu.co</t>
  </si>
  <si>
    <t>DISEï¿½ADOR GRAFICO JUNIOR</t>
  </si>
  <si>
    <t>https://Admin2024.sawtoothsoftware.com/cgi-bin/ciwweb.pl?studyname=Admin2024&amp;Correo=jeimmy.segura@unisabana.edu.co</t>
  </si>
  <si>
    <t>daniela.usuga@unisabana.edu.co</t>
  </si>
  <si>
    <t>JEFE DE RELACIONAMIENTO</t>
  </si>
  <si>
    <t>https://Admin2024.sawtoothsoftware.com/cgi-bin/ciwweb.pl?studyname=Admin2024&amp;Correo=daniela.usuga@unisabana.edu.co</t>
  </si>
  <si>
    <t>mary.arevalo@unisabana.edu.co</t>
  </si>
  <si>
    <t>GESTOR DE SERVICIOS</t>
  </si>
  <si>
    <t>https://Admin2024.sawtoothsoftware.com/cgi-bin/ciwweb.pl?studyname=Admin2024&amp;Correo=mary.arevalo@unisabana.edu.co</t>
  </si>
  <si>
    <t>ibette.cardenas@unisabana.edu.co</t>
  </si>
  <si>
    <t>https://Admin2024.sawtoothsoftware.com/cgi-bin/ciwweb.pl?studyname=Admin2024&amp;Correo=ibette.cardenas@unisabana.edu.co</t>
  </si>
  <si>
    <t>gina.cifuentes@unisabana.edu.co</t>
  </si>
  <si>
    <t>https://Admin2024.sawtoothsoftware.com/cgi-bin/ciwweb.pl?studyname=Admin2024&amp;Correo=gina.cifuentes@unisabana.edu.co</t>
  </si>
  <si>
    <t>maria.estupinan1@unisabana.edu.co</t>
  </si>
  <si>
    <t>https://Admin2024.sawtoothsoftware.com/cgi-bin/ciwweb.pl?studyname=Admin2024&amp;Correo=maria.estupinan1@unisabana.edu.co</t>
  </si>
  <si>
    <t>sandra.gonzalez@unisabana.edu.co</t>
  </si>
  <si>
    <t>https://Admin2024.sawtoothsoftware.com/cgi-bin/ciwweb.pl?studyname=Admin2024&amp;Correo=sandra.gonzalez@unisabana.edu.co</t>
  </si>
  <si>
    <t>wendy.leon1@unisabana.edu.co</t>
  </si>
  <si>
    <t>https://Admin2024.sawtoothsoftware.com/cgi-bin/ciwweb.pl?studyname=Admin2024&amp;Correo=wendy.leon1@unisabana.edu.co</t>
  </si>
  <si>
    <t>claudia.osorio@unisabana.edu.co</t>
  </si>
  <si>
    <t>https://Admin2024.sawtoothsoftware.com/cgi-bin/ciwweb.pl?studyname=Admin2024&amp;Correo=claudia.osorio@unisabana.edu.co</t>
  </si>
  <si>
    <t>clara.rodriguez2@unisabana.edu.co</t>
  </si>
  <si>
    <t>https://Admin2024.sawtoothsoftware.com/cgi-bin/ciwweb.pl?studyname=Admin2024&amp;Correo=clara.rodriguez2@unisabana.edu.co</t>
  </si>
  <si>
    <t>sergio.segura@unisabana.edu.co</t>
  </si>
  <si>
    <t>https://Admin2024.sawtoothsoftware.com/cgi-bin/ciwweb.pl?studyname=Admin2024&amp;Correo=sergio.segura@unisabana.edu.co</t>
  </si>
  <si>
    <t>laura.rodriguez15@unisabana.edu.co</t>
  </si>
  <si>
    <t>https://Admin2024.sawtoothsoftware.com/cgi-bin/ciwweb.pl?studyname=Admin2024&amp;Correo=laura.rodriguez15@unisabana.edu.co</t>
  </si>
  <si>
    <t>paola.toro@unisabana.edu.co</t>
  </si>
  <si>
    <t>https://Admin2024.sawtoothsoftware.com/cgi-bin/ciwweb.pl?studyname=Admin2024&amp;Correo=paola.toro@unisabana.edu.co</t>
  </si>
  <si>
    <t>sergio.cardona1@unisabana.edu.co</t>
  </si>
  <si>
    <t>COORD. PROM Y ADMISIONES POSG.</t>
  </si>
  <si>
    <t>https://Admin2024.sawtoothsoftware.com/cgi-bin/ciwweb.pl?studyname=Admin2024&amp;Correo=sergio.cardona1@unisabana.edu.co</t>
  </si>
  <si>
    <t>laura.dimas@unisabana.edu.co</t>
  </si>
  <si>
    <t>https://Admin2024.sawtoothsoftware.com/cgi-bin/ciwweb.pl?studyname=Admin2024&amp;Correo=laura.dimas@unisabana.edu.co</t>
  </si>
  <si>
    <t>sandra.alfonso1@unisabana.edu.co</t>
  </si>
  <si>
    <t>COORD.EDU.CONTINUA.ABIERTA.</t>
  </si>
  <si>
    <t>https://Admin2024.sawtoothsoftware.com/cgi-bin/ciwweb.pl?studyname=Admin2024&amp;Correo=sandra.alfonso1@unisabana.edu.co</t>
  </si>
  <si>
    <t>juan.amaya5@unisabana.edu.co</t>
  </si>
  <si>
    <t>COORD. DE MARKETING DIGITAL</t>
  </si>
  <si>
    <t>https://Admin2024.sawtoothsoftware.com/cgi-bin/ciwweb.pl?studyname=Admin2024&amp;Correo=juan.amaya5@unisabana.edu.co</t>
  </si>
  <si>
    <t>karen.buitrago@unisabana.edu.co</t>
  </si>
  <si>
    <t>https://Admin2024.sawtoothsoftware.com/cgi-bin/ciwweb.pl?studyname=Admin2024&amp;Correo=karen.buitrago@unisabana.edu.co</t>
  </si>
  <si>
    <t>tatiana.caballero@unisabana.edu.co</t>
  </si>
  <si>
    <t>https://Admin2024.sawtoothsoftware.com/cgi-bin/ciwweb.pl?studyname=Admin2024&amp;Correo=tatiana.caballero@unisabana.edu.co</t>
  </si>
  <si>
    <t>valeria.castro@unisabana.edu.co</t>
  </si>
  <si>
    <t>https://Admin2024.sawtoothsoftware.com/cgi-bin/ciwweb.pl?studyname=Admin2024&amp;Correo=valeria.castro@unisabana.edu.co</t>
  </si>
  <si>
    <t>ana.espinel1@unisabana.edu.co</t>
  </si>
  <si>
    <t>https://Admin2024.sawtoothsoftware.com/cgi-bin/ciwweb.pl?studyname=Admin2024&amp;Correo=ana.espinel1@unisabana.edu.co</t>
  </si>
  <si>
    <t>camila.hernandez1@unisabana.edu.co</t>
  </si>
  <si>
    <t>COORD. DE PROMOCION POSTGRADOS</t>
  </si>
  <si>
    <t>https://Admin2024.sawtoothsoftware.com/cgi-bin/ciwweb.pl?studyname=Admin2024&amp;Correo=camila.hernandez1@unisabana.edu.co</t>
  </si>
  <si>
    <t>diego.prieto2@unisabana.edu.co</t>
  </si>
  <si>
    <t>COORD. PROMOCION PRE Y POSG</t>
  </si>
  <si>
    <t>https://Admin2024.sawtoothsoftware.com/cgi-bin/ciwweb.pl?studyname=Admin2024&amp;Correo=diego.prieto2@unisabana.edu.co</t>
  </si>
  <si>
    <t>camilo.rojas1@unisabana.edu.co</t>
  </si>
  <si>
    <t>https://Admin2024.sawtoothsoftware.com/cgi-bin/ciwweb.pl?studyname=Admin2024&amp;Correo=camilo.rojas1@unisabana.edu.co</t>
  </si>
  <si>
    <t>angela.sotelo@unisabana.edu.co</t>
  </si>
  <si>
    <t>https://Admin2024.sawtoothsoftware.com/cgi-bin/ciwweb.pl?studyname=Admin2024&amp;Correo=angela.sotelo@unisabana.edu.co</t>
  </si>
  <si>
    <t>miguel.zea@unisabana.edu.co</t>
  </si>
  <si>
    <t>COOR CENTRAL PROM EDU CONTINUA</t>
  </si>
  <si>
    <t>https://Admin2024.sawtoothsoftware.com/cgi-bin/ciwweb.pl?studyname=Admin2024&amp;Correo=miguel.zea@unisabana.edu.co</t>
  </si>
  <si>
    <t>lenis.alfonso@unisabana.edu.co</t>
  </si>
  <si>
    <t>https://Admin2024.sawtoothsoftware.com/cgi-bin/ciwweb.pl?studyname=Admin2024&amp;Correo=lenis.alfonso@unisabana.edu.co</t>
  </si>
  <si>
    <t>paola.guevara@unisabana.edu.co</t>
  </si>
  <si>
    <t>https://Admin2024.sawtoothsoftware.com/cgi-bin/ciwweb.pl?studyname=Admin2024&amp;Correo=paola.guevara@unisabana.edu.co</t>
  </si>
  <si>
    <t>andrealaca@unisabana.edu.co</t>
  </si>
  <si>
    <t>JEFE PROYECTOS VIRTUALIZACION</t>
  </si>
  <si>
    <t>https://Admin2024.sawtoothsoftware.com/cgi-bin/ciwweb.pl?studyname=Admin2024&amp;Correo=andrealaca@unisabana.edu.co</t>
  </si>
  <si>
    <t>gina.medina@unisabana.edu.co</t>
  </si>
  <si>
    <t>https://Admin2024.sawtoothsoftware.com/cgi-bin/ciwweb.pl?studyname=Admin2024&amp;Correo=gina.medina@unisabana.edu.co</t>
  </si>
  <si>
    <t>angie.pardo@unisabana.edu.co</t>
  </si>
  <si>
    <t>DISEï¿½ADOR PEDAG. PROG VIRTUAL</t>
  </si>
  <si>
    <t>https://Admin2024.sawtoothsoftware.com/cgi-bin/ciwweb.pl?studyname=Admin2024&amp;Correo=angie.pardo@unisabana.edu.co</t>
  </si>
  <si>
    <t>robinson.quevedo@unisabana.edu.co</t>
  </si>
  <si>
    <t>DINAMIZADOR</t>
  </si>
  <si>
    <t>https://Admin2024.sawtoothsoftware.com/cgi-bin/ciwweb.pl?studyname=Admin2024&amp;Correo=robinson.quevedo@unisabana.edu.co</t>
  </si>
  <si>
    <t>pedro.riveros@unisabana.edu.co</t>
  </si>
  <si>
    <t>CREATIVO DE DISEï¿½O</t>
  </si>
  <si>
    <t>https://Admin2024.sawtoothsoftware.com/cgi-bin/ciwweb.pl?studyname=Admin2024&amp;Correo=pedro.riveros@unisabana.edu.co</t>
  </si>
  <si>
    <t>yina.salamanca@unisabana.edu.co</t>
  </si>
  <si>
    <t>JEFE DE PRODUCCION VIRTUAL</t>
  </si>
  <si>
    <t>https://Admin2024.sawtoothsoftware.com/cgi-bin/ciwweb.pl?studyname=Admin2024&amp;Correo=yina.salamanca@unisabana.edu.co</t>
  </si>
  <si>
    <t>anderson.sarmiento@unisabana.edu.co</t>
  </si>
  <si>
    <t>https://Admin2024.sawtoothsoftware.com/cgi-bin/ciwweb.pl?studyname=Admin2024&amp;Correo=anderson.sarmiento@unisabana.edu.co</t>
  </si>
  <si>
    <t>lais.tibaque@unisabana.edu.co</t>
  </si>
  <si>
    <t>https://Admin2024.sawtoothsoftware.com/cgi-bin/ciwweb.pl?studyname=Admin2024&amp;Correo=lais.tibaque@unisabana.edu.co</t>
  </si>
  <si>
    <t>natalia.barahona@unisabana.edu.co</t>
  </si>
  <si>
    <t>SUPERVISOR DE PUNTO DE VENTA</t>
  </si>
  <si>
    <t>https://Admin2024.sawtoothsoftware.com/cgi-bin/ciwweb.pl?studyname=Admin2024&amp;Correo=natalia.barahona@unisabana.edu.co</t>
  </si>
  <si>
    <t>micsi.canasteros@unisabana.edu.co</t>
  </si>
  <si>
    <t>https://Admin2024.sawtoothsoftware.com/cgi-bin/ciwweb.pl?studyname=Admin2024&amp;Correo=micsi.canasteros@unisabana.edu.co</t>
  </si>
  <si>
    <t>cristian.farfan@unisabana.edu.co</t>
  </si>
  <si>
    <t>AUXILIAR DE ALMACEN</t>
  </si>
  <si>
    <t>https://Admin2024.sawtoothsoftware.com/cgi-bin/ciwweb.pl?studyname=Admin2024&amp;Correo=cristian.farfan@unisabana.edu.co</t>
  </si>
  <si>
    <t>duvan.giraldo1@unisabana.edu.co</t>
  </si>
  <si>
    <t>GESTOR DE EVENTOS</t>
  </si>
  <si>
    <t>https://Admin2024.sawtoothsoftware.com/cgi-bin/ciwweb.pl?studyname=Admin2024&amp;Correo=duvan.giraldo1@unisabana.edu.co</t>
  </si>
  <si>
    <t>melba.mendoza@unisabana.edu.co</t>
  </si>
  <si>
    <t>JEFE DE SERVICIO</t>
  </si>
  <si>
    <t>https://Admin2024.sawtoothsoftware.com/cgi-bin/ciwweb.pl?studyname=Admin2024&amp;Correo=melba.mendoza@unisabana.edu.co</t>
  </si>
  <si>
    <t>rosa.mendoza@unisabana.edu.co</t>
  </si>
  <si>
    <t>COCINERO</t>
  </si>
  <si>
    <t>https://Admin2024.sawtoothsoftware.com/cgi-bin/ciwweb.pl?studyname=Admin2024&amp;Correo=rosa.mendoza@unisabana.edu.co</t>
  </si>
  <si>
    <t>cristina.montano@unisabana.edu.co</t>
  </si>
  <si>
    <t>PANADERO PASTELERO</t>
  </si>
  <si>
    <t>https://Admin2024.sawtoothsoftware.com/cgi-bin/ciwweb.pl?studyname=Admin2024&amp;Correo=cristina.montano@unisabana.edu.co</t>
  </si>
  <si>
    <t>nayibe.mora@unisabana.edu.co</t>
  </si>
  <si>
    <t>TECNICO DE TESORERIA</t>
  </si>
  <si>
    <t>https://Admin2024.sawtoothsoftware.com/cgi-bin/ciwweb.pl?studyname=Admin2024&amp;Correo=nayibe.mora@unisabana.edu.co</t>
  </si>
  <si>
    <t>laura.ochoa@unisabana.edu.co</t>
  </si>
  <si>
    <t>https://Admin2024.sawtoothsoftware.com/cgi-bin/ciwweb.pl?studyname=Admin2024&amp;Correo=laura.ochoa@unisabana.edu.co</t>
  </si>
  <si>
    <t>gregorio.prieto@unisabana.edu.co</t>
  </si>
  <si>
    <t>https://Admin2024.sawtoothsoftware.com/cgi-bin/ciwweb.pl?studyname=Admin2024&amp;Correo=gregorio.prieto@unisabana.edu.co</t>
  </si>
  <si>
    <t>maria.quevedo2@unisabana.edu.co</t>
  </si>
  <si>
    <t>TECNICO ADMINISTRATIVO</t>
  </si>
  <si>
    <t>https://Admin2024.sawtoothsoftware.com/cgi-bin/ciwweb.pl?studyname=Admin2024&amp;Correo=maria.quevedo2@unisabana.edu.co</t>
  </si>
  <si>
    <t>mariaramo@unisabana.edu.co</t>
  </si>
  <si>
    <t>GESTOR DE DESARROLLO HUMANO</t>
  </si>
  <si>
    <t>https://Admin2024.sawtoothsoftware.com/cgi-bin/ciwweb.pl?studyname=Admin2024&amp;Correo=mariaramo@unisabana.edu.co</t>
  </si>
  <si>
    <t>marco.rivera@unisabana.edu.co</t>
  </si>
  <si>
    <t>https://Admin2024.sawtoothsoftware.com/cgi-bin/ciwweb.pl?studyname=Admin2024&amp;Correo=marco.rivera@unisabana.edu.co</t>
  </si>
  <si>
    <t>catalina.rodriguez2@unisabana.edu.co</t>
  </si>
  <si>
    <t>https://Admin2024.sawtoothsoftware.com/cgi-bin/ciwweb.pl?studyname=Admin2024&amp;Correo=catalina.rodriguez2@unisabana.edu.co</t>
  </si>
  <si>
    <t>mariana.rojas@unisabana.edu.co</t>
  </si>
  <si>
    <t>COORD. DE EVENTOS</t>
  </si>
  <si>
    <t>https://Admin2024.sawtoothsoftware.com/cgi-bin/ciwweb.pl?studyname=Admin2024&amp;Correo=mariana.rojas@unisabana.edu.co</t>
  </si>
  <si>
    <t>miguel.rozo@unisabana.edu.co</t>
  </si>
  <si>
    <t>https://Admin2024.sawtoothsoftware.com/cgi-bin/ciwweb.pl?studyname=Admin2024&amp;Correo=miguel.rozo@unisabana.edu.co</t>
  </si>
  <si>
    <t>jessica.giraldo@unisabana.edu.co</t>
  </si>
  <si>
    <t>JEFE DE PROYECCION SOCIAL</t>
  </si>
  <si>
    <t>https://Admin2024.sawtoothsoftware.com/cgi-bin/ciwweb.pl?studyname=Admin2024&amp;Correo=jessica.giraldo@unisabana.edu.co</t>
  </si>
  <si>
    <t>ana.gomez2@unisabana.edu.co</t>
  </si>
  <si>
    <t>https://Admin2024.sawtoothsoftware.com/cgi-bin/ciwweb.pl?studyname=Admin2024&amp;Correo=ana.gomez2@unisabana.edu.co</t>
  </si>
  <si>
    <t>luis.manjarrez@inalde.edu.co</t>
  </si>
  <si>
    <t>JEFE DE DESARROLLO PROFESIONAL</t>
  </si>
  <si>
    <t>https://Admin2024.sawtoothsoftware.com/cgi-bin/ciwweb.pl?studyname=Admin2024&amp;Correo=luis.manjarrez@inalde.edu.co</t>
  </si>
  <si>
    <t>sergio.beltran@unisabana.edu.co</t>
  </si>
  <si>
    <t>JEFE DE PROYECTOS</t>
  </si>
  <si>
    <t>https://Admin2024.sawtoothsoftware.com/cgi-bin/ciwweb.pl?studyname=Admin2024&amp;Correo=sergio.beltran@unisabana.edu.co</t>
  </si>
  <si>
    <t>nadia.gutierrez@unisabana.edu.co</t>
  </si>
  <si>
    <t>JEFE DE CUENTA</t>
  </si>
  <si>
    <t>https://Admin2024.sawtoothsoftware.com/cgi-bin/ciwweb.pl?studyname=Admin2024&amp;Correo=nadia.gutierrez@unisabana.edu.co</t>
  </si>
  <si>
    <t>maria.herrera1@unisabana.edu.co</t>
  </si>
  <si>
    <t>https://Admin2024.sawtoothsoftware.com/cgi-bin/ciwweb.pl?studyname=Admin2024&amp;Correo=maria.herrera1@unisabana.edu.co</t>
  </si>
  <si>
    <t>jhon.mur@unisabana.edu.co</t>
  </si>
  <si>
    <t>COORD. DE PROYECTOS ESPECIALES</t>
  </si>
  <si>
    <t>https://Admin2024.sawtoothsoftware.com/cgi-bin/ciwweb.pl?studyname=Admin2024&amp;Correo=jhon.mur@unisabana.edu.co</t>
  </si>
  <si>
    <t>jessica.pedraza@unisabana.edu.co</t>
  </si>
  <si>
    <t>COORDINADOR</t>
  </si>
  <si>
    <t>https://Admin2024.sawtoothsoftware.com/cgi-bin/ciwweb.pl?studyname=Admin2024&amp;Correo=jessica.pedraza@unisabana.edu.co</t>
  </si>
  <si>
    <t>sara.pulido@unisabana.edu.co</t>
  </si>
  <si>
    <t>https://Admin2024.sawtoothsoftware.com/cgi-bin/ciwweb.pl?studyname=Admin2024&amp;Correo=sara.pulido@unisabana.edu.co</t>
  </si>
  <si>
    <t>francy.reyes@unisabana.edu.co</t>
  </si>
  <si>
    <t>https://Admin2024.sawtoothsoftware.com/cgi-bin/ciwweb.pl?studyname=Admin2024&amp;Correo=francy.reyes@unisabana.edu.co</t>
  </si>
  <si>
    <t>juan.rodriguez8@unisabana.edu.co</t>
  </si>
  <si>
    <t>https://Admin2024.sawtoothsoftware.com/cgi-bin/ciwweb.pl?studyname=Admin2024&amp;Correo=juan.rodriguez8@unisabana.edu.co</t>
  </si>
  <si>
    <t>gycel.guevara@unisabana.edu.co</t>
  </si>
  <si>
    <t>GERENTE DE MACROPROYECTO</t>
  </si>
  <si>
    <t>MACROPROYECTO DE TRANSFORMACIÓN ACADï¿½MICA</t>
  </si>
  <si>
    <t>https://Admin2024.sawtoothsoftware.com/cgi-bin/ciwweb.pl?studyname=Admin2024&amp;Correo=gycel.guevara@unisabana.edu.co</t>
  </si>
  <si>
    <t>angelica.munoz1@unisabana.edu.co</t>
  </si>
  <si>
    <t>COORD. DE PROYECTOS</t>
  </si>
  <si>
    <t>https://Admin2024.sawtoothsoftware.com/cgi-bin/ciwweb.pl?studyname=Admin2024&amp;Correo=angelica.munoz1@unisabana.edu.co</t>
  </si>
  <si>
    <t>ana.crispin1@unisabana.edu.co</t>
  </si>
  <si>
    <t>COOR. PROY. INV. TRASLACIONAL</t>
  </si>
  <si>
    <t>https://Admin2024.sawtoothsoftware.com/cgi-bin/ciwweb.pl?studyname=Admin2024&amp;Correo=ana.crispin1@unisabana.edu.co</t>
  </si>
  <si>
    <t>nury.olaya@unisabana.edu.co</t>
  </si>
  <si>
    <t>INVESTIGADOR DE ENLACE</t>
  </si>
  <si>
    <t>https://Admin2024.sawtoothsoftware.com/cgi-bin/ciwweb.pl?studyname=Admin2024&amp;Correo=nury.olaya@unisabana.edu.co</t>
  </si>
  <si>
    <t>patricia.cardenas@unisabana.edu.co</t>
  </si>
  <si>
    <t>SECRETARIA EJECUTIVA 2</t>
  </si>
  <si>
    <t>https://Admin2024.sawtoothsoftware.com/cgi-bin/ciwweb.pl?studyname=Admin2024&amp;Correo=patricia.cardenas@unisabana.edu.co</t>
  </si>
  <si>
    <t>maria.castellanos@unisabana.edu.co</t>
  </si>
  <si>
    <t>https://Admin2024.sawtoothsoftware.com/cgi-bin/ciwweb.pl?studyname=Admin2024&amp;Correo=maria.castellanos@unisabana.edu.co</t>
  </si>
  <si>
    <t>victoria.rozo@unisabana.edu.co</t>
  </si>
  <si>
    <t>https://Admin2024.sawtoothsoftware.com/cgi-bin/ciwweb.pl?studyname=Admin2024&amp;Correo=victoria.rozo@unisabana.edu.co</t>
  </si>
  <si>
    <t>maria.martinez@unisabana.edu.co</t>
  </si>
  <si>
    <t>RECEPCIONISTA</t>
  </si>
  <si>
    <t>https://Admin2024.sawtoothsoftware.com/cgi-bin/ciwweb.pl?studyname=Admin2024&amp;Correo=maria.martinez@unisabana.edu.co</t>
  </si>
  <si>
    <t>maria.arevalo3@unisabana.edu.co</t>
  </si>
  <si>
    <t>COORD. INTEG.GEST.ACAD.ADTIVA</t>
  </si>
  <si>
    <t>https://Admin2024.sawtoothsoftware.com/cgi-bin/ciwweb.pl?studyname=Admin2024&amp;Correo=maria.arevalo3@unisabana.edu.co</t>
  </si>
  <si>
    <t>natalia.cruz2@unisabana.edu.co</t>
  </si>
  <si>
    <t>COORD. MERCADEO DIGITAL Y COM.</t>
  </si>
  <si>
    <t>https://Admin2024.sawtoothsoftware.com/cgi-bin/ciwweb.pl?studyname=Admin2024&amp;Correo=natalia.cruz2@unisabana.edu.co</t>
  </si>
  <si>
    <t>sergio.sarmiento2@unisabana.edu.co</t>
  </si>
  <si>
    <t>GEST. DE RECURSOS DIGITALES ST</t>
  </si>
  <si>
    <t>https://Admin2024.sawtoothsoftware.com/cgi-bin/ciwweb.pl?studyname=Admin2024&amp;Correo=sergio.sarmiento2@unisabana.edu.co</t>
  </si>
  <si>
    <t>andrea.acosta2@unisabana.edu.co</t>
  </si>
  <si>
    <t>COOR DE GESTION Y DLLO PROF</t>
  </si>
  <si>
    <t>https://Admin2024.sawtoothsoftware.com/cgi-bin/ciwweb.pl?studyname=Admin2024&amp;Correo=andrea.acosta2@unisabana.edu.co</t>
  </si>
  <si>
    <t>marcela.bernal@unisabana.edu.co</t>
  </si>
  <si>
    <t>https://Admin2024.sawtoothsoftware.com/cgi-bin/ciwweb.pl?studyname=Admin2024&amp;Correo=marcela.bernal@unisabana.edu.co</t>
  </si>
  <si>
    <t>nubia.codina@unisabana.edu.co</t>
  </si>
  <si>
    <t>https://Admin2024.sawtoothsoftware.com/cgi-bin/ciwweb.pl?studyname=Admin2024&amp;Correo=nubia.codina@unisabana.edu.co</t>
  </si>
  <si>
    <t>heidi.cuellar@unisabana.edu.co</t>
  </si>
  <si>
    <t>AUXILIAR DE TALLERES DE COCINA</t>
  </si>
  <si>
    <t>https://Admin2024.sawtoothsoftware.com/cgi-bin/ciwweb.pl?studyname=Admin2024&amp;Correo=heidi.cuellar@unisabana.edu.co</t>
  </si>
  <si>
    <t>danna.martinez@unisabana.edu.co</t>
  </si>
  <si>
    <t>https://Admin2024.sawtoothsoftware.com/cgi-bin/ciwweb.pl?studyname=Admin2024&amp;Correo=danna.martinez@unisabana.edu.co</t>
  </si>
  <si>
    <t>ivanna.prieto@unisabana.edu.co</t>
  </si>
  <si>
    <t>COORD DE ASES ACAD Y FORMACION</t>
  </si>
  <si>
    <t>https://Admin2024.sawtoothsoftware.com/cgi-bin/ciwweb.pl?studyname=Admin2024&amp;Correo=ivanna.prieto@unisabana.edu.co</t>
  </si>
  <si>
    <t>claudia.rodriguez8@unisabana.edu.co</t>
  </si>
  <si>
    <t>https://Admin2024.sawtoothsoftware.com/cgi-bin/ciwweb.pl?studyname=Admin2024&amp;Correo=claudia.rodriguez8@unisabana.edu.co</t>
  </si>
  <si>
    <t>laura.silva2@unisabana.edu.co</t>
  </si>
  <si>
    <t>https://Admin2024.sawtoothsoftware.com/cgi-bin/ciwweb.pl?studyname=Admin2024&amp;Correo=laura.silva2@unisabana.edu.co</t>
  </si>
  <si>
    <t>maria.escallon@unisabana.edu.co</t>
  </si>
  <si>
    <t>ASESOR PRACTICA</t>
  </si>
  <si>
    <t>https://Admin2024.sawtoothsoftware.com/cgi-bin/ciwweb.pl?studyname=Admin2024&amp;Correo=maria.escallon@unisabana.edu.co</t>
  </si>
  <si>
    <t>luz.gomez@unisabana.edu.co</t>
  </si>
  <si>
    <t>https://Admin2024.sawtoothsoftware.com/cgi-bin/ciwweb.pl?studyname=Admin2024&amp;Correo=luz.gomez@unisabana.edu.co</t>
  </si>
  <si>
    <t>ivonne.mejia@unisabana.edu.co</t>
  </si>
  <si>
    <t>https://Admin2024.sawtoothsoftware.com/cgi-bin/ciwweb.pl?studyname=Admin2024&amp;Correo=ivonne.mejia@unisabana.edu.co</t>
  </si>
  <si>
    <t>gonzalo.onate@unisabana.edu.co</t>
  </si>
  <si>
    <t>https://Admin2024.sawtoothsoftware.com/cgi-bin/ciwweb.pl?studyname=Admin2024&amp;Correo=gonzalo.onate@unisabana.edu.co</t>
  </si>
  <si>
    <t>maria.rojas1@unisabana.edu.co</t>
  </si>
  <si>
    <t>https://Admin2024.sawtoothsoftware.com/cgi-bin/ciwweb.pl?studyname=Admin2024&amp;Correo=maria.rojas1@unisabana.edu.co</t>
  </si>
  <si>
    <t>alejandro.velosa@unisabana.edu.co</t>
  </si>
  <si>
    <t>https://Admin2024.sawtoothsoftware.com/cgi-bin/ciwweb.pl?studyname=Admin2024&amp;Correo=alejandro.velosa@unisabana.edu.co</t>
  </si>
  <si>
    <t>angie.abril@unisabana.edu.co</t>
  </si>
  <si>
    <t>https://Admin2024.sawtoothsoftware.com/cgi-bin/ciwweb.pl?studyname=Admin2024&amp;Correo=angie.abril@unisabana.edu.co</t>
  </si>
  <si>
    <t>lizeth.bohorquez@unisabana.edu.co</t>
  </si>
  <si>
    <t>COORDINADOR DE EXITO ACADEMICO</t>
  </si>
  <si>
    <t>https://Admin2024.sawtoothsoftware.com/cgi-bin/ciwweb.pl?studyname=Admin2024&amp;Correo=lizeth.bohorquez@unisabana.edu.co</t>
  </si>
  <si>
    <t>sandra.casallas@unisabana.edu.co</t>
  </si>
  <si>
    <t>https://Admin2024.sawtoothsoftware.com/cgi-bin/ciwweb.pl?studyname=Admin2024&amp;Correo=sandra.casallas@unisabana.edu.co</t>
  </si>
  <si>
    <t>maria.corredor4@unisabana.edu.co</t>
  </si>
  <si>
    <t>COORDINADOR DE OPERACIONES</t>
  </si>
  <si>
    <t>https://Admin2024.sawtoothsoftware.com/cgi-bin/ciwweb.pl?studyname=Admin2024&amp;Correo=maria.corredor4@unisabana.edu.co</t>
  </si>
  <si>
    <t>yuranny.farieta@unisabana.edu.co</t>
  </si>
  <si>
    <t>GESTOR LOGISTICO</t>
  </si>
  <si>
    <t>https://Admin2024.sawtoothsoftware.com/cgi-bin/ciwweb.pl?studyname=Admin2024&amp;Correo=yuranny.farieta@unisabana.edu.co</t>
  </si>
  <si>
    <t>andrea.garzon1@unisabana.edu.co</t>
  </si>
  <si>
    <t>COORD. GESTION INVESTIGATIVA</t>
  </si>
  <si>
    <t>https://Admin2024.sawtoothsoftware.com/cgi-bin/ciwweb.pl?studyname=Admin2024&amp;Correo=andrea.garzon1@unisabana.edu.co</t>
  </si>
  <si>
    <t>juan.gonzalez1@unisabana.edu.co</t>
  </si>
  <si>
    <t>JEFE CENTRO PROD. MULTIMEDIA</t>
  </si>
  <si>
    <t>https://Admin2024.sawtoothsoftware.com/cgi-bin/ciwweb.pl?studyname=Admin2024&amp;Correo=juan.gonzalez1@unisabana.edu.co</t>
  </si>
  <si>
    <t>lilian.martinez@unisabana.edu.co</t>
  </si>
  <si>
    <t>https://Admin2024.sawtoothsoftware.com/cgi-bin/ciwweb.pl?studyname=Admin2024&amp;Correo=lilian.martinez@unisabana.edu.co</t>
  </si>
  <si>
    <t>diana.vanegas1@unisabana.edu.co</t>
  </si>
  <si>
    <t>COOR DLLO PROF Y GESTION IVEST</t>
  </si>
  <si>
    <t>https://Admin2024.sawtoothsoftware.com/cgi-bin/ciwweb.pl?studyname=Admin2024&amp;Correo=diana.vanegas1@unisabana.edu.co</t>
  </si>
  <si>
    <t>oscar.gonzalez3@unisabana.edu.co</t>
  </si>
  <si>
    <t>COORD. EXITO ACADEMICO</t>
  </si>
  <si>
    <t>https://Admin2024.sawtoothsoftware.com/cgi-bin/ciwweb.pl?studyname=Admin2024&amp;Correo=oscar.gonzalez3@unisabana.edu.co</t>
  </si>
  <si>
    <t>linda.pena@unisabana.edu.co</t>
  </si>
  <si>
    <t>TECN. HTAL SIMULA. Y AULAS ESP</t>
  </si>
  <si>
    <t>https://Admin2024.sawtoothsoftware.com/cgi-bin/ciwweb.pl?studyname=Admin2024&amp;Correo=linda.pena@unisabana.edu.co</t>
  </si>
  <si>
    <t>ana.sanchez1@unisabana.edu.co</t>
  </si>
  <si>
    <t>https://Admin2024.sawtoothsoftware.com/cgi-bin/ciwweb.pl?studyname=Admin2024&amp;Correo=ana.sanchez1@unisabana.edu.co</t>
  </si>
  <si>
    <t>helmer.africano@unisabana.edu.co</t>
  </si>
  <si>
    <t>TECNICO DE LABORATORIO</t>
  </si>
  <si>
    <t>https://Admin2024.sawtoothsoftware.com/cgi-bin/ciwweb.pl?studyname=Admin2024&amp;Correo=helmer.africano@unisabana.edu.co</t>
  </si>
  <si>
    <t>viviana.becerra@unisabana.edu.co</t>
  </si>
  <si>
    <t>AUXILIAR DE LABORATORIO</t>
  </si>
  <si>
    <t>https://Admin2024.sawtoothsoftware.com/cgi-bin/ciwweb.pl?studyname=Admin2024&amp;Correo=viviana.becerra@unisabana.edu.co</t>
  </si>
  <si>
    <t>natalie.camacho@unisabana.edu.co</t>
  </si>
  <si>
    <t>COORD. LABORATORIO</t>
  </si>
  <si>
    <t>https://Admin2024.sawtoothsoftware.com/cgi-bin/ciwweb.pl?studyname=Admin2024&amp;Correo=natalie.camacho@unisabana.edu.co</t>
  </si>
  <si>
    <t>shanon.espitia@unisabana.edu.co</t>
  </si>
  <si>
    <t>https://Admin2024.sawtoothsoftware.com/cgi-bin/ciwweb.pl?studyname=Admin2024&amp;Correo=shanon.espitia@unisabana.edu.co</t>
  </si>
  <si>
    <t>COORD. DE PRACTICAS Y ALUMNI</t>
  </si>
  <si>
    <t>https://Admin2024.sawtoothsoftware.com/cgi-bin/ciwweb.pl?studyname=Admin2024&amp;Correo=antonia.gacharna@unisabana.edu.co</t>
  </si>
  <si>
    <t>sherezada.jimenez@unisabana.edu.co</t>
  </si>
  <si>
    <t>https://Admin2024.sawtoothsoftware.com/cgi-bin/ciwweb.pl?studyname=Admin2024&amp;Correo=sherezada.jimenez@unisabana.edu.co</t>
  </si>
  <si>
    <t>cristian.marino@unisabana.edu.co</t>
  </si>
  <si>
    <t>https://Admin2024.sawtoothsoftware.com/cgi-bin/ciwweb.pl?studyname=Admin2024&amp;Correo=cristian.marino@unisabana.edu.co</t>
  </si>
  <si>
    <t>maria.sanabria@unisabana.edu.co</t>
  </si>
  <si>
    <t>https://Admin2024.sawtoothsoftware.com/cgi-bin/ciwweb.pl?studyname=Admin2024&amp;Correo=maria.sanabria@unisabana.edu.co</t>
  </si>
  <si>
    <t>maribel.villarreal@unisabana.edu.co</t>
  </si>
  <si>
    <t>ASESOR DE PROCESOS ACADEMICOS</t>
  </si>
  <si>
    <t>https://Admin2024.sawtoothsoftware.com/cgi-bin/ciwweb.pl?studyname=Admin2024&amp;Correo=maribel.villarreal@unisabana.edu.co</t>
  </si>
  <si>
    <t>daniela.castellanos@unisabana.edu.co</t>
  </si>
  <si>
    <t>https://Admin2024.sawtoothsoftware.com/cgi-bin/ciwweb.pl?studyname=Admin2024&amp;Correo=daniela.castellanos@unisabana.edu.co</t>
  </si>
  <si>
    <t>greis.forero@unisabana.edu.co</t>
  </si>
  <si>
    <t>https://Admin2024.sawtoothsoftware.com/cgi-bin/ciwweb.pl?studyname=Admin2024&amp;Correo=greis.forero@unisabana.edu.co</t>
  </si>
  <si>
    <t>luz.gomez7@unisabana.edu.co</t>
  </si>
  <si>
    <t>https://Admin2024.sawtoothsoftware.com/cgi-bin/ciwweb.pl?studyname=Admin2024&amp;Correo=luz.gomez7@unisabana.edu.co</t>
  </si>
  <si>
    <t>brayan.plazas@unisabana.edu.co</t>
  </si>
  <si>
    <t>https://Admin2024.sawtoothsoftware.com/cgi-bin/ciwweb.pl?studyname=Admin2024&amp;Correo=brayan.plazas@unisabana.edu.co</t>
  </si>
  <si>
    <t>sonia.ramirez2@unisabana.edu.co</t>
  </si>
  <si>
    <t>https://Admin2024.sawtoothsoftware.com/cgi-bin/ciwweb.pl?studyname=Admin2024&amp;Correo=sonia.ramirez2@unisabana.edu.co</t>
  </si>
  <si>
    <t>catherine.thornton1@unisabana.edu.co</t>
  </si>
  <si>
    <t>COORD. DE INTERNACIONALIZACION</t>
  </si>
  <si>
    <t>https://Admin2024.sawtoothsoftware.com/cgi-bin/ciwweb.pl?studyname=Admin2024&amp;Correo=catherine.thornton1@unisabana.edu.co</t>
  </si>
  <si>
    <t>rosa.ortiz@unisabana.edu.co</t>
  </si>
  <si>
    <t>https://Admin2024.sawtoothsoftware.com/cgi-bin/ciwweb.pl?studyname=Admin2024&amp;Correo=rosa.ortiz@unisabana.edu.co</t>
  </si>
  <si>
    <t>yesid.ortiz@unisabana.edu.co</t>
  </si>
  <si>
    <t>https://Admin2024.sawtoothsoftware.com/cgi-bin/ciwweb.pl?studyname=Admin2024&amp;Correo=yesid.ortiz@unisabana.edu.co</t>
  </si>
  <si>
    <t>julian.ramirez@unisabana.edu.co1</t>
  </si>
  <si>
    <t>https://Admin2024.sawtoothsoftware.com/cgi-bin/ciwweb.pl?studyname=Admin2024&amp;Correo=julian.ramirez@unisabana.edu.co1</t>
  </si>
  <si>
    <t>geraldine.cruz@unisabana.edu.co</t>
  </si>
  <si>
    <t>https://Admin2024.sawtoothsoftware.com/cgi-bin/ciwweb.pl?studyname=Admin2024&amp;Correo=geraldine.cruz@unisabana.edu.co</t>
  </si>
  <si>
    <t>martha.jimenez2@unisabana.edu.co</t>
  </si>
  <si>
    <t>https://Admin2024.sawtoothsoftware.com/cgi-bin/ciwweb.pl?studyname=Admin2024&amp;Correo=martha.jimenez2@unisabana.edu.co</t>
  </si>
  <si>
    <t>daniel.aguilar@unisabana.edu.co</t>
  </si>
  <si>
    <t>https://Admin2024.sawtoothsoftware.com/cgi-bin/ciwweb.pl?studyname=Admin2024&amp;Correo=daniel.aguilar@unisabana.edu.co</t>
  </si>
  <si>
    <t>paola.berrio@unisabana.edu.co</t>
  </si>
  <si>
    <t>https://Admin2024.sawtoothsoftware.com/cgi-bin/ciwweb.pl?studyname=Admin2024&amp;Correo=paola.berrio@unisabana.edu.co</t>
  </si>
  <si>
    <t>lizeth.bloon@unisabana.edu.co</t>
  </si>
  <si>
    <t>https://Admin2024.sawtoothsoftware.com/cgi-bin/ciwweb.pl?studyname=Admin2024&amp;Correo=lizeth.bloon@unisabana.edu.co</t>
  </si>
  <si>
    <t>olga.briceno@unisabana.edu.co</t>
  </si>
  <si>
    <t>https://Admin2024.sawtoothsoftware.com/cgi-bin/ciwweb.pl?studyname=Admin2024&amp;Correo=olga.briceno@unisabana.edu.co</t>
  </si>
  <si>
    <t>heidy.contreras@unisabana.edu.co</t>
  </si>
  <si>
    <t>https://Admin2024.sawtoothsoftware.com/cgi-bin/ciwweb.pl?studyname=Admin2024&amp;Correo=heidy.contreras@unisabana.edu.co</t>
  </si>
  <si>
    <t>lorena.ortiz@unisabana.edu.co</t>
  </si>
  <si>
    <t>https://Admin2024.sawtoothsoftware.com/cgi-bin/ciwweb.pl?studyname=Admin2024&amp;Correo=lorena.ortiz@unisabana.edu.co</t>
  </si>
  <si>
    <t>deyci.rivera@unisabana.edu.co</t>
  </si>
  <si>
    <t>https://Admin2024.sawtoothsoftware.com/cgi-bin/ciwweb.pl?studyname=Admin2024&amp;Correo=deyci.rivera@unisabana.edu.co</t>
  </si>
  <si>
    <t>ivonne.sotelo@unisabana.edu.co</t>
  </si>
  <si>
    <t>https://Admin2024.sawtoothsoftware.com/cgi-bin/ciwweb.pl?studyname=Admin2024&amp;Correo=ivonne.sotelo@unisabana.edu.co</t>
  </si>
  <si>
    <t>laura.sotelo@unisabana.edu.co</t>
  </si>
  <si>
    <t>https://Admin2024.sawtoothsoftware.com/cgi-bin/ciwweb.pl?studyname=Admin2024&amp;Correo=laura.sotelo@unisabana.edu.co</t>
  </si>
  <si>
    <t>maria.tijaro@unisabana.edu.co</t>
  </si>
  <si>
    <t>https://Admin2024.sawtoothsoftware.com/cgi-bin/ciwweb.pl?studyname=Admin2024&amp;Correo=maria.tijaro@unisabana.edu.co</t>
  </si>
  <si>
    <t>JEFE CENTRO SERV. PSICOLOGIA</t>
  </si>
  <si>
    <t>FACULTAD DE PSICOLOGÍA Y CIENCIAS DEL COMPORTAMIENTO</t>
  </si>
  <si>
    <t>https://Admin2024.sawtoothsoftware.com/cgi-bin/ciwweb.pl?studyname=Admin2024&amp;Correo=maria.mejia2@unisabana.edu.co</t>
  </si>
  <si>
    <t>olgacura@unisabana.edu.co</t>
  </si>
  <si>
    <t>https://Admin2024.sawtoothsoftware.com/cgi-bin/ciwweb.pl?studyname=Admin2024&amp;Correo=olgacura@unisabana.edu.co</t>
  </si>
  <si>
    <t>angie.hurtado@unisabana.edu.co</t>
  </si>
  <si>
    <t>JEFE DE PRACTICAS Y ALUMNI</t>
  </si>
  <si>
    <t>https://Admin2024.sawtoothsoftware.com/cgi-bin/ciwweb.pl?studyname=Admin2024&amp;Correo=angie.hurtado@unisabana.edu.co</t>
  </si>
  <si>
    <t>maria.ayala1@unisabana.edu.co</t>
  </si>
  <si>
    <t>https://Admin2024.sawtoothsoftware.com/cgi-bin/ciwweb.pl?studyname=Admin2024&amp;Correo=maria.ayala1@unisabana.edu.co</t>
  </si>
  <si>
    <t>luis.charcas@unisabana.edu.co</t>
  </si>
  <si>
    <t>https://Admin2024.sawtoothsoftware.com/cgi-bin/ciwweb.pl?studyname=Admin2024&amp;Correo=luis.charcas@unisabana.edu.co</t>
  </si>
  <si>
    <t>martha.donoso@unisabana.edu.co</t>
  </si>
  <si>
    <t>https://Admin2024.sawtoothsoftware.com/cgi-bin/ciwweb.pl?studyname=Admin2024&amp;Correo=martha.donoso@unisabana.edu.co</t>
  </si>
  <si>
    <t>Franci.fino@unisabana.edu.co</t>
  </si>
  <si>
    <t>GERENTE PROGRAMAS CORPORATIVOS</t>
  </si>
  <si>
    <t>https://Admin2024.sawtoothsoftware.com/cgi-bin/ciwweb.pl?studyname=Admin2024&amp;Correo=Franci.fino@unisabana.edu.co</t>
  </si>
  <si>
    <t>luis.gonzalez4@unisabana.edu.co</t>
  </si>
  <si>
    <t>TECNICO TEMPORAL</t>
  </si>
  <si>
    <t>https://Admin2024.sawtoothsoftware.com/cgi-bin/ciwweb.pl?studyname=Admin2024&amp;Correo=luis.gonzalez4@unisabana.edu.co</t>
  </si>
  <si>
    <t>heiber.hernandez@unisabana.edu.co</t>
  </si>
  <si>
    <t>https://Admin2024.sawtoothsoftware.com/cgi-bin/ciwweb.pl?studyname=Admin2024&amp;Correo=heiber.hernandez@unisabana.edu.co</t>
  </si>
  <si>
    <t>jhonatan.martinez1@unisabana.edu.co</t>
  </si>
  <si>
    <t>https://Admin2024.sawtoothsoftware.com/cgi-bin/ciwweb.pl?studyname=Admin2024&amp;Correo=jhonatan.martinez1@unisabana.edu.co</t>
  </si>
  <si>
    <t>jessica.moreno@unisabana.edu.co</t>
  </si>
  <si>
    <t>https://Admin2024.sawtoothsoftware.com/cgi-bin/ciwweb.pl?studyname=Admin2024&amp;Correo=jessica.moreno@unisabana.edu.co</t>
  </si>
  <si>
    <t>yensy.nunez@unisabana.edu.co</t>
  </si>
  <si>
    <t>ASESOR DE SERVICIOS</t>
  </si>
  <si>
    <t>https://Admin2024.sawtoothsoftware.com/cgi-bin/ciwweb.pl?studyname=Admin2024&amp;Correo=yensy.nunez@unisabana.edu.co</t>
  </si>
  <si>
    <t>cristian.panqueva@unisabana.edu.co</t>
  </si>
  <si>
    <t>https://Admin2024.sawtoothsoftware.com/cgi-bin/ciwweb.pl?studyname=Admin2024&amp;Correo=cristian.panqueva@unisabana.edu.co</t>
  </si>
  <si>
    <t>robinson.quintero@unisabana.edu.co</t>
  </si>
  <si>
    <t>https://Admin2024.sawtoothsoftware.com/cgi-bin/ciwweb.pl?studyname=Admin2024&amp;Correo=robinson.quintero@unisabana.edu.co</t>
  </si>
  <si>
    <t>sara.rojas@unisabana.edu.co</t>
  </si>
  <si>
    <t>https://Admin2024.sawtoothsoftware.com/cgi-bin/ciwweb.pl?studyname=Admin2024&amp;Correo=sara.rojas@unisabana.edu.co</t>
  </si>
  <si>
    <t>william.rojas2@unisabana.edu.co</t>
  </si>
  <si>
    <t>https://Admin2024.sawtoothsoftware.com/cgi-bin/ciwweb.pl?studyname=Admin2024&amp;Correo=william.rojas2@unisabana.edu.co</t>
  </si>
  <si>
    <t>cristian.valencia@unisabana.edu.co</t>
  </si>
  <si>
    <t>https://Admin2024.sawtoothsoftware.com/cgi-bin/ciwweb.pl?studyname=Admin2024&amp;Correo=cristian.valencia@unisabana.edu.co</t>
  </si>
  <si>
    <t>julian.ramirez@unisabana.edu.co2</t>
  </si>
  <si>
    <t>DIRECCIÓN DE CORE CURRï¿½CULUM PERSONA Y CULTURA</t>
  </si>
  <si>
    <t>https://Admin2024.sawtoothsoftware.com/cgi-bin/ciwweb.pl?studyname=Admin2024&amp;Correo=julian.ramirez@unisabana.edu.co2</t>
  </si>
  <si>
    <t>sara.serrano@unisabana.edu.co</t>
  </si>
  <si>
    <t>COORD. DE RECURSOS PEDAGOGICOS</t>
  </si>
  <si>
    <t>https://Admin2024.sawtoothsoftware.com/cgi-bin/ciwweb.pl?studyname=Admin2024&amp;Correo=sara.serrano@unisabana.edu.co</t>
  </si>
  <si>
    <t>ESPECIALIZACIÏ¿½N EN GERENCIA EDUCATIVA - CHÏ¿½A</t>
  </si>
  <si>
    <t>https://ProfCatedra2024.sawtoothsoftware.com/cgi-bin/ciwweb.pl?studyname=ProfCatedra2024&amp;Correo=david.tovar@unisabana.edu.co1</t>
  </si>
  <si>
    <t>https://ProfCatedra2024.sawtoothsoftware.com/cgi-bin/ciwweb.pl?studyname=ProfCatedra2024&amp;Correo=manuel.barrero@unisabana.edu.co01</t>
  </si>
  <si>
    <t>https://ProfCatedra2024.sawtoothsoftware.com/cgi-bin/ciwweb.pl?studyname=ProfCatedra2024&amp;Correo=pedro.angel@unisabana.edu.co01</t>
  </si>
  <si>
    <t>https://ProfCatedra2024.sawtoothsoftware.com/cgi-bin/ciwweb.pl?studyname=ProfCatedra2024&amp;Correo=luis.torres8@unisabana.edu.co01</t>
  </si>
  <si>
    <t>tebbie.chacon1@unisabana.edu.co1</t>
  </si>
  <si>
    <t>https://ProfPlanta2024.sawtoothsoftware.com/cgi-bin/ciwweb.pl?studyname=ProfPlanta2024&amp;Correo=tebbie.chacon1@unisabana.edu.co1</t>
  </si>
  <si>
    <t>Establecimiento</t>
  </si>
  <si>
    <t>Diligenciada</t>
  </si>
  <si>
    <t>maria.ramirez7@unisabana.edu.co</t>
  </si>
  <si>
    <t>maria.rebellon1@unisabana.edu.co</t>
  </si>
  <si>
    <t>Cuenta de Establecimiento</t>
  </si>
  <si>
    <t>adriana.rosillo@unisabana.edu.co</t>
  </si>
  <si>
    <t>nubia.cortes@unisabana.edu.co</t>
  </si>
  <si>
    <t>nicolas.mejia1@unisabana.edu.co</t>
  </si>
  <si>
    <t>brayan.buitrago@unisabana.edu.co</t>
  </si>
  <si>
    <t>katherincalma@unisabana.edu.co</t>
  </si>
  <si>
    <t>adriana.cortes@unisabana.edu.co</t>
  </si>
  <si>
    <t>maria.garzon9@unisabana.edu.co</t>
  </si>
  <si>
    <t>gladys.guerrero@unisabana.edu.co</t>
  </si>
  <si>
    <t>juan.ramirez10@unisabana.edu.co</t>
  </si>
  <si>
    <t>johana.rubiano1@unisabana.edu.co</t>
  </si>
  <si>
    <t>angela.baquero@unisabana.edu.co</t>
  </si>
  <si>
    <t>angelica.barrios@unisabana.edu.co</t>
  </si>
  <si>
    <t>laura.bermudez3@unisabana.edu.co</t>
  </si>
  <si>
    <t>ana.cely@unisabana.edu.co</t>
  </si>
  <si>
    <t>camilo.fernandez1@unisabana.edu.co</t>
  </si>
  <si>
    <t>maria.hernandez3@unisabana.edu.co</t>
  </si>
  <si>
    <t>jorge.medina@unisabana.edu.co</t>
  </si>
  <si>
    <t>catalina.rivera2@unisabana.edu.co</t>
  </si>
  <si>
    <t>angelica.rodriguez@unisabana.edu.co</t>
  </si>
  <si>
    <t>leidy.ruiz2@unisabana.edu.co</t>
  </si>
  <si>
    <t>cristian.santos@unisabana.edu.co</t>
  </si>
  <si>
    <t>yuli.tellez@unisabana.edu.co</t>
  </si>
  <si>
    <t>sulmavemo@unisabana.edu.co</t>
  </si>
  <si>
    <t>nubia.abella@unisabana.edu.co</t>
  </si>
  <si>
    <t>paula.alfonso1@unisabana.edu.co</t>
  </si>
  <si>
    <t>maria.baez@unisabana.edu.co</t>
  </si>
  <si>
    <t>martha.barrera1@unisabana.edu.co</t>
  </si>
  <si>
    <t>laura.clavijo1@unisabana.edu.co</t>
  </si>
  <si>
    <t>juan.correa1@unisabana.edu.co</t>
  </si>
  <si>
    <t>yenifer.corredor@unisabana.edu.co</t>
  </si>
  <si>
    <t>monica.cubillos@unisabana.edu.co</t>
  </si>
  <si>
    <t>erika.diagama@unisabana.edu.co</t>
  </si>
  <si>
    <t>ana.garcia@unisabana.edu.co</t>
  </si>
  <si>
    <t>sergio.garcia1@unisabana.edu.co</t>
  </si>
  <si>
    <t>angie.herrera1@unisabana.edu.co</t>
  </si>
  <si>
    <t>carlos.leon6@unisabana.edu.co</t>
  </si>
  <si>
    <t>constanza.linares2@unisabana.edu.co</t>
  </si>
  <si>
    <t>francyliva@unisabana.edu.co</t>
  </si>
  <si>
    <t>ruth.malaver@unisabana.edu.co</t>
  </si>
  <si>
    <t>jose.restrepo1@unisabana.edu.co</t>
  </si>
  <si>
    <t>karen.rodriguez7@unisabana.edu.co</t>
  </si>
  <si>
    <t>maria.rojas24@unisabana.edu.co</t>
  </si>
  <si>
    <t>Jenny.sarmiento@unisabana.edu.co</t>
  </si>
  <si>
    <t>maria.sierra7@unisabana.edu.co</t>
  </si>
  <si>
    <t>ivan.alarcon@unisabana.edu.co</t>
  </si>
  <si>
    <t>gladys.bello@unisabana.edu.co</t>
  </si>
  <si>
    <t>clara.rico@unisabana.edu.co</t>
  </si>
  <si>
    <t>catalinacava@unisabana.edu.co</t>
  </si>
  <si>
    <t>nicolas.barreto@unisabana.edu.co</t>
  </si>
  <si>
    <t>jenny.boyaca@unisabana.edu.co</t>
  </si>
  <si>
    <t>diego.gomez8@unisabana.edu.co</t>
  </si>
  <si>
    <t>fredy.gonzalez@unisabana.edu.co</t>
  </si>
  <si>
    <t>viviana.hernandez1@unisabana.edu.co</t>
  </si>
  <si>
    <t>marthalc@unisabana.edu.co</t>
  </si>
  <si>
    <t>hector.martinez1@unisabana.edu.co</t>
  </si>
  <si>
    <t>wilmar.molina@unisabana.edu.co</t>
  </si>
  <si>
    <t>diego.monsalve1@unisabana.edu.co</t>
  </si>
  <si>
    <t>gustavo.nino@unisabana.edu.co</t>
  </si>
  <si>
    <t>andres.pinzon1@unisabana.edu.co</t>
  </si>
  <si>
    <t>reina.rodriguez@unisabana.edu.co</t>
  </si>
  <si>
    <t>diana.torres7@unisabana.edu.co</t>
  </si>
  <si>
    <t>ricardo.vargas@unisabana.edu.co</t>
  </si>
  <si>
    <t>yuli.vargas@unisabana.edu.co</t>
  </si>
  <si>
    <t>mirabell.moscote@unisabana.edu.co</t>
  </si>
  <si>
    <t>ariana.padilla@unisabana.edu.co</t>
  </si>
  <si>
    <t>lina.zerrate@unisabana.edu.co</t>
  </si>
  <si>
    <t>jeniffer.camargo@unisabana.edu.co</t>
  </si>
  <si>
    <t>alejandra.cepeda@unisabana.edu.co</t>
  </si>
  <si>
    <t>jennifer.forero1@unisabana.edu.co</t>
  </si>
  <si>
    <t>diana.gaitan1@unisabana.edu.co</t>
  </si>
  <si>
    <t>natalia.galeano@unisabana.edu.co</t>
  </si>
  <si>
    <t>lady.gomez3@unisabana.edu.co</t>
  </si>
  <si>
    <t>luisa.gonzalez1@unisabana.edu.co</t>
  </si>
  <si>
    <t>nubia.ortega@unisabana.edu.co</t>
  </si>
  <si>
    <t>paula.pachon@unisabana.edu.co</t>
  </si>
  <si>
    <t>adriana.poveda@unisabana.edu.co</t>
  </si>
  <si>
    <t>angelica.prada@unisabana.edu.co</t>
  </si>
  <si>
    <t>carmen.rincon@unisabana.edu.co</t>
  </si>
  <si>
    <t>alvaro.rodriguez3@unisabana.edu.co</t>
  </si>
  <si>
    <t>valentina.toro@unisabana.edu.co</t>
  </si>
  <si>
    <t>beatriz.vargas@unisabana.edu.co</t>
  </si>
  <si>
    <t>gabriel.amaya@unisabana.edu.co</t>
  </si>
  <si>
    <t>paulo.chaparro@unisabana.edu.co</t>
  </si>
  <si>
    <t>ligia.coque@unisabana.edu.co</t>
  </si>
  <si>
    <t>diana.delgado1@unisabana.edu.co</t>
  </si>
  <si>
    <t>john.gutierrez@unisabana.edu.co</t>
  </si>
  <si>
    <t>maria.henriquez@unisabana.edu.co</t>
  </si>
  <si>
    <t>hector.leiva@unisabana.edu.co</t>
  </si>
  <si>
    <t>lauramaor@unisabana.edu.co</t>
  </si>
  <si>
    <t>JohannaMR@unisabana.edu.co</t>
  </si>
  <si>
    <t>ana.noriega1@unisabana.edu.co</t>
  </si>
  <si>
    <t>paula.ramirez1@unisabana.edu.co</t>
  </si>
  <si>
    <t>laura.ruiz4@unisabana.edu.co</t>
  </si>
  <si>
    <t>laura.silgado@unisabana.edu.co</t>
  </si>
  <si>
    <t>nini.soto@unisabana.edu.co</t>
  </si>
  <si>
    <t>john.torres@unisabana.edu.co</t>
  </si>
  <si>
    <t>laura.torres7@unisabana.edu.co</t>
  </si>
  <si>
    <t>maria.vesga@unisabana.edu.co</t>
  </si>
  <si>
    <t>geimer.ariza@unisabana.edu.co</t>
  </si>
  <si>
    <t>laura.barajas1@unisabana.edu.co</t>
  </si>
  <si>
    <t>maria.bossa@unisabana.edu.co</t>
  </si>
  <si>
    <t>javier.castaneda@unisabana.edu.co</t>
  </si>
  <si>
    <t>jennyffer.chapeton@unisabana.edu.co</t>
  </si>
  <si>
    <t>wilson.gallo@unisabana.edu.co</t>
  </si>
  <si>
    <t>arnulfo.garcia1@unisabana.edu.co</t>
  </si>
  <si>
    <t>juan.garnica@unisabana.edu.co</t>
  </si>
  <si>
    <t>sandra.giraldo1@unisabana.edu.co</t>
  </si>
  <si>
    <t>jonathan.gomez2@unisabana.edu.co</t>
  </si>
  <si>
    <t>jorge.gonzalez4@unisabana.edu.co</t>
  </si>
  <si>
    <t>nicolas.hernandez@unisabana.edu.co</t>
  </si>
  <si>
    <t>julio.jimenez@unisabana.edu.co</t>
  </si>
  <si>
    <t>juan.jimenez14@unisabana.edu.co</t>
  </si>
  <si>
    <t>jaime.jimenez@unisabana.edu.co</t>
  </si>
  <si>
    <t>luisa.lopez3@unisabana.edu.co</t>
  </si>
  <si>
    <t>maria.manrique@unisabana.edu.co</t>
  </si>
  <si>
    <t>andres.montanez@unisabana.edu.co</t>
  </si>
  <si>
    <t>jose.nieto3@unisabana.edu.co</t>
  </si>
  <si>
    <t>jhon.ortiz@unisabana.edu.co</t>
  </si>
  <si>
    <t>nicolas.pachon1@unisabana.edu.co</t>
  </si>
  <si>
    <t>melissa.padilla@unisabana.edu.co</t>
  </si>
  <si>
    <t>john.robayo@unisabana.edu.co</t>
  </si>
  <si>
    <t>blanca.santana@unisabana.edu.co</t>
  </si>
  <si>
    <t>daniel.serna1@unisabana.edu.co</t>
  </si>
  <si>
    <t>jeisson.silva1@unisabana.edu.co</t>
  </si>
  <si>
    <t>mauricio.unate@unisabana.edu.co</t>
  </si>
  <si>
    <t>jonathan.valero@unisabana.edu.co</t>
  </si>
  <si>
    <t>hercein.ardila@unisabana.edu.co</t>
  </si>
  <si>
    <t>henry.chicuazuque@unisabana.edu.co</t>
  </si>
  <si>
    <t>yarithza.galindo@unisabana.edu.co</t>
  </si>
  <si>
    <t>beatriz.garzon@unisabana.edu.co</t>
  </si>
  <si>
    <t>luis.gonzalez@unisabana.edu.co</t>
  </si>
  <si>
    <t>victor.gonzalez1@unisabana.edu.co</t>
  </si>
  <si>
    <t>luz.medina2@unisabana.edu.co</t>
  </si>
  <si>
    <t>hector.perez@unisabana.edu.co</t>
  </si>
  <si>
    <t>robinson.cely@unisabana.edu.co</t>
  </si>
  <si>
    <t>edwin.chacon@unisabana.edu.co</t>
  </si>
  <si>
    <t>jorgegoga@unisabana.edu.co</t>
  </si>
  <si>
    <t>edna.rodriguez2@unisabana.edu.co</t>
  </si>
  <si>
    <t>ingrid.contreras@unisabana.edu.co</t>
  </si>
  <si>
    <t>paola.cruz2@unisabana.edu.co</t>
  </si>
  <si>
    <t>liseth.romero@unisabana.edu.co</t>
  </si>
  <si>
    <t>lina.molina@unisabana.edu.co</t>
  </si>
  <si>
    <t>lizeth.abril@unisabana.edu.co</t>
  </si>
  <si>
    <t>nelcy.alfonso@unisabana.edu.co</t>
  </si>
  <si>
    <t>ayran.astorquiza@unisabana.edu.co</t>
  </si>
  <si>
    <t>valentina.briceno@unisabana.edu.co</t>
  </si>
  <si>
    <t>jenny.bustos@unisabana.edu.co</t>
  </si>
  <si>
    <t>leonardo.camacho@unisabana.edu.co</t>
  </si>
  <si>
    <t>sandra.castro1@unisabana.edu.co</t>
  </si>
  <si>
    <t>maria.chaves@unisabana.edu.co</t>
  </si>
  <si>
    <t>diana.gomez10@unisabana.edu.co</t>
  </si>
  <si>
    <t>jorge.gonzalez3@unisabana.edu.co</t>
  </si>
  <si>
    <t>juan.gonzalez2@unisabana.edu.co</t>
  </si>
  <si>
    <t>maria.gutierrez@unisabana.edu.co</t>
  </si>
  <si>
    <t>neider.herrera@unisabana.edu.co</t>
  </si>
  <si>
    <t>rafael.leuro@unisabana.edu.co</t>
  </si>
  <si>
    <t>andres.londono2@unisabana.edu.co</t>
  </si>
  <si>
    <t>jonathan.mancipe@unisabana.edu.co</t>
  </si>
  <si>
    <t>carol.pardo1@unisabana.edu.co</t>
  </si>
  <si>
    <t>juan.pedraza@unisabana.edu.co</t>
  </si>
  <si>
    <t>NiniRA@unisabana.edu.co</t>
  </si>
  <si>
    <t>alejandra.rojas@unisabana.edu.co</t>
  </si>
  <si>
    <t>Oscarrc@unisabana.edu.co</t>
  </si>
  <si>
    <t>ivan.soto@unisabana.edu.co</t>
  </si>
  <si>
    <t>janneth.suarez@unisabana.edu.co</t>
  </si>
  <si>
    <t>mireya.vargas@unisabana.edu.co</t>
  </si>
  <si>
    <t>jose.abella@unisabana.edu.co</t>
  </si>
  <si>
    <t>norberto.acero@unisabana.edu.co</t>
  </si>
  <si>
    <t>jose.arevalo@unisabana.edu.co</t>
  </si>
  <si>
    <t>yeimi.avellaneda@unisabana.edu.co</t>
  </si>
  <si>
    <t>ginna.barrera@unisabana.edu.co</t>
  </si>
  <si>
    <t>yuli.caicedo@unisabana.edu.co</t>
  </si>
  <si>
    <t>carlos.ceballos@unisabana.edu.co</t>
  </si>
  <si>
    <t>marybelsy.colorado@unisabana.edu.co</t>
  </si>
  <si>
    <t>ivan.cristancho@unisabana.edu.co</t>
  </si>
  <si>
    <t>Luz.gomez3@unisabana.edu.co</t>
  </si>
  <si>
    <t>ana.gonzalez4@unisabana.edu.co</t>
  </si>
  <si>
    <t>heyleen.londono@unisabana.edu.co</t>
  </si>
  <si>
    <t>magda.lopez@unisabana.edu.co</t>
  </si>
  <si>
    <t>ana.mendez@unisabana.edu.co</t>
  </si>
  <si>
    <t>suly.monroy@unisabana.edu.co</t>
  </si>
  <si>
    <t>roy.ovalle@unisabana.edu.co</t>
  </si>
  <si>
    <t>cindy.pachon@unisabana.edu.co</t>
  </si>
  <si>
    <t>leidy.padilla@unisabana.edu.co</t>
  </si>
  <si>
    <t>carlos.parada2@unisabana.edu.co</t>
  </si>
  <si>
    <t>carlos.plazas1@unisabana.edu.co</t>
  </si>
  <si>
    <t>sandra.porras@unisabana.edu.co</t>
  </si>
  <si>
    <t>yonatan.poveda@unisabana.edu.co</t>
  </si>
  <si>
    <t>freddy.ramirez3@unisabana.edu.co</t>
  </si>
  <si>
    <t>diego.reyes1@unisabana.edu.co</t>
  </si>
  <si>
    <t>claudia.rincon@unisabana.edu.co</t>
  </si>
  <si>
    <t>edwin.rodriguez3@unisabana.edu.co</t>
  </si>
  <si>
    <t>andrea.salgado1@unisabana.edu.co</t>
  </si>
  <si>
    <t>constanza.sanchez@unisabana.edu.co</t>
  </si>
  <si>
    <t>magda.tarazona@unisabana.edu.co</t>
  </si>
  <si>
    <t>andres.tellez@unisabana.edu.co</t>
  </si>
  <si>
    <t>diana.tiempos@unisabana.edu.co</t>
  </si>
  <si>
    <t>jhoshuan.vanegas@unisabana.edu.co</t>
  </si>
  <si>
    <t>johnnathan.abril@unisabana.edu.co</t>
  </si>
  <si>
    <t>andres.daza@unisabana.edu.co</t>
  </si>
  <si>
    <t>jennifer.martinez1@unisabana.edu.co</t>
  </si>
  <si>
    <t>andrea.pineros@unisabana.edu.co</t>
  </si>
  <si>
    <t>ivonne.leon@unisabana.edu.co</t>
  </si>
  <si>
    <t>dora.montano@unisabana.edu.co</t>
  </si>
  <si>
    <t>carlos.roa2@unisabana.edu.co</t>
  </si>
  <si>
    <t>sergio.rondon@unisabana.edu.co</t>
  </si>
  <si>
    <t>margie.toscano@unisabana.edu.co</t>
  </si>
  <si>
    <t>angela.mejia1@unisabana.edu.co</t>
  </si>
  <si>
    <t>cristina.quintero@unisabana.edu.co</t>
  </si>
  <si>
    <t>maria.vazquez@unisabana.edu.co</t>
  </si>
  <si>
    <t>leidy.villamil@unisabana.edu.co</t>
  </si>
  <si>
    <t>valentina.zapata@unisabana.edu.co</t>
  </si>
  <si>
    <t>david.cuesta1@unisabana.edu.co</t>
  </si>
  <si>
    <t>andres.gutierrez5@unisabana.edu.co</t>
  </si>
  <si>
    <t>yuri.montano@unisabana.edu.co</t>
  </si>
  <si>
    <t>andrea.galindo@unisabana.edu.co</t>
  </si>
  <si>
    <t>cristian.mejia1@unisabana.edu.co</t>
  </si>
  <si>
    <t>deisy.paez@unisabana.edu.co</t>
  </si>
  <si>
    <t>gloria.ruiz1@unisabana.edu.co</t>
  </si>
  <si>
    <t>ana.rozo1@unisabana.edu.co</t>
  </si>
  <si>
    <t>leidy.mercado@unisabana.edu.co</t>
  </si>
  <si>
    <t>liliana.caro@unisabana.edu.co</t>
  </si>
  <si>
    <t>juan.bernal1@unisabana.edu.co</t>
  </si>
  <si>
    <t>maria.ardila4@unisabana.edu.co</t>
  </si>
  <si>
    <t>julieth.bayona@unisabana.edu.co</t>
  </si>
  <si>
    <t>maria.caceres2@unisabana.edu.co</t>
  </si>
  <si>
    <t>laura.cuervo@unisabana.edu.co</t>
  </si>
  <si>
    <t>nancy.diaz@unisabana.edu.co</t>
  </si>
  <si>
    <t>erika.flechas1@unisabana.edu.co</t>
  </si>
  <si>
    <t>laura.gonzalez11@unisabana.edu.co</t>
  </si>
  <si>
    <t>laura.melo1@unisabana.edu.co</t>
  </si>
  <si>
    <t>mario.pinzon@unisabana.edu.co</t>
  </si>
  <si>
    <t>laura.rodriguez16@unisabana.edu.co</t>
  </si>
  <si>
    <t>nathaly.valcarcel@unisabana.edu.co</t>
  </si>
  <si>
    <t>diana.gomez6@unisabana.edu.co</t>
  </si>
  <si>
    <t>pilar.duarte@unisabana.edu.co</t>
  </si>
  <si>
    <t>monica.farfan@unisabana.edu.co</t>
  </si>
  <si>
    <t>luz.lagos@unisabana.edu.co</t>
  </si>
  <si>
    <t>ana.montenegro@unisabana.edu.co</t>
  </si>
  <si>
    <t>sandra.casallas1@unisabana.edu.co</t>
  </si>
  <si>
    <t>lina.gomez1@unisabana.edu.co</t>
  </si>
  <si>
    <t>viviana.valcarcel@unisabana.edu.co</t>
  </si>
  <si>
    <t>luisa.berruecos@unisabana.edu.co</t>
  </si>
  <si>
    <t>laura.bobadilla@unisabana.edu.co</t>
  </si>
  <si>
    <t>sandragozu@unisabana.edu.co</t>
  </si>
  <si>
    <t>erick.ladino@unisabana.edu.co</t>
  </si>
  <si>
    <t>diana.ordonez@unisabana.edu.co</t>
  </si>
  <si>
    <t>yurani.vargas@unisabana.edu.co</t>
  </si>
  <si>
    <t>mariluz.acosta@unisabana.edu.co</t>
  </si>
  <si>
    <t>laura.benavides1@unisabana.edu.co</t>
  </si>
  <si>
    <t>anamaria.cardenas@unisabana.edu.co</t>
  </si>
  <si>
    <t>laura.castro1@unisabana.edu.co</t>
  </si>
  <si>
    <t>andres.caviedes@unisabana.edu.co</t>
  </si>
  <si>
    <t>luis.diaz3@unisabana.edu.co</t>
  </si>
  <si>
    <t>jose.escobar@unisabana.edu.co</t>
  </si>
  <si>
    <t>julian.gutierrez1@unisabana.edu.co</t>
  </si>
  <si>
    <t>nathalia.gutierrez@unisabana.edu.co</t>
  </si>
  <si>
    <t>deicy.mogollon@unisabana.edu.co</t>
  </si>
  <si>
    <t>omar.neira@unisabana.edu.co</t>
  </si>
  <si>
    <t>viviana.nova@unisabana.edu.co</t>
  </si>
  <si>
    <t>katherine.ortiz@unisabana.edu.co</t>
  </si>
  <si>
    <t>karen.oviedo@unisabana.edu.co</t>
  </si>
  <si>
    <t>sebastian.penuela@unisabana.edu.co</t>
  </si>
  <si>
    <t>martha.rojas1@unisabana.edu.co</t>
  </si>
  <si>
    <t>fabio.sandoval@unisabana.edu.co</t>
  </si>
  <si>
    <t>brigitte.zabala@unisabana.edu.co</t>
  </si>
  <si>
    <t>luis.angel1@unisabana.edu.co</t>
  </si>
  <si>
    <t>oswaldo.chavez@unisabana.edu.co</t>
  </si>
  <si>
    <t>emilse.cortes@unisabana.edu.co</t>
  </si>
  <si>
    <t>marisol.cuevas@unisabana.edu.co</t>
  </si>
  <si>
    <t>deisy.florez@unisabana.edu.co</t>
  </si>
  <si>
    <t>ana.galvis@unisabana.edu.co</t>
  </si>
  <si>
    <t>sandra.garcia5@unisabana.edu.co</t>
  </si>
  <si>
    <t>karen.gayon@unisabana.edu.co</t>
  </si>
  <si>
    <t>sandra.gomez2@unisabana.edu.co</t>
  </si>
  <si>
    <t>nancy.gonzalez@unisabana.edu.co</t>
  </si>
  <si>
    <t>jorge.hernandez4@unisabana.edu.co</t>
  </si>
  <si>
    <t>daniel.leiva@unisabana.edu.co</t>
  </si>
  <si>
    <t>miguel.leon@unisabana.edu.co</t>
  </si>
  <si>
    <t>anyi.marin@unisabana.edu.co</t>
  </si>
  <si>
    <t>gina.mendez1@unisabana.edu.co</t>
  </si>
  <si>
    <t>katherinne.morantes@unisabana.edu.co</t>
  </si>
  <si>
    <t>ivan.ospina@unisabana.edu.co</t>
  </si>
  <si>
    <t>aida.pena@unisabana.edu.co</t>
  </si>
  <si>
    <t>jaime.pinzon@unisabana.edu.co</t>
  </si>
  <si>
    <t>camilo.ramirez1@unisabana.edu.co</t>
  </si>
  <si>
    <t>steven.rubiano@unisabana.edu.co</t>
  </si>
  <si>
    <t>andrey.sanchez1@unisabana.edu.co</t>
  </si>
  <si>
    <t>maria.sanchez32@unisabana.edu.co</t>
  </si>
  <si>
    <t>andres.sastoque@unisabana.edu.co</t>
  </si>
  <si>
    <t>ana.zuluaga@unisabana.edu.co</t>
  </si>
  <si>
    <t>jenny.londono@unisabana.edu.co</t>
  </si>
  <si>
    <t>sfairha.moreno@unisabana.edu.co</t>
  </si>
  <si>
    <t>manuela.pena1@unisabana.edu.co</t>
  </si>
  <si>
    <t>liliana.pinilla3@unisabana.edu.co</t>
  </si>
  <si>
    <t>paularoasa@unisabana.edu.co</t>
  </si>
  <si>
    <t>maria.guaje@unisabana.edu.co</t>
  </si>
  <si>
    <t>mpatricia.jimenez@unisabana.edu.co</t>
  </si>
  <si>
    <t>gustavo.joya1@unisabana.edu.co</t>
  </si>
  <si>
    <t>angelica.alarcon@unisabana.edu.co</t>
  </si>
  <si>
    <t>claudia.borda@unisabana.edu.co</t>
  </si>
  <si>
    <t>oscar.calle@unisabana.edu.co</t>
  </si>
  <si>
    <t>veronica.castro@unisabana.edu.co</t>
  </si>
  <si>
    <t>maria.copete@unisabana.edu.co</t>
  </si>
  <si>
    <t>jaime.diaz1@unisabana.edu.co</t>
  </si>
  <si>
    <t>marlyn.garcia@unisabana.edu.co</t>
  </si>
  <si>
    <t>angie.guartos@unisabana.edu.co</t>
  </si>
  <si>
    <t>lina.lopez1@unisabana.edu.co</t>
  </si>
  <si>
    <t>yenny.lopez@unisabana.edu.co</t>
  </si>
  <si>
    <t>carlos.manrique4@unisabana.edu.co</t>
  </si>
  <si>
    <t>andrea.moreno1@unisabana.edu.co</t>
  </si>
  <si>
    <t>lizeth.pulido@unisabana.edu.co</t>
  </si>
  <si>
    <t>laura.ramireza@unisabana.edu.co</t>
  </si>
  <si>
    <t>paula.rodriguez6@unisabana.edu.co</t>
  </si>
  <si>
    <t>nancy.torres1@unisabana.edu.co</t>
  </si>
  <si>
    <t>john.alba@unisabana.edu.co</t>
  </si>
  <si>
    <t>ingrid.anzelin@unisabana.edu.co</t>
  </si>
  <si>
    <t>camila.rodriguez3@unisabana.edu.co</t>
  </si>
  <si>
    <t>diana.maya@unisabana.edu.co</t>
  </si>
  <si>
    <t>david.ramirez7@unisabana.edu.co</t>
  </si>
  <si>
    <t>merly.jimenez@unisabana.edu.co</t>
  </si>
  <si>
    <t>catherine.prieto@unisabana.edu.co</t>
  </si>
  <si>
    <t>anyerly.murcia@unisabana.edu.co</t>
  </si>
  <si>
    <t>FACULTAD</t>
  </si>
  <si>
    <t>Cod Facultad</t>
  </si>
  <si>
    <t>Cod Programa</t>
  </si>
  <si>
    <t>NOMBRES Y APELLIDOS</t>
  </si>
  <si>
    <t>SEMESTRE</t>
  </si>
  <si>
    <t>ESTADO</t>
  </si>
  <si>
    <t>FECHA INGRESO DATOS</t>
  </si>
  <si>
    <t>FECHA ENVÍO CORREO</t>
  </si>
  <si>
    <t>ESTADO DE ENVÍO</t>
  </si>
  <si>
    <t>Corredor Aristizabal Manuel Alberto</t>
  </si>
  <si>
    <t>manuelcoar@unisabana.edu.co</t>
  </si>
  <si>
    <t>Nuevo</t>
  </si>
  <si>
    <t>https://Estud2024.sawtoothsoftware.com/cgi-bin/ciwweb.pl?studyname=Estud2024&amp;ID=1</t>
  </si>
  <si>
    <t>CASTAÑEDA JHOANN CAMILO</t>
  </si>
  <si>
    <t>jhoanncasca@unisabana.edu.co</t>
  </si>
  <si>
    <t>https://Estud2024.sawtoothsoftware.com/cgi-bin/ciwweb.pl?studyname=Estud2024&amp;ID=2</t>
  </si>
  <si>
    <t>AVILA BARBOSA TATIANA ALEXANDRA</t>
  </si>
  <si>
    <t>https://Estud2024.sawtoothsoftware.com/cgi-bin/ciwweb.pl?studyname=Estud2024&amp;ID=3</t>
  </si>
  <si>
    <t>FERNANDEZ RONCANCIO ANDRES</t>
  </si>
  <si>
    <t>https://Estud2024.sawtoothsoftware.com/cgi-bin/ciwweb.pl?studyname=Estud2024&amp;ID=4</t>
  </si>
  <si>
    <t>GUAZMAYAN MORENO FRANCE CAMILA</t>
  </si>
  <si>
    <t>francegumo@unisabana.edu.co</t>
  </si>
  <si>
    <t>https://Estud2024.sawtoothsoftware.com/cgi-bin/ciwweb.pl?studyname=Estud2024&amp;ID=5</t>
  </si>
  <si>
    <t>SANCHEZ GARCIA JOSE ANTONIO</t>
  </si>
  <si>
    <t>jose.sanchez7@unisabana.edu.co</t>
  </si>
  <si>
    <t>https://Estud2024.sawtoothsoftware.com/cgi-bin/ciwweb.pl?studyname=Estud2024&amp;ID=6</t>
  </si>
  <si>
    <t>DICARLO BLANCO RICARDO</t>
  </si>
  <si>
    <t>ricardodibl@unisabana.edu.co</t>
  </si>
  <si>
    <t>https://Estud2024.sawtoothsoftware.com/cgi-bin/ciwweb.pl?studyname=Estud2024&amp;ID=7</t>
  </si>
  <si>
    <t>DONOSO MUNITA JOSE AGUSTIN</t>
  </si>
  <si>
    <t>josedomu@unisabana.edu.co</t>
  </si>
  <si>
    <t>https://Estud2024.sawtoothsoftware.com/cgi-bin/ciwweb.pl?studyname=Estud2024&amp;ID=8</t>
  </si>
  <si>
    <t>HERNANDEZ RODRIGUEZ JUAN CAMILO</t>
  </si>
  <si>
    <t>JUANHR@UNISABANA.EDU.CO</t>
  </si>
  <si>
    <t>https://Estud2024.sawtoothsoftware.com/cgi-bin/ciwweb.pl?studyname=Estud2024&amp;ID=9</t>
  </si>
  <si>
    <t>COLLAZOS GERMAN</t>
  </si>
  <si>
    <t>germancogu@unisabana.edu.co</t>
  </si>
  <si>
    <t>https://Estud2024.sawtoothsoftware.com/cgi-bin/ciwweb.pl?studyname=Estud2024&amp;ID=10</t>
  </si>
  <si>
    <t>LONDOÑO PARDO OSCAR IVAN</t>
  </si>
  <si>
    <t>oscarlopa@unisabana.edu.co</t>
  </si>
  <si>
    <t>https://Estud2024.sawtoothsoftware.com/cgi-bin/ciwweb.pl?studyname=Estud2024&amp;ID=11</t>
  </si>
  <si>
    <t>CENDALES REY JUAN GABRIEL</t>
  </si>
  <si>
    <t>juancere@unisabana.edu.co</t>
  </si>
  <si>
    <t>https://Estud2024.sawtoothsoftware.com/cgi-bin/ciwweb.pl?studyname=Estud2024&amp;ID=12</t>
  </si>
  <si>
    <t>DENARO MAXIMILIANO EZEQUIEL</t>
  </si>
  <si>
    <t>maximilianode@unisabana.edu.co</t>
  </si>
  <si>
    <t>https://Estud2024.sawtoothsoftware.com/cgi-bin/ciwweb.pl?studyname=Estud2024&amp;ID=13</t>
  </si>
  <si>
    <t>HERNANDEZ CASTAÑEDA NICOLAS</t>
  </si>
  <si>
    <t>nicolashehe@unisabana.edu.co</t>
  </si>
  <si>
    <t>https://Estud2024.sawtoothsoftware.com/cgi-bin/ciwweb.pl?studyname=Estud2024&amp;ID=14</t>
  </si>
  <si>
    <t>HERNANDEZ ZORRO GUILLERMO ANDRES</t>
  </si>
  <si>
    <t>guillermohezo@unisabana.edu.co</t>
  </si>
  <si>
    <t>https://Estud2024.sawtoothsoftware.com/cgi-bin/ciwweb.pl?studyname=Estud2024&amp;ID=15</t>
  </si>
  <si>
    <t>OLAYA HENAO GERALDINE JULIETH</t>
  </si>
  <si>
    <t>geraldineolhe@unisabana.edu.co</t>
  </si>
  <si>
    <t>https://Estud2024.sawtoothsoftware.com/cgi-bin/ciwweb.pl?studyname=Estud2024&amp;ID=16</t>
  </si>
  <si>
    <t>RAMIREZ ARIAS ELDA MARGOT</t>
  </si>
  <si>
    <t>elda.ramirez@unisabana.edu.co</t>
  </si>
  <si>
    <t>https://Estud2024.sawtoothsoftware.com/cgi-bin/ciwweb.pl?studyname=Estud2024&amp;ID=17</t>
  </si>
  <si>
    <t>RODRIGUEZ NOVOA LAURA VALENTINA</t>
  </si>
  <si>
    <t>laurarono@unisabana.edu.co</t>
  </si>
  <si>
    <t>https://Estud2024.sawtoothsoftware.com/cgi-bin/ciwweb.pl?studyname=Estud2024&amp;ID=18</t>
  </si>
  <si>
    <t>VALENCIA CHAVARRO STEPHANIE</t>
  </si>
  <si>
    <t>stephanievach@unisabana.edu.co</t>
  </si>
  <si>
    <t>https://Estud2024.sawtoothsoftware.com/cgi-bin/ciwweb.pl?studyname=Estud2024&amp;ID=19</t>
  </si>
  <si>
    <t>VEGA CARDENAS MARIA CAMILA</t>
  </si>
  <si>
    <t>mariavegcar@unisabana.edu.co</t>
  </si>
  <si>
    <t>https://Estud2024.sawtoothsoftware.com/cgi-bin/ciwweb.pl?studyname=Estud2024&amp;ID=20</t>
  </si>
  <si>
    <t xml:space="preserve">TATIANA MORALES VALDERRAMA </t>
  </si>
  <si>
    <t>tatianamorva@unisabana.edu.co</t>
  </si>
  <si>
    <t>https://Estud2024.sawtoothsoftware.com/cgi-bin/ciwweb.pl?studyname=Estud2024&amp;ID=21</t>
  </si>
  <si>
    <t>PERDOMO ORTEGA DANIELA</t>
  </si>
  <si>
    <t>danielapeor@unisabana.edu.co</t>
  </si>
  <si>
    <t>https://Estud2024.sawtoothsoftware.com/cgi-bin/ciwweb.pl?studyname=Estud2024&amp;ID=22</t>
  </si>
  <si>
    <t>CUBILLOS LOVERA DIANA KARIN</t>
  </si>
  <si>
    <t>dianacublo@unisabana.edu.co</t>
  </si>
  <si>
    <t>https://Estud2024.sawtoothsoftware.com/cgi-bin/ciwweb.pl?studyname=Estud2024&amp;ID=23</t>
  </si>
  <si>
    <t>DIAZ MENCO MARIA CAMILA</t>
  </si>
  <si>
    <t>mariadiame@unisabana.edu.co</t>
  </si>
  <si>
    <t>https://Estud2024.sawtoothsoftware.com/cgi-bin/ciwweb.pl?studyname=Estud2024&amp;ID=24</t>
  </si>
  <si>
    <t>GARZON QUIJANO LAURA SOFIA</t>
  </si>
  <si>
    <t>lauragarqu@unisabana.edu.co</t>
  </si>
  <si>
    <t>https://Estud2024.sawtoothsoftware.com/cgi-bin/ciwweb.pl?studyname=Estud2024&amp;ID=25</t>
  </si>
  <si>
    <t>OSUNA COTRINO ANGELA DAYANA</t>
  </si>
  <si>
    <t>angelaosco@unisabana.edu.co</t>
  </si>
  <si>
    <t>https://Estud2024.sawtoothsoftware.com/cgi-bin/ciwweb.pl?studyname=Estud2024&amp;ID=26</t>
  </si>
  <si>
    <t>REYES URIBE ANGELA MARIA</t>
  </si>
  <si>
    <t>angelareur@unisabana.edu.co</t>
  </si>
  <si>
    <t>https://Estud2024.sawtoothsoftware.com/cgi-bin/ciwweb.pl?studyname=Estud2024&amp;ID=27</t>
  </si>
  <si>
    <t>SANCHEZ ORDUZ TATIANA</t>
  </si>
  <si>
    <t>tatianasaor@unisabana.edu.co</t>
  </si>
  <si>
    <t>https://Estud2024.sawtoothsoftware.com/cgi-bin/ciwweb.pl?studyname=Estud2024&amp;ID=28</t>
  </si>
  <si>
    <t>BERNAL CEPEDA JORGE HUMBERTO</t>
  </si>
  <si>
    <t>jorgebece@unisabana.edu.co</t>
  </si>
  <si>
    <t>https://Estud2024.sawtoothsoftware.com/cgi-bin/ciwweb.pl?studyname=Estud2024&amp;ID=29</t>
  </si>
  <si>
    <t>BETANCUR GARCIA OSCAR FERNANDO</t>
  </si>
  <si>
    <t>oscarbega@unisabana.edu.co</t>
  </si>
  <si>
    <t>https://Estud2024.sawtoothsoftware.com/cgi-bin/ciwweb.pl?studyname=Estud2024&amp;ID=30</t>
  </si>
  <si>
    <t>CALDERON CARRERA CARLOS ANDRES</t>
  </si>
  <si>
    <t>carloscalca@unisabana.edu.co</t>
  </si>
  <si>
    <t>https://Estud2024.sawtoothsoftware.com/cgi-bin/ciwweb.pl?studyname=Estud2024&amp;ID=31</t>
  </si>
  <si>
    <t>CARVAJAL SALGADO NIELSSEN MARIA</t>
  </si>
  <si>
    <t>nielssencasa@unisabana.edu.co</t>
  </si>
  <si>
    <t>https://Estud2024.sawtoothsoftware.com/cgi-bin/ciwweb.pl?studyname=Estud2024&amp;ID=32</t>
  </si>
  <si>
    <t>ESPINOSA BERNAL DANIELA</t>
  </si>
  <si>
    <t>danielaesbe@unisabana.edu.co</t>
  </si>
  <si>
    <t>https://Estud2024.sawtoothsoftware.com/cgi-bin/ciwweb.pl?studyname=Estud2024&amp;ID=33</t>
  </si>
  <si>
    <t>GOMEZ CORTES INGRID CATHERINE</t>
  </si>
  <si>
    <t>ingridgoco@unisabana.edu.co</t>
  </si>
  <si>
    <t>https://Estud2024.sawtoothsoftware.com/cgi-bin/ciwweb.pl?studyname=Estud2024&amp;ID=34</t>
  </si>
  <si>
    <t>JATIVA ENRIQUEZ LILIANA ISABELA</t>
  </si>
  <si>
    <t>lilianajaen@unisabana.edu.co</t>
  </si>
  <si>
    <t>https://Estud2024.sawtoothsoftware.com/cgi-bin/ciwweb.pl?studyname=Estud2024&amp;ID=35</t>
  </si>
  <si>
    <t>MESA GIRALDO DANIELA</t>
  </si>
  <si>
    <t>danielamegi@unisabana.edu.co</t>
  </si>
  <si>
    <t>https://Estud2024.sawtoothsoftware.com/cgi-bin/ciwweb.pl?studyname=Estud2024&amp;ID=36</t>
  </si>
  <si>
    <t>NARIÑO MUÑOZ JOHANNA ALEJANDRA</t>
  </si>
  <si>
    <t>johannanamu@unisabana.edu.co</t>
  </si>
  <si>
    <t>https://Estud2024.sawtoothsoftware.com/cgi-bin/ciwweb.pl?studyname=Estud2024&amp;ID=37</t>
  </si>
  <si>
    <t>PEÑARANDA NIÑO JUAN PABLO</t>
  </si>
  <si>
    <t>juanpeni@unisabana.edu.co</t>
  </si>
  <si>
    <t>https://Estud2024.sawtoothsoftware.com/cgi-bin/ciwweb.pl?studyname=Estud2024&amp;ID=38</t>
  </si>
  <si>
    <t>PORRAS MAHECHA CRISTHIAN CAMILO</t>
  </si>
  <si>
    <t>cristhianpoma@unisabana.edu.co</t>
  </si>
  <si>
    <t>https://Estud2024.sawtoothsoftware.com/cgi-bin/ciwweb.pl?studyname=Estud2024&amp;ID=39</t>
  </si>
  <si>
    <t>RICARDO SOTO SERGIO JOSE</t>
  </si>
  <si>
    <t>sergioriso@unisabana.edu.co</t>
  </si>
  <si>
    <t>https://Estud2024.sawtoothsoftware.com/cgi-bin/ciwweb.pl?studyname=Estud2024&amp;ID=40</t>
  </si>
  <si>
    <t>SANCHEZ FARFAN SERGIO LEONARDO</t>
  </si>
  <si>
    <t>sergio.sanchez@unisabana.edu.co</t>
  </si>
  <si>
    <t>https://Estud2024.sawtoothsoftware.com/cgi-bin/ciwweb.pl?studyname=Estud2024&amp;ID=41</t>
  </si>
  <si>
    <t>SEGURA MONTENEGRO MARIA CAMILA</t>
  </si>
  <si>
    <t>mariasemo@unisabana.edu.co</t>
  </si>
  <si>
    <t>https://Estud2024.sawtoothsoftware.com/cgi-bin/ciwweb.pl?studyname=Estud2024&amp;ID=42</t>
  </si>
  <si>
    <t>VARGAS ROJAS ANA MARIA</t>
  </si>
  <si>
    <t>anavarro@unisabana.edu.co</t>
  </si>
  <si>
    <t>https://Estud2024.sawtoothsoftware.com/cgi-bin/ciwweb.pl?studyname=Estud2024&amp;ID=43</t>
  </si>
  <si>
    <t>ROJAS CAMACHO ANGELA MILENA</t>
  </si>
  <si>
    <t>angelarojc@unisabana.edu.co</t>
  </si>
  <si>
    <t>https://Estud2024.sawtoothsoftware.com/cgi-bin/ciwweb.pl?studyname=Estud2024&amp;ID=44</t>
  </si>
  <si>
    <t>AGUILAR ISAZA MARIA CAMILA</t>
  </si>
  <si>
    <t>mariaagis@unisabana.edu.co</t>
  </si>
  <si>
    <t>https://Estud2024.sawtoothsoftware.com/cgi-bin/ciwweb.pl?studyname=Estud2024&amp;ID=45</t>
  </si>
  <si>
    <t>ROJAS MEDINA JUAN DIEGO</t>
  </si>
  <si>
    <t>juanrojme@unisabana.edu.co</t>
  </si>
  <si>
    <t>https://Estud2024.sawtoothsoftware.com/cgi-bin/ciwweb.pl?studyname=Estud2024&amp;ID=46</t>
  </si>
  <si>
    <t>BOHORQUEZ CASTIBLANCO LISETH CAROLINA</t>
  </si>
  <si>
    <t>lizethbohca@unisabana.edu.co</t>
  </si>
  <si>
    <t>https://Estud2024.sawtoothsoftware.com/cgi-bin/ciwweb.pl?studyname=Estud2024&amp;ID=47</t>
  </si>
  <si>
    <t>LOPEZ ROLDAN YENNY MILENA</t>
  </si>
  <si>
    <t>yennylopro@unisabana.edu.co</t>
  </si>
  <si>
    <t>https://Estud2024.sawtoothsoftware.com/cgi-bin/ciwweb.pl?studyname=Estud2024&amp;ID=48</t>
  </si>
  <si>
    <t>MARTINEZ AYALA   CLAUDIA MILENA</t>
  </si>
  <si>
    <t>claudiamaay@unisabana.edu.co</t>
  </si>
  <si>
    <t>https://Estud2024.sawtoothsoftware.com/cgi-bin/ciwweb.pl?studyname=Estud2024&amp;ID=49</t>
  </si>
  <si>
    <t>RODRIGUEZ ANGARITA LINDA LORENA</t>
  </si>
  <si>
    <t>lindaroan@unisabana.edu.co</t>
  </si>
  <si>
    <t>https://Estud2024.sawtoothsoftware.com/cgi-bin/ciwweb.pl?studyname=Estud2024&amp;ID=50</t>
  </si>
  <si>
    <t>ABELLO VERBEL MARTHA LUCIA</t>
  </si>
  <si>
    <t>marthaabve@unisabana.edu.co</t>
  </si>
  <si>
    <t>https://Estud2024.sawtoothsoftware.com/cgi-bin/ciwweb.pl?studyname=Estud2024&amp;ID=51</t>
  </si>
  <si>
    <t>SIERRA GOMEZ MANUEL FERNANDO</t>
  </si>
  <si>
    <t>manuelsigo@unisabana.edu.co</t>
  </si>
  <si>
    <t>https://Estud2024.sawtoothsoftware.com/cgi-bin/ciwweb.pl?studyname=Estud2024&amp;ID=52</t>
  </si>
  <si>
    <t>MENDEZ COLMENARES RICARDO DANIEL</t>
  </si>
  <si>
    <t>ricardomeco@unisabana.edu.co</t>
  </si>
  <si>
    <t>https://Estud2024.sawtoothsoftware.com/cgi-bin/ciwweb.pl?studyname=Estud2024&amp;ID=53</t>
  </si>
  <si>
    <t>INSUASTY GARZON JUAN MANUEL</t>
  </si>
  <si>
    <t>juaninga@unisabana.edu.co</t>
  </si>
  <si>
    <t>https://Estud2024.sawtoothsoftware.com/cgi-bin/ciwweb.pl?studyname=Estud2024&amp;ID=54</t>
  </si>
  <si>
    <t>LADINO ORTIZ LEIDY JOHANNA</t>
  </si>
  <si>
    <t>leidylaor@unisabana.edu.co</t>
  </si>
  <si>
    <t>https://Estud2024.sawtoothsoftware.com/cgi-bin/ciwweb.pl?studyname=Estud2024&amp;ID=55</t>
  </si>
  <si>
    <t>RODRIGUEZ   YENNY LILIANA</t>
  </si>
  <si>
    <t>yennyro@unisabana.edu.co</t>
  </si>
  <si>
    <t>https://Estud2024.sawtoothsoftware.com/cgi-bin/ciwweb.pl?studyname=Estud2024&amp;ID=56</t>
  </si>
  <si>
    <t>VACA CLAVIJO NICOLAS ALEJANDRO</t>
  </si>
  <si>
    <t>nicolasvacl@unisabana.edu.co</t>
  </si>
  <si>
    <t>https://Estud2024.sawtoothsoftware.com/cgi-bin/ciwweb.pl?studyname=Estud2024&amp;ID=57</t>
  </si>
  <si>
    <t>PANAYOTTI MALDONADO DANIEL JOSUE</t>
  </si>
  <si>
    <t>danielpama@unisabana.edu.co</t>
  </si>
  <si>
    <t>https://Estud2024.sawtoothsoftware.com/cgi-bin/ciwweb.pl?studyname=Estud2024&amp;ID=58</t>
  </si>
  <si>
    <t>GONZALEZ HERRERA LAURA VANESSA</t>
  </si>
  <si>
    <t>lauragonhe@unisabana.edu.co</t>
  </si>
  <si>
    <t>https://Estud2024.sawtoothsoftware.com/cgi-bin/ciwweb.pl?studyname=Estud2024&amp;ID=59</t>
  </si>
  <si>
    <t>LOPEZ RODRIGUEZ LAURA LUCIA</t>
  </si>
  <si>
    <t>lauraloprod@unisabana.edu.co</t>
  </si>
  <si>
    <t>https://Estud2024.sawtoothsoftware.com/cgi-bin/ciwweb.pl?studyname=Estud2024&amp;ID=60</t>
  </si>
  <si>
    <t>GUTIERREZ SABBACH MARIA CAMILA</t>
  </si>
  <si>
    <t>mariagutsab@unisabana.edu.co</t>
  </si>
  <si>
    <t>https://Estud2024.sawtoothsoftware.com/cgi-bin/ciwweb.pl?studyname=Estud2024&amp;ID=61</t>
  </si>
  <si>
    <t>GUTIERREZ CANTOR MICHELLE CAMILA</t>
  </si>
  <si>
    <t>michelleguca@unisabana.edu.co</t>
  </si>
  <si>
    <t>https://Estud2024.sawtoothsoftware.com/cgi-bin/ciwweb.pl?studyname=Estud2024&amp;ID=62</t>
  </si>
  <si>
    <t>CUBILLOS GARCIA HEIDY JOHANNA</t>
  </si>
  <si>
    <t>heidycuga@unisabana.edu.co</t>
  </si>
  <si>
    <t>https://Estud2024.sawtoothsoftware.com/cgi-bin/ciwweb.pl?studyname=Estud2024&amp;ID=63</t>
  </si>
  <si>
    <t>RODRIGUEZ VILLALBA INGRID CAROLINA</t>
  </si>
  <si>
    <t>ingridrovi@unisabana.edu.co</t>
  </si>
  <si>
    <t>https://Estud2024.sawtoothsoftware.com/cgi-bin/ciwweb.pl?studyname=Estud2024&amp;ID=64</t>
  </si>
  <si>
    <t>TOLOZA CORDOBA MAIRA ALEJANDRA</t>
  </si>
  <si>
    <t>mairatoco@unisabana.edu.co</t>
  </si>
  <si>
    <t>https://Estud2024.sawtoothsoftware.com/cgi-bin/ciwweb.pl?studyname=Estud2024&amp;ID=65</t>
  </si>
  <si>
    <t>GUALTERO MARTINEZ CLAUDIA LILIANA</t>
  </si>
  <si>
    <t>Claudiaguama@unisabana.edu.co</t>
  </si>
  <si>
    <t>https://Estud2024.sawtoothsoftware.com/cgi-bin/ciwweb.pl?studyname=Estud2024&amp;ID=66</t>
  </si>
  <si>
    <t>AVELLANEDA CASTRO ESTEFANIA</t>
  </si>
  <si>
    <t>estefaniaavca@unisabana.edu.co</t>
  </si>
  <si>
    <t>https://Estud2024.sawtoothsoftware.com/cgi-bin/ciwweb.pl?studyname=Estud2024&amp;ID=67</t>
  </si>
  <si>
    <t>LEGUIZAMON PINTO LAURA CAMILA</t>
  </si>
  <si>
    <t>lauralepi@unisabana.edu.co</t>
  </si>
  <si>
    <t>https://Estud2024.sawtoothsoftware.com/cgi-bin/ciwweb.pl?studyname=Estud2024&amp;ID=68</t>
  </si>
  <si>
    <t>ALVARADO DUARTE ANDREA VALENTINA</t>
  </si>
  <si>
    <t>andreaaldu@unisabana.edu.co</t>
  </si>
  <si>
    <t>https://Estud2024.sawtoothsoftware.com/cgi-bin/ciwweb.pl?studyname=Estud2024&amp;ID=69</t>
  </si>
  <si>
    <t>MOLANO CASTAÑEDA KAMLOOK</t>
  </si>
  <si>
    <t>kamlookmoca@unisabana.edu.co</t>
  </si>
  <si>
    <t>https://Estud2024.sawtoothsoftware.com/cgi-bin/ciwweb.pl?studyname=Estud2024&amp;ID=70</t>
  </si>
  <si>
    <t>ISAZA PALOMINO KAREN MILENA</t>
  </si>
  <si>
    <t>karenispa@unisabana.edu.co</t>
  </si>
  <si>
    <t>https://Estud2024.sawtoothsoftware.com/cgi-bin/ciwweb.pl?studyname=Estud2024&amp;ID=71</t>
  </si>
  <si>
    <t>PINILLA CASTRO SERGIO ANDRES</t>
  </si>
  <si>
    <t>sergiopinca@unisabana.edu.co</t>
  </si>
  <si>
    <t>https://Estud2024.sawtoothsoftware.com/cgi-bin/ciwweb.pl?studyname=Estud2024&amp;ID=72</t>
  </si>
  <si>
    <t>PAREDES PEÑA MARIA ANGELICA</t>
  </si>
  <si>
    <t>mariaparpen@unisabana.edu.co</t>
  </si>
  <si>
    <t>https://Estud2024.sawtoothsoftware.com/cgi-bin/ciwweb.pl?studyname=Estud2024&amp;ID=73</t>
  </si>
  <si>
    <t>DURANDEAU GOTTOPO JULIETTE</t>
  </si>
  <si>
    <t>juliettedugo@unisabana.edu.co</t>
  </si>
  <si>
    <t>https://Estud2024.sawtoothsoftware.com/cgi-bin/ciwweb.pl?studyname=Estud2024&amp;ID=74</t>
  </si>
  <si>
    <t>LYON SOLORZANO DERECK LINTZ</t>
  </si>
  <si>
    <t>derecklyso@unisabana.edu.co</t>
  </si>
  <si>
    <t>https://Estud2024.sawtoothsoftware.com/cgi-bin/ciwweb.pl?studyname=Estud2024&amp;ID=75</t>
  </si>
  <si>
    <t>FACULTAD DE ENEFERMERÍA Y REHABILITACIÓN</t>
  </si>
  <si>
    <t>LAURA MILENA SANTAMARIA JAIME</t>
  </si>
  <si>
    <t>laurasaja@unisabana.edu.co</t>
  </si>
  <si>
    <t>https://Estud2024.sawtoothsoftware.com/cgi-bin/ciwweb.pl?studyname=Estud2024&amp;ID=76</t>
  </si>
  <si>
    <t>ANGELICA VIVIANA RICO BARRERA</t>
  </si>
  <si>
    <t>angelicariba@unisabana.edu.co</t>
  </si>
  <si>
    <t>https://Estud2024.sawtoothsoftware.com/cgi-bin/ciwweb.pl?studyname=Estud2024&amp;ID=77</t>
  </si>
  <si>
    <t>CAMILA ANDREA GOMEZ BAQUERO</t>
  </si>
  <si>
    <t>camilagoba@unisabana.edu.co</t>
  </si>
  <si>
    <t>https://Estud2024.sawtoothsoftware.com/cgi-bin/ciwweb.pl?studyname=Estud2024&amp;ID=78</t>
  </si>
  <si>
    <t>JEISSON STEVEN MONCADA RODRIGUEZ</t>
  </si>
  <si>
    <t>jeissonmoro@unisabana.edu.co</t>
  </si>
  <si>
    <t>https://Estud2024.sawtoothsoftware.com/cgi-bin/ciwweb.pl?studyname=Estud2024&amp;ID=79</t>
  </si>
  <si>
    <t>DANIEL FELIPE SERRANO DIAZ</t>
  </si>
  <si>
    <t>danielsedi@unisabana.edu.co</t>
  </si>
  <si>
    <t>https://Estud2024.sawtoothsoftware.com/cgi-bin/ciwweb.pl?studyname=Estud2024&amp;ID=80</t>
  </si>
  <si>
    <t>MAYRA ALEJANDRA LOPEZ BECERRA</t>
  </si>
  <si>
    <t>mayralobe@unisabana.edu.co</t>
  </si>
  <si>
    <t>https://Estud2024.sawtoothsoftware.com/cgi-bin/ciwweb.pl?studyname=Estud2024&amp;ID=81</t>
  </si>
  <si>
    <t>FRANCISCO ANDRES TENIAS AMAYA</t>
  </si>
  <si>
    <t>franciscoteam@unisabana.edu.co</t>
  </si>
  <si>
    <t>https://Estud2024.sawtoothsoftware.com/cgi-bin/ciwweb.pl?studyname=Estud2024&amp;ID=82</t>
  </si>
  <si>
    <t>ISABELLA  CAICEDO SACOTTO</t>
  </si>
  <si>
    <t>isabellacaisa@unisabana.edu.co</t>
  </si>
  <si>
    <t>https://Estud2024.sawtoothsoftware.com/cgi-bin/ciwweb.pl?studyname=Estud2024&amp;ID=83</t>
  </si>
  <si>
    <t>DIANA CAROLINA FONSECA FONSECA</t>
  </si>
  <si>
    <t>dianafonfo@unisabana.edu.co</t>
  </si>
  <si>
    <t>https://Estud2024.sawtoothsoftware.com/cgi-bin/ciwweb.pl?studyname=Estud2024&amp;ID=84</t>
  </si>
  <si>
    <t>KAREN LORENA VERDUGO MORALES</t>
  </si>
  <si>
    <t>karenvermo@unisabana.edu.co</t>
  </si>
  <si>
    <t>https://Estud2024.sawtoothsoftware.com/cgi-bin/ciwweb.pl?studyname=Estud2024&amp;ID=85</t>
  </si>
  <si>
    <t>DIEGO ALEXANDER PERAZA PARRA</t>
  </si>
  <si>
    <t>diegoperpa@unisabana.edu.co</t>
  </si>
  <si>
    <t>https://Estud2024.sawtoothsoftware.com/cgi-bin/ciwweb.pl?studyname=Estud2024&amp;ID=86</t>
  </si>
  <si>
    <t xml:space="preserve">JENIFER DANIELA TAMARA MANRIQUE </t>
  </si>
  <si>
    <t>jenifertama@unisabana.edu.co</t>
  </si>
  <si>
    <t>https://Estud2024.sawtoothsoftware.com/cgi-bin/ciwweb.pl?studyname=Estud2024&amp;ID=87</t>
  </si>
  <si>
    <t>BRIGIT  RAMIREZ VALENCIA</t>
  </si>
  <si>
    <t>brigitrava@unisabana.edu.co</t>
  </si>
  <si>
    <t>https://Estud2024.sawtoothsoftware.com/cgi-bin/ciwweb.pl?studyname=Estud2024&amp;ID=88</t>
  </si>
  <si>
    <t>MARIA ALEJANDRA ANGEL LAGUNA</t>
  </si>
  <si>
    <t>maria.angel2@unisabana.edu.co</t>
  </si>
  <si>
    <t>https://Estud2024.sawtoothsoftware.com/cgi-bin/ciwweb.pl?studyname=Estud2024&amp;ID=89</t>
  </si>
  <si>
    <t>ANDY JAIR CONDE LANDERO</t>
  </si>
  <si>
    <t>andyconla@unisabana.edu.co</t>
  </si>
  <si>
    <t>https://Estud2024.sawtoothsoftware.com/cgi-bin/ciwweb.pl?studyname=Estud2024&amp;ID=90</t>
  </si>
  <si>
    <t>Álvarez Moreno Vanessa</t>
  </si>
  <si>
    <t>vanesaalmo@unisabana.edu.co</t>
  </si>
  <si>
    <t>https://Estud2024.sawtoothsoftware.com/cgi-bin/ciwweb.pl?studyname=Estud2024&amp;ID=91</t>
  </si>
  <si>
    <t>Casallas Angulo Viviana</t>
  </si>
  <si>
    <t>vivianacasan@unisabana.edu.co</t>
  </si>
  <si>
    <t>https://Estud2024.sawtoothsoftware.com/cgi-bin/ciwweb.pl?studyname=Estud2024&amp;ID=92</t>
  </si>
  <si>
    <t>Martínez Barboto Omar Freddy</t>
  </si>
  <si>
    <t>omarmaba@unisabana.edu.co</t>
  </si>
  <si>
    <t>https://Estud2024.sawtoothsoftware.com/cgi-bin/ciwweb.pl?studyname=Estud2024&amp;ID=93</t>
  </si>
  <si>
    <t>Moya Rodríguez Andrea Carolina</t>
  </si>
  <si>
    <t>andreamoyro@unisabana.edu.co</t>
  </si>
  <si>
    <t>https://Estud2024.sawtoothsoftware.com/cgi-bin/ciwweb.pl?studyname=Estud2024&amp;ID=94</t>
  </si>
  <si>
    <t>Aguilar Suárez Angie Tatiana</t>
  </si>
  <si>
    <t>angieagsu@unisabana.edu.co</t>
  </si>
  <si>
    <t>https://Estud2024.sawtoothsoftware.com/cgi-bin/ciwweb.pl?studyname=Estud2024&amp;ID=95</t>
  </si>
  <si>
    <t>Ariza Morales Daniela Alejandra</t>
  </si>
  <si>
    <t>danielaarmo@unisabana.edu.co</t>
  </si>
  <si>
    <t>https://Estud2024.sawtoothsoftware.com/cgi-bin/ciwweb.pl?studyname=Estud2024&amp;ID=96</t>
  </si>
  <si>
    <t>Martínez González María Paula</t>
  </si>
  <si>
    <t>mariamargon@unisabana.edu.co</t>
  </si>
  <si>
    <t>https://Estud2024.sawtoothsoftware.com/cgi-bin/ciwweb.pl?studyname=Estud2024&amp;ID=97</t>
  </si>
  <si>
    <t>Mendoza Briceño Leidy Johanna</t>
  </si>
  <si>
    <t>leidymebr@unisabana.edu.co</t>
  </si>
  <si>
    <t>https://Estud2024.sawtoothsoftware.com/cgi-bin/ciwweb.pl?studyname=Estud2024&amp;ID=98</t>
  </si>
  <si>
    <t>Páez Bonilla Carmen Sofía</t>
  </si>
  <si>
    <t>carmenpabo@unisabana.edu.co</t>
  </si>
  <si>
    <t>https://Estud2024.sawtoothsoftware.com/cgi-bin/ciwweb.pl?studyname=Estud2024&amp;ID=99</t>
  </si>
  <si>
    <t>Rey Rojas Milder Silena</t>
  </si>
  <si>
    <t>milderrero@unisabana.edu.co</t>
  </si>
  <si>
    <t>https://Estud2024.sawtoothsoftware.com/cgi-bin/ciwweb.pl?studyname=Estud2024&amp;ID=100</t>
  </si>
  <si>
    <t>Rojas Espitia Héctor Fabio</t>
  </si>
  <si>
    <t>hectorroes@unisabana.edu.co</t>
  </si>
  <si>
    <t>https://Estud2024.sawtoothsoftware.com/cgi-bin/ciwweb.pl?studyname=Estud2024&amp;ID=101</t>
  </si>
  <si>
    <t>INSTITUTO LATINOAMERICANO DE LA FAMILIA, ILFARUS</t>
  </si>
  <si>
    <t>MAESTRÍA EN ASESORÍA FAMILIAR Y GESTIÓN DE PROGRAMAS PARA LA FAMILIA- VIRTUAL</t>
  </si>
  <si>
    <t>Laura Gonzalez Gómez</t>
  </si>
  <si>
    <t>lauragongo@unisabana.edu.co</t>
  </si>
  <si>
    <t>https://Estud2024.sawtoothsoftware.com/cgi-bin/ciwweb.pl?studyname=Estud2024&amp;ID=102</t>
  </si>
  <si>
    <t>Tatiana Larios Vasquez</t>
  </si>
  <si>
    <t>tatianalava@unisabana.edu.co</t>
  </si>
  <si>
    <t>https://Estud2024.sawtoothsoftware.com/cgi-bin/ciwweb.pl?studyname=Estud2024&amp;ID=103</t>
  </si>
  <si>
    <t>María José Ortiz Jímenez</t>
  </si>
  <si>
    <t>mariajoseorji@unisabana.edu.co</t>
  </si>
  <si>
    <t>https://Estud2024.sawtoothsoftware.com/cgi-bin/ciwweb.pl?studyname=Estud2024&amp;ID=104</t>
  </si>
  <si>
    <t>Yenny Andrea Silva Borbon</t>
  </si>
  <si>
    <t>yennysibo@unisabana.edu.co</t>
  </si>
  <si>
    <t>https://Estud2024.sawtoothsoftware.com/cgi-bin/ciwweb.pl?studyname=Estud2024&amp;ID=105</t>
  </si>
  <si>
    <t>Jazmin Julieth Rojas Muñoz</t>
  </si>
  <si>
    <t>jazminromu@unisabana.edu.co</t>
  </si>
  <si>
    <t>https://Estud2024.sawtoothsoftware.com/cgi-bin/ciwweb.pl?studyname=Estud2024&amp;ID=106</t>
  </si>
  <si>
    <t>Wilton Yezid Jiménez Moreno</t>
  </si>
  <si>
    <t>wiltonjimo@unisabana.edu.co</t>
  </si>
  <si>
    <t>https://Estud2024.sawtoothsoftware.com/cgi-bin/ciwweb.pl?studyname=Estud2024&amp;ID=107</t>
  </si>
  <si>
    <t>Viviana Zambrano Osorio</t>
  </si>
  <si>
    <t>vivianazaos@unisabana.edu.co</t>
  </si>
  <si>
    <t>https://Estud2024.sawtoothsoftware.com/cgi-bin/ciwweb.pl?studyname=Estud2024&amp;ID=108</t>
  </si>
  <si>
    <t>Leidy Vanessa Benavides Puchana</t>
  </si>
  <si>
    <t>leidybepu@unisabana.edu.co</t>
  </si>
  <si>
    <t>https://Estud2024.sawtoothsoftware.com/cgi-bin/ciwweb.pl?studyname=Estud2024&amp;ID=109</t>
  </si>
  <si>
    <t>Juliana Victoria Gonzalez Marcillo</t>
  </si>
  <si>
    <t>julianagoma@unisabana.edu.co</t>
  </si>
  <si>
    <t>https://Estud2024.sawtoothsoftware.com/cgi-bin/ciwweb.pl?studyname=Estud2024&amp;ID=110</t>
  </si>
  <si>
    <t>Elizabeth Zapata Rodríguez</t>
  </si>
  <si>
    <t>elizabethzapro@unisabana.edu.co</t>
  </si>
  <si>
    <t>https://Estud2024.sawtoothsoftware.com/cgi-bin/ciwweb.pl?studyname=Estud2024&amp;ID=111</t>
  </si>
  <si>
    <t>Diana Yamile Pineda Bayona</t>
  </si>
  <si>
    <t>dianapinbay@unisabana.edu.co</t>
  </si>
  <si>
    <t>https://Estud2024.sawtoothsoftware.com/cgi-bin/ciwweb.pl?studyname=Estud2024&amp;ID=112</t>
  </si>
  <si>
    <t>Angela Jineth Lesmes Rodríguez</t>
  </si>
  <si>
    <t>angelalero@unisabana.edu.co</t>
  </si>
  <si>
    <t>https://Estud2024.sawtoothsoftware.com/cgi-bin/ciwweb.pl?studyname=Estud2024&amp;ID=113</t>
  </si>
  <si>
    <t>Silvia Juliana Carreño Porras</t>
  </si>
  <si>
    <t>silviacapo@unisabana.edu.co</t>
  </si>
  <si>
    <t>https://Estud2024.sawtoothsoftware.com/cgi-bin/ciwweb.pl?studyname=Estud2024&amp;ID=114</t>
  </si>
  <si>
    <t>María Fernanda Teresa Gamero Concha</t>
  </si>
  <si>
    <t>mariafernandagaco@unisabana.edu.co</t>
  </si>
  <si>
    <t>https://Estud2024.sawtoothsoftware.com/cgi-bin/ciwweb.pl?studyname=Estud2024&amp;ID=115</t>
  </si>
  <si>
    <t>Daniela Cano Ramirez</t>
  </si>
  <si>
    <t>danielacanra@unisabana.edu.co</t>
  </si>
  <si>
    <t>https://Estud2024.sawtoothsoftware.com/cgi-bin/ciwweb.pl?studyname=Estud2024&amp;ID=116</t>
  </si>
  <si>
    <t>María Camila Martínez Rodríguez</t>
  </si>
  <si>
    <t>mariamartrodr@unisabana.edu.co</t>
  </si>
  <si>
    <t>https://Estud2024.sawtoothsoftware.com/cgi-bin/ciwweb.pl?studyname=Estud2024&amp;ID=117</t>
  </si>
  <si>
    <t>Alberto Meléndez Vásquez</t>
  </si>
  <si>
    <t>albertomeva@unisabana.edu.co</t>
  </si>
  <si>
    <t>https://Estud2024.sawtoothsoftware.com/cgi-bin/ciwweb.pl?studyname=Estud2024&amp;ID=118</t>
  </si>
  <si>
    <t>Alicia Catalina Pineda Flechas</t>
  </si>
  <si>
    <t>aliciapifl@unisabana.edu.co</t>
  </si>
  <si>
    <t>https://Estud2024.sawtoothsoftware.com/cgi-bin/ciwweb.pl?studyname=Estud2024&amp;ID=119</t>
  </si>
  <si>
    <t>Álvaro Enrique Rueda Mieles</t>
  </si>
  <si>
    <t>alvarorumi@unisabana.edu.co</t>
  </si>
  <si>
    <t>https://Estud2024.sawtoothsoftware.com/cgi-bin/ciwweb.pl?studyname=Estud2024&amp;ID=120</t>
  </si>
  <si>
    <t>Ana Milena Davila Torres</t>
  </si>
  <si>
    <t>anadato@unisabana.edu.co</t>
  </si>
  <si>
    <t>https://Estud2024.sawtoothsoftware.com/cgi-bin/ciwweb.pl?studyname=Estud2024&amp;ID=121</t>
  </si>
  <si>
    <t>Astrid Yadira Rodriguez Murcia</t>
  </si>
  <si>
    <t>astridromu@unisabana.edu.co</t>
  </si>
  <si>
    <t>https://Estud2024.sawtoothsoftware.com/cgi-bin/ciwweb.pl?studyname=Estud2024&amp;ID=122</t>
  </si>
  <si>
    <t>Diana Carolina Landazabal Castillo</t>
  </si>
  <si>
    <t>dianalaca@unisabana.edu.co</t>
  </si>
  <si>
    <t>https://Estud2024.sawtoothsoftware.com/cgi-bin/ciwweb.pl?studyname=Estud2024&amp;ID=123</t>
  </si>
  <si>
    <t>Doney Liliana Garavito Cardenas</t>
  </si>
  <si>
    <t>doneygaca@unisabana.edu.co</t>
  </si>
  <si>
    <t>https://Estud2024.sawtoothsoftware.com/cgi-bin/ciwweb.pl?studyname=Estud2024&amp;ID=124</t>
  </si>
  <si>
    <t>Genoveva María Montenegro Florez</t>
  </si>
  <si>
    <t>genovevamofl@unisabana.edu.co</t>
  </si>
  <si>
    <t>https://Estud2024.sawtoothsoftware.com/cgi-bin/ciwweb.pl?studyname=Estud2024&amp;ID=125</t>
  </si>
  <si>
    <t>Javier Alfonso Zapata Mena</t>
  </si>
  <si>
    <t>javierzame@unisabana.edu.co</t>
  </si>
  <si>
    <t>https://Estud2024.sawtoothsoftware.com/cgi-bin/ciwweb.pl?studyname=Estud2024&amp;ID=126</t>
  </si>
  <si>
    <t>Juliana Valencia Restrepo</t>
  </si>
  <si>
    <t>julianavare@unisabana.edu.co</t>
  </si>
  <si>
    <t>https://Estud2024.sawtoothsoftware.com/cgi-bin/ciwweb.pl?studyname=Estud2024&amp;ID=127</t>
  </si>
  <si>
    <t>Karen Patricia Cedron Licona</t>
  </si>
  <si>
    <t>karenceli@unisabana.edu.co</t>
  </si>
  <si>
    <t>https://Estud2024.sawtoothsoftware.com/cgi-bin/ciwweb.pl?studyname=Estud2024&amp;ID=128</t>
  </si>
  <si>
    <t>Katia  Caputo Cariati</t>
  </si>
  <si>
    <t>katiacapca@unisabana.edu.co</t>
  </si>
  <si>
    <t>https://Estud2024.sawtoothsoftware.com/cgi-bin/ciwweb.pl?studyname=Estud2024&amp;ID=129</t>
  </si>
  <si>
    <t>Leidy Johanna Herrera Paez</t>
  </si>
  <si>
    <t>leidyherpa@unisabana.edu.co</t>
  </si>
  <si>
    <t>https://Estud2024.sawtoothsoftware.com/cgi-bin/ciwweb.pl?studyname=Estud2024&amp;ID=130</t>
  </si>
  <si>
    <t>Luis Alejando Paternina Rendón</t>
  </si>
  <si>
    <t>Luispare@unisabana.edu.co</t>
  </si>
  <si>
    <t>https://Estud2024.sawtoothsoftware.com/cgi-bin/ciwweb.pl?studyname=Estud2024&amp;ID=131</t>
  </si>
  <si>
    <t>Luisa Fernanda Rojas Gutierrez</t>
  </si>
  <si>
    <t>luisarogu@unisabana.edu.co</t>
  </si>
  <si>
    <t>https://Estud2024.sawtoothsoftware.com/cgi-bin/ciwweb.pl?studyname=Estud2024&amp;ID=132</t>
  </si>
  <si>
    <t>Luz Alicia Cuervo Fonce</t>
  </si>
  <si>
    <t>luzcuf@unisabana.edu.co</t>
  </si>
  <si>
    <t>https://Estud2024.sawtoothsoftware.com/cgi-bin/ciwweb.pl?studyname=Estud2024&amp;ID=133</t>
  </si>
  <si>
    <t>Maria Alejandra Larrotta Díaz</t>
  </si>
  <si>
    <t>marialadi@unisabana.edu.co</t>
  </si>
  <si>
    <t>https://Estud2024.sawtoothsoftware.com/cgi-bin/ciwweb.pl?studyname=Estud2024&amp;ID=134</t>
  </si>
  <si>
    <t>María Camila Rojas Garavito</t>
  </si>
  <si>
    <t>mariarojga@unisabana.edu.co</t>
  </si>
  <si>
    <t>https://Estud2024.sawtoothsoftware.com/cgi-bin/ciwweb.pl?studyname=Estud2024&amp;ID=135</t>
  </si>
  <si>
    <t>María Lucía Capera Barrero</t>
  </si>
  <si>
    <t>mariacapba@unisabana.edu.co</t>
  </si>
  <si>
    <t>https://Estud2024.sawtoothsoftware.com/cgi-bin/ciwweb.pl?studyname=Estud2024&amp;ID=136</t>
  </si>
  <si>
    <t>María paula Pulido Orduz</t>
  </si>
  <si>
    <t>mariapuor@unisabana.edu.co</t>
  </si>
  <si>
    <t>https://Estud2024.sawtoothsoftware.com/cgi-bin/ciwweb.pl?studyname=Estud2024&amp;ID=137</t>
  </si>
  <si>
    <t>Martha Liliana Florez Ramirez</t>
  </si>
  <si>
    <t>marthaflra@unisabana.edu.co</t>
  </si>
  <si>
    <t>https://Estud2024.sawtoothsoftware.com/cgi-bin/ciwweb.pl?studyname=Estud2024&amp;ID=138</t>
  </si>
  <si>
    <t>Mary Yaneth León Bastidas</t>
  </si>
  <si>
    <t>maryleba@unisabana.edu.co</t>
  </si>
  <si>
    <t>https://Estud2024.sawtoothsoftware.com/cgi-bin/ciwweb.pl?studyname=Estud2024&amp;ID=139</t>
  </si>
  <si>
    <t>Ricardo Perdomo Arámbulo</t>
  </si>
  <si>
    <t>ricardopear@unisabana.edu.co</t>
  </si>
  <si>
    <t>https://Estud2024.sawtoothsoftware.com/cgi-bin/ciwweb.pl?studyname=Estud2024&amp;ID=140</t>
  </si>
  <si>
    <t>Zulma Sandra Moran Valencia</t>
  </si>
  <si>
    <t>zulmamv@unisabana.edu.co</t>
  </si>
  <si>
    <t>https://Estud2024.sawtoothsoftware.com/cgi-bin/ciwweb.pl?studyname=Estud2024&amp;ID=141</t>
  </si>
  <si>
    <t>Adiela Zuluaga Correa</t>
  </si>
  <si>
    <t>adielazuco@unisabana.edu.co</t>
  </si>
  <si>
    <t>https://Estud2024.sawtoothsoftware.com/cgi-bin/ciwweb.pl?studyname=Estud2024&amp;ID=142</t>
  </si>
  <si>
    <t>Adriana Gomezese Talero</t>
  </si>
  <si>
    <t>adrianagota@unisabana.edu.co</t>
  </si>
  <si>
    <t>https://Estud2024.sawtoothsoftware.com/cgi-bin/ciwweb.pl?studyname=Estud2024&amp;ID=143</t>
  </si>
  <si>
    <t>Alexandra Albornoz Ardila</t>
  </si>
  <si>
    <t>alexandraalar@unisabana.edu.co</t>
  </si>
  <si>
    <t>https://Estud2024.sawtoothsoftware.com/cgi-bin/ciwweb.pl?studyname=Estud2024&amp;ID=144</t>
  </si>
  <si>
    <t>Alicia Judith  Delahoz Pastorizo</t>
  </si>
  <si>
    <t>aliciadepa@unisabana.edu.co</t>
  </si>
  <si>
    <t>https://Estud2024.sawtoothsoftware.com/cgi-bin/ciwweb.pl?studyname=Estud2024&amp;ID=145</t>
  </si>
  <si>
    <t>Ana María Camila González Lea</t>
  </si>
  <si>
    <t>anagole@unisabana.edu.co</t>
  </si>
  <si>
    <t>https://Estud2024.sawtoothsoftware.com/cgi-bin/ciwweb.pl?studyname=Estud2024&amp;ID=146</t>
  </si>
  <si>
    <t>Angie Lorena López Vizcaino</t>
  </si>
  <si>
    <t>angielovi@unisabana.edu.co</t>
  </si>
  <si>
    <t>https://Estud2024.sawtoothsoftware.com/cgi-bin/ciwweb.pl?studyname=Estud2024&amp;ID=147</t>
  </si>
  <si>
    <t>Carlos Arturo Forero Sierra</t>
  </si>
  <si>
    <t>carlosfosi@unisabana.edu.co</t>
  </si>
  <si>
    <t>https://Estud2024.sawtoothsoftware.com/cgi-bin/ciwweb.pl?studyname=Estud2024&amp;ID=148</t>
  </si>
  <si>
    <t>Heydy Margoth Castelblanco Castro</t>
  </si>
  <si>
    <t>heydycasca@unisabana.edu.co</t>
  </si>
  <si>
    <t>https://Estud2024.sawtoothsoftware.com/cgi-bin/ciwweb.pl?studyname=Estud2024&amp;ID=149</t>
  </si>
  <si>
    <t>Jennifer Karina Hernández Lizcano</t>
  </si>
  <si>
    <t>jenniferheli@unisabana.edu.co</t>
  </si>
  <si>
    <t>https://Estud2024.sawtoothsoftware.com/cgi-bin/ciwweb.pl?studyname=Estud2024&amp;ID=150</t>
  </si>
  <si>
    <t>Karen Miranda Pérez</t>
  </si>
  <si>
    <t>karenmipe@unisabana.edu.co</t>
  </si>
  <si>
    <t>https://Estud2024.sawtoothsoftware.com/cgi-bin/ciwweb.pl?studyname=Estud2024&amp;ID=151</t>
  </si>
  <si>
    <t>Ligella Giraldo Aristizábal</t>
  </si>
  <si>
    <t>ligellagiar@unisabana.edu.co</t>
  </si>
  <si>
    <t>https://Estud2024.sawtoothsoftware.com/cgi-bin/ciwweb.pl?studyname=Estud2024&amp;ID=152</t>
  </si>
  <si>
    <t>Luisa Fernanda Montaño Meyendorff</t>
  </si>
  <si>
    <t>luisamome@unisabana.edu.co</t>
  </si>
  <si>
    <t>https://Estud2024.sawtoothsoftware.com/cgi-bin/ciwweb.pl?studyname=Estud2024&amp;ID=153</t>
  </si>
  <si>
    <t>María José Pérez Herrán</t>
  </si>
  <si>
    <t>maria.perez8@unisabana.edu.co</t>
  </si>
  <si>
    <t>https://Estud2024.sawtoothsoftware.com/cgi-bin/ciwweb.pl?studyname=Estud2024&amp;ID=154</t>
  </si>
  <si>
    <t>MariaJosé   Bastianelli Mucchi</t>
  </si>
  <si>
    <t>mariabasmu@unisabana.edu.co</t>
  </si>
  <si>
    <t>https://Estud2024.sawtoothsoftware.com/cgi-bin/ciwweb.pl?studyname=Estud2024&amp;ID=155</t>
  </si>
  <si>
    <t>Medaly Trujillo Viera</t>
  </si>
  <si>
    <t>medalytrvi@unisabana.edu.co</t>
  </si>
  <si>
    <t>https://Estud2024.sawtoothsoftware.com/cgi-bin/ciwweb.pl?studyname=Estud2024&amp;ID=156</t>
  </si>
  <si>
    <t>Vivian Cristina Obregón García</t>
  </si>
  <si>
    <t>vivianobga@unisabana.edu.co</t>
  </si>
  <si>
    <t>https://Estud2024.sawtoothsoftware.com/cgi-bin/ciwweb.pl?studyname=Estud2024&amp;ID=157</t>
  </si>
  <si>
    <t>Viviana Lucero Morales Ángel</t>
  </si>
  <si>
    <t>vivianamoan@unisabana.edu.co</t>
  </si>
  <si>
    <t>https://Estud2024.sawtoothsoftware.com/cgi-bin/ciwweb.pl?studyname=Estud2024&amp;ID=158</t>
  </si>
  <si>
    <t>Wilmer  Palomares Potes</t>
  </si>
  <si>
    <t>wilmerpapo@unisabana.edu.co</t>
  </si>
  <si>
    <t>https://Estud2024.sawtoothsoftware.com/cgi-bin/ciwweb.pl?studyname=Estud2024&amp;ID=159</t>
  </si>
  <si>
    <t>Yesica Andrea Hernández Garay</t>
  </si>
  <si>
    <t>yesicahega@unisabana.edu.co</t>
  </si>
  <si>
    <t>https://Estud2024.sawtoothsoftware.com/cgi-bin/ciwweb.pl?studyname=Estud2024&amp;ID=160</t>
  </si>
  <si>
    <t>Yudy Esmeralda Garza Santa Cruz</t>
  </si>
  <si>
    <t>yudygasa@unisabana.edu.co</t>
  </si>
  <si>
    <t>https://Estud2024.sawtoothsoftware.com/cgi-bin/ciwweb.pl?studyname=Estud2024&amp;ID=161</t>
  </si>
  <si>
    <t>DANIEL ALFONSO  AGUILAR ESPINOSA</t>
  </si>
  <si>
    <t>danielages@unisabana.edu.co</t>
  </si>
  <si>
    <t>https://Estud2024.sawtoothsoftware.com/cgi-bin/ciwweb.pl?studyname=Estud2024&amp;ID=162</t>
  </si>
  <si>
    <t>KARENTH JANNETH  MENESES CASTILLO</t>
  </si>
  <si>
    <t>karenthmeca@unisabana.edu.co</t>
  </si>
  <si>
    <t>https://Estud2024.sawtoothsoftware.com/cgi-bin/ciwweb.pl?studyname=Estud2024&amp;ID=163</t>
  </si>
  <si>
    <t>MARIA CAROLINA  NARANJO SALAZAR</t>
  </si>
  <si>
    <t>marianasa@unisabana.edu.co</t>
  </si>
  <si>
    <t>https://Estud2024.sawtoothsoftware.com/cgi-bin/ciwweb.pl?studyname=Estud2024&amp;ID=164</t>
  </si>
  <si>
    <t>JUAN SEBASTIAN  PENHA AVILA</t>
  </si>
  <si>
    <t>juanpeav@unisabana.edu.co</t>
  </si>
  <si>
    <t>https://Estud2024.sawtoothsoftware.com/cgi-bin/ciwweb.pl?studyname=Estud2024&amp;ID=165</t>
  </si>
  <si>
    <t>LAURA XIMENA  PULIDO CARDOZO</t>
  </si>
  <si>
    <t>laurapulca@unisabana.edu.co</t>
  </si>
  <si>
    <t>https://Estud2024.sawtoothsoftware.com/cgi-bin/ciwweb.pl?studyname=Estud2024&amp;ID=166</t>
  </si>
  <si>
    <t>JULIAN MATEO  ROA GONZALEZ</t>
  </si>
  <si>
    <t>julianrogo@unisabana.edu.co</t>
  </si>
  <si>
    <t>https://Estud2024.sawtoothsoftware.com/cgi-bin/ciwweb.pl?studyname=Estud2024&amp;ID=167</t>
  </si>
  <si>
    <t>MARIA PAULA  ARANGUREN ALVAREZ</t>
  </si>
  <si>
    <t>mariaaraal@unisabana.edu.co</t>
  </si>
  <si>
    <t>https://Estud2024.sawtoothsoftware.com/cgi-bin/ciwweb.pl?studyname=Estud2024&amp;ID=168</t>
  </si>
  <si>
    <t>MARIA CAMILA  CADENA GAVIRIA</t>
  </si>
  <si>
    <t>mariacadga@unisabana.edu.co</t>
  </si>
  <si>
    <t>https://Estud2024.sawtoothsoftware.com/cgi-bin/ciwweb.pl?studyname=Estud2024&amp;ID=169</t>
  </si>
  <si>
    <t>JORGE LUIS  CORTES JIMENEZ</t>
  </si>
  <si>
    <t>jorgecoji@unisabana.edu.co</t>
  </si>
  <si>
    <t>https://Estud2024.sawtoothsoftware.com/cgi-bin/ciwweb.pl?studyname=Estud2024&amp;ID=170</t>
  </si>
  <si>
    <t>FELIPE   GUTIERREZ LONDOÑO</t>
  </si>
  <si>
    <t>felipegulo@unisabana.edu.co</t>
  </si>
  <si>
    <t>https://Estud2024.sawtoothsoftware.com/cgi-bin/ciwweb.pl?studyname=Estud2024&amp;ID=171</t>
  </si>
  <si>
    <t>SEBASTIÁN   LÓPEZ OSPINO</t>
  </si>
  <si>
    <t>sebastianloos@unisabana.edu.co</t>
  </si>
  <si>
    <t>https://Estud2024.sawtoothsoftware.com/cgi-bin/ciwweb.pl?studyname=Estud2024&amp;ID=172</t>
  </si>
  <si>
    <t>DANIELA   RIVERA OCAMPO</t>
  </si>
  <si>
    <t>danielarioc@unisabana.edu.co</t>
  </si>
  <si>
    <t>https://Estud2024.sawtoothsoftware.com/cgi-bin/ciwweb.pl?studyname=Estud2024&amp;ID=173</t>
  </si>
  <si>
    <t>MARIA CAMILA  BONILLA LLANOS</t>
  </si>
  <si>
    <t>mariaboll@unisabana.edu.co</t>
  </si>
  <si>
    <t>https://Estud2024.sawtoothsoftware.com/cgi-bin/ciwweb.pl?studyname=Estud2024&amp;ID=174</t>
  </si>
  <si>
    <t>JUAN DAVID  MEJIA LOZANO</t>
  </si>
  <si>
    <t>Juanmejlo@unisabana.edu.co</t>
  </si>
  <si>
    <t>https://Estud2024.sawtoothsoftware.com/cgi-bin/ciwweb.pl?studyname=Estud2024&amp;ID=175</t>
  </si>
  <si>
    <t>ANGIE PAOLA  ORTIZ TELLO</t>
  </si>
  <si>
    <t>angieorte@unisabana.edu.co</t>
  </si>
  <si>
    <t>https://Estud2024.sawtoothsoftware.com/cgi-bin/ciwweb.pl?studyname=Estud2024&amp;ID=176</t>
  </si>
  <si>
    <t>SEBASTIAN   OSPINA GOMEZ</t>
  </si>
  <si>
    <t>Sebastianosgo@unisabana.edu.co</t>
  </si>
  <si>
    <t>https://Estud2024.sawtoothsoftware.com/cgi-bin/ciwweb.pl?studyname=Estud2024&amp;ID=177</t>
  </si>
  <si>
    <t>JUAN MANUEL  PAVA HERRERA</t>
  </si>
  <si>
    <t>juanpavhe@unisabana.edu.co</t>
  </si>
  <si>
    <t>https://Estud2024.sawtoothsoftware.com/cgi-bin/ciwweb.pl?studyname=Estud2024&amp;ID=178</t>
  </si>
  <si>
    <t>DANIELA   REYES BORRERO</t>
  </si>
  <si>
    <t>danielarebo@unisabana.edu.co</t>
  </si>
  <si>
    <t>https://Estud2024.sawtoothsoftware.com/cgi-bin/ciwweb.pl?studyname=Estud2024&amp;ID=179</t>
  </si>
  <si>
    <t>ANNY STEFANNY  CARDENAS REYES</t>
  </si>
  <si>
    <t>anny.cardenas@unisabana.edu.co</t>
  </si>
  <si>
    <t>https://Estud2024.sawtoothsoftware.com/cgi-bin/ciwweb.pl?studyname=Estud2024&amp;ID=180</t>
  </si>
  <si>
    <t>JENIFER ANDREA  CAGUA COLMENARES</t>
  </si>
  <si>
    <t>jenifercaco@unisabana.edu.co</t>
  </si>
  <si>
    <t>https://Estud2024.sawtoothsoftware.com/cgi-bin/ciwweb.pl?studyname=Estud2024&amp;ID=181</t>
  </si>
  <si>
    <t>JUAN SEBASTIAN  MARTINEZ GUTIERREZ</t>
  </si>
  <si>
    <t>juanmagu@unisabana.edu.co</t>
  </si>
  <si>
    <t>https://Estud2024.sawtoothsoftware.com/cgi-bin/ciwweb.pl?studyname=Estud2024&amp;ID=182</t>
  </si>
  <si>
    <t>ALVARO MAURICIO  OTALORA CARMONA</t>
  </si>
  <si>
    <t>alvarootca@unisabana.edu.co</t>
  </si>
  <si>
    <t>https://Estud2024.sawtoothsoftware.com/cgi-bin/ciwweb.pl?studyname=Estud2024&amp;ID=183</t>
  </si>
  <si>
    <t>LINA MARIA  PARDO JIMENEZ</t>
  </si>
  <si>
    <t>linapaji@unisabana.edu.co</t>
  </si>
  <si>
    <t>https://Estud2024.sawtoothsoftware.com/cgi-bin/ciwweb.pl?studyname=Estud2024&amp;ID=184</t>
  </si>
  <si>
    <t>PAULA ANDREA  SANABRIA TORRES</t>
  </si>
  <si>
    <t>paulasato@unisabana.edu.co</t>
  </si>
  <si>
    <t>https://Estud2024.sawtoothsoftware.com/cgi-bin/ciwweb.pl?studyname=Estud2024&amp;ID=185</t>
  </si>
  <si>
    <t>RICARDO   BRAVO GONZALEZ</t>
  </si>
  <si>
    <t>ricardobrgo@unisabana.edu.co</t>
  </si>
  <si>
    <t>https://Estud2024.sawtoothsoftware.com/cgi-bin/ciwweb.pl?studyname=Estud2024&amp;ID=186</t>
  </si>
  <si>
    <t>MARGARITA ROSA  GOMEZ DIAZ</t>
  </si>
  <si>
    <t>margaritagodi@unisabana.edu.co</t>
  </si>
  <si>
    <t>https://Estud2024.sawtoothsoftware.com/cgi-bin/ciwweb.pl?studyname=Estud2024&amp;ID=187</t>
  </si>
  <si>
    <t>PAULA CAROLINA  GOMEZ GARCIA</t>
  </si>
  <si>
    <t>paulagoga@unisabana.edu.co</t>
  </si>
  <si>
    <t>https://Estud2024.sawtoothsoftware.com/cgi-bin/ciwweb.pl?studyname=Estud2024&amp;ID=188</t>
  </si>
  <si>
    <t>ANDREA ESTEFANIA  QUIJANO MANTILLA</t>
  </si>
  <si>
    <t>andreaquma@unisabana.edu.co</t>
  </si>
  <si>
    <t>https://Estud2024.sawtoothsoftware.com/cgi-bin/ciwweb.pl?studyname=Estud2024&amp;ID=189</t>
  </si>
  <si>
    <t>STEFANY DE JESUS RIOS ACUÑA</t>
  </si>
  <si>
    <t>stefanyriac@unisabana.edu.co</t>
  </si>
  <si>
    <t>https://Estud2024.sawtoothsoftware.com/cgi-bin/ciwweb.pl?studyname=Estud2024&amp;ID=190</t>
  </si>
  <si>
    <t>CINDY VIVIANA  SAAVEDRA MANRIQUE</t>
  </si>
  <si>
    <t>cindysama@unisabana.edu.co</t>
  </si>
  <si>
    <t>https://Estud2024.sawtoothsoftware.com/cgi-bin/ciwweb.pl?studyname=Estud2024&amp;ID=191</t>
  </si>
  <si>
    <t>ASHLEY OWENE  BUSTOS MUÑOZ</t>
  </si>
  <si>
    <t>ashleybumu@unisabana.edu.co</t>
  </si>
  <si>
    <t>https://Estud2024.sawtoothsoftware.com/cgi-bin/ciwweb.pl?studyname=Estud2024&amp;ID=192</t>
  </si>
  <si>
    <t>EDGAR FERNANDO  CABARCAS VALENCIA</t>
  </si>
  <si>
    <t>edgarcabva@unisabana.edu.co</t>
  </si>
  <si>
    <t>https://Estud2024.sawtoothsoftware.com/cgi-bin/ciwweb.pl?studyname=Estud2024&amp;ID=193</t>
  </si>
  <si>
    <t>MARIA CAMILA  ESCUDERO BOHORQUEZ</t>
  </si>
  <si>
    <t>mariaesbo@unisabana.edu.co</t>
  </si>
  <si>
    <t>https://Estud2024.sawtoothsoftware.com/cgi-bin/ciwweb.pl?studyname=Estud2024&amp;ID=194</t>
  </si>
  <si>
    <t>MITZI STEPHANIE  FLOREZ BENITEZ</t>
  </si>
  <si>
    <t>MITZIFLBE@UNISABANA.EDU.CO</t>
  </si>
  <si>
    <t>https://Estud2024.sawtoothsoftware.com/cgi-bin/ciwweb.pl?studyname=Estud2024&amp;ID=195</t>
  </si>
  <si>
    <t>MARIA PAULA  GAMBOA BERNAL</t>
  </si>
  <si>
    <t>MARIAGAMBE@UNISABANA.EDU.CO</t>
  </si>
  <si>
    <t>https://Estud2024.sawtoothsoftware.com/cgi-bin/ciwweb.pl?studyname=Estud2024&amp;ID=196</t>
  </si>
  <si>
    <t>JUAN SEBASTIAN  GUZMAN BUENAVENTURA</t>
  </si>
  <si>
    <t>juanguzbu@unisabana.edu.co</t>
  </si>
  <si>
    <t>https://Estud2024.sawtoothsoftware.com/cgi-bin/ciwweb.pl?studyname=Estud2024&amp;ID=197</t>
  </si>
  <si>
    <t xml:space="preserve">NATALIA MARGARITA ABADIA MONDRAGON </t>
  </si>
  <si>
    <t>nataliaabmo@unisabana.edu.co</t>
  </si>
  <si>
    <t>https://Estud2024.sawtoothsoftware.com/cgi-bin/ciwweb.pl?studyname=Estud2024&amp;ID=198</t>
  </si>
  <si>
    <t xml:space="preserve">DAYANA KATERIN BAEZ LOPEZ </t>
  </si>
  <si>
    <t>dayanabalo@unisabana.edu.co</t>
  </si>
  <si>
    <t>https://Estud2024.sawtoothsoftware.com/cgi-bin/ciwweb.pl?studyname=Estud2024&amp;ID=199</t>
  </si>
  <si>
    <t xml:space="preserve">FEDERICO CALDERON CORREA </t>
  </si>
  <si>
    <t>federicocaco@unisabana.edu.co</t>
  </si>
  <si>
    <t>https://Estud2024.sawtoothsoftware.com/cgi-bin/ciwweb.pl?studyname=Estud2024&amp;ID=200</t>
  </si>
  <si>
    <t xml:space="preserve">JUAN DAVID GOMEZ CADENA </t>
  </si>
  <si>
    <t>juangomcad@unisabana.edu.co</t>
  </si>
  <si>
    <t>https://Estud2024.sawtoothsoftware.com/cgi-bin/ciwweb.pl?studyname=Estud2024&amp;ID=201</t>
  </si>
  <si>
    <t xml:space="preserve">SOFIA GOMEZ LOPEZ </t>
  </si>
  <si>
    <t>sofiagomlo@unisabana.edu.co</t>
  </si>
  <si>
    <t>https://Estud2024.sawtoothsoftware.com/cgi-bin/ciwweb.pl?studyname=Estud2024&amp;ID=202</t>
  </si>
  <si>
    <t xml:space="preserve">NICOLAS GRANADOS CASALLAS </t>
  </si>
  <si>
    <t>nicolasgrca@unisabana.edu.co</t>
  </si>
  <si>
    <t>https://Estud2024.sawtoothsoftware.com/cgi-bin/ciwweb.pl?studyname=Estud2024&amp;ID=203</t>
  </si>
  <si>
    <t>JUAN DAVID  BUSTOS SANCHEZ</t>
  </si>
  <si>
    <t>juanbussa@unisabana.edu.co</t>
  </si>
  <si>
    <t>https://Estud2024.sawtoothsoftware.com/cgi-bin/ciwweb.pl?studyname=Estud2024&amp;ID=204</t>
  </si>
  <si>
    <t>MARIA CAMILA  PÉREZ ARROYAVE</t>
  </si>
  <si>
    <t>mariaperarr@unisabana.edu.co</t>
  </si>
  <si>
    <t>https://Estud2024.sawtoothsoftware.com/cgi-bin/ciwweb.pl?studyname=Estud2024&amp;ID=205</t>
  </si>
  <si>
    <t>JUAN DAVID  SUAREZ MANRIQUE</t>
  </si>
  <si>
    <t>juansuma@unisabana.edu.co</t>
  </si>
  <si>
    <t>https://Estud2024.sawtoothsoftware.com/cgi-bin/ciwweb.pl?studyname=Estud2024&amp;ID=206</t>
  </si>
  <si>
    <t>CAROLINA   CASAS CERTAIN</t>
  </si>
  <si>
    <t>carolinacace@unisabana.edu.co</t>
  </si>
  <si>
    <t>https://Estud2024.sawtoothsoftware.com/cgi-bin/ciwweb.pl?studyname=Estud2024&amp;ID=207</t>
  </si>
  <si>
    <t>MARIA CAMILA SOSSA ALARCOM</t>
  </si>
  <si>
    <t>mariasoal@unisabana.edu.co</t>
  </si>
  <si>
    <t>https://Estud2024.sawtoothsoftware.com/cgi-bin/ciwweb.pl?studyname=Estud2024&amp;ID=208</t>
  </si>
  <si>
    <t>ESPECIALIZACIÓN EN ELECTROFISIOLOGÍA</t>
  </si>
  <si>
    <t>RAFAEL HAVID ISAAC DE MEDEIROS</t>
  </si>
  <si>
    <t>rafaelisme@unisabana.edu.co</t>
  </si>
  <si>
    <t>https://Estud2024.sawtoothsoftware.com/cgi-bin/ciwweb.pl?studyname=Estud2024&amp;ID=209</t>
  </si>
  <si>
    <t>STEPHANY LUNA PISCIOTTI</t>
  </si>
  <si>
    <t>stephanylupi@unisabana.edu.co</t>
  </si>
  <si>
    <t>https://Estud2024.sawtoothsoftware.com/cgi-bin/ciwweb.pl?studyname=Estud2024&amp;ID=210</t>
  </si>
  <si>
    <t>SANTIAGO   GIRALDO RAMIREZ</t>
  </si>
  <si>
    <t>santiagogira@unisabana.edu.co</t>
  </si>
  <si>
    <t>https://Estud2024.sawtoothsoftware.com/cgi-bin/ciwweb.pl?studyname=Estud2024&amp;ID=211</t>
  </si>
  <si>
    <t xml:space="preserve">MARIA PEREZ RESTREPO </t>
  </si>
  <si>
    <t>mariaperre@unisabana.edu.co</t>
  </si>
  <si>
    <t xml:space="preserve"> JORGE ANDRES VALENCIA SERNA</t>
  </si>
  <si>
    <t>jorgevase@unisabana.edu.co</t>
  </si>
  <si>
    <t>HECTOR JULIAN  CUBILLOS VEGA</t>
  </si>
  <si>
    <t>hectorcuve@unisabana.edu.co</t>
  </si>
  <si>
    <t>YOHANA SOFIA  MANTILLA MORALES</t>
  </si>
  <si>
    <t>yohanamanmo@unisabana.edu.co</t>
  </si>
  <si>
    <t>JAVIER HERNANDO  USME MONJE</t>
  </si>
  <si>
    <t>javierusmo@unisabana.edu.co</t>
  </si>
  <si>
    <t>JOSE RICARDO  CARDENAS ACOSTA</t>
  </si>
  <si>
    <t>josecaac@unisabana.edu.co</t>
  </si>
  <si>
    <t>DIANA PAOLA  CASAS CORTÉS</t>
  </si>
  <si>
    <t>dianacasco@unisabana.edu.co</t>
  </si>
  <si>
    <t>GLORIA MARCELA  ESTEVEZ RAMIREZ</t>
  </si>
  <si>
    <t>gloriaesra@unisabana.edu.co</t>
  </si>
  <si>
    <t>ANDRES GERARDO MILLAN PERALTA</t>
  </si>
  <si>
    <t>andresmipe@unisabana.edu.co</t>
  </si>
  <si>
    <t>PAOLA ANDREA PEREZ CUERVO</t>
  </si>
  <si>
    <t>paolapecu@unisabana.edu.co</t>
  </si>
  <si>
    <t>LUISA FERNANDA QUIÑONEZ NEIRA</t>
  </si>
  <si>
    <t>luisaqune@unisabana.edu.co</t>
  </si>
  <si>
    <t>MARIA   ACONCHA DE LA ROSA</t>
  </si>
  <si>
    <t>mariaacoros@unisabana.edu.co</t>
  </si>
  <si>
    <t>LINA MARIA  CASTRO ROJAS</t>
  </si>
  <si>
    <t>linacasroj@unisabana.edu.co</t>
  </si>
  <si>
    <t>GERMAN DAVID  CASTILLO SUAREZ</t>
  </si>
  <si>
    <t>germancasu@unisabana.edu.co</t>
  </si>
  <si>
    <t>ALEJANDRO   MEDINACELI MOLINA</t>
  </si>
  <si>
    <t>alejandromemo@unisabana.edu.co</t>
  </si>
  <si>
    <t>ANDREA   CAMACHO RAMIREZ</t>
  </si>
  <si>
    <t>Yulicara@unisabana.edu.co</t>
  </si>
  <si>
    <t>LADY VIVIANA  MORENO DAZA</t>
  </si>
  <si>
    <t>ladymoda@unisabana.edu.co</t>
  </si>
  <si>
    <t>SERGIO FABIÁN  RODRÍGUEZ CASTAÑEDA</t>
  </si>
  <si>
    <t>sergiorodcas@unisabana.edu.co</t>
  </si>
  <si>
    <t>SANTIAGO   BARON GUTIERREZ</t>
  </si>
  <si>
    <t>santiagobagu@unisabana.edu.co</t>
  </si>
  <si>
    <t>JONATHAN CAMILO  RAMIREZ CRUZ</t>
  </si>
  <si>
    <t>jonathanracr@unisabana.edu.co</t>
  </si>
  <si>
    <t>MANUEL ALONSO  ARDILA BAEZ</t>
  </si>
  <si>
    <t>manuelarba@unisabana.edu.co</t>
  </si>
  <si>
    <t>HERMES JOSE  CUEL LOPEZ</t>
  </si>
  <si>
    <t>hermescuelo@unisabana.edu.co</t>
  </si>
  <si>
    <t>DIEGO ANDRÉS  HERNÁNDEZ DINAS</t>
  </si>
  <si>
    <t>diegohedi@unisabana.edu.co</t>
  </si>
  <si>
    <t>FRANCISCO ANDRÉS  PETANO ROMERO</t>
  </si>
  <si>
    <t>franciscopero@unisabana.edu.co</t>
  </si>
  <si>
    <t>YERSON URIEL  BAYONA ARIAS</t>
  </si>
  <si>
    <t>yersonbaar@unisabana.edu.co</t>
  </si>
  <si>
    <t>MARIA CAMILA  GONZALEZ TABARES</t>
  </si>
  <si>
    <t>mariagontab@unisabana.edu.co</t>
  </si>
  <si>
    <t>VALENTINA   HERNANDEZ ANGARITA</t>
  </si>
  <si>
    <t>Valentinahean@unisabana.edu.co</t>
  </si>
  <si>
    <t>ESTEFANY MARIA  SALAS DANIES</t>
  </si>
  <si>
    <t>estefanysada@unisabana.edu.co</t>
  </si>
  <si>
    <t>LUZ ANGELA  CEPEDA CORTÉS</t>
  </si>
  <si>
    <t>luzceco@unisabana.edu.co</t>
  </si>
  <si>
    <t>ANGIE KATHERINE  GRAJALES MELÉNDEZ</t>
  </si>
  <si>
    <t>angiegrme@unisabana.edu.co</t>
  </si>
  <si>
    <t>ANDREA CAROLINA  MONTENEGRO HERNÁNDEZ</t>
  </si>
  <si>
    <t>andreamonhe@unisabana.edu.co</t>
  </si>
  <si>
    <t>LUISA FERNANDA  SUSA BARBOSA</t>
  </si>
  <si>
    <t>luisasuba@unisabana.edu.co</t>
  </si>
  <si>
    <t>YERALDINE   MARTINEZ HERRERA</t>
  </si>
  <si>
    <t>yeraldinemama@unisabana.edu.co</t>
  </si>
  <si>
    <t>ADRIANA MARIA  RAMIREZ OLAYA</t>
  </si>
  <si>
    <t>adrianaramol@unisabana.edu.co</t>
  </si>
  <si>
    <t>ISABELLA   DAVILA NERI</t>
  </si>
  <si>
    <t>isabelladane@unisabana.edu.co</t>
  </si>
  <si>
    <t>VIVIANA   DAVILA ROMERO</t>
  </si>
  <si>
    <t>vivianadaro@unisabana.edu.co</t>
  </si>
  <si>
    <t>ISABELA   SANCHEZ MAYORCA</t>
  </si>
  <si>
    <t>isabelasama@unisabana.edu.co</t>
  </si>
  <si>
    <t>DIEGO GUSTAVO  SEGURA CASTELLANOS</t>
  </si>
  <si>
    <t>diego.segura@unisabana.edu.co</t>
  </si>
  <si>
    <t xml:space="preserve">LEIDY TATIANA BAUTISTA CERON </t>
  </si>
  <si>
    <t>leidybace@unisabana.edu.co</t>
  </si>
  <si>
    <t xml:space="preserve">CESAR ALEJANDRO VALDES CADENA </t>
  </si>
  <si>
    <t>cesarvalca@unisabana.edu.co</t>
  </si>
  <si>
    <t xml:space="preserve">JUAN SEBASTIAN VARGAS PEREZ </t>
  </si>
  <si>
    <t>juanvarpe@unisabana.edu.co</t>
  </si>
  <si>
    <t>JULIAN SANTIAGO  CORTES SALINAS</t>
  </si>
  <si>
    <t>juliancorsa@unisabana.edu.co</t>
  </si>
  <si>
    <t>KATHEEN DAYANA  QUIÑONEZ PINEDA</t>
  </si>
  <si>
    <t>katheenqupi@unisabana.edu.co</t>
  </si>
  <si>
    <t>KAREN SAMANTHA  VALDERRAMA BARRERA</t>
  </si>
  <si>
    <t>karenvaba@unisabana.edu.co</t>
  </si>
  <si>
    <t>ANGIE MARCELA  CASTAÑO BONILLA</t>
  </si>
  <si>
    <t>angiecabo@unisabana.edu.co</t>
  </si>
  <si>
    <t>ANDRES FELIPE  OCAMPO ARIAS</t>
  </si>
  <si>
    <t>andres.ocampo@unisabana.edu.co</t>
  </si>
  <si>
    <t>ISACIO   SERNA PALACIOS</t>
  </si>
  <si>
    <t>isaciosepa@unisabana.edu.co</t>
  </si>
  <si>
    <t>JONATHAN   ARANGO JUNCO</t>
  </si>
  <si>
    <t>jonathanarju@unisabana.edu.co</t>
  </si>
  <si>
    <t>LINA MARIA  LASSO OSSA</t>
  </si>
  <si>
    <t>linalaos@unisabana.edu.co</t>
  </si>
  <si>
    <t>MARIANA   LOZANO CHINGATÉ</t>
  </si>
  <si>
    <t>Marianaloch@unisabana.Edu.co</t>
  </si>
  <si>
    <t>MARIAM   BAGHDOUST DE LA PEÑA</t>
  </si>
  <si>
    <t>mariambagpe@unisabana.edu.co</t>
  </si>
  <si>
    <t>JEIMY LIZETH  FORERO FONSECA</t>
  </si>
  <si>
    <t>jeimyfofo@unisabana.edu.co</t>
  </si>
  <si>
    <t>LAURA CAMILA  MARTINEZ DELGADO</t>
  </si>
  <si>
    <t>lauramarde@unisabana.edu.co</t>
  </si>
  <si>
    <t>ANGIE MARCELA  OCHOA RICARDO</t>
  </si>
  <si>
    <t>angieocri@unisabana.edu.co</t>
  </si>
  <si>
    <t>ALEJANDRO   QUINTERO ALTARE</t>
  </si>
  <si>
    <t>alejandroqual@unisabana.edu.co</t>
  </si>
  <si>
    <t>MARIA ALEJANDRA  ZARAMA ERASO</t>
  </si>
  <si>
    <t>mariazaer@unisabana.edu.co</t>
  </si>
  <si>
    <t>LAURA MARCELA  CASTILLA GOMEZ</t>
  </si>
  <si>
    <t>lauracasgom@unisabana.edu.co</t>
  </si>
  <si>
    <t>YULI CATALINA  ACOSTA MENESES</t>
  </si>
  <si>
    <t>yuliacme@unisabana.edu.co</t>
  </si>
  <si>
    <t>PAOLA ANDREA  CASTRO OCHOA</t>
  </si>
  <si>
    <t>paolacaoc@unisabana.edu.co</t>
  </si>
  <si>
    <t>SERGIO   LINARES PENA</t>
  </si>
  <si>
    <t>sergiolipe@unisabana.edu.co</t>
  </si>
  <si>
    <t>MARIA PAULA  ROJAS ARRIETA</t>
  </si>
  <si>
    <t>mariarojar@unisabana.edu.co</t>
  </si>
  <si>
    <t>NATALIA   VALENZUELA FACCINI</t>
  </si>
  <si>
    <t>nataliavafa@unisabana.edu.co</t>
  </si>
  <si>
    <t>DIANA FERNANDA  AVILA SAAVEDRA</t>
  </si>
  <si>
    <t>dianaavisa@unisabana.edu.co</t>
  </si>
  <si>
    <t>ANA MARIA  CASTILLO CASTILLO</t>
  </si>
  <si>
    <t>anacascas@unisabana.edu.co</t>
  </si>
  <si>
    <t>MARIA CAMILA  FERRO PEÑUELA</t>
  </si>
  <si>
    <t>mariaferpe@unisabana.edu.co</t>
  </si>
  <si>
    <t>JAIRO   GONZALEZ QUINTERO</t>
  </si>
  <si>
    <t>jairogoqu@unisabana.edu.co</t>
  </si>
  <si>
    <t>ANA MARIA  MEJIA MONTOYA</t>
  </si>
  <si>
    <t>anamejmo@unisabana.edu.co</t>
  </si>
  <si>
    <t>LAURA MARIA  BEDOYA ALVAREZ</t>
  </si>
  <si>
    <t>laurabedal@unisabana.edu.co</t>
  </si>
  <si>
    <t>TATIANA PATRICIA  BUITRAGO GONZALEZ</t>
  </si>
  <si>
    <t>tatianabugo@unisabana.edu.co</t>
  </si>
  <si>
    <t>PAULA CATALINA ESPERANZA FLOREZ NAVAS</t>
  </si>
  <si>
    <t>paulaflna@unisabana.edu.co</t>
  </si>
  <si>
    <t>GABRIELA ANDREA  FRANCO BALLEN</t>
  </si>
  <si>
    <t>gabrielafrba@unisabana.edu.co</t>
  </si>
  <si>
    <t>LAURA CAMILA  BERMUDEZ ROJAS</t>
  </si>
  <si>
    <t>lauraberro@unisabana.edu.co</t>
  </si>
  <si>
    <t>MARIA CAMILA GARZON BONILLA</t>
  </si>
  <si>
    <t>mariagarbon@unisabana.edu.co</t>
  </si>
  <si>
    <t>LEIDY LAURA SANCHEZ ZULUAGA</t>
  </si>
  <si>
    <t>leidysazu@unisabana.edu.co</t>
  </si>
  <si>
    <t>DANIEL ANDRES  BARBOSA MURILLO</t>
  </si>
  <si>
    <t>danielbamu@unisabana.edu.co</t>
  </si>
  <si>
    <t>MARIA ALEJANDRA  CARDENAS GALINDO</t>
  </si>
  <si>
    <t>mariacardgal@unisabana.edu.co</t>
  </si>
  <si>
    <t>LAURA VANNESA  GONZÁLEZ SALAZAR</t>
  </si>
  <si>
    <t>lauragonsa@unisabana.edu.co</t>
  </si>
  <si>
    <t>DOLLI YINETH  CACERES GALINDEZ</t>
  </si>
  <si>
    <t>dollicacga@unisabana.edu.co</t>
  </si>
  <si>
    <t>MARIA FERNANDA  IRIARTE ARISTIZABAL</t>
  </si>
  <si>
    <t>mariairiar@unisabana.edu.co</t>
  </si>
  <si>
    <t>LINA PATRICIA  OSPINA CHAPARRO</t>
  </si>
  <si>
    <t>linaosch@unisabana.edu.co</t>
  </si>
  <si>
    <t>NATALIA   BOTERO JARAMILLO</t>
  </si>
  <si>
    <t>nataliaboja@unisabana.edu.co</t>
  </si>
  <si>
    <t>VERÓNICA ELENA  PÁEZ AVENDAÑO</t>
  </si>
  <si>
    <t>veronicapaav@unisabana.edu.co</t>
  </si>
  <si>
    <t>DANIELA   SARRIA GÓMEZ</t>
  </si>
  <si>
    <t>danielasargo@unisabana.edu.co</t>
  </si>
  <si>
    <t>BIBIANA   FLOREZ VARGAS</t>
  </si>
  <si>
    <t>bibianaflva@unisabana.edu.co</t>
  </si>
  <si>
    <t>SANTIAGO   GUADARRAMA VEGA</t>
  </si>
  <si>
    <t>santiagoguve@unisabana.edu.co</t>
  </si>
  <si>
    <t>ANGIE NATHALIA  HERNANDEZ RICO</t>
  </si>
  <si>
    <t>angieheri@unisabana.edu.co</t>
  </si>
  <si>
    <t>LAURA   CUELLAR VALENCIA</t>
  </si>
  <si>
    <t>7 ( finaliza el 31 de enero de 2025)</t>
  </si>
  <si>
    <t>lauracuva@unisabana.edu.co</t>
  </si>
  <si>
    <t>LENNIS JAZMIN  BEDOYA MUÑOZ</t>
  </si>
  <si>
    <t>lennisbemu@unisabana.edu.co</t>
  </si>
  <si>
    <t>ALEJANDRINA DEL PILAR MARTINEZ ORJUELA</t>
  </si>
  <si>
    <t>alejandrinamaor@unisabana.edu.co</t>
  </si>
  <si>
    <t>SANTIAGO   TELLEZ BUITRAGO</t>
  </si>
  <si>
    <t>santiagotebu@unisabana.edu.co</t>
  </si>
  <si>
    <t>VALENTINA   BECERRA ALVAREZ</t>
  </si>
  <si>
    <t>valentinabeal@unisabana.edu.co</t>
  </si>
  <si>
    <t>NATALIA BECERRA HERNANDEZ</t>
  </si>
  <si>
    <t>nataliabehe@unisabana.edu.co</t>
  </si>
  <si>
    <t>PAULA CATALINA LANCHEROS GONZALEZ</t>
  </si>
  <si>
    <t>paulalago@unisabana.edu.co</t>
  </si>
  <si>
    <t>DAVID ANDRES SABOGAL HURTADO</t>
  </si>
  <si>
    <t>davidsahu@unisabana.edu.co</t>
  </si>
  <si>
    <t>MARIA PAULA  SANCHEZ SERRATO</t>
  </si>
  <si>
    <t>mariasancser@unisabana.edu.co</t>
  </si>
  <si>
    <t>SARA MARIA VELANDIA OSORIO</t>
  </si>
  <si>
    <t>saraveos@unisabana.edu.co</t>
  </si>
  <si>
    <t>MARTHA JULIANA  CRIALES LAGUADO</t>
  </si>
  <si>
    <t>marthacrla@unisabana.edu.co</t>
  </si>
  <si>
    <t>WAYRA VALENTINA  MARTINEZ TORRES</t>
  </si>
  <si>
    <t>wayramarto@unisabana.edu.co</t>
  </si>
  <si>
    <t>ANDRÉS FELIPE  SALAZAR HENAO</t>
  </si>
  <si>
    <t>andressalhe@unisabana.edu.co</t>
  </si>
  <si>
    <t>JUAN NICOLAS  TOLOSA MEDINA</t>
  </si>
  <si>
    <t>Juantolme@unisabana.edu.co</t>
  </si>
  <si>
    <t>SANDRA PATRICIA  VALBUENA GUASCA</t>
  </si>
  <si>
    <t>sandravagu@unisabana.edu.co</t>
  </si>
  <si>
    <t>PAOLA SOPHYA  ESTEBAN PEREZ</t>
  </si>
  <si>
    <t>paolaespe@unisabana.edu.co</t>
  </si>
  <si>
    <t>MARIA JULIANA  AVELLA MORALES</t>
  </si>
  <si>
    <t>mariaavmo@unisabana.edu.co</t>
  </si>
  <si>
    <t>JUAN GUILLERMO  LUNA GONZALEZ</t>
  </si>
  <si>
    <t>juan.luna@unisabana.edu.co</t>
  </si>
  <si>
    <t>LAURA MELISSA  ORJUELA GALLO</t>
  </si>
  <si>
    <t>lauraorga@unisabana.edu.co</t>
  </si>
  <si>
    <t>DANIEL MATEO  PRIETO PARDO</t>
  </si>
  <si>
    <t>danielprpa@unisabana.edu.co</t>
  </si>
  <si>
    <t>DIANA PAOLA  ALMARIO PARRA</t>
  </si>
  <si>
    <t>dianaalpa@unisabana.edu.co</t>
  </si>
  <si>
    <t>LAURA NATALIA  BERNAL BUSTOS</t>
  </si>
  <si>
    <t>laurabebu@unisabana.edu.co</t>
  </si>
  <si>
    <t>MAIRA ALEJANDRA  BRITO RAMOS</t>
  </si>
  <si>
    <t>mairabrra@unisabana.edu.co</t>
  </si>
  <si>
    <t>ALEJANDRA   PRIETO GUERRERO</t>
  </si>
  <si>
    <t>alejandraprgu@unisabana.edu.co</t>
  </si>
  <si>
    <t>MELISA FERNANDA  PULIDO RODRÍGUEZ</t>
  </si>
  <si>
    <t>melisapuro@unisabana.edu.co</t>
  </si>
  <si>
    <t>PAULA ALEJANDRA  GOMEZ HERNANDEZ</t>
  </si>
  <si>
    <t>paulagohe@unisabana.edu.co</t>
  </si>
  <si>
    <t>JULY ANDREA  HERNANDEZ RINCON</t>
  </si>
  <si>
    <t>julyheri@unisabana.edu.co</t>
  </si>
  <si>
    <t>CELSO ANDRES  MELO ROA</t>
  </si>
  <si>
    <t>celsomero@unisabana.edu.co</t>
  </si>
  <si>
    <t>LINA MARCELA  REYES VARGAS</t>
  </si>
  <si>
    <t>linareva@unisabana.edu.co</t>
  </si>
  <si>
    <t>LAURA DANIELA  SAZA SAZA</t>
  </si>
  <si>
    <t>laurasazsa@unisabana.edu.co</t>
  </si>
  <si>
    <t>DANIELA   BARROS TORO</t>
  </si>
  <si>
    <t>danielabato@unisabana.edu.co</t>
  </si>
  <si>
    <t>NATALIA ANDREA  CASTELLANOS QUIROGA</t>
  </si>
  <si>
    <t>nataliacaqu@unisabana.edu.co</t>
  </si>
  <si>
    <t>JUANITA   HENAO GIRARD</t>
  </si>
  <si>
    <t>juanitahegi@unisabana.edu.co</t>
  </si>
  <si>
    <t>JANETT VANESSA  MONCAYO REYES</t>
  </si>
  <si>
    <t>janettmore@unisabana.edu.co</t>
  </si>
  <si>
    <t>JENNY PAOLA  ROJAS FAJARDO</t>
  </si>
  <si>
    <t>jennyrofa@unisabana.edu.co</t>
  </si>
  <si>
    <t>LAURA VIVIANA  BUITRAGO MALAVER</t>
  </si>
  <si>
    <t>laurabuima@unisabana.edu.co</t>
  </si>
  <si>
    <t>ANA LUCIA  LOPEZ TULCAN</t>
  </si>
  <si>
    <t>analotu@unisabana.edu.co</t>
  </si>
  <si>
    <t>PABLO ALONSO  MIRANDA MEZA</t>
  </si>
  <si>
    <t>pablomime@unisabana.edu.co</t>
  </si>
  <si>
    <t>DAVID   OSPINA ESTRADA</t>
  </si>
  <si>
    <t>davidoses@unisabana.edu.co</t>
  </si>
  <si>
    <t>MARÍA JULIANA  BARONA FLÓREZ</t>
  </si>
  <si>
    <t>mariabafl@unisabana.edu.co</t>
  </si>
  <si>
    <t>SERGIO ANDRES  GONZALEZ ARTEAGA</t>
  </si>
  <si>
    <t>sergiogonar@unisabana.edu.co</t>
  </si>
  <si>
    <t>DANIEL ALEJANDRO  NUÑEZ TORRES</t>
  </si>
  <si>
    <t>danielnuto@unisabana.edu.co</t>
  </si>
  <si>
    <t>MELISSA BEATRIZ  TUNAROSA MURCIA</t>
  </si>
  <si>
    <t>melissatumu@unisabana.edu.co</t>
  </si>
  <si>
    <t>JESSICA PAOLA  CAMPO ALVAREZ</t>
  </si>
  <si>
    <t>jessicacaal@unisabana.edu.co</t>
  </si>
  <si>
    <t>RAUL EDUARDO  GALVIS ARENAS</t>
  </si>
  <si>
    <t>raulgaar@unisabana.edu.co</t>
  </si>
  <si>
    <t>DIANA CAROLINA  MOSCOTE SALAZAR</t>
  </si>
  <si>
    <t>dianamossa@unisabana.edu.co</t>
  </si>
  <si>
    <t>MARIA ALEJANDRA  ORJUELA ZULUAGA</t>
  </si>
  <si>
    <t>mariaorzu@unisabana.edu.co</t>
  </si>
  <si>
    <t>DIANA CAROLINA  DELAHOZ DIAZGRANADOS</t>
  </si>
  <si>
    <t>dianadedi@unisabana.edu.co</t>
  </si>
  <si>
    <t>SILVIA JULIANA  GALVIS BLANCO</t>
  </si>
  <si>
    <t>silviagabl@unisabana.edu.co</t>
  </si>
  <si>
    <t>SHIARA CAMILA  ZARUR TORRALVO</t>
  </si>
  <si>
    <t>shiarazato@unisabana.edu.co</t>
  </si>
  <si>
    <t>MARIA ELENA  BUENDIA DEAVILA</t>
  </si>
  <si>
    <t>mariabuede@unisabana.edu.co</t>
  </si>
  <si>
    <t>MÓNICA MARÍA  MÉNDEZ MORENO</t>
  </si>
  <si>
    <t>monicamemo@unisabana.edu.co</t>
  </si>
  <si>
    <t>MARIA ALEJANDRA  VALDERRAMA LOPEZ</t>
  </si>
  <si>
    <t xml:space="preserve"> maria.valderrama@unisabana.edu.co</t>
  </si>
  <si>
    <t>DANIEL ALEJANDRO LUNA PATERNINA</t>
  </si>
  <si>
    <t>daniellupa@unisabana.edu.co</t>
  </si>
  <si>
    <t>JULIO ALEJANDRO VILLALOBOS PÉREZ</t>
  </si>
  <si>
    <t>juliovipe@unisabana.edu.co</t>
  </si>
  <si>
    <t>ANDRE EMILIO VIÑAN GARCES</t>
  </si>
  <si>
    <t>andreviga@unisabana.edu.co</t>
  </si>
  <si>
    <t>YELITZA KATHERINE  ALVAREZ PABON</t>
  </si>
  <si>
    <t>yelitzaalpa@unisabana.edu.co</t>
  </si>
  <si>
    <t>ANGELICA   PEÑA ORTIZ</t>
  </si>
  <si>
    <t>angelicapeor@unisabana.edu.co</t>
  </si>
  <si>
    <t>LEIDY JOHANA  PETRO SUAREZ</t>
  </si>
  <si>
    <t>LEIDYPESU@UNISABANA.EDU.CO</t>
  </si>
  <si>
    <t>ANGIE JUANITA  HORTA ESPINOSA</t>
  </si>
  <si>
    <t>angiehoes@unisabana.edu.co</t>
  </si>
  <si>
    <t>CATALINA   LEANO RAMIREZ</t>
  </si>
  <si>
    <t>catalinalera@unisabana.edu.co</t>
  </si>
  <si>
    <t>EDER ALEXANDER  MORENO VARGAS</t>
  </si>
  <si>
    <t>edermova@unisabana.edu.co</t>
  </si>
  <si>
    <t>ANGÉLICA DEL ROSARIO BURGOS ROJAS</t>
  </si>
  <si>
    <t>angelicaburo@unisabana.edu.co</t>
  </si>
  <si>
    <t>JORGE ANDRÉS  CORTÉS ARÉVALO</t>
  </si>
  <si>
    <t>jorgecorar@unisabana.edu.co</t>
  </si>
  <si>
    <t>LAURA VICTORIA  FALLA PRECIADO</t>
  </si>
  <si>
    <t>laurafapr@unisabana.edu.co</t>
  </si>
  <si>
    <t>VALERIA   LEON ROMERO</t>
  </si>
  <si>
    <t>valerialero@unisabana.edu.co</t>
  </si>
  <si>
    <t>CARLOS ALFONSO  PANTOJA FIERRO</t>
  </si>
  <si>
    <t>carlospafi@unisabana.edu.co</t>
  </si>
  <si>
    <t>NATALIA MARIA  OLIVEROS ACUÑA</t>
  </si>
  <si>
    <t>nataliaolac@unisabana.edu.co</t>
  </si>
  <si>
    <t>NATHALIA   TAFUR GOMEZ</t>
  </si>
  <si>
    <t>nathaliatago@unisabana.edu.co</t>
  </si>
  <si>
    <t>ANA MARIA  BALDOVINO CHIQUILLO</t>
  </si>
  <si>
    <t>anabach@unisabana.edu.co</t>
  </si>
  <si>
    <t>KELLY YOHANA  MORENO BOCANEGRA</t>
  </si>
  <si>
    <t>kellymobo@unisabana.edu.co</t>
  </si>
  <si>
    <t>ANDRES MAURICIO  ESPEJO REDONDO</t>
  </si>
  <si>
    <t>andresesre@unisabana.edu.co</t>
  </si>
  <si>
    <t>ANGIE PAOLA  GARCIA ESQUIVEL</t>
  </si>
  <si>
    <t>angiegaes@unisabana.edu.co</t>
  </si>
  <si>
    <t>NATALIA   VALENCIA ENCISO</t>
  </si>
  <si>
    <t>nataliavaen@unisabana.edu.co</t>
  </si>
  <si>
    <t>SEBASTIAN FORERO AMEZQUITA</t>
  </si>
  <si>
    <t>sebastianfoam@unisabana.edu.co</t>
  </si>
  <si>
    <t>DANIELA VALENTINA PARRA TANOUX</t>
  </si>
  <si>
    <t>danielapata@unisabana.edu.co</t>
  </si>
  <si>
    <t>JULIANA ANDREA  PACHÓN OLMOS</t>
  </si>
  <si>
    <t>julianapaol@unisabana.edu.co</t>
  </si>
  <si>
    <t>TATIANA   VARGAS PERDOMO</t>
  </si>
  <si>
    <t>tatianavape@unisabana.edu.co</t>
  </si>
  <si>
    <t>MARIA CAMILA  GARZON VIASUS</t>
  </si>
  <si>
    <t>mariagarvi@unisabana.edu.co</t>
  </si>
  <si>
    <t>JUAN FELIPE  RODRIGUEZ VALENZUELA</t>
  </si>
  <si>
    <t>juanrodva@unisabana.edu.co</t>
  </si>
  <si>
    <t>VALENTINA   CACUA LADINO</t>
  </si>
  <si>
    <t>valentinacala@unisabana.edu.co</t>
  </si>
  <si>
    <t>MARIA GABRIELA  CEPEDA GARCES</t>
  </si>
  <si>
    <t>mariacega@unisabana.edu.co</t>
  </si>
  <si>
    <t>NICOLAS   GARCIA PESCADOR</t>
  </si>
  <si>
    <t>nicolasgape@unisabana.edu.co</t>
  </si>
  <si>
    <t>NATALIA FERNANDA  LUCENA NUÑEZ</t>
  </si>
  <si>
    <t>natalialunu@unisabana.edu.co</t>
  </si>
  <si>
    <t>JUANITA   MONSALVE MONTEZUMA</t>
  </si>
  <si>
    <t>juanitamomo@unisabana.edu.co</t>
  </si>
  <si>
    <t>DIANA PAOLA  RIVERA LEON</t>
  </si>
  <si>
    <t>dianarile@unisabana.edu.co</t>
  </si>
  <si>
    <t>KATHERINE LUCIA  GIRALDO RODRÍGUEZ</t>
  </si>
  <si>
    <t>katherinegiro@unisabana.edu.co</t>
  </si>
  <si>
    <t>LINA MARÍA  GUTIÉRREZ MONTENEGRO</t>
  </si>
  <si>
    <t>linagumo@unisabana.edu.co</t>
  </si>
  <si>
    <t>PAOLA ANDREA  JIMÉNEZ BERNAL</t>
  </si>
  <si>
    <t>paolajibe@unisabana.edu.co</t>
  </si>
  <si>
    <t>JULIANA   LOPEZ ORDOÑEZ</t>
  </si>
  <si>
    <t>julianalo@unisabana.edu.co</t>
  </si>
  <si>
    <t>LINA PAOLA  MURILLO GARANTIVÁ</t>
  </si>
  <si>
    <t>linamuga@unisabana.edu.co</t>
  </si>
  <si>
    <t>DANIELA   ORTIZ PERALTA</t>
  </si>
  <si>
    <t>danielaorpe@unisabana.edu.co</t>
  </si>
  <si>
    <t>LAURA CRISTINA  CUERO RIOS</t>
  </si>
  <si>
    <t>lauracuri@unisabana.edu.co</t>
  </si>
  <si>
    <t>ANDRÉS DAVID  MONTOYA MONCADA</t>
  </si>
  <si>
    <t>andresmonmon@unisabana.edu.co</t>
  </si>
  <si>
    <t>ARIANA CAROLINA  ROJAS ORTEGA</t>
  </si>
  <si>
    <t>arianaroor@unisabana.edu.co</t>
  </si>
  <si>
    <t>NATALIA   SANTAMARIA CASTIBLANCO</t>
  </si>
  <si>
    <t>nataliasanca@unisabana.edu.co</t>
  </si>
  <si>
    <t>JUAN PABLO  VALDERRAMA LUQUE</t>
  </si>
  <si>
    <t>juanvalu@unisabana.edu.co</t>
  </si>
  <si>
    <t>ESPECIALIZACIÓN EN RADIOLOGÍA</t>
  </si>
  <si>
    <t>LAURA ANDREA CAMPAÑA PERILLA</t>
  </si>
  <si>
    <t>lauracampe@unisabana.edu.co</t>
  </si>
  <si>
    <t>NICOLAS DAVID  BASTIDAS GUTIERREZ</t>
  </si>
  <si>
    <t>nicolasbagu@unisabana.edu.co</t>
  </si>
  <si>
    <t>MARIA FERNANDA  GOMEZ MARTINEZ</t>
  </si>
  <si>
    <t>mariagomma@unisabana.edu.co</t>
  </si>
  <si>
    <t>SERGIO MANUEL  BORDA BARRIOS</t>
  </si>
  <si>
    <t>sergio.borda@unisabana.edu.co</t>
  </si>
  <si>
    <t>ESTEFAN   RAMOS ISAZA</t>
  </si>
  <si>
    <t>estefanrais@unisabana.edu.co</t>
  </si>
  <si>
    <t>VERÓNICA   GONZÁLEZ GONZÁLEZ</t>
  </si>
  <si>
    <t>veronicagogo@unisabana.edu.co</t>
  </si>
  <si>
    <t>JESÚS ALBERTO  MOSQUERA LÓPEZ</t>
  </si>
  <si>
    <t>jesusmoslo@unisabana.edu.co</t>
  </si>
  <si>
    <t>GERMAN ANDRES  CARMONA AMOROCHO</t>
  </si>
  <si>
    <t>germancaam@unisabana.edu.co</t>
  </si>
  <si>
    <t>SERGIO ANDRES  VERGARA CARDENAS</t>
  </si>
  <si>
    <t>sergiovercar@unisabana.edu.co</t>
  </si>
  <si>
    <t>CHRISTIAN HERNAN  GARZON VANEGAS</t>
  </si>
  <si>
    <t>christiangava@unisabana.edu.co</t>
  </si>
  <si>
    <t>VALERIA   GOMEZ GOMEZ</t>
  </si>
  <si>
    <t>valeriagomgo@unisabana.edu.co</t>
  </si>
  <si>
    <t>MARIA CAMILA  BUITRAGO PEDRAZA</t>
  </si>
  <si>
    <t>mariabupe@unisabana.edu.co</t>
  </si>
  <si>
    <t>DIEGO ALEXANDER  CASAS PASACHOA</t>
  </si>
  <si>
    <t>diegocaspa@unisabana.edu.co</t>
  </si>
  <si>
    <t>LAURA CRISTINA  RODRIGUEZ BRAVO</t>
  </si>
  <si>
    <t>laurarobr@unisabana.edu.co</t>
  </si>
  <si>
    <t>KEISY   ORDUZ URIBE</t>
  </si>
  <si>
    <t>keisyorur@unisabana.edu.co</t>
  </si>
  <si>
    <t>ELIAS JOSUE  QUINTERO MUÑOZ</t>
  </si>
  <si>
    <t>eliasqumu@unisabana.edu.co</t>
  </si>
  <si>
    <t>CRISTIAN ANDRES  MESA PEDRAZA</t>
  </si>
  <si>
    <t>cristian.mesa@unisabana.edu.co</t>
  </si>
  <si>
    <t>SOFÍA MARGARITA  ARIAS CORREAL</t>
  </si>
  <si>
    <t>sofiaarco@unisabana.edu.co</t>
  </si>
  <si>
    <t>MARIA DE LOS ANGELES BARRERA OVIEDO</t>
  </si>
  <si>
    <t>mariabaov@unisabana.edu.co</t>
  </si>
  <si>
    <t>JUAN DIEGO CASTAÑEDA HUERTAS</t>
  </si>
  <si>
    <t>juancahu@unisabana.edu.co</t>
  </si>
  <si>
    <t>JUAN CARLOS GIRALDO VASQUEZ</t>
  </si>
  <si>
    <t>juangirvas@unisabana.edu.co</t>
  </si>
  <si>
    <t>JUAN NICOLAS MOLANO</t>
  </si>
  <si>
    <t>juanmol@unisabana.edu.co</t>
  </si>
  <si>
    <t>MARIO DAVID REY NEIRA</t>
  </si>
  <si>
    <t>mariorene@unisabana.edu.co</t>
  </si>
  <si>
    <t>MARIA CATALINA VACA ESPINOSA</t>
  </si>
  <si>
    <t>mariavaes@unisabana.edu.co</t>
  </si>
  <si>
    <t>CRISTHIAN FABIAN  ACERO MURILLO</t>
  </si>
  <si>
    <t>cristhianacmu@unisabana.edu.co</t>
  </si>
  <si>
    <t>CRISTIAN FELIPE  CARDONA MOLINA</t>
  </si>
  <si>
    <t>cristiancarmo@unisabana.edu.co</t>
  </si>
  <si>
    <t>ANDRES FELIPE  CRUZ GONZALEZ</t>
  </si>
  <si>
    <t>andrescrgo@unisabana.edu.co</t>
  </si>
  <si>
    <t>LUIS PABLO  LESPORT CASTRO</t>
  </si>
  <si>
    <t>luislesca@unisabana.edu.co</t>
  </si>
  <si>
    <t>GABRIELA   URDINOLA HERNANDEZ</t>
  </si>
  <si>
    <t>gabrielaurhe@unisabana.edu.co</t>
  </si>
  <si>
    <t>NAYAH ESTEFANIA  ZULETA SANCHEZ</t>
  </si>
  <si>
    <t>nayahzusa@unisabana.edu.co</t>
  </si>
  <si>
    <t>CATALINA   ANDRADE VIVIANA</t>
  </si>
  <si>
    <t>vivianaan@unisabana.edu.co</t>
  </si>
  <si>
    <t>DAVID SEBASTIAN  CARDENAS RODRIGUEZ</t>
  </si>
  <si>
    <t>davidcarro@unisabana.edu.co</t>
  </si>
  <si>
    <t>LAURA TATIANA  GOMEZ CASTRO</t>
  </si>
  <si>
    <t>lauragomca@unisabana.edu.co</t>
  </si>
  <si>
    <t>NICOLE GUISELLE  MENDEZ PEÑALOSA</t>
  </si>
  <si>
    <t>nicolemepe@unisabana.edu.co</t>
  </si>
  <si>
    <t>BLANKA STEFANY  PACHECO OLMOS</t>
  </si>
  <si>
    <t>blankapaol@unisabana.edu.co</t>
  </si>
  <si>
    <t>FULTON CAMILO  PEREA GOMEZ</t>
  </si>
  <si>
    <t>fultonpego@unisabana.edu.co</t>
  </si>
  <si>
    <t>JUAN SEBASTIAN  ARIZA ZUÑIGA</t>
  </si>
  <si>
    <t>juanarizu@unisabana.edu.co</t>
  </si>
  <si>
    <t>CRISTIAN CAMILO  PEÑA QUIMBAYO</t>
  </si>
  <si>
    <t>cristianpequ@unisabana.edu.co</t>
  </si>
  <si>
    <t>VIVIANA   POVEDA HURTADO</t>
  </si>
  <si>
    <t>vivianapohu@unisabana.edu.co</t>
  </si>
  <si>
    <t>DIEGO ALEJANDRO  RODRIGUEZ BARAJAS</t>
  </si>
  <si>
    <t>diegorodba@unisabana.edu.co</t>
  </si>
  <si>
    <t>SERGIO GUILLERMO  TORRES RIVEROS</t>
  </si>
  <si>
    <t>sergiotori@unisabana.edu.co</t>
  </si>
  <si>
    <t>VALENTINA   VARGAS CORREA</t>
  </si>
  <si>
    <t>valentinavaco@unisabana.edu.co</t>
  </si>
  <si>
    <t>DAVID ALEJANDRO  CHARRY BORRERO</t>
  </si>
  <si>
    <t>david.charry@unisabana.edu.co</t>
  </si>
  <si>
    <t>JUAN CAMILO  CHAVES ARTURO</t>
  </si>
  <si>
    <t>juanchar@unisabana.edu.co</t>
  </si>
  <si>
    <t>JOSE MIGUEL  ESCAMILLA GIL</t>
  </si>
  <si>
    <t>joseesgi@unisabana.edu.co</t>
  </si>
  <si>
    <t>IRMA ROCIO  MENDEZ AGUIRRE</t>
  </si>
  <si>
    <t>irmameag@unisabana.edu.co</t>
  </si>
  <si>
    <t>JUAN PABLO  MONTOYA MORENO</t>
  </si>
  <si>
    <t>juanmonmor@unisabana.edu.co</t>
  </si>
  <si>
    <t>PAULA ANDREA  ROMERO ROMERO</t>
  </si>
  <si>
    <t>paularoro@unisabana.edu.co</t>
  </si>
  <si>
    <t>DIANA CAROLINA  CUFIÑO ZAMORA</t>
  </si>
  <si>
    <t>dianacuza@unisabana.edu.co</t>
  </si>
  <si>
    <t>LAURA NIYERETH  GARZON PALACIOS</t>
  </si>
  <si>
    <t>lauragapa@unisabana.edu.co</t>
  </si>
  <si>
    <t>DIANA MARIA  MOYA ACUÑA</t>
  </si>
  <si>
    <t>dianamoac@unisabana.edu.co</t>
  </si>
  <si>
    <t>LAURA VICTORIA  RAMIREZ RINCON</t>
  </si>
  <si>
    <t>laurarari@unisabana.edu.co</t>
  </si>
  <si>
    <t>DAVID FELIPE  SEVERICHE BUENO</t>
  </si>
  <si>
    <t>davidsevbu@unisabana.edu.co</t>
  </si>
  <si>
    <t>GRACIELA DEL CARMEN GASCH AROCHA</t>
  </si>
  <si>
    <t>gracielagaar@unisabana.edu.co</t>
  </si>
  <si>
    <t>Alez Giovanni Lagos</t>
  </si>
  <si>
    <t>alezlaca@unisabana.edu.co</t>
  </si>
  <si>
    <t>Angela María Mendez</t>
  </si>
  <si>
    <t>angelameva@unisabana.edu.co</t>
  </si>
  <si>
    <t>Camilo Velandia</t>
  </si>
  <si>
    <t>camilovero@unisabana.edu.co</t>
  </si>
  <si>
    <t>Edwin Vargas</t>
  </si>
  <si>
    <t>edwinvarca@unisabana.edu.co</t>
  </si>
  <si>
    <t>Gina Paola Barrera</t>
  </si>
  <si>
    <t>ginabarca@unisabana.edu.co</t>
  </si>
  <si>
    <t>Jefferson Arias</t>
  </si>
  <si>
    <t>jeffersonargo@unisabana.edu.co</t>
  </si>
  <si>
    <t>Juan Camilo Gutierrez</t>
  </si>
  <si>
    <t>juangutpi@unisabana.edu.co</t>
  </si>
  <si>
    <t>MIlena Patricia Rojas</t>
  </si>
  <si>
    <t>milenaromo@unisabana.edu.co</t>
  </si>
  <si>
    <t>Nelson Iván Bedoya</t>
  </si>
  <si>
    <t>nelsonbega@unisabana.edu.co</t>
  </si>
  <si>
    <t>Stephanie Lavaux</t>
  </si>
  <si>
    <t>stephaniela@unisabana.edu.co</t>
  </si>
  <si>
    <t>Juan Carlos Suarez</t>
  </si>
  <si>
    <t>juansuargom@unisabana.edu.co</t>
  </si>
  <si>
    <t>Javier Enrique Alvarez</t>
  </si>
  <si>
    <t>javieralpa@unisabana.edu.co</t>
  </si>
  <si>
    <t>Diego Alexander Quevedo</t>
  </si>
  <si>
    <t>diegoqupi@unisabana.edu.co</t>
  </si>
  <si>
    <t>Antonio José Pacheco</t>
  </si>
  <si>
    <t>antoniopamo@unisabana.edu.co</t>
  </si>
  <si>
    <t>Viviana Margarita Monterroza</t>
  </si>
  <si>
    <t>vivianamomo@unisabana.edu.co</t>
  </si>
  <si>
    <t>Alvaro Ruiz</t>
  </si>
  <si>
    <t>alvaroruro@unisabana.edu.co</t>
  </si>
  <si>
    <t>Julian Ricardo Gomez</t>
  </si>
  <si>
    <t>juliangomni@unisabana.edu.co</t>
  </si>
  <si>
    <t>John Jairo Jaramillo</t>
  </si>
  <si>
    <t>johnjabu@unisabana.edu.co</t>
  </si>
  <si>
    <t>FORERO CIENDUA DIANA MATILDE</t>
  </si>
  <si>
    <t>dianafoci@unisabana.edu.co</t>
  </si>
  <si>
    <t>PATIÑO HERNANDEZ JOHN FREDY</t>
  </si>
  <si>
    <t>johnpahe@unisabana.edu.co</t>
  </si>
  <si>
    <t>APONTE MORENO MYRIAM LIZ LOREN</t>
  </si>
  <si>
    <t>myriamapmo@unisabana.edu.co</t>
  </si>
  <si>
    <t>OSORIO VANEGAS HENRY DAVID</t>
  </si>
  <si>
    <t>henryosva@unisabana.edu.co</t>
  </si>
  <si>
    <t>PATIÑO BARRIGA DIANA MILENA</t>
  </si>
  <si>
    <t>dianapatba@unisabana.edu.co</t>
  </si>
  <si>
    <t>BARAJAS MOTTA NORIS</t>
  </si>
  <si>
    <t>norisbamo@unisabana.edu.co</t>
  </si>
  <si>
    <t>CINDY YOMARA MEDINA VARGAS</t>
  </si>
  <si>
    <t>medinaciyo@unisabana.edu.co</t>
  </si>
  <si>
    <t>RINCON PINZON MIGUEL ALBERTO</t>
  </si>
  <si>
    <t>miguelripi@unisabana.edu.co</t>
  </si>
  <si>
    <t>PABON MENDEZ MONICA ROCIO</t>
  </si>
  <si>
    <t>monicapame@unisabana.edu.co</t>
  </si>
  <si>
    <t>GOMEZ CONTRERAS JENNIFER LORENA</t>
  </si>
  <si>
    <t>jennifergoco@unisabana.edu.co</t>
  </si>
  <si>
    <t>FAJARDO RAMOS DIANA CAROLINA</t>
  </si>
  <si>
    <t>dianafara@unisabana.edu.co</t>
  </si>
  <si>
    <t>ESCOBAR CASALLAS LUIS CARLOS</t>
  </si>
  <si>
    <t>luisesca@unisabana.edu.co</t>
  </si>
  <si>
    <t>AVELLANEDA ORTIZ DANILO ENRIQUE</t>
  </si>
  <si>
    <t>daniloavor@unisabana.edu.co</t>
  </si>
  <si>
    <t>Maryuri Maryuri Agudelo Franco</t>
  </si>
  <si>
    <t>maryuriagfr@unisabana.edu.co</t>
  </si>
  <si>
    <t>DOCTORADO EN LOGÍSTICA Y GESTIÓN DE CADENAS DE SUMINISTRO</t>
  </si>
  <si>
    <t>CESAR JOSE VERGARA RODRIGUEZ</t>
  </si>
  <si>
    <t>cesarvero@unisabana.edu.co</t>
  </si>
  <si>
    <t>DANIEL MUÑOZ ROJAS</t>
  </si>
  <si>
    <t>danielmuro@unisabana.edu.co</t>
  </si>
  <si>
    <t>PABLO EMILIO MORA</t>
  </si>
  <si>
    <t>pablomolo@unisabana.edu.co</t>
  </si>
  <si>
    <t>Diana Andrea Pena Caldero</t>
  </si>
  <si>
    <t>dianapenca@unisabana.edu.co</t>
  </si>
  <si>
    <t>Leslie Angelica Aguirre García</t>
  </si>
  <si>
    <t>leslieagga@unisabana.edu.co</t>
  </si>
  <si>
    <t>Cristian Andrey Jaimez Olarte</t>
  </si>
  <si>
    <t>cristianjaol@unisabana.edu.co</t>
  </si>
  <si>
    <t>Adriana Ivonne Valverde Moncada</t>
  </si>
  <si>
    <t>adrianavalmo@unisabana.edu.co</t>
  </si>
  <si>
    <t>Diana Carolina Tascon Hoyos</t>
  </si>
  <si>
    <t>dianatasho@unisabana.edu.co</t>
  </si>
  <si>
    <t>Dairo Steven Munoz Pinzon</t>
  </si>
  <si>
    <t>dairomupi@unisabana.edu.co</t>
  </si>
  <si>
    <t>Luz Helena Mancera Mendez</t>
  </si>
  <si>
    <t>Javier Alberto Pitta Vargas</t>
  </si>
  <si>
    <t>javierpiva@unisabana.edu.co</t>
  </si>
  <si>
    <t>Shamsuddeen Abdullahi</t>
  </si>
  <si>
    <t>shamsuddeenab@unisabana.edu.co</t>
  </si>
  <si>
    <t>Manuel Francisco Zamudio Valega</t>
  </si>
  <si>
    <t>manuelzava@unisabana.edu.co</t>
  </si>
  <si>
    <t>Jose Antonio Moreno Serra</t>
  </si>
  <si>
    <t>josemose@unisabana.edu.co</t>
  </si>
  <si>
    <t>VALDES ALANDETE JOHENDRYS MARIA</t>
  </si>
  <si>
    <t>johendrysvaal@unisabana.edu.co</t>
  </si>
  <si>
    <t>ACOSTA UNATE ANGELA PATRICIA</t>
  </si>
  <si>
    <t>angelaacun@unisabana.edu.co</t>
  </si>
  <si>
    <t>BAEZ BONILLA LUZ MYRIAM</t>
  </si>
  <si>
    <t>luzbabo@unisabana.edu.co</t>
  </si>
  <si>
    <t>BONILLA USAQUEN ALVARO ALEJANDRO</t>
  </si>
  <si>
    <t>alvarobous@unisabana.edu.co</t>
  </si>
  <si>
    <t>GARCES JAIMES JOSE VICENTE</t>
  </si>
  <si>
    <t>josegaja@unisabana.edu.co</t>
  </si>
  <si>
    <t>GUTIERREZ TOVAR JONATHAN</t>
  </si>
  <si>
    <t>jonathanguto@unisabana.edu.co</t>
  </si>
  <si>
    <t>SIERRA CARVAJALINO ANGELA MARGARITA</t>
  </si>
  <si>
    <t>angelasi@unisabana.edu.co</t>
  </si>
  <si>
    <t>GOMEZ MONTAÑEZ JANNETH ROCIO</t>
  </si>
  <si>
    <t>JANNETHGOMO@UNISABANA.EDU.CO</t>
  </si>
  <si>
    <t>MARQUEZ SOCARRAS JANELLYS PAOLA</t>
  </si>
  <si>
    <t>janellysmaso@unisabana.edu.co</t>
  </si>
  <si>
    <t>ANZOLA ROCHA SANDRA MILENA</t>
  </si>
  <si>
    <t>sandraanro@unisabana.edu.co</t>
  </si>
  <si>
    <t>DE ALBA MANJARRES YELISA MILENA</t>
  </si>
  <si>
    <t>yelisadema@unisabana.edu.co</t>
  </si>
  <si>
    <t>RINCON ROBLES CAROL JOHANNA</t>
  </si>
  <si>
    <t>carolriro@unisabana.edu.co</t>
  </si>
  <si>
    <t>JIMENEZ VALENZUELA MARIA ANGELICA</t>
  </si>
  <si>
    <t>mariajiva@unisabana.edu.co</t>
  </si>
  <si>
    <t>ESQUIVEL DIAZ WILSON</t>
  </si>
  <si>
    <t>wilsonesdi@unisabana.edu.co</t>
  </si>
  <si>
    <t>PEREZ PORTELA LINA MARCELA</t>
  </si>
  <si>
    <t>linapepo@unisabana.edu.co</t>
  </si>
  <si>
    <t>TORRES GARZON YULY AMPARO</t>
  </si>
  <si>
    <t>yulytoga@unisabana.edu.co</t>
  </si>
  <si>
    <t>URIANA EPIEYU RAFAEL SEGUNDO</t>
  </si>
  <si>
    <t>rafaelurep@unisabana.edu.co</t>
  </si>
  <si>
    <t>CUADRADO GOMEZ SANDRA ISABEL</t>
  </si>
  <si>
    <t>sandracuago@unisabana.edu.co</t>
  </si>
  <si>
    <t>ROSADO PUSHAINA MELBIS</t>
  </si>
  <si>
    <t>melbisropu@unisabana.edu.co</t>
  </si>
  <si>
    <t>IGUARAN SUAREZ RAMON SEGUNDO</t>
  </si>
  <si>
    <t>ramonigsu@unisabana.edu.co</t>
  </si>
  <si>
    <t>APIO JULIAN MADELY</t>
  </si>
  <si>
    <t>madelyapju@unisabana.edu.co</t>
  </si>
  <si>
    <t>FIGUEROA CETRE SANDRA PATRICIA</t>
  </si>
  <si>
    <t>sandrafice@unisabana.edu.co</t>
  </si>
  <si>
    <t>PEREA QUINTO JUAN CARLOS</t>
  </si>
  <si>
    <t>juanpequ@unisabana.edu.co</t>
  </si>
  <si>
    <t>IBARGUEN BENITEZ CORNELIA</t>
  </si>
  <si>
    <t>corneliaibbe@unisabana.edu.co</t>
  </si>
  <si>
    <t>CORREDOR SOTO LUX STELLA</t>
  </si>
  <si>
    <t>luxcorso@unisabana.edu.co</t>
  </si>
  <si>
    <t>FRANCO FRANCO JUAN GREGORIO</t>
  </si>
  <si>
    <t>juanfrafr@unisabana.edu.co</t>
  </si>
  <si>
    <t>GOMEZ GUERRA ELY JOHANY</t>
  </si>
  <si>
    <t>elygogu@unisabana.edu.co</t>
  </si>
  <si>
    <t>URIANA URIANA MARIA YAQUELINES</t>
  </si>
  <si>
    <t>mariaurur@unisabana.edu.co</t>
  </si>
  <si>
    <t>CAVADIA VERBEL DIEGO ANDRES</t>
  </si>
  <si>
    <t>diegocave@unisabana.edu.co</t>
  </si>
  <si>
    <t>RODRIGUEZ PETRO ENA MARIA</t>
  </si>
  <si>
    <t>enarope@unisabana.edu.co</t>
  </si>
  <si>
    <t>CAMARGO EPIAYU DELMYS CLARITA</t>
  </si>
  <si>
    <t>delmyscaep@unisabana.edu.co</t>
  </si>
  <si>
    <t>TORRES SABOGAL LUZ ANGELA</t>
  </si>
  <si>
    <t>luztorsa@unisabana.edu.co</t>
  </si>
  <si>
    <t>DUQUE PLATA MARIA ELENA</t>
  </si>
  <si>
    <t>mariadupl@unisabana.edu.co</t>
  </si>
  <si>
    <t>EPIAYU URIANA MARYIS TATIANA</t>
  </si>
  <si>
    <t>maryisepur@unisabana.edu.co</t>
  </si>
  <si>
    <t>GONZALEZ BAENA DIANA ROSA</t>
  </si>
  <si>
    <t>dianagonba@unisabana.edu.co</t>
  </si>
  <si>
    <t>LOPEZ JUSAYU FIDELINA</t>
  </si>
  <si>
    <t>fidelinaloju@unisabana.edu.co</t>
  </si>
  <si>
    <t>COLPAS POLO KATRI LUZ</t>
  </si>
  <si>
    <t>katricopo@unisabana.edu.co</t>
  </si>
  <si>
    <t>MOSQUERA MOSQUERA HAROLD DEJESUS</t>
  </si>
  <si>
    <t>haroldmomo@unisabana.edu.co</t>
  </si>
  <si>
    <t>BERNIER URARIYU YINA PATRICIA</t>
  </si>
  <si>
    <t>yinabeur@unisabana.edu.co</t>
  </si>
  <si>
    <t>SAPUANA  SEGUNDO ENRIQUE</t>
  </si>
  <si>
    <t>segundosa@unisabana.edu.co</t>
  </si>
  <si>
    <t>FLOREZ PEREA MARÕA LUCIBETH</t>
  </si>
  <si>
    <t>mariaflope@unisabana.edu.co</t>
  </si>
  <si>
    <t>IBARRA MOSQUERA MARTHA LUCIA</t>
  </si>
  <si>
    <t>marthaibmo@unisabana.edu.co</t>
  </si>
  <si>
    <t>GONZALEZ CAMARGO VICTOR MANUEL</t>
  </si>
  <si>
    <t>victorgonca@unisabana.edu.co</t>
  </si>
  <si>
    <t>GOMEZ USUGA GEOVANY JAVIER</t>
  </si>
  <si>
    <t>geovanygous@unisabana.edu.co</t>
  </si>
  <si>
    <t>RINCON CARVAJALINO EDITH</t>
  </si>
  <si>
    <t>edithrica@unisabana.edu.co</t>
  </si>
  <si>
    <t>MATURANA GALEANO CARLOS ADALBERTO</t>
  </si>
  <si>
    <t>carlosmaga@unisabana.edu.co</t>
  </si>
  <si>
    <t>TIQUE POLOCHE RAFAEL ANTONIO</t>
  </si>
  <si>
    <t>rfaeltipo@unisabana.edu.co</t>
  </si>
  <si>
    <t>TORRES BELTRAN JOSE ALDEMAR</t>
  </si>
  <si>
    <t>josetobe@unisabana.edu.co</t>
  </si>
  <si>
    <t>QUINTIN BENAVIDES XIOMARA LORENA</t>
  </si>
  <si>
    <t>xiomaraqube@unisabana.edu.co</t>
  </si>
  <si>
    <t>PIMIENTO FLOREZ JOSE DANIEL</t>
  </si>
  <si>
    <t>josepifl@unisabana.edu.co</t>
  </si>
  <si>
    <t>POLANIA GUACARI SILVIA PAOLA</t>
  </si>
  <si>
    <t>silviapogu@unisabana.edu.co</t>
  </si>
  <si>
    <t>BOTINA CALVACHE OSWALDO ARMANDO</t>
  </si>
  <si>
    <t>oswaldoboca@unisabana.edu.co</t>
  </si>
  <si>
    <t>CUADRADO RIVERA YENNIS</t>
  </si>
  <si>
    <t>yenniscuri@unisabana.edu.co</t>
  </si>
  <si>
    <t>BUITRAGO MENDEZ MARLENY</t>
  </si>
  <si>
    <t>marlenybume@unisabana.edu.co</t>
  </si>
  <si>
    <t>CHOLES REDONDO SINTIA BEATRIZ</t>
  </si>
  <si>
    <t>sintiachre@unisabana.edu.co</t>
  </si>
  <si>
    <t>ORTIZ CARDONA PABLO FERNANDO</t>
  </si>
  <si>
    <t>pabloorca@unisabana.edu.co</t>
  </si>
  <si>
    <t>MARTINEZ VEGA EDWIN</t>
  </si>
  <si>
    <t>edwinmave@unisabana.edu.co</t>
  </si>
  <si>
    <t>BARBOZA SALGADO ISLENA ISABEL</t>
  </si>
  <si>
    <t>islenabasa@unisabana.edu.co</t>
  </si>
  <si>
    <t>REYES GONZALEZ DIANA PATRICIA</t>
  </si>
  <si>
    <t>dianarego@unisabana.edu.co</t>
  </si>
  <si>
    <t>CORTES ARDILA MONICA ANDREA</t>
  </si>
  <si>
    <t>monicacoar@unisabana.edu.co</t>
  </si>
  <si>
    <t>NORE—A BOTERO DIEGO ALEJANDRO</t>
  </si>
  <si>
    <t>diegonobo@unisabana.edu.co</t>
  </si>
  <si>
    <t>RAMIREZ ALVIS CLAUDIA PATRICIA</t>
  </si>
  <si>
    <t>claudiaraal@unisabana.edu.co</t>
  </si>
  <si>
    <t>DELGADO CARRE—O JUAN MIGUEL</t>
  </si>
  <si>
    <t>juandelcar@unisabana.edu.co</t>
  </si>
  <si>
    <t>GIL RODRIGUEZ DAIRO DEJESUS</t>
  </si>
  <si>
    <t>dairogiro@unisabana.edu.co</t>
  </si>
  <si>
    <t>CARRILLO ALTAMAR MARISELA LUCIA</t>
  </si>
  <si>
    <t>mariselacaal@unisabana.edu.co</t>
  </si>
  <si>
    <t>SOLANO SOLANO YULIETH PAOLA</t>
  </si>
  <si>
    <t>yuliethsoso@unisabana.edu.co</t>
  </si>
  <si>
    <t>DOMINGUEZ MARTINEZ GLEYNIS PAOLA</t>
  </si>
  <si>
    <t>gleynisdoma@unisabana.edu.co</t>
  </si>
  <si>
    <t>BOURIYU CEBALLOS NATALIN KATIUSKA</t>
  </si>
  <si>
    <t>natalinboce@unisabana.edu.co</t>
  </si>
  <si>
    <t>MEDINA MEDINA HECTOR ENRIQUE</t>
  </si>
  <si>
    <t>hectormeme@unisabana.edu.co</t>
  </si>
  <si>
    <t>FREYLE ILLIDGE MARIO DALADIER</t>
  </si>
  <si>
    <t>mariofril@unisabana.edu.co</t>
  </si>
  <si>
    <t>P…REZ PIMIENTA CLAUDIA YANETH</t>
  </si>
  <si>
    <t>claudiapepi@unisabana.edu.co</t>
  </si>
  <si>
    <t>FL”REZ MEJÕA JENIFER LICETH</t>
  </si>
  <si>
    <t>jeniferflme@unisabana.edu.co</t>
  </si>
  <si>
    <t>AMARIZ LASCARRO DAIRO</t>
  </si>
  <si>
    <t>dairoamla@unisabana.edu.co</t>
  </si>
  <si>
    <t>MENGUAL GONZALEZ YANIRIS</t>
  </si>
  <si>
    <t>yanirismego@unisabana.edu.co</t>
  </si>
  <si>
    <t>CORRALES ANGULO YADIRA</t>
  </si>
  <si>
    <t>yadiracoan@unisabana.edu.co</t>
  </si>
  <si>
    <t>PADILLA MENCO LUZ JOHANNA</t>
  </si>
  <si>
    <t>luzpadme@unisabana.edu.co</t>
  </si>
  <si>
    <t>LOPEZ DELGADO MAROLITH YULIER</t>
  </si>
  <si>
    <t>marolithlode@unisabana.edu.co</t>
  </si>
  <si>
    <t>OCHOA MENDOA ABDENAGO JESUS</t>
  </si>
  <si>
    <t>abdenagoocme@unisabana.edu.co</t>
  </si>
  <si>
    <t>GONZALEZ  CARLOS ALBERTO</t>
  </si>
  <si>
    <t>carlosgo@unisabana.edu.co</t>
  </si>
  <si>
    <t>PINTO CAMARGO WENDY MAYERLYN</t>
  </si>
  <si>
    <t>wendypica@unisabana.edu.co</t>
  </si>
  <si>
    <t>OROZCO ESCORSIA YOSMIRIS YOLANDA</t>
  </si>
  <si>
    <t>yosmirisores@unisabana.edu.co</t>
  </si>
  <si>
    <t>OROZCO HERRERA MILAGRO MILET</t>
  </si>
  <si>
    <t>milagroorhe@unisabana.edu.co</t>
  </si>
  <si>
    <t>OROZCO ESCORSIA YOLEMIS PATRICIA</t>
  </si>
  <si>
    <t>yolemisores@unisabana.edu.co</t>
  </si>
  <si>
    <t>LOPEZ PANQUEVA SANDRA VIVIANA</t>
  </si>
  <si>
    <t>sandralopa@unisabana.edu.co</t>
  </si>
  <si>
    <t>MORENO CABRERA NOHORA ISABEL</t>
  </si>
  <si>
    <t>nohoramoca@unisabana.edu.co</t>
  </si>
  <si>
    <t>MARQUEZ RAMIREZ MONICA PATRICIA</t>
  </si>
  <si>
    <t>monicamara@unisabana.edu.co</t>
  </si>
  <si>
    <t>SAPUANA  ZOILA PATRICIA</t>
  </si>
  <si>
    <t>zoilasa@unisabana.edu.co</t>
  </si>
  <si>
    <t>CORREA TORRES YOHAN ANDREY</t>
  </si>
  <si>
    <t>yohancoto@unisabana.edu.co</t>
  </si>
  <si>
    <t>JAIME OCHOA DILSA JANETH</t>
  </si>
  <si>
    <t>dilsajaoc@unisabana.edu.co</t>
  </si>
  <si>
    <t>CORREA SALGADO EMILSE</t>
  </si>
  <si>
    <t>emilsecorsa@unisabana.edu.co</t>
  </si>
  <si>
    <t>MORENO CABRERA MARTA CECILIA</t>
  </si>
  <si>
    <t>martamoca@unisabana.edu.co</t>
  </si>
  <si>
    <t>NAGLES GARCIA ISABEL ANDREA</t>
  </si>
  <si>
    <t>isabelnaga@unisabana.edu.co</t>
  </si>
  <si>
    <t>PALLARES ARBOLEDA LEDO RAFAEL</t>
  </si>
  <si>
    <t>ledopaar@unisabana.edu.co</t>
  </si>
  <si>
    <t>Avendaño Melenje Yury Liliana</t>
  </si>
  <si>
    <t>yuryavme@unisabana.edu.co</t>
  </si>
  <si>
    <t>MAESTRÍA EN INNOVACIÓN EDUCATIVA MEDIADA POR TIC- VIRTUAL</t>
  </si>
  <si>
    <t>GIRALDO LOPEZ NELSON ANDRES</t>
  </si>
  <si>
    <t>nelsongilo@unisabana.edu.co</t>
  </si>
  <si>
    <t>DEOLIVEIRA PEREZ JOSE ANTONIO</t>
  </si>
  <si>
    <t>josedepe@unisabana.edu.co</t>
  </si>
  <si>
    <t>MARTE ROSARIO DAHIANA</t>
  </si>
  <si>
    <t>dahianamaro@unisabana.edu.co</t>
  </si>
  <si>
    <t>PINTO RUEDA LUZ MARITZA</t>
  </si>
  <si>
    <t>luzpinru@unisabana.edu.co</t>
  </si>
  <si>
    <t>CASTELLANOS JIMENEZ LAURA EDITH</t>
  </si>
  <si>
    <t>lauracasji@unisabana.edu.co</t>
  </si>
  <si>
    <t>GONZALEZ ALONSO JULIO CESAR</t>
  </si>
  <si>
    <t>juliogoal@unisabana.edu.co</t>
  </si>
  <si>
    <t>VARGAS GONZALEZ KEVIN ANDRES</t>
  </si>
  <si>
    <t>kevinvargo@unisabana.edu.co</t>
  </si>
  <si>
    <t>ALVAREZ RAMIREZ JUAN PABLO</t>
  </si>
  <si>
    <t>juanalvra@unisabana.edu.co</t>
  </si>
  <si>
    <t>DIAZ BULLA PABLO EDUARDO</t>
  </si>
  <si>
    <t>pablodibu@unisabana.edu.co</t>
  </si>
  <si>
    <t>HURTADO IBARGUEN DIVER</t>
  </si>
  <si>
    <t>diverhuib@unisabana.edu.co</t>
  </si>
  <si>
    <t>BOLIVAR VELEZ JOSE DANIEL</t>
  </si>
  <si>
    <t>josebove@unisabana.edu.co</t>
  </si>
  <si>
    <t>ROMERO URBINA LINA PAOLA</t>
  </si>
  <si>
    <t>linarour@unisabana.edu.co</t>
  </si>
  <si>
    <t>AZA CASAS  MARIA FERNANDA</t>
  </si>
  <si>
    <t>mariaazca@unisabana.edu.co</t>
  </si>
  <si>
    <t>BARRERA MORERA  FREDY ANTONIO</t>
  </si>
  <si>
    <t>fredybamo@unisabana.edu.co</t>
  </si>
  <si>
    <t>CASTAÑO JACOB  JUANALBERTO</t>
  </si>
  <si>
    <t>juanalbertocaja@unisabana.edu.co</t>
  </si>
  <si>
    <t>FORERO ACERO  MONICA KATHERIN</t>
  </si>
  <si>
    <t>monicafoac@unisabana.edu.co</t>
  </si>
  <si>
    <t>HERRERA ESTRADA  DIANA MARIA</t>
  </si>
  <si>
    <t>dianahees@unisabana.edu.co</t>
  </si>
  <si>
    <t>PAEZ PUGA  VIVIAN CAROLINA</t>
  </si>
  <si>
    <t>vivianpapu@unisabana.edu.co</t>
  </si>
  <si>
    <t>PARDO TRIANA  JULIE JOHANNA</t>
  </si>
  <si>
    <t>juliepa@unisabana.edu.co</t>
  </si>
  <si>
    <t>PEÑA ALVINO  DENEB</t>
  </si>
  <si>
    <t>denebpeal@unisabana.edu.co</t>
  </si>
  <si>
    <t>PEÑUELA SUAREZ  NATALIA IVETTE</t>
  </si>
  <si>
    <t>nataliapesu@unisabana.edu.co</t>
  </si>
  <si>
    <t>POSADA CHARRY  NATALIA LORENA</t>
  </si>
  <si>
    <t>nataliapoch@unisabana.edu.co</t>
  </si>
  <si>
    <t>SERRANO BARRAGAN  KELLY JOHANA</t>
  </si>
  <si>
    <t>kellyseba@unisabana.edu.co</t>
  </si>
  <si>
    <t>SUAREZ CACERES  MARIA CAMILA</t>
  </si>
  <si>
    <t>mariasuaca@unisabana.edu.co</t>
  </si>
  <si>
    <t>TIUSO CORREDOR  SARA MARIA</t>
  </si>
  <si>
    <t>saratico@unisabana.edu.co</t>
  </si>
  <si>
    <t>VALENCIA HUERTAS  YINETH YASIRIS</t>
  </si>
  <si>
    <t>yinethvahu@unisabana.edu.co</t>
  </si>
  <si>
    <t>VILLALOBOS CHAVEZ  LAURA VALENTINA</t>
  </si>
  <si>
    <t>lauravich@unisabana.edu.co</t>
  </si>
  <si>
    <t>APONTE CRUZ SANDRA JOHANNA</t>
  </si>
  <si>
    <t>sandraapcr@unisabana.edu.co</t>
  </si>
  <si>
    <t>ACEVEDO ANDRADE ADRIANA JANNETH</t>
  </si>
  <si>
    <t>Adriana.Acevedo@unisabana.edu.co</t>
  </si>
  <si>
    <t>ROA PAIPA SANDRA PATRICIA</t>
  </si>
  <si>
    <t>sandraroapa@unisabana.edu.co</t>
  </si>
  <si>
    <t>HERNANDEZ RIAÑO SANDRA MILENA</t>
  </si>
  <si>
    <t>sandraheri@unisabana.edu.co</t>
  </si>
  <si>
    <t>AVILA ACOSTA DEISY JOHANA</t>
  </si>
  <si>
    <t>deisyavac@unisabana.edu.co</t>
  </si>
  <si>
    <t>OSPINA BENAVIDES YENNI CAROLINA</t>
  </si>
  <si>
    <t>yenniosbe@unisabana.edu.co</t>
  </si>
  <si>
    <t>RUBIO HERRERA LIZETH AMPARO</t>
  </si>
  <si>
    <t>lizethruhe@unisabana.edu.co</t>
  </si>
  <si>
    <t>SANCHEZ CHAPARRO ANDREA JOHANA</t>
  </si>
  <si>
    <t>andreasanch@unisabana.edu.co</t>
  </si>
  <si>
    <t>BENAVIDES ACUÑA SANDRA JANNETH</t>
  </si>
  <si>
    <t>sandrabeac@unisabana.edu.co</t>
  </si>
  <si>
    <t>RAMIREZ RAMIREZ GIMLLER NELLY</t>
  </si>
  <si>
    <t>ramirezgine@unisabana.edu.co</t>
  </si>
  <si>
    <t>GONZALEZ NOVOA ANGELICA MARIA</t>
  </si>
  <si>
    <t>angelicagono@unisabana.edu.co</t>
  </si>
  <si>
    <t>SOLER BENAVIDES CLAUDIA YANNETH</t>
  </si>
  <si>
    <t>claudiasobe@unisabana.edu.co</t>
  </si>
  <si>
    <t>ORTIZ PERENGUEZ LILIAN PATRICIA</t>
  </si>
  <si>
    <t>lilianorpe@unisabana.edu.co</t>
  </si>
  <si>
    <t>GONZALEZ ZAMORA HERNAN MAURICIO</t>
  </si>
  <si>
    <t>hernangoza@unisabana.edu.co</t>
  </si>
  <si>
    <t>PULIDO LOPEZ PAULO CESAR</t>
  </si>
  <si>
    <t>paulopulo@unisabana.edu.co</t>
  </si>
  <si>
    <t>GARAVITO BELTRAN JUAN GABRIEL</t>
  </si>
  <si>
    <t>juangabe@unisabana.edu.co</t>
  </si>
  <si>
    <t>MORENO REINA JULIAN ANDRES</t>
  </si>
  <si>
    <t>julianmore@unisabana.edu.co</t>
  </si>
  <si>
    <t>HERRRERA LOPEZ TILLMAN</t>
  </si>
  <si>
    <t>tillmanhelo@unisabana.edu.co</t>
  </si>
  <si>
    <t>ROJAS PACHECO ADOLFO ELEAZAR</t>
  </si>
  <si>
    <t>adolforopa@unisabana.edu.co</t>
  </si>
  <si>
    <t>BALLESTAS SANTAMARIA DUNIA IVON</t>
  </si>
  <si>
    <t>duniabasa@unisabana.edu.co</t>
  </si>
  <si>
    <t>HUERTAS CASTIBLANCO YANETH</t>
  </si>
  <si>
    <t>yanethhuca@unisabana.edu.co</t>
  </si>
  <si>
    <t>JIMENEZ BERNAL PAOLA JANNETH</t>
  </si>
  <si>
    <t>paolajimbe@unisabana.edu.co</t>
  </si>
  <si>
    <t>PIZA MALAGON CARLOS AFREDO</t>
  </si>
  <si>
    <t>carlospima@unisabana.edu.co</t>
  </si>
  <si>
    <t>LEON DIAZ FREDY YAMIT</t>
  </si>
  <si>
    <t>fredyledi@unisabana.edu.co</t>
  </si>
  <si>
    <t>RODRIGUEZ GONZALEZ DIEGO FERNANDO</t>
  </si>
  <si>
    <t>diegorodgo@unisabana.edu.co</t>
  </si>
  <si>
    <t>PEREZ VALDES GINETH PAOLA</t>
  </si>
  <si>
    <t>ginethpeva@unisabana.edu.co</t>
  </si>
  <si>
    <t>RAMIREZ RUIZ JUDY JULIETH</t>
  </si>
  <si>
    <t>judyraru@unisabana.edu.co</t>
  </si>
  <si>
    <t>GIRAL RIAÑO DARIO</t>
  </si>
  <si>
    <t>dariogiri@unisabana.edu.co</t>
  </si>
  <si>
    <t>NARVAEZ ABRIL GILBERTO</t>
  </si>
  <si>
    <t>gilbertonaab@unisabana.edu.co</t>
  </si>
  <si>
    <t>GUIZA PINZON FABIAN DAVID</t>
  </si>
  <si>
    <t>fabiangupi@unisabana.edu.co</t>
  </si>
  <si>
    <t>ALVARADO MELO JAIME EDUARDO</t>
  </si>
  <si>
    <t>jaimealvme@unisabana.edu.co</t>
  </si>
  <si>
    <t>RODRIGUEZ DUEÑAS JUAN SANTIAGO</t>
  </si>
  <si>
    <t>juanrodu@unisabana.edu.co</t>
  </si>
  <si>
    <t>GALLO ROA ROBERTO</t>
  </si>
  <si>
    <t>robertogaro@unisabana.edu.co</t>
  </si>
  <si>
    <t>ALVAREZ VESGA ADRIANA</t>
  </si>
  <si>
    <t>adriana.alvarez1@unisabana.edu.co</t>
  </si>
  <si>
    <t>JOHANA EMPERATRIZ CHOCONTA</t>
  </si>
  <si>
    <t>ROZO GARCIA HUGO ALEXANDER</t>
  </si>
  <si>
    <t>hugoroga@unisabana.edu.co</t>
  </si>
  <si>
    <t>ENCISO CONGOTE JUAN DAVID</t>
  </si>
  <si>
    <t>juan.enciso@unisabana.edu.co</t>
  </si>
  <si>
    <t>ANACONA STERLING MARÍA DEL CARMEN</t>
  </si>
  <si>
    <t>mariaanst@unisabana.edu.co</t>
  </si>
  <si>
    <t>VILLANUEVA BUSTOS JORGE ALEJANDRO</t>
  </si>
  <si>
    <t>jorgevibu@unisabana.edu.co</t>
  </si>
  <si>
    <t>VASCO BASTIDAS ISABEL CRISTINA</t>
  </si>
  <si>
    <t>isabelvaba@unisabana.edu.co</t>
  </si>
  <si>
    <t>URREA CARO IAN SANTIAGO</t>
  </si>
  <si>
    <t>ianurca@unisabana.edu.co</t>
  </si>
  <si>
    <t>OVIEDO TAO PAULA ANDREA</t>
  </si>
  <si>
    <t>paulaovta@unisabana.edu.co</t>
  </si>
  <si>
    <t>TORRES HERNANDEZ SULMA JIMENA</t>
  </si>
  <si>
    <t>sulmatohe@unisabana.edu.co</t>
  </si>
  <si>
    <t>CAICEDO ARIAS FABIANA LORENA</t>
  </si>
  <si>
    <t>fabianacaar@unisabana.edu.co</t>
  </si>
  <si>
    <t>GUERRON GOMEZ GABRIELA</t>
  </si>
  <si>
    <t>gabrielagugo@unisabana.edu.co</t>
  </si>
  <si>
    <t>LOZANO FORERO ALEJANDRA</t>
  </si>
  <si>
    <t>alejandralofo@unisabana.edu.co</t>
  </si>
  <si>
    <t>MORA BARRERO ANGELICA VANESSA</t>
  </si>
  <si>
    <t>angelicamoba@unisabana.edu.co</t>
  </si>
  <si>
    <t>OLIVELLA GOMEZ JUAN CAMILO</t>
  </si>
  <si>
    <t>juanolgo@unisabana.edu.co</t>
  </si>
  <si>
    <t>USTA STAVOLI JULIANA</t>
  </si>
  <si>
    <t>julianausst@unisabana.edu.co</t>
  </si>
  <si>
    <t>VILLANUEVA COMBE JAVIER DAVID</t>
  </si>
  <si>
    <t>javiervilco@unisabana.edu.co</t>
  </si>
  <si>
    <t>FORERO GOMEZ YENIFFER LORENA</t>
  </si>
  <si>
    <t>yenifferfogo@unisabana.edu.co</t>
  </si>
  <si>
    <t>RODRIGUEZ MENESES LEIDY YAQUELINE</t>
  </si>
  <si>
    <t>leidyrome@unisabana.edu.co</t>
  </si>
  <si>
    <t>CAICEDO GUTIERRE MARIA FERNANDA</t>
  </si>
  <si>
    <t>mariacaigut@unisabana.edu.co</t>
  </si>
  <si>
    <t>GOMEZ COLINA DIANA CAROLINA</t>
  </si>
  <si>
    <t>dianagoco@unisabana.edu.co</t>
  </si>
  <si>
    <t>REYES RUEDA RUBEN ANDRES</t>
  </si>
  <si>
    <t>rubenreru@unisabana.edu.co</t>
  </si>
  <si>
    <t>PULIDO DIAZ,DAIRA LESLIE</t>
  </si>
  <si>
    <t>dairapudi@unisabana.edu.co</t>
  </si>
  <si>
    <t>GONZALEZ GIRALDO JEFFREY</t>
  </si>
  <si>
    <t>jeffreygo@unisabana.edu.co</t>
  </si>
  <si>
    <t>QUINTERO LOZANO MILEIDY ROCIO</t>
  </si>
  <si>
    <t>mileidyqulo@unisabana.edu.co</t>
  </si>
  <si>
    <t>RUIZ VARGAS YENNY VIVIANA</t>
  </si>
  <si>
    <t>yennyruva@unisabana.edu.co</t>
  </si>
  <si>
    <t>UBAQUE RUEDA DANIELA FERNANDA</t>
  </si>
  <si>
    <t>danielaubru@unisabana.edu.co</t>
  </si>
  <si>
    <t>ACEVEDO MORENO LUISA FERNANDA</t>
  </si>
  <si>
    <t>luisaacmo@unisabana.edu.co</t>
  </si>
  <si>
    <t>ALBA ANDREA MORA CASTRO</t>
  </si>
  <si>
    <t>albamoca@unisabana.edu.co</t>
  </si>
  <si>
    <t>JUAN  CAMILO BARRETO PERILLA</t>
  </si>
  <si>
    <t>juanbarper@unisabana.edu.co</t>
  </si>
  <si>
    <t>RUBY SAIRY CASTRO MALAVER</t>
  </si>
  <si>
    <t>rubycasma@unisabana.edu.co</t>
  </si>
  <si>
    <t>DIANA MARIA LIBRADO CARDONA</t>
  </si>
  <si>
    <t>dianalica@unisabana.edu.co</t>
  </si>
  <si>
    <t>Andres Fernando Silva Gomez</t>
  </si>
  <si>
    <t>andressigo@unisabana.edu.co</t>
  </si>
  <si>
    <t>Carlos Andres Medina Gomez</t>
  </si>
  <si>
    <t>carlosmedgo@unisabana.edu.co</t>
  </si>
  <si>
    <t>Ciro Alfonso Barragan Diaz</t>
  </si>
  <si>
    <t>cirobadi@unisabana.edu.co</t>
  </si>
  <si>
    <t>Darwin Vacca Duran</t>
  </si>
  <si>
    <t>darwinvadu@unisabana.edu.co</t>
  </si>
  <si>
    <t>Daniela Fernanda Ferreira Rincon</t>
  </si>
  <si>
    <t>danielaferi@unisabana.edu.co</t>
  </si>
  <si>
    <t>Geison   Amaya Ramirez</t>
  </si>
  <si>
    <t>geisonamra@unisabana.edu.co</t>
  </si>
  <si>
    <t>Hector Ivan Moreno Villamizar</t>
  </si>
  <si>
    <t>hectormovi@unisabana.edu.co</t>
  </si>
  <si>
    <t>Ivan Andres Porras Duran</t>
  </si>
  <si>
    <t>ivanpodu@unisabana.edu.co</t>
  </si>
  <si>
    <t>Juan Camilo Ortiz Lievano</t>
  </si>
  <si>
    <t>juanortli@unisabana.edu.co</t>
  </si>
  <si>
    <t>Joan Salomon Galvis Aparicio</t>
  </si>
  <si>
    <t>joangaap@unisabana.edu.co</t>
  </si>
  <si>
    <t>Jose De Jesus Uribe Leon</t>
  </si>
  <si>
    <t>joseurle@unisabana.edu.co</t>
  </si>
  <si>
    <t>Karold Harold Neyid Chiquillo Florez</t>
  </si>
  <si>
    <t>karoldchfl@unisabana.edu.co</t>
  </si>
  <si>
    <t>Laura Alejandra Muñoz Galvis</t>
  </si>
  <si>
    <t>lauramuga@unisabana.edu.co</t>
  </si>
  <si>
    <t>Leidy Zarit Prada Naranjo</t>
  </si>
  <si>
    <t>leidyprna@unisabana.edu.co</t>
  </si>
  <si>
    <t>Luis Ernesto Hernandez Luna</t>
  </si>
  <si>
    <t>luishelu@unisabana.edu.co</t>
  </si>
  <si>
    <t>Leidy Tatiana Sanchez Perez</t>
  </si>
  <si>
    <t>leidysanpe@unisabana.edu.co</t>
  </si>
  <si>
    <t>Mary Luz Sauza Caballero</t>
  </si>
  <si>
    <t>marysauca@unisabana.edu.co</t>
  </si>
  <si>
    <t>Maria Fernanda Riocampos Moreno</t>
  </si>
  <si>
    <t>mariariomo@unisabana.edu.co</t>
  </si>
  <si>
    <t>Nicolas   Mantilla Ortiz</t>
  </si>
  <si>
    <t>nicolasmaor@unisabana.edu.co</t>
  </si>
  <si>
    <t>Orlando Andres Gonzalez Rodriguez</t>
  </si>
  <si>
    <t>orlandogoro@unisabana.edu.co</t>
  </si>
  <si>
    <t>Omar Santiago Barragan Hernandez</t>
  </si>
  <si>
    <t>omarbahe@unisabana.edu.co</t>
  </si>
  <si>
    <t>Paola Alejandra Atuesta Espinosa</t>
  </si>
  <si>
    <t>paolaates@unisabana.edu.co</t>
  </si>
  <si>
    <t>Slendy Julieth Lopez Caballero</t>
  </si>
  <si>
    <t>slendylopca@unisabana.edu.co</t>
  </si>
  <si>
    <t>Valeria   Dulcey Duran</t>
  </si>
  <si>
    <t>valeriadudu@unisabana.edu.co</t>
  </si>
  <si>
    <t>Yosmer David Bolaño Diaz</t>
  </si>
  <si>
    <t>yosmerbodi@unisabana.edu.co</t>
  </si>
  <si>
    <t>Yeferson Alexander Jimenez Barajas</t>
  </si>
  <si>
    <t>yefersonjiba@unisabana.edu.co</t>
  </si>
  <si>
    <t>Oscar Mauricio Zamora Castro</t>
  </si>
  <si>
    <t>oscarzaca@unisabana.edu.co</t>
  </si>
  <si>
    <t>Diana Marcela Medina Barrera</t>
  </si>
  <si>
    <t>dianamedba@unisabana.edu.co</t>
  </si>
  <si>
    <t>Edinsson Humberto Gomez Niño</t>
  </si>
  <si>
    <t>edinssongoni@unisabana.edu.co</t>
  </si>
  <si>
    <t>Jonnathan Mauricio Ruiz Roa</t>
  </si>
  <si>
    <t>jonnathanruro@unisabana.edu.co</t>
  </si>
  <si>
    <t>Jorge Orlando Salazar Manrique</t>
  </si>
  <si>
    <t>jorgesalma@unisabana.edu.co</t>
  </si>
  <si>
    <t>Juan Felipe Bernal Ortiz</t>
  </si>
  <si>
    <t>juanberor@unisabana.edu.co</t>
  </si>
  <si>
    <t>Juan Sebastian Barrera Pulido</t>
  </si>
  <si>
    <t>juanbapu@unisabana.edu.co</t>
  </si>
  <si>
    <t>Karen Lizette Quintero Ardila</t>
  </si>
  <si>
    <t>karenquar@unisabana.edu.co</t>
  </si>
  <si>
    <t>Lia Fernanda Bermudez Gomez</t>
  </si>
  <si>
    <t>liabego@unisabana.edu.co</t>
  </si>
  <si>
    <t>Luis Carlos Jaimes Florez</t>
  </si>
  <si>
    <t>luisjafl@unisabana.edu.co</t>
  </si>
  <si>
    <t>Martha Isabel Villamizar Castellanos</t>
  </si>
  <si>
    <t>marthavica@unisabana.edu.co</t>
  </si>
  <si>
    <t>Nicole Dayana Plata Figueroa</t>
  </si>
  <si>
    <t>nicoleplfi@unisabana.edu.co</t>
  </si>
  <si>
    <t>Nidia Rocio Gomez Martinez</t>
  </si>
  <si>
    <t>nidiagoma@unisabana.edu.co</t>
  </si>
  <si>
    <t>Paula Andrea Ortiz Solano</t>
  </si>
  <si>
    <t>paulaorso@unisabana.edu.co</t>
  </si>
  <si>
    <t>Teresa   Caballero Aceros</t>
  </si>
  <si>
    <t>teresacaac@unisabana.edu.co</t>
  </si>
  <si>
    <t>Valentina   Florez Florez</t>
  </si>
  <si>
    <t>valentinaflfl@unisabana.edu.co</t>
  </si>
  <si>
    <t>Ana Maria Velasquez Rivera</t>
  </si>
  <si>
    <t>anaveri@unisabana.edu.co</t>
  </si>
  <si>
    <t>Andres Felipe Lozano Galvis</t>
  </si>
  <si>
    <t>andresloga@unisabana.edu.co</t>
  </si>
  <si>
    <t>Andres Felipe Tenorio Useche</t>
  </si>
  <si>
    <t>andresteus@unisabana.edu.co</t>
  </si>
  <si>
    <t>Andres Fernando Garay Andrade</t>
  </si>
  <si>
    <t>andresgaran@unisabana.edu.co</t>
  </si>
  <si>
    <t>Angela Daniela Quiroga Parra</t>
  </si>
  <si>
    <t>angelaqupa@unisabana.edu.co</t>
  </si>
  <si>
    <t>Ivan Dario Torres Torres</t>
  </si>
  <si>
    <t>ivantoto@unisabana.edu.co</t>
  </si>
  <si>
    <t>Jaime Andres Diaz Puentes</t>
  </si>
  <si>
    <t>jaimedipu@unisabana.edu.co</t>
  </si>
  <si>
    <t>Jhader Octavio Varon Moreno</t>
  </si>
  <si>
    <t>jhadervamo@unisabana.edu.co</t>
  </si>
  <si>
    <t>Juan Carlos Carmona Medina</t>
  </si>
  <si>
    <t>juancarmed@unisabana.edu.co</t>
  </si>
  <si>
    <t>Juan Guillermo Morales Cespedes</t>
  </si>
  <si>
    <t>juanmorce@unisabana.edu.co</t>
  </si>
  <si>
    <t>Laura Camila Quintero Sanchez</t>
  </si>
  <si>
    <t>lauraquinsan@unisabana.edu.co</t>
  </si>
  <si>
    <t>Laura Valentina Ramirez Rodriguez</t>
  </si>
  <si>
    <t>lauraramirrodr@unisabana.edu.co</t>
  </si>
  <si>
    <t>Leidy Viviana Miranda</t>
  </si>
  <si>
    <t>leidymi@unisabana.edu.co</t>
  </si>
  <si>
    <t>Mario Alejandro Vargas Molina</t>
  </si>
  <si>
    <t>mariovamo@unisabana.edu.co</t>
  </si>
  <si>
    <t>Oscar Andres Sepulveda Diaz</t>
  </si>
  <si>
    <t>oscarsedi@unisabana.edu.co</t>
  </si>
  <si>
    <t>Sebastian Andres Soto Ortiz</t>
  </si>
  <si>
    <t>sebastiansoor@unisabana.edu.co</t>
  </si>
  <si>
    <t>Valentina   Rodriguez Ospina</t>
  </si>
  <si>
    <t>valentinaroos@unisabana.edu.co</t>
  </si>
  <si>
    <t>Carlos Jose Rodriguez Rivas</t>
  </si>
  <si>
    <t>carlosrodri@unisabana.edu.co</t>
  </si>
  <si>
    <t>Alejandra   Uran Mejia</t>
  </si>
  <si>
    <t>alejandraurme@unisabana.edu.co</t>
  </si>
  <si>
    <t>Ana Cristina Bohorquez Restrepo</t>
  </si>
  <si>
    <t>anabore@unisabana.edu.co</t>
  </si>
  <si>
    <t>Andres Esteban Buitrago Reyes</t>
  </si>
  <si>
    <t>andresbure@unisabana.edu.co</t>
  </si>
  <si>
    <t>Carolina   Giraldo Velasquez</t>
  </si>
  <si>
    <t>carolinagive@unisabana.edu.co</t>
  </si>
  <si>
    <t>Jimmy Julio Sotelo</t>
  </si>
  <si>
    <t>jimmyjuso@unisabana.edu.co</t>
  </si>
  <si>
    <t>Johana Andrea Usuga Vasquez</t>
  </si>
  <si>
    <t>johanausva@unisabana.edu.co</t>
  </si>
  <si>
    <t>John Edison Duque Posada</t>
  </si>
  <si>
    <t>johndupo@unisabana.edu.co</t>
  </si>
  <si>
    <t>Jorge Andres Pareja Gutierrez</t>
  </si>
  <si>
    <t>jorgepagu@unisabana.edu.co</t>
  </si>
  <si>
    <t>Jose Luis Gonzalez Montañez</t>
  </si>
  <si>
    <t>josegonmo@unisabana.edu.co</t>
  </si>
  <si>
    <t>Juan Pablo Agamez Vargas</t>
  </si>
  <si>
    <t>juanagava@unisabana.edu.co</t>
  </si>
  <si>
    <t>Juan Sebastian Martinez Quintero</t>
  </si>
  <si>
    <t>juanmarqu@unisabana.edu.co</t>
  </si>
  <si>
    <t>Juliana   Agamez Vargas</t>
  </si>
  <si>
    <t>julianaagava@unisabana.edu.co</t>
  </si>
  <si>
    <t>Laura Marcela Medina Marquez</t>
  </si>
  <si>
    <t>lauramedma@unisabana.edu.co</t>
  </si>
  <si>
    <t>Leonardo Angel Bernal Moreno</t>
  </si>
  <si>
    <t>leonardobemo@unisabana.edu.co</t>
  </si>
  <si>
    <t>Manuela   Ochoa Betancur</t>
  </si>
  <si>
    <t>manuelaocbe@unisabana.edu.co</t>
  </si>
  <si>
    <t>Maria Fernanda Bedoya Quintero</t>
  </si>
  <si>
    <t>mariabedqu@unisabana.edu.co</t>
  </si>
  <si>
    <t>Natalia   Calle Restrepo</t>
  </si>
  <si>
    <t>nataliacare@unisabana.edu.co</t>
  </si>
  <si>
    <t>Paula Andrea Osorio Grisales</t>
  </si>
  <si>
    <t>paulaosgr@unisabana.edu.co</t>
  </si>
  <si>
    <t>Susana   Estrada Escobar</t>
  </si>
  <si>
    <t>susanaeses@unisabana.edu.co</t>
  </si>
  <si>
    <t>Yeimy   Lopez Rojas</t>
  </si>
  <si>
    <t>yeimylopro@unisabana.edu.co</t>
  </si>
  <si>
    <t>Yeny Marcela Arenas Rueda</t>
  </si>
  <si>
    <t>yenyarru@unisabana.edu.co</t>
  </si>
  <si>
    <t>Alejandra  Arrubla Agudelo</t>
  </si>
  <si>
    <t>alejandraarag@unisabana.edu.co</t>
  </si>
  <si>
    <t>Yulleni Alejandra Arrubla Otalvaro</t>
  </si>
  <si>
    <t>yulleniarot@unisabana.edu.co</t>
  </si>
  <si>
    <t>Angy Ximena Castillo Blandon</t>
  </si>
  <si>
    <t>angycabl@unisabana.edu.co</t>
  </si>
  <si>
    <t>Catherine   Obregon Perez</t>
  </si>
  <si>
    <t>catherineobpe@unisabana.edu.co</t>
  </si>
  <si>
    <t>Dora Carolina Villalobos Jackson</t>
  </si>
  <si>
    <t>doravija@unisabana.edu.co</t>
  </si>
  <si>
    <t>Edith Johana Espitia Riaño</t>
  </si>
  <si>
    <t>edithesri@unisabana.edu.co</t>
  </si>
  <si>
    <t>Eduer   Zuleta Trujillo</t>
  </si>
  <si>
    <t>eduerzutr@unisabana.edu.co</t>
  </si>
  <si>
    <t>Javier Camilo Agudelo Suarez</t>
  </si>
  <si>
    <t>javieragsu@unisabana.edu.co</t>
  </si>
  <si>
    <t>Jesus David Varon Oliveros</t>
  </si>
  <si>
    <t>jesusvaol@unisabana.edu.co</t>
  </si>
  <si>
    <t>Leidy Estefania Linares Reyes</t>
  </si>
  <si>
    <t>leidylire@unisabana.edu.co</t>
  </si>
  <si>
    <t>Maria Camila Quiroz Moreno</t>
  </si>
  <si>
    <t>maria.quiroz1@unisabana.edu.co</t>
  </si>
  <si>
    <t>Maria Del Rosario Vera Hernandez</t>
  </si>
  <si>
    <t>mariaveraher@unisabana.edu.co</t>
  </si>
  <si>
    <t>Rosa Liliana Romero Ramos</t>
  </si>
  <si>
    <t>rosarora@unisabana.edu.co</t>
  </si>
  <si>
    <t>Santiago Borrero Martin</t>
  </si>
  <si>
    <t>santiagoboma@unisabana.edu.co</t>
  </si>
  <si>
    <t>Valentina   Payan Leal</t>
  </si>
  <si>
    <t>valentinapale@unisabana.edu.co</t>
  </si>
  <si>
    <t>Yazmin   Gomez Gaviria</t>
  </si>
  <si>
    <t>yazmingoga@unisabana.edu.co</t>
  </si>
  <si>
    <t>Jenny Lorena Acosta Campos</t>
  </si>
  <si>
    <t>jennyacca@unisabana.edu.co</t>
  </si>
  <si>
    <t>Josmar Piñeros Salazar</t>
  </si>
  <si>
    <t>josmarpisa@unisabana.edu.co</t>
  </si>
  <si>
    <t>Marlon Fernando Mojica Caro</t>
  </si>
  <si>
    <t>Blanca Lilia Romero Guerrero</t>
  </si>
  <si>
    <t>blancarogu@unisabana.edu.co</t>
  </si>
  <si>
    <t>Rosa Milena Garzon Rodriguez</t>
  </si>
  <si>
    <t>rosagaro@unisabana.edu.co</t>
  </si>
  <si>
    <t>Andrea Del Pilar Bernal Ramirez</t>
  </si>
  <si>
    <t>andreabera@unisabana.edu.co</t>
  </si>
  <si>
    <t>Camilo Andres Rodriguez Mendoza</t>
  </si>
  <si>
    <t>camilorodme@unisabana.edu.co</t>
  </si>
  <si>
    <t>Catalina   Amador De Vivero</t>
  </si>
  <si>
    <t>catalinaamvi@unisabana.edu.co</t>
  </si>
  <si>
    <t>Daisy Andrea Blanco Sacristan</t>
  </si>
  <si>
    <t>daisyblsa@unisabana.edu.co</t>
  </si>
  <si>
    <t>Daniel Fernando Contreras Sandoval</t>
  </si>
  <si>
    <t>danielconsa@unisabana.edu.co</t>
  </si>
  <si>
    <t>Diana Carolina Salcedo Rojas</t>
  </si>
  <si>
    <t>dianasalro@unisabana.edu.co</t>
  </si>
  <si>
    <t>Diana Patricia Morales Gonzalez</t>
  </si>
  <si>
    <t>dianamogo@unisabana.edu.co</t>
  </si>
  <si>
    <t>Didier Gustavo Sossa Ballesteros</t>
  </si>
  <si>
    <t>didiersoba@unisabana.edu.co</t>
  </si>
  <si>
    <t>Juliana   Rincon Ramirez</t>
  </si>
  <si>
    <t>julianarira@unisabana.edu.co</t>
  </si>
  <si>
    <t>Santiago   Carrillo Cano</t>
  </si>
  <si>
    <t>santiagocarcan@unisabana.edu.co</t>
  </si>
  <si>
    <t>Elizabeth   Martinez Gomez</t>
  </si>
  <si>
    <t>elizabethmago@unisabana.edu.co</t>
  </si>
  <si>
    <t>Ines Lucia Perez Zamora</t>
  </si>
  <si>
    <t>inespeza@unisabana.edu.co</t>
  </si>
  <si>
    <t>Maria Fernanda Macias Duque</t>
  </si>
  <si>
    <t>mariamacdu@unisabana.edu.co</t>
  </si>
  <si>
    <t>Sara   Morales Pino</t>
  </si>
  <si>
    <t>saramopi@unisabana.edu.co</t>
  </si>
  <si>
    <t>Nataly   Malaver Ussa</t>
  </si>
  <si>
    <t xml:space="preserve">
natalymaus@unisabana.edu.co</t>
  </si>
  <si>
    <t>Paola Andrea Gomez Serna</t>
  </si>
  <si>
    <t>paolagose@unisabana.edu.co</t>
  </si>
  <si>
    <t>Juliana Covo Guzman</t>
  </si>
  <si>
    <t>julianacogu@unisabana.edu.co</t>
  </si>
  <si>
    <t>David Alberto Hernandez Ardila</t>
  </si>
  <si>
    <t>davidhear@unisabana.edu.co</t>
  </si>
  <si>
    <t>David   Caicedo Gandara</t>
  </si>
  <si>
    <t>davidcga@unisabana.edu.co</t>
  </si>
  <si>
    <t>Diana Paola Carrillo Martinez</t>
  </si>
  <si>
    <t>dianacarma@unisabana.edu.co</t>
  </si>
  <si>
    <t>Diana Solangie Robayo Rios</t>
  </si>
  <si>
    <t>dianarobri@unisabana.edu.co</t>
  </si>
  <si>
    <t>Elmer   Guerrero Cuervo</t>
  </si>
  <si>
    <t>elmergucu@unisabana.edu.co</t>
  </si>
  <si>
    <t>July Katherine Monsalve Criollo</t>
  </si>
  <si>
    <t>julymocr@unisabana.edu.co</t>
  </si>
  <si>
    <t>Karen Natalia Contreras Toloza</t>
  </si>
  <si>
    <t>karencoto@unisabana.edu.co</t>
  </si>
  <si>
    <t>Laura Ximena Gaspar Sanchez</t>
  </si>
  <si>
    <t>lauragassa@unisabana.edu.co</t>
  </si>
  <si>
    <t>Wilmar Camilo Ariza Rojas</t>
  </si>
  <si>
    <t>wilmararro@unisabana.edu.co</t>
  </si>
  <si>
    <t>Ana Carolina Velasco Vargas</t>
  </si>
  <si>
    <t>anaveva@unisabana.edu.co</t>
  </si>
  <si>
    <t>Gustavo Adolfo Alvarez Olano</t>
  </si>
  <si>
    <t>gustavoalol@unisabana.edu.co</t>
  </si>
  <si>
    <t>Jaime Jose Castro Zuleta</t>
  </si>
  <si>
    <t>jaimecazu@unisabana.edu.co</t>
  </si>
  <si>
    <t>Nery Melissa Alvareze Arevalo</t>
  </si>
  <si>
    <t>neryalar@unisabana.edu.co</t>
  </si>
  <si>
    <t>Sandra Maritza Romero Palma</t>
  </si>
  <si>
    <t>sandrarompa@unisabana.edu.co</t>
  </si>
  <si>
    <t>Carolina   Obando Mejia</t>
  </si>
  <si>
    <t>carolinaobme@unisabana.edu.co</t>
  </si>
  <si>
    <t>Diego Armando Castañeda Bernal</t>
  </si>
  <si>
    <t>diegocasber@unisabana.edu.co</t>
  </si>
  <si>
    <t>Jenny Tatiana Bergaño Garcia</t>
  </si>
  <si>
    <t>jennybega@unisabana.edu.co</t>
  </si>
  <si>
    <t>Julian Alberto Morales Gomez</t>
  </si>
  <si>
    <t>julianmorgom@unisabana.edu.co</t>
  </si>
  <si>
    <t>Maira Alejandra Reyes Diaz</t>
  </si>
  <si>
    <t>mairaredi@unisabana.edu.co</t>
  </si>
  <si>
    <t>Marilyn Andrea Melo Chacon</t>
  </si>
  <si>
    <t>marilynmech@unisabana.edu.co</t>
  </si>
  <si>
    <t>Paola Andrea Chaya Jaimes</t>
  </si>
  <si>
    <t>paolachja@unisabana.edu.co</t>
  </si>
  <si>
    <t>Jauregui   Ballesteros Murcia</t>
  </si>
  <si>
    <t>jaureguibamu@unisabana.edu.co</t>
  </si>
  <si>
    <t>Carlos Felipe Santiago Cortazar</t>
  </si>
  <si>
    <t>carlossanco@unisabana.edu.co</t>
  </si>
  <si>
    <t>Cristian   Soles Agamez</t>
  </si>
  <si>
    <t>cristiansoag@unisabana.edu.co</t>
  </si>
  <si>
    <t>Cristian Fabian Rodriguez Rebolledo</t>
  </si>
  <si>
    <t>cristianrore@unisabana.edu.co</t>
  </si>
  <si>
    <t>Diana Carolina Rincon Toro</t>
  </si>
  <si>
    <t>dianarinto@unisabana.edu.co</t>
  </si>
  <si>
    <t>Hermann Alfonso Ordoñez Martinez</t>
  </si>
  <si>
    <t>hermannorma@unisabana.edu.co</t>
  </si>
  <si>
    <t>Juanita   Leon Torres</t>
  </si>
  <si>
    <t xml:space="preserve">
juanitaleto@unisabana.edu.co</t>
  </si>
  <si>
    <t>Liliana Gabriela Rochel</t>
  </si>
  <si>
    <t>lilianaro@unisabana.edu.co</t>
  </si>
  <si>
    <t>Luis Alfonso Guzman Aponte</t>
  </si>
  <si>
    <t>luisguap@unisabana.edu.co</t>
  </si>
  <si>
    <t>Miguel Angel Aldana Arias</t>
  </si>
  <si>
    <t>miguelalar@unisabana.edu.co</t>
  </si>
  <si>
    <t>Oscar Camilo Roa Roa</t>
  </si>
  <si>
    <t>oscarroro@unisabana.edu.co</t>
  </si>
  <si>
    <t>MARLONMOJICACARO@GMAIL.COM</t>
  </si>
  <si>
    <t>ANCINEZ LUNA FRANKLIN DAVID</t>
  </si>
  <si>
    <t>franklinanlu@unisabana.edu.co</t>
  </si>
  <si>
    <t>ANGEL MORALES YESSICA MARIA</t>
  </si>
  <si>
    <t>yessicaanmo@unisabana.edu.co</t>
  </si>
  <si>
    <t>BERMUDEZ OSPINA FREDY ALEJANDRO</t>
  </si>
  <si>
    <t>fredybeos@unisabana.edu.co</t>
  </si>
  <si>
    <t>CORTES RIVERA CAROL VIBIAN</t>
  </si>
  <si>
    <t>carolcori@unisabana.edu.co</t>
  </si>
  <si>
    <t>ESPINOSA GONGORA PAULA ANDREA</t>
  </si>
  <si>
    <t>paulaesgo@unisabana.edu.co</t>
  </si>
  <si>
    <t>FRIAS FERNANDEZ GYNNA PATRICIA</t>
  </si>
  <si>
    <t>gynnafrfe@unisabana.edu.co</t>
  </si>
  <si>
    <t>GALVEZ CHAVEZ SAYDA FERNANDA</t>
  </si>
  <si>
    <t>saydafe@unisabana.edu.co</t>
  </si>
  <si>
    <t>GONGORA ROMERO SEBASTIAN</t>
  </si>
  <si>
    <t>sebastiangoro@unisabana.edu.co</t>
  </si>
  <si>
    <t>GUTIERREZ MORENO ANGELA MARIA</t>
  </si>
  <si>
    <t>angelagumo@unisabana.edu.co</t>
  </si>
  <si>
    <t>GUZMAN TRIANA JARRY SMIT</t>
  </si>
  <si>
    <t>jarrygutr@unisabana.edu.co</t>
  </si>
  <si>
    <t>HERNANDEZ REINOSO MARIO ANDRES</t>
  </si>
  <si>
    <t>mariohere@unisabana.edu.co</t>
  </si>
  <si>
    <t>HERNANDEZ RODRIGUEZ NICOLAS</t>
  </si>
  <si>
    <t>nicolasherro@unisabana.edu.co</t>
  </si>
  <si>
    <t>JIMENEZ SANCHEZ MARYORY ESPERANZA</t>
  </si>
  <si>
    <t>maryoryjisa@unisabana.edu.co</t>
  </si>
  <si>
    <t>LOMBANA CARDONA LUISA FERNANDA</t>
  </si>
  <si>
    <t>luisalomca@unisabana.edu.co</t>
  </si>
  <si>
    <t>OCAMPO MAYA AMPARO SOLED</t>
  </si>
  <si>
    <t>amparoocma@unisabana.edu.co</t>
  </si>
  <si>
    <t>OSORIO SOLANO ANGELICA ALEXANDRA</t>
  </si>
  <si>
    <t>angelicaosso@unisabana.edu.co</t>
  </si>
  <si>
    <t>PEREZ RINCON JACKBLADY MICHELLE</t>
  </si>
  <si>
    <t>jackbladyperi@unisabana.edu.co</t>
  </si>
  <si>
    <t>PINZON MARIN LESLY VALENTINA</t>
  </si>
  <si>
    <t>leslypima@unisabana.edu.co</t>
  </si>
  <si>
    <t>RINCON REY MATEO</t>
  </si>
  <si>
    <t>mateorire@unisabana.edu.co</t>
  </si>
  <si>
    <t>TAVERA VILLA CAMILO</t>
  </si>
  <si>
    <t>camilotavvi@unisabana.edu.co</t>
  </si>
  <si>
    <t>TOVAR TAPIERO ANDRES CAMILO</t>
  </si>
  <si>
    <t>andrestota@unisabana.edu.co</t>
  </si>
  <si>
    <t>VILLANUEVA PULIDO NORMA PIEDAD</t>
  </si>
  <si>
    <t>normavipu@unisabana.edu.co</t>
  </si>
  <si>
    <t>ESPECIALIZACIÓN EN CONTRATACIÓN ESTATAL - CHÍA</t>
  </si>
  <si>
    <t>ACUÑA CARRILLO CAMILO ANDRES</t>
  </si>
  <si>
    <t>camiloacca@unisabana.edu.co</t>
  </si>
  <si>
    <t>AMAYA LIZARAZO BLANCA LILIANA</t>
  </si>
  <si>
    <t>blancaamli@unisabana.edu.co</t>
  </si>
  <si>
    <t>ARAGON PINZON JUAN CARLOS</t>
  </si>
  <si>
    <t>juanarpi@unisabana.edu.co</t>
  </si>
  <si>
    <t>AVILA PERILLA DANIELA LISSET</t>
  </si>
  <si>
    <t>danielaavpe@unisabana.edu.co</t>
  </si>
  <si>
    <t>BARRERO FRANCO ANDRES FELIPE</t>
  </si>
  <si>
    <t>andresbafr@unisabana.edu.co</t>
  </si>
  <si>
    <t>BUSTOS VIVERO EDUARDO ANDRES</t>
  </si>
  <si>
    <t>eduardo.bustos@unisabana.edu.co</t>
  </si>
  <si>
    <t>CORREA CORRALES RAFAEL ANTONIO</t>
  </si>
  <si>
    <t>rafaelcorco@unisabana.edu.co</t>
  </si>
  <si>
    <t>FUENTES MALDONADO NICOLAS ALONSO</t>
  </si>
  <si>
    <t>nicolasfuma@unisabana.edu.co</t>
  </si>
  <si>
    <t>GALVIS QUINTERO DEISY</t>
  </si>
  <si>
    <t>deisygaqu@unisabana.edu.co</t>
  </si>
  <si>
    <t>GONZALEZ ELIGIO ROLANDO ALBERTO</t>
  </si>
  <si>
    <t>rolandogoel@unisabana.edu.co</t>
  </si>
  <si>
    <t>JARA REYES KAREN GINETH</t>
  </si>
  <si>
    <t>karensare@unisabana.edu.co</t>
  </si>
  <si>
    <t>LOPEZ SABOGAL LIZETH NATALIA</t>
  </si>
  <si>
    <t>lizethlosa@unisabana.edu.co</t>
  </si>
  <si>
    <t>LOZANO CALDERON FERNANDO</t>
  </si>
  <si>
    <t>fernandolozca@unisabana.edu.co</t>
  </si>
  <si>
    <t>MONTAÑO MORENO DAVID NICOLAS</t>
  </si>
  <si>
    <t>davidmomo@unisabana.edu.co</t>
  </si>
  <si>
    <t>MUÑOZ SANCHEZ KAREN GISELLE</t>
  </si>
  <si>
    <t>karenmusa@unisabana.edu.co</t>
  </si>
  <si>
    <t>OCHOA JIMENEZ JOHAN FELIPE</t>
  </si>
  <si>
    <t>johanocji@unisabana.edu.co</t>
  </si>
  <si>
    <t>PARDO GUZMAN DIEGO ALEJANDRO</t>
  </si>
  <si>
    <t>diegopargu@unisabana.edu.co</t>
  </si>
  <si>
    <t>RAMIREZ MONTAÑO LAURA MILENA</t>
  </si>
  <si>
    <t>laurarammon@unisabana.edu.co</t>
  </si>
  <si>
    <t>SABA LOPEZ CARMEN YAMILE</t>
  </si>
  <si>
    <t>carmensalo@unisabana.edu.co</t>
  </si>
  <si>
    <t>VILLEGAS GARCIA KAREN YISETH</t>
  </si>
  <si>
    <t>karenviga@unisabana.edu.co</t>
  </si>
  <si>
    <t>ZAMBRANO CONTRERAS HAROLD ALEXANDER</t>
  </si>
  <si>
    <t>haroldzaco@unisabana.edu.co</t>
  </si>
  <si>
    <t>ESPECIALIZACIÓN EN DERECHO TRIBUTARIO - CHIA</t>
  </si>
  <si>
    <t>BORREGO ROCHA ANGEE XIMENA</t>
  </si>
  <si>
    <t>angeeborro@unisabana.edu.co</t>
  </si>
  <si>
    <t>CADENA HERRERA LINA MAYERLY</t>
  </si>
  <si>
    <t>linacahe@unisabana.edu.co</t>
  </si>
  <si>
    <t>CELIS RODRIGUEZ LAURA ESTEFANIA</t>
  </si>
  <si>
    <t>lauracero@unisabana.edu.co</t>
  </si>
  <si>
    <t>CONTRERAS MUÑOZ YENIFER CAROLINA</t>
  </si>
  <si>
    <t>yenifercomu@unisabana.edu.co</t>
  </si>
  <si>
    <t>GONZALEZ PACHON YENIFER</t>
  </si>
  <si>
    <t>yenifergopa@unisabana.edu.co</t>
  </si>
  <si>
    <t>JOTA COLORADO FRANCISCO LEONARDO</t>
  </si>
  <si>
    <t>franciscojoco@unisabana.edu.co</t>
  </si>
  <si>
    <t>LUNA GOMEZ MANUEL ALEJANDRO</t>
  </si>
  <si>
    <t>manuellugo@unisabana.edu.co</t>
  </si>
  <si>
    <t>MURCIA BECERRA ANA EMILCE</t>
  </si>
  <si>
    <t>anamube@unisabana.edu.co</t>
  </si>
  <si>
    <t>PUENTES MONCADA JOSE RAFAEL</t>
  </si>
  <si>
    <t>josepumo@unisabana.edu.co</t>
  </si>
  <si>
    <t>RINCON VARGAS DANIEL RICARDO</t>
  </si>
  <si>
    <t>danielrinva@unisabana.edu.co</t>
  </si>
  <si>
    <t>RODRIGUEZ GONZALEZ JESSICA PAOLA</t>
  </si>
  <si>
    <t>jessicarogo@unisabana.edu.co</t>
  </si>
  <si>
    <t>SOCHA   DIANA PATRICIA</t>
  </si>
  <si>
    <t>dianasoc@unisabana.edu.co</t>
  </si>
  <si>
    <t>ESPECIALIZACIÓN EN SEGUROS Y SEGURIDAD SOCIAL - CHÍA</t>
  </si>
  <si>
    <t>BELTRAN BUSTOS LIZETH MIREYA</t>
  </si>
  <si>
    <t>lizethbebu@unisabana.edu.co</t>
  </si>
  <si>
    <t>CAÑAS TRUJILLO ROBERTH FABIAN</t>
  </si>
  <si>
    <t>roberthcatr@unisabana.edu.co</t>
  </si>
  <si>
    <t>CASTELLANOS SANTOS NANCY PAOLA</t>
  </si>
  <si>
    <t>nancycasa@unisabana.edu.co</t>
  </si>
  <si>
    <t>CASTIBLANCO SANTOS LEIDA PAOLA</t>
  </si>
  <si>
    <t>leidacasa@unisabana.edu.co</t>
  </si>
  <si>
    <t>DUEÑAS BARRETO CESAR AUGUSTO</t>
  </si>
  <si>
    <t>cesarduba@unisabana.edu.co</t>
  </si>
  <si>
    <t>GIL LUGO JULIE STEPHANIE</t>
  </si>
  <si>
    <t>juliegilu@unisabana.edu.co</t>
  </si>
  <si>
    <t>GONZALEZ BURGOS JUAN SEBASTIAN</t>
  </si>
  <si>
    <t>juangobu@unisabana.edu.co</t>
  </si>
  <si>
    <t>GUZMAN ARTEAGA JESUS HERNANDO</t>
  </si>
  <si>
    <t>jesusguar@unisabana.edu.co</t>
  </si>
  <si>
    <t>NIVIA RIVAS JOSE DAVID</t>
  </si>
  <si>
    <t>josenivri@unisabana.edu.co</t>
  </si>
  <si>
    <t>ORTIZ OROZCO CRISTIAN JAVIER</t>
  </si>
  <si>
    <t>cristianoror@unisabana.edu.co</t>
  </si>
  <si>
    <t>OSPINA ARTEAGA PEDRO LUIS</t>
  </si>
  <si>
    <t>pedroosar@unisabana.edu.co</t>
  </si>
  <si>
    <t>QUINTERO RODRIGUEZ DORIS ADRIANA</t>
  </si>
  <si>
    <t>dorisquro@unisabana.edu.co</t>
  </si>
  <si>
    <t>QUIROGA ROJAS OSCAR JAVIER</t>
  </si>
  <si>
    <t>oscarquro@unisabana.edu.co</t>
  </si>
  <si>
    <t>ROMERO VERA EDILSA JINNETTE</t>
  </si>
  <si>
    <t>edilsarove@unisabana.edu.co</t>
  </si>
  <si>
    <t>RUIZ PIÑEROS LORENA</t>
  </si>
  <si>
    <t>lorenarupi@unisabana.edu.co</t>
  </si>
  <si>
    <t>SILVA BARRETO JORGE MARIO</t>
  </si>
  <si>
    <t xml:space="preserve">jorgesiba@unisabana.edu.co </t>
  </si>
  <si>
    <t>SOTELO ESPINOSA ANGIE LORENA</t>
  </si>
  <si>
    <t>angiesoes@unisabana.edu.co</t>
  </si>
  <si>
    <t>TERAN MOSCOSO BELQUIES AMPARO</t>
  </si>
  <si>
    <t>belquiestemo@unisabana.edu.co</t>
  </si>
  <si>
    <t>VARGAS TRUJILLO YULY ANGELICA</t>
  </si>
  <si>
    <t>yulyvatr@unisabana.edu.co</t>
  </si>
  <si>
    <t>ANGEE KATHERINE JULIO JAIMES</t>
  </si>
  <si>
    <t>angelicaococ@unisabana.edu.co</t>
  </si>
  <si>
    <t>ALEXANDER   HERNANDEZ RIOS</t>
  </si>
  <si>
    <t>karengahe@unisabana.edu.co</t>
  </si>
  <si>
    <t>ENITH JOURLEY RODRIGUEZ HERNANDEZ</t>
  </si>
  <si>
    <t>lisbethorsa@unisabana.edu.co</t>
  </si>
  <si>
    <t>GUSTAVO ADOLFO GOMEZ PRADA</t>
  </si>
  <si>
    <t>mariaprse@unisabana.edu.co</t>
  </si>
  <si>
    <t>ISABELLA   GOMEZ JURADO</t>
  </si>
  <si>
    <t>nhoramahe@unisabana.edu.co</t>
  </si>
  <si>
    <t>JAZMIN ALEXANDRA BLANCO VARGAS</t>
  </si>
  <si>
    <t>alexrehe@unisabana.edu.co</t>
  </si>
  <si>
    <t>KELLY JOHANNA LADRON DE GUEVARA ZAMORA</t>
  </si>
  <si>
    <t>astridpici@unisabana.edu.co</t>
  </si>
  <si>
    <t>KAREN DANIELA ROMERO HERNANDEZ</t>
  </si>
  <si>
    <t>claudiarojro@unisabana.edu.co</t>
  </si>
  <si>
    <t>LISSETH CAROLINA SIERRA ANAYA</t>
  </si>
  <si>
    <t>danielaringom@unisabana.edu.co</t>
  </si>
  <si>
    <t>LEYDY NATALYA ARENAS ZUÑIGA</t>
  </si>
  <si>
    <t>danychar@unisabana.edu.co</t>
  </si>
  <si>
    <t>MYRIAM ROCIO PATIÑO CUELLAR</t>
  </si>
  <si>
    <t>dianasotgo@unisabana.edu.co</t>
  </si>
  <si>
    <t>NESTOR ANTONIO LOZANO SAENZ</t>
  </si>
  <si>
    <t>dianabllo@unisabana.edu.co</t>
  </si>
  <si>
    <t>OMAR SANTIAGO GOYENECHE RUGELES</t>
  </si>
  <si>
    <t>edgarpooj@unisabana.edu.co</t>
  </si>
  <si>
    <t>STEVEN   RESTREPO CARVAJAL</t>
  </si>
  <si>
    <t>elianacamu@unisabana.edu.co</t>
  </si>
  <si>
    <t>SONYA SOFIA GRANADOS ZAMORA</t>
  </si>
  <si>
    <t>erikanola@unisabana.edu.co</t>
  </si>
  <si>
    <t>ANGELICA JUDITH SANDOVAL MARTINEZ</t>
  </si>
  <si>
    <t>eyllenrian@unisabana.edu.co</t>
  </si>
  <si>
    <t>ANGELICA MARIA OCAMPO OCAMPO</t>
  </si>
  <si>
    <t>gersonaran@unisabana.edu.co</t>
  </si>
  <si>
    <t>KAREN BRIGITH GAMBA HERNANDEZ</t>
  </si>
  <si>
    <t>leidyriri@unisabana.edu.co</t>
  </si>
  <si>
    <t>LISBETH ALICIA ORJUELA SANABRIA</t>
  </si>
  <si>
    <t>omarlopra@unisabana.edu.co</t>
  </si>
  <si>
    <t>MARIA MONICA PRADA SERRANO</t>
  </si>
  <si>
    <t>paolamase@unisabana.edu.co</t>
  </si>
  <si>
    <t>NHORA MARCELA MANTILLA HERRERA</t>
  </si>
  <si>
    <t>silviaaram@unisabana.edu.co</t>
  </si>
  <si>
    <t>ALEX VLADIMIR REYES HERNANDEZ</t>
  </si>
  <si>
    <t>ASTRID CAROLINA PINILLA CIFUENTES</t>
  </si>
  <si>
    <t>CLAUDIA ANDREA ROJAS RODRIGUEZ</t>
  </si>
  <si>
    <t>DANIELA MARCELA RINCON GOMEZ</t>
  </si>
  <si>
    <t>DANY FABIAN CHAVEZ ARIZA</t>
  </si>
  <si>
    <t>DIANA MARCELA SOTELO GOMEZ</t>
  </si>
  <si>
    <t>DIANA PATRICIA BLANCO LOPEZ</t>
  </si>
  <si>
    <t>EDGAR LEONARDO PORRAS OJEDA</t>
  </si>
  <si>
    <t>ELIANA CAROLINA CALDERON MUÑOZ</t>
  </si>
  <si>
    <t>ERIKA LILIANA NOVA LANCHEROS</t>
  </si>
  <si>
    <t>EYLLEN VANESSA RINCON ANGARITA</t>
  </si>
  <si>
    <t>GERSON FABIAN ARANGO ANAYA</t>
  </si>
  <si>
    <t>LEIDY ANDREA RINCON RIOS</t>
  </si>
  <si>
    <t>OMAR JULIAN LOPEZ RAMIREZ</t>
  </si>
  <si>
    <t>PAOLA ANDREA MARIÑO SEQUERA</t>
  </si>
  <si>
    <t>SILVIA ANDREA ARDILA AMADO</t>
  </si>
  <si>
    <t>SILVIA JULIANA NIÑO SEPULVEDA</t>
  </si>
  <si>
    <t>silvianise@unisabana.edu.co</t>
  </si>
  <si>
    <t>STEFANY LIZETH CARTAGENA ALCANTAR</t>
  </si>
  <si>
    <t>stefanycaal@unisabana.edu.co</t>
  </si>
  <si>
    <t>MARCOS GREGORIO LARA JAIMES</t>
  </si>
  <si>
    <t>marcoslaja@unisabana.edu.co</t>
  </si>
  <si>
    <t>JEISON FELIPE SERRANO GARCIA</t>
  </si>
  <si>
    <t>jeisonsega@unisabana.edu.co</t>
  </si>
  <si>
    <t>ANA MARIA PINO GALLO</t>
  </si>
  <si>
    <t>anapinogal@unisabana.edu.co</t>
  </si>
  <si>
    <t>ANDRE JOHNATAN QUINTERO ESTRADA</t>
  </si>
  <si>
    <t>andreques@unisabana.edu.co</t>
  </si>
  <si>
    <t>ANDREA   DUQUE GIRALDO</t>
  </si>
  <si>
    <t>andreadugi@unisabana.edu.co</t>
  </si>
  <si>
    <t>ANGELA MARCELA VARGAS JIMENEZ</t>
  </si>
  <si>
    <t>angelavaji@unisabana.edu.co</t>
  </si>
  <si>
    <t>ANGELA YURANY GOMEZ MUÑOZ</t>
  </si>
  <si>
    <t>angelagomu@unisabana.edu.co</t>
  </si>
  <si>
    <t>ARYOVAN YEISID SILVA PARRA</t>
  </si>
  <si>
    <t>aryovansipa@unisabana.edu.co</t>
  </si>
  <si>
    <t>ERIKA NATALIA ROJAS GARCIA</t>
  </si>
  <si>
    <t>erikaroga@unisabana.edu.co</t>
  </si>
  <si>
    <t>ESTEFANIA   ECHEVERRI QUINTERO</t>
  </si>
  <si>
    <t>estefaniaecqu@unisabana.edu.co</t>
  </si>
  <si>
    <t>ESTEFANY ANDREA RESTREPO VARGAS</t>
  </si>
  <si>
    <t>estefanyreva@unisabana.edu.co</t>
  </si>
  <si>
    <t>JULIAN   ECHAVARRIA</t>
  </si>
  <si>
    <t>julianec@unisabana.edu.co</t>
  </si>
  <si>
    <t>LUISA MARIA YEPES ARISTIZABAL</t>
  </si>
  <si>
    <t>luisayear@unisabana.edu.co</t>
  </si>
  <si>
    <t>MARIA CAMILA RINCON VASQUEZ</t>
  </si>
  <si>
    <t>mariarinva@unisabana.edu.co</t>
  </si>
  <si>
    <t>MARIA FERNANDA MARTINEZ VASQUEZ</t>
  </si>
  <si>
    <t>mariamarvas@unisabana.edu.co</t>
  </si>
  <si>
    <t>NATALIA   ALVAREZ MARTINEZ</t>
  </si>
  <si>
    <t>nataliaalma@unisabana.edu.co</t>
  </si>
  <si>
    <t>NIXON ANDRES PAEZ NAVAS</t>
  </si>
  <si>
    <t>nixonpana@unisabana.edu.co</t>
  </si>
  <si>
    <t>OSCAR DANIEL ZAPATA DIAZ</t>
  </si>
  <si>
    <t>oscarzadi@unisabana.edu.co</t>
  </si>
  <si>
    <t>OSCAR EDUARDO PULGARIN CORREA</t>
  </si>
  <si>
    <t>oscarpuco@unisabana.edu.co</t>
  </si>
  <si>
    <t>SANTIAGO CAÑAVERAL CANO</t>
  </si>
  <si>
    <t>santiagoca@unisabana.edu.co</t>
  </si>
  <si>
    <t>SARA MARIA GALLEGO BUILES</t>
  </si>
  <si>
    <t>saragabu@unisabana.edu.co</t>
  </si>
  <si>
    <t>VERONICA GALLEGO PINO</t>
  </si>
  <si>
    <t>veronicagapi@unisabana.edu.co</t>
  </si>
  <si>
    <t>YULY CATHERINE JIMENEZ MUÑOZ</t>
  </si>
  <si>
    <t>yulyjimu@unisabana.edu.co</t>
  </si>
  <si>
    <t>JOSE MIGUEL OLIVARES YEPES</t>
  </si>
  <si>
    <t>joseolye@unisabana.edu.co</t>
  </si>
  <si>
    <t>ANGELA AMPARO LINARES GOMEZ</t>
  </si>
  <si>
    <t>angelaligo@unisabana.edu.co</t>
  </si>
  <si>
    <t>JESUS HERNAN OROZCO GOMEZ</t>
  </si>
  <si>
    <t>jesusorgo@unisabana.edu.co</t>
  </si>
  <si>
    <t>JOSE REINALDO RAVELO PARRA</t>
  </si>
  <si>
    <t>joseravpa@unisabana.edu.co</t>
  </si>
  <si>
    <t>JULIAN MAURICIO TASCON GIL</t>
  </si>
  <si>
    <t>juliantagi@unisabana.edu.co</t>
  </si>
  <si>
    <t>LORENA MARIA LEON TRUJILLO</t>
  </si>
  <si>
    <t>lorenaletr@unisabana.edu.co</t>
  </si>
  <si>
    <t>MIGUEL ESTEBAN ZAMORA FLORES</t>
  </si>
  <si>
    <t>miguelzafl@unisabana.edu.co</t>
  </si>
  <si>
    <t>NATALIA CONSUELO MONTENEGRO QUEVEDO</t>
  </si>
  <si>
    <t>nataliamoqu@unisabana.edu.co</t>
  </si>
  <si>
    <t>SHIRLEY LILIANA ZAMBRANO GAMBOA</t>
  </si>
  <si>
    <t>shirleyzaga@unisabana.edu.co</t>
  </si>
  <si>
    <t>CAROLINA BUITRAGO HERNANDEZ</t>
  </si>
  <si>
    <t>carolinabuhe@unisabana.edu.co</t>
  </si>
  <si>
    <t>ERIKA JASMIN SUAN SALAMANCA</t>
  </si>
  <si>
    <t>erikasusa@unisabana.edu.co</t>
  </si>
  <si>
    <t>JENNY JULIANA MEDINA CORTES</t>
  </si>
  <si>
    <t>jennymeco@unisabana.edu.co</t>
  </si>
  <si>
    <t>JULIAN CAMILO RODRIGUEZ GARCES</t>
  </si>
  <si>
    <t>julianrodga@unisabana.edu.co</t>
  </si>
  <si>
    <t>KAREN RAMIREZ MEJIA</t>
  </si>
  <si>
    <t>karenrame@unisabana.edu.co</t>
  </si>
  <si>
    <t>LINETH VIVIANA ALVAREZ CORTEZ</t>
  </si>
  <si>
    <t>linethalco@unisabana.edu.co</t>
  </si>
  <si>
    <t>JUAN GABRIEL PEREZ LEON</t>
  </si>
  <si>
    <t>juanperleo@unisabana.edu.co</t>
  </si>
  <si>
    <t>JUAN SEBASTIAN PARRA PINEDA</t>
  </si>
  <si>
    <t>juanparrpin@unisabana.edu.co</t>
  </si>
  <si>
    <t>ESTIB CONSTAIN RAMOS</t>
  </si>
  <si>
    <t>estibcora@unisabana.edu.co</t>
  </si>
  <si>
    <t>DIANA PATRICIA RIVAS ARISTIZABAL</t>
  </si>
  <si>
    <t>dianarivar@unisabana.edu.co</t>
  </si>
  <si>
    <t>OSCAR ANDRES PAEZ RODRIGUEZ</t>
  </si>
  <si>
    <t>oscarparo@unisabana.edu.co</t>
  </si>
  <si>
    <t>LUCERO DEL MAR LIZCANO PABON</t>
  </si>
  <si>
    <t>lucerolipa@unisabana.edu.co</t>
  </si>
  <si>
    <t>ANDREA TRINIDAD RUEDA TORRES</t>
  </si>
  <si>
    <t>andrearuto@unisabana.edu.co</t>
  </si>
  <si>
    <t>DENIS YAMEL VEGA GALVIS</t>
  </si>
  <si>
    <t>denisvega@unisabana.edu.co</t>
  </si>
  <si>
    <t>DIEGO FERNANDO RIVEROS SANTAMARIA</t>
  </si>
  <si>
    <t>diegorivsan@unisabana.edu.co</t>
  </si>
  <si>
    <t>JIMMY LEONARDO CUERVO MONROY</t>
  </si>
  <si>
    <t>jimmycumo@unisabana.edu.co</t>
  </si>
  <si>
    <t>KAROL LIZETH MENDOZA FRANCO</t>
  </si>
  <si>
    <t>karolmefr@unisabana.edu.co</t>
  </si>
  <si>
    <t>LISETH FRANCELINA RUEDA DONATO</t>
  </si>
  <si>
    <t>lisethrudo@unisabana.edu.co</t>
  </si>
  <si>
    <t>MARIA CAMILA PATIÑO MURILLO</t>
  </si>
  <si>
    <t>mariapamu@unisabana.edu.co</t>
  </si>
  <si>
    <t>MILDRED MARLLELYS MONTES MORALES</t>
  </si>
  <si>
    <t>mildredmomo@unisabana.edu.co</t>
  </si>
  <si>
    <t>OSCAR ALBERTO GARCIA PEREZ</t>
  </si>
  <si>
    <t>oscargape@unisabana.edu.co</t>
  </si>
  <si>
    <t>OSCAR IVAN SARMIENTO TOVAR</t>
  </si>
  <si>
    <t>oscarsato@unisabana.edu.co</t>
  </si>
  <si>
    <t>YENCY YOJANNA ACOSTA DAZA</t>
  </si>
  <si>
    <t>yencyacda@unisabana.edu.co</t>
  </si>
  <si>
    <t>JOSE ALFREDO LONDOÑO ARIZA</t>
  </si>
  <si>
    <t>joselonar@unisabana.edu.co</t>
  </si>
  <si>
    <t>LADY NATALIA MORENO RIVERA</t>
  </si>
  <si>
    <t>ladymori@unisabana.edu.co</t>
  </si>
  <si>
    <t>LAURA VALENTINA RINCON SANCHEZ</t>
  </si>
  <si>
    <t>laurarinsa@unisabana.edu.co</t>
  </si>
  <si>
    <t>MARIANA LUZ OROZCO PEREZ</t>
  </si>
  <si>
    <t>marianaorpe@unisabana.edu.co</t>
  </si>
  <si>
    <t>VANESSA MONSALVE ZIPA</t>
  </si>
  <si>
    <t>vanessamozi@unisabana.edu.co</t>
  </si>
  <si>
    <t>YENIFER ALEJANDRA NOVOA MUÑOZ</t>
  </si>
  <si>
    <t>yenifernomu@unisabana.edu.co</t>
  </si>
  <si>
    <t>YURANY ASTRID HERNANDEZ TORRES</t>
  </si>
  <si>
    <t>yuranyheto@unisabana.edu.co</t>
  </si>
  <si>
    <t>MICHAEL ANDRES RODRIGUEZ VANEGAS</t>
  </si>
  <si>
    <t>michaelrova@unisabana.edu.co</t>
  </si>
  <si>
    <t>PAULA ANDREA VILLEGAS GAMBA</t>
  </si>
  <si>
    <t>paulaviga@unisabana.edu.co</t>
  </si>
  <si>
    <t>DAIRO ENRIQUE  DIAZ PENA</t>
  </si>
  <si>
    <t>dairodipe@unisabana.edu.co</t>
  </si>
  <si>
    <t>JUAN DIEGO  GIRALDO BUITRAGO</t>
  </si>
  <si>
    <t>juangibu@unisabana.edu.co</t>
  </si>
  <si>
    <t>IVAN DARIO  PAREDES RIVERA</t>
  </si>
  <si>
    <t>ivanpari@unisabana.edu.co</t>
  </si>
  <si>
    <t>JEIMI ALEXANDRA  AVILA QUICENO</t>
  </si>
  <si>
    <t>jeimiavqu@unisabana.edu.co</t>
  </si>
  <si>
    <t>MARIA ISABEL AFANADOR PRIETO</t>
  </si>
  <si>
    <t>mariaafpr@unisabana.edu.co</t>
  </si>
  <si>
    <t>ALMANZA RINCON ALEXANDER ASBEL</t>
  </si>
  <si>
    <t>alexanderalri@unisabana.edu.co</t>
  </si>
  <si>
    <t>BAÑOL ARCILA DANIEL ADOLFO</t>
  </si>
  <si>
    <t>danielbaar@unisabana.edu.co</t>
  </si>
  <si>
    <t>CORTES BASTO CRISTHIAN CAMILO</t>
  </si>
  <si>
    <t>cristhiancoba@unisabana.edu.co</t>
  </si>
  <si>
    <t>JAIMES BERMUDEZ DIEGO ENRIQUE</t>
  </si>
  <si>
    <t>diegojabe@unisabana.edu.co</t>
  </si>
  <si>
    <t>MORENO MARTINEZ IVAN LEONARDO</t>
  </si>
  <si>
    <t>ivanmoma@unisabana.edu.co</t>
  </si>
  <si>
    <t>PULIDO PINILLA LUIS ALFREDO</t>
  </si>
  <si>
    <t>LUISPUPI@UNISABANA.EDU.CO</t>
  </si>
  <si>
    <t>RODRIGUEZ PEÑA OSCAR ANDRES</t>
  </si>
  <si>
    <t>oscarrodpen@unisabana.edu.co</t>
  </si>
  <si>
    <t>RODRIGUEZ SALCEDO CARLOS STEVEN</t>
  </si>
  <si>
    <t>carlosrodsal@unisabana.edu.co</t>
  </si>
  <si>
    <t>ROJAS GOMES SANDRA MARCELA</t>
  </si>
  <si>
    <t>sandrarogo@unisabana.edu.co</t>
  </si>
  <si>
    <t>ROZO PULECIO JONATHAN</t>
  </si>
  <si>
    <t>jonathanropu@unisabana.edu.co</t>
  </si>
  <si>
    <t>VELANDIA VENEGAS ANDRES FELIPE</t>
  </si>
  <si>
    <t>andresvelve@unisabana.edu.co</t>
  </si>
  <si>
    <t xml:space="preserve">LAURA ALEJANDRA TORRES SALGADO </t>
  </si>
  <si>
    <t>lauratosa@unisabana.edu.co</t>
  </si>
  <si>
    <t>CALERO SANINT ANDREA CAROLINA</t>
  </si>
  <si>
    <t>andreacalsa@unisabana.edu.co</t>
  </si>
  <si>
    <t xml:space="preserve">DUEÑAS FLOREZ JESSICA TATIANA </t>
  </si>
  <si>
    <t>jessicaduflo@unisabana.edu.co</t>
  </si>
  <si>
    <t xml:space="preserve">GALAN RAMIREZ DANIEL GUILLERMO </t>
  </si>
  <si>
    <t>danielgara@unisabana.edu.co</t>
  </si>
  <si>
    <t>MALAGON ALVARADO LAURA GERALDINE</t>
  </si>
  <si>
    <t>lauramaal@unisabana.edu.co</t>
  </si>
  <si>
    <t>PEÑA CORREA RODOLFO ANDRES</t>
  </si>
  <si>
    <t>rodolfopeco@unisabana.edu.co</t>
  </si>
  <si>
    <t>BALLESTEROS BULA ANDREA CAROLINA</t>
  </si>
  <si>
    <t>andreababu@unisabana.edu.co</t>
  </si>
  <si>
    <t>CORDOBA RUIZ LUISA FERNANDA</t>
  </si>
  <si>
    <t>luisacorru@unisabana.edu.co</t>
  </si>
  <si>
    <t>FORERO MARCELO JULIANA MARCELA</t>
  </si>
  <si>
    <t>julianafoma@unisabana.edu.co</t>
  </si>
  <si>
    <t>MAZO PEREZ ADRIANA PAOLA</t>
  </si>
  <si>
    <t>adrianamape@unisabana.edu.co</t>
  </si>
  <si>
    <t>PEREZ MONCADA JHON FREDY</t>
  </si>
  <si>
    <t>jhonpemo@unisabana.edu.co</t>
  </si>
  <si>
    <t>RUIZ TORRES ANGIE VIVIANA</t>
  </si>
  <si>
    <t>angieruto@unisabana.edu.co</t>
  </si>
  <si>
    <t>SUAREZ COVELLI NATALIA</t>
  </si>
  <si>
    <t>nataliasuacov@unisabana.edu.co</t>
  </si>
  <si>
    <t>TORRES SEGURA VALERIA NICOL</t>
  </si>
  <si>
    <t>valeriatose@unisabana.edu.co</t>
  </si>
  <si>
    <t>MEDINA SILVA NICOLAS</t>
  </si>
  <si>
    <t>nicolasmedsi@unisabana.edu.co</t>
  </si>
  <si>
    <t>GUTIERREZ RINCON CAROLINA PAOLA</t>
  </si>
  <si>
    <t>carolina.gutierrez@unisabana.edu.co</t>
  </si>
  <si>
    <t>LEON RODRIGUEZ CARLOS AUGUSTO</t>
  </si>
  <si>
    <t>carloslero@unisabana.edu.co</t>
  </si>
  <si>
    <t>MATEUS MOLINA CAMILO ANDRES</t>
  </si>
  <si>
    <t>camilomatmo@unisabana.edu.co</t>
  </si>
  <si>
    <t>JARAMILLO VILLEGAS CLAUDIA</t>
  </si>
  <si>
    <t>claudia.jaramillo@unisabana.edu.co</t>
  </si>
  <si>
    <t>VERA DELGADO DIANA CAROLINA</t>
  </si>
  <si>
    <t>dianavede@unisabana.edu.co</t>
  </si>
  <si>
    <t>Maestría en Gerencia Estratégica</t>
  </si>
  <si>
    <t>CAMACHO PEÑUELA ANDREA CRISTINA</t>
  </si>
  <si>
    <t>andreacape@unisabana.edu.co</t>
  </si>
  <si>
    <t>CASTAÑO BONILLA DANIEL FELIPE</t>
  </si>
  <si>
    <t>danielcasbo@unisabana.edu.co</t>
  </si>
  <si>
    <t>CASTRO DIAZ RODRIGO ANDRES</t>
  </si>
  <si>
    <t>rodrigocadi@unisabana.edu.co</t>
  </si>
  <si>
    <t>CASTRO RAMIREZ JAIME GUILLERMO</t>
  </si>
  <si>
    <t>jaimecara@unisabana.edu.co</t>
  </si>
  <si>
    <t>DIAZ ESCARPETA JUAN ANDRES</t>
  </si>
  <si>
    <t>juandiaesc@unisabana.edu.co</t>
  </si>
  <si>
    <t>ESQUIVEL RICO CARMEN ALICIA</t>
  </si>
  <si>
    <t>carmenesri@unisabana.edu.co</t>
  </si>
  <si>
    <t>ESTUPIÑAN LOZANO ANGIE SOFIA</t>
  </si>
  <si>
    <t>angieeslo@unisabana.edu.co</t>
  </si>
  <si>
    <t>FELICIANO ROJAS MONICA VIVIANA</t>
  </si>
  <si>
    <t>monicafero@unisabana.edu.co</t>
  </si>
  <si>
    <t>FERRER SUESCUN OMAR FRANCISCO</t>
  </si>
  <si>
    <t>omarfesu@unisabana.edu.co</t>
  </si>
  <si>
    <t>FONSECA MOLANO YENIFFER ALEXANDRA</t>
  </si>
  <si>
    <t>yenifferfomo@unisabana.edu.co</t>
  </si>
  <si>
    <t>FORERO APONTE ANDRES MAURICIO</t>
  </si>
  <si>
    <t>andresfoap@unisabana.edu.co</t>
  </si>
  <si>
    <t>GARCIA AMAYA KATHY ALEXANDRA</t>
  </si>
  <si>
    <t>kathygaam@unisabana.edu.co</t>
  </si>
  <si>
    <t>GONZALEZ MORA GERMAN ALFONSO</t>
  </si>
  <si>
    <t>german.gonzalez1@unisabana.edu.co</t>
  </si>
  <si>
    <t>GUZMAN ROJAS AURA CRISTINA</t>
  </si>
  <si>
    <t>auraguro@unisabana.edu.co</t>
  </si>
  <si>
    <t>HOYOS ARIAS LAURA VALENTINA</t>
  </si>
  <si>
    <t>laurahoar@unisabana.edu.co</t>
  </si>
  <si>
    <t>PACHON MALAVER DIEGO ALEXANDER</t>
  </si>
  <si>
    <t>diegopama@unisabana.edu.co</t>
  </si>
  <si>
    <t>PETRO PORTO DIEGO JOSE</t>
  </si>
  <si>
    <t>diegopepo@unisabana.edu.co</t>
  </si>
  <si>
    <t>PRADA RIAÑO WILMER ALEXANDER</t>
  </si>
  <si>
    <t>wilmer.prada@unisabana.edu.co</t>
  </si>
  <si>
    <t>RAMIREZ GALVES NORIDA</t>
  </si>
  <si>
    <t>noridaraga@unisabana.edu.co</t>
  </si>
  <si>
    <t>RAMIREZ RIAÑO GLADYS MADELEYM</t>
  </si>
  <si>
    <t>gladysrari@unisabana.edu.co</t>
  </si>
  <si>
    <t>ROMERO VEGA ANGELA JULIET</t>
  </si>
  <si>
    <t>angelaromve@unisabana.edu.co</t>
  </si>
  <si>
    <t>ROZO PARRA DAVID JOSEPH</t>
  </si>
  <si>
    <t>davidrozpa@unisabana.edu.co</t>
  </si>
  <si>
    <t>SERRANO MUSTAFA JORGE LUIS JAVIER</t>
  </si>
  <si>
    <t>jorgesemu@unisabana.edu.co</t>
  </si>
  <si>
    <t>SEPULVEDA TRIVIÑO LIZBETH</t>
  </si>
  <si>
    <t>lizbethseptr@unisabana.edu.co</t>
  </si>
  <si>
    <t>VARGAS SILVA CARLOS ALBERTO</t>
  </si>
  <si>
    <t>carlosvasi@unisabana.edu.co</t>
  </si>
  <si>
    <t>VILLABON AHUMADA WILSON</t>
  </si>
  <si>
    <t>wilsonviah@unisabana.edu.co</t>
  </si>
  <si>
    <t>ARIZA BERNAL LAURA CAMILA</t>
  </si>
  <si>
    <t>lauraarbe@unisabana.edu.co</t>
  </si>
  <si>
    <t>ALVAREZ CASTAÑEDA EDWIN</t>
  </si>
  <si>
    <t>edwinalca@unisabana.edu.co</t>
  </si>
  <si>
    <t>BARCELO ARIAS CESAR ALBERTO</t>
  </si>
  <si>
    <t>cesarbaar@unisabana.edu.co</t>
  </si>
  <si>
    <t>CAMELO MESA ANGELA JOHANNA</t>
  </si>
  <si>
    <t>angelacame@unisabana.edu.co</t>
  </si>
  <si>
    <t>CASAS BARRAGAN MONICA MARIA</t>
  </si>
  <si>
    <t>monicacasba@unisabana.edu.co</t>
  </si>
  <si>
    <t>CEPEDA GOMEZ ANDRES FELIPE</t>
  </si>
  <si>
    <t>andrescego@unisabana.edu.co</t>
  </si>
  <si>
    <t>CUELLAR PLAZA ANA MARIA</t>
  </si>
  <si>
    <t>anacupl@unisabana.edu.co</t>
  </si>
  <si>
    <t>GALEANO MESA JOSE ALEJANDRO</t>
  </si>
  <si>
    <t>josegame@unisabana.edu.co</t>
  </si>
  <si>
    <t>GALINDO ANGEL ANDRES FELIPE</t>
  </si>
  <si>
    <t>andresgaan@unisabana.edu.co</t>
  </si>
  <si>
    <t>GARCIA CASTAÑO YESSICA LORENA</t>
  </si>
  <si>
    <t>yessicagaca@unisabana.edu.co</t>
  </si>
  <si>
    <t>GOMEZ ALDANA LUIS DAVID</t>
  </si>
  <si>
    <t>luisgoal@unisabana.edu.co</t>
  </si>
  <si>
    <t>LOPEZ RIOS MARIA ALEJANDRA</t>
  </si>
  <si>
    <t>marialoperio@unisabana.edu.co</t>
  </si>
  <si>
    <t>MARTINEZ MANRIQUE SEBASTIAN EDUARDO</t>
  </si>
  <si>
    <t>sebastianmarma@unisabana.edu.co</t>
  </si>
  <si>
    <t>MARTINEZ PORRAS DUVAN FERNANDO</t>
  </si>
  <si>
    <t>duvanmapo@unisabana.edu.co</t>
  </si>
  <si>
    <t xml:space="preserve">MORENO MARTÍNEZ IVÁN LEONARDO </t>
  </si>
  <si>
    <t>MURCIA BRYAN LUZ CAROLINA</t>
  </si>
  <si>
    <t>carolina.murcia@unisabana.edu.co</t>
  </si>
  <si>
    <t>PINTO PIÑA DANIEL</t>
  </si>
  <si>
    <t>danielpinpi@unisabana.edu.co</t>
  </si>
  <si>
    <t>RAMIREZ PARRA PAULA</t>
  </si>
  <si>
    <t>paularapa@unisabana.edu.co</t>
  </si>
  <si>
    <t>ROJAS YENNY ALEXANDRA</t>
  </si>
  <si>
    <t>yennyroj@unisabana.edu.co</t>
  </si>
  <si>
    <t>RONDON CEPEDA FREDY ALEXANDER</t>
  </si>
  <si>
    <t>fredyroce@unisabana.edu.co</t>
  </si>
  <si>
    <t>SERPA PAEZ MONICA MARIA</t>
  </si>
  <si>
    <t>monicasepa@unisabana.edu.co</t>
  </si>
  <si>
    <t>SILVA RATIAGA DUVAN</t>
  </si>
  <si>
    <t>duvansiri@unisabana.edu.co</t>
  </si>
  <si>
    <t>VANEGAS MOLINA DANIEL ANDRES</t>
  </si>
  <si>
    <t>danielvamo@unisabana.edu.co</t>
  </si>
  <si>
    <t>Maestría en Gerencia de la Innovación</t>
  </si>
  <si>
    <t>BAHAMON LIEVANO SERGIO</t>
  </si>
  <si>
    <t>sergioba@unisabana.edu.co</t>
  </si>
  <si>
    <t>BALLEN SEPULVEDA MATEO</t>
  </si>
  <si>
    <t>mateobase@unisabana.edu.co</t>
  </si>
  <si>
    <t>CARVAJAL  CLAUDIA PATRICIA</t>
  </si>
  <si>
    <t>claudiacar@unisabana.edu.co</t>
  </si>
  <si>
    <t>CUEVAS CHIQUIZA JORGE IVAN</t>
  </si>
  <si>
    <t>jorgecuch@unisabana.edu.co</t>
  </si>
  <si>
    <t>DAZA URIBE VALENTINA</t>
  </si>
  <si>
    <t>valentinadaur@unisabana.edu.co</t>
  </si>
  <si>
    <t>GARCIA ISAZA EDGAR EDUARDO</t>
  </si>
  <si>
    <t>edgargaris@unisabana.edu.co</t>
  </si>
  <si>
    <t>LESMES MARTINEZ OSCAR MAURICIO</t>
  </si>
  <si>
    <t>oscarlema@unisabana.edu.co</t>
  </si>
  <si>
    <t>MARQUEZ CADAVID ALVARO ANTONIO DEL CARMEN</t>
  </si>
  <si>
    <t>alvaro.marquez@unisabana.edu.co</t>
  </si>
  <si>
    <t>MEDINA RODRIGUEZ PAULA JIMENA</t>
  </si>
  <si>
    <t>paulamedro@unisabana.edu.co</t>
  </si>
  <si>
    <t>MEDINA WINTACO WILBERT ANTONIO</t>
  </si>
  <si>
    <t>wilbertmewi@unisabana.edu.co</t>
  </si>
  <si>
    <t>MONTOYA BOTERO VALENTINA</t>
  </si>
  <si>
    <t>valentinamobo@unisabana.edu.co</t>
  </si>
  <si>
    <t>NIETO HENAO NATHALIA</t>
  </si>
  <si>
    <t>nathalianihe@unisabana.edu.co</t>
  </si>
  <si>
    <t>PRIETO BELTRAN LAURA TATIANA</t>
  </si>
  <si>
    <t>lauraprbe@unisabana.edu.co</t>
  </si>
  <si>
    <t>QUINTERO DURAN SERGIO ARTURO</t>
  </si>
  <si>
    <t>sergioqudu@unisabana.edu.co</t>
  </si>
  <si>
    <t>ROJAS RODRIGUEZ MAIRON DANILO</t>
  </si>
  <si>
    <t>maironroro@unisabana.edu.co</t>
  </si>
  <si>
    <t>SALGADO ROHNER JUAN CAMILO</t>
  </si>
  <si>
    <t>juansalroh@unisabana.edu.co</t>
  </si>
  <si>
    <t>AMAYA GIRALDO ANDRES IVAN</t>
  </si>
  <si>
    <t>andresamagi@unisabana.edu.co</t>
  </si>
  <si>
    <t>CASTRILLON MEDINA BRIAN RAMON</t>
  </si>
  <si>
    <t>briancame@unisabana.edu.co</t>
  </si>
  <si>
    <t>CASTRO OCAMPO PEDRO FELIPE</t>
  </si>
  <si>
    <t>pedrocaoc@unisabana.edu.co</t>
  </si>
  <si>
    <t>DE CASTRO SEGURA LUISA FERNANDA</t>
  </si>
  <si>
    <t>luisadeca@unisabana.edu.co</t>
  </si>
  <si>
    <t>JAIME OYOLA JOHN DAVID</t>
  </si>
  <si>
    <t>johnjaoy@unisabana.edu.co</t>
  </si>
  <si>
    <t>LOPEZ ALONSO ANGIE MELISSA</t>
  </si>
  <si>
    <t>angieloal@unisabana.edu.co</t>
  </si>
  <si>
    <t>MORALES LARA STEPHANY ALEXANDRA</t>
  </si>
  <si>
    <t>stephanymola@unisabana.edu.co</t>
  </si>
  <si>
    <t xml:space="preserve">MURCIA BELTRAN  ANATOLY </t>
  </si>
  <si>
    <t>anatolymube@unisabana.edu.co</t>
  </si>
  <si>
    <t>NIÑO ALFONSO IVAN DARIO</t>
  </si>
  <si>
    <t>ivannial@unisabana.edu.co</t>
  </si>
  <si>
    <t xml:space="preserve">ORTIZ ALARCON  STEFANIE </t>
  </si>
  <si>
    <t>stefanieoral@unisabana.edu.co</t>
  </si>
  <si>
    <t>PEREZ MONCADA LUIS ENRIQUE</t>
  </si>
  <si>
    <t>luispermo@unisabana.edu.co</t>
  </si>
  <si>
    <t>RAMIREZ DEANTONIO KAREN DAYANNA</t>
  </si>
  <si>
    <t>karenrade@unisabana.edu.co</t>
  </si>
  <si>
    <t>RINCON LOPEZ DIEGO ANDRES</t>
  </si>
  <si>
    <t>diegorilo@unisabana.edu.co</t>
  </si>
  <si>
    <t>SANDOVAL SANDOVAL ANDRES OLIVERIO</t>
  </si>
  <si>
    <t>andressansa@unisabana.edu.co</t>
  </si>
  <si>
    <t>SIERRA PUERTO LAURA LILIANA</t>
  </si>
  <si>
    <t>laurasipu@unisabana.edu.co</t>
  </si>
  <si>
    <t>SORZA RODRIGUEZ LINA PAOLA</t>
  </si>
  <si>
    <t>linasoro@unisabana.edu.co</t>
  </si>
  <si>
    <t>TORRES MORA LILIANA MARCELA</t>
  </si>
  <si>
    <t>lilianatomo@unisabana.edu.co</t>
  </si>
  <si>
    <t>VILLAMIZAR ECHEVERRI JUAN PABLO</t>
  </si>
  <si>
    <t>juan.villamizar3@unisabana.edu.co</t>
  </si>
  <si>
    <t>MARROQUIN PIÑEROS YISSETH ALEXANDRA</t>
  </si>
  <si>
    <t>yisseth.marroquin@gmail.com</t>
  </si>
  <si>
    <t>CORREA MATALLANA JUAN SEBASTIAN</t>
  </si>
  <si>
    <t>JUANCORMAT@UNISABANA.EDU.CO</t>
  </si>
  <si>
    <t>DIAZ BERNAL SANTIAGO</t>
  </si>
  <si>
    <t>SANTIAGODIBE@UNISABANA.EDU.CO</t>
  </si>
  <si>
    <t>ROCHA   BREYNER LEANDRO</t>
  </si>
  <si>
    <t>BREYNERLEANDROROCHA@GMAIL.COM</t>
  </si>
  <si>
    <t>BARCENAS GIRALDO PAULA SOFIA</t>
  </si>
  <si>
    <t>PAULABAGI@UNISABANA.EDU.CO</t>
  </si>
  <si>
    <t>MORENO VASQUEZ JUAN PABLO</t>
  </si>
  <si>
    <t>jpm203562@gmail.com</t>
  </si>
  <si>
    <t>SILVA VARGAS MARIA CATALINA</t>
  </si>
  <si>
    <t>MACATALINASIL2@GMAIL.COM</t>
  </si>
  <si>
    <t>POLO CARDOZO JESUS GABRIEL</t>
  </si>
  <si>
    <t>JESUSGPC01@HOTMAIL.COM</t>
  </si>
  <si>
    <t>SIERRA PARRA MARIA ALEJANDRA</t>
  </si>
  <si>
    <t>MARIA.ALEE14@HOTMAIL.COM</t>
  </si>
  <si>
    <t>CHAPARRO TRIANA DIANA CATALINA</t>
  </si>
  <si>
    <t>DIANA.CHAPARROT@GMAIL.COM</t>
  </si>
  <si>
    <t>CASTILLO CIFUENTES LUZ ADRIANA</t>
  </si>
  <si>
    <t>LCASTIL93707@UNIVERSIDADEAN.EDU.CO</t>
  </si>
  <si>
    <t>MOSQUERA LOZANO JOSE DAVID</t>
  </si>
  <si>
    <t>JOSED.MOSQUERAL@OUTLOOK.COM</t>
  </si>
  <si>
    <t>ROJAS CORTES JUANITA</t>
  </si>
  <si>
    <t>rojas.juanene@gmail.com</t>
  </si>
  <si>
    <t>SANCHEZ GAITAN JESUS CAMILO</t>
  </si>
  <si>
    <t>jesussaga@unisabana.edu.co</t>
  </si>
  <si>
    <t>LONDOÑO CASTRELLON GYSELTH ANDREA</t>
  </si>
  <si>
    <t>ING.ANDREALONDONO@GMAIL.COM</t>
  </si>
  <si>
    <t>CASTRO MURCIA HERNAN DAVID</t>
  </si>
  <si>
    <t>HERNANCAMU@UNISABANA.EDU.CO</t>
  </si>
  <si>
    <t>VARGAS HERNANDEZ VALENTINA</t>
  </si>
  <si>
    <t>VALENTINAVARGASHERNANDEZ48@GMAIL.COM</t>
  </si>
  <si>
    <t>RUIZ NARANJO ANA MARIA</t>
  </si>
  <si>
    <t>ana.ruiz.naranjo@hotmail.es</t>
  </si>
  <si>
    <t>HERNANDEZ MENCO DAVID JOSE</t>
  </si>
  <si>
    <t>MOTTA ORTIZ JOHN JR</t>
  </si>
  <si>
    <t>JOHNMOOR@UNISABANA.EDU.CO</t>
  </si>
  <si>
    <t>RODRIGUEZ GARZON OSCAR TOMAS</t>
  </si>
  <si>
    <t>oscarrodga@unisabana.edu.co</t>
  </si>
  <si>
    <t>YARA TOVAR SANTIAGO</t>
  </si>
  <si>
    <t>SANTIAGOYATO@UNISABANA.EDU.CO</t>
  </si>
  <si>
    <t>MORA ZARATE JUAN ESTEBAN</t>
  </si>
  <si>
    <t>JUANES-MORA@LIVE.COM</t>
  </si>
  <si>
    <t>BELTRAN ZAMBRANO WILMER JAIR</t>
  </si>
  <si>
    <t>JAIRBELTR@GMAIL.COM</t>
  </si>
  <si>
    <t>RAMIREZ DURAN YESIKA BIVIANA</t>
  </si>
  <si>
    <t>JESICABIVIANA9@GMAIL.COM</t>
  </si>
  <si>
    <t>VELANDIA TELLEZ JULIANA</t>
  </si>
  <si>
    <t>JULIANAVELANDIATELLEZ@OUTLOOK.COM</t>
  </si>
  <si>
    <t>ARANDIA VERA MARIANA</t>
  </si>
  <si>
    <t>MARIANAARVE@UNISABANA.EDU.CO</t>
  </si>
  <si>
    <t>ARAGON MORALES MARIA FERNANDA</t>
  </si>
  <si>
    <t>ARAGONM.MF@GMAIL.COM</t>
  </si>
  <si>
    <t>Maestría en Lingüística Panhispánica</t>
  </si>
  <si>
    <t>Lewis Manuel Acosta</t>
  </si>
  <si>
    <t>lewisacpe@unisabana.edu.co</t>
  </si>
  <si>
    <t>Jairo René García Ramos</t>
  </si>
  <si>
    <t>jairogara@unisabana.edu.co</t>
  </si>
  <si>
    <t>Rubén Darío Neira Hurtado</t>
  </si>
  <si>
    <t>rubennehu@unisabana.edu.co</t>
  </si>
  <si>
    <t>Mariluz Paiba Medina</t>
  </si>
  <si>
    <t>mariluzpame@unisabana.edu.co</t>
  </si>
  <si>
    <t>Néstor Fernando Prieto Rojas</t>
  </si>
  <si>
    <t>nestorprro@unisabana.edu.co</t>
  </si>
  <si>
    <t>AGUILAR RETAMOZO, ADALGIZA ALMERYS</t>
  </si>
  <si>
    <t>adalgizaagre@unisabana.edu.co</t>
  </si>
  <si>
    <t>ALEAN RODRIGUEZ, FERNANDO ENRIQUE</t>
  </si>
  <si>
    <t>fernandoalro@unisabana.edu.co</t>
  </si>
  <si>
    <t>ALMANZA AVILEZ, LUIS FELIPE</t>
  </si>
  <si>
    <t>luisalav@unisabana.edu.co</t>
  </si>
  <si>
    <t>BASTO SANCHEZ, YANETH</t>
  </si>
  <si>
    <t>yanethbasa@unisabana.edu.co</t>
  </si>
  <si>
    <t>BOLIVAR SEVERICHE, GIOVANNA ANDREA</t>
  </si>
  <si>
    <t>giovannabose@unisabana.edu.co</t>
  </si>
  <si>
    <t>BORJA GALVIS, REINALDO</t>
  </si>
  <si>
    <t>reinaldoboga@unisabana.edu.co</t>
  </si>
  <si>
    <t>BRAVO LOPEZ, MANUEL</t>
  </si>
  <si>
    <t>manuelbralo@unisabana.edu.co</t>
  </si>
  <si>
    <t>CANDANOZA CUESTA, GUSTAVO ADOLFO</t>
  </si>
  <si>
    <t>gustavocacu@unisabana.edu.co</t>
  </si>
  <si>
    <t>CARDENAS PALACIO, ADYS MOISES</t>
  </si>
  <si>
    <t>adyscarpa@unisabana.edu.co</t>
  </si>
  <si>
    <t>CASTILLO MARIN, FABIO CESAR</t>
  </si>
  <si>
    <t>fabiocasma@unisabana.edu.co</t>
  </si>
  <si>
    <t>CUELLAR SANCHEZ, ADRIANA ALEJANDRA</t>
  </si>
  <si>
    <t>adrianacusa@unisabana.edu.co</t>
  </si>
  <si>
    <t>DONISABE MOYA, GERMAN</t>
  </si>
  <si>
    <t>germandomo@unisabana.edu.co</t>
  </si>
  <si>
    <t>EMBUS JULIAN, HILDA</t>
  </si>
  <si>
    <t>hildaemju@unisabana.edu.co</t>
  </si>
  <si>
    <t>FERNANDEZ RONDON, LUZ MERY</t>
  </si>
  <si>
    <t>luzfero@unisabana.edu.co</t>
  </si>
  <si>
    <t>GOMEZ CAMACHO, JOSE MANUEL</t>
  </si>
  <si>
    <t>josegomca@unisabana.edu.co</t>
  </si>
  <si>
    <t>GUERRERO ORTIZ, ADRIANA MARIA</t>
  </si>
  <si>
    <t>adrianaguor@unisabana.edu.co</t>
  </si>
  <si>
    <t>GUTIERREZ JARAMILLO, KARINA ZULEIMA</t>
  </si>
  <si>
    <t>karinaguja@unisabana.edu.co</t>
  </si>
  <si>
    <t>HERRERA PEREZ, MERCEDES ESTHER</t>
  </si>
  <si>
    <t>mercedeshepe@unisabana.edu.co</t>
  </si>
  <si>
    <t>MARTINEZ DIAZ, NUBIA MERCEDES</t>
  </si>
  <si>
    <t>nubiamadi@unisabana.edu.co</t>
  </si>
  <si>
    <t>MARTINEZ WAGNER, JENNY CAROLINA</t>
  </si>
  <si>
    <t>jennymawa@unisabana.edu.co</t>
  </si>
  <si>
    <t>MIRANDA VARGAS, MARY LUZ</t>
  </si>
  <si>
    <t>marymiva@unisabana.edu.co</t>
  </si>
  <si>
    <t>MUÑOZ BARANDICA, LUIS ALBERTO</t>
  </si>
  <si>
    <t>luismuba@unisabana.edu.co</t>
  </si>
  <si>
    <t>PETE HUITASCUE, CARLINA YOVANA</t>
  </si>
  <si>
    <t>carlinapehu@unisabana.edu.co</t>
  </si>
  <si>
    <t>PINEROS ASTROS, LUZ MIREYA</t>
  </si>
  <si>
    <t>luzpias@unisabana.edu.co</t>
  </si>
  <si>
    <t>PRIOLO ARROYO, PIEDAD</t>
  </si>
  <si>
    <t>piedadprar@unisabana.edu.co</t>
  </si>
  <si>
    <t>RINCON RODRIGUEZ, NATALIA MARCELA</t>
  </si>
  <si>
    <t>nataliariro@unisabana.edu.co</t>
  </si>
  <si>
    <t>RODRIGUEZ SOTO, DIEGO FERNANDO</t>
  </si>
  <si>
    <t>diegoroso@unisabana.edu.co</t>
  </si>
  <si>
    <t>SANCHEZ DICUE, EMILCE AMPARO</t>
  </si>
  <si>
    <t>emilcesadi@unisabana.edu.co</t>
  </si>
  <si>
    <t>SUAREZ ALVAREZ, JOSE AMIN</t>
  </si>
  <si>
    <t>josesual@unisabana.edu.co</t>
  </si>
  <si>
    <t>TUNUBALA TUNUBALA, LUZ MARILIN</t>
  </si>
  <si>
    <t>luztutu@unisabana.edu.co</t>
  </si>
  <si>
    <t>VALENCIA CASTAÑO, SOFIA</t>
  </si>
  <si>
    <t>sofiavalca@unisabana.edu.co</t>
  </si>
  <si>
    <t>VALLECILLA PALACIO, MARYURY</t>
  </si>
  <si>
    <t>maryuryvapa@unisabana.edu.co</t>
  </si>
  <si>
    <t>VASQUEZ RESTREPO, LUZ DARY</t>
  </si>
  <si>
    <t>luzvare@unisabana.edu.co</t>
  </si>
  <si>
    <t>VERGARA SUAREZ, RENE ANTONIO</t>
  </si>
  <si>
    <t>renevesu@unisabana.edu.co</t>
  </si>
  <si>
    <t>BARRERA EGOCHEAGA, ALAN ALBERTO</t>
  </si>
  <si>
    <t>alanbaeg@unisabana.edu.co</t>
  </si>
  <si>
    <t>CAMPO PAREDES, ANDRES FELIPE</t>
  </si>
  <si>
    <t>andrescampa@unisabana.edu.co</t>
  </si>
  <si>
    <t>CATAÑO GARCIA, GLORIA MARCELA</t>
  </si>
  <si>
    <t>gloriacatga@unisabana.edu.co</t>
  </si>
  <si>
    <t>CORTES QUEVEDO, SUSANA XIMENA</t>
  </si>
  <si>
    <t>susanacoqu@unisabana.edu.co</t>
  </si>
  <si>
    <t>GARCIA HERNANDEZ, GINY ANGELICA</t>
  </si>
  <si>
    <t>ginygahe@unisabana.edu.co</t>
  </si>
  <si>
    <t>GARCIA RAMOS, JAIRO RENE</t>
  </si>
  <si>
    <t>MANJARRES LARA, YULIETH MARIA</t>
  </si>
  <si>
    <t>yuliethmanla@unisabana.edu.co</t>
  </si>
  <si>
    <t>MOSQUERA GUEVARA, ANA MARIA</t>
  </si>
  <si>
    <t>anamosgu@unisabana.edu.co</t>
  </si>
  <si>
    <t>NEIRA HURTADO, RUBEN DARIO</t>
  </si>
  <si>
    <t>PAIBA MEDINA, MARILUZ</t>
  </si>
  <si>
    <t>PRIETO ROJAS, NESTOR FERNANDO</t>
  </si>
  <si>
    <t>ROJAS SIERRA, JOHANA</t>
  </si>
  <si>
    <t>johanarosi@unisabana.edu.co</t>
  </si>
  <si>
    <t>RUIZ ARIZA, JHOJAN DARIO</t>
  </si>
  <si>
    <t>jhojanruar@unisabana.edu.co</t>
  </si>
  <si>
    <t>SALAS PRIAS, MIGUEL ANGEL</t>
  </si>
  <si>
    <t>miguelsapr@unisabana.edu.co</t>
  </si>
  <si>
    <t>SHEEKS  , ANDREA ISABELLA</t>
  </si>
  <si>
    <t>andreash@unisabana.edu.co</t>
  </si>
  <si>
    <t>TORO HERNANDEZ, JEIMMI TATIANA</t>
  </si>
  <si>
    <t>jeimmitohe@unisabana.edu.co</t>
  </si>
  <si>
    <t>VEGA ROMERO, ANDRES FELIPE</t>
  </si>
  <si>
    <t>andresvegro@unisabana.edu.co</t>
  </si>
  <si>
    <t>VELASQUEZ ALVAREZ, LUISA CAMILA</t>
  </si>
  <si>
    <t>luisavelalv@unisabana.edu.co</t>
  </si>
  <si>
    <t>ZAMBRANO ARCINIEGAS, EFRAIN CAMILO</t>
  </si>
  <si>
    <t>efrainzaar@unisabana.edu.co</t>
  </si>
  <si>
    <t>ZULUAGA CHAVES, MARIA ANGELICA</t>
  </si>
  <si>
    <t>mariazuch@unisabana.edu.co</t>
  </si>
  <si>
    <t>Juan Carlos Beltrán Martínez</t>
  </si>
  <si>
    <t>juanbeltmar@unisabana.edu.co</t>
  </si>
  <si>
    <t>Edgar Camilo Diaz Cabitiva</t>
  </si>
  <si>
    <t>edgardica@unisabana.edu.co</t>
  </si>
  <si>
    <t>María Paula Morales González</t>
  </si>
  <si>
    <t>mariamorgon@unisabana.edu.co</t>
  </si>
  <si>
    <t>Dirsa Maria Feliciano Aguirre</t>
  </si>
  <si>
    <t>dirsafeag@unisabana.edu.co</t>
  </si>
  <si>
    <t>Edwin Alberto Bulla Pereira</t>
  </si>
  <si>
    <t>edwinbupe@unisabana.edu.co</t>
  </si>
  <si>
    <t>Adrian Jose Martinez Ojeda</t>
  </si>
  <si>
    <t>adrianmaroj@unisabana.edu.co</t>
  </si>
  <si>
    <t>Jairo Enrique Rubiano Torres</t>
  </si>
  <si>
    <t>jairorubto@unisabana.edu.co</t>
  </si>
  <si>
    <t>Katherine Susana Guzman Ordoñez</t>
  </si>
  <si>
    <t>katherineguor@unisabana.edu.co</t>
  </si>
  <si>
    <t>Alvaro Ervey Pulido Aponte</t>
  </si>
  <si>
    <t>alvaropulap@unisabana.edu.co</t>
  </si>
  <si>
    <t>Luis Fernando Caballero Castro</t>
  </si>
  <si>
    <t>luiscabcas@unisabana.edu.co</t>
  </si>
  <si>
    <t>Jenny Armely Rodriguez Quiñonez</t>
  </si>
  <si>
    <t>jennyrodqu@unisabana.edu.co</t>
  </si>
  <si>
    <t>Marcelo Javier Sotaminga Cinilin</t>
  </si>
  <si>
    <t>marcelosoci@unisabana.edu.co</t>
  </si>
  <si>
    <t>Jose Luis Rangel Munoz</t>
  </si>
  <si>
    <t>joseramu@unisabana.edu.co</t>
  </si>
  <si>
    <t>Maria Alejandra Cuevas Rivera</t>
  </si>
  <si>
    <t>MariaCuRi@unisabana.edu.co</t>
  </si>
  <si>
    <t>ESPECIALIZACIÓN EN FINANZAS CORPORATIVAS - CHÍA</t>
  </si>
  <si>
    <t>ANGELA MARCELA RINCON LEGUIZAMON</t>
  </si>
  <si>
    <t>angelarile@unisabana.edu.co</t>
  </si>
  <si>
    <t>ANGIE KATERIN RAMOS CLAVIJO</t>
  </si>
  <si>
    <t>angieracl@unisabana.edu.co</t>
  </si>
  <si>
    <t>ANGIE YULIETH GAVIRIA POVEDA</t>
  </si>
  <si>
    <t>angiegapo@unisabana.edu.co</t>
  </si>
  <si>
    <t>BRIYITH ZAMARA QUINA DAVID</t>
  </si>
  <si>
    <t>briyithquda@unisabana.edu.co</t>
  </si>
  <si>
    <t>DIANA MARCELA MORENO PINILLA</t>
  </si>
  <si>
    <t>dianamopi@unisabana.edu.co</t>
  </si>
  <si>
    <t>JAIME ANDRES PULECIO VILLAMIL</t>
  </si>
  <si>
    <t>jaimepuvi@unisabana.edu.co</t>
  </si>
  <si>
    <t>JUAN CAMILO MEJIA RODRIGUEZ</t>
  </si>
  <si>
    <t>juanmejro@unisabana.edu.co</t>
  </si>
  <si>
    <t>LEIDY TATIANA MORENO BURBANO</t>
  </si>
  <si>
    <t>leidymobu@unisabana.edu.co</t>
  </si>
  <si>
    <t>LINA VANESSA RUIZ GUTIERREZ</t>
  </si>
  <si>
    <t>linarugu@unisabana.edu.co</t>
  </si>
  <si>
    <t>LUIS ALBERTO ARIAS GONZALEZ</t>
  </si>
  <si>
    <t>luisarigo@unisabana.edu.co</t>
  </si>
  <si>
    <t>LUIS FELIPE OSORIO NARANJO</t>
  </si>
  <si>
    <t>luisosna@unisabana.edu.co</t>
  </si>
  <si>
    <t>MARIA PAULA OVIEDO RUBIANO</t>
  </si>
  <si>
    <t>mariaovru@unisabana.edu.co</t>
  </si>
  <si>
    <t>NUBIA ESPERANZA BERNAL CAPOTE</t>
  </si>
  <si>
    <t>nubiabeca@unisabana.edu.co</t>
  </si>
  <si>
    <t>NUBIA JINNETH ALBORNOZ HERNANDEZ</t>
  </si>
  <si>
    <t>nubiaalhe@unisabana.edu.co</t>
  </si>
  <si>
    <t>NURY CONSTANZA AREVALO DIAZ</t>
  </si>
  <si>
    <t>nuryardi@unisabana.edu.co</t>
  </si>
  <si>
    <t>ALEXANDER   GUTIERREZ CHAPARRO</t>
  </si>
  <si>
    <t>alexanderguch@unisabana.edu.co</t>
  </si>
  <si>
    <t>DAVID ALBERTO OSPICIO BALLESTEROS</t>
  </si>
  <si>
    <t>davidospba@unisabana.edu.co</t>
  </si>
  <si>
    <t>DIEGO ARMANDO LIMA ARIZA</t>
  </si>
  <si>
    <t>diegoliar@unisabana.edu.co</t>
  </si>
  <si>
    <t>EDISON JADIRT FAJARDO SUESCA</t>
  </si>
  <si>
    <t>edisonfasu@unisabana.edu.co</t>
  </si>
  <si>
    <t>FERNANDA MILENA PLAZAS CASTRO</t>
  </si>
  <si>
    <t>fernandaplca@unisabana.edu.co</t>
  </si>
  <si>
    <t>GINNA CAMILA BARRERA BEJARANO</t>
  </si>
  <si>
    <t>ginnabarbe@unisabana.edu.co</t>
  </si>
  <si>
    <t>JHONATTAN RODRIGO HORMAZA GALVIS</t>
  </si>
  <si>
    <t>jhonattanhoga@unisabana.edu.co</t>
  </si>
  <si>
    <t>JOSE EFRAIN CRISTANCHO RODRIGUEZ</t>
  </si>
  <si>
    <t>josecrro@unisabana.edu.co</t>
  </si>
  <si>
    <t>KAROL YURANI GONZALEZ PINEDA</t>
  </si>
  <si>
    <t>karolgopi@unisabana.edu.co</t>
  </si>
  <si>
    <t>LUIS HERNAN GOMEZ ARDILA</t>
  </si>
  <si>
    <t>luisgomar@unisabana.edu.co</t>
  </si>
  <si>
    <t>LUZ NIDIA BORDA OLIVEROS</t>
  </si>
  <si>
    <t>luzbool@unisabana.edu.co</t>
  </si>
  <si>
    <t>MARIA CAMILA MANRIQUE PACHON</t>
  </si>
  <si>
    <t>mariamanp@unisabana.edu.co</t>
  </si>
  <si>
    <t>MARIA FERNANDA OVALLE BELTRAN</t>
  </si>
  <si>
    <t>mariaovabe@unisabana.edu.co</t>
  </si>
  <si>
    <t>ADRIANA YASMIN MONTANO JULIO</t>
  </si>
  <si>
    <t>adrianamoju@unisabana.edu.co</t>
  </si>
  <si>
    <t>ALEXANDRA   RAMIREZ LEON</t>
  </si>
  <si>
    <t>dianarale@unisabana.edu.co</t>
  </si>
  <si>
    <t>ANGIE PAOLA MARTINEZ LEON</t>
  </si>
  <si>
    <t>angiemarle@unisabana.edu.co</t>
  </si>
  <si>
    <t>CHRISTIE KATHERINE HINCAPIE AVILA</t>
  </si>
  <si>
    <t>christiehiav@unisabana.edu.co</t>
  </si>
  <si>
    <t>CLAUDIA MARCELA LIÑAN CRUZ</t>
  </si>
  <si>
    <t>claudialicr@unisabana.edu.co</t>
  </si>
  <si>
    <t>CRISTHIAN JAVIER ACOSTA DIAZ</t>
  </si>
  <si>
    <t>cristhianacdi@unisabana.edu.co</t>
  </si>
  <si>
    <t>DAVID GUSTAVO FERNANDEZ VARGAS</t>
  </si>
  <si>
    <t>davidferva@unisabana.edu.co</t>
  </si>
  <si>
    <t>ELIZABETH   CORTES SIERRA</t>
  </si>
  <si>
    <t>elizabethcosi@unisabana.edu.co</t>
  </si>
  <si>
    <t>GEIMNIR YAZMIN LOPEZ ROZO</t>
  </si>
  <si>
    <t>geimnirloproz@unisabana.edu.co</t>
  </si>
  <si>
    <t>HERNAN ANDRES MORENO CAMARGO</t>
  </si>
  <si>
    <t>hernanmoc@unisabana.edu.co</t>
  </si>
  <si>
    <t>ISABELA   MONTOYA CORREA</t>
  </si>
  <si>
    <t>isabelamonco@unisabana.edu.co</t>
  </si>
  <si>
    <t>JENNIFER PAOLA BARROS SARMIENTO</t>
  </si>
  <si>
    <t>jenniferbasa@unisabana.edu.co</t>
  </si>
  <si>
    <t>JORGE ANDRES MARIN RODRIGUEZ</t>
  </si>
  <si>
    <t>jorgemaro@unisabana.edu.co</t>
  </si>
  <si>
    <t>JUAN FERNANDO GOMEZ GARZON</t>
  </si>
  <si>
    <t>juangomgar@unisabana.edu.co</t>
  </si>
  <si>
    <t>JUAN JOSE FERNANDEZ CALDERON</t>
  </si>
  <si>
    <t>juanferca@unisabana.edu.co</t>
  </si>
  <si>
    <t>JUAN SEBASTIAN BLANCO GONZALEZ</t>
  </si>
  <si>
    <t>juanblgo@unisabana.edu.co</t>
  </si>
  <si>
    <t>JULIAN ENRIQUE RIVERA MAYORGA</t>
  </si>
  <si>
    <t>julianrima@unisabana.edu.co</t>
  </si>
  <si>
    <t>KATERIN ANDREWA PEÑUELA LOPEZ</t>
  </si>
  <si>
    <t>katerinpenlo@unisabana.edu.co</t>
  </si>
  <si>
    <t>LEIDY YULIANA ZAMORA GIRALDO</t>
  </si>
  <si>
    <t>leidyzagi@unisabana.edu.co</t>
  </si>
  <si>
    <t>LUISA ALEJANDRA SANCHEZ ARENAS</t>
  </si>
  <si>
    <t>luisasaar@unisabana.edu.co</t>
  </si>
  <si>
    <t>MARIA CAMILA CORDOBA CHICA</t>
  </si>
  <si>
    <t>mariacorch@unisabana.edu.co</t>
  </si>
  <si>
    <t>MARIA PAULA OSUNA LOPEZ</t>
  </si>
  <si>
    <t>mariaosulo@unisabana.edu.co</t>
  </si>
  <si>
    <t>MONICA PAOLA MORA HERNANDEZ</t>
  </si>
  <si>
    <t xml:space="preserve">monicamohe@unisabana.edu.co </t>
  </si>
  <si>
    <t>SANDRA LOPEZ GIL</t>
  </si>
  <si>
    <t>sandralogi@unisabana.edu.co</t>
  </si>
  <si>
    <t>SEBASTIAN FELIPE CARDOZO PUENTES</t>
  </si>
  <si>
    <t>sebastiancapu@unisabana.edu.co</t>
  </si>
  <si>
    <t>WILLIAM DAVID CUITIVA MONT</t>
  </si>
  <si>
    <t>williamcumo@unisabana.edu.co</t>
  </si>
  <si>
    <t>WILSON MATEO JIMENEZ LOPEZ</t>
  </si>
  <si>
    <t>wilsonjilo@unisabana.edu.co</t>
  </si>
  <si>
    <t>JORGE MANUEL VARGAS IBAÑEZ</t>
  </si>
  <si>
    <t>jorgevarib@unisabana.edu.co</t>
  </si>
  <si>
    <t>ANDRES MAURICIO CHARRY BORRERO</t>
  </si>
  <si>
    <t>andreschbo@unisabana.edu.co</t>
  </si>
  <si>
    <t>DANIEL CAMILO VELANDIA CASTRO</t>
  </si>
  <si>
    <t>danielvelcas@unisabana.edu.co</t>
  </si>
  <si>
    <t>DAVID ANDRES PAZ SILVA</t>
  </si>
  <si>
    <t>david.paz@unisabana.edu.co</t>
  </si>
  <si>
    <t>DIANA MARCELA DIAZ DELGADO</t>
  </si>
  <si>
    <t>dianadide@unisabana.edu.co</t>
  </si>
  <si>
    <t>DIEGO FERNANDO VELANDIA ROJAS</t>
  </si>
  <si>
    <t>diegovero@unisabana.edu.co</t>
  </si>
  <si>
    <t>FELIPE ANDRES RODRIGUEZ POVEDA</t>
  </si>
  <si>
    <t>feliperopo@unisabana.edu.co</t>
  </si>
  <si>
    <t>JHON ALEXANDER MENESES CASTILLO</t>
  </si>
  <si>
    <t>jhonmeca@unisabana.edu.co</t>
  </si>
  <si>
    <t>LAURA ANDREA HUERTAS ESLAVA</t>
  </si>
  <si>
    <t>laurahues@unisabana.edu.co</t>
  </si>
  <si>
    <t>NESTOR JULIAN CUELLAR BARRETO</t>
  </si>
  <si>
    <t>nestorcuba@unisabana.edu.co</t>
  </si>
  <si>
    <t>PAULA ANDREA CARRILLO GRANADOS</t>
  </si>
  <si>
    <t>paulacargra@unisabana.edu.co</t>
  </si>
  <si>
    <t>SHARON ELIZABETH CARO MONROY</t>
  </si>
  <si>
    <t>sharoncamo@unisabana.edu.co</t>
  </si>
  <si>
    <t>SIMON   SALCEDO ESTUPIÑAN</t>
  </si>
  <si>
    <t>simonsaes@unisabana.edu.co</t>
  </si>
  <si>
    <t>YAMILE ANDREA MILLAN APONTE</t>
  </si>
  <si>
    <t>yamilemiap@unisabana.edu.co</t>
  </si>
  <si>
    <t>DANIEL ORLANDO OSORIO PRADA</t>
  </si>
  <si>
    <t>danielospr@unisabana.edu.co</t>
  </si>
  <si>
    <t>DAVID ORLANDO QUINTERO MEDELLIN</t>
  </si>
  <si>
    <t>davidqume@unisabana.edu.co</t>
  </si>
  <si>
    <t>FRANCY JOHANA CARDENAS MACIAS</t>
  </si>
  <si>
    <t>francycarma@unisabana.edu.co</t>
  </si>
  <si>
    <t>GABRIEL ANTONIO ROUX VALLARINO</t>
  </si>
  <si>
    <t>gabrielrova@unisabana.edu.co</t>
  </si>
  <si>
    <t>JULIAN GUTIERREZ ALDANA</t>
  </si>
  <si>
    <t>Juliangual@unisabana.edu.co</t>
  </si>
  <si>
    <t>MARIA CAMILA MALDONADO PINZON</t>
  </si>
  <si>
    <t>mariamalpi@unisabana.edu.co</t>
  </si>
  <si>
    <t>YAZMIN NATALIA RIVERA BRICEÑO</t>
  </si>
  <si>
    <t>yazminribr@unisabana.edu.co</t>
  </si>
  <si>
    <t>ADRIANA CRISTINA PINILLA TORRES</t>
  </si>
  <si>
    <t>adrianapinto@unisabana.edu.co</t>
  </si>
  <si>
    <t>ANA CATALINA BOLIVAR LOPEZ</t>
  </si>
  <si>
    <t>anabolo@unisabana.edu.co</t>
  </si>
  <si>
    <t>ANGIE CAROLINA ORTIZ OCHOA</t>
  </si>
  <si>
    <t>angieoroc@unisabana.edu.co</t>
  </si>
  <si>
    <t>ANGIE DAYANNA DIAZ GELVEZ</t>
  </si>
  <si>
    <t>angiedige@unisabana.edu.co</t>
  </si>
  <si>
    <t>ANTONIO JOSE TORREGROSA MARENCO</t>
  </si>
  <si>
    <t>antoniotoma@unisabana.edu.co</t>
  </si>
  <si>
    <t>BARBARA JULIANA ROJAS GARZON</t>
  </si>
  <si>
    <t>barbararoga@unisabana.edu.co</t>
  </si>
  <si>
    <t>CARLOS DARIO SILVA GOMEZ</t>
  </si>
  <si>
    <t>carlossigo@unisabana.edu.co</t>
  </si>
  <si>
    <t>DAVID FELIPE RUIZ RODRIGUEZ</t>
  </si>
  <si>
    <t>davidruro@unisabana.edu.co</t>
  </si>
  <si>
    <t>EDWIN JOHJAN QUIROGA GUERRERO</t>
  </si>
  <si>
    <t>edwinqugu@unisabana.edu.co</t>
  </si>
  <si>
    <t>GERMAN GABRIEL BERNAL DUQUE</t>
  </si>
  <si>
    <t>germanbedu@unisabana.edu.co</t>
  </si>
  <si>
    <t>GINO ALESSANDRO SANTOS ROZO</t>
  </si>
  <si>
    <t>ginosaro@unisabana.edu.co</t>
  </si>
  <si>
    <t>JENNY CONSTANZA PINILLA TORRES</t>
  </si>
  <si>
    <t>jennypinto@unisabana.edu.co</t>
  </si>
  <si>
    <t>JENNY KATERINE USSA RUIZ</t>
  </si>
  <si>
    <t>jennyusru@unisabana.edu.co</t>
  </si>
  <si>
    <t>JHONATAN LISANDRO ESPINOSA MESA</t>
  </si>
  <si>
    <t>jhonatanesme@unisabana.edu.co</t>
  </si>
  <si>
    <t>JOHN FREDY GUALTEROS ARENAS</t>
  </si>
  <si>
    <t>johnguar@unisabana.edu.co</t>
  </si>
  <si>
    <t>JOSE ALFREDO MOQUE PALOMINO</t>
  </si>
  <si>
    <t>josemoqpa@unisabana.edu.co</t>
  </si>
  <si>
    <t>JUAN SEBASTIAN BONILLA MOJICA</t>
  </si>
  <si>
    <t>juanbonmo@unisabana.edu.co</t>
  </si>
  <si>
    <t>KEVIN MANUEL SUSUNAGA RIVEROS</t>
  </si>
  <si>
    <t>kevinsuri@unisabana.edu.co</t>
  </si>
  <si>
    <t>LAURA ALEJANDRA LOPEZ SANCHEZ</t>
  </si>
  <si>
    <t>lauralopsa@unisabana.edu.co</t>
  </si>
  <si>
    <t>LUIS CARLOS CUESTA RUGE</t>
  </si>
  <si>
    <t>luiscuru@unisabana.edu.co</t>
  </si>
  <si>
    <t>MELISSA   SANCHEZ CELIS</t>
  </si>
  <si>
    <t>melissasace@unisabana.edu.co</t>
  </si>
  <si>
    <t>MONICA ANDREA ROCHA ROCHA</t>
  </si>
  <si>
    <t>monicarocro@unisabana.edu.co</t>
  </si>
  <si>
    <t>VALENTINA   JIMENEZ RIVEROS</t>
  </si>
  <si>
    <t>valentinajiri@unisabana.edu.co</t>
  </si>
  <si>
    <t>ADRIANA DEL PILAR MORENO RICO</t>
  </si>
  <si>
    <t>adrianamori@unisabana.edu.co</t>
  </si>
  <si>
    <t>ALEJANDRO FERRUCHO SEGURA</t>
  </si>
  <si>
    <t>alejandrofese@unisabana.edu.co</t>
  </si>
  <si>
    <t>ANGELA FERNANDA STERLING GOMEZ</t>
  </si>
  <si>
    <t>angelastgo@unisabana.edu.co</t>
  </si>
  <si>
    <t>ANGELA ZORAIDA AVILA OSORIO</t>
  </si>
  <si>
    <t>angelaavos@unisabana.edu.co</t>
  </si>
  <si>
    <t>ANGI LORENA GUERRERO BARRERA</t>
  </si>
  <si>
    <t>angiguba@unisabana.edu.co</t>
  </si>
  <si>
    <t>ANGIE TATIANA SOTO VARGAS</t>
  </si>
  <si>
    <t>angiesova@unisabana.edu.co</t>
  </si>
  <si>
    <t>ANHY KATHERINE REYES RODRIGUEZ</t>
  </si>
  <si>
    <t>anhyrero@unisabana.edu.co</t>
  </si>
  <si>
    <t>DANIEL IVAN DURAN SANDOVAL</t>
  </si>
  <si>
    <t>danieldursa@unisabana.edu.co</t>
  </si>
  <si>
    <t>DIANA CAROLINA VARGAS SANDOVAL</t>
  </si>
  <si>
    <t>dianavasa@unisabana.edu.co</t>
  </si>
  <si>
    <t>JUAN CAMILO PESCELLIN ORTEGON</t>
  </si>
  <si>
    <t>juanpesor@unisabana.edu.co</t>
  </si>
  <si>
    <t>JUAN SEBASTIAN CADENA MUÑOZ</t>
  </si>
  <si>
    <t>juancadmun@unisabana.edu.co</t>
  </si>
  <si>
    <t>LEIDY ALEJANDRA MARTIN FONSECA</t>
  </si>
  <si>
    <t>leidymafo@unisabana.edu.co</t>
  </si>
  <si>
    <t>LUIS FELIPE RAMIREZ PIRABAN</t>
  </si>
  <si>
    <t>luisrapi@unisabana.edu.co</t>
  </si>
  <si>
    <t>LUISA MARIA PEDRAZA FUENTES</t>
  </si>
  <si>
    <t>luisapefu@unisabana.edu.co</t>
  </si>
  <si>
    <t>CINTYA JULIETH OVIEDO YANES</t>
  </si>
  <si>
    <t>cintyaovya@unisabana.edu.co</t>
  </si>
  <si>
    <t>CLAUDIA GYSSELLE SANCHEZ PIRATOVA</t>
  </si>
  <si>
    <t>claudiasapi@unisabana.edu.co</t>
  </si>
  <si>
    <t>DAVID   RÍOS QUICENO</t>
  </si>
  <si>
    <t>davidrioqu@unisabana.edu.co</t>
  </si>
  <si>
    <t>EDISON FERNEY CARDENAS MARTINEZ</t>
  </si>
  <si>
    <t>edisoncarma@unisabana.edu.co</t>
  </si>
  <si>
    <t>JASSAY   MORENO RUEDA</t>
  </si>
  <si>
    <t>jassaymoru@unisabana.edu.co</t>
  </si>
  <si>
    <t>JOHANA CAROLINA RIOS ROJAS</t>
  </si>
  <si>
    <t>johanariro@unisabana.edu.co</t>
  </si>
  <si>
    <t>LEONARDO ALFONSO PULIDO</t>
  </si>
  <si>
    <t>leonardoalpu@unisabana.edu.co</t>
  </si>
  <si>
    <t>LEYDY JOHANNA HERNANDEZ CALDERON</t>
  </si>
  <si>
    <t>leydyheca@unisabana.edu.co</t>
  </si>
  <si>
    <t>LYDIA ASTRID GARCIA ECHEONA</t>
  </si>
  <si>
    <t>lydiagaec@unisabana.edu.co</t>
  </si>
  <si>
    <t>MIGUEL ANGEL CASTELBLANCO PEREZ</t>
  </si>
  <si>
    <t>miguelcape@unisabana.edu.co</t>
  </si>
  <si>
    <t>PAULA ALEXANDRA PALACIOS MOLINA</t>
  </si>
  <si>
    <t>paulapamo@unisabana.edu.co</t>
  </si>
  <si>
    <t>PAULA CATALINA APONTE LARROTTA</t>
  </si>
  <si>
    <t>paulaapla@unisabana.edu.co</t>
  </si>
  <si>
    <t>SANDRA MILENA ROBLES JOYA</t>
  </si>
  <si>
    <t>sandrarojo@unisabana.edu.co</t>
  </si>
  <si>
    <t>SEBASTIAN   BUITRAGO BLANCO</t>
  </si>
  <si>
    <t>sebastianbubl@unisabana.edu.co</t>
  </si>
  <si>
    <t>ZULMA PAOLA MALDONADO CADENA</t>
  </si>
  <si>
    <t>zulmamalca@unisabana.edu.co</t>
  </si>
  <si>
    <t>CAMILA ANDREA PENHA AVILA</t>
  </si>
  <si>
    <t>camilapeav@unisabana.edu.co</t>
  </si>
  <si>
    <t>DIEGO FERNANDO BARAJAS GOMEZ</t>
  </si>
  <si>
    <t>diegobargo@unisabana.edu.co</t>
  </si>
  <si>
    <t>ESTEBAN   CORREA HERNANDEZ</t>
  </si>
  <si>
    <t>estebancohe@unisabana.edu.co</t>
  </si>
  <si>
    <t>IVONNE GOMEZ ESGUERRA</t>
  </si>
  <si>
    <t>ivonnegoes@unisabana.edu.co</t>
  </si>
  <si>
    <t>JHON FREDY LEURO SALGADO</t>
  </si>
  <si>
    <t>jhonlesa@unisabana.edu.co</t>
  </si>
  <si>
    <t>KAREN DANIELA SOACHE SOTO</t>
  </si>
  <si>
    <t>karensoso@unisabana.edu.co</t>
  </si>
  <si>
    <t>LUZ ANGELA QUINTERO LOZANO</t>
  </si>
  <si>
    <t>luzqulo@unisabana.edu.co</t>
  </si>
  <si>
    <t>MARIA CAMILA SAMBONI YAGUE</t>
  </si>
  <si>
    <t>mariasamya@unisabana.edu.co</t>
  </si>
  <si>
    <t>MATEO   VILLARRAGA ALVAREZ</t>
  </si>
  <si>
    <t>mateovial@unisabana.edu.co</t>
  </si>
  <si>
    <t>SEBASTIAN RODRIGUEZ RUBIO</t>
  </si>
  <si>
    <t>sebastianroru@unisabana.edu.co</t>
  </si>
  <si>
    <t>Sergio Andrés Acuña Caicedo</t>
  </si>
  <si>
    <t>sergioacca@unisabana.edu.co</t>
  </si>
  <si>
    <t>Débora  Milena Álvarez</t>
  </si>
  <si>
    <t>deboraalya@unisabana.edu.co</t>
  </si>
  <si>
    <t>Edwin Darío Archila Hernández</t>
  </si>
  <si>
    <t>edwinarhe@unisabana.edu.co</t>
  </si>
  <si>
    <t>Mónica Peñaloza García</t>
  </si>
  <si>
    <t>monicapega@unisabana.edu.co</t>
  </si>
  <si>
    <t>Diana Marcela Achury Saldaña</t>
  </si>
  <si>
    <t>dianaachsa@unisabana.edu.co</t>
  </si>
  <si>
    <t>Mayra Esther Britto Hurtado</t>
  </si>
  <si>
    <t>mayrabrhu@unisabana.edu.co</t>
  </si>
  <si>
    <t>Isabel Lucía Guerra Dangond</t>
  </si>
  <si>
    <t>isabelguda@unisabana.edu.co</t>
  </si>
  <si>
    <t>Merylin Guerra Ramírez</t>
  </si>
  <si>
    <t>merilyngura@unisabana.edu.co</t>
  </si>
  <si>
    <t>Cristina Elena Bohorquez Moreno</t>
  </si>
  <si>
    <t>cristinabomo@unisabana.edu.co</t>
  </si>
  <si>
    <t>Diana Vanessa Flórez Meza</t>
  </si>
  <si>
    <t>dianaflme@unisabana.edu.co</t>
  </si>
  <si>
    <t>Jasleidy Lasso Conde</t>
  </si>
  <si>
    <t>jasleidylaco@unisabana.edu.co</t>
  </si>
  <si>
    <t>Victor Hugo Quintero</t>
  </si>
  <si>
    <t>victorquba@unisabana.edu.co</t>
  </si>
  <si>
    <t>Juan David Montenegro Ramírez</t>
  </si>
  <si>
    <t>juanmora@unisabana.edu.co</t>
  </si>
  <si>
    <t>Ivett Adriana Herrera Zuleta</t>
  </si>
  <si>
    <t>ivetthezu@unisabana.edu.co</t>
  </si>
  <si>
    <t>Laura Catherine Cárdenas Urrego</t>
  </si>
  <si>
    <t>lauracarur@unisabana.edu.co</t>
  </si>
  <si>
    <t>Luis Alejandro Sánchez Botero</t>
  </si>
  <si>
    <t>luissabo@unisabana.edu.co</t>
  </si>
  <si>
    <t>María Valentina Rojas Forero</t>
  </si>
  <si>
    <t>mariarojfo@unisabana.edu.co</t>
  </si>
  <si>
    <t>Brenda Beltrán Trujillo</t>
  </si>
  <si>
    <t>brendabetr@unisabana.edu.co</t>
  </si>
  <si>
    <t>Leidy Johanna Ochoa Verdugo</t>
  </si>
  <si>
    <t>leidyocve@unisabana.edu.co</t>
  </si>
  <si>
    <t>Ángela Bibiana López Rojas</t>
  </si>
  <si>
    <t>angelalopro@unisabana.edu.co</t>
  </si>
  <si>
    <t>Juan Sebastián Sepúlveda Sánchez</t>
  </si>
  <si>
    <t>uansepsa@unisabana.edu.co</t>
  </si>
  <si>
    <t>Zulma Daniela Mondragón García</t>
  </si>
  <si>
    <t>zulmamoga@unisabana.edu.co</t>
  </si>
  <si>
    <t>Dania Lorena Poveda Montoya</t>
  </si>
  <si>
    <t>daniapomo@unisabana.edu.co</t>
  </si>
  <si>
    <t>Erika Jazmín Espinosa Hernández</t>
  </si>
  <si>
    <t>erikaeshe@unisabana.edu.co</t>
  </si>
  <si>
    <t>Daniela Ortiz Benavides</t>
  </si>
  <si>
    <t>danielaorbe@unisabana.edu.co</t>
  </si>
  <si>
    <t>Olga Janneth Leguizamón Arias</t>
  </si>
  <si>
    <t>olgalear@unisabana.edu.co</t>
  </si>
  <si>
    <t>Blanca Yesenia Betancourth Álvarez</t>
  </si>
  <si>
    <t>blancabeal@unisabana.edu.co</t>
  </si>
  <si>
    <t>Edison Giovanni Sirtori Rodríguez</t>
  </si>
  <si>
    <t>edisonsiro@unisabana.edu.co</t>
  </si>
  <si>
    <t>Jhonatan Felipe Arenas Sáenz</t>
  </si>
  <si>
    <t>jhonatanarsa@unisabana.edu.co</t>
  </si>
  <si>
    <t>Angie Catalina González Trujillo</t>
  </si>
  <si>
    <t>angiegotr@unisabana.edu.co</t>
  </si>
  <si>
    <t>Julián Yesid Parrado Sánchez</t>
  </si>
  <si>
    <t>julianparsa@unisabana.edu.co</t>
  </si>
  <si>
    <t>Olga Sofía Parrado Sánchez</t>
  </si>
  <si>
    <t>olgaparsa@unisabana.edu.co</t>
  </si>
  <si>
    <t>Luisa Fernanda Corzo Muñoz</t>
  </si>
  <si>
    <t>luisacomu@unisabana.edu.co</t>
  </si>
  <si>
    <t>Jhoana Andrea Sánchez Rubio</t>
  </si>
  <si>
    <t>jhoanasaru@unisabana.edu.co</t>
  </si>
  <si>
    <t>Paola Andrea Gil Amezquita</t>
  </si>
  <si>
    <t>paolagiam@unisabana.edu.co</t>
  </si>
  <si>
    <t>Mayerli Valentina Quintero Zuluaga</t>
  </si>
  <si>
    <t>mayerliquzu@unisabana.edu.co</t>
  </si>
  <si>
    <t>Gabriela Pardo Prieto</t>
  </si>
  <si>
    <t>gabrielapapr@unisabana.edu.co</t>
  </si>
  <si>
    <t>Rosana Boyacá Huertas</t>
  </si>
  <si>
    <t>rosanabohu@unisabana.edu.co</t>
  </si>
  <si>
    <t>Sebastián Ricardo Rodríguez Bolívar</t>
  </si>
  <si>
    <t>sebastianrodbo@unisabana.edu.co</t>
  </si>
  <si>
    <t>Lady Alejandra Bohórquez Blanco</t>
  </si>
  <si>
    <t>ladybobl@unisabana.edu.co</t>
  </si>
  <si>
    <t>Carmen Maritza Rincón Téllez</t>
  </si>
  <si>
    <t>carmenrite@unisabana.edu.co</t>
  </si>
  <si>
    <t>Jhon Alexander Bautista Montero</t>
  </si>
  <si>
    <t>jhonbaumo@unisabana.edu.co</t>
  </si>
  <si>
    <t>Landry Shirley Barón Quintero</t>
  </si>
  <si>
    <t>landrybaqu@unisabana.edu.co</t>
  </si>
  <si>
    <t>Lizeth Valentina Cortés Garay</t>
  </si>
  <si>
    <t>lizethcorga@unisabana.edu.co</t>
  </si>
  <si>
    <t>Diana Marcela Tausa Casas</t>
  </si>
  <si>
    <t>dianatauca@unisabana.edu.co</t>
  </si>
  <si>
    <t>Paola Andrea Arciniegas</t>
  </si>
  <si>
    <t>arciniegaspaan@unisabana.edu.co</t>
  </si>
  <si>
    <t>María Camila Cardona Muñoz</t>
  </si>
  <si>
    <t>mariacarmun@unisabana.edu.co</t>
  </si>
  <si>
    <t>Diego Alejandro Pachón García</t>
  </si>
  <si>
    <t>diegopacga@unisabana.edu.co</t>
  </si>
  <si>
    <t>Jeny Aracely Suárez Rodríguez</t>
  </si>
  <si>
    <t>jenysuro@unisabana.edu.co</t>
  </si>
  <si>
    <t>Leidy Juliana Cruz Báez</t>
  </si>
  <si>
    <t>leidycrba@unisabana.edu.co</t>
  </si>
  <si>
    <t>Juan Sebastián Arévalo García</t>
  </si>
  <si>
    <t>juanarega@unisabana.edu.co</t>
  </si>
  <si>
    <t>Gina Geraldín Galindo Rojas</t>
  </si>
  <si>
    <t>ginagaro@unisabana.edu.co</t>
  </si>
  <si>
    <t>Laura Valentina García Gómez</t>
  </si>
  <si>
    <t>lauragargo@unisabana.edu.co</t>
  </si>
  <si>
    <t>Iván Dario Devia</t>
  </si>
  <si>
    <t>ivandesu@unisabana.edu.co</t>
  </si>
  <si>
    <t>Cárdenas Díaz, Neider Orley</t>
  </si>
  <si>
    <t>neidercadi@unisabana.edu.co</t>
  </si>
  <si>
    <t>Ávila Urrea, Tania Marcela</t>
  </si>
  <si>
    <t>taniaavur@unisabana.edu.co</t>
  </si>
  <si>
    <t>Hurtado Alvarado, Olga Belén</t>
  </si>
  <si>
    <t>olgahual@unisabana.edu.co</t>
  </si>
  <si>
    <t>Manzano Astaiza, María Alejandra</t>
  </si>
  <si>
    <t>mariamaas@unisabana.edu.co</t>
  </si>
  <si>
    <t>Ospina Ballén, Diana Carolina</t>
  </si>
  <si>
    <t>dianaosba@unisabana.edu.co</t>
  </si>
  <si>
    <t>Pachón Guzmán, Andersson Julián</t>
  </si>
  <si>
    <t>anderssonpagu@unisabana.edu.co</t>
  </si>
  <si>
    <t>Romero Torres, Martha Consuelo</t>
  </si>
  <si>
    <t>martharomto@unisabana.edu.co</t>
  </si>
  <si>
    <t>Urrego Martínez, Leidy Tatiana</t>
  </si>
  <si>
    <t>leidyurma@unisabana.edu.co</t>
  </si>
  <si>
    <t>Vanegas Sandoval, Cristian Camilo</t>
  </si>
  <si>
    <t>cristianvasa@unisabana.edu.co</t>
  </si>
  <si>
    <t>Vargas García, César Andrés</t>
  </si>
  <si>
    <t>cesarvaga@unisabana.edu.co</t>
  </si>
  <si>
    <t>Vargas Páez, Edwin Orlando</t>
  </si>
  <si>
    <t>edwinvapa@unisabana.edu.co</t>
  </si>
  <si>
    <t>Alejandra Arias Gordillo</t>
  </si>
  <si>
    <t>ALEJARISGO@UNICAUCA.EDU.CO</t>
  </si>
  <si>
    <t>Natalia Maya Cardona</t>
  </si>
  <si>
    <t>NMAYA7879@GMAIL.COM</t>
  </si>
  <si>
    <t>Paola Marcela Gutiérrez Díaz</t>
  </si>
  <si>
    <t>PGUTIERREZ@UCM.EDU.CO</t>
  </si>
  <si>
    <t>Claudia Jimena Fernández Sánchez</t>
  </si>
  <si>
    <t>clajifesa@hotmail.com</t>
  </si>
  <si>
    <t>Jorge Alberto Villamizar Villamizar</t>
  </si>
  <si>
    <t>jorgevivi@clinicaunisabana.edu.co</t>
  </si>
  <si>
    <t>Patiño Cely, Edna Katherine</t>
  </si>
  <si>
    <t>ednapace@unisabana.edu.co</t>
  </si>
  <si>
    <t>Corredor Pineda, Carlos Saúl</t>
  </si>
  <si>
    <t>carloscorpi@unisabana.edu.co</t>
  </si>
  <si>
    <t>Ceballos Montoya, Ángela María</t>
  </si>
  <si>
    <t>angelacemo@unisabana.edu.co</t>
  </si>
  <si>
    <t>Díaz Mosquera, Yury Stefania</t>
  </si>
  <si>
    <t>yurydimo@unisabana.edu.co</t>
  </si>
  <si>
    <t>Riascos Chamorro, Hernán Ricardo</t>
  </si>
  <si>
    <t>hernanrich@unisabana.edu.co</t>
  </si>
  <si>
    <t>Camilo Eduardo Bautista Saavedra</t>
  </si>
  <si>
    <t>camilobasa@unisabana.edu.co</t>
  </si>
  <si>
    <t>Jofren Andrés Arévalo Rangel</t>
  </si>
  <si>
    <t>jofrenarra@unisabana.edu.co</t>
  </si>
  <si>
    <t>Aldana Argel, Liseth Marcela</t>
  </si>
  <si>
    <t>lisethalar@unisabana.edu.co</t>
  </si>
  <si>
    <t>Rodríguez Marín, Jorge Eliécer</t>
  </si>
  <si>
    <t>jorgeroma@unisabana.edu.co</t>
  </si>
  <si>
    <t>Corredor Corredor, Cilia Yaneth</t>
  </si>
  <si>
    <t>ciliacorco@unisabana.edu.co</t>
  </si>
  <si>
    <t>Cubides Ramos, Fabián</t>
  </si>
  <si>
    <t>fabiancura@unisabana.edu.co</t>
  </si>
  <si>
    <t>PIÑERES VIZCAINO,ANDREA JIMENA</t>
  </si>
  <si>
    <t>andrea.pineres@unisabana.edu.co</t>
  </si>
  <si>
    <t>RODRIGUEZ DIMATE,DIANA STELLA</t>
  </si>
  <si>
    <t>dianaroddim@unisabana.edu.co</t>
  </si>
  <si>
    <t>VELASQUEZ ROMERO,CARLOS ALFONSO</t>
  </si>
  <si>
    <t>carlos.velasquez@unisabana.edu.co</t>
  </si>
  <si>
    <t>VALENCIA DELGADO,JOSE JULIAN</t>
  </si>
  <si>
    <t>josevalde@unisabana.edu.co</t>
  </si>
  <si>
    <t>JIMENEZ VECINO,JOSE ANDRES</t>
  </si>
  <si>
    <t>josejive@unisabana.edu.co</t>
  </si>
  <si>
    <t>VILLALOBOS NARANJO,JOSE ALFONSO</t>
  </si>
  <si>
    <t>josevina@unisabana.edu.co</t>
  </si>
  <si>
    <t>MONTENEGRO GUERRERO,PABLO ALEJANDRO</t>
  </si>
  <si>
    <t>pablomogu@unisabana.edu.co</t>
  </si>
  <si>
    <t>BENITEZ CACERES,JEISSON CAMILO</t>
  </si>
  <si>
    <t>jeissonbeli@unisabana.edu.co</t>
  </si>
  <si>
    <t>NEIRA RODRIGUEZ,JUAN CARLOS</t>
  </si>
  <si>
    <t>juannero@unisabana.edu.co</t>
  </si>
  <si>
    <t>ALVAREZ HERNANDEZ,GLORIA ASTRID</t>
  </si>
  <si>
    <t>gloriaalhe@unisabana.edu.co</t>
  </si>
  <si>
    <t>CORTES ESCAMILLA,DIANA PAOLA</t>
  </si>
  <si>
    <t>dianacores@unisabana.edu.co</t>
  </si>
  <si>
    <t>ARIZA CARVAJALCLAUDIA</t>
  </si>
  <si>
    <t>claudiaarica@unisabana.edu.co</t>
  </si>
  <si>
    <t>ROMERO RAMIREZ MIGUEL ANGEL</t>
  </si>
  <si>
    <t>miguelrora@unisabana.edu.co</t>
  </si>
  <si>
    <t>URAZÁN BELTRAN LUIS ALBEIRO</t>
  </si>
  <si>
    <t>luisurbe@unisabana.edu.co</t>
  </si>
  <si>
    <t>GIOVANNY  ARCILA REINOSA</t>
  </si>
  <si>
    <t>giovannyarre@unisabana.edu.co</t>
  </si>
  <si>
    <t>CARREÑO ESTEBAN,LEONARDO</t>
  </si>
  <si>
    <t>leonardocaes@unisabana.edu.co</t>
  </si>
  <si>
    <t>CELY ESPINOSA,NANCY</t>
  </si>
  <si>
    <t>nancycees@unisabana.edu.co</t>
  </si>
  <si>
    <t>CUELLAR RENTERIA,OSCAR EDUARDO</t>
  </si>
  <si>
    <t>oscarcure@unisabana.edu.co</t>
  </si>
  <si>
    <t>CUENCA ,LUIS ANGEL</t>
  </si>
  <si>
    <t>luiscue@unisabana.edu.co</t>
  </si>
  <si>
    <t>DIAZ GIRALDO NICOLAS GUILLERMO</t>
  </si>
  <si>
    <t>nicolasdigi@unisabana.edu.co</t>
  </si>
  <si>
    <t>FLOREZ BOHORQUEZ,MARTHA TERESA</t>
  </si>
  <si>
    <t>marthaflbo@unisabana.edu.co</t>
  </si>
  <si>
    <t>FLOREZ BOHORQUEZ,SANDRA LIDIA</t>
  </si>
  <si>
    <t>sandraflbo@unisabana.edu.co</t>
  </si>
  <si>
    <t>GALVIS HERNANDEZ,CESAR AUGUSTO</t>
  </si>
  <si>
    <t>cesargahe@unisabana.edu.co</t>
  </si>
  <si>
    <t>GOMEZ MALES,JAIRO ANTONIO</t>
  </si>
  <si>
    <t>jairogoma@unisabana.edu.co</t>
  </si>
  <si>
    <t>GONZALEZ CUERVO,LUIS FERNANDO</t>
  </si>
  <si>
    <t>luisgocu@unisabana.edu.co</t>
  </si>
  <si>
    <t>MARTINEZ PEREZ,JOSE ERNESTO</t>
  </si>
  <si>
    <t>josemarper@unisabana.edu.co</t>
  </si>
  <si>
    <t>MARTINEZ RIVERA,GLORIA YOLANDA</t>
  </si>
  <si>
    <t>gloriamari@unisabana.edu.co</t>
  </si>
  <si>
    <t>MONROY CAMACHO,CARLOS ALBERTO</t>
  </si>
  <si>
    <t>carlosmoncam@unisabana.edu.co</t>
  </si>
  <si>
    <t>MONROY GARCIA,MARTA</t>
  </si>
  <si>
    <t>martamoga@unisabana.edu.co</t>
  </si>
  <si>
    <t>NIÑO JIMENEZ,PEDRO MIGUEL</t>
  </si>
  <si>
    <t>pedroniji@unisabana.edu.co</t>
  </si>
  <si>
    <t>PEREZ GIL,CESAR AUGUSTO</t>
  </si>
  <si>
    <t>cesarpegi@unisabana.edu.co</t>
  </si>
  <si>
    <t>RAMIREZ QUINTERO,CARLOS ALBERTO</t>
  </si>
  <si>
    <t>carlosraqu@unisabana.edu.co</t>
  </si>
  <si>
    <t>RAMIREZ SERAFINOFF,PERLA MARIA DEL PILAR</t>
  </si>
  <si>
    <t>perlarase@unisabana.edu.co</t>
  </si>
  <si>
    <t>SALAMANCA MARIÑO,CLEMENCIA</t>
  </si>
  <si>
    <t>clemenciasalma@unisabana.edu.co</t>
  </si>
  <si>
    <t>SANABRIA GOMEZ,GILMA</t>
  </si>
  <si>
    <t>gilmasago@unisabana.edu.co</t>
  </si>
  <si>
    <t>SIERRA ULLOQUE,DAVID ALBERTO</t>
  </si>
  <si>
    <t>davidsiul@unisabana.edu.co</t>
  </si>
  <si>
    <t>VARGAS ,ESMERALDA</t>
  </si>
  <si>
    <t>esmeraldava@unisabana.edu.co</t>
  </si>
  <si>
    <t>VARGAS VARGAS,JUAN SEBASTIAN</t>
  </si>
  <si>
    <t>juanvarva@unisabana.edu.co</t>
  </si>
  <si>
    <t>VILLA VILLANUEVA,ALEJANDRO</t>
  </si>
  <si>
    <t>alejandro.villa@unisabana.edu.co</t>
  </si>
  <si>
    <t>BAYER RODRIGUEZ PAULA</t>
  </si>
  <si>
    <t>paulabaro@unisabana.edu.co</t>
  </si>
  <si>
    <t>BELTRAN BERMUDEZ STEPHANIA</t>
  </si>
  <si>
    <t>stephaniabebe@unisabana.edu.co</t>
  </si>
  <si>
    <t>DUARTE TAMARA SANTIAGO</t>
  </si>
  <si>
    <t>santiagoduta@unisabana.edu.co</t>
  </si>
  <si>
    <t>MAYORGA CRUZ GUILLERMO</t>
  </si>
  <si>
    <t>guillermomacr@unisabana.edu.co</t>
  </si>
  <si>
    <t>OLARTE BERMUDEZ LAURA MANUELA</t>
  </si>
  <si>
    <t>lauraolbe@unisabana.edu.co</t>
  </si>
  <si>
    <t>MONICA CORREDOR</t>
  </si>
  <si>
    <t>monicaconi@unisabana.edu.co</t>
  </si>
  <si>
    <t>TORRES CHAPARRO MARIA ALEJANDRA</t>
  </si>
  <si>
    <t>mariatoch@unisabana.edu.co</t>
  </si>
  <si>
    <t>BOBADILLA GONZALEZ ERIKA NAYIBE</t>
  </si>
  <si>
    <t>erikabogo@unisabana.edu.co</t>
  </si>
  <si>
    <t>MARIN ARANDA SERGIO ALEXANDER</t>
  </si>
  <si>
    <t>sergiomaar@unisabana.edu.co</t>
  </si>
  <si>
    <t>BRAVO ARISTIZABAL LEONARDO ESTEBAN</t>
  </si>
  <si>
    <t>leonardobrar@unisabana.edu.co</t>
  </si>
  <si>
    <t>PACHON DIAZ SANTIAGO</t>
  </si>
  <si>
    <t>santiagopadi@unisabana.edu.co</t>
  </si>
  <si>
    <t>ALVARADO MONROY ANDRES FELIPE</t>
  </si>
  <si>
    <t>andresalvmo@unisabana.edu.co</t>
  </si>
  <si>
    <t>LOPEZ RINCON ALISSON ANDREA</t>
  </si>
  <si>
    <t>alissonlori@unisabana.edu.co</t>
  </si>
  <si>
    <t>CASTELLANOS REY ANDREY YOHANY</t>
  </si>
  <si>
    <t>andreycare@unisabana.edu.co</t>
  </si>
  <si>
    <t>GALEANO RODRIGUEZ MIGUEL ANGEL</t>
  </si>
  <si>
    <t>miguelgaro@unisabana.edu.co</t>
  </si>
  <si>
    <t>VALDERRAMA PACHON DAVID ALEJANDRO</t>
  </si>
  <si>
    <t>davidvalpa@unisabana.edu.co</t>
  </si>
  <si>
    <t>RUIZ MEJIA MARIA ALEJANDRA</t>
  </si>
  <si>
    <t>mariarume@unisabana.edu.co</t>
  </si>
  <si>
    <t>ARANA GOMEZ VALENTINA</t>
  </si>
  <si>
    <t>valentinaarago@unisabana.edu.co</t>
  </si>
  <si>
    <t>MARTINEZ CORREA JUAN CAMILO</t>
  </si>
  <si>
    <t>juanmaco@unisabana.edu.co</t>
  </si>
  <si>
    <t>BRAVO MACHUCA WILSON MANUEL</t>
  </si>
  <si>
    <t>wilsonbrma@unisabana.edu.co</t>
  </si>
  <si>
    <t>INFANTE AGUIRRE DIEGO MAURICIO</t>
  </si>
  <si>
    <t>diegoinag@unisabana.edu.co</t>
  </si>
  <si>
    <t>USECHE MARTINEZ DIANA MARCELA</t>
  </si>
  <si>
    <t>dianausma@unisabana.edu.co</t>
  </si>
  <si>
    <t>RINCON LEGUIZAMON HERLEY</t>
  </si>
  <si>
    <t>herleyrile@unisabana.edu.co</t>
  </si>
  <si>
    <t>ORTIZ MEDINA ANAMARIA</t>
  </si>
  <si>
    <t>anamariaorme@unisabana.edu.co</t>
  </si>
  <si>
    <t>VALENZUELA GONZALEZ SHAROON LORENA</t>
  </si>
  <si>
    <t>sharoonvalgo@unisabana.edu.co</t>
  </si>
  <si>
    <t>VALENZUELA RODRIGUEZ NATALIA</t>
  </si>
  <si>
    <t>nataliavaro@unisabana.edu.co</t>
  </si>
  <si>
    <t>QUEVEDO CORREA NESTOR ALFREDO</t>
  </si>
  <si>
    <t>nestorquco@unisabana.edu.co</t>
  </si>
  <si>
    <t>JIMENEZ HERNANDEZ CARLOS ANDRES</t>
  </si>
  <si>
    <t>carlosjihe@unisabana.edu.co</t>
  </si>
  <si>
    <t>CAMARGO BRIJALDO JULIO ALBERTO</t>
  </si>
  <si>
    <t>juliocabr@unisabana.edu.co</t>
  </si>
  <si>
    <t>LOPEZ GIL OSCAR ARTURO</t>
  </si>
  <si>
    <t>oscarlogi@unisabana.edu.co</t>
  </si>
  <si>
    <t>GUZMAN VALENCIA LUIS FELIPE</t>
  </si>
  <si>
    <t>luisguva@unisabana.edu.co</t>
  </si>
  <si>
    <t>LOPEZ CELY FRANCISCO EDUARDO</t>
  </si>
  <si>
    <t>franciscoloce@unisabana.edu.co</t>
  </si>
  <si>
    <t>BAUTISTA SANCHEZ JOHNNY WALKER</t>
  </si>
  <si>
    <t>johnnybasa@unisabana.edu.co</t>
  </si>
  <si>
    <t>LOPEZ MORALES ELKIN ALVARO</t>
  </si>
  <si>
    <t>elkinlomo@unisabana.edu.co</t>
  </si>
  <si>
    <t>SUAREZ REINA WILSON DAVID</t>
  </si>
  <si>
    <t>wilsonsure@unisabana.edu.co</t>
  </si>
  <si>
    <t>PEREZ RODRIGUEZ DANY ISRAEL</t>
  </si>
  <si>
    <t>danypero@unisabana.edu.co</t>
  </si>
  <si>
    <t>ALVAREZ ROJAS NELSON</t>
  </si>
  <si>
    <t>nelsonalro@unisabana.edu.co</t>
  </si>
  <si>
    <t>MENDEZ MARTINEZ LUIS FELIPE</t>
  </si>
  <si>
    <t>luismema@unisabana.edu.co</t>
  </si>
  <si>
    <t>TORRES SORIANO OSCAR MAURICIO</t>
  </si>
  <si>
    <t>torresosma@unisabana.edu.co</t>
  </si>
  <si>
    <t>GUERRERO BEJARANO INGRI GISELLA</t>
  </si>
  <si>
    <t>ingrigube@unisabana.edu.co</t>
  </si>
  <si>
    <t>GONZALEZ LOZANO RONALD MAURICIO</t>
  </si>
  <si>
    <t>ronaldgolo@unisabana.edu.co</t>
  </si>
  <si>
    <t>DUARTE PRIETO SARA JULIANA</t>
  </si>
  <si>
    <t>saradupr@unisabana.edu.co</t>
  </si>
  <si>
    <t>SANCHEZ PARRA DIEGO FERNANDO</t>
  </si>
  <si>
    <t>diegosancpar@unisabana.edu.co</t>
  </si>
  <si>
    <t>MARRUGO MORA VALERIA</t>
  </si>
  <si>
    <t>valeriamarmo@unisabana.edu.co</t>
  </si>
  <si>
    <t>BARRERA BAUTISTA MANUELA</t>
  </si>
  <si>
    <t>manuelabarba@unisabana.edu.co</t>
  </si>
  <si>
    <t>CRUZ QUINTERO LAURA CAROLINA</t>
  </si>
  <si>
    <t>lauracrqu@unisabana.edu.co</t>
  </si>
  <si>
    <t>CRUZ SERNA DANIELA</t>
  </si>
  <si>
    <t>danielacrse@unisabana.edu.co</t>
  </si>
  <si>
    <t>ESCALLON ACHURI SCARLETT</t>
  </si>
  <si>
    <t>scarlettesac@unisabana.edu.co</t>
  </si>
  <si>
    <t>GALVIS GAMBOA LAURA SOFIA</t>
  </si>
  <si>
    <t>lauragalgam@unisabana.edu.co</t>
  </si>
  <si>
    <t>GAVIRIA CARVAJAL VALENTINA</t>
  </si>
  <si>
    <t>valentinagaca@unisabana.edu.co</t>
  </si>
  <si>
    <t>GONZALEZ GARCIA MANUEL FELIPE</t>
  </si>
  <si>
    <t>manuelgoga@unisabana.edu.co</t>
  </si>
  <si>
    <t>MARTINEZ AYALA MARIA CAROLINA</t>
  </si>
  <si>
    <t>mariamaray@unisabana.edu.co</t>
  </si>
  <si>
    <t>MURCIA RODRIGUEZ JULIAN RICARDO</t>
  </si>
  <si>
    <t>julianmuro@unisabana.edu.co</t>
  </si>
  <si>
    <t>NOVOA CARDENAS MARIA TERESA</t>
  </si>
  <si>
    <t>marianovca@unisabana.edu.co</t>
  </si>
  <si>
    <t>PADILLA CUERVO JUANA BEATRIZ</t>
  </si>
  <si>
    <t>juanapacu@unisabana.edu.co</t>
  </si>
  <si>
    <t>RODRIGUEZ OLARTE GABRIELA</t>
  </si>
  <si>
    <t>gabrielarool@unisabana.edu.co</t>
  </si>
  <si>
    <t>SANTACRUZ ARRAZOLA DIEGO</t>
  </si>
  <si>
    <t>diegosaar@unisabana.edu.co</t>
  </si>
  <si>
    <t>SEMPERTEGUI   OMAR</t>
  </si>
  <si>
    <t>omarse@unisabana.edu.co</t>
  </si>
  <si>
    <t>SIERRA CAMACHO VALENTINA</t>
  </si>
  <si>
    <t>valentinasica@unisabana.edu.co</t>
  </si>
  <si>
    <t>VEGA TOBAR DANIEL FELIPE</t>
  </si>
  <si>
    <t>danielveto@unisabana.edu.co</t>
  </si>
  <si>
    <t>ALVAREZ SANCHEZ DANIEL FELIPE</t>
  </si>
  <si>
    <t>danielalsa@unisabana.edu.co</t>
  </si>
  <si>
    <t>CACERES MARTINEZ JHONATTAN</t>
  </si>
  <si>
    <t>DAZA GONZALES FEDERICO ALEJANDRO</t>
  </si>
  <si>
    <t>jhonattancacma@unisabana.edu.co</t>
  </si>
  <si>
    <t>DELGADILLO PAEZ IVAN CAMILO</t>
  </si>
  <si>
    <t>ivandepa@unisabana.edu.co</t>
  </si>
  <si>
    <t>GUERRERO ECHEVERRY DANIELA DANIELA</t>
  </si>
  <si>
    <t>danielaguec@unisabana.edu.co</t>
  </si>
  <si>
    <t>MILLAN OCHOA JEFERSON</t>
  </si>
  <si>
    <t>jefersonmioc@unisabana.edu.co</t>
  </si>
  <si>
    <t>OSPINA DIAZ ANDERSON STIVEL</t>
  </si>
  <si>
    <t>andersonosdi@unisabana.edu.co</t>
  </si>
  <si>
    <t>PULGARIN ZULETA ANDRES HUMBERTO</t>
  </si>
  <si>
    <t>andrespuzu@unisabana.edu.co</t>
  </si>
  <si>
    <t>VALENCIA LOAIZA OSCAR JULIAN</t>
  </si>
  <si>
    <t>oscarvallo@unisabana.edu.co</t>
  </si>
  <si>
    <t>AGUIRRE BOLIVAR NELSON</t>
  </si>
  <si>
    <t>nelsonagbo@unisabana.edu.co</t>
  </si>
  <si>
    <t>BENAVIDES QUIJANO LUISA FERNANDA</t>
  </si>
  <si>
    <t>luisabequ@unisabana.edu.co</t>
  </si>
  <si>
    <t>No abierto</t>
  </si>
  <si>
    <t>BOLAÑOS BOLAÑOS OSCAR WHEIMAR</t>
  </si>
  <si>
    <t>oscarbibo@unisabana.edu.co</t>
  </si>
  <si>
    <t>CAMPOS AGUIRRE FAVIAN ESTEBAN</t>
  </si>
  <si>
    <t>faviancaag@unisabana.edu.co</t>
  </si>
  <si>
    <t>CARRION VELASQUEZ RAQUEL SOFIA</t>
  </si>
  <si>
    <t>raquelcave@unisabana.edu.co</t>
  </si>
  <si>
    <t>CASTAÑO MUÑOZ JORGE</t>
  </si>
  <si>
    <t>jorgecasmu@unisabana.edu.co</t>
  </si>
  <si>
    <t>CEBALLOS SANCHEZ CESAR ANDRES</t>
  </si>
  <si>
    <t>cesarcebsa@unisabana.edu.co</t>
  </si>
  <si>
    <t>DIAZ PUERTO DIEGO HERNANDO</t>
  </si>
  <si>
    <t>diegodipu@unisabana.edu.co</t>
  </si>
  <si>
    <t xml:space="preserve">FORERO BOBADILLA JUAN CARLOS </t>
  </si>
  <si>
    <t>juanfobo@unisabana.edu.co</t>
  </si>
  <si>
    <t>FORERO CARDENAS JUAN SEBASTIAN</t>
  </si>
  <si>
    <t>juanforca@unisabana.edu.co</t>
  </si>
  <si>
    <t>JAIME ESPINOSA ANDROS</t>
  </si>
  <si>
    <t>androsjaes@unisabana.edu.co</t>
  </si>
  <si>
    <t>LOPEZ MORENO DANIEL FELIPE</t>
  </si>
  <si>
    <t>daniellomo@unisabana.edu.co</t>
  </si>
  <si>
    <t>MEJIA CASTRO ANGELA VERONICA</t>
  </si>
  <si>
    <t>angelamejca@unisabana.edu.co</t>
  </si>
  <si>
    <t>PEÑA GARCIA EDWIN SANTIAGO</t>
  </si>
  <si>
    <t>edwinpega@unisabana.edu.co</t>
  </si>
  <si>
    <t>RICARDO ALVAREZ PAULA STEFANIA</t>
  </si>
  <si>
    <t>paularical@unisabana.edu.co</t>
  </si>
  <si>
    <t>RODRIGUEZ CONTRERAS JUAN SEBASTIAN</t>
  </si>
  <si>
    <t>juanrodco@unisabana.edu.co</t>
  </si>
  <si>
    <t>TORRES RIVAS CARLOS ANDRES</t>
  </si>
  <si>
    <t>carlostorri@unisabana.edu.co</t>
  </si>
  <si>
    <t>ZANABRIA CARRILLO CHRISTIAN DAVID</t>
  </si>
  <si>
    <t>christianzaca@unisabana.edu.co</t>
  </si>
  <si>
    <t>ACUÑA SEGURA NANDY</t>
  </si>
  <si>
    <t>nandyacse@unisabana.edu.co</t>
  </si>
  <si>
    <t>ARIAS VARGAS ADRIANA MARCELA</t>
  </si>
  <si>
    <t>adrianaarva@unisabana.edu.co</t>
  </si>
  <si>
    <t>CANGREJO TORRES IVAN ALFREDO</t>
  </si>
  <si>
    <t>ivancato@unisabana.edu.co</t>
  </si>
  <si>
    <t>CASTILLA MONTES HANSEL EMIRO</t>
  </si>
  <si>
    <t>hanselcamo@unisabana.edu.co</t>
  </si>
  <si>
    <t>CHAVEZ FLOREZ CARLOS ALFREDO</t>
  </si>
  <si>
    <t>carloschfl@unisabana.edu.co</t>
  </si>
  <si>
    <t>DAZA DIAZ JOSE BOLNEY</t>
  </si>
  <si>
    <t>josedadi@unisabana.edu.co</t>
  </si>
  <si>
    <t>ESCOBAR JARAMILLO JUANITA</t>
  </si>
  <si>
    <t>juanitaesja@unisabana.edu.co</t>
  </si>
  <si>
    <t>ESQUIVEL GARCIA JOHAN SEBASTIAN</t>
  </si>
  <si>
    <t>johanesga@unisabana.edu.co</t>
  </si>
  <si>
    <t>GOMEZ GAITAN LAURA PAOLA</t>
  </si>
  <si>
    <t>lauragomgai@unisabana.edu.co</t>
  </si>
  <si>
    <t>GONZALEZ ARIAS ANGELA MARIA</t>
  </si>
  <si>
    <t>angelagoar@unisabana.edu.co</t>
  </si>
  <si>
    <t>GUEVARA SANDOVAL TANIA SOFIA</t>
  </si>
  <si>
    <t>taniagusa@unisabana.edu.co</t>
  </si>
  <si>
    <t>GUTIERREZ BONILLA KAREN JOHANA</t>
  </si>
  <si>
    <t>karengutbo@unisabana.edu.co</t>
  </si>
  <si>
    <t>HERNANDEZ NAGLHEZ NATALIA</t>
  </si>
  <si>
    <t>nataliahena@unisabana.edu.co</t>
  </si>
  <si>
    <t>HERNANDEZ ROJAS LEIDY MIRLEY</t>
  </si>
  <si>
    <t>leidyherro@unisabana.edu.co</t>
  </si>
  <si>
    <t>LUGO TORRES NATALIA ELISA</t>
  </si>
  <si>
    <t>natalialuto@unisabana.edu.co</t>
  </si>
  <si>
    <t>MARIN CAMPO DIANA MARCELA</t>
  </si>
  <si>
    <t>dianamaricam@unisabana.edu.co</t>
  </si>
  <si>
    <t>MEDINA ERAZO YENNY PAOLA</t>
  </si>
  <si>
    <t>yennymeer@unisabana.edu.co</t>
  </si>
  <si>
    <t>MORALES GUZMAN EIVAR DUVAN</t>
  </si>
  <si>
    <t>eivarmogu@unisabana.edu.co</t>
  </si>
  <si>
    <t>MORALES PERDOMO JOSE OLVEIN</t>
  </si>
  <si>
    <t>josemorpe@unisabana.edu.co</t>
  </si>
  <si>
    <t>MORENO FLOREZ MARIA DEL MAR</t>
  </si>
  <si>
    <t>mariamorflo@unisabana.edu.co</t>
  </si>
  <si>
    <t>MOTTA ROBAYO SONIA MILENA</t>
  </si>
  <si>
    <t>soniamoro@unisabana.edu.co</t>
  </si>
  <si>
    <t>MURCIA LLANOS CRISTIAN ALBERTO</t>
  </si>
  <si>
    <t>cristianmull@unisabana.edu.co</t>
  </si>
  <si>
    <t>OBREGÓN ARTUNDUAGA EDNA ROCÍO</t>
  </si>
  <si>
    <t>ednaobar@unisabana.edu.co</t>
  </si>
  <si>
    <t>PALENCIA GUTIERREZ JORGE ANDRES</t>
  </si>
  <si>
    <t>jorgepalgu@unisabana.edu.co</t>
  </si>
  <si>
    <t>POLANCO PRADA JOSE LUIS</t>
  </si>
  <si>
    <t>josepolpr@unisabana.edu.co</t>
  </si>
  <si>
    <t>POLANIA GONZALEZ ANGELINO</t>
  </si>
  <si>
    <t>angelinopogo@unisabana.edu.co</t>
  </si>
  <si>
    <t>QUINTERO BLANCO PAOLA ANDREA</t>
  </si>
  <si>
    <t>paolaqubl@unisabana.edu.co</t>
  </si>
  <si>
    <t>RAMOS CUELLAR JHONATAN FERNANDO</t>
  </si>
  <si>
    <t>jhonatanracu@unisabana.edu.co</t>
  </si>
  <si>
    <t>SANCHEZ LOPEZ MILLER ALEJANDRO</t>
  </si>
  <si>
    <t>millersalo@unisabana.edu.co</t>
  </si>
  <si>
    <t>SUAREZ BEDOYA LINA PAOLA</t>
  </si>
  <si>
    <t>linasube@unisabana.edu.co</t>
  </si>
  <si>
    <t>TOVAR CUELLAR HERMES</t>
  </si>
  <si>
    <t>hermestocu@unisabana.edu.co</t>
  </si>
  <si>
    <t>ESPECIALIZACIÓN EN DERECHO TRIBUTARIO - CHÍA</t>
  </si>
  <si>
    <t>BARRERA COY WILMAR ALFREDO</t>
  </si>
  <si>
    <t>wilmarbaco@unisabana.edu.co</t>
  </si>
  <si>
    <t>BELLO FRESNEDA DIANA MARIA</t>
  </si>
  <si>
    <t>dianabefr@unisabana.edu.co</t>
  </si>
  <si>
    <t>CAMACHO THERAN OLGA PATRICIA</t>
  </si>
  <si>
    <t>olgacath@unisabana.edu.co</t>
  </si>
  <si>
    <t>GONZALEZ TORRES JENY ALEXANDRA</t>
  </si>
  <si>
    <t>jenygoto@unisabana.edu.co</t>
  </si>
  <si>
    <t>HORTUA MONTERREY LOYDA</t>
  </si>
  <si>
    <t>loydahomo@unisabana.edu.co</t>
  </si>
  <si>
    <t>MARQUEZ RODRIGUEZ MERY VIVIANA</t>
  </si>
  <si>
    <t>merymaro@unisabana.edu.co</t>
  </si>
  <si>
    <t>OSORIO LARGO DANIELA</t>
  </si>
  <si>
    <t>danielaosla@unisabana.edu.co</t>
  </si>
  <si>
    <t>PACHON VARGAS DIANA CAROLINA</t>
  </si>
  <si>
    <t>dianapacva@unisabana.edu.co</t>
  </si>
  <si>
    <t>PEÑUELA CASTRO YEIMMI JOHANNA</t>
  </si>
  <si>
    <t>yeimmipeca@unisabana.edu.co</t>
  </si>
  <si>
    <t>RINCON SIERRA LINA MARIA</t>
  </si>
  <si>
    <t>linarisi@unisabana.edu.co</t>
  </si>
  <si>
    <t>SANCHEZ DIAZ ERLY YOHANA</t>
  </si>
  <si>
    <t>erlysadi@unisabana.edu.co</t>
  </si>
  <si>
    <t>SIERRA VENEGAS EDGAR ARMANDO</t>
  </si>
  <si>
    <t>edgarsive@unisabana.edu.co</t>
  </si>
  <si>
    <t>TRUJILLO SIERRA CLAUDIA PATRICIA</t>
  </si>
  <si>
    <t>claudiatrsi@unisabana.edu.co</t>
  </si>
  <si>
    <t>ACOSTA RODRIGUEZ SHOJAD DANIELA</t>
  </si>
  <si>
    <t>shojadacro@unisabana.edu.co</t>
  </si>
  <si>
    <t>ARDILA LABRADOR FELIPE</t>
  </si>
  <si>
    <t>felipearla@unisabana.edu.co</t>
  </si>
  <si>
    <t>ARIAS CALDERON OSCAR MAURICIO</t>
  </si>
  <si>
    <t>oscararca@unisabana.edu.co</t>
  </si>
  <si>
    <t>AYALA ARIZA JASBLEIDY ANDREA</t>
  </si>
  <si>
    <t>jasbleidyayar@unisabana.edu.co</t>
  </si>
  <si>
    <t>CARRANZA CASTRO ANA MARÍA</t>
  </si>
  <si>
    <t>anacarcas@unisabana.edu.co</t>
  </si>
  <si>
    <t>CORTES ROCHA MARIA ALEJANDRA</t>
  </si>
  <si>
    <t>mariacorroc@unisabana.edu.co</t>
  </si>
  <si>
    <t>ESPINOSA ARANGO NICOLAS</t>
  </si>
  <si>
    <t>nicolasesar@unisabana.edu.co</t>
  </si>
  <si>
    <t>GUZMAN BEDOYA JOHN JAIRO</t>
  </si>
  <si>
    <t>johngube@unisabana.edu.co</t>
  </si>
  <si>
    <t>LARRAZABAL SALTAREN MARIA JOSE</t>
  </si>
  <si>
    <t>marialasa@unisabana.edu.co</t>
  </si>
  <si>
    <t>MORENO MOLINA VALENTINA</t>
  </si>
  <si>
    <t>valentinamormo@unisabana.edu.co</t>
  </si>
  <si>
    <t>MURCIA SARMIENTO DUVAN FELIPE</t>
  </si>
  <si>
    <t>duvanmusa@unisabana.edu.co</t>
  </si>
  <si>
    <t>PINZON GARAVITO JEIMY KATERINE</t>
  </si>
  <si>
    <t>jeimypingar@unisabana.edu.co</t>
  </si>
  <si>
    <t>PINZON ROBAYO EDUAR LEONARDO</t>
  </si>
  <si>
    <t>eduarpiro@unisabana.edu.co</t>
  </si>
  <si>
    <t>REY MENDOZA GABRIELA</t>
  </si>
  <si>
    <t>gabrielareme@unisabana.edu.co</t>
  </si>
  <si>
    <t>REYES CARVAJAL SANDRA MILENA</t>
  </si>
  <si>
    <t>sandrareca@unisabana.edu.co</t>
  </si>
  <si>
    <t>RODRIGUEZ BUITRAGO JORGE GUILLERMO</t>
  </si>
  <si>
    <t>jorgerobu@unisabana.edu.co</t>
  </si>
  <si>
    <t>SANCHEZ MORENO SERGIO STEBAN</t>
  </si>
  <si>
    <t>sergiosamo@unisabana.edu.co</t>
  </si>
  <si>
    <t>URIBE SIERRA ERIKA PAOLA</t>
  </si>
  <si>
    <t>erikaursi@unisabana.edu.co</t>
  </si>
  <si>
    <t>YARA MARTIN NICHOL MARIA</t>
  </si>
  <si>
    <t>nicholyama@unisabana.edu.co</t>
  </si>
  <si>
    <t>ALVAREZ MALDONADO WENDY YANICZA</t>
  </si>
  <si>
    <t>wendyalma@unisabana.edu.co</t>
  </si>
  <si>
    <t>ARIAS TOBO LAURA NATALIA</t>
  </si>
  <si>
    <t>lauraarto@unisabana.edu.co</t>
  </si>
  <si>
    <t>BENITEZ POLOCHE MARIA FERNANDA</t>
  </si>
  <si>
    <t>mariabepo@unisabana.edu.co</t>
  </si>
  <si>
    <t>CARVAJAL VARGAS JUSTINE FARIDE</t>
  </si>
  <si>
    <t>justinecava@unisabana.edu.co</t>
  </si>
  <si>
    <t>COLMENARES MESTIZO KAREN LIZETH</t>
  </si>
  <si>
    <t>karencome@unisabana.edu.co</t>
  </si>
  <si>
    <t>DIAZ OSORIO CATALINA ROCIO</t>
  </si>
  <si>
    <t>catalinadios@unisabana.edu.co</t>
  </si>
  <si>
    <t>FONTALVO RIVERA MARIANA</t>
  </si>
  <si>
    <t>marianafori@unisabana.edu.co</t>
  </si>
  <si>
    <t>GÜIZA DIAZ ANGIE MARCELA</t>
  </si>
  <si>
    <t>angiegudi@unisabana.edu.co</t>
  </si>
  <si>
    <t>MOLINA QUINTERO HADA MARINA</t>
  </si>
  <si>
    <t>hadamoqu@unisabana.edu.co</t>
  </si>
  <si>
    <t>PIMIENTA GARCIA MAYRA ALEJANDRA</t>
  </si>
  <si>
    <t>mayrapimga@unisabana.edu.co</t>
  </si>
  <si>
    <t>POVEDA DIAZ SEBASTIAN</t>
  </si>
  <si>
    <t>sebastianpodi@unisabana.edu.co</t>
  </si>
  <si>
    <t>RIVERA RINCON ANGELICA MARIA</t>
  </si>
  <si>
    <t>angelicarivri@unisabana.edu.co</t>
  </si>
  <si>
    <t>RIVEROS TORRES   YASLY TATIANA</t>
  </si>
  <si>
    <t>yaslyrivto@unisabana.edu.co</t>
  </si>
  <si>
    <t>SANCHEZ ACOSTA ANDRES FELIPE</t>
  </si>
  <si>
    <t>andressaac@unisabana.edu.co</t>
  </si>
  <si>
    <t>ZAMORA RODRIGUEZ SERGIO ALEJANDRO</t>
  </si>
  <si>
    <t>sergiozaro@unisabana.edu.co</t>
  </si>
  <si>
    <t>ALVARADO CAMPOS MICHAEL STIVEN</t>
  </si>
  <si>
    <t>michaelalca@unisabana.edu.co</t>
  </si>
  <si>
    <t>ARIAS VELASQUEZ DANILO ALFONSO</t>
  </si>
  <si>
    <t>daniloarve@unisabana.edu.co</t>
  </si>
  <si>
    <t>BENAVIDES RUIZ JESAHEL STEPHANIE</t>
  </si>
  <si>
    <t>jesahelberu@unisabana.edu.co</t>
  </si>
  <si>
    <t>CALDERON HERNANDEZ ERIKA LORENA</t>
  </si>
  <si>
    <t>erikacalhe@unisabana.edu.co</t>
  </si>
  <si>
    <t>CASTILLO PARDO GINA PAOLA</t>
  </si>
  <si>
    <t>ginacaspa@unisabana.edu.co</t>
  </si>
  <si>
    <t>ESPITIA CARDOZA JHOJAN FABRICIO</t>
  </si>
  <si>
    <t>jhojanesca@unisabana.edu.co</t>
  </si>
  <si>
    <t>JIMENEZ ACUÑA GRACE STEPHANIA</t>
  </si>
  <si>
    <t>gracejiac@unisabana.edu.co</t>
  </si>
  <si>
    <t>LEON FERNANDEZ VICTOR ARMANDO</t>
  </si>
  <si>
    <t>victorlefe@unisabana.edu.co</t>
  </si>
  <si>
    <t>OSTHEIMER ROZO SEBASTIAN</t>
  </si>
  <si>
    <t>sebastianosro@unisabana.edu.co</t>
  </si>
  <si>
    <t>QUEVEDO CORREA JAVIER ANDRES</t>
  </si>
  <si>
    <t>javierquco@unisabana.edu.co</t>
  </si>
  <si>
    <t>SAAVEDRA CASTRO EVELYNG MARICEL</t>
  </si>
  <si>
    <t>evelyngsaca@unisabana.edu.co</t>
  </si>
  <si>
    <t>SOLANO ORJUELA JUAN DAVID</t>
  </si>
  <si>
    <t>juansolor@unisabana.edu.co</t>
  </si>
  <si>
    <t>TAVERA ARDILA ANTONIO</t>
  </si>
  <si>
    <t>antoniotaar@unisabana.edu.co</t>
  </si>
  <si>
    <t>VILLADA ROJAS NATALIA</t>
  </si>
  <si>
    <t>GARCIA GONZALEZ,VALENTINA</t>
  </si>
  <si>
    <t>VALENTINAGAGO@UNISABANA.EDU.CO</t>
  </si>
  <si>
    <t>RODRIGUEZ GUERRERO,WILLIAM DANIEL</t>
  </si>
  <si>
    <t>williamrogu@unisabana.edu.co</t>
  </si>
  <si>
    <t>SANTANA JIMENEZ,SANDRA MILENA</t>
  </si>
  <si>
    <t>sandrasanji@unisabana.edu.co</t>
  </si>
  <si>
    <t>BOLAÑOS FLOREZ,EDWIN EDWIN</t>
  </si>
  <si>
    <t>edwinbofl@unisabana.edu.co</t>
  </si>
  <si>
    <t>PINILLA GONZALEZ,ADRIANA MARIA</t>
  </si>
  <si>
    <t>adrianapigo@unisabana.edu.co</t>
  </si>
  <si>
    <t>PULGA BOHORQUEZ,DIANA GERALDINE</t>
  </si>
  <si>
    <t>dianapubo@unisabana.edu.co</t>
  </si>
  <si>
    <t>RUBIANO ROJAS,JUAN CAMILO</t>
  </si>
  <si>
    <t>juanrubroj@unisabana.edu.co</t>
  </si>
  <si>
    <t>ANGEL VERA,DIANA MARCELA</t>
  </si>
  <si>
    <t>dianaanve@unisabana.edu.co</t>
  </si>
  <si>
    <t>CHAPARRO GRANADOS,WILLIAM RICARDO</t>
  </si>
  <si>
    <t>williamchgr@unisabana.edu.co</t>
  </si>
  <si>
    <t>GALINDO MONCADA,YULI ANDREA</t>
  </si>
  <si>
    <t>yuligamo@unisabana.edu.co</t>
  </si>
  <si>
    <t>MENDEZ SANCHEZ,ANGELA KATHERINE</t>
  </si>
  <si>
    <t>angelamesa@unisabana.edu.co</t>
  </si>
  <si>
    <t>MONTAÑO ESPITIA,HERNAN DARIO</t>
  </si>
  <si>
    <t>hernanmoes@unisabana.edu.co</t>
  </si>
  <si>
    <t>ROCHA PIÑEROS,YENNY ROCIO</t>
  </si>
  <si>
    <t>yennyropi@unisabana.edu.co</t>
  </si>
  <si>
    <t>ROJAS VEGA,YESENIA</t>
  </si>
  <si>
    <t>yeseniarove@unisabana.edu.co</t>
  </si>
  <si>
    <t>VARGAS GUATAQUIRA,OSCAR GABRIEL</t>
  </si>
  <si>
    <t>oscarvagu@unisabana.edu.co</t>
  </si>
  <si>
    <t>VEGA GALEANO,CLAUDIA PATRICIA</t>
  </si>
  <si>
    <t>claudiavegga@unisabana.edu.co</t>
  </si>
  <si>
    <t>SILVA RINCON,DARWIN IVAN</t>
  </si>
  <si>
    <t>darwinsiri@unisabana.edu.co</t>
  </si>
  <si>
    <t>GONZALEZ PUERTO,MARIA FERNANDA</t>
  </si>
  <si>
    <t>mariagopu@unisabana.edu.co</t>
  </si>
  <si>
    <t>URREGO JIMENEZ,JAVIER</t>
  </si>
  <si>
    <t>javierurji@unisabana.edu.co</t>
  </si>
  <si>
    <t>MAZZANTI ,FRANCESCA</t>
  </si>
  <si>
    <t>francescamaz@unisabana.edu.co</t>
  </si>
  <si>
    <t>GRANADOS AVILA,ANGIE LORENA</t>
  </si>
  <si>
    <t>angiegraav@unisabana.edu.co</t>
  </si>
  <si>
    <t>BARRETO MARQUEZ MARITZA CAROLINA</t>
  </si>
  <si>
    <t>maritzabama@unisabana.edu.co</t>
  </si>
  <si>
    <t>PIÑEROS QUIROZ,SANDRA PILAR</t>
  </si>
  <si>
    <t>sandrapiqu@unisabana.edu.co</t>
  </si>
  <si>
    <t>BURGOS MARTINEZ,JULIO ALDEMAR</t>
  </si>
  <si>
    <t>juliobuma@unisabana.edu.co</t>
  </si>
  <si>
    <t>GOMEZ ORTIZ,AFFRA MILENA</t>
  </si>
  <si>
    <t>affragoor@unisabana.edu.co</t>
  </si>
  <si>
    <t>PINILLA GONGORA,SANDRA XIMENA</t>
  </si>
  <si>
    <t>sandrapingon@unisabana.edu.co</t>
  </si>
  <si>
    <t>RODRIGUEZ VILLAFORA,WILMER EDUARDO</t>
  </si>
  <si>
    <t>wilmerrovi@unisabana.edu.co</t>
  </si>
  <si>
    <t xml:space="preserve">ARIAS CIFUENTES,YURY LORENA </t>
  </si>
  <si>
    <t>yuryarci@unisabana.edu.co</t>
  </si>
  <si>
    <t>MELO OLAYA,BELINDA NAYIBE</t>
  </si>
  <si>
    <t>belindameol@unisabana.edu.co</t>
  </si>
  <si>
    <t>YARA ROMERO,LUBY MIREYA</t>
  </si>
  <si>
    <t>lubyyaro@unisabana.edu.co</t>
  </si>
  <si>
    <t>MARTINEZ MORALES,YESSIKA SOLANGY</t>
  </si>
  <si>
    <t>yessikamarmo@unisabana.edu.co</t>
  </si>
  <si>
    <t>SANCHEZ VARGAS,EVELIN DAYANNA</t>
  </si>
  <si>
    <t>evelinsava@unisabana.edu.co</t>
  </si>
  <si>
    <t>ALARCON TALAVERA,MARIA LAURA</t>
  </si>
  <si>
    <t>mariaalta@unisabana.edu.co</t>
  </si>
  <si>
    <t>CHAVES ARDILA,NICOLAS</t>
  </si>
  <si>
    <t>nicolaschar@unisabana.edu.co</t>
  </si>
  <si>
    <t>PLACENCIO VALERIO,LEISSY MACIEL</t>
  </si>
  <si>
    <t>leissyplva@unisabana.edu.co</t>
  </si>
  <si>
    <t>SALAZAR BEDOYA SANDRA YULIETH</t>
  </si>
  <si>
    <t>sandrasalbe@unisabana.edu.co</t>
  </si>
  <si>
    <t>LINARES LEGUIZAMON,HECTOR RICARDO</t>
  </si>
  <si>
    <t>hectorlile@unisabana.edu.co</t>
  </si>
  <si>
    <t>RIOS CABO,ALEJANDRA ALEJANDRA</t>
  </si>
  <si>
    <t>alejandrarica@unisabana.edu.co</t>
  </si>
  <si>
    <t>AMAYA GONZALEZ,EVER</t>
  </si>
  <si>
    <t>everamgo@unisabana.edu.co</t>
  </si>
  <si>
    <t>AGUDELO MUÑOZ,CLAUDIA PATRICIA</t>
  </si>
  <si>
    <t>claudiaagmu@unisabana.edu.co</t>
  </si>
  <si>
    <t>PINEDA MURCIA,YENNY VIVIANA</t>
  </si>
  <si>
    <t>yennypimu@unisabana.edu.co</t>
  </si>
  <si>
    <t>PINZON ZAMUDIO,ERIKA PAOLA</t>
  </si>
  <si>
    <t>erikapiza@unisabana.edu.co</t>
  </si>
  <si>
    <t>RUIZ RUIZ,ANA CLAUDIA</t>
  </si>
  <si>
    <t>anaruiru@unisabana.edu.co</t>
  </si>
  <si>
    <t>RUIZ LOPEZ,ROXANNA YAREZZI</t>
  </si>
  <si>
    <t>roxannarulo@unisabana.edu.co</t>
  </si>
  <si>
    <t>ARISTIZABAL DUQUE,NATALIA ANDREA</t>
  </si>
  <si>
    <t>nataliaardu@unisabana.edu.co</t>
  </si>
  <si>
    <t>CORREALES LAMUS MARIA DANIELA</t>
  </si>
  <si>
    <t>mariacorla@unisabana.edu.co</t>
  </si>
  <si>
    <t>VILLA ORTEGA,LAURA SOFIA</t>
  </si>
  <si>
    <t>lauravilor@unisabana.edu.co</t>
  </si>
  <si>
    <t>QUIJANO MAHECHA,ISMAEL</t>
  </si>
  <si>
    <t>ismaelquma@unisabana.edu.co</t>
  </si>
  <si>
    <t>RAMIREZ PACHECO,ANDREA MIROSLAVA</t>
  </si>
  <si>
    <t>andrearampa@unisabana.edu.co</t>
  </si>
  <si>
    <t>URREA PALACIOS,LUIS ENRIQUE</t>
  </si>
  <si>
    <t>luisurpa@unisabana.edu.co</t>
  </si>
  <si>
    <t>NOY GIL,DIANA CAROLINA</t>
  </si>
  <si>
    <t>diananogi@unisabana.edu.co</t>
  </si>
  <si>
    <t>WALTEROS LARA,STEFANIA</t>
  </si>
  <si>
    <t>stefaniawawa@unisabana.edu.co</t>
  </si>
  <si>
    <t>LARA MALAGON,NAIRO HERNAN</t>
  </si>
  <si>
    <t>nairolama@unisabana.edu.co</t>
  </si>
  <si>
    <t>RIOS BAUTISTA,MARIA ALEJANDRA</t>
  </si>
  <si>
    <t>mariarioba@unisabana.edu.co</t>
  </si>
  <si>
    <t>JAIMES SOLANO,YULY MIREYA</t>
  </si>
  <si>
    <t>yulyjaso@unisabana.edu.co</t>
  </si>
  <si>
    <t>DIAZ MONTES,MARIA LUISA</t>
  </si>
  <si>
    <t>mariadiamon@unisabana.edu.co</t>
  </si>
  <si>
    <t>SERRANO MAHECHA,MARIA DEL CARMEN</t>
  </si>
  <si>
    <t>mariasermah@unisabana.edu.co</t>
  </si>
  <si>
    <t>MORENO RENGIFO,FELIPE</t>
  </si>
  <si>
    <t>felipemore@unisabana.edu.co</t>
  </si>
  <si>
    <t>LOPEZ IBARRA,JAVIER ESTEBAN</t>
  </si>
  <si>
    <t>javierloib@unisabana.edu.co</t>
  </si>
  <si>
    <t>JURADO PABON,ERIKA JULIETH</t>
  </si>
  <si>
    <t>erikajupa@unisabana.edu.co</t>
  </si>
  <si>
    <t>URRUTIA MARTINEZ,HARRINSON JAVIER</t>
  </si>
  <si>
    <t>harrinsonurma@unisabana.edu.co</t>
  </si>
  <si>
    <t>BURGOS JÁCOME,DAVID ANDRÉS</t>
  </si>
  <si>
    <t>davidbuja@unisabana.edu.co</t>
  </si>
  <si>
    <t>SANTIESTEBAN BAEZ,FRANCISCO JAVIER</t>
  </si>
  <si>
    <t>francisco.santiesteban@unisabana.edu.co</t>
  </si>
  <si>
    <t>RODRIGUEZ IPUANA NELLY MARIA</t>
  </si>
  <si>
    <t>nellyroip@unisabana.edu.co</t>
  </si>
  <si>
    <t>BERMUDEZ AREVALO ABIALEXIS YOMARIS</t>
  </si>
  <si>
    <t>abialexisbear@unisabana.edu.co</t>
  </si>
  <si>
    <t>ESCORCIA FONTALVO DERIS MARIELA</t>
  </si>
  <si>
    <t>derisesfo@unisabana.edu.co</t>
  </si>
  <si>
    <t>ORTIZ PADILLA LUIS ALBERTO</t>
  </si>
  <si>
    <t>luisortpa@unisabana.edu.co</t>
  </si>
  <si>
    <t>PEÑATE ALEAN VIVIAN DOLORES</t>
  </si>
  <si>
    <t>vivianpeal@unisabana.edu.co</t>
  </si>
  <si>
    <t>RAMIREZ SARMIENTO CANDELARIA DELSOCORRO</t>
  </si>
  <si>
    <t>candelariarasa@unisabana.edu.co</t>
  </si>
  <si>
    <t>AREVALO IGUARAN YESENIS LAUDITH</t>
  </si>
  <si>
    <t>yesenisarig@unisabana.edu.co</t>
  </si>
  <si>
    <t>PALAU AMAYA KAREN SARITH</t>
  </si>
  <si>
    <t>karenpaam@unisabana.edu.co</t>
  </si>
  <si>
    <t>IGUARAN BERTTIZ KEILIN MIKETH</t>
  </si>
  <si>
    <t>keilinigbe@unisabana.edu.co</t>
  </si>
  <si>
    <t>TORRES CUAN GITZY LORENA</t>
  </si>
  <si>
    <t>gitzytocu@unisabana.edu.co</t>
  </si>
  <si>
    <t>BOLIVAR MENDOZA RICHAR JOSE</t>
  </si>
  <si>
    <t>richarbome@unisabana.edu.co</t>
  </si>
  <si>
    <t>CARRILLO PINTO LOURDES</t>
  </si>
  <si>
    <t>lourdescapi@unisabana.edu.co</t>
  </si>
  <si>
    <t>LOPEZ EPIEYU HAIDA SILVINA</t>
  </si>
  <si>
    <t>haidaloep@unisabana.edu.co</t>
  </si>
  <si>
    <t>DIAZ DIAZ YIRIS TRINIDAD</t>
  </si>
  <si>
    <t>yirisdidi@unisabana.edu.co</t>
  </si>
  <si>
    <t>JACOME MEJIA ALFONSO JULIO</t>
  </si>
  <si>
    <t>alfonsojame@unisabana.edu.co</t>
  </si>
  <si>
    <t>CARDENAS DELAHOZ KEESS MITSILAITH</t>
  </si>
  <si>
    <t>keesscaho@unisabana.edu.co</t>
  </si>
  <si>
    <t>HERRERA REDONDO ARELIS JOSEFINA</t>
  </si>
  <si>
    <t>arelishere@unisabana.edu.co</t>
  </si>
  <si>
    <t>MEJIA TAPIA YINDRIS YULIETH</t>
  </si>
  <si>
    <t>yindrismeta@unisabana.edu.co</t>
  </si>
  <si>
    <t>RODRIGUEZACOSTA FANNY NOHEMI</t>
  </si>
  <si>
    <t>fannyroac@unisabana.edu.co</t>
  </si>
  <si>
    <t>CAMARGO PALMEZANO YURANIS</t>
  </si>
  <si>
    <t>yuraniscampa@unisabana.edu.co</t>
  </si>
  <si>
    <t>FRAGOZO PINTO YAMILE JOSEFINA</t>
  </si>
  <si>
    <t>yamilefrpi@unisabana.edu.co</t>
  </si>
  <si>
    <t>SOTO BARROS SARAY ISABEL</t>
  </si>
  <si>
    <t>saraysoba@unisabana.edu.co</t>
  </si>
  <si>
    <t>CANTILLO POLO TEOMATILDE</t>
  </si>
  <si>
    <t>teomatildecapo@unisabana.edu.co</t>
  </si>
  <si>
    <t>EPINAYU IPUANA BLANCA ELENA</t>
  </si>
  <si>
    <t>blancaepip@unisabana.edu.co</t>
  </si>
  <si>
    <t>IPUANA URIANA SONIA ISABEL</t>
  </si>
  <si>
    <t>soniaipur@unisabana.edu.co</t>
  </si>
  <si>
    <t>DÕAZ MADRID SANDRA PATRICIA</t>
  </si>
  <si>
    <t>sandradima@unisabana.edu.co</t>
  </si>
  <si>
    <t>BOURIYU BARLIZA ELVIRA</t>
  </si>
  <si>
    <t>elvirabouba@unisabana.edu.co</t>
  </si>
  <si>
    <t>DUARTE EPINAYU SOL ELVIRA</t>
  </si>
  <si>
    <t>solduep@unisabana.edu.co</t>
  </si>
  <si>
    <t>FRIAS  ELAINE</t>
  </si>
  <si>
    <t>elainefrpa@unisabana.edu.co</t>
  </si>
  <si>
    <t>TORRES AMAYA MAURIE ELLAINE</t>
  </si>
  <si>
    <t>maurietoam@unisabana.edu.co</t>
  </si>
  <si>
    <t>DE LUQUEPINTO YOVIR RAUL</t>
  </si>
  <si>
    <t>yovirdepi@unisabana.edu.co</t>
  </si>
  <si>
    <t>MEZA EPIAYU ARMINTA</t>
  </si>
  <si>
    <t>armintameep@unisabana.edu.co</t>
  </si>
  <si>
    <t>BONIVENTO IPUANA BEATRIZ ISABEL</t>
  </si>
  <si>
    <t>isabelboip@unisabana.edu.co</t>
  </si>
  <si>
    <t>SUAREZ ARPUSHANA AMERICA</t>
  </si>
  <si>
    <t>americasuar@unisabana.edu.co</t>
  </si>
  <si>
    <t>HERRERA REDONDO MILAXI MARIA</t>
  </si>
  <si>
    <t>milaxihere@unisabana.edu.co</t>
  </si>
  <si>
    <t>VILORIA BOHORQUEZ JUDITH DELCARMEN</t>
  </si>
  <si>
    <t>judithvibo@unisabana.edu.co</t>
  </si>
  <si>
    <t>MAGDANIEL VANEGAS ROSYMAR</t>
  </si>
  <si>
    <t>rosymarmava@unisabana.edu.co</t>
  </si>
  <si>
    <t>GUZMAN GUTIERREZ JULIO CESAR</t>
  </si>
  <si>
    <t>juliogugu@unisabana.edu.co</t>
  </si>
  <si>
    <t>VARGAS ROMERO SARA TERESA</t>
  </si>
  <si>
    <t>saravaro@unisabana.edu.co</t>
  </si>
  <si>
    <t>MEDINA SUAREZ MARICRUZ</t>
  </si>
  <si>
    <t>maricruzmesu@unisabana.edu.co</t>
  </si>
  <si>
    <t>BARROS DUARTE GABRIEL RODRIGO</t>
  </si>
  <si>
    <t>gabrielbadu@unisabana.edu.co</t>
  </si>
  <si>
    <t>HENRIQUEZ GONZALEZ ANA OFELIA</t>
  </si>
  <si>
    <t>anahengo@unisabana.edu.co</t>
  </si>
  <si>
    <t>EPIAYU MENGUAL DIANA</t>
  </si>
  <si>
    <t>dianaepme@unisabana.edu.co</t>
  </si>
  <si>
    <t>ATENCIO GONZALEZ ELVIA ROSA</t>
  </si>
  <si>
    <t>elviaatgo@unisabana.edu.co</t>
  </si>
  <si>
    <t>CUBIDES DEGONZALEZ GLADYS</t>
  </si>
  <si>
    <t>gladyscugo@unisabana.edu.co</t>
  </si>
  <si>
    <t>MEJIA PEDROZA ASTRID ESTHER</t>
  </si>
  <si>
    <t>astridmepe@unisabana.edu.co</t>
  </si>
  <si>
    <t>BARROS DUARTE ADRIANA VICTORIA</t>
  </si>
  <si>
    <t>adrianabardu@unisabana.edu.co</t>
  </si>
  <si>
    <t>CORONADO ARPUSHANA LILIANA MARIA</t>
  </si>
  <si>
    <t>lilianacorar@unisabana.edu.co</t>
  </si>
  <si>
    <t>PIMIENTA GUTIERREZ CINDY BILLEIDIS</t>
  </si>
  <si>
    <t>cindypigu@unisabana.edu.co</t>
  </si>
  <si>
    <t>HERNANDEZ GONZALEZ DARY LUZ</t>
  </si>
  <si>
    <t>daryhego@unisabana.edu.co</t>
  </si>
  <si>
    <t>VILLAMIZAR SU¡REZ FRANCISCO RAFAEL</t>
  </si>
  <si>
    <t>franciscovisu@unisabana.edu.co</t>
  </si>
  <si>
    <t>MEZA ALARCON YOIS MILENA</t>
  </si>
  <si>
    <t>yoismeal@unisabana.edu.co</t>
  </si>
  <si>
    <t>MOLINA DAZA JHONATTAN EDUARDO</t>
  </si>
  <si>
    <t>jhonattanmoda@unisabana.edu.co</t>
  </si>
  <si>
    <t>CHILITO IGUARAN FABIAN ARMANDO</t>
  </si>
  <si>
    <t>fabianchig@unisabana.edu.co</t>
  </si>
  <si>
    <t>TORO PEREZ XIMENA MARIA</t>
  </si>
  <si>
    <t>ximenatope@unisabana.edu.co</t>
  </si>
  <si>
    <t>ROJAS PALACIO DAYANA CAROLINA</t>
  </si>
  <si>
    <t>dayanaropa@unisabana.edu.co</t>
  </si>
  <si>
    <t>PISCIOTTI CARDENAS LEHNNER</t>
  </si>
  <si>
    <t>lehnnerpica@unisabana.edu.co</t>
  </si>
  <si>
    <t>GONZALEZ  BEIZA ANDREINA</t>
  </si>
  <si>
    <t>beizago@unisabana.edu.co</t>
  </si>
  <si>
    <t>IPUANA GONZALEZ CARMEN</t>
  </si>
  <si>
    <t>carmeipgo@unisabana.edu.co</t>
  </si>
  <si>
    <t>IPIANA GOZALEZ SARAI DELCARMEN</t>
  </si>
  <si>
    <t>saraigoip@unisabana.edu.co</t>
  </si>
  <si>
    <t>CAMBAR  YENIS LILIBETH</t>
  </si>
  <si>
    <t>yenisca@unisabana.edu.co</t>
  </si>
  <si>
    <t>AGUILAR MUNERA,HEIDY YASBLEY</t>
  </si>
  <si>
    <t>heidyagmu@unisabana.edu.co</t>
  </si>
  <si>
    <t>AGUIRRE VARGAS,SANDRA YANETH</t>
  </si>
  <si>
    <t>sandraagva@unisabana.edu.co</t>
  </si>
  <si>
    <t>APARICIO SANDOVAL,HENRY</t>
  </si>
  <si>
    <t>henryapsa@unisabana.edu.co</t>
  </si>
  <si>
    <t>CASTRO CASTIBLANCO,JOSE GONZALO</t>
  </si>
  <si>
    <t>josecascas@unisabana.edu.co</t>
  </si>
  <si>
    <t>FIRAVITOVA PINEDA,SANDRA EDITH</t>
  </si>
  <si>
    <t>sandrafipi@unisabana.edu.co</t>
  </si>
  <si>
    <t>GARZON GORDILLO,LADY PAOLA</t>
  </si>
  <si>
    <t>ladygago@unisabana.edu.co</t>
  </si>
  <si>
    <t>HERNANDEZ CHIMBI,OLGA CECILIA</t>
  </si>
  <si>
    <t>olgahech@unisabana.edu.co</t>
  </si>
  <si>
    <t>LEMUS ESCOBAR,JUAN GABRIEL</t>
  </si>
  <si>
    <t>juanlees@unisabana.edu.co</t>
  </si>
  <si>
    <t>MUNOZ GOMEZ,JUAN MANUEL</t>
  </si>
  <si>
    <t>juanmungo@unisabana.edu.co</t>
  </si>
  <si>
    <t>REYES BERMUDEZ,NASDY ASTRID</t>
  </si>
  <si>
    <t>nasdyrebe@unisabana.edu.co</t>
  </si>
  <si>
    <t>RODRIGUEZ JURADO,MAURICIO ALEJANDRO</t>
  </si>
  <si>
    <t>mauricioroju@unisabana.edu.co</t>
  </si>
  <si>
    <t>RODRIGUEZ ROMERO,MONICA LUCIA</t>
  </si>
  <si>
    <t>monicarodro@unisabana.edu.co</t>
  </si>
  <si>
    <t>SAAVEDRA POVEDA,CLAUDIA PATRICIA</t>
  </si>
  <si>
    <t>claudiasaapo@unisabana.edu.co</t>
  </si>
  <si>
    <t>SABOGAL REYES,YAMILE ANDREA</t>
  </si>
  <si>
    <t>yamilesare@unisabana.edu.co</t>
  </si>
  <si>
    <t>SIERRA TORRES,ADRIANA MARIA</t>
  </si>
  <si>
    <t>adrianasito@unisabana.edu.co</t>
  </si>
  <si>
    <t>SOTO TORRES,LEIDY JOHANA</t>
  </si>
  <si>
    <t>leidysoto@unisabana.edu.co</t>
  </si>
  <si>
    <t>TORRES LANCHEROS,YUDI LIZETH</t>
  </si>
  <si>
    <t>yuditola@unisabana.edu.co</t>
  </si>
  <si>
    <t>VARGAS AGUAZACO,LIZETH LORENA</t>
  </si>
  <si>
    <t>lizethvaag@unisabana.edu.co</t>
  </si>
  <si>
    <t>VILLALOBOS GOMEZ,YURANI</t>
  </si>
  <si>
    <t>yuranivigo@unisabana.edu.co</t>
  </si>
  <si>
    <t>ACUNA RIOS,OLGA PATRICIA</t>
  </si>
  <si>
    <t>olgaacri@unisabana.edu.co</t>
  </si>
  <si>
    <t>CAMACHO SANABRIA,DIANA PAOLA</t>
  </si>
  <si>
    <t>dianacamsa@unisabana.edu.co</t>
  </si>
  <si>
    <t>CASTILLO DURAN,EDGAR EDUARDO</t>
  </si>
  <si>
    <t>edgarcadu@unisabana.edu.co</t>
  </si>
  <si>
    <t>MARTINEZ MORENO,ELIANY ANDREA</t>
  </si>
  <si>
    <t>elianymarmo@unisabana.edu.co</t>
  </si>
  <si>
    <t>MORENO FAJARDO,JAIME ANDRES</t>
  </si>
  <si>
    <t>jaimemofa@unisabana.edu.co</t>
  </si>
  <si>
    <t>OLMOS GONZALEZ,YENY PATRICIA</t>
  </si>
  <si>
    <t>yenyolgo@unisabana.edu.co</t>
  </si>
  <si>
    <t>ORTIZ LOZANO,ANGELICA MARIA</t>
  </si>
  <si>
    <t>angelicaorlo@unisabana.edu.co</t>
  </si>
  <si>
    <t>PINZON AVENDANO,ALVARO ANTONIO</t>
  </si>
  <si>
    <t>alvaropiav@unisabana.edu.co</t>
  </si>
  <si>
    <t>REYES ORJUELA,LINA MARIA</t>
  </si>
  <si>
    <t>linareor@unisabana.edu.co</t>
  </si>
  <si>
    <t>TORRES GONZALEZ,EDWARD MAURICIO</t>
  </si>
  <si>
    <t>edwardtogo@unisabana.edu.co</t>
  </si>
  <si>
    <t>VARGAS RODRIGUEZ,MARIA FERNANDA</t>
  </si>
  <si>
    <t>mariavarrod@unisabana.edu.co</t>
  </si>
  <si>
    <t>SALINAS CHALA,MARTHA LILI</t>
  </si>
  <si>
    <t>marthasach@unisabana.edu.co</t>
  </si>
  <si>
    <t>BERMUDEZ CASTRO,DILEYNY AIDYN</t>
  </si>
  <si>
    <t>dileynybeca@unisabana.edu.co</t>
  </si>
  <si>
    <t>QUEVEDO ROJAS,HENRY EDUARDO</t>
  </si>
  <si>
    <t>henryquro@unisabana.edu.co</t>
  </si>
  <si>
    <t xml:space="preserve">TALAGA PERUCHO MARINA </t>
  </si>
  <si>
    <t>marinatape@unisabana.edu.co</t>
  </si>
  <si>
    <t xml:space="preserve">BOHORQUEZ ESCANDON JACQUELYN </t>
  </si>
  <si>
    <t>jacquelynboes@unisabana.edu.co</t>
  </si>
  <si>
    <t>RAMOS TRUJILLO DIEGO ALEJANDRO</t>
  </si>
  <si>
    <t>diegoratr@unisabana.edu.co</t>
  </si>
  <si>
    <t>ORDOÑEZ MUÑOZ DILSA LIZETH</t>
  </si>
  <si>
    <t>dilsaormu@unisabana.edu.co</t>
  </si>
  <si>
    <t>CABEZAS  CLAUDIA MIRIAM</t>
  </si>
  <si>
    <t>claudiacab@unisabana.edu.co</t>
  </si>
  <si>
    <t>GALINDEZ CRUZ WILSON EMIYER</t>
  </si>
  <si>
    <t>wilsongacr@unisabana.edu.co</t>
  </si>
  <si>
    <t xml:space="preserve">CHICA ARCE MERLY </t>
  </si>
  <si>
    <t>merlychar@unisabana.edu.co</t>
  </si>
  <si>
    <t>RAMIREZ  YESICA CAROLINA</t>
  </si>
  <si>
    <t>yesicara@unisabana.edu.co</t>
  </si>
  <si>
    <t>PEREZ GORDILLO MARIA JULIANA</t>
  </si>
  <si>
    <t>mariapergor@unisabana.edu.co</t>
  </si>
  <si>
    <t>QUINTERO GARAVIZ OSCAR MAURICIO</t>
  </si>
  <si>
    <t>oscarquiga@unisabana.edu.co</t>
  </si>
  <si>
    <t xml:space="preserve">MONTENEGRO MU—OZ ACENETH </t>
  </si>
  <si>
    <t>acenethmomu@unisabana.edu.co</t>
  </si>
  <si>
    <t>AGUILAR BOURIYU WILDER JOSE</t>
  </si>
  <si>
    <t>wilderagbo@unisabana.edu.co</t>
  </si>
  <si>
    <t>AGUILAR GOMEZ ANA LUZ</t>
  </si>
  <si>
    <t>anaaggo@unisabana.edu.co</t>
  </si>
  <si>
    <t>ALARCON ARPUSHANA YINDI LORENA</t>
  </si>
  <si>
    <t>yindialar@unisabana.edu.co</t>
  </si>
  <si>
    <t>ALMAZO PUSHAINA BERTILDA DOLORES</t>
  </si>
  <si>
    <t>bertildaalpu@unisabana.edu.co</t>
  </si>
  <si>
    <t xml:space="preserve">AMAYA CURVELO MAYULIS </t>
  </si>
  <si>
    <t>mayulisamcu@unisabana.edu.co</t>
  </si>
  <si>
    <t xml:space="preserve">APUSHANA  CAROLINA </t>
  </si>
  <si>
    <t>carolinaapu@unisabana.edu.co</t>
  </si>
  <si>
    <t>ATENCIO PINTO YELITZA MARIA</t>
  </si>
  <si>
    <t>yelitzaatpi@unisabana.edu.co</t>
  </si>
  <si>
    <t xml:space="preserve">BASTIDAS MOLINA BIENVENIDO </t>
  </si>
  <si>
    <t>bienvenidobamo@unisabana.edu.co</t>
  </si>
  <si>
    <t>BONILLA MEJIA BERTHA MARINA</t>
  </si>
  <si>
    <t>berthabome@unisabana.edu.co</t>
  </si>
  <si>
    <t>BONIVENTO RIVERA NAYIBE MARGARITA</t>
  </si>
  <si>
    <t>nayibebori@unisabana.edu.co</t>
  </si>
  <si>
    <t xml:space="preserve">BONIVENTO URIANA NAPOLEON </t>
  </si>
  <si>
    <t>napoleonbour@unisabana.edu.co</t>
  </si>
  <si>
    <t>BONIVENTO VANGRIEKEN JOHN JAIRO</t>
  </si>
  <si>
    <t>johnbogr@unisabana.edu.co</t>
  </si>
  <si>
    <t>BRITO COTES JOSE MARIA</t>
  </si>
  <si>
    <t>josebrco@unisabana.edu.co</t>
  </si>
  <si>
    <t>CAMBAR ARPUSHANA AURA CECILIA</t>
  </si>
  <si>
    <t>auracamar@unisabana.edu.co</t>
  </si>
  <si>
    <t>CAMBAR ARPUSHANA LUZ BETINA</t>
  </si>
  <si>
    <t>luzcamarp@unisabana.edu.co</t>
  </si>
  <si>
    <t>CUADRADO DELUQUE EMILDA CONCEPCION</t>
  </si>
  <si>
    <t>emildacude@unisabana.edu.co</t>
  </si>
  <si>
    <t xml:space="preserve">DIAZ VILLEGAS ARLENIS </t>
  </si>
  <si>
    <t>arlenisdivi@unisabana.edu.co</t>
  </si>
  <si>
    <t>ESPELETA ARPUSHANA JORGE ELIECER</t>
  </si>
  <si>
    <t>jorgeespar@unisabana.edu.co</t>
  </si>
  <si>
    <t>FERNANDEZ PUSHAINA AMILCAR LEOVIGILDO</t>
  </si>
  <si>
    <t>amilcarfepu@unisabana.edu.co</t>
  </si>
  <si>
    <t>FLOREZ MIRANDA AURA CRISTINA</t>
  </si>
  <si>
    <t>auraflmi@unisabana.edu.co</t>
  </si>
  <si>
    <t>FUENTES GONZALEZ LEONARDIS MOISES</t>
  </si>
  <si>
    <t>leonardisfugo@unisabana.edu.co</t>
  </si>
  <si>
    <t>G”MEZ DELUQUE DEYANIRA BEATRIZ</t>
  </si>
  <si>
    <t>deyaniragode@unisabana.edu.co</t>
  </si>
  <si>
    <t>GOMEZ JUSAYU MARLIS LIZETH</t>
  </si>
  <si>
    <t>marlisgoju@unisabana.edu.co</t>
  </si>
  <si>
    <t>HERRERA BONIVENTO AMERLY PATRICIA</t>
  </si>
  <si>
    <t>amerlyhebo@unisabana.edu.co</t>
  </si>
  <si>
    <t>HERRERA BONIVENTO JOHANIS ELENA</t>
  </si>
  <si>
    <t>yohanishebo@unisabana.edu.co</t>
  </si>
  <si>
    <t>IBARRA IBARRA FARID SADAC</t>
  </si>
  <si>
    <t>faridibib@unisabana.edu.co</t>
  </si>
  <si>
    <t>IGUAR¡N IPUANA JOSE EDUARDO</t>
  </si>
  <si>
    <t>joseigip@unisabana.edu.co</t>
  </si>
  <si>
    <t>IPUANA EPINAYU MARIA CECILIA</t>
  </si>
  <si>
    <t>mariaipep@unisabana.edu.co</t>
  </si>
  <si>
    <t>MARTINEZ CEBALLOS ANDRES FERNANDO</t>
  </si>
  <si>
    <t>andresmace@unisabana.edu.co</t>
  </si>
  <si>
    <t xml:space="preserve">MENGUAL IPUANA LUCINDA </t>
  </si>
  <si>
    <t>lucindameip@unisabana.edu.co</t>
  </si>
  <si>
    <t>MERCADO VALERA YINETH ROCIO</t>
  </si>
  <si>
    <t>yinethmeva@unisabana.edu.co</t>
  </si>
  <si>
    <t>MIRTA YOLIMA GOMEZ SALAZAR</t>
  </si>
  <si>
    <t>mirtagosa@unisabana.edu.co</t>
  </si>
  <si>
    <t>MU—IZ SIERRA YOANIS DEJESUS</t>
  </si>
  <si>
    <t>yoanismusi@unisabana.edu.co</t>
  </si>
  <si>
    <t xml:space="preserve">MULATO LOPEZ CESAR </t>
  </si>
  <si>
    <t>cesarmulo@unisabana.edu.co</t>
  </si>
  <si>
    <t>ORTIZ DUARTE DIANA PAOLA</t>
  </si>
  <si>
    <t>dianaordu@unisabana.edu.co</t>
  </si>
  <si>
    <t>PAZ PALACIO YINETH MIRLEYS</t>
  </si>
  <si>
    <t>yinethpapa@unisabana.edu.co</t>
  </si>
  <si>
    <t>PEREZ CANTILLO JAIRO ALBERTO</t>
  </si>
  <si>
    <t>jairopercan@unisabana.edu.co</t>
  </si>
  <si>
    <t>PIMIENTA BRAVO YOENA YESIHT</t>
  </si>
  <si>
    <t>yoenapibr@unisabana.edu.co</t>
  </si>
  <si>
    <t xml:space="preserve">PINTO ARPUSHANA MAGALIS </t>
  </si>
  <si>
    <t>magalispiar@unisabana.edu.co</t>
  </si>
  <si>
    <t>PUSHAINA GONZALES KETTY</t>
  </si>
  <si>
    <t>kettypugo@unisabana.edu.co</t>
  </si>
  <si>
    <t>RADILLO MENA JUSTINIANO MANUEL</t>
  </si>
  <si>
    <t>justinianorame@unisabana.edu.co</t>
  </si>
  <si>
    <t>RAMIREZ PINZON FELIX ANTONIO</t>
  </si>
  <si>
    <t>felixrapi@unisabana.edu.co</t>
  </si>
  <si>
    <t>REDONDO CASTA—EDA ERILADYS NOHEMI</t>
  </si>
  <si>
    <t>eriladysreca@unisabana.edu.co</t>
  </si>
  <si>
    <t>ROBLES VELASQUEZ CARMEN ALICIA</t>
  </si>
  <si>
    <t>carmenrove@unisabana.edu.co</t>
  </si>
  <si>
    <t>RODRIGUEZ ALVAREZ LINA MILENA</t>
  </si>
  <si>
    <t>linaroal@unisabana.edu.co</t>
  </si>
  <si>
    <t>ROMERO CHARRYS KAREN MILENA</t>
  </si>
  <si>
    <t>karenroch@unisabana.edu.co</t>
  </si>
  <si>
    <t>SAPUANA ,CARLINA MILENA</t>
  </si>
  <si>
    <t>carlinasa@unisabana.edu.co</t>
  </si>
  <si>
    <t>SILVA PANA ELVIA SUARA</t>
  </si>
  <si>
    <t>elviasipa@unisabana.edu.co</t>
  </si>
  <si>
    <t>SIMANCAS RUIZ JOSE ANGEL</t>
  </si>
  <si>
    <t>josesiru@unisabana.edu.co</t>
  </si>
  <si>
    <t>SIOSI PINTO KAREN YULIET</t>
  </si>
  <si>
    <t>karensipi@unisabana.edu.co</t>
  </si>
  <si>
    <t>SOLANO MEJIA ROBINSON LUIS</t>
  </si>
  <si>
    <t>robinsonsome@unisabana.edu.co</t>
  </si>
  <si>
    <t>SOLORZANO SOLIS EILIN YURANIS</t>
  </si>
  <si>
    <t>eilinsoso@unisabana.edu.co</t>
  </si>
  <si>
    <t>TOVAR VELASQUEZ ROBERTO CARLOS</t>
  </si>
  <si>
    <t>robertotove@unisabana.edu.co</t>
  </si>
  <si>
    <t>URDANETA SIERRA YESICA BEATRIZ</t>
  </si>
  <si>
    <t>yesicaursi@unisabana.edu.co</t>
  </si>
  <si>
    <t>URIANA PEREZ EDUAR DEJESUS</t>
  </si>
  <si>
    <t>eduarurpe@unisabana.edu.co</t>
  </si>
  <si>
    <t>VANEGAS EPAIYU PAULA RITA</t>
  </si>
  <si>
    <t>paulavaep@unisabana.edu.co</t>
  </si>
  <si>
    <t>VANEGAS EPIEYU BRAYAN JOSE</t>
  </si>
  <si>
    <t>brayanvaep@unisabana.edu.co</t>
  </si>
  <si>
    <t>VARELA EGUIS MARGARITA MARÕA</t>
  </si>
  <si>
    <t>margaritavaeg@unisabana.edu.co</t>
  </si>
  <si>
    <t>VEGA MOSCOTE JOSE MIGUEL</t>
  </si>
  <si>
    <t>josevemo@unisabana.edu.co</t>
  </si>
  <si>
    <t>VERGARA ROMERO LINA MARIA</t>
  </si>
  <si>
    <t>linaverro@unisabana.edu.co</t>
  </si>
  <si>
    <t>JANYA  PEREZ SUAREZ</t>
  </si>
  <si>
    <t>janyapersu@unisabana.edu.co</t>
  </si>
  <si>
    <t>CAMILO GERMAN ARREGOCES DAZA</t>
  </si>
  <si>
    <t>camiloarda@unisabana.edu.co</t>
  </si>
  <si>
    <t>HERRERA BONIVIENTO MAYULIS GLISETH</t>
  </si>
  <si>
    <t>mayulishebo@unisabana.edu.co</t>
  </si>
  <si>
    <t>Andres Miguel Gomez Botia</t>
  </si>
  <si>
    <t>andresgobo@unisabana.edu.co</t>
  </si>
  <si>
    <t>Aracely   Polanco Alvarado</t>
  </si>
  <si>
    <t>aracelypoal@unisabana.edu.co</t>
  </si>
  <si>
    <t>Carolina   Carmona Silgado</t>
  </si>
  <si>
    <t>carolinacarsi@unisabana.edu.co</t>
  </si>
  <si>
    <t>Cindy Lorena Martinez Arevalo</t>
  </si>
  <si>
    <t>cindymaar@unisabana.edu.co</t>
  </si>
  <si>
    <t>Daniella Andrea García Rodriguez</t>
  </si>
  <si>
    <t>daniellagaro@unisabana.edu.co</t>
  </si>
  <si>
    <t>Duvan Jose Rosales Ordoñez</t>
  </si>
  <si>
    <t>duvanroor@unisabana.edu.co</t>
  </si>
  <si>
    <t>Jesus Ricardo Osorio Orozco</t>
  </si>
  <si>
    <t>jesusosor@unisabana.edu.co</t>
  </si>
  <si>
    <t>Lucia Laurent De La Cruz Molinares</t>
  </si>
  <si>
    <t>luciacrmo@unisabana.edu.co</t>
  </si>
  <si>
    <t>Nazly Yamile Manjarrez Paba</t>
  </si>
  <si>
    <t>nazlymapa@unisabana.edu.co</t>
  </si>
  <si>
    <t>Roberto Carlos Silvera Bernal</t>
  </si>
  <si>
    <t>robertosibe@unisabana.edu.co</t>
  </si>
  <si>
    <t>Emerson Jesus Ruiz Santamaria</t>
  </si>
  <si>
    <t>emersonrusa@unisabana.edu.co</t>
  </si>
  <si>
    <t>Rubiela   Perez Serrano</t>
  </si>
  <si>
    <t>rubielapese@unisabana.edu.co</t>
  </si>
  <si>
    <t>Jesus David Velandia Muñoz</t>
  </si>
  <si>
    <t>jesusvemu@unisabana.edu.co</t>
  </si>
  <si>
    <t>ZABALA LOPEZ  JESUS MATEO</t>
  </si>
  <si>
    <t>jesuszalo@unisabana.edu.co</t>
  </si>
  <si>
    <t>CERVANTES GOMEZ GERALDINE PAOLA</t>
  </si>
  <si>
    <t>geraldinecego@unisabana.edu.co</t>
  </si>
  <si>
    <t>SOCHA JOYA ANDREA CATALINA</t>
  </si>
  <si>
    <t>andreasojo@unisabana.edu.co</t>
  </si>
  <si>
    <t>CORSO AMADO CAMILO ERNESTO</t>
  </si>
  <si>
    <t>camilocoram@unisabana.edu.co</t>
  </si>
  <si>
    <t xml:space="preserve">PEÑUELA GOMEZ DEYSI DEL PILAR </t>
  </si>
  <si>
    <t>deysipego@unisabana.edu.co</t>
  </si>
  <si>
    <t>SOTO HOYOS MARIA ISABEL</t>
  </si>
  <si>
    <t>maria.soto2@unisabana.edu.co</t>
  </si>
  <si>
    <t>VILLALOBOS VILLATE KAROL VANESA</t>
  </si>
  <si>
    <t>karolvivi@unisabana.edu.co</t>
  </si>
  <si>
    <t>NARIÑO MURILLO MARÍA CRISTINA</t>
  </si>
  <si>
    <t>marianarmu@unisabana.edu.co</t>
  </si>
  <si>
    <t>HINCAPIE SALAZAR ESTIVEN</t>
  </si>
  <si>
    <t>estivenhisa@unisabana.edu.co</t>
  </si>
  <si>
    <t>ORTIZ PADILLA JAIRO AUGUSTO</t>
  </si>
  <si>
    <t>jairoorpa@unisabana.edu.co</t>
  </si>
  <si>
    <t>MONTAÑEZ CAMACHO DICKENS ABIGAIL</t>
  </si>
  <si>
    <t>dickensmoca@unisabana.edu.co</t>
  </si>
  <si>
    <t>ALVAREZ LARRAÑAGA MARTHA ISABEL</t>
  </si>
  <si>
    <t>marthaalla@unisabana.edu.co</t>
  </si>
  <si>
    <t>SUAREZ SALAZAR MARIA DEL PILAR</t>
  </si>
  <si>
    <t>mariasuasal@unisabana.edu.co</t>
  </si>
  <si>
    <t>GARZON OLARTE MARTIN ALONSO</t>
  </si>
  <si>
    <t>martingaol@unisabana.edu.co</t>
  </si>
  <si>
    <t>GOMEZ GALAN SEBASTIAN</t>
  </si>
  <si>
    <t>sebastiangoga@unisabana.edu.co</t>
  </si>
  <si>
    <t>BAUTISTA VARGAS WILLIAM FERNANDO</t>
  </si>
  <si>
    <t>williamba@unisabana.edu.co</t>
  </si>
  <si>
    <t>LANDAZABAL BALAGUERA JORGE ALEXANDER</t>
  </si>
  <si>
    <t>jorgelaba@unisabana.edu.co</t>
  </si>
  <si>
    <t>BELTRAN GALVIS OSCAR ALFREDO</t>
  </si>
  <si>
    <t>oscarbelga@unisabana.edu.co</t>
  </si>
  <si>
    <t>ROMAN ORTEGA CARLOS FERNANDO</t>
  </si>
  <si>
    <t>carlosromor@unisabana.edu.co</t>
  </si>
  <si>
    <t>JIMENEZ MORENO JULIAN</t>
  </si>
  <si>
    <t>julianjimo@unisabana.edu.co</t>
  </si>
  <si>
    <t>MEDINA MUR RAMON IVAN</t>
  </si>
  <si>
    <t>ramonmemu@unisabana.edu.co</t>
  </si>
  <si>
    <t>SANTANA RODRIGUEZ YIMY ALBERTO</t>
  </si>
  <si>
    <t>yimy.santana@unisabana.edu.co</t>
  </si>
  <si>
    <t>HERNANDEZ VERBEL KATHERINE</t>
  </si>
  <si>
    <t>katherineheve@unisabana.edu.co</t>
  </si>
  <si>
    <t>PINZON BARRIOS ANA MARIA</t>
  </si>
  <si>
    <t>anapiba@unisabana.edu.co</t>
  </si>
  <si>
    <t>PARRADO DELGADO MONICA LILIANA</t>
  </si>
  <si>
    <t>monicaparde@unisabana.edu.co</t>
  </si>
  <si>
    <t>AMAYA RESTREPO JUAN CAMILO</t>
  </si>
  <si>
    <t>juanamre@unisabana.edu.co</t>
  </si>
  <si>
    <t>BAQUERO GARCIA ROGERS LEONARDO</t>
  </si>
  <si>
    <t>rogersbaqga@unisabana.edu.co</t>
  </si>
  <si>
    <t>BELTRAN PEREZ ALDO MICHEL</t>
  </si>
  <si>
    <t>aldobepe@unisabana.edu.co</t>
  </si>
  <si>
    <t>ADRIANA ISABEL CAVANZO RAMIREZ</t>
  </si>
  <si>
    <t>adriana.cavanzo@unisabana.edu.co</t>
  </si>
  <si>
    <t>ADRIANA MARIA MORENO RODRIGUEZ</t>
  </si>
  <si>
    <t>ADRIMMORENOR@GMAIL.COM</t>
  </si>
  <si>
    <t>SANDRA JIMENA CHARRY CASTELLANOS</t>
  </si>
  <si>
    <t>sandrachca@unisabana.edu.co</t>
  </si>
  <si>
    <t>MARCELA  CHISICA MAHECHA</t>
  </si>
  <si>
    <t>marcelachma@unisabana.edu.co</t>
  </si>
  <si>
    <t>MAIRA JANETH ORTEGON CORREDOR</t>
  </si>
  <si>
    <t>mairaorco@unisabana.edu.co</t>
  </si>
  <si>
    <t>GINA SOFIA MONTANO PADILLA</t>
  </si>
  <si>
    <t>ginamopa@unisabana.edu.co</t>
  </si>
  <si>
    <t>FREDDY CHAYANE CIFUENTES ACERO</t>
  </si>
  <si>
    <t>freddyciac@unisabana.edu.co</t>
  </si>
  <si>
    <t>IVON ANDREA PAREDES CAÑON</t>
  </si>
  <si>
    <t>ivon.paredes1@unisabana.edu.co</t>
  </si>
  <si>
    <t>ESPECIALIZACIÓN EN GESTIÓN PARA EL DESARROLLO HUMANO EN LA ORGANIZACIÓN - BUCARAMANGA</t>
  </si>
  <si>
    <t>ANGELA PATRICIA FUENTES CACERES</t>
  </si>
  <si>
    <t>angelafuca@unisabana.edu.co</t>
  </si>
  <si>
    <t>CLAUDIA JIMENA SANCHEZ MEDINA</t>
  </si>
  <si>
    <t>claudiasanme@unisabana.edu.co</t>
  </si>
  <si>
    <t>DANIELA   LEON MUÑOZ</t>
  </si>
  <si>
    <t>danielalemu@unisabana.edu.co</t>
  </si>
  <si>
    <t>DELIA CAROLINA FLOREZ DURAN</t>
  </si>
  <si>
    <t>deliafldu@unisabana.edu.co</t>
  </si>
  <si>
    <t>EDILSON IVAN MANTILLA POVEDA</t>
  </si>
  <si>
    <t>edilsonmapo@unisabana.edu.co</t>
  </si>
  <si>
    <t>JAVIER   VESGA FLOREZ</t>
  </si>
  <si>
    <t>javiervefl@unisabana.edu.co</t>
  </si>
  <si>
    <t>JUANA CAROLINA MAYORGA NIÑO</t>
  </si>
  <si>
    <t>juanamani@unisabana.edu.co</t>
  </si>
  <si>
    <t>LAURA XIMENA HERNANDEZ BELTRAN</t>
  </si>
  <si>
    <t>laurahebe@unisabana.edu.co</t>
  </si>
  <si>
    <t>LEIDY PAOLA SUAREZ RAMIREZ</t>
  </si>
  <si>
    <t>leidysura@unisabana.edu.co</t>
  </si>
  <si>
    <t>LUISA FERNANDA BRICEÑO GALVAN</t>
  </si>
  <si>
    <t>luisabrga@unisabana.edu.co</t>
  </si>
  <si>
    <t>NATHALIA CAMILA JAIMES PEDRAZA</t>
  </si>
  <si>
    <t>nathaliajape@unisabana.edu.co</t>
  </si>
  <si>
    <t>PAOLA MILENA RODRIGUEZ MILLAN</t>
  </si>
  <si>
    <t>paolaromi@unisabana.edu.co</t>
  </si>
  <si>
    <t>YESICA PAOLA PADILLA CESPEDES</t>
  </si>
  <si>
    <t>yesicapace@unisabana.edu.co</t>
  </si>
  <si>
    <t>YETSENIA CAROLINA CAMACHO RINCON</t>
  </si>
  <si>
    <t>yetseniacari@unisabana.edu.co</t>
  </si>
  <si>
    <t>CAROLINA FRANCISCA CORREA VELÁSQUEZ</t>
  </si>
  <si>
    <t>carolinacove@unisabana.edu.co</t>
  </si>
  <si>
    <t>GERSON JAQUIN CRISTANCHO TRIANA</t>
  </si>
  <si>
    <t>gersoncrtr@unisabana.edu.co</t>
  </si>
  <si>
    <t>BRAYAM JANNIER ARÉVALO QUITIÁN</t>
  </si>
  <si>
    <t>brayamarqu@unisabana.edu.co</t>
  </si>
  <si>
    <t>HERNEL DAVID ORTEGA GÓMEZ</t>
  </si>
  <si>
    <t>hernelorgo@unisabana.edu.co</t>
  </si>
  <si>
    <t>LAURA MARCELA ÁVILA GARCÍA</t>
  </si>
  <si>
    <t>lauraavga@unisabana.edu.co</t>
  </si>
  <si>
    <t>EUGENIO PAREDES CASTELLANOS</t>
  </si>
  <si>
    <t>eugeniopaca@unisabana.edu.co</t>
  </si>
  <si>
    <t>SILVANA PATRICIA AHUMADA MONCADA</t>
  </si>
  <si>
    <t>silvanaahmo@unisabana.edu.co</t>
  </si>
  <si>
    <t>JAMES MANUEL PÉREZ MORÓN</t>
  </si>
  <si>
    <t>jamespemo@unisabana.edu.co</t>
  </si>
  <si>
    <t>DEISSY PAOLA MORA MORA</t>
  </si>
  <si>
    <t>deissymomo@unisabana.edu.co</t>
  </si>
  <si>
    <t>ADRIANA MARCELA ORDÓÑEZ MARTÍNEZ</t>
  </si>
  <si>
    <t>adrianaorma@unisabana.edu.co</t>
  </si>
  <si>
    <t>CORTES GUZMAN LUISA FERNANDA</t>
  </si>
  <si>
    <t>luisacorgu@unisabana.edu.co</t>
  </si>
  <si>
    <t>GOMEZ ESTEVEZ HEIDY CAROLINA</t>
  </si>
  <si>
    <t>heidygoes@unisabana.edu.co</t>
  </si>
  <si>
    <t>HERRERA PADILLA MARIA CAMILA</t>
  </si>
  <si>
    <t>mariaherpad@unisabana.edu.co</t>
  </si>
  <si>
    <t>RICARDO VEGA CLAUDIA MARCELA</t>
  </si>
  <si>
    <t>claudiarive@unisabana.edu.co</t>
  </si>
  <si>
    <t>RIOS HOYOS LAURA</t>
  </si>
  <si>
    <t>laura.rios@unisabana.edu.co</t>
  </si>
  <si>
    <t>RIVADENEIRA PEÑARANDA YAJAIRA ALEJANDRA</t>
  </si>
  <si>
    <t>yajairaripe@unisabana.edu.co</t>
  </si>
  <si>
    <t>ROZO BARRETO MARIA CAMILA</t>
  </si>
  <si>
    <t>mariarozba@unisabana.edu.co</t>
  </si>
  <si>
    <t>SIERRA AFANADOR MAX ALEJANDRO</t>
  </si>
  <si>
    <t>maxsiaf@unisabana.edu.co</t>
  </si>
  <si>
    <t>VARGAS PEÑA EDITH JOHANA</t>
  </si>
  <si>
    <t>edithvape@unisabana.edu.co</t>
  </si>
  <si>
    <t>AGUDELO PAEZ LINA MARIA</t>
  </si>
  <si>
    <t>linaagpa@unisabana.edu.co</t>
  </si>
  <si>
    <t>BORDA NIÑO LAURA DANIELA</t>
  </si>
  <si>
    <t>lauraboni@unisabana.edu.co</t>
  </si>
  <si>
    <t>CEDIEL GARZON GERMAN ANDRES</t>
  </si>
  <si>
    <t>germancega@unisabana.edu.co</t>
  </si>
  <si>
    <t>CLARO JIMENEZ MARIA ALEJANDRA</t>
  </si>
  <si>
    <t>mariaclji@unisabana.edu.co</t>
  </si>
  <si>
    <t>CORTES JIMENEZ SANDRA MILENA</t>
  </si>
  <si>
    <t>sandra.cortes1@unisabana.edu.co</t>
  </si>
  <si>
    <t>GARZON ZOLAQUE ANDRES EDUARDO</t>
  </si>
  <si>
    <t>andresgazo@unisabana.edu.co</t>
  </si>
  <si>
    <t>MENDOZA SANCHEZ SONIA ROSA</t>
  </si>
  <si>
    <t>soniarosamendoza.s@gmail.com</t>
  </si>
  <si>
    <t>ORDOÑEZ PEREZ CAMILO ERNESTO</t>
  </si>
  <si>
    <t>camiloorpe@unisabana.edu.co</t>
  </si>
  <si>
    <t>OSORIO CUELLAR ANGELICA YULISA</t>
  </si>
  <si>
    <t>angelicaoscu@unisabana.edu.co</t>
  </si>
  <si>
    <t>QUINTERO QUINTERO ANGELICA MARIA</t>
  </si>
  <si>
    <t>angelicaququ@unisabana.edu.co</t>
  </si>
  <si>
    <t>RINCON GARRIDO SERGIO ANDRES</t>
  </si>
  <si>
    <t>sergioriga@unisabana.edu.co</t>
  </si>
  <si>
    <t>RIVAS BERNAL CARLOS ANDRES</t>
  </si>
  <si>
    <t>carlosribe@unisabana.edu.co</t>
  </si>
  <si>
    <t>SALAS CASTRO RAFAEL</t>
  </si>
  <si>
    <t>rafaelsaca@unisabana.edu.co</t>
  </si>
  <si>
    <t>SANTANA OLAYA STEFANIA</t>
  </si>
  <si>
    <t>stefaniasaol@unisabana.edu.co</t>
  </si>
  <si>
    <t>SOLANO GOMEZ FERNANDO ALIPIO</t>
  </si>
  <si>
    <t>fernandosogo@unisabana.edu.co</t>
  </si>
  <si>
    <t>PATERNINA ROJAS GABRIEL JACOB</t>
  </si>
  <si>
    <t>gabrielpatro@unisabana.edu.co</t>
  </si>
  <si>
    <t>AVELLANEDA REYES LAURA VALENTINA</t>
  </si>
  <si>
    <t>lauraavre@unisabana.edu.co</t>
  </si>
  <si>
    <t>CHICO BRAND NESTOR</t>
  </si>
  <si>
    <t>nestorchbr@unisabana.edu.co</t>
  </si>
  <si>
    <t>DAZA ORTIZ FREDDY GIOVANNI</t>
  </si>
  <si>
    <t>freddydaor@unisabana.edu.co</t>
  </si>
  <si>
    <t>GOMEZ RODRIGUEZ KAREN STEFANNY</t>
  </si>
  <si>
    <t>karengomro@unisabana.edu.co</t>
  </si>
  <si>
    <t>HERRERA RODRIGUEZ HECTOR HUGO</t>
  </si>
  <si>
    <t>hectorhero@unisabana.edu.co</t>
  </si>
  <si>
    <t>HUERTAS PEREZ MARGRY SOLANLLY</t>
  </si>
  <si>
    <t>margryhupe@unisabana.edu.co</t>
  </si>
  <si>
    <t>LLOREDA PALOMEQUE DAIRON DE JESUS</t>
  </si>
  <si>
    <t>daironllpa@unisabana.edu.co</t>
  </si>
  <si>
    <t>LOPEZ VALLEJOS CAROLINA</t>
  </si>
  <si>
    <t>carolinalova@unisabana.edu.co</t>
  </si>
  <si>
    <t>MONGUI RAMOS YULY TATIANA</t>
  </si>
  <si>
    <t>monguiyuta@unisabana.edu.co</t>
  </si>
  <si>
    <t>MORENO HURTADO ERCILIA DEL CARMEN</t>
  </si>
  <si>
    <t>erciliamohu@unisabana.edu.co</t>
  </si>
  <si>
    <t>OCHOA GIL ANDREA DEL PILAR</t>
  </si>
  <si>
    <t>andreaocgi@unisabana.edu.co</t>
  </si>
  <si>
    <t>ORTIZ NUÑEZ MARTHA ELENA</t>
  </si>
  <si>
    <t>marthaornu@unisabana.edu.co</t>
  </si>
  <si>
    <t>PALMA CARVAJAL NADIA VALENTINA</t>
  </si>
  <si>
    <t>nadiapaca@unisabana.edu.co</t>
  </si>
  <si>
    <t>PARRA CARDENAS MARIA CRISTINA</t>
  </si>
  <si>
    <t>mariaparcar@unisabana.edu.co</t>
  </si>
  <si>
    <t>RODRIGUEZ RODRIGUEZ   NICOLAS ALBERTO</t>
  </si>
  <si>
    <t>nicolasrodro@unisabana.edu.co</t>
  </si>
  <si>
    <t>USECHE ESCAMILLA LINDA GRECIA</t>
  </si>
  <si>
    <t>lindauses@unisabana.edu.co</t>
  </si>
  <si>
    <t>FORERO VANEGAS OTTO GABRIEL</t>
  </si>
  <si>
    <t>ottofova@unisabana.edu.co</t>
  </si>
  <si>
    <t>CARDENAS MUÑOZ ROXANA</t>
  </si>
  <si>
    <t>roxanacamu@unisabana.edu.co</t>
  </si>
  <si>
    <t>FIERRO ROMERO SONIA LORENA</t>
  </si>
  <si>
    <t>soniafiro@unisabana.edu.co</t>
  </si>
  <si>
    <t>OROZCO SARMIENTO CESAR AUGUSTO</t>
  </si>
  <si>
    <t>cesarorosa@unisabana.edu.co</t>
  </si>
  <si>
    <t>POLANIA TRUJILLO ANDRES EDUARDO</t>
  </si>
  <si>
    <t>andrespotr@unisabana.edu.co</t>
  </si>
  <si>
    <t>RODRIGUEZ RIAÑO HERNAN DAVID</t>
  </si>
  <si>
    <t>hernanrodri@unisabana.edu.co</t>
  </si>
  <si>
    <t>RODRIGUEZ TOVAR MARIA ALEJANDRA</t>
  </si>
  <si>
    <t>mariarodto@unisabana.edu.co</t>
  </si>
  <si>
    <t>ROJAS SANCHEZ NELSON JAVIER</t>
  </si>
  <si>
    <t>nelsonrosa@unisabana.edu.co</t>
  </si>
  <si>
    <t>RUBIO POLANCO ANGELICA MARIA</t>
  </si>
  <si>
    <t>angelicarupo@unisabana.edu.co</t>
  </si>
  <si>
    <t>SEGURA RAMIREZ OSCAR FERNANDO</t>
  </si>
  <si>
    <t>oscarsera@unisabana.edu.co</t>
  </si>
  <si>
    <t>SIERRA FORERO MARIA FERNANDA</t>
  </si>
  <si>
    <t>maria.sierra5@unisabana.edu.co</t>
  </si>
  <si>
    <t>TOVAR RIVERA ANDRES RICARDO</t>
  </si>
  <si>
    <t>andrestori@unisabana.edu.co</t>
  </si>
  <si>
    <t>VARGAS TOVAR ANA MARIA</t>
  </si>
  <si>
    <t>anavarto@unisabana.edu.co</t>
  </si>
  <si>
    <t>VERGARA BERRIO LAURA MARIA</t>
  </si>
  <si>
    <t>lauraverbe@unisabana.edu.co</t>
  </si>
  <si>
    <t>AROCA VANEGAS JULIAN ANDRES</t>
  </si>
  <si>
    <t>julianarva@unisabana.edu.co</t>
  </si>
  <si>
    <t>BARONA OLIVEROS BRIGITH GERALDINE</t>
  </si>
  <si>
    <t>BRIGITHBAOL@UNISABANA.EDU.CO</t>
  </si>
  <si>
    <t>CASTELLANOS GARCIA PAOLA ALEJANDRA</t>
  </si>
  <si>
    <t>paolacasga@unisabana.edu.co</t>
  </si>
  <si>
    <t>CURAHUA VARGAS ROSSELLY JAYDI</t>
  </si>
  <si>
    <t>ROSSELLY.JAYDI@GMAIL.COM</t>
  </si>
  <si>
    <t>FIGUEROA CEBALLOS JENIFFER CAMILA</t>
  </si>
  <si>
    <t>jenifferfice@unisabana.edu.co</t>
  </si>
  <si>
    <t>GARCIA PEREZ CRISTIAN CAMILO</t>
  </si>
  <si>
    <t>cristiangape@unisabana.edu.co</t>
  </si>
  <si>
    <t>GUTIERREZ BRICEÑO CAMILO ANDRES</t>
  </si>
  <si>
    <t>camilogubr@unisabana.edu.co</t>
  </si>
  <si>
    <t>GUTIERREZ MOLINA JUAN DAVID</t>
  </si>
  <si>
    <t>juangumo@unisabana.edu.co</t>
  </si>
  <si>
    <t>HERRERA RODRIGUEZ MARIA LUCIA</t>
  </si>
  <si>
    <t>mariaherrrod@unisabana.edu.co</t>
  </si>
  <si>
    <t>LONDOÑO GRATTZ JULIANA</t>
  </si>
  <si>
    <t>JULILONDO06@GMAIL.COM</t>
  </si>
  <si>
    <t>LONDOÑO PULGARIN SANTIAGO</t>
  </si>
  <si>
    <t>santiagolopu@unisabana.edu.co</t>
  </si>
  <si>
    <t>MARTINEZ PULIDO LUISA FERNANDA</t>
  </si>
  <si>
    <t>luisamarpu@unisabana.edu.co</t>
  </si>
  <si>
    <t>MENDOZA JARABA MARIA CECILIA</t>
  </si>
  <si>
    <t>CHECHIMENDOZAJ@HOTMAIL.COM</t>
  </si>
  <si>
    <t>REY CHAVES GABRIEL ALEJANDRO</t>
  </si>
  <si>
    <t>gabrielrech@unisabana.edu.co</t>
  </si>
  <si>
    <t>ROZO RAMIREZ PABLO ALBERTO</t>
  </si>
  <si>
    <t>pablorora@unisabana.edu.co</t>
  </si>
  <si>
    <t>SANCHEZ SOTO PAULA MARCELA</t>
  </si>
  <si>
    <t>PAULA.SANCHEZ.SOTO@OUTLOOK.COM</t>
  </si>
  <si>
    <t>VERA HERNANDEZ MARIA CAMILA</t>
  </si>
  <si>
    <t>mariaverher@unisabana.edu.co</t>
  </si>
  <si>
    <t>ARISTIZABAL ARENAS VALENTINA</t>
  </si>
  <si>
    <t>valentinaarar@unisabana.edu.co</t>
  </si>
  <si>
    <t>BERTEL BENITEZ HEINER</t>
  </si>
  <si>
    <t>heinerbebe@unisabana.edu.co</t>
  </si>
  <si>
    <t>CARDENAS CHICA KELLY JOHANNA</t>
  </si>
  <si>
    <t>kellycach@unisabana.edu.co</t>
  </si>
  <si>
    <t>DEAZA TELLEZ CAROLINA</t>
  </si>
  <si>
    <t>carolinadete@unisabana.edu.co</t>
  </si>
  <si>
    <t>JIMENEZ GARCIA ANDREA CAROLINA</t>
  </si>
  <si>
    <t>andreajiga@unisabana.edu.co</t>
  </si>
  <si>
    <t>LUCAS GARCIA MARIA TERESA</t>
  </si>
  <si>
    <t>marialucga@unisabana.edu.co</t>
  </si>
  <si>
    <t>PEDRAZA FONTECHA DANIELA</t>
  </si>
  <si>
    <t>danielapefo@unisabana.edu.co</t>
  </si>
  <si>
    <t>PERDIGON BELTRAN INGRID NATALIA</t>
  </si>
  <si>
    <t>ingridpebe@unisabana.edu.co</t>
  </si>
  <si>
    <t>RICO VALDES JUAN ESTEBAN</t>
  </si>
  <si>
    <t>juanricva@unisabana.edu.co</t>
  </si>
  <si>
    <t>VERA GARCIA JULIANA MARIA</t>
  </si>
  <si>
    <t>julianavega@unisabana.edu.co</t>
  </si>
  <si>
    <t>FORERO ALBA GISEL ANDREA</t>
  </si>
  <si>
    <t>giselfoal@unisabana.edu.co</t>
  </si>
  <si>
    <t>FONSECA CORREDOR SANDRA LILIANA</t>
  </si>
  <si>
    <t>sandrafoco@unisabana.edu.co</t>
  </si>
  <si>
    <t>PEREZ GARCIA DAVID</t>
  </si>
  <si>
    <t>davidpega@unisabana.edu.co</t>
  </si>
  <si>
    <t>QUEVEDO VARGAS ANGIE JOHANNA</t>
  </si>
  <si>
    <t>angie.quevedo@unisabana.edu.co</t>
  </si>
  <si>
    <t>ACEVEDO DUARTE CAROLINA</t>
  </si>
  <si>
    <t>carolinaacdu@unisabana.edu.co;</t>
  </si>
  <si>
    <t>AMAYA RODRIGUEZ YUDY LISETH</t>
  </si>
  <si>
    <t>yudyamro@unisabana.edu.co;</t>
  </si>
  <si>
    <t>CASTAÑEDA CASTRO MANUEL SANTIAGO</t>
  </si>
  <si>
    <t>manuelcasca@unisabana.edu.co;</t>
  </si>
  <si>
    <t>FORERO DUARTE CAROLINA</t>
  </si>
  <si>
    <t>carolinafodu@unisabana.edu.co;</t>
  </si>
  <si>
    <t>HENRIQUEZ PONS EDELMAN</t>
  </si>
  <si>
    <t>edelmanhepo@unisabana.edu.co;</t>
  </si>
  <si>
    <t>HERRERA TRUJILLO ANIELSKA</t>
  </si>
  <si>
    <t>anielskahetr@unisabana.edu.co;</t>
  </si>
  <si>
    <t>NUMPAQUE MORENO ELKIN LEONARDO</t>
  </si>
  <si>
    <t>elkinnumo@unisabana.edu.co;</t>
  </si>
  <si>
    <t>PARDO GOMEZ CAROLINA</t>
  </si>
  <si>
    <t>carolinapago@unisabana.edu.co;</t>
  </si>
  <si>
    <t>RODRIGUEZ JIMENEZ LAURA NATALIA</t>
  </si>
  <si>
    <t>laurarodjim@unisabana.edu.co;</t>
  </si>
  <si>
    <t>VILLANUEVA GUERRA LAURA MARIA</t>
  </si>
  <si>
    <t>lauravigu@unisabana.edu.co;</t>
  </si>
  <si>
    <t>FERNANDEZ ORJUELA DAVID</t>
  </si>
  <si>
    <t>davidfeor@unisabana.edu.co</t>
  </si>
  <si>
    <t>HENAO CASTAÑO LUISA FERNANDA</t>
  </si>
  <si>
    <t>luisahenca@unisabana.edu.co</t>
  </si>
  <si>
    <t>CONTRERAS FERNANDEZ JUAN SEBASTIAN</t>
  </si>
  <si>
    <t>juanconfe@unisabana.edu.co;</t>
  </si>
  <si>
    <t>MORA PARDO LAURA DANIELA</t>
  </si>
  <si>
    <t>LAURAMOPA@UNISABANA.EDU.CO</t>
  </si>
  <si>
    <t>MOLINA SALAS MONICA</t>
  </si>
  <si>
    <t>monicamosa@unisabana.edu.co</t>
  </si>
  <si>
    <t>PINEDA DIAZ LADY MARIANA</t>
  </si>
  <si>
    <t>ladypidi@unisabana.edu.co</t>
  </si>
  <si>
    <t>CASTRO VASQUEZ ADRIANA CAROLINA</t>
  </si>
  <si>
    <t>adrianacasva@unisabana.edu.co</t>
  </si>
  <si>
    <t>GUZMAN VERA NARCISO MANUEL</t>
  </si>
  <si>
    <t>narcisoguve@unisabana.edu.co</t>
  </si>
  <si>
    <t>RETAMOZO ARENAS NATHALIA</t>
  </si>
  <si>
    <t>nathaliarear@unisabana.edu.co</t>
  </si>
  <si>
    <t>RODRIGUEZ MARTIN ANGIE MARCELA</t>
  </si>
  <si>
    <t>angierodma@unisabana.edu.co</t>
  </si>
  <si>
    <t>RODRIGUEZ SOSA NARDA LILIANA</t>
  </si>
  <si>
    <t>nardaroso@unisabana.edu.co</t>
  </si>
  <si>
    <t>ROMERO GONZALEZ KAREN BRIGITTE</t>
  </si>
  <si>
    <t>karenrogo@unisabana.edu.co</t>
  </si>
  <si>
    <t>PINEDA RODRIGUEZ GIANNY BETSEY</t>
  </si>
  <si>
    <t>giannypiro@unisabana.edu.co</t>
  </si>
  <si>
    <t>MARTINEZ ACEVEDO DEIVY JUDITH</t>
  </si>
  <si>
    <t>deivymaac@unisabana.edu.co</t>
  </si>
  <si>
    <t>VALVERDE MONCADA ADRIANA IVONNE</t>
  </si>
  <si>
    <t>MANCERA MENDEZ LUZ HELENA</t>
  </si>
  <si>
    <t>luz.mancera@unisabana.edu.co</t>
  </si>
  <si>
    <t>PITTA VARGAS JAVIER ALBERTO</t>
  </si>
  <si>
    <t>MORENO SERRANO JOSE ANTONIO</t>
  </si>
  <si>
    <t>ABDULLAHI   SHAMSUDDEEN</t>
  </si>
  <si>
    <t>ZAMUDIO VALEGA MANUEL FRANCISCO</t>
  </si>
  <si>
    <t>DEAZA FERNANDEZ MARIA PAULA</t>
  </si>
  <si>
    <t>mariadefe@unisabana.edu.co</t>
  </si>
  <si>
    <t>COLLANTES CRISTANCHO ANDRES FELIPE</t>
  </si>
  <si>
    <t>andrescolcr@unisabana.edu.co</t>
  </si>
  <si>
    <t>CUEVAS RIVERA MARIA ALEJANDRA</t>
  </si>
  <si>
    <t>mariacuri@unisabana.edu.co</t>
  </si>
  <si>
    <t>SOTAMINGA CINILIN MARCELO JAVIER</t>
  </si>
  <si>
    <t>RANGEL MUÑOZ JOSE LUIS</t>
  </si>
  <si>
    <t>TASCON HOYOS DIANA CAROLINA</t>
  </si>
  <si>
    <t>MUÑOZ PINZON DAIRO STEVEN</t>
  </si>
  <si>
    <t>AGUIRRE GARCIA LESLIE ANGELICA</t>
  </si>
  <si>
    <t>SERRANO MAYORGA CRISTIAN CAMILO</t>
  </si>
  <si>
    <t>CRISTIANSEMA@UNISABANA.EDU.CO</t>
  </si>
  <si>
    <t>ARBELAEZ RAMIREZ ARTURO</t>
  </si>
  <si>
    <t>arturoarra@unisabana.edu.co</t>
  </si>
  <si>
    <t>PIMIENTA RODRIGUEZ SAMUEL XAVIER</t>
  </si>
  <si>
    <t>samuelpiro@unisabana.edu.co</t>
  </si>
  <si>
    <t>RUEDA CARDENAS IGOR</t>
  </si>
  <si>
    <t>igorruca@unisabana.edu.co</t>
  </si>
  <si>
    <t>RANGEL GUTIERREZ MARIA MONICA</t>
  </si>
  <si>
    <t>mariarangu@unisabana.edu.co</t>
  </si>
  <si>
    <t>PULIDO APONTE ALVARO ERVEY</t>
  </si>
  <si>
    <t>CABALLERO CASTRO LUIS FERNANDO</t>
  </si>
  <si>
    <t>RODRIGUEZ QUIÑONES JENNY ARMELY</t>
  </si>
  <si>
    <t>JAIMEZ OLARTE CRISTIAN ANDREY</t>
  </si>
  <si>
    <t>CARDENAS CHICA ANDRES DAVID</t>
  </si>
  <si>
    <t>andrescarchi@unisabana.edu.co</t>
  </si>
  <si>
    <t>ZULUAGA QUINTERO CLAUDIA PATRICIA</t>
  </si>
  <si>
    <t>claudiazuqu@unisabana.edu.co</t>
  </si>
  <si>
    <t>VERGARA RODRIGUEZ CESAR JOSE</t>
  </si>
  <si>
    <t>MUÑOZ ROJAS DANIEL</t>
  </si>
  <si>
    <t>MORA LOZANO PABLO EMILIO</t>
  </si>
  <si>
    <t>MARTINEZ ALBARRACIN DIEGO CAMILO</t>
  </si>
  <si>
    <t>diegomaral@unisabana.edu.co</t>
  </si>
  <si>
    <t>CONDE CAMACHO RAFAEL ENRIQUE</t>
  </si>
  <si>
    <t>rafaelconca@unisabana.edu.co</t>
  </si>
  <si>
    <t>MARQUEZ BENITEZ YUSSELFY</t>
  </si>
  <si>
    <t>yusselfymabe@unisabana.edu.co</t>
  </si>
  <si>
    <t>ESPINOSA MONTES DERIAN DAVID</t>
  </si>
  <si>
    <t>derianesmo@unisabana.edu.co</t>
  </si>
  <si>
    <t>CARDENAS LAVERDE DIEGO FERNANDO</t>
  </si>
  <si>
    <t>diegocala@unisabana.edu.co</t>
  </si>
  <si>
    <t>TELLEZ PEREZ LAURA ANDREA</t>
  </si>
  <si>
    <t>lauratepe@unisabana.edu.co</t>
  </si>
  <si>
    <t>ESCOBAR CHARRY MIGUEL ALEJANDRO</t>
  </si>
  <si>
    <t>RUBIANO TORRES JAIRO ENRIQUE</t>
  </si>
  <si>
    <t>GUZMAN ORDOÑEZ KATHERINE SUSANA</t>
  </si>
  <si>
    <t>BULLA PEREIRA EDWIN ALBERTO</t>
  </si>
  <si>
    <t>MARTINEZ OJEDA ADRIAN JOSE</t>
  </si>
  <si>
    <t>ARIZTEGUI BELTRAN OSCAR HERNANDO</t>
  </si>
  <si>
    <t>oscarab@unisabana.edu.co</t>
  </si>
  <si>
    <t>PEÑA CALDERON DIANA ANDREA</t>
  </si>
  <si>
    <t>CACERES REATIGA EDER LEONARDO</t>
  </si>
  <si>
    <t>EDERCARE@UNISABANA.EDU.CO</t>
  </si>
  <si>
    <t>GARZON RODRIGUEZ NICOLAS</t>
  </si>
  <si>
    <t>CORTAZAR GOMEZ JORGE EDUARDO</t>
  </si>
  <si>
    <t>jorgecogo@unisabana.edu.co</t>
  </si>
  <si>
    <t>FELICIANO AGUIRRE DIRSA MARIA</t>
  </si>
  <si>
    <t>MORALES GONZALEZ MARIA PAULA</t>
  </si>
  <si>
    <t>RUIZ BALAGUERA SONIA ESPERANZA</t>
  </si>
  <si>
    <t>sonia.ruiz@unisabana.edu.co</t>
  </si>
  <si>
    <t>QUINTERO CASTELLANOS JOSE MANUEL ARTURO</t>
  </si>
  <si>
    <t>josequicas@unisabana.edu.co</t>
  </si>
  <si>
    <t>BAUER ESTRADA KATHERINE</t>
  </si>
  <si>
    <t>katherine.bauer@unisabana.edu.co</t>
  </si>
  <si>
    <t>BELTRAN MARTINEZ JUAN CARLOS</t>
  </si>
  <si>
    <t>DIAZ CABIATIVA EDGAR CAMILO</t>
  </si>
  <si>
    <t>ESPECIALIZACIÓN EN GESTIÓN PARA EL DESARROLLO HUMANO EN LA ORGANIZACIÓN - CHÍA</t>
  </si>
  <si>
    <t>ADRIANA   MORENO</t>
  </si>
  <si>
    <t>adrianamor@unisabana.edu.co</t>
  </si>
  <si>
    <t>ALEJANDRA DURAN PAEZ</t>
  </si>
  <si>
    <t>alejandradupa@unisabana.edu.co</t>
  </si>
  <si>
    <t>CARLOS   GARCIA CRISTANCHO</t>
  </si>
  <si>
    <t>carlosgacr@unisabana.edu.co</t>
  </si>
  <si>
    <t>CARLOS ALBERTO MOSQUERA CRUZ</t>
  </si>
  <si>
    <t>carlosmoscr@unisabana.edu.co</t>
  </si>
  <si>
    <t>DANIELA   DELGADO MARCELO</t>
  </si>
  <si>
    <t>danieladema@unisabana.edu.co</t>
  </si>
  <si>
    <t>DANIELA   HURTADO FRAGOZO</t>
  </si>
  <si>
    <t>danielahufr@unisabana.edu.co</t>
  </si>
  <si>
    <t>DANIELA   PEÑA GOMEZ</t>
  </si>
  <si>
    <t>danielapego@unisabana.edu.co</t>
  </si>
  <si>
    <t>DANIELA   BELTRAN CASTAÑEDA</t>
  </si>
  <si>
    <t>danielabelca@unisabana.edu.co</t>
  </si>
  <si>
    <t>DEISY CAROLINA BERNAL JIMENEZ</t>
  </si>
  <si>
    <t>deisybeji@unisabana.edu.co</t>
  </si>
  <si>
    <t>FREDY ALEXANDER LAITON SANCHEZ</t>
  </si>
  <si>
    <t>fredylasa@unisabana.edu.co</t>
  </si>
  <si>
    <t>GERALDIN HERRERA QUIROGA</t>
  </si>
  <si>
    <t>geraldinhequ@unisabana.edu.co</t>
  </si>
  <si>
    <t>JOHANA ANDREA ESTUPIÑAN MANCILLA</t>
  </si>
  <si>
    <t>johanaesma@unisabana.edu.co</t>
  </si>
  <si>
    <t>JUAN MANUEL RINCON ACUÑA</t>
  </si>
  <si>
    <t>juanriac@unisabana.edu.co</t>
  </si>
  <si>
    <t>JULIANA MATILDE LONDOÑO OVIEDO</t>
  </si>
  <si>
    <t>julianaloov@unisabana.edu.co</t>
  </si>
  <si>
    <t>LEIDY STELLA AVILA RODRIGUEZ</t>
  </si>
  <si>
    <t>leidyavro@unisabana.edu.co</t>
  </si>
  <si>
    <t>LIGIA MARCELA SUAREZ MOJICA</t>
  </si>
  <si>
    <t>ligiasumo@unisabana.edu.co</t>
  </si>
  <si>
    <t>LINDA NATALIA CAMACHO ARIAS</t>
  </si>
  <si>
    <t>lindacaar@unisabana.edu.co</t>
  </si>
  <si>
    <t>MAURICIO   CASTILLO CRUZ</t>
  </si>
  <si>
    <t>mauriciocacr@unisabana.edu.co</t>
  </si>
  <si>
    <t>MONICA DEL PILAR CARREÑO FANDIÑO</t>
  </si>
  <si>
    <t>monicacafa@unisabana.edu.co</t>
  </si>
  <si>
    <t>ESPECIALIZACIÓN EN LIDERAZGO Y COACHING - CHÍA</t>
  </si>
  <si>
    <t>ANDRES DAVID VEGA LOPEZ</t>
  </si>
  <si>
    <t>andresvelo@unisabana.edu.co</t>
  </si>
  <si>
    <t>DELLY   GASCA TRUJILLO</t>
  </si>
  <si>
    <t>dellygatr@unisabana.edu.co</t>
  </si>
  <si>
    <t>DIANA CAROLINA TAUTIVA GONZALEZ</t>
  </si>
  <si>
    <t>dianatago@unisabana.edu.co</t>
  </si>
  <si>
    <t>DIANA GISELLE VILLAMIL AREVALO</t>
  </si>
  <si>
    <t>dianaviar@unisabana.edu.co</t>
  </si>
  <si>
    <t>DIANA XIMENA BALLESTEROS MUÑOZ</t>
  </si>
  <si>
    <t>dianabamu@unisabana.edu.co</t>
  </si>
  <si>
    <t>JASBLEYM HEYISANDRA BEJARANO PEREZ</t>
  </si>
  <si>
    <t>jasbleymbepe@unisabana.edu.co</t>
  </si>
  <si>
    <t>JOHANNA ALEXANDRA GUTIERREZ RIAÑO</t>
  </si>
  <si>
    <t>johannaguri@unisabana.edu.co</t>
  </si>
  <si>
    <t>MARIA ALEJANDRA UMAÑA ALCAZAR</t>
  </si>
  <si>
    <t>mariaumal@unisabana.edu.co</t>
  </si>
  <si>
    <t>MARIA VALENTINA CUERVO MONROY</t>
  </si>
  <si>
    <t>mariacuemo@unisabana.edu.co</t>
  </si>
  <si>
    <t>PAOLA ANDREA BARRANTES CUERVO</t>
  </si>
  <si>
    <t>paolabacu@unisabana.edu.co</t>
  </si>
  <si>
    <t>PAULA NATALIA ESPITIA RODRIGUEZ</t>
  </si>
  <si>
    <t>paulaesro@unisabana.edu.co</t>
  </si>
  <si>
    <t>WILSON   PANCHE CORONADO</t>
  </si>
  <si>
    <t>wilsonpaco@unisabana.edu.co</t>
  </si>
  <si>
    <t>ALEJANDRO PRIETO CASTILLO</t>
  </si>
  <si>
    <t>alejandrocas@unisabana.edu.co</t>
  </si>
  <si>
    <t>Andrea Carolina Barragan Calderon</t>
  </si>
  <si>
    <t>andreabarcad@unisabana.edu.co</t>
  </si>
  <si>
    <t>DIANA CAROLINA TORRES CASTRO</t>
  </si>
  <si>
    <t>dianatorca@unisabana.edu.co</t>
  </si>
  <si>
    <t>DIANA FERNANDA MARTINEZ JURADO</t>
  </si>
  <si>
    <t>dianamaju@unisabana.edu.co</t>
  </si>
  <si>
    <t>ERIKA LORENA VILLAMIZAR FRANCO</t>
  </si>
  <si>
    <t>erikavifr@unisabana.edu.co</t>
  </si>
  <si>
    <t>FRANCY MILENA BELTRAN MANIOS</t>
  </si>
  <si>
    <t>francybema@unisabana.edu.co</t>
  </si>
  <si>
    <t>JHON JAIRO MUÑOZ RANGEL</t>
  </si>
  <si>
    <t>jhonmura@unisabana.edu.co</t>
  </si>
  <si>
    <t>JULLI PAMELA SILVA CRISTANCHO</t>
  </si>
  <si>
    <t>jullisicr@unisabana.edu.co</t>
  </si>
  <si>
    <t>KATLHEEN SHEYEEN MORALES MARTINEZ</t>
  </si>
  <si>
    <t>katlheenmoma@unisabana.edu.co</t>
  </si>
  <si>
    <t>LUISA FERNANDA LEON RIAÑO</t>
  </si>
  <si>
    <t>luisaleri@unisabana.edu.co</t>
  </si>
  <si>
    <t>LUZ STELLA HERNANDEZ ORTIZ</t>
  </si>
  <si>
    <t>luzheor@unisabana.edu.co</t>
  </si>
  <si>
    <t>MARIA CAMILA OTERO MORA</t>
  </si>
  <si>
    <t>mariaotmo@unisabana.edu.co</t>
  </si>
  <si>
    <t>RAFAEL ALEXANDER CABRERA RAMOS</t>
  </si>
  <si>
    <t>rafaelcara@unisabana.edu.co</t>
  </si>
  <si>
    <t>YIMMY ALEXANDER BAQUERO ACERO</t>
  </si>
  <si>
    <t>yimmybaac@unisabana.edu.co</t>
  </si>
  <si>
    <t>YULIETH QUINTERO FRANCO</t>
  </si>
  <si>
    <t>yuliethfr@unisabana.edu.co</t>
  </si>
  <si>
    <t>ESPECIALIZACIÓN EN GERENCIA DEL SERVICIO - CHÍA</t>
  </si>
  <si>
    <t>ANA MERCEDES CANTILLO HUERTAS</t>
  </si>
  <si>
    <t>anacahu@unisabana.edu.co</t>
  </si>
  <si>
    <t>INGRID PAOLA REINA CALDERON</t>
  </si>
  <si>
    <t>ingridreca@unisabana.edu.co</t>
  </si>
  <si>
    <t>ISMARY LARA RODRIGUEZ</t>
  </si>
  <si>
    <t>ismarylarro@unisabana.edu.co</t>
  </si>
  <si>
    <t>JANINE LUCERO RUEDA CASTILLO</t>
  </si>
  <si>
    <t>janineruca@unisabana.edu.co</t>
  </si>
  <si>
    <t>JONATHAN GONZALO OLIVIERI MONCADA</t>
  </si>
  <si>
    <t>jonathanolmo@unisabana.edu.co</t>
  </si>
  <si>
    <t>LUZ DIBIA PARRA GAMBA</t>
  </si>
  <si>
    <t>luzpaga@unisabana.edu.co</t>
  </si>
  <si>
    <t>NANCY TATIANA GONZALEZ JIMENEZ</t>
  </si>
  <si>
    <t>nancygoji@unisabana.edu.co</t>
  </si>
  <si>
    <t>YURANNY LIZZETTE FARIETA LINARES</t>
  </si>
  <si>
    <t>yurannyfarli@unisabana.edu.co</t>
  </si>
  <si>
    <t>ANGELICA MARIA MENDIBLE PACHECO</t>
  </si>
  <si>
    <t>angelicamepa@unisabana.edu.co</t>
  </si>
  <si>
    <t>CAMILO ANDRES CAICEDO LONDOÑO</t>
  </si>
  <si>
    <t>camilocailo@unisabana.edu.co</t>
  </si>
  <si>
    <t>DIANA CAROLINA MORALES CARDENAS</t>
  </si>
  <si>
    <t>dianamorcar@unisabana.edu.co</t>
  </si>
  <si>
    <t>FELIX   CARRILLO ROMERO</t>
  </si>
  <si>
    <t>felixcarro@unisabana.edu.co</t>
  </si>
  <si>
    <t>GABRIELA   PACHON BERNAL</t>
  </si>
  <si>
    <t>gabrielapabe@unisabana.edu.co</t>
  </si>
  <si>
    <t>JOHANN CAMILO PALACIO ALVAREZ</t>
  </si>
  <si>
    <t>johannpaal@unisabana.edu.co</t>
  </si>
  <si>
    <t>KAREN YESENIA HERNANDEZ GARZON</t>
  </si>
  <si>
    <t>karenhega@unisabana.edu.co</t>
  </si>
  <si>
    <t>LAURA ALEJANDRA RAMIREZ MOTTA</t>
  </si>
  <si>
    <t>laurarammot@unisabana.edu.co</t>
  </si>
  <si>
    <t>LEIDY JEANNETTE LEGUIZAMON BOCANEGRA</t>
  </si>
  <si>
    <t>leidylebo@unisabana.edu.co</t>
  </si>
  <si>
    <t>LINA JULIANA LEMA RAMOS</t>
  </si>
  <si>
    <t>linalera@unisabana.edu.co</t>
  </si>
  <si>
    <t>MARIA ANGELICA CASTIBLANCO NIÑO</t>
  </si>
  <si>
    <t>mariacasnin@unisabana.edu.co</t>
  </si>
  <si>
    <t>MARIA MONICA VALCARCEL SANCHEZ</t>
  </si>
  <si>
    <t>mariavalcsan@unisabana.edu.co</t>
  </si>
  <si>
    <t>MAYRA ALEJANDRA BARRIOS QUIROGA</t>
  </si>
  <si>
    <t>mayrabaqu@unisabana.edu.co</t>
  </si>
  <si>
    <t>OSCAR FABIAN RODRIGUEZ GALINDO</t>
  </si>
  <si>
    <t>oscar.rodriguez3@unisabana.edu.co</t>
  </si>
  <si>
    <t>ESPECIALIZACIÓN EN GERENCIA LOGÍSTICA - BUCARAMANGA</t>
  </si>
  <si>
    <t>ANDRES FELIPE AYALA GONZALEZ</t>
  </si>
  <si>
    <t>andresaygo@unisabana.edu.co</t>
  </si>
  <si>
    <t>BRAYAN DARIO RINCON GUTIERREZ</t>
  </si>
  <si>
    <t>brayanrigu@unisabana.edu.co</t>
  </si>
  <si>
    <t>DANIEL FERNANDO ALVAREZ JAIMES</t>
  </si>
  <si>
    <t>danielalja@unisabana.edu.co</t>
  </si>
  <si>
    <t>DIANA CAROLINA CRUZ FORERO</t>
  </si>
  <si>
    <t>dianacrfo@unisabana.edu.co</t>
  </si>
  <si>
    <t>DIANA MARCELA MANTILLA PARRA</t>
  </si>
  <si>
    <t>dianamanpa@unisabana.edu.co</t>
  </si>
  <si>
    <t>JAVIER QUINTERO MARTINEZ</t>
  </si>
  <si>
    <t>javierquma@unisabana.edu.co</t>
  </si>
  <si>
    <t>JENNIFER PAOLA ARENAS SANTOS</t>
  </si>
  <si>
    <t>jenniferarsa@unisabana.edu.co</t>
  </si>
  <si>
    <t>JUAN SEBASTIAN SANABRIA GUARNIZO</t>
  </si>
  <si>
    <t>juansagu@unisabana.edu.co</t>
  </si>
  <si>
    <t>LEONARDO   DIAZ QUINTERO</t>
  </si>
  <si>
    <t>leonardodiqu@unisabana.edu.co</t>
  </si>
  <si>
    <t>LEYDY KARINA CALA DIAZ</t>
  </si>
  <si>
    <t>leydycadi@unisabana.edu.co</t>
  </si>
  <si>
    <t>MABEL TATIANA VEGA BOHORQUEZ</t>
  </si>
  <si>
    <t>mabelvebo@unisabana.edu.co</t>
  </si>
  <si>
    <t>SHELCYN YULIANA DIAZ SANGUINO</t>
  </si>
  <si>
    <t>shelcyndisa@unisabana.edu.co</t>
  </si>
  <si>
    <t>Jenyffer Dayhana Hernandez Pasachoa</t>
  </si>
  <si>
    <t>jenyfferhepa@unisabana.edu.co</t>
  </si>
  <si>
    <t xml:space="preserve">MOLLY STEPHANIE GARCIA TAFUR </t>
  </si>
  <si>
    <t xml:space="preserve">
mollygarta@unisabana.edu.co</t>
  </si>
  <si>
    <t xml:space="preserve">CRISTHIAN ALEXANDER PEREIRA OTERO </t>
  </si>
  <si>
    <t>cristhianpeot@unisabana.edu.co</t>
  </si>
  <si>
    <t xml:space="preserve">ATENAS MERCEDES GUTIERREZ REYES </t>
  </si>
  <si>
    <t xml:space="preserve">
atenasgure@unisabana.edu.co</t>
  </si>
  <si>
    <t xml:space="preserve">ORLANDO ANTONIO PACHECO ROMERO </t>
  </si>
  <si>
    <t>orlandoparo@unisabana.edu.co</t>
  </si>
  <si>
    <t xml:space="preserve">DANIELA ESTEFANIA ERAZO GALARZA </t>
  </si>
  <si>
    <t>danielaerga@unisabana.edu.co</t>
  </si>
  <si>
    <t xml:space="preserve">CARLOS SAUL SIERRA NIÑO </t>
  </si>
  <si>
    <t>carlossieni@unisabana.edu.co</t>
  </si>
  <si>
    <t xml:space="preserve">NUBIA TATIANA  VARGAS NIETO </t>
  </si>
  <si>
    <t>nubiavani@unisabana.edu.co</t>
  </si>
  <si>
    <t xml:space="preserve">CLAUDIA PATRICIA BARRANTES VENEGAS </t>
  </si>
  <si>
    <t>claudiabarve@unisabana.edu.co</t>
  </si>
  <si>
    <t xml:space="preserve">PAULA ALEJANDRA CABRA CHIQUIZA </t>
  </si>
  <si>
    <t>paulacach@unisabana.edu.co</t>
  </si>
  <si>
    <t xml:space="preserve">JOAN CAMILO CASTELLANOS REYES </t>
  </si>
  <si>
    <t>joancare@unisabana.edu.co</t>
  </si>
  <si>
    <t>PAULA ANDREA BONILLA CASTAÑEDA</t>
  </si>
  <si>
    <t>paulaboca@unisabana.edu.co</t>
  </si>
  <si>
    <t>PAULA ANDREA REY ORTIZ</t>
  </si>
  <si>
    <t>paulareor@unisabana.edu.co</t>
  </si>
  <si>
    <t>LAURA MARIA MONTAÑA GOMEZ</t>
  </si>
  <si>
    <t>lauramongo@unisabana.edu.co</t>
  </si>
  <si>
    <t>MONICA PAOLA ÑUSTEZ PABON</t>
  </si>
  <si>
    <t>monicanupa@unisabana.edu.co</t>
  </si>
  <si>
    <t>ANGELICA LISSET PARRA LEON</t>
  </si>
  <si>
    <t>angelicapale@unisabana.edu.co</t>
  </si>
  <si>
    <t>LAURA ANDREA FIGUEREDO MAYORGA</t>
  </si>
  <si>
    <t>laurafima@unisabana.edu.co</t>
  </si>
  <si>
    <t>ROSY JANETH HERNANDEZ ORJUELA</t>
  </si>
  <si>
    <t>rosyheor@unisabana.edu.co</t>
  </si>
  <si>
    <t>DANIELA   RODRIGUEZ TINOCO</t>
  </si>
  <si>
    <t>danielaroti@unisabana.edu.co</t>
  </si>
  <si>
    <t>HANIA PAOLA BAENA DEL VALLE</t>
  </si>
  <si>
    <t>haniabava@unisabana.edu.co</t>
  </si>
  <si>
    <t>NURY SAHOMI BARRETO SEGURA</t>
  </si>
  <si>
    <t>nurybase@unisabana.edu.co</t>
  </si>
  <si>
    <t>LUZ KARIME LASSO CAMPO</t>
  </si>
  <si>
    <t>luzlaca@unisabana.edu.co</t>
  </si>
  <si>
    <t>NADIA VANESSA FAJARDO PULIDO</t>
  </si>
  <si>
    <t>nadiafapu@unisabana.edu.co</t>
  </si>
  <si>
    <t>TANIA MANUELA MORA PARRA</t>
  </si>
  <si>
    <t>taniamopa@unisabana.edu.co</t>
  </si>
  <si>
    <t>MARIA LUISA BOTERO JARAMILLO</t>
  </si>
  <si>
    <t>mariaboja@unisabana.edu.co</t>
  </si>
  <si>
    <t>DALIA MARLENY CARVAJAL RODRIGUEZ</t>
  </si>
  <si>
    <t>daliacaro@unisabana.edu.co</t>
  </si>
  <si>
    <t>DANIELA   CANTOR MONSALVE</t>
  </si>
  <si>
    <t>danielacanmo@unisabana.edu.co</t>
  </si>
  <si>
    <t>JUAN JOSE ARMERO PATIÑO</t>
  </si>
  <si>
    <t>juanarmpa@unisabana.edu.co</t>
  </si>
  <si>
    <t>JUAN PABLO COLOM RODRIGUEZ</t>
  </si>
  <si>
    <t>juancolro@unisabana.edu.co</t>
  </si>
  <si>
    <t>KARLA MELISSA CHAVARRO PENAGOS</t>
  </si>
  <si>
    <t>karlachape@unisabana.edu.co</t>
  </si>
  <si>
    <t>LEYDI LORENA GARCIA QUIROGA</t>
  </si>
  <si>
    <t>leydigaqu@unisabana.edu.co</t>
  </si>
  <si>
    <t>MARIA CONSUELO BONILLA MONTOYA</t>
  </si>
  <si>
    <t>mariabonmon@unisabana.edu.co</t>
  </si>
  <si>
    <t>REPORTE (BDD)</t>
  </si>
  <si>
    <t>RESUMEN</t>
  </si>
  <si>
    <t>No hay profesores en la base de datos</t>
  </si>
  <si>
    <t>No esta en la base (hoja Reporte Profesores) pero se solicito Duplicar</t>
  </si>
  <si>
    <t>confirmar</t>
  </si>
  <si>
    <t>INGENIERï¿½A EN BIOPRODUCCION</t>
  </si>
  <si>
    <t>INGENIERÃ¯Â¿Â½A INDUSTRIAL</t>
  </si>
  <si>
    <t>cod</t>
  </si>
  <si>
    <t>CENTRO DE TECNOLOGIAS PARA LA ACADEMIA</t>
  </si>
  <si>
    <t>Maestría en Derecho de la Empresa y de los negocios - Chía</t>
  </si>
  <si>
    <t>Maestría en Proyectos  Educativos Mediados por TIC - Virtual</t>
  </si>
  <si>
    <t>Especialización en Psicología Clínica de la Niñez y la Adolescencia  - Chía</t>
  </si>
  <si>
    <t>Especialización en Psicología Educativa  - Chía</t>
  </si>
  <si>
    <t>Especialización en Gerencia de Producción y Operaciones  - Chía</t>
  </si>
  <si>
    <t>Especialización en Gerencia Estratégica de Marca  - Chía</t>
  </si>
  <si>
    <t>Especialización en Contratación Ibagué -Tolima</t>
  </si>
  <si>
    <t>Especialización en Gestión para el Desarrollo Humano Organizacional -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</si>
</sst>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</cellStyleXfs>
  <cellXfs count="26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5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8" fillId="9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3" fontId="0" fillId="10" borderId="8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3" fontId="0" fillId="0" borderId="0" xfId="0" applyNumberFormat="1"/>
    <xf numFmtId="3" fontId="0" fillId="10" borderId="8" xfId="0" applyNumberForma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10" borderId="8" xfId="0" applyFill="1" applyBorder="1"/>
    <xf numFmtId="0" fontId="0" fillId="0" borderId="8" xfId="0" applyBorder="1" applyAlignment="1">
      <alignment vertical="center" wrapText="1"/>
    </xf>
    <xf numFmtId="3" fontId="0" fillId="0" borderId="0" xfId="0" applyNumberFormat="1" applyAlignment="1">
      <alignment horizontal="center" vertical="center"/>
    </xf>
    <xf numFmtId="9" fontId="0" fillId="0" borderId="8" xfId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5" borderId="8" xfId="0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3" fontId="0" fillId="0" borderId="0" xfId="0" applyNumberFormat="1" applyAlignment="1">
      <alignment horizontal="center"/>
    </xf>
    <xf numFmtId="0" fontId="8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10" borderId="0" xfId="0" applyNumberFormat="1" applyFill="1" applyAlignment="1">
      <alignment horizontal="center"/>
    </xf>
    <xf numFmtId="3" fontId="0" fillId="10" borderId="0" xfId="0" applyNumberFormat="1" applyFill="1" applyAlignment="1">
      <alignment horizontal="center" vertical="center"/>
    </xf>
    <xf numFmtId="3" fontId="9" fillId="10" borderId="0" xfId="0" applyNumberFormat="1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0" fillId="10" borderId="0" xfId="0" applyFill="1"/>
    <xf numFmtId="3" fontId="0" fillId="7" borderId="0" xfId="0" applyNumberFormat="1" applyFill="1" applyAlignment="1">
      <alignment horizontal="center"/>
    </xf>
    <xf numFmtId="0" fontId="8" fillId="9" borderId="22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3" fontId="9" fillId="10" borderId="8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3" fontId="1" fillId="0" borderId="0" xfId="0" applyNumberFormat="1" applyFont="1" applyAlignment="1">
      <alignment horizontal="center"/>
    </xf>
    <xf numFmtId="0" fontId="0" fillId="7" borderId="8" xfId="0" applyFill="1" applyBorder="1" applyAlignment="1">
      <alignment vertical="center" wrapText="1"/>
    </xf>
    <xf numFmtId="3" fontId="0" fillId="0" borderId="8" xfId="0" applyNumberFormat="1" applyBorder="1"/>
    <xf numFmtId="0" fontId="0" fillId="0" borderId="8" xfId="0" applyBorder="1"/>
    <xf numFmtId="0" fontId="8" fillId="9" borderId="22" xfId="0" applyFont="1" applyFill="1" applyBorder="1" applyAlignment="1">
      <alignment horizontal="left" vertical="center" wrapText="1"/>
    </xf>
    <xf numFmtId="3" fontId="1" fillId="0" borderId="8" xfId="0" applyNumberFormat="1" applyFont="1" applyBorder="1" applyAlignment="1">
      <alignment horizontal="center"/>
    </xf>
    <xf numFmtId="0" fontId="0" fillId="0" borderId="0" xfId="0" pivotButton="1"/>
    <xf numFmtId="0" fontId="11" fillId="0" borderId="0" xfId="3"/>
    <xf numFmtId="0" fontId="0" fillId="5" borderId="5" xfId="0" applyFill="1" applyBorder="1"/>
    <xf numFmtId="9" fontId="0" fillId="5" borderId="5" xfId="1" applyFont="1" applyFill="1" applyBorder="1"/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/>
    </xf>
    <xf numFmtId="0" fontId="0" fillId="5" borderId="12" xfId="0" applyFill="1" applyBorder="1"/>
    <xf numFmtId="10" fontId="0" fillId="5" borderId="13" xfId="1" applyNumberFormat="1" applyFont="1" applyFill="1" applyBorder="1"/>
    <xf numFmtId="0" fontId="7" fillId="5" borderId="15" xfId="0" applyFont="1" applyFill="1" applyBorder="1"/>
    <xf numFmtId="0" fontId="7" fillId="5" borderId="16" xfId="0" applyFont="1" applyFill="1" applyBorder="1"/>
    <xf numFmtId="9" fontId="7" fillId="5" borderId="16" xfId="1" applyFont="1" applyFill="1" applyBorder="1"/>
    <xf numFmtId="10" fontId="7" fillId="5" borderId="17" xfId="1" applyNumberFormat="1" applyFont="1" applyFill="1" applyBorder="1"/>
    <xf numFmtId="0" fontId="9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2" borderId="5" xfId="0" applyFill="1" applyBorder="1"/>
    <xf numFmtId="9" fontId="0" fillId="2" borderId="5" xfId="1" applyFont="1" applyFill="1" applyBorder="1"/>
    <xf numFmtId="10" fontId="0" fillId="2" borderId="13" xfId="1" applyNumberFormat="1" applyFont="1" applyFill="1" applyBorder="1"/>
    <xf numFmtId="0" fontId="0" fillId="2" borderId="12" xfId="0" applyFill="1" applyBorder="1"/>
    <xf numFmtId="0" fontId="9" fillId="5" borderId="0" xfId="0" applyFont="1" applyFill="1"/>
    <xf numFmtId="0" fontId="0" fillId="2" borderId="6" xfId="0" applyFill="1" applyBorder="1"/>
    <xf numFmtId="0" fontId="0" fillId="2" borderId="7" xfId="0" applyFill="1" applyBorder="1"/>
    <xf numFmtId="0" fontId="0" fillId="2" borderId="10" xfId="0" applyFill="1" applyBorder="1"/>
    <xf numFmtId="10" fontId="0" fillId="2" borderId="11" xfId="1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1" fillId="0" borderId="0" xfId="3" applyFill="1"/>
    <xf numFmtId="0" fontId="12" fillId="0" borderId="0" xfId="3" applyFont="1"/>
    <xf numFmtId="0" fontId="2" fillId="0" borderId="0" xfId="0" applyFont="1"/>
    <xf numFmtId="0" fontId="0" fillId="2" borderId="9" xfId="0" applyFill="1" applyBorder="1"/>
    <xf numFmtId="9" fontId="0" fillId="2" borderId="10" xfId="1" applyFont="1" applyFill="1" applyBorder="1"/>
    <xf numFmtId="0" fontId="0" fillId="7" borderId="0" xfId="0" applyFill="1"/>
    <xf numFmtId="0" fontId="1" fillId="7" borderId="0" xfId="0" applyFont="1" applyFill="1"/>
    <xf numFmtId="0" fontId="13" fillId="0" borderId="0" xfId="0" applyFont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4" xfId="0" applyBorder="1"/>
    <xf numFmtId="0" fontId="0" fillId="0" borderId="29" xfId="0" applyBorder="1"/>
    <xf numFmtId="0" fontId="0" fillId="0" borderId="0" xfId="0" applyAlignment="1">
      <alignment horizontal="left" indent="1"/>
    </xf>
    <xf numFmtId="0" fontId="1" fillId="5" borderId="0" xfId="0" applyFont="1" applyFill="1"/>
    <xf numFmtId="0" fontId="0" fillId="0" borderId="30" xfId="0" applyBorder="1"/>
    <xf numFmtId="0" fontId="0" fillId="7" borderId="12" xfId="0" applyFill="1" applyBorder="1"/>
    <xf numFmtId="0" fontId="0" fillId="7" borderId="5" xfId="0" applyFill="1" applyBorder="1"/>
    <xf numFmtId="10" fontId="0" fillId="7" borderId="13" xfId="1" applyNumberFormat="1" applyFont="1" applyFill="1" applyBorder="1"/>
    <xf numFmtId="9" fontId="0" fillId="7" borderId="5" xfId="1" applyFont="1" applyFill="1" applyBorder="1"/>
    <xf numFmtId="0" fontId="0" fillId="7" borderId="9" xfId="0" applyFill="1" applyBorder="1"/>
    <xf numFmtId="0" fontId="0" fillId="7" borderId="10" xfId="0" applyFill="1" applyBorder="1"/>
    <xf numFmtId="10" fontId="0" fillId="7" borderId="11" xfId="1" applyNumberFormat="1" applyFont="1" applyFill="1" applyBorder="1"/>
    <xf numFmtId="9" fontId="0" fillId="7" borderId="10" xfId="1" applyFont="1" applyFill="1" applyBorder="1"/>
    <xf numFmtId="0" fontId="0" fillId="6" borderId="0" xfId="0" applyFill="1"/>
    <xf numFmtId="0" fontId="1" fillId="0" borderId="0" xfId="0" applyFont="1" applyAlignment="1">
      <alignment horizontal="center"/>
    </xf>
    <xf numFmtId="0" fontId="0" fillId="7" borderId="0" xfId="0" applyFill="1" applyAlignment="1">
      <alignment wrapText="1"/>
    </xf>
    <xf numFmtId="0" fontId="0" fillId="5" borderId="0" xfId="0" applyFill="1" applyAlignment="1">
      <alignment wrapText="1"/>
    </xf>
    <xf numFmtId="0" fontId="7" fillId="2" borderId="15" xfId="0" applyFont="1" applyFill="1" applyBorder="1"/>
    <xf numFmtId="0" fontId="7" fillId="2" borderId="16" xfId="0" applyFont="1" applyFill="1" applyBorder="1"/>
    <xf numFmtId="9" fontId="7" fillId="2" borderId="16" xfId="1" applyFont="1" applyFill="1" applyBorder="1"/>
    <xf numFmtId="10" fontId="7" fillId="2" borderId="17" xfId="1" applyNumberFormat="1" applyFont="1" applyFill="1" applyBorder="1"/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left"/>
    </xf>
    <xf numFmtId="14" fontId="0" fillId="0" borderId="8" xfId="0" applyNumberFormat="1" applyBorder="1"/>
    <xf numFmtId="0" fontId="0" fillId="0" borderId="8" xfId="0" applyBorder="1" applyAlignment="1">
      <alignment wrapText="1"/>
    </xf>
    <xf numFmtId="0" fontId="11" fillId="0" borderId="8" xfId="3" applyBorder="1"/>
    <xf numFmtId="14" fontId="11" fillId="0" borderId="8" xfId="3" applyNumberFormat="1" applyBorder="1" applyAlignment="1">
      <alignment horizontal="left"/>
    </xf>
    <xf numFmtId="0" fontId="0" fillId="0" borderId="0" xfId="0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3" applyFill="1" applyBorder="1"/>
    <xf numFmtId="0" fontId="0" fillId="0" borderId="22" xfId="0" applyBorder="1"/>
    <xf numFmtId="14" fontId="0" fillId="0" borderId="0" xfId="0" applyNumberForma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11" borderId="0" xfId="0" applyFill="1"/>
    <xf numFmtId="0" fontId="0" fillId="11" borderId="1" xfId="0" applyFill="1" applyBorder="1"/>
    <xf numFmtId="0" fontId="0" fillId="11" borderId="27" xfId="0" applyFill="1" applyBorder="1"/>
    <xf numFmtId="0" fontId="0" fillId="11" borderId="3" xfId="0" applyFill="1" applyBorder="1"/>
    <xf numFmtId="0" fontId="0" fillId="11" borderId="29" xfId="0" applyFill="1" applyBorder="1"/>
    <xf numFmtId="0" fontId="0" fillId="11" borderId="14" xfId="0" applyFill="1" applyBorder="1"/>
    <xf numFmtId="0" fontId="0" fillId="11" borderId="31" xfId="0" applyFill="1" applyBorder="1"/>
    <xf numFmtId="0" fontId="1" fillId="0" borderId="0" xfId="0" applyFont="1" applyAlignment="1">
      <alignment wrapText="1"/>
    </xf>
    <xf numFmtId="0" fontId="1" fillId="11" borderId="0" xfId="0" applyFont="1" applyFill="1"/>
    <xf numFmtId="0" fontId="1" fillId="12" borderId="32" xfId="0" applyFont="1" applyFill="1" applyBorder="1"/>
    <xf numFmtId="0" fontId="1" fillId="12" borderId="33" xfId="0" applyFont="1" applyFill="1" applyBorder="1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horizontal="right"/>
    </xf>
    <xf numFmtId="0" fontId="1" fillId="12" borderId="33" xfId="0" applyFont="1" applyFill="1" applyBorder="1"/>
    <xf numFmtId="0" fontId="1" fillId="12" borderId="0" xfId="0" applyFont="1" applyFill="1"/>
    <xf numFmtId="0" fontId="15" fillId="0" borderId="14" xfId="0" applyFont="1" applyBorder="1"/>
    <xf numFmtId="0" fontId="15" fillId="5" borderId="0" xfId="0" applyFont="1" applyFill="1"/>
    <xf numFmtId="10" fontId="0" fillId="0" borderId="0" xfId="1" applyNumberFormat="1" applyFont="1" applyFill="1" applyBorder="1"/>
    <xf numFmtId="0" fontId="3" fillId="4" borderId="4" xfId="0" applyFont="1" applyFill="1" applyBorder="1" applyAlignment="1">
      <alignment horizontal="center"/>
    </xf>
    <xf numFmtId="0" fontId="0" fillId="14" borderId="0" xfId="0" applyFill="1"/>
    <xf numFmtId="0" fontId="11" fillId="2" borderId="0" xfId="3" applyFill="1"/>
    <xf numFmtId="0" fontId="0" fillId="0" borderId="18" xfId="0" applyBorder="1"/>
    <xf numFmtId="0" fontId="0" fillId="0" borderId="19" xfId="0" applyBorder="1"/>
    <xf numFmtId="9" fontId="0" fillId="0" borderId="0" xfId="1" applyFont="1" applyFill="1" applyBorder="1"/>
    <xf numFmtId="0" fontId="0" fillId="2" borderId="8" xfId="0" applyFill="1" applyBorder="1"/>
    <xf numFmtId="0" fontId="0" fillId="7" borderId="8" xfId="0" applyFill="1" applyBorder="1"/>
    <xf numFmtId="0" fontId="0" fillId="15" borderId="8" xfId="0" applyFill="1" applyBorder="1"/>
    <xf numFmtId="0" fontId="0" fillId="16" borderId="8" xfId="0" applyFill="1" applyBorder="1"/>
    <xf numFmtId="0" fontId="1" fillId="2" borderId="8" xfId="0" applyFont="1" applyFill="1" applyBorder="1"/>
    <xf numFmtId="0" fontId="1" fillId="0" borderId="8" xfId="0" applyFont="1" applyBorder="1"/>
    <xf numFmtId="0" fontId="1" fillId="7" borderId="8" xfId="0" applyFont="1" applyFill="1" applyBorder="1"/>
    <xf numFmtId="0" fontId="1" fillId="15" borderId="8" xfId="0" applyFont="1" applyFill="1" applyBorder="1"/>
    <xf numFmtId="0" fontId="1" fillId="16" borderId="8" xfId="0" applyFont="1" applyFill="1" applyBorder="1"/>
    <xf numFmtId="0" fontId="3" fillId="4" borderId="3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top" wrapText="1"/>
    </xf>
    <xf numFmtId="1" fontId="0" fillId="2" borderId="8" xfId="0" applyNumberFormat="1" applyFill="1" applyBorder="1"/>
    <xf numFmtId="9" fontId="0" fillId="2" borderId="8" xfId="1" applyFont="1" applyFill="1" applyBorder="1"/>
    <xf numFmtId="10" fontId="0" fillId="2" borderId="8" xfId="1" applyNumberFormat="1" applyFont="1" applyFill="1" applyBorder="1"/>
    <xf numFmtId="9" fontId="0" fillId="7" borderId="8" xfId="1" applyFont="1" applyFill="1" applyBorder="1"/>
    <xf numFmtId="10" fontId="0" fillId="7" borderId="8" xfId="1" applyNumberFormat="1" applyFont="1" applyFill="1" applyBorder="1"/>
    <xf numFmtId="1" fontId="0" fillId="15" borderId="8" xfId="0" applyNumberFormat="1" applyFill="1" applyBorder="1"/>
    <xf numFmtId="9" fontId="0" fillId="15" borderId="8" xfId="1" applyFont="1" applyFill="1" applyBorder="1"/>
    <xf numFmtId="10" fontId="0" fillId="15" borderId="8" xfId="1" applyNumberFormat="1" applyFont="1" applyFill="1" applyBorder="1"/>
    <xf numFmtId="9" fontId="0" fillId="0" borderId="8" xfId="1" applyFont="1" applyFill="1" applyBorder="1"/>
    <xf numFmtId="10" fontId="0" fillId="0" borderId="8" xfId="1" applyNumberFormat="1" applyFont="1" applyFill="1" applyBorder="1"/>
    <xf numFmtId="9" fontId="0" fillId="16" borderId="8" xfId="1" applyFont="1" applyFill="1" applyBorder="1"/>
    <xf numFmtId="10" fontId="0" fillId="16" borderId="8" xfId="1" applyNumberFormat="1" applyFont="1" applyFill="1" applyBorder="1"/>
    <xf numFmtId="0" fontId="0" fillId="17" borderId="8" xfId="0" applyFill="1" applyBorder="1"/>
    <xf numFmtId="9" fontId="0" fillId="17" borderId="8" xfId="1" applyFont="1" applyFill="1" applyBorder="1"/>
    <xf numFmtId="10" fontId="0" fillId="17" borderId="8" xfId="1" applyNumberFormat="1" applyFont="1" applyFill="1" applyBorder="1"/>
    <xf numFmtId="0" fontId="3" fillId="4" borderId="36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top" wrapText="1"/>
    </xf>
    <xf numFmtId="0" fontId="0" fillId="0" borderId="37" xfId="0" applyBorder="1"/>
    <xf numFmtId="0" fontId="0" fillId="0" borderId="38" xfId="0" applyBorder="1"/>
    <xf numFmtId="0" fontId="0" fillId="2" borderId="38" xfId="0" applyFill="1" applyBorder="1"/>
    <xf numFmtId="1" fontId="0" fillId="2" borderId="38" xfId="0" applyNumberFormat="1" applyFill="1" applyBorder="1"/>
    <xf numFmtId="9" fontId="0" fillId="2" borderId="38" xfId="1" applyFont="1" applyFill="1" applyBorder="1"/>
    <xf numFmtId="10" fontId="0" fillId="2" borderId="38" xfId="1" applyNumberFormat="1" applyFont="1" applyFill="1" applyBorder="1"/>
    <xf numFmtId="0" fontId="0" fillId="7" borderId="38" xfId="0" applyFill="1" applyBorder="1"/>
    <xf numFmtId="9" fontId="0" fillId="7" borderId="38" xfId="1" applyFont="1" applyFill="1" applyBorder="1"/>
    <xf numFmtId="10" fontId="0" fillId="7" borderId="38" xfId="1" applyNumberFormat="1" applyFont="1" applyFill="1" applyBorder="1"/>
    <xf numFmtId="0" fontId="0" fillId="0" borderId="40" xfId="0" applyBorder="1"/>
    <xf numFmtId="10" fontId="0" fillId="7" borderId="41" xfId="1" applyNumberFormat="1" applyFont="1" applyFill="1" applyBorder="1"/>
    <xf numFmtId="0" fontId="0" fillId="0" borderId="42" xfId="0" applyBorder="1"/>
    <xf numFmtId="0" fontId="0" fillId="0" borderId="43" xfId="0" applyBorder="1"/>
    <xf numFmtId="0" fontId="0" fillId="2" borderId="43" xfId="0" applyFill="1" applyBorder="1"/>
    <xf numFmtId="1" fontId="0" fillId="2" borderId="43" xfId="0" applyNumberFormat="1" applyFill="1" applyBorder="1"/>
    <xf numFmtId="9" fontId="0" fillId="2" borderId="43" xfId="1" applyFont="1" applyFill="1" applyBorder="1"/>
    <xf numFmtId="10" fontId="0" fillId="2" borderId="43" xfId="1" applyNumberFormat="1" applyFont="1" applyFill="1" applyBorder="1"/>
    <xf numFmtId="0" fontId="0" fillId="7" borderId="43" xfId="0" applyFill="1" applyBorder="1"/>
    <xf numFmtId="9" fontId="0" fillId="7" borderId="43" xfId="1" applyFont="1" applyFill="1" applyBorder="1"/>
    <xf numFmtId="10" fontId="0" fillId="7" borderId="43" xfId="1" applyNumberFormat="1" applyFont="1" applyFill="1" applyBorder="1"/>
    <xf numFmtId="10" fontId="0" fillId="2" borderId="39" xfId="1" applyNumberFormat="1" applyFont="1" applyFill="1" applyBorder="1"/>
    <xf numFmtId="10" fontId="0" fillId="2" borderId="41" xfId="1" applyNumberFormat="1" applyFont="1" applyFill="1" applyBorder="1"/>
    <xf numFmtId="10" fontId="0" fillId="15" borderId="41" xfId="1" applyNumberFormat="1" applyFont="1" applyFill="1" applyBorder="1"/>
    <xf numFmtId="10" fontId="0" fillId="2" borderId="44" xfId="1" applyNumberFormat="1" applyFont="1" applyFill="1" applyBorder="1"/>
    <xf numFmtId="9" fontId="0" fillId="0" borderId="38" xfId="1" applyFont="1" applyFill="1" applyBorder="1"/>
    <xf numFmtId="10" fontId="0" fillId="0" borderId="38" xfId="1" applyNumberFormat="1" applyFont="1" applyFill="1" applyBorder="1"/>
    <xf numFmtId="9" fontId="0" fillId="0" borderId="43" xfId="1" applyFont="1" applyFill="1" applyBorder="1"/>
    <xf numFmtId="10" fontId="0" fillId="0" borderId="43" xfId="1" applyNumberFormat="1" applyFont="1" applyFill="1" applyBorder="1"/>
    <xf numFmtId="0" fontId="0" fillId="15" borderId="43" xfId="0" applyFill="1" applyBorder="1"/>
    <xf numFmtId="9" fontId="0" fillId="15" borderId="43" xfId="1" applyFont="1" applyFill="1" applyBorder="1"/>
    <xf numFmtId="10" fontId="0" fillId="15" borderId="43" xfId="1" applyNumberFormat="1" applyFont="1" applyFill="1" applyBorder="1"/>
    <xf numFmtId="0" fontId="0" fillId="16" borderId="38" xfId="0" applyFill="1" applyBorder="1"/>
    <xf numFmtId="9" fontId="0" fillId="16" borderId="38" xfId="1" applyFont="1" applyFill="1" applyBorder="1"/>
    <xf numFmtId="10" fontId="0" fillId="16" borderId="38" xfId="1" applyNumberFormat="1" applyFont="1" applyFill="1" applyBorder="1"/>
    <xf numFmtId="10" fontId="0" fillId="16" borderId="39" xfId="1" applyNumberFormat="1" applyFont="1" applyFill="1" applyBorder="1"/>
    <xf numFmtId="10" fontId="0" fillId="16" borderId="41" xfId="1" applyNumberFormat="1" applyFont="1" applyFill="1" applyBorder="1"/>
    <xf numFmtId="0" fontId="0" fillId="16" borderId="43" xfId="0" applyFill="1" applyBorder="1"/>
    <xf numFmtId="9" fontId="0" fillId="16" borderId="43" xfId="1" applyFont="1" applyFill="1" applyBorder="1"/>
    <xf numFmtId="10" fontId="0" fillId="16" borderId="43" xfId="1" applyNumberFormat="1" applyFont="1" applyFill="1" applyBorder="1"/>
    <xf numFmtId="10" fontId="0" fillId="16" borderId="44" xfId="1" applyNumberFormat="1" applyFont="1" applyFill="1" applyBorder="1"/>
    <xf numFmtId="0" fontId="0" fillId="15" borderId="38" xfId="0" applyFill="1" applyBorder="1"/>
    <xf numFmtId="9" fontId="0" fillId="15" borderId="38" xfId="1" applyFont="1" applyFill="1" applyBorder="1"/>
    <xf numFmtId="10" fontId="0" fillId="15" borderId="38" xfId="1" applyNumberFormat="1" applyFont="1" applyFill="1" applyBorder="1"/>
    <xf numFmtId="10" fontId="0" fillId="15" borderId="39" xfId="1" applyNumberFormat="1" applyFont="1" applyFill="1" applyBorder="1"/>
    <xf numFmtId="10" fontId="0" fillId="17" borderId="41" xfId="1" applyNumberFormat="1" applyFont="1" applyFill="1" applyBorder="1"/>
    <xf numFmtId="10" fontId="0" fillId="15" borderId="44" xfId="1" applyNumberFormat="1" applyFont="1" applyFill="1" applyBorder="1"/>
    <xf numFmtId="0" fontId="7" fillId="0" borderId="8" xfId="0" applyFont="1" applyBorder="1" applyAlignment="1">
      <alignment horizontal="right"/>
    </xf>
    <xf numFmtId="0" fontId="7" fillId="0" borderId="8" xfId="0" applyFont="1" applyBorder="1"/>
    <xf numFmtId="1" fontId="7" fillId="0" borderId="8" xfId="0" applyNumberFormat="1" applyFont="1" applyBorder="1"/>
    <xf numFmtId="9" fontId="7" fillId="0" borderId="8" xfId="1" applyFont="1" applyFill="1" applyBorder="1"/>
    <xf numFmtId="10" fontId="7" fillId="0" borderId="8" xfId="1" applyNumberFormat="1" applyFont="1" applyFill="1" applyBorder="1"/>
    <xf numFmtId="0" fontId="16" fillId="13" borderId="8" xfId="0" applyFont="1" applyFill="1" applyBorder="1" applyAlignment="1">
      <alignment horizontal="right"/>
    </xf>
    <xf numFmtId="0" fontId="16" fillId="13" borderId="8" xfId="0" applyFont="1" applyFill="1" applyBorder="1"/>
    <xf numFmtId="1" fontId="16" fillId="13" borderId="8" xfId="0" applyNumberFormat="1" applyFont="1" applyFill="1" applyBorder="1"/>
    <xf numFmtId="9" fontId="16" fillId="13" borderId="8" xfId="1" applyFont="1" applyFill="1" applyBorder="1"/>
    <xf numFmtId="10" fontId="16" fillId="13" borderId="8" xfId="1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4" borderId="2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0" fillId="5" borderId="45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10" fontId="7" fillId="0" borderId="36" xfId="1" applyNumberFormat="1" applyFont="1" applyFill="1" applyBorder="1" applyAlignment="1">
      <alignment horizontal="center"/>
    </xf>
    <xf numFmtId="10" fontId="7" fillId="0" borderId="52" xfId="1" applyNumberFormat="1" applyFont="1" applyFill="1" applyBorder="1" applyAlignment="1">
      <alignment horizontal="center"/>
    </xf>
    <xf numFmtId="10" fontId="7" fillId="0" borderId="22" xfId="1" applyNumberFormat="1" applyFont="1" applyFill="1" applyBorder="1" applyAlignment="1">
      <alignment horizontal="center"/>
    </xf>
    <xf numFmtId="10" fontId="7" fillId="0" borderId="8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4">
    <cellStyle name="Hipervínculo" xfId="3" builtinId="8"/>
    <cellStyle name="Normal" xfId="0" builtinId="0"/>
    <cellStyle name="Normal 2" xfId="2" xr:uid="{00000000-0005-0000-0000-000002000000}"/>
    <cellStyle name="Porcentaje" xfId="1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005800"/>
      <color rgb="FF009900"/>
      <color rgb="FFFF81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onseca" refreshedDate="45636.65522453704" createdVersion="8" refreshedVersion="8" minRefreshableVersion="3" recordCount="1643" xr:uid="{00000000-000A-0000-FFFF-FFFF00000000}">
  <cacheSource type="worksheet">
    <worksheetSource ref="A128:J128" sheet="Reporte Profesores"/>
  </cacheSource>
  <cacheFields count="8">
    <cacheField name="CORREO" numFmtId="0">
      <sharedItems/>
    </cacheField>
    <cacheField name="PROGRAMA" numFmtId="0">
      <sharedItems count="153">
        <s v="INGENIERï¿½A MECï¿½NICA"/>
        <s v="LICENCIATURA EN CIENCIAS NATURALES"/>
        <s v="COMUNICACIï¿½N SOCIAL Y PERIODISMO"/>
        <s v="INGENIERï¿½A QUï¿½MICA"/>
        <s v="INGENIERï¿½A INFORMï¿½TICA"/>
        <s v="CENTRO INTERNACIONAL DE LENGUAS Y CULTURAS EXTRANJERAS"/>
        <s v="FINANZAS"/>
        <s v="ADMINISTRACIï¿½N Y ORGANIZACIONES"/>
        <s v="DERECHO"/>
        <s v="MERCADEO"/>
        <s v="COMUNICACIï¿½N AUDIOVISUAL Y MULTIMEDIOS"/>
        <s v="INGENIERï¿½A INDUSTRIAL"/>
        <s v="PSICOLOGï¿½A"/>
        <s v="ARTES CULINARIAS Y CIENCIAS DE LA ALIMENTACIï¿½N"/>
        <s v="INNOVACIï¿½N Y EMPRENDIMIENTO"/>
        <s v="MEDICINA"/>
        <s v="LICENCIATURA EN EDUCACIï¿½N INFANTIL"/>
        <s v="CORE CURRICULUM PERSONA Y CULTURA"/>
        <s v="ECONOMï¿½A"/>
        <s v="COMUNICACIï¿½N CORPORATIVA"/>
        <s v="CIENCIA DE DATOS"/>
        <s v="INGENIERï¿½A CIVIL"/>
        <s v="FISIOTERAPIA"/>
        <s v="SERVICIO, HOSPITALIDAD Y CALIDAD"/>
        <s v="ENFERMERï¿½A"/>
        <s v="FILOSOFï¿½A"/>
        <s v="CIENCIAS POLï¿½TICAS"/>
        <s v="CENTRO DE TECNOLOGï¿½AS PARA LA ACADEMIA"/>
        <s v="INGENIERï¿½A DE BIOPRODUCCIï¿½N"/>
        <s v="NEGOCIACIï¿½N Y COMERCIO INTERNACIONAL"/>
        <s v="GESTIï¿½N DE OPERACIONES"/>
        <s v="INGENIERï¿½A INDFORMATICA"/>
        <s v="ESPECIALIZACIÏ¿½N EN SEGUROS Y SEGURIDAD SOCIAL - CHÏ¿½A"/>
        <s v="ESPECIALIZACIÏ¿½N EN EMPRENDIMIENTO Y NEGOCIOS DIGITALES- CHÏ¿½A"/>
        <s v="ESPECIALIZACIÏ¿½N EN DERECHO TRIBUTARIO - CHÏ¿½A"/>
        <s v="MAESTRÏ¿½A EN GERENCIA DE INGENIERÏ¿½A - CHÏ¿½A"/>
        <s v="MAESTRÏ¿½A EN DISEÏ¿½O Y GESTIÏ¿½N DE PROCESOS - CHÏ¿½A"/>
        <s v="MAESTRÏ¿½A EN DESARROLLO INFANTIL - RIOHACHA"/>
        <s v="ESPECIALIZACIÏ¿½N EN RESPONSABILIDAD CIVIL Y DEL ESTADO - CHÏ¿½A"/>
        <s v="ESPECIALIZACIÏ¿½N EN GERENCIA COMERCIAL VIRTUAL"/>
        <s v="MAESTRIA EN DERECHO DE LA EMPRESA Y DE LOS NEGOCIOS"/>
        <s v="ESPECIALIZACIÏ¿½N EN ENFERMERÏ¿½A EN CUIDADO CRÏ¿½TICO - CHÏ¿½A"/>
        <s v="ESPECIALIZACIÏ¿½N EN GERENCIA COMERCIAL - BARRANQUILLA"/>
        <s v="MAESTRÏ¿½A EN ANALÏ¿½TICA APLICADA - CHÏ¿½A"/>
        <s v="ESPECIALIZACIÏ¿½N EN GERENCIA COMERCIAL - BOGOTÏ¿½"/>
        <s v="ESPECIALIZACIÏ¿½N EN GERENCIA ESTRATÏ¿½GICA - VILLAVICENCIO"/>
        <s v="MAESTRIA EN CONTRATACION ESTATAL"/>
        <s v="MAESTRÏ¿½A EN GERENCIA DE INVERSIÏ¿½N"/>
        <s v="ESPECIALIZACIÏ¿½N EN GERENCIA EDUCATIVA - CHÏ¿½A"/>
        <s v="ESPECIALIZACIÏ¿½N EN NEUROLOGÏ¿½A"/>
        <s v="MAESTRÏ¿½A EN PEDAGOGÏ¿½A"/>
        <s v="ESPECIALIZACION EN CONTRATACION ESTATAL IBAGUE"/>
        <s v="ESPECIALIZACIÏ¿½N EN MEDICINA FAMILIAR Y COMUNITARIA"/>
        <s v="ESPECIALIZACIÏ¿½N EN GASTROENTEROLOGÏ¿½A"/>
        <s v="ESPECIALIZACION EN CONTRATACION ESTATAL NEIVA"/>
        <s v="ESPECIALIZACIÏ¿½N EN GESTIÏ¿½N PARA EL DESARROLLO HUMANO EN LA ORGANIZACIÏ¿½N - CHÏ¿½A"/>
        <s v="MAESTRÏ¿½A EN GERENCIA DE LA INNOVACIÏ¿½N"/>
        <s v="MAESTRÏ¿½A EN GERENCIA ESTRATÏ¿½GICA"/>
        <s v="MAESTRÏ¿½A EN GERENCIA INTERNACIONAL"/>
        <s v="ESPECIALIZACIÏ¿½N EN GERENCIA DE RIESGOS - CHÏ¿½A"/>
        <s v="ESPECIALIZACIÏ¿½N EN GERENCIA DEL SERVICIO - CHÏ¿½A"/>
        <s v="ESPECIALIZACIÏ¿½N EN GESTIÏ¿½N PARA EL DESARROLLO HUMANO EN LA ORGANIZACIÏ¿½N - BOGOTÏ¿½"/>
        <s v="MAESTRÏ¿½A EN DESARROLLO INFANTIL - CHIA"/>
        <s v="MAESTRÏ¿½A EN TEOLOGÏ¿½A - CHÏ¿½A"/>
        <s v="MAESTRIA EN PSICOLOGIA DE LA SALUD Y DISCAPACIDAD"/>
        <s v="MAESTRÏ¿½A EN PERIODISMO Y COMUNICACIÏ¿½N DIGITAL"/>
        <s v="ESPECIALIZACIÏ¿½N EN NEUMOLOGÏ¿½A"/>
        <s v="ESPECIALIZACIÏ¿½N EN FARMACOLOGÏ¿½A CLÏ¿½NICA"/>
        <s v="ESPECIALIZACIÏ¿½N EN GERENCIA ESTRATÏ¿½GICA - MEDELLÏ¿½N"/>
        <s v="ESPECIALIZACIÏ¿½N EN GERENCIA ESTRATÏ¿½GICA - CHIA"/>
        <s v="ESPECIALIZACIÏ¿½N EN ELECTROFISIOLOGÏ¿½A CARDIOVASCULAR"/>
        <s v="MAESTRIA EN DERECHO CONSTITUCIONAL"/>
        <s v="ESPECIALIZACIÏ¿½N EN CONTRATACIÏ¿½N ESTATAL - CHÏ¿½A"/>
        <s v="MAESTRIA EN DERECHO INTERNACIONAL"/>
        <s v="MAESTRÏ¿½A EN DIRECCIÏ¿½N Y GESTIÏ¿½N DE INSTITUCIONES EDUCATIVAS"/>
        <s v="MAESTRÏ¿½A EN LINGÏ¿½Ï¿½STICA PANHISPÏ¿½NICA - CHÏ¿½A"/>
        <s v="ESPECIALIZACIÏ¿½N EN MEDICINA CRÏ¿½TICA Y CUIDADO INTENSIVO"/>
        <s v="MAESTRÏ¿½A EN GERENCIA Y DESARROLLO DE PERSONAS"/>
        <s v="ESPECIALIZACIÏ¿½N EN GERENCIA COMERCIAL BUCARAMANGA - SANTANDER"/>
        <s v="ESPECIALIZACION EN PSICOLOGIA EDUCATIVA"/>
        <s v="ESPECIALIZACION EN PSICOLOGIA CLINICA DE LA NIÏ¿½EZ Y LA ADOLESCENCIA"/>
        <s v="ESPECIALIZACIÏ¿½N EN GERENCIA FINANCIERA INTERNACIONAL - BOGOTÏ¿½"/>
        <s v="ESPECIALIZACIÏ¿½N EN GERENCIA DE PROYECTOS CON ENFOQUE EN HABILIDADES DIRECTIVAS - BOGOTÏ¿½"/>
        <s v="ESPECIALIZACIÏ¿½N EN FINANZAS CORPORATIVAS - CHÏ¿½A"/>
        <s v="ESPECIALIZACIÏ¿½N EN DERECHO Y EMPRESA - CHÏ¿½A"/>
        <s v="MAESTRÏ¿½A EN SALUD PÏ¿½BLICA"/>
        <s v="ESPECIALIZACIÏ¿½N EN NEUMOLOGÏ¿½A PEDIÏ¿½TRICA"/>
        <s v="MAESTRÏ¿½A EN GERENCIA DE OPERACIONES"/>
        <s v="ESPECIALIZACIÏ¿½N EN PEDIATRÏ¿½A"/>
        <s v="ESPECIALIZACIÏ¿½N EN CIRUGÏ¿½A GENERAL"/>
        <s v="ESPECIALIZACIÏ¿½N EN DERECHO COMERCIAL - CHÏ¿½A"/>
        <s v="ESPECIALIZACIÏ¿½N EN TERAPIA MANUAL ORTOPÏ¿½DICA - CHÏ¿½A"/>
        <s v="MAESTRÏ¿½A EN EPIDEMIOLOGÏ¿½A"/>
        <s v="ESPECIALIZACIÏ¿½N EN OFTALMOLOGÏ¿½A"/>
        <s v="ESPECIALIZACIÏ¿½N EN CUIDADO INTENSIVO PEDIÏ¿½TRICO"/>
        <s v="ESPECIALIZACIÏ¿½N EN GERENCIA LOGÏ¿½STICA - BOGOTÏ¿½"/>
        <s v="MAESTRÏ¿½A EN PEDAGOGIA E INVESTIGACIÏ¿½N EN EL AULA"/>
        <s v="ESPECIALIZACIÏ¿½N EN GERENCIA LOGÏ¿½STICA - CHÏ¿½A"/>
        <s v="ESPECIALIZACIÏ¿½N EN LIDERAZGO Y COACHING- CHÏ¿½A"/>
        <s v="MAESTRÏ¿½A EN EDUCACIÏ¿½N MÏ¿½DICA"/>
        <s v="ESPECIALIZACIÏ¿½N EN GERENCIA EDUCATIVA"/>
        <s v="ESPECIALIZACIÏ¿½N EN GERENCIA ESTRATÏ¿½GICA - IBAGUÏ¿½"/>
        <s v="MAESTRÏ¿½A EN DIRECCIÏ¿½N Y GESTIÏ¿½N DE INSTITUCIONES EDUCATIVAS - RIOHACHA"/>
        <s v="ESPECIALIZACIÏ¿½N EN RADIOLOGÏ¿½A E IMÏ¿½GENES DIAGNÏ¿½STICAS"/>
        <s v="ESPECIALIZACIÏ¿½N EN PEDAGOGÏ¿½A E INVESTIGACIÏ¿½N EN EL AULA"/>
        <s v="ESPECIALIZACIÏ¿½N EN GERENCIA COMERCIAL - CHIA"/>
        <s v="ESPECIALIZACIÏ¿½N EN GERENCIA COMERCIAL IBAGUÏ¿½ - TOLIMA"/>
        <s v="ESPECIALIZACIÏ¿½N EN GERENCIA DE PRODUCCIÏ¿½N Y OPERACIONES  - CHIA"/>
        <s v="ESPECIALIZACIÏ¿½N EN PEDAGOGÏ¿½A E INVESTIGACIÏ¿½N EN EL AULA - VIRTUAL"/>
        <s v="DOCTORADO EN INNOVACIÏ¿½N EDUCATIVA CON USO DE TIC"/>
        <s v="ESPECIALIZACIÏ¿½N EN MEDICINA FÏ¿½SICA Y REHABILITACIÏ¿½N"/>
        <s v="MAESTRÏ¿½A EN EDUCACIÏ¿½N"/>
        <s v="ESPECIALIZACIÏ¿½N EN GERENCIA ESTRATÏ¿½GICA - BARRANQUILLA"/>
        <s v="DOCTORADO EN BIOCIENCIAS"/>
        <s v="ESPECIALIZACIÏ¿½N EN GERENCIA ESTRATÏ¿½GICA - VIRTUAL"/>
        <s v="ESPECIALIZACIÏ¿½N EN GERENCIA COMERCIAL MEDELLÏ¿½N - ANTIOQUIA"/>
        <s v="DOCTORADO EN ENFERMERÏ¿½A"/>
        <s v="MAESTRIA EN PSICOLOGIA"/>
        <s v="ESPECIALIZACIÏ¿½N EN GERENCIA DE LA COMUNICACIÏ¿½N ORGANIZACIONAL"/>
        <s v="ESPECIALIZACIÏ¿½N EN MEDICINA DEL DOLOR Y CUIDADOS PALIATIVOS"/>
        <s v="ESPECIALIZACIÏ¿½N EN GESTIÏ¿½N PARA EL DESARROLLO HUMANO EN LA ORGANIZACIÏ¿½N - BUCARAMANGA"/>
        <s v="DOCTORADO EN DERECHO"/>
        <s v="MAESTRÏ¿½A EN COMUNICACIÏ¿½N ESTRÏ¿½TEGICA"/>
        <s v="MAESTRÏ¿½A EN GERENCIA DE INVERSIÏ¿½N - VIRTUAL"/>
        <s v="MAESTRÏ¿½A EN PEDAGOGÏ¿½A - NEIVA"/>
        <s v="MAESTRÏ¿½A EN DESARROLLO INFANTIL - GUAJIRA"/>
        <s v="ESPECIALIZACIÏ¿½N EN GERENCIA ESTRATÏ¿½GICA - BUCARAMANGA"/>
        <s v="ESPECIALIZACIÏ¿½N EN GERENCIA FINANCIERA INTERNACIONAL - CHIA"/>
        <s v="MAESTRÏ¿½A EN PEDAGOGÏ¿½A - HUILA"/>
        <s v="ESPECIALIZACIÏ¿½N EN GERENCIA LOGÏ¿½STICA - BUCARAMANGA"/>
        <s v="ESPECIALIZACIÏ¿½N EN GERENCIA ESTRATÏ¿½GICA DE MARCA  - CHIA"/>
        <s v="ESPECIALIZACIÏ¿½N EN GERENCIA DE PROYECTOS CON ENFOQUE EN HABILIDADES DIRECTIVAS - CHÏ¿½A"/>
        <s v="MAESTRÏ¿½A EN ENFERMERÏ¿½A"/>
        <s v="MAESTRÏ¿½A EN PROYECTOS EDUCATIVOS MEDIADOS POR TIC"/>
        <s v="MAESTRÏ¿½A EN PEDAGOGÏ¿½A E INVESTIGACIÏ¿½N EN AULA - VIRTUAL"/>
        <s v="MAESTRÏ¿½A EN ENFERMERÏ¿½A - VIRTUAL"/>
        <s v="ESPECIALIZACIï¿½N EN MEDICINA INTERNA"/>
        <s v="MAESTRï¿½A EN ASESORï¿½A FAMILIAR Y GESTIï¿½N DE PROGRAMAS PARA LA FAMILIA - VIRTUAL"/>
        <s v="MAESTRï¿½A EN DIDï¿½CTICA DEL INGLï¿½S PARA EL APRENDIZAJE AUTODIRIGIDO"/>
        <s v="DOCTORADO EN EDUCACIï¿½N"/>
        <s v="DOCTORADO EN COMUNICACIï¿½N"/>
        <s v="DOCTORADO EN INGENIERï¿½A"/>
        <s v="DOCTORADO EN ADMINISTRACIï¿½N DE ORGANIZACIONES"/>
        <s v="MAESTRï¿½A EN FISIOTERAPIA"/>
        <s v="ESPECIALIZACIï¿½N EN ANESTESIOLOGï¿½A Y MEDICINA PERIOPERATORIA"/>
        <s v="MAESTRï¿½A EN BIOï¿½TICA"/>
        <s v="DOCTORADO EN LOGï¿½STICA Y GESTIï¿½N DE CADENAS DE SUMINISTROS"/>
        <s v="ESPECIALIZACIï¿½N EN REUMATOLOGï¿½A"/>
        <s v="ESPECIALIZACIï¿½N EN GINECOLOGï¿½A Y OBSTETRICIA"/>
        <s v="MAESTRï¿½A EN FISIOTERAPIA  - VIRTUAL"/>
        <s v="MAESTRï¿½A EN INNOVACIï¿½N EDUCATIVA MEDIADA POR TIC"/>
        <s v="MAESTRï¿½A EN DIRECCIï¿½N Y GESTIï¿½N DE INSTITUCIONES EDUCATIVAS - GUAJIRA"/>
        <s v="MAESTRï¿½A EN DIDï¿½CTICA DEL INGLï¿½S PARA EL APRENDIZAJE AUTODIRIGIDO - VIRTUAL"/>
      </sharedItems>
    </cacheField>
    <cacheField name="TIPO" numFmtId="0">
      <sharedItems/>
    </cacheField>
    <cacheField name="DILIGENCIADO" numFmtId="0">
      <sharedItems/>
    </cacheField>
    <cacheField name="LINK" numFmtId="0">
      <sharedItems/>
    </cacheField>
    <cacheField name="NIVEL" numFmtId="0">
      <sharedItems/>
    </cacheField>
    <cacheField name="UNIDAD" numFmtId="0">
      <sharedItems containsSemiMixedTypes="0" containsString="0" containsNumber="1" containsInteger="1" minValue="1" maxValue="16"/>
    </cacheField>
    <cacheField name="UNIDAD2" numFmtId="0">
      <sharedItems count="14">
        <s v="FACULTAD DE INGENIERÍA"/>
        <s v="FACULTAD DE EDUCACIÓN"/>
        <s v="FACULTAD DE COMUNICACIÓN"/>
        <s v="CENTRO INTERNACIONAL DE LENGUAS Y CULTURAS EXTRANJERAS"/>
        <s v="ESCUELA INTERNACIONAL DE CIENCIAS ECONÓMICAS Y ADMINISTRATIVAS"/>
        <s v="FACULTAD DE DERECHO Y CIENCIAS POLÍTICAS"/>
        <s v="FACULTAD DE PSICOLOGÍA"/>
        <s v="FACULTAD DE MEDICINA"/>
        <s v="CORE CURRICULUM PERSONA Y CULTURA"/>
        <s v="FACULTAD DE ENFERMERÍA Y REHABILITACIÓN"/>
        <s v="FACULTAD DE FILOSOFÍA Y CIENCIAS HUMANAS"/>
        <s v="CENTRO DE TECNOLOGÍAS PARA LA ACADEMIA"/>
        <s v="INSTITUTO FORUM"/>
        <s v="INSTITUTO DE LA FAMIL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DP" refreshedDate="45705.373569675925" createdVersion="8" refreshedVersion="6" minRefreshableVersion="3" recordCount="521" xr:uid="{00000000-000A-0000-FFFF-FFFF01000000}">
  <cacheSource type="worksheet">
    <worksheetSource ref="A1:C522" sheet="BDD Admin. Centrales"/>
  </cacheSource>
  <cacheFields count="3">
    <cacheField name="Correo" numFmtId="0">
      <sharedItems/>
    </cacheField>
    <cacheField name="Establecimiento" numFmtId="0">
      <sharedItems count="37">
        <s v="DIRECCION GENERAL DE INVESTIGACIÓN"/>
        <s v="DIRECCIÓN DE PUBLICACIONES Y DIVULGACIÓN CIENTÍFICA"/>
        <s v="DIRECCIÓN DE DESARROLLO PROFESORAL"/>
        <s v="DIRECCIÓN DE CULTURA INSTITUCIONAL"/>
        <s v="DIRECCIÓN DE CURRÍCULO"/>
        <s v="DIRECCIÓN DE BIENESTAR Y EXPERIENCIA DEL ESTUDIANTE"/>
        <s v="PROYECTO MENTIS"/>
        <s v="DIRECCIÓN DE BIBLIOTECA"/>
        <s v="DIRECCIÓN DE RELACIONES INTERNACIONALES"/>
        <s v="DIRECCIÓN DE DESARROLLO HUMANO"/>
        <s v="DIRECCIÓN DE DESARROLLO ESTRATÉGICO"/>
        <s v="DIRECCIÓN DE TECNOLOGÍA Y TRANSFORMACIÓN DIGITAL"/>
        <s v="PROYECTO WEB U3G"/>
        <s v="PROYECTO DE OMNICANALIDAD"/>
        <s v="DIRECCIÓN DE OPERACIONES"/>
        <s v="DIRECCIÓN FINANCIERA"/>
        <s v="DIRECCIÓN DE REGISTRO ACADÉMICO"/>
        <s v="DIRECCIÓN JURÍDICA"/>
        <s v="DIRECCIÓN DE COMUNICACIÓN INSTITUCIONAL"/>
        <s v="DIRECCIÓN DE GESTIÓN DOCUMENTAL"/>
        <s v="DIRECCIÓN DE ENTORNO SALUDABLE Y SOSTENIBLE"/>
        <s v="DIRECCIÓN DE CONTROL INTERNO"/>
        <s v="PROYECTO GRECIA"/>
        <s v="CAPELLANÍA"/>
        <s v="DIRECCIÓN DE ADMISIONES"/>
        <s v="DIRECCIÓN DE LIFELONG LEARNING"/>
        <s v="UNISABANA E-LEARNING"/>
        <s v="DIRECCIÓN DE ALIMENTOS Y BEBIDAS"/>
        <s v="DIRECCIÓN DE PROYECCCIÓN SOCIAL Y ENGAGEMENT"/>
        <s v="DIRECCIÓN DE INNOVACIÓN Y EMPRENDIMIENTO"/>
        <s v="DIRECCIÓN DE ALUMNI SABANA"/>
        <s v="UNISABANA HUB"/>
        <s v="MACROPROYECTO DE TRANSFORMACIÓN ACADÉMICA"/>
        <s v="PROYECTO UNISABANA TEC"/>
        <s v="PROYECTO UNISABANA CENTER FOR TRANSLATIONAL SCIENCE"/>
        <s v="RECTORÍA"/>
        <s v="SECRETARÍA GENERAL"/>
      </sharedItems>
    </cacheField>
    <cacheField name="Diligenciada" numFmtId="0">
      <sharedItems count="3">
        <s v="Si"/>
        <s v="No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onseca" refreshedDate="45741.542604629627" createdVersion="8" refreshedVersion="8" minRefreshableVersion="3" recordCount="3962" xr:uid="{00000000-000A-0000-FFFF-FFFF02000000}">
  <cacheSource type="worksheet">
    <worksheetSource ref="A1:C1048576" sheet="BDD Esudiantes"/>
  </cacheSource>
  <cacheFields count="3">
    <cacheField name="F3" numFmtId="0">
      <sharedItems containsString="0" containsBlank="1" containsNumber="1" containsInteger="1" minValue="20" maxValue="148"/>
    </cacheField>
    <cacheField name="Semestre" numFmtId="0">
      <sharedItems containsString="0" containsBlank="1" containsNumber="1" containsInteger="1" minValue="2" maxValue="11" count="11">
        <n v="6"/>
        <n v="7"/>
        <n v="5"/>
        <n v="8"/>
        <n v="2"/>
        <n v="3"/>
        <n v="4"/>
        <n v="9"/>
        <n v="10"/>
        <n v="11"/>
        <m/>
      </sharedItems>
    </cacheField>
    <cacheField name="Nombre de Programa" numFmtId="0">
      <sharedItems containsBlank="1" count="27">
        <s v="Ingeniería Informática"/>
        <s v="Ciencia de Datos"/>
        <s v="Ingeniería Mecánica"/>
        <s v="Licenciatura en Educación Infantil"/>
        <s v="Licenciatura en Ciencias Naturales"/>
        <s v="Administración &amp; Servicio"/>
        <s v="Administración de Empresas"/>
        <s v="Ingeniería Civil"/>
        <s v="Administración de Negocios Internacionales"/>
        <s v="Administración de Mercadeo y Logística Internacionales"/>
        <s v="Ingeniería Industrial"/>
        <s v="Gastronomía"/>
        <s v="Economía y Finanzas Internacionales"/>
        <s v="Psicología"/>
        <s v="Comunicación Social y Periodismo"/>
        <s v="Fisioterapia"/>
        <s v="Comunicación Audiovisual y Multimedios"/>
        <s v="Comunicación Corporativa"/>
        <s v="Ingeniería Química"/>
        <s v="Derecho"/>
        <s v="Enfermería"/>
        <s v="Ingeniería de Producción Agroindustrial"/>
        <s v="Ingeniería de Bioproducción"/>
        <s v="Ciencias Políticas"/>
        <s v="Filosofía"/>
        <s v="Medici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onseca" refreshedDate="45785.762816435185" createdVersion="8" refreshedVersion="8" minRefreshableVersion="3" recordCount="1691" xr:uid="{00000000-000A-0000-FFFF-FFFF03000000}">
  <cacheSource type="worksheet">
    <worksheetSource ref="A1:K1674" sheet="Reporte Profesores"/>
  </cacheSource>
  <cacheFields count="10">
    <cacheField name="CORREO 1" numFmtId="0">
      <sharedItems/>
    </cacheField>
    <cacheField name="CORREO" numFmtId="0">
      <sharedItems containsBlank="1"/>
    </cacheField>
    <cacheField name="PROGRAMA (BDD SAWTOOTH)" numFmtId="0">
      <sharedItems containsBlank="1"/>
    </cacheField>
    <cacheField name="PROGRAMA" numFmtId="0">
      <sharedItems count="148">
        <s v="ESPECIALIZACIÓN EN EMPRENDIMIENTO Y NEGOCIOS DIGITALES- CHÍA"/>
        <s v="MAESTRÍA EN GERENCIA DE INGENIERÍA"/>
        <s v="Ingeniería Mecánica"/>
        <s v="Licenciatura en Ciencias Naturales"/>
        <s v="Medicina"/>
        <s v="ESPECIALIZACIÓN EN RESPONSABILIDAD CIVIL Y DEL ESTADO"/>
        <s v="ESPECIALIZACIÓN EN GERENCIA COMERCIAL VIRTUAL"/>
        <s v="ESPECIALIZACIÓN EN GERENCIA DEL SERVICIO CHÍA"/>
        <s v="ESPECIALIZACIÓN EN LIDERAZGO Y COACHING- CHÍA"/>
        <s v="MAESTRÍA EN DERECHO DE LA EMPRESA Y DE LOS NEGOCIOS"/>
        <s v="ESPECIALIZACIÓN EN ENFERMERÍA EN CUIDADO CRÍTICO"/>
        <s v="ESPECIALIZACIÓN EN TERAPIA MANUAL ORTOPÉDICA"/>
        <s v="MAESTRÍA EN ENFERMERÍA PRESENCIAL"/>
        <s v="MAESTRÍA EN ENFERMERÍA VIRTUAL"/>
        <s v="MAESTRÍA EN ASESORÍA FAMILIAR Y GESTIÓN DE PROGRAMAS PARA LA FAMILIA"/>
        <s v="Comunicación Social y Periodismo"/>
        <s v="Ingeniería Química"/>
        <s v="ESPECIALIZACIÓN EN GESTIÓN PARA EL DESARROLLO HUMANO EN LA ORGANIZACIÓN BUCARAMANGA"/>
        <s v="MAESTRÍA EN ANALÍTICA APLICADA"/>
        <s v="Departamento de lenguas y culturas extranjeras"/>
        <s v="FINANZAS"/>
        <s v="ADMINISTRACIÓN Y ORGANIZACIONES"/>
        <s v="Derecho"/>
        <s v="Comunicación Audiovisual y Multimedios"/>
        <s v="MERCADEO"/>
        <s v="ESPECIALIZACIÓN EN DERECHO TRIBUTARIO"/>
        <s v="MAESTRÍA EN GERENCIA DE INVERSIÓN"/>
        <s v="MAESTRÍA EN GERENCIA DE INVERSIÓN - VIRTUAL"/>
        <s v="Ingeniería Industrial"/>
        <s v="Psicología"/>
        <s v="MAESTRÍA EN PEDAGOGÍA"/>
        <s v="Ingeniería Informática"/>
        <s v="ARTES CULINARIAS Y CIENCIAS DE LA ALIMENTACIÓN"/>
        <s v="ESPECIALIZACIÓN EN CONTRATACIÓN ESTATAL - NEIVA"/>
        <s v="Licenciatura en Educación Infantil"/>
        <s v="MAESTRÍA EN GERENCIA ESTRATÉGICA"/>
        <s v="Core curriculum persona y cultura"/>
        <s v="MAESTRÍA EN GERENCIA INTERNACIONAL"/>
        <s v="ESPECIALIZACIÓN EN GERENCIA DE RIESGOS - CHÍA"/>
        <s v="ESPECIALIZACIÓN EN GESTIÓN PARA EL DESARROLLO HUMANO EN LA ORGANIZACIÓN CHÍA"/>
        <s v="ECONOMÍA"/>
        <s v="MAESTRÍA EN DESARROLLO INFANTIL"/>
        <s v="MAESTRÍA EN DESARROLLO INFANTIL - RIOHACHA"/>
        <s v="Comunicación Corporativa"/>
        <s v="Ciencia de Datos"/>
        <s v="MAESTRÍA EN TEOLOGÍA"/>
        <s v="MAESTRÍA EN PSICOLOGÍA DE LA SALUD Y LA DISCAPACIDAD"/>
        <s v="MAESTRÍA EN PERIODISMO Y COMUNICACIÓN DIGITAL"/>
        <s v="ESPECIALIZACIÓN EN NEUMOLOGÍA"/>
        <s v="Ingeniería Civil"/>
        <s v="ESPECIALIZACIÓN EN FARMACOLOGÍA CLÍNICA"/>
        <s v="Fisioterapia"/>
        <s v="ESPECIALIZACIÓN EN GERENCIA ESTRATÉGICA MEDELLÍN"/>
        <s v="SERVICIO, HOSPITALIDAD Y CALIDAD"/>
        <s v="ESPECIALIZACIÓN EN GERENCIA ESTRATÉGICA CHÍA"/>
        <s v="ESPECIALIZACIÓN EN GERENCIA ESTRATÉGICA BUCARAMANGA"/>
        <s v="MAESTRÍA EN DERECHO CONSTITUCIONAL"/>
        <s v="Enfermería"/>
        <s v="INNOVACIÓN Y EMPRENDIMIENTO"/>
        <s v="MAESTRÍA EN CONTRATACIÓN ESTATAL"/>
        <s v="Filosofía"/>
        <s v="MAESTRÍA EN DERECHO INTERNACIONAL"/>
        <s v="MAESTRÍA EN DIRECCIÓN Y GESTIÓN DE INSTITUCIONES EDUCATIVAS"/>
        <s v="MAESTRÍA EN LINGÜÍSTICA PANHISPÁNICA - VIRTUAL"/>
        <s v="ESPECIALIZACIÓN EN CONTRATACIÓN ESTATAL"/>
        <s v="MAESTRÍA EN GERENCIA Y DESARROLLO DE PERSONAS"/>
        <s v="ESPECIALIZACIÓN EN CONTRATACIÓN ESTATAL - IBAGUÉ"/>
        <s v="MAESTRÍA EN GERENCIA DE LA INNOVACIÓN"/>
        <s v="Ciencias Políticas"/>
        <s v="ESPECIALIZACIÓN EN MEDICINA FAMILIAR Y COMUNITARIA"/>
        <s v="MAESTRÍA EN SALUD PÚBLICA"/>
        <s v="ESPECIALIZACIÓN EN PSICOLOGÍA EDUCATIVA"/>
        <s v="ESPECIALIZACIÓN EN PSICOLOGÍA CLÍNICA DE LA NIÑEZ Y LA ADOLESCENCIA"/>
        <s v="ESPECIALIZACIÓN EN GERENCIA FINANCIERA INTERNACIONAL -BOGOTÁ"/>
        <s v="ESPECIALIZACIÓN EN FINANZAS CORPORATIVAS CHÍA"/>
        <s v="ESPECIALIZACIÓN EN GERENCIA FINANCIERA INTERNACIONAL CHÍA"/>
        <s v="ESPECIALIZACIÓN EN GERENCIA COMERCIAL - BOGOTÁ"/>
        <s v="ESPECIALIZACIÓN EN DERECHO Y EMPRESA"/>
        <s v="ESPECIALIZACIÓN EN GERENCIA ESTRATÉGICA VILLAVICENCIO"/>
        <s v="ESPECIALIZACIÓN EN PEDIATRÍA"/>
        <s v="ESPECIALIZACIÓN EN CIRUGÍA GENERAL"/>
        <s v="MAESTRÍA EN PEDAGOGÍA - NEIVA"/>
        <s v="ESPECIALIZACIÓN EN GERENCIA ESTRATÉGICA IBAGUÉ"/>
        <s v="MAESTRÍA EN EPIDEMIOLOGÍA"/>
        <s v="ESPECIALIZACIÓN EN CUIDADO INTENSIVO PEDIÁTRICO"/>
        <s v="ESPECIALIZACIÓN EN GERENCIA LOGÍSTICA - BOGOTÁ"/>
        <s v="MAESTRÍA EN GERENCIA DE OPERACIONES"/>
        <s v="Centro de tecnologias parta la academia"/>
        <s v="ESPECIALIZACIÓN EN GERENCIA DE PROYECTOS CON ENFOQUE EN HABILIDADES DIRECTIVAS CHÍA"/>
        <s v="ESPECIALIZACIÓN EN SEGUROS Y SEGURIDAD SOCIAL"/>
        <s v="Ingeniería de Bioproducción / Producción Agroindustrial"/>
        <s v="NEGOCIACIÓN Y COMERCIO INTERNACIONAL"/>
        <s v="MAESTRÍA EN DIRECCIÓN Y GESTIÓN DE INSTITUCIONES EDUCATIVAS - RIOHACHA"/>
        <s v="ESPECIALIZACIÓN EN GERENCIA DE PROYECTOS CON ENFOQUE EN HABILIDADES DIRECTIVAS - BOGOTÁ"/>
        <s v="ESPECIALIZACIÓN EN PEDAGOGÍA E INVESTIGACIÓN EN EL AULA - VIRTUAL"/>
        <s v="ESPECIALIZACIÓN EN GERENCIA COMERCIAL CHÍA"/>
        <s v="GESTIÓN DE OPERACIONES"/>
        <s v="MAESTRÍA EN DISEÑO Y GESTIÓN DE PROCESOS"/>
        <s v="ESPECIALIZACIÓN EN GERENCIA EDUCATIVA"/>
        <s v="ESPECIALIZACIÓN EN NEUROLOGÍA"/>
        <s v="ESPECIALIZACIÓN EN GASTROENTEROLOGÍA"/>
        <s v="ESPECIALIZACIÓN EN GESTIÓN PARA EL DESARROLLO HUMANO EN LA ORGANIZACIÓN - BOGOTÁ"/>
        <s v="ESPECIALIZACIÓN EN ELECTROFISIOLOGÍA CARDIOVASCULAR"/>
        <s v="ESPECIALIZACIÓN EN MEDICINA CRÍTICA"/>
        <s v="ESPECIALIZACIÓN EN GERENCIA COMERCIAL BUCARAMANGA"/>
        <s v="ESPECIALIZACIÓN EN NEUMOLOGÍA PEDIÁTRICA"/>
        <s v="ESPECIALIZACIÓN EN DERECHO COMERCIAL"/>
        <s v="ESPECIALIZACIÓN EN OFTALMOLOGÍA"/>
        <s v="MAESTRÍA EN PEDAGOGÍA E INVESTIGACIÓN EN AULA - VIRTUAL"/>
        <s v="ESPECIALIZACIÓN EN GERENCIA LOGÍSTICA CHÍA"/>
        <s v="MAESTRÍA EN EDUCACIÓN MÉDICA"/>
        <s v="ESPECIALIZACIÓN EN RADIOLOGÍA E IMÁGENES DIAGNÓSTICAS"/>
        <s v="ESPECIALIZACIÓN EN GERENCIA COMERCIAL IBAGUÉ"/>
        <s v="ESPECIALIZACIÓN EN GERENCIA DE PRODUCCIÓN Y OPERACIONES CHÍA"/>
        <s v="DOCTORADO EN DERECHO"/>
        <s v="MAESTRÍA EN COMUNICACIÓN ESTRATÉGICA"/>
        <s v="ESPECIALIZACIÓN EN GERENCIA DE LA COMUNICACIÓN ORGANIZACIONAL"/>
        <s v="ESPECIALIZACIÓN EN GERENCIA LOGÍSTICA BUCARAMANGA"/>
        <s v="ESPECIALIZACIÓN EN GERENCIA ESTRATÉGICA DE MARCA CHÍA"/>
        <s v="DOCTORADO EN PSICOLOGÍA"/>
        <s v="MAESTRÍA EN PSICOLOGÍA CLÍNICA DE LA NIÑEZ Y LA ADOLESCENCIA"/>
        <s v="MAESTRÍA EN FISIOTERAPIA - VIRTUAL"/>
        <s v="ESPECIALIZACIÓN EN GERENCIA COMERCIAL BARRANQUILLA"/>
        <s v="MAESTRÍA EN PSICOLOGÍA"/>
        <s v="MAESTRÍA EN INNOVACIÓN EDUCATIVA MEDIADA POR TIC - VIRTUAL"/>
        <s v="ESPECIALIZACIÓN EN GERENCIA ESTRATÉGICA - VIRTUAL"/>
        <s v="ESPECIALIZACIÓN EN GERENCIA ESTRATÉGICA BARRANQUILLA"/>
        <s v="ESPECIALIZACIÓN EN GERENCIA ESTRATÉGICA - BOGOTÁ"/>
        <s v="DOCTORADO EN INNOVACIÓN EDUCATIVA CON USO DE TIC"/>
        <s v="ESPECIALIZACIÓN EN MEDICINA FÍSICA Y REHABILITACIÓN"/>
        <s v="MAESTRÍA EN EDUCACIÓN"/>
        <s v="DOCTORADO EN BIOCIENCIAS"/>
        <s v="ESPECIALIZACIÓN EN GERENCIA COMERCIAL MEDELLÍN"/>
        <s v="DOCTORADO EN ENFERMERÍA"/>
        <s v="ESPECIALIZACIÓN EN MEDICINA DEL DOLOR Y CUIDADOS PALIATIVOS"/>
        <s v="ESPECIALIZACIÓN EN MEDICINA INTERNA"/>
        <s v="ESPECIALIZACIÓN EN REUMATOLOGÍA"/>
        <s v="MAESTRÍA EN DIDÁCTICA DEL INGLÉS PARA EL APRENDIZAJE AUTODIRIGIDO - VIRTUAL"/>
        <s v="DOCTORADO EN EDUCACIÓN"/>
        <s v="DOCTORADO EN COMUNICACIÓN"/>
        <s v="DOCTORADO EN INGENIERÍA"/>
        <s v="DOCTORADO EN ADMINISTRACIÓN DE ORGANIZACIONES"/>
        <s v="ESPECIALIZACIÓN EN ANESTESIOLOGÍA Y MEDICINA PERIOPERATORIA"/>
        <s v="MAESTRÍA EN BIOÉTICA"/>
        <s v="DOCTORADO EN LOGÍSTICA Y GESTIÓN DE CADENA DE SUMINISTRO"/>
        <s v="ESPECIALIZACIÓN EN GINECOLOGÍA Y OBSTETRICIA"/>
        <s v="ESPECIALIZACIÓN EN GESTIÓN PARA EL DESARROLLO HUMANO EN LA ORGANIZACIÓN - VIRTUAL"/>
        <s v="MAESTRÍA EN PROYECTOS EDUCATIVOS MEDIADOS POR TIC" u="1"/>
      </sharedItems>
    </cacheField>
    <cacheField name="TIPO" numFmtId="0">
      <sharedItems containsBlank="1" count="3">
        <s v="Cátedra"/>
        <s v="Planta"/>
        <m u="1"/>
      </sharedItems>
    </cacheField>
    <cacheField name="ESTATUS" numFmtId="0">
      <sharedItems count="6">
        <s v="Completa"/>
        <s v="Incompleta"/>
        <s v="No diligenciada"/>
        <s v="Replicado"/>
        <s v="No diligenciado" u="1"/>
        <s v="Duplicado" u="1"/>
      </sharedItems>
    </cacheField>
    <cacheField name="BuscarV" numFmtId="0">
      <sharedItems containsBlank="1"/>
    </cacheField>
    <cacheField name="NIVEL" numFmtId="0">
      <sharedItems/>
    </cacheField>
    <cacheField name="UNIDAD" numFmtId="0">
      <sharedItems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onseca" refreshedDate="45803.692580902774" createdVersion="8" refreshedVersion="8" minRefreshableVersion="3" recordCount="1678" xr:uid="{9E846784-86EB-4736-8830-B541D83E448A}">
  <cacheSource type="worksheet">
    <worksheetSource ref="A1:K1675" sheet="Reporte Profesores"/>
  </cacheSource>
  <cacheFields count="10">
    <cacheField name="CORREO 1" numFmtId="0">
      <sharedItems/>
    </cacheField>
    <cacheField name="CORREO" numFmtId="0">
      <sharedItems containsBlank="1"/>
    </cacheField>
    <cacheField name="PROGRAMA (BDD SAWTOOTH)" numFmtId="0">
      <sharedItems containsBlank="1"/>
    </cacheField>
    <cacheField name="PROGRAMA" numFmtId="0">
      <sharedItems count="147">
        <s v="ESPECIALIZACIÓN EN EMPRENDIMIENTO Y NEGOCIOS DIGITALES- CHÍA"/>
        <s v="MAESTRÍA EN GERENCIA DE INGENIERÍA"/>
        <s v="Ingeniería Mecánica"/>
        <s v="Licenciatura en Ciencias Naturales"/>
        <s v="Medicina"/>
        <s v="ESPECIALIZACIÓN EN RESPONSABILIDAD CIVIL Y DEL ESTADO"/>
        <s v="ESPECIALIZACIÓN EN GERENCIA COMERCIAL VIRTUAL"/>
        <s v="ESPECIALIZACIÓN EN GERENCIA DEL SERVICIO CHÍA"/>
        <s v="ESPECIALIZACIÓN EN LIDERAZGO Y COACHING- CHÍA"/>
        <s v="MAESTRÍA EN DERECHO DE LA EMPRESA Y DE LOS NEGOCIOS"/>
        <s v="ESPECIALIZACIÓN EN ENFERMERÍA EN CUIDADO CRÍTICO"/>
        <s v="ESPECIALIZACIÓN EN TERAPIA MANUAL ORTOPÉDICA"/>
        <s v="MAESTRÍA EN ENFERMERÍA PRESENCIAL"/>
        <s v="MAESTRÍA EN ENFERMERÍA VIRTUAL"/>
        <s v="MAESTRÍA EN ASESORÍA FAMILIAR Y GESTIÓN DE PROGRAMAS PARA LA FAMILIA"/>
        <s v="Comunicación Social y Periodismo"/>
        <s v="Ingeniería Química"/>
        <s v="ESPECIALIZACIÓN EN GESTIÓN PARA EL DESARROLLO HUMANO EN LA ORGANIZACIÓN BUCARAMANGA"/>
        <s v="MAESTRÍA EN ANALÍTICA APLICADA"/>
        <s v="Departamento de lenguas y culturas extranjeras"/>
        <s v="FINANZAS"/>
        <s v="ADMINISTRACIÓN Y ORGANIZACIONES"/>
        <s v="Derecho"/>
        <s v="Comunicación Audiovisual y Multimedios"/>
        <s v="MERCADEO"/>
        <s v="ESPECIALIZACIÓN EN DERECHO TRIBUTARIO"/>
        <s v="MAESTRÍA EN GERENCIA DE INVERSIÓN"/>
        <s v="MAESTRÍA EN GERENCIA DE INVERSIÓN - VIRTUAL"/>
        <s v="Ingeniería Industrial"/>
        <s v="Psicología"/>
        <s v="MAESTRÍA EN PEDAGOGÍA"/>
        <s v="Ingeniería Informática"/>
        <s v="ARTES CULINARIAS Y CIENCIAS DE LA ALIMENTACIÓN"/>
        <s v="ESPECIALIZACIÓN EN CONTRATACIÓN ESTATAL - NEIVA"/>
        <s v="Licenciatura en Educación Infantil"/>
        <s v="MAESTRÍA EN GERENCIA ESTRATÉGICA"/>
        <s v="Core curriculum persona y cultura"/>
        <s v="MAESTRÍA EN GERENCIA INTERNACIONAL"/>
        <s v="ESPECIALIZACIÓN EN GERENCIA DE RIESGOS - CHÍA"/>
        <s v="ESPECIALIZACIÓN EN GESTIÓN PARA EL DESARROLLO HUMANO EN LA ORGANIZACIÓN CHÍA"/>
        <s v="ECONOMÍA"/>
        <s v="MAESTRÍA EN DESARROLLO INFANTIL"/>
        <s v="MAESTRÍA EN DESARROLLO INFANTIL - RIOHACHA"/>
        <s v="Comunicación Corporativa"/>
        <s v="Ciencia de Datos"/>
        <s v="MAESTRÍA EN TEOLOGÍA"/>
        <s v="MAESTRÍA EN PSICOLOGÍA DE LA SALUD Y LA DISCAPACIDAD"/>
        <s v="MAESTRÍA EN PERIODISMO Y COMUNICACIÓN DIGITAL"/>
        <s v="ESPECIALIZACIÓN EN NEUMOLOGÍA"/>
        <s v="Ingeniería Civil"/>
        <s v="ESPECIALIZACIÓN EN FARMACOLOGÍA CLÍNICA"/>
        <s v="Fisioterapia"/>
        <s v="ESPECIALIZACIÓN EN GERENCIA ESTRATÉGICA MEDELLÍN"/>
        <s v="SERVICIO, HOSPITALIDAD Y CALIDAD"/>
        <s v="ESPECIALIZACIÓN EN GERENCIA ESTRATÉGICA CHÍA"/>
        <s v="ESPECIALIZACIÓN EN GERENCIA ESTRATÉGICA BUCARAMANGA"/>
        <s v="MAESTRÍA EN DERECHO CONSTITUCIONAL"/>
        <s v="Enfermería"/>
        <s v="INNOVACIÓN Y EMPRENDIMIENTO"/>
        <s v="MAESTRÍA EN CONTRATACIÓN ESTATAL"/>
        <s v="Filosofía"/>
        <s v="MAESTRÍA EN DERECHO INTERNACIONAL"/>
        <s v="MAESTRÍA EN DIRECCIÓN Y GESTIÓN DE INSTITUCIONES EDUCATIVAS"/>
        <s v="MAESTRÍA EN LINGÜÍSTICA PANHISPÁNICA - VIRTUAL"/>
        <s v="ESPECIALIZACIÓN EN CONTRATACIÓN ESTATAL"/>
        <s v="MAESTRÍA EN GERENCIA Y DESARROLLO DE PERSONAS"/>
        <s v="ESPECIALIZACIÓN EN CONTRATACIÓN ESTATAL - IBAGUÉ"/>
        <s v="MAESTRÍA EN GERENCIA DE LA INNOVACIÓN"/>
        <s v="Ciencias Políticas"/>
        <s v="ESPECIALIZACIÓN EN MEDICINA FAMILIAR Y COMUNITARIA"/>
        <s v="MAESTRÍA EN SALUD PÚBLICA"/>
        <s v="ESPECIALIZACIÓN EN PSICOLOGÍA EDUCATIVA"/>
        <s v="ESPECIALIZACIÓN EN PSICOLOGÍA CLÍNICA DE LA NIÑEZ Y LA ADOLESCENCIA"/>
        <s v="ESPECIALIZACIÓN EN GERENCIA FINANCIERA INTERNACIONAL -BOGOTÁ"/>
        <s v="ESPECIALIZACIÓN EN FINANZAS CORPORATIVAS CHÍA"/>
        <s v="ESPECIALIZACIÓN EN GERENCIA FINANCIERA INTERNACIONAL CHÍA"/>
        <s v="ESPECIALIZACIÓN EN GERENCIA COMERCIAL - BOGOTÁ"/>
        <s v="ESPECIALIZACIÓN EN DERECHO Y EMPRESA"/>
        <s v="ESPECIALIZACIÓN EN GERENCIA ESTRATÉGICA VILLAVICENCIO"/>
        <s v="ESPECIALIZACIÓN EN PEDIATRÍA"/>
        <s v="ESPECIALIZACIÓN EN CIRUGÍA GENERAL"/>
        <s v="MAESTRÍA EN PEDAGOGÍA - NEIVA"/>
        <s v="ESPECIALIZACIÓN EN GERENCIA ESTRATÉGICA IBAGUÉ"/>
        <s v="MAESTRÍA EN EPIDEMIOLOGÍA"/>
        <s v="ESPECIALIZACIÓN EN CUIDADO INTENSIVO PEDIÁTRICO"/>
        <s v="ESPECIALIZACIÓN EN GERENCIA LOGÍSTICA - BOGOTÁ"/>
        <s v="MAESTRÍA EN GERENCIA DE OPERACIONES"/>
        <s v="Centro de tecnologias parta la academia"/>
        <s v="ESPECIALIZACIÓN EN GERENCIA DE PROYECTOS CON ENFOQUE EN HABILIDADES DIRECTIVAS CHÍA"/>
        <s v="ESPECIALIZACIÓN EN SEGUROS Y SEGURIDAD SOCIAL"/>
        <s v="Ingeniería de Bioproducción / Producción Agroindustrial"/>
        <s v="NEGOCIACIÓN Y COMERCIO INTERNACIONAL"/>
        <s v="MAESTRÍA EN DIRECCIÓN Y GESTIÓN DE INSTITUCIONES EDUCATIVAS - RIOHACHA"/>
        <s v="ESPECIALIZACIÓN EN GERENCIA DE PROYECTOS CON ENFOQUE EN HABILIDADES DIRECTIVAS - BOGOTÁ"/>
        <s v="ESPECIALIZACIÓN EN PEDAGOGÍA E INVESTIGACIÓN EN EL AULA - VIRTUAL"/>
        <s v="ESPECIALIZACIÓN EN GERENCIA COMERCIAL CHÍA"/>
        <s v="GESTIÓN DE OPERACIONES"/>
        <s v="MAESTRÍA EN DISEÑO Y GESTIÓN DE PROCESOS"/>
        <s v="ESPECIALIZACIÓN EN GERENCIA EDUCATIVA"/>
        <s v="ESPECIALIZACIÓN EN NEUROLOGÍA"/>
        <s v="ESPECIALIZACIÓN EN GASTROENTEROLOGÍA"/>
        <s v="ESPECIALIZACIÓN EN GESTIÓN PARA EL DESARROLLO HUMANO EN LA ORGANIZACIÓN - BOGOTÁ"/>
        <s v="ESPECIALIZACIÓN EN ELECTROFISIOLOGÍA CARDIOVASCULAR"/>
        <s v="ESPECIALIZACIÓN EN MEDICINA CRÍTICA"/>
        <s v="ESPECIALIZACIÓN EN GERENCIA COMERCIAL BUCARAMANGA"/>
        <s v="ESPECIALIZACIÓN EN NEUMOLOGÍA PEDIÁTRICA"/>
        <s v="ESPECIALIZACIÓN EN DERECHO COMERCIAL"/>
        <s v="ESPECIALIZACIÓN EN OFTALMOLOGÍA"/>
        <s v="MAESTRÍA EN PEDAGOGÍA E INVESTIGACIÓN EN AULA - VIRTUAL"/>
        <s v="ESPECIALIZACIÓN EN GERENCIA LOGÍSTICA CHÍA"/>
        <s v="MAESTRÍA EN EDUCACIÓN MÉDICA"/>
        <s v="ESPECIALIZACIÓN EN RADIOLOGÍA E IMÁGENES DIAGNÓSTICAS"/>
        <s v="ESPECIALIZACIÓN EN GERENCIA COMERCIAL IBAGUÉ"/>
        <s v="ESPECIALIZACIÓN EN GERENCIA DE PRODUCCIÓN Y OPERACIONES CHÍA"/>
        <s v="DOCTORADO EN DERECHO"/>
        <s v="MAESTRÍA EN COMUNICACIÓN ESTRATÉGICA"/>
        <s v="ESPECIALIZACIÓN EN GERENCIA DE LA COMUNICACIÓN ORGANIZACIONAL"/>
        <s v="ESPECIALIZACIÓN EN GERENCIA LOGÍSTICA BUCARAMANGA"/>
        <s v="ESPECIALIZACIÓN EN GERENCIA ESTRATÉGICA DE MARCA CHÍA"/>
        <s v="DOCTORADO EN PSICOLOGÍA"/>
        <s v="MAESTRÍA EN PSICOLOGÍA CLÍNICA DE LA NIÑEZ Y LA ADOLESCENCIA"/>
        <s v="MAESTRÍA EN FISIOTERAPIA - VIRTUAL"/>
        <s v="ESPECIALIZACIÓN EN GERENCIA COMERCIAL BARRANQUILLA"/>
        <s v="MAESTRÍA EN PSICOLOGÍA"/>
        <s v="MAESTRÍA EN INNOVACIÓN EDUCATIVA MEDIADA POR TIC - VIRTUAL"/>
        <s v="ESPECIALIZACIÓN EN GERENCIA ESTRATÉGICA - VIRTUAL"/>
        <s v="ESPECIALIZACIÓN EN GERENCIA ESTRATÉGICA BARRANQUILLA"/>
        <s v="ESPECIALIZACIÓN EN GERENCIA ESTRATÉGICA - BOGOTÁ"/>
        <s v="DOCTORADO EN INNOVACIÓN EDUCATIVA CON USO DE TIC"/>
        <s v="ESPECIALIZACIÓN EN MEDICINA FÍSICA Y REHABILITACIÓN"/>
        <s v="MAESTRÍA EN EDUCACIÓN"/>
        <s v="DOCTORADO EN BIOCIENCIAS"/>
        <s v="ESPECIALIZACIÓN EN GERENCIA COMERCIAL MEDELLÍN"/>
        <s v="DOCTORADO EN ENFERMERÍA"/>
        <s v="ESPECIALIZACIÓN EN MEDICINA DEL DOLOR Y CUIDADOS PALIATIVOS"/>
        <s v="ESPECIALIZACIÓN EN MEDICINA INTERNA"/>
        <s v="ESPECIALIZACIÓN EN REUMATOLOGÍA"/>
        <s v="MAESTRÍA EN DIDÁCTICA DEL INGLÉS PARA EL APRENDIZAJE AUTODIRIGIDO - VIRTUAL"/>
        <s v="DOCTORADO EN EDUCACIÓN"/>
        <s v="DOCTORADO EN COMUNICACIÓN"/>
        <s v="DOCTORADO EN INGENIERÍA"/>
        <s v="DOCTORADO EN ADMINISTRACIÓN DE ORGANIZACIONES"/>
        <s v="ESPECIALIZACIÓN EN ANESTESIOLOGÍA Y MEDICINA PERIOPERATORIA"/>
        <s v="MAESTRÍA EN BIOÉTICA"/>
        <s v="DOCTORADO EN LOGÍSTICA Y GESTIÓN DE CADENA DE SUMINISTRO"/>
        <s v="ESPECIALIZACIÓN EN GINECOLOGÍA Y OBSTETRICIA"/>
        <s v="ESPECIALIZACIÓN EN GESTIÓN PARA EL DESARROLLO HUMANO EN LA ORGANIZACIÓN - VIRTUAL"/>
      </sharedItems>
    </cacheField>
    <cacheField name="TIPO" numFmtId="0">
      <sharedItems count="2">
        <s v="Cátedra"/>
        <s v="Planta"/>
      </sharedItems>
    </cacheField>
    <cacheField name="ESTATUS" numFmtId="0">
      <sharedItems count="3">
        <s v="Completa"/>
        <s v="Incompleta"/>
        <s v="Replicado"/>
      </sharedItems>
    </cacheField>
    <cacheField name="BuscarV" numFmtId="0">
      <sharedItems containsBlank="1"/>
    </cacheField>
    <cacheField name="NIVEL" numFmtId="0">
      <sharedItems/>
    </cacheField>
    <cacheField name="UNIDAD" numFmtId="0">
      <sharedItems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fonseca" refreshedDate="45820.384712037034" createdVersion="8" refreshedVersion="8" minRefreshableVersion="3" recordCount="1682" xr:uid="{CA08FC6E-B97D-48A7-9F75-46AE7233350A}">
  <cacheSource type="worksheet">
    <worksheetSource ref="A1:K1682" sheet="Reporte Profesores"/>
  </cacheSource>
  <cacheFields count="11">
    <cacheField name="CORREO 1" numFmtId="0">
      <sharedItems containsBlank="1"/>
    </cacheField>
    <cacheField name="CORREO" numFmtId="0">
      <sharedItems containsBlank="1"/>
    </cacheField>
    <cacheField name="PROGRAMA (BDD SAWTOOTH)" numFmtId="0">
      <sharedItems containsBlank="1"/>
    </cacheField>
    <cacheField name="PROGRAMA" numFmtId="0">
      <sharedItems count="148">
        <s v="ESPECIALIZACIÓN EN EMPRENDIMIENTO Y NEGOCIOS DIGITALES- CHÍA"/>
        <s v="MAESTRÍA EN GERENCIA DE INGENIERÍA"/>
        <s v="Ingeniería Mecánica"/>
        <s v="Licenciatura en Ciencias Naturales"/>
        <s v="Medicina"/>
        <s v="ESPECIALIZACIÓN EN RESPONSABILIDAD CIVIL Y DEL ESTADO"/>
        <s v="ESPECIALIZACIÓN EN GERENCIA COMERCIAL VIRTUAL"/>
        <s v="ESPECIALIZACIÓN EN GERENCIA DEL SERVICIO CHÍA"/>
        <s v="ESPECIALIZACIÓN EN LIDERAZGO Y COACHING- CHÍA"/>
        <s v="MAESTRÍA EN DERECHO DE LA EMPRESA Y DE LOS NEGOCIOS"/>
        <s v="ESPECIALIZACIÓN EN ENFERMERÍA EN CUIDADO CRÍTICO"/>
        <s v="ESPECIALIZACIÓN EN TERAPIA MANUAL ORTOPÉDICA"/>
        <s v="MAESTRÍA EN ENFERMERÍA PRESENCIAL"/>
        <s v="MAESTRÍA EN ENFERMERÍA VIRTUAL"/>
        <s v="MAESTRÍA EN ASESORÍA FAMILIAR Y GESTIÓN DE PROGRAMAS PARA LA FAMILIA"/>
        <s v="Comunicación Social y Periodismo"/>
        <s v="Ingeniería Química"/>
        <s v="ESPECIALIZACIÓN EN GESTIÓN PARA EL DESARROLLO HUMANO EN LA ORGANIZACIÓN BUCARAMANGA"/>
        <s v="MAESTRÍA EN ANALÍTICA APLICADA"/>
        <s v="CENTRO INTERNACIONAL DE LENGUAS Y CULTURAS EXTRANJERAS"/>
        <s v="FINANZAS"/>
        <s v="ADMINISTRACIÓN Y ORGANIZACIONES"/>
        <s v="Derecho"/>
        <s v="Comunicación Audiovisual y Multimedios"/>
        <s v="MERCADEO"/>
        <s v="ESPECIALIZACIÓN EN DERECHO TRIBUTARIO"/>
        <s v="MAESTRÍA EN GERENCIA DE INVERSIÓN"/>
        <s v="MAESTRÍA EN GERENCIA DE INVERSIÓN - VIRTUAL"/>
        <s v="Ingeniería Industrial"/>
        <s v="Psicología"/>
        <s v="MAESTRÍA EN PEDAGOGÍA"/>
        <s v="Ingeniería Informática"/>
        <s v="ARTES CULINARIAS Y CIENCIAS DE LA ALIMENTACIÓN"/>
        <s v="ESPECIALIZACIÓN EN CONTRATACIÓN ESTATAL - NEIVA"/>
        <s v="Licenciatura en Educación Infantil"/>
        <s v="MAESTRÍA EN GERENCIA ESTRATÉGICA"/>
        <s v="Core curriculum persona y cultura"/>
        <s v="MAESTRÍA EN GERENCIA INTERNACIONAL"/>
        <s v="ESPECIALIZACIÓN EN GERENCIA DE RIESGOS - CHÍA"/>
        <s v="ESPECIALIZACIÓN EN GESTIÓN PARA EL DESARROLLO HUMANO EN LA ORGANIZACIÓN CHÍA"/>
        <s v="ECONOMÍA"/>
        <s v="MAESTRÍA EN DESARROLLO INFANTIL"/>
        <s v="MAESTRÍA EN DESARROLLO INFANTIL - RIOHACHA"/>
        <s v="Comunicación Corporativa"/>
        <s v="Ciencia de Datos"/>
        <s v="MAESTRÍA EN TEOLOGÍA"/>
        <s v="MAESTRÍA EN PSICOLOGÍA DE LA SALUD Y LA DISCAPACIDAD"/>
        <s v="MAESTRÍA EN PERIODISMO Y COMUNICACIÓN DIGITAL"/>
        <s v="ESPECIALIZACIÓN EN NEUMOLOGÍA"/>
        <s v="Ingeniería Civil"/>
        <s v="ESPECIALIZACIÓN EN FARMACOLOGÍA CLÍNICA"/>
        <s v="Fisioterapia"/>
        <s v="ESPECIALIZACIÓN EN GERENCIA ESTRATÉGICA MEDELLÍN"/>
        <s v="SERVICIO, HOSPITALIDAD Y CALIDAD"/>
        <s v="ESPECIALIZACIÓN EN GERENCIA ESTRATÉGICA CHÍA"/>
        <s v="ESPECIALIZACIÓN EN GERENCIA ESTRATÉGICA BUCARAMANGA"/>
        <s v="MAESTRÍA EN DERECHO CONSTITUCIONAL"/>
        <s v="Enfermería"/>
        <s v="INNOVACIÓN Y EMPRENDIMIENTO"/>
        <s v="MAESTRÍA EN CONTRATACIÓN ESTATAL"/>
        <s v="Filosofía"/>
        <s v="MAESTRÍA EN DERECHO INTERNACIONAL"/>
        <s v="MAESTRÍA EN DIRECCIÓN Y GESTIÓN DE INSTITUCIONES EDUCATIVAS"/>
        <s v="MAESTRÍA EN LINGÜÍSTICA PANHISPÁNICA - VIRTUAL"/>
        <s v="ESPECIALIZACIÓN EN CONTRATACIÓN ESTATAL"/>
        <s v="MAESTRÍA EN GERENCIA Y DESARROLLO DE PERSONAS"/>
        <s v="ESPECIALIZACIÓN EN CONTRATACIÓN ESTATAL - IBAGUÉ"/>
        <s v="MAESTRÍA EN GERENCIA DE LA INNOVACIÓN"/>
        <s v="Ciencias Políticas"/>
        <s v="ESPECIALIZACIÓN EN MEDICINA FAMILIAR Y COMUNITARIA"/>
        <s v="MAESTRÍA EN SALUD PÚBLICA"/>
        <s v="ESPECIALIZACIÓN EN PSICOLOGÍA EDUCATIVA"/>
        <s v="ESPECIALIZACIÓN EN PSICOLOGÍA CLÍNICA DE LA NIÑEZ Y LA ADOLESCENCIA"/>
        <s v="ESPECIALIZACIÓN EN GERENCIA FINANCIERA INTERNACIONAL -BOGOTÁ"/>
        <s v="ESPECIALIZACIÓN EN FINANZAS CORPORATIVAS CHÍA"/>
        <s v="ESPECIALIZACIÓN EN GERENCIA FINANCIERA INTERNACIONAL CHÍA"/>
        <s v="ESPECIALIZACIÓN EN GERENCIA COMERCIAL - BOGOTÁ"/>
        <s v="ESPECIALIZACIÓN EN DERECHO Y EMPRESA"/>
        <s v="ESPECIALIZACIÓN EN GERENCIA ESTRATÉGICA VILLAVICENCIO"/>
        <s v="ESPECIALIZACIÓN EN PEDIATRÍA"/>
        <s v="ESPECIALIZACIÓN EN CIRUGÍA GENERAL"/>
        <s v="MAESTRÍA EN PEDAGOGÍA - NEIVA"/>
        <s v="ESPECIALIZACIÓN EN GERENCIA ESTRATÉGICA IBAGUÉ"/>
        <s v="MAESTRÍA EN EPIDEMIOLOGÍA"/>
        <s v="ESPECIALIZACIÓN EN CUIDADO INTENSIVO PEDIÁTRICO"/>
        <s v="ESPECIALIZACIÓN EN GERENCIA LOGÍSTICA - BOGOTÁ"/>
        <s v="MAESTRÍA EN GERENCIA DE OPERACIONES"/>
        <s v="CENTRO DE TECNOLOGÍA PARTA LA ACADEMIA"/>
        <s v="ESPECIALIZACIÓN EN GERENCIA DE PROYECTOS CON ENFOQUE EN HABILIDADES DIRECTIVAS CHÍA"/>
        <s v="ESPECIALIZACIÓN EN SEGUROS Y SEGURIDAD SOCIAL"/>
        <s v="Ingeniería de Bioproducción / Producción Agroindustrial"/>
        <s v="NEGOCIACIÓN Y COMERCIO INTERNACIONAL"/>
        <s v="MAESTRÍA EN DIRECCIÓN Y GESTIÓN DE INSTITUCIONES EDUCATIVAS - RIOHACHA"/>
        <s v="ESPECIALIZACIÓN EN GERENCIA DE PROYECTOS CON ENFOQUE EN HABILIDADES DIRECTIVAS - BOGOTÁ"/>
        <s v="ESPECIALIZACIÓN EN PEDAGOGÍA E INVESTIGACIÓN EN EL AULA - VIRTUAL"/>
        <s v="ESPECIALIZACIÓN EN GERENCIA COMERCIAL CHÍA"/>
        <s v="GESTIÓN DE OPERACIONES"/>
        <s v="MAESTRÍA EN DISEÑO Y GESTIÓN DE PROCESOS"/>
        <s v="ESPECIALIZACIÓN EN GERENCIA EDUCATIVA"/>
        <s v="ESPECIALIZACIÓN EN NEUROLOGÍA"/>
        <s v="ESPECIALIZACIÓN EN GASTROENTEROLOGÍA"/>
        <s v="ESPECIALIZACIÓN EN GESTIÓN PARA EL DESARROLLO HUMANO EN LA ORGANIZACIÓN - BOGOTÁ"/>
        <s v="ESPECIALIZACIÓN EN ELECTROFISIOLOGÍA CARDIOVASCULAR"/>
        <s v="ESPECIALIZACIÓN EN MEDICINA CRÍTICA"/>
        <s v="ESPECIALIZACIÓN EN NEUMOLOGÍA PEDIÁTRICA"/>
        <s v="ESPECIALIZACIÓN EN DERECHO COMERCIAL"/>
        <s v="ESPECIALIZACIÓN EN OFTALMOLOGÍA"/>
        <s v="MAESTRÍA EN PEDAGOGÍA E INVESTIGACIÓN EN AULA - VIRTUAL"/>
        <s v="ESPECIALIZACIÓN EN GERENCIA LOGÍSTICA CHÍA"/>
        <s v="MAESTRÍA EN EDUCACIÓN MÉDICA"/>
        <s v="ESPECIALIZACIÓN EN RADIOLOGÍA E IMÁGENES DIAGNÓSTICAS"/>
        <s v="ESPECIALIZACIÓN EN GERENCIA COMERCIAL IBAGUÉ"/>
        <s v="ESPECIALIZACIÓN EN GERENCIA DE PRODUCCIÓN Y OPERACIONES CHÍA"/>
        <s v="DOCTORADO EN DERECHO"/>
        <s v="MAESTRÍA EN COMUNICACIÓN ESTRATÉGICA"/>
        <s v="ESPECIALIZACIÓN EN GERENCIA DE LA COMUNICACIÓN ORGANIZACIONAL"/>
        <s v="ESPECIALIZACIÓN EN GERENCIA COMERCIAL BUCARAMANGA"/>
        <s v="ESPECIALIZACIÓN EN GERENCIA LOGÍSTICA BUCARAMANGA"/>
        <s v="ESPECIALIZACIÓN EN GERENCIA ESTRATÉGICA DE MARCA CHÍA"/>
        <s v="DOCTORADO EN PSICOLOGÍA"/>
        <s v="MAESTRÍA EN PSICOLOGÍA CLÍNICA DE LA NIÑEZ Y LA ADOLESCENCIA"/>
        <s v="MAESTRÍA EN FISIOTERAPIA - VIRTUAL"/>
        <s v="ESPECIALIZACIÓN EN GERENCIA COMERCIAL BARRANQUILLA"/>
        <s v="MAESTRÍA EN PSICOLOGÍA"/>
        <s v="MAESTRÍA EN INNOVACIÓN EDUCATIVA MEDIADA POR TIC - VIRTUAL"/>
        <s v="ESPECIALIZACIÓN EN GERENCIA ESTRATÉGICA - VIRTUAL"/>
        <s v="ESPECIALIZACIÓN EN GERENCIA ESTRATÉGICA BARRANQUILLA"/>
        <s v="ESPECIALIZACIÓN EN GERENCIA ESTRATÉGICA - BOGOTÁ"/>
        <s v="DOCTORADO EN INNOVACIÓN EDUCATIVA CON USO DE TIC"/>
        <s v="ESPECIALIZACIÓN EN MEDICINA FÍSICA Y REHABILITACIÓN"/>
        <s v="MAESTRÍA EN EDUCACIÓN"/>
        <s v="DOCTORADO EN BIOCIENCIAS"/>
        <s v="ESPECIALIZACIÓN EN GERENCIA COMERCIAL MEDELLÍN"/>
        <s v="DOCTORADO EN ENFERMERÍA"/>
        <s v="ESPECIALIZACIÓN EN MEDICINA DEL DOLOR Y CUIDADOS PALIATIVOS"/>
        <s v="ESPECIALIZACIÓN EN MEDICINA INTERNA"/>
        <s v="ESPECIALIZACIÓN EN REUMATOLOGÍA"/>
        <s v="MAESTRÍA EN DIDÁCTICA DEL INGLÉS PARA EL APRENDIZAJE AUTODIRIGIDO - VIRTUAL"/>
        <s v="DOCTORADO EN EDUCACIÓN"/>
        <s v="DOCTORADO EN COMUNICACIÓN"/>
        <s v="DOCTORADO EN INGENIERÍA"/>
        <s v="DOCTORADO EN ADMINISTRACIÓN DE ORGANIZACIONES"/>
        <s v="ESPECIALIZACIÓN EN ANESTESIOLOGÍA Y MEDICINA PERIOPERATORIA"/>
        <s v="MAESTRÍA EN BIOÉTICA"/>
        <s v="DOCTORADO EN LOGÍSTICA Y GESTIÓN DE CADENA DE SUMINISTRO"/>
        <s v="ESPECIALIZACIÓN EN GINECOLOGÍA Y OBSTETRICIA"/>
        <s v="ESPECIALIZACIÓN EN GESTIÓN PARA EL DESARROLLO HUMANO EN LA ORGANIZACIÓN - VIRTUAL"/>
        <s v="ESPECIALIZACIÓN EN BIOÉTICA - CHÍA"/>
      </sharedItems>
    </cacheField>
    <cacheField name="ID" numFmtId="0">
      <sharedItems containsString="0" containsBlank="1" containsNumber="1" containsInteger="1" minValue="1" maxValue="212"/>
    </cacheField>
    <cacheField name="TIPO" numFmtId="0">
      <sharedItems count="2">
        <s v="Cátedra"/>
        <s v="Planta"/>
      </sharedItems>
    </cacheField>
    <cacheField name="ESTATUS" numFmtId="0">
      <sharedItems count="6">
        <s v="Completa"/>
        <s v="Incompleta"/>
        <s v="Replicado"/>
        <s v="Replicar" u="1"/>
        <s v="Replica incompleta (para que cuadre el universo)" u="1"/>
        <s v="restaurar" u="1"/>
      </sharedItems>
    </cacheField>
    <cacheField name="BuscarV" numFmtId="0">
      <sharedItems containsBlank="1"/>
    </cacheField>
    <cacheField name="NIVEL" numFmtId="0">
      <sharedItems containsBlank="1"/>
    </cacheField>
    <cacheField name="UNIDAD" numFmtId="0">
      <sharedItems containsBlank="1"/>
    </cacheField>
    <cacheField name="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3">
  <r>
    <s v="adrian.martinez@unisabana.edu.co1"/>
    <x v="0"/>
    <s v="CATEDRA"/>
    <s v="Si"/>
    <s v="https://ProfCatedra2024.sawtoothsoftware.com/cgi-bin/ciwweb.pl?studyname=ProfCatedra2024&amp;Correo=adrian.martinez@unisabana.edu.co1"/>
    <s v="PREGRADO"/>
    <n v="8"/>
    <x v="0"/>
  </r>
  <r>
    <s v="adriana.acevedo@unisabana.edu.co1"/>
    <x v="1"/>
    <s v="CATEDRA"/>
    <s v="Si"/>
    <s v="https://ProfCatedra2024.sawtoothsoftware.com/cgi-bin/ciwweb.pl?studyname=ProfCatedra2024&amp;Correo=adriana.acevedo@unisabana.edu.co1"/>
    <s v="PREGRADO"/>
    <n v="5"/>
    <x v="1"/>
  </r>
  <r>
    <s v="alba.munoz@unisabana.edu.co1"/>
    <x v="1"/>
    <s v="CATEDRA"/>
    <s v="No"/>
    <s v="https://ProfCatedra2024.sawtoothsoftware.com/cgi-bin/ciwweb.pl?studyname=ProfCatedra2024&amp;Correo=alba.munoz@unisabana.edu.co1"/>
    <s v="PREGRADO"/>
    <n v="5"/>
    <x v="1"/>
  </r>
  <r>
    <s v="aldemar.moreno@unisabana.edu.co1"/>
    <x v="2"/>
    <s v="CATEDRA"/>
    <s v="Si"/>
    <s v="https://ProfCatedra2024.sawtoothsoftware.com/cgi-bin/ciwweb.pl?studyname=ProfCatedra2024&amp;Correo=aldemar.moreno@unisabana.edu.co1"/>
    <s v="PREGRADO"/>
    <n v="3"/>
    <x v="2"/>
  </r>
  <r>
    <s v="alejandra.henao@unisabana.edu.co1"/>
    <x v="3"/>
    <s v="CATEDRA"/>
    <s v="Si"/>
    <s v="https://ProfCatedra2024.sawtoothsoftware.com/cgi-bin/ciwweb.pl?studyname=ProfCatedra2024&amp;Correo=alejandra.henao@unisabana.edu.co1"/>
    <s v="PREGRADO"/>
    <n v="8"/>
    <x v="0"/>
  </r>
  <r>
    <s v="alejandro.castro1@unisabana.edu.co1"/>
    <x v="3"/>
    <s v="CATEDRA"/>
    <s v="Si"/>
    <s v="https://ProfCatedra2024.sawtoothsoftware.com/cgi-bin/ciwweb.pl?studyname=ProfCatedra2024&amp;Correo=alejandro.castro1@unisabana.edu.co1"/>
    <s v="PREGRADO"/>
    <n v="8"/>
    <x v="0"/>
  </r>
  <r>
    <s v="alejandro.munevar@unisabana.edu.co1"/>
    <x v="2"/>
    <s v="CATEDRA"/>
    <s v="Si"/>
    <s v="https://ProfCatedra2024.sawtoothsoftware.com/cgi-bin/ciwweb.pl?studyname=ProfCatedra2024&amp;Correo=alejandro.munevar@unisabana.edu.co1"/>
    <s v="PREGRADO"/>
    <n v="3"/>
    <x v="2"/>
  </r>
  <r>
    <s v="alexander.jimenez@unisabana.edu.co1"/>
    <x v="4"/>
    <s v="CATEDRA"/>
    <s v="No"/>
    <s v="https://ProfCatedra2024.sawtoothsoftware.com/cgi-bin/ciwweb.pl?studyname=ProfCatedra2024&amp;Correo=alexander.jimenez@unisabana.edu.co1"/>
    <s v="PREGRADO"/>
    <n v="8"/>
    <x v="0"/>
  </r>
  <r>
    <s v="alirio.angarita@unisabana.edu.co1"/>
    <x v="5"/>
    <s v="CATEDRA"/>
    <s v="Si"/>
    <s v="https://ProfCatedra2024.sawtoothsoftware.com/cgi-bin/ciwweb.pl?studyname=ProfCatedra2024&amp;Correo=alirio.angarita@unisabana.edu.co1"/>
    <s v="PREGRADO"/>
    <n v="15"/>
    <x v="3"/>
  </r>
  <r>
    <s v="alvaro.moncada1@unisabana.edu.co1"/>
    <x v="6"/>
    <s v="CATEDRA"/>
    <s v="Si"/>
    <s v="https://ProfCatedra2024.sawtoothsoftware.com/cgi-bin/ciwweb.pl?studyname=ProfCatedra2024&amp;Correo=alvaro.moncada1@unisabana.edu.co1"/>
    <s v="PREGRADO"/>
    <n v="2"/>
    <x v="4"/>
  </r>
  <r>
    <s v="alvaro.pulido@unisabana.edu.co1"/>
    <x v="4"/>
    <s v="CATEDRA"/>
    <s v="No"/>
    <s v="https://ProfCatedra2024.sawtoothsoftware.com/cgi-bin/ciwweb.pl?studyname=ProfCatedra2024&amp;Correo=alvaro.pulido@unisabana.edu.co1"/>
    <s v="PREGRADO"/>
    <n v="8"/>
    <x v="0"/>
  </r>
  <r>
    <s v="alvarosiehe@unisabana.edu.co1"/>
    <x v="7"/>
    <s v="CATEDRA"/>
    <s v="Si"/>
    <s v="https://ProfCatedra2024.sawtoothsoftware.com/cgi-bin/ciwweb.pl?studyname=ProfCatedra2024&amp;Correo=alvarosiehe@unisabana.edu.co1"/>
    <s v="PREGRADO"/>
    <n v="2"/>
    <x v="4"/>
  </r>
  <r>
    <s v="alver.castillo@unisabana.edu.co1"/>
    <x v="3"/>
    <s v="CATEDRA"/>
    <s v="No"/>
    <s v="https://ProfCatedra2024.sawtoothsoftware.com/cgi-bin/ciwweb.pl?studyname=ProfCatedra2024&amp;Correo=alver.castillo@unisabana.edu.co1"/>
    <s v="PREGRADO"/>
    <n v="8"/>
    <x v="0"/>
  </r>
  <r>
    <s v="ana.grandas1@unisabana.edu.co1"/>
    <x v="8"/>
    <s v="CATEDRA"/>
    <s v="Si"/>
    <s v="https://ProfCatedra2024.sawtoothsoftware.com/cgi-bin/ciwweb.pl?studyname=ProfCatedra2024&amp;Correo=ana.grandas1@unisabana.edu.co1"/>
    <s v="PREGRADO"/>
    <n v="4"/>
    <x v="5"/>
  </r>
  <r>
    <s v="ana.moreno3@unisabana.edu.co1"/>
    <x v="9"/>
    <s v="CATEDRA"/>
    <s v="No"/>
    <s v="https://ProfCatedra2024.sawtoothsoftware.com/cgi-bin/ciwweb.pl?studyname=ProfCatedra2024&amp;Correo=ana.moreno3@unisabana.edu.co1"/>
    <s v="PREGRADO"/>
    <n v="2"/>
    <x v="4"/>
  </r>
  <r>
    <s v="ana.moya@unisabana.edu.co1"/>
    <x v="8"/>
    <s v="CATEDRA"/>
    <s v="No"/>
    <s v="https://ProfCatedra2024.sawtoothsoftware.com/cgi-bin/ciwweb.pl?studyname=ProfCatedra2024&amp;Correo=ana.moya@unisabana.edu.co1"/>
    <s v="PREGRADO"/>
    <n v="4"/>
    <x v="5"/>
  </r>
  <r>
    <s v="ana.olivos@unisabana.edu.co1"/>
    <x v="10"/>
    <s v="CATEDRA"/>
    <s v="Si"/>
    <s v="https://ProfCatedra2024.sawtoothsoftware.com/cgi-bin/ciwweb.pl?studyname=ProfCatedra2024&amp;Correo=ana.olivos@unisabana.edu.co1"/>
    <s v="PREGRADO"/>
    <n v="3"/>
    <x v="2"/>
  </r>
  <r>
    <s v="ana.rodriguez6@unisabana.edu.co1"/>
    <x v="9"/>
    <s v="CATEDRA"/>
    <s v="Si"/>
    <s v="https://ProfCatedra2024.sawtoothsoftware.com/cgi-bin/ciwweb.pl?studyname=ProfCatedra2024&amp;Correo=ana.rodriguez6@unisabana.edu.co1"/>
    <s v="PREGRADO"/>
    <n v="2"/>
    <x v="4"/>
  </r>
  <r>
    <s v="ana.zambrano@unisabana.edu.co1"/>
    <x v="2"/>
    <s v="CATEDRA"/>
    <s v="Si"/>
    <s v="https://ProfCatedra2024.sawtoothsoftware.com/cgi-bin/ciwweb.pl?studyname=ProfCatedra2024&amp;Correo=ana.zambrano@unisabana.edu.co1"/>
    <s v="PREGRADO"/>
    <n v="3"/>
    <x v="2"/>
  </r>
  <r>
    <s v="andrea.areiza@unisabana.edu.co1"/>
    <x v="7"/>
    <s v="CATEDRA"/>
    <s v="Si"/>
    <s v="https://ProfCatedra2024.sawtoothsoftware.com/cgi-bin/ciwweb.pl?studyname=ProfCatedra2024&amp;Correo=andrea.areiza@unisabana.edu.co1"/>
    <s v="PREGRADO"/>
    <n v="2"/>
    <x v="4"/>
  </r>
  <r>
    <s v="andrea.ceballos@unisabana.edu.co1"/>
    <x v="11"/>
    <s v="CATEDRA"/>
    <s v="Si"/>
    <s v="https://ProfCatedra2024.sawtoothsoftware.com/cgi-bin/ciwweb.pl?studyname=ProfCatedra2024&amp;Correo=andrea.ceballos@unisabana.edu.co1"/>
    <s v="PREGRADO"/>
    <n v="8"/>
    <x v="0"/>
  </r>
  <r>
    <s v="andrea.paez1@unisabana.edu.co1"/>
    <x v="2"/>
    <s v="CATEDRA"/>
    <s v="Si"/>
    <s v="https://ProfCatedra2024.sawtoothsoftware.com/cgi-bin/ciwweb.pl?studyname=ProfCatedra2024&amp;Correo=andrea.paez1@unisabana.edu.co1"/>
    <s v="PREGRADO"/>
    <n v="3"/>
    <x v="2"/>
  </r>
  <r>
    <s v="andrea.restrepo@unisabana.edu.co1"/>
    <x v="12"/>
    <s v="CATEDRA"/>
    <s v="Si"/>
    <s v="https://ProfCatedra2024.sawtoothsoftware.com/cgi-bin/ciwweb.pl?studyname=ProfCatedra2024&amp;Correo=andrea.restrepo@unisabana.edu.co1"/>
    <s v="PREGRADO"/>
    <n v="9"/>
    <x v="6"/>
  </r>
  <r>
    <s v="andreasuajim@unisabana.edu.co1"/>
    <x v="8"/>
    <s v="CATEDRA"/>
    <s v="Si"/>
    <s v="https://ProfCatedra2024.sawtoothsoftware.com/cgi-bin/ciwweb.pl?studyname=ProfCatedra2024&amp;Correo=andreasuajim@unisabana.edu.co1"/>
    <s v="PREGRADO"/>
    <n v="4"/>
    <x v="5"/>
  </r>
  <r>
    <s v="andres.cardona1@unisabana.edu.co1"/>
    <x v="11"/>
    <s v="CATEDRA"/>
    <s v="No"/>
    <s v="https://ProfCatedra2024.sawtoothsoftware.com/cgi-bin/ciwweb.pl?studyname=ProfCatedra2024&amp;Correo=andres.cardona1@unisabana.edu.co1"/>
    <s v="PREGRADO"/>
    <n v="8"/>
    <x v="0"/>
  </r>
  <r>
    <s v="andres.giraldo2@unisabana.edu.co1"/>
    <x v="11"/>
    <s v="CATEDRA"/>
    <s v="No"/>
    <s v="https://ProfCatedra2024.sawtoothsoftware.com/cgi-bin/ciwweb.pl?studyname=ProfCatedra2024&amp;Correo=andres.giraldo2@unisabana.edu.co1"/>
    <s v="PREGRADO"/>
    <n v="8"/>
    <x v="0"/>
  </r>
  <r>
    <s v="andres.guevara3@unisabana.edu.co1"/>
    <x v="10"/>
    <s v="CATEDRA"/>
    <s v="No"/>
    <s v="https://ProfCatedra2024.sawtoothsoftware.com/cgi-bin/ciwweb.pl?studyname=ProfCatedra2024&amp;Correo=andres.guevara3@unisabana.edu.co1"/>
    <s v="PREGRADO"/>
    <n v="3"/>
    <x v="2"/>
  </r>
  <r>
    <s v="andres.montanez1@unisabana.edu.co1"/>
    <x v="6"/>
    <s v="CATEDRA"/>
    <s v="Si"/>
    <s v="https://ProfCatedra2024.sawtoothsoftware.com/cgi-bin/ciwweb.pl?studyname=ProfCatedra2024&amp;Correo=andres.montanez1@unisabana.edu.co1"/>
    <s v="PREGRADO"/>
    <n v="2"/>
    <x v="4"/>
  </r>
  <r>
    <s v="andres.ordonez1@unisabana.edu.co1"/>
    <x v="4"/>
    <s v="CATEDRA"/>
    <s v="Si"/>
    <s v="https://ProfCatedra2024.sawtoothsoftware.com/cgi-bin/ciwweb.pl?studyname=ProfCatedra2024&amp;Correo=andres.ordonez1@unisabana.edu.co1"/>
    <s v="PREGRADO"/>
    <n v="8"/>
    <x v="0"/>
  </r>
  <r>
    <s v="andres.ortiz9@unisabana.edu.co1"/>
    <x v="12"/>
    <s v="CATEDRA"/>
    <s v="Si"/>
    <s v="https://ProfCatedra2024.sawtoothsoftware.com/cgi-bin/ciwweb.pl?studyname=ProfCatedra2024&amp;Correo=andres.ortiz9@unisabana.edu.co1"/>
    <s v="PREGRADO"/>
    <n v="9"/>
    <x v="6"/>
  </r>
  <r>
    <s v="andres.robayo1@unisabana.edu.co1"/>
    <x v="9"/>
    <s v="CATEDRA"/>
    <s v="Si"/>
    <s v="https://ProfCatedra2024.sawtoothsoftware.com/cgi-bin/ciwweb.pl?studyname=ProfCatedra2024&amp;Correo=andres.robayo1@unisabana.edu.co1"/>
    <s v="PREGRADO"/>
    <n v="2"/>
    <x v="4"/>
  </r>
  <r>
    <s v="andres.rodriguez14@unisabana.edu.co1"/>
    <x v="13"/>
    <s v="CATEDRA"/>
    <s v="No"/>
    <s v="https://ProfCatedra2024.sawtoothsoftware.com/cgi-bin/ciwweb.pl?studyname=ProfCatedra2024&amp;Correo=andres.rodriguez14@unisabana.edu.co1"/>
    <s v="PREGRADO"/>
    <n v="2"/>
    <x v="4"/>
  </r>
  <r>
    <s v="andres.rojas4@unisabana.edu.co1"/>
    <x v="6"/>
    <s v="CATEDRA"/>
    <s v="Si"/>
    <s v="https://ProfCatedra2024.sawtoothsoftware.com/cgi-bin/ciwweb.pl?studyname=ProfCatedra2024&amp;Correo=andres.rojas4@unisabana.edu.co1"/>
    <s v="PREGRADO"/>
    <n v="2"/>
    <x v="4"/>
  </r>
  <r>
    <s v="andres.torres4@unisabana.edu.co1"/>
    <x v="11"/>
    <s v="CATEDRA"/>
    <s v="No"/>
    <s v="https://ProfCatedra2024.sawtoothsoftware.com/cgi-bin/ciwweb.pl?studyname=ProfCatedra2024&amp;Correo=andres.torres4@unisabana.edu.co1"/>
    <s v="PREGRADO"/>
    <n v="8"/>
    <x v="0"/>
  </r>
  <r>
    <s v="angela.bertieri@unisabana.edu.co1"/>
    <x v="14"/>
    <s v="CATEDRA"/>
    <s v="No"/>
    <s v="https://ProfCatedra2024.sawtoothsoftware.com/cgi-bin/ciwweb.pl?studyname=ProfCatedra2024&amp;Correo=angela.bertieri@unisabana.edu.co1"/>
    <s v="PREGRADO"/>
    <n v="2"/>
    <x v="4"/>
  </r>
  <r>
    <s v="angela.dominguez2@unisabana.edu.co1"/>
    <x v="15"/>
    <s v="CATEDRA"/>
    <s v="Si"/>
    <s v="https://ProfCatedra2024.sawtoothsoftware.com/cgi-bin/ciwweb.pl?studyname=ProfCatedra2024&amp;Correo=angela.dominguez2@unisabana.edu.co1"/>
    <s v="PREGRADO"/>
    <n v="1"/>
    <x v="7"/>
  </r>
  <r>
    <s v="angela.hernandez4@unisabana.edu.co1"/>
    <x v="5"/>
    <s v="CATEDRA"/>
    <s v="Si"/>
    <s v="https://ProfCatedra2024.sawtoothsoftware.com/cgi-bin/ciwweb.pl?studyname=ProfCatedra2024&amp;Correo=angela.hernandez4@unisabana.edu.co1"/>
    <s v="PREGRADO"/>
    <n v="15"/>
    <x v="3"/>
  </r>
  <r>
    <s v="angela.rodriguez3@unisabana.edu.co1"/>
    <x v="5"/>
    <s v="CATEDRA"/>
    <s v="Si"/>
    <s v="https://ProfCatedra2024.sawtoothsoftware.com/cgi-bin/ciwweb.pl?studyname=ProfCatedra2024&amp;Correo=angela.rodriguez3@unisabana.edu.co1"/>
    <s v="PREGRADO"/>
    <n v="15"/>
    <x v="3"/>
  </r>
  <r>
    <s v="angela.romero3@unisabana.edu.co1"/>
    <x v="5"/>
    <s v="CATEDRA"/>
    <s v="No"/>
    <s v="https://ProfCatedra2024.sawtoothsoftware.com/cgi-bin/ciwweb.pl?studyname=ProfCatedra2024&amp;Correo=angela.romero3@unisabana.edu.co1"/>
    <s v="PREGRADO"/>
    <n v="15"/>
    <x v="3"/>
  </r>
  <r>
    <s v="angela.vargas5@unisabana.edu.co1"/>
    <x v="16"/>
    <s v="CATEDRA"/>
    <s v="Si"/>
    <s v="https://ProfCatedra2024.sawtoothsoftware.com/cgi-bin/ciwweb.pl?studyname=ProfCatedra2024&amp;Correo=angela.vargas5@unisabana.edu.co1"/>
    <s v="PREGRADO"/>
    <n v="5"/>
    <x v="1"/>
  </r>
  <r>
    <s v="angelacorga@unisabana.edu.co1"/>
    <x v="17"/>
    <s v="CATEDRA"/>
    <s v="No"/>
    <s v="https://ProfCatedra2024.sawtoothsoftware.com/cgi-bin/ciwweb.pl?studyname=ProfCatedra2024&amp;Correo=angelacorga@unisabana.edu.co1"/>
    <s v="PREGRADO"/>
    <n v="13"/>
    <x v="8"/>
  </r>
  <r>
    <s v="angelica.bejarano@unisabana.edu.co1"/>
    <x v="5"/>
    <s v="CATEDRA"/>
    <s v="Si"/>
    <s v="https://ProfCatedra2024.sawtoothsoftware.com/cgi-bin/ciwweb.pl?studyname=ProfCatedra2024&amp;Correo=angelica.bejarano@unisabana.edu.co1"/>
    <s v="PREGRADO"/>
    <n v="15"/>
    <x v="3"/>
  </r>
  <r>
    <s v="angelica.nieves1@unisabana.edu.co1"/>
    <x v="17"/>
    <s v="CATEDRA"/>
    <s v="Si"/>
    <s v="https://ProfCatedra2024.sawtoothsoftware.com/cgi-bin/ciwweb.pl?studyname=ProfCatedra2024&amp;Correo=angelica.nieves1@unisabana.edu.co1"/>
    <s v="PREGRADO"/>
    <n v="13"/>
    <x v="8"/>
  </r>
  <r>
    <s v="antonia.gacharna@unisabana.edu.co1"/>
    <x v="3"/>
    <s v="CATEDRA"/>
    <s v="Si"/>
    <s v="https://ProfCatedra2024.sawtoothsoftware.com/cgi-bin/ciwweb.pl?studyname=ProfCatedra2024&amp;Correo=antonia.gacharna@unisabana.edu.co1"/>
    <s v="PREGRADO"/>
    <n v="8"/>
    <x v="0"/>
  </r>
  <r>
    <s v="antonio.rodriguez@unisabana.edu.co1"/>
    <x v="0"/>
    <s v="CATEDRA"/>
    <s v="No"/>
    <s v="https://ProfCatedra2024.sawtoothsoftware.com/cgi-bin/ciwweb.pl?studyname=ProfCatedra2024&amp;Correo=antonio.rodriguez@unisabana.edu.co1"/>
    <s v="PREGRADO"/>
    <n v="8"/>
    <x v="0"/>
  </r>
  <r>
    <s v="Arley.Calderon@unisabana.edu.co1"/>
    <x v="4"/>
    <s v="CATEDRA"/>
    <s v="Si"/>
    <s v="https://ProfCatedra2024.sawtoothsoftware.com/cgi-bin/ciwweb.pl?studyname=ProfCatedra2024&amp;Correo=Arley.Calderon@unisabana.edu.co1"/>
    <s v="PREGRADO"/>
    <n v="8"/>
    <x v="0"/>
  </r>
  <r>
    <s v="belvy.sanchez@unisabana.edu.co1"/>
    <x v="17"/>
    <s v="CATEDRA"/>
    <s v="Si"/>
    <s v="https://ProfCatedra2024.sawtoothsoftware.com/cgi-bin/ciwweb.pl?studyname=ProfCatedra2024&amp;Correo=belvy.sanchez@unisabana.edu.co1"/>
    <s v="PREGRADO"/>
    <n v="13"/>
    <x v="8"/>
  </r>
  <r>
    <s v="benjamin.venegas@unisabana.edu.co1"/>
    <x v="18"/>
    <s v="CATEDRA"/>
    <s v="Si"/>
    <s v="https://ProfCatedra2024.sawtoothsoftware.com/cgi-bin/ciwweb.pl?studyname=ProfCatedra2024&amp;Correo=benjamin.venegas@unisabana.edu.co1"/>
    <s v="PREGRADO"/>
    <n v="2"/>
    <x v="4"/>
  </r>
  <r>
    <s v="bernardo.luque@unisabana.edu.co1"/>
    <x v="9"/>
    <s v="CATEDRA"/>
    <s v="Si"/>
    <s v="https://ProfCatedra2024.sawtoothsoftware.com/cgi-bin/ciwweb.pl?studyname=ProfCatedra2024&amp;Correo=bernardo.luque@unisabana.edu.co1"/>
    <s v="PREGRADO"/>
    <n v="2"/>
    <x v="4"/>
  </r>
  <r>
    <s v="bibiana.ramirez@unisabana.edu.co1"/>
    <x v="13"/>
    <s v="CATEDRA"/>
    <s v="Si"/>
    <s v="https://ProfCatedra2024.sawtoothsoftware.com/cgi-bin/ciwweb.pl?studyname=ProfCatedra2024&amp;Correo=bibiana.ramirez@unisabana.edu.co1"/>
    <s v="PREGRADO"/>
    <n v="2"/>
    <x v="4"/>
  </r>
  <r>
    <s v="brianda.sarmiento@unisabana.edu.co1"/>
    <x v="16"/>
    <s v="CATEDRA"/>
    <s v="Si"/>
    <s v="https://ProfCatedra2024.sawtoothsoftware.com/cgi-bin/ciwweb.pl?studyname=ProfCatedra2024&amp;Correo=brianda.sarmiento@unisabana.edu.co1"/>
    <s v="PREGRADO"/>
    <n v="5"/>
    <x v="1"/>
  </r>
  <r>
    <s v="camila.moreno1@unisabana.edu.co1"/>
    <x v="19"/>
    <s v="CATEDRA"/>
    <s v="Si"/>
    <s v="https://ProfCatedra2024.sawtoothsoftware.com/cgi-bin/ciwweb.pl?studyname=ProfCatedra2024&amp;Correo=camila.moreno1@unisabana.edu.co1"/>
    <s v="PREGRADO"/>
    <n v="3"/>
    <x v="2"/>
  </r>
  <r>
    <s v="camilo.gomez5@unisabana.edu.co1"/>
    <x v="20"/>
    <s v="CATEDRA"/>
    <s v="Si"/>
    <s v="https://ProfCatedra2024.sawtoothsoftware.com/cgi-bin/ciwweb.pl?studyname=ProfCatedra2024&amp;Correo=camilo.gomez5@unisabana.edu.co1"/>
    <s v="PREGRADO"/>
    <n v="8"/>
    <x v="0"/>
  </r>
  <r>
    <s v="camilo.salazar1@unisabana.edu.co1"/>
    <x v="5"/>
    <s v="CATEDRA"/>
    <s v="Si"/>
    <s v="https://ProfCatedra2024.sawtoothsoftware.com/cgi-bin/ciwweb.pl?studyname=ProfCatedra2024&amp;Correo=camilo.salazar1@unisabana.edu.co1"/>
    <s v="PREGRADO"/>
    <n v="15"/>
    <x v="3"/>
  </r>
  <r>
    <s v="camilo.vargas@unisabana.edu.co1"/>
    <x v="18"/>
    <s v="CATEDRA"/>
    <s v="No"/>
    <s v="https://ProfCatedra2024.sawtoothsoftware.com/cgi-bin/ciwweb.pl?studyname=ProfCatedra2024&amp;Correo=camilo.vargas@unisabana.edu.co1"/>
    <s v="PREGRADO"/>
    <n v="2"/>
    <x v="4"/>
  </r>
  <r>
    <s v="carlo.sarmiento@unisabana.edu.co1"/>
    <x v="10"/>
    <s v="CATEDRA"/>
    <s v="Si"/>
    <s v="https://ProfCatedra2024.sawtoothsoftware.com/cgi-bin/ciwweb.pl?studyname=ProfCatedra2024&amp;Correo=carlo.sarmiento@unisabana.edu.co1"/>
    <s v="PREGRADO"/>
    <n v="3"/>
    <x v="2"/>
  </r>
  <r>
    <s v="carlos.alvarado2@unisabana.edu.co1"/>
    <x v="21"/>
    <s v="CATEDRA"/>
    <s v="Si"/>
    <s v="https://ProfCatedra2024.sawtoothsoftware.com/cgi-bin/ciwweb.pl?studyname=ProfCatedra2024&amp;Correo=carlos.alvarado2@unisabana.edu.co1"/>
    <s v="PREGRADO"/>
    <n v="8"/>
    <x v="0"/>
  </r>
  <r>
    <s v="carlos.entrena@unisabana.edu.co1"/>
    <x v="22"/>
    <s v="CATEDRA"/>
    <s v="Si"/>
    <s v="https://ProfCatedra2024.sawtoothsoftware.com/cgi-bin/ciwweb.pl?studyname=ProfCatedra2024&amp;Correo=carlos.entrena@unisabana.edu.co1"/>
    <s v="PREGRADO"/>
    <n v="6"/>
    <x v="9"/>
  </r>
  <r>
    <s v="carlos.gomez21@unisabana.edu.co1"/>
    <x v="4"/>
    <s v="CATEDRA"/>
    <s v="No"/>
    <s v="https://ProfCatedra2024.sawtoothsoftware.com/cgi-bin/ciwweb.pl?studyname=ProfCatedra2024&amp;Correo=carlos.gomez21@unisabana.edu.co1"/>
    <s v="PREGRADO"/>
    <n v="8"/>
    <x v="0"/>
  </r>
  <r>
    <s v="carlos.manrique3@unisabana.edu.co1"/>
    <x v="23"/>
    <s v="CATEDRA"/>
    <s v="Si"/>
    <s v="https://ProfCatedra2024.sawtoothsoftware.com/cgi-bin/ciwweb.pl?studyname=ProfCatedra2024&amp;Correo=carlos.manrique3@unisabana.edu.co1"/>
    <s v="PREGRADO"/>
    <n v="2"/>
    <x v="4"/>
  </r>
  <r>
    <s v="carlos.paz@unisabana.edu.co1"/>
    <x v="8"/>
    <s v="CATEDRA"/>
    <s v="No"/>
    <s v="https://ProfCatedra2024.sawtoothsoftware.com/cgi-bin/ciwweb.pl?studyname=ProfCatedra2024&amp;Correo=carlos.paz@unisabana.edu.co1"/>
    <s v="PREGRADO"/>
    <n v="4"/>
    <x v="5"/>
  </r>
  <r>
    <s v="carlos.prias@unisabana.edu.co1"/>
    <x v="10"/>
    <s v="CATEDRA"/>
    <s v="No"/>
    <s v="https://ProfCatedra2024.sawtoothsoftware.com/cgi-bin/ciwweb.pl?studyname=ProfCatedra2024&amp;Correo=carlos.prias@unisabana.edu.co1"/>
    <s v="PREGRADO"/>
    <n v="3"/>
    <x v="2"/>
  </r>
  <r>
    <s v="carlos.sanchez9@unisabana.edu.co1"/>
    <x v="13"/>
    <s v="CATEDRA"/>
    <s v="Si"/>
    <s v="https://ProfCatedra2024.sawtoothsoftware.com/cgi-bin/ciwweb.pl?studyname=ProfCatedra2024&amp;Correo=carlos.sanchez9@unisabana.edu.co1"/>
    <s v="PREGRADO"/>
    <n v="2"/>
    <x v="4"/>
  </r>
  <r>
    <s v="carlos.tapias1@unisabana.edu.co1"/>
    <x v="15"/>
    <s v="CATEDRA"/>
    <s v="No"/>
    <s v="https://ProfCatedra2024.sawtoothsoftware.com/cgi-bin/ciwweb.pl?studyname=ProfCatedra2024&amp;Correo=carlos.tapias1@unisabana.edu.co1"/>
    <s v="PREGRADO"/>
    <n v="1"/>
    <x v="7"/>
  </r>
  <r>
    <s v="carlos.villalba@clinicaunisabana.edu.co1"/>
    <x v="15"/>
    <s v="CATEDRA"/>
    <s v="No"/>
    <s v="https://ProfCatedra2024.sawtoothsoftware.com/cgi-bin/ciwweb.pl?studyname=ProfCatedra2024&amp;Correo=carlos.villalba@clinicaunisabana.edu.co1"/>
    <s v="PREGRADO"/>
    <n v="1"/>
    <x v="7"/>
  </r>
  <r>
    <s v="CarlosDM@unisabana.edu.co1"/>
    <x v="10"/>
    <s v="CATEDRA"/>
    <s v="Si"/>
    <s v="https://ProfCatedra2024.sawtoothsoftware.com/cgi-bin/ciwweb.pl?studyname=ProfCatedra2024&amp;Correo=CarlosDM@unisabana.edu.co1"/>
    <s v="PREGRADO"/>
    <n v="3"/>
    <x v="2"/>
  </r>
  <r>
    <s v="carmen.carrero@unisabana.edu.co1"/>
    <x v="24"/>
    <s v="CATEDRA"/>
    <s v="Si"/>
    <s v="https://ProfCatedra2024.sawtoothsoftware.com/cgi-bin/ciwweb.pl?studyname=ProfCatedra2024&amp;Correo=carmen.carrero@unisabana.edu.co1"/>
    <s v="PREGRADO"/>
    <n v="6"/>
    <x v="9"/>
  </r>
  <r>
    <s v="carolina.correa4@unisabana.edu.co1"/>
    <x v="14"/>
    <s v="CATEDRA"/>
    <s v="Si"/>
    <s v="https://ProfCatedra2024.sawtoothsoftware.com/cgi-bin/ciwweb.pl?studyname=ProfCatedra2024&amp;Correo=carolina.correa4@unisabana.edu.co1"/>
    <s v="PREGRADO"/>
    <n v="2"/>
    <x v="4"/>
  </r>
  <r>
    <s v="carolina.lozano2@unisabana.edu.co1"/>
    <x v="16"/>
    <s v="CATEDRA"/>
    <s v="Si"/>
    <s v="https://ProfCatedra2024.sawtoothsoftware.com/cgi-bin/ciwweb.pl?studyname=ProfCatedra2024&amp;Correo=carolina.lozano2@unisabana.edu.co1"/>
    <s v="PREGRADO"/>
    <n v="5"/>
    <x v="1"/>
  </r>
  <r>
    <s v="carolina.munoz2@unisabana.edu.co1"/>
    <x v="19"/>
    <s v="CATEDRA"/>
    <s v="Si"/>
    <s v="https://ProfCatedra2024.sawtoothsoftware.com/cgi-bin/ciwweb.pl?studyname=ProfCatedra2024&amp;Correo=carolina.munoz2@unisabana.edu.co1"/>
    <s v="PREGRADO"/>
    <n v="3"/>
    <x v="2"/>
  </r>
  <r>
    <s v="Carolinavama@unisabana.edu.co1"/>
    <x v="4"/>
    <s v="CATEDRA"/>
    <s v="Si"/>
    <s v="https://ProfCatedra2024.sawtoothsoftware.com/cgi-bin/ciwweb.pl?studyname=ProfCatedra2024&amp;Correo=Carolinavama@unisabana.edu.co1"/>
    <s v="PREGRADO"/>
    <n v="8"/>
    <x v="0"/>
  </r>
  <r>
    <s v="cerezo_manuel26@hotmail.com"/>
    <x v="25"/>
    <s v="CATEDRA"/>
    <s v="No"/>
    <s v="https://ProfCatedra2024.sawtoothsoftware.com/cgi-bin/ciwweb.pl?studyname=ProfCatedra2024&amp;Correo=cerezo_manuel26@hotmail.com"/>
    <s v="PREGRADO"/>
    <n v="7"/>
    <x v="10"/>
  </r>
  <r>
    <s v="cesar.beltran@gmail.com"/>
    <x v="4"/>
    <s v="CATEDRA"/>
    <s v="No"/>
    <s v="https://ProfCatedra2024.sawtoothsoftware.com/cgi-bin/ciwweb.pl?studyname=ProfCatedra2024&amp;Correo=cesar.beltran@gmail.com"/>
    <s v="PREGRADO"/>
    <n v="8"/>
    <x v="0"/>
  </r>
  <r>
    <s v="cesar.diaz1@unisabana.edu.co1"/>
    <x v="15"/>
    <s v="CATEDRA"/>
    <s v="No"/>
    <s v="https://ProfCatedra2024.sawtoothsoftware.com/cgi-bin/ciwweb.pl?studyname=ProfCatedra2024&amp;Correo=cesar.diaz1@unisabana.edu.co1"/>
    <s v="PREGRADO"/>
    <n v="1"/>
    <x v="7"/>
  </r>
  <r>
    <s v="cesar.orjuela1@unisabana.edu.co1"/>
    <x v="8"/>
    <s v="CATEDRA"/>
    <s v="Si"/>
    <s v="https://ProfCatedra2024.sawtoothsoftware.com/cgi-bin/ciwweb.pl?studyname=ProfCatedra2024&amp;Correo=cesar.orjuela1@unisabana.edu.co1"/>
    <s v="PREGRADO"/>
    <n v="4"/>
    <x v="5"/>
  </r>
  <r>
    <s v="cesar.vega1@unisabana.edu.co1"/>
    <x v="4"/>
    <s v="CATEDRA"/>
    <s v="Si"/>
    <s v="https://ProfCatedra2024.sawtoothsoftware.com/cgi-bin/ciwweb.pl?studyname=ProfCatedra2024&amp;Correo=cesar.vega1@unisabana.edu.co1"/>
    <s v="PREGRADO"/>
    <n v="8"/>
    <x v="0"/>
  </r>
  <r>
    <s v="cflorezt@hotmail.com"/>
    <x v="0"/>
    <s v="CATEDRA"/>
    <s v="No"/>
    <s v="https://ProfCatedra2024.sawtoothsoftware.com/cgi-bin/ciwweb.pl?studyname=ProfCatedra2024&amp;Correo=cflorezt@hotmail.com"/>
    <s v="PREGRADO"/>
    <n v="8"/>
    <x v="0"/>
  </r>
  <r>
    <s v="cindi.penagos@unisabana.edu.co1"/>
    <x v="6"/>
    <s v="CATEDRA"/>
    <s v="Si"/>
    <s v="https://ProfCatedra2024.sawtoothsoftware.com/cgi-bin/ciwweb.pl?studyname=ProfCatedra2024&amp;Correo=cindi.penagos@unisabana.edu.co1"/>
    <s v="PREGRADO"/>
    <n v="2"/>
    <x v="4"/>
  </r>
  <r>
    <s v="cindy.espitia1@unisabana.edu.co1"/>
    <x v="10"/>
    <s v="CATEDRA"/>
    <s v="Si"/>
    <s v="https://ProfCatedra2024.sawtoothsoftware.com/cgi-bin/ciwweb.pl?studyname=ProfCatedra2024&amp;Correo=cindy.espitia1@unisabana.edu.co1"/>
    <s v="PREGRADO"/>
    <n v="3"/>
    <x v="2"/>
  </r>
  <r>
    <s v="claudia.jaramillo2@unisabana.edu.co1"/>
    <x v="15"/>
    <s v="CATEDRA"/>
    <s v="No"/>
    <s v="https://ProfCatedra2024.sawtoothsoftware.com/cgi-bin/ciwweb.pl?studyname=ProfCatedra2024&amp;Correo=claudia.jaramillo2@unisabana.edu.co1"/>
    <s v="PREGRADO"/>
    <n v="1"/>
    <x v="7"/>
  </r>
  <r>
    <s v="claudia.pinzon@unisabana.edu.co1"/>
    <x v="2"/>
    <s v="CATEDRA"/>
    <s v="Si"/>
    <s v="https://ProfCatedra2024.sawtoothsoftware.com/cgi-bin/ciwweb.pl?studyname=ProfCatedra2024&amp;Correo=claudia.pinzon@unisabana.edu.co1"/>
    <s v="PREGRADO"/>
    <n v="3"/>
    <x v="2"/>
  </r>
  <r>
    <s v="claudia.romero1@unisabana.edu.co1"/>
    <x v="10"/>
    <s v="CATEDRA"/>
    <s v="Si"/>
    <s v="https://ProfCatedra2024.sawtoothsoftware.com/cgi-bin/ciwweb.pl?studyname=ProfCatedra2024&amp;Correo=claudia.romero1@unisabana.edu.co1"/>
    <s v="PREGRADO"/>
    <n v="3"/>
    <x v="2"/>
  </r>
  <r>
    <s v="claudia.trujillo@unisabana.edu.co1"/>
    <x v="17"/>
    <s v="CATEDRA"/>
    <s v="Si"/>
    <s v="https://ProfCatedra2024.sawtoothsoftware.com/cgi-bin/ciwweb.pl?studyname=ProfCatedra2024&amp;Correo=claudia.trujillo@unisabana.edu.co1"/>
    <s v="PREGRADO"/>
    <n v="13"/>
    <x v="8"/>
  </r>
  <r>
    <s v="cristhian.canon1@unisabana.edu.co1"/>
    <x v="11"/>
    <s v="CATEDRA"/>
    <s v="Si"/>
    <s v="https://ProfCatedra2024.sawtoothsoftware.com/cgi-bin/ciwweb.pl?studyname=ProfCatedra2024&amp;Correo=cristhian.canon1@unisabana.edu.co1"/>
    <s v="PREGRADO"/>
    <n v="8"/>
    <x v="0"/>
  </r>
  <r>
    <s v="cristian.funeme@unisabana.edu.co1"/>
    <x v="20"/>
    <s v="CATEDRA"/>
    <s v="Si"/>
    <s v="https://ProfCatedra2024.sawtoothsoftware.com/cgi-bin/ciwweb.pl?studyname=ProfCatedra2024&amp;Correo=cristian.funeme@unisabana.edu.co1"/>
    <s v="PREGRADO"/>
    <n v="8"/>
    <x v="0"/>
  </r>
  <r>
    <s v="daniel.ayala1@unisabana.edu.co1"/>
    <x v="8"/>
    <s v="CATEDRA"/>
    <s v="Si"/>
    <s v="https://ProfCatedra2024.sawtoothsoftware.com/cgi-bin/ciwweb.pl?studyname=ProfCatedra2024&amp;Correo=daniel.ayala1@unisabana.edu.co1"/>
    <s v="PREGRADO"/>
    <n v="4"/>
    <x v="5"/>
  </r>
  <r>
    <s v="daniel.gomez5@unisabana.edu.co1"/>
    <x v="14"/>
    <s v="CATEDRA"/>
    <s v="No"/>
    <s v="https://ProfCatedra2024.sawtoothsoftware.com/cgi-bin/ciwweb.pl?studyname=ProfCatedra2024&amp;Correo=daniel.gomez5@unisabana.edu.co1"/>
    <s v="PREGRADO"/>
    <n v="2"/>
    <x v="4"/>
  </r>
  <r>
    <s v="daniel.parra@unisabana.edu.co1"/>
    <x v="18"/>
    <s v="CATEDRA"/>
    <s v="Si"/>
    <s v="https://ProfCatedra2024.sawtoothsoftware.com/cgi-bin/ciwweb.pl?studyname=ProfCatedra2024&amp;Correo=daniel.parra@unisabana.edu.co1"/>
    <s v="PREGRADO"/>
    <n v="2"/>
    <x v="4"/>
  </r>
  <r>
    <s v="daniel.ramirez1@unisabana.edu.co1"/>
    <x v="26"/>
    <s v="CATEDRA"/>
    <s v="Si"/>
    <s v="https://ProfCatedra2024.sawtoothsoftware.com/cgi-bin/ciwweb.pl?studyname=ProfCatedra2024&amp;Correo=daniel.ramirez1@unisabana.edu.co1"/>
    <s v="PREGRADO"/>
    <n v="4"/>
    <x v="5"/>
  </r>
  <r>
    <s v="daniel.robayo@unisabana.edu.co1"/>
    <x v="0"/>
    <s v="CATEDRA"/>
    <s v="No"/>
    <s v="https://ProfCatedra2024.sawtoothsoftware.com/cgi-bin/ciwweb.pl?studyname=ProfCatedra2024&amp;Correo=daniel.robayo@unisabana.edu.co1"/>
    <s v="PREGRADO"/>
    <n v="8"/>
    <x v="0"/>
  </r>
  <r>
    <s v="daniel.saavedra@unisabana.edu.co1"/>
    <x v="4"/>
    <s v="CATEDRA"/>
    <s v="Si"/>
    <s v="https://ProfCatedra2024.sawtoothsoftware.com/cgi-bin/ciwweb.pl?studyname=ProfCatedra2024&amp;Correo=daniel.saavedra@unisabana.edu.co1"/>
    <s v="PREGRADO"/>
    <n v="8"/>
    <x v="0"/>
  </r>
  <r>
    <s v="daniela.barbosa@unisabana.edu.co1"/>
    <x v="23"/>
    <s v="CATEDRA"/>
    <s v="Si"/>
    <s v="https://ProfCatedra2024.sawtoothsoftware.com/cgi-bin/ciwweb.pl?studyname=ProfCatedra2024&amp;Correo=daniela.barbosa@unisabana.edu.co1"/>
    <s v="PREGRADO"/>
    <n v="2"/>
    <x v="4"/>
  </r>
  <r>
    <s v="danna.nunez@unisabana.edu.co1"/>
    <x v="12"/>
    <s v="CATEDRA"/>
    <s v="Si"/>
    <s v="https://ProfCatedra2024.sawtoothsoftware.com/cgi-bin/ciwweb.pl?studyname=ProfCatedra2024&amp;Correo=danna.nunez@unisabana.edu.co1"/>
    <s v="PREGRADO"/>
    <n v="9"/>
    <x v="6"/>
  </r>
  <r>
    <s v="david.avila@unisabana.edu.co1"/>
    <x v="10"/>
    <s v="CATEDRA"/>
    <s v="No"/>
    <s v="https://ProfCatedra2024.sawtoothsoftware.com/cgi-bin/ciwweb.pl?studyname=ProfCatedra2024&amp;Correo=david.avila@unisabana.edu.co1"/>
    <s v="PREGRADO"/>
    <n v="3"/>
    <x v="2"/>
  </r>
  <r>
    <s v="david.castaneda1@unisabana.edu.co1"/>
    <x v="25"/>
    <s v="CATEDRA"/>
    <s v="Si"/>
    <s v="https://ProfCatedra2024.sawtoothsoftware.com/cgi-bin/ciwweb.pl?studyname=ProfCatedra2024&amp;Correo=david.castaneda1@unisabana.edu.co1"/>
    <s v="PREGRADO"/>
    <n v="7"/>
    <x v="10"/>
  </r>
  <r>
    <s v="david.ruiz@unisabana.edu.co1"/>
    <x v="3"/>
    <s v="CATEDRA"/>
    <s v="Si"/>
    <s v="https://ProfCatedra2024.sawtoothsoftware.com/cgi-bin/ciwweb.pl?studyname=ProfCatedra2024&amp;Correo=david.ruiz@unisabana.edu.co1"/>
    <s v="PREGRADO"/>
    <n v="8"/>
    <x v="0"/>
  </r>
  <r>
    <s v="david.stewart@unisabana.edu.co1"/>
    <x v="23"/>
    <s v="CATEDRA"/>
    <s v="Si"/>
    <s v="https://ProfCatedra2024.sawtoothsoftware.com/cgi-bin/ciwweb.pl?studyname=ProfCatedra2024&amp;Correo=david.stewart@unisabana.edu.co1"/>
    <s v="PREGRADO"/>
    <n v="2"/>
    <x v="4"/>
  </r>
  <r>
    <s v="davidheme@unisabana.edu.co1"/>
    <x v="3"/>
    <s v="CATEDRA"/>
    <s v="No"/>
    <s v="https://ProfCatedra2024.sawtoothsoftware.com/cgi-bin/ciwweb.pl?studyname=ProfCatedra2024&amp;Correo=davidheme@unisabana.edu.co1"/>
    <s v="PREGRADO"/>
    <n v="8"/>
    <x v="0"/>
  </r>
  <r>
    <s v="davidrozo@gmail.com"/>
    <x v="4"/>
    <s v="CATEDRA"/>
    <s v="No"/>
    <s v="https://ProfCatedra2024.sawtoothsoftware.com/cgi-bin/ciwweb.pl?studyname=ProfCatedra2024&amp;Correo=davidrozo@gmail.com"/>
    <s v="PREGRADO"/>
    <n v="8"/>
    <x v="0"/>
  </r>
  <r>
    <s v="dayana.moreno1@unisabana.edu.co1"/>
    <x v="7"/>
    <s v="CATEDRA"/>
    <s v="Si"/>
    <s v="https://ProfCatedra2024.sawtoothsoftware.com/cgi-bin/ciwweb.pl?studyname=ProfCatedra2024&amp;Correo=dayana.moreno1@unisabana.edu.co1"/>
    <s v="PREGRADO"/>
    <n v="2"/>
    <x v="4"/>
  </r>
  <r>
    <s v="dedtmat.garces@unisabana.edu.co1"/>
    <x v="10"/>
    <s v="CATEDRA"/>
    <s v="Si"/>
    <s v="https://ProfCatedra2024.sawtoothsoftware.com/cgi-bin/ciwweb.pl?studyname=ProfCatedra2024&amp;Correo=dedtmat.garces@unisabana.edu.co1"/>
    <s v="PREGRADO"/>
    <n v="3"/>
    <x v="2"/>
  </r>
  <r>
    <s v="deissy.mora@unisabana.edu.co1"/>
    <x v="14"/>
    <s v="CATEDRA"/>
    <s v="Si"/>
    <s v="https://ProfCatedra2024.sawtoothsoftware.com/cgi-bin/ciwweb.pl?studyname=ProfCatedra2024&amp;Correo=deissy.mora@unisabana.edu.co1"/>
    <s v="PREGRADO"/>
    <n v="2"/>
    <x v="4"/>
  </r>
  <r>
    <s v="deisy.quiroz@unisabana.edu.co1"/>
    <x v="10"/>
    <s v="CATEDRA"/>
    <s v="No"/>
    <s v="https://ProfCatedra2024.sawtoothsoftware.com/cgi-bin/ciwweb.pl?studyname=ProfCatedra2024&amp;Correo=deisy.quiroz@unisabana.edu.co1"/>
    <s v="PREGRADO"/>
    <n v="3"/>
    <x v="2"/>
  </r>
  <r>
    <s v="diana.arcila@unisabana.edu.co1"/>
    <x v="9"/>
    <s v="CATEDRA"/>
    <s v="Si"/>
    <s v="https://ProfCatedra2024.sawtoothsoftware.com/cgi-bin/ciwweb.pl?studyname=ProfCatedra2024&amp;Correo=diana.arcila@unisabana.edu.co1"/>
    <s v="PREGRADO"/>
    <n v="2"/>
    <x v="4"/>
  </r>
  <r>
    <s v="diana.cardenas4@unisabana.edu.co1"/>
    <x v="6"/>
    <s v="CATEDRA"/>
    <s v="Si"/>
    <s v="https://ProfCatedra2024.sawtoothsoftware.com/cgi-bin/ciwweb.pl?studyname=ProfCatedra2024&amp;Correo=diana.cardenas4@unisabana.edu.co1"/>
    <s v="PREGRADO"/>
    <n v="2"/>
    <x v="4"/>
  </r>
  <r>
    <s v="diana.ferrucho@unisabana.edu.co1"/>
    <x v="3"/>
    <s v="CATEDRA"/>
    <s v="Si"/>
    <s v="https://ProfCatedra2024.sawtoothsoftware.com/cgi-bin/ciwweb.pl?studyname=ProfCatedra2024&amp;Correo=diana.ferrucho@unisabana.edu.co1"/>
    <s v="PREGRADO"/>
    <n v="8"/>
    <x v="0"/>
  </r>
  <r>
    <s v="diana.patarroyo1@unisabana.edu.co1"/>
    <x v="8"/>
    <s v="CATEDRA"/>
    <s v="No"/>
    <s v="https://ProfCatedra2024.sawtoothsoftware.com/cgi-bin/ciwweb.pl?studyname=ProfCatedra2024&amp;Correo=diana.patarroyo1@unisabana.edu.co1"/>
    <s v="PREGRADO"/>
    <n v="4"/>
    <x v="5"/>
  </r>
  <r>
    <s v="diana.velasco@unisabana.edu.co1"/>
    <x v="12"/>
    <s v="CATEDRA"/>
    <s v="Si"/>
    <s v="https://ProfCatedra2024.sawtoothsoftware.com/cgi-bin/ciwweb.pl?studyname=ProfCatedra2024&amp;Correo=diana.velasco@unisabana.edu.co1"/>
    <s v="PREGRADO"/>
    <n v="9"/>
    <x v="6"/>
  </r>
  <r>
    <s v="didier.calderon@unisabana.edu.co1"/>
    <x v="4"/>
    <s v="CATEDRA"/>
    <s v="Si"/>
    <s v="https://ProfCatedra2024.sawtoothsoftware.com/cgi-bin/ciwweb.pl?studyname=ProfCatedra2024&amp;Correo=didier.calderon@unisabana.edu.co1"/>
    <s v="PREGRADO"/>
    <n v="8"/>
    <x v="0"/>
  </r>
  <r>
    <s v="diego.fonseca@unisabana.edu.co1"/>
    <x v="20"/>
    <s v="CATEDRA"/>
    <s v="Si"/>
    <s v="https://ProfCatedra2024.sawtoothsoftware.com/cgi-bin/ciwweb.pl?studyname=ProfCatedra2024&amp;Correo=diego.fonseca@unisabana.edu.co1"/>
    <s v="PREGRADO"/>
    <n v="8"/>
    <x v="0"/>
  </r>
  <r>
    <s v="diego.garcia9@unisabana.edu.co1"/>
    <x v="8"/>
    <s v="CATEDRA"/>
    <s v="Si"/>
    <s v="https://ProfCatedra2024.sawtoothsoftware.com/cgi-bin/ciwweb.pl?studyname=ProfCatedra2024&amp;Correo=diego.garcia9@unisabana.edu.co1"/>
    <s v="PREGRADO"/>
    <n v="4"/>
    <x v="5"/>
  </r>
  <r>
    <s v="diego.guevara@unisabana.edu.co1"/>
    <x v="18"/>
    <s v="CATEDRA"/>
    <s v="No"/>
    <s v="https://ProfCatedra2024.sawtoothsoftware.com/cgi-bin/ciwweb.pl?studyname=ProfCatedra2024&amp;Correo=diego.guevara@unisabana.edu.co1"/>
    <s v="PREGRADO"/>
    <n v="2"/>
    <x v="4"/>
  </r>
  <r>
    <s v="diego.ramirez5@unisabana.edu.co1"/>
    <x v="11"/>
    <s v="CATEDRA"/>
    <s v="Si"/>
    <s v="https://ProfCatedra2024.sawtoothsoftware.com/cgi-bin/ciwweb.pl?studyname=ProfCatedra2024&amp;Correo=diego.ramirez5@unisabana.edu.co1"/>
    <s v="PREGRADO"/>
    <n v="8"/>
    <x v="0"/>
  </r>
  <r>
    <s v="edgar.rey@unisabana.edu.co1"/>
    <x v="21"/>
    <s v="CATEDRA"/>
    <s v="Si"/>
    <s v="https://ProfCatedra2024.sawtoothsoftware.com/cgi-bin/ciwweb.pl?studyname=ProfCatedra2024&amp;Correo=edgar.rey@unisabana.edu.co1"/>
    <s v="PREGRADO"/>
    <n v="8"/>
    <x v="0"/>
  </r>
  <r>
    <s v="eduardo.ribeiro@unisabana.edu.co1"/>
    <x v="5"/>
    <s v="CATEDRA"/>
    <s v="Si"/>
    <s v="https://ProfCatedra2024.sawtoothsoftware.com/cgi-bin/ciwweb.pl?studyname=ProfCatedra2024&amp;Correo=eduardo.ribeiro@unisabana.edu.co1"/>
    <s v="PREGRADO"/>
    <n v="15"/>
    <x v="3"/>
  </r>
  <r>
    <s v="edwin.rojas@unisabana.edu.co1"/>
    <x v="4"/>
    <s v="CATEDRA"/>
    <s v="No"/>
    <s v="https://ProfCatedra2024.sawtoothsoftware.com/cgi-bin/ciwweb.pl?studyname=ProfCatedra2024&amp;Correo=edwin.rojas@unisabana.edu.co1"/>
    <s v="PREGRADO"/>
    <n v="8"/>
    <x v="0"/>
  </r>
  <r>
    <s v="efrain.fierro@unisabana.edu.co1"/>
    <x v="10"/>
    <s v="CATEDRA"/>
    <s v="Si"/>
    <s v="https://ProfCatedra2024.sawtoothsoftware.com/cgi-bin/ciwweb.pl?studyname=ProfCatedra2024&amp;Correo=efrain.fierro@unisabana.edu.co1"/>
    <s v="PREGRADO"/>
    <n v="3"/>
    <x v="2"/>
  </r>
  <r>
    <s v="eliana.lozano@unisabana.edu.co1"/>
    <x v="3"/>
    <s v="CATEDRA"/>
    <s v="Si"/>
    <s v="https://ProfCatedra2024.sawtoothsoftware.com/cgi-bin/ciwweb.pl?studyname=ProfCatedra2024&amp;Correo=eliana.lozano@unisabana.edu.co1"/>
    <s v="PREGRADO"/>
    <n v="8"/>
    <x v="0"/>
  </r>
  <r>
    <s v="eliana.mahecha@unisabana.edu.co1"/>
    <x v="26"/>
    <s v="CATEDRA"/>
    <s v="Si"/>
    <s v="https://ProfCatedra2024.sawtoothsoftware.com/cgi-bin/ciwweb.pl?studyname=ProfCatedra2024&amp;Correo=eliana.mahecha@unisabana.edu.co1"/>
    <s v="PREGRADO"/>
    <n v="4"/>
    <x v="5"/>
  </r>
  <r>
    <s v="elias.amaya1@unisabana.edu.co1"/>
    <x v="8"/>
    <s v="CATEDRA"/>
    <s v="No"/>
    <s v="https://ProfCatedra2024.sawtoothsoftware.com/cgi-bin/ciwweb.pl?studyname=ProfCatedra2024&amp;Correo=elias.amaya1@unisabana.edu.co1"/>
    <s v="PREGRADO"/>
    <n v="4"/>
    <x v="5"/>
  </r>
  <r>
    <s v="fabian.dulce@unisabana.edu.co1"/>
    <x v="0"/>
    <s v="CATEDRA"/>
    <s v="Si"/>
    <s v="https://ProfCatedra2024.sawtoothsoftware.com/cgi-bin/ciwweb.pl?studyname=ProfCatedra2024&amp;Correo=fabian.dulce@unisabana.edu.co1"/>
    <s v="PREGRADO"/>
    <n v="8"/>
    <x v="0"/>
  </r>
  <r>
    <s v="faure.rodriguez1@unisabana.edu.co1"/>
    <x v="15"/>
    <s v="CATEDRA"/>
    <s v="No"/>
    <s v="https://ProfCatedra2024.sawtoothsoftware.com/cgi-bin/ciwweb.pl?studyname=ProfCatedra2024&amp;Correo=faure.rodriguez1@unisabana.edu.co1"/>
    <s v="PREGRADO"/>
    <n v="1"/>
    <x v="7"/>
  </r>
  <r>
    <s v="Felipe.Arroyave@unisabana.edu.co1"/>
    <x v="3"/>
    <s v="CATEDRA"/>
    <s v="Si"/>
    <s v="https://ProfCatedra2024.sawtoothsoftware.com/cgi-bin/ciwweb.pl?studyname=ProfCatedra2024&amp;Correo=Felipe.Arroyave@unisabana.edu.co1"/>
    <s v="PREGRADO"/>
    <n v="8"/>
    <x v="0"/>
  </r>
  <r>
    <s v="felipe.huertas@unisabana.edu.co1"/>
    <x v="21"/>
    <s v="CATEDRA"/>
    <s v="Si"/>
    <s v="https://ProfCatedra2024.sawtoothsoftware.com/cgi-bin/ciwweb.pl?studyname=ProfCatedra2024&amp;Correo=felipe.huertas@unisabana.edu.co1"/>
    <s v="PREGRADO"/>
    <n v="8"/>
    <x v="0"/>
  </r>
  <r>
    <s v="felipe.turbay@unisabana.edu.co1"/>
    <x v="12"/>
    <s v="CATEDRA"/>
    <s v="Si"/>
    <s v="https://ProfCatedra2024.sawtoothsoftware.com/cgi-bin/ciwweb.pl?studyname=ProfCatedra2024&amp;Correo=felipe.turbay@unisabana.edu.co1"/>
    <s v="PREGRADO"/>
    <n v="9"/>
    <x v="6"/>
  </r>
  <r>
    <s v="FernandoCG@unisabana.edu.co1"/>
    <x v="7"/>
    <s v="CATEDRA"/>
    <s v="Si"/>
    <s v="https://ProfCatedra2024.sawtoothsoftware.com/cgi-bin/ciwweb.pl?studyname=ProfCatedra2024&amp;Correo=FernandoCG@unisabana.edu.co1"/>
    <s v="PREGRADO"/>
    <n v="2"/>
    <x v="4"/>
  </r>
  <r>
    <s v="FidelSM@unisabana.edu.co1"/>
    <x v="15"/>
    <s v="CATEDRA"/>
    <s v="No"/>
    <s v="https://ProfCatedra2024.sawtoothsoftware.com/cgi-bin/ciwweb.pl?studyname=ProfCatedra2024&amp;Correo=FidelSM@unisabana.edu.co1"/>
    <s v="PREGRADO"/>
    <n v="1"/>
    <x v="7"/>
  </r>
  <r>
    <s v="francisco.casas@unisabana.edu.co1"/>
    <x v="1"/>
    <s v="CATEDRA"/>
    <s v="Si"/>
    <s v="https://ProfCatedra2024.sawtoothsoftware.com/cgi-bin/ciwweb.pl?studyname=ProfCatedra2024&amp;Correo=francisco.casas@unisabana.edu.co1"/>
    <s v="PREGRADO"/>
    <n v="5"/>
    <x v="1"/>
  </r>
  <r>
    <s v="francisco.moreno2@unisabana.edu.co1"/>
    <x v="11"/>
    <s v="CATEDRA"/>
    <s v="No"/>
    <s v="https://ProfCatedra2024.sawtoothsoftware.com/cgi-bin/ciwweb.pl?studyname=ProfCatedra2024&amp;Correo=francisco.moreno2@unisabana.edu.co1"/>
    <s v="PREGRADO"/>
    <n v="8"/>
    <x v="0"/>
  </r>
  <r>
    <s v="franklyn.rodriguez@unisabana.edu.co1"/>
    <x v="9"/>
    <s v="CATEDRA"/>
    <s v="Si"/>
    <s v="https://ProfCatedra2024.sawtoothsoftware.com/cgi-bin/ciwweb.pl?studyname=ProfCatedra2024&amp;Correo=franklyn.rodriguez@unisabana.edu.co1"/>
    <s v="PREGRADO"/>
    <n v="2"/>
    <x v="4"/>
  </r>
  <r>
    <s v="freddy.saavedra@unisabana.edu.co1"/>
    <x v="18"/>
    <s v="CATEDRA"/>
    <s v="Si"/>
    <s v="https://ProfCatedra2024.sawtoothsoftware.com/cgi-bin/ciwweb.pl?studyname=ProfCatedra2024&amp;Correo=freddy.saavedra@unisabana.edu.co1"/>
    <s v="PREGRADO"/>
    <n v="2"/>
    <x v="4"/>
  </r>
  <r>
    <s v="gabriel.pena@unisabana.edu.co1"/>
    <x v="7"/>
    <s v="CATEDRA"/>
    <s v="Si"/>
    <s v="https://ProfCatedra2024.sawtoothsoftware.com/cgi-bin/ciwweb.pl?studyname=ProfCatedra2024&amp;Correo=gabriel.pena@unisabana.edu.co1"/>
    <s v="PREGRADO"/>
    <n v="2"/>
    <x v="4"/>
  </r>
  <r>
    <s v="gabriela.atehortua@unisabana.edu.co1"/>
    <x v="1"/>
    <s v="CATEDRA"/>
    <s v="Si"/>
    <s v="https://ProfCatedra2024.sawtoothsoftware.com/cgi-bin/ciwweb.pl?studyname=ProfCatedra2024&amp;Correo=gabriela.atehortua@unisabana.edu.co1"/>
    <s v="PREGRADO"/>
    <n v="5"/>
    <x v="1"/>
  </r>
  <r>
    <s v="gerardo.mendoza@unisabana.edu.co1"/>
    <x v="23"/>
    <s v="CATEDRA"/>
    <s v="Si"/>
    <s v="https://ProfCatedra2024.sawtoothsoftware.com/cgi-bin/ciwweb.pl?studyname=ProfCatedra2024&amp;Correo=gerardo.mendoza@unisabana.edu.co1"/>
    <s v="PREGRADO"/>
    <n v="2"/>
    <x v="4"/>
  </r>
  <r>
    <s v="german.ahumada@unisabana.edu.co1"/>
    <x v="0"/>
    <s v="CATEDRA"/>
    <s v="Si"/>
    <s v="https://ProfCatedra2024.sawtoothsoftware.com/cgi-bin/ciwweb.pl?studyname=ProfCatedra2024&amp;Correo=german.ahumada@unisabana.edu.co1"/>
    <s v="PREGRADO"/>
    <n v="8"/>
    <x v="0"/>
  </r>
  <r>
    <s v="GERMANARANGO@YAHOO.com"/>
    <x v="10"/>
    <s v="CATEDRA"/>
    <s v="No"/>
    <s v="https://ProfCatedra2024.sawtoothsoftware.com/cgi-bin/ciwweb.pl?studyname=ProfCatedra2024&amp;Correo=GERMANARANGO@YAHOO.com"/>
    <s v="PREGRADO"/>
    <n v="3"/>
    <x v="2"/>
  </r>
  <r>
    <s v="gicel.rodriguez@unisabana.edu.co1"/>
    <x v="5"/>
    <s v="CATEDRA"/>
    <s v="Si"/>
    <s v="https://ProfCatedra2024.sawtoothsoftware.com/cgi-bin/ciwweb.pl?studyname=ProfCatedra2024&amp;Correo=gicel.rodriguez@unisabana.edu.co1"/>
    <s v="PREGRADO"/>
    <n v="15"/>
    <x v="3"/>
  </r>
  <r>
    <s v="gilberto.calero@unisabana.edu.co1"/>
    <x v="5"/>
    <s v="CATEDRA"/>
    <s v="Si"/>
    <s v="https://ProfCatedra2024.sawtoothsoftware.com/cgi-bin/ciwweb.pl?studyname=ProfCatedra2024&amp;Correo=gilberto.calero@unisabana.edu.co1"/>
    <s v="PREGRADO"/>
    <n v="15"/>
    <x v="3"/>
  </r>
  <r>
    <s v="giuliana.zito@unisabana.edu.co1"/>
    <x v="13"/>
    <s v="CATEDRA"/>
    <s v="Si"/>
    <s v="https://ProfCatedra2024.sawtoothsoftware.com/cgi-bin/ciwweb.pl?studyname=ProfCatedra2024&amp;Correo=giuliana.zito@unisabana.edu.co1"/>
    <s v="PREGRADO"/>
    <n v="2"/>
    <x v="4"/>
  </r>
  <r>
    <s v="gloria.arias@unisabana.edu.co1"/>
    <x v="9"/>
    <s v="CATEDRA"/>
    <s v="Si"/>
    <s v="https://ProfCatedra2024.sawtoothsoftware.com/cgi-bin/ciwweb.pl?studyname=ProfCatedra2024&amp;Correo=gloria.arias@unisabana.edu.co1"/>
    <s v="PREGRADO"/>
    <n v="2"/>
    <x v="4"/>
  </r>
  <r>
    <s v="gustavo.gomez@unisabana.edu.co1"/>
    <x v="12"/>
    <s v="CATEDRA"/>
    <s v="Si"/>
    <s v="https://ProfCatedra2024.sawtoothsoftware.com/cgi-bin/ciwweb.pl?studyname=ProfCatedra2024&amp;Correo=gustavo.gomez@unisabana.edu.co1"/>
    <s v="PREGRADO"/>
    <n v="9"/>
    <x v="6"/>
  </r>
  <r>
    <s v="hans.correa@unisabana.edu.co1"/>
    <x v="4"/>
    <s v="CATEDRA"/>
    <s v="Si"/>
    <s v="https://ProfCatedra2024.sawtoothsoftware.com/cgi-bin/ciwweb.pl?studyname=ProfCatedra2024&amp;Correo=hans.correa@unisabana.edu.co1"/>
    <s v="PREGRADO"/>
    <n v="8"/>
    <x v="0"/>
  </r>
  <r>
    <s v="harol.piravaguen@unisabana.edu.co1"/>
    <x v="14"/>
    <s v="CATEDRA"/>
    <s v="Si"/>
    <s v="https://ProfCatedra2024.sawtoothsoftware.com/cgi-bin/ciwweb.pl?studyname=ProfCatedra2024&amp;Correo=harol.piravaguen@unisabana.edu.co1"/>
    <s v="PREGRADO"/>
    <n v="2"/>
    <x v="4"/>
  </r>
  <r>
    <s v="harvey.hernandez@unisabana.edu.co1"/>
    <x v="0"/>
    <s v="CATEDRA"/>
    <s v="Si"/>
    <s v="https://ProfCatedra2024.sawtoothsoftware.com/cgi-bin/ciwweb.pl?studyname=ProfCatedra2024&amp;Correo=harvey.hernandez@unisabana.edu.co1"/>
    <s v="PREGRADO"/>
    <n v="8"/>
    <x v="0"/>
  </r>
  <r>
    <s v="hector.lopez3@unisabana.edu.co1"/>
    <x v="2"/>
    <s v="CATEDRA"/>
    <s v="No"/>
    <s v="https://ProfCatedra2024.sawtoothsoftware.com/cgi-bin/ciwweb.pl?studyname=ProfCatedra2024&amp;Correo=hector.lopez3@unisabana.edu.co1"/>
    <s v="PREGRADO"/>
    <n v="3"/>
    <x v="2"/>
  </r>
  <r>
    <s v="HectorFA@unisabana.edu.co1"/>
    <x v="15"/>
    <s v="CATEDRA"/>
    <s v="Si"/>
    <s v="https://ProfCatedra2024.sawtoothsoftware.com/cgi-bin/ciwweb.pl?studyname=ProfCatedra2024&amp;Correo=HectorFA@unisabana.edu.co1"/>
    <s v="PREGRADO"/>
    <n v="1"/>
    <x v="7"/>
  </r>
  <r>
    <s v="henry.moya@unisabana.edu.co1"/>
    <x v="3"/>
    <s v="CATEDRA"/>
    <s v="Si"/>
    <s v="https://ProfCatedra2024.sawtoothsoftware.com/cgi-bin/ciwweb.pl?studyname=ProfCatedra2024&amp;Correo=henry.moya@unisabana.edu.co1"/>
    <s v="PREGRADO"/>
    <n v="8"/>
    <x v="0"/>
  </r>
  <r>
    <s v="henry.ramirez@unisabana.edu.co1"/>
    <x v="21"/>
    <s v="CATEDRA"/>
    <s v="No"/>
    <s v="https://ProfCatedra2024.sawtoothsoftware.com/cgi-bin/ciwweb.pl?studyname=ProfCatedra2024&amp;Correo=henry.ramirez@unisabana.edu.co1"/>
    <s v="PREGRADO"/>
    <n v="8"/>
    <x v="0"/>
  </r>
  <r>
    <s v="herman.nieto@unisabana.edu.co1"/>
    <x v="11"/>
    <s v="CATEDRA"/>
    <s v="No"/>
    <s v="https://ProfCatedra2024.sawtoothsoftware.com/cgi-bin/ciwweb.pl?studyname=ProfCatedra2024&amp;Correo=herman.nieto@unisabana.edu.co1"/>
    <s v="PREGRADO"/>
    <n v="8"/>
    <x v="0"/>
  </r>
  <r>
    <s v="hugo.urena@unisabana.edu.co1"/>
    <x v="10"/>
    <s v="CATEDRA"/>
    <s v="Si"/>
    <s v="https://ProfCatedra2024.sawtoothsoftware.com/cgi-bin/ciwweb.pl?studyname=ProfCatedra2024&amp;Correo=hugo.urena@unisabana.edu.co1"/>
    <s v="PREGRADO"/>
    <n v="3"/>
    <x v="2"/>
  </r>
  <r>
    <s v="ing.karol.moreno@gmail.com"/>
    <x v="11"/>
    <s v="CATEDRA"/>
    <s v="No"/>
    <s v="https://ProfCatedra2024.sawtoothsoftware.com/cgi-bin/ciwweb.pl?studyname=ProfCatedra2024&amp;Correo=ing.karol.moreno@gmail.com"/>
    <s v="PREGRADO"/>
    <n v="8"/>
    <x v="0"/>
  </r>
  <r>
    <s v="ingri.moreno@unisabana.edu.co1"/>
    <x v="1"/>
    <s v="CATEDRA"/>
    <s v="No"/>
    <s v="https://ProfCatedra2024.sawtoothsoftware.com/cgi-bin/ciwweb.pl?studyname=ProfCatedra2024&amp;Correo=ingri.moreno@unisabana.edu.co1"/>
    <s v="PREGRADO"/>
    <n v="5"/>
    <x v="1"/>
  </r>
  <r>
    <s v="irma.aristizabal1@unisabana.edu.co1"/>
    <x v="27"/>
    <s v="CATEDRA"/>
    <s v="Si"/>
    <s v="https://ProfCatedra2024.sawtoothsoftware.com/cgi-bin/ciwweb.pl?studyname=ProfCatedra2024&amp;Correo=irma.aristizabal1@unisabana.edu.co1"/>
    <s v="PREGRADO"/>
    <n v="16"/>
    <x v="11"/>
  </r>
  <r>
    <s v="isabela.granados@unisabana.edu.co1"/>
    <x v="2"/>
    <s v="CATEDRA"/>
    <s v="Si"/>
    <s v="https://ProfCatedra2024.sawtoothsoftware.com/cgi-bin/ciwweb.pl?studyname=ProfCatedra2024&amp;Correo=isabela.granados@unisabana.edu.co1"/>
    <s v="PREGRADO"/>
    <n v="3"/>
    <x v="2"/>
  </r>
  <r>
    <s v="ivan.lozano@unisabana.edu.co1"/>
    <x v="4"/>
    <s v="CATEDRA"/>
    <s v="Si"/>
    <s v="https://ProfCatedra2024.sawtoothsoftware.com/cgi-bin/ciwweb.pl?studyname=ProfCatedra2024&amp;Correo=ivan.lozano@unisabana.edu.co1"/>
    <s v="PREGRADO"/>
    <n v="8"/>
    <x v="0"/>
  </r>
  <r>
    <s v="ivan.sierra@unisabana.edu.co1"/>
    <x v="10"/>
    <s v="CATEDRA"/>
    <s v="Si"/>
    <s v="https://ProfCatedra2024.sawtoothsoftware.com/cgi-bin/ciwweb.pl?studyname=ProfCatedra2024&amp;Correo=ivan.sierra@unisabana.edu.co1"/>
    <s v="PREGRADO"/>
    <n v="3"/>
    <x v="2"/>
  </r>
  <r>
    <s v="ivan.unigarro1@unisabana.edu.co1"/>
    <x v="26"/>
    <s v="CATEDRA"/>
    <s v="Si"/>
    <s v="https://ProfCatedra2024.sawtoothsoftware.com/cgi-bin/ciwweb.pl?studyname=ProfCatedra2024&amp;Correo=ivan.unigarro1@unisabana.edu.co1"/>
    <s v="PREGRADO"/>
    <n v="4"/>
    <x v="5"/>
  </r>
  <r>
    <s v="jacqueline.lopez@unisabana.edu.co1"/>
    <x v="5"/>
    <s v="CATEDRA"/>
    <s v="Si"/>
    <s v="https://ProfCatedra2024.sawtoothsoftware.com/cgi-bin/ciwweb.pl?studyname=ProfCatedra2024&amp;Correo=jacqueline.lopez@unisabana.edu.co1"/>
    <s v="PREGRADO"/>
    <n v="15"/>
    <x v="3"/>
  </r>
  <r>
    <s v="jaime.avila1@unisabana.edu.co1"/>
    <x v="18"/>
    <s v="CATEDRA"/>
    <s v="Si"/>
    <s v="https://ProfCatedra2024.sawtoothsoftware.com/cgi-bin/ciwweb.pl?studyname=ProfCatedra2024&amp;Correo=jaime.avila1@unisabana.edu.co1"/>
    <s v="PREGRADO"/>
    <n v="2"/>
    <x v="4"/>
  </r>
  <r>
    <s v="jaime.barcenas1@unisabana.edu.co1"/>
    <x v="7"/>
    <s v="CATEDRA"/>
    <s v="No"/>
    <s v="https://ProfCatedra2024.sawtoothsoftware.com/cgi-bin/ciwweb.pl?studyname=ProfCatedra2024&amp;Correo=jaime.barcenas1@unisabana.edu.co1"/>
    <s v="PREGRADO"/>
    <n v="2"/>
    <x v="4"/>
  </r>
  <r>
    <s v="jaime.marin@unisabana.edu.co1"/>
    <x v="6"/>
    <s v="CATEDRA"/>
    <s v="Si"/>
    <s v="https://ProfCatedra2024.sawtoothsoftware.com/cgi-bin/ciwweb.pl?studyname=ProfCatedra2024&amp;Correo=jaime.marin@unisabana.edu.co1"/>
    <s v="PREGRADO"/>
    <n v="2"/>
    <x v="4"/>
  </r>
  <r>
    <s v="jaime.martinez1@unisabana.edu.co1"/>
    <x v="7"/>
    <s v="CATEDRA"/>
    <s v="Si"/>
    <s v="https://ProfCatedra2024.sawtoothsoftware.com/cgi-bin/ciwweb.pl?studyname=ProfCatedra2024&amp;Correo=jaime.martinez1@unisabana.edu.co1"/>
    <s v="PREGRADO"/>
    <n v="2"/>
    <x v="4"/>
  </r>
  <r>
    <s v="jairo.rubiano@unisabana.edu.co1"/>
    <x v="0"/>
    <s v="CATEDRA"/>
    <s v="Si"/>
    <s v="https://ProfCatedra2024.sawtoothsoftware.com/cgi-bin/ciwweb.pl?studyname=ProfCatedra2024&amp;Correo=jairo.rubiano@unisabana.edu.co1"/>
    <s v="PREGRADO"/>
    <n v="8"/>
    <x v="0"/>
  </r>
  <r>
    <s v="jairo.sarmiento@unisabana.edu.co1"/>
    <x v="2"/>
    <s v="CATEDRA"/>
    <s v="No"/>
    <s v="https://ProfCatedra2024.sawtoothsoftware.com/cgi-bin/ciwweb.pl?studyname=ProfCatedra2024&amp;Correo=jairo.sarmiento@unisabana.edu.co1"/>
    <s v="PREGRADO"/>
    <n v="3"/>
    <x v="2"/>
  </r>
  <r>
    <s v="jairo.zapata@unisabana.edu.co1"/>
    <x v="9"/>
    <s v="CATEDRA"/>
    <s v="Si"/>
    <s v="https://ProfCatedra2024.sawtoothsoftware.com/cgi-bin/ciwweb.pl?studyname=ProfCatedra2024&amp;Correo=jairo.zapata@unisabana.edu.co1"/>
    <s v="PREGRADO"/>
    <n v="2"/>
    <x v="4"/>
  </r>
  <r>
    <s v="javier.prada@unisabana.edu.co1"/>
    <x v="11"/>
    <s v="CATEDRA"/>
    <s v="Si"/>
    <s v="https://ProfCatedra2024.sawtoothsoftware.com/cgi-bin/ciwweb.pl?studyname=ProfCatedra2024&amp;Correo=javier.prada@unisabana.edu.co1"/>
    <s v="PREGRADO"/>
    <n v="8"/>
    <x v="0"/>
  </r>
  <r>
    <s v="javier.salazar@unisabana.edu.co1"/>
    <x v="7"/>
    <s v="CATEDRA"/>
    <s v="Si"/>
    <s v="https://ProfCatedra2024.sawtoothsoftware.com/cgi-bin/ciwweb.pl?studyname=ProfCatedra2024&amp;Correo=javier.salazar@unisabana.edu.co1"/>
    <s v="PREGRADO"/>
    <n v="2"/>
    <x v="4"/>
  </r>
  <r>
    <s v="JavierOS@unisabana.edu.co1"/>
    <x v="10"/>
    <s v="CATEDRA"/>
    <s v="Si"/>
    <s v="https://ProfCatedra2024.sawtoothsoftware.com/cgi-bin/ciwweb.pl?studyname=ProfCatedra2024&amp;Correo=JavierOS@unisabana.edu.co1"/>
    <s v="PREGRADO"/>
    <n v="3"/>
    <x v="2"/>
  </r>
  <r>
    <s v="jehison.fernandez1@unisabana.edu.co1"/>
    <x v="10"/>
    <s v="CATEDRA"/>
    <s v="Si"/>
    <s v="https://ProfCatedra2024.sawtoothsoftware.com/cgi-bin/ciwweb.pl?studyname=ProfCatedra2024&amp;Correo=jehison.fernandez1@unisabana.edu.co1"/>
    <s v="PREGRADO"/>
    <n v="3"/>
    <x v="2"/>
  </r>
  <r>
    <s v="jeimy.ariza@unisabana.edu.co1"/>
    <x v="16"/>
    <s v="CATEDRA"/>
    <s v="Si"/>
    <s v="https://ProfCatedra2024.sawtoothsoftware.com/cgi-bin/ciwweb.pl?studyname=ProfCatedra2024&amp;Correo=jeimy.ariza@unisabana.edu.co1"/>
    <s v="PREGRADO"/>
    <n v="5"/>
    <x v="1"/>
  </r>
  <r>
    <s v="jenny.rodriguez13@unisabana.edu.co1"/>
    <x v="16"/>
    <s v="CATEDRA"/>
    <s v="Si"/>
    <s v="https://ProfCatedra2024.sawtoothsoftware.com/cgi-bin/ciwweb.pl?studyname=ProfCatedra2024&amp;Correo=jenny.rodriguez13@unisabana.edu.co1"/>
    <s v="PREGRADO"/>
    <n v="5"/>
    <x v="1"/>
  </r>
  <r>
    <s v="jeronimo.garcia@unisabana.edu.co1"/>
    <x v="10"/>
    <s v="CATEDRA"/>
    <s v="Si"/>
    <s v="https://ProfCatedra2024.sawtoothsoftware.com/cgi-bin/ciwweb.pl?studyname=ProfCatedra2024&amp;Correo=jeronimo.garcia@unisabana.edu.co1"/>
    <s v="PREGRADO"/>
    <n v="3"/>
    <x v="2"/>
  </r>
  <r>
    <s v="jesicabiviana9@gmail.com"/>
    <x v="4"/>
    <s v="CATEDRA"/>
    <s v="No"/>
    <s v="https://ProfCatedra2024.sawtoothsoftware.com/cgi-bin/ciwweb.pl?studyname=ProfCatedra2024&amp;Correo=jesicabiviana9@gmail.com"/>
    <s v="PREGRADO"/>
    <n v="8"/>
    <x v="0"/>
  </r>
  <r>
    <s v="jessica.waked@unisabana.edu.co1"/>
    <x v="13"/>
    <s v="CATEDRA"/>
    <s v="Si"/>
    <s v="https://ProfCatedra2024.sawtoothsoftware.com/cgi-bin/ciwweb.pl?studyname=ProfCatedra2024&amp;Correo=jessica.waked@unisabana.edu.co1"/>
    <s v="PREGRADO"/>
    <n v="2"/>
    <x v="4"/>
  </r>
  <r>
    <s v="jesus.agreda@unisabana.edu.co1"/>
    <x v="26"/>
    <s v="CATEDRA"/>
    <s v="Si"/>
    <s v="https://ProfCatedra2024.sawtoothsoftware.com/cgi-bin/ciwweb.pl?studyname=ProfCatedra2024&amp;Correo=jesus.agreda@unisabana.edu.co1"/>
    <s v="PREGRADO"/>
    <n v="4"/>
    <x v="5"/>
  </r>
  <r>
    <s v="jesus.cifuentes@unisabana.edu.co1"/>
    <x v="25"/>
    <s v="CATEDRA"/>
    <s v="Si"/>
    <s v="https://ProfCatedra2024.sawtoothsoftware.com/cgi-bin/ciwweb.pl?studyname=ProfCatedra2024&amp;Correo=jesus.cifuentes@unisabana.edu.co1"/>
    <s v="PREGRADO"/>
    <n v="7"/>
    <x v="10"/>
  </r>
  <r>
    <s v="jesus.ruiz@unisabana.edu.co1"/>
    <x v="18"/>
    <s v="CATEDRA"/>
    <s v="No"/>
    <s v="https://ProfCatedra2024.sawtoothsoftware.com/cgi-bin/ciwweb.pl?studyname=ProfCatedra2024&amp;Correo=jesus.ruiz@unisabana.edu.co1"/>
    <s v="PREGRADO"/>
    <n v="2"/>
    <x v="4"/>
  </r>
  <r>
    <s v="jhebravobu@unal.edu.co1"/>
    <x v="28"/>
    <s v="CATEDRA"/>
    <s v="Si"/>
    <s v="https://ProfCatedra2024.sawtoothsoftware.com/cgi-bin/ciwweb.pl?studyname=ProfCatedra2024&amp;Correo=jhebravobu@unal.edu.co1"/>
    <s v="PREGRADO"/>
    <n v="8"/>
    <x v="0"/>
  </r>
  <r>
    <s v="jhenny.perez@unisabana.edu.co1"/>
    <x v="4"/>
    <s v="CATEDRA"/>
    <s v="No"/>
    <s v="https://ProfCatedra2024.sawtoothsoftware.com/cgi-bin/ciwweb.pl?studyname=ProfCatedra2024&amp;Correo=jhenny.perez@unisabana.edu.co1"/>
    <s v="PREGRADO"/>
    <n v="8"/>
    <x v="0"/>
  </r>
  <r>
    <s v="jhon.quiceno@unisabana.edu.co1"/>
    <x v="4"/>
    <s v="CATEDRA"/>
    <s v="No"/>
    <s v="https://ProfCatedra2024.sawtoothsoftware.com/cgi-bin/ciwweb.pl?studyname=ProfCatedra2024&amp;Correo=jhon.quiceno@unisabana.edu.co1"/>
    <s v="PREGRADO"/>
    <n v="8"/>
    <x v="0"/>
  </r>
  <r>
    <s v="jhonathan.rodriguez@unisabana.edu.co1"/>
    <x v="18"/>
    <s v="CATEDRA"/>
    <s v="Si"/>
    <s v="https://ProfCatedra2024.sawtoothsoftware.com/cgi-bin/ciwweb.pl?studyname=ProfCatedra2024&amp;Correo=jhonathan.rodriguez@unisabana.edu.co1"/>
    <s v="PREGRADO"/>
    <n v="2"/>
    <x v="4"/>
  </r>
  <r>
    <s v="jimmy.rojas@unisabana.edu.co1"/>
    <x v="8"/>
    <s v="CATEDRA"/>
    <s v="Si"/>
    <s v="https://ProfCatedra2024.sawtoothsoftware.com/cgi-bin/ciwweb.pl?studyname=ProfCatedra2024&amp;Correo=jimmy.rojas@unisabana.edu.co1"/>
    <s v="PREGRADO"/>
    <n v="4"/>
    <x v="5"/>
  </r>
  <r>
    <s v="john.mora@unisabana.edu.co1"/>
    <x v="6"/>
    <s v="CATEDRA"/>
    <s v="No"/>
    <s v="https://ProfCatedra2024.sawtoothsoftware.com/cgi-bin/ciwweb.pl?studyname=ProfCatedra2024&amp;Correo=john.mora@unisabana.edu.co1"/>
    <s v="PREGRADO"/>
    <n v="2"/>
    <x v="4"/>
  </r>
  <r>
    <s v="john.motta@unisabana.edu.co1"/>
    <x v="0"/>
    <s v="CATEDRA"/>
    <s v="Si"/>
    <s v="https://ProfCatedra2024.sawtoothsoftware.com/cgi-bin/ciwweb.pl?studyname=ProfCatedra2024&amp;Correo=john.motta@unisabana.edu.co1"/>
    <s v="PREGRADO"/>
    <n v="8"/>
    <x v="0"/>
  </r>
  <r>
    <s v="john.pinzon1@unisabana.edu.co1"/>
    <x v="25"/>
    <s v="CATEDRA"/>
    <s v="No"/>
    <s v="https://ProfCatedra2024.sawtoothsoftware.com/cgi-bin/ciwweb.pl?studyname=ProfCatedra2024&amp;Correo=john.pinzon1@unisabana.edu.co1"/>
    <s v="PREGRADO"/>
    <n v="7"/>
    <x v="10"/>
  </r>
  <r>
    <s v="jorge.cortazar@unisabana.edu.co1"/>
    <x v="3"/>
    <s v="CATEDRA"/>
    <s v="Si"/>
    <s v="https://ProfCatedra2024.sawtoothsoftware.com/cgi-bin/ciwweb.pl?studyname=ProfCatedra2024&amp;Correo=jorge.cortazar@unisabana.edu.co1"/>
    <s v="PREGRADO"/>
    <n v="8"/>
    <x v="0"/>
  </r>
  <r>
    <s v="jorge.sanmartin@unisabana.edu.co1"/>
    <x v="8"/>
    <s v="CATEDRA"/>
    <s v="Si"/>
    <s v="https://ProfCatedra2024.sawtoothsoftware.com/cgi-bin/ciwweb.pl?studyname=ProfCatedra2024&amp;Correo=jorge.sanmartin@unisabana.edu.co1"/>
    <s v="PREGRADO"/>
    <n v="4"/>
    <x v="5"/>
  </r>
  <r>
    <s v="jorgevico@unisabana.edu.co1"/>
    <x v="29"/>
    <s v="CATEDRA"/>
    <s v="Si"/>
    <s v="https://ProfCatedra2024.sawtoothsoftware.com/cgi-bin/ciwweb.pl?studyname=ProfCatedra2024&amp;Correo=jorgevico@unisabana.edu.co1"/>
    <s v="PREGRADO"/>
    <n v="2"/>
    <x v="4"/>
  </r>
  <r>
    <s v="jose.avellaneda@unisabana.edu.co1"/>
    <x v="13"/>
    <s v="CATEDRA"/>
    <s v="Si"/>
    <s v="https://ProfCatedra2024.sawtoothsoftware.com/cgi-bin/ciwweb.pl?studyname=ProfCatedra2024&amp;Correo=jose.avellaneda@unisabana.edu.co1"/>
    <s v="PREGRADO"/>
    <n v="2"/>
    <x v="4"/>
  </r>
  <r>
    <s v="jose.bautista2@unisabana.edu.co1"/>
    <x v="3"/>
    <s v="CATEDRA"/>
    <s v="No"/>
    <s v="https://ProfCatedra2024.sawtoothsoftware.com/cgi-bin/ciwweb.pl?studyname=ProfCatedra2024&amp;Correo=jose.bautista2@unisabana.edu.co1"/>
    <s v="PREGRADO"/>
    <n v="8"/>
    <x v="0"/>
  </r>
  <r>
    <s v="jose.capera@unisabana.edu.co1"/>
    <x v="2"/>
    <s v="CATEDRA"/>
    <s v="No"/>
    <s v="https://ProfCatedra2024.sawtoothsoftware.com/cgi-bin/ciwweb.pl?studyname=ProfCatedra2024&amp;Correo=jose.capera@unisabana.edu.co1"/>
    <s v="PREGRADO"/>
    <n v="3"/>
    <x v="2"/>
  </r>
  <r>
    <s v="jose.castano1@unisabana.edu.co1"/>
    <x v="18"/>
    <s v="CATEDRA"/>
    <s v="Si"/>
    <s v="https://ProfCatedra2024.sawtoothsoftware.com/cgi-bin/ciwweb.pl?studyname=ProfCatedra2024&amp;Correo=jose.castano1@unisabana.edu.co1"/>
    <s v="PREGRADO"/>
    <n v="2"/>
    <x v="4"/>
  </r>
  <r>
    <s v="jose.diaz2@unisabana.edu.co1"/>
    <x v="21"/>
    <s v="CATEDRA"/>
    <s v="Si"/>
    <s v="https://ProfCatedra2024.sawtoothsoftware.com/cgi-bin/ciwweb.pl?studyname=ProfCatedra2024&amp;Correo=jose.diaz2@unisabana.edu.co1"/>
    <s v="PREGRADO"/>
    <n v="8"/>
    <x v="0"/>
  </r>
  <r>
    <s v="jose.jerez@unisabana.edu.co1"/>
    <x v="29"/>
    <s v="CATEDRA"/>
    <s v="Si"/>
    <s v="https://ProfCatedra2024.sawtoothsoftware.com/cgi-bin/ciwweb.pl?studyname=ProfCatedra2024&amp;Correo=jose.jerez@unisabana.edu.co1"/>
    <s v="PREGRADO"/>
    <n v="2"/>
    <x v="4"/>
  </r>
  <r>
    <s v="jose.mejia@unisabana.edu.co1"/>
    <x v="14"/>
    <s v="CATEDRA"/>
    <s v="Si"/>
    <s v="https://ProfCatedra2024.sawtoothsoftware.com/cgi-bin/ciwweb.pl?studyname=ProfCatedra2024&amp;Correo=jose.mejia@unisabana.edu.co1"/>
    <s v="PREGRADO"/>
    <n v="2"/>
    <x v="4"/>
  </r>
  <r>
    <s v="jose.parra@unisabana.edu.co1"/>
    <x v="8"/>
    <s v="CATEDRA"/>
    <s v="Si"/>
    <s v="https://ProfCatedra2024.sawtoothsoftware.com/cgi-bin/ciwweb.pl?studyname=ProfCatedra2024&amp;Correo=jose.parra@unisabana.edu.co1"/>
    <s v="PREGRADO"/>
    <n v="4"/>
    <x v="5"/>
  </r>
  <r>
    <s v="jose.riano@unisabana.edu.co1"/>
    <x v="10"/>
    <s v="CATEDRA"/>
    <s v="Si"/>
    <s v="https://ProfCatedra2024.sawtoothsoftware.com/cgi-bin/ciwweb.pl?studyname=ProfCatedra2024&amp;Correo=jose.riano@unisabana.edu.co1"/>
    <s v="PREGRADO"/>
    <n v="3"/>
    <x v="2"/>
  </r>
  <r>
    <s v="jose.riveros1@unisabana.edu.co1"/>
    <x v="6"/>
    <s v="CATEDRA"/>
    <s v="Si"/>
    <s v="https://ProfCatedra2024.sawtoothsoftware.com/cgi-bin/ciwweb.pl?studyname=ProfCatedra2024&amp;Correo=jose.riveros1@unisabana.edu.co1"/>
    <s v="PREGRADO"/>
    <n v="2"/>
    <x v="4"/>
  </r>
  <r>
    <s v="jose.sanchez8@unisabana.edu.co1"/>
    <x v="11"/>
    <s v="CATEDRA"/>
    <s v="Si"/>
    <s v="https://ProfCatedra2024.sawtoothsoftware.com/cgi-bin/ciwweb.pl?studyname=ProfCatedra2024&amp;Correo=jose.sanchez8@unisabana.edu.co1"/>
    <s v="PREGRADO"/>
    <n v="8"/>
    <x v="0"/>
  </r>
  <r>
    <s v="jose.sarmiento2@unisabana.edu.co1"/>
    <x v="21"/>
    <s v="CATEDRA"/>
    <s v="Si"/>
    <s v="https://ProfCatedra2024.sawtoothsoftware.com/cgi-bin/ciwweb.pl?studyname=ProfCatedra2024&amp;Correo=jose.sarmiento2@unisabana.edu.co1"/>
    <s v="PREGRADO"/>
    <n v="8"/>
    <x v="0"/>
  </r>
  <r>
    <s v="JoseRoA@unisabana.edu.co1"/>
    <x v="13"/>
    <s v="CATEDRA"/>
    <s v="No"/>
    <s v="https://ProfCatedra2024.sawtoothsoftware.com/cgi-bin/ciwweb.pl?studyname=ProfCatedra2024&amp;Correo=JoseRoA@unisabana.edu.co1"/>
    <s v="PREGRADO"/>
    <n v="2"/>
    <x v="4"/>
  </r>
  <r>
    <s v="juan.acevedo3@unisabana.edu.co1"/>
    <x v="22"/>
    <s v="CATEDRA"/>
    <s v="Si"/>
    <s v="https://ProfCatedra2024.sawtoothsoftware.com/cgi-bin/ciwweb.pl?studyname=ProfCatedra2024&amp;Correo=juan.acevedo3@unisabana.edu.co1"/>
    <s v="PREGRADO"/>
    <n v="6"/>
    <x v="9"/>
  </r>
  <r>
    <s v="juan.anzola@unisabana.edu.co1"/>
    <x v="14"/>
    <s v="CATEDRA"/>
    <s v="No"/>
    <s v="https://ProfCatedra2024.sawtoothsoftware.com/cgi-bin/ciwweb.pl?studyname=ProfCatedra2024&amp;Correo=juan.anzola@unisabana.edu.co1"/>
    <s v="PREGRADO"/>
    <n v="2"/>
    <x v="4"/>
  </r>
  <r>
    <s v="Juan.Bargans@unisabana.edu.co1"/>
    <x v="29"/>
    <s v="CATEDRA"/>
    <s v="No"/>
    <s v="https://ProfCatedra2024.sawtoothsoftware.com/cgi-bin/ciwweb.pl?studyname=ProfCatedra2024&amp;Correo=Juan.Bargans@unisabana.edu.co1"/>
    <s v="PREGRADO"/>
    <n v="2"/>
    <x v="4"/>
  </r>
  <r>
    <s v="juan.beltran4@unisabana.edu.co1"/>
    <x v="0"/>
    <s v="CATEDRA"/>
    <s v="Si"/>
    <s v="https://ProfCatedra2024.sawtoothsoftware.com/cgi-bin/ciwweb.pl?studyname=ProfCatedra2024&amp;Correo=juan.beltran4@unisabana.edu.co1"/>
    <s v="PREGRADO"/>
    <n v="8"/>
    <x v="0"/>
  </r>
  <r>
    <s v="juan.bernal9@unisabana.edu.co1"/>
    <x v="6"/>
    <s v="CATEDRA"/>
    <s v="Si"/>
    <s v="https://ProfCatedra2024.sawtoothsoftware.com/cgi-bin/ciwweb.pl?studyname=ProfCatedra2024&amp;Correo=juan.bernal9@unisabana.edu.co1"/>
    <s v="PREGRADO"/>
    <n v="2"/>
    <x v="4"/>
  </r>
  <r>
    <s v="juan.betancourt@unisabana.edu.co1"/>
    <x v="29"/>
    <s v="CATEDRA"/>
    <s v="Si"/>
    <s v="https://ProfCatedra2024.sawtoothsoftware.com/cgi-bin/ciwweb.pl?studyname=ProfCatedra2024&amp;Correo=juan.betancourt@unisabana.edu.co1"/>
    <s v="PREGRADO"/>
    <n v="2"/>
    <x v="4"/>
  </r>
  <r>
    <s v="juan.castiblanco1@unisabana.edu.co1"/>
    <x v="27"/>
    <s v="CATEDRA"/>
    <s v="Si"/>
    <s v="https://ProfCatedra2024.sawtoothsoftware.com/cgi-bin/ciwweb.pl?studyname=ProfCatedra2024&amp;Correo=juan.castiblanco1@unisabana.edu.co1"/>
    <s v="PREGRADO"/>
    <n v="16"/>
    <x v="11"/>
  </r>
  <r>
    <s v="juan.cobos@unisabana.edu.co1"/>
    <x v="10"/>
    <s v="CATEDRA"/>
    <s v="Si"/>
    <s v="https://ProfCatedra2024.sawtoothsoftware.com/cgi-bin/ciwweb.pl?studyname=ProfCatedra2024&amp;Correo=juan.cobos@unisabana.edu.co1"/>
    <s v="PREGRADO"/>
    <n v="3"/>
    <x v="2"/>
  </r>
  <r>
    <s v="juan.enciso2@unisabana.edu.co1"/>
    <x v="1"/>
    <s v="CATEDRA"/>
    <s v="Si"/>
    <s v="https://ProfCatedra2024.sawtoothsoftware.com/cgi-bin/ciwweb.pl?studyname=ProfCatedra2024&amp;Correo=juan.enciso2@unisabana.edu.co1"/>
    <s v="PREGRADO"/>
    <n v="5"/>
    <x v="1"/>
  </r>
  <r>
    <s v="juan.espinosa2@unisabana.edu.co1"/>
    <x v="6"/>
    <s v="CATEDRA"/>
    <s v="Si"/>
    <s v="https://ProfCatedra2024.sawtoothsoftware.com/cgi-bin/ciwweb.pl?studyname=ProfCatedra2024&amp;Correo=juan.espinosa2@unisabana.edu.co1"/>
    <s v="PREGRADO"/>
    <n v="2"/>
    <x v="4"/>
  </r>
  <r>
    <s v="juan.garcia12@unisabana.edu.co1"/>
    <x v="18"/>
    <s v="CATEDRA"/>
    <s v="Si"/>
    <s v="https://ProfCatedra2024.sawtoothsoftware.com/cgi-bin/ciwweb.pl?studyname=ProfCatedra2024&amp;Correo=juan.garcia12@unisabana.edu.co1"/>
    <s v="PREGRADO"/>
    <n v="2"/>
    <x v="4"/>
  </r>
  <r>
    <s v="juan.garcia13@unisabana.edu.co1"/>
    <x v="10"/>
    <s v="CATEDRA"/>
    <s v="Si"/>
    <s v="https://ProfCatedra2024.sawtoothsoftware.com/cgi-bin/ciwweb.pl?studyname=ProfCatedra2024&amp;Correo=juan.garcia13@unisabana.edu.co1"/>
    <s v="PREGRADO"/>
    <n v="3"/>
    <x v="2"/>
  </r>
  <r>
    <s v="juan.giraldo1@unisabana.edu.co1"/>
    <x v="10"/>
    <s v="CATEDRA"/>
    <s v="Si"/>
    <s v="https://ProfCatedra2024.sawtoothsoftware.com/cgi-bin/ciwweb.pl?studyname=ProfCatedra2024&amp;Correo=juan.giraldo1@unisabana.edu.co1"/>
    <s v="PREGRADO"/>
    <n v="3"/>
    <x v="2"/>
  </r>
  <r>
    <s v="juan.gonzalez10@unisabana.edu.co1"/>
    <x v="10"/>
    <s v="CATEDRA"/>
    <s v="Si"/>
    <s v="https://ProfCatedra2024.sawtoothsoftware.com/cgi-bin/ciwweb.pl?studyname=ProfCatedra2024&amp;Correo=juan.gonzalez10@unisabana.edu.co1"/>
    <s v="PREGRADO"/>
    <n v="3"/>
    <x v="2"/>
  </r>
  <r>
    <s v="JUAN.HERNANDEZ@UNISABANA.EDU.CO1"/>
    <x v="7"/>
    <s v="CATEDRA"/>
    <s v="Si"/>
    <s v="https://ProfCatedra2024.sawtoothsoftware.com/cgi-bin/ciwweb.pl?studyname=ProfCatedra2024&amp;Correo=JUAN.HERNANDEZ@UNISABANA.EDU.CO1"/>
    <s v="PREGRADO"/>
    <n v="2"/>
    <x v="4"/>
  </r>
  <r>
    <s v="juan.jaramillo1@unisabana.edu.co1"/>
    <x v="8"/>
    <s v="CATEDRA"/>
    <s v="No"/>
    <s v="https://ProfCatedra2024.sawtoothsoftware.com/cgi-bin/ciwweb.pl?studyname=ProfCatedra2024&amp;Correo=juan.jaramillo1@unisabana.edu.co1"/>
    <s v="PREGRADO"/>
    <n v="4"/>
    <x v="5"/>
  </r>
  <r>
    <s v="juan.Mojica3@unisabana.edu.co1"/>
    <x v="6"/>
    <s v="CATEDRA"/>
    <s v="No"/>
    <s v="https://ProfCatedra2024.sawtoothsoftware.com/cgi-bin/ciwweb.pl?studyname=ProfCatedra2024&amp;Correo=juan.Mojica3@unisabana.edu.co1"/>
    <s v="PREGRADO"/>
    <n v="2"/>
    <x v="4"/>
  </r>
  <r>
    <s v="juan.murillo2@unisabana.edu.co1"/>
    <x v="4"/>
    <s v="CATEDRA"/>
    <s v="No"/>
    <s v="https://ProfCatedra2024.sawtoothsoftware.com/cgi-bin/ciwweb.pl?studyname=ProfCatedra2024&amp;Correo=juan.murillo2@unisabana.edu.co1"/>
    <s v="PREGRADO"/>
    <n v="8"/>
    <x v="0"/>
  </r>
  <r>
    <s v="juan.nunez@unisabana.edu.co1"/>
    <x v="10"/>
    <s v="CATEDRA"/>
    <s v="No"/>
    <s v="https://ProfCatedra2024.sawtoothsoftware.com/cgi-bin/ciwweb.pl?studyname=ProfCatedra2024&amp;Correo=juan.nunez@unisabana.edu.co1"/>
    <s v="PREGRADO"/>
    <n v="3"/>
    <x v="2"/>
  </r>
  <r>
    <s v="juan.osman@unisabana.edu.co1"/>
    <x v="14"/>
    <s v="CATEDRA"/>
    <s v="Si"/>
    <s v="https://ProfCatedra2024.sawtoothsoftware.com/cgi-bin/ciwweb.pl?studyname=ProfCatedra2024&amp;Correo=juan.osman@unisabana.edu.co1"/>
    <s v="PREGRADO"/>
    <n v="2"/>
    <x v="4"/>
  </r>
  <r>
    <s v="juan.quintero14@unisabana.edu.co1"/>
    <x v="6"/>
    <s v="CATEDRA"/>
    <s v="No"/>
    <s v="https://ProfCatedra2024.sawtoothsoftware.com/cgi-bin/ciwweb.pl?studyname=ProfCatedra2024&amp;Correo=juan.quintero14@unisabana.edu.co1"/>
    <s v="PREGRADO"/>
    <n v="2"/>
    <x v="4"/>
  </r>
  <r>
    <s v="juan.ramirez1@unisabana.edu.co1"/>
    <x v="10"/>
    <s v="CATEDRA"/>
    <s v="Si"/>
    <s v="https://ProfCatedra2024.sawtoothsoftware.com/cgi-bin/ciwweb.pl?studyname=ProfCatedra2024&amp;Correo=juan.ramirez1@unisabana.edu.co1"/>
    <s v="PREGRADO"/>
    <n v="3"/>
    <x v="2"/>
  </r>
  <r>
    <s v="juan.ulloa1@unisabana.edu.co1"/>
    <x v="14"/>
    <s v="CATEDRA"/>
    <s v="Si"/>
    <s v="https://ProfCatedra2024.sawtoothsoftware.com/cgi-bin/ciwweb.pl?studyname=ProfCatedra2024&amp;Correo=juan.ulloa1@unisabana.edu.co1"/>
    <s v="PREGRADO"/>
    <n v="2"/>
    <x v="4"/>
  </r>
  <r>
    <s v="juanenco@unisabana.edu.co1"/>
    <x v="17"/>
    <s v="CATEDRA"/>
    <s v="Si"/>
    <s v="https://ProfCatedra2024.sawtoothsoftware.com/cgi-bin/ciwweb.pl?studyname=ProfCatedra2024&amp;Correo=juanenco@unisabana.edu.co1"/>
    <s v="PREGRADO"/>
    <n v="13"/>
    <x v="8"/>
  </r>
  <r>
    <s v="juanita.macias@unisabana.edu.co1"/>
    <x v="13"/>
    <s v="CATEDRA"/>
    <s v="Si"/>
    <s v="https://ProfCatedra2024.sawtoothsoftware.com/cgi-bin/ciwweb.pl?studyname=ProfCatedra2024&amp;Correo=juanita.macias@unisabana.edu.co1"/>
    <s v="PREGRADO"/>
    <n v="2"/>
    <x v="4"/>
  </r>
  <r>
    <s v="juanmordi@unisabana.edu.co1"/>
    <x v="3"/>
    <s v="CATEDRA"/>
    <s v="Si"/>
    <s v="https://ProfCatedra2024.sawtoothsoftware.com/cgi-bin/ciwweb.pl?studyname=ProfCatedra2024&amp;Correo=juanmordi@unisabana.edu.co1"/>
    <s v="PREGRADO"/>
    <n v="8"/>
    <x v="0"/>
  </r>
  <r>
    <s v="julia.diaz@unisabana.edu.co1"/>
    <x v="30"/>
    <s v="CATEDRA"/>
    <s v="No"/>
    <s v="https://ProfCatedra2024.sawtoothsoftware.com/cgi-bin/ciwweb.pl?studyname=ProfCatedra2024&amp;Correo=julia.diaz@unisabana.edu.co1"/>
    <s v="PREGRADO"/>
    <n v="2"/>
    <x v="4"/>
  </r>
  <r>
    <s v="julian.bohorquez@unisabana.edu.co1"/>
    <x v="2"/>
    <s v="CATEDRA"/>
    <s v="Si"/>
    <s v="https://ProfCatedra2024.sawtoothsoftware.com/cgi-bin/ciwweb.pl?studyname=ProfCatedra2024&amp;Correo=julian.bohorquez@unisabana.edu.co1"/>
    <s v="PREGRADO"/>
    <n v="3"/>
    <x v="2"/>
  </r>
  <r>
    <s v="julian.obando@unisabana.edu.co1"/>
    <x v="4"/>
    <s v="CATEDRA"/>
    <s v="Si"/>
    <s v="https://ProfCatedra2024.sawtoothsoftware.com/cgi-bin/ciwweb.pl?studyname=ProfCatedra2024&amp;Correo=julian.obando@unisabana.edu.co1"/>
    <s v="PREGRADO"/>
    <n v="8"/>
    <x v="0"/>
  </r>
  <r>
    <s v="julian.urrea1@unisabana.edu.co1"/>
    <x v="10"/>
    <s v="CATEDRA"/>
    <s v="Si"/>
    <s v="https://ProfCatedra2024.sawtoothsoftware.com/cgi-bin/ciwweb.pl?studyname=ProfCatedra2024&amp;Correo=julian.urrea1@unisabana.edu.co1"/>
    <s v="PREGRADO"/>
    <n v="3"/>
    <x v="2"/>
  </r>
  <r>
    <s v="julianavete@unisabana.edu.co1"/>
    <x v="3"/>
    <s v="CATEDRA"/>
    <s v="No"/>
    <s v="https://ProfCatedra2024.sawtoothsoftware.com/cgi-bin/ciwweb.pl?studyname=ProfCatedra2024&amp;Correo=julianavete@unisabana.edu.co1"/>
    <s v="PREGRADO"/>
    <n v="8"/>
    <x v="0"/>
  </r>
  <r>
    <s v="julieth.prieto1@unisabana.edu.co1"/>
    <x v="9"/>
    <s v="CATEDRA"/>
    <s v="Si"/>
    <s v="https://ProfCatedra2024.sawtoothsoftware.com/cgi-bin/ciwweb.pl?studyname=ProfCatedra2024&amp;Correo=julieth.prieto1@unisabana.edu.co1"/>
    <s v="PREGRADO"/>
    <n v="2"/>
    <x v="4"/>
  </r>
  <r>
    <s v="ka.lee@unisabana.edu.co1"/>
    <x v="5"/>
    <s v="CATEDRA"/>
    <s v="No"/>
    <s v="https://ProfCatedra2024.sawtoothsoftware.com/cgi-bin/ciwweb.pl?studyname=ProfCatedra2024&amp;Correo=ka.lee@unisabana.edu.co1"/>
    <s v="PREGRADO"/>
    <n v="15"/>
    <x v="3"/>
  </r>
  <r>
    <s v="katherine.bauer1@unisabana.edu.co1"/>
    <x v="3"/>
    <s v="CATEDRA"/>
    <s v="Si"/>
    <s v="https://ProfCatedra2024.sawtoothsoftware.com/cgi-bin/ciwweb.pl?studyname=ProfCatedra2024&amp;Correo=katherine.bauer1@unisabana.edu.co1"/>
    <s v="PREGRADO"/>
    <n v="8"/>
    <x v="0"/>
  </r>
  <r>
    <s v="laura.avila3@unisabana.edu.co1"/>
    <x v="9"/>
    <s v="CATEDRA"/>
    <s v="No"/>
    <s v="https://ProfCatedra2024.sawtoothsoftware.com/cgi-bin/ciwweb.pl?studyname=ProfCatedra2024&amp;Correo=laura.avila3@unisabana.edu.co1"/>
    <s v="PREGRADO"/>
    <n v="2"/>
    <x v="4"/>
  </r>
  <r>
    <s v="laura.mena1@unisabana.edu.co1"/>
    <x v="27"/>
    <s v="CATEDRA"/>
    <s v="Si"/>
    <s v="https://ProfCatedra2024.sawtoothsoftware.com/cgi-bin/ciwweb.pl?studyname=ProfCatedra2024&amp;Correo=laura.mena1@unisabana.edu.co1"/>
    <s v="PREGRADO"/>
    <n v="16"/>
    <x v="11"/>
  </r>
  <r>
    <s v="laura.vanegas@unisabana.edu.co1"/>
    <x v="9"/>
    <s v="CATEDRA"/>
    <s v="No"/>
    <s v="https://ProfCatedra2024.sawtoothsoftware.com/cgi-bin/ciwweb.pl?studyname=ProfCatedra2024&amp;Correo=laura.vanegas@unisabana.edu.co1"/>
    <s v="PREGRADO"/>
    <n v="2"/>
    <x v="4"/>
  </r>
  <r>
    <s v="lauraramro@unisabana.edu.co1"/>
    <x v="11"/>
    <s v="CATEDRA"/>
    <s v="Si"/>
    <s v="https://ProfCatedra2024.sawtoothsoftware.com/cgi-bin/ciwweb.pl?studyname=ProfCatedra2024&amp;Correo=lauraramro@unisabana.edu.co1"/>
    <s v="PREGRADO"/>
    <n v="8"/>
    <x v="0"/>
  </r>
  <r>
    <s v="leidy.contreras@unisabana.edu.co1"/>
    <x v="5"/>
    <s v="CATEDRA"/>
    <s v="Si"/>
    <s v="https://ProfCatedra2024.sawtoothsoftware.com/cgi-bin/ciwweb.pl?studyname=ProfCatedra2024&amp;Correo=leidy.contreras@unisabana.edu.co1"/>
    <s v="PREGRADO"/>
    <n v="15"/>
    <x v="3"/>
  </r>
  <r>
    <s v="leidy.gomez1@unisabana.edu.co1"/>
    <x v="5"/>
    <s v="CATEDRA"/>
    <s v="Si"/>
    <s v="https://ProfCatedra2024.sawtoothsoftware.com/cgi-bin/ciwweb.pl?studyname=ProfCatedra2024&amp;Correo=leidy.gomez1@unisabana.edu.co1"/>
    <s v="PREGRADO"/>
    <n v="15"/>
    <x v="3"/>
  </r>
  <r>
    <s v="leonardo.ariza@unisabana.edu.co1"/>
    <x v="24"/>
    <s v="CATEDRA"/>
    <s v="Si"/>
    <s v="https://ProfCatedra2024.sawtoothsoftware.com/cgi-bin/ciwweb.pl?studyname=ProfCatedra2024&amp;Correo=leonardo.ariza@unisabana.edu.co1"/>
    <s v="PREGRADO"/>
    <n v="6"/>
    <x v="9"/>
  </r>
  <r>
    <s v="leonardo.moya@unisabana.edu.co1"/>
    <x v="5"/>
    <s v="CATEDRA"/>
    <s v="Si"/>
    <s v="https://ProfCatedra2024.sawtoothsoftware.com/cgi-bin/ciwweb.pl?studyname=ProfCatedra2024&amp;Correo=leonardo.moya@unisabana.edu.co1"/>
    <s v="PREGRADO"/>
    <n v="15"/>
    <x v="3"/>
  </r>
  <r>
    <s v="leslie.aguirre@unisabana.edu.co1"/>
    <x v="11"/>
    <s v="CATEDRA"/>
    <s v="No"/>
    <s v="https://ProfCatedra2024.sawtoothsoftware.com/cgi-bin/ciwweb.pl?studyname=ProfCatedra2024&amp;Correo=leslie.aguirre@unisabana.edu.co1"/>
    <s v="PREGRADO"/>
    <n v="8"/>
    <x v="0"/>
  </r>
  <r>
    <s v="leslie.hernandez1@unisabana.edu.co1"/>
    <x v="21"/>
    <s v="CATEDRA"/>
    <s v="Si"/>
    <s v="https://ProfCatedra2024.sawtoothsoftware.com/cgi-bin/ciwweb.pl?studyname=ProfCatedra2024&amp;Correo=leslie.hernandez1@unisabana.edu.co1"/>
    <s v="PREGRADO"/>
    <n v="8"/>
    <x v="0"/>
  </r>
  <r>
    <s v="lida.isaza@unisabana.edu.co1"/>
    <x v="16"/>
    <s v="CATEDRA"/>
    <s v="Si"/>
    <s v="https://ProfCatedra2024.sawtoothsoftware.com/cgi-bin/ciwweb.pl?studyname=ProfCatedra2024&amp;Correo=lida.isaza@unisabana.edu.co1"/>
    <s v="PREGRADO"/>
    <n v="5"/>
    <x v="1"/>
  </r>
  <r>
    <s v="ligia.arevalo@unisabana.edu.co1"/>
    <x v="1"/>
    <s v="CATEDRA"/>
    <s v="Si"/>
    <s v="https://ProfCatedra2024.sawtoothsoftware.com/cgi-bin/ciwweb.pl?studyname=ProfCatedra2024&amp;Correo=ligia.arevalo@unisabana.edu.co1"/>
    <s v="PREGRADO"/>
    <n v="5"/>
    <x v="1"/>
  </r>
  <r>
    <s v="liliana.amaya@unisabana.edu.co1"/>
    <x v="11"/>
    <s v="CATEDRA"/>
    <s v="Si"/>
    <s v="https://ProfCatedra2024.sawtoothsoftware.com/cgi-bin/ciwweb.pl?studyname=ProfCatedra2024&amp;Correo=liliana.amaya@unisabana.edu.co1"/>
    <s v="PREGRADO"/>
    <n v="8"/>
    <x v="0"/>
  </r>
  <r>
    <s v="liliana.rojas@unisabana.edu.co1"/>
    <x v="21"/>
    <s v="CATEDRA"/>
    <s v="Si"/>
    <s v="https://ProfCatedra2024.sawtoothsoftware.com/cgi-bin/ciwweb.pl?studyname=ProfCatedra2024&amp;Correo=liliana.rojas@unisabana.edu.co1"/>
    <s v="PREGRADO"/>
    <n v="8"/>
    <x v="0"/>
  </r>
  <r>
    <s v="Lilianapo@unisabana.edu.co1"/>
    <x v="12"/>
    <s v="CATEDRA"/>
    <s v="Si"/>
    <s v="https://ProfCatedra2024.sawtoothsoftware.com/cgi-bin/ciwweb.pl?studyname=ProfCatedra2024&amp;Correo=Lilianapo@unisabana.edu.co1"/>
    <s v="PREGRADO"/>
    <n v="9"/>
    <x v="6"/>
  </r>
  <r>
    <s v="lina.gomez5@unisabana.edu.co1"/>
    <x v="4"/>
    <s v="CATEDRA"/>
    <s v="No"/>
    <s v="https://ProfCatedra2024.sawtoothsoftware.com/cgi-bin/ciwweb.pl?studyname=ProfCatedra2024&amp;Correo=lina.gomez5@unisabana.edu.co1"/>
    <s v="PREGRADO"/>
    <n v="8"/>
    <x v="0"/>
  </r>
  <r>
    <s v="lina.guio1@unisabana.edu.co1"/>
    <x v="11"/>
    <s v="CATEDRA"/>
    <s v="Si"/>
    <s v="https://ProfCatedra2024.sawtoothsoftware.com/cgi-bin/ciwweb.pl?studyname=ProfCatedra2024&amp;Correo=lina.guio1@unisabana.edu.co1"/>
    <s v="PREGRADO"/>
    <n v="8"/>
    <x v="0"/>
  </r>
  <r>
    <s v="lina.ramirez1@unisabana.edu.co1"/>
    <x v="9"/>
    <s v="CATEDRA"/>
    <s v="Si"/>
    <s v="https://ProfCatedra2024.sawtoothsoftware.com/cgi-bin/ciwweb.pl?studyname=ProfCatedra2024&amp;Correo=lina.ramirez1@unisabana.edu.co1"/>
    <s v="PREGRADO"/>
    <n v="2"/>
    <x v="4"/>
  </r>
  <r>
    <s v="lina.rojas4@unisabana.edu.co1"/>
    <x v="5"/>
    <s v="CATEDRA"/>
    <s v="Si"/>
    <s v="https://ProfCatedra2024.sawtoothsoftware.com/cgi-bin/ciwweb.pl?studyname=ProfCatedra2024&amp;Correo=lina.rojas4@unisabana.edu.co1"/>
    <s v="PREGRADO"/>
    <n v="15"/>
    <x v="3"/>
  </r>
  <r>
    <s v="lina.tellez@unisabana.edu.co1"/>
    <x v="23"/>
    <s v="CATEDRA"/>
    <s v="Si"/>
    <s v="https://ProfCatedra2024.sawtoothsoftware.com/cgi-bin/ciwweb.pl?studyname=ProfCatedra2024&amp;Correo=lina.tellez@unisabana.edu.co1"/>
    <s v="PREGRADO"/>
    <n v="2"/>
    <x v="4"/>
  </r>
  <r>
    <s v="lina.virviescas@unisabana.edu.co1"/>
    <x v="16"/>
    <s v="CATEDRA"/>
    <s v="Si"/>
    <s v="https://ProfCatedra2024.sawtoothsoftware.com/cgi-bin/ciwweb.pl?studyname=ProfCatedra2024&amp;Correo=lina.virviescas@unisabana.edu.co1"/>
    <s v="PREGRADO"/>
    <n v="5"/>
    <x v="1"/>
  </r>
  <r>
    <s v="lindamarto@unisabana.edu.co1"/>
    <x v="10"/>
    <s v="CATEDRA"/>
    <s v="Si"/>
    <s v="https://ProfCatedra2024.sawtoothsoftware.com/cgi-bin/ciwweb.pl?studyname=ProfCatedra2024&amp;Correo=lindamarto@unisabana.edu.co1"/>
    <s v="PREGRADO"/>
    <n v="3"/>
    <x v="2"/>
  </r>
  <r>
    <s v="lisethesvi@unisabana.edu.co1"/>
    <x v="6"/>
    <s v="CATEDRA"/>
    <s v="Si"/>
    <s v="https://ProfCatedra2024.sawtoothsoftware.com/cgi-bin/ciwweb.pl?studyname=ProfCatedra2024&amp;Correo=lisethesvi@unisabana.edu.co1"/>
    <s v="PREGRADO"/>
    <n v="2"/>
    <x v="4"/>
  </r>
  <r>
    <s v="luis.barrientos@unisabana.edu.co1"/>
    <x v="14"/>
    <s v="CATEDRA"/>
    <s v="No"/>
    <s v="https://ProfCatedra2024.sawtoothsoftware.com/cgi-bin/ciwweb.pl?studyname=ProfCatedra2024&amp;Correo=luis.barrientos@unisabana.edu.co1"/>
    <s v="PREGRADO"/>
    <n v="2"/>
    <x v="4"/>
  </r>
  <r>
    <s v="luis.caballero@unisabana.edu.co1"/>
    <x v="21"/>
    <s v="CATEDRA"/>
    <s v="Si"/>
    <s v="https://ProfCatedra2024.sawtoothsoftware.com/cgi-bin/ciwweb.pl?studyname=ProfCatedra2024&amp;Correo=luis.caballero@unisabana.edu.co1"/>
    <s v="PREGRADO"/>
    <n v="8"/>
    <x v="0"/>
  </r>
  <r>
    <s v="luis.camacho@unisabana.edu.co1"/>
    <x v="18"/>
    <s v="CATEDRA"/>
    <s v="Si"/>
    <s v="https://ProfCatedra2024.sawtoothsoftware.com/cgi-bin/ciwweb.pl?studyname=ProfCatedra2024&amp;Correo=luis.camacho@unisabana.edu.co1"/>
    <s v="PREGRADO"/>
    <n v="2"/>
    <x v="4"/>
  </r>
  <r>
    <s v="luis.contreras1@unisabana.edu.co1"/>
    <x v="3"/>
    <s v="CATEDRA"/>
    <s v="No"/>
    <s v="https://ProfCatedra2024.sawtoothsoftware.com/cgi-bin/ciwweb.pl?studyname=ProfCatedra2024&amp;Correo=luis.contreras1@unisabana.edu.co1"/>
    <s v="PREGRADO"/>
    <n v="8"/>
    <x v="0"/>
  </r>
  <r>
    <s v="luis.garcia1@unisabana.edu.co1"/>
    <x v="20"/>
    <s v="CATEDRA"/>
    <s v="No"/>
    <s v="https://ProfCatedra2024.sawtoothsoftware.com/cgi-bin/ciwweb.pl?studyname=ProfCatedra2024&amp;Correo=luis.garcia1@unisabana.edu.co1"/>
    <s v="PREGRADO"/>
    <n v="8"/>
    <x v="0"/>
  </r>
  <r>
    <s v="luis.gomez@unisabana.edu.co1"/>
    <x v="8"/>
    <s v="CATEDRA"/>
    <s v="Si"/>
    <s v="https://ProfCatedra2024.sawtoothsoftware.com/cgi-bin/ciwweb.pl?studyname=ProfCatedra2024&amp;Correo=luis.gomez@unisabana.edu.co1"/>
    <s v="PREGRADO"/>
    <n v="4"/>
    <x v="5"/>
  </r>
  <r>
    <s v="luis.gutierrez3@unisabana.edu.co1"/>
    <x v="29"/>
    <s v="CATEDRA"/>
    <s v="Si"/>
    <s v="https://ProfCatedra2024.sawtoothsoftware.com/cgi-bin/ciwweb.pl?studyname=ProfCatedra2024&amp;Correo=luis.gutierrez3@unisabana.edu.co1"/>
    <s v="PREGRADO"/>
    <n v="2"/>
    <x v="4"/>
  </r>
  <r>
    <s v="luis.jaimes@unisabana.edu.co1"/>
    <x v="0"/>
    <s v="CATEDRA"/>
    <s v="Si"/>
    <s v="https://ProfCatedra2024.sawtoothsoftware.com/cgi-bin/ciwweb.pl?studyname=ProfCatedra2024&amp;Correo=luis.jaimes@unisabana.edu.co1"/>
    <s v="PREGRADO"/>
    <n v="8"/>
    <x v="0"/>
  </r>
  <r>
    <s v="luis.lopez8@unisabana.edu.co1"/>
    <x v="30"/>
    <s v="CATEDRA"/>
    <s v="No"/>
    <s v="https://ProfCatedra2024.sawtoothsoftware.com/cgi-bin/ciwweb.pl?studyname=ProfCatedra2024&amp;Correo=luis.lopez8@unisabana.edu.co1"/>
    <s v="PREGRADO"/>
    <n v="2"/>
    <x v="4"/>
  </r>
  <r>
    <s v="luis.ordonez1@unisabana.edu.co1"/>
    <x v="2"/>
    <s v="CATEDRA"/>
    <s v="No"/>
    <s v="https://ProfCatedra2024.sawtoothsoftware.com/cgi-bin/ciwweb.pl?studyname=ProfCatedra2024&amp;Correo=luis.ordonez1@unisabana.edu.co1"/>
    <s v="PREGRADO"/>
    <n v="3"/>
    <x v="2"/>
  </r>
  <r>
    <s v="luis.rodriguez2@unisabana.edu.co1"/>
    <x v="30"/>
    <s v="CATEDRA"/>
    <s v="No"/>
    <s v="https://ProfCatedra2024.sawtoothsoftware.com/cgi-bin/ciwweb.pl?studyname=ProfCatedra2024&amp;Correo=luis.rodriguez2@unisabana.edu.co1"/>
    <s v="PREGRADO"/>
    <n v="2"/>
    <x v="4"/>
  </r>
  <r>
    <s v="luis.uribe@unisabana.edu.co1"/>
    <x v="4"/>
    <s v="CATEDRA"/>
    <s v="No"/>
    <s v="https://ProfCatedra2024.sawtoothsoftware.com/cgi-bin/ciwweb.pl?studyname=ProfCatedra2024&amp;Correo=luis.uribe@unisabana.edu.co1"/>
    <s v="PREGRADO"/>
    <n v="8"/>
    <x v="0"/>
  </r>
  <r>
    <s v="luis_parra02@hotmail.com"/>
    <x v="4"/>
    <s v="CATEDRA"/>
    <s v="No"/>
    <s v="https://ProfCatedra2024.sawtoothsoftware.com/cgi-bin/ciwweb.pl?studyname=ProfCatedra2024&amp;Correo=luis_parra02@hotmail.com"/>
    <s v="PREGRADO"/>
    <n v="8"/>
    <x v="0"/>
  </r>
  <r>
    <s v="luisa.cuellar1@unisabana.edu.co1"/>
    <x v="23"/>
    <s v="CATEDRA"/>
    <s v="Si"/>
    <s v="https://ProfCatedra2024.sawtoothsoftware.com/cgi-bin/ciwweb.pl?studyname=ProfCatedra2024&amp;Correo=luisa.cuellar1@unisabana.edu.co1"/>
    <s v="PREGRADO"/>
    <n v="2"/>
    <x v="4"/>
  </r>
  <r>
    <s v="luisa.garcia1@unisabana.edu.co1"/>
    <x v="6"/>
    <s v="CATEDRA"/>
    <s v="Si"/>
    <s v="https://ProfCatedra2024.sawtoothsoftware.com/cgi-bin/ciwweb.pl?studyname=ProfCatedra2024&amp;Correo=luisa.garcia1@unisabana.edu.co1"/>
    <s v="PREGRADO"/>
    <n v="2"/>
    <x v="4"/>
  </r>
  <r>
    <s v="luisangro@unisabana.edu.co1"/>
    <x v="2"/>
    <s v="CATEDRA"/>
    <s v="No"/>
    <s v="https://ProfCatedra2024.sawtoothsoftware.com/cgi-bin/ciwweb.pl?studyname=ProfCatedra2024&amp;Correo=luisangro@unisabana.edu.co1"/>
    <s v="PREGRADO"/>
    <n v="3"/>
    <x v="2"/>
  </r>
  <r>
    <s v="LuisSV@unisabana.edu.co1"/>
    <x v="15"/>
    <s v="CATEDRA"/>
    <s v="Si"/>
    <s v="https://ProfCatedra2024.sawtoothsoftware.com/cgi-bin/ciwweb.pl?studyname=ProfCatedra2024&amp;Correo=LuisSV@unisabana.edu.co1"/>
    <s v="PREGRADO"/>
    <n v="1"/>
    <x v="7"/>
  </r>
  <r>
    <s v="luz.diaz2@unisabana.edu.co1"/>
    <x v="11"/>
    <s v="CATEDRA"/>
    <s v="Si"/>
    <s v="https://ProfCatedra2024.sawtoothsoftware.com/cgi-bin/ciwweb.pl?studyname=ProfCatedra2024&amp;Correo=luz.diaz2@unisabana.edu.co1"/>
    <s v="PREGRADO"/>
    <n v="8"/>
    <x v="0"/>
  </r>
  <r>
    <s v="luz.dueri@unisabana.edu.co1"/>
    <x v="6"/>
    <s v="CATEDRA"/>
    <s v="No"/>
    <s v="https://ProfCatedra2024.sawtoothsoftware.com/cgi-bin/ciwweb.pl?studyname=ProfCatedra2024&amp;Correo=luz.dueri@unisabana.edu.co1"/>
    <s v="PREGRADO"/>
    <n v="2"/>
    <x v="4"/>
  </r>
  <r>
    <s v="maira.ortegon@unisabana.edu.co1"/>
    <x v="15"/>
    <s v="CATEDRA"/>
    <s v="No"/>
    <s v="https://ProfCatedra2024.sawtoothsoftware.com/cgi-bin/ciwweb.pl?studyname=ProfCatedra2024&amp;Correo=maira.ortegon@unisabana.edu.co1"/>
    <s v="PREGRADO"/>
    <n v="1"/>
    <x v="7"/>
  </r>
  <r>
    <s v="manuel.plazas@unisabana.edu.co1"/>
    <x v="8"/>
    <s v="CATEDRA"/>
    <s v="Si"/>
    <s v="https://ProfCatedra2024.sawtoothsoftware.com/cgi-bin/ciwweb.pl?studyname=ProfCatedra2024&amp;Correo=manuel.plazas@unisabana.edu.co1"/>
    <s v="PREGRADO"/>
    <n v="4"/>
    <x v="5"/>
  </r>
  <r>
    <s v="manuel.prada3@unisabana.edu.co1"/>
    <x v="12"/>
    <s v="CATEDRA"/>
    <s v="Si"/>
    <s v="https://ProfCatedra2024.sawtoothsoftware.com/cgi-bin/ciwweb.pl?studyname=ProfCatedra2024&amp;Correo=manuel.prada3@unisabana.edu.co1"/>
    <s v="PREGRADO"/>
    <n v="9"/>
    <x v="6"/>
  </r>
  <r>
    <s v="manuel.rodriguez3@unisabana.edu.co1"/>
    <x v="10"/>
    <s v="CATEDRA"/>
    <s v="Si"/>
    <s v="https://ProfCatedra2024.sawtoothsoftware.com/cgi-bin/ciwweb.pl?studyname=ProfCatedra2024&amp;Correo=manuel.rodriguez3@unisabana.edu.co1"/>
    <s v="PREGRADO"/>
    <n v="3"/>
    <x v="2"/>
  </r>
  <r>
    <s v="ManuelHG@unisabana.edu.co1"/>
    <x v="6"/>
    <s v="CATEDRA"/>
    <s v="Si"/>
    <s v="https://ProfCatedra2024.sawtoothsoftware.com/cgi-bin/ciwweb.pl?studyname=ProfCatedra2024&amp;Correo=ManuelHG@unisabana.edu.co1"/>
    <s v="PREGRADO"/>
    <n v="2"/>
    <x v="4"/>
  </r>
  <r>
    <s v="manuelnuto@unisabana.edu.co1"/>
    <x v="6"/>
    <s v="CATEDRA"/>
    <s v="Si"/>
    <s v="https://ProfCatedra2024.sawtoothsoftware.com/cgi-bin/ciwweb.pl?studyname=ProfCatedra2024&amp;Correo=manuelnuto@unisabana.edu.co1"/>
    <s v="PREGRADO"/>
    <n v="2"/>
    <x v="4"/>
  </r>
  <r>
    <s v="marcela.chavez@unisabana.edu.co1"/>
    <x v="7"/>
    <s v="CATEDRA"/>
    <s v="Si"/>
    <s v="https://ProfCatedra2024.sawtoothsoftware.com/cgi-bin/ciwweb.pl?studyname=ProfCatedra2024&amp;Correo=marcela.chavez@unisabana.edu.co1"/>
    <s v="PREGRADO"/>
    <n v="2"/>
    <x v="4"/>
  </r>
  <r>
    <s v="marcia.costa@unisabana.edu.co1"/>
    <x v="5"/>
    <s v="CATEDRA"/>
    <s v="Si"/>
    <s v="https://ProfCatedra2024.sawtoothsoftware.com/cgi-bin/ciwweb.pl?studyname=ProfCatedra2024&amp;Correo=marcia.costa@unisabana.edu.co1"/>
    <s v="PREGRADO"/>
    <n v="15"/>
    <x v="3"/>
  </r>
  <r>
    <s v="marco.correa@unisabana.edu.co1"/>
    <x v="9"/>
    <s v="CATEDRA"/>
    <s v="Si"/>
    <s v="https://ProfCatedra2024.sawtoothsoftware.com/cgi-bin/ciwweb.pl?studyname=ProfCatedra2024&amp;Correo=marco.correa@unisabana.edu.co1"/>
    <s v="PREGRADO"/>
    <n v="2"/>
    <x v="4"/>
  </r>
  <r>
    <s v="margarita.cadavid@unisabana.edu.co1"/>
    <x v="26"/>
    <s v="CATEDRA"/>
    <s v="Si"/>
    <s v="https://ProfCatedra2024.sawtoothsoftware.com/cgi-bin/ciwweb.pl?studyname=ProfCatedra2024&amp;Correo=margarita.cadavid@unisabana.edu.co1"/>
    <s v="PREGRADO"/>
    <n v="4"/>
    <x v="5"/>
  </r>
  <r>
    <s v="MargaritaAD@unisabana.edu.co1"/>
    <x v="5"/>
    <s v="CATEDRA"/>
    <s v="Si"/>
    <s v="https://ProfCatedra2024.sawtoothsoftware.com/cgi-bin/ciwweb.pl?studyname=ProfCatedra2024&amp;Correo=MargaritaAD@unisabana.edu.co1"/>
    <s v="PREGRADO"/>
    <n v="15"/>
    <x v="3"/>
  </r>
  <r>
    <s v="maria.barrera4@unisabana.edu.co1"/>
    <x v="10"/>
    <s v="CATEDRA"/>
    <s v="Si"/>
    <s v="https://ProfCatedra2024.sawtoothsoftware.com/cgi-bin/ciwweb.pl?studyname=ProfCatedra2024&amp;Correo=maria.barrera4@unisabana.edu.co1"/>
    <s v="PREGRADO"/>
    <n v="3"/>
    <x v="2"/>
  </r>
  <r>
    <s v="maria.bernal1@unisabana.edu.co1"/>
    <x v="12"/>
    <s v="CATEDRA"/>
    <s v="Si"/>
    <s v="https://ProfCatedra2024.sawtoothsoftware.com/cgi-bin/ciwweb.pl?studyname=ProfCatedra2024&amp;Correo=maria.bernal1@unisabana.edu.co1"/>
    <s v="PREGRADO"/>
    <n v="9"/>
    <x v="6"/>
  </r>
  <r>
    <s v="maria.castillo2@unisabana.edu.co1"/>
    <x v="13"/>
    <s v="CATEDRA"/>
    <s v="Si"/>
    <s v="https://ProfCatedra2024.sawtoothsoftware.com/cgi-bin/ciwweb.pl?studyname=ProfCatedra2024&amp;Correo=maria.castillo2@unisabana.edu.co1"/>
    <s v="PREGRADO"/>
    <n v="2"/>
    <x v="4"/>
  </r>
  <r>
    <s v="maria.diaz11@unisabana.edu.co1"/>
    <x v="17"/>
    <s v="CATEDRA"/>
    <s v="Si"/>
    <s v="https://ProfCatedra2024.sawtoothsoftware.com/cgi-bin/ciwweb.pl?studyname=ProfCatedra2024&amp;Correo=maria.diaz11@unisabana.edu.co1"/>
    <s v="PREGRADO"/>
    <n v="13"/>
    <x v="8"/>
  </r>
  <r>
    <s v="maria.escobar2@unisabana.edu.co1"/>
    <x v="3"/>
    <s v="CATEDRA"/>
    <s v="Si"/>
    <s v="https://ProfCatedra2024.sawtoothsoftware.com/cgi-bin/ciwweb.pl?studyname=ProfCatedra2024&amp;Correo=maria.escobar2@unisabana.edu.co1"/>
    <s v="PREGRADO"/>
    <n v="8"/>
    <x v="0"/>
  </r>
  <r>
    <s v="maria.fernandez1@unisabana.edu.co1"/>
    <x v="5"/>
    <s v="CATEDRA"/>
    <s v="Si"/>
    <s v="https://ProfCatedra2024.sawtoothsoftware.com/cgi-bin/ciwweb.pl?studyname=ProfCatedra2024&amp;Correo=maria.fernandez1@unisabana.edu.co1"/>
    <s v="PREGRADO"/>
    <n v="15"/>
    <x v="3"/>
  </r>
  <r>
    <s v="maria.fino@unisabana.edu.co1"/>
    <x v="12"/>
    <s v="CATEDRA"/>
    <s v="Si"/>
    <s v="https://ProfCatedra2024.sawtoothsoftware.com/cgi-bin/ciwweb.pl?studyname=ProfCatedra2024&amp;Correo=maria.fino@unisabana.edu.co1"/>
    <s v="PREGRADO"/>
    <n v="9"/>
    <x v="6"/>
  </r>
  <r>
    <s v="MARIA.GRANADOS1@UNISABANA.EDU.CO1"/>
    <x v="12"/>
    <s v="CATEDRA"/>
    <s v="No"/>
    <s v="https://ProfCatedra2024.sawtoothsoftware.com/cgi-bin/ciwweb.pl?studyname=ProfCatedra2024&amp;Correo=MARIA.GRANADOS1@UNISABANA.EDU.CO1"/>
    <s v="PREGRADO"/>
    <n v="9"/>
    <x v="6"/>
  </r>
  <r>
    <s v="maria.guerrero2@unisabana.edu.co1"/>
    <x v="13"/>
    <s v="CATEDRA"/>
    <s v="Si"/>
    <s v="https://ProfCatedra2024.sawtoothsoftware.com/cgi-bin/ciwweb.pl?studyname=ProfCatedra2024&amp;Correo=maria.guerrero2@unisabana.edu.co1"/>
    <s v="PREGRADO"/>
    <n v="2"/>
    <x v="4"/>
  </r>
  <r>
    <s v="maria.hernandez8@unisabana.edu.co1"/>
    <x v="19"/>
    <s v="CATEDRA"/>
    <s v="Si"/>
    <s v="https://ProfCatedra2024.sawtoothsoftware.com/cgi-bin/ciwweb.pl?studyname=ProfCatedra2024&amp;Correo=maria.hernandez8@unisabana.edu.co1"/>
    <s v="PREGRADO"/>
    <n v="3"/>
    <x v="2"/>
  </r>
  <r>
    <s v="maria.jaramillo12@unisabana.edu.co1"/>
    <x v="6"/>
    <s v="CATEDRA"/>
    <s v="Si"/>
    <s v="https://ProfCatedra2024.sawtoothsoftware.com/cgi-bin/ciwweb.pl?studyname=ProfCatedra2024&amp;Correo=maria.jaramillo12@unisabana.edu.co1"/>
    <s v="PREGRADO"/>
    <n v="2"/>
    <x v="4"/>
  </r>
  <r>
    <s v="maria.leon@unisabana.edu.co1"/>
    <x v="17"/>
    <s v="CATEDRA"/>
    <s v="Si"/>
    <s v="https://ProfCatedra2024.sawtoothsoftware.com/cgi-bin/ciwweb.pl?studyname=ProfCatedra2024&amp;Correo=maria.leon@unisabana.edu.co1"/>
    <s v="PREGRADO"/>
    <n v="13"/>
    <x v="8"/>
  </r>
  <r>
    <s v="maria.lopez16@unisabana.edu.co1"/>
    <x v="14"/>
    <s v="CATEDRA"/>
    <s v="No"/>
    <s v="https://ProfCatedra2024.sawtoothsoftware.com/cgi-bin/ciwweb.pl?studyname=ProfCatedra2024&amp;Correo=maria.lopez16@unisabana.edu.co1"/>
    <s v="PREGRADO"/>
    <n v="2"/>
    <x v="4"/>
  </r>
  <r>
    <s v="maria.mora1@unisabana.edu.co1"/>
    <x v="4"/>
    <s v="CATEDRA"/>
    <s v="No"/>
    <s v="https://ProfCatedra2024.sawtoothsoftware.com/cgi-bin/ciwweb.pl?studyname=ProfCatedra2024&amp;Correo=maria.mora1@unisabana.edu.co1"/>
    <s v="PREGRADO"/>
    <n v="8"/>
    <x v="0"/>
  </r>
  <r>
    <s v="maria.morales10@unisabana.edu.co1"/>
    <x v="3"/>
    <s v="CATEDRA"/>
    <s v="No"/>
    <s v="https://ProfCatedra2024.sawtoothsoftware.com/cgi-bin/ciwweb.pl?studyname=ProfCatedra2024&amp;Correo=maria.morales10@unisabana.edu.co1"/>
    <s v="PREGRADO"/>
    <n v="8"/>
    <x v="0"/>
  </r>
  <r>
    <s v="maria.moreno3@unisabana.edu.co1"/>
    <x v="15"/>
    <s v="CATEDRA"/>
    <s v="Si"/>
    <s v="https://ProfCatedra2024.sawtoothsoftware.com/cgi-bin/ciwweb.pl?studyname=ProfCatedra2024&amp;Correo=maria.moreno3@unisabana.edu.co1"/>
    <s v="PREGRADO"/>
    <n v="1"/>
    <x v="7"/>
  </r>
  <r>
    <s v="maria.obregon@unisabana.edu.co1"/>
    <x v="23"/>
    <s v="CATEDRA"/>
    <s v="Si"/>
    <s v="https://ProfCatedra2024.sawtoothsoftware.com/cgi-bin/ciwweb.pl?studyname=ProfCatedra2024&amp;Correo=maria.obregon@unisabana.edu.co1"/>
    <s v="PREGRADO"/>
    <n v="2"/>
    <x v="4"/>
  </r>
  <r>
    <s v="MARIA.OCAMPO@UNISABANA.EDU.CO1"/>
    <x v="19"/>
    <s v="CATEDRA"/>
    <s v="Si"/>
    <s v="https://ProfCatedra2024.sawtoothsoftware.com/cgi-bin/ciwweb.pl?studyname=ProfCatedra2024&amp;Correo=MARIA.OCAMPO@UNISABANA.EDU.CO1"/>
    <s v="PREGRADO"/>
    <n v="3"/>
    <x v="2"/>
  </r>
  <r>
    <s v="maria.pareles@unisabana.edu.co1"/>
    <x v="10"/>
    <s v="CATEDRA"/>
    <s v="Si"/>
    <s v="https://ProfCatedra2024.sawtoothsoftware.com/cgi-bin/ciwweb.pl?studyname=ProfCatedra2024&amp;Correo=maria.pareles@unisabana.edu.co1"/>
    <s v="PREGRADO"/>
    <n v="3"/>
    <x v="2"/>
  </r>
  <r>
    <s v="maria.quevedo@unisabana.edu.co1"/>
    <x v="4"/>
    <s v="CATEDRA"/>
    <s v="No"/>
    <s v="https://ProfCatedra2024.sawtoothsoftware.com/cgi-bin/ciwweb.pl?studyname=ProfCatedra2024&amp;Correo=maria.quevedo@unisabana.edu.co1"/>
    <s v="PREGRADO"/>
    <n v="8"/>
    <x v="0"/>
  </r>
  <r>
    <s v="maria.restrepo7@unisabana.edu.co1"/>
    <x v="8"/>
    <s v="CATEDRA"/>
    <s v="Si"/>
    <s v="https://ProfCatedra2024.sawtoothsoftware.com/cgi-bin/ciwweb.pl?studyname=ProfCatedra2024&amp;Correo=maria.restrepo7@unisabana.edu.co1"/>
    <s v="PREGRADO"/>
    <n v="4"/>
    <x v="5"/>
  </r>
  <r>
    <s v="maria.serrato@unisabana.edu.co1"/>
    <x v="22"/>
    <s v="CATEDRA"/>
    <s v="Si"/>
    <s v="https://ProfCatedra2024.sawtoothsoftware.com/cgi-bin/ciwweb.pl?studyname=ProfCatedra2024&amp;Correo=maria.serrato@unisabana.edu.co1"/>
    <s v="PREGRADO"/>
    <n v="6"/>
    <x v="9"/>
  </r>
  <r>
    <s v="mariaderom@unisabana.edu.co1"/>
    <x v="3"/>
    <s v="CATEDRA"/>
    <s v="No"/>
    <s v="https://ProfCatedra2024.sawtoothsoftware.com/cgi-bin/ciwweb.pl?studyname=ProfCatedra2024&amp;Correo=mariaderom@unisabana.edu.co1"/>
    <s v="PREGRADO"/>
    <n v="8"/>
    <x v="0"/>
  </r>
  <r>
    <s v="marielys.flores1@unisabana.edu.co1"/>
    <x v="19"/>
    <s v="CATEDRA"/>
    <s v="Si"/>
    <s v="https://ProfCatedra2024.sawtoothsoftware.com/cgi-bin/ciwweb.pl?studyname=ProfCatedra2024&amp;Correo=marielys.flores1@unisabana.edu.co1"/>
    <s v="PREGRADO"/>
    <n v="3"/>
    <x v="2"/>
  </r>
  <r>
    <s v="mario.alvarez2@unisabana.edu.co1"/>
    <x v="14"/>
    <s v="CATEDRA"/>
    <s v="No"/>
    <s v="https://ProfCatedra2024.sawtoothsoftware.com/cgi-bin/ciwweb.pl?studyname=ProfCatedra2024&amp;Correo=mario.alvarez2@unisabana.edu.co1"/>
    <s v="PREGRADO"/>
    <n v="2"/>
    <x v="4"/>
  </r>
  <r>
    <s v="mario.castro1@unisabana.edu.co1"/>
    <x v="10"/>
    <s v="CATEDRA"/>
    <s v="Si"/>
    <s v="https://ProfCatedra2024.sawtoothsoftware.com/cgi-bin/ciwweb.pl?studyname=ProfCatedra2024&amp;Correo=mario.castro1@unisabana.edu.co1"/>
    <s v="PREGRADO"/>
    <n v="3"/>
    <x v="2"/>
  </r>
  <r>
    <s v="mario.manzi@unisabana.edu.co1"/>
    <x v="14"/>
    <s v="CATEDRA"/>
    <s v="No"/>
    <s v="https://ProfCatedra2024.sawtoothsoftware.com/cgi-bin/ciwweb.pl?studyname=ProfCatedra2024&amp;Correo=mario.manzi@unisabana.edu.co1"/>
    <s v="PREGRADO"/>
    <n v="2"/>
    <x v="4"/>
  </r>
  <r>
    <s v="mario.valderrama@unisabana.edu.co1"/>
    <x v="12"/>
    <s v="CATEDRA"/>
    <s v="Si"/>
    <s v="https://ProfCatedra2024.sawtoothsoftware.com/cgi-bin/ciwweb.pl?studyname=ProfCatedra2024&amp;Correo=mario.valderrama@unisabana.edu.co1"/>
    <s v="PREGRADO"/>
    <n v="9"/>
    <x v="6"/>
  </r>
  <r>
    <s v="mariosg@unisabana.edu.co1"/>
    <x v="21"/>
    <s v="CATEDRA"/>
    <s v="Si"/>
    <s v="https://ProfCatedra2024.sawtoothsoftware.com/cgi-bin/ciwweb.pl?studyname=ProfCatedra2024&amp;Correo=mariosg@unisabana.edu.co1"/>
    <s v="PREGRADO"/>
    <n v="8"/>
    <x v="0"/>
  </r>
  <r>
    <s v="marisol.sandoval@unisabana.edu.co1"/>
    <x v="3"/>
    <s v="CATEDRA"/>
    <s v="Si"/>
    <s v="https://ProfCatedra2024.sawtoothsoftware.com/cgi-bin/ciwweb.pl?studyname=ProfCatedra2024&amp;Correo=marisol.sandoval@unisabana.edu.co1"/>
    <s v="PREGRADO"/>
    <n v="8"/>
    <x v="0"/>
  </r>
  <r>
    <s v="marisolescru@unisabana.edu.co1"/>
    <x v="17"/>
    <s v="CATEDRA"/>
    <s v="No"/>
    <s v="https://ProfCatedra2024.sawtoothsoftware.com/cgi-bin/ciwweb.pl?studyname=ProfCatedra2024&amp;Correo=marisolescru@unisabana.edu.co1"/>
    <s v="PREGRADO"/>
    <n v="13"/>
    <x v="8"/>
  </r>
  <r>
    <s v="martha.caicedo1@unisabana.edu.co1"/>
    <x v="23"/>
    <s v="CATEDRA"/>
    <s v="Si"/>
    <s v="https://ProfCatedra2024.sawtoothsoftware.com/cgi-bin/ciwweb.pl?studyname=ProfCatedra2024&amp;Correo=martha.caicedo1@unisabana.edu.co1"/>
    <s v="PREGRADO"/>
    <n v="2"/>
    <x v="4"/>
  </r>
  <r>
    <s v="martha.striedinger@unisabana.edu.co1"/>
    <x v="11"/>
    <s v="CATEDRA"/>
    <s v="Si"/>
    <s v="https://ProfCatedra2024.sawtoothsoftware.com/cgi-bin/ciwweb.pl?studyname=ProfCatedra2024&amp;Correo=martha.striedinger@unisabana.edu.co1"/>
    <s v="PREGRADO"/>
    <n v="8"/>
    <x v="0"/>
  </r>
  <r>
    <s v="martinez.mauricio@unisabana.edu.co1"/>
    <x v="4"/>
    <s v="CATEDRA"/>
    <s v="Si"/>
    <s v="https://ProfCatedra2024.sawtoothsoftware.com/cgi-bin/ciwweb.pl?studyname=ProfCatedra2024&amp;Correo=martinez.mauricio@unisabana.edu.co1"/>
    <s v="PREGRADO"/>
    <n v="8"/>
    <x v="0"/>
  </r>
  <r>
    <s v="mauricio.cuervo@unisabana.edu.co1"/>
    <x v="10"/>
    <s v="CATEDRA"/>
    <s v="Si"/>
    <s v="https://ProfCatedra2024.sawtoothsoftware.com/cgi-bin/ciwweb.pl?studyname=ProfCatedra2024&amp;Correo=mauricio.cuervo@unisabana.edu.co1"/>
    <s v="PREGRADO"/>
    <n v="3"/>
    <x v="2"/>
  </r>
  <r>
    <s v="mauricio.diaz1@unisabana.edu.co1"/>
    <x v="10"/>
    <s v="CATEDRA"/>
    <s v="Si"/>
    <s v="https://ProfCatedra2024.sawtoothsoftware.com/cgi-bin/ciwweb.pl?studyname=ProfCatedra2024&amp;Correo=mauricio.diaz1@unisabana.edu.co1"/>
    <s v="PREGRADO"/>
    <n v="3"/>
    <x v="2"/>
  </r>
  <r>
    <s v="mauricio.gomez3@unisabana.edu.co1"/>
    <x v="12"/>
    <s v="CATEDRA"/>
    <s v="Si"/>
    <s v="https://ProfCatedra2024.sawtoothsoftware.com/cgi-bin/ciwweb.pl?studyname=ProfCatedra2024&amp;Correo=mauricio.gomez3@unisabana.edu.co1"/>
    <s v="PREGRADO"/>
    <n v="9"/>
    <x v="6"/>
  </r>
  <r>
    <s v="mauricio.montes@unisabana.edu.co1"/>
    <x v="10"/>
    <s v="CATEDRA"/>
    <s v="Si"/>
    <s v="https://ProfCatedra2024.sawtoothsoftware.com/cgi-bin/ciwweb.pl?studyname=ProfCatedra2024&amp;Correo=mauricio.montes@unisabana.edu.co1"/>
    <s v="PREGRADO"/>
    <n v="3"/>
    <x v="2"/>
  </r>
  <r>
    <s v="mauricio.romero1@unisabana.edu.co1"/>
    <x v="2"/>
    <s v="CATEDRA"/>
    <s v="Si"/>
    <s v="https://ProfCatedra2024.sawtoothsoftware.com/cgi-bin/ciwweb.pl?studyname=ProfCatedra2024&amp;Correo=mauricio.romero1@unisabana.edu.co1"/>
    <s v="PREGRADO"/>
    <n v="3"/>
    <x v="2"/>
  </r>
  <r>
    <s v="miguel.medina@unisabana.edu.co1"/>
    <x v="0"/>
    <s v="CATEDRA"/>
    <s v="Si"/>
    <s v="https://ProfCatedra2024.sawtoothsoftware.com/cgi-bin/ciwweb.pl?studyname=ProfCatedra2024&amp;Correo=miguel.medina@unisabana.edu.co1"/>
    <s v="PREGRADO"/>
    <n v="8"/>
    <x v="0"/>
  </r>
  <r>
    <s v="miguel.pineros@unisabana.edu.co1"/>
    <x v="13"/>
    <s v="CATEDRA"/>
    <s v="Si"/>
    <s v="https://ProfCatedra2024.sawtoothsoftware.com/cgi-bin/ciwweb.pl?studyname=ProfCatedra2024&amp;Correo=miguel.pineros@unisabana.edu.co1"/>
    <s v="PREGRADO"/>
    <n v="2"/>
    <x v="4"/>
  </r>
  <r>
    <s v="miguel.varela1@unisabana.edu.co1"/>
    <x v="4"/>
    <s v="CATEDRA"/>
    <s v="Si"/>
    <s v="https://ProfCatedra2024.sawtoothsoftware.com/cgi-bin/ciwweb.pl?studyname=ProfCatedra2024&amp;Correo=miguel.varela1@unisabana.edu.co1"/>
    <s v="PREGRADO"/>
    <n v="8"/>
    <x v="0"/>
  </r>
  <r>
    <s v="miguelcarto@unisabana.edu.co1"/>
    <x v="27"/>
    <s v="CATEDRA"/>
    <s v="Si"/>
    <s v="https://ProfCatedra2024.sawtoothsoftware.com/cgi-bin/ciwweb.pl?studyname=ProfCatedra2024&amp;Correo=miguelcarto@unisabana.edu.co1"/>
    <s v="PREGRADO"/>
    <n v="16"/>
    <x v="11"/>
  </r>
  <r>
    <s v="miguelesch@unisabana.edu.co1"/>
    <x v="3"/>
    <s v="CATEDRA"/>
    <s v="No"/>
    <s v="https://ProfCatedra2024.sawtoothsoftware.com/cgi-bin/ciwweb.pl?studyname=ProfCatedra2024&amp;Correo=miguelesch@unisabana.edu.co1"/>
    <s v="PREGRADO"/>
    <n v="8"/>
    <x v="0"/>
  </r>
  <r>
    <s v="monica.peralta@unisabana.edu.co1"/>
    <x v="24"/>
    <s v="CATEDRA"/>
    <s v="Si"/>
    <s v="https://ProfCatedra2024.sawtoothsoftware.com/cgi-bin/ciwweb.pl?studyname=ProfCatedra2024&amp;Correo=monica.peralta@unisabana.edu.co1"/>
    <s v="PREGRADO"/>
    <n v="6"/>
    <x v="9"/>
  </r>
  <r>
    <s v="monica.rios1@unisabana.edu.co1"/>
    <x v="24"/>
    <s v="CATEDRA"/>
    <s v="Si"/>
    <s v="https://ProfCatedra2024.sawtoothsoftware.com/cgi-bin/ciwweb.pl?studyname=ProfCatedra2024&amp;Correo=monica.rios1@unisabana.edu.co1"/>
    <s v="PREGRADO"/>
    <n v="6"/>
    <x v="9"/>
  </r>
  <r>
    <s v="myriam.vargas@unisabana.edu.co1"/>
    <x v="18"/>
    <s v="CATEDRA"/>
    <s v="Si"/>
    <s v="https://ProfCatedra2024.sawtoothsoftware.com/cgi-bin/ciwweb.pl?studyname=ProfCatedra2024&amp;Correo=myriam.vargas@unisabana.edu.co1"/>
    <s v="PREGRADO"/>
    <n v="2"/>
    <x v="4"/>
  </r>
  <r>
    <s v="nadia.olea1@unisabana.edu.co1"/>
    <x v="14"/>
    <s v="CATEDRA"/>
    <s v="No"/>
    <s v="https://ProfCatedra2024.sawtoothsoftware.com/cgi-bin/ciwweb.pl?studyname=ProfCatedra2024&amp;Correo=nadia.olea1@unisabana.edu.co1"/>
    <s v="PREGRADO"/>
    <n v="2"/>
    <x v="4"/>
  </r>
  <r>
    <s v="nancy.franco@unisabana.edu.co1"/>
    <x v="16"/>
    <s v="CATEDRA"/>
    <s v="No"/>
    <s v="https://ProfCatedra2024.sawtoothsoftware.com/cgi-bin/ciwweb.pl?studyname=ProfCatedra2024&amp;Correo=nancy.franco@unisabana.edu.co1"/>
    <s v="PREGRADO"/>
    <n v="5"/>
    <x v="1"/>
  </r>
  <r>
    <s v="nancy.grande@unisabana.edu.co1"/>
    <x v="5"/>
    <s v="CATEDRA"/>
    <s v="Si"/>
    <s v="https://ProfCatedra2024.sawtoothsoftware.com/cgi-bin/ciwweb.pl?studyname=ProfCatedra2024&amp;Correo=nancy.grande@unisabana.edu.co1"/>
    <s v="PREGRADO"/>
    <n v="15"/>
    <x v="3"/>
  </r>
  <r>
    <s v="nicolas.herran@unisabana.edu.co1"/>
    <x v="2"/>
    <s v="CATEDRA"/>
    <s v="Si"/>
    <s v="https://ProfCatedra2024.sawtoothsoftware.com/cgi-bin/ciwweb.pl?studyname=ProfCatedra2024&amp;Correo=nicolas.herran@unisabana.edu.co1"/>
    <s v="PREGRADO"/>
    <n v="3"/>
    <x v="2"/>
  </r>
  <r>
    <s v="nicolas.lozada@unisabana.edu.co1"/>
    <x v="8"/>
    <s v="CATEDRA"/>
    <s v="No"/>
    <s v="https://ProfCatedra2024.sawtoothsoftware.com/cgi-bin/ciwweb.pl?studyname=ProfCatedra2024&amp;Correo=nicolas.lozada@unisabana.edu.co1"/>
    <s v="PREGRADO"/>
    <n v="4"/>
    <x v="5"/>
  </r>
  <r>
    <s v="nicolas.mayorga@unisabana.edu.co1"/>
    <x v="8"/>
    <s v="CATEDRA"/>
    <s v="Si"/>
    <s v="https://ProfCatedra2024.sawtoothsoftware.com/cgi-bin/ciwweb.pl?studyname=ProfCatedra2024&amp;Correo=nicolas.mayorga@unisabana.edu.co1"/>
    <s v="PREGRADO"/>
    <n v="4"/>
    <x v="5"/>
  </r>
  <r>
    <s v="nicolas.saiz@unisabana.edu.co1"/>
    <x v="2"/>
    <s v="CATEDRA"/>
    <s v="Si"/>
    <s v="https://ProfCatedra2024.sawtoothsoftware.com/cgi-bin/ciwweb.pl?studyname=ProfCatedra2024&amp;Correo=nicolas.saiz@unisabana.edu.co1"/>
    <s v="PREGRADO"/>
    <n v="3"/>
    <x v="2"/>
  </r>
  <r>
    <s v="nicolasgiela@unisabana.edu.co1"/>
    <x v="30"/>
    <s v="CATEDRA"/>
    <s v="No"/>
    <s v="https://ProfCatedra2024.sawtoothsoftware.com/cgi-bin/ciwweb.pl?studyname=ProfCatedra2024&amp;Correo=nicolasgiela@unisabana.edu.co1"/>
    <s v="PREGRADO"/>
    <n v="2"/>
    <x v="4"/>
  </r>
  <r>
    <s v="nidia.garcia3@unisabana.edu.co1"/>
    <x v="16"/>
    <s v="CATEDRA"/>
    <s v="Si"/>
    <s v="https://ProfCatedra2024.sawtoothsoftware.com/cgi-bin/ciwweb.pl?studyname=ProfCatedra2024&amp;Correo=nidia.garcia3@unisabana.edu.co1"/>
    <s v="PREGRADO"/>
    <n v="5"/>
    <x v="1"/>
  </r>
  <r>
    <s v="nubia.amado@unisabana.edu.co1"/>
    <x v="16"/>
    <s v="CATEDRA"/>
    <s v="Si"/>
    <s v="https://ProfCatedra2024.sawtoothsoftware.com/cgi-bin/ciwweb.pl?studyname=ProfCatedra2024&amp;Correo=nubia.amado@unisabana.edu.co1"/>
    <s v="PREGRADO"/>
    <n v="5"/>
    <x v="1"/>
  </r>
  <r>
    <s v="oleg.konovalov@unisabana.edu.co1"/>
    <x v="23"/>
    <s v="CATEDRA"/>
    <s v="No"/>
    <s v="https://ProfCatedra2024.sawtoothsoftware.com/cgi-bin/ciwweb.pl?studyname=ProfCatedra2024&amp;Correo=oleg.konovalov@unisabana.edu.co1"/>
    <s v="PREGRADO"/>
    <n v="2"/>
    <x v="4"/>
  </r>
  <r>
    <s v="omar.silva@unisabana.edu.co1"/>
    <x v="21"/>
    <s v="CATEDRA"/>
    <s v="Si"/>
    <s v="https://ProfCatedra2024.sawtoothsoftware.com/cgi-bin/ciwweb.pl?studyname=ProfCatedra2024&amp;Correo=omar.silva@unisabana.edu.co1"/>
    <s v="PREGRADO"/>
    <n v="8"/>
    <x v="0"/>
  </r>
  <r>
    <s v="oscar.coy1@unisabana.edu.co1"/>
    <x v="8"/>
    <s v="CATEDRA"/>
    <s v="Si"/>
    <s v="https://ProfCatedra2024.sawtoothsoftware.com/cgi-bin/ciwweb.pl?studyname=ProfCatedra2024&amp;Correo=oscar.coy1@unisabana.edu.co1"/>
    <s v="PREGRADO"/>
    <n v="4"/>
    <x v="5"/>
  </r>
  <r>
    <s v="oscar.parra2@unisabana.edu.co1"/>
    <x v="2"/>
    <s v="CATEDRA"/>
    <s v="No"/>
    <s v="https://ProfCatedra2024.sawtoothsoftware.com/cgi-bin/ciwweb.pl?studyname=ProfCatedra2024&amp;Correo=oscar.parra2@unisabana.edu.co1"/>
    <s v="PREGRADO"/>
    <n v="3"/>
    <x v="2"/>
  </r>
  <r>
    <s v="oscar.suarez@unisabana.edu.co1"/>
    <x v="5"/>
    <s v="CATEDRA"/>
    <s v="Si"/>
    <s v="https://ProfCatedra2024.sawtoothsoftware.com/cgi-bin/ciwweb.pl?studyname=ProfCatedra2024&amp;Correo=oscar.suarez@unisabana.edu.co1"/>
    <s v="PREGRADO"/>
    <n v="15"/>
    <x v="3"/>
  </r>
  <r>
    <s v="OSCARMEGA@UNISABANA.EDU.CO1"/>
    <x v="8"/>
    <s v="CATEDRA"/>
    <s v="No"/>
    <s v="https://ProfCatedra2024.sawtoothsoftware.com/cgi-bin/ciwweb.pl?studyname=ProfCatedra2024&amp;Correo=OSCARMEGA@UNISABANA.EDU.CO1"/>
    <s v="PREGRADO"/>
    <n v="4"/>
    <x v="5"/>
  </r>
  <r>
    <s v="pablo.paez@unisabana.edu.co1"/>
    <x v="8"/>
    <s v="CATEDRA"/>
    <s v="Si"/>
    <s v="https://ProfCatedra2024.sawtoothsoftware.com/cgi-bin/ciwweb.pl?studyname=ProfCatedra2024&amp;Correo=pablo.paez@unisabana.edu.co1"/>
    <s v="PREGRADO"/>
    <n v="4"/>
    <x v="5"/>
  </r>
  <r>
    <s v="paola.hartmann@unisabana.edu.co1"/>
    <x v="11"/>
    <s v="CATEDRA"/>
    <s v="Si"/>
    <s v="https://ProfCatedra2024.sawtoothsoftware.com/cgi-bin/ciwweb.pl?studyname=ProfCatedra2024&amp;Correo=paola.hartmann@unisabana.edu.co1"/>
    <s v="PREGRADO"/>
    <n v="8"/>
    <x v="0"/>
  </r>
  <r>
    <s v="paola.ordonez@unisabana.edu.co1"/>
    <x v="28"/>
    <s v="CATEDRA"/>
    <s v="Si"/>
    <s v="https://ProfCatedra2024.sawtoothsoftware.com/cgi-bin/ciwweb.pl?studyname=ProfCatedra2024&amp;Correo=paola.ordonez@unisabana.edu.co1"/>
    <s v="PREGRADO"/>
    <n v="8"/>
    <x v="0"/>
  </r>
  <r>
    <s v="paula.acevedo1@unisabana.edu.co1"/>
    <x v="15"/>
    <s v="CATEDRA"/>
    <s v="Si"/>
    <s v="https://ProfCatedra2024.sawtoothsoftware.com/cgi-bin/ciwweb.pl?studyname=ProfCatedra2024&amp;Correo=paula.acevedo1@unisabana.edu.co1"/>
    <s v="PREGRADO"/>
    <n v="1"/>
    <x v="7"/>
  </r>
  <r>
    <s v="paula.lopez5@unisabana.edu.co1"/>
    <x v="23"/>
    <s v="CATEDRA"/>
    <s v="Si"/>
    <s v="https://ProfCatedra2024.sawtoothsoftware.com/cgi-bin/ciwweb.pl?studyname=ProfCatedra2024&amp;Correo=paula.lopez5@unisabana.edu.co1"/>
    <s v="PREGRADO"/>
    <n v="2"/>
    <x v="4"/>
  </r>
  <r>
    <s v="paulacacr@unisabana.edu.co1"/>
    <x v="13"/>
    <s v="CATEDRA"/>
    <s v="Si"/>
    <s v="https://ProfCatedra2024.sawtoothsoftware.com/cgi-bin/ciwweb.pl?studyname=ProfCatedra2024&amp;Correo=paulacacr@unisabana.edu.co1"/>
    <s v="PREGRADO"/>
    <n v="2"/>
    <x v="4"/>
  </r>
  <r>
    <s v="pedro.contreras1@unisabana.edu.co1"/>
    <x v="26"/>
    <s v="CATEDRA"/>
    <s v="Si"/>
    <s v="https://ProfCatedra2024.sawtoothsoftware.com/cgi-bin/ciwweb.pl?studyname=ProfCatedra2024&amp;Correo=pedro.contreras1@unisabana.edu.co1"/>
    <s v="PREGRADO"/>
    <n v="4"/>
    <x v="5"/>
  </r>
  <r>
    <s v="pedro.garcia@unisabana.edu.co1"/>
    <x v="29"/>
    <s v="CATEDRA"/>
    <s v="No"/>
    <s v="https://ProfCatedra2024.sawtoothsoftware.com/cgi-bin/ciwweb.pl?studyname=ProfCatedra2024&amp;Correo=pedro.garcia@unisabana.edu.co1"/>
    <s v="PREGRADO"/>
    <n v="2"/>
    <x v="4"/>
  </r>
  <r>
    <s v="pedrorasa@unisabana.edu.co1"/>
    <x v="1"/>
    <s v="CATEDRA"/>
    <s v="No"/>
    <s v="https://ProfCatedra2024.sawtoothsoftware.com/cgi-bin/ciwweb.pl?studyname=ProfCatedra2024&amp;Correo=pedrorasa@unisabana.edu.co1"/>
    <s v="PREGRADO"/>
    <n v="5"/>
    <x v="1"/>
  </r>
  <r>
    <s v="rafael.gonzalez2@unisabana.edu.co1"/>
    <x v="6"/>
    <s v="CATEDRA"/>
    <s v="Si"/>
    <s v="https://ProfCatedra2024.sawtoothsoftware.com/cgi-bin/ciwweb.pl?studyname=ProfCatedra2024&amp;Correo=rafael.gonzalez2@unisabana.edu.co1"/>
    <s v="PREGRADO"/>
    <n v="2"/>
    <x v="4"/>
  </r>
  <r>
    <s v="rafael.gonzalez3@unisabana.edu.co1"/>
    <x v="6"/>
    <s v="CATEDRA"/>
    <s v="Si"/>
    <s v="https://ProfCatedra2024.sawtoothsoftware.com/cgi-bin/ciwweb.pl?studyname=ProfCatedra2024&amp;Correo=rafael.gonzalez3@unisabana.edu.co1"/>
    <s v="PREGRADO"/>
    <n v="2"/>
    <x v="4"/>
  </r>
  <r>
    <s v="rafael.meza1@unisabana.edu.co1"/>
    <x v="15"/>
    <s v="CATEDRA"/>
    <s v="Si"/>
    <s v="https://ProfCatedra2024.sawtoothsoftware.com/cgi-bin/ciwweb.pl?studyname=ProfCatedra2024&amp;Correo=rafael.meza1@unisabana.edu.co1"/>
    <s v="PREGRADO"/>
    <n v="1"/>
    <x v="7"/>
  </r>
  <r>
    <s v="rafael.mora2@unisabana.edu.co1"/>
    <x v="7"/>
    <s v="CATEDRA"/>
    <s v="No"/>
    <s v="https://ProfCatedra2024.sawtoothsoftware.com/cgi-bin/ciwweb.pl?studyname=ProfCatedra2024&amp;Correo=rafael.mora2@unisabana.edu.co1"/>
    <s v="PREGRADO"/>
    <n v="2"/>
    <x v="4"/>
  </r>
  <r>
    <s v="rafael.tordecilla1@unisabana.edu.co1"/>
    <x v="11"/>
    <s v="CATEDRA"/>
    <s v="Si"/>
    <s v="https://ProfCatedra2024.sawtoothsoftware.com/cgi-bin/ciwweb.pl?studyname=ProfCatedra2024&amp;Correo=rafael.tordecilla1@unisabana.edu.co1"/>
    <s v="PREGRADO"/>
    <n v="8"/>
    <x v="0"/>
  </r>
  <r>
    <s v="rodinson.arrieta_cont@unisabana.edu.co1"/>
    <x v="3"/>
    <s v="CATEDRA"/>
    <s v="No"/>
    <s v="https://ProfCatedra2024.sawtoothsoftware.com/cgi-bin/ciwweb.pl?studyname=ProfCatedra2024&amp;Correo=rodinson.arrieta_cont@unisabana.edu.co1"/>
    <s v="PREGRADO"/>
    <n v="8"/>
    <x v="0"/>
  </r>
  <r>
    <s v="rodrigo.toro@unisabana.edu.co1"/>
    <x v="2"/>
    <s v="CATEDRA"/>
    <s v="No"/>
    <s v="https://ProfCatedra2024.sawtoothsoftware.com/cgi-bin/ciwweb.pl?studyname=ProfCatedra2024&amp;Correo=rodrigo.toro@unisabana.edu.co1"/>
    <s v="PREGRADO"/>
    <n v="3"/>
    <x v="2"/>
  </r>
  <r>
    <s v="ronal.rodriguez@unisabana.edu.co1"/>
    <x v="26"/>
    <s v="CATEDRA"/>
    <s v="Si"/>
    <s v="https://ProfCatedra2024.sawtoothsoftware.com/cgi-bin/ciwweb.pl?studyname=ProfCatedra2024&amp;Correo=ronal.rodriguez@unisabana.edu.co1"/>
    <s v="PREGRADO"/>
    <n v="4"/>
    <x v="5"/>
  </r>
  <r>
    <s v="rosario.bernal@unisabana.edu.co1"/>
    <x v="1"/>
    <s v="CATEDRA"/>
    <s v="Si"/>
    <s v="https://ProfCatedra2024.sawtoothsoftware.com/cgi-bin/ciwweb.pl?studyname=ProfCatedra2024&amp;Correo=rosario.bernal@unisabana.edu.co1"/>
    <s v="PREGRADO"/>
    <n v="5"/>
    <x v="1"/>
  </r>
  <r>
    <s v="s.tellolee@gmail.com"/>
    <x v="11"/>
    <s v="CATEDRA"/>
    <s v="No"/>
    <s v="https://ProfCatedra2024.sawtoothsoftware.com/cgi-bin/ciwweb.pl?studyname=ProfCatedra2024&amp;Correo=s.tellolee@gmail.com"/>
    <s v="PREGRADO"/>
    <n v="8"/>
    <x v="0"/>
  </r>
  <r>
    <s v="sandra.barragan@unisabana.edu.co1"/>
    <x v="19"/>
    <s v="CATEDRA"/>
    <s v="Si"/>
    <s v="https://ProfCatedra2024.sawtoothsoftware.com/cgi-bin/ciwweb.pl?studyname=ProfCatedra2024&amp;Correo=sandra.barragan@unisabana.edu.co1"/>
    <s v="PREGRADO"/>
    <n v="3"/>
    <x v="2"/>
  </r>
  <r>
    <s v="sandra.jarro@unisabana.edu.co1"/>
    <x v="21"/>
    <s v="CATEDRA"/>
    <s v="Si"/>
    <s v="https://ProfCatedra2024.sawtoothsoftware.com/cgi-bin/ciwweb.pl?studyname=ProfCatedra2024&amp;Correo=sandra.jarro@unisabana.edu.co1"/>
    <s v="PREGRADO"/>
    <n v="8"/>
    <x v="0"/>
  </r>
  <r>
    <s v="sandra.molina@unisabana.edu.co1"/>
    <x v="3"/>
    <s v="CATEDRA"/>
    <s v="Si"/>
    <s v="https://ProfCatedra2024.sawtoothsoftware.com/cgi-bin/ciwweb.pl?studyname=ProfCatedra2024&amp;Correo=sandra.molina@unisabana.edu.co1"/>
    <s v="PREGRADO"/>
    <n v="8"/>
    <x v="0"/>
  </r>
  <r>
    <s v="sandra.saavedra1@unisabana.edu.co1"/>
    <x v="4"/>
    <s v="CATEDRA"/>
    <s v="Si"/>
    <s v="https://ProfCatedra2024.sawtoothsoftware.com/cgi-bin/ciwweb.pl?studyname=ProfCatedra2024&amp;Correo=sandra.saavedra1@unisabana.edu.co1"/>
    <s v="PREGRADO"/>
    <n v="8"/>
    <x v="0"/>
  </r>
  <r>
    <s v="sandra.vanegas4@unisabana.edu.co1"/>
    <x v="15"/>
    <s v="CATEDRA"/>
    <s v="No"/>
    <s v="https://ProfCatedra2024.sawtoothsoftware.com/cgi-bin/ciwweb.pl?studyname=ProfCatedra2024&amp;Correo=sandra.vanegas4@unisabana.edu.co1"/>
    <s v="PREGRADO"/>
    <n v="1"/>
    <x v="7"/>
  </r>
  <r>
    <s v="sandy.ortiz@unisabana.edu.co1"/>
    <x v="5"/>
    <s v="CATEDRA"/>
    <s v="Si"/>
    <s v="https://ProfCatedra2024.sawtoothsoftware.com/cgi-bin/ciwweb.pl?studyname=ProfCatedra2024&amp;Correo=sandy.ortiz@unisabana.edu.co1"/>
    <s v="PREGRADO"/>
    <n v="15"/>
    <x v="3"/>
  </r>
  <r>
    <s v="santiago.espinosa@unisabana.edu.co1"/>
    <x v="6"/>
    <s v="CATEDRA"/>
    <s v="Si"/>
    <s v="https://ProfCatedra2024.sawtoothsoftware.com/cgi-bin/ciwweb.pl?studyname=ProfCatedra2024&amp;Correo=santiago.espinosa@unisabana.edu.co1"/>
    <s v="PREGRADO"/>
    <n v="2"/>
    <x v="4"/>
  </r>
  <r>
    <s v="santiago.gutierrez@unisabana.edu.co1"/>
    <x v="19"/>
    <s v="CATEDRA"/>
    <s v="Si"/>
    <s v="https://ProfCatedra2024.sawtoothsoftware.com/cgi-bin/ciwweb.pl?studyname=ProfCatedra2024&amp;Correo=santiago.gutierrez@unisabana.edu.co1"/>
    <s v="PREGRADO"/>
    <n v="3"/>
    <x v="2"/>
  </r>
  <r>
    <s v="santiago.osorio1@unisabana.edu.co1"/>
    <x v="30"/>
    <s v="CATEDRA"/>
    <s v="Si"/>
    <s v="https://ProfCatedra2024.sawtoothsoftware.com/cgi-bin/ciwweb.pl?studyname=ProfCatedra2024&amp;Correo=santiago.osorio1@unisabana.edu.co1"/>
    <s v="PREGRADO"/>
    <n v="2"/>
    <x v="4"/>
  </r>
  <r>
    <s v="santiago.ramirez@unisabana.edu.co1"/>
    <x v="8"/>
    <s v="CATEDRA"/>
    <s v="Si"/>
    <s v="https://ProfCatedra2024.sawtoothsoftware.com/cgi-bin/ciwweb.pl?studyname=ProfCatedra2024&amp;Correo=santiago.ramirez@unisabana.edu.co1"/>
    <s v="PREGRADO"/>
    <n v="4"/>
    <x v="5"/>
  </r>
  <r>
    <s v="santiago.wills@unisabana.edu.co1"/>
    <x v="10"/>
    <s v="CATEDRA"/>
    <s v="Si"/>
    <s v="https://ProfCatedra2024.sawtoothsoftware.com/cgi-bin/ciwweb.pl?studyname=ProfCatedra2024&amp;Correo=santiago.wills@unisabana.edu.co1"/>
    <s v="PREGRADO"/>
    <n v="3"/>
    <x v="2"/>
  </r>
  <r>
    <s v="santiagoride@unisabana.edu.co1"/>
    <x v="4"/>
    <s v="CATEDRA"/>
    <s v="No"/>
    <s v="https://ProfCatedra2024.sawtoothsoftware.com/cgi-bin/ciwweb.pl?studyname=ProfCatedra2024&amp;Correo=santiagoride@unisabana.edu.co1"/>
    <s v="PREGRADO"/>
    <n v="8"/>
    <x v="0"/>
  </r>
  <r>
    <s v="sebastian.jaramillo@unisabana.edu.co1"/>
    <x v="10"/>
    <s v="CATEDRA"/>
    <s v="Si"/>
    <s v="https://ProfCatedra2024.sawtoothsoftware.com/cgi-bin/ciwweb.pl?studyname=ProfCatedra2024&amp;Correo=sebastian.jaramillo@unisabana.edu.co1"/>
    <s v="PREGRADO"/>
    <n v="3"/>
    <x v="2"/>
  </r>
  <r>
    <s v="sergio.arrieta@unisabana.edu.co1"/>
    <x v="2"/>
    <s v="CATEDRA"/>
    <s v="Si"/>
    <s v="https://ProfCatedra2024.sawtoothsoftware.com/cgi-bin/ciwweb.pl?studyname=ProfCatedra2024&amp;Correo=sergio.arrieta@unisabana.edu.co1"/>
    <s v="PREGRADO"/>
    <n v="3"/>
    <x v="2"/>
  </r>
  <r>
    <s v="sergio.torres2@unisabana.edu.co1"/>
    <x v="29"/>
    <s v="CATEDRA"/>
    <s v="Si"/>
    <s v="https://ProfCatedra2024.sawtoothsoftware.com/cgi-bin/ciwweb.pl?studyname=ProfCatedra2024&amp;Correo=sergio.torres2@unisabana.edu.co1"/>
    <s v="PREGRADO"/>
    <n v="2"/>
    <x v="4"/>
  </r>
  <r>
    <s v="sergiogr9506@gmail.com"/>
    <x v="4"/>
    <s v="CATEDRA"/>
    <s v="No"/>
    <s v="https://ProfCatedra2024.sawtoothsoftware.com/cgi-bin/ciwweb.pl?studyname=ProfCatedra2024&amp;Correo=sergiogr9506@gmail.com"/>
    <s v="PREGRADO"/>
    <n v="8"/>
    <x v="0"/>
  </r>
  <r>
    <s v="silvana.ahumada@unisabana.edu.co1"/>
    <x v="7"/>
    <s v="CATEDRA"/>
    <s v="Si"/>
    <s v="https://ProfCatedra2024.sawtoothsoftware.com/cgi-bin/ciwweb.pl?studyname=ProfCatedra2024&amp;Correo=silvana.ahumada@unisabana.edu.co1"/>
    <s v="PREGRADO"/>
    <n v="2"/>
    <x v="4"/>
  </r>
  <r>
    <s v="simon.granja@unisabana.edu.co1"/>
    <x v="2"/>
    <s v="CATEDRA"/>
    <s v="No"/>
    <s v="https://ProfCatedra2024.sawtoothsoftware.com/cgi-bin/ciwweb.pl?studyname=ProfCatedra2024&amp;Correo=simon.granja@unisabana.edu.co1"/>
    <s v="PREGRADO"/>
    <n v="3"/>
    <x v="2"/>
  </r>
  <r>
    <s v="simon.ramon@unisabana.edu.co1"/>
    <x v="10"/>
    <s v="CATEDRA"/>
    <s v="Si"/>
    <s v="https://ProfCatedra2024.sawtoothsoftware.com/cgi-bin/ciwweb.pl?studyname=ProfCatedra2024&amp;Correo=simon.ramon@unisabana.edu.co1"/>
    <s v="PREGRADO"/>
    <n v="3"/>
    <x v="2"/>
  </r>
  <r>
    <s v="sneyder.garcia@unisabana.edu.co1"/>
    <x v="7"/>
    <s v="CATEDRA"/>
    <s v="Si"/>
    <s v="https://ProfCatedra2024.sawtoothsoftware.com/cgi-bin/ciwweb.pl?studyname=ProfCatedra2024&amp;Correo=sneyder.garcia@unisabana.edu.co1"/>
    <s v="PREGRADO"/>
    <n v="2"/>
    <x v="4"/>
  </r>
  <r>
    <s v="squevedor92@gmail.com"/>
    <x v="4"/>
    <s v="CATEDRA"/>
    <s v="No"/>
    <s v="https://ProfCatedra2024.sawtoothsoftware.com/cgi-bin/ciwweb.pl?studyname=ProfCatedra2024&amp;Correo=squevedor92@gmail.com"/>
    <s v="PREGRADO"/>
    <n v="8"/>
    <x v="0"/>
  </r>
  <r>
    <s v="stella.venegas@unisabana.edu.co1"/>
    <x v="18"/>
    <s v="CATEDRA"/>
    <s v="Si"/>
    <s v="https://ProfCatedra2024.sawtoothsoftware.com/cgi-bin/ciwweb.pl?studyname=ProfCatedra2024&amp;Correo=stella.venegas@unisabana.edu.co1"/>
    <s v="PREGRADO"/>
    <n v="2"/>
    <x v="4"/>
  </r>
  <r>
    <s v="stephan.langdon@unisabana.edu.co1"/>
    <x v="29"/>
    <s v="CATEDRA"/>
    <s v="No"/>
    <s v="https://ProfCatedra2024.sawtoothsoftware.com/cgi-bin/ciwweb.pl?studyname=ProfCatedra2024&amp;Correo=stephan.langdon@unisabana.edu.co1"/>
    <s v="PREGRADO"/>
    <n v="2"/>
    <x v="4"/>
  </r>
  <r>
    <s v="suanny.pinzon@unisabana.edu.co1"/>
    <x v="27"/>
    <s v="CATEDRA"/>
    <s v="Si"/>
    <s v="https://ProfCatedra2024.sawtoothsoftware.com/cgi-bin/ciwweb.pl?studyname=ProfCatedra2024&amp;Correo=suanny.pinzon@unisabana.edu.co1"/>
    <s v="PREGRADO"/>
    <n v="16"/>
    <x v="11"/>
  </r>
  <r>
    <s v="sulma.vera@unisabana.edu.co1"/>
    <x v="3"/>
    <s v="CATEDRA"/>
    <s v="Si"/>
    <s v="https://ProfCatedra2024.sawtoothsoftware.com/cgi-bin/ciwweb.pl?studyname=ProfCatedra2024&amp;Correo=sulma.vera@unisabana.edu.co1"/>
    <s v="PREGRADO"/>
    <n v="8"/>
    <x v="0"/>
  </r>
  <r>
    <s v="tabata.cuervo1@unisabana.edu.co1"/>
    <x v="12"/>
    <s v="CATEDRA"/>
    <s v="Si"/>
    <s v="https://ProfCatedra2024.sawtoothsoftware.com/cgi-bin/ciwweb.pl?studyname=ProfCatedra2024&amp;Correo=tabata.cuervo1@unisabana.edu.co1"/>
    <s v="PREGRADO"/>
    <n v="9"/>
    <x v="6"/>
  </r>
  <r>
    <s v="tarek.manzur@unisabana.edu.co1"/>
    <x v="5"/>
    <s v="CATEDRA"/>
    <s v="Si"/>
    <s v="https://ProfCatedra2024.sawtoothsoftware.com/cgi-bin/ciwweb.pl?studyname=ProfCatedra2024&amp;Correo=tarek.manzur@unisabana.edu.co1"/>
    <s v="PREGRADO"/>
    <n v="15"/>
    <x v="3"/>
  </r>
  <r>
    <s v="tatiana.monsalve@unisabana.edu.co1"/>
    <x v="14"/>
    <s v="CATEDRA"/>
    <s v="No"/>
    <s v="https://ProfCatedra2024.sawtoothsoftware.com/cgi-bin/ciwweb.pl?studyname=ProfCatedra2024&amp;Correo=tatiana.monsalve@unisabana.edu.co1"/>
    <s v="PREGRADO"/>
    <n v="2"/>
    <x v="4"/>
  </r>
  <r>
    <s v="teadira.perez@unisabana.edu.co1"/>
    <x v="5"/>
    <s v="CATEDRA"/>
    <s v="Si"/>
    <s v="https://ProfCatedra2024.sawtoothsoftware.com/cgi-bin/ciwweb.pl?studyname=ProfCatedra2024&amp;Correo=teadira.perez@unisabana.edu.co1"/>
    <s v="PREGRADO"/>
    <n v="15"/>
    <x v="3"/>
  </r>
  <r>
    <s v="tomas.londono@unisabana.edu.co1"/>
    <x v="13"/>
    <s v="CATEDRA"/>
    <s v="Si"/>
    <s v="https://ProfCatedra2024.sawtoothsoftware.com/cgi-bin/ciwweb.pl?studyname=ProfCatedra2024&amp;Correo=tomas.londono@unisabana.edu.co1"/>
    <s v="PREGRADO"/>
    <n v="2"/>
    <x v="4"/>
  </r>
  <r>
    <s v="valentina.vieira1@unisabana.edu.co1"/>
    <x v="19"/>
    <s v="CATEDRA"/>
    <s v="No"/>
    <s v="https://ProfCatedra2024.sawtoothsoftware.com/cgi-bin/ciwweb.pl?studyname=ProfCatedra2024&amp;Correo=valentina.vieira1@unisabana.edu.co1"/>
    <s v="PREGRADO"/>
    <n v="3"/>
    <x v="2"/>
  </r>
  <r>
    <s v="vera.nunez@unisabana.edu.co1"/>
    <x v="24"/>
    <s v="CATEDRA"/>
    <s v="No"/>
    <s v="https://ProfCatedra2024.sawtoothsoftware.com/cgi-bin/ciwweb.pl?studyname=ProfCatedra2024&amp;Correo=vera.nunez@unisabana.edu.co1"/>
    <s v="PREGRADO"/>
    <n v="6"/>
    <x v="9"/>
  </r>
  <r>
    <s v="veronica.zas@unisabana.edu.co1"/>
    <x v="17"/>
    <s v="CATEDRA"/>
    <s v="Si"/>
    <s v="https://ProfCatedra2024.sawtoothsoftware.com/cgi-bin/ciwweb.pl?studyname=ProfCatedra2024&amp;Correo=veronica.zas@unisabana.edu.co1"/>
    <s v="PREGRADO"/>
    <n v="13"/>
    <x v="8"/>
  </r>
  <r>
    <s v="victor.alvarez@unisabana.edu.co1"/>
    <x v="3"/>
    <s v="CATEDRA"/>
    <s v="No"/>
    <s v="https://ProfCatedra2024.sawtoothsoftware.com/cgi-bin/ciwweb.pl?studyname=ProfCatedra2024&amp;Correo=victor.alvarez@unisabana.edu.co1"/>
    <s v="PREGRADO"/>
    <n v="8"/>
    <x v="0"/>
  </r>
  <r>
    <s v="victor.parra@unisabana.edu.co1"/>
    <x v="29"/>
    <s v="CATEDRA"/>
    <s v="Si"/>
    <s v="https://ProfCatedra2024.sawtoothsoftware.com/cgi-bin/ciwweb.pl?studyname=ProfCatedra2024&amp;Correo=victor.parra@unisabana.edu.co1"/>
    <s v="PREGRADO"/>
    <n v="2"/>
    <x v="4"/>
  </r>
  <r>
    <s v="victor.rojas1@unisabana.edu.co1"/>
    <x v="16"/>
    <s v="CATEDRA"/>
    <s v="No"/>
    <s v="https://ProfCatedra2024.sawtoothsoftware.com/cgi-bin/ciwweb.pl?studyname=ProfCatedra2024&amp;Correo=victor.rojas1@unisabana.edu.co1"/>
    <s v="PREGRADO"/>
    <n v="5"/>
    <x v="1"/>
  </r>
  <r>
    <s v="viktoriya.andreeva@unisabana.edu.co1"/>
    <x v="29"/>
    <s v="CATEDRA"/>
    <s v="Si"/>
    <s v="https://ProfCatedra2024.sawtoothsoftware.com/cgi-bin/ciwweb.pl?studyname=ProfCatedra2024&amp;Correo=viktoriya.andreeva@unisabana.edu.co1"/>
    <s v="PREGRADO"/>
    <n v="2"/>
    <x v="4"/>
  </r>
  <r>
    <s v="viviana.mendez1@unisabana.edu.co1"/>
    <x v="10"/>
    <s v="CATEDRA"/>
    <s v="Si"/>
    <s v="https://ProfCatedra2024.sawtoothsoftware.com/cgi-bin/ciwweb.pl?studyname=ProfCatedra2024&amp;Correo=viviana.mendez1@unisabana.edu.co1"/>
    <s v="PREGRADO"/>
    <n v="3"/>
    <x v="2"/>
  </r>
  <r>
    <s v="wbeimar.vera@unisabana.edu.co1"/>
    <x v="28"/>
    <s v="CATEDRA"/>
    <s v="Si"/>
    <s v="https://ProfCatedra2024.sawtoothsoftware.com/cgi-bin/ciwweb.pl?studyname=ProfCatedra2024&amp;Correo=wbeimar.vera@unisabana.edu.co1"/>
    <s v="PREGRADO"/>
    <n v="8"/>
    <x v="0"/>
  </r>
  <r>
    <s v="wilber.garcia@unisabana.edu.co1"/>
    <x v="4"/>
    <s v="CATEDRA"/>
    <s v="No"/>
    <s v="https://ProfCatedra2024.sawtoothsoftware.com/cgi-bin/ciwweb.pl?studyname=ProfCatedra2024&amp;Correo=wilber.garcia@unisabana.edu.co1"/>
    <s v="PREGRADO"/>
    <n v="8"/>
    <x v="0"/>
  </r>
  <r>
    <s v="william.espitia@unisabana.edu.co1"/>
    <x v="3"/>
    <s v="CATEDRA"/>
    <s v="Si"/>
    <s v="https://ProfCatedra2024.sawtoothsoftware.com/cgi-bin/ciwweb.pl?studyname=ProfCatedra2024&amp;Correo=william.espitia@unisabana.edu.co1"/>
    <s v="PREGRADO"/>
    <n v="8"/>
    <x v="0"/>
  </r>
  <r>
    <s v="william.torres@unisabana.edu.co1"/>
    <x v="11"/>
    <s v="CATEDRA"/>
    <s v="No"/>
    <s v="https://ProfCatedra2024.sawtoothsoftware.com/cgi-bin/ciwweb.pl?studyname=ProfCatedra2024&amp;Correo=william.torres@unisabana.edu.co1"/>
    <s v="PREGRADO"/>
    <n v="8"/>
    <x v="0"/>
  </r>
  <r>
    <s v="wilmer.beltran@unisabana.edu.co1"/>
    <x v="4"/>
    <s v="CATEDRA"/>
    <s v="Si"/>
    <s v="https://ProfCatedra2024.sawtoothsoftware.com/cgi-bin/ciwweb.pl?studyname=ProfCatedra2024&amp;Correo=wilmer.beltran@unisabana.edu.co1"/>
    <s v="PREGRADO"/>
    <n v="8"/>
    <x v="0"/>
  </r>
  <r>
    <s v="wilmer.triana@unisabana.edu.co1"/>
    <x v="4"/>
    <s v="CATEDRA"/>
    <s v="Si"/>
    <s v="https://ProfCatedra2024.sawtoothsoftware.com/cgi-bin/ciwweb.pl?studyname=ProfCatedra2024&amp;Correo=wilmer.triana@unisabana.edu.co1"/>
    <s v="PREGRADO"/>
    <n v="8"/>
    <x v="0"/>
  </r>
  <r>
    <s v="wilson.balaguera@unisabana.edu.co1"/>
    <x v="5"/>
    <s v="CATEDRA"/>
    <s v="No"/>
    <s v="https://ProfCatedra2024.sawtoothsoftware.com/cgi-bin/ciwweb.pl?studyname=ProfCatedra2024&amp;Correo=wilson.balaguera@unisabana.edu.co1"/>
    <s v="PREGRADO"/>
    <n v="15"/>
    <x v="3"/>
  </r>
  <r>
    <s v="yaddy.nino@unisabana.edu.co1"/>
    <x v="10"/>
    <s v="CATEDRA"/>
    <s v="Si"/>
    <s v="https://ProfCatedra2024.sawtoothsoftware.com/cgi-bin/ciwweb.pl?studyname=ProfCatedra2024&amp;Correo=yaddy.nino@unisabana.edu.co1"/>
    <s v="PREGRADO"/>
    <n v="3"/>
    <x v="2"/>
  </r>
  <r>
    <s v="yaolavem@unal.edu.co1"/>
    <x v="25"/>
    <s v="CATEDRA"/>
    <s v="No"/>
    <s v="https://ProfCatedra2024.sawtoothsoftware.com/cgi-bin/ciwweb.pl?studyname=ProfCatedra2024&amp;Correo=yaolavem@unal.edu.co1"/>
    <s v="PREGRADO"/>
    <n v="7"/>
    <x v="10"/>
  </r>
  <r>
    <s v="yeimmy.contreras@unisabana.edu.co1"/>
    <x v="4"/>
    <s v="CATEDRA"/>
    <s v="Si"/>
    <s v="https://ProfCatedra2024.sawtoothsoftware.com/cgi-bin/ciwweb.pl?studyname=ProfCatedra2024&amp;Correo=yeimmy.contreras@unisabana.edu.co1"/>
    <s v="PREGRADO"/>
    <n v="8"/>
    <x v="0"/>
  </r>
  <r>
    <s v="yenny.duran@unisabana.edu.co1"/>
    <x v="15"/>
    <s v="CATEDRA"/>
    <s v="Si"/>
    <s v="https://ProfCatedra2024.sawtoothsoftware.com/cgi-bin/ciwweb.pl?studyname=ProfCatedra2024&amp;Correo=yenny.duran@unisabana.edu.co1"/>
    <s v="PREGRADO"/>
    <n v="1"/>
    <x v="7"/>
  </r>
  <r>
    <s v="yenyMR@unisabana.edu.co1"/>
    <x v="5"/>
    <s v="CATEDRA"/>
    <s v="Si"/>
    <s v="https://ProfCatedra2024.sawtoothsoftware.com/cgi-bin/ciwweb.pl?studyname=ProfCatedra2024&amp;Correo=yenyMR@unisabana.edu.co1"/>
    <s v="PREGRADO"/>
    <n v="15"/>
    <x v="3"/>
  </r>
  <r>
    <s v="yomaira.uscategui1@unisabana.edu.co1"/>
    <x v="11"/>
    <s v="CATEDRA"/>
    <s v="Si"/>
    <s v="https://ProfCatedra2024.sawtoothsoftware.com/cgi-bin/ciwweb.pl?studyname=ProfCatedra2024&amp;Correo=yomaira.uscategui1@unisabana.edu.co1"/>
    <s v="PREGRADO"/>
    <n v="8"/>
    <x v="0"/>
  </r>
  <r>
    <s v="yomairausma@unisabana.edu.co1"/>
    <x v="3"/>
    <s v="CATEDRA"/>
    <s v="Si"/>
    <s v="https://ProfCatedra2024.sawtoothsoftware.com/cgi-bin/ciwweb.pl?studyname=ProfCatedra2024&amp;Correo=yomairausma@unisabana.edu.co1"/>
    <s v="PREGRADO"/>
    <n v="8"/>
    <x v="0"/>
  </r>
  <r>
    <s v="yuli.contreras@unisabana.edu.co1"/>
    <x v="8"/>
    <s v="CATEDRA"/>
    <s v="Si"/>
    <s v="https://ProfCatedra2024.sawtoothsoftware.com/cgi-bin/ciwweb.pl?studyname=ProfCatedra2024&amp;Correo=yuli.contreras@unisabana.edu.co1"/>
    <s v="PREGRADO"/>
    <n v="4"/>
    <x v="5"/>
  </r>
  <r>
    <s v="yulycudu@unisabana.edu.co1"/>
    <x v="17"/>
    <s v="CATEDRA"/>
    <s v="Si"/>
    <s v="https://ProfCatedra2024.sawtoothsoftware.com/cgi-bin/ciwweb.pl?studyname=ProfCatedra2024&amp;Correo=yulycudu@unisabana.edu.co1"/>
    <s v="PREGRADO"/>
    <n v="13"/>
    <x v="8"/>
  </r>
  <r>
    <s v="yury.ricaurte@unisabana.edu.co1"/>
    <x v="24"/>
    <s v="CATEDRA"/>
    <s v="Si"/>
    <s v="https://ProfCatedra2024.sawtoothsoftware.com/cgi-bin/ciwweb.pl?studyname=ProfCatedra2024&amp;Correo=yury.ricaurte@unisabana.edu.co1"/>
    <s v="PREGRADO"/>
    <n v="6"/>
    <x v="9"/>
  </r>
  <r>
    <s v="Zamir.Hamad@unisabana.edu.co1"/>
    <x v="10"/>
    <s v="CATEDRA"/>
    <s v="Si"/>
    <s v="https://ProfCatedra2024.sawtoothsoftware.com/cgi-bin/ciwweb.pl?studyname=ProfCatedra2024&amp;Correo=Zamir.Hamad@unisabana.edu.co1"/>
    <s v="PREGRADO"/>
    <n v="3"/>
    <x v="2"/>
  </r>
  <r>
    <s v="zulma.velandia1@unisabana.edu.co1"/>
    <x v="10"/>
    <s v="CATEDRA"/>
    <s v="Si"/>
    <s v="https://ProfCatedra2024.sawtoothsoftware.com/cgi-bin/ciwweb.pl?studyname=ProfCatedra2024&amp;Correo=zulma.velandia1@unisabana.edu.co1"/>
    <s v="PREGRADO"/>
    <n v="3"/>
    <x v="2"/>
  </r>
  <r>
    <s v="carlo.sarmiento@unisabana.edu.co2"/>
    <x v="2"/>
    <s v="CATEDRA"/>
    <s v="Si"/>
    <s v="https://ProfCatedra2024.sawtoothsoftware.com/cgi-bin/ciwweb.pl?studyname=ProfCatedra2024&amp;Correo=carlo.sarmiento@unisabana.edu.co2"/>
    <s v="PREGRADO"/>
    <n v="3"/>
    <x v="2"/>
  </r>
  <r>
    <s v="cindy.espitia1@unisabana.edu.co2"/>
    <x v="2"/>
    <s v="CATEDRA"/>
    <s v="Si"/>
    <s v="https://ProfCatedra2024.sawtoothsoftware.com/cgi-bin/ciwweb.pl?studyname=ProfCatedra2024&amp;Correo=cindy.espitia1@unisabana.edu.co2"/>
    <s v="PREGRADO"/>
    <n v="3"/>
    <x v="2"/>
  </r>
  <r>
    <s v="claudia.romero1@unisabana.edu.co2"/>
    <x v="2"/>
    <s v="CATEDRA"/>
    <s v="Si"/>
    <s v="https://ProfCatedra2024.sawtoothsoftware.com/cgi-bin/ciwweb.pl?studyname=ProfCatedra2024&amp;Correo=claudia.romero1@unisabana.edu.co2"/>
    <s v="PREGRADO"/>
    <n v="3"/>
    <x v="2"/>
  </r>
  <r>
    <s v="daniel.ayala1@unisabana.edu.co2"/>
    <x v="21"/>
    <s v="CATEDRA"/>
    <s v="Si"/>
    <s v="https://ProfCatedra2024.sawtoothsoftware.com/cgi-bin/ciwweb.pl?studyname=ProfCatedra2024&amp;Correo=daniel.ayala1@unisabana.edu.co2"/>
    <s v="PREGRADO"/>
    <n v="8"/>
    <x v="0"/>
  </r>
  <r>
    <s v="dedtmat.garces@unisabana.edu.co2"/>
    <x v="2"/>
    <s v="CATEDRA"/>
    <s v="Si"/>
    <s v="https://ProfCatedra2024.sawtoothsoftware.com/cgi-bin/ciwweb.pl?studyname=ProfCatedra2024&amp;Correo=dedtmat.garces@unisabana.edu.co2"/>
    <s v="PREGRADO"/>
    <n v="3"/>
    <x v="2"/>
  </r>
  <r>
    <s v="deisy.quiroz@unisabana.edu.co2"/>
    <x v="2"/>
    <s v="CATEDRA"/>
    <s v="Si"/>
    <s v="https://ProfCatedra2024.sawtoothsoftware.com/cgi-bin/ciwweb.pl?studyname=ProfCatedra2024&amp;Correo=deisy.quiroz@unisabana.edu.co2"/>
    <s v="PREGRADO"/>
    <n v="3"/>
    <x v="2"/>
  </r>
  <r>
    <s v="francisco.casas@unisabana.edu.co2"/>
    <x v="16"/>
    <s v="CATEDRA"/>
    <s v="Si"/>
    <s v="https://ProfCatedra2024.sawtoothsoftware.com/cgi-bin/ciwweb.pl?studyname=ProfCatedra2024&amp;Correo=francisco.casas@unisabana.edu.co2"/>
    <s v="PREGRADO"/>
    <n v="5"/>
    <x v="1"/>
  </r>
  <r>
    <s v="GERMANARANGO@YAHOO.COM2"/>
    <x v="2"/>
    <s v="CATEDRA"/>
    <s v="Si"/>
    <s v="https://ProfCatedra2024.sawtoothsoftware.com/cgi-bin/ciwweb.pl?studyname=ProfCatedra2024&amp;Correo=GERMANARANGO@YAHOO.COM2"/>
    <s v="PREGRADO"/>
    <n v="3"/>
    <x v="2"/>
  </r>
  <r>
    <s v="herman.nieto@unisabana.edu.co2"/>
    <x v="3"/>
    <s v="CATEDRA"/>
    <s v="No"/>
    <s v="https://ProfCatedra2024.sawtoothsoftware.com/cgi-bin/ciwweb.pl?studyname=ProfCatedra2024&amp;Correo=herman.nieto@unisabana.edu.co2"/>
    <s v="PREGRADO"/>
    <n v="8"/>
    <x v="0"/>
  </r>
  <r>
    <s v="ingri.moreno@unisabana.edu.co2"/>
    <x v="16"/>
    <s v="CATEDRA"/>
    <s v="Si"/>
    <s v="https://ProfCatedra2024.sawtoothsoftware.com/cgi-bin/ciwweb.pl?studyname=ProfCatedra2024&amp;Correo=ingri.moreno@unisabana.edu.co2"/>
    <s v="PREGRADO"/>
    <n v="5"/>
    <x v="1"/>
  </r>
  <r>
    <s v="JavierOS@unisabana.edu.co2"/>
    <x v="2"/>
    <s v="CATEDRA"/>
    <s v="Si"/>
    <s v="https://ProfCatedra2024.sawtoothsoftware.com/cgi-bin/ciwweb.pl?studyname=ProfCatedra2024&amp;Correo=JavierOS@unisabana.edu.co2"/>
    <s v="PREGRADO"/>
    <n v="3"/>
    <x v="2"/>
  </r>
  <r>
    <s v="jeronimo.garcia@unisabana.edu.co2"/>
    <x v="2"/>
    <s v="CATEDRA"/>
    <s v="No"/>
    <s v="https://ProfCatedra2024.sawtoothsoftware.com/cgi-bin/ciwweb.pl?studyname=ProfCatedra2024&amp;Correo=jeronimo.garcia@unisabana.edu.co2"/>
    <s v="PREGRADO"/>
    <n v="3"/>
    <x v="2"/>
  </r>
  <r>
    <s v="juan.cobos@unisabana.edu.co2"/>
    <x v="2"/>
    <s v="CATEDRA"/>
    <s v="Si"/>
    <s v="https://ProfCatedra2024.sawtoothsoftware.com/cgi-bin/ciwweb.pl?studyname=ProfCatedra2024&amp;Correo=juan.cobos@unisabana.edu.co2"/>
    <s v="PREGRADO"/>
    <n v="3"/>
    <x v="2"/>
  </r>
  <r>
    <s v="juan.ramirez1@unisabana.edu.co2"/>
    <x v="2"/>
    <s v="CATEDRA"/>
    <s v="Si"/>
    <s v="https://ProfCatedra2024.sawtoothsoftware.com/cgi-bin/ciwweb.pl?studyname=ProfCatedra2024&amp;Correo=juan.ramirez1@unisabana.edu.co2"/>
    <s v="PREGRADO"/>
    <n v="3"/>
    <x v="2"/>
  </r>
  <r>
    <s v="lida.isaza@unisabana.edu.co2"/>
    <x v="1"/>
    <s v="CATEDRA"/>
    <s v="No"/>
    <s v="https://ProfCatedra2024.sawtoothsoftware.com/cgi-bin/ciwweb.pl?studyname=ProfCatedra2024&amp;Correo=lida.isaza@unisabana.edu.co2"/>
    <s v="PREGRADO"/>
    <n v="5"/>
    <x v="1"/>
  </r>
  <r>
    <s v="ligia.arevalo@unisabana.edu.co2"/>
    <x v="16"/>
    <s v="CATEDRA"/>
    <s v="Si"/>
    <s v="https://ProfCatedra2024.sawtoothsoftware.com/cgi-bin/ciwweb.pl?studyname=ProfCatedra2024&amp;Correo=ligia.arevalo@unisabana.edu.co2"/>
    <s v="PREGRADO"/>
    <n v="5"/>
    <x v="1"/>
  </r>
  <r>
    <s v="manuel.rodriguez3@unisabana.edu.co2"/>
    <x v="2"/>
    <s v="CATEDRA"/>
    <s v="No"/>
    <s v="https://ProfCatedra2024.sawtoothsoftware.com/cgi-bin/ciwweb.pl?studyname=ProfCatedra2024&amp;Correo=manuel.rodriguez3@unisabana.edu.co2"/>
    <s v="PREGRADO"/>
    <n v="3"/>
    <x v="2"/>
  </r>
  <r>
    <s v="mauricio.diaz1@unisabana.edu.co2"/>
    <x v="2"/>
    <s v="CATEDRA"/>
    <s v="Si"/>
    <s v="https://ProfCatedra2024.sawtoothsoftware.com/cgi-bin/ciwweb.pl?studyname=ProfCatedra2024&amp;Correo=mauricio.diaz1@unisabana.edu.co2"/>
    <s v="PREGRADO"/>
    <n v="3"/>
    <x v="2"/>
  </r>
  <r>
    <s v="nubia.amado@unisabana.edu.co2"/>
    <x v="1"/>
    <s v="CATEDRA"/>
    <s v="Si"/>
    <s v="https://ProfCatedra2024.sawtoothsoftware.com/cgi-bin/ciwweb.pl?studyname=ProfCatedra2024&amp;Correo=nubia.amado@unisabana.edu.co2"/>
    <s v="PREGRADO"/>
    <n v="5"/>
    <x v="1"/>
  </r>
  <r>
    <s v="oscar.parra2@unisabana.edu.co2"/>
    <x v="10"/>
    <s v="CATEDRA"/>
    <s v="No"/>
    <s v="https://ProfCatedra2024.sawtoothsoftware.com/cgi-bin/ciwweb.pl?studyname=ProfCatedra2024&amp;Correo=oscar.parra2@unisabana.edu.co2"/>
    <s v="PREGRADO"/>
    <n v="3"/>
    <x v="2"/>
  </r>
  <r>
    <s v="rosario.bernal@unisabana.edu.co2"/>
    <x v="16"/>
    <s v="CATEDRA"/>
    <s v="Si"/>
    <s v="https://ProfCatedra2024.sawtoothsoftware.com/cgi-bin/ciwweb.pl?studyname=ProfCatedra2024&amp;Correo=rosario.bernal@unisabana.edu.co2"/>
    <s v="PREGRADO"/>
    <n v="5"/>
    <x v="1"/>
  </r>
  <r>
    <s v="santiago.wills@unisabana.edu.co2"/>
    <x v="2"/>
    <s v="CATEDRA"/>
    <s v="No"/>
    <s v="https://ProfCatedra2024.sawtoothsoftware.com/cgi-bin/ciwweb.pl?studyname=ProfCatedra2024&amp;Correo=santiago.wills@unisabana.edu.co2"/>
    <s v="PREGRADO"/>
    <n v="3"/>
    <x v="2"/>
  </r>
  <r>
    <s v="yaddy.nino@unisabana.edu.co2"/>
    <x v="2"/>
    <s v="CATEDRA"/>
    <s v="Si"/>
    <s v="https://ProfCatedra2024.sawtoothsoftware.com/cgi-bin/ciwweb.pl?studyname=ProfCatedra2024&amp;Correo=yaddy.nino@unisabana.edu.co2"/>
    <s v="PREGRADO"/>
    <n v="3"/>
    <x v="2"/>
  </r>
  <r>
    <s v="zulma.velandia1@unisabana.edu.co2"/>
    <x v="2"/>
    <s v="CATEDRA"/>
    <s v="No"/>
    <s v="https://ProfCatedra2024.sawtoothsoftware.com/cgi-bin/ciwweb.pl?studyname=ProfCatedra2024&amp;Correo=zulma.velandia1@unisabana.edu.co2"/>
    <s v="PREGRADO"/>
    <n v="3"/>
    <x v="2"/>
  </r>
  <r>
    <s v="carlo.sarmiento@unisabana.edu.co3"/>
    <x v="19"/>
    <s v="CATEDRA"/>
    <s v="Si"/>
    <s v="https://ProfCatedra2024.sawtoothsoftware.com/cgi-bin/ciwweb.pl?studyname=ProfCatedra2024&amp;Correo=carlo.sarmiento@unisabana.edu.co3"/>
    <s v="PREGRADO"/>
    <n v="3"/>
    <x v="2"/>
  </r>
  <r>
    <s v="cindy.espitia1@unisabana.edu.co3"/>
    <x v="19"/>
    <s v="CATEDRA"/>
    <s v="Si"/>
    <s v="https://ProfCatedra2024.sawtoothsoftware.com/cgi-bin/ciwweb.pl?studyname=ProfCatedra2024&amp;Correo=cindy.espitia1@unisabana.edu.co3"/>
    <s v="PREGRADO"/>
    <n v="3"/>
    <x v="2"/>
  </r>
  <r>
    <s v="claudia.romero1@unisabana.edu.co3"/>
    <x v="19"/>
    <s v="CATEDRA"/>
    <s v="Si"/>
    <s v="https://ProfCatedra2024.sawtoothsoftware.com/cgi-bin/ciwweb.pl?studyname=ProfCatedra2024&amp;Correo=claudia.romero1@unisabana.edu.co3"/>
    <s v="PREGRADO"/>
    <n v="3"/>
    <x v="2"/>
  </r>
  <r>
    <s v="dedtmat.garces@unisabana.edu.co3"/>
    <x v="19"/>
    <s v="CATEDRA"/>
    <s v="Si"/>
    <s v="https://ProfCatedra2024.sawtoothsoftware.com/cgi-bin/ciwweb.pl?studyname=ProfCatedra2024&amp;Correo=dedtmat.garces@unisabana.edu.co3"/>
    <s v="PREGRADO"/>
    <n v="3"/>
    <x v="2"/>
  </r>
  <r>
    <s v="deisy.quiroz@unisabana.edu.co3"/>
    <x v="19"/>
    <s v="CATEDRA"/>
    <s v="No"/>
    <s v="https://ProfCatedra2024.sawtoothsoftware.com/cgi-bin/ciwweb.pl?studyname=ProfCatedra2024&amp;Correo=deisy.quiroz@unisabana.edu.co3"/>
    <s v="PREGRADO"/>
    <n v="3"/>
    <x v="2"/>
  </r>
  <r>
    <s v="JavierOS@unisabana.edu.co3"/>
    <x v="19"/>
    <s v="CATEDRA"/>
    <s v="Si"/>
    <s v="https://ProfCatedra2024.sawtoothsoftware.com/cgi-bin/ciwweb.pl?studyname=ProfCatedra2024&amp;Correo=JavierOS@unisabana.edu.co3"/>
    <s v="PREGRADO"/>
    <n v="3"/>
    <x v="2"/>
  </r>
  <r>
    <s v="jeronimo.garcia@unisabana.edu.co3"/>
    <x v="19"/>
    <s v="CATEDRA"/>
    <s v="Si"/>
    <s v="https://ProfCatedra2024.sawtoothsoftware.com/cgi-bin/ciwweb.pl?studyname=ProfCatedra2024&amp;Correo=jeronimo.garcia@unisabana.edu.co3"/>
    <s v="PREGRADO"/>
    <n v="3"/>
    <x v="2"/>
  </r>
  <r>
    <s v="juan.cobos@unisabana.edu.co3"/>
    <x v="19"/>
    <s v="CATEDRA"/>
    <s v="Si"/>
    <s v="https://ProfCatedra2024.sawtoothsoftware.com/cgi-bin/ciwweb.pl?studyname=ProfCatedra2024&amp;Correo=juan.cobos@unisabana.edu.co3"/>
    <s v="PREGRADO"/>
    <n v="3"/>
    <x v="2"/>
  </r>
  <r>
    <s v="juan.ramirez1@unisabana.edu.co3"/>
    <x v="19"/>
    <s v="CATEDRA"/>
    <s v="Si"/>
    <s v="https://ProfCatedra2024.sawtoothsoftware.com/cgi-bin/ciwweb.pl?studyname=ProfCatedra2024&amp;Correo=juan.ramirez1@unisabana.edu.co3"/>
    <s v="PREGRADO"/>
    <n v="3"/>
    <x v="2"/>
  </r>
  <r>
    <s v="manuel.rodriguez3@unisabana.edu.co3"/>
    <x v="19"/>
    <s v="CATEDRA"/>
    <s v="No"/>
    <s v="https://ProfCatedra2024.sawtoothsoftware.com/cgi-bin/ciwweb.pl?studyname=ProfCatedra2024&amp;Correo=manuel.rodriguez3@unisabana.edu.co3"/>
    <s v="PREGRADO"/>
    <n v="3"/>
    <x v="2"/>
  </r>
  <r>
    <s v="mauricio.diaz1@unisabana.edu.co3"/>
    <x v="19"/>
    <s v="CATEDRA"/>
    <s v="Si"/>
    <s v="https://ProfCatedra2024.sawtoothsoftware.com/cgi-bin/ciwweb.pl?studyname=ProfCatedra2024&amp;Correo=mauricio.diaz1@unisabana.edu.co3"/>
    <s v="PREGRADO"/>
    <n v="3"/>
    <x v="2"/>
  </r>
  <r>
    <s v="santiago.wills@unisabana.edu.co3"/>
    <x v="19"/>
    <s v="CATEDRA"/>
    <s v="Si"/>
    <s v="https://ProfCatedra2024.sawtoothsoftware.com/cgi-bin/ciwweb.pl?studyname=ProfCatedra2024&amp;Correo=santiago.wills@unisabana.edu.co3"/>
    <s v="PREGRADO"/>
    <n v="3"/>
    <x v="2"/>
  </r>
  <r>
    <s v="yaddy.nino@unisabana.edu.co3"/>
    <x v="19"/>
    <s v="CATEDRA"/>
    <s v="Si"/>
    <s v="https://ProfCatedra2024.sawtoothsoftware.com/cgi-bin/ciwweb.pl?studyname=ProfCatedra2024&amp;Correo=yaddy.nino@unisabana.edu.co3"/>
    <s v="PREGRADO"/>
    <n v="3"/>
    <x v="2"/>
  </r>
  <r>
    <s v="zulma.velandia1@unisabana.edu.co3"/>
    <x v="19"/>
    <s v="CATEDRA"/>
    <s v="No"/>
    <s v="https://ProfCatedra2024.sawtoothsoftware.com/cgi-bin/ciwweb.pl?studyname=ProfCatedra2024&amp;Correo=zulma.velandia1@unisabana.edu.co3"/>
    <s v="PREGRADO"/>
    <n v="3"/>
    <x v="2"/>
  </r>
  <r>
    <s v="eduardo.acuna1@unisabana.edu.co1"/>
    <x v="15"/>
    <s v="CATEDRA"/>
    <s v="Si"/>
    <s v="https://ProfCatedra2024.sawtoothsoftware.com/cgi-bin/ciwweb.pl?studyname=ProfCatedra2024&amp;Correo=eduardo.acuna1@unisabana.edu.co1"/>
    <s v="PREGRADO"/>
    <n v="1"/>
    <x v="7"/>
  </r>
  <r>
    <s v="nancy.almanza@unisabana.edu.co1"/>
    <x v="15"/>
    <s v="CATEDRA"/>
    <s v="Si"/>
    <s v="https://ProfCatedra2024.sawtoothsoftware.com/cgi-bin/ciwweb.pl?studyname=ProfCatedra2024&amp;Correo=nancy.almanza@unisabana.edu.co1"/>
    <s v="PREGRADO"/>
    <n v="1"/>
    <x v="7"/>
  </r>
  <r>
    <s v="maria.areiza@unisabana.edu.co1"/>
    <x v="15"/>
    <s v="CATEDRA"/>
    <s v="No"/>
    <s v="https://ProfCatedra2024.sawtoothsoftware.com/cgi-bin/ciwweb.pl?studyname=ProfCatedra2024&amp;Correo=maria.areiza@unisabana.edu.co1"/>
    <s v="PREGRADO"/>
    <n v="1"/>
    <x v="7"/>
  </r>
  <r>
    <s v="gabriel.ariza1@unisabana.edu.co1"/>
    <x v="15"/>
    <s v="CATEDRA"/>
    <s v="No"/>
    <s v="https://ProfCatedra2024.sawtoothsoftware.com/cgi-bin/ciwweb.pl?studyname=ProfCatedra2024&amp;Correo=gabriel.ariza1@unisabana.edu.co1"/>
    <s v="PREGRADO"/>
    <n v="1"/>
    <x v="7"/>
  </r>
  <r>
    <s v="lina.avella@unisabana.edu.co1"/>
    <x v="15"/>
    <s v="CATEDRA"/>
    <s v="Si"/>
    <s v="https://ProfCatedra2024.sawtoothsoftware.com/cgi-bin/ciwweb.pl?studyname=ProfCatedra2024&amp;Correo=lina.avella@unisabana.edu.co1"/>
    <s v="PREGRADO"/>
    <n v="1"/>
    <x v="7"/>
  </r>
  <r>
    <s v="samuel.barbosa@unisabana.edu.co1"/>
    <x v="15"/>
    <s v="CATEDRA"/>
    <s v="Si"/>
    <s v="https://ProfCatedra2024.sawtoothsoftware.com/cgi-bin/ciwweb.pl?studyname=ProfCatedra2024&amp;Correo=samuel.barbosa@unisabana.edu.co1"/>
    <s v="PREGRADO"/>
    <n v="1"/>
    <x v="7"/>
  </r>
  <r>
    <s v="mayra.borda@unisabana.edu.co1"/>
    <x v="15"/>
    <s v="CATEDRA"/>
    <s v="Si"/>
    <s v="https://ProfCatedra2024.sawtoothsoftware.com/cgi-bin/ciwweb.pl?studyname=ProfCatedra2024&amp;Correo=mayra.borda@unisabana.edu.co1"/>
    <s v="PREGRADO"/>
    <n v="1"/>
    <x v="7"/>
  </r>
  <r>
    <s v="carlos.bustamante@unisabana.edu.co1"/>
    <x v="15"/>
    <s v="CATEDRA"/>
    <s v="No"/>
    <s v="https://ProfCatedra2024.sawtoothsoftware.com/cgi-bin/ciwweb.pl?studyname=ProfCatedra2024&amp;Correo=carlos.bustamante@unisabana.edu.co1"/>
    <s v="PREGRADO"/>
    <n v="1"/>
    <x v="7"/>
  </r>
  <r>
    <s v="ingrid.bustos2@unisabana.edu.co1"/>
    <x v="15"/>
    <s v="CATEDRA"/>
    <s v="No"/>
    <s v="https://ProfCatedra2024.sawtoothsoftware.com/cgi-bin/ciwweb.pl?studyname=ProfCatedra2024&amp;Correo=ingrid.bustos2@unisabana.edu.co1"/>
    <s v="PREGRADO"/>
    <n v="1"/>
    <x v="7"/>
  </r>
  <r>
    <s v="francisco.calle@unisabana.edu.co1"/>
    <x v="15"/>
    <s v="CATEDRA"/>
    <s v="No"/>
    <s v="https://ProfCatedra2024.sawtoothsoftware.com/cgi-bin/ciwweb.pl?studyname=ProfCatedra2024&amp;Correo=francisco.calle@unisabana.edu.co1"/>
    <s v="PREGRADO"/>
    <n v="1"/>
    <x v="7"/>
  </r>
  <r>
    <s v="hugo.camacho@unisabana.edu.co1"/>
    <x v="15"/>
    <s v="CATEDRA"/>
    <s v="Si"/>
    <s v="https://ProfCatedra2024.sawtoothsoftware.com/cgi-bin/ciwweb.pl?studyname=ProfCatedra2024&amp;Correo=hugo.camacho@unisabana.edu.co1"/>
    <s v="PREGRADO"/>
    <n v="1"/>
    <x v="7"/>
  </r>
  <r>
    <s v="jorge.casas1@unisabana.edu.co1"/>
    <x v="15"/>
    <s v="CATEDRA"/>
    <s v="No"/>
    <s v="https://ProfCatedra2024.sawtoothsoftware.com/cgi-bin/ciwweb.pl?studyname=ProfCatedra2024&amp;Correo=jorge.casas1@unisabana.edu.co1"/>
    <s v="PREGRADO"/>
    <n v="1"/>
    <x v="7"/>
  </r>
  <r>
    <s v="maria.charria1@unisabana.edu.co1"/>
    <x v="15"/>
    <s v="CATEDRA"/>
    <s v="Si"/>
    <s v="https://ProfCatedra2024.sawtoothsoftware.com/cgi-bin/ciwweb.pl?studyname=ProfCatedra2024&amp;Correo=maria.charria1@unisabana.edu.co1"/>
    <s v="PREGRADO"/>
    <n v="1"/>
    <x v="7"/>
  </r>
  <r>
    <s v="freddy.cifuentes1@unisabana.edu.co1"/>
    <x v="15"/>
    <s v="CATEDRA"/>
    <s v="No"/>
    <s v="https://ProfCatedra2024.sawtoothsoftware.com/cgi-bin/ciwweb.pl?studyname=ProfCatedra2024&amp;Correo=freddy.cifuentes1@unisabana.edu.co1"/>
    <s v="PREGRADO"/>
    <n v="1"/>
    <x v="7"/>
  </r>
  <r>
    <s v="angela.correal2@unisabana.edu.co1"/>
    <x v="15"/>
    <s v="CATEDRA"/>
    <s v="No"/>
    <s v="https://ProfCatedra2024.sawtoothsoftware.com/cgi-bin/ciwweb.pl?studyname=ProfCatedra2024&amp;Correo=angela.correal2@unisabana.edu.co1"/>
    <s v="PREGRADO"/>
    <n v="1"/>
    <x v="7"/>
  </r>
  <r>
    <s v="pedro.dussan@unisabana.edu.co1"/>
    <x v="15"/>
    <s v="CATEDRA"/>
    <s v="Si"/>
    <s v="https://ProfCatedra2024.sawtoothsoftware.com/cgi-bin/ciwweb.pl?studyname=ProfCatedra2024&amp;Correo=pedro.dussan@unisabana.edu.co1"/>
    <s v="PREGRADO"/>
    <n v="1"/>
    <x v="7"/>
  </r>
  <r>
    <s v="marisol.escano@unisabana.edu.co1"/>
    <x v="15"/>
    <s v="CATEDRA"/>
    <s v="No"/>
    <s v="https://ProfCatedra2024.sawtoothsoftware.com/cgi-bin/ciwweb.pl?studyname=ProfCatedra2024&amp;Correo=marisol.escano@unisabana.edu.co1"/>
    <s v="PREGRADO"/>
    <n v="1"/>
    <x v="7"/>
  </r>
  <r>
    <s v="german.fontanilla@unisabana.edu.co1"/>
    <x v="15"/>
    <s v="CATEDRA"/>
    <s v="No"/>
    <s v="https://ProfCatedra2024.sawtoothsoftware.com/cgi-bin/ciwweb.pl?studyname=ProfCatedra2024&amp;Correo=german.fontanilla@unisabana.edu.co1"/>
    <s v="PREGRADO"/>
    <n v="1"/>
    <x v="7"/>
  </r>
  <r>
    <s v="maria.gamboa1@unisabana.edu.co1"/>
    <x v="15"/>
    <s v="CATEDRA"/>
    <s v="Si"/>
    <s v="https://ProfCatedra2024.sawtoothsoftware.com/cgi-bin/ciwweb.pl?studyname=ProfCatedra2024&amp;Correo=maria.gamboa1@unisabana.edu.co1"/>
    <s v="PREGRADO"/>
    <n v="1"/>
    <x v="7"/>
  </r>
  <r>
    <s v="diana.garzon8@unisabana.edu.co1"/>
    <x v="15"/>
    <s v="CATEDRA"/>
    <s v="Si"/>
    <s v="https://ProfCatedra2024.sawtoothsoftware.com/cgi-bin/ciwweb.pl?studyname=ProfCatedra2024&amp;Correo=diana.garzon8@unisabana.edu.co1"/>
    <s v="PREGRADO"/>
    <n v="1"/>
    <x v="7"/>
  </r>
  <r>
    <s v="fabio.gil1@unisabana.edu.co1"/>
    <x v="15"/>
    <s v="CATEDRA"/>
    <s v="Si"/>
    <s v="https://ProfCatedra2024.sawtoothsoftware.com/cgi-bin/ciwweb.pl?studyname=ProfCatedra2024&amp;Correo=fabio.gil1@unisabana.edu.co1"/>
    <s v="PREGRADO"/>
    <n v="1"/>
    <x v="7"/>
  </r>
  <r>
    <s v="zhenia.guzman@unisabana.edu.co1"/>
    <x v="15"/>
    <s v="CATEDRA"/>
    <s v="No"/>
    <s v="https://ProfCatedra2024.sawtoothsoftware.com/cgi-bin/ciwweb.pl?studyname=ProfCatedra2024&amp;Correo=zhenia.guzman@unisabana.edu.co1"/>
    <s v="PREGRADO"/>
    <n v="1"/>
    <x v="7"/>
  </r>
  <r>
    <s v="guillermo.hunter@unisabana.edu.co1"/>
    <x v="15"/>
    <s v="CATEDRA"/>
    <s v="No"/>
    <s v="https://ProfCatedra2024.sawtoothsoftware.com/cgi-bin/ciwweb.pl?studyname=ProfCatedra2024&amp;Correo=guillermo.hunter@unisabana.edu.co1"/>
    <s v="PREGRADO"/>
    <n v="1"/>
    <x v="7"/>
  </r>
  <r>
    <s v="daniela.jurado@unisabana.edu.co1"/>
    <x v="15"/>
    <s v="CATEDRA"/>
    <s v="No"/>
    <s v="https://ProfCatedra2024.sawtoothsoftware.com/cgi-bin/ciwweb.pl?studyname=ProfCatedra2024&amp;Correo=daniela.jurado@unisabana.edu.co1"/>
    <s v="PREGRADO"/>
    <n v="1"/>
    <x v="7"/>
  </r>
  <r>
    <s v="diana.leguizamon@unisabana.edu.co1"/>
    <x v="15"/>
    <s v="CATEDRA"/>
    <s v="Si"/>
    <s v="https://ProfCatedra2024.sawtoothsoftware.com/cgi-bin/ciwweb.pl?studyname=ProfCatedra2024&amp;Correo=diana.leguizamon@unisabana.edu.co1"/>
    <s v="PREGRADO"/>
    <n v="1"/>
    <x v="7"/>
  </r>
  <r>
    <s v="angie.lopez1@unisabana.edu.co1"/>
    <x v="15"/>
    <s v="CATEDRA"/>
    <s v="No"/>
    <s v="https://ProfCatedra2024.sawtoothsoftware.com/cgi-bin/ciwweb.pl?studyname=ProfCatedra2024&amp;Correo=angie.lopez1@unisabana.edu.co1"/>
    <s v="PREGRADO"/>
    <n v="1"/>
    <x v="7"/>
  </r>
  <r>
    <s v="adriana.maldonado@unisabana.edu.co1"/>
    <x v="15"/>
    <s v="CATEDRA"/>
    <s v="Si"/>
    <s v="https://ProfCatedra2024.sawtoothsoftware.com/cgi-bin/ciwweb.pl?studyname=ProfCatedra2024&amp;Correo=adriana.maldonado@unisabana.edu.co1"/>
    <s v="PREGRADO"/>
    <n v="1"/>
    <x v="7"/>
  </r>
  <r>
    <s v="maria.martinez12@unisabana.edu.co1"/>
    <x v="15"/>
    <s v="CATEDRA"/>
    <s v="Si"/>
    <s v="https://ProfCatedra2024.sawtoothsoftware.com/cgi-bin/ciwweb.pl?studyname=ProfCatedra2024&amp;Correo=maria.martinez12@unisabana.edu.co1"/>
    <s v="PREGRADO"/>
    <n v="1"/>
    <x v="7"/>
  </r>
  <r>
    <s v="leidy.martinez4@unisabana.edu.co1"/>
    <x v="15"/>
    <s v="CATEDRA"/>
    <s v="Si"/>
    <s v="https://ProfCatedra2024.sawtoothsoftware.com/cgi-bin/ciwweb.pl?studyname=ProfCatedra2024&amp;Correo=leidy.martinez4@unisabana.edu.co1"/>
    <s v="PREGRADO"/>
    <n v="1"/>
    <x v="7"/>
  </r>
  <r>
    <s v="solange.monsalve1@unisabana.edu.co1"/>
    <x v="15"/>
    <s v="CATEDRA"/>
    <s v="Si"/>
    <s v="https://ProfCatedra2024.sawtoothsoftware.com/cgi-bin/ciwweb.pl?studyname=ProfCatedra2024&amp;Correo=solange.monsalve1@unisabana.edu.co1"/>
    <s v="PREGRADO"/>
    <n v="1"/>
    <x v="7"/>
  </r>
  <r>
    <s v="gina.montano1@unisabana.edu.co1"/>
    <x v="15"/>
    <s v="CATEDRA"/>
    <s v="Si"/>
    <s v="https://ProfCatedra2024.sawtoothsoftware.com/cgi-bin/ciwweb.pl?studyname=ProfCatedra2024&amp;Correo=gina.montano1@unisabana.edu.co1"/>
    <s v="PREGRADO"/>
    <n v="1"/>
    <x v="7"/>
  </r>
  <r>
    <s v="ana.moreno4@unisabana.edu.co1"/>
    <x v="15"/>
    <s v="CATEDRA"/>
    <s v="No"/>
    <s v="https://ProfCatedra2024.sawtoothsoftware.com/cgi-bin/ciwweb.pl?studyname=ProfCatedra2024&amp;Correo=ana.moreno4@unisabana.edu.co1"/>
    <s v="PREGRADO"/>
    <n v="1"/>
    <x v="7"/>
  </r>
  <r>
    <s v="nathaly.motta@unisabana.edu.co1"/>
    <x v="15"/>
    <s v="CATEDRA"/>
    <s v="No"/>
    <s v="https://ProfCatedra2024.sawtoothsoftware.com/cgi-bin/ciwweb.pl?studyname=ProfCatedra2024&amp;Correo=nathaly.motta@unisabana.edu.co1"/>
    <s v="PREGRADO"/>
    <n v="1"/>
    <x v="7"/>
  </r>
  <r>
    <s v="edgar.munoz1@unisabana.edu.co1"/>
    <x v="15"/>
    <s v="CATEDRA"/>
    <s v="No"/>
    <s v="https://ProfCatedra2024.sawtoothsoftware.com/cgi-bin/ciwweb.pl?studyname=ProfCatedra2024&amp;Correo=edgar.munoz1@unisabana.edu.co1"/>
    <s v="PREGRADO"/>
    <n v="1"/>
    <x v="7"/>
  </r>
  <r>
    <s v="fanny.nino@unisabana.edu.co1"/>
    <x v="15"/>
    <s v="CATEDRA"/>
    <s v="No"/>
    <s v="https://ProfCatedra2024.sawtoothsoftware.com/cgi-bin/ciwweb.pl?studyname=ProfCatedra2024&amp;Correo=fanny.nino@unisabana.edu.co1"/>
    <s v="PREGRADO"/>
    <n v="1"/>
    <x v="7"/>
  </r>
  <r>
    <s v="diananimo@unisabana.edu.co1"/>
    <x v="15"/>
    <s v="CATEDRA"/>
    <s v="Si"/>
    <s v="https://ProfCatedra2024.sawtoothsoftware.com/cgi-bin/ciwweb.pl?studyname=ProfCatedra2024&amp;Correo=diananimo@unisabana.edu.co1"/>
    <s v="PREGRADO"/>
    <n v="1"/>
    <x v="7"/>
  </r>
  <r>
    <s v="eder.ospino1@unisabana.edu.co1"/>
    <x v="15"/>
    <s v="CATEDRA"/>
    <s v="Si"/>
    <s v="https://ProfCatedra2024.sawtoothsoftware.com/cgi-bin/ciwweb.pl?studyname=ProfCatedra2024&amp;Correo=eder.ospino1@unisabana.edu.co1"/>
    <s v="PREGRADO"/>
    <n v="1"/>
    <x v="7"/>
  </r>
  <r>
    <s v="maria.paredes@unisabana.edu.co1"/>
    <x v="15"/>
    <s v="CATEDRA"/>
    <s v="Si"/>
    <s v="https://ProfCatedra2024.sawtoothsoftware.com/cgi-bin/ciwweb.pl?studyname=ProfCatedra2024&amp;Correo=maria.paredes@unisabana.edu.co1"/>
    <s v="PREGRADO"/>
    <n v="1"/>
    <x v="7"/>
  </r>
  <r>
    <s v="monica.parrado1@unisabana.edu.co1"/>
    <x v="15"/>
    <s v="CATEDRA"/>
    <s v="Si"/>
    <s v="https://ProfCatedra2024.sawtoothsoftware.com/cgi-bin/ciwweb.pl?studyname=ProfCatedra2024&amp;Correo=monica.parrado1@unisabana.edu.co1"/>
    <s v="PREGRADO"/>
    <n v="1"/>
    <x v="7"/>
  </r>
  <r>
    <s v="yeison.patarroyo@unisabana.edu.co1"/>
    <x v="15"/>
    <s v="CATEDRA"/>
    <s v="Si"/>
    <s v="https://ProfCatedra2024.sawtoothsoftware.com/cgi-bin/ciwweb.pl?studyname=ProfCatedra2024&amp;Correo=yeison.patarroyo@unisabana.edu.co1"/>
    <s v="PREGRADO"/>
    <n v="1"/>
    <x v="7"/>
  </r>
  <r>
    <s v="lida.pena1@unisabana.edu.co1"/>
    <x v="15"/>
    <s v="CATEDRA"/>
    <s v="Si"/>
    <s v="https://ProfCatedra2024.sawtoothsoftware.com/cgi-bin/ciwweb.pl?studyname=ProfCatedra2024&amp;Correo=lida.pena1@unisabana.edu.co1"/>
    <s v="PREGRADO"/>
    <n v="1"/>
    <x v="7"/>
  </r>
  <r>
    <s v="laura.perez2@unisabana.edu.co1"/>
    <x v="15"/>
    <s v="CATEDRA"/>
    <s v="No"/>
    <s v="https://ProfCatedra2024.sawtoothsoftware.com/cgi-bin/ciwweb.pl?studyname=ProfCatedra2024&amp;Correo=laura.perez2@unisabana.edu.co1"/>
    <s v="PREGRADO"/>
    <n v="1"/>
    <x v="7"/>
  </r>
  <r>
    <s v="luisa.prieto1@unisabana.edu.co1"/>
    <x v="15"/>
    <s v="CATEDRA"/>
    <s v="No"/>
    <s v="https://ProfCatedra2024.sawtoothsoftware.com/cgi-bin/ciwweb.pl?studyname=ProfCatedra2024&amp;Correo=luisa.prieto1@unisabana.edu.co1"/>
    <s v="PREGRADO"/>
    <n v="1"/>
    <x v="7"/>
  </r>
  <r>
    <s v="rocio.prieto@unisabana.edu.co1"/>
    <x v="15"/>
    <s v="CATEDRA"/>
    <s v="Si"/>
    <s v="https://ProfCatedra2024.sawtoothsoftware.com/cgi-bin/ciwweb.pl?studyname=ProfCatedra2024&amp;Correo=rocio.prieto@unisabana.edu.co1"/>
    <s v="PREGRADO"/>
    <n v="1"/>
    <x v="7"/>
  </r>
  <r>
    <s v="laura.rodriguez24@unisabana.edu.co1"/>
    <x v="15"/>
    <s v="CATEDRA"/>
    <s v="Si"/>
    <s v="https://ProfCatedra2024.sawtoothsoftware.com/cgi-bin/ciwweb.pl?studyname=ProfCatedra2024&amp;Correo=laura.rodriguez24@unisabana.edu.co1"/>
    <s v="PREGRADO"/>
    <n v="1"/>
    <x v="7"/>
  </r>
  <r>
    <s v="flor.rodriguez2@unisabana.edu.co1"/>
    <x v="15"/>
    <s v="CATEDRA"/>
    <s v="Si"/>
    <s v="https://ProfCatedra2024.sawtoothsoftware.com/cgi-bin/ciwweb.pl?studyname=ProfCatedra2024&amp;Correo=flor.rodriguez2@unisabana.edu.co1"/>
    <s v="PREGRADO"/>
    <n v="1"/>
    <x v="7"/>
  </r>
  <r>
    <s v="dario.rojas@unisabana.edu.co1"/>
    <x v="15"/>
    <s v="CATEDRA"/>
    <s v="Si"/>
    <s v="https://ProfCatedra2024.sawtoothsoftware.com/cgi-bin/ciwweb.pl?studyname=ProfCatedra2024&amp;Correo=dario.rojas@unisabana.edu.co1"/>
    <s v="PREGRADO"/>
    <n v="1"/>
    <x v="7"/>
  </r>
  <r>
    <s v="cesar.romero@unisabana.edu.co1"/>
    <x v="15"/>
    <s v="CATEDRA"/>
    <s v="Si"/>
    <s v="https://ProfCatedra2024.sawtoothsoftware.com/cgi-bin/ciwweb.pl?studyname=ProfCatedra2024&amp;Correo=cesar.romero@unisabana.edu.co1"/>
    <s v="PREGRADO"/>
    <n v="1"/>
    <x v="7"/>
  </r>
  <r>
    <s v="sergio.rubiano@unisabana.edu.co1"/>
    <x v="15"/>
    <s v="CATEDRA"/>
    <s v="Si"/>
    <s v="https://ProfCatedra2024.sawtoothsoftware.com/cgi-bin/ciwweb.pl?studyname=ProfCatedra2024&amp;Correo=sergio.rubiano@unisabana.edu.co1"/>
    <s v="PREGRADO"/>
    <n v="1"/>
    <x v="7"/>
  </r>
  <r>
    <s v="maria.sarmiento7@unisabana.edu.co1"/>
    <x v="15"/>
    <s v="CATEDRA"/>
    <s v="Si"/>
    <s v="https://ProfCatedra2024.sawtoothsoftware.com/cgi-bin/ciwweb.pl?studyname=ProfCatedra2024&amp;Correo=maria.sarmiento7@unisabana.edu.co1"/>
    <s v="PREGRADO"/>
    <n v="1"/>
    <x v="7"/>
  </r>
  <r>
    <s v="cristian.serrano@unisabana.edu.co1"/>
    <x v="15"/>
    <s v="CATEDRA"/>
    <s v="Si"/>
    <s v="https://ProfCatedra2024.sawtoothsoftware.com/cgi-bin/ciwweb.pl?studyname=ProfCatedra2024&amp;Correo=cristian.serrano@unisabana.edu.co1"/>
    <s v="PREGRADO"/>
    <n v="1"/>
    <x v="7"/>
  </r>
  <r>
    <s v="diana.suarez8@unisabana.edu.co1"/>
    <x v="15"/>
    <s v="CATEDRA"/>
    <s v="No"/>
    <s v="https://ProfCatedra2024.sawtoothsoftware.com/cgi-bin/ciwweb.pl?studyname=ProfCatedra2024&amp;Correo=diana.suarez8@unisabana.edu.co1"/>
    <s v="PREGRADO"/>
    <n v="1"/>
    <x v="7"/>
  </r>
  <r>
    <s v="Elga.Taboada@clinicaunisabana.edu.co1"/>
    <x v="15"/>
    <s v="CATEDRA"/>
    <s v="No"/>
    <s v="https://ProfCatedra2024.sawtoothsoftware.com/cgi-bin/ciwweb.pl?studyname=ProfCatedra2024&amp;Correo=Elga.Taboada@clinicaunisabana.edu.co1"/>
    <s v="PREGRADO"/>
    <n v="1"/>
    <x v="7"/>
  </r>
  <r>
    <s v="clara.tarazona@unisabana.edu.co1"/>
    <x v="15"/>
    <s v="CATEDRA"/>
    <s v="Si"/>
    <s v="https://ProfCatedra2024.sawtoothsoftware.com/cgi-bin/ciwweb.pl?studyname=ProfCatedra2024&amp;Correo=clara.tarazona@unisabana.edu.co1"/>
    <s v="PREGRADO"/>
    <n v="1"/>
    <x v="7"/>
  </r>
  <r>
    <s v="rafael.tinoco@unisabana.edu.co1"/>
    <x v="15"/>
    <s v="CATEDRA"/>
    <s v="No"/>
    <s v="https://ProfCatedra2024.sawtoothsoftware.com/cgi-bin/ciwweb.pl?studyname=ProfCatedra2024&amp;Correo=rafael.tinoco@unisabana.edu.co1"/>
    <s v="PREGRADO"/>
    <n v="1"/>
    <x v="7"/>
  </r>
  <r>
    <s v="angelicavadu@unisabana.edu.co1"/>
    <x v="15"/>
    <s v="CATEDRA"/>
    <s v="No"/>
    <s v="https://ProfCatedra2024.sawtoothsoftware.com/cgi-bin/ciwweb.pl?studyname=ProfCatedra2024&amp;Correo=angelicavadu@unisabana.edu.co1"/>
    <s v="PREGRADO"/>
    <n v="1"/>
    <x v="7"/>
  </r>
  <r>
    <s v="john.villegas@unisabana.edu.co1"/>
    <x v="15"/>
    <s v="CATEDRA"/>
    <s v="No"/>
    <s v="https://ProfCatedra2024.sawtoothsoftware.com/cgi-bin/ciwweb.pl?studyname=ProfCatedra2024&amp;Correo=john.villegas@unisabana.edu.co1"/>
    <s v="PREGRADO"/>
    <n v="1"/>
    <x v="7"/>
  </r>
  <r>
    <s v="kelly.zarate1@unisabana.edu.co1"/>
    <x v="15"/>
    <s v="CATEDRA"/>
    <s v="Si"/>
    <s v="https://ProfCatedra2024.sawtoothsoftware.com/cgi-bin/ciwweb.pl?studyname=ProfCatedra2024&amp;Correo=kelly.zarate1@unisabana.edu.co1"/>
    <s v="PREGRADO"/>
    <n v="1"/>
    <x v="7"/>
  </r>
  <r>
    <s v="adriana.castellanos@unisabana.edu.co1"/>
    <x v="22"/>
    <s v="PLANTA"/>
    <s v="Si"/>
    <s v="https://ProfPlanta2024.sawtoothsoftware.com/cgi-bin/ciwweb.pl?studyname=ProfPlanta2024&amp;Correo=adriana.castellanos@unisabana.edu.co1"/>
    <s v="PREGRADO"/>
    <n v="6"/>
    <x v="9"/>
  </r>
  <r>
    <s v="adriana.cavanzo1@unisabana.edu.co1"/>
    <x v="15"/>
    <s v="PLANTA"/>
    <s v="Si"/>
    <s v="https://ProfPlanta2024.sawtoothsoftware.com/cgi-bin/ciwweb.pl?studyname=ProfPlanta2024&amp;Correo=adriana.cavanzo1@unisabana.edu.co1"/>
    <s v="PREGRADO"/>
    <n v="1"/>
    <x v="7"/>
  </r>
  <r>
    <s v="adriana.guzman@unisabana.edu.co1"/>
    <x v="2"/>
    <s v="PLANTA"/>
    <s v="No"/>
    <s v="https://ProfPlanta2024.sawtoothsoftware.com/cgi-bin/ciwweb.pl?studyname=ProfPlanta2024&amp;Correo=adriana.guzman@unisabana.edu.co1"/>
    <s v="PREGRADO"/>
    <n v="3"/>
    <x v="2"/>
  </r>
  <r>
    <s v="aida.casadiego@unisabana.edu.co1"/>
    <x v="17"/>
    <s v="PLANTA"/>
    <s v="Si"/>
    <s v="https://ProfPlanta2024.sawtoothsoftware.com/cgi-bin/ciwweb.pl?studyname=ProfPlanta2024&amp;Correo=aida.casadiego@unisabana.edu.co1"/>
    <s v="PREGRADO"/>
    <n v="13"/>
    <x v="8"/>
  </r>
  <r>
    <s v="alba.siabatto@unisabana.edu.co1"/>
    <x v="29"/>
    <s v="PLANTA"/>
    <s v="Si"/>
    <s v="https://ProfPlanta2024.sawtoothsoftware.com/cgi-bin/ciwweb.pl?studyname=ProfPlanta2024&amp;Correo=alba.siabatto@unisabana.edu.co1"/>
    <s v="PREGRADO"/>
    <n v="2"/>
    <x v="4"/>
  </r>
  <r>
    <s v="albedro.cadena@unisabana.edu.co1"/>
    <x v="5"/>
    <s v="PLANTA"/>
    <s v="Si"/>
    <s v="https://ProfPlanta2024.sawtoothsoftware.com/cgi-bin/ciwweb.pl?studyname=ProfPlanta2024&amp;Correo=albedro.cadena@unisabana.edu.co1"/>
    <s v="PREGRADO"/>
    <n v="15"/>
    <x v="3"/>
  </r>
  <r>
    <s v="Alejandro.acosta1@unisabana.edu.co1"/>
    <x v="28"/>
    <s v="PLANTA"/>
    <s v="Si"/>
    <s v="https://ProfPlanta2024.sawtoothsoftware.com/cgi-bin/ciwweb.pl?studyname=ProfPlanta2024&amp;Correo=Alejandro.acosta1@unisabana.edu.co1"/>
    <s v="PREGRADO"/>
    <n v="8"/>
    <x v="0"/>
  </r>
  <r>
    <s v="alejandro.aponte@unisabana.edu.co1"/>
    <x v="8"/>
    <s v="PLANTA"/>
    <s v="Si"/>
    <s v="https://ProfPlanta2024.sawtoothsoftware.com/cgi-bin/ciwweb.pl?studyname=ProfPlanta2024&amp;Correo=alejandro.aponte@unisabana.edu.co1"/>
    <s v="PREGRADO"/>
    <n v="4"/>
    <x v="5"/>
  </r>
  <r>
    <s v="alexandra.pedraza@unisabana.edu.co1"/>
    <x v="1"/>
    <s v="PLANTA"/>
    <s v="No"/>
    <s v="https://ProfPlanta2024.sawtoothsoftware.com/cgi-bin/ciwweb.pl?studyname=ProfPlanta2024&amp;Correo=alexandra.pedraza@unisabana.edu.co1"/>
    <s v="PREGRADO"/>
    <n v="5"/>
    <x v="1"/>
  </r>
  <r>
    <s v="alfonsosava@unisabana.edu.co1"/>
    <x v="11"/>
    <s v="PLANTA"/>
    <s v="Si"/>
    <s v="https://ProfPlanta2024.sawtoothsoftware.com/cgi-bin/ciwweb.pl?studyname=ProfPlanta2024&amp;Correo=alfonsosava@unisabana.edu.co1"/>
    <s v="PREGRADO"/>
    <n v="8"/>
    <x v="0"/>
  </r>
  <r>
    <s v="alirio.bastidas@unisabana.edu.co1"/>
    <x v="15"/>
    <s v="PLANTA"/>
    <s v="Si"/>
    <s v="https://ProfPlanta2024.sawtoothsoftware.com/cgi-bin/ciwweb.pl?studyname=ProfPlanta2024&amp;Correo=alirio.bastidas@unisabana.edu.co1"/>
    <s v="PREGRADO"/>
    <n v="1"/>
    <x v="7"/>
  </r>
  <r>
    <s v="alvaro.mendoza@unisabana.edu.co1"/>
    <x v="8"/>
    <s v="PLANTA"/>
    <s v="Si"/>
    <s v="https://ProfPlanta2024.sawtoothsoftware.com/cgi-bin/ciwweb.pl?studyname=ProfPlanta2024&amp;Correo=alvaro.mendoza@unisabana.edu.co1"/>
    <s v="PREGRADO"/>
    <n v="4"/>
    <x v="5"/>
  </r>
  <r>
    <s v="alvaro.pedraza@unisabana.edu.co1"/>
    <x v="6"/>
    <s v="PLANTA"/>
    <s v="No"/>
    <s v="https://ProfPlanta2024.sawtoothsoftware.com/cgi-bin/ciwweb.pl?studyname=ProfPlanta2024&amp;Correo=alvaro.pedraza@unisabana.edu.co1"/>
    <s v="PREGRADO"/>
    <n v="2"/>
    <x v="4"/>
  </r>
  <r>
    <s v="ana.idarraga@unisabana.edu.co1"/>
    <x v="8"/>
    <s v="PLANTA"/>
    <s v="Si"/>
    <s v="https://ProfPlanta2024.sawtoothsoftware.com/cgi-bin/ciwweb.pl?studyname=ProfPlanta2024&amp;Correo=ana.idarraga@unisabana.edu.co1"/>
    <s v="PREGRADO"/>
    <n v="4"/>
    <x v="5"/>
  </r>
  <r>
    <s v="ana.santos@unisabana.edu.co1"/>
    <x v="15"/>
    <s v="PLANTA"/>
    <s v="Si"/>
    <s v="https://ProfPlanta2024.sawtoothsoftware.com/cgi-bin/ciwweb.pl?studyname=ProfPlanta2024&amp;Correo=ana.santos@unisabana.edu.co1"/>
    <s v="PREGRADO"/>
    <n v="1"/>
    <x v="7"/>
  </r>
  <r>
    <s v="ana.silva3@unisabana.edu.co1"/>
    <x v="22"/>
    <s v="PLANTA"/>
    <s v="Si"/>
    <s v="https://ProfPlanta2024.sawtoothsoftware.com/cgi-bin/ciwweb.pl?studyname=ProfPlanta2024&amp;Correo=ana.silva3@unisabana.edu.co1"/>
    <s v="PREGRADO"/>
    <n v="6"/>
    <x v="9"/>
  </r>
  <r>
    <s v="ana.ternent@unisabana.edu.co1"/>
    <x v="1"/>
    <s v="PLANTA"/>
    <s v="Si"/>
    <s v="https://ProfPlanta2024.sawtoothsoftware.com/cgi-bin/ciwweb.pl?studyname=ProfPlanta2024&amp;Correo=ana.ternent@unisabana.edu.co1"/>
    <s v="PREGRADO"/>
    <n v="5"/>
    <x v="1"/>
  </r>
  <r>
    <s v="ana.vargas@unisabana.edu.co1"/>
    <x v="1"/>
    <s v="PLANTA"/>
    <s v="Si"/>
    <s v="https://ProfPlanta2024.sawtoothsoftware.com/cgi-bin/ciwweb.pl?studyname=ProfPlanta2024&amp;Correo=ana.vargas@unisabana.edu.co1"/>
    <s v="PREGRADO"/>
    <n v="5"/>
    <x v="1"/>
  </r>
  <r>
    <s v="AnaGR@unisabana.edu.co1"/>
    <x v="8"/>
    <s v="PLANTA"/>
    <s v="Si"/>
    <s v="https://ProfPlanta2024.sawtoothsoftware.com/cgi-bin/ciwweb.pl?studyname=ProfPlanta2024&amp;Correo=AnaGR@unisabana.edu.co1"/>
    <s v="PREGRADO"/>
    <n v="4"/>
    <x v="5"/>
  </r>
  <r>
    <s v="Anasam@unisabana.edu.co1"/>
    <x v="17"/>
    <s v="PLANTA"/>
    <s v="Si"/>
    <s v="https://ProfPlanta2024.sawtoothsoftware.com/cgi-bin/ciwweb.pl?studyname=ProfPlanta2024&amp;Correo=Anasam@unisabana.edu.co1"/>
    <s v="PREGRADO"/>
    <n v="13"/>
    <x v="8"/>
  </r>
  <r>
    <s v="andres.agudelo@unisabana.edu.co1"/>
    <x v="26"/>
    <s v="PLANTA"/>
    <s v="Si"/>
    <s v="https://ProfPlanta2024.sawtoothsoftware.com/cgi-bin/ciwweb.pl?studyname=ProfPlanta2024&amp;Correo=andres.agudelo@unisabana.edu.co1"/>
    <s v="PREGRADO"/>
    <n v="4"/>
    <x v="5"/>
  </r>
  <r>
    <s v="andres.forero1@unisabana.edu.co1"/>
    <x v="10"/>
    <s v="PLANTA"/>
    <s v="Si"/>
    <s v="https://ProfPlanta2024.sawtoothsoftware.com/cgi-bin/ciwweb.pl?studyname=ProfPlanta2024&amp;Correo=andres.forero1@unisabana.edu.co1"/>
    <s v="PREGRADO"/>
    <n v="3"/>
    <x v="2"/>
  </r>
  <r>
    <s v="andres.lopez4@unisabana.edu.co1"/>
    <x v="26"/>
    <s v="PLANTA"/>
    <s v="Si"/>
    <s v="https://ProfPlanta2024.sawtoothsoftware.com/cgi-bin/ciwweb.pl?studyname=ProfPlanta2024&amp;Correo=andres.lopez4@unisabana.edu.co1"/>
    <s v="PREGRADO"/>
    <n v="4"/>
    <x v="5"/>
  </r>
  <r>
    <s v="andres.martinez8@unisabana.edu.co1"/>
    <x v="13"/>
    <s v="PLANTA"/>
    <s v="Si"/>
    <s v="https://ProfPlanta2024.sawtoothsoftware.com/cgi-bin/ciwweb.pl?studyname=ProfPlanta2024&amp;Correo=andres.martinez8@unisabana.edu.co1"/>
    <s v="PREGRADO"/>
    <n v="2"/>
    <x v="4"/>
  </r>
  <r>
    <s v="andres.munoz1@unisabana.edu.co1"/>
    <x v="9"/>
    <s v="PLANTA"/>
    <s v="Si"/>
    <s v="https://ProfPlanta2024.sawtoothsoftware.com/cgi-bin/ciwweb.pl?studyname=ProfPlanta2024&amp;Correo=andres.munoz1@unisabana.edu.co1"/>
    <s v="PREGRADO"/>
    <n v="2"/>
    <x v="4"/>
  </r>
  <r>
    <s v="andres.salazar@unisabana.edu.co1"/>
    <x v="17"/>
    <s v="PLANTA"/>
    <s v="Si"/>
    <s v="https://ProfPlanta2024.sawtoothsoftware.com/cgi-bin/ciwweb.pl?studyname=ProfPlanta2024&amp;Correo=andres.salazar@unisabana.edu.co1"/>
    <s v="PREGRADO"/>
    <n v="13"/>
    <x v="8"/>
  </r>
  <r>
    <s v="andres.villegas@unisabana.edu.co1"/>
    <x v="23"/>
    <s v="PLANTA"/>
    <s v="Si"/>
    <s v="https://ProfPlanta2024.sawtoothsoftware.com/cgi-bin/ciwweb.pl?studyname=ProfPlanta2024&amp;Correo=andres.villegas@unisabana.edu.co1"/>
    <s v="PREGRADO"/>
    <n v="2"/>
    <x v="4"/>
  </r>
  <r>
    <s v="angela.acero@unisabana.edu.co1"/>
    <x v="15"/>
    <s v="PLANTA"/>
    <s v="Si"/>
    <s v="https://ProfPlanta2024.sawtoothsoftware.com/cgi-bin/ciwweb.pl?studyname=ProfPlanta2024&amp;Correo=angela.acero@unisabana.edu.co1"/>
    <s v="PREGRADO"/>
    <n v="1"/>
    <x v="7"/>
  </r>
  <r>
    <s v="angela.delgado@unisabana.edu.co1"/>
    <x v="17"/>
    <s v="PLANTA"/>
    <s v="Si"/>
    <s v="https://ProfPlanta2024.sawtoothsoftware.com/cgi-bin/ciwweb.pl?studyname=ProfPlanta2024&amp;Correo=angela.delgado@unisabana.edu.co1"/>
    <s v="PREGRADO"/>
    <n v="13"/>
    <x v="8"/>
  </r>
  <r>
    <s v="angela.gamba@unisabana.edu.co1"/>
    <x v="5"/>
    <s v="PLANTA"/>
    <s v="Si"/>
    <s v="https://ProfPlanta2024.sawtoothsoftware.com/cgi-bin/ciwweb.pl?studyname=ProfPlanta2024&amp;Correo=angela.gamba@unisabana.edu.co1"/>
    <s v="PREGRADO"/>
    <n v="15"/>
    <x v="3"/>
  </r>
  <r>
    <s v="angela.moncaleano@unisabana.edu.co1"/>
    <x v="8"/>
    <s v="PLANTA"/>
    <s v="Si"/>
    <s v="https://ProfPlanta2024.sawtoothsoftware.com/cgi-bin/ciwweb.pl?studyname=ProfPlanta2024&amp;Correo=angela.moncaleano@unisabana.edu.co1"/>
    <s v="PREGRADO"/>
    <n v="4"/>
    <x v="5"/>
  </r>
  <r>
    <s v="angela.preciado@unisabana.edu.co1"/>
    <x v="19"/>
    <s v="PLANTA"/>
    <s v="Si"/>
    <s v="https://ProfPlanta2024.sawtoothsoftware.com/cgi-bin/ciwweb.pl?studyname=ProfPlanta2024&amp;Correo=angela.preciado@unisabana.edu.co1"/>
    <s v="PREGRADO"/>
    <n v="3"/>
    <x v="2"/>
  </r>
  <r>
    <s v="angela.rubiano@unisabana.edu.co1"/>
    <x v="16"/>
    <s v="PLANTA"/>
    <s v="Si"/>
    <s v="https://ProfPlanta2024.sawtoothsoftware.com/cgi-bin/ciwweb.pl?studyname=ProfPlanta2024&amp;Correo=angela.rubiano@unisabana.edu.co1"/>
    <s v="PREGRADO"/>
    <n v="5"/>
    <x v="1"/>
  </r>
  <r>
    <s v="angelica.ospina@unisabana.edu.co1"/>
    <x v="24"/>
    <s v="PLANTA"/>
    <s v="Si"/>
    <s v="https://ProfPlanta2024.sawtoothsoftware.com/cgi-bin/ciwweb.pl?studyname=ProfPlanta2024&amp;Correo=angelica.ospina@unisabana.edu.co1"/>
    <s v="PREGRADO"/>
    <n v="6"/>
    <x v="9"/>
  </r>
  <r>
    <s v="angelica.ramirez2@unisabana.edu.co1"/>
    <x v="5"/>
    <s v="PLANTA"/>
    <s v="Si"/>
    <s v="https://ProfPlanta2024.sawtoothsoftware.com/cgi-bin/ciwweb.pl?studyname=ProfPlanta2024&amp;Correo=angelica.ramirez2@unisabana.edu.co1"/>
    <s v="PREGRADO"/>
    <n v="15"/>
    <x v="3"/>
  </r>
  <r>
    <s v="anna.filomena@unisabana.edu.co1"/>
    <x v="13"/>
    <s v="PLANTA"/>
    <s v="Si"/>
    <s v="https://ProfPlanta2024.sawtoothsoftware.com/cgi-bin/ciwweb.pl?studyname=ProfPlanta2024&amp;Correo=anna.filomena@unisabana.edu.co1"/>
    <s v="PREGRADO"/>
    <n v="2"/>
    <x v="4"/>
  </r>
  <r>
    <s v="astrid.robayo@unisabana.edu.co1"/>
    <x v="22"/>
    <s v="PLANTA"/>
    <s v="Si"/>
    <s v="https://ProfPlanta2024.sawtoothsoftware.com/cgi-bin/ciwweb.pl?studyname=ProfPlanta2024&amp;Correo=astrid.robayo@unisabana.edu.co1"/>
    <s v="PREGRADO"/>
    <n v="6"/>
    <x v="9"/>
  </r>
  <r>
    <s v="bibiana.zapata@unisabana.edu.co1"/>
    <x v="5"/>
    <s v="PLANTA"/>
    <s v="Si"/>
    <s v="https://ProfPlanta2024.sawtoothsoftware.com/cgi-bin/ciwweb.pl?studyname=ProfPlanta2024&amp;Correo=bibiana.zapata@unisabana.edu.co1"/>
    <s v="PREGRADO"/>
    <n v="15"/>
    <x v="3"/>
  </r>
  <r>
    <s v="camila.figueroa1@unisabana.edu.co1"/>
    <x v="28"/>
    <s v="PLANTA"/>
    <s v="Si"/>
    <s v="https://ProfPlanta2024.sawtoothsoftware.com/cgi-bin/ciwweb.pl?studyname=ProfPlanta2024&amp;Correo=camila.figueroa1@unisabana.edu.co1"/>
    <s v="PREGRADO"/>
    <n v="8"/>
    <x v="0"/>
  </r>
  <r>
    <s v="camila.herrera@unisabana.edu.co1"/>
    <x v="8"/>
    <s v="PLANTA"/>
    <s v="Si"/>
    <s v="https://ProfPlanta2024.sawtoothsoftware.com/cgi-bin/ciwweb.pl?studyname=ProfPlanta2024&amp;Correo=camila.herrera@unisabana.edu.co1"/>
    <s v="PREGRADO"/>
    <n v="4"/>
    <x v="5"/>
  </r>
  <r>
    <s v="camilo.arias@unisabana.edu.co1"/>
    <x v="18"/>
    <s v="PLANTA"/>
    <s v="Si"/>
    <s v="https://ProfPlanta2024.sawtoothsoftware.com/cgi-bin/ciwweb.pl?studyname=ProfPlanta2024&amp;Correo=camilo.arias@unisabana.edu.co1"/>
    <s v="PREGRADO"/>
    <n v="2"/>
    <x v="4"/>
  </r>
  <r>
    <s v="camilo.botero@unisabana.edu.co1"/>
    <x v="18"/>
    <s v="PLANTA"/>
    <s v="Si"/>
    <s v="https://ProfPlanta2024.sawtoothsoftware.com/cgi-bin/ciwweb.pl?studyname=ProfPlanta2024&amp;Correo=camilo.botero@unisabana.edu.co1"/>
    <s v="PREGRADO"/>
    <n v="2"/>
    <x v="4"/>
  </r>
  <r>
    <s v="camilo.correal@unisabana.edu.co1"/>
    <x v="15"/>
    <s v="PLANTA"/>
    <s v="Si"/>
    <s v="https://ProfPlanta2024.sawtoothsoftware.com/cgi-bin/ciwweb.pl?studyname=ProfPlanta2024&amp;Correo=camilo.correal@unisabana.edu.co1"/>
    <s v="PREGRADO"/>
    <n v="1"/>
    <x v="7"/>
  </r>
  <r>
    <s v="camilo.posada@unisabana.edu.co1"/>
    <x v="8"/>
    <s v="PLANTA"/>
    <s v="Si"/>
    <s v="https://ProfPlanta2024.sawtoothsoftware.com/cgi-bin/ciwweb.pl?studyname=ProfPlanta2024&amp;Correo=camilo.posada@unisabana.edu.co1"/>
    <s v="PREGRADO"/>
    <n v="4"/>
    <x v="5"/>
  </r>
  <r>
    <s v="camilo.rengifo@unisabana.edu.co1"/>
    <x v="11"/>
    <s v="PLANTA"/>
    <s v="Si"/>
    <s v="https://ProfPlanta2024.sawtoothsoftware.com/cgi-bin/ciwweb.pl?studyname=ProfPlanta2024&amp;Correo=camilo.rengifo@unisabana.edu.co1"/>
    <s v="PREGRADO"/>
    <n v="8"/>
    <x v="0"/>
  </r>
  <r>
    <s v="camilo.rincon2@unisabana.edu.co1"/>
    <x v="12"/>
    <s v="PLANTA"/>
    <s v="No"/>
    <s v="https://ProfPlanta2024.sawtoothsoftware.com/cgi-bin/ciwweb.pl?studyname=ProfPlanta2024&amp;Correo=camilo.rincon2@unisabana.edu.co1"/>
    <s v="PREGRADO"/>
    <n v="9"/>
    <x v="6"/>
  </r>
  <r>
    <s v="carlos.bernal7@unisabana.edu.co1"/>
    <x v="8"/>
    <s v="PLANTA"/>
    <s v="Si"/>
    <s v="https://ProfPlanta2024.sawtoothsoftware.com/cgi-bin/ciwweb.pl?studyname=ProfPlanta2024&amp;Correo=carlos.bernal7@unisabana.edu.co1"/>
    <s v="PREGRADO"/>
    <n v="4"/>
    <x v="5"/>
  </r>
  <r>
    <s v="carlos.castro@unisabana.edu.co1"/>
    <x v="8"/>
    <s v="PLANTA"/>
    <s v="Si"/>
    <s v="https://ProfPlanta2024.sawtoothsoftware.com/cgi-bin/ciwweb.pl?studyname=ProfPlanta2024&amp;Correo=carlos.castro@unisabana.edu.co1"/>
    <s v="PREGRADO"/>
    <n v="4"/>
    <x v="5"/>
  </r>
  <r>
    <s v="carlos.dominguez@unisabana.edu.co1"/>
    <x v="15"/>
    <s v="PLANTA"/>
    <s v="No"/>
    <s v="https://ProfPlanta2024.sawtoothsoftware.com/cgi-bin/ciwweb.pl?studyname=ProfPlanta2024&amp;Correo=carlos.dominguez@unisabana.edu.co1"/>
    <s v="PREGRADO"/>
    <n v="1"/>
    <x v="7"/>
  </r>
  <r>
    <s v="carlos.dominguez2@unisabana.edu.co1"/>
    <x v="0"/>
    <s v="PLANTA"/>
    <s v="Si"/>
    <s v="https://ProfPlanta2024.sawtoothsoftware.com/cgi-bin/ciwweb.pl?studyname=ProfPlanta2024&amp;Correo=carlos.dominguez2@unisabana.edu.co1"/>
    <s v="PREGRADO"/>
    <n v="8"/>
    <x v="0"/>
  </r>
  <r>
    <s v="carlos.gutierrez6@unisabana.edu.co1"/>
    <x v="10"/>
    <s v="PLANTA"/>
    <s v="Si"/>
    <s v="https://ProfPlanta2024.sawtoothsoftware.com/cgi-bin/ciwweb.pl?studyname=ProfPlanta2024&amp;Correo=carlos.gutierrez6@unisabana.edu.co1"/>
    <s v="PREGRADO"/>
    <n v="3"/>
    <x v="2"/>
  </r>
  <r>
    <s v="carlos.jimenez@unisabana.edu.co1"/>
    <x v="28"/>
    <s v="PLANTA"/>
    <s v="Si"/>
    <s v="https://ProfPlanta2024.sawtoothsoftware.com/cgi-bin/ciwweb.pl?studyname=ProfPlanta2024&amp;Correo=carlos.jimenez@unisabana.edu.co1"/>
    <s v="PREGRADO"/>
    <n v="8"/>
    <x v="0"/>
  </r>
  <r>
    <s v="carlos.jimenez3@unisabana.edu.co1"/>
    <x v="29"/>
    <s v="PLANTA"/>
    <s v="Si"/>
    <s v="https://ProfPlanta2024.sawtoothsoftware.com/cgi-bin/ciwweb.pl?studyname=ProfPlanta2024&amp;Correo=carlos.jimenez3@unisabana.edu.co1"/>
    <s v="PREGRADO"/>
    <n v="2"/>
    <x v="4"/>
  </r>
  <r>
    <s v="carlos.mera@unisabana.edu.co1"/>
    <x v="4"/>
    <s v="PLANTA"/>
    <s v="Si"/>
    <s v="https://ProfPlanta2024.sawtoothsoftware.com/cgi-bin/ciwweb.pl?studyname=ProfPlanta2024&amp;Correo=carlos.mera@unisabana.edu.co1"/>
    <s v="PREGRADO"/>
    <n v="8"/>
    <x v="0"/>
  </r>
  <r>
    <s v="carlos.monroy@unisabana.edu.co1"/>
    <x v="12"/>
    <s v="PLANTA"/>
    <s v="Si"/>
    <s v="https://ProfPlanta2024.sawtoothsoftware.com/cgi-bin/ciwweb.pl?studyname=ProfPlanta2024&amp;Correo=carlos.monroy@unisabana.edu.co1"/>
    <s v="PREGRADO"/>
    <n v="9"/>
    <x v="6"/>
  </r>
  <r>
    <s v="carlos.montes1@unisabana.edu.co1"/>
    <x v="21"/>
    <s v="PLANTA"/>
    <s v="Si"/>
    <s v="https://ProfPlanta2024.sawtoothsoftware.com/cgi-bin/ciwweb.pl?studyname=ProfPlanta2024&amp;Correo=carlos.montes1@unisabana.edu.co1"/>
    <s v="PREGRADO"/>
    <n v="8"/>
    <x v="0"/>
  </r>
  <r>
    <s v="carlos.rodriguez13@unisabana.edu.co1"/>
    <x v="19"/>
    <s v="PLANTA"/>
    <s v="No"/>
    <s v="https://ProfPlanta2024.sawtoothsoftware.com/cgi-bin/ciwweb.pl?studyname=ProfPlanta2024&amp;Correo=carlos.rodriguez13@unisabana.edu.co1"/>
    <s v="PREGRADO"/>
    <n v="3"/>
    <x v="2"/>
  </r>
  <r>
    <s v="carlos.salgado2@unisabana.edu.co1"/>
    <x v="9"/>
    <s v="PLANTA"/>
    <s v="Si"/>
    <s v="https://ProfPlanta2024.sawtoothsoftware.com/cgi-bin/ciwweb.pl?studyname=ProfPlanta2024&amp;Correo=carlos.salgado2@unisabana.edu.co1"/>
    <s v="PREGRADO"/>
    <n v="2"/>
    <x v="4"/>
  </r>
  <r>
    <s v="carloscp@unisabana.edu.co1"/>
    <x v="12"/>
    <s v="PLANTA"/>
    <s v="Si"/>
    <s v="https://ProfPlanta2024.sawtoothsoftware.com/cgi-bin/ciwweb.pl?studyname=ProfPlanta2024&amp;Correo=carloscp@unisabana.edu.co1"/>
    <s v="PREGRADO"/>
    <n v="9"/>
    <x v="6"/>
  </r>
  <r>
    <s v="carolina.plata1@unisabana.edu.co1"/>
    <x v="12"/>
    <s v="PLANTA"/>
    <s v="Si"/>
    <s v="https://ProfPlanta2024.sawtoothsoftware.com/cgi-bin/ciwweb.pl?studyname=ProfPlanta2024&amp;Correo=carolina.plata1@unisabana.edu.co1"/>
    <s v="PREGRADO"/>
    <n v="9"/>
    <x v="6"/>
  </r>
  <r>
    <s v="cesar.bernal@unisabana.edu.co1"/>
    <x v="7"/>
    <s v="PLANTA"/>
    <s v="Si"/>
    <s v="https://ProfPlanta2024.sawtoothsoftware.com/cgi-bin/ciwweb.pl?studyname=ProfPlanta2024&amp;Correo=cesar.bernal@unisabana.edu.co1"/>
    <s v="PREGRADO"/>
    <n v="2"/>
    <x v="4"/>
  </r>
  <r>
    <s v="cesar.nino@unisabana.edu.co1"/>
    <x v="22"/>
    <s v="PLANTA"/>
    <s v="Si"/>
    <s v="https://ProfPlanta2024.sawtoothsoftware.com/cgi-bin/ciwweb.pl?studyname=ProfPlanta2024&amp;Correo=cesar.nino@unisabana.edu.co1"/>
    <s v="PREGRADO"/>
    <n v="6"/>
    <x v="9"/>
  </r>
  <r>
    <s v="christian.morales@unisabana.edu.co1"/>
    <x v="5"/>
    <s v="PLANTA"/>
    <s v="Si"/>
    <s v="https://ProfPlanta2024.sawtoothsoftware.com/cgi-bin/ciwweb.pl?studyname=ProfPlanta2024&amp;Correo=christian.morales@unisabana.edu.co1"/>
    <s v="PREGRADO"/>
    <n v="15"/>
    <x v="3"/>
  </r>
  <r>
    <s v="ciro.parra@unisabana.edu.co1"/>
    <x v="1"/>
    <s v="PLANTA"/>
    <s v="No"/>
    <s v="https://ProfPlanta2024.sawtoothsoftware.com/cgi-bin/ciwweb.pl?studyname=ProfPlanta2024&amp;Correo=ciro.parra@unisabana.edu.co1"/>
    <s v="PREGRADO"/>
    <n v="5"/>
    <x v="1"/>
  </r>
  <r>
    <s v="claudia.acero@unisabana.edu.co1"/>
    <x v="5"/>
    <s v="PLANTA"/>
    <s v="Si"/>
    <s v="https://ProfPlanta2024.sawtoothsoftware.com/cgi-bin/ciwweb.pl?studyname=ProfPlanta2024&amp;Correo=claudia.acero@unisabana.edu.co1"/>
    <s v="PREGRADO"/>
    <n v="15"/>
    <x v="3"/>
  </r>
  <r>
    <s v="claudia.garzon@unisabana.edu.co1"/>
    <x v="4"/>
    <s v="PLANTA"/>
    <s v="Si"/>
    <s v="https://ProfPlanta2024.sawtoothsoftware.com/cgi-bin/ciwweb.pl?studyname=ProfPlanta2024&amp;Correo=claudia.garzon@unisabana.edu.co1"/>
    <s v="PREGRADO"/>
    <n v="8"/>
    <x v="0"/>
  </r>
  <r>
    <s v="claudia.jaimes2@unisabana.edu.co1"/>
    <x v="15"/>
    <s v="PLANTA"/>
    <s v="Si"/>
    <s v="https://ProfPlanta2024.sawtoothsoftware.com/cgi-bin/ciwweb.pl?studyname=ProfPlanta2024&amp;Correo=claudia.jaimes2@unisabana.edu.co1"/>
    <s v="PREGRADO"/>
    <n v="1"/>
    <x v="7"/>
  </r>
  <r>
    <s v="claudia.mora@unisabana.edu.co1"/>
    <x v="15"/>
    <s v="PLANTA"/>
    <s v="No"/>
    <s v="https://ProfPlanta2024.sawtoothsoftware.com/cgi-bin/ciwweb.pl?studyname=ProfPlanta2024&amp;Correo=claudia.mora@unisabana.edu.co1"/>
    <s v="PREGRADO"/>
    <n v="1"/>
    <x v="7"/>
  </r>
  <r>
    <s v="cristhian.matusan@unisabana.edu.co1"/>
    <x v="8"/>
    <s v="PLANTA"/>
    <s v="Si"/>
    <s v="https://ProfPlanta2024.sawtoothsoftware.com/cgi-bin/ciwweb.pl?studyname=ProfPlanta2024&amp;Correo=cristhian.matusan@unisabana.edu.co1"/>
    <s v="PREGRADO"/>
    <n v="4"/>
    <x v="5"/>
  </r>
  <r>
    <s v="cristian.conen@unisabana.edu.co1"/>
    <x v="17"/>
    <s v="PLANTA"/>
    <s v="Si"/>
    <s v="https://ProfPlanta2024.sawtoothsoftware.com/cgi-bin/ciwweb.pl?studyname=ProfPlanta2024&amp;Correo=cristian.conen@unisabana.edu.co1"/>
    <s v="PREGRADO"/>
    <n v="13"/>
    <x v="8"/>
  </r>
  <r>
    <s v="cristian.penagos@unisabana.edu.co1"/>
    <x v="11"/>
    <s v="PLANTA"/>
    <s v="Si"/>
    <s v="https://ProfPlanta2024.sawtoothsoftware.com/cgi-bin/ciwweb.pl?studyname=ProfPlanta2024&amp;Correo=cristian.penagos@unisabana.edu.co1"/>
    <s v="PREGRADO"/>
    <n v="8"/>
    <x v="0"/>
  </r>
  <r>
    <s v="cristian.rojas@unisabana.edu.co1"/>
    <x v="26"/>
    <s v="PLANTA"/>
    <s v="Si"/>
    <s v="https://ProfPlanta2024.sawtoothsoftware.com/cgi-bin/ciwweb.pl?studyname=ProfPlanta2024&amp;Correo=cristian.rojas@unisabana.edu.co1"/>
    <s v="PREGRADO"/>
    <n v="4"/>
    <x v="5"/>
  </r>
  <r>
    <s v="cristina.bohorquez1@unisabana.edu.co1"/>
    <x v="24"/>
    <s v="PLANTA"/>
    <s v="Si"/>
    <s v="https://ProfPlanta2024.sawtoothsoftware.com/cgi-bin/ciwweb.pl?studyname=ProfPlanta2024&amp;Correo=cristina.bohorquez1@unisabana.edu.co1"/>
    <s v="PREGRADO"/>
    <n v="6"/>
    <x v="9"/>
  </r>
  <r>
    <s v="CristinaRP@unisabana.edu.co1"/>
    <x v="5"/>
    <s v="PLANTA"/>
    <s v="Si"/>
    <s v="https://ProfPlanta2024.sawtoothsoftware.com/cgi-bin/ciwweb.pl?studyname=ProfPlanta2024&amp;Correo=CristinaRP@unisabana.edu.co1"/>
    <s v="PREGRADO"/>
    <n v="15"/>
    <x v="3"/>
  </r>
  <r>
    <s v="daniel.botero@unisabana.edu.co1"/>
    <x v="15"/>
    <s v="PLANTA"/>
    <s v="Si"/>
    <s v="https://ProfPlanta2024.sawtoothsoftware.com/cgi-bin/ciwweb.pl?studyname=ProfPlanta2024&amp;Correo=daniel.botero@unisabana.edu.co1"/>
    <s v="PREGRADO"/>
    <n v="1"/>
    <x v="7"/>
  </r>
  <r>
    <s v="daniel.gomez4@unisabana.edu.co1"/>
    <x v="18"/>
    <s v="PLANTA"/>
    <s v="Si"/>
    <s v="https://ProfPlanta2024.sawtoothsoftware.com/cgi-bin/ciwweb.pl?studyname=ProfPlanta2024&amp;Correo=daniel.gomez4@unisabana.edu.co1"/>
    <s v="PREGRADO"/>
    <n v="2"/>
    <x v="4"/>
  </r>
  <r>
    <s v="daniel.morales@unisabana.edu.co1"/>
    <x v="4"/>
    <s v="PLANTA"/>
    <s v="No"/>
    <s v="https://ProfPlanta2024.sawtoothsoftware.com/cgi-bin/ciwweb.pl?studyname=ProfPlanta2024&amp;Correo=daniel.morales@unisabana.edu.co1"/>
    <s v="PREGRADO"/>
    <n v="8"/>
    <x v="0"/>
  </r>
  <r>
    <s v="daniel.rodriguez1@unisabana.edu.co1"/>
    <x v="11"/>
    <s v="PLANTA"/>
    <s v="Si"/>
    <s v="https://ProfPlanta2024.sawtoothsoftware.com/cgi-bin/ciwweb.pl?studyname=ProfPlanta2024&amp;Correo=daniel.rodriguez1@unisabana.edu.co1"/>
    <s v="PREGRADO"/>
    <n v="8"/>
    <x v="0"/>
  </r>
  <r>
    <s v="daniela.henao1@unisabana.edu.co1"/>
    <x v="8"/>
    <s v="PLANTA"/>
    <s v="Si"/>
    <s v="https://ProfPlanta2024.sawtoothsoftware.com/cgi-bin/ciwweb.pl?studyname=ProfPlanta2024&amp;Correo=daniela.henao1@unisabana.edu.co1"/>
    <s v="PREGRADO"/>
    <n v="4"/>
    <x v="5"/>
  </r>
  <r>
    <s v="danny.illera@unisabana.edu.co1"/>
    <x v="0"/>
    <s v="PLANTA"/>
    <s v="Si"/>
    <s v="https://ProfPlanta2024.sawtoothsoftware.com/cgi-bin/ciwweb.pl?studyname=ProfPlanta2024&amp;Correo=danny.illera@unisabana.edu.co1"/>
    <s v="PREGRADO"/>
    <n v="8"/>
    <x v="0"/>
  </r>
  <r>
    <s v="david.celeita@unisabana.edu.co1"/>
    <x v="0"/>
    <s v="PLANTA"/>
    <s v="Si"/>
    <s v="https://ProfPlanta2024.sawtoothsoftware.com/cgi-bin/ciwweb.pl?studyname=ProfPlanta2024&amp;Correo=david.celeita@unisabana.edu.co1"/>
    <s v="PREGRADO"/>
    <n v="8"/>
    <x v="0"/>
  </r>
  <r>
    <s v="diana.duran2@unisabana.edu.co1"/>
    <x v="5"/>
    <s v="PLANTA"/>
    <s v="Si"/>
    <s v="https://ProfPlanta2024.sawtoothsoftware.com/cgi-bin/ciwweb.pl?studyname=ProfPlanta2024&amp;Correo=diana.duran2@unisabana.edu.co1"/>
    <s v="PREGRADO"/>
    <n v="15"/>
    <x v="3"/>
  </r>
  <r>
    <s v="diana.gallego@unisabana.edu.co1"/>
    <x v="22"/>
    <s v="PLANTA"/>
    <s v="Si"/>
    <s v="https://ProfPlanta2024.sawtoothsoftware.com/cgi-bin/ciwweb.pl?studyname=ProfPlanta2024&amp;Correo=diana.gallego@unisabana.edu.co1"/>
    <s v="PREGRADO"/>
    <n v="6"/>
    <x v="9"/>
  </r>
  <r>
    <s v="diana.gomez21@unisabana.edu.co1"/>
    <x v="5"/>
    <s v="PLANTA"/>
    <s v="Si"/>
    <s v="https://ProfPlanta2024.sawtoothsoftware.com/cgi-bin/ciwweb.pl?studyname=ProfPlanta2024&amp;Correo=diana.gomez21@unisabana.edu.co1"/>
    <s v="PREGRADO"/>
    <n v="15"/>
    <x v="3"/>
  </r>
  <r>
    <s v="dianaar@unisabana.edu.co1"/>
    <x v="22"/>
    <s v="PLANTA"/>
    <s v="Si"/>
    <s v="https://ProfPlanta2024.sawtoothsoftware.com/cgi-bin/ciwweb.pl?studyname=ProfPlanta2024&amp;Correo=dianaar@unisabana.edu.co1"/>
    <s v="PREGRADO"/>
    <n v="6"/>
    <x v="9"/>
  </r>
  <r>
    <s v="diego.aldana@unisabana.edu.co1"/>
    <x v="15"/>
    <s v="PLANTA"/>
    <s v="Si"/>
    <s v="https://ProfPlanta2024.sawtoothsoftware.com/cgi-bin/ciwweb.pl?studyname=ProfPlanta2024&amp;Correo=diego.aldana@unisabana.edu.co1"/>
    <s v="PREGRADO"/>
    <n v="1"/>
    <x v="7"/>
  </r>
  <r>
    <s v="diego.becerra2@unisabana.edu.co1"/>
    <x v="1"/>
    <s v="PLANTA"/>
    <s v="No"/>
    <s v="https://ProfPlanta2024.sawtoothsoftware.com/cgi-bin/ciwweb.pl?studyname=ProfPlanta2024&amp;Correo=diego.becerra2@unisabana.edu.co1"/>
    <s v="PREGRADO"/>
    <n v="5"/>
    <x v="1"/>
  </r>
  <r>
    <s v="diego.carvajal1@unisabana.edu.co1"/>
    <x v="11"/>
    <s v="PLANTA"/>
    <s v="No"/>
    <s v="https://ProfPlanta2024.sawtoothsoftware.com/cgi-bin/ciwweb.pl?studyname=ProfPlanta2024&amp;Correo=diego.carvajal1@unisabana.edu.co1"/>
    <s v="PREGRADO"/>
    <n v="8"/>
    <x v="0"/>
  </r>
  <r>
    <s v="diego.duarte1@unisabana.edu.co1"/>
    <x v="11"/>
    <s v="PLANTA"/>
    <s v="Si"/>
    <s v="https://ProfPlanta2024.sawtoothsoftware.com/cgi-bin/ciwweb.pl?studyname=ProfPlanta2024&amp;Correo=diego.duarte1@unisabana.edu.co1"/>
    <s v="PREGRADO"/>
    <n v="8"/>
    <x v="0"/>
  </r>
  <r>
    <s v="diego.josa1@unisabana.edu.co1"/>
    <x v="15"/>
    <s v="PLANTA"/>
    <s v="Si"/>
    <s v="https://ProfPlanta2024.sawtoothsoftware.com/cgi-bin/ciwweb.pl?studyname=ProfPlanta2024&amp;Correo=diego.josa1@unisabana.edu.co1"/>
    <s v="PREGRADO"/>
    <n v="1"/>
    <x v="7"/>
  </r>
  <r>
    <s v="diego.rodriguez3@unisabana.edu.co1"/>
    <x v="1"/>
    <s v="PLANTA"/>
    <s v="Si"/>
    <s v="https://ProfPlanta2024.sawtoothsoftware.com/cgi-bin/ciwweb.pl?studyname=ProfPlanta2024&amp;Correo=diego.rodriguez3@unisabana.edu.co1"/>
    <s v="PREGRADO"/>
    <n v="5"/>
    <x v="1"/>
  </r>
  <r>
    <s v="diego.sandoval@unisabana.edu.co1"/>
    <x v="11"/>
    <s v="PLANTA"/>
    <s v="Si"/>
    <s v="https://ProfPlanta2024.sawtoothsoftware.com/cgi-bin/ciwweb.pl?studyname=ProfPlanta2024&amp;Correo=diego.sandoval@unisabana.edu.co1"/>
    <s v="PREGRADO"/>
    <n v="8"/>
    <x v="0"/>
  </r>
  <r>
    <s v="diego.sierra1@clinicaunisabana.edu.co1"/>
    <x v="15"/>
    <s v="PLANTA"/>
    <s v="No"/>
    <s v="https://ProfPlanta2024.sawtoothsoftware.com/cgi-bin/ciwweb.pl?studyname=ProfPlanta2024&amp;Correo=diego.sierra1@clinicaunisabana.edu.co1"/>
    <s v="PREGRADO"/>
    <n v="1"/>
    <x v="7"/>
  </r>
  <r>
    <s v="edgar.lizcano@unisabana.edu.co1"/>
    <x v="7"/>
    <s v="PLANTA"/>
    <s v="Si"/>
    <s v="https://ProfPlanta2024.sawtoothsoftware.com/cgi-bin/ciwweb.pl?studyname=ProfPlanta2024&amp;Correo=edgar.lizcano@unisabana.edu.co1"/>
    <s v="PREGRADO"/>
    <n v="2"/>
    <x v="4"/>
  </r>
  <r>
    <s v="edgar.mayorga@unisabana.edu.co1"/>
    <x v="11"/>
    <s v="PLANTA"/>
    <s v="Si"/>
    <s v="https://ProfPlanta2024.sawtoothsoftware.com/cgi-bin/ciwweb.pl?studyname=ProfPlanta2024&amp;Correo=edgar.mayorga@unisabana.edu.co1"/>
    <s v="PREGRADO"/>
    <n v="8"/>
    <x v="0"/>
  </r>
  <r>
    <s v="edgar.riveros@unisabana.edu.co1"/>
    <x v="12"/>
    <s v="PLANTA"/>
    <s v="Si"/>
    <s v="https://ProfPlanta2024.sawtoothsoftware.com/cgi-bin/ciwweb.pl?studyname=ProfPlanta2024&amp;Correo=edgar.riveros@unisabana.edu.co1"/>
    <s v="PREGRADO"/>
    <n v="9"/>
    <x v="6"/>
  </r>
  <r>
    <s v="edilberto.garcia1@unisabana.edu.co1"/>
    <x v="5"/>
    <s v="PLANTA"/>
    <s v="No"/>
    <s v="https://ProfPlanta2024.sawtoothsoftware.com/cgi-bin/ciwweb.pl?studyname=ProfPlanta2024&amp;Correo=edilberto.garcia1@unisabana.edu.co1"/>
    <s v="PREGRADO"/>
    <n v="15"/>
    <x v="3"/>
  </r>
  <r>
    <s v="edward.acero@unisabana.edu.co1"/>
    <x v="15"/>
    <s v="PLANTA"/>
    <s v="Si"/>
    <s v="https://ProfPlanta2024.sawtoothsoftware.com/cgi-bin/ciwweb.pl?studyname=ProfPlanta2024&amp;Correo=edward.acero@unisabana.edu.co1"/>
    <s v="PREGRADO"/>
    <n v="1"/>
    <x v="7"/>
  </r>
  <r>
    <s v="edward.goyeneche@unisabana.edu.co1"/>
    <x v="10"/>
    <s v="PLANTA"/>
    <s v="Si"/>
    <s v="https://ProfPlanta2024.sawtoothsoftware.com/cgi-bin/ciwweb.pl?studyname=ProfPlanta2024&amp;Correo=edward.goyeneche@unisabana.edu.co1"/>
    <s v="PREGRADO"/>
    <n v="3"/>
    <x v="2"/>
  </r>
  <r>
    <s v="edwinchp@unisabana.edu.co1"/>
    <x v="8"/>
    <s v="PLANTA"/>
    <s v="Si"/>
    <s v="https://ProfPlanta2024.sawtoothsoftware.com/cgi-bin/ciwweb.pl?studyname=ProfPlanta2024&amp;Correo=edwinchp@unisabana.edu.co1"/>
    <s v="PREGRADO"/>
    <n v="4"/>
    <x v="5"/>
  </r>
  <r>
    <s v="elga.vargas@unisabana.edu.co1"/>
    <x v="15"/>
    <s v="PLANTA"/>
    <s v="Si"/>
    <s v="https://ProfPlanta2024.sawtoothsoftware.com/cgi-bin/ciwweb.pl?studyname=ProfPlanta2024&amp;Correo=elga.vargas@unisabana.edu.co1"/>
    <s v="PREGRADO"/>
    <n v="1"/>
    <x v="7"/>
  </r>
  <r>
    <s v="erick.vilaro@unisabana.edu.co1"/>
    <x v="2"/>
    <s v="PLANTA"/>
    <s v="Si"/>
    <s v="https://ProfPlanta2024.sawtoothsoftware.com/cgi-bin/ciwweb.pl?studyname=ProfPlanta2024&amp;Correo=erick.vilaro@unisabana.edu.co1"/>
    <s v="PREGRADO"/>
    <n v="3"/>
    <x v="2"/>
  </r>
  <r>
    <s v="erika.duque@unisabana.edu.co1"/>
    <x v="27"/>
    <s v="PLANTA"/>
    <s v="Si"/>
    <s v="https://ProfPlanta2024.sawtoothsoftware.com/cgi-bin/ciwweb.pl?studyname=ProfPlanta2024&amp;Correo=erika.duque@unisabana.edu.co1"/>
    <s v="PREGRADO"/>
    <n v="16"/>
    <x v="11"/>
  </r>
  <r>
    <s v="erlyn.solano@unisabana.edu.co1"/>
    <x v="30"/>
    <s v="PLANTA"/>
    <s v="Si"/>
    <s v="https://ProfPlanta2024.sawtoothsoftware.com/cgi-bin/ciwweb.pl?studyname=ProfPlanta2024&amp;Correo=erlyn.solano@unisabana.edu.co1"/>
    <s v="PREGRADO"/>
    <n v="2"/>
    <x v="4"/>
  </r>
  <r>
    <s v="erwin.hernandez1@unisabana.edu.co1"/>
    <x v="15"/>
    <s v="PLANTA"/>
    <s v="Si"/>
    <s v="https://ProfPlanta2024.sawtoothsoftware.com/cgi-bin/ciwweb.pl?studyname=ProfPlanta2024&amp;Correo=erwin.hernandez1@unisabana.edu.co1"/>
    <s v="PREGRADO"/>
    <n v="1"/>
    <x v="7"/>
  </r>
  <r>
    <s v="esteban.lopez1@unisabana.edu.co1"/>
    <x v="11"/>
    <s v="PLANTA"/>
    <s v="Si"/>
    <s v="https://ProfPlanta2024.sawtoothsoftware.com/cgi-bin/ciwweb.pl?studyname=ProfPlanta2024&amp;Correo=esteban.lopez1@unisabana.edu.co1"/>
    <s v="PREGRADO"/>
    <n v="8"/>
    <x v="0"/>
  </r>
  <r>
    <s v="estefania.losada@unisabana.edu.co1"/>
    <x v="25"/>
    <s v="PLANTA"/>
    <s v="No"/>
    <s v="https://ProfPlanta2024.sawtoothsoftware.com/cgi-bin/ciwweb.pl?studyname=ProfPlanta2024&amp;Correo=estefania.losada@unisabana.edu.co1"/>
    <s v="PREGRADO"/>
    <n v="7"/>
    <x v="10"/>
  </r>
  <r>
    <s v="fanny.almenarez@unisabana.edu.co1"/>
    <x v="27"/>
    <s v="PLANTA"/>
    <s v="No"/>
    <s v="https://ProfPlanta2024.sawtoothsoftware.com/cgi-bin/ciwweb.pl?studyname=ProfPlanta2024&amp;Correo=fanny.almenarez@unisabana.edu.co1"/>
    <s v="PREGRADO"/>
    <n v="16"/>
    <x v="11"/>
  </r>
  <r>
    <s v="felipe.cardenas@unisabana.edu.co1"/>
    <x v="1"/>
    <s v="PLANTA"/>
    <s v="Si"/>
    <s v="https://ProfPlanta2024.sawtoothsoftware.com/cgi-bin/ciwweb.pl?studyname=ProfPlanta2024&amp;Correo=felipe.cardenas@unisabana.edu.co1"/>
    <s v="PREGRADO"/>
    <n v="5"/>
    <x v="1"/>
  </r>
  <r>
    <s v="felipe.castilla1@unisabana.edu.co1"/>
    <x v="13"/>
    <s v="PLANTA"/>
    <s v="Si"/>
    <s v="https://ProfPlanta2024.sawtoothsoftware.com/cgi-bin/ciwweb.pl?studyname=ProfPlanta2024&amp;Correo=felipe.castilla1@unisabana.edu.co1"/>
    <s v="PREGRADO"/>
    <n v="2"/>
    <x v="4"/>
  </r>
  <r>
    <s v="felix.mohr@unisabana.edu.co1"/>
    <x v="4"/>
    <s v="PLANTA"/>
    <s v="Si"/>
    <s v="https://ProfPlanta2024.sawtoothsoftware.com/cgi-bin/ciwweb.pl?studyname=ProfPlanta2024&amp;Correo=felix.mohr@unisabana.edu.co1"/>
    <s v="PREGRADO"/>
    <n v="8"/>
    <x v="0"/>
  </r>
  <r>
    <s v="fernando.cvitanic@unisabana.edu.co1"/>
    <x v="10"/>
    <s v="PLANTA"/>
    <s v="Si"/>
    <s v="https://ProfPlanta2024.sawtoothsoftware.com/cgi-bin/ciwweb.pl?studyname=ProfPlanta2024&amp;Correo=fernando.cvitanic@unisabana.edu.co1"/>
    <s v="PREGRADO"/>
    <n v="3"/>
    <x v="2"/>
  </r>
  <r>
    <s v="fernando.lizcano@unisabana.edu.co1"/>
    <x v="15"/>
    <s v="PLANTA"/>
    <s v="Si"/>
    <s v="https://ProfPlanta2024.sawtoothsoftware.com/cgi-bin/ciwweb.pl?studyname=ProfPlanta2024&amp;Correo=fernando.lizcano@unisabana.edu.co1"/>
    <s v="PREGRADO"/>
    <n v="1"/>
    <x v="7"/>
  </r>
  <r>
    <s v="fernando.rios@unisabana.edu.co1"/>
    <x v="15"/>
    <s v="PLANTA"/>
    <s v="Si"/>
    <s v="https://ProfPlanta2024.sawtoothsoftware.com/cgi-bin/ciwweb.pl?studyname=ProfPlanta2024&amp;Correo=fernando.rios@unisabana.edu.co1"/>
    <s v="PREGRADO"/>
    <n v="1"/>
    <x v="7"/>
  </r>
  <r>
    <s v="flor.baracaldo@unisabana.edu.co1"/>
    <x v="12"/>
    <s v="PLANTA"/>
    <s v="Si"/>
    <s v="https://ProfPlanta2024.sawtoothsoftware.com/cgi-bin/ciwweb.pl?studyname=ProfPlanta2024&amp;Correo=flor.baracaldo@unisabana.edu.co1"/>
    <s v="PREGRADO"/>
    <n v="9"/>
    <x v="6"/>
  </r>
  <r>
    <s v="gabriel.soche@unisabana.edu.co1"/>
    <x v="4"/>
    <s v="PLANTA"/>
    <s v="Si"/>
    <s v="https://ProfPlanta2024.sawtoothsoftware.com/cgi-bin/ciwweb.pl?studyname=ProfPlanta2024&amp;Correo=gabriel.soche@unisabana.edu.co1"/>
    <s v="PREGRADO"/>
    <n v="8"/>
    <x v="0"/>
  </r>
  <r>
    <s v="gabriela.caez@unisabana.edu.co1"/>
    <x v="28"/>
    <s v="PLANTA"/>
    <s v="Si"/>
    <s v="https://ProfPlanta2024.sawtoothsoftware.com/cgi-bin/ciwweb.pl?studyname=ProfPlanta2024&amp;Correo=gabriela.caez@unisabana.edu.co1"/>
    <s v="PREGRADO"/>
    <n v="8"/>
    <x v="0"/>
  </r>
  <r>
    <s v="gilberto.gamboa@unisabana.edu.co1"/>
    <x v="15"/>
    <s v="PLANTA"/>
    <s v="Si"/>
    <s v="https://ProfPlanta2024.sawtoothsoftware.com/cgi-bin/ciwweb.pl?studyname=ProfPlanta2024&amp;Correo=gilberto.gamboa@unisabana.edu.co1"/>
    <s v="PREGRADO"/>
    <n v="1"/>
    <x v="7"/>
  </r>
  <r>
    <s v="gina.velasco@unisabana.edu.co1"/>
    <x v="22"/>
    <s v="PLANTA"/>
    <s v="Si"/>
    <s v="https://ProfPlanta2024.sawtoothsoftware.com/cgi-bin/ciwweb.pl?studyname=ProfPlanta2024&amp;Correo=gina.velasco@unisabana.edu.co1"/>
    <s v="PREGRADO"/>
    <n v="6"/>
    <x v="9"/>
  </r>
  <r>
    <s v="Ginnagl@unisabana.edu.co1"/>
    <x v="24"/>
    <s v="PLANTA"/>
    <s v="Si"/>
    <s v="https://ProfPlanta2024.sawtoothsoftware.com/cgi-bin/ciwweb.pl?studyname=ProfPlanta2024&amp;Correo=Ginnagl@unisabana.edu.co1"/>
    <s v="PREGRADO"/>
    <n v="6"/>
    <x v="9"/>
  </r>
  <r>
    <s v="giovana.rojas@unisabana.edu.co1"/>
    <x v="8"/>
    <s v="PLANTA"/>
    <s v="Si"/>
    <s v="https://ProfPlanta2024.sawtoothsoftware.com/cgi-bin/ciwweb.pl?studyname=ProfPlanta2024&amp;Correo=giovana.rojas@unisabana.edu.co1"/>
    <s v="PREGRADO"/>
    <n v="4"/>
    <x v="5"/>
  </r>
  <r>
    <s v="gonzalo.mejia@unisabana.edu.co1"/>
    <x v="11"/>
    <s v="PLANTA"/>
    <s v="Si"/>
    <s v="https://ProfPlanta2024.sawtoothsoftware.com/cgi-bin/ciwweb.pl?studyname=ProfPlanta2024&amp;Correo=gonzalo.mejia@unisabana.edu.co1"/>
    <s v="PREGRADO"/>
    <n v="8"/>
    <x v="0"/>
  </r>
  <r>
    <s v="guido.castro@unisabana.edu.co1"/>
    <x v="7"/>
    <s v="PLANTA"/>
    <s v="Si"/>
    <s v="https://ProfPlanta2024.sawtoothsoftware.com/cgi-bin/ciwweb.pl?studyname=ProfPlanta2024&amp;Correo=guido.castro@unisabana.edu.co1"/>
    <s v="PREGRADO"/>
    <n v="2"/>
    <x v="4"/>
  </r>
  <r>
    <s v="hanier.fajardo@unisabana.edu.co1"/>
    <x v="24"/>
    <s v="PLANTA"/>
    <s v="Si"/>
    <s v="https://ProfPlanta2024.sawtoothsoftware.com/cgi-bin/ciwweb.pl?studyname=ProfPlanta2024&amp;Correo=hanier.fajardo@unisabana.edu.co1"/>
    <s v="PREGRADO"/>
    <n v="6"/>
    <x v="9"/>
  </r>
  <r>
    <s v="henry.leon@clinicaunisabana.edu.co1"/>
    <x v="15"/>
    <s v="PLANTA"/>
    <s v="Si"/>
    <s v="https://ProfPlanta2024.sawtoothsoftware.com/cgi-bin/ciwweb.pl?studyname=ProfPlanta2024&amp;Correo=henry.leon@clinicaunisabana.edu.co1"/>
    <s v="PREGRADO"/>
    <n v="1"/>
    <x v="7"/>
  </r>
  <r>
    <s v="henry.oliveros@unisabana.edu.co1"/>
    <x v="15"/>
    <s v="PLANTA"/>
    <s v="No"/>
    <s v="https://ProfPlanta2024.sawtoothsoftware.com/cgi-bin/ciwweb.pl?studyname=ProfPlanta2024&amp;Correo=henry.oliveros@unisabana.edu.co1"/>
    <s v="PREGRADO"/>
    <n v="1"/>
    <x v="7"/>
  </r>
  <r>
    <s v="hilba.guzman1@unisabana.edu.co1"/>
    <x v="19"/>
    <s v="PLANTA"/>
    <s v="Si"/>
    <s v="https://ProfPlanta2024.sawtoothsoftware.com/cgi-bin/ciwweb.pl?studyname=ProfPlanta2024&amp;Correo=hilba.guzman1@unisabana.edu.co1"/>
    <s v="PREGRADO"/>
    <n v="3"/>
    <x v="2"/>
  </r>
  <r>
    <s v="ignacio.briceno@unisabana.edu.co1"/>
    <x v="15"/>
    <s v="PLANTA"/>
    <s v="Si"/>
    <s v="https://ProfPlanta2024.sawtoothsoftware.com/cgi-bin/ciwweb.pl?studyname=ProfPlanta2024&amp;Correo=ignacio.briceno@unisabana.edu.co1"/>
    <s v="PREGRADO"/>
    <n v="1"/>
    <x v="7"/>
  </r>
  <r>
    <s v="indira.rodriguez@unisabana.edu.co1"/>
    <x v="22"/>
    <s v="PLANTA"/>
    <s v="Si"/>
    <s v="https://ProfPlanta2024.sawtoothsoftware.com/cgi-bin/ciwweb.pl?studyname=ProfPlanta2024&amp;Correo=indira.rodriguez@unisabana.edu.co1"/>
    <s v="PREGRADO"/>
    <n v="6"/>
    <x v="9"/>
  </r>
  <r>
    <s v="ingrid.ruiz@unisabana.edu.co1"/>
    <x v="10"/>
    <s v="PLANTA"/>
    <s v="Si"/>
    <s v="https://ProfPlanta2024.sawtoothsoftware.com/cgi-bin/ciwweb.pl?studyname=ProfPlanta2024&amp;Correo=ingrid.ruiz@unisabana.edu.co1"/>
    <s v="PREGRADO"/>
    <n v="3"/>
    <x v="2"/>
  </r>
  <r>
    <s v="ivan.serrano@unisabana.edu.co1"/>
    <x v="21"/>
    <s v="PLANTA"/>
    <s v="Si"/>
    <s v="https://ProfPlanta2024.sawtoothsoftware.com/cgi-bin/ciwweb.pl?studyname=ProfPlanta2024&amp;Correo=ivan.serrano@unisabana.edu.co1"/>
    <s v="PREGRADO"/>
    <n v="8"/>
    <x v="0"/>
  </r>
  <r>
    <s v="ivon.guevara@unisabana.edu.co1"/>
    <x v="17"/>
    <s v="PLANTA"/>
    <s v="Si"/>
    <s v="https://ProfPlanta2024.sawtoothsoftware.com/cgi-bin/ciwweb.pl?studyname=ProfPlanta2024&amp;Correo=ivon.guevara@unisabana.edu.co1"/>
    <s v="PREGRADO"/>
    <n v="13"/>
    <x v="8"/>
  </r>
  <r>
    <s v="IVONPACA@UNISABANA.EDU.CO1"/>
    <x v="15"/>
    <s v="PLANTA"/>
    <s v="Si"/>
    <s v="https://ProfPlanta2024.sawtoothsoftware.com/cgi-bin/ciwweb.pl?studyname=ProfPlanta2024&amp;Correo=IVONPACA@UNISABANA.EDU.CO1"/>
    <s v="PREGRADO"/>
    <n v="1"/>
    <x v="7"/>
  </r>
  <r>
    <s v="Jaime.Rodriguez3@unisabana.edu.co1"/>
    <x v="7"/>
    <s v="PLANTA"/>
    <s v="Si"/>
    <s v="https://ProfPlanta2024.sawtoothsoftware.com/cgi-bin/ciwweb.pl?studyname=ProfPlanta2024&amp;Correo=Jaime.Rodriguez3@unisabana.edu.co1"/>
    <s v="PREGRADO"/>
    <n v="2"/>
    <x v="4"/>
  </r>
  <r>
    <s v="JaimeFe@unisabana.edu.co1"/>
    <x v="15"/>
    <s v="PLANTA"/>
    <s v="No"/>
    <s v="https://ProfPlanta2024.sawtoothsoftware.com/cgi-bin/ciwweb.pl?studyname=ProfPlanta2024&amp;Correo=JaimeFe@unisabana.edu.co1"/>
    <s v="PREGRADO"/>
    <n v="1"/>
    <x v="7"/>
  </r>
  <r>
    <s v="janeth.lizcano@unisabana.edu.co1"/>
    <x v="8"/>
    <s v="PLANTA"/>
    <s v="Si"/>
    <s v="https://ProfPlanta2024.sawtoothsoftware.com/cgi-bin/ciwweb.pl?studyname=ProfPlanta2024&amp;Correo=janeth.lizcano@unisabana.edu.co1"/>
    <s v="PREGRADO"/>
    <n v="4"/>
    <x v="5"/>
  </r>
  <r>
    <s v="Javierpc@unisabana.edu.co1"/>
    <x v="10"/>
    <s v="PLANTA"/>
    <s v="Si"/>
    <s v="https://ProfPlanta2024.sawtoothsoftware.com/cgi-bin/ciwweb.pl?studyname=ProfPlanta2024&amp;Correo=Javierpc@unisabana.edu.co1"/>
    <s v="PREGRADO"/>
    <n v="3"/>
    <x v="2"/>
  </r>
  <r>
    <s v="jenny.rodriguez11@unisabana.edu.co1"/>
    <x v="8"/>
    <s v="PLANTA"/>
    <s v="Si"/>
    <s v="https://ProfPlanta2024.sawtoothsoftware.com/cgi-bin/ciwweb.pl?studyname=ProfPlanta2024&amp;Correo=jenny.rodriguez11@unisabana.edu.co1"/>
    <s v="PREGRADO"/>
    <n v="4"/>
    <x v="5"/>
  </r>
  <r>
    <s v="jennyfer.camargo@unisabana.edu.co1"/>
    <x v="5"/>
    <s v="PLANTA"/>
    <s v="Si"/>
    <s v="https://ProfPlanta2024.sawtoothsoftware.com/cgi-bin/ciwweb.pl?studyname=ProfPlanta2024&amp;Correo=jennyfer.camargo@unisabana.edu.co1"/>
    <s v="PREGRADO"/>
    <n v="15"/>
    <x v="3"/>
  </r>
  <r>
    <s v="jimmy.mendieta@unisabana.edu.co1"/>
    <x v="22"/>
    <s v="PLANTA"/>
    <s v="Si"/>
    <s v="https://ProfPlanta2024.sawtoothsoftware.com/cgi-bin/ciwweb.pl?studyname=ProfPlanta2024&amp;Correo=jimmy.mendieta@unisabana.edu.co1"/>
    <s v="PREGRADO"/>
    <n v="6"/>
    <x v="9"/>
  </r>
  <r>
    <s v="joaquin.erazo@unisabana.edu.co1"/>
    <x v="10"/>
    <s v="PLANTA"/>
    <s v="Si"/>
    <s v="https://ProfPlanta2024.sawtoothsoftware.com/cgi-bin/ciwweb.pl?studyname=ProfPlanta2024&amp;Correo=joaquin.erazo@unisabana.edu.co1"/>
    <s v="PREGRADO"/>
    <n v="3"/>
    <x v="2"/>
  </r>
  <r>
    <s v="johanna.choconta1@unisabana.edu.co1"/>
    <x v="16"/>
    <s v="PLANTA"/>
    <s v="Si"/>
    <s v="https://ProfPlanta2024.sawtoothsoftware.com/cgi-bin/ciwweb.pl?studyname=ProfPlanta2024&amp;Correo=johanna.choconta1@unisabana.edu.co1"/>
    <s v="PREGRADO"/>
    <n v="5"/>
    <x v="1"/>
  </r>
  <r>
    <s v="johanna.jimenez1@unisabana.edu.co1"/>
    <x v="15"/>
    <s v="PLANTA"/>
    <s v="Si"/>
    <s v="https://ProfPlanta2024.sawtoothsoftware.com/cgi-bin/ciwweb.pl?studyname=ProfPlanta2024&amp;Correo=johanna.jimenez1@unisabana.edu.co1"/>
    <s v="PREGRADO"/>
    <n v="1"/>
    <x v="7"/>
  </r>
  <r>
    <s v="john.londono@unisabana.edu.co1"/>
    <x v="15"/>
    <s v="PLANTA"/>
    <s v="Si"/>
    <s v="https://ProfPlanta2024.sawtoothsoftware.com/cgi-bin/ciwweb.pl?studyname=ProfPlanta2024&amp;Correo=john.londono@unisabana.edu.co1"/>
    <s v="PREGRADO"/>
    <n v="1"/>
    <x v="7"/>
  </r>
  <r>
    <s v="jorge.arbelaez@unisabana.edu.co1"/>
    <x v="25"/>
    <s v="PLANTA"/>
    <s v="Si"/>
    <s v="https://ProfPlanta2024.sawtoothsoftware.com/cgi-bin/ciwweb.pl?studyname=ProfPlanta2024&amp;Correo=jorge.arbelaez@unisabana.edu.co1"/>
    <s v="PREGRADO"/>
    <n v="7"/>
    <x v="10"/>
  </r>
  <r>
    <s v="jorge.castellanos@unisabana.edu.co1"/>
    <x v="0"/>
    <s v="PLANTA"/>
    <s v="Si"/>
    <s v="https://ProfPlanta2024.sawtoothsoftware.com/cgi-bin/ciwweb.pl?studyname=ProfPlanta2024&amp;Correo=jorge.castellanos@unisabana.edu.co1"/>
    <s v="PREGRADO"/>
    <n v="8"/>
    <x v="0"/>
  </r>
  <r>
    <s v="jorge.gaitan@unisabana.edu.co1"/>
    <x v="5"/>
    <s v="PLANTA"/>
    <s v="Si"/>
    <s v="https://ProfPlanta2024.sawtoothsoftware.com/cgi-bin/ciwweb.pl?studyname=ProfPlanta2024&amp;Correo=jorge.gaitan@unisabana.edu.co1"/>
    <s v="PREGRADO"/>
    <n v="15"/>
    <x v="3"/>
  </r>
  <r>
    <s v="jose.guanipa@unisabana.edu.co1"/>
    <x v="8"/>
    <s v="PLANTA"/>
    <s v="Si"/>
    <s v="https://ProfPlanta2024.sawtoothsoftware.com/cgi-bin/ciwweb.pl?studyname=ProfPlanta2024&amp;Correo=jose.guanipa@unisabana.edu.co1"/>
    <s v="PREGRADO"/>
    <n v="4"/>
    <x v="5"/>
  </r>
  <r>
    <s v="jose.rodriguez3@unisabana.edu.co1"/>
    <x v="26"/>
    <s v="PLANTA"/>
    <s v="Si"/>
    <s v="https://ProfPlanta2024.sawtoothsoftware.com/cgi-bin/ciwweb.pl?studyname=ProfPlanta2024&amp;Correo=jose.rodriguez3@unisabana.edu.co1"/>
    <s v="PREGRADO"/>
    <n v="4"/>
    <x v="5"/>
  </r>
  <r>
    <s v="jose.suarez1@unisabana.edu.co1"/>
    <x v="17"/>
    <s v="PLANTA"/>
    <s v="Si"/>
    <s v="https://ProfPlanta2024.sawtoothsoftware.com/cgi-bin/ciwweb.pl?studyname=ProfPlanta2024&amp;Correo=jose.suarez1@unisabana.edu.co1"/>
    <s v="PREGRADO"/>
    <n v="13"/>
    <x v="8"/>
  </r>
  <r>
    <s v="juan.aranda@unisabana.edu.co1"/>
    <x v="31"/>
    <s v="PLANTA"/>
    <s v="Si"/>
    <s v="https://ProfPlanta2024.sawtoothsoftware.com/cgi-bin/ciwweb.pl?studyname=ProfPlanta2024&amp;Correo=juan.aranda@unisabana.edu.co1"/>
    <s v="PREGRADO"/>
    <n v="8"/>
    <x v="0"/>
  </r>
  <r>
    <s v="juan.cardenas4@unisabana.edu.co1"/>
    <x v="10"/>
    <s v="PLANTA"/>
    <s v="No"/>
    <s v="https://ProfPlanta2024.sawtoothsoftware.com/cgi-bin/ciwweb.pl?studyname=ProfPlanta2024&amp;Correo=juan.cardenas4@unisabana.edu.co1"/>
    <s v="PREGRADO"/>
    <n v="3"/>
    <x v="2"/>
  </r>
  <r>
    <s v="juan.castro2@unisabana.edu.co1"/>
    <x v="10"/>
    <s v="PLANTA"/>
    <s v="Si"/>
    <s v="https://ProfPlanta2024.sawtoothsoftware.com/cgi-bin/ciwweb.pl?studyname=ProfPlanta2024&amp;Correo=juan.castro2@unisabana.edu.co1"/>
    <s v="PREGRADO"/>
    <n v="3"/>
    <x v="2"/>
  </r>
  <r>
    <s v="juan.de@unisabana.edu.co1"/>
    <x v="13"/>
    <s v="PLANTA"/>
    <s v="Si"/>
    <s v="https://ProfPlanta2024.sawtoothsoftware.com/cgi-bin/ciwweb.pl?studyname=ProfPlanta2024&amp;Correo=juan.de@unisabana.edu.co1"/>
    <s v="PREGRADO"/>
    <n v="2"/>
    <x v="4"/>
  </r>
  <r>
    <s v="juan.espejo1@unisabana.edu.co1"/>
    <x v="25"/>
    <s v="PLANTA"/>
    <s v="Si"/>
    <s v="https://ProfPlanta2024.sawtoothsoftware.com/cgi-bin/ciwweb.pl?studyname=ProfPlanta2024&amp;Correo=juan.espejo1@unisabana.edu.co1"/>
    <s v="PREGRADO"/>
    <n v="7"/>
    <x v="10"/>
  </r>
  <r>
    <s v="juan.garcia@unisabana.edu.co1"/>
    <x v="15"/>
    <s v="PLANTA"/>
    <s v="Si"/>
    <s v="https://ProfPlanta2024.sawtoothsoftware.com/cgi-bin/ciwweb.pl?studyname=ProfPlanta2024&amp;Correo=juan.garcia@unisabana.edu.co1"/>
    <s v="PREGRADO"/>
    <n v="1"/>
    <x v="7"/>
  </r>
  <r>
    <s v="juan.garzon@unisabana.edu.co1"/>
    <x v="26"/>
    <s v="PLANTA"/>
    <s v="Si"/>
    <s v="https://ProfPlanta2024.sawtoothsoftware.com/cgi-bin/ciwweb.pl?studyname=ProfPlanta2024&amp;Correo=juan.garzon@unisabana.edu.co1"/>
    <s v="PREGRADO"/>
    <n v="4"/>
    <x v="5"/>
  </r>
  <r>
    <s v="juan.giraldo9@unisabana.edu.co1"/>
    <x v="12"/>
    <s v="PLANTA"/>
    <s v="Si"/>
    <s v="https://ProfPlanta2024.sawtoothsoftware.com/cgi-bin/ciwweb.pl?studyname=ProfPlanta2024&amp;Correo=juan.giraldo9@unisabana.edu.co1"/>
    <s v="PREGRADO"/>
    <n v="9"/>
    <x v="6"/>
  </r>
  <r>
    <s v="juan.gonzalez14@unisabana.edu.co1"/>
    <x v="10"/>
    <s v="PLANTA"/>
    <s v="Si"/>
    <s v="https://ProfPlanta2024.sawtoothsoftware.com/cgi-bin/ciwweb.pl?studyname=ProfPlanta2024&amp;Correo=juan.gonzalez14@unisabana.edu.co1"/>
    <s v="PREGRADO"/>
    <n v="3"/>
    <x v="2"/>
  </r>
  <r>
    <s v="juan.herrera2@unisabana.edu.co1"/>
    <x v="18"/>
    <s v="PLANTA"/>
    <s v="Si"/>
    <s v="https://ProfPlanta2024.sawtoothsoftware.com/cgi-bin/ciwweb.pl?studyname=ProfPlanta2024&amp;Correo=juan.herrera2@unisabana.edu.co1"/>
    <s v="PREGRADO"/>
    <n v="2"/>
    <x v="4"/>
  </r>
  <r>
    <s v="juan.martinez15@unisabana.edu.co1"/>
    <x v="8"/>
    <s v="PLANTA"/>
    <s v="Si"/>
    <s v="https://ProfPlanta2024.sawtoothsoftware.com/cgi-bin/ciwweb.pl?studyname=ProfPlanta2024&amp;Correo=juan.martinez15@unisabana.edu.co1"/>
    <s v="PREGRADO"/>
    <n v="4"/>
    <x v="5"/>
  </r>
  <r>
    <s v="juan.martinez20@unisabana.edu.co1"/>
    <x v="15"/>
    <s v="PLANTA"/>
    <s v="No"/>
    <s v="https://ProfPlanta2024.sawtoothsoftware.com/cgi-bin/ciwweb.pl?studyname=ProfPlanta2024&amp;Correo=juan.martinez20@unisabana.edu.co1"/>
    <s v="PREGRADO"/>
    <n v="1"/>
    <x v="7"/>
  </r>
  <r>
    <s v="juan.mojica2@unisabana.edu.co1"/>
    <x v="11"/>
    <s v="PLANTA"/>
    <s v="No"/>
    <s v="https://ProfPlanta2024.sawtoothsoftware.com/cgi-bin/ciwweb.pl?studyname=ProfPlanta2024&amp;Correo=juan.mojica2@unisabana.edu.co1"/>
    <s v="PREGRADO"/>
    <n v="8"/>
    <x v="0"/>
  </r>
  <r>
    <s v="juan.ortiz7@unisabana.edu.co1"/>
    <x v="15"/>
    <s v="PLANTA"/>
    <s v="Si"/>
    <s v="https://ProfPlanta2024.sawtoothsoftware.com/cgi-bin/ciwweb.pl?studyname=ProfPlanta2024&amp;Correo=juan.ortiz7@unisabana.edu.co1"/>
    <s v="PREGRADO"/>
    <n v="1"/>
    <x v="7"/>
  </r>
  <r>
    <s v="juan.sarmiento3@unisabana.edu.co1"/>
    <x v="8"/>
    <s v="PLANTA"/>
    <s v="Si"/>
    <s v="https://ProfPlanta2024.sawtoothsoftware.com/cgi-bin/ciwweb.pl?studyname=ProfPlanta2024&amp;Correo=juan.sarmiento3@unisabana.edu.co1"/>
    <s v="PREGRADO"/>
    <n v="4"/>
    <x v="5"/>
  </r>
  <r>
    <s v="juana.jaramillo@unisabana.edu.co1"/>
    <x v="15"/>
    <s v="PLANTA"/>
    <s v="Si"/>
    <s v="https://ProfPlanta2024.sawtoothsoftware.com/cgi-bin/ciwweb.pl?studyname=ProfPlanta2024&amp;Correo=juana.jaramillo@unisabana.edu.co1"/>
    <s v="PREGRADO"/>
    <n v="1"/>
    <x v="7"/>
  </r>
  <r>
    <s v="juanreca@unisabana.edu.co1"/>
    <x v="12"/>
    <s v="PLANTA"/>
    <s v="Si"/>
    <s v="https://ProfPlanta2024.sawtoothsoftware.com/cgi-bin/ciwweb.pl?studyname=ProfPlanta2024&amp;Correo=juanreca@unisabana.edu.co1"/>
    <s v="PREGRADO"/>
    <n v="9"/>
    <x v="6"/>
  </r>
  <r>
    <s v="Julian.Carreno@unisabana.edu.co1"/>
    <x v="10"/>
    <s v="PLANTA"/>
    <s v="Si"/>
    <s v="https://ProfPlanta2024.sawtoothsoftware.com/cgi-bin/ciwweb.pl?studyname=ProfPlanta2024&amp;Correo=Julian.Carreno@unisabana.edu.co1"/>
    <s v="PREGRADO"/>
    <n v="3"/>
    <x v="2"/>
  </r>
  <r>
    <s v="julian.huertas1@unisabana.edu.co1"/>
    <x v="8"/>
    <s v="PLANTA"/>
    <s v="Si"/>
    <s v="https://ProfPlanta2024.sawtoothsoftware.com/cgi-bin/ciwweb.pl?studyname=ProfPlanta2024&amp;Correo=julian.huertas1@unisabana.edu.co1"/>
    <s v="PREGRADO"/>
    <n v="4"/>
    <x v="5"/>
  </r>
  <r>
    <s v="juliana.llanes@unisabana.edu.co1"/>
    <x v="5"/>
    <s v="PLANTA"/>
    <s v="Si"/>
    <s v="https://ProfPlanta2024.sawtoothsoftware.com/cgi-bin/ciwweb.pl?studyname=ProfPlanta2024&amp;Correo=juliana.llanes@unisabana.edu.co1"/>
    <s v="PREGRADO"/>
    <n v="15"/>
    <x v="3"/>
  </r>
  <r>
    <s v="julie.cedeno@unisabana.edu.co1"/>
    <x v="12"/>
    <s v="PLANTA"/>
    <s v="Si"/>
    <s v="https://ProfPlanta2024.sawtoothsoftware.com/cgi-bin/ciwweb.pl?studyname=ProfPlanta2024&amp;Correo=julie.cedeno@unisabana.edu.co1"/>
    <s v="PREGRADO"/>
    <n v="9"/>
    <x v="6"/>
  </r>
  <r>
    <s v="julio.martinez@unisabana.edu.co1"/>
    <x v="15"/>
    <s v="PLANTA"/>
    <s v="Si"/>
    <s v="https://ProfPlanta2024.sawtoothsoftware.com/cgi-bin/ciwweb.pl?studyname=ProfPlanta2024&amp;Correo=julio.martinez@unisabana.edu.co1"/>
    <s v="PREGRADO"/>
    <n v="1"/>
    <x v="7"/>
  </r>
  <r>
    <s v="jullyorjve@unisabana.edu.co1"/>
    <x v="22"/>
    <s v="PLANTA"/>
    <s v="Si"/>
    <s v="https://ProfPlanta2024.sawtoothsoftware.com/cgi-bin/ciwweb.pl?studyname=ProfPlanta2024&amp;Correo=jullyorjve@unisabana.edu.co1"/>
    <s v="PREGRADO"/>
    <n v="6"/>
    <x v="9"/>
  </r>
  <r>
    <s v="kemel.ghotme@unisabana.edu.co1"/>
    <x v="15"/>
    <s v="PLANTA"/>
    <s v="No"/>
    <s v="https://ProfPlanta2024.sawtoothsoftware.com/cgi-bin/ciwweb.pl?studyname=ProfPlanta2024&amp;Correo=kemel.ghotme@unisabana.edu.co1"/>
    <s v="PREGRADO"/>
    <n v="1"/>
    <x v="7"/>
  </r>
  <r>
    <s v="lady.duque@unisabana.edu.co1"/>
    <x v="5"/>
    <s v="PLANTA"/>
    <s v="No"/>
    <s v="https://ProfPlanta2024.sawtoothsoftware.com/cgi-bin/ciwweb.pl?studyname=ProfPlanta2024&amp;Correo=lady.duque@unisabana.edu.co1"/>
    <s v="PREGRADO"/>
    <n v="15"/>
    <x v="3"/>
  </r>
  <r>
    <s v="laura.carreno@unisabana.edu.co1"/>
    <x v="16"/>
    <s v="PLANTA"/>
    <s v="No"/>
    <s v="https://ProfPlanta2024.sawtoothsoftware.com/cgi-bin/ciwweb.pl?studyname=ProfPlanta2024&amp;Correo=laura.carreno@unisabana.edu.co1"/>
    <s v="PREGRADO"/>
    <n v="5"/>
    <x v="1"/>
  </r>
  <r>
    <s v="laura.fonseca2@unisabana.edu.co1"/>
    <x v="12"/>
    <s v="PLANTA"/>
    <s v="Si"/>
    <s v="https://ProfPlanta2024.sawtoothsoftware.com/cgi-bin/ciwweb.pl?studyname=ProfPlanta2024&amp;Correo=laura.fonseca2@unisabana.edu.co1"/>
    <s v="PREGRADO"/>
    <n v="9"/>
    <x v="6"/>
  </r>
  <r>
    <s v="laura.fuerte1@unisabana.edu.co1"/>
    <x v="18"/>
    <s v="PLANTA"/>
    <s v="Si"/>
    <s v="https://ProfPlanta2024.sawtoothsoftware.com/cgi-bin/ciwweb.pl?studyname=ProfPlanta2024&amp;Correo=laura.fuerte1@unisabana.edu.co1"/>
    <s v="PREGRADO"/>
    <n v="2"/>
    <x v="4"/>
  </r>
  <r>
    <s v="laura.lopez7@unisabana.edu.co1"/>
    <x v="22"/>
    <s v="PLANTA"/>
    <s v="Si"/>
    <s v="https://ProfPlanta2024.sawtoothsoftware.com/cgi-bin/ciwweb.pl?studyname=ProfPlanta2024&amp;Correo=laura.lopez7@unisabana.edu.co1"/>
    <s v="PREGRADO"/>
    <n v="6"/>
    <x v="9"/>
  </r>
  <r>
    <s v="laura.rodriguez23@unisabana.edu.co1"/>
    <x v="5"/>
    <s v="PLANTA"/>
    <s v="No"/>
    <s v="https://ProfPlanta2024.sawtoothsoftware.com/cgi-bin/ciwweb.pl?studyname=ProfPlanta2024&amp;Correo=laura.rodriguez23@unisabana.edu.co1"/>
    <s v="PREGRADO"/>
    <n v="15"/>
    <x v="3"/>
  </r>
  <r>
    <s v="ledy.armirola@unisabana.edu.co1"/>
    <x v="19"/>
    <s v="PLANTA"/>
    <s v="Si"/>
    <s v="https://ProfPlanta2024.sawtoothsoftware.com/cgi-bin/ciwweb.pl?studyname=ProfPlanta2024&amp;Correo=ledy.armirola@unisabana.edu.co1"/>
    <s v="PREGRADO"/>
    <n v="3"/>
    <x v="2"/>
  </r>
  <r>
    <s v="leidy.leon@unisabana.edu.co1"/>
    <x v="20"/>
    <s v="PLANTA"/>
    <s v="Si"/>
    <s v="https://ProfPlanta2024.sawtoothsoftware.com/cgi-bin/ciwweb.pl?studyname=ProfPlanta2024&amp;Correo=leidy.leon@unisabana.edu.co1"/>
    <s v="PREGRADO"/>
    <n v="8"/>
    <x v="0"/>
  </r>
  <r>
    <s v="leonardo.moreno@unisabana.edu.co1"/>
    <x v="3"/>
    <s v="PLANTA"/>
    <s v="No"/>
    <s v="https://ProfPlanta2024.sawtoothsoftware.com/cgi-bin/ciwweb.pl?studyname=ProfPlanta2024&amp;Correo=leonardo.moreno@unisabana.edu.co1"/>
    <s v="PREGRADO"/>
    <n v="8"/>
    <x v="0"/>
  </r>
  <r>
    <s v="lesly.velandia@unisabana.edu.co1"/>
    <x v="5"/>
    <s v="PLANTA"/>
    <s v="Si"/>
    <s v="https://ProfPlanta2024.sawtoothsoftware.com/cgi-bin/ciwweb.pl?studyname=ProfPlanta2024&amp;Correo=lesly.velandia@unisabana.edu.co1"/>
    <s v="PREGRADO"/>
    <n v="15"/>
    <x v="3"/>
  </r>
  <r>
    <s v="liliana.gutierrez1@unisabana.edu.co1"/>
    <x v="2"/>
    <s v="PLANTA"/>
    <s v="Si"/>
    <s v="https://ProfPlanta2024.sawtoothsoftware.com/cgi-bin/ciwweb.pl?studyname=ProfPlanta2024&amp;Correo=liliana.gutierrez1@unisabana.edu.co1"/>
    <s v="PREGRADO"/>
    <n v="3"/>
    <x v="2"/>
  </r>
  <r>
    <s v="liliana.paredes@unisabana.edu.co1"/>
    <x v="10"/>
    <s v="PLANTA"/>
    <s v="Si"/>
    <s v="https://ProfPlanta2024.sawtoothsoftware.com/cgi-bin/ciwweb.pl?studyname=ProfPlanta2024&amp;Correo=liliana.paredes@unisabana.edu.co1"/>
    <s v="PREGRADO"/>
    <n v="3"/>
    <x v="2"/>
  </r>
  <r>
    <s v="lilianaoa@unisabana.edu.co1"/>
    <x v="17"/>
    <s v="PLANTA"/>
    <s v="Si"/>
    <s v="https://ProfPlanta2024.sawtoothsoftware.com/cgi-bin/ciwweb.pl?studyname=ProfPlanta2024&amp;Correo=lilianaoa@unisabana.edu.co1"/>
    <s v="PREGRADO"/>
    <n v="13"/>
    <x v="8"/>
  </r>
  <r>
    <s v="lina.gomez3@unisabana.edu.co1"/>
    <x v="15"/>
    <s v="PLANTA"/>
    <s v="No"/>
    <s v="https://ProfPlanta2024.sawtoothsoftware.com/cgi-bin/ciwweb.pl?studyname=ProfPlanta2024&amp;Correo=lina.gomez3@unisabana.edu.co1"/>
    <s v="PREGRADO"/>
    <n v="1"/>
    <x v="7"/>
  </r>
  <r>
    <s v="lina.grimaldos@unisabana.edu.co1"/>
    <x v="22"/>
    <s v="PLANTA"/>
    <s v="Si"/>
    <s v="https://ProfPlanta2024.sawtoothsoftware.com/cgi-bin/ciwweb.pl?studyname=ProfPlanta2024&amp;Correo=lina.grimaldos@unisabana.edu.co1"/>
    <s v="PREGRADO"/>
    <n v="6"/>
    <x v="9"/>
  </r>
  <r>
    <s v="LINA.RUIZ1@UNISABANA.EDU.CO1"/>
    <x v="15"/>
    <s v="PLANTA"/>
    <s v="Si"/>
    <s v="https://ProfPlanta2024.sawtoothsoftware.com/cgi-bin/ciwweb.pl?studyname=ProfPlanta2024&amp;Correo=LINA.RUIZ1@UNISABANA.EDU.CO1"/>
    <s v="PREGRADO"/>
    <n v="1"/>
    <x v="7"/>
  </r>
  <r>
    <s v="lina.sorza@unisabana.edu.co1"/>
    <x v="27"/>
    <s v="PLANTA"/>
    <s v="Si"/>
    <s v="https://ProfPlanta2024.sawtoothsoftware.com/cgi-bin/ciwweb.pl?studyname=ProfPlanta2024&amp;Correo=lina.sorza@unisabana.edu.co1"/>
    <s v="PREGRADO"/>
    <n v="16"/>
    <x v="11"/>
  </r>
  <r>
    <s v="loyda.gomez@unisabana.edu.co1"/>
    <x v="14"/>
    <s v="PLANTA"/>
    <s v="Si"/>
    <s v="https://ProfPlanta2024.sawtoothsoftware.com/cgi-bin/ciwweb.pl?studyname=ProfPlanta2024&amp;Correo=loyda.gomez@unisabana.edu.co1"/>
    <s v="PREGRADO"/>
    <n v="2"/>
    <x v="4"/>
  </r>
  <r>
    <s v="lucia.barbosa@unisabana.edu.co1"/>
    <x v="7"/>
    <s v="PLANTA"/>
    <s v="Si"/>
    <s v="https://ProfPlanta2024.sawtoothsoftware.com/cgi-bin/ciwweb.pl?studyname=ProfPlanta2024&amp;Correo=lucia.barbosa@unisabana.edu.co1"/>
    <s v="PREGRADO"/>
    <n v="2"/>
    <x v="4"/>
  </r>
  <r>
    <s v="luis.celis@unisabana.edu.co1"/>
    <x v="15"/>
    <s v="PLANTA"/>
    <s v="Si"/>
    <s v="https://ProfPlanta2024.sawtoothsoftware.com/cgi-bin/ciwweb.pl?studyname=ProfPlanta2024&amp;Correo=luis.celis@unisabana.edu.co1"/>
    <s v="PREGRADO"/>
    <n v="1"/>
    <x v="7"/>
  </r>
  <r>
    <s v="luis.diaz1@unisabana.edu.co1"/>
    <x v="3"/>
    <s v="PLANTA"/>
    <s v="Si"/>
    <s v="https://ProfPlanta2024.sawtoothsoftware.com/cgi-bin/ciwweb.pl?studyname=ProfPlanta2024&amp;Correo=luis.diaz1@unisabana.edu.co1"/>
    <s v="PREGRADO"/>
    <n v="8"/>
    <x v="0"/>
  </r>
  <r>
    <s v="luis.paipa@unisabana.edu.co1"/>
    <x v="11"/>
    <s v="PLANTA"/>
    <s v="No"/>
    <s v="https://ProfPlanta2024.sawtoothsoftware.com/cgi-bin/ciwweb.pl?studyname=ProfPlanta2024&amp;Correo=luis.paipa@unisabana.edu.co1"/>
    <s v="PREGRADO"/>
    <n v="8"/>
    <x v="0"/>
  </r>
  <r>
    <s v="luis.prieto@unisabana.edu.co1"/>
    <x v="12"/>
    <s v="PLANTA"/>
    <s v="Si"/>
    <s v="https://ProfPlanta2024.sawtoothsoftware.com/cgi-bin/ciwweb.pl?studyname=ProfPlanta2024&amp;Correo=luis.prieto@unisabana.edu.co1"/>
    <s v="PREGRADO"/>
    <n v="9"/>
    <x v="6"/>
  </r>
  <r>
    <s v="luis.reyes5@unisabana.edu.co1"/>
    <x v="15"/>
    <s v="PLANTA"/>
    <s v="Si"/>
    <s v="https://ProfPlanta2024.sawtoothsoftware.com/cgi-bin/ciwweb.pl?studyname=ProfPlanta2024&amp;Correo=luis.reyes5@unisabana.edu.co1"/>
    <s v="PREGRADO"/>
    <n v="1"/>
    <x v="7"/>
  </r>
  <r>
    <s v="luisa.zapata1@unisabana.edu.co1"/>
    <x v="23"/>
    <s v="PLANTA"/>
    <s v="Si"/>
    <s v="https://ProfPlanta2024.sawtoothsoftware.com/cgi-bin/ciwweb.pl?studyname=ProfPlanta2024&amp;Correo=luisa.zapata1@unisabana.edu.co1"/>
    <s v="PREGRADO"/>
    <n v="2"/>
    <x v="4"/>
  </r>
  <r>
    <s v="LuisBC@unisabana.edu.co1"/>
    <x v="7"/>
    <s v="PLANTA"/>
    <s v="Si"/>
    <s v="https://ProfPlanta2024.sawtoothsoftware.com/cgi-bin/ciwweb.pl?studyname=ProfPlanta2024&amp;Correo=LuisBC@unisabana.edu.co1"/>
    <s v="PREGRADO"/>
    <n v="2"/>
    <x v="4"/>
  </r>
  <r>
    <s v="luisf.giraldo@unisabana.edu.co1"/>
    <x v="15"/>
    <s v="PLANTA"/>
    <s v="No"/>
    <s v="https://ProfPlanta2024.sawtoothsoftware.com/cgi-bin/ciwweb.pl?studyname=ProfPlanta2024&amp;Correo=luisf.giraldo@unisabana.edu.co1"/>
    <s v="PREGRADO"/>
    <n v="1"/>
    <x v="7"/>
  </r>
  <r>
    <s v="luism.beltran@unisabana.edu.co1"/>
    <x v="4"/>
    <s v="PLANTA"/>
    <s v="No"/>
    <s v="https://ProfPlanta2024.sawtoothsoftware.com/cgi-bin/ciwweb.pl?studyname=ProfPlanta2024&amp;Correo=luism.beltran@unisabana.edu.co1"/>
    <s v="PREGRADO"/>
    <n v="8"/>
    <x v="0"/>
  </r>
  <r>
    <s v="luz.alejo@unisabana.edu.co1"/>
    <x v="22"/>
    <s v="PLANTA"/>
    <s v="Si"/>
    <s v="https://ProfPlanta2024.sawtoothsoftware.com/cgi-bin/ciwweb.pl?studyname=ProfPlanta2024&amp;Correo=luz.alejo@unisabana.edu.co1"/>
    <s v="PREGRADO"/>
    <n v="6"/>
    <x v="9"/>
  </r>
  <r>
    <s v="luz.mancera2@unisabana.edu.co1"/>
    <x v="11"/>
    <s v="PLANTA"/>
    <s v="Si"/>
    <s v="https://ProfPlanta2024.sawtoothsoftware.com/cgi-bin/ciwweb.pl?studyname=ProfPlanta2024&amp;Correo=luz.mancera2@unisabana.edu.co1"/>
    <s v="PREGRADO"/>
    <n v="8"/>
    <x v="0"/>
  </r>
  <r>
    <s v="luz.torres3@unisabana.edu.co1"/>
    <x v="7"/>
    <s v="PLANTA"/>
    <s v="Si"/>
    <s v="https://ProfPlanta2024.sawtoothsoftware.com/cgi-bin/ciwweb.pl?studyname=ProfPlanta2024&amp;Correo=luz.torres3@unisabana.edu.co1"/>
    <s v="PREGRADO"/>
    <n v="2"/>
    <x v="4"/>
  </r>
  <r>
    <s v="luz.villalba@unisabana.edu.co1"/>
    <x v="10"/>
    <s v="PLANTA"/>
    <s v="No"/>
    <s v="https://ProfPlanta2024.sawtoothsoftware.com/cgi-bin/ciwweb.pl?studyname=ProfPlanta2024&amp;Correo=luz.villalba@unisabana.edu.co1"/>
    <s v="PREGRADO"/>
    <n v="3"/>
    <x v="2"/>
  </r>
  <r>
    <s v="manuel.figueredo@unisabana.edu.co1"/>
    <x v="3"/>
    <s v="PLANTA"/>
    <s v="Si"/>
    <s v="https://ProfPlanta2024.sawtoothsoftware.com/cgi-bin/ciwweb.pl?studyname=ProfPlanta2024&amp;Correo=manuel.figueredo@unisabana.edu.co1"/>
    <s v="PREGRADO"/>
    <n v="8"/>
    <x v="0"/>
  </r>
  <r>
    <s v="manuel.pareja@unisabana.edu.co1"/>
    <x v="26"/>
    <s v="PLANTA"/>
    <s v="Si"/>
    <s v="https://ProfPlanta2024.sawtoothsoftware.com/cgi-bin/ciwweb.pl?studyname=ProfPlanta2024&amp;Correo=manuel.pareja@unisabana.edu.co1"/>
    <s v="PREGRADO"/>
    <n v="4"/>
    <x v="5"/>
  </r>
  <r>
    <s v="manuel.valero@unisabana.edu.co1"/>
    <x v="3"/>
    <s v="PLANTA"/>
    <s v="Si"/>
    <s v="https://ProfPlanta2024.sawtoothsoftware.com/cgi-bin/ciwweb.pl?studyname=ProfPlanta2024&amp;Correo=manuel.valero@unisabana.edu.co1"/>
    <s v="PREGRADO"/>
    <n v="8"/>
    <x v="0"/>
  </r>
  <r>
    <s v="marcela.duran1@unisabana.edu.co1"/>
    <x v="10"/>
    <s v="PLANTA"/>
    <s v="No"/>
    <s v="https://ProfPlanta2024.sawtoothsoftware.com/cgi-bin/ciwweb.pl?studyname=ProfPlanta2024&amp;Correo=marcela.duran1@unisabana.edu.co1"/>
    <s v="PREGRADO"/>
    <n v="3"/>
    <x v="2"/>
  </r>
  <r>
    <s v="marcos.ferreira@unisabana.edu.co1"/>
    <x v="9"/>
    <s v="PLANTA"/>
    <s v="Si"/>
    <s v="https://ProfPlanta2024.sawtoothsoftware.com/cgi-bin/ciwweb.pl?studyname=ProfPlanta2024&amp;Correo=marcos.ferreira@unisabana.edu.co1"/>
    <s v="PREGRADO"/>
    <n v="2"/>
    <x v="4"/>
  </r>
  <r>
    <s v="marcoscz@unisabana.edu.co1"/>
    <x v="15"/>
    <s v="PLANTA"/>
    <s v="No"/>
    <s v="https://ProfPlanta2024.sawtoothsoftware.com/cgi-bin/ciwweb.pl?studyname=ProfPlanta2024&amp;Correo=marcoscz@unisabana.edu.co1"/>
    <s v="PREGRADO"/>
    <n v="1"/>
    <x v="7"/>
  </r>
  <r>
    <s v="margarethalmo@unisabana.edu.co1"/>
    <x v="22"/>
    <s v="PLANTA"/>
    <s v="Si"/>
    <s v="https://ProfPlanta2024.sawtoothsoftware.com/cgi-bin/ciwweb.pl?studyname=ProfPlanta2024&amp;Correo=margarethalmo@unisabana.edu.co1"/>
    <s v="PREGRADO"/>
    <n v="6"/>
    <x v="9"/>
  </r>
  <r>
    <s v="margarita.pomar@unisabana.edu.co1"/>
    <x v="24"/>
    <s v="PLANTA"/>
    <s v="Si"/>
    <s v="https://ProfPlanta2024.sawtoothsoftware.com/cgi-bin/ciwweb.pl?studyname=ProfPlanta2024&amp;Correo=margarita.pomar@unisabana.edu.co1"/>
    <s v="PREGRADO"/>
    <n v="6"/>
    <x v="9"/>
  </r>
  <r>
    <s v="maria.abaunza@unisabana.edu.co1"/>
    <x v="15"/>
    <s v="PLANTA"/>
    <s v="Si"/>
    <s v="https://ProfPlanta2024.sawtoothsoftware.com/cgi-bin/ciwweb.pl?studyname=ProfPlanta2024&amp;Correo=maria.abaunza@unisabana.edu.co1"/>
    <s v="PREGRADO"/>
    <n v="1"/>
    <x v="7"/>
  </r>
  <r>
    <s v="maria.aguilar1@unisabana.edu.co1"/>
    <x v="13"/>
    <s v="PLANTA"/>
    <s v="Si"/>
    <s v="https://ProfPlanta2024.sawtoothsoftware.com/cgi-bin/ciwweb.pl?studyname=ProfPlanta2024&amp;Correo=maria.aguilar1@unisabana.edu.co1"/>
    <s v="PREGRADO"/>
    <n v="2"/>
    <x v="4"/>
  </r>
  <r>
    <s v="maria.angel6@unisabana.edu.co1"/>
    <x v="22"/>
    <s v="PLANTA"/>
    <s v="Si"/>
    <s v="https://ProfPlanta2024.sawtoothsoftware.com/cgi-bin/ciwweb.pl?studyname=ProfPlanta2024&amp;Correo=maria.angel6@unisabana.edu.co1"/>
    <s v="PREGRADO"/>
    <n v="6"/>
    <x v="9"/>
  </r>
  <r>
    <s v="maria.arbelaez4@unisabana.edu.co1"/>
    <x v="10"/>
    <s v="PLANTA"/>
    <s v="No"/>
    <s v="https://ProfPlanta2024.sawtoothsoftware.com/cgi-bin/ciwweb.pl?studyname=ProfPlanta2024&amp;Correo=maria.arbelaez4@unisabana.edu.co1"/>
    <s v="PREGRADO"/>
    <n v="3"/>
    <x v="2"/>
  </r>
  <r>
    <s v="maria.correa3@unisabana.edu.co1"/>
    <x v="17"/>
    <s v="PLANTA"/>
    <s v="Si"/>
    <s v="https://ProfPlanta2024.sawtoothsoftware.com/cgi-bin/ciwweb.pl?studyname=ProfPlanta2024&amp;Correo=maria.correa3@unisabana.edu.co1"/>
    <s v="PREGRADO"/>
    <n v="13"/>
    <x v="8"/>
  </r>
  <r>
    <s v="maria.deaza@unisabana.edu.co1"/>
    <x v="13"/>
    <s v="PLANTA"/>
    <s v="Si"/>
    <s v="https://ProfPlanta2024.sawtoothsoftware.com/cgi-bin/ciwweb.pl?studyname=ProfPlanta2024&amp;Correo=maria.deaza@unisabana.edu.co1"/>
    <s v="PREGRADO"/>
    <n v="2"/>
    <x v="4"/>
  </r>
  <r>
    <s v="Maria.Gonzalez2@unisabana.edu.co1"/>
    <x v="23"/>
    <s v="PLANTA"/>
    <s v="Si"/>
    <s v="https://ProfPlanta2024.sawtoothsoftware.com/cgi-bin/ciwweb.pl?studyname=ProfPlanta2024&amp;Correo=Maria.Gonzalez2@unisabana.edu.co1"/>
    <s v="PREGRADO"/>
    <n v="2"/>
    <x v="4"/>
  </r>
  <r>
    <s v="maria.jaramillo10@unisabana.edu.co1"/>
    <x v="25"/>
    <s v="PLANTA"/>
    <s v="Si"/>
    <s v="https://ProfPlanta2024.sawtoothsoftware.com/cgi-bin/ciwweb.pl?studyname=ProfPlanta2024&amp;Correo=maria.jaramillo10@unisabana.edu.co1"/>
    <s v="PREGRADO"/>
    <n v="7"/>
    <x v="10"/>
  </r>
  <r>
    <s v="maria.macias1@unisabana.edu.co1"/>
    <x v="6"/>
    <s v="PLANTA"/>
    <s v="Si"/>
    <s v="https://ProfPlanta2024.sawtoothsoftware.com/cgi-bin/ciwweb.pl?studyname=ProfPlanta2024&amp;Correo=maria.macias1@unisabana.edu.co1"/>
    <s v="PREGRADO"/>
    <n v="2"/>
    <x v="4"/>
  </r>
  <r>
    <s v="maria.maldonado@unisabana.edu.co1"/>
    <x v="15"/>
    <s v="PLANTA"/>
    <s v="Si"/>
    <s v="https://ProfPlanta2024.sawtoothsoftware.com/cgi-bin/ciwweb.pl?studyname=ProfPlanta2024&amp;Correo=maria.maldonado@unisabana.edu.co1"/>
    <s v="PREGRADO"/>
    <n v="1"/>
    <x v="7"/>
  </r>
  <r>
    <s v="maria.mejia2@unisabana.edu.co1"/>
    <x v="12"/>
    <s v="PLANTA"/>
    <s v="Si"/>
    <s v="https://ProfPlanta2024.sawtoothsoftware.com/cgi-bin/ciwweb.pl?studyname=ProfPlanta2024&amp;Correo=maria.mejia2@unisabana.edu.co1"/>
    <s v="PREGRADO"/>
    <n v="9"/>
    <x v="6"/>
  </r>
  <r>
    <s v="maria.quintanilla1@unisabana.edu.co1"/>
    <x v="28"/>
    <s v="PLANTA"/>
    <s v="Si"/>
    <s v="https://ProfPlanta2024.sawtoothsoftware.com/cgi-bin/ciwweb.pl?studyname=ProfPlanta2024&amp;Correo=maria.quintanilla1@unisabana.edu.co1"/>
    <s v="PREGRADO"/>
    <n v="8"/>
    <x v="0"/>
  </r>
  <r>
    <s v="maria.quiroz@unisabana.edu.co1"/>
    <x v="12"/>
    <s v="PLANTA"/>
    <s v="Si"/>
    <s v="https://ProfPlanta2024.sawtoothsoftware.com/cgi-bin/ciwweb.pl?studyname=ProfPlanta2024&amp;Correo=maria.quiroz@unisabana.edu.co1"/>
    <s v="PREGRADO"/>
    <n v="9"/>
    <x v="6"/>
  </r>
  <r>
    <s v="maria.rojas22@unisabana.edu.co1"/>
    <x v="24"/>
    <s v="PLANTA"/>
    <s v="Si"/>
    <s v="https://ProfPlanta2024.sawtoothsoftware.com/cgi-bin/ciwweb.pl?studyname=ProfPlanta2024&amp;Correo=maria.rojas22@unisabana.edu.co1"/>
    <s v="PREGRADO"/>
    <n v="6"/>
    <x v="9"/>
  </r>
  <r>
    <s v="maria.sanchez2@unisabana.edu.co1"/>
    <x v="22"/>
    <s v="PLANTA"/>
    <s v="Si"/>
    <s v="https://ProfPlanta2024.sawtoothsoftware.com/cgi-bin/ciwweb.pl?studyname=ProfPlanta2024&amp;Correo=maria.sanchez2@unisabana.edu.co1"/>
    <s v="PREGRADO"/>
    <n v="6"/>
    <x v="9"/>
  </r>
  <r>
    <s v="maria.umbacia@unisabana.edu.co1"/>
    <x v="15"/>
    <s v="PLANTA"/>
    <s v="Si"/>
    <s v="https://ProfPlanta2024.sawtoothsoftware.com/cgi-bin/ciwweb.pl?studyname=ProfPlanta2024&amp;Correo=maria.umbacia@unisabana.edu.co1"/>
    <s v="PREGRADO"/>
    <n v="1"/>
    <x v="7"/>
  </r>
  <r>
    <s v="maria.uribe3@unisabana.edu.co1"/>
    <x v="22"/>
    <s v="PLANTA"/>
    <s v="Si"/>
    <s v="https://ProfPlanta2024.sawtoothsoftware.com/cgi-bin/ciwweb.pl?studyname=ProfPlanta2024&amp;Correo=maria.uribe3@unisabana.edu.co1"/>
    <s v="PREGRADO"/>
    <n v="6"/>
    <x v="9"/>
  </r>
  <r>
    <s v="maria.velasco2@unisabana.edu.co1"/>
    <x v="5"/>
    <s v="PLANTA"/>
    <s v="Si"/>
    <s v="https://ProfPlanta2024.sawtoothsoftware.com/cgi-bin/ciwweb.pl?studyname=ProfPlanta2024&amp;Correo=maria.velasco2@unisabana.edu.co1"/>
    <s v="PREGRADO"/>
    <n v="15"/>
    <x v="3"/>
  </r>
  <r>
    <s v="mariasc@unisabana.edu.co1"/>
    <x v="14"/>
    <s v="PLANTA"/>
    <s v="Si"/>
    <s v="https://ProfPlanta2024.sawtoothsoftware.com/cgi-bin/ciwweb.pl?studyname=ProfPlanta2024&amp;Correo=mariasc@unisabana.edu.co1"/>
    <s v="PREGRADO"/>
    <n v="2"/>
    <x v="4"/>
  </r>
  <r>
    <s v="maricela.montes@unisabana.edu.co1"/>
    <x v="23"/>
    <s v="PLANTA"/>
    <s v="Si"/>
    <s v="https://ProfPlanta2024.sawtoothsoftware.com/cgi-bin/ciwweb.pl?studyname=ProfPlanta2024&amp;Correo=maricela.montes@unisabana.edu.co1"/>
    <s v="PREGRADO"/>
    <n v="2"/>
    <x v="4"/>
  </r>
  <r>
    <s v="mario.juha@unisabana.edu.co1"/>
    <x v="0"/>
    <s v="PLANTA"/>
    <s v="Si"/>
    <s v="https://ProfPlanta2024.sawtoothsoftware.com/cgi-bin/ciwweb.pl?studyname=ProfPlanta2024&amp;Correo=mario.juha@unisabana.edu.co1"/>
    <s v="PREGRADO"/>
    <n v="8"/>
    <x v="0"/>
  </r>
  <r>
    <s v="mario.martinez@unisabana.edu.co1"/>
    <x v="7"/>
    <s v="PLANTA"/>
    <s v="Si"/>
    <s v="https://ProfPlanta2024.sawtoothsoftware.com/cgi-bin/ciwweb.pl?studyname=ProfPlanta2024&amp;Correo=mario.martinez@unisabana.edu.co1"/>
    <s v="PREGRADO"/>
    <n v="2"/>
    <x v="4"/>
  </r>
  <r>
    <s v="MaritzaRP@unisabana.edu.co1"/>
    <x v="12"/>
    <s v="PLANTA"/>
    <s v="Si"/>
    <s v="https://ProfPlanta2024.sawtoothsoftware.com/cgi-bin/ciwweb.pl?studyname=ProfPlanta2024&amp;Correo=MaritzaRP@unisabana.edu.co1"/>
    <s v="PREGRADO"/>
    <n v="9"/>
    <x v="6"/>
  </r>
  <r>
    <s v="martha.acosta@unisabana.edu.co1"/>
    <x v="22"/>
    <s v="PLANTA"/>
    <s v="Si"/>
    <s v="https://ProfPlanta2024.sawtoothsoftware.com/cgi-bin/ciwweb.pl?studyname=ProfPlanta2024&amp;Correo=martha.acosta@unisabana.edu.co1"/>
    <s v="PREGRADO"/>
    <n v="6"/>
    <x v="9"/>
  </r>
  <r>
    <s v="martha.leon@unisabana.edu.co1"/>
    <x v="15"/>
    <s v="PLANTA"/>
    <s v="No"/>
    <s v="https://ProfPlanta2024.sawtoothsoftware.com/cgi-bin/ciwweb.pl?studyname=ProfPlanta2024&amp;Correo=martha.leon@unisabana.edu.co1"/>
    <s v="PREGRADO"/>
    <n v="1"/>
    <x v="7"/>
  </r>
  <r>
    <s v="martha.miranda@unisabana.edu.co1"/>
    <x v="8"/>
    <s v="PLANTA"/>
    <s v="Si"/>
    <s v="https://ProfPlanta2024.sawtoothsoftware.com/cgi-bin/ciwweb.pl?studyname=ProfPlanta2024&amp;Correo=martha.miranda@unisabana.edu.co1"/>
    <s v="PREGRADO"/>
    <n v="4"/>
    <x v="5"/>
  </r>
  <r>
    <s v="martha.misas@unisabana.edu.co1"/>
    <x v="18"/>
    <s v="PLANTA"/>
    <s v="Si"/>
    <s v="https://ProfPlanta2024.sawtoothsoftware.com/cgi-bin/ciwweb.pl?studyname=ProfPlanta2024&amp;Correo=martha.misas@unisabana.edu.co1"/>
    <s v="PREGRADO"/>
    <n v="2"/>
    <x v="4"/>
  </r>
  <r>
    <s v="martha.roa@unisabana.edu.co1"/>
    <x v="5"/>
    <s v="PLANTA"/>
    <s v="Si"/>
    <s v="https://ProfPlanta2024.sawtoothsoftware.com/cgi-bin/ciwweb.pl?studyname=ProfPlanta2024&amp;Correo=martha.roa@unisabana.edu.co1"/>
    <s v="PREGRADO"/>
    <n v="15"/>
    <x v="3"/>
  </r>
  <r>
    <s v="mauricio.agudelo@unisabana.edu.co1"/>
    <x v="11"/>
    <s v="PLANTA"/>
    <s v="Si"/>
    <s v="https://ProfPlanta2024.sawtoothsoftware.com/cgi-bin/ciwweb.pl?studyname=ProfPlanta2024&amp;Correo=mauricio.agudelo@unisabana.edu.co1"/>
    <s v="PREGRADO"/>
    <n v="8"/>
    <x v="0"/>
  </r>
  <r>
    <s v="mauricio.sanchez2@unisabana.edu.co1"/>
    <x v="11"/>
    <s v="PLANTA"/>
    <s v="Si"/>
    <s v="https://ProfPlanta2024.sawtoothsoftware.com/cgi-bin/ciwweb.pl?studyname=ProfPlanta2024&amp;Correo=mauricio.sanchez2@unisabana.edu.co1"/>
    <s v="PREGRADO"/>
    <n v="8"/>
    <x v="0"/>
  </r>
  <r>
    <s v="mauricio.ulloa@unisabana.edu.co1"/>
    <x v="15"/>
    <s v="PLANTA"/>
    <s v="No"/>
    <s v="https://ProfPlanta2024.sawtoothsoftware.com/cgi-bin/ciwweb.pl?studyname=ProfPlanta2024&amp;Correo=mauricio.ulloa@unisabana.edu.co1"/>
    <s v="PREGRADO"/>
    <n v="1"/>
    <x v="7"/>
  </r>
  <r>
    <s v="miguel.sarmiento@unisabana.edu.co1"/>
    <x v="21"/>
    <s v="PLANTA"/>
    <s v="Si"/>
    <s v="https://ProfPlanta2024.sawtoothsoftware.com/cgi-bin/ciwweb.pl?studyname=ProfPlanta2024&amp;Correo=miguel.sarmiento@unisabana.edu.co1"/>
    <s v="PREGRADO"/>
    <n v="8"/>
    <x v="0"/>
  </r>
  <r>
    <s v="miguel.uribe1@unisabana.edu.co1"/>
    <x v="11"/>
    <s v="PLANTA"/>
    <s v="No"/>
    <s v="https://ProfPlanta2024.sawtoothsoftware.com/cgi-bin/ciwweb.pl?studyname=ProfPlanta2024&amp;Correo=miguel.uribe1@unisabana.edu.co1"/>
    <s v="PREGRADO"/>
    <n v="8"/>
    <x v="0"/>
  </r>
  <r>
    <s v="milena.saavedra@unisabana.edu.co1"/>
    <x v="22"/>
    <s v="PLANTA"/>
    <s v="Si"/>
    <s v="https://ProfPlanta2024.sawtoothsoftware.com/cgi-bin/ciwweb.pl?studyname=ProfPlanta2024&amp;Correo=milena.saavedra@unisabana.edu.co1"/>
    <s v="PREGRADO"/>
    <n v="6"/>
    <x v="9"/>
  </r>
  <r>
    <s v="MONICA.DIAZ1@UNISABANA.EDU.CO1"/>
    <x v="15"/>
    <s v="PLANTA"/>
    <s v="Si"/>
    <s v="https://ProfPlanta2024.sawtoothsoftware.com/cgi-bin/ciwweb.pl?studyname=ProfPlanta2024&amp;Correo=MONICA.DIAZ1@UNISABANA.EDU.CO1"/>
    <s v="PREGRADO"/>
    <n v="1"/>
    <x v="7"/>
  </r>
  <r>
    <s v="monica.hurtado@unisabana.edu.co1"/>
    <x v="26"/>
    <s v="PLANTA"/>
    <s v="Si"/>
    <s v="https://ProfPlanta2024.sawtoothsoftware.com/cgi-bin/ciwweb.pl?studyname=ProfPlanta2024&amp;Correo=monica.hurtado@unisabana.edu.co1"/>
    <s v="PREGRADO"/>
    <n v="4"/>
    <x v="5"/>
  </r>
  <r>
    <s v="nadia.proanos1@unisabana.edu.co1"/>
    <x v="15"/>
    <s v="PLANTA"/>
    <s v="No"/>
    <s v="https://ProfPlanta2024.sawtoothsoftware.com/cgi-bin/ciwweb.pl?studyname=ProfPlanta2024&amp;Correo=nadia.proanos1@unisabana.edu.co1"/>
    <s v="PREGRADO"/>
    <n v="1"/>
    <x v="7"/>
  </r>
  <r>
    <s v="nancy.munoz@unisabana.edu.co1"/>
    <x v="8"/>
    <s v="PLANTA"/>
    <s v="Si"/>
    <s v="https://ProfPlanta2024.sawtoothsoftware.com/cgi-bin/ciwweb.pl?studyname=ProfPlanta2024&amp;Correo=nancy.munoz@unisabana.edu.co1"/>
    <s v="PREGRADO"/>
    <n v="4"/>
    <x v="5"/>
  </r>
  <r>
    <s v="natalia.arango1@unisabana.edu.co1"/>
    <x v="21"/>
    <s v="PLANTA"/>
    <s v="Si"/>
    <s v="https://ProfPlanta2024.sawtoothsoftware.com/cgi-bin/ciwweb.pl?studyname=ProfPlanta2024&amp;Correo=natalia.arango1@unisabana.edu.co1"/>
    <s v="PREGRADO"/>
    <n v="8"/>
    <x v="0"/>
  </r>
  <r>
    <s v="natalia.conde@unisabana.edu.co1"/>
    <x v="28"/>
    <s v="PLANTA"/>
    <s v="Si"/>
    <s v="https://ProfPlanta2024.sawtoothsoftware.com/cgi-bin/ciwweb.pl?studyname=ProfPlanta2024&amp;Correo=natalia.conde@unisabana.edu.co1"/>
    <s v="PREGRADO"/>
    <n v="8"/>
    <x v="0"/>
  </r>
  <r>
    <s v="neil.valentin@unisabana.edu.co1"/>
    <x v="15"/>
    <s v="PLANTA"/>
    <s v="No"/>
    <s v="https://ProfPlanta2024.sawtoothsoftware.com/cgi-bin/ciwweb.pl?studyname=ProfPlanta2024&amp;Correo=neil.valentin@unisabana.edu.co1"/>
    <s v="PREGRADO"/>
    <n v="1"/>
    <x v="7"/>
  </r>
  <r>
    <s v="neila.diaz@unisabana.edu.co1"/>
    <x v="12"/>
    <s v="PLANTA"/>
    <s v="Si"/>
    <s v="https://ProfPlanta2024.sawtoothsoftware.com/cgi-bin/ciwweb.pl?studyname=ProfPlanta2024&amp;Correo=neila.diaz@unisabana.edu.co1"/>
    <s v="PREGRADO"/>
    <n v="9"/>
    <x v="6"/>
  </r>
  <r>
    <s v="nelly.ojeda@unisabana.edu.co1"/>
    <x v="8"/>
    <s v="PLANTA"/>
    <s v="Si"/>
    <s v="https://ProfPlanta2024.sawtoothsoftware.com/cgi-bin/ciwweb.pl?studyname=ProfPlanta2024&amp;Correo=nelly.ojeda@unisabana.edu.co1"/>
    <s v="PREGRADO"/>
    <n v="4"/>
    <x v="5"/>
  </r>
  <r>
    <s v="nestor.sanchez1@unisabana.edu.co1"/>
    <x v="3"/>
    <s v="PLANTA"/>
    <s v="Si"/>
    <s v="https://ProfPlanta2024.sawtoothsoftware.com/cgi-bin/ciwweb.pl?studyname=ProfPlanta2024&amp;Correo=nestor.sanchez1@unisabana.edu.co1"/>
    <s v="PREGRADO"/>
    <n v="8"/>
    <x v="0"/>
  </r>
  <r>
    <s v="nicolas.garzon@unisabana.edu.co1"/>
    <x v="12"/>
    <s v="PLANTA"/>
    <s v="Si"/>
    <s v="https://ProfPlanta2024.sawtoothsoftware.com/cgi-bin/ciwweb.pl?studyname=ProfPlanta2024&amp;Correo=nicolas.garzon@unisabana.edu.co1"/>
    <s v="PREGRADO"/>
    <n v="9"/>
    <x v="6"/>
  </r>
  <r>
    <s v="nohora.angulo@unisabana.edu.co1"/>
    <x v="15"/>
    <s v="PLANTA"/>
    <s v="Si"/>
    <s v="https://ProfPlanta2024.sawtoothsoftware.com/cgi-bin/ciwweb.pl?studyname=ProfPlanta2024&amp;Correo=nohora.angulo@unisabana.edu.co1"/>
    <s v="PREGRADO"/>
    <n v="1"/>
    <x v="7"/>
  </r>
  <r>
    <s v="olga.restrepo@unisabana.edu.co1"/>
    <x v="15"/>
    <s v="PLANTA"/>
    <s v="No"/>
    <s v="https://ProfPlanta2024.sawtoothsoftware.com/cgi-bin/ciwweb.pl?studyname=ProfPlanta2024&amp;Correo=olga.restrepo@unisabana.edu.co1"/>
    <s v="PREGRADO"/>
    <n v="1"/>
    <x v="7"/>
  </r>
  <r>
    <s v="olga.reyes1@unisabana.edu.co1"/>
    <x v="16"/>
    <s v="PLANTA"/>
    <s v="Si"/>
    <s v="https://ProfPlanta2024.sawtoothsoftware.com/cgi-bin/ciwweb.pl?studyname=ProfPlanta2024&amp;Correo=olga.reyes1@unisabana.edu.co1"/>
    <s v="PREGRADO"/>
    <n v="5"/>
    <x v="1"/>
  </r>
  <r>
    <s v="omar.arias1@unisabana.edu.co1"/>
    <x v="18"/>
    <s v="PLANTA"/>
    <s v="Si"/>
    <s v="https://ProfPlanta2024.sawtoothsoftware.com/cgi-bin/ciwweb.pl?studyname=ProfPlanta2024&amp;Correo=omar.arias1@unisabana.edu.co1"/>
    <s v="PREGRADO"/>
    <n v="2"/>
    <x v="4"/>
  </r>
  <r>
    <s v="paola.arbelaez@unisabana.edu.co1"/>
    <x v="17"/>
    <s v="PLANTA"/>
    <s v="Si"/>
    <s v="https://ProfPlanta2024.sawtoothsoftware.com/cgi-bin/ciwweb.pl?studyname=ProfPlanta2024&amp;Correo=paola.arbelaez@unisabana.edu.co1"/>
    <s v="PREGRADO"/>
    <n v="13"/>
    <x v="8"/>
  </r>
  <r>
    <s v="paola.sarmiento1@unisabana.edu.co1"/>
    <x v="24"/>
    <s v="PLANTA"/>
    <s v="Si"/>
    <s v="https://ProfPlanta2024.sawtoothsoftware.com/cgi-bin/ciwweb.pl?studyname=ProfPlanta2024&amp;Correo=paola.sarmiento1@unisabana.edu.co1"/>
    <s v="PREGRADO"/>
    <n v="6"/>
    <x v="9"/>
  </r>
  <r>
    <s v="paola.uribe@unisabana.edu.co1"/>
    <x v="17"/>
    <s v="PLANTA"/>
    <s v="Si"/>
    <s v="https://ProfPlanta2024.sawtoothsoftware.com/cgi-bin/ciwweb.pl?studyname=ProfPlanta2024&amp;Correo=paola.uribe@unisabana.edu.co1"/>
    <s v="PREGRADO"/>
    <n v="13"/>
    <x v="8"/>
  </r>
  <r>
    <s v="paolaalbde@unisabana.edu.co1"/>
    <x v="10"/>
    <s v="PLANTA"/>
    <s v="Si"/>
    <s v="https://ProfPlanta2024.sawtoothsoftware.com/cgi-bin/ciwweb.pl?studyname=ProfPlanta2024&amp;Correo=paolaalbde@unisabana.edu.co1"/>
    <s v="PREGRADO"/>
    <n v="3"/>
    <x v="2"/>
  </r>
  <r>
    <s v="paula.bonilla3@unisabana.edu.co1"/>
    <x v="22"/>
    <s v="PLANTA"/>
    <s v="Si"/>
    <s v="https://ProfPlanta2024.sawtoothsoftware.com/cgi-bin/ciwweb.pl?studyname=ProfPlanta2024&amp;Correo=paula.bonilla3@unisabana.edu.co1"/>
    <s v="PREGRADO"/>
    <n v="6"/>
    <x v="9"/>
  </r>
  <r>
    <s v="paula.gonzalez4@unisabana.edu.co1"/>
    <x v="22"/>
    <s v="PLANTA"/>
    <s v="Si"/>
    <s v="https://ProfPlanta2024.sawtoothsoftware.com/cgi-bin/ciwweb.pl?studyname=ProfPlanta2024&amp;Correo=paula.gonzalez4@unisabana.edu.co1"/>
    <s v="PREGRADO"/>
    <n v="6"/>
    <x v="9"/>
  </r>
  <r>
    <s v="rafael.alvarez@unisabana.edu.co1"/>
    <x v="0"/>
    <s v="PLANTA"/>
    <s v="Si"/>
    <s v="https://ProfPlanta2024.sawtoothsoftware.com/cgi-bin/ciwweb.pl?studyname=ProfPlanta2024&amp;Correo=rafael.alvarez@unisabana.edu.co1"/>
    <s v="PREGRADO"/>
    <n v="8"/>
    <x v="0"/>
  </r>
  <r>
    <s v="rafael.henriquez@unisabana.edu.co1"/>
    <x v="30"/>
    <s v="PLANTA"/>
    <s v="Si"/>
    <s v="https://ProfPlanta2024.sawtoothsoftware.com/cgi-bin/ciwweb.pl?studyname=ProfPlanta2024&amp;Correo=rafael.henriquez@unisabana.edu.co1"/>
    <s v="PREGRADO"/>
    <n v="2"/>
    <x v="4"/>
  </r>
  <r>
    <s v="ricardo.aldana@unisabana.edu.co1"/>
    <x v="15"/>
    <s v="PLANTA"/>
    <s v="Si"/>
    <s v="https://ProfPlanta2024.sawtoothsoftware.com/cgi-bin/ciwweb.pl?studyname=ProfPlanta2024&amp;Correo=ricardo.aldana@unisabana.edu.co1"/>
    <s v="PREGRADO"/>
    <n v="1"/>
    <x v="7"/>
  </r>
  <r>
    <s v="ricardo.cano@unisabana.edu.co1"/>
    <x v="11"/>
    <s v="PLANTA"/>
    <s v="Si"/>
    <s v="https://ProfPlanta2024.sawtoothsoftware.com/cgi-bin/ciwweb.pl?studyname=ProfPlanta2024&amp;Correo=ricardo.cano@unisabana.edu.co1"/>
    <s v="PREGRADO"/>
    <n v="8"/>
    <x v="0"/>
  </r>
  <r>
    <s v="ricardo.sotaquira@unisabana.edu.co1"/>
    <x v="4"/>
    <s v="PLANTA"/>
    <s v="Si"/>
    <s v="https://ProfPlanta2024.sawtoothsoftware.com/cgi-bin/ciwweb.pl?studyname=ProfPlanta2024&amp;Correo=ricardo.sotaquira@unisabana.edu.co1"/>
    <s v="PREGRADO"/>
    <n v="8"/>
    <x v="0"/>
  </r>
  <r>
    <s v="roberto.garcia@unisabana.edu.co1"/>
    <x v="26"/>
    <s v="PLANTA"/>
    <s v="Si"/>
    <s v="https://ProfPlanta2024.sawtoothsoftware.com/cgi-bin/ciwweb.pl?studyname=ProfPlanta2024&amp;Correo=roberto.garcia@unisabana.edu.co1"/>
    <s v="PREGRADO"/>
    <n v="4"/>
    <x v="5"/>
  </r>
  <r>
    <s v="Rodrigo.Cuevas@clinicaunisabana.edu.co1"/>
    <x v="15"/>
    <s v="PLANTA"/>
    <s v="Si"/>
    <s v="https://ProfPlanta2024.sawtoothsoftware.com/cgi-bin/ciwweb.pl?studyname=ProfPlanta2024&amp;Correo=Rodrigo.Cuevas@clinicaunisabana.edu.co1"/>
    <s v="PREGRADO"/>
    <n v="1"/>
    <x v="7"/>
  </r>
  <r>
    <s v="rosa.duran@unisabana.edu.co1"/>
    <x v="15"/>
    <s v="PLANTA"/>
    <s v="No"/>
    <s v="https://ProfPlanta2024.sawtoothsoftware.com/cgi-bin/ciwweb.pl?studyname=ProfPlanta2024&amp;Correo=rosa.duran@unisabana.edu.co1"/>
    <s v="PREGRADO"/>
    <n v="1"/>
    <x v="7"/>
  </r>
  <r>
    <s v="rosabucr@unisabana.edu.co1"/>
    <x v="15"/>
    <s v="PLANTA"/>
    <s v="Si"/>
    <s v="https://ProfPlanta2024.sawtoothsoftware.com/cgi-bin/ciwweb.pl?studyname=ProfPlanta2024&amp;Correo=rosabucr@unisabana.edu.co1"/>
    <s v="PREGRADO"/>
    <n v="1"/>
    <x v="7"/>
  </r>
  <r>
    <s v="ruth.ruiz@unisabana.edu.co1"/>
    <x v="3"/>
    <s v="PLANTA"/>
    <s v="No"/>
    <s v="https://ProfPlanta2024.sawtoothsoftware.com/cgi-bin/ciwweb.pl?studyname=ProfPlanta2024&amp;Correo=ruth.ruiz@unisabana.edu.co1"/>
    <s v="PREGRADO"/>
    <n v="8"/>
    <x v="0"/>
  </r>
  <r>
    <s v="sandra.rodriguez11@unisabana.edu.co1"/>
    <x v="3"/>
    <s v="PLANTA"/>
    <s v="Si"/>
    <s v="https://ProfPlanta2024.sawtoothsoftware.com/cgi-bin/ciwweb.pl?studyname=ProfPlanta2024&amp;Correo=sandra.rodriguez11@unisabana.edu.co1"/>
    <s v="PREGRADO"/>
    <n v="8"/>
    <x v="0"/>
  </r>
  <r>
    <s v="sandra.toro@unisabana.edu.co1"/>
    <x v="15"/>
    <s v="PLANTA"/>
    <s v="Si"/>
    <s v="https://ProfPlanta2024.sawtoothsoftware.com/cgi-bin/ciwweb.pl?studyname=ProfPlanta2024&amp;Correo=sandra.toro@unisabana.edu.co1"/>
    <s v="PREGRADO"/>
    <n v="1"/>
    <x v="7"/>
  </r>
  <r>
    <s v="santiago.cortes1@unisabana.edu.co1"/>
    <x v="11"/>
    <s v="PLANTA"/>
    <s v="Si"/>
    <s v="https://ProfPlanta2024.sawtoothsoftware.com/cgi-bin/ciwweb.pl?studyname=ProfPlanta2024&amp;Correo=santiago.cortes1@unisabana.edu.co1"/>
    <s v="PREGRADO"/>
    <n v="8"/>
    <x v="0"/>
  </r>
  <r>
    <s v="sara.arias@unisabana.edu.co1"/>
    <x v="15"/>
    <s v="PLANTA"/>
    <s v="Si"/>
    <s v="https://ProfPlanta2024.sawtoothsoftware.com/cgi-bin/ciwweb.pl?studyname=ProfPlanta2024&amp;Correo=sara.arias@unisabana.edu.co1"/>
    <s v="PREGRADO"/>
    <n v="1"/>
    <x v="7"/>
  </r>
  <r>
    <s v="sarah.romero@unisabana.edu.co1"/>
    <x v="5"/>
    <s v="PLANTA"/>
    <s v="Si"/>
    <s v="https://ProfPlanta2024.sawtoothsoftware.com/cgi-bin/ciwweb.pl?studyname=ProfPlanta2024&amp;Correo=sarah.romero@unisabana.edu.co1"/>
    <s v="PREGRADO"/>
    <n v="15"/>
    <x v="3"/>
  </r>
  <r>
    <s v="sergio.agudelo1@unisabana.edu.co1"/>
    <x v="15"/>
    <s v="PLANTA"/>
    <s v="Si"/>
    <s v="https://ProfPlanta2024.sawtoothsoftware.com/cgi-bin/ciwweb.pl?studyname=ProfPlanta2024&amp;Correo=sergio.agudelo1@unisabana.edu.co1"/>
    <s v="PREGRADO"/>
    <n v="1"/>
    <x v="7"/>
  </r>
  <r>
    <s v="sergio.arciniegas@unisabana.edu.co1"/>
    <x v="11"/>
    <s v="PLANTA"/>
    <s v="Si"/>
    <s v="https://ProfPlanta2024.sawtoothsoftware.com/cgi-bin/ciwweb.pl?studyname=ProfPlanta2024&amp;Correo=sergio.arciniegas@unisabana.edu.co1"/>
    <s v="PREGRADO"/>
    <n v="8"/>
    <x v="0"/>
  </r>
  <r>
    <s v="sergio.lozano@unisabana.edu.co1"/>
    <x v="5"/>
    <s v="PLANTA"/>
    <s v="No"/>
    <s v="https://ProfPlanta2024.sawtoothsoftware.com/cgi-bin/ciwweb.pl?studyname=ProfPlanta2024&amp;Correo=sergio.lozano@unisabana.edu.co1"/>
    <s v="PREGRADO"/>
    <n v="15"/>
    <x v="3"/>
  </r>
  <r>
    <s v="silvia.gast@unisabana.edu.co1"/>
    <x v="13"/>
    <s v="PLANTA"/>
    <s v="Si"/>
    <s v="https://ProfPlanta2024.sawtoothsoftware.com/cgi-bin/ciwweb.pl?studyname=ProfPlanta2024&amp;Correo=silvia.gast@unisabana.edu.co1"/>
    <s v="PREGRADO"/>
    <n v="2"/>
    <x v="4"/>
  </r>
  <r>
    <s v="sonia.cardenas2@unisabana.edu.co1"/>
    <x v="24"/>
    <s v="PLANTA"/>
    <s v="Si"/>
    <s v="https://ProfPlanta2024.sawtoothsoftware.com/cgi-bin/ciwweb.pl?studyname=ProfPlanta2024&amp;Correo=sonia.cardenas2@unisabana.edu.co1"/>
    <s v="PREGRADO"/>
    <n v="6"/>
    <x v="9"/>
  </r>
  <r>
    <s v="tatiana.avila@unisabana.edu.co1"/>
    <x v="19"/>
    <s v="PLANTA"/>
    <s v="Si"/>
    <s v="https://ProfPlanta2024.sawtoothsoftware.com/cgi-bin/ciwweb.pl?studyname=ProfPlanta2024&amp;Correo=tatiana.avila@unisabana.edu.co1"/>
    <s v="PREGRADO"/>
    <n v="3"/>
    <x v="2"/>
  </r>
  <r>
    <s v="tatiana.osorio@unisabana.edu.co1"/>
    <x v="6"/>
    <s v="PLANTA"/>
    <s v="Si"/>
    <s v="https://ProfPlanta2024.sawtoothsoftware.com/cgi-bin/ciwweb.pl?studyname=ProfPlanta2024&amp;Correo=tatiana.osorio@unisabana.edu.co1"/>
    <s v="PREGRADO"/>
    <n v="2"/>
    <x v="4"/>
  </r>
  <r>
    <s v="tatianaghija@unisabana.edu.co1"/>
    <x v="16"/>
    <s v="PLANTA"/>
    <s v="Si"/>
    <s v="https://ProfPlanta2024.sawtoothsoftware.com/cgi-bin/ciwweb.pl?studyname=ProfPlanta2024&amp;Correo=tatianaghija@unisabana.edu.co1"/>
    <s v="PREGRADO"/>
    <n v="5"/>
    <x v="1"/>
  </r>
  <r>
    <s v="tebbie.chacon1@unisabana.edu.co1"/>
    <x v="28"/>
    <s v="PLANTA"/>
    <s v="No"/>
    <s v="https://ProfPlanta2024.sawtoothsoftware.com/cgi-bin/ciwweb.pl?studyname=ProfPlanta2024&amp;Correo=tebbie.chacon1@unisabana.edu.co1"/>
    <s v="PREGRADO"/>
    <n v="8"/>
    <x v="0"/>
  </r>
  <r>
    <s v="ulf.thoene@unisabana.edu.co1"/>
    <x v="29"/>
    <s v="PLANTA"/>
    <s v="Si"/>
    <s v="https://ProfPlanta2024.sawtoothsoftware.com/cgi-bin/ciwweb.pl?studyname=ProfPlanta2024&amp;Correo=ulf.thoene@unisabana.edu.co1"/>
    <s v="PREGRADO"/>
    <n v="2"/>
    <x v="4"/>
  </r>
  <r>
    <s v="victor.gamboa@unisabana.edu.co1"/>
    <x v="12"/>
    <s v="PLANTA"/>
    <s v="Si"/>
    <s v="https://ProfPlanta2024.sawtoothsoftware.com/cgi-bin/ciwweb.pl?studyname=ProfPlanta2024&amp;Correo=victor.gamboa@unisabana.edu.co1"/>
    <s v="PREGRADO"/>
    <n v="9"/>
    <x v="6"/>
  </r>
  <r>
    <s v="william.hernandez2@unisabana.edu.co1"/>
    <x v="8"/>
    <s v="PLANTA"/>
    <s v="Si"/>
    <s v="https://ProfPlanta2024.sawtoothsoftware.com/cgi-bin/ciwweb.pl?studyname=ProfPlanta2024&amp;Correo=william.hernandez2@unisabana.edu.co1"/>
    <s v="PREGRADO"/>
    <n v="4"/>
    <x v="5"/>
  </r>
  <r>
    <s v="wilmar.segura@unisabana.edu.co1"/>
    <x v="5"/>
    <s v="PLANTA"/>
    <s v="Si"/>
    <s v="https://ProfPlanta2024.sawtoothsoftware.com/cgi-bin/ciwweb.pl?studyname=ProfPlanta2024&amp;Correo=wilmar.segura@unisabana.edu.co1"/>
    <s v="PREGRADO"/>
    <n v="15"/>
    <x v="3"/>
  </r>
  <r>
    <s v="wilson.betancur@unisabana.edu.co1"/>
    <x v="22"/>
    <s v="PLANTA"/>
    <s v="Si"/>
    <s v="https://ProfPlanta2024.sawtoothsoftware.com/cgi-bin/ciwweb.pl?studyname=ProfPlanta2024&amp;Correo=wilson.betancur@unisabana.edu.co1"/>
    <s v="PREGRADO"/>
    <n v="6"/>
    <x v="9"/>
  </r>
  <r>
    <s v="wilson.briceno@unisabana.edu.co1"/>
    <x v="15"/>
    <s v="PLANTA"/>
    <s v="Si"/>
    <s v="https://ProfPlanta2024.sawtoothsoftware.com/cgi-bin/ciwweb.pl?studyname=ProfPlanta2024&amp;Correo=wilson.briceno@unisabana.edu.co1"/>
    <s v="PREGRADO"/>
    <n v="1"/>
    <x v="7"/>
  </r>
  <r>
    <s v="wilson.parra1@unisabana.edu.co1"/>
    <x v="15"/>
    <s v="PLANTA"/>
    <s v="Si"/>
    <s v="https://ProfPlanta2024.sawtoothsoftware.com/cgi-bin/ciwweb.pl?studyname=ProfPlanta2024&amp;Correo=wilson.parra1@unisabana.edu.co1"/>
    <s v="PREGRADO"/>
    <n v="1"/>
    <x v="7"/>
  </r>
  <r>
    <s v="wilson.rodriguez1@unisabana.edu.co1"/>
    <x v="6"/>
    <s v="PLANTA"/>
    <s v="Si"/>
    <s v="https://ProfPlanta2024.sawtoothsoftware.com/cgi-bin/ciwweb.pl?studyname=ProfPlanta2024&amp;Correo=wilson.rodriguez1@unisabana.edu.co1"/>
    <s v="PREGRADO"/>
    <n v="2"/>
    <x v="4"/>
  </r>
  <r>
    <s v="yady.gonzalez@unisabana.edu.co1"/>
    <x v="1"/>
    <s v="PLANTA"/>
    <s v="Si"/>
    <s v="https://ProfPlanta2024.sawtoothsoftware.com/cgi-bin/ciwweb.pl?studyname=ProfPlanta2024&amp;Correo=yady.gonzalez@unisabana.edu.co1"/>
    <s v="PREGRADO"/>
    <n v="5"/>
    <x v="1"/>
  </r>
  <r>
    <s v="yeimysd@unisabana.edu.co1"/>
    <x v="5"/>
    <s v="PLANTA"/>
    <s v="Si"/>
    <s v="https://ProfPlanta2024.sawtoothsoftware.com/cgi-bin/ciwweb.pl?studyname=ProfPlanta2024&amp;Correo=yeimysd@unisabana.edu.co1"/>
    <s v="PREGRADO"/>
    <n v="15"/>
    <x v="3"/>
  </r>
  <r>
    <s v="yili.espitia@unisabana.edu.co1"/>
    <x v="28"/>
    <s v="PLANTA"/>
    <s v="No"/>
    <s v="https://ProfPlanta2024.sawtoothsoftware.com/cgi-bin/ciwweb.pl?studyname=ProfPlanta2024&amp;Correo=yili.espitia@unisabana.edu.co1"/>
    <s v="PREGRADO"/>
    <n v="8"/>
    <x v="0"/>
  </r>
  <r>
    <s v="yosimar.diaz1@unisabana.edu.co1"/>
    <x v="28"/>
    <s v="PLANTA"/>
    <s v="No"/>
    <s v="https://ProfPlanta2024.sawtoothsoftware.com/cgi-bin/ciwweb.pl?studyname=ProfPlanta2024&amp;Correo=yosimar.diaz1@unisabana.edu.co1"/>
    <s v="PREGRADO"/>
    <n v="8"/>
    <x v="0"/>
  </r>
  <r>
    <s v="yuli.fuentes@unisabana.edu.co1"/>
    <x v="15"/>
    <s v="PLANTA"/>
    <s v="Si"/>
    <s v="https://ProfPlanta2024.sawtoothsoftware.com/cgi-bin/ciwweb.pl?studyname=ProfPlanta2024&amp;Correo=yuli.fuentes@unisabana.edu.co1"/>
    <s v="PREGRADO"/>
    <n v="1"/>
    <x v="7"/>
  </r>
  <r>
    <s v="yulieth.zabaleta1@unisabana.edu.co1"/>
    <x v="24"/>
    <s v="PLANTA"/>
    <s v="Si"/>
    <s v="https://ProfPlanta2024.sawtoothsoftware.com/cgi-bin/ciwweb.pl?studyname=ProfPlanta2024&amp;Correo=yulieth.zabaleta1@unisabana.edu.co1"/>
    <s v="PREGRADO"/>
    <n v="6"/>
    <x v="9"/>
  </r>
  <r>
    <s v="yustinne.cardenas@unisabana.edu.co1"/>
    <x v="25"/>
    <s v="PLANTA"/>
    <s v="Si"/>
    <s v="https://ProfPlanta2024.sawtoothsoftware.com/cgi-bin/ciwweb.pl?studyname=ProfPlanta2024&amp;Correo=yustinne.cardenas@unisabana.edu.co1"/>
    <s v="PREGRADO"/>
    <n v="7"/>
    <x v="10"/>
  </r>
  <r>
    <s v="zulanye.figueredo@unisabana.edu.co1"/>
    <x v="22"/>
    <s v="PLANTA"/>
    <s v="Si"/>
    <s v="https://ProfPlanta2024.sawtoothsoftware.com/cgi-bin/ciwweb.pl?studyname=ProfPlanta2024&amp;Correo=zulanye.figueredo@unisabana.edu.co1"/>
    <s v="PREGRADO"/>
    <n v="6"/>
    <x v="9"/>
  </r>
  <r>
    <s v="Alejandro.acosta1@unisabana.edu.co2"/>
    <x v="3"/>
    <s v="PLANTA"/>
    <s v="Si"/>
    <s v="https://ProfPlanta2024.sawtoothsoftware.com/cgi-bin/ciwweb.pl?studyname=ProfPlanta2024&amp;Correo=Alejandro.acosta1@unisabana.edu.co2"/>
    <s v="PREGRADO"/>
    <n v="8"/>
    <x v="0"/>
  </r>
  <r>
    <s v="alexandra.pedraza@unisabana.edu.co2"/>
    <x v="16"/>
    <s v="PLANTA"/>
    <s v="No"/>
    <s v="https://ProfPlanta2024.sawtoothsoftware.com/cgi-bin/ciwweb.pl?studyname=ProfPlanta2024&amp;Correo=alexandra.pedraza@unisabana.edu.co2"/>
    <s v="PREGRADO"/>
    <n v="5"/>
    <x v="1"/>
  </r>
  <r>
    <s v="ana.vargas@unisabana.edu.co2"/>
    <x v="16"/>
    <s v="PLANTA"/>
    <s v="Si"/>
    <s v="https://ProfPlanta2024.sawtoothsoftware.com/cgi-bin/ciwweb.pl?studyname=ProfPlanta2024&amp;Correo=ana.vargas@unisabana.edu.co2"/>
    <s v="PREGRADO"/>
    <n v="5"/>
    <x v="1"/>
  </r>
  <r>
    <s v="andres.lopez4@unisabana.edu.co2"/>
    <x v="8"/>
    <s v="PLANTA"/>
    <s v="Si"/>
    <s v="https://ProfPlanta2024.sawtoothsoftware.com/cgi-bin/ciwweb.pl?studyname=ProfPlanta2024&amp;Correo=andres.lopez4@unisabana.edu.co2"/>
    <s v="PREGRADO"/>
    <n v="4"/>
    <x v="5"/>
  </r>
  <r>
    <s v="astrid.robayo@unisabana.edu.co2"/>
    <x v="24"/>
    <s v="PLANTA"/>
    <s v="Si"/>
    <s v="https://ProfPlanta2024.sawtoothsoftware.com/cgi-bin/ciwweb.pl?studyname=ProfPlanta2024&amp;Correo=astrid.robayo@unisabana.edu.co2"/>
    <s v="PREGRADO"/>
    <n v="6"/>
    <x v="9"/>
  </r>
  <r>
    <s v="carlos.jimenez@unisabana.edu.co2"/>
    <x v="3"/>
    <s v="PLANTA"/>
    <s v="Si"/>
    <s v="https://ProfPlanta2024.sawtoothsoftware.com/cgi-bin/ciwweb.pl?studyname=ProfPlanta2024&amp;Correo=carlos.jimenez@unisabana.edu.co2"/>
    <s v="PREGRADO"/>
    <n v="8"/>
    <x v="0"/>
  </r>
  <r>
    <s v="ciro.parra@unisabana.edu.co2"/>
    <x v="16"/>
    <s v="PLANTA"/>
    <s v="No"/>
    <s v="https://ProfPlanta2024.sawtoothsoftware.com/cgi-bin/ciwweb.pl?studyname=ProfPlanta2024&amp;Correo=ciro.parra@unisabana.edu.co2"/>
    <s v="PREGRADO"/>
    <n v="5"/>
    <x v="1"/>
  </r>
  <r>
    <s v="diego.rodriguez3@unisabana.edu.co2"/>
    <x v="16"/>
    <s v="PLANTA"/>
    <s v="Si"/>
    <s v="https://ProfPlanta2024.sawtoothsoftware.com/cgi-bin/ciwweb.pl?studyname=ProfPlanta2024&amp;Correo=diego.rodriguez3@unisabana.edu.co2"/>
    <s v="PREGRADO"/>
    <n v="5"/>
    <x v="1"/>
  </r>
  <r>
    <s v="fernando.cvitanic@unisabana.edu.co2"/>
    <x v="2"/>
    <s v="PLANTA"/>
    <s v="Si"/>
    <s v="https://ProfPlanta2024.sawtoothsoftware.com/cgi-bin/ciwweb.pl?studyname=ProfPlanta2024&amp;Correo=fernando.cvitanic@unisabana.edu.co2"/>
    <s v="PREGRADO"/>
    <n v="3"/>
    <x v="2"/>
  </r>
  <r>
    <s v="gabriela.caez@unisabana.edu.co2"/>
    <x v="3"/>
    <s v="PLANTA"/>
    <s v="No"/>
    <s v="https://ProfPlanta2024.sawtoothsoftware.com/cgi-bin/ciwweb.pl?studyname=ProfPlanta2024&amp;Correo=gabriela.caez@unisabana.edu.co2"/>
    <s v="PREGRADO"/>
    <n v="8"/>
    <x v="0"/>
  </r>
  <r>
    <s v="ivan.cabeza@unisabana.edu.co2"/>
    <x v="3"/>
    <s v="PLANTA"/>
    <s v="Si"/>
    <s v="https://ProfPlanta2024.sawtoothsoftware.com/cgi-bin/ciwweb.pl?studyname=ProfPlanta2024&amp;Correo=ivan.cabeza@unisabana.edu.co2"/>
    <s v="PREGRADO"/>
    <n v="8"/>
    <x v="0"/>
  </r>
  <r>
    <s v="Javierpc@unisabana.edu.co2"/>
    <x v="2"/>
    <s v="PLANTA"/>
    <s v="No"/>
    <s v="https://ProfPlanta2024.sawtoothsoftware.com/cgi-bin/ciwweb.pl?studyname=ProfPlanta2024&amp;Correo=Javierpc@unisabana.edu.co2"/>
    <s v="PREGRADO"/>
    <n v="3"/>
    <x v="2"/>
  </r>
  <r>
    <s v="jimmy.mendieta@unisabana.edu.co2"/>
    <x v="24"/>
    <s v="PLANTA"/>
    <s v="Si"/>
    <s v="https://ProfPlanta2024.sawtoothsoftware.com/cgi-bin/ciwweb.pl?studyname=ProfPlanta2024&amp;Correo=jimmy.mendieta@unisabana.edu.co2"/>
    <s v="PREGRADO"/>
    <n v="6"/>
    <x v="9"/>
  </r>
  <r>
    <s v="jose.rodriguez3@unisabana.edu.co2"/>
    <x v="8"/>
    <s v="PLANTA"/>
    <s v="No"/>
    <s v="https://ProfPlanta2024.sawtoothsoftware.com/cgi-bin/ciwweb.pl?studyname=ProfPlanta2024&amp;Correo=jose.rodriguez3@unisabana.edu.co2"/>
    <s v="PREGRADO"/>
    <n v="4"/>
    <x v="5"/>
  </r>
  <r>
    <s v="juan.cardenas4@unisabana.edu.co2"/>
    <x v="2"/>
    <s v="PLANTA"/>
    <s v="No"/>
    <s v="https://ProfPlanta2024.sawtoothsoftware.com/cgi-bin/ciwweb.pl?studyname=ProfPlanta2024&amp;Correo=juan.cardenas4@unisabana.edu.co2"/>
    <s v="PREGRADO"/>
    <n v="3"/>
    <x v="2"/>
  </r>
  <r>
    <s v="juan.castro2@unisabana.edu.co2"/>
    <x v="2"/>
    <s v="PLANTA"/>
    <s v="Si"/>
    <s v="https://ProfPlanta2024.sawtoothsoftware.com/cgi-bin/ciwweb.pl?studyname=ProfPlanta2024&amp;Correo=juan.castro2@unisabana.edu.co2"/>
    <s v="PREGRADO"/>
    <n v="3"/>
    <x v="2"/>
  </r>
  <r>
    <s v="juan.garzon@unisabana.edu.co2"/>
    <x v="8"/>
    <s v="PLANTA"/>
    <s v="Si"/>
    <s v="https://ProfPlanta2024.sawtoothsoftware.com/cgi-bin/ciwweb.pl?studyname=ProfPlanta2024&amp;Correo=juan.garzon@unisabana.edu.co2"/>
    <s v="PREGRADO"/>
    <n v="4"/>
    <x v="5"/>
  </r>
  <r>
    <s v="Julian.Carreno@unisabana.edu.co2"/>
    <x v="2"/>
    <s v="PLANTA"/>
    <s v="No"/>
    <s v="https://ProfPlanta2024.sawtoothsoftware.com/cgi-bin/ciwweb.pl?studyname=ProfPlanta2024&amp;Correo=Julian.Carreno@unisabana.edu.co2"/>
    <s v="PREGRADO"/>
    <n v="3"/>
    <x v="2"/>
  </r>
  <r>
    <s v="laura.carreno@unisabana.edu.co2"/>
    <x v="1"/>
    <s v="PLANTA"/>
    <s v="Si"/>
    <s v="https://ProfPlanta2024.sawtoothsoftware.com/cgi-bin/ciwweb.pl?studyname=ProfPlanta2024&amp;Correo=laura.carreno@unisabana.edu.co2"/>
    <s v="PREGRADO"/>
    <n v="5"/>
    <x v="1"/>
  </r>
  <r>
    <s v="laura.lopez7@unisabana.edu.co2"/>
    <x v="24"/>
    <s v="PLANTA"/>
    <s v="Si"/>
    <s v="https://ProfPlanta2024.sawtoothsoftware.com/cgi-bin/ciwweb.pl?studyname=ProfPlanta2024&amp;Correo=laura.lopez7@unisabana.edu.co2"/>
    <s v="PREGRADO"/>
    <n v="6"/>
    <x v="9"/>
  </r>
  <r>
    <s v="ledy.armirola@unisabana.edu.co2"/>
    <x v="2"/>
    <s v="PLANTA"/>
    <s v="Si"/>
    <s v="https://ProfPlanta2024.sawtoothsoftware.com/cgi-bin/ciwweb.pl?studyname=ProfPlanta2024&amp;Correo=ledy.armirola@unisabana.edu.co2"/>
    <s v="PREGRADO"/>
    <n v="3"/>
    <x v="2"/>
  </r>
  <r>
    <s v="leonardo.moreno@unisabana.edu.co2"/>
    <x v="28"/>
    <s v="PLANTA"/>
    <s v="Si"/>
    <s v="https://ProfPlanta2024.sawtoothsoftware.com/cgi-bin/ciwweb.pl?studyname=ProfPlanta2024&amp;Correo=leonardo.moreno@unisabana.edu.co2"/>
    <s v="PREGRADO"/>
    <n v="8"/>
    <x v="0"/>
  </r>
  <r>
    <s v="liliana.paredes@unisabana.edu.co2"/>
    <x v="2"/>
    <s v="PLANTA"/>
    <s v="No"/>
    <s v="https://ProfPlanta2024.sawtoothsoftware.com/cgi-bin/ciwweb.pl?studyname=ProfPlanta2024&amp;Correo=liliana.paredes@unisabana.edu.co2"/>
    <s v="PREGRADO"/>
    <n v="3"/>
    <x v="2"/>
  </r>
  <r>
    <s v="lina.grimaldos@unisabana.edu.co2"/>
    <x v="24"/>
    <s v="PLANTA"/>
    <s v="Si"/>
    <s v="https://ProfPlanta2024.sawtoothsoftware.com/cgi-bin/ciwweb.pl?studyname=ProfPlanta2024&amp;Correo=lina.grimaldos@unisabana.edu.co2"/>
    <s v="PREGRADO"/>
    <n v="6"/>
    <x v="9"/>
  </r>
  <r>
    <s v="loyda.gomez@unisabana.edu.co2"/>
    <x v="29"/>
    <s v="PLANTA"/>
    <s v="Si"/>
    <s v="https://ProfPlanta2024.sawtoothsoftware.com/cgi-bin/ciwweb.pl?studyname=ProfPlanta2024&amp;Correo=loyda.gomez@unisabana.edu.co2"/>
    <s v="PREGRADO"/>
    <n v="2"/>
    <x v="4"/>
  </r>
  <r>
    <s v="luz.villalba@unisabana.edu.co2"/>
    <x v="2"/>
    <s v="PLANTA"/>
    <s v="Si"/>
    <s v="https://ProfPlanta2024.sawtoothsoftware.com/cgi-bin/ciwweb.pl?studyname=ProfPlanta2024&amp;Correo=luz.villalba@unisabana.edu.co2"/>
    <s v="PREGRADO"/>
    <n v="3"/>
    <x v="2"/>
  </r>
  <r>
    <s v="marcela.duran1@unisabana.edu.co2"/>
    <x v="2"/>
    <s v="PLANTA"/>
    <s v="No"/>
    <s v="https://ProfPlanta2024.sawtoothsoftware.com/cgi-bin/ciwweb.pl?studyname=ProfPlanta2024&amp;Correo=marcela.duran1@unisabana.edu.co2"/>
    <s v="PREGRADO"/>
    <n v="3"/>
    <x v="2"/>
  </r>
  <r>
    <s v="maria.arbelaez4@unisabana.edu.co2"/>
    <x v="2"/>
    <s v="PLANTA"/>
    <s v="Si"/>
    <s v="https://ProfPlanta2024.sawtoothsoftware.com/cgi-bin/ciwweb.pl?studyname=ProfPlanta2024&amp;Correo=maria.arbelaez4@unisabana.edu.co2"/>
    <s v="PREGRADO"/>
    <n v="3"/>
    <x v="2"/>
  </r>
  <r>
    <s v="mauricio.agudelo@unisabana.edu.co2"/>
    <x v="11"/>
    <s v="PLANTA"/>
    <s v="Si"/>
    <s v="https://ProfPlanta2024.sawtoothsoftware.com/cgi-bin/ciwweb.pl?studyname=ProfPlanta2024&amp;Correo=mauricio.agudelo@unisabana.edu.co2"/>
    <s v="PREGRADO"/>
    <n v="8"/>
    <x v="0"/>
  </r>
  <r>
    <s v="natalia.arango1@unisabana.edu.co2"/>
    <x v="21"/>
    <s v="PLANTA"/>
    <s v="Si"/>
    <s v="https://ProfPlanta2024.sawtoothsoftware.com/cgi-bin/ciwweb.pl?studyname=ProfPlanta2024&amp;Correo=natalia.arango1@unisabana.edu.co2"/>
    <s v="PREGRADO"/>
    <n v="8"/>
    <x v="0"/>
  </r>
  <r>
    <s v="natalia.conde@unisabana.edu.co2"/>
    <x v="3"/>
    <s v="PLANTA"/>
    <s v="Si"/>
    <s v="https://ProfPlanta2024.sawtoothsoftware.com/cgi-bin/ciwweb.pl?studyname=ProfPlanta2024&amp;Correo=natalia.conde@unisabana.edu.co2"/>
    <s v="PREGRADO"/>
    <n v="8"/>
    <x v="0"/>
  </r>
  <r>
    <s v="paolaalbde@unisabana.edu.co2"/>
    <x v="2"/>
    <s v="PLANTA"/>
    <s v="Si"/>
    <s v="https://ProfPlanta2024.sawtoothsoftware.com/cgi-bin/ciwweb.pl?studyname=ProfPlanta2024&amp;Correo=paolaalbde@unisabana.edu.co2"/>
    <s v="PREGRADO"/>
    <n v="3"/>
    <x v="2"/>
  </r>
  <r>
    <s v="tebbie.chacon1@unisabana.edu.co2"/>
    <x v="3"/>
    <s v="PLANTA"/>
    <s v="No"/>
    <s v="https://ProfPlanta2024.sawtoothsoftware.com/cgi-bin/ciwweb.pl?studyname=ProfPlanta2024&amp;Correo=tebbie.chacon1@unisabana.edu.co2"/>
    <s v="PREGRADO"/>
    <n v="8"/>
    <x v="0"/>
  </r>
  <r>
    <s v="wilson.betancur@unisabana.edu.co2"/>
    <x v="24"/>
    <s v="PLANTA"/>
    <s v="Si"/>
    <s v="https://ProfPlanta2024.sawtoothsoftware.com/cgi-bin/ciwweb.pl?studyname=ProfPlanta2024&amp;Correo=wilson.betancur@unisabana.edu.co2"/>
    <s v="PREGRADO"/>
    <n v="6"/>
    <x v="9"/>
  </r>
  <r>
    <s v="yady.gonzalez@unisabana.edu.co2"/>
    <x v="16"/>
    <s v="PLANTA"/>
    <s v="Si"/>
    <s v="https://ProfPlanta2024.sawtoothsoftware.com/cgi-bin/ciwweb.pl?studyname=ProfPlanta2024&amp;Correo=yady.gonzalez@unisabana.edu.co2"/>
    <s v="PREGRADO"/>
    <n v="5"/>
    <x v="1"/>
  </r>
  <r>
    <s v="yili.espitia@unisabana.edu.co2"/>
    <x v="3"/>
    <s v="PLANTA"/>
    <s v="No"/>
    <s v="https://ProfPlanta2024.sawtoothsoftware.com/cgi-bin/ciwweb.pl?studyname=ProfPlanta2024&amp;Correo=yili.espitia@unisabana.edu.co2"/>
    <s v="PREGRADO"/>
    <n v="8"/>
    <x v="0"/>
  </r>
  <r>
    <s v="yosimar.diaz1@unisabana.edu.co2"/>
    <x v="11"/>
    <s v="PLANTA"/>
    <s v="Si"/>
    <s v="https://ProfPlanta2024.sawtoothsoftware.com/cgi-bin/ciwweb.pl?studyname=ProfPlanta2024&amp;Correo=yosimar.diaz1@unisabana.edu.co2"/>
    <s v="PREGRADO"/>
    <n v="8"/>
    <x v="0"/>
  </r>
  <r>
    <s v="fernando.cvitanic@unisabana.edu.co3"/>
    <x v="19"/>
    <s v="PLANTA"/>
    <s v="Si"/>
    <s v="https://ProfPlanta2024.sawtoothsoftware.com/cgi-bin/ciwweb.pl?studyname=ProfPlanta2024&amp;Correo=fernando.cvitanic@unisabana.edu.co3"/>
    <s v="PREGRADO"/>
    <n v="3"/>
    <x v="2"/>
  </r>
  <r>
    <s v="Javierpc@unisabana.edu.co3"/>
    <x v="19"/>
    <s v="PLANTA"/>
    <s v="Si"/>
    <s v="https://ProfPlanta2024.sawtoothsoftware.com/cgi-bin/ciwweb.pl?studyname=ProfPlanta2024&amp;Correo=Javierpc@unisabana.edu.co3"/>
    <s v="PREGRADO"/>
    <n v="3"/>
    <x v="2"/>
  </r>
  <r>
    <s v="juan.cardenas4@unisabana.edu.co3"/>
    <x v="19"/>
    <s v="PLANTA"/>
    <s v="No"/>
    <s v="https://ProfPlanta2024.sawtoothsoftware.com/cgi-bin/ciwweb.pl?studyname=ProfPlanta2024&amp;Correo=juan.cardenas4@unisabana.edu.co3"/>
    <s v="PREGRADO"/>
    <n v="3"/>
    <x v="2"/>
  </r>
  <r>
    <s v="juan.castro2@unisabana.edu.co3"/>
    <x v="19"/>
    <s v="PLANTA"/>
    <s v="Si"/>
    <s v="https://ProfPlanta2024.sawtoothsoftware.com/cgi-bin/ciwweb.pl?studyname=ProfPlanta2024&amp;Correo=juan.castro2@unisabana.edu.co3"/>
    <s v="PREGRADO"/>
    <n v="3"/>
    <x v="2"/>
  </r>
  <r>
    <s v="Julian.Carreno@unisabana.edu.co3"/>
    <x v="19"/>
    <s v="PLANTA"/>
    <s v="No"/>
    <s v="https://ProfPlanta2024.sawtoothsoftware.com/cgi-bin/ciwweb.pl?studyname=ProfPlanta2024&amp;Correo=Julian.Carreno@unisabana.edu.co3"/>
    <s v="PREGRADO"/>
    <n v="3"/>
    <x v="2"/>
  </r>
  <r>
    <s v="liliana.paredes@unisabana.edu.co3"/>
    <x v="19"/>
    <s v="PLANTA"/>
    <s v="Si"/>
    <s v="https://ProfPlanta2024.sawtoothsoftware.com/cgi-bin/ciwweb.pl?studyname=ProfPlanta2024&amp;Correo=liliana.paredes@unisabana.edu.co3"/>
    <s v="PREGRADO"/>
    <n v="3"/>
    <x v="2"/>
  </r>
  <r>
    <s v="luz.villalba@unisabana.edu.co3"/>
    <x v="19"/>
    <s v="PLANTA"/>
    <s v="No"/>
    <s v="https://ProfPlanta2024.sawtoothsoftware.com/cgi-bin/ciwweb.pl?studyname=ProfPlanta2024&amp;Correo=luz.villalba@unisabana.edu.co3"/>
    <s v="PREGRADO"/>
    <n v="3"/>
    <x v="2"/>
  </r>
  <r>
    <s v="marcela.duran1@unisabana.edu.co3"/>
    <x v="19"/>
    <s v="PLANTA"/>
    <s v="No"/>
    <s v="https://ProfPlanta2024.sawtoothsoftware.com/cgi-bin/ciwweb.pl?studyname=ProfPlanta2024&amp;Correo=marcela.duran1@unisabana.edu.co3"/>
    <s v="PREGRADO"/>
    <n v="3"/>
    <x v="2"/>
  </r>
  <r>
    <s v="maria.arbelaez4@unisabana.edu.co3"/>
    <x v="19"/>
    <s v="PLANTA"/>
    <s v="No"/>
    <s v="https://ProfPlanta2024.sawtoothsoftware.com/cgi-bin/ciwweb.pl?studyname=ProfPlanta2024&amp;Correo=maria.arbelaez4@unisabana.edu.co3"/>
    <s v="PREGRADO"/>
    <n v="3"/>
    <x v="2"/>
  </r>
  <r>
    <s v="paolaalbde@unisabana.edu.co3"/>
    <x v="19"/>
    <s v="PLANTA"/>
    <s v="Si"/>
    <s v="https://ProfPlanta2024.sawtoothsoftware.com/cgi-bin/ciwweb.pl?studyname=ProfPlanta2024&amp;Correo=paolaalbde@unisabana.edu.co3"/>
    <s v="PREGRADO"/>
    <n v="3"/>
    <x v="2"/>
  </r>
  <r>
    <s v="GERENCIA@SEGURIDADSOCIALCOLMBIA.COM.CO1"/>
    <x v="32"/>
    <s v="CATEDRA"/>
    <s v="No"/>
    <s v="https://ProfCatedra2024.sawtoothsoftware.com/cgi-bin/ciwweb.pl?studyname=ProfCatedra2024&amp;Correo=GERENCIA@SEGURIDADSOCIALCOLMBIA.COM.CO1"/>
    <s v="POSGRADO"/>
    <n v="4"/>
    <x v="5"/>
  </r>
  <r>
    <s v="acarbonellg@gmail.com1"/>
    <x v="33"/>
    <s v="CATEDRA"/>
    <s v="No"/>
    <s v="https://ProfCatedra2024.sawtoothsoftware.com/cgi-bin/ciwweb.pl?studyname=ProfCatedra2024&amp;Correo=acarbonellg@gmail.com1"/>
    <s v="POSGRADO"/>
    <n v="11"/>
    <x v="12"/>
  </r>
  <r>
    <s v="ACASTRILLON@KPMG.COM1"/>
    <x v="34"/>
    <s v="CATEDRA"/>
    <s v="No"/>
    <s v="https://ProfCatedra2024.sawtoothsoftware.com/cgi-bin/ciwweb.pl?studyname=ProfCatedra2024&amp;Correo=ACASTRILLON@KPMG.COM1"/>
    <s v="POSGRADO"/>
    <n v="4"/>
    <x v="5"/>
  </r>
  <r>
    <s v="adalberto.prada@unisabana.edu.co01"/>
    <x v="35"/>
    <s v="CATEDRA"/>
    <s v="No"/>
    <s v="https://ProfCatedra2024.sawtoothsoftware.com/cgi-bin/ciwweb.pl?studyname=ProfCatedra2024&amp;Correo=adalberto.prada@unisabana.edu.co01"/>
    <s v="POSGRADO"/>
    <n v="8"/>
    <x v="0"/>
  </r>
  <r>
    <s v="adriana.castro1@unisabana.edu.co01"/>
    <x v="36"/>
    <s v="CATEDRA"/>
    <s v="No"/>
    <s v="https://ProfCatedra2024.sawtoothsoftware.com/cgi-bin/ciwweb.pl?studyname=ProfCatedra2024&amp;Correo=adriana.castro1@unisabana.edu.co01"/>
    <s v="POSGRADO"/>
    <n v="8"/>
    <x v="0"/>
  </r>
  <r>
    <s v="adriana.lopez5@unisabana.edu.co01"/>
    <x v="37"/>
    <s v="CATEDRA"/>
    <s v="No"/>
    <s v="https://ProfCatedra2024.sawtoothsoftware.com/cgi-bin/ciwweb.pl?studyname=ProfCatedra2024&amp;Correo=adriana.lopez5@unisabana.edu.co01"/>
    <s v="POSGRADO"/>
    <n v="5"/>
    <x v="1"/>
  </r>
  <r>
    <s v="ADRIANAGARCIAGAMA@GMAIL.COM1"/>
    <x v="38"/>
    <s v="CATEDRA"/>
    <s v="Si"/>
    <s v="https://ProfCatedra2024.sawtoothsoftware.com/cgi-bin/ciwweb.pl?studyname=ProfCatedra2024&amp;Correo=ADRIANAGARCIAGAMA@GMAIL.COM1"/>
    <s v="POSGRADO"/>
    <n v="4"/>
    <x v="5"/>
  </r>
  <r>
    <s v="adrianapeme@unisabana.edu.co01"/>
    <x v="39"/>
    <s v="CATEDRA"/>
    <s v="Si"/>
    <s v="https://ProfCatedra2024.sawtoothsoftware.com/cgi-bin/ciwweb.pl?studyname=ProfCatedra2024&amp;Correo=adrianapeme@unisabana.edu.co01"/>
    <s v="POSGRADO"/>
    <n v="11"/>
    <x v="12"/>
  </r>
  <r>
    <s v="AGAITANROZO@YAHOO.ES1"/>
    <x v="40"/>
    <s v="CATEDRA"/>
    <s v="No"/>
    <s v="https://ProfCatedra2024.sawtoothsoftware.com/cgi-bin/ciwweb.pl?studyname=ProfCatedra2024&amp;Correo=AGAITANROZO@YAHOO.ES1"/>
    <s v="POSGRADO"/>
    <n v="4"/>
    <x v="5"/>
  </r>
  <r>
    <s v="alba.sachica1@unisabana.edu.co01"/>
    <x v="41"/>
    <s v="CATEDRA"/>
    <s v="No"/>
    <s v="https://ProfCatedra2024.sawtoothsoftware.com/cgi-bin/ciwweb.pl?studyname=ProfCatedra2024&amp;Correo=alba.sachica1@unisabana.edu.co01"/>
    <s v="POSGRADO"/>
    <n v="6"/>
    <x v="9"/>
  </r>
  <r>
    <s v="ALBERTODUQUERAMIREZ@GMAIL.COM1"/>
    <x v="40"/>
    <s v="CATEDRA"/>
    <s v="No"/>
    <s v="https://ProfCatedra2024.sawtoothsoftware.com/cgi-bin/ciwweb.pl?studyname=ProfCatedra2024&amp;Correo=ALBERTODUQUERAMIREZ@GMAIL.COM1"/>
    <s v="POSGRADO"/>
    <n v="4"/>
    <x v="5"/>
  </r>
  <r>
    <s v="alejandrahear@unisabana.edu.co01"/>
    <x v="36"/>
    <s v="CATEDRA"/>
    <s v="No"/>
    <s v="https://ProfCatedra2024.sawtoothsoftware.com/cgi-bin/ciwweb.pl?studyname=ProfCatedra2024&amp;Correo=alejandrahear@unisabana.edu.co01"/>
    <s v="POSGRADO"/>
    <n v="8"/>
    <x v="0"/>
  </r>
  <r>
    <s v="alexandra.jimenez1@unisabana.edu.co01"/>
    <x v="42"/>
    <s v="CATEDRA"/>
    <s v="No"/>
    <s v="https://ProfCatedra2024.sawtoothsoftware.com/cgi-bin/ciwweb.pl?studyname=ProfCatedra2024&amp;Correo=alexandra.jimenez1@unisabana.edu.co01"/>
    <s v="POSGRADO"/>
    <n v="11"/>
    <x v="12"/>
  </r>
  <r>
    <s v="alfonso.cubillos@unisabana.edu.co01"/>
    <x v="43"/>
    <s v="CATEDRA"/>
    <s v="No"/>
    <s v="https://ProfCatedra2024.sawtoothsoftware.com/cgi-bin/ciwweb.pl?studyname=ProfCatedra2024&amp;Correo=alfonso.cubillos@unisabana.edu.co01"/>
    <s v="POSGRADO"/>
    <n v="8"/>
    <x v="0"/>
  </r>
  <r>
    <s v="alvaro.salcedo@unisabana.edu.co01"/>
    <x v="44"/>
    <s v="CATEDRA"/>
    <s v="No"/>
    <s v="https://ProfCatedra2024.sawtoothsoftware.com/cgi-bin/ciwweb.pl?studyname=ProfCatedra2024&amp;Correo=alvaro.salcedo@unisabana.edu.co01"/>
    <s v="POSGRADO"/>
    <n v="11"/>
    <x v="12"/>
  </r>
  <r>
    <s v="alvaro.vernazza_cont@unisabana.edu.co01"/>
    <x v="45"/>
    <s v="CATEDRA"/>
    <s v="No"/>
    <s v="https://ProfCatedra2024.sawtoothsoftware.com/cgi-bin/ciwweb.pl?studyname=ProfCatedra2024&amp;Correo=alvaro.vernazza_cont@unisabana.edu.co01"/>
    <s v="POSGRADO"/>
    <n v="11"/>
    <x v="12"/>
  </r>
  <r>
    <s v="AMELITA99@YAHOO.COM1"/>
    <x v="40"/>
    <s v="CATEDRA"/>
    <s v="Si"/>
    <s v="https://ProfCatedra2024.sawtoothsoftware.com/cgi-bin/ciwweb.pl?studyname=ProfCatedra2024&amp;Correo=AMELITA99@YAHOO.COM1"/>
    <s v="POSGRADO"/>
    <n v="4"/>
    <x v="5"/>
  </r>
  <r>
    <s v="ana.grandas1@unisabana.edu.co01"/>
    <x v="46"/>
    <s v="CATEDRA"/>
    <s v="No"/>
    <s v="https://ProfCatedra2024.sawtoothsoftware.com/cgi-bin/ciwweb.pl?studyname=ProfCatedra2024&amp;Correo=ana.grandas1@unisabana.edu.co01"/>
    <s v="POSGRADO"/>
    <n v="4"/>
    <x v="5"/>
  </r>
  <r>
    <s v="ANAMARIAGARCIAGALEANO@GMAIL.COM1"/>
    <x v="34"/>
    <s v="CATEDRA"/>
    <s v="No"/>
    <s v="https://ProfCatedra2024.sawtoothsoftware.com/cgi-bin/ciwweb.pl?studyname=ProfCatedra2024&amp;Correo=ANAMARIAGARCIAGALEANO@GMAIL.COM1"/>
    <s v="POSGRADO"/>
    <n v="4"/>
    <x v="5"/>
  </r>
  <r>
    <s v="andherrerag@gmail.com1"/>
    <x v="47"/>
    <s v="CATEDRA"/>
    <s v="Si"/>
    <s v="https://ProfCatedra2024.sawtoothsoftware.com/cgi-bin/ciwweb.pl?studyname=ProfCatedra2024&amp;Correo=andherrerag@gmail.com1"/>
    <s v="POSGRADO"/>
    <n v="2"/>
    <x v="4"/>
  </r>
  <r>
    <s v="andrea.ceballos@unisabana.edu.co01"/>
    <x v="43"/>
    <s v="CATEDRA"/>
    <s v="No"/>
    <s v="https://ProfCatedra2024.sawtoothsoftware.com/cgi-bin/ciwweb.pl?studyname=ProfCatedra2024&amp;Correo=andrea.ceballos@unisabana.edu.co01"/>
    <s v="POSGRADO"/>
    <n v="8"/>
    <x v="0"/>
  </r>
  <r>
    <s v="andrea.medina@unisabana.edu.co01"/>
    <x v="48"/>
    <s v="CATEDRA"/>
    <s v="No"/>
    <s v="https://ProfCatedra2024.sawtoothsoftware.com/cgi-bin/ciwweb.pl?studyname=ProfCatedra2024&amp;Correo=andrea.medina@unisabana.edu.co01"/>
    <s v="POSGRADO"/>
    <n v="5"/>
    <x v="1"/>
  </r>
  <r>
    <s v="andres.angarita1@unisabana.edu.co01"/>
    <x v="33"/>
    <s v="CATEDRA"/>
    <s v="No"/>
    <s v="https://ProfCatedra2024.sawtoothsoftware.com/cgi-bin/ciwweb.pl?studyname=ProfCatedra2024&amp;Correo=andres.angarita1@unisabana.edu.co01"/>
    <s v="POSGRADO"/>
    <n v="11"/>
    <x v="12"/>
  </r>
  <r>
    <s v="andres.betancourt1@unisabana.edu.co01"/>
    <x v="49"/>
    <s v="CATEDRA"/>
    <s v="No"/>
    <s v="https://ProfCatedra2024.sawtoothsoftware.com/cgi-bin/ciwweb.pl?studyname=ProfCatedra2024&amp;Correo=andres.betancourt1@unisabana.edu.co01"/>
    <s v="POSGRADO"/>
    <n v="1"/>
    <x v="7"/>
  </r>
  <r>
    <s v="andres.cardona1@unisabana.edu.co01"/>
    <x v="43"/>
    <s v="CATEDRA"/>
    <s v="No"/>
    <s v="https://ProfCatedra2024.sawtoothsoftware.com/cgi-bin/ciwweb.pl?studyname=ProfCatedra2024&amp;Correo=andres.cardona1@unisabana.edu.co01"/>
    <s v="POSGRADO"/>
    <n v="8"/>
    <x v="0"/>
  </r>
  <r>
    <s v="andres.carreno@Unisabana.edu.co01"/>
    <x v="50"/>
    <s v="CATEDRA"/>
    <s v="No"/>
    <s v="https://ProfCatedra2024.sawtoothsoftware.com/cgi-bin/ciwweb.pl?studyname=ProfCatedra2024&amp;Correo=andres.carreno@Unisabana.edu.co01"/>
    <s v="POSGRADO"/>
    <n v="5"/>
    <x v="1"/>
  </r>
  <r>
    <s v="ANDRES.MANCIPE@GMAIL.COM1"/>
    <x v="51"/>
    <s v="CATEDRA"/>
    <s v="No"/>
    <s v="https://ProfCatedra2024.sawtoothsoftware.com/cgi-bin/ciwweb.pl?studyname=ProfCatedra2024&amp;Correo=ANDRES.MANCIPE@GMAIL.COM1"/>
    <s v="POSGRADO"/>
    <n v="4"/>
    <x v="5"/>
  </r>
  <r>
    <s v="andres.martinez10@unisabana.edu.co01"/>
    <x v="52"/>
    <s v="CATEDRA"/>
    <s v="No"/>
    <s v="https://ProfCatedra2024.sawtoothsoftware.com/cgi-bin/ciwweb.pl?studyname=ProfCatedra2024&amp;Correo=andres.martinez10@unisabana.edu.co01"/>
    <s v="POSGRADO"/>
    <n v="1"/>
    <x v="7"/>
  </r>
  <r>
    <s v="andres.montoyad1@gmail.com1"/>
    <x v="53"/>
    <s v="CATEDRA"/>
    <s v="No"/>
    <s v="https://ProfCatedra2024.sawtoothsoftware.com/cgi-bin/ciwweb.pl?studyname=ProfCatedra2024&amp;Correo=andres.montoyad1@gmail.com1"/>
    <s v="POSGRADO"/>
    <n v="1"/>
    <x v="7"/>
  </r>
  <r>
    <s v="ANDRESCARRILLO@USANTOTOMAS.edu.co01"/>
    <x v="40"/>
    <s v="CATEDRA"/>
    <s v="No"/>
    <s v="https://ProfCatedra2024.sawtoothsoftware.com/cgi-bin/ciwweb.pl?studyname=ProfCatedra2024&amp;Correo=ANDRESCARRILLO@USANTOTOMAS.edu.co01"/>
    <s v="POSGRADO"/>
    <n v="4"/>
    <x v="5"/>
  </r>
  <r>
    <s v="ANDRESRODRIGUEZ@HOTMAIL.FR1"/>
    <x v="54"/>
    <s v="CATEDRA"/>
    <s v="No"/>
    <s v="https://ProfCatedra2024.sawtoothsoftware.com/cgi-bin/ciwweb.pl?studyname=ProfCatedra2024&amp;Correo=ANDRESRODRIGUEZ@HOTMAIL.FR1"/>
    <s v="POSGRADO"/>
    <n v="4"/>
    <x v="5"/>
  </r>
  <r>
    <s v="andresrohe@unisabana.edu.co01"/>
    <x v="47"/>
    <s v="CATEDRA"/>
    <s v="No"/>
    <s v="https://ProfCatedra2024.sawtoothsoftware.com/cgi-bin/ciwweb.pl?studyname=ProfCatedra2024&amp;Correo=andresrohe@unisabana.edu.co01"/>
    <s v="POSGRADO"/>
    <n v="2"/>
    <x v="4"/>
  </r>
  <r>
    <s v="angel.gutierrez@unisabana.edu.co01"/>
    <x v="43"/>
    <s v="CATEDRA"/>
    <s v="Si"/>
    <s v="https://ProfCatedra2024.sawtoothsoftware.com/cgi-bin/ciwweb.pl?studyname=ProfCatedra2024&amp;Correo=angel.gutierrez@unisabana.edu.co01"/>
    <s v="POSGRADO"/>
    <n v="8"/>
    <x v="0"/>
  </r>
  <r>
    <s v="angela.aillon@unisabana.edu.co01"/>
    <x v="55"/>
    <s v="CATEDRA"/>
    <s v="No"/>
    <s v="https://ProfCatedra2024.sawtoothsoftware.com/cgi-bin/ciwweb.pl?studyname=ProfCatedra2024&amp;Correo=angela.aillon@unisabana.edu.co01"/>
    <s v="POSGRADO"/>
    <n v="11"/>
    <x v="12"/>
  </r>
  <r>
    <s v="angela.bertieri@unisabana.edu.co01"/>
    <x v="56"/>
    <s v="CATEDRA"/>
    <s v="No"/>
    <s v="https://ProfCatedra2024.sawtoothsoftware.com/cgi-bin/ciwweb.pl?studyname=ProfCatedra2024&amp;Correo=angela.bertieri@unisabana.edu.co01"/>
    <s v="POSGRADO"/>
    <n v="2"/>
    <x v="4"/>
  </r>
  <r>
    <s v="angela.dominguez2@unisabana.edu.co01"/>
    <x v="52"/>
    <s v="CATEDRA"/>
    <s v="No"/>
    <s v="https://ProfCatedra2024.sawtoothsoftware.com/cgi-bin/ciwweb.pl?studyname=ProfCatedra2024&amp;Correo=angela.dominguez2@unisabana.edu.co01"/>
    <s v="POSGRADO"/>
    <n v="1"/>
    <x v="7"/>
  </r>
  <r>
    <s v="angelgup@unisabana.edu.co01"/>
    <x v="57"/>
    <s v="CATEDRA"/>
    <s v="Si"/>
    <s v="https://ProfCatedra2024.sawtoothsoftware.com/cgi-bin/ciwweb.pl?studyname=ProfCatedra2024&amp;Correo=angelgup@unisabana.edu.co01"/>
    <s v="POSGRADO"/>
    <n v="2"/>
    <x v="4"/>
  </r>
  <r>
    <s v="aris.rodriguez@unisabana.edu.co01"/>
    <x v="55"/>
    <s v="CATEDRA"/>
    <s v="No"/>
    <s v="https://ProfCatedra2024.sawtoothsoftware.com/cgi-bin/ciwweb.pl?studyname=ProfCatedra2024&amp;Correo=aris.rodriguez@unisabana.edu.co01"/>
    <s v="POSGRADO"/>
    <n v="11"/>
    <x v="12"/>
  </r>
  <r>
    <s v="asmith.parra@gmail.com1"/>
    <x v="58"/>
    <s v="CATEDRA"/>
    <s v="Si"/>
    <s v="https://ProfCatedra2024.sawtoothsoftware.com/cgi-bin/ciwweb.pl?studyname=ProfCatedra2024&amp;Correo=asmith.parra@gmail.com1"/>
    <s v="POSGRADO"/>
    <n v="2"/>
    <x v="4"/>
  </r>
  <r>
    <s v="augusto.delgadillo@unisabana.edu.co01"/>
    <x v="59"/>
    <s v="CATEDRA"/>
    <s v="No"/>
    <s v="https://ProfCatedra2024.sawtoothsoftware.com/cgi-bin/ciwweb.pl?studyname=ProfCatedra2024&amp;Correo=augusto.delgadillo@unisabana.edu.co01"/>
    <s v="POSGRADO"/>
    <n v="11"/>
    <x v="12"/>
  </r>
  <r>
    <s v="beatriz.herrera@unisabana.edu.co01"/>
    <x v="60"/>
    <s v="CATEDRA"/>
    <s v="Si"/>
    <s v="https://ProfCatedra2024.sawtoothsoftware.com/cgi-bin/ciwweb.pl?studyname=ProfCatedra2024&amp;Correo=beatriz.herrera@unisabana.edu.co01"/>
    <s v="POSGRADO"/>
    <n v="11"/>
    <x v="12"/>
  </r>
  <r>
    <s v="beatriz.lara1@unisabana.edu.co01"/>
    <x v="61"/>
    <s v="CATEDRA"/>
    <s v="No"/>
    <s v="https://ProfCatedra2024.sawtoothsoftware.com/cgi-bin/ciwweb.pl?studyname=ProfCatedra2024&amp;Correo=beatriz.lara1@unisabana.edu.co01"/>
    <s v="POSGRADO"/>
    <n v="11"/>
    <x v="12"/>
  </r>
  <r>
    <s v="BOHORQUEZSANDOVAL@GMAIL.COM1"/>
    <x v="34"/>
    <s v="CATEDRA"/>
    <s v="No"/>
    <s v="https://ProfCatedra2024.sawtoothsoftware.com/cgi-bin/ciwweb.pl?studyname=ProfCatedra2024&amp;Correo=BOHORQUEZSANDOVAL@GMAIL.COM1"/>
    <s v="POSGRADO"/>
    <n v="4"/>
    <x v="5"/>
  </r>
  <r>
    <s v="brianda.sarmiento@unisabana.edu.co01"/>
    <x v="62"/>
    <s v="CATEDRA"/>
    <s v="No"/>
    <s v="https://ProfCatedra2024.sawtoothsoftware.com/cgi-bin/ciwweb.pl?studyname=ProfCatedra2024&amp;Correo=brianda.sarmiento@unisabana.edu.co01"/>
    <s v="POSGRADO"/>
    <n v="5"/>
    <x v="1"/>
  </r>
  <r>
    <s v="camilo.aljure@unisabana.edu.co01"/>
    <x v="55"/>
    <s v="CATEDRA"/>
    <s v="No"/>
    <s v="https://ProfCatedra2024.sawtoothsoftware.com/cgi-bin/ciwweb.pl?studyname=ProfCatedra2024&amp;Correo=camilo.aljure@unisabana.edu.co01"/>
    <s v="POSGRADO"/>
    <n v="11"/>
    <x v="12"/>
  </r>
  <r>
    <s v="camilo.navarrete@unisabana.edu.co01"/>
    <x v="63"/>
    <s v="CATEDRA"/>
    <s v="No"/>
    <s v="https://ProfCatedra2024.sawtoothsoftware.com/cgi-bin/ciwweb.pl?studyname=ProfCatedra2024&amp;Correo=camilo.navarrete@unisabana.edu.co01"/>
    <s v="POSGRADO"/>
    <n v="7"/>
    <x v="10"/>
  </r>
  <r>
    <s v="camilo.rincon2@unisabana.edu.co01"/>
    <x v="64"/>
    <s v="CATEDRA"/>
    <s v="No"/>
    <s v="https://ProfCatedra2024.sawtoothsoftware.com/cgi-bin/ciwweb.pl?studyname=ProfCatedra2024&amp;Correo=camilo.rincon2@unisabana.edu.co01"/>
    <s v="POSGRADO"/>
    <n v="9"/>
    <x v="6"/>
  </r>
  <r>
    <s v="camilo.torres@unisabana.edu.co01"/>
    <x v="43"/>
    <s v="CATEDRA"/>
    <s v="Si"/>
    <s v="https://ProfCatedra2024.sawtoothsoftware.com/cgi-bin/ciwweb.pl?studyname=ProfCatedra2024&amp;Correo=camilo.torres@unisabana.edu.co01"/>
    <s v="POSGRADO"/>
    <n v="8"/>
    <x v="0"/>
  </r>
  <r>
    <s v="CAMILOGUZMAN63@OUTLOOK.COM1"/>
    <x v="34"/>
    <s v="CATEDRA"/>
    <s v="No"/>
    <s v="https://ProfCatedra2024.sawtoothsoftware.com/cgi-bin/ciwweb.pl?studyname=ProfCatedra2024&amp;Correo=CAMILOGUZMAN63@OUTLOOK.COM1"/>
    <s v="POSGRADO"/>
    <n v="4"/>
    <x v="5"/>
  </r>
  <r>
    <s v="carlo.sarmiento@unisabana.edu.co01"/>
    <x v="65"/>
    <s v="CATEDRA"/>
    <s v="Si"/>
    <s v="https://ProfCatedra2024.sawtoothsoftware.com/cgi-bin/ciwweb.pl?studyname=ProfCatedra2024&amp;Correo=carlo.sarmiento@unisabana.edu.co01"/>
    <s v="POSGRADO"/>
    <n v="3"/>
    <x v="2"/>
  </r>
  <r>
    <s v="carlos.aguirre2@unisabana.edu.co01"/>
    <x v="66"/>
    <s v="CATEDRA"/>
    <s v="No"/>
    <s v="https://ProfCatedra2024.sawtoothsoftware.com/cgi-bin/ciwweb.pl?studyname=ProfCatedra2024&amp;Correo=carlos.aguirre2@unisabana.edu.co01"/>
    <s v="POSGRADO"/>
    <n v="1"/>
    <x v="7"/>
  </r>
  <r>
    <s v="carlos.bustamante@unisabana.edu.co01"/>
    <x v="67"/>
    <s v="CATEDRA"/>
    <s v="No"/>
    <s v="https://ProfCatedra2024.sawtoothsoftware.com/cgi-bin/ciwweb.pl?studyname=ProfCatedra2024&amp;Correo=carlos.bustamante@unisabana.edu.co01"/>
    <s v="POSGRADO"/>
    <n v="1"/>
    <x v="7"/>
  </r>
  <r>
    <s v="carlos.giron@unisabana.edu.co01"/>
    <x v="68"/>
    <s v="CATEDRA"/>
    <s v="No"/>
    <s v="https://ProfCatedra2024.sawtoothsoftware.com/cgi-bin/ciwweb.pl?studyname=ProfCatedra2024&amp;Correo=carlos.giron@unisabana.edu.co01"/>
    <s v="POSGRADO"/>
    <n v="11"/>
    <x v="12"/>
  </r>
  <r>
    <s v="carlos.gomez17@unisabana.edu.co01"/>
    <x v="60"/>
    <s v="CATEDRA"/>
    <s v="Si"/>
    <s v="https://ProfCatedra2024.sawtoothsoftware.com/cgi-bin/ciwweb.pl?studyname=ProfCatedra2024&amp;Correo=carlos.gomez17@unisabana.edu.co01"/>
    <s v="POSGRADO"/>
    <n v="11"/>
    <x v="12"/>
  </r>
  <r>
    <s v="carlos.rojas@unisabana.edu.co01"/>
    <x v="69"/>
    <s v="CATEDRA"/>
    <s v="Si"/>
    <s v="https://ProfCatedra2024.sawtoothsoftware.com/cgi-bin/ciwweb.pl?studyname=ProfCatedra2024&amp;Correo=carlos.rojas@unisabana.edu.co01"/>
    <s v="POSGRADO"/>
    <n v="11"/>
    <x v="12"/>
  </r>
  <r>
    <s v="carlos.salazar5@unisabana.edu.co01"/>
    <x v="47"/>
    <s v="CATEDRA"/>
    <s v="No"/>
    <s v="https://ProfCatedra2024.sawtoothsoftware.com/cgi-bin/ciwweb.pl?studyname=ProfCatedra2024&amp;Correo=carlos.salazar5@unisabana.edu.co01"/>
    <s v="POSGRADO"/>
    <n v="2"/>
    <x v="4"/>
  </r>
  <r>
    <s v="carlos.tapias1@unisabana.edu.co01"/>
    <x v="70"/>
    <s v="CATEDRA"/>
    <s v="No"/>
    <s v="https://ProfCatedra2024.sawtoothsoftware.com/cgi-bin/ciwweb.pl?studyname=ProfCatedra2024&amp;Correo=carlos.tapias1@unisabana.edu.co01"/>
    <s v="POSGRADO"/>
    <n v="1"/>
    <x v="7"/>
  </r>
  <r>
    <s v="carlos.torres3@unisabana.edu.co01"/>
    <x v="66"/>
    <s v="CATEDRA"/>
    <s v="No"/>
    <s v="https://ProfCatedra2024.sawtoothsoftware.com/cgi-bin/ciwweb.pl?studyname=ProfCatedra2024&amp;Correo=carlos.torres3@unisabana.edu.co01"/>
    <s v="POSGRADO"/>
    <n v="1"/>
    <x v="7"/>
  </r>
  <r>
    <s v="carlos.villalba@clinicaunisabana.edu.co01"/>
    <x v="52"/>
    <s v="CATEDRA"/>
    <s v="No"/>
    <s v="https://ProfCatedra2024.sawtoothsoftware.com/cgi-bin/ciwweb.pl?studyname=ProfCatedra2024&amp;Correo=carlos.villalba@clinicaunisabana.edu.co01"/>
    <s v="POSGRADO"/>
    <n v="1"/>
    <x v="7"/>
  </r>
  <r>
    <s v="CARLOSARTURORAMIREZ@HOTMAIL.COM1"/>
    <x v="71"/>
    <s v="CATEDRA"/>
    <s v="No"/>
    <s v="https://ProfCatedra2024.sawtoothsoftware.com/cgi-bin/ciwweb.pl?studyname=ProfCatedra2024&amp;Correo=CARLOSARTURORAMIREZ@HOTMAIL.COM1"/>
    <s v="POSGRADO"/>
    <n v="4"/>
    <x v="5"/>
  </r>
  <r>
    <s v="CATALINA.YUCUMA@GMAIL.COM1"/>
    <x v="46"/>
    <s v="CATEDRA"/>
    <s v="No"/>
    <s v="https://ProfCatedra2024.sawtoothsoftware.com/cgi-bin/ciwweb.pl?studyname=ProfCatedra2024&amp;Correo=CATALINA.YUCUMA@GMAIL.COM1"/>
    <s v="POSGRADO"/>
    <n v="4"/>
    <x v="5"/>
  </r>
  <r>
    <s v="CEJARAMILLO@ARRUBLADEVIS.COM1"/>
    <x v="40"/>
    <s v="CATEDRA"/>
    <s v="No"/>
    <s v="https://ProfCatedra2024.sawtoothsoftware.com/cgi-bin/ciwweb.pl?studyname=ProfCatedra2024&amp;Correo=CEJARAMILLO@ARRUBLADEVIS.COM1"/>
    <s v="POSGRADO"/>
    <n v="4"/>
    <x v="5"/>
  </r>
  <r>
    <s v="CESAR.ROMA@DRET.LEGAL1"/>
    <x v="40"/>
    <s v="CATEDRA"/>
    <s v="No"/>
    <s v="https://ProfCatedra2024.sawtoothsoftware.com/cgi-bin/ciwweb.pl?studyname=ProfCatedra2024&amp;Correo=CESAR.ROMA@DRET.LEGAL1"/>
    <s v="POSGRADO"/>
    <n v="4"/>
    <x v="5"/>
  </r>
  <r>
    <s v="CHERRERA@GMAIL.COM1"/>
    <x v="72"/>
    <s v="CATEDRA"/>
    <s v="No"/>
    <s v="https://ProfCatedra2024.sawtoothsoftware.com/cgi-bin/ciwweb.pl?studyname=ProfCatedra2024&amp;Correo=CHERRERA@GMAIL.COM1"/>
    <s v="POSGRADO"/>
    <n v="4"/>
    <x v="5"/>
  </r>
  <r>
    <s v="CINDYESMU@GMAIL.COM1"/>
    <x v="73"/>
    <s v="CATEDRA"/>
    <s v="No"/>
    <s v="https://ProfCatedra2024.sawtoothsoftware.com/cgi-bin/ciwweb.pl?studyname=ProfCatedra2024&amp;Correo=CINDYESMU@GMAIL.COM1"/>
    <s v="POSGRADO"/>
    <n v="4"/>
    <x v="5"/>
  </r>
  <r>
    <s v="claudia.becerra1@unisabana.edu.co01"/>
    <x v="74"/>
    <s v="CATEDRA"/>
    <s v="No"/>
    <s v="https://ProfCatedra2024.sawtoothsoftware.com/cgi-bin/ciwweb.pl?studyname=ProfCatedra2024&amp;Correo=claudia.becerra1@unisabana.edu.co01"/>
    <s v="POSGRADO"/>
    <n v="5"/>
    <x v="1"/>
  </r>
  <r>
    <s v="claudia.lugo1@unisabana.edu.co01"/>
    <x v="75"/>
    <s v="CATEDRA"/>
    <s v="No"/>
    <s v="https://ProfCatedra2024.sawtoothsoftware.com/cgi-bin/ciwweb.pl?studyname=ProfCatedra2024&amp;Correo=claudia.lugo1@unisabana.edu.co01"/>
    <s v="POSGRADO"/>
    <n v="7"/>
    <x v="10"/>
  </r>
  <r>
    <s v="claudia.poveda1@unisabana.edu.co01"/>
    <x v="76"/>
    <s v="CATEDRA"/>
    <s v="No"/>
    <s v="https://ProfCatedra2024.sawtoothsoftware.com/cgi-bin/ciwweb.pl?studyname=ProfCatedra2024&amp;Correo=claudia.poveda1@unisabana.edu.co01"/>
    <s v="POSGRADO"/>
    <n v="1"/>
    <x v="7"/>
  </r>
  <r>
    <s v="CLAUDIAPATRICIABARRANTES@GMAIL.COM1"/>
    <x v="72"/>
    <s v="CATEDRA"/>
    <s v="Si"/>
    <s v="https://ProfCatedra2024.sawtoothsoftware.com/cgi-bin/ciwweb.pl?studyname=ProfCatedra2024&amp;Correo=CLAUDIAPATRICIABARRANTES@GMAIL.COM1"/>
    <s v="POSGRADO"/>
    <n v="4"/>
    <x v="5"/>
  </r>
  <r>
    <s v="Claudiapem@unisabana.edu.co01"/>
    <x v="41"/>
    <s v="CATEDRA"/>
    <s v="No"/>
    <s v="https://ProfCatedra2024.sawtoothsoftware.com/cgi-bin/ciwweb.pl?studyname=ProfCatedra2024&amp;Correo=Claudiapem@unisabana.edu.co01"/>
    <s v="POSGRADO"/>
    <n v="6"/>
    <x v="9"/>
  </r>
  <r>
    <s v="cleliap1@gmail.com1"/>
    <x v="58"/>
    <s v="CATEDRA"/>
    <s v="Si"/>
    <s v="https://ProfCatedra2024.sawtoothsoftware.com/cgi-bin/ciwweb.pl?studyname=ProfCatedra2024&amp;Correo=cleliap1@gmail.com1"/>
    <s v="POSGRADO"/>
    <n v="2"/>
    <x v="4"/>
  </r>
  <r>
    <s v="contanza.alarcon@unisabana.edu.co01"/>
    <x v="37"/>
    <s v="CATEDRA"/>
    <s v="No"/>
    <s v="https://ProfCatedra2024.sawtoothsoftware.com/cgi-bin/ciwweb.pl?studyname=ProfCatedra2024&amp;Correo=contanza.alarcon@unisabana.edu.co01"/>
    <s v="POSGRADO"/>
    <n v="5"/>
    <x v="1"/>
  </r>
  <r>
    <s v="CRISTHIANDAVI1@HOTMAIL.COM1"/>
    <x v="32"/>
    <s v="CATEDRA"/>
    <s v="No"/>
    <s v="https://ProfCatedra2024.sawtoothsoftware.com/cgi-bin/ciwweb.pl?studyname=ProfCatedra2024&amp;Correo=CRISTHIANDAVI1@HOTMAIL.COM1"/>
    <s v="POSGRADO"/>
    <n v="4"/>
    <x v="5"/>
  </r>
  <r>
    <s v="cristian.rodriguez4@unisabana.edu.co01"/>
    <x v="77"/>
    <s v="CATEDRA"/>
    <s v="No"/>
    <s v="https://ProfCatedra2024.sawtoothsoftware.com/cgi-bin/ciwweb.pl?studyname=ProfCatedra2024&amp;Correo=cristian.rodriguez4@unisabana.edu.co01"/>
    <s v="POSGRADO"/>
    <n v="9"/>
    <x v="6"/>
  </r>
  <r>
    <s v="CRISTINACHARRY@YAHOO.ES1"/>
    <x v="72"/>
    <s v="CATEDRA"/>
    <s v="Si"/>
    <s v="https://ProfCatedra2024.sawtoothsoftware.com/cgi-bin/ciwweb.pl?studyname=ProfCatedra2024&amp;Correo=CRISTINACHARRY@YAHOO.ES1"/>
    <s v="POSGRADO"/>
    <n v="4"/>
    <x v="5"/>
  </r>
  <r>
    <s v="daniel.ayala1@unisabana.edu.co01"/>
    <x v="51"/>
    <s v="CATEDRA"/>
    <s v="No"/>
    <s v="https://ProfCatedra2024.sawtoothsoftware.com/cgi-bin/ciwweb.pl?studyname=ProfCatedra2024&amp;Correo=daniel.ayala1@unisabana.edu.co01"/>
    <s v="POSGRADO"/>
    <n v="4"/>
    <x v="5"/>
  </r>
  <r>
    <s v="daniel.gomez5@unisabana.edu.co01"/>
    <x v="56"/>
    <s v="CATEDRA"/>
    <s v="No"/>
    <s v="https://ProfCatedra2024.sawtoothsoftware.com/cgi-bin/ciwweb.pl?studyname=ProfCatedra2024&amp;Correo=daniel.gomez5@unisabana.edu.co01"/>
    <s v="POSGRADO"/>
    <n v="2"/>
    <x v="4"/>
  </r>
  <r>
    <s v="daniel.prieto@unisabana.edu.co01"/>
    <x v="47"/>
    <s v="CATEDRA"/>
    <s v="No"/>
    <s v="https://ProfCatedra2024.sawtoothsoftware.com/cgi-bin/ciwweb.pl?studyname=ProfCatedra2024&amp;Correo=daniel.prieto@unisabana.edu.co01"/>
    <s v="POSGRADO"/>
    <n v="2"/>
    <x v="4"/>
  </r>
  <r>
    <s v="daniel.rodriguez8@unisabana.edu.co01"/>
    <x v="43"/>
    <s v="CATEDRA"/>
    <s v="No"/>
    <s v="https://ProfCatedra2024.sawtoothsoftware.com/cgi-bin/ciwweb.pl?studyname=ProfCatedra2024&amp;Correo=daniel.rodriguez8@unisabana.edu.co01"/>
    <s v="POSGRADO"/>
    <n v="8"/>
    <x v="0"/>
  </r>
  <r>
    <s v="dario.parra1@unisabana.edu.co01"/>
    <x v="78"/>
    <s v="CATEDRA"/>
    <s v="No"/>
    <s v="https://ProfCatedra2024.sawtoothsoftware.com/cgi-bin/ciwweb.pl?studyname=ProfCatedra2024&amp;Correo=dario.parra1@unisabana.edu.co01"/>
    <s v="POSGRADO"/>
    <n v="11"/>
    <x v="12"/>
  </r>
  <r>
    <s v="dario.rojas@unisabana.edu.co01"/>
    <x v="52"/>
    <s v="CATEDRA"/>
    <s v="No"/>
    <s v="https://ProfCatedra2024.sawtoothsoftware.com/cgi-bin/ciwweb.pl?studyname=ProfCatedra2024&amp;Correo=dario.rojas@unisabana.edu.co01"/>
    <s v="POSGRADO"/>
    <n v="1"/>
    <x v="7"/>
  </r>
  <r>
    <s v="DAVENDANOSURA@GMAIL.COM1"/>
    <x v="38"/>
    <s v="CATEDRA"/>
    <s v="Si"/>
    <s v="https://ProfCatedra2024.sawtoothsoftware.com/cgi-bin/ciwweb.pl?studyname=ProfCatedra2024&amp;Correo=DAVENDANOSURA@GMAIL.COM1"/>
    <s v="POSGRADO"/>
    <n v="4"/>
    <x v="5"/>
  </r>
  <r>
    <s v="david.rozo@unisabana.edu.co01"/>
    <x v="43"/>
    <s v="CATEDRA"/>
    <s v="No"/>
    <s v="https://ProfCatedra2024.sawtoothsoftware.com/cgi-bin/ciwweb.pl?studyname=ProfCatedra2024&amp;Correo=david.rozo@unisabana.edu.co01"/>
    <s v="POSGRADO"/>
    <n v="8"/>
    <x v="0"/>
  </r>
  <r>
    <s v="dayana.moreno1@unisabana.edu.co01"/>
    <x v="57"/>
    <s v="CATEDRA"/>
    <s v="No"/>
    <s v="https://ProfCatedra2024.sawtoothsoftware.com/cgi-bin/ciwweb.pl?studyname=ProfCatedra2024&amp;Correo=dayana.moreno1@unisabana.edu.co01"/>
    <s v="POSGRADO"/>
    <n v="2"/>
    <x v="4"/>
  </r>
  <r>
    <s v="deisy.forero@unisabana.edu.co01"/>
    <x v="51"/>
    <s v="CATEDRA"/>
    <s v="No"/>
    <s v="https://ProfCatedra2024.sawtoothsoftware.com/cgi-bin/ciwweb.pl?studyname=ProfCatedra2024&amp;Correo=deisy.forero@unisabana.edu.co01"/>
    <s v="POSGRADO"/>
    <n v="4"/>
    <x v="5"/>
  </r>
  <r>
    <s v="diana.alvarez1@unisabana.edu.co01"/>
    <x v="79"/>
    <s v="CATEDRA"/>
    <s v="No"/>
    <s v="https://ProfCatedra2024.sawtoothsoftware.com/cgi-bin/ciwweb.pl?studyname=ProfCatedra2024&amp;Correo=diana.alvarez1@unisabana.edu.co01"/>
    <s v="POSGRADO"/>
    <n v="9"/>
    <x v="6"/>
  </r>
  <r>
    <s v="diana.cruz3@unisabana.edu.co01"/>
    <x v="35"/>
    <s v="CATEDRA"/>
    <s v="No"/>
    <s v="https://ProfCatedra2024.sawtoothsoftware.com/cgi-bin/ciwweb.pl?studyname=ProfCatedra2024&amp;Correo=diana.cruz3@unisabana.edu.co01"/>
    <s v="POSGRADO"/>
    <n v="8"/>
    <x v="0"/>
  </r>
  <r>
    <s v="DIANA.HERNNADEZ@RHCADVISERS.CO1"/>
    <x v="34"/>
    <s v="CATEDRA"/>
    <s v="No"/>
    <s v="https://ProfCatedra2024.sawtoothsoftware.com/cgi-bin/ciwweb.pl?studyname=ProfCatedra2024&amp;Correo=DIANA.HERNNADEZ@RHCADVISERS.CO1"/>
    <s v="POSGRADO"/>
    <n v="4"/>
    <x v="5"/>
  </r>
  <r>
    <s v="diana.santana1@unisabana.edu.co01"/>
    <x v="38"/>
    <s v="CATEDRA"/>
    <s v="No"/>
    <s v="https://ProfCatedra2024.sawtoothsoftware.com/cgi-bin/ciwweb.pl?studyname=ProfCatedra2024&amp;Correo=diana.santana1@unisabana.edu.co01"/>
    <s v="POSGRADO"/>
    <n v="4"/>
    <x v="5"/>
  </r>
  <r>
    <s v="diana.silva3@unisabana.edu.co01"/>
    <x v="56"/>
    <s v="CATEDRA"/>
    <s v="Si"/>
    <s v="https://ProfCatedra2024.sawtoothsoftware.com/cgi-bin/ciwweb.pl?studyname=ProfCatedra2024&amp;Correo=diana.silva3@unisabana.edu.co01"/>
    <s v="POSGRADO"/>
    <n v="2"/>
    <x v="4"/>
  </r>
  <r>
    <s v="diana.velasco@unisabana.edu.co01"/>
    <x v="80"/>
    <s v="CATEDRA"/>
    <s v="Si"/>
    <s v="https://ProfCatedra2024.sawtoothsoftware.com/cgi-bin/ciwweb.pl?studyname=ProfCatedra2024&amp;Correo=diana.velasco@unisabana.edu.co01"/>
    <s v="POSGRADO"/>
    <n v="9"/>
    <x v="6"/>
  </r>
  <r>
    <s v="diana.zarabanda@unisabana.edu.co01"/>
    <x v="72"/>
    <s v="CATEDRA"/>
    <s v="No"/>
    <s v="https://ProfCatedra2024.sawtoothsoftware.com/cgi-bin/ciwweb.pl?studyname=ProfCatedra2024&amp;Correo=diana.zarabanda@unisabana.edu.co01"/>
    <s v="POSGRADO"/>
    <n v="4"/>
    <x v="5"/>
  </r>
  <r>
    <s v="DIANISPEBA@HOTMAIL.COM1"/>
    <x v="40"/>
    <s v="CATEDRA"/>
    <s v="No"/>
    <s v="https://ProfCatedra2024.sawtoothsoftware.com/cgi-bin/ciwweb.pl?studyname=ProfCatedra2024&amp;Correo=DIANISPEBA@HOTMAIL.COM1"/>
    <s v="POSGRADO"/>
    <n v="4"/>
    <x v="5"/>
  </r>
  <r>
    <s v="diego.camacho1@unisabana.edu.co01"/>
    <x v="81"/>
    <s v="CATEDRA"/>
    <s v="No"/>
    <s v="https://ProfCatedra2024.sawtoothsoftware.com/cgi-bin/ciwweb.pl?studyname=ProfCatedra2024&amp;Correo=diego.camacho1@unisabana.edu.co01"/>
    <s v="POSGRADO"/>
    <n v="11"/>
    <x v="12"/>
  </r>
  <r>
    <s v="diego.guevara@unisabana.edu.co01"/>
    <x v="57"/>
    <s v="CATEDRA"/>
    <s v="No"/>
    <s v="https://ProfCatedra2024.sawtoothsoftware.com/cgi-bin/ciwweb.pl?studyname=ProfCatedra2024&amp;Correo=diego.guevara@unisabana.edu.co01"/>
    <s v="POSGRADO"/>
    <n v="2"/>
    <x v="4"/>
  </r>
  <r>
    <s v="diego.hernandez3@unisabana.edu.co01"/>
    <x v="82"/>
    <s v="CATEDRA"/>
    <s v="No"/>
    <s v="https://ProfCatedra2024.sawtoothsoftware.com/cgi-bin/ciwweb.pl?studyname=ProfCatedra2024&amp;Correo=diego.hernandez3@unisabana.edu.co01"/>
    <s v="POSGRADO"/>
    <n v="11"/>
    <x v="12"/>
  </r>
  <r>
    <s v="diego.rodriguez11@unisabana.edu.co01"/>
    <x v="83"/>
    <s v="CATEDRA"/>
    <s v="No"/>
    <s v="https://ProfCatedra2024.sawtoothsoftware.com/cgi-bin/ciwweb.pl?studyname=ProfCatedra2024&amp;Correo=diego.rodriguez11@unisabana.edu.co01"/>
    <s v="POSGRADO"/>
    <n v="11"/>
    <x v="12"/>
  </r>
  <r>
    <s v="diogenes.lagos1@unisabana.edu.co01"/>
    <x v="77"/>
    <s v="CATEDRA"/>
    <s v="No"/>
    <s v="https://ProfCatedra2024.sawtoothsoftware.com/cgi-bin/ciwweb.pl?studyname=ProfCatedra2024&amp;Correo=diogenes.lagos1@unisabana.edu.co01"/>
    <s v="POSGRADO"/>
    <n v="9"/>
    <x v="6"/>
  </r>
  <r>
    <s v="Doraat@unisabana.edu.co01"/>
    <x v="44"/>
    <s v="CATEDRA"/>
    <s v="Si"/>
    <s v="https://ProfCatedra2024.sawtoothsoftware.com/cgi-bin/ciwweb.pl?studyname=ProfCatedra2024&amp;Correo=Doraat@unisabana.edu.co01"/>
    <s v="POSGRADO"/>
    <n v="11"/>
    <x v="12"/>
  </r>
  <r>
    <s v="DRINCONV@GMAIL.COM1"/>
    <x v="84"/>
    <s v="CATEDRA"/>
    <s v="Si"/>
    <s v="https://ProfCatedra2024.sawtoothsoftware.com/cgi-bin/ciwweb.pl?studyname=ProfCatedra2024&amp;Correo=DRINCONV@GMAIL.COM1"/>
    <s v="POSGRADO"/>
    <n v="4"/>
    <x v="5"/>
  </r>
  <r>
    <s v="EDGAR.LEON.LAW@GMAIL.COM1"/>
    <x v="84"/>
    <s v="CATEDRA"/>
    <s v="Si"/>
    <s v="https://ProfCatedra2024.sawtoothsoftware.com/cgi-bin/ciwweb.pl?studyname=ProfCatedra2024&amp;Correo=EDGAR.LEON.LAW@GMAIL.COM1"/>
    <s v="POSGRADO"/>
    <n v="4"/>
    <x v="5"/>
  </r>
  <r>
    <s v="edgar.munar@unisabana.edu.co01"/>
    <x v="85"/>
    <s v="CATEDRA"/>
    <s v="No"/>
    <s v="https://ProfCatedra2024.sawtoothsoftware.com/cgi-bin/ciwweb.pl?studyname=ProfCatedra2024&amp;Correo=edgar.munar@unisabana.edu.co01"/>
    <s v="POSGRADO"/>
    <n v="1"/>
    <x v="7"/>
  </r>
  <r>
    <s v="edgardo.cuello@unisabana.edu.co01"/>
    <x v="45"/>
    <s v="CATEDRA"/>
    <s v="Si"/>
    <s v="https://ProfCatedra2024.sawtoothsoftware.com/cgi-bin/ciwweb.pl?studyname=ProfCatedra2024&amp;Correo=edgardo.cuello@unisabana.edu.co01"/>
    <s v="POSGRADO"/>
    <n v="11"/>
    <x v="12"/>
  </r>
  <r>
    <s v="EDUARDOARCE@YAHOO.ES1"/>
    <x v="40"/>
    <s v="CATEDRA"/>
    <s v="No"/>
    <s v="https://ProfCatedra2024.sawtoothsoftware.com/cgi-bin/ciwweb.pl?studyname=ProfCatedra2024&amp;Correo=EDUARDOARCE@YAHOO.ES1"/>
    <s v="POSGRADO"/>
    <n v="4"/>
    <x v="5"/>
  </r>
  <r>
    <s v="eduenas@neumologica.org1"/>
    <x v="86"/>
    <s v="CATEDRA"/>
    <s v="No"/>
    <s v="https://ProfCatedra2024.sawtoothsoftware.com/cgi-bin/ciwweb.pl?studyname=ProfCatedra2024&amp;Correo=eduenas@neumologica.org1"/>
    <s v="POSGRADO"/>
    <n v="1"/>
    <x v="7"/>
  </r>
  <r>
    <s v="EDWINY_87@HOTMAIL.COM1"/>
    <x v="38"/>
    <s v="CATEDRA"/>
    <s v="No"/>
    <s v="https://ProfCatedra2024.sawtoothsoftware.com/cgi-bin/ciwweb.pl?studyname=ProfCatedra2024&amp;Correo=EDWINY_87@HOTMAIL.COM1"/>
    <s v="POSGRADO"/>
    <n v="4"/>
    <x v="5"/>
  </r>
  <r>
    <s v="EJUSTARIZ@USTARIZABOGADOS.COM1"/>
    <x v="84"/>
    <s v="CATEDRA"/>
    <s v="Si"/>
    <s v="https://ProfCatedra2024.sawtoothsoftware.com/cgi-bin/ciwweb.pl?studyname=ProfCatedra2024&amp;Correo=EJUSTARIZ@USTARIZABOGADOS.COM1"/>
    <s v="POSGRADO"/>
    <n v="4"/>
    <x v="5"/>
  </r>
  <r>
    <s v="EnriqueRM@unisabana.edu.co01"/>
    <x v="87"/>
    <s v="CATEDRA"/>
    <s v="No"/>
    <s v="https://ProfCatedra2024.sawtoothsoftware.com/cgi-bin/ciwweb.pl?studyname=ProfCatedra2024&amp;Correo=EnriqueRM@unisabana.edu.co01"/>
    <s v="POSGRADO"/>
    <n v="2"/>
    <x v="4"/>
  </r>
  <r>
    <s v="fabricio_mantilla@hotmail.com1"/>
    <x v="40"/>
    <s v="CATEDRA"/>
    <s v="No"/>
    <s v="https://ProfCatedra2024.sawtoothsoftware.com/cgi-bin/ciwweb.pl?studyname=ProfCatedra2024&amp;Correo=fabricio_mantilla@hotmail.com1"/>
    <s v="POSGRADO"/>
    <n v="4"/>
    <x v="5"/>
  </r>
  <r>
    <s v="Faviorm@unisabana.edu.co01"/>
    <x v="88"/>
    <s v="CATEDRA"/>
    <s v="Si"/>
    <s v="https://ProfCatedra2024.sawtoothsoftware.com/cgi-bin/ciwweb.pl?studyname=ProfCatedra2024&amp;Correo=Faviorm@unisabana.edu.co01"/>
    <s v="POSGRADO"/>
    <n v="1"/>
    <x v="7"/>
  </r>
  <r>
    <s v="FBERNATE@FRANCISCOBERNATE.COM1"/>
    <x v="46"/>
    <s v="CATEDRA"/>
    <s v="Si"/>
    <s v="https://ProfCatedra2024.sawtoothsoftware.com/cgi-bin/ciwweb.pl?studyname=ProfCatedra2024&amp;Correo=FBERNATE@FRANCISCOBERNATE.COM1"/>
    <s v="POSGRADO"/>
    <n v="4"/>
    <x v="5"/>
  </r>
  <r>
    <s v="FBRAVO@BRAVOABOGADOS.CO1"/>
    <x v="34"/>
    <s v="CATEDRA"/>
    <s v="Si"/>
    <s v="https://ProfCatedra2024.sawtoothsoftware.com/cgi-bin/ciwweb.pl?studyname=ProfCatedra2024&amp;Correo=FBRAVO@BRAVOABOGADOS.CO1"/>
    <s v="POSGRADO"/>
    <n v="4"/>
    <x v="5"/>
  </r>
  <r>
    <s v="felipe.casas1@unisabana.edu.co01"/>
    <x v="89"/>
    <s v="CATEDRA"/>
    <s v="Si"/>
    <s v="https://ProfCatedra2024.sawtoothsoftware.com/cgi-bin/ciwweb.pl?studyname=ProfCatedra2024&amp;Correo=felipe.casas1@unisabana.edu.co01"/>
    <s v="POSGRADO"/>
    <n v="1"/>
    <x v="7"/>
  </r>
  <r>
    <s v="fernando.camacho@unisabana.edu.co01"/>
    <x v="63"/>
    <s v="CATEDRA"/>
    <s v="No"/>
    <s v="https://ProfCatedra2024.sawtoothsoftware.com/cgi-bin/ciwweb.pl?studyname=ProfCatedra2024&amp;Correo=fernando.camacho@unisabana.edu.co01"/>
    <s v="POSGRADO"/>
    <n v="7"/>
    <x v="10"/>
  </r>
  <r>
    <s v="FernandoC@unisabana.edu.co01"/>
    <x v="83"/>
    <s v="CATEDRA"/>
    <s v="Si"/>
    <s v="https://ProfCatedra2024.sawtoothsoftware.com/cgi-bin/ciwweb.pl?studyname=ProfCatedra2024&amp;Correo=FernandoC@unisabana.edu.co01"/>
    <s v="POSGRADO"/>
    <n v="11"/>
    <x v="12"/>
  </r>
  <r>
    <s v="FERNANDOPICOZUNIGA@GMAIL.COM1"/>
    <x v="40"/>
    <s v="CATEDRA"/>
    <s v="No"/>
    <s v="https://ProfCatedra2024.sawtoothsoftware.com/cgi-bin/ciwweb.pl?studyname=ProfCatedra2024&amp;Correo=FERNANDOPICOZUNIGA@GMAIL.COM1"/>
    <s v="POSGRADO"/>
    <n v="4"/>
    <x v="5"/>
  </r>
  <r>
    <s v="FERPAL48@HOTMAIL.COM1"/>
    <x v="90"/>
    <s v="CATEDRA"/>
    <s v="No"/>
    <s v="https://ProfCatedra2024.sawtoothsoftware.com/cgi-bin/ciwweb.pl?studyname=ProfCatedra2024&amp;Correo=FERPAL48@HOTMAIL.COM1"/>
    <s v="POSGRADO"/>
    <n v="4"/>
    <x v="5"/>
  </r>
  <r>
    <s v="FHUMAR@FABIOHUMAR.COM1"/>
    <x v="40"/>
    <s v="CATEDRA"/>
    <s v="No"/>
    <s v="https://ProfCatedra2024.sawtoothsoftware.com/cgi-bin/ciwweb.pl?studyname=ProfCatedra2024&amp;Correo=FHUMAR@FABIOHUMAR.COM1"/>
    <s v="POSGRADO"/>
    <n v="4"/>
    <x v="5"/>
  </r>
  <r>
    <s v="FidelSM@unisabana.edu.co01"/>
    <x v="49"/>
    <s v="CATEDRA"/>
    <s v="No"/>
    <s v="https://ProfCatedra2024.sawtoothsoftware.com/cgi-bin/ciwweb.pl?studyname=ProfCatedra2024&amp;Correo=FidelSM@unisabana.edu.co01"/>
    <s v="POSGRADO"/>
    <n v="1"/>
    <x v="7"/>
  </r>
  <r>
    <s v="flavio.puentes1@unisabana.edu.co01"/>
    <x v="83"/>
    <s v="CATEDRA"/>
    <s v="No"/>
    <s v="https://ProfCatedra2024.sawtoothsoftware.com/cgi-bin/ciwweb.pl?studyname=ProfCatedra2024&amp;Correo=flavio.puentes1@unisabana.edu.co01"/>
    <s v="POSGRADO"/>
    <n v="11"/>
    <x v="12"/>
  </r>
  <r>
    <s v="gabriel.ariza1@unisabana.edu.co01"/>
    <x v="52"/>
    <s v="CATEDRA"/>
    <s v="No"/>
    <s v="https://ProfCatedra2024.sawtoothsoftware.com/cgi-bin/ciwweb.pl?studyname=ProfCatedra2024&amp;Correo=gabriel.ariza1@unisabana.edu.co01"/>
    <s v="POSGRADO"/>
    <n v="1"/>
    <x v="7"/>
  </r>
  <r>
    <s v="gabriel.bonilla@unisabana.edu.co01"/>
    <x v="47"/>
    <s v="CATEDRA"/>
    <s v="Si"/>
    <s v="https://ProfCatedra2024.sawtoothsoftware.com/cgi-bin/ciwweb.pl?studyname=ProfCatedra2024&amp;Correo=gabriel.bonilla@unisabana.edu.co01"/>
    <s v="POSGRADO"/>
    <n v="2"/>
    <x v="4"/>
  </r>
  <r>
    <s v="gabriela.atehortua@unisabana.edu.co01"/>
    <x v="50"/>
    <s v="CATEDRA"/>
    <s v="No"/>
    <s v="https://ProfCatedra2024.sawtoothsoftware.com/cgi-bin/ciwweb.pl?studyname=ProfCatedra2024&amp;Correo=gabriela.atehortua@unisabana.edu.co01"/>
    <s v="POSGRADO"/>
    <n v="5"/>
    <x v="1"/>
  </r>
  <r>
    <s v="gabriela.hernandez@unisabana.edu.co01"/>
    <x v="63"/>
    <s v="CATEDRA"/>
    <s v="No"/>
    <s v="https://ProfCatedra2024.sawtoothsoftware.com/cgi-bin/ciwweb.pl?studyname=ProfCatedra2024&amp;Correo=gabriela.hernandez@unisabana.edu.co01"/>
    <s v="POSGRADO"/>
    <n v="7"/>
    <x v="10"/>
  </r>
  <r>
    <s v="GABRIELAZARANTE@HOTMAIL.COM1"/>
    <x v="32"/>
    <s v="CATEDRA"/>
    <s v="No"/>
    <s v="https://ProfCatedra2024.sawtoothsoftware.com/cgi-bin/ciwweb.pl?studyname=ProfCatedra2024&amp;Correo=GABRIELAZARANTE@HOTMAIL.COM1"/>
    <s v="POSGRADO"/>
    <n v="4"/>
    <x v="5"/>
  </r>
  <r>
    <s v="gerardoR@unisabana.edu.co01"/>
    <x v="83"/>
    <s v="CATEDRA"/>
    <s v="Si"/>
    <s v="https://ProfCatedra2024.sawtoothsoftware.com/cgi-bin/ciwweb.pl?studyname=ProfCatedra2024&amp;Correo=gerardoR@unisabana.edu.co01"/>
    <s v="POSGRADO"/>
    <n v="11"/>
    <x v="12"/>
  </r>
  <r>
    <s v="GERMANEPONCE@GMAIL.COM1"/>
    <x v="32"/>
    <s v="CATEDRA"/>
    <s v="No"/>
    <s v="https://ProfCatedra2024.sawtoothsoftware.com/cgi-bin/ciwweb.pl?studyname=ProfCatedra2024&amp;Correo=GERMANEPONCE@GMAIL.COM1"/>
    <s v="POSGRADO"/>
    <n v="4"/>
    <x v="5"/>
  </r>
  <r>
    <s v="Germanhr@unisabana.edu.co01"/>
    <x v="79"/>
    <s v="CATEDRA"/>
    <s v="Si"/>
    <s v="https://ProfCatedra2024.sawtoothsoftware.com/cgi-bin/ciwweb.pl?studyname=ProfCatedra2024&amp;Correo=Germanhr@unisabana.edu.co01"/>
    <s v="POSGRADO"/>
    <n v="9"/>
    <x v="6"/>
  </r>
  <r>
    <s v="gerson.maturana@unisabana.edu.co01"/>
    <x v="50"/>
    <s v="CATEDRA"/>
    <s v="No"/>
    <s v="https://ProfCatedra2024.sawtoothsoftware.com/cgi-bin/ciwweb.pl?studyname=ProfCatedra2024&amp;Correo=gerson.maturana@unisabana.edu.co01"/>
    <s v="POSGRADO"/>
    <n v="5"/>
    <x v="1"/>
  </r>
  <r>
    <s v="gerson_2ged@hotmail.com1"/>
    <x v="43"/>
    <s v="CATEDRA"/>
    <s v="No"/>
    <s v="https://ProfCatedra2024.sawtoothsoftware.com/cgi-bin/ciwweb.pl?studyname=ProfCatedra2024&amp;Correo=gerson_2ged@hotmail.com1"/>
    <s v="POSGRADO"/>
    <n v="8"/>
    <x v="0"/>
  </r>
  <r>
    <s v="gina.rodriguez1@unisabana.edu.co01"/>
    <x v="91"/>
    <s v="CATEDRA"/>
    <s v="Si"/>
    <s v="https://ProfCatedra2024.sawtoothsoftware.com/cgi-bin/ciwweb.pl?studyname=ProfCatedra2024&amp;Correo=gina.rodriguez1@unisabana.edu.co01"/>
    <s v="POSGRADO"/>
    <n v="6"/>
    <x v="9"/>
  </r>
  <r>
    <s v="gina.valderrama@unisabana.edu.co01"/>
    <x v="52"/>
    <s v="CATEDRA"/>
    <s v="No"/>
    <s v="https://ProfCatedra2024.sawtoothsoftware.com/cgi-bin/ciwweb.pl?studyname=ProfCatedra2024&amp;Correo=gina.valderrama@unisabana.edu.co01"/>
    <s v="POSGRADO"/>
    <n v="1"/>
    <x v="7"/>
  </r>
  <r>
    <s v="giovanny.roa@unisabana.edu.co01"/>
    <x v="69"/>
    <s v="CATEDRA"/>
    <s v="Si"/>
    <s v="https://ProfCatedra2024.sawtoothsoftware.com/cgi-bin/ciwweb.pl?studyname=ProfCatedra2024&amp;Correo=giovanny.roa@unisabana.edu.co01"/>
    <s v="POSGRADO"/>
    <n v="11"/>
    <x v="12"/>
  </r>
  <r>
    <s v="GIOVANNYAVBARBOSA@GMAIL.COM1"/>
    <x v="73"/>
    <s v="CATEDRA"/>
    <s v="No"/>
    <s v="https://ProfCatedra2024.sawtoothsoftware.com/cgi-bin/ciwweb.pl?studyname=ProfCatedra2024&amp;Correo=GIOVANNYAVBARBOSA@GMAIL.COM1"/>
    <s v="POSGRADO"/>
    <n v="4"/>
    <x v="5"/>
  </r>
  <r>
    <s v="gloria.delgado@unisabana.edu.co01"/>
    <x v="80"/>
    <s v="CATEDRA"/>
    <s v="Si"/>
    <s v="https://ProfCatedra2024.sawtoothsoftware.com/cgi-bin/ciwweb.pl?studyname=ProfCatedra2024&amp;Correo=gloria.delgado@unisabana.edu.co01"/>
    <s v="POSGRADO"/>
    <n v="9"/>
    <x v="6"/>
  </r>
  <r>
    <s v="guido.castro@unisabana.edu.co01"/>
    <x v="77"/>
    <s v="CATEDRA"/>
    <s v="Si"/>
    <s v="https://ProfCatedra2024.sawtoothsoftware.com/cgi-bin/ciwweb.pl?studyname=ProfCatedra2024&amp;Correo=guido.castro@unisabana.edu.co01"/>
    <s v="POSGRADO"/>
    <n v="9"/>
    <x v="6"/>
  </r>
  <r>
    <s v="gustavo.gomez@unisabana.edu.co01"/>
    <x v="77"/>
    <s v="CATEDRA"/>
    <s v="Si"/>
    <s v="https://ProfCatedra2024.sawtoothsoftware.com/cgi-bin/ciwweb.pl?studyname=ProfCatedra2024&amp;Correo=gustavo.gomez@unisabana.edu.co01"/>
    <s v="POSGRADO"/>
    <n v="9"/>
    <x v="6"/>
  </r>
  <r>
    <s v="gustavo.ramirez1@unisabana.edu.co01"/>
    <x v="47"/>
    <s v="CATEDRA"/>
    <s v="Si"/>
    <s v="https://ProfCatedra2024.sawtoothsoftware.com/cgi-bin/ciwweb.pl?studyname=ProfCatedra2024&amp;Correo=gustavo.ramirez1@unisabana.edu.co01"/>
    <s v="POSGRADO"/>
    <n v="2"/>
    <x v="4"/>
  </r>
  <r>
    <s v="HCASTILLO@ARARIES.COM1"/>
    <x v="32"/>
    <s v="CATEDRA"/>
    <s v="No"/>
    <s v="https://ProfCatedra2024.sawtoothsoftware.com/cgi-bin/ciwweb.pl?studyname=ProfCatedra2024&amp;Correo=HCASTILLO@ARARIES.COM1"/>
    <s v="POSGRADO"/>
    <n v="4"/>
    <x v="5"/>
  </r>
  <r>
    <s v="hector.posso@Unisabana.edu.co01"/>
    <x v="92"/>
    <s v="CATEDRA"/>
    <s v="Si"/>
    <s v="https://ProfCatedra2024.sawtoothsoftware.com/cgi-bin/ciwweb.pl?studyname=ProfCatedra2024&amp;Correo=hector.posso@Unisabana.edu.co01"/>
    <s v="POSGRADO"/>
    <n v="1"/>
    <x v="7"/>
  </r>
  <r>
    <s v="hector.roldan1@unisabana.edu.co01"/>
    <x v="52"/>
    <s v="CATEDRA"/>
    <s v="No"/>
    <s v="https://ProfCatedra2024.sawtoothsoftware.com/cgi-bin/ciwweb.pl?studyname=ProfCatedra2024&amp;Correo=hector.roldan1@unisabana.edu.co01"/>
    <s v="POSGRADO"/>
    <n v="1"/>
    <x v="7"/>
  </r>
  <r>
    <s v="HectorFA@unisabana.edu.co01"/>
    <x v="93"/>
    <s v="CATEDRA"/>
    <s v="No"/>
    <s v="https://ProfCatedra2024.sawtoothsoftware.com/cgi-bin/ciwweb.pl?studyname=ProfCatedra2024&amp;Correo=HectorFA@unisabana.edu.co01"/>
    <s v="POSGRADO"/>
    <n v="1"/>
    <x v="7"/>
  </r>
  <r>
    <s v="hernando.mullet@unisabana.edu.co01"/>
    <x v="94"/>
    <s v="CATEDRA"/>
    <s v="No"/>
    <s v="https://ProfCatedra2024.sawtoothsoftware.com/cgi-bin/ciwweb.pl?studyname=ProfCatedra2024&amp;Correo=hernando.mullet@unisabana.edu.co01"/>
    <s v="POSGRADO"/>
    <n v="1"/>
    <x v="7"/>
  </r>
  <r>
    <s v="hugo.nino1@unisabana.edu.co01"/>
    <x v="95"/>
    <s v="CATEDRA"/>
    <s v="No"/>
    <s v="https://ProfCatedra2024.sawtoothsoftware.com/cgi-bin/ciwweb.pl?studyname=ProfCatedra2024&amp;Correo=hugo.nino1@unisabana.edu.co01"/>
    <s v="POSGRADO"/>
    <n v="11"/>
    <x v="12"/>
  </r>
  <r>
    <s v="HUGOSAN32@HOTMAIL.COM1"/>
    <x v="38"/>
    <s v="CATEDRA"/>
    <s v="No"/>
    <s v="https://ProfCatedra2024.sawtoothsoftware.com/cgi-bin/ciwweb.pl?studyname=ProfCatedra2024&amp;Correo=HUGOSAN32@HOTMAIL.COM1"/>
    <s v="POSGRADO"/>
    <n v="4"/>
    <x v="5"/>
  </r>
  <r>
    <s v="ignacio.perez@unisabana.edu.co01"/>
    <x v="87"/>
    <s v="CATEDRA"/>
    <s v="No"/>
    <s v="https://ProfCatedra2024.sawtoothsoftware.com/cgi-bin/ciwweb.pl?studyname=ProfCatedra2024&amp;Correo=ignacio.perez@unisabana.edu.co01"/>
    <s v="POSGRADO"/>
    <n v="2"/>
    <x v="4"/>
  </r>
  <r>
    <s v="ingri.moreno@unisabana.edu.co01"/>
    <x v="96"/>
    <s v="CATEDRA"/>
    <s v="No"/>
    <s v="https://ProfCatedra2024.sawtoothsoftware.com/cgi-bin/ciwweb.pl?studyname=ProfCatedra2024&amp;Correo=ingri.moreno@unisabana.edu.co01"/>
    <s v="POSGRADO"/>
    <n v="5"/>
    <x v="1"/>
  </r>
  <r>
    <s v="ISABELLA.BELLO@PWC.COM1"/>
    <x v="34"/>
    <s v="CATEDRA"/>
    <s v="No"/>
    <s v="https://ProfCatedra2024.sawtoothsoftware.com/cgi-bin/ciwweb.pl?studyname=ProfCatedra2024&amp;Correo=ISABELLA.BELLO@PWC.COM1"/>
    <s v="POSGRADO"/>
    <n v="4"/>
    <x v="5"/>
  </r>
  <r>
    <s v="ivan.gutierrez@unisabana.edu.co01"/>
    <x v="97"/>
    <s v="CATEDRA"/>
    <s v="No"/>
    <s v="https://ProfCatedra2024.sawtoothsoftware.com/cgi-bin/ciwweb.pl?studyname=ProfCatedra2024&amp;Correo=ivan.gutierrez@unisabana.edu.co01"/>
    <s v="POSGRADO"/>
    <n v="11"/>
    <x v="12"/>
  </r>
  <r>
    <s v="ivan.moya@unisabana.edu.co01"/>
    <x v="44"/>
    <s v="CATEDRA"/>
    <s v="No"/>
    <s v="https://ProfCatedra2024.sawtoothsoftware.com/cgi-bin/ciwweb.pl?studyname=ProfCatedra2024&amp;Correo=ivan.moya@unisabana.edu.co01"/>
    <s v="POSGRADO"/>
    <n v="11"/>
    <x v="12"/>
  </r>
  <r>
    <s v="ivan.quasth@unisabana.edu.co01"/>
    <x v="59"/>
    <s v="CATEDRA"/>
    <s v="No"/>
    <s v="https://ProfCatedra2024.sawtoothsoftware.com/cgi-bin/ciwweb.pl?studyname=ProfCatedra2024&amp;Correo=ivan.quasth@unisabana.edu.co01"/>
    <s v="POSGRADO"/>
    <n v="11"/>
    <x v="12"/>
  </r>
  <r>
    <s v="ivan.tarazona1@unisabana.edu.co01"/>
    <x v="72"/>
    <s v="CATEDRA"/>
    <s v="No"/>
    <s v="https://ProfCatedra2024.sawtoothsoftware.com/cgi-bin/ciwweb.pl?studyname=ProfCatedra2024&amp;Correo=ivan.tarazona1@unisabana.edu.co01"/>
    <s v="POSGRADO"/>
    <n v="4"/>
    <x v="5"/>
  </r>
  <r>
    <s v="ivan.unigarro1@unisabana.edu.co01"/>
    <x v="54"/>
    <s v="CATEDRA"/>
    <s v="No"/>
    <s v="https://ProfCatedra2024.sawtoothsoftware.com/cgi-bin/ciwweb.pl?studyname=ProfCatedra2024&amp;Correo=ivan.unigarro1@unisabana.edu.co01"/>
    <s v="POSGRADO"/>
    <n v="4"/>
    <x v="5"/>
  </r>
  <r>
    <s v="ivette.amaya@unisabana.edu.co01"/>
    <x v="98"/>
    <s v="CATEDRA"/>
    <s v="No"/>
    <s v="https://ProfCatedra2024.sawtoothsoftware.com/cgi-bin/ciwweb.pl?studyname=ProfCatedra2024&amp;Correo=ivette.amaya@unisabana.edu.co01"/>
    <s v="POSGRADO"/>
    <n v="11"/>
    <x v="12"/>
  </r>
  <r>
    <s v="JACLANCHEROS@GMAIL.COM1"/>
    <x v="71"/>
    <s v="CATEDRA"/>
    <s v="No"/>
    <s v="https://ProfCatedra2024.sawtoothsoftware.com/cgi-bin/ciwweb.pl?studyname=ProfCatedra2024&amp;Correo=JACLANCHEROS@GMAIL.COM1"/>
    <s v="POSGRADO"/>
    <n v="4"/>
    <x v="5"/>
  </r>
  <r>
    <s v="jader.castano1@unisabana.edu.co01"/>
    <x v="97"/>
    <s v="CATEDRA"/>
    <s v="No"/>
    <s v="https://ProfCatedra2024.sawtoothsoftware.com/cgi-bin/ciwweb.pl?studyname=ProfCatedra2024&amp;Correo=jader.castano1@unisabana.edu.co01"/>
    <s v="POSGRADO"/>
    <n v="11"/>
    <x v="12"/>
  </r>
  <r>
    <s v="jaime.barcenas1@unisabana.edu.co01"/>
    <x v="57"/>
    <s v="CATEDRA"/>
    <s v="No"/>
    <s v="https://ProfCatedra2024.sawtoothsoftware.com/cgi-bin/ciwweb.pl?studyname=ProfCatedra2024&amp;Correo=jaime.barcenas1@unisabana.edu.co01"/>
    <s v="POSGRADO"/>
    <n v="2"/>
    <x v="4"/>
  </r>
  <r>
    <s v="jaime.leal@unisabana.edu.co01"/>
    <x v="99"/>
    <s v="CATEDRA"/>
    <s v="No"/>
    <s v="https://ProfCatedra2024.sawtoothsoftware.com/cgi-bin/ciwweb.pl?studyname=ProfCatedra2024&amp;Correo=jaime.leal@unisabana.edu.co01"/>
    <s v="POSGRADO"/>
    <n v="1"/>
    <x v="7"/>
  </r>
  <r>
    <s v="jaime.martinez1@unisabana.edu.co01"/>
    <x v="56"/>
    <s v="CATEDRA"/>
    <s v="No"/>
    <s v="https://ProfCatedra2024.sawtoothsoftware.com/cgi-bin/ciwweb.pl?studyname=ProfCatedra2024&amp;Correo=jaime.martinez1@unisabana.edu.co01"/>
    <s v="POSGRADO"/>
    <n v="2"/>
    <x v="4"/>
  </r>
  <r>
    <s v="Jaime.Rodriguez3@unisabana.edu.co01"/>
    <x v="77"/>
    <s v="CATEDRA"/>
    <s v="No"/>
    <s v="https://ProfCatedra2024.sawtoothsoftware.com/cgi-bin/ciwweb.pl?studyname=ProfCatedra2024&amp;Correo=Jaime.Rodriguez3@unisabana.edu.co01"/>
    <s v="POSGRADO"/>
    <n v="9"/>
    <x v="6"/>
  </r>
  <r>
    <s v="JAIMECHAVESV@CONSULTORIAJURIDICADECOLOMBIA.COM.CO1"/>
    <x v="72"/>
    <s v="CATEDRA"/>
    <s v="Si"/>
    <s v="https://ProfCatedra2024.sawtoothsoftware.com/cgi-bin/ciwweb.pl?studyname=ProfCatedra2024&amp;Correo=JAIMECHAVESV@CONSULTORIAJURIDICADECOLOMBIA.COM.CO1"/>
    <s v="POSGRADO"/>
    <n v="4"/>
    <x v="5"/>
  </r>
  <r>
    <s v="JaimeMM@unisabana.edu.co01"/>
    <x v="80"/>
    <s v="CATEDRA"/>
    <s v="Si"/>
    <s v="https://ProfCatedra2024.sawtoothsoftware.com/cgi-bin/ciwweb.pl?studyname=ProfCatedra2024&amp;Correo=JaimeMM@unisabana.edu.co01"/>
    <s v="POSGRADO"/>
    <n v="9"/>
    <x v="6"/>
  </r>
  <r>
    <s v="JAIMERIVE@GMAIL.COM1"/>
    <x v="32"/>
    <s v="CATEDRA"/>
    <s v="No"/>
    <s v="https://ProfCatedra2024.sawtoothsoftware.com/cgi-bin/ciwweb.pl?studyname=ProfCatedra2024&amp;Correo=JAIMERIVE@GMAIL.COM1"/>
    <s v="POSGRADO"/>
    <n v="4"/>
    <x v="5"/>
  </r>
  <r>
    <s v="jairo.guzman@unisabana.edu.co01"/>
    <x v="68"/>
    <s v="CATEDRA"/>
    <s v="No"/>
    <s v="https://ProfCatedra2024.sawtoothsoftware.com/cgi-bin/ciwweb.pl?studyname=ProfCatedra2024&amp;Correo=jairo.guzman@unisabana.edu.co01"/>
    <s v="POSGRADO"/>
    <n v="11"/>
    <x v="12"/>
  </r>
  <r>
    <s v="javier.herrera1@unisabana.edu.co01"/>
    <x v="75"/>
    <s v="CATEDRA"/>
    <s v="Si"/>
    <s v="https://ProfCatedra2024.sawtoothsoftware.com/cgi-bin/ciwweb.pl?studyname=ProfCatedra2024&amp;Correo=javier.herrera1@unisabana.edu.co01"/>
    <s v="POSGRADO"/>
    <n v="7"/>
    <x v="10"/>
  </r>
  <r>
    <s v="javier.jurado2@unisabana.edu.co01"/>
    <x v="52"/>
    <s v="CATEDRA"/>
    <s v="Si"/>
    <s v="https://ProfCatedra2024.sawtoothsoftware.com/cgi-bin/ciwweb.pl?studyname=ProfCatedra2024&amp;Correo=javier.jurado2@unisabana.edu.co01"/>
    <s v="POSGRADO"/>
    <n v="1"/>
    <x v="7"/>
  </r>
  <r>
    <s v="JAVIERFGONZALEZM@YAHOO.COM1"/>
    <x v="84"/>
    <s v="CATEDRA"/>
    <s v="No"/>
    <s v="https://ProfCatedra2024.sawtoothsoftware.com/cgi-bin/ciwweb.pl?studyname=ProfCatedra2024&amp;Correo=JAVIERFGONZALEZM@YAHOO.COM1"/>
    <s v="POSGRADO"/>
    <n v="4"/>
    <x v="5"/>
  </r>
  <r>
    <s v="JELBENAV@BANCOLOMBIA.COM.CO1"/>
    <x v="34"/>
    <s v="CATEDRA"/>
    <s v="No"/>
    <s v="https://ProfCatedra2024.sawtoothsoftware.com/cgi-bin/ciwweb.pl?studyname=ProfCatedra2024&amp;Correo=JELBENAV@BANCOLOMBIA.COM.CO1"/>
    <s v="POSGRADO"/>
    <n v="4"/>
    <x v="5"/>
  </r>
  <r>
    <s v="jenny.robayo1@unisabana.edu.co01"/>
    <x v="36"/>
    <s v="CATEDRA"/>
    <s v="No"/>
    <s v="https://ProfCatedra2024.sawtoothsoftware.com/cgi-bin/ciwweb.pl?studyname=ProfCatedra2024&amp;Correo=jenny.robayo1@unisabana.edu.co01"/>
    <s v="POSGRADO"/>
    <n v="8"/>
    <x v="0"/>
  </r>
  <r>
    <s v="jessica.upegui@unisabana.edu.co01"/>
    <x v="77"/>
    <s v="CATEDRA"/>
    <s v="Si"/>
    <s v="https://ProfCatedra2024.sawtoothsoftware.com/cgi-bin/ciwweb.pl?studyname=ProfCatedra2024&amp;Correo=jessica.upegui@unisabana.edu.co01"/>
    <s v="POSGRADO"/>
    <n v="9"/>
    <x v="6"/>
  </r>
  <r>
    <s v="JF@ZARTAASOCIADOS.COM1"/>
    <x v="32"/>
    <s v="CATEDRA"/>
    <s v="No"/>
    <s v="https://ProfCatedra2024.sawtoothsoftware.com/cgi-bin/ciwweb.pl?studyname=ProfCatedra2024&amp;Correo=JF@ZARTAASOCIADOS.COM1"/>
    <s v="POSGRADO"/>
    <n v="4"/>
    <x v="5"/>
  </r>
  <r>
    <s v="JGOMEZP@SURA.COM.CO1"/>
    <x v="32"/>
    <s v="CATEDRA"/>
    <s v="No"/>
    <s v="https://ProfCatedra2024.sawtoothsoftware.com/cgi-bin/ciwweb.pl?studyname=ProfCatedra2024&amp;Correo=JGOMEZP@SURA.COM.CO1"/>
    <s v="POSGRADO"/>
    <n v="4"/>
    <x v="5"/>
  </r>
  <r>
    <s v="john.cabrera_cont@unisabana.edu.co01"/>
    <x v="60"/>
    <s v="CATEDRA"/>
    <s v="No"/>
    <s v="https://ProfCatedra2024.sawtoothsoftware.com/cgi-bin/ciwweb.pl?studyname=ProfCatedra2024&amp;Correo=john.cabrera_cont@unisabana.edu.co01"/>
    <s v="POSGRADO"/>
    <n v="11"/>
    <x v="12"/>
  </r>
  <r>
    <s v="john.feliciano1@unisabana.edu.co01"/>
    <x v="67"/>
    <s v="CATEDRA"/>
    <s v="No"/>
    <s v="https://ProfCatedra2024.sawtoothsoftware.com/cgi-bin/ciwweb.pl?studyname=ProfCatedra2024&amp;Correo=john.feliciano1@unisabana.edu.co01"/>
    <s v="POSGRADO"/>
    <n v="1"/>
    <x v="7"/>
  </r>
  <r>
    <s v="john.mora@unisabana.edu.co01"/>
    <x v="47"/>
    <s v="CATEDRA"/>
    <s v="No"/>
    <s v="https://ProfCatedra2024.sawtoothsoftware.com/cgi-bin/ciwweb.pl?studyname=ProfCatedra2024&amp;Correo=john.mora@unisabana.edu.co01"/>
    <s v="POSGRADO"/>
    <n v="2"/>
    <x v="4"/>
  </r>
  <r>
    <s v="jorge.avila@unisabana.edu.co01"/>
    <x v="100"/>
    <s v="CATEDRA"/>
    <s v="No"/>
    <s v="https://ProfCatedra2024.sawtoothsoftware.com/cgi-bin/ciwweb.pl?studyname=ProfCatedra2024&amp;Correo=jorge.avila@unisabana.edu.co01"/>
    <s v="POSGRADO"/>
    <n v="5"/>
    <x v="1"/>
  </r>
  <r>
    <s v="jorge.bolivar@unisabana.edu.co01"/>
    <x v="101"/>
    <s v="CATEDRA"/>
    <s v="Si"/>
    <s v="https://ProfCatedra2024.sawtoothsoftware.com/cgi-bin/ciwweb.pl?studyname=ProfCatedra2024&amp;Correo=jorge.bolivar@unisabana.edu.co01"/>
    <s v="POSGRADO"/>
    <n v="11"/>
    <x v="12"/>
  </r>
  <r>
    <s v="jorge.figueroa@unisabana.edu.co01"/>
    <x v="44"/>
    <s v="CATEDRA"/>
    <s v="No"/>
    <s v="https://ProfCatedra2024.sawtoothsoftware.com/cgi-bin/ciwweb.pl?studyname=ProfCatedra2024&amp;Correo=jorge.figueroa@unisabana.edu.co01"/>
    <s v="POSGRADO"/>
    <n v="11"/>
    <x v="12"/>
  </r>
  <r>
    <s v="jorge.leyva1@unisabana.edu.co01"/>
    <x v="80"/>
    <s v="CATEDRA"/>
    <s v="No"/>
    <s v="https://ProfCatedra2024.sawtoothsoftware.com/cgi-bin/ciwweb.pl?studyname=ProfCatedra2024&amp;Correo=jorge.leyva1@unisabana.edu.co01"/>
    <s v="POSGRADO"/>
    <n v="9"/>
    <x v="6"/>
  </r>
  <r>
    <s v="JORGE.MARTINEZ_CONT@UNISABANA.edu.co01"/>
    <x v="45"/>
    <s v="CATEDRA"/>
    <s v="Si"/>
    <s v="https://ProfCatedra2024.sawtoothsoftware.com/cgi-bin/ciwweb.pl?studyname=ProfCatedra2024&amp;Correo=JORGE.MARTINEZ_CONT@UNISABANA.edu.co01"/>
    <s v="POSGRADO"/>
    <n v="11"/>
    <x v="12"/>
  </r>
  <r>
    <s v="jorge.verdugo@unisabana.edu.co01"/>
    <x v="102"/>
    <s v="CATEDRA"/>
    <s v="No"/>
    <s v="https://ProfCatedra2024.sawtoothsoftware.com/cgi-bin/ciwweb.pl?studyname=ProfCatedra2024&amp;Correo=jorge.verdugo@unisabana.edu.co01"/>
    <s v="POSGRADO"/>
    <n v="5"/>
    <x v="1"/>
  </r>
  <r>
    <s v="jose.castano@unisabana.edu.co01"/>
    <x v="74"/>
    <s v="CATEDRA"/>
    <s v="No"/>
    <s v="https://ProfCatedra2024.sawtoothsoftware.com/cgi-bin/ciwweb.pl?studyname=ProfCatedra2024&amp;Correo=jose.castano@unisabana.edu.co01"/>
    <s v="POSGRADO"/>
    <n v="5"/>
    <x v="1"/>
  </r>
  <r>
    <s v="jose.mejia@unisabana.edu.co01"/>
    <x v="56"/>
    <s v="CATEDRA"/>
    <s v="No"/>
    <s v="https://ProfCatedra2024.sawtoothsoftware.com/cgi-bin/ciwweb.pl?studyname=ProfCatedra2024&amp;Correo=jose.mejia@unisabana.edu.co01"/>
    <s v="POSGRADO"/>
    <n v="2"/>
    <x v="4"/>
  </r>
  <r>
    <s v="jose.rodriguez13@unisabana.edu.co01"/>
    <x v="82"/>
    <s v="CATEDRA"/>
    <s v="No"/>
    <s v="https://ProfCatedra2024.sawtoothsoftware.com/cgi-bin/ciwweb.pl?studyname=ProfCatedra2024&amp;Correo=jose.rodriguez13@unisabana.edu.co01"/>
    <s v="POSGRADO"/>
    <n v="11"/>
    <x v="12"/>
  </r>
  <r>
    <s v="joseat_cont@unisabana.edu.co01"/>
    <x v="56"/>
    <s v="CATEDRA"/>
    <s v="No"/>
    <s v="https://ProfCatedra2024.sawtoothsoftware.com/cgi-bin/ciwweb.pl?studyname=ProfCatedra2024&amp;Correo=joseat_cont@unisabana.edu.co01"/>
    <s v="POSGRADO"/>
    <n v="2"/>
    <x v="4"/>
  </r>
  <r>
    <s v="JOSEMIGUELRUEDAVASQUEZ4@HOTMAIL.COM1"/>
    <x v="54"/>
    <s v="CATEDRA"/>
    <s v="No"/>
    <s v="https://ProfCatedra2024.sawtoothsoftware.com/cgi-bin/ciwweb.pl?studyname=ProfCatedra2024&amp;Correo=JOSEMIGUELRUEDAVASQUEZ4@HOTMAIL.COM1"/>
    <s v="POSGRADO"/>
    <n v="4"/>
    <x v="5"/>
  </r>
  <r>
    <s v="JPARAUJO5@HOTMAIL.COM1"/>
    <x v="32"/>
    <s v="CATEDRA"/>
    <s v="No"/>
    <s v="https://ProfCatedra2024.sawtoothsoftware.com/cgi-bin/ciwweb.pl?studyname=ProfCatedra2024&amp;Correo=JPARAUJO5@HOTMAIL.COM1"/>
    <s v="POSGRADO"/>
    <n v="4"/>
    <x v="5"/>
  </r>
  <r>
    <s v="juan.aldana2@clinicaunisabana.edu.co01"/>
    <x v="103"/>
    <s v="CATEDRA"/>
    <s v="No"/>
    <s v="https://ProfCatedra2024.sawtoothsoftware.com/cgi-bin/ciwweb.pl?studyname=ProfCatedra2024&amp;Correo=juan.aldana2@clinicaunisabana.edu.co01"/>
    <s v="POSGRADO"/>
    <n v="1"/>
    <x v="7"/>
  </r>
  <r>
    <s v="juan.correales@unisabana.edu.co01"/>
    <x v="43"/>
    <s v="CATEDRA"/>
    <s v="No"/>
    <s v="https://ProfCatedra2024.sawtoothsoftware.com/cgi-bin/ciwweb.pl?studyname=ProfCatedra2024&amp;Correo=juan.correales@unisabana.edu.co01"/>
    <s v="POSGRADO"/>
    <n v="8"/>
    <x v="0"/>
  </r>
  <r>
    <s v="juan.enciso2@unisabana.edu.co01"/>
    <x v="104"/>
    <s v="CATEDRA"/>
    <s v="No"/>
    <s v="https://ProfCatedra2024.sawtoothsoftware.com/cgi-bin/ciwweb.pl?studyname=ProfCatedra2024&amp;Correo=juan.enciso2@unisabana.edu.co01"/>
    <s v="POSGRADO"/>
    <n v="5"/>
    <x v="1"/>
  </r>
  <r>
    <s v="juan.espejo1@unisabana.edu.co01"/>
    <x v="77"/>
    <s v="CATEDRA"/>
    <s v="No"/>
    <s v="https://ProfCatedra2024.sawtoothsoftware.com/cgi-bin/ciwweb.pl?studyname=ProfCatedra2024&amp;Correo=juan.espejo1@unisabana.edu.co01"/>
    <s v="POSGRADO"/>
    <n v="9"/>
    <x v="6"/>
  </r>
  <r>
    <s v="juan.grosso1@unisabana.edu.co01"/>
    <x v="77"/>
    <s v="CATEDRA"/>
    <s v="Si"/>
    <s v="https://ProfCatedra2024.sawtoothsoftware.com/cgi-bin/ciwweb.pl?studyname=ProfCatedra2024&amp;Correo=juan.grosso1@unisabana.edu.co01"/>
    <s v="POSGRADO"/>
    <n v="9"/>
    <x v="6"/>
  </r>
  <r>
    <s v="juan.guevara@unisabana.edu.co01"/>
    <x v="61"/>
    <s v="CATEDRA"/>
    <s v="No"/>
    <s v="https://ProfCatedra2024.sawtoothsoftware.com/cgi-bin/ciwweb.pl?studyname=ProfCatedra2024&amp;Correo=juan.guevara@unisabana.edu.co01"/>
    <s v="POSGRADO"/>
    <n v="11"/>
    <x v="12"/>
  </r>
  <r>
    <s v="juan.gutierrez1@unisabana.edu.co01"/>
    <x v="105"/>
    <s v="CATEDRA"/>
    <s v="Si"/>
    <s v="https://ProfCatedra2024.sawtoothsoftware.com/cgi-bin/ciwweb.pl?studyname=ProfCatedra2024&amp;Correo=juan.gutierrez1@unisabana.edu.co01"/>
    <s v="POSGRADO"/>
    <n v="11"/>
    <x v="12"/>
  </r>
  <r>
    <s v="juan.jaramillo1@unisabana.edu.co01"/>
    <x v="34"/>
    <s v="CATEDRA"/>
    <s v="No"/>
    <s v="https://ProfCatedra2024.sawtoothsoftware.com/cgi-bin/ciwweb.pl?studyname=ProfCatedra2024&amp;Correo=juan.jaramillo1@unisabana.edu.co01"/>
    <s v="POSGRADO"/>
    <n v="4"/>
    <x v="5"/>
  </r>
  <r>
    <s v="juan.lanas@unisabana.edu.co01"/>
    <x v="74"/>
    <s v="CATEDRA"/>
    <s v="No"/>
    <s v="https://ProfCatedra2024.sawtoothsoftware.com/cgi-bin/ciwweb.pl?studyname=ProfCatedra2024&amp;Correo=juan.lanas@unisabana.edu.co01"/>
    <s v="POSGRADO"/>
    <n v="5"/>
    <x v="1"/>
  </r>
  <r>
    <s v="juan.marin2@unisabana.edu.co01"/>
    <x v="106"/>
    <s v="CATEDRA"/>
    <s v="No"/>
    <s v="https://ProfCatedra2024.sawtoothsoftware.com/cgi-bin/ciwweb.pl?studyname=ProfCatedra2024&amp;Correo=juan.marin2@unisabana.edu.co01"/>
    <s v="POSGRADO"/>
    <n v="11"/>
    <x v="12"/>
  </r>
  <r>
    <s v="juan.ortega@unisabana.edu.co01"/>
    <x v="35"/>
    <s v="CATEDRA"/>
    <s v="No"/>
    <s v="https://ProfCatedra2024.sawtoothsoftware.com/cgi-bin/ciwweb.pl?studyname=ProfCatedra2024&amp;Correo=juan.ortega@unisabana.edu.co01"/>
    <s v="POSGRADO"/>
    <n v="8"/>
    <x v="0"/>
  </r>
  <r>
    <s v="juan.ramirez22@unisabana.edu.co01"/>
    <x v="36"/>
    <s v="CATEDRA"/>
    <s v="Si"/>
    <s v="https://ProfCatedra2024.sawtoothsoftware.com/cgi-bin/ciwweb.pl?studyname=ProfCatedra2024&amp;Correo=juan.ramirez22@unisabana.edu.co01"/>
    <s v="POSGRADO"/>
    <n v="8"/>
    <x v="0"/>
  </r>
  <r>
    <s v="juana.jaramillo@unisabana.edu.co01"/>
    <x v="80"/>
    <s v="CATEDRA"/>
    <s v="Si"/>
    <s v="https://ProfCatedra2024.sawtoothsoftware.com/cgi-bin/ciwweb.pl?studyname=ProfCatedra2024&amp;Correo=juana.jaramillo@unisabana.edu.co01"/>
    <s v="POSGRADO"/>
    <n v="9"/>
    <x v="6"/>
  </r>
  <r>
    <s v="JUANCARLOSLLANORONDON@GMAIL.COM1"/>
    <x v="32"/>
    <s v="CATEDRA"/>
    <s v="No"/>
    <s v="https://ProfCatedra2024.sawtoothsoftware.com/cgi-bin/ciwweb.pl?studyname=ProfCatedra2024&amp;Correo=JUANCARLOSLLANORONDON@GMAIL.COM1"/>
    <s v="POSGRADO"/>
    <n v="4"/>
    <x v="5"/>
  </r>
  <r>
    <s v="JUANCARLOSQG@HOTMAIL.COM1"/>
    <x v="46"/>
    <s v="CATEDRA"/>
    <s v="No"/>
    <s v="https://ProfCatedra2024.sawtoothsoftware.com/cgi-bin/ciwweb.pl?studyname=ProfCatedra2024&amp;Correo=JUANCARLOSQG@HOTMAIL.COM1"/>
    <s v="POSGRADO"/>
    <n v="4"/>
    <x v="5"/>
  </r>
  <r>
    <s v="juanrig@unisabana.edu.co01"/>
    <x v="107"/>
    <s v="CATEDRA"/>
    <s v="Si"/>
    <s v="https://ProfCatedra2024.sawtoothsoftware.com/cgi-bin/ciwweb.pl?studyname=ProfCatedra2024&amp;Correo=juanrig@unisabana.edu.co01"/>
    <s v="POSGRADO"/>
    <n v="11"/>
    <x v="12"/>
  </r>
  <r>
    <s v="juansanari@unisabana.edu.co01"/>
    <x v="69"/>
    <s v="CATEDRA"/>
    <s v="No"/>
    <s v="https://ProfCatedra2024.sawtoothsoftware.com/cgi-bin/ciwweb.pl?studyname=ProfCatedra2024&amp;Correo=juansanari@unisabana.edu.co01"/>
    <s v="POSGRADO"/>
    <n v="11"/>
    <x v="12"/>
  </r>
  <r>
    <s v="julia.diaz@unisabana.edu.co01"/>
    <x v="57"/>
    <s v="CATEDRA"/>
    <s v="No"/>
    <s v="https://ProfCatedra2024.sawtoothsoftware.com/cgi-bin/ciwweb.pl?studyname=ProfCatedra2024&amp;Correo=julia.diaz@unisabana.edu.co01"/>
    <s v="POSGRADO"/>
    <n v="2"/>
    <x v="4"/>
  </r>
  <r>
    <s v="julian.molina1@unisabana.edu.co01"/>
    <x v="46"/>
    <s v="CATEDRA"/>
    <s v="No"/>
    <s v="https://ProfCatedra2024.sawtoothsoftware.com/cgi-bin/ciwweb.pl?studyname=ProfCatedra2024&amp;Correo=julian.molina1@unisabana.edu.co01"/>
    <s v="POSGRADO"/>
    <n v="4"/>
    <x v="5"/>
  </r>
  <r>
    <s v="juliana.cardona@unisabana.edu.co01"/>
    <x v="36"/>
    <s v="CATEDRA"/>
    <s v="Si"/>
    <s v="https://ProfCatedra2024.sawtoothsoftware.com/cgi-bin/ciwweb.pl?studyname=ProfCatedra2024&amp;Correo=juliana.cardona@unisabana.edu.co01"/>
    <s v="POSGRADO"/>
    <n v="8"/>
    <x v="0"/>
  </r>
  <r>
    <s v="juliana.vallejo@unisabana.edu.co01"/>
    <x v="99"/>
    <s v="CATEDRA"/>
    <s v="No"/>
    <s v="https://ProfCatedra2024.sawtoothsoftware.com/cgi-bin/ciwweb.pl?studyname=ProfCatedra2024&amp;Correo=juliana.vallejo@unisabana.edu.co01"/>
    <s v="POSGRADO"/>
    <n v="1"/>
    <x v="7"/>
  </r>
  <r>
    <s v="JVILLALBA_CUELLAR@YAHOO.COM1"/>
    <x v="84"/>
    <s v="CATEDRA"/>
    <s v="No"/>
    <s v="https://ProfCatedra2024.sawtoothsoftware.com/cgi-bin/ciwweb.pl?studyname=ProfCatedra2024&amp;Correo=JVILLALBA_CUELLAR@YAHOO.COM1"/>
    <s v="POSGRADO"/>
    <n v="4"/>
    <x v="5"/>
  </r>
  <r>
    <s v="karinalb_cont@unisabana.edu.co01"/>
    <x v="56"/>
    <s v="CATEDRA"/>
    <s v="No"/>
    <s v="https://ProfCatedra2024.sawtoothsoftware.com/cgi-bin/ciwweb.pl?studyname=ProfCatedra2024&amp;Correo=karinalb_cont@unisabana.edu.co01"/>
    <s v="POSGRADO"/>
    <n v="2"/>
    <x v="4"/>
  </r>
  <r>
    <s v="kelly.zarate1@unisabana.edu.co01"/>
    <x v="85"/>
    <s v="CATEDRA"/>
    <s v="Si"/>
    <s v="https://ProfCatedra2024.sawtoothsoftware.com/cgi-bin/ciwweb.pl?studyname=ProfCatedra2024&amp;Correo=kelly.zarate1@unisabana.edu.co01"/>
    <s v="POSGRADO"/>
    <n v="1"/>
    <x v="7"/>
  </r>
  <r>
    <s v="laura.palomino1@unisabana.edu.co01"/>
    <x v="52"/>
    <s v="CATEDRA"/>
    <s v="No"/>
    <s v="https://ProfCatedra2024.sawtoothsoftware.com/cgi-bin/ciwweb.pl?studyname=ProfCatedra2024&amp;Correo=laura.palomino1@unisabana.edu.co01"/>
    <s v="POSGRADO"/>
    <n v="1"/>
    <x v="7"/>
  </r>
  <r>
    <s v="lauramunbo@unisabana.edu.co01"/>
    <x v="52"/>
    <s v="CATEDRA"/>
    <s v="No"/>
    <s v="https://ProfCatedra2024.sawtoothsoftware.com/cgi-bin/ciwweb.pl?studyname=ProfCatedra2024&amp;Correo=lauramunbo@unisabana.edu.co01"/>
    <s v="POSGRADO"/>
    <n v="1"/>
    <x v="7"/>
  </r>
  <r>
    <s v="LEOALVAREZCASALLAS@HOTMAIL.COM1"/>
    <x v="54"/>
    <s v="CATEDRA"/>
    <s v="No"/>
    <s v="https://ProfCatedra2024.sawtoothsoftware.com/cgi-bin/ciwweb.pl?studyname=ProfCatedra2024&amp;Correo=LEOALVAREZCASALLAS@HOTMAIL.COM1"/>
    <s v="POSGRADO"/>
    <n v="4"/>
    <x v="5"/>
  </r>
  <r>
    <s v="LEOCC@HOTMAIL.COM1"/>
    <x v="34"/>
    <s v="CATEDRA"/>
    <s v="No"/>
    <s v="https://ProfCatedra2024.sawtoothsoftware.com/cgi-bin/ciwweb.pl?studyname=ProfCatedra2024&amp;Correo=LEOCC@HOTMAIL.COM1"/>
    <s v="POSGRADO"/>
    <n v="4"/>
    <x v="5"/>
  </r>
  <r>
    <s v="libiaro@unisabana.edu.co01"/>
    <x v="42"/>
    <s v="CATEDRA"/>
    <s v="Si"/>
    <s v="https://ProfCatedra2024.sawtoothsoftware.com/cgi-bin/ciwweb.pl?studyname=ProfCatedra2024&amp;Correo=libiaro@unisabana.edu.co01"/>
    <s v="POSGRADO"/>
    <n v="11"/>
    <x v="12"/>
  </r>
  <r>
    <s v="lida.isaza@unisabana.edu.co01"/>
    <x v="108"/>
    <s v="CATEDRA"/>
    <s v="No"/>
    <s v="https://ProfCatedra2024.sawtoothsoftware.com/cgi-bin/ciwweb.pl?studyname=ProfCatedra2024&amp;Correo=lida.isaza@unisabana.edu.co01"/>
    <s v="POSGRADO"/>
    <n v="5"/>
    <x v="1"/>
  </r>
  <r>
    <s v="LIDAPAG@YAHOO.COM1"/>
    <x v="38"/>
    <s v="CATEDRA"/>
    <s v="Si"/>
    <s v="https://ProfCatedra2024.sawtoothsoftware.com/cgi-bin/ciwweb.pl?studyname=ProfCatedra2024&amp;Correo=LIDAPAG@YAHOO.COM1"/>
    <s v="POSGRADO"/>
    <n v="4"/>
    <x v="5"/>
  </r>
  <r>
    <s v="liliana.aponte@unisabana.edu.co01"/>
    <x v="105"/>
    <s v="CATEDRA"/>
    <s v="Si"/>
    <s v="https://ProfCatedra2024.sawtoothsoftware.com/cgi-bin/ciwweb.pl?studyname=ProfCatedra2024&amp;Correo=liliana.aponte@unisabana.edu.co01"/>
    <s v="POSGRADO"/>
    <n v="11"/>
    <x v="12"/>
  </r>
  <r>
    <s v="liliana.arias@unisabana.edu.co01"/>
    <x v="109"/>
    <s v="CATEDRA"/>
    <s v="Si"/>
    <s v="https://ProfCatedra2024.sawtoothsoftware.com/cgi-bin/ciwweb.pl?studyname=ProfCatedra2024&amp;Correo=liliana.arias@unisabana.edu.co01"/>
    <s v="POSGRADO"/>
    <n v="5"/>
    <x v="1"/>
  </r>
  <r>
    <s v="liliana.garcia@clinicaunisabana.edu.co01"/>
    <x v="110"/>
    <s v="CATEDRA"/>
    <s v="No"/>
    <s v="https://ProfCatedra2024.sawtoothsoftware.com/cgi-bin/ciwweb.pl?studyname=ProfCatedra2024&amp;Correo=liliana.garcia@clinicaunisabana.edu.co01"/>
    <s v="POSGRADO"/>
    <n v="1"/>
    <x v="7"/>
  </r>
  <r>
    <s v="liliana.triana@unisabana.edu.co01"/>
    <x v="75"/>
    <s v="CATEDRA"/>
    <s v="No"/>
    <s v="https://ProfCatedra2024.sawtoothsoftware.com/cgi-bin/ciwweb.pl?studyname=ProfCatedra2024&amp;Correo=liliana.triana@unisabana.edu.co01"/>
    <s v="POSGRADO"/>
    <n v="7"/>
    <x v="10"/>
  </r>
  <r>
    <s v="lilianapinillat@gmail.com1"/>
    <x v="35"/>
    <s v="CATEDRA"/>
    <s v="Si"/>
    <s v="https://ProfCatedra2024.sawtoothsoftware.com/cgi-bin/ciwweb.pl?studyname=ProfCatedra2024&amp;Correo=lilianapinillat@gmail.com1"/>
    <s v="POSGRADO"/>
    <n v="8"/>
    <x v="0"/>
  </r>
  <r>
    <s v="lina.gomez5@unisabana.edu.co01"/>
    <x v="36"/>
    <s v="CATEDRA"/>
    <s v="Si"/>
    <s v="https://ProfCatedra2024.sawtoothsoftware.com/cgi-bin/ciwweb.pl?studyname=ProfCatedra2024&amp;Correo=lina.gomez5@unisabana.edu.co01"/>
    <s v="POSGRADO"/>
    <n v="8"/>
    <x v="0"/>
  </r>
  <r>
    <s v="LINA.TELLEZ@UNISABANA.edu.co01"/>
    <x v="56"/>
    <s v="CATEDRA"/>
    <s v="No"/>
    <s v="https://ProfCatedra2024.sawtoothsoftware.com/cgi-bin/ciwweb.pl?studyname=ProfCatedra2024&amp;Correo=LINA.TELLEZ@UNISABANA.edu.co01"/>
    <s v="POSGRADO"/>
    <n v="2"/>
    <x v="4"/>
  </r>
  <r>
    <s v="LIZCAICEDO@GMAIL.COM1"/>
    <x v="46"/>
    <s v="CATEDRA"/>
    <s v="No"/>
    <s v="https://ProfCatedra2024.sawtoothsoftware.com/cgi-bin/ciwweb.pl?studyname=ProfCatedra2024&amp;Correo=LIZCAICEDO@GMAIL.COM1"/>
    <s v="POSGRADO"/>
    <n v="4"/>
    <x v="5"/>
  </r>
  <r>
    <s v="LSPITIA@GMAIL.COM1"/>
    <x v="46"/>
    <s v="CATEDRA"/>
    <s v="No"/>
    <s v="https://ProfCatedra2024.sawtoothsoftware.com/cgi-bin/ciwweb.pl?studyname=ProfCatedra2024&amp;Correo=LSPITIA@GMAIL.COM1"/>
    <s v="POSGRADO"/>
    <n v="4"/>
    <x v="5"/>
  </r>
  <r>
    <s v="lucia.barbosa@unisabana.edu.co01"/>
    <x v="77"/>
    <s v="CATEDRA"/>
    <s v="No"/>
    <s v="https://ProfCatedra2024.sawtoothsoftware.com/cgi-bin/ciwweb.pl?studyname=ProfCatedra2024&amp;Correo=lucia.barbosa@unisabana.edu.co01"/>
    <s v="POSGRADO"/>
    <n v="9"/>
    <x v="6"/>
  </r>
  <r>
    <s v="lucia.solano_cont@unisabana.edu.co01"/>
    <x v="73"/>
    <s v="CATEDRA"/>
    <s v="No"/>
    <s v="https://ProfCatedra2024.sawtoothsoftware.com/cgi-bin/ciwweb.pl?studyname=ProfCatedra2024&amp;Correo=lucia.solano_cont@unisabana.edu.co01"/>
    <s v="POSGRADO"/>
    <n v="4"/>
    <x v="5"/>
  </r>
  <r>
    <s v="ludwig.numpake1@unisabana.edu.co01"/>
    <x v="68"/>
    <s v="CATEDRA"/>
    <s v="No"/>
    <s v="https://ProfCatedra2024.sawtoothsoftware.com/cgi-bin/ciwweb.pl?studyname=ProfCatedra2024&amp;Correo=ludwig.numpake1@unisabana.edu.co01"/>
    <s v="POSGRADO"/>
    <n v="11"/>
    <x v="12"/>
  </r>
  <r>
    <s v="luis.baquero2@unisabana.edu.co01"/>
    <x v="111"/>
    <s v="CATEDRA"/>
    <s v="Si"/>
    <s v="https://ProfCatedra2024.sawtoothsoftware.com/cgi-bin/ciwweb.pl?studyname=ProfCatedra2024&amp;Correo=luis.baquero2@unisabana.edu.co01"/>
    <s v="POSGRADO"/>
    <n v="5"/>
    <x v="1"/>
  </r>
  <r>
    <s v="luis.barrientos@unisabana.edu.co01"/>
    <x v="56"/>
    <s v="CATEDRA"/>
    <s v="No"/>
    <s v="https://ProfCatedra2024.sawtoothsoftware.com/cgi-bin/ciwweb.pl?studyname=ProfCatedra2024&amp;Correo=luis.barrientos@unisabana.edu.co01"/>
    <s v="POSGRADO"/>
    <n v="2"/>
    <x v="4"/>
  </r>
  <r>
    <s v="luis.gutierrez3@unisabana.edu.co01"/>
    <x v="56"/>
    <s v="CATEDRA"/>
    <s v="No"/>
    <s v="https://ProfCatedra2024.sawtoothsoftware.com/cgi-bin/ciwweb.pl?studyname=ProfCatedra2024&amp;Correo=luis.gutierrez3@unisabana.edu.co01"/>
    <s v="POSGRADO"/>
    <n v="2"/>
    <x v="4"/>
  </r>
  <r>
    <s v="luis.lopez10@unisabana.edu.co01"/>
    <x v="112"/>
    <s v="CATEDRA"/>
    <s v="No"/>
    <s v="https://ProfCatedra2024.sawtoothsoftware.com/cgi-bin/ciwweb.pl?studyname=ProfCatedra2024&amp;Correo=luis.lopez10@unisabana.edu.co01"/>
    <s v="POSGRADO"/>
    <n v="11"/>
    <x v="12"/>
  </r>
  <r>
    <s v="luis.lopez8@unisabana.edu.co01"/>
    <x v="87"/>
    <s v="CATEDRA"/>
    <s v="No"/>
    <s v="https://ProfCatedra2024.sawtoothsoftware.com/cgi-bin/ciwweb.pl?studyname=ProfCatedra2024&amp;Correo=luis.lopez8@unisabana.edu.co01"/>
    <s v="POSGRADO"/>
    <n v="2"/>
    <x v="4"/>
  </r>
  <r>
    <s v="luis.maria@unisabana.edu.co01"/>
    <x v="83"/>
    <s v="CATEDRA"/>
    <s v="Si"/>
    <s v="https://ProfCatedra2024.sawtoothsoftware.com/cgi-bin/ciwweb.pl?studyname=ProfCatedra2024&amp;Correo=luis.maria@unisabana.edu.co01"/>
    <s v="POSGRADO"/>
    <n v="11"/>
    <x v="12"/>
  </r>
  <r>
    <s v="luis.martinez2@unisabana.edu.co01"/>
    <x v="67"/>
    <s v="CATEDRA"/>
    <s v="No"/>
    <s v="https://ProfCatedra2024.sawtoothsoftware.com/cgi-bin/ciwweb.pl?studyname=ProfCatedra2024&amp;Correo=luis.martinez2@unisabana.edu.co01"/>
    <s v="POSGRADO"/>
    <n v="1"/>
    <x v="7"/>
  </r>
  <r>
    <s v="luis.rabelo_cont@unisabana.edu.co01"/>
    <x v="35"/>
    <s v="CATEDRA"/>
    <s v="No"/>
    <s v="https://ProfCatedra2024.sawtoothsoftware.com/cgi-bin/ciwweb.pl?studyname=ProfCatedra2024&amp;Correo=luis.rabelo_cont@unisabana.edu.co01"/>
    <s v="POSGRADO"/>
    <n v="8"/>
    <x v="0"/>
  </r>
  <r>
    <s v="luis.rodriguez2@unisabana.edu.co01"/>
    <x v="87"/>
    <s v="CATEDRA"/>
    <s v="No"/>
    <s v="https://ProfCatedra2024.sawtoothsoftware.com/cgi-bin/ciwweb.pl?studyname=ProfCatedra2024&amp;Correo=luis.rodriguez2@unisabana.edu.co01"/>
    <s v="POSGRADO"/>
    <n v="2"/>
    <x v="4"/>
  </r>
  <r>
    <s v="luis.silva2@unisabana.edu.co01"/>
    <x v="107"/>
    <s v="CATEDRA"/>
    <s v="No"/>
    <s v="https://ProfCatedra2024.sawtoothsoftware.com/cgi-bin/ciwweb.pl?studyname=ProfCatedra2024&amp;Correo=luis.silva2@unisabana.edu.co01"/>
    <s v="POSGRADO"/>
    <n v="11"/>
    <x v="12"/>
  </r>
  <r>
    <s v="luis.torres8@unisabana.edu.co01"/>
    <x v="59"/>
    <s v="CATEDRA"/>
    <s v="No"/>
    <s v="https://ProfCatedra2024.sawtoothsoftware.com/cgi-bin/ciwweb.pl?studyname=ProfCatedra2024&amp;Correo=luis.torres8@unisabana.edu.co01"/>
    <s v="POSGRADO"/>
    <n v="11"/>
    <x v="12"/>
  </r>
  <r>
    <s v="luisa.castillo@unisabana.edu.co01"/>
    <x v="67"/>
    <s v="CATEDRA"/>
    <s v="No"/>
    <s v="https://ProfCatedra2024.sawtoothsoftware.com/cgi-bin/ciwweb.pl?studyname=ProfCatedra2024&amp;Correo=luisa.castillo@unisabana.edu.co01"/>
    <s v="POSGRADO"/>
    <n v="1"/>
    <x v="7"/>
  </r>
  <r>
    <s v="luisa.villamil@unisabana.edu.co01"/>
    <x v="113"/>
    <s v="CATEDRA"/>
    <s v="No"/>
    <s v="https://ProfCatedra2024.sawtoothsoftware.com/cgi-bin/ciwweb.pl?studyname=ProfCatedra2024&amp;Correo=luisa.villamil@unisabana.edu.co01"/>
    <s v="POSGRADO"/>
    <n v="8"/>
    <x v="0"/>
  </r>
  <r>
    <s v="luisa.zapata1@unisabana.edu.co01"/>
    <x v="77"/>
    <s v="CATEDRA"/>
    <s v="No"/>
    <s v="https://ProfCatedra2024.sawtoothsoftware.com/cgi-bin/ciwweb.pl?studyname=ProfCatedra2024&amp;Correo=luisa.zapata1@unisabana.edu.co01"/>
    <s v="POSGRADO"/>
    <n v="9"/>
    <x v="6"/>
  </r>
  <r>
    <s v="Luisaaa@unisabana.edu.co01"/>
    <x v="62"/>
    <s v="CATEDRA"/>
    <s v="No"/>
    <s v="https://ProfCatedra2024.sawtoothsoftware.com/cgi-bin/ciwweb.pl?studyname=ProfCatedra2024&amp;Correo=Luisaaa@unisabana.edu.co01"/>
    <s v="POSGRADO"/>
    <n v="5"/>
    <x v="1"/>
  </r>
  <r>
    <s v="LUISFEVER@GMAIL.COM1"/>
    <x v="71"/>
    <s v="CATEDRA"/>
    <s v="No"/>
    <s v="https://ProfCatedra2024.sawtoothsoftware.com/cgi-bin/ciwweb.pl?studyname=ProfCatedra2024&amp;Correo=LUISFEVER@GMAIL.COM1"/>
    <s v="POSGRADO"/>
    <n v="4"/>
    <x v="5"/>
  </r>
  <r>
    <s v="luz.sandoval@unisabana.edu.co01"/>
    <x v="74"/>
    <s v="CATEDRA"/>
    <s v="Si"/>
    <s v="https://ProfCatedra2024.sawtoothsoftware.com/cgi-bin/ciwweb.pl?studyname=ProfCatedra2024&amp;Correo=luz.sandoval@unisabana.edu.co01"/>
    <s v="POSGRADO"/>
    <n v="5"/>
    <x v="1"/>
  </r>
  <r>
    <s v="luzma@unisabana.edu.co01"/>
    <x v="114"/>
    <s v="CATEDRA"/>
    <s v="Si"/>
    <s v="https://ProfCatedra2024.sawtoothsoftware.com/cgi-bin/ciwweb.pl?studyname=ProfCatedra2024&amp;Correo=luzma@unisabana.edu.co01"/>
    <s v="POSGRADO"/>
    <n v="11"/>
    <x v="12"/>
  </r>
  <r>
    <s v="manuel.barrero@unisabana.edu.co01"/>
    <x v="105"/>
    <s v="CATEDRA"/>
    <s v="No"/>
    <s v="https://ProfCatedra2024.sawtoothsoftware.com/cgi-bin/ciwweb.pl?studyname=ProfCatedra2024&amp;Correo=manuel.barrero@unisabana.edu.co01"/>
    <s v="POSGRADO"/>
    <n v="11"/>
    <x v="12"/>
  </r>
  <r>
    <s v="manuel.gonzalez2@unisabana.edu.co01"/>
    <x v="115"/>
    <s v="CATEDRA"/>
    <s v="Si"/>
    <s v="https://ProfCatedra2024.sawtoothsoftware.com/cgi-bin/ciwweb.pl?studyname=ProfCatedra2024&amp;Correo=manuel.gonzalez2@unisabana.edu.co01"/>
    <s v="POSGRADO"/>
    <n v="11"/>
    <x v="12"/>
  </r>
  <r>
    <s v="manuel.marin1@unisabana.edu.co01"/>
    <x v="72"/>
    <s v="CATEDRA"/>
    <s v="No"/>
    <s v="https://ProfCatedra2024.sawtoothsoftware.com/cgi-bin/ciwweb.pl?studyname=ProfCatedra2024&amp;Correo=manuel.marin1@unisabana.edu.co01"/>
    <s v="POSGRADO"/>
    <n v="4"/>
    <x v="5"/>
  </r>
  <r>
    <s v="manuel.mosquera@unisabana.edu.co01"/>
    <x v="89"/>
    <s v="CATEDRA"/>
    <s v="No"/>
    <s v="https://ProfCatedra2024.sawtoothsoftware.com/cgi-bin/ciwweb.pl?studyname=ProfCatedra2024&amp;Correo=manuel.mosquera@unisabana.edu.co01"/>
    <s v="POSGRADO"/>
    <n v="1"/>
    <x v="7"/>
  </r>
  <r>
    <s v="manuel.osorio1@unisabana.edu.co01"/>
    <x v="36"/>
    <s v="CATEDRA"/>
    <s v="No"/>
    <s v="https://ProfCatedra2024.sawtoothsoftware.com/cgi-bin/ciwweb.pl?studyname=ProfCatedra2024&amp;Correo=manuel.osorio1@unisabana.edu.co01"/>
    <s v="POSGRADO"/>
    <n v="8"/>
    <x v="0"/>
  </r>
  <r>
    <s v="manuel.prada3@unisabana.edu.co01"/>
    <x v="80"/>
    <s v="CATEDRA"/>
    <s v="No"/>
    <s v="https://ProfCatedra2024.sawtoothsoftware.com/cgi-bin/ciwweb.pl?studyname=ProfCatedra2024&amp;Correo=manuel.prada3@unisabana.edu.co01"/>
    <s v="POSGRADO"/>
    <n v="9"/>
    <x v="6"/>
  </r>
  <r>
    <s v="marcela.chavez@unisabana.edu.co01"/>
    <x v="77"/>
    <s v="CATEDRA"/>
    <s v="No"/>
    <s v="https://ProfCatedra2024.sawtoothsoftware.com/cgi-bin/ciwweb.pl?studyname=ProfCatedra2024&amp;Correo=marcela.chavez@unisabana.edu.co01"/>
    <s v="POSGRADO"/>
    <n v="9"/>
    <x v="6"/>
  </r>
  <r>
    <s v="maria.castillo2@unisabana.edu.co01"/>
    <x v="50"/>
    <s v="CATEDRA"/>
    <s v="No"/>
    <s v="https://ProfCatedra2024.sawtoothsoftware.com/cgi-bin/ciwweb.pl?studyname=ProfCatedra2024&amp;Correo=maria.castillo2@unisabana.edu.co01"/>
    <s v="POSGRADO"/>
    <n v="5"/>
    <x v="1"/>
  </r>
  <r>
    <s v="maria.duran1@unisabana.edu.co01"/>
    <x v="116"/>
    <s v="CATEDRA"/>
    <s v="No"/>
    <s v="https://ProfCatedra2024.sawtoothsoftware.com/cgi-bin/ciwweb.pl?studyname=ProfCatedra2024&amp;Correo=maria.duran1@unisabana.edu.co01"/>
    <s v="POSGRADO"/>
    <n v="6"/>
    <x v="9"/>
  </r>
  <r>
    <s v="maria.escobar2@unisabana.edu.co01"/>
    <x v="36"/>
    <s v="CATEDRA"/>
    <s v="No"/>
    <s v="https://ProfCatedra2024.sawtoothsoftware.com/cgi-bin/ciwweb.pl?studyname=ProfCatedra2024&amp;Correo=maria.escobar2@unisabana.edu.co01"/>
    <s v="POSGRADO"/>
    <n v="8"/>
    <x v="0"/>
  </r>
  <r>
    <s v="maria.granados1@unisabana.edu.co01"/>
    <x v="77"/>
    <s v="CATEDRA"/>
    <s v="No"/>
    <s v="https://ProfCatedra2024.sawtoothsoftware.com/cgi-bin/ciwweb.pl?studyname=ProfCatedra2024&amp;Correo=maria.granados1@unisabana.edu.co01"/>
    <s v="POSGRADO"/>
    <n v="9"/>
    <x v="6"/>
  </r>
  <r>
    <s v="maria.munoz1@unisabana.edu.co01"/>
    <x v="117"/>
    <s v="CATEDRA"/>
    <s v="No"/>
    <s v="https://ProfCatedra2024.sawtoothsoftware.com/cgi-bin/ciwweb.pl?studyname=ProfCatedra2024&amp;Correo=maria.munoz1@unisabana.edu.co01"/>
    <s v="POSGRADO"/>
    <n v="9"/>
    <x v="6"/>
  </r>
  <r>
    <s v="maria.restrepo7@unisabana.edu.co01"/>
    <x v="40"/>
    <s v="CATEDRA"/>
    <s v="No"/>
    <s v="https://ProfCatedra2024.sawtoothsoftware.com/cgi-bin/ciwweb.pl?studyname=ProfCatedra2024&amp;Correo=maria.restrepo7@unisabana.edu.co01"/>
    <s v="POSGRADO"/>
    <n v="4"/>
    <x v="5"/>
  </r>
  <r>
    <s v="maria.urbina2@unisabana.edu.co01"/>
    <x v="80"/>
    <s v="CATEDRA"/>
    <s v="No"/>
    <s v="https://ProfCatedra2024.sawtoothsoftware.com/cgi-bin/ciwweb.pl?studyname=ProfCatedra2024&amp;Correo=maria.urbina2@unisabana.edu.co01"/>
    <s v="POSGRADO"/>
    <n v="9"/>
    <x v="6"/>
  </r>
  <r>
    <s v="maria.villar2@unisabana.edu.co01"/>
    <x v="60"/>
    <s v="CATEDRA"/>
    <s v="No"/>
    <s v="https://ProfCatedra2024.sawtoothsoftware.com/cgi-bin/ciwweb.pl?studyname=ProfCatedra2024&amp;Correo=maria.villar2@unisabana.edu.co01"/>
    <s v="POSGRADO"/>
    <n v="11"/>
    <x v="12"/>
  </r>
  <r>
    <s v="mariano.doncel@unisabana.edu.co01"/>
    <x v="56"/>
    <s v="CATEDRA"/>
    <s v="No"/>
    <s v="https://ProfCatedra2024.sawtoothsoftware.com/cgi-bin/ciwweb.pl?studyname=ProfCatedra2024&amp;Correo=mariano.doncel@unisabana.edu.co01"/>
    <s v="POSGRADO"/>
    <n v="2"/>
    <x v="4"/>
  </r>
  <r>
    <s v="MARIANOLOZANOR@GMAIL.COM1"/>
    <x v="32"/>
    <s v="CATEDRA"/>
    <s v="No"/>
    <s v="https://ProfCatedra2024.sawtoothsoftware.com/cgi-bin/ciwweb.pl?studyname=ProfCatedra2024&amp;Correo=MARIANOLOZANOR@GMAIL.COM1"/>
    <s v="POSGRADO"/>
    <n v="4"/>
    <x v="5"/>
  </r>
  <r>
    <s v="marielys.flores1@unisabana.edu.co01"/>
    <x v="118"/>
    <s v="CATEDRA"/>
    <s v="Si"/>
    <s v="https://ProfCatedra2024.sawtoothsoftware.com/cgi-bin/ciwweb.pl?studyname=ProfCatedra2024&amp;Correo=marielys.flores1@unisabana.edu.co01"/>
    <s v="POSGRADO"/>
    <n v="3"/>
    <x v="2"/>
  </r>
  <r>
    <s v="mario.alvarez2@unisabana.edu.co01"/>
    <x v="56"/>
    <s v="CATEDRA"/>
    <s v="No"/>
    <s v="https://ProfCatedra2024.sawtoothsoftware.com/cgi-bin/ciwweb.pl?studyname=ProfCatedra2024&amp;Correo=mario.alvarez2@unisabana.edu.co01"/>
    <s v="POSGRADO"/>
    <n v="2"/>
    <x v="4"/>
  </r>
  <r>
    <s v="mario.manzi@unisabana.edu.co01"/>
    <x v="56"/>
    <s v="CATEDRA"/>
    <s v="No"/>
    <s v="https://ProfCatedra2024.sawtoothsoftware.com/cgi-bin/ciwweb.pl?studyname=ProfCatedra2024&amp;Correo=mario.manzi@unisabana.edu.co01"/>
    <s v="POSGRADO"/>
    <n v="2"/>
    <x v="4"/>
  </r>
  <r>
    <s v="mario.valderrama@unisabana.edu.co01"/>
    <x v="80"/>
    <s v="CATEDRA"/>
    <s v="Si"/>
    <s v="https://ProfCatedra2024.sawtoothsoftware.com/cgi-bin/ciwweb.pl?studyname=ProfCatedra2024&amp;Correo=mario.valderrama@unisabana.edu.co01"/>
    <s v="POSGRADO"/>
    <n v="9"/>
    <x v="6"/>
  </r>
  <r>
    <s v="MARPEC69@YAHOO.COM1"/>
    <x v="71"/>
    <s v="CATEDRA"/>
    <s v="No"/>
    <s v="https://ProfCatedra2024.sawtoothsoftware.com/cgi-bin/ciwweb.pl?studyname=ProfCatedra2024&amp;Correo=MARPEC69@YAHOO.COM1"/>
    <s v="POSGRADO"/>
    <n v="4"/>
    <x v="5"/>
  </r>
  <r>
    <s v="martha.cuevas@unisabana.edu.co01"/>
    <x v="63"/>
    <s v="CATEDRA"/>
    <s v="No"/>
    <s v="https://ProfCatedra2024.sawtoothsoftware.com/cgi-bin/ciwweb.pl?studyname=ProfCatedra2024&amp;Correo=martha.cuevas@unisabana.edu.co01"/>
    <s v="POSGRADO"/>
    <n v="7"/>
    <x v="10"/>
  </r>
  <r>
    <s v="martha.striedinger@unisabana.edu.co01"/>
    <x v="43"/>
    <s v="CATEDRA"/>
    <s v="Si"/>
    <s v="https://ProfCatedra2024.sawtoothsoftware.com/cgi-bin/ciwweb.pl?studyname=ProfCatedra2024&amp;Correo=martha.striedinger@unisabana.edu.co01"/>
    <s v="POSGRADO"/>
    <n v="8"/>
    <x v="0"/>
  </r>
  <r>
    <s v="MARTHAEMARTINEZE@GMAIL.COM1"/>
    <x v="34"/>
    <s v="CATEDRA"/>
    <s v="No"/>
    <s v="https://ProfCatedra2024.sawtoothsoftware.com/cgi-bin/ciwweb.pl?studyname=ProfCatedra2024&amp;Correo=MARTHAEMARTINEZE@GMAIL.COM1"/>
    <s v="POSGRADO"/>
    <n v="4"/>
    <x v="5"/>
  </r>
  <r>
    <s v="mauricio.escobar1@unisabana.edu.co01"/>
    <x v="112"/>
    <s v="CATEDRA"/>
    <s v="Si"/>
    <s v="https://ProfCatedra2024.sawtoothsoftware.com/cgi-bin/ciwweb.pl?studyname=ProfCatedra2024&amp;Correo=mauricio.escobar1@unisabana.edu.co01"/>
    <s v="POSGRADO"/>
    <n v="11"/>
    <x v="12"/>
  </r>
  <r>
    <s v="mauricio.gomez3@unisabana.edu.co01"/>
    <x v="79"/>
    <s v="CATEDRA"/>
    <s v="No"/>
    <s v="https://ProfCatedra2024.sawtoothsoftware.com/cgi-bin/ciwweb.pl?studyname=ProfCatedra2024&amp;Correo=mauricio.gomez3@unisabana.edu.co01"/>
    <s v="POSGRADO"/>
    <n v="9"/>
    <x v="6"/>
  </r>
  <r>
    <s v="mauricio.suarez1@unisabana.edu.co01"/>
    <x v="60"/>
    <s v="CATEDRA"/>
    <s v="No"/>
    <s v="https://ProfCatedra2024.sawtoothsoftware.com/cgi-bin/ciwweb.pl?studyname=ProfCatedra2024&amp;Correo=mauricio.suarez1@unisabana.edu.co01"/>
    <s v="POSGRADO"/>
    <n v="11"/>
    <x v="12"/>
  </r>
  <r>
    <s v="mayra.nunez@unisabana.edu.co01"/>
    <x v="41"/>
    <s v="CATEDRA"/>
    <s v="Si"/>
    <s v="https://ProfCatedra2024.sawtoothsoftware.com/cgi-bin/ciwweb.pl?studyname=ProfCatedra2024&amp;Correo=mayra.nunez@unisabana.edu.co01"/>
    <s v="POSGRADO"/>
    <n v="6"/>
    <x v="9"/>
  </r>
  <r>
    <s v="MBETTINJ@GMAIL.COM1"/>
    <x v="46"/>
    <s v="CATEDRA"/>
    <s v="Si"/>
    <s v="https://ProfCatedra2024.sawtoothsoftware.com/cgi-bin/ciwweb.pl?studyname=ProfCatedra2024&amp;Correo=MBETTINJ@GMAIL.COM1"/>
    <s v="POSGRADO"/>
    <n v="4"/>
    <x v="5"/>
  </r>
  <r>
    <s v="melissa.reyes@unisabana.edu.co01"/>
    <x v="119"/>
    <s v="CATEDRA"/>
    <s v="No"/>
    <s v="https://ProfCatedra2024.sawtoothsoftware.com/cgi-bin/ciwweb.pl?studyname=ProfCatedra2024&amp;Correo=melissa.reyes@unisabana.edu.co01"/>
    <s v="POSGRADO"/>
    <n v="1"/>
    <x v="7"/>
  </r>
  <r>
    <s v="MIGUELANGELFANDINO@GMAIL.COM1"/>
    <x v="34"/>
    <s v="CATEDRA"/>
    <s v="No"/>
    <s v="https://ProfCatedra2024.sawtoothsoftware.com/cgi-bin/ciwweb.pl?studyname=ProfCatedra2024&amp;Correo=MIGUELANGELFANDINO@GMAIL.COM1"/>
    <s v="POSGRADO"/>
    <n v="4"/>
    <x v="5"/>
  </r>
  <r>
    <s v="mikel.ibarra@unisabana.edu.co01"/>
    <x v="101"/>
    <s v="CATEDRA"/>
    <s v="Si"/>
    <s v="https://ProfCatedra2024.sawtoothsoftware.com/cgi-bin/ciwweb.pl?studyname=ProfCatedra2024&amp;Correo=mikel.ibarra@unisabana.edu.co01"/>
    <s v="POSGRADO"/>
    <n v="11"/>
    <x v="12"/>
  </r>
  <r>
    <s v="milciades.ibanez@unisabana.edu.co01"/>
    <x v="116"/>
    <s v="CATEDRA"/>
    <s v="No"/>
    <s v="https://ProfCatedra2024.sawtoothsoftware.com/cgi-bin/ciwweb.pl?studyname=ProfCatedra2024&amp;Correo=milciades.ibanez@unisabana.edu.co01"/>
    <s v="POSGRADO"/>
    <n v="6"/>
    <x v="9"/>
  </r>
  <r>
    <s v="milton.bautista@unisabana.edu.co01"/>
    <x v="120"/>
    <s v="CATEDRA"/>
    <s v="Si"/>
    <s v="https://ProfCatedra2024.sawtoothsoftware.com/cgi-bin/ciwweb.pl?studyname=ProfCatedra2024&amp;Correo=milton.bautista@unisabana.edu.co01"/>
    <s v="POSGRADO"/>
    <n v="11"/>
    <x v="12"/>
  </r>
  <r>
    <s v="MNMONTOYACESPEDES@GMAIL.COM1"/>
    <x v="72"/>
    <s v="CATEDRA"/>
    <s v="No"/>
    <s v="https://ProfCatedra2024.sawtoothsoftware.com/cgi-bin/ciwweb.pl?studyname=ProfCatedra2024&amp;Correo=MNMONTOYACESPEDES@GMAIL.COM1"/>
    <s v="POSGRADO"/>
    <n v="4"/>
    <x v="5"/>
  </r>
  <r>
    <s v="MOCHOAT@DIAN.GOV.CO1"/>
    <x v="34"/>
    <s v="CATEDRA"/>
    <s v="Si"/>
    <s v="https://ProfCatedra2024.sawtoothsoftware.com/cgi-bin/ciwweb.pl?studyname=ProfCatedra2024&amp;Correo=MOCHOAT@DIAN.GOV.CO1"/>
    <s v="POSGRADO"/>
    <n v="4"/>
    <x v="5"/>
  </r>
  <r>
    <s v="MONCAYOV@HOTMAIL.COM1"/>
    <x v="46"/>
    <s v="CATEDRA"/>
    <s v="No"/>
    <s v="https://ProfCatedra2024.sawtoothsoftware.com/cgi-bin/ciwweb.pl?studyname=ProfCatedra2024&amp;Correo=MONCAYOV@HOTMAIL.COM1"/>
    <s v="POSGRADO"/>
    <n v="4"/>
    <x v="5"/>
  </r>
  <r>
    <s v="monica.parrado1@unisabana.edu.co01"/>
    <x v="89"/>
    <s v="CATEDRA"/>
    <s v="No"/>
    <s v="https://ProfCatedra2024.sawtoothsoftware.com/cgi-bin/ciwweb.pl?studyname=ProfCatedra2024&amp;Correo=monica.parrado1@unisabana.edu.co01"/>
    <s v="POSGRADO"/>
    <n v="1"/>
    <x v="7"/>
  </r>
  <r>
    <s v="monica.sanchez@unisabana.edu.co01"/>
    <x v="109"/>
    <s v="CATEDRA"/>
    <s v="No"/>
    <s v="https://ProfCatedra2024.sawtoothsoftware.com/cgi-bin/ciwweb.pl?studyname=ProfCatedra2024&amp;Correo=monica.sanchez@unisabana.edu.co01"/>
    <s v="POSGRADO"/>
    <n v="5"/>
    <x v="1"/>
  </r>
  <r>
    <s v="monica.tovar1@unisabana.edu.co01"/>
    <x v="41"/>
    <s v="CATEDRA"/>
    <s v="No"/>
    <s v="https://ProfCatedra2024.sawtoothsoftware.com/cgi-bin/ciwweb.pl?studyname=ProfCatedra2024&amp;Correo=monica.tovar1@unisabana.edu.co01"/>
    <s v="POSGRADO"/>
    <n v="6"/>
    <x v="9"/>
  </r>
  <r>
    <s v="monicamarcela.riosgutierrez@gmail.com1"/>
    <x v="41"/>
    <s v="CATEDRA"/>
    <s v="Si"/>
    <s v="https://ProfCatedra2024.sawtoothsoftware.com/cgi-bin/ciwweb.pl?studyname=ProfCatedra2024&amp;Correo=monicamarcela.riosgutierrez@gmail.com1"/>
    <s v="POSGRADO"/>
    <n v="6"/>
    <x v="9"/>
  </r>
  <r>
    <s v="nancy.rivera1@unisabana.edu.co01"/>
    <x v="59"/>
    <s v="CATEDRA"/>
    <s v="No"/>
    <s v="https://ProfCatedra2024.sawtoothsoftware.com/cgi-bin/ciwweb.pl?studyname=ProfCatedra2024&amp;Correo=nancy.rivera1@unisabana.edu.co01"/>
    <s v="POSGRADO"/>
    <n v="11"/>
    <x v="12"/>
  </r>
  <r>
    <s v="nestor.diazgranados1@unisabana.edu.co01"/>
    <x v="105"/>
    <s v="CATEDRA"/>
    <s v="No"/>
    <s v="https://ProfCatedra2024.sawtoothsoftware.com/cgi-bin/ciwweb.pl?studyname=ProfCatedra2024&amp;Correo=nestor.diazgranados1@unisabana.edu.co01"/>
    <s v="POSGRADO"/>
    <n v="11"/>
    <x v="12"/>
  </r>
  <r>
    <s v="nestor.valderrama@inalde.edu.co01"/>
    <x v="43"/>
    <s v="CATEDRA"/>
    <s v="No"/>
    <s v="https://ProfCatedra2024.sawtoothsoftware.com/cgi-bin/ciwweb.pl?studyname=ProfCatedra2024&amp;Correo=nestor.valderrama@inalde.edu.co01"/>
    <s v="POSGRADO"/>
    <n v="8"/>
    <x v="0"/>
  </r>
  <r>
    <s v="nestor.zambrano@unisabana.edu.co01"/>
    <x v="74"/>
    <s v="CATEDRA"/>
    <s v="Si"/>
    <s v="https://ProfCatedra2024.sawtoothsoftware.com/cgi-bin/ciwweb.pl?studyname=ProfCatedra2024&amp;Correo=nestor.zambrano@unisabana.edu.co01"/>
    <s v="POSGRADO"/>
    <n v="5"/>
    <x v="1"/>
  </r>
  <r>
    <s v="newman.gutierrez@unisabana.edu.co01"/>
    <x v="44"/>
    <s v="CATEDRA"/>
    <s v="No"/>
    <s v="https://ProfCatedra2024.sawtoothsoftware.com/cgi-bin/ciwweb.pl?studyname=ProfCatedra2024&amp;Correo=newman.gutierrez@unisabana.edu.co01"/>
    <s v="POSGRADO"/>
    <n v="11"/>
    <x v="12"/>
  </r>
  <r>
    <s v="nidia.alfaro1@unisabana.edu.co01"/>
    <x v="60"/>
    <s v="CATEDRA"/>
    <s v="No"/>
    <s v="https://ProfCatedra2024.sawtoothsoftware.com/cgi-bin/ciwweb.pl?studyname=ProfCatedra2024&amp;Correo=nidia.alfaro1@unisabana.edu.co01"/>
    <s v="POSGRADO"/>
    <n v="11"/>
    <x v="12"/>
  </r>
  <r>
    <s v="NSACIPA@SCOLALEGAL.COM1"/>
    <x v="54"/>
    <s v="CATEDRA"/>
    <s v="No"/>
    <s v="https://ProfCatedra2024.sawtoothsoftware.com/cgi-bin/ciwweb.pl?studyname=ProfCatedra2024&amp;Correo=NSACIPA@SCOLALEGAL.COM1"/>
    <s v="POSGRADO"/>
    <n v="4"/>
    <x v="5"/>
  </r>
  <r>
    <s v="OBDULIO.VELASQUEZ@UNISABANA.edu.co01"/>
    <x v="38"/>
    <s v="CATEDRA"/>
    <s v="No"/>
    <s v="https://ProfCatedra2024.sawtoothsoftware.com/cgi-bin/ciwweb.pl?studyname=ProfCatedra2024&amp;Correo=OBDULIO.VELASQUEZ@UNISABANA.edu.co01"/>
    <s v="POSGRADO"/>
    <n v="4"/>
    <x v="5"/>
  </r>
  <r>
    <s v="omar.caceres1@unisabana.edu.co01"/>
    <x v="74"/>
    <s v="CATEDRA"/>
    <s v="Si"/>
    <s v="https://ProfCatedra2024.sawtoothsoftware.com/cgi-bin/ciwweb.pl?studyname=ProfCatedra2024&amp;Correo=omar.caceres1@unisabana.edu.co01"/>
    <s v="POSGRADO"/>
    <n v="5"/>
    <x v="1"/>
  </r>
  <r>
    <s v="ORLANDORAMIREZGAMBOA@GMAIL.COM1"/>
    <x v="34"/>
    <s v="CATEDRA"/>
    <s v="No"/>
    <s v="https://ProfCatedra2024.sawtoothsoftware.com/cgi-bin/ciwweb.pl?studyname=ProfCatedra2024&amp;Correo=ORLANDORAMIREZGAMBOA@GMAIL.COM1"/>
    <s v="POSGRADO"/>
    <n v="4"/>
    <x v="5"/>
  </r>
  <r>
    <s v="OrlandoRG@unisabana.edu.co01"/>
    <x v="72"/>
    <s v="CATEDRA"/>
    <s v="No"/>
    <s v="https://ProfCatedra2024.sawtoothsoftware.com/cgi-bin/ciwweb.pl?studyname=ProfCatedra2024&amp;Correo=OrlandoRG@unisabana.edu.co01"/>
    <s v="POSGRADO"/>
    <n v="4"/>
    <x v="5"/>
  </r>
  <r>
    <s v="oscar.ayala@unisabana.edu.co01"/>
    <x v="59"/>
    <s v="CATEDRA"/>
    <s v="No"/>
    <s v="https://ProfCatedra2024.sawtoothsoftware.com/cgi-bin/ciwweb.pl?studyname=ProfCatedra2024&amp;Correo=oscar.ayala@unisabana.edu.co01"/>
    <s v="POSGRADO"/>
    <n v="11"/>
    <x v="12"/>
  </r>
  <r>
    <s v="OSCARJPV@YAHOO.ES1"/>
    <x v="73"/>
    <s v="CATEDRA"/>
    <s v="Si"/>
    <s v="https://ProfCatedra2024.sawtoothsoftware.com/cgi-bin/ciwweb.pl?studyname=ProfCatedra2024&amp;Correo=OSCARJPV@YAHOO.ES1"/>
    <s v="POSGRADO"/>
    <n v="4"/>
    <x v="5"/>
  </r>
  <r>
    <s v="paola.ordonez@unisabana.edu.co01"/>
    <x v="92"/>
    <s v="CATEDRA"/>
    <s v="Si"/>
    <s v="https://ProfCatedra2024.sawtoothsoftware.com/cgi-bin/ciwweb.pl?studyname=ProfCatedra2024&amp;Correo=paola.ordonez@unisabana.edu.co01"/>
    <s v="POSGRADO"/>
    <n v="1"/>
    <x v="7"/>
  </r>
  <r>
    <s v="patricia.otero@unisabana.edu.co01"/>
    <x v="91"/>
    <s v="CATEDRA"/>
    <s v="Si"/>
    <s v="https://ProfCatedra2024.sawtoothsoftware.com/cgi-bin/ciwweb.pl?studyname=ProfCatedra2024&amp;Correo=patricia.otero@unisabana.edu.co01"/>
    <s v="POSGRADO"/>
    <n v="6"/>
    <x v="9"/>
  </r>
  <r>
    <s v="PCALLEJASCASTRO@GMAIL.COM1"/>
    <x v="32"/>
    <s v="CATEDRA"/>
    <s v="No"/>
    <s v="https://ProfCatedra2024.sawtoothsoftware.com/cgi-bin/ciwweb.pl?studyname=ProfCatedra2024&amp;Correo=PCALLEJASCASTRO@GMAIL.COM1"/>
    <s v="POSGRADO"/>
    <n v="4"/>
    <x v="5"/>
  </r>
  <r>
    <s v="pedro.angel@unisabana.edu.co01"/>
    <x v="78"/>
    <s v="CATEDRA"/>
    <s v="No"/>
    <s v="https://ProfCatedra2024.sawtoothsoftware.com/cgi-bin/ciwweb.pl?studyname=ProfCatedra2024&amp;Correo=pedro.angel@unisabana.edu.co01"/>
    <s v="POSGRADO"/>
    <n v="11"/>
    <x v="12"/>
  </r>
  <r>
    <s v="pedro.casas@unisabana.edu.co01"/>
    <x v="75"/>
    <s v="CATEDRA"/>
    <s v="No"/>
    <s v="https://ProfCatedra2024.sawtoothsoftware.com/cgi-bin/ciwweb.pl?studyname=ProfCatedra2024&amp;Correo=pedro.casas@unisabana.edu.co01"/>
    <s v="POSGRADO"/>
    <n v="7"/>
    <x v="10"/>
  </r>
  <r>
    <s v="pedro.garcia@unisabana.edu.co01"/>
    <x v="57"/>
    <s v="CATEDRA"/>
    <s v="No"/>
    <s v="https://ProfCatedra2024.sawtoothsoftware.com/cgi-bin/ciwweb.pl?studyname=ProfCatedra2024&amp;Correo=pedro.garcia@unisabana.edu.co01"/>
    <s v="POSGRADO"/>
    <n v="2"/>
    <x v="4"/>
  </r>
  <r>
    <s v="rafael.castro@unisabana.edu.co01"/>
    <x v="74"/>
    <s v="CATEDRA"/>
    <s v="No"/>
    <s v="https://ProfCatedra2024.sawtoothsoftware.com/cgi-bin/ciwweb.pl?studyname=ProfCatedra2024&amp;Correo=rafael.castro@unisabana.edu.co01"/>
    <s v="POSGRADO"/>
    <n v="5"/>
    <x v="1"/>
  </r>
  <r>
    <s v="rafael.tordecilla@unisabana.edu.co01"/>
    <x v="35"/>
    <s v="CATEDRA"/>
    <s v="No"/>
    <s v="https://ProfCatedra2024.sawtoothsoftware.com/cgi-bin/ciwweb.pl?studyname=ProfCatedra2024&amp;Correo=rafael.tordecilla@unisabana.edu.co01"/>
    <s v="POSGRADO"/>
    <n v="8"/>
    <x v="0"/>
  </r>
  <r>
    <s v="rafael.wilches1@unisabana.edu.co01"/>
    <x v="84"/>
    <s v="CATEDRA"/>
    <s v="No"/>
    <s v="https://ProfCatedra2024.sawtoothsoftware.com/cgi-bin/ciwweb.pl?studyname=ProfCatedra2024&amp;Correo=rafael.wilches1@unisabana.edu.co01"/>
    <s v="POSGRADO"/>
    <n v="4"/>
    <x v="5"/>
  </r>
  <r>
    <s v="RAMIROHERNANDEZ@HYM-CO.COM1"/>
    <x v="34"/>
    <s v="CATEDRA"/>
    <s v="Si"/>
    <s v="https://ProfCatedra2024.sawtoothsoftware.com/cgi-bin/ciwweb.pl?studyname=ProfCatedra2024&amp;Correo=RAMIROHERNANDEZ@HYM-CO.COM1"/>
    <s v="POSGRADO"/>
    <n v="4"/>
    <x v="5"/>
  </r>
  <r>
    <s v="RBORDARIDAO@HOTMAIL.COM1"/>
    <x v="40"/>
    <s v="CATEDRA"/>
    <s v="Si"/>
    <s v="https://ProfCatedra2024.sawtoothsoftware.com/cgi-bin/ciwweb.pl?studyname=ProfCatedra2024&amp;Correo=RBORDARIDAO@HOTMAIL.COM1"/>
    <s v="POSGRADO"/>
    <n v="4"/>
    <x v="5"/>
  </r>
  <r>
    <s v="RICARDO.ANGELP@HOTMAIL.COM1"/>
    <x v="32"/>
    <s v="CATEDRA"/>
    <s v="Si"/>
    <s v="https://ProfCatedra2024.sawtoothsoftware.com/cgi-bin/ciwweb.pl?studyname=ProfCatedra2024&amp;Correo=RICARDO.ANGELP@HOTMAIL.COM1"/>
    <s v="POSGRADO"/>
    <n v="4"/>
    <x v="5"/>
  </r>
  <r>
    <s v="ricardo.pena1@unisabana.edu.co01"/>
    <x v="42"/>
    <s v="CATEDRA"/>
    <s v="No"/>
    <s v="https://ProfCatedra2024.sawtoothsoftware.com/cgi-bin/ciwweb.pl?studyname=ProfCatedra2024&amp;Correo=ricardo.pena1@unisabana.edu.co01"/>
    <s v="POSGRADO"/>
    <n v="11"/>
    <x v="12"/>
  </r>
  <r>
    <s v="richard.ramirez@unisabana.edu.co01"/>
    <x v="121"/>
    <s v="CATEDRA"/>
    <s v="No"/>
    <s v="https://ProfCatedra2024.sawtoothsoftware.com/cgi-bin/ciwweb.pl?studyname=ProfCatedra2024&amp;Correo=richard.ramirez@unisabana.edu.co01"/>
    <s v="POSGRADO"/>
    <n v="4"/>
    <x v="5"/>
  </r>
  <r>
    <s v="RIVEROS_JONATHAN@HOTMAIL.COM1"/>
    <x v="73"/>
    <s v="CATEDRA"/>
    <s v="No"/>
    <s v="https://ProfCatedra2024.sawtoothsoftware.com/cgi-bin/ciwweb.pl?studyname=ProfCatedra2024&amp;Correo=RIVEROS_JONATHAN@HOTMAIL.COM1"/>
    <s v="POSGRADO"/>
    <n v="4"/>
    <x v="5"/>
  </r>
  <r>
    <s v="ROBERTOSUEC@UNISABANA.edu.co01"/>
    <x v="90"/>
    <s v="CATEDRA"/>
    <s v="No"/>
    <s v="https://ProfCatedra2024.sawtoothsoftware.com/cgi-bin/ciwweb.pl?studyname=ProfCatedra2024&amp;Correo=ROBERTOSUEC@UNISABANA.edu.co01"/>
    <s v="POSGRADO"/>
    <n v="4"/>
    <x v="5"/>
  </r>
  <r>
    <s v="rodolfo.meza@unisabana.edu.co01"/>
    <x v="43"/>
    <s v="CATEDRA"/>
    <s v="No"/>
    <s v="https://ProfCatedra2024.sawtoothsoftware.com/cgi-bin/ciwweb.pl?studyname=ProfCatedra2024&amp;Correo=rodolfo.meza@unisabana.edu.co01"/>
    <s v="POSGRADO"/>
    <n v="8"/>
    <x v="0"/>
  </r>
  <r>
    <s v="rodrigo.diaz2@unisabana.edu.co01"/>
    <x v="115"/>
    <s v="CATEDRA"/>
    <s v="Si"/>
    <s v="https://ProfCatedra2024.sawtoothsoftware.com/cgi-bin/ciwweb.pl?studyname=ProfCatedra2024&amp;Correo=rodrigo.diaz2@unisabana.edu.co01"/>
    <s v="POSGRADO"/>
    <n v="11"/>
    <x v="12"/>
  </r>
  <r>
    <s v="rodrigo.granados@unisabana.edu.co01"/>
    <x v="115"/>
    <s v="CATEDRA"/>
    <s v="Si"/>
    <s v="https://ProfCatedra2024.sawtoothsoftware.com/cgi-bin/ciwweb.pl?studyname=ProfCatedra2024&amp;Correo=rodrigo.granados@unisabana.edu.co01"/>
    <s v="POSGRADO"/>
    <n v="11"/>
    <x v="12"/>
  </r>
  <r>
    <s v="RODRIGOMARIN-ABOGADO@HOTMAIL.COM1"/>
    <x v="54"/>
    <s v="CATEDRA"/>
    <s v="Si"/>
    <s v="https://ProfCatedra2024.sawtoothsoftware.com/cgi-bin/ciwweb.pl?studyname=ProfCatedra2024&amp;Correo=RODRIGOMARIN-ABOGADO@HOTMAIL.COM1"/>
    <s v="POSGRADO"/>
    <n v="4"/>
    <x v="5"/>
  </r>
  <r>
    <s v="ruben.martinez@unisabana.edu.co01"/>
    <x v="106"/>
    <s v="CATEDRA"/>
    <s v="No"/>
    <s v="https://ProfCatedra2024.sawtoothsoftware.com/cgi-bin/ciwweb.pl?studyname=ProfCatedra2024&amp;Correo=ruben.martinez@unisabana.edu.co01"/>
    <s v="POSGRADO"/>
    <n v="11"/>
    <x v="12"/>
  </r>
  <r>
    <s v="SAMUELEDORTIZ@HOTMAIL.COM1"/>
    <x v="34"/>
    <s v="CATEDRA"/>
    <s v="Si"/>
    <s v="https://ProfCatedra2024.sawtoothsoftware.com/cgi-bin/ciwweb.pl?studyname=ProfCatedra2024&amp;Correo=SAMUELEDORTIZ@HOTMAIL.COM1"/>
    <s v="POSGRADO"/>
    <n v="4"/>
    <x v="5"/>
  </r>
  <r>
    <s v="SCASTRILLON@GRUPOVANTI.COM1"/>
    <x v="34"/>
    <s v="CATEDRA"/>
    <s v="No"/>
    <s v="https://ProfCatedra2024.sawtoothsoftware.com/cgi-bin/ciwweb.pl?studyname=ProfCatedra2024&amp;Correo=SCASTRILLON@GRUPOVANTI.COM1"/>
    <s v="POSGRADO"/>
    <n v="4"/>
    <x v="5"/>
  </r>
  <r>
    <s v="santiago.arrieta1@unisabana.edu.co01"/>
    <x v="122"/>
    <s v="CATEDRA"/>
    <s v="No"/>
    <s v="https://ProfCatedra2024.sawtoothsoftware.com/cgi-bin/ciwweb.pl?studyname=ProfCatedra2024&amp;Correo=santiago.arrieta1@unisabana.edu.co01"/>
    <s v="POSGRADO"/>
    <n v="3"/>
    <x v="2"/>
  </r>
  <r>
    <s v="santiago.bayona1@unisabana.edu.co01"/>
    <x v="55"/>
    <s v="CATEDRA"/>
    <s v="No"/>
    <s v="https://ProfCatedra2024.sawtoothsoftware.com/cgi-bin/ciwweb.pl?studyname=ProfCatedra2024&amp;Correo=santiago.bayona1@unisabana.edu.co01"/>
    <s v="POSGRADO"/>
    <n v="11"/>
    <x v="12"/>
  </r>
  <r>
    <s v="santiago.ocampo1@unisabana.edu.co01"/>
    <x v="118"/>
    <s v="CATEDRA"/>
    <s v="No"/>
    <s v="https://ProfCatedra2024.sawtoothsoftware.com/cgi-bin/ciwweb.pl?studyname=ProfCatedra2024&amp;Correo=santiago.ocampo1@unisabana.edu.co01"/>
    <s v="POSGRADO"/>
    <n v="3"/>
    <x v="2"/>
  </r>
  <r>
    <s v="santiagomv@unisabana.edu.co01"/>
    <x v="78"/>
    <s v="CATEDRA"/>
    <s v="Si"/>
    <s v="https://ProfCatedra2024.sawtoothsoftware.com/cgi-bin/ciwweb.pl?studyname=ProfCatedra2024&amp;Correo=santiagomv@unisabana.edu.co01"/>
    <s v="POSGRADO"/>
    <n v="11"/>
    <x v="12"/>
  </r>
  <r>
    <s v="SEBASRUBIANO@HOTMAIL.COM1"/>
    <x v="71"/>
    <s v="CATEDRA"/>
    <s v="No"/>
    <s v="https://ProfCatedra2024.sawtoothsoftware.com/cgi-bin/ciwweb.pl?studyname=ProfCatedra2024&amp;Correo=SEBASRUBIANO@HOTMAIL.COM1"/>
    <s v="POSGRADO"/>
    <n v="4"/>
    <x v="5"/>
  </r>
  <r>
    <s v="sergio.duque1@unisabana.edu.co01"/>
    <x v="106"/>
    <s v="CATEDRA"/>
    <s v="No"/>
    <s v="https://ProfCatedra2024.sawtoothsoftware.com/cgi-bin/ciwweb.pl?studyname=ProfCatedra2024&amp;Correo=sergio.duque1@unisabana.edu.co01"/>
    <s v="POSGRADO"/>
    <n v="11"/>
    <x v="12"/>
  </r>
  <r>
    <s v="sergio.torres_cont@unisabana.edu.co01"/>
    <x v="56"/>
    <s v="CATEDRA"/>
    <s v="No"/>
    <s v="https://ProfCatedra2024.sawtoothsoftware.com/cgi-bin/ciwweb.pl?studyname=ProfCatedra2024&amp;Correo=sergio.torres_cont@unisabana.edu.co01"/>
    <s v="POSGRADO"/>
    <n v="2"/>
    <x v="4"/>
  </r>
  <r>
    <s v="silvana.ahumada@unisabana.edu.co01"/>
    <x v="47"/>
    <s v="CATEDRA"/>
    <s v="No"/>
    <s v="https://ProfCatedra2024.sawtoothsoftware.com/cgi-bin/ciwweb.pl?studyname=ProfCatedra2024&amp;Correo=silvana.ahumada@unisabana.edu.co01"/>
    <s v="POSGRADO"/>
    <n v="2"/>
    <x v="4"/>
  </r>
  <r>
    <s v="steve.martinez1@unisabana.edu.co01"/>
    <x v="78"/>
    <s v="CATEDRA"/>
    <s v="No"/>
    <s v="https://ProfCatedra2024.sawtoothsoftware.com/cgi-bin/ciwweb.pl?studyname=ProfCatedra2024&amp;Correo=steve.martinez1@unisabana.edu.co01"/>
    <s v="POSGRADO"/>
    <n v="11"/>
    <x v="12"/>
  </r>
  <r>
    <s v="tabata.cuervo1@unisabana.edu.co01"/>
    <x v="80"/>
    <s v="CATEDRA"/>
    <s v="No"/>
    <s v="https://ProfCatedra2024.sawtoothsoftware.com/cgi-bin/ciwweb.pl?studyname=ProfCatedra2024&amp;Correo=tabata.cuervo1@unisabana.edu.co01"/>
    <s v="POSGRADO"/>
    <n v="9"/>
    <x v="6"/>
  </r>
  <r>
    <s v="tyrone.vargas1@unisabana.edu.co01"/>
    <x v="74"/>
    <s v="CATEDRA"/>
    <s v="No"/>
    <s v="https://ProfCatedra2024.sawtoothsoftware.com/cgi-bin/ciwweb.pl?studyname=ProfCatedra2024&amp;Correo=tyrone.vargas1@unisabana.edu.co01"/>
    <s v="POSGRADO"/>
    <n v="5"/>
    <x v="1"/>
  </r>
  <r>
    <s v="vera.nunez@unisabana.edu.co01"/>
    <x v="41"/>
    <s v="CATEDRA"/>
    <s v="No"/>
    <s v="https://ProfCatedra2024.sawtoothsoftware.com/cgi-bin/ciwweb.pl?studyname=ProfCatedra2024&amp;Correo=vera.nunez@unisabana.edu.co01"/>
    <s v="POSGRADO"/>
    <n v="6"/>
    <x v="9"/>
  </r>
  <r>
    <s v="virgilio.ramon@unisabana.edu.co01"/>
    <x v="69"/>
    <s v="CATEDRA"/>
    <s v="No"/>
    <s v="https://ProfCatedra2024.sawtoothsoftware.com/cgi-bin/ciwweb.pl?studyname=ProfCatedra2024&amp;Correo=virgilio.ramon@unisabana.edu.co01"/>
    <s v="POSGRADO"/>
    <n v="11"/>
    <x v="12"/>
  </r>
  <r>
    <s v="viviana.fajardo@unisabana.edu.co01"/>
    <x v="88"/>
    <s v="CATEDRA"/>
    <s v="No"/>
    <s v="https://ProfCatedra2024.sawtoothsoftware.com/cgi-bin/ciwweb.pl?studyname=ProfCatedra2024&amp;Correo=viviana.fajardo@unisabana.edu.co01"/>
    <s v="POSGRADO"/>
    <n v="1"/>
    <x v="7"/>
  </r>
  <r>
    <s v="VMPLAZAS@HOTMAIL.COM1"/>
    <x v="32"/>
    <s v="CATEDRA"/>
    <s v="No"/>
    <s v="https://ProfCatedra2024.sawtoothsoftware.com/cgi-bin/ciwweb.pl?studyname=ProfCatedra2024&amp;Correo=VMPLAZAS@HOTMAIL.COM1"/>
    <s v="POSGRADO"/>
    <n v="4"/>
    <x v="5"/>
  </r>
  <r>
    <s v="william.gomez1@unisabana.edu.co01"/>
    <x v="102"/>
    <s v="CATEDRA"/>
    <s v="No"/>
    <s v="https://ProfCatedra2024.sawtoothsoftware.com/cgi-bin/ciwweb.pl?studyname=ProfCatedra2024&amp;Correo=william.gomez1@unisabana.edu.co01"/>
    <s v="POSGRADO"/>
    <n v="5"/>
    <x v="1"/>
  </r>
  <r>
    <s v="william.moscoso@unisabana.edu.co01"/>
    <x v="36"/>
    <s v="CATEDRA"/>
    <s v="No"/>
    <s v="https://ProfCatedra2024.sawtoothsoftware.com/cgi-bin/ciwweb.pl?studyname=ProfCatedra2024&amp;Correo=william.moscoso@unisabana.edu.co01"/>
    <s v="POSGRADO"/>
    <n v="8"/>
    <x v="0"/>
  </r>
  <r>
    <s v="WILLIAM.PINZON@SEGUROSDELESTADO.COM1"/>
    <x v="32"/>
    <s v="CATEDRA"/>
    <s v="No"/>
    <s v="https://ProfCatedra2024.sawtoothsoftware.com/cgi-bin/ciwweb.pl?studyname=ProfCatedra2024&amp;Correo=WILLIAM.PINZON@SEGUROSDELESTADO.COM1"/>
    <s v="POSGRADO"/>
    <n v="4"/>
    <x v="5"/>
  </r>
  <r>
    <s v="wilson.castro1@unisabana.edu.co01"/>
    <x v="83"/>
    <s v="CATEDRA"/>
    <s v="No"/>
    <s v="https://ProfCatedra2024.sawtoothsoftware.com/cgi-bin/ciwweb.pl?studyname=ProfCatedra2024&amp;Correo=wilson.castro1@unisabana.edu.co01"/>
    <s v="POSGRADO"/>
    <n v="11"/>
    <x v="12"/>
  </r>
  <r>
    <s v="yadira.carrion1@unisabana.edu.co01"/>
    <x v="59"/>
    <s v="CATEDRA"/>
    <s v="Si"/>
    <s v="https://ProfCatedra2024.sawtoothsoftware.com/cgi-bin/ciwweb.pl?studyname=ProfCatedra2024&amp;Correo=yadira.carrion1@unisabana.edu.co01"/>
    <s v="POSGRADO"/>
    <n v="11"/>
    <x v="12"/>
  </r>
  <r>
    <s v="yenny.celemin@unisabana.edu.co01"/>
    <x v="46"/>
    <s v="CATEDRA"/>
    <s v="No"/>
    <s v="https://ProfCatedra2024.sawtoothsoftware.com/cgi-bin/ciwweb.pl?studyname=ProfCatedra2024&amp;Correo=yenny.celemin@unisabana.edu.co01"/>
    <s v="POSGRADO"/>
    <n v="4"/>
    <x v="5"/>
  </r>
  <r>
    <s v="yolanda.ruiz1@unisabana.edu.co01"/>
    <x v="101"/>
    <s v="CATEDRA"/>
    <s v="No"/>
    <s v="https://ProfCatedra2024.sawtoothsoftware.com/cgi-bin/ciwweb.pl?studyname=ProfCatedra2024&amp;Correo=yolanda.ruiz1@unisabana.edu.co01"/>
    <s v="POSGRADO"/>
    <n v="11"/>
    <x v="12"/>
  </r>
  <r>
    <s v="zulma.sarmiento1@unisabana.edu.co01"/>
    <x v="36"/>
    <s v="CATEDRA"/>
    <s v="No"/>
    <s v="https://ProfCatedra2024.sawtoothsoftware.com/cgi-bin/ciwweb.pl?studyname=ProfCatedra2024&amp;Correo=zulma.sarmiento1@unisabana.edu.co01"/>
    <s v="POSGRADO"/>
    <n v="8"/>
    <x v="0"/>
  </r>
  <r>
    <s v="zulma.velandia1@unisabana.edu.co01"/>
    <x v="118"/>
    <s v="CATEDRA"/>
    <s v="No"/>
    <s v="https://ProfCatedra2024.sawtoothsoftware.com/cgi-bin/ciwweb.pl?studyname=ProfCatedra2024&amp;Correo=zulma.velandia1@unisabana.edu.co01"/>
    <s v="POSGRADO"/>
    <n v="3"/>
    <x v="2"/>
  </r>
  <r>
    <s v="ZULMAGBECERRA@GMAIL.COM1"/>
    <x v="32"/>
    <s v="CATEDRA"/>
    <s v="No"/>
    <s v="https://ProfCatedra2024.sawtoothsoftware.com/cgi-bin/ciwweb.pl?studyname=ProfCatedra2024&amp;Correo=ZULMAGBECERRA@GMAIL.COM1"/>
    <s v="POSGRADO"/>
    <n v="4"/>
    <x v="5"/>
  </r>
  <r>
    <s v="adriana.lopez5@unisabana.edu.co02"/>
    <x v="85"/>
    <s v="CATEDRA"/>
    <s v="No"/>
    <s v="https://ProfCatedra2024.sawtoothsoftware.com/cgi-bin/ciwweb.pl?studyname=ProfCatedra2024&amp;Correo=adriana.lopez5@unisabana.edu.co02"/>
    <s v="POSGRADO"/>
    <n v="1"/>
    <x v="7"/>
  </r>
  <r>
    <s v="adrianapeme@unisabana.edu.co02"/>
    <x v="60"/>
    <s v="CATEDRA"/>
    <s v="No"/>
    <s v="https://ProfCatedra2024.sawtoothsoftware.com/cgi-bin/ciwweb.pl?studyname=ProfCatedra2024&amp;Correo=adrianapeme@unisabana.edu.co02"/>
    <s v="POSGRADO"/>
    <n v="11"/>
    <x v="12"/>
  </r>
  <r>
    <s v="alba.sachica1@unisabana.edu.co02"/>
    <x v="91"/>
    <s v="CATEDRA"/>
    <s v="No"/>
    <s v="https://ProfCatedra2024.sawtoothsoftware.com/cgi-bin/ciwweb.pl?studyname=ProfCatedra2024&amp;Correo=alba.sachica1@unisabana.edu.co02"/>
    <s v="POSGRADO"/>
    <n v="6"/>
    <x v="9"/>
  </r>
  <r>
    <s v="alexandra.jimenez1@unisabana.edu.co02"/>
    <x v="60"/>
    <s v="CATEDRA"/>
    <s v="No"/>
    <s v="https://ProfCatedra2024.sawtoothsoftware.com/cgi-bin/ciwweb.pl?studyname=ProfCatedra2024&amp;Correo=alexandra.jimenez1@unisabana.edu.co02"/>
    <s v="POSGRADO"/>
    <n v="11"/>
    <x v="12"/>
  </r>
  <r>
    <s v="alvaro.salcedo@unisabana.edu.co02"/>
    <x v="60"/>
    <s v="CATEDRA"/>
    <s v="No"/>
    <s v="https://ProfCatedra2024.sawtoothsoftware.com/cgi-bin/ciwweb.pl?studyname=ProfCatedra2024&amp;Correo=alvaro.salcedo@unisabana.edu.co02"/>
    <s v="POSGRADO"/>
    <n v="11"/>
    <x v="12"/>
  </r>
  <r>
    <s v="alvaro.vernazza_cont@unisabana.edu.co02"/>
    <x v="95"/>
    <s v="CATEDRA"/>
    <s v="No"/>
    <s v="https://ProfCatedra2024.sawtoothsoftware.com/cgi-bin/ciwweb.pl?studyname=ProfCatedra2024&amp;Correo=alvaro.vernazza_cont@unisabana.edu.co02"/>
    <s v="POSGRADO"/>
    <n v="11"/>
    <x v="12"/>
  </r>
  <r>
    <s v="andherrerag@gmail.com2"/>
    <x v="123"/>
    <s v="CATEDRA"/>
    <s v="No"/>
    <s v="https://ProfCatedra2024.sawtoothsoftware.com/cgi-bin/ciwweb.pl?studyname=ProfCatedra2024&amp;Correo=andherrerag@gmail.com2"/>
    <s v="POSGRADO"/>
    <n v="2"/>
    <x v="4"/>
  </r>
  <r>
    <s v="andres.cardona1@unisabana.edu.co02"/>
    <x v="36"/>
    <s v="CATEDRA"/>
    <s v="No"/>
    <s v="https://ProfCatedra2024.sawtoothsoftware.com/cgi-bin/ciwweb.pl?studyname=ProfCatedra2024&amp;Correo=andres.cardona1@unisabana.edu.co02"/>
    <s v="POSGRADO"/>
    <n v="8"/>
    <x v="0"/>
  </r>
  <r>
    <s v="andres.carreno@Unisabana.edu.co02"/>
    <x v="124"/>
    <s v="CATEDRA"/>
    <s v="No"/>
    <s v="https://ProfCatedra2024.sawtoothsoftware.com/cgi-bin/ciwweb.pl?studyname=ProfCatedra2024&amp;Correo=andres.carreno@Unisabana.edu.co02"/>
    <s v="POSGRADO"/>
    <n v="5"/>
    <x v="1"/>
  </r>
  <r>
    <s v="ANDRES.MANCIPE@GMAIL.COM2"/>
    <x v="46"/>
    <s v="CATEDRA"/>
    <s v="No"/>
    <s v="https://ProfCatedra2024.sawtoothsoftware.com/cgi-bin/ciwweb.pl?studyname=ProfCatedra2024&amp;Correo=ANDRES.MANCIPE@GMAIL.COM2"/>
    <s v="POSGRADO"/>
    <n v="4"/>
    <x v="5"/>
  </r>
  <r>
    <s v="andresrohe@unisabana.edu.co02"/>
    <x v="123"/>
    <s v="CATEDRA"/>
    <s v="No"/>
    <s v="https://ProfCatedra2024.sawtoothsoftware.com/cgi-bin/ciwweb.pl?studyname=ProfCatedra2024&amp;Correo=andresrohe@unisabana.edu.co02"/>
    <s v="POSGRADO"/>
    <n v="2"/>
    <x v="4"/>
  </r>
  <r>
    <s v="beatriz.herrera@unisabana.edu.co02"/>
    <x v="55"/>
    <s v="CATEDRA"/>
    <s v="Si"/>
    <s v="https://ProfCatedra2024.sawtoothsoftware.com/cgi-bin/ciwweb.pl?studyname=ProfCatedra2024&amp;Correo=beatriz.herrera@unisabana.edu.co02"/>
    <s v="POSGRADO"/>
    <n v="11"/>
    <x v="12"/>
  </r>
  <r>
    <s v="brianda.sarmiento@unisabana.edu.co02"/>
    <x v="125"/>
    <s v="CATEDRA"/>
    <s v="Si"/>
    <s v="https://ProfCatedra2024.sawtoothsoftware.com/cgi-bin/ciwweb.pl?studyname=ProfCatedra2024&amp;Correo=brianda.sarmiento@unisabana.edu.co02"/>
    <s v="POSGRADO"/>
    <n v="5"/>
    <x v="1"/>
  </r>
  <r>
    <s v="camilo.rincon2@unisabana.edu.co02"/>
    <x v="77"/>
    <s v="CATEDRA"/>
    <s v="No"/>
    <s v="https://ProfCatedra2024.sawtoothsoftware.com/cgi-bin/ciwweb.pl?studyname=ProfCatedra2024&amp;Correo=camilo.rincon2@unisabana.edu.co02"/>
    <s v="POSGRADO"/>
    <n v="9"/>
    <x v="6"/>
  </r>
  <r>
    <s v="carlos.rojas@unisabana.edu.co02"/>
    <x v="126"/>
    <s v="CATEDRA"/>
    <s v="Si"/>
    <s v="https://ProfCatedra2024.sawtoothsoftware.com/cgi-bin/ciwweb.pl?studyname=ProfCatedra2024&amp;Correo=carlos.rojas@unisabana.edu.co02"/>
    <s v="POSGRADO"/>
    <n v="11"/>
    <x v="12"/>
  </r>
  <r>
    <s v="carlos.salazar5@unisabana.edu.co02"/>
    <x v="123"/>
    <s v="CATEDRA"/>
    <s v="No"/>
    <s v="https://ProfCatedra2024.sawtoothsoftware.com/cgi-bin/ciwweb.pl?studyname=ProfCatedra2024&amp;Correo=carlos.salazar5@unisabana.edu.co02"/>
    <s v="POSGRADO"/>
    <n v="2"/>
    <x v="4"/>
  </r>
  <r>
    <s v="CHERRERA@GMAIL.COM2"/>
    <x v="51"/>
    <s v="CATEDRA"/>
    <s v="No"/>
    <s v="https://ProfCatedra2024.sawtoothsoftware.com/cgi-bin/ciwweb.pl?studyname=ProfCatedra2024&amp;Correo=CHERRERA@GMAIL.COM2"/>
    <s v="POSGRADO"/>
    <n v="4"/>
    <x v="5"/>
  </r>
  <r>
    <s v="CLAUDIAPATRICIABARRANTES@GMAIL.COM2"/>
    <x v="46"/>
    <s v="CATEDRA"/>
    <s v="No"/>
    <s v="https://ProfCatedra2024.sawtoothsoftware.com/cgi-bin/ciwweb.pl?studyname=ProfCatedra2024&amp;Correo=CLAUDIAPATRICIABARRANTES@GMAIL.COM2"/>
    <s v="POSGRADO"/>
    <n v="4"/>
    <x v="5"/>
  </r>
  <r>
    <s v="CRISTINACHARRY@YAHOO.ES2"/>
    <x v="51"/>
    <s v="CATEDRA"/>
    <s v="No"/>
    <s v="https://ProfCatedra2024.sawtoothsoftware.com/cgi-bin/ciwweb.pl?studyname=ProfCatedra2024&amp;Correo=CRISTINACHARRY@YAHOO.ES2"/>
    <s v="POSGRADO"/>
    <n v="4"/>
    <x v="5"/>
  </r>
  <r>
    <s v="daniel.ayala1@unisabana.edu.co02"/>
    <x v="46"/>
    <s v="CATEDRA"/>
    <s v="No"/>
    <s v="https://ProfCatedra2024.sawtoothsoftware.com/cgi-bin/ciwweb.pl?studyname=ProfCatedra2024&amp;Correo=daniel.ayala1@unisabana.edu.co02"/>
    <s v="POSGRADO"/>
    <n v="4"/>
    <x v="5"/>
  </r>
  <r>
    <s v="daniel.prieto@unisabana.edu.co02"/>
    <x v="123"/>
    <s v="CATEDRA"/>
    <s v="No"/>
    <s v="https://ProfCatedra2024.sawtoothsoftware.com/cgi-bin/ciwweb.pl?studyname=ProfCatedra2024&amp;Correo=daniel.prieto@unisabana.edu.co02"/>
    <s v="POSGRADO"/>
    <n v="2"/>
    <x v="4"/>
  </r>
  <r>
    <s v="dario.rojas@unisabana.edu.co02"/>
    <x v="85"/>
    <s v="CATEDRA"/>
    <s v="No"/>
    <s v="https://ProfCatedra2024.sawtoothsoftware.com/cgi-bin/ciwweb.pl?studyname=ProfCatedra2024&amp;Correo=dario.rojas@unisabana.edu.co02"/>
    <s v="POSGRADO"/>
    <n v="1"/>
    <x v="7"/>
  </r>
  <r>
    <s v="DAVENDANOSURA@GMAIL.COM2"/>
    <x v="32"/>
    <s v="CATEDRA"/>
    <s v="No"/>
    <s v="https://ProfCatedra2024.sawtoothsoftware.com/cgi-bin/ciwweb.pl?studyname=ProfCatedra2024&amp;Correo=DAVENDANOSURA@GMAIL.COM2"/>
    <s v="POSGRADO"/>
    <n v="4"/>
    <x v="5"/>
  </r>
  <r>
    <s v="dayana.moreno1@unisabana.edu.co02"/>
    <x v="60"/>
    <s v="CATEDRA"/>
    <s v="No"/>
    <s v="https://ProfCatedra2024.sawtoothsoftware.com/cgi-bin/ciwweb.pl?studyname=ProfCatedra2024&amp;Correo=dayana.moreno1@unisabana.edu.co02"/>
    <s v="POSGRADO"/>
    <n v="11"/>
    <x v="12"/>
  </r>
  <r>
    <s v="deisy.forero@unisabana.edu.co02"/>
    <x v="46"/>
    <s v="CATEDRA"/>
    <s v="No"/>
    <s v="https://ProfCatedra2024.sawtoothsoftware.com/cgi-bin/ciwweb.pl?studyname=ProfCatedra2024&amp;Correo=deisy.forero@unisabana.edu.co02"/>
    <s v="POSGRADO"/>
    <n v="4"/>
    <x v="5"/>
  </r>
  <r>
    <s v="diana.zarabanda@unisabana.edu.co02"/>
    <x v="71"/>
    <s v="CATEDRA"/>
    <s v="No"/>
    <s v="https://ProfCatedra2024.sawtoothsoftware.com/cgi-bin/ciwweb.pl?studyname=ProfCatedra2024&amp;Correo=diana.zarabanda@unisabana.edu.co02"/>
    <s v="POSGRADO"/>
    <n v="4"/>
    <x v="5"/>
  </r>
  <r>
    <s v="diego.rodriguez11@unisabana.edu.co02"/>
    <x v="127"/>
    <s v="CATEDRA"/>
    <s v="No"/>
    <s v="https://ProfCatedra2024.sawtoothsoftware.com/cgi-bin/ciwweb.pl?studyname=ProfCatedra2024&amp;Correo=diego.rodriguez11@unisabana.edu.co02"/>
    <s v="POSGRADO"/>
    <n v="11"/>
    <x v="12"/>
  </r>
  <r>
    <s v="Doraat@unisabana.edu.co02"/>
    <x v="60"/>
    <s v="CATEDRA"/>
    <s v="No"/>
    <s v="https://ProfCatedra2024.sawtoothsoftware.com/cgi-bin/ciwweb.pl?studyname=ProfCatedra2024&amp;Correo=Doraat@unisabana.edu.co02"/>
    <s v="POSGRADO"/>
    <n v="11"/>
    <x v="12"/>
  </r>
  <r>
    <s v="DRINCONV@GMAIL.COM2"/>
    <x v="40"/>
    <s v="CATEDRA"/>
    <s v="No"/>
    <s v="https://ProfCatedra2024.sawtoothsoftware.com/cgi-bin/ciwweb.pl?studyname=ProfCatedra2024&amp;Correo=DRINCONV@GMAIL.COM2"/>
    <s v="POSGRADO"/>
    <n v="4"/>
    <x v="5"/>
  </r>
  <r>
    <s v="EJUSTARIZ@USTARIZABOGADOS.COM2"/>
    <x v="40"/>
    <s v="CATEDRA"/>
    <s v="No"/>
    <s v="https://ProfCatedra2024.sawtoothsoftware.com/cgi-bin/ciwweb.pl?studyname=ProfCatedra2024&amp;Correo=EJUSTARIZ@USTARIZABOGADOS.COM2"/>
    <s v="POSGRADO"/>
    <n v="4"/>
    <x v="5"/>
  </r>
  <r>
    <s v="FernandoC@unisabana.edu.co02"/>
    <x v="81"/>
    <s v="CATEDRA"/>
    <s v="Si"/>
    <s v="https://ProfCatedra2024.sawtoothsoftware.com/cgi-bin/ciwweb.pl?studyname=ProfCatedra2024&amp;Correo=FernandoC@unisabana.edu.co02"/>
    <s v="POSGRADO"/>
    <n v="11"/>
    <x v="12"/>
  </r>
  <r>
    <s v="FERPAL48@HOTMAIL.COM2"/>
    <x v="32"/>
    <s v="CATEDRA"/>
    <s v="No"/>
    <s v="https://ProfCatedra2024.sawtoothsoftware.com/cgi-bin/ciwweb.pl?studyname=ProfCatedra2024&amp;Correo=FERPAL48@HOTMAIL.COM2"/>
    <s v="POSGRADO"/>
    <n v="4"/>
    <x v="5"/>
  </r>
  <r>
    <s v="flavio.puentes1@unisabana.edu.co02"/>
    <x v="81"/>
    <s v="CATEDRA"/>
    <s v="No"/>
    <s v="https://ProfCatedra2024.sawtoothsoftware.com/cgi-bin/ciwweb.pl?studyname=ProfCatedra2024&amp;Correo=flavio.puentes1@unisabana.edu.co02"/>
    <s v="POSGRADO"/>
    <n v="11"/>
    <x v="12"/>
  </r>
  <r>
    <s v="gabriel.bonilla@unisabana.edu.co02"/>
    <x v="123"/>
    <s v="CATEDRA"/>
    <s v="Si"/>
    <s v="https://ProfCatedra2024.sawtoothsoftware.com/cgi-bin/ciwweb.pl?studyname=ProfCatedra2024&amp;Correo=gabriel.bonilla@unisabana.edu.co02"/>
    <s v="POSGRADO"/>
    <n v="2"/>
    <x v="4"/>
  </r>
  <r>
    <s v="gabriela.atehortua@unisabana.edu.co02"/>
    <x v="128"/>
    <s v="CATEDRA"/>
    <s v="No"/>
    <s v="https://ProfCatedra2024.sawtoothsoftware.com/cgi-bin/ciwweb.pl?studyname=ProfCatedra2024&amp;Correo=gabriela.atehortua@unisabana.edu.co02"/>
    <s v="POSGRADO"/>
    <n v="5"/>
    <x v="1"/>
  </r>
  <r>
    <s v="gerardoR@unisabana.edu.co02"/>
    <x v="81"/>
    <s v="CATEDRA"/>
    <s v="Si"/>
    <s v="https://ProfCatedra2024.sawtoothsoftware.com/cgi-bin/ciwweb.pl?studyname=ProfCatedra2024&amp;Correo=gerardoR@unisabana.edu.co02"/>
    <s v="POSGRADO"/>
    <n v="11"/>
    <x v="12"/>
  </r>
  <r>
    <s v="Germanhr@unisabana.edu.co02"/>
    <x v="64"/>
    <s v="CATEDRA"/>
    <s v="Si"/>
    <s v="https://ProfCatedra2024.sawtoothsoftware.com/cgi-bin/ciwweb.pl?studyname=ProfCatedra2024&amp;Correo=Germanhr@unisabana.edu.co02"/>
    <s v="POSGRADO"/>
    <n v="9"/>
    <x v="6"/>
  </r>
  <r>
    <s v="giovanny.roa@unisabana.edu.co02"/>
    <x v="101"/>
    <s v="CATEDRA"/>
    <s v="Si"/>
    <s v="https://ProfCatedra2024.sawtoothsoftware.com/cgi-bin/ciwweb.pl?studyname=ProfCatedra2024&amp;Correo=giovanny.roa@unisabana.edu.co02"/>
    <s v="POSGRADO"/>
    <n v="11"/>
    <x v="12"/>
  </r>
  <r>
    <s v="gustavo.ramirez1@unisabana.edu.co02"/>
    <x v="123"/>
    <s v="CATEDRA"/>
    <s v="No"/>
    <s v="https://ProfCatedra2024.sawtoothsoftware.com/cgi-bin/ciwweb.pl?studyname=ProfCatedra2024&amp;Correo=gustavo.ramirez1@unisabana.edu.co02"/>
    <s v="POSGRADO"/>
    <n v="2"/>
    <x v="4"/>
  </r>
  <r>
    <s v="ivan.gutierrez@unisabana.edu.co02"/>
    <x v="129"/>
    <s v="CATEDRA"/>
    <s v="No"/>
    <s v="https://ProfCatedra2024.sawtoothsoftware.com/cgi-bin/ciwweb.pl?studyname=ProfCatedra2024&amp;Correo=ivan.gutierrez@unisabana.edu.co02"/>
    <s v="POSGRADO"/>
    <n v="11"/>
    <x v="12"/>
  </r>
  <r>
    <s v="ivan.moya@unisabana.edu.co02"/>
    <x v="130"/>
    <s v="CATEDRA"/>
    <s v="No"/>
    <s v="https://ProfCatedra2024.sawtoothsoftware.com/cgi-bin/ciwweb.pl?studyname=ProfCatedra2024&amp;Correo=ivan.moya@unisabana.edu.co02"/>
    <s v="POSGRADO"/>
    <n v="11"/>
    <x v="12"/>
  </r>
  <r>
    <s v="ivan.unigarro1@unisabana.edu.co02"/>
    <x v="46"/>
    <s v="CATEDRA"/>
    <s v="No"/>
    <s v="https://ProfCatedra2024.sawtoothsoftware.com/cgi-bin/ciwweb.pl?studyname=ProfCatedra2024&amp;Correo=ivan.unigarro1@unisabana.edu.co02"/>
    <s v="POSGRADO"/>
    <n v="4"/>
    <x v="5"/>
  </r>
  <r>
    <s v="jader.castano1@unisabana.edu.co02"/>
    <x v="131"/>
    <s v="CATEDRA"/>
    <s v="No"/>
    <s v="https://ProfCatedra2024.sawtoothsoftware.com/cgi-bin/ciwweb.pl?studyname=ProfCatedra2024&amp;Correo=jader.castano1@unisabana.edu.co02"/>
    <s v="POSGRADO"/>
    <n v="11"/>
    <x v="12"/>
  </r>
  <r>
    <s v="jaime.martinez1@unisabana.edu.co02"/>
    <x v="57"/>
    <s v="CATEDRA"/>
    <s v="No"/>
    <s v="https://ProfCatedra2024.sawtoothsoftware.com/cgi-bin/ciwweb.pl?studyname=ProfCatedra2024&amp;Correo=jaime.martinez1@unisabana.edu.co02"/>
    <s v="POSGRADO"/>
    <n v="2"/>
    <x v="4"/>
  </r>
  <r>
    <s v="john.cabrera_cont@unisabana.edu.co02"/>
    <x v="131"/>
    <s v="CATEDRA"/>
    <s v="No"/>
    <s v="https://ProfCatedra2024.sawtoothsoftware.com/cgi-bin/ciwweb.pl?studyname=ProfCatedra2024&amp;Correo=john.cabrera_cont@unisabana.edu.co02"/>
    <s v="POSGRADO"/>
    <n v="11"/>
    <x v="12"/>
  </r>
  <r>
    <s v="john.mora@unisabana.edu.co02"/>
    <x v="123"/>
    <s v="CATEDRA"/>
    <s v="No"/>
    <s v="https://ProfCatedra2024.sawtoothsoftware.com/cgi-bin/ciwweb.pl?studyname=ProfCatedra2024&amp;Correo=john.mora@unisabana.edu.co02"/>
    <s v="POSGRADO"/>
    <n v="2"/>
    <x v="4"/>
  </r>
  <r>
    <s v="jorge.avila@unisabana.edu.co02"/>
    <x v="74"/>
    <s v="CATEDRA"/>
    <s v="No"/>
    <s v="https://ProfCatedra2024.sawtoothsoftware.com/cgi-bin/ciwweb.pl?studyname=ProfCatedra2024&amp;Correo=jorge.avila@unisabana.edu.co02"/>
    <s v="POSGRADO"/>
    <n v="5"/>
    <x v="1"/>
  </r>
  <r>
    <s v="jorge.figueroa@unisabana.edu.co02"/>
    <x v="60"/>
    <s v="CATEDRA"/>
    <s v="No"/>
    <s v="https://ProfCatedra2024.sawtoothsoftware.com/cgi-bin/ciwweb.pl?studyname=ProfCatedra2024&amp;Correo=jorge.figueroa@unisabana.edu.co02"/>
    <s v="POSGRADO"/>
    <n v="11"/>
    <x v="12"/>
  </r>
  <r>
    <s v="jose.castano@unisabana.edu.co02"/>
    <x v="102"/>
    <s v="CATEDRA"/>
    <s v="No"/>
    <s v="https://ProfCatedra2024.sawtoothsoftware.com/cgi-bin/ciwweb.pl?studyname=ProfCatedra2024&amp;Correo=jose.castano@unisabana.edu.co02"/>
    <s v="POSGRADO"/>
    <n v="5"/>
    <x v="1"/>
  </r>
  <r>
    <s v="JOSEMIGUELRUEDAVASQUEZ4@HOTMAIL.COM2"/>
    <x v="71"/>
    <s v="CATEDRA"/>
    <s v="No"/>
    <s v="https://ProfCatedra2024.sawtoothsoftware.com/cgi-bin/ciwweb.pl?studyname=ProfCatedra2024&amp;Correo=JOSEMIGUELRUEDAVASQUEZ4@HOTMAIL.COM2"/>
    <s v="POSGRADO"/>
    <n v="4"/>
    <x v="5"/>
  </r>
  <r>
    <s v="juan.enciso2@unisabana.edu.co02"/>
    <x v="108"/>
    <s v="CATEDRA"/>
    <s v="No"/>
    <s v="https://ProfCatedra2024.sawtoothsoftware.com/cgi-bin/ciwweb.pl?studyname=ProfCatedra2024&amp;Correo=juan.enciso2@unisabana.edu.co02"/>
    <s v="POSGRADO"/>
    <n v="5"/>
    <x v="1"/>
  </r>
  <r>
    <s v="juan.gutierrez1@unisabana.edu.co02"/>
    <x v="60"/>
    <s v="CATEDRA"/>
    <s v="Si"/>
    <s v="https://ProfCatedra2024.sawtoothsoftware.com/cgi-bin/ciwweb.pl?studyname=ProfCatedra2024&amp;Correo=juan.gutierrez1@unisabana.edu.co02"/>
    <s v="POSGRADO"/>
    <n v="11"/>
    <x v="12"/>
  </r>
  <r>
    <s v="juan.marin2@unisabana.edu.co02"/>
    <x v="130"/>
    <s v="CATEDRA"/>
    <s v="No"/>
    <s v="https://ProfCatedra2024.sawtoothsoftware.com/cgi-bin/ciwweb.pl?studyname=ProfCatedra2024&amp;Correo=juan.marin2@unisabana.edu.co02"/>
    <s v="POSGRADO"/>
    <n v="11"/>
    <x v="12"/>
  </r>
  <r>
    <s v="juan.ramirez22@unisabana.edu.co02"/>
    <x v="35"/>
    <s v="CATEDRA"/>
    <s v="No"/>
    <s v="https://ProfCatedra2024.sawtoothsoftware.com/cgi-bin/ciwweb.pl?studyname=ProfCatedra2024&amp;Correo=juan.ramirez22@unisabana.edu.co02"/>
    <s v="POSGRADO"/>
    <n v="8"/>
    <x v="0"/>
  </r>
  <r>
    <s v="julia.diaz@unisabana.edu.co02"/>
    <x v="43"/>
    <s v="CATEDRA"/>
    <s v="No"/>
    <s v="https://ProfCatedra2024.sawtoothsoftware.com/cgi-bin/ciwweb.pl?studyname=ProfCatedra2024&amp;Correo=julia.diaz@unisabana.edu.co02"/>
    <s v="POSGRADO"/>
    <n v="8"/>
    <x v="0"/>
  </r>
  <r>
    <s v="libiaro@unisabana.edu.co02"/>
    <x v="60"/>
    <s v="CATEDRA"/>
    <s v="Si"/>
    <s v="https://ProfCatedra2024.sawtoothsoftware.com/cgi-bin/ciwweb.pl?studyname=ProfCatedra2024&amp;Correo=libiaro@unisabana.edu.co02"/>
    <s v="POSGRADO"/>
    <n v="11"/>
    <x v="12"/>
  </r>
  <r>
    <s v="lida.isaza@unisabana.edu.co02"/>
    <x v="124"/>
    <s v="CATEDRA"/>
    <s v="No"/>
    <s v="https://ProfCatedra2024.sawtoothsoftware.com/cgi-bin/ciwweb.pl?studyname=ProfCatedra2024&amp;Correo=lida.isaza@unisabana.edu.co02"/>
    <s v="POSGRADO"/>
    <n v="5"/>
    <x v="1"/>
  </r>
  <r>
    <s v="liliana.arias@unisabana.edu.co02"/>
    <x v="62"/>
    <s v="CATEDRA"/>
    <s v="Si"/>
    <s v="https://ProfCatedra2024.sawtoothsoftware.com/cgi-bin/ciwweb.pl?studyname=ProfCatedra2024&amp;Correo=liliana.arias@unisabana.edu.co02"/>
    <s v="POSGRADO"/>
    <n v="5"/>
    <x v="1"/>
  </r>
  <r>
    <s v="LINA.TELLEZ@UNISABANA.edu.co02"/>
    <x v="87"/>
    <s v="CATEDRA"/>
    <s v="No"/>
    <s v="https://ProfCatedra2024.sawtoothsoftware.com/cgi-bin/ciwweb.pl?studyname=ProfCatedra2024&amp;Correo=LINA.TELLEZ@UNISABANA.edu.co02"/>
    <s v="POSGRADO"/>
    <n v="2"/>
    <x v="4"/>
  </r>
  <r>
    <s v="luis.lopez10@unisabana.edu.co02"/>
    <x v="126"/>
    <s v="CATEDRA"/>
    <s v="No"/>
    <s v="https://ProfCatedra2024.sawtoothsoftware.com/cgi-bin/ciwweb.pl?studyname=ProfCatedra2024&amp;Correo=luis.lopez10@unisabana.edu.co02"/>
    <s v="POSGRADO"/>
    <n v="11"/>
    <x v="12"/>
  </r>
  <r>
    <s v="luis.maria@unisabana.edu.co02"/>
    <x v="127"/>
    <s v="CATEDRA"/>
    <s v="No"/>
    <s v="https://ProfCatedra2024.sawtoothsoftware.com/cgi-bin/ciwweb.pl?studyname=ProfCatedra2024&amp;Correo=luis.maria@unisabana.edu.co02"/>
    <s v="POSGRADO"/>
    <n v="11"/>
    <x v="12"/>
  </r>
  <r>
    <s v="luis.rodriguez2@unisabana.edu.co02"/>
    <x v="57"/>
    <s v="CATEDRA"/>
    <s v="No"/>
    <s v="https://ProfCatedra2024.sawtoothsoftware.com/cgi-bin/ciwweb.pl?studyname=ProfCatedra2024&amp;Correo=luis.rodriguez2@unisabana.edu.co02"/>
    <s v="POSGRADO"/>
    <n v="2"/>
    <x v="4"/>
  </r>
  <r>
    <s v="luis.silva2@unisabana.edu.co02"/>
    <x v="95"/>
    <s v="CATEDRA"/>
    <s v="No"/>
    <s v="https://ProfCatedra2024.sawtoothsoftware.com/cgi-bin/ciwweb.pl?studyname=ProfCatedra2024&amp;Correo=luis.silva2@unisabana.edu.co02"/>
    <s v="POSGRADO"/>
    <n v="11"/>
    <x v="12"/>
  </r>
  <r>
    <s v="Luisaaa@unisabana.edu.co02"/>
    <x v="37"/>
    <s v="CATEDRA"/>
    <s v="No"/>
    <s v="https://ProfCatedra2024.sawtoothsoftware.com/cgi-bin/ciwweb.pl?studyname=ProfCatedra2024&amp;Correo=Luisaaa@unisabana.edu.co02"/>
    <s v="POSGRADO"/>
    <n v="5"/>
    <x v="1"/>
  </r>
  <r>
    <s v="manuel.marin1@unisabana.edu.co02"/>
    <x v="54"/>
    <s v="CATEDRA"/>
    <s v="No"/>
    <s v="https://ProfCatedra2024.sawtoothsoftware.com/cgi-bin/ciwweb.pl?studyname=ProfCatedra2024&amp;Correo=manuel.marin1@unisabana.edu.co02"/>
    <s v="POSGRADO"/>
    <n v="4"/>
    <x v="5"/>
  </r>
  <r>
    <s v="maria.castillo2@unisabana.edu.co02"/>
    <x v="128"/>
    <s v="CATEDRA"/>
    <s v="No"/>
    <s v="https://ProfCatedra2024.sawtoothsoftware.com/cgi-bin/ciwweb.pl?studyname=ProfCatedra2024&amp;Correo=maria.castillo2@unisabana.edu.co02"/>
    <s v="POSGRADO"/>
    <n v="5"/>
    <x v="1"/>
  </r>
  <r>
    <s v="maria.duran1@unisabana.edu.co02"/>
    <x v="132"/>
    <s v="CATEDRA"/>
    <s v="No"/>
    <s v="https://ProfCatedra2024.sawtoothsoftware.com/cgi-bin/ciwweb.pl?studyname=ProfCatedra2024&amp;Correo=maria.duran1@unisabana.edu.co02"/>
    <s v="POSGRADO"/>
    <n v="6"/>
    <x v="9"/>
  </r>
  <r>
    <s v="maria.villar2@unisabana.edu.co02"/>
    <x v="55"/>
    <s v="CATEDRA"/>
    <s v="Si"/>
    <s v="https://ProfCatedra2024.sawtoothsoftware.com/cgi-bin/ciwweb.pl?studyname=ProfCatedra2024&amp;Correo=maria.villar2@unisabana.edu.co02"/>
    <s v="POSGRADO"/>
    <n v="11"/>
    <x v="12"/>
  </r>
  <r>
    <s v="MARIANOLOZANOR@GMAIL.COM2"/>
    <x v="73"/>
    <s v="CATEDRA"/>
    <s v="No"/>
    <s v="https://ProfCatedra2024.sawtoothsoftware.com/cgi-bin/ciwweb.pl?studyname=ProfCatedra2024&amp;Correo=MARIANOLOZANOR@GMAIL.COM2"/>
    <s v="POSGRADO"/>
    <n v="4"/>
    <x v="5"/>
  </r>
  <r>
    <s v="mauricio.suarez1@unisabana.edu.co02"/>
    <x v="120"/>
    <s v="CATEDRA"/>
    <s v="No"/>
    <s v="https://ProfCatedra2024.sawtoothsoftware.com/cgi-bin/ciwweb.pl?studyname=ProfCatedra2024&amp;Correo=mauricio.suarez1@unisabana.edu.co02"/>
    <s v="POSGRADO"/>
    <n v="11"/>
    <x v="12"/>
  </r>
  <r>
    <s v="mikel.ibarra@unisabana.edu.co02"/>
    <x v="82"/>
    <s v="CATEDRA"/>
    <s v="Si"/>
    <s v="https://ProfCatedra2024.sawtoothsoftware.com/cgi-bin/ciwweb.pl?studyname=ProfCatedra2024&amp;Correo=mikel.ibarra@unisabana.edu.co02"/>
    <s v="POSGRADO"/>
    <n v="11"/>
    <x v="12"/>
  </r>
  <r>
    <s v="MNMONTOYACESPEDES@GMAIL.COM2"/>
    <x v="54"/>
    <s v="CATEDRA"/>
    <s v="No"/>
    <s v="https://ProfCatedra2024.sawtoothsoftware.com/cgi-bin/ciwweb.pl?studyname=ProfCatedra2024&amp;Correo=MNMONTOYACESPEDES@GMAIL.COM2"/>
    <s v="POSGRADO"/>
    <n v="4"/>
    <x v="5"/>
  </r>
  <r>
    <s v="nestor.valderrama@inalde.edu.co02"/>
    <x v="35"/>
    <s v="CATEDRA"/>
    <s v="No"/>
    <s v="https://ProfCatedra2024.sawtoothsoftware.com/cgi-bin/ciwweb.pl?studyname=ProfCatedra2024&amp;Correo=nestor.valderrama@inalde.edu.co02"/>
    <s v="POSGRADO"/>
    <n v="8"/>
    <x v="0"/>
  </r>
  <r>
    <s v="nestor.zambrano@unisabana.edu.co02"/>
    <x v="96"/>
    <s v="CATEDRA"/>
    <s v="No"/>
    <s v="https://ProfCatedra2024.sawtoothsoftware.com/cgi-bin/ciwweb.pl?studyname=ProfCatedra2024&amp;Correo=nestor.zambrano@unisabana.edu.co02"/>
    <s v="POSGRADO"/>
    <n v="5"/>
    <x v="1"/>
  </r>
  <r>
    <s v="newman.gutierrez@unisabana.edu.co02"/>
    <x v="39"/>
    <s v="CATEDRA"/>
    <s v="No"/>
    <s v="https://ProfCatedra2024.sawtoothsoftware.com/cgi-bin/ciwweb.pl?studyname=ProfCatedra2024&amp;Correo=newman.gutierrez@unisabana.edu.co02"/>
    <s v="POSGRADO"/>
    <n v="11"/>
    <x v="12"/>
  </r>
  <r>
    <s v="OrlandoRG@unisabana.edu.co02"/>
    <x v="54"/>
    <s v="CATEDRA"/>
    <s v="No"/>
    <s v="https://ProfCatedra2024.sawtoothsoftware.com/cgi-bin/ciwweb.pl?studyname=ProfCatedra2024&amp;Correo=OrlandoRG@unisabana.edu.co02"/>
    <s v="POSGRADO"/>
    <n v="4"/>
    <x v="5"/>
  </r>
  <r>
    <s v="rafael.castro@unisabana.edu.co02"/>
    <x v="102"/>
    <s v="CATEDRA"/>
    <s v="No"/>
    <s v="https://ProfCatedra2024.sawtoothsoftware.com/cgi-bin/ciwweb.pl?studyname=ProfCatedra2024&amp;Correo=rafael.castro@unisabana.edu.co02"/>
    <s v="POSGRADO"/>
    <n v="5"/>
    <x v="1"/>
  </r>
  <r>
    <s v="richard.ramirez@unisabana.edu.co02"/>
    <x v="71"/>
    <s v="CATEDRA"/>
    <s v="No"/>
    <s v="https://ProfCatedra2024.sawtoothsoftware.com/cgi-bin/ciwweb.pl?studyname=ProfCatedra2024&amp;Correo=richard.ramirez@unisabana.edu.co02"/>
    <s v="POSGRADO"/>
    <n v="4"/>
    <x v="5"/>
  </r>
  <r>
    <s v="ROBERTOSUEC@UNISABANA.edu.co02"/>
    <x v="32"/>
    <s v="CATEDRA"/>
    <s v="No"/>
    <s v="https://ProfCatedra2024.sawtoothsoftware.com/cgi-bin/ciwweb.pl?studyname=ProfCatedra2024&amp;Correo=ROBERTOSUEC@UNISABANA.edu.co02"/>
    <s v="POSGRADO"/>
    <n v="4"/>
    <x v="5"/>
  </r>
  <r>
    <s v="rodrigo.granados@unisabana.edu.co02"/>
    <x v="60"/>
    <s v="CATEDRA"/>
    <s v="No"/>
    <s v="https://ProfCatedra2024.sawtoothsoftware.com/cgi-bin/ciwweb.pl?studyname=ProfCatedra2024&amp;Correo=rodrigo.granados@unisabana.edu.co02"/>
    <s v="POSGRADO"/>
    <n v="11"/>
    <x v="12"/>
  </r>
  <r>
    <s v="santiagomv@unisabana.edu.co02"/>
    <x v="60"/>
    <s v="CATEDRA"/>
    <s v="Si"/>
    <s v="https://ProfCatedra2024.sawtoothsoftware.com/cgi-bin/ciwweb.pl?studyname=ProfCatedra2024&amp;Correo=santiagomv@unisabana.edu.co02"/>
    <s v="POSGRADO"/>
    <n v="11"/>
    <x v="12"/>
  </r>
  <r>
    <s v="sergio.torres_cont@unisabana.edu.co02"/>
    <x v="57"/>
    <s v="CATEDRA"/>
    <s v="No"/>
    <s v="https://ProfCatedra2024.sawtoothsoftware.com/cgi-bin/ciwweb.pl?studyname=ProfCatedra2024&amp;Correo=sergio.torres_cont@unisabana.edu.co02"/>
    <s v="POSGRADO"/>
    <n v="2"/>
    <x v="4"/>
  </r>
  <r>
    <s v="silvana.ahumada@unisabana.edu.co02"/>
    <x v="123"/>
    <s v="CATEDRA"/>
    <s v="No"/>
    <s v="https://ProfCatedra2024.sawtoothsoftware.com/cgi-bin/ciwweb.pl?studyname=ProfCatedra2024&amp;Correo=silvana.ahumada@unisabana.edu.co02"/>
    <s v="POSGRADO"/>
    <n v="2"/>
    <x v="4"/>
  </r>
  <r>
    <s v="steve.martinez1@unisabana.edu.co02"/>
    <x v="130"/>
    <s v="CATEDRA"/>
    <s v="No"/>
    <s v="https://ProfCatedra2024.sawtoothsoftware.com/cgi-bin/ciwweb.pl?studyname=ProfCatedra2024&amp;Correo=steve.martinez1@unisabana.edu.co02"/>
    <s v="POSGRADO"/>
    <n v="11"/>
    <x v="12"/>
  </r>
  <r>
    <s v="tyrone.vargas1@unisabana.edu.co02"/>
    <x v="102"/>
    <s v="CATEDRA"/>
    <s v="No"/>
    <s v="https://ProfCatedra2024.sawtoothsoftware.com/cgi-bin/ciwweb.pl?studyname=ProfCatedra2024&amp;Correo=tyrone.vargas1@unisabana.edu.co02"/>
    <s v="POSGRADO"/>
    <n v="5"/>
    <x v="1"/>
  </r>
  <r>
    <s v="virgilio.ramon@unisabana.edu.co02"/>
    <x v="45"/>
    <s v="CATEDRA"/>
    <s v="No"/>
    <s v="https://ProfCatedra2024.sawtoothsoftware.com/cgi-bin/ciwweb.pl?studyname=ProfCatedra2024&amp;Correo=virgilio.ramon@unisabana.edu.co02"/>
    <s v="POSGRADO"/>
    <n v="11"/>
    <x v="12"/>
  </r>
  <r>
    <s v="wilson.castro1@unisabana.edu.co02"/>
    <x v="127"/>
    <s v="CATEDRA"/>
    <s v="No"/>
    <s v="https://ProfCatedra2024.sawtoothsoftware.com/cgi-bin/ciwweb.pl?studyname=ProfCatedra2024&amp;Correo=wilson.castro1@unisabana.edu.co02"/>
    <s v="POSGRADO"/>
    <n v="11"/>
    <x v="12"/>
  </r>
  <r>
    <s v="yenny.celemin@unisabana.edu.co02"/>
    <x v="71"/>
    <s v="CATEDRA"/>
    <s v="No"/>
    <s v="https://ProfCatedra2024.sawtoothsoftware.com/cgi-bin/ciwweb.pl?studyname=ProfCatedra2024&amp;Correo=yenny.celemin@unisabana.edu.co02"/>
    <s v="POSGRADO"/>
    <n v="4"/>
    <x v="5"/>
  </r>
  <r>
    <s v="yolanda.ruiz1@unisabana.edu.co02"/>
    <x v="127"/>
    <s v="CATEDRA"/>
    <s v="No"/>
    <s v="https://ProfCatedra2024.sawtoothsoftware.com/cgi-bin/ciwweb.pl?studyname=ProfCatedra2024&amp;Correo=yolanda.ruiz1@unisabana.edu.co02"/>
    <s v="POSGRADO"/>
    <n v="11"/>
    <x v="12"/>
  </r>
  <r>
    <s v="zulma.velandia1@unisabana.edu.co02"/>
    <x v="122"/>
    <s v="CATEDRA"/>
    <s v="No"/>
    <s v="https://ProfCatedra2024.sawtoothsoftware.com/cgi-bin/ciwweb.pl?studyname=ProfCatedra2024&amp;Correo=zulma.velandia1@unisabana.edu.co02"/>
    <s v="POSGRADO"/>
    <n v="3"/>
    <x v="2"/>
  </r>
  <r>
    <s v="adrianapeme@unisabana.edu.co03"/>
    <x v="98"/>
    <s v="CATEDRA"/>
    <s v="No"/>
    <s v="https://ProfCatedra2024.sawtoothsoftware.com/cgi-bin/ciwweb.pl?studyname=ProfCatedra2024&amp;Correo=adrianapeme@unisabana.edu.co03"/>
    <s v="POSGRADO"/>
    <n v="11"/>
    <x v="12"/>
  </r>
  <r>
    <s v="alba.sachica1@unisabana.edu.co03"/>
    <x v="132"/>
    <s v="CATEDRA"/>
    <s v="No"/>
    <s v="https://ProfCatedra2024.sawtoothsoftware.com/cgi-bin/ciwweb.pl?studyname=ProfCatedra2024&amp;Correo=alba.sachica1@unisabana.edu.co03"/>
    <s v="POSGRADO"/>
    <n v="6"/>
    <x v="9"/>
  </r>
  <r>
    <s v="alexandra.jimenez1@unisabana.edu.co03"/>
    <x v="120"/>
    <s v="CATEDRA"/>
    <s v="No"/>
    <s v="https://ProfCatedra2024.sawtoothsoftware.com/cgi-bin/ciwweb.pl?studyname=ProfCatedra2024&amp;Correo=alexandra.jimenez1@unisabana.edu.co03"/>
    <s v="POSGRADO"/>
    <n v="11"/>
    <x v="12"/>
  </r>
  <r>
    <s v="alvaro.salcedo@unisabana.edu.co03"/>
    <x v="131"/>
    <s v="CATEDRA"/>
    <s v="No"/>
    <s v="https://ProfCatedra2024.sawtoothsoftware.com/cgi-bin/ciwweb.pl?studyname=ProfCatedra2024&amp;Correo=alvaro.salcedo@unisabana.edu.co03"/>
    <s v="POSGRADO"/>
    <n v="11"/>
    <x v="12"/>
  </r>
  <r>
    <s v="andres.cardona1@unisabana.edu.co03"/>
    <x v="35"/>
    <s v="CATEDRA"/>
    <s v="No"/>
    <s v="https://ProfCatedra2024.sawtoothsoftware.com/cgi-bin/ciwweb.pl?studyname=ProfCatedra2024&amp;Correo=andres.cardona1@unisabana.edu.co03"/>
    <s v="POSGRADO"/>
    <n v="8"/>
    <x v="0"/>
  </r>
  <r>
    <s v="andresrohe@unisabana.edu.co03"/>
    <x v="58"/>
    <s v="CATEDRA"/>
    <s v="No"/>
    <s v="https://ProfCatedra2024.sawtoothsoftware.com/cgi-bin/ciwweb.pl?studyname=ProfCatedra2024&amp;Correo=andresrohe@unisabana.edu.co03"/>
    <s v="POSGRADO"/>
    <n v="2"/>
    <x v="4"/>
  </r>
  <r>
    <s v="dayana.moreno1@unisabana.edu.co03"/>
    <x v="61"/>
    <s v="CATEDRA"/>
    <s v="No"/>
    <s v="https://ProfCatedra2024.sawtoothsoftware.com/cgi-bin/ciwweb.pl?studyname=ProfCatedra2024&amp;Correo=dayana.moreno1@unisabana.edu.co03"/>
    <s v="POSGRADO"/>
    <n v="11"/>
    <x v="12"/>
  </r>
  <r>
    <s v="Doraat@unisabana.edu.co03"/>
    <x v="95"/>
    <s v="CATEDRA"/>
    <s v="No"/>
    <s v="https://ProfCatedra2024.sawtoothsoftware.com/cgi-bin/ciwweb.pl?studyname=ProfCatedra2024&amp;Correo=Doraat@unisabana.edu.co03"/>
    <s v="POSGRADO"/>
    <n v="11"/>
    <x v="12"/>
  </r>
  <r>
    <s v="gabriela.atehortua@unisabana.edu.co03"/>
    <x v="133"/>
    <s v="CATEDRA"/>
    <s v="No"/>
    <s v="https://ProfCatedra2024.sawtoothsoftware.com/cgi-bin/ciwweb.pl?studyname=ProfCatedra2024&amp;Correo=gabriela.atehortua@unisabana.edu.co03"/>
    <s v="POSGRADO"/>
    <n v="5"/>
    <x v="1"/>
  </r>
  <r>
    <s v="gerardoR@unisabana.edu.co03"/>
    <x v="131"/>
    <s v="CATEDRA"/>
    <s v="No"/>
    <s v="https://ProfCatedra2024.sawtoothsoftware.com/cgi-bin/ciwweb.pl?studyname=ProfCatedra2024&amp;Correo=gerardoR@unisabana.edu.co03"/>
    <s v="POSGRADO"/>
    <n v="11"/>
    <x v="12"/>
  </r>
  <r>
    <s v="juan.enciso2@unisabana.edu.co03"/>
    <x v="134"/>
    <s v="CATEDRA"/>
    <s v="No"/>
    <s v="https://ProfCatedra2024.sawtoothsoftware.com/cgi-bin/ciwweb.pl?studyname=ProfCatedra2024&amp;Correo=juan.enciso2@unisabana.edu.co03"/>
    <s v="POSGRADO"/>
    <n v="5"/>
    <x v="1"/>
  </r>
  <r>
    <s v="libiaro@unisabana.edu.co03"/>
    <x v="130"/>
    <s v="CATEDRA"/>
    <s v="Si"/>
    <s v="https://ProfCatedra2024.sawtoothsoftware.com/cgi-bin/ciwweb.pl?studyname=ProfCatedra2024&amp;Correo=libiaro@unisabana.edu.co03"/>
    <s v="POSGRADO"/>
    <n v="11"/>
    <x v="12"/>
  </r>
  <r>
    <s v="lida.isaza@unisabana.edu.co03"/>
    <x v="134"/>
    <s v="CATEDRA"/>
    <s v="No"/>
    <s v="https://ProfCatedra2024.sawtoothsoftware.com/cgi-bin/ciwweb.pl?studyname=ProfCatedra2024&amp;Correo=lida.isaza@unisabana.edu.co03"/>
    <s v="POSGRADO"/>
    <n v="5"/>
    <x v="1"/>
  </r>
  <r>
    <s v="liliana.arias@unisabana.edu.co03"/>
    <x v="134"/>
    <s v="CATEDRA"/>
    <s v="Si"/>
    <s v="https://ProfCatedra2024.sawtoothsoftware.com/cgi-bin/ciwweb.pl?studyname=ProfCatedra2024&amp;Correo=liliana.arias@unisabana.edu.co03"/>
    <s v="POSGRADO"/>
    <n v="5"/>
    <x v="1"/>
  </r>
  <r>
    <s v="LINA.TELLEZ@UNISABANA.edu.co03"/>
    <x v="57"/>
    <s v="CATEDRA"/>
    <s v="No"/>
    <s v="https://ProfCatedra2024.sawtoothsoftware.com/cgi-bin/ciwweb.pl?studyname=ProfCatedra2024&amp;Correo=LINA.TELLEZ@UNISABANA.edu.co03"/>
    <s v="POSGRADO"/>
    <n v="2"/>
    <x v="4"/>
  </r>
  <r>
    <s v="luis.silva2@unisabana.edu.co03"/>
    <x v="82"/>
    <s v="CATEDRA"/>
    <s v="No"/>
    <s v="https://ProfCatedra2024.sawtoothsoftware.com/cgi-bin/ciwweb.pl?studyname=ProfCatedra2024&amp;Correo=luis.silva2@unisabana.edu.co03"/>
    <s v="POSGRADO"/>
    <n v="11"/>
    <x v="12"/>
  </r>
  <r>
    <s v="Luisaaa@unisabana.edu.co03"/>
    <x v="133"/>
    <s v="CATEDRA"/>
    <s v="No"/>
    <s v="https://ProfCatedra2024.sawtoothsoftware.com/cgi-bin/ciwweb.pl?studyname=ProfCatedra2024&amp;Correo=Luisaaa@unisabana.edu.co03"/>
    <s v="POSGRADO"/>
    <n v="5"/>
    <x v="1"/>
  </r>
  <r>
    <s v="manuel.marin1@unisabana.edu.co03"/>
    <x v="46"/>
    <s v="CATEDRA"/>
    <s v="No"/>
    <s v="https://ProfCatedra2024.sawtoothsoftware.com/cgi-bin/ciwweb.pl?studyname=ProfCatedra2024&amp;Correo=manuel.marin1@unisabana.edu.co03"/>
    <s v="POSGRADO"/>
    <n v="4"/>
    <x v="5"/>
  </r>
  <r>
    <s v="maria.duran1@unisabana.edu.co03"/>
    <x v="135"/>
    <s v="CATEDRA"/>
    <s v="No"/>
    <s v="https://ProfCatedra2024.sawtoothsoftware.com/cgi-bin/ciwweb.pl?studyname=ProfCatedra2024&amp;Correo=maria.duran1@unisabana.edu.co03"/>
    <s v="POSGRADO"/>
    <n v="6"/>
    <x v="9"/>
  </r>
  <r>
    <s v="mauricio.suarez1@unisabana.edu.co03"/>
    <x v="131"/>
    <s v="CATEDRA"/>
    <s v="No"/>
    <s v="https://ProfCatedra2024.sawtoothsoftware.com/cgi-bin/ciwweb.pl?studyname=ProfCatedra2024&amp;Correo=mauricio.suarez1@unisabana.edu.co03"/>
    <s v="POSGRADO"/>
    <n v="11"/>
    <x v="12"/>
  </r>
  <r>
    <s v="sergio.torres_cont@unisabana.edu.co03"/>
    <x v="58"/>
    <s v="CATEDRA"/>
    <s v="No"/>
    <s v="https://ProfCatedra2024.sawtoothsoftware.com/cgi-bin/ciwweb.pl?studyname=ProfCatedra2024&amp;Correo=sergio.torres_cont@unisabana.edu.co03"/>
    <s v="POSGRADO"/>
    <n v="2"/>
    <x v="4"/>
  </r>
  <r>
    <s v="silvana.ahumada@unisabana.edu.co03"/>
    <x v="87"/>
    <s v="CATEDRA"/>
    <s v="No"/>
    <s v="https://ProfCatedra2024.sawtoothsoftware.com/cgi-bin/ciwweb.pl?studyname=ProfCatedra2024&amp;Correo=silvana.ahumada@unisabana.edu.co03"/>
    <s v="POSGRADO"/>
    <n v="2"/>
    <x v="4"/>
  </r>
  <r>
    <s v="virgilio.ramon@unisabana.edu.co03"/>
    <x v="114"/>
    <s v="CATEDRA"/>
    <s v="No"/>
    <s v="https://ProfCatedra2024.sawtoothsoftware.com/cgi-bin/ciwweb.pl?studyname=ProfCatedra2024&amp;Correo=virgilio.ramon@unisabana.edu.co03"/>
    <s v="POSGRADO"/>
    <n v="11"/>
    <x v="12"/>
  </r>
  <r>
    <s v="wilson.castro1@unisabana.edu.co03"/>
    <x v="36"/>
    <s v="CATEDRA"/>
    <s v="Si"/>
    <s v="https://ProfCatedra2024.sawtoothsoftware.com/cgi-bin/ciwweb.pl?studyname=ProfCatedra2024&amp;Correo=wilson.castro1@unisabana.edu.co03"/>
    <s v="POSGRADO"/>
    <n v="8"/>
    <x v="0"/>
  </r>
  <r>
    <s v="alba.sachica1@unisabana.edu.co04"/>
    <x v="135"/>
    <s v="CATEDRA"/>
    <s v="No"/>
    <s v="https://ProfCatedra2024.sawtoothsoftware.com/cgi-bin/ciwweb.pl?studyname=ProfCatedra2024&amp;Correo=alba.sachica1@unisabana.edu.co04"/>
    <s v="POSGRADO"/>
    <n v="6"/>
    <x v="9"/>
  </r>
  <r>
    <s v="juan.enciso2@unisabana.edu.co04"/>
    <x v="96"/>
    <s v="CATEDRA"/>
    <s v="No"/>
    <s v="https://ProfCatedra2024.sawtoothsoftware.com/cgi-bin/ciwweb.pl?studyname=ProfCatedra2024&amp;Correo=juan.enciso2@unisabana.edu.co04"/>
    <s v="POSGRADO"/>
    <n v="5"/>
    <x v="1"/>
  </r>
  <r>
    <s v="liliana.arias@unisabana.edu.co04"/>
    <x v="96"/>
    <s v="CATEDRA"/>
    <s v="Si"/>
    <s v="https://ProfCatedra2024.sawtoothsoftware.com/cgi-bin/ciwweb.pl?studyname=ProfCatedra2024&amp;Correo=liliana.arias@unisabana.edu.co04"/>
    <s v="POSGRADO"/>
    <n v="5"/>
    <x v="1"/>
  </r>
  <r>
    <s v="sergio.torres_cont@unisabana.edu.co04"/>
    <x v="77"/>
    <s v="CATEDRA"/>
    <s v="No"/>
    <s v="https://ProfCatedra2024.sawtoothsoftware.com/cgi-bin/ciwweb.pl?studyname=ProfCatedra2024&amp;Correo=sergio.torres_cont@unisabana.edu.co04"/>
    <s v="POSGRADO"/>
    <n v="9"/>
    <x v="6"/>
  </r>
  <r>
    <s v="silvana.ahumada@unisabana.edu.co04"/>
    <x v="77"/>
    <s v="CATEDRA"/>
    <s v="No"/>
    <s v="https://ProfCatedra2024.sawtoothsoftware.com/cgi-bin/ciwweb.pl?studyname=ProfCatedra2024&amp;Correo=silvana.ahumada@unisabana.edu.co04"/>
    <s v="POSGRADO"/>
    <n v="9"/>
    <x v="6"/>
  </r>
  <r>
    <s v="carloscp@unisabana.edu.co01"/>
    <x v="117"/>
    <s v="PLANTA"/>
    <s v="Si"/>
    <s v="https://ProfPlanta2024.sawtoothsoftware.com/cgi-bin/ciwweb.pl?studyname=ProfPlanta2024&amp;Correo=carloscp@unisabana.edu.co01"/>
    <s v="POSGRADO"/>
    <n v="9"/>
    <x v="6"/>
  </r>
  <r>
    <s v="adner.capachero@unisabana.edu.co01"/>
    <x v="107"/>
    <s v="PLANTA"/>
    <s v="No"/>
    <s v="https://ProfPlanta2024.sawtoothsoftware.com/cgi-bin/ciwweb.pl?studyname=ProfPlanta2024&amp;Correo=adner.capachero@unisabana.edu.co01"/>
    <s v="POSGRADO"/>
    <n v="11"/>
    <x v="12"/>
  </r>
  <r>
    <s v="adrian.santana@unisabana.edu.co01"/>
    <x v="36"/>
    <s v="PLANTA"/>
    <s v="No"/>
    <s v="https://ProfPlanta2024.sawtoothsoftware.com/cgi-bin/ciwweb.pl?studyname=ProfPlanta2024&amp;Correo=adrian.santana@unisabana.edu.co01"/>
    <s v="POSGRADO"/>
    <n v="8"/>
    <x v="0"/>
  </r>
  <r>
    <s v="adriana.castellanos@unisabana.edu.co01"/>
    <x v="135"/>
    <s v="PLANTA"/>
    <s v="No"/>
    <s v="https://ProfPlanta2024.sawtoothsoftware.com/cgi-bin/ciwweb.pl?studyname=ProfPlanta2024&amp;Correo=adriana.castellanos@unisabana.edu.co01"/>
    <s v="POSGRADO"/>
    <n v="6"/>
    <x v="9"/>
  </r>
  <r>
    <s v="adriana.cavanzo1@unisabana.edu.co01"/>
    <x v="52"/>
    <s v="PLANTA"/>
    <s v="Si"/>
    <s v="https://ProfPlanta2024.sawtoothsoftware.com/cgi-bin/ciwweb.pl?studyname=ProfPlanta2024&amp;Correo=adriana.cavanzo1@unisabana.edu.co01"/>
    <s v="POSGRADO"/>
    <n v="1"/>
    <x v="7"/>
  </r>
  <r>
    <s v="alejandra.fuentes@unisabana.edu.co01"/>
    <x v="116"/>
    <s v="PLANTA"/>
    <s v="No"/>
    <s v="https://ProfPlanta2024.sawtoothsoftware.com/cgi-bin/ciwweb.pl?studyname=ProfPlanta2024&amp;Correo=alejandra.fuentes@unisabana.edu.co01"/>
    <s v="POSGRADO"/>
    <n v="6"/>
    <x v="9"/>
  </r>
  <r>
    <s v="Alejandro.acosta1@unisabana.edu.co01"/>
    <x v="36"/>
    <s v="PLANTA"/>
    <s v="No"/>
    <s v="https://ProfPlanta2024.sawtoothsoftware.com/cgi-bin/ciwweb.pl?studyname=ProfPlanta2024&amp;Correo=Alejandro.acosta1@unisabana.edu.co01"/>
    <s v="POSGRADO"/>
    <n v="8"/>
    <x v="0"/>
  </r>
  <r>
    <s v="alejandro.aponte@unisabana.edu.co01"/>
    <x v="73"/>
    <s v="PLANTA"/>
    <s v="No"/>
    <s v="https://ProfPlanta2024.sawtoothsoftware.com/cgi-bin/ciwweb.pl?studyname=ProfPlanta2024&amp;Correo=alejandro.aponte@unisabana.edu.co01"/>
    <s v="POSGRADO"/>
    <n v="4"/>
    <x v="5"/>
  </r>
  <r>
    <s v="alexandra.pedraza@unisabana.edu.co01"/>
    <x v="100"/>
    <s v="PLANTA"/>
    <s v="No"/>
    <s v="https://ProfPlanta2024.sawtoothsoftware.com/cgi-bin/ciwweb.pl?studyname=ProfPlanta2024&amp;Correo=alexandra.pedraza@unisabana.edu.co01"/>
    <s v="POSGRADO"/>
    <n v="5"/>
    <x v="1"/>
  </r>
  <r>
    <s v="alfonso.sarmiento@unisabana.edu.co01"/>
    <x v="43"/>
    <s v="PLANTA"/>
    <s v="Si"/>
    <s v="https://ProfPlanta2024.sawtoothsoftware.com/cgi-bin/ciwweb.pl?studyname=ProfPlanta2024&amp;Correo=alfonso.sarmiento@unisabana.edu.co01"/>
    <s v="POSGRADO"/>
    <n v="8"/>
    <x v="0"/>
  </r>
  <r>
    <s v="alirio.bastidas@unisabana.edu.co01"/>
    <x v="136"/>
    <s v="PLANTA"/>
    <s v="Si"/>
    <s v="https://ProfPlanta2024.sawtoothsoftware.com/cgi-bin/ciwweb.pl?studyname=ProfPlanta2024&amp;Correo=alirio.bastidas@unisabana.edu.co01"/>
    <s v="POSGRADO"/>
    <n v="1"/>
    <x v="7"/>
  </r>
  <r>
    <s v="amanda.rodriguez1@unisabana.edu.co01"/>
    <x v="137"/>
    <s v="PLANTA"/>
    <s v="No"/>
    <s v="https://ProfPlanta2024.sawtoothsoftware.com/cgi-bin/ciwweb.pl?studyname=ProfPlanta2024&amp;Correo=amanda.rodriguez1@unisabana.edu.co01"/>
    <s v="POSGRADO"/>
    <n v="10"/>
    <x v="13"/>
  </r>
  <r>
    <s v="ana.idarraga@unisabana.edu.co01"/>
    <x v="73"/>
    <s v="PLANTA"/>
    <s v="No"/>
    <s v="https://ProfPlanta2024.sawtoothsoftware.com/cgi-bin/ciwweb.pl?studyname=ProfPlanta2024&amp;Correo=ana.idarraga@unisabana.edu.co01"/>
    <s v="POSGRADO"/>
    <n v="4"/>
    <x v="5"/>
  </r>
  <r>
    <s v="ana.olaya@unisabana.edu.co01"/>
    <x v="47"/>
    <s v="PLANTA"/>
    <s v="No"/>
    <s v="https://ProfPlanta2024.sawtoothsoftware.com/cgi-bin/ciwweb.pl?studyname=ProfPlanta2024&amp;Correo=ana.olaya@unisabana.edu.co01"/>
    <s v="POSGRADO"/>
    <n v="2"/>
    <x v="4"/>
  </r>
  <r>
    <s v="ana.santos@unisabana.edu.co01"/>
    <x v="113"/>
    <s v="PLANTA"/>
    <s v="No"/>
    <s v="https://ProfPlanta2024.sawtoothsoftware.com/cgi-bin/ciwweb.pl?studyname=ProfPlanta2024&amp;Correo=ana.santos@unisabana.edu.co01"/>
    <s v="POSGRADO"/>
    <n v="8"/>
    <x v="0"/>
  </r>
  <r>
    <s v="ana.ternent@unisabana.edu.co01"/>
    <x v="138"/>
    <s v="PLANTA"/>
    <s v="No"/>
    <s v="https://ProfPlanta2024.sawtoothsoftware.com/cgi-bin/ciwweb.pl?studyname=ProfPlanta2024&amp;Correo=ana.ternent@unisabana.edu.co01"/>
    <s v="POSGRADO"/>
    <n v="5"/>
    <x v="1"/>
  </r>
  <r>
    <s v="ana.vargas@unisabana.edu.co01"/>
    <x v="139"/>
    <s v="PLANTA"/>
    <s v="Si"/>
    <s v="https://ProfPlanta2024.sawtoothsoftware.com/cgi-bin/ciwweb.pl?studyname=ProfPlanta2024&amp;Correo=ana.vargas@unisabana.edu.co01"/>
    <s v="POSGRADO"/>
    <n v="5"/>
    <x v="1"/>
  </r>
  <r>
    <s v="andres.agudelo@unisabana.edu.co01"/>
    <x v="121"/>
    <s v="PLANTA"/>
    <s v="No"/>
    <s v="https://ProfPlanta2024.sawtoothsoftware.com/cgi-bin/ciwweb.pl?studyname=ProfPlanta2024&amp;Correo=andres.agudelo@unisabana.edu.co01"/>
    <s v="POSGRADO"/>
    <n v="4"/>
    <x v="5"/>
  </r>
  <r>
    <s v="andres.chiappe@unisabana.edu.co01"/>
    <x v="109"/>
    <s v="PLANTA"/>
    <s v="Si"/>
    <s v="https://ProfPlanta2024.sawtoothsoftware.com/cgi-bin/ciwweb.pl?studyname=ProfPlanta2024&amp;Correo=andres.chiappe@unisabana.edu.co01"/>
    <s v="POSGRADO"/>
    <n v="5"/>
    <x v="1"/>
  </r>
  <r>
    <s v="andres.lopez4@unisabana.edu.co01"/>
    <x v="73"/>
    <s v="PLANTA"/>
    <s v="No"/>
    <s v="https://ProfPlanta2024.sawtoothsoftware.com/cgi-bin/ciwweb.pl?studyname=ProfPlanta2024&amp;Correo=andres.lopez4@unisabana.edu.co01"/>
    <s v="POSGRADO"/>
    <n v="4"/>
    <x v="5"/>
  </r>
  <r>
    <s v="andres.mejia@unisabana.edu.co01"/>
    <x v="47"/>
    <s v="PLANTA"/>
    <s v="No"/>
    <s v="https://ProfPlanta2024.sawtoothsoftware.com/cgi-bin/ciwweb.pl?studyname=ProfPlanta2024&amp;Correo=andres.mejia@unisabana.edu.co01"/>
    <s v="POSGRADO"/>
    <n v="2"/>
    <x v="4"/>
  </r>
  <r>
    <s v="angela.preciado@unisabana.edu.co01"/>
    <x v="140"/>
    <s v="PLANTA"/>
    <s v="No"/>
    <s v="https://ProfPlanta2024.sawtoothsoftware.com/cgi-bin/ciwweb.pl?studyname=ProfPlanta2024&amp;Correo=angela.preciado@unisabana.edu.co01"/>
    <s v="POSGRADO"/>
    <n v="3"/>
    <x v="2"/>
  </r>
  <r>
    <s v="angela.rubiano@unisabana.edu.co01"/>
    <x v="100"/>
    <s v="PLANTA"/>
    <s v="No"/>
    <s v="https://ProfPlanta2024.sawtoothsoftware.com/cgi-bin/ciwweb.pl?studyname=ProfPlanta2024&amp;Correo=angela.rubiano@unisabana.edu.co01"/>
    <s v="POSGRADO"/>
    <n v="5"/>
    <x v="1"/>
  </r>
  <r>
    <s v="angela.trujillo@unisabana.edu.co01"/>
    <x v="117"/>
    <s v="PLANTA"/>
    <s v="No"/>
    <s v="https://ProfPlanta2024.sawtoothsoftware.com/cgi-bin/ciwweb.pl?studyname=ProfPlanta2024&amp;Correo=angela.trujillo@unisabana.edu.co01"/>
    <s v="POSGRADO"/>
    <n v="9"/>
    <x v="6"/>
  </r>
  <r>
    <s v="angelica.ospina@unisabana.edu.co01"/>
    <x v="116"/>
    <s v="PLANTA"/>
    <s v="Si"/>
    <s v="https://ProfPlanta2024.sawtoothsoftware.com/cgi-bin/ciwweb.pl?studyname=ProfPlanta2024&amp;Correo=angelica.ospina@unisabana.edu.co01"/>
    <s v="POSGRADO"/>
    <n v="6"/>
    <x v="9"/>
  </r>
  <r>
    <s v="astrid.robayo@unisabana.edu.co01"/>
    <x v="41"/>
    <s v="PLANTA"/>
    <s v="No"/>
    <s v="https://ProfPlanta2024.sawtoothsoftware.com/cgi-bin/ciwweb.pl?studyname=ProfPlanta2024&amp;Correo=astrid.robayo@unisabana.edu.co01"/>
    <s v="POSGRADO"/>
    <n v="6"/>
    <x v="9"/>
  </r>
  <r>
    <s v="bernardo.estrada@unisabana.edu.co01"/>
    <x v="63"/>
    <s v="PLANTA"/>
    <s v="Si"/>
    <s v="https://ProfPlanta2024.sawtoothsoftware.com/cgi-bin/ciwweb.pl?studyname=ProfPlanta2024&amp;Correo=bernardo.estrada@unisabana.edu.co01"/>
    <s v="POSGRADO"/>
    <n v="7"/>
    <x v="10"/>
  </r>
  <r>
    <s v="camila.herrera@unisabana.edu.co01"/>
    <x v="71"/>
    <s v="PLANTA"/>
    <s v="No"/>
    <s v="https://ProfPlanta2024.sawtoothsoftware.com/cgi-bin/ciwweb.pl?studyname=ProfPlanta2024&amp;Correo=camila.herrera@unisabana.edu.co01"/>
    <s v="POSGRADO"/>
    <n v="4"/>
    <x v="5"/>
  </r>
  <r>
    <s v="camilo.co0rreal@unisabana.edu.co01"/>
    <x v="85"/>
    <s v="PLANTA"/>
    <s v="No"/>
    <s v="https://ProfPlanta2024.sawtoothsoftware.com/cgi-bin/ciwweb.pl?studyname=ProfPlanta2024&amp;Correo=camilo.co0rreal@unisabana.edu.co01"/>
    <s v="POSGRADO"/>
    <n v="1"/>
    <x v="7"/>
  </r>
  <r>
    <s v="camilo.rengifo@unisabana.edu.co01"/>
    <x v="113"/>
    <s v="PLANTA"/>
    <s v="Si"/>
    <s v="https://ProfPlanta2024.sawtoothsoftware.com/cgi-bin/ciwweb.pl?studyname=ProfPlanta2024&amp;Correo=camilo.rengifo@unisabana.edu.co01"/>
    <s v="POSGRADO"/>
    <n v="8"/>
    <x v="0"/>
  </r>
  <r>
    <s v="carlos.bernal7@unisabana.edu.co01"/>
    <x v="121"/>
    <s v="PLANTA"/>
    <s v="Si"/>
    <s v="https://ProfPlanta2024.sawtoothsoftware.com/cgi-bin/ciwweb.pl?studyname=ProfPlanta2024&amp;Correo=carlos.bernal7@unisabana.edu.co01"/>
    <s v="POSGRADO"/>
    <n v="4"/>
    <x v="5"/>
  </r>
  <r>
    <s v="carlos.dominguez@unisabana.edu.co01"/>
    <x v="89"/>
    <s v="PLANTA"/>
    <s v="No"/>
    <s v="https://ProfPlanta2024.sawtoothsoftware.com/cgi-bin/ciwweb.pl?studyname=ProfPlanta2024&amp;Correo=carlos.dominguez@unisabana.edu.co01"/>
    <s v="POSGRADO"/>
    <n v="1"/>
    <x v="7"/>
  </r>
  <r>
    <s v="carlos.jimenez@unisabana.edu.co01"/>
    <x v="36"/>
    <s v="PLANTA"/>
    <s v="Si"/>
    <s v="https://ProfPlanta2024.sawtoothsoftware.com/cgi-bin/ciwweb.pl?studyname=ProfPlanta2024&amp;Correo=carlos.jimenez@unisabana.edu.co01"/>
    <s v="POSGRADO"/>
    <n v="8"/>
    <x v="0"/>
  </r>
  <r>
    <s v="carlos.monroy@unisabana.edu.co01"/>
    <x v="77"/>
    <s v="PLANTA"/>
    <s v="No"/>
    <s v="https://ProfPlanta2024.sawtoothsoftware.com/cgi-bin/ciwweb.pl?studyname=ProfPlanta2024&amp;Correo=carlos.monroy@unisabana.edu.co01"/>
    <s v="POSGRADO"/>
    <n v="9"/>
    <x v="6"/>
  </r>
  <r>
    <s v="carlos.montes1@unisabana.edu.co01"/>
    <x v="141"/>
    <s v="PLANTA"/>
    <s v="No"/>
    <s v="https://ProfPlanta2024.sawtoothsoftware.com/cgi-bin/ciwweb.pl?studyname=ProfPlanta2024&amp;Correo=carlos.montes1@unisabana.edu.co01"/>
    <s v="POSGRADO"/>
    <n v="8"/>
    <x v="0"/>
  </r>
  <r>
    <s v="Carlos.Quintero5@unisabana.edu.co01"/>
    <x v="142"/>
    <s v="PLANTA"/>
    <s v="Si"/>
    <s v="https://ProfPlanta2024.sawtoothsoftware.com/cgi-bin/ciwweb.pl?studyname=ProfPlanta2024&amp;Correo=Carlos.Quintero5@unisabana.edu.co01"/>
    <s v="POSGRADO"/>
    <n v="2"/>
    <x v="4"/>
  </r>
  <r>
    <s v="carlos.rodriguez13@unisabana.edu.co01"/>
    <x v="122"/>
    <s v="PLANTA"/>
    <s v="No"/>
    <s v="https://ProfPlanta2024.sawtoothsoftware.com/cgi-bin/ciwweb.pl?studyname=ProfPlanta2024&amp;Correo=carlos.rodriguez13@unisabana.edu.co01"/>
    <s v="POSGRADO"/>
    <n v="3"/>
    <x v="2"/>
  </r>
  <r>
    <s v="carlos.salgado2@unisabana.edu.co01"/>
    <x v="56"/>
    <s v="PLANTA"/>
    <s v="No"/>
    <s v="https://ProfPlanta2024.sawtoothsoftware.com/cgi-bin/ciwweb.pl?studyname=ProfPlanta2024&amp;Correo=carlos.salgado2@unisabana.edu.co01"/>
    <s v="POSGRADO"/>
    <n v="2"/>
    <x v="4"/>
  </r>
  <r>
    <s v="carlosveme@unisabana.edu.co01"/>
    <x v="87"/>
    <s v="PLANTA"/>
    <s v="Si"/>
    <s v="https://ProfPlanta2024.sawtoothsoftware.com/cgi-bin/ciwweb.pl?studyname=ProfPlanta2024&amp;Correo=carlosveme@unisabana.edu.co01"/>
    <s v="POSGRADO"/>
    <n v="2"/>
    <x v="4"/>
  </r>
  <r>
    <s v="carol.vanegas@unisabana.edu.co01"/>
    <x v="105"/>
    <s v="PLANTA"/>
    <s v="No"/>
    <s v="https://ProfPlanta2024.sawtoothsoftware.com/cgi-bin/ciwweb.pl?studyname=ProfPlanta2024&amp;Correo=carol.vanegas@unisabana.edu.co01"/>
    <s v="POSGRADO"/>
    <n v="11"/>
    <x v="12"/>
  </r>
  <r>
    <s v="catalina.bermudez2@unisabana.edu.co01"/>
    <x v="63"/>
    <s v="PLANTA"/>
    <s v="Si"/>
    <s v="https://ProfPlanta2024.sawtoothsoftware.com/cgi-bin/ciwweb.pl?studyname=ProfPlanta2024&amp;Correo=catalina.bermudez2@unisabana.edu.co01"/>
    <s v="POSGRADO"/>
    <n v="7"/>
    <x v="10"/>
  </r>
  <r>
    <s v="cesar.bernal@unisabana.edu.co01"/>
    <x v="142"/>
    <s v="PLANTA"/>
    <s v="Si"/>
    <s v="https://ProfPlanta2024.sawtoothsoftware.com/cgi-bin/ciwweb.pl?studyname=ProfPlanta2024&amp;Correo=cesar.bernal@unisabana.edu.co01"/>
    <s v="POSGRADO"/>
    <n v="2"/>
    <x v="4"/>
  </r>
  <r>
    <s v="ciro.parra@unisabana.edu.co01"/>
    <x v="139"/>
    <s v="PLANTA"/>
    <s v="No"/>
    <s v="https://ProfPlanta2024.sawtoothsoftware.com/cgi-bin/ciwweb.pl?studyname=ProfPlanta2024&amp;Correo=ciro.parra@unisabana.edu.co01"/>
    <s v="POSGRADO"/>
    <n v="5"/>
    <x v="1"/>
  </r>
  <r>
    <s v="claudia.garzon@unisabana.edu.co01"/>
    <x v="113"/>
    <s v="PLANTA"/>
    <s v="No"/>
    <s v="https://ProfPlanta2024.sawtoothsoftware.com/cgi-bin/ciwweb.pl?studyname=ProfPlanta2024&amp;Correo=claudia.garzon@unisabana.edu.co01"/>
    <s v="POSGRADO"/>
    <n v="8"/>
    <x v="0"/>
  </r>
  <r>
    <s v="claudia.mora@unisabana.edu.co01"/>
    <x v="136"/>
    <s v="PLANTA"/>
    <s v="No"/>
    <s v="https://ProfPlanta2024.sawtoothsoftware.com/cgi-bin/ciwweb.pl?studyname=ProfPlanta2024&amp;Correo=claudia.mora@unisabana.edu.co01"/>
    <s v="POSGRADO"/>
    <n v="1"/>
    <x v="7"/>
  </r>
  <r>
    <s v="clelia.pineda@unisabana.edu.co01"/>
    <x v="139"/>
    <s v="PLANTA"/>
    <s v="No"/>
    <s v="https://ProfPlanta2024.sawtoothsoftware.com/cgi-bin/ciwweb.pl?studyname=ProfPlanta2024&amp;Correo=clelia.pineda@unisabana.edu.co01"/>
    <s v="POSGRADO"/>
    <n v="5"/>
    <x v="1"/>
  </r>
  <r>
    <s v="cristhian.matusan@unisabana.edu.co01"/>
    <x v="38"/>
    <s v="PLANTA"/>
    <s v="No"/>
    <s v="https://ProfPlanta2024.sawtoothsoftware.com/cgi-bin/ciwweb.pl?studyname=ProfPlanta2024&amp;Correo=cristhian.matusan@unisabana.edu.co01"/>
    <s v="POSGRADO"/>
    <n v="4"/>
    <x v="5"/>
  </r>
  <r>
    <s v="cristina.bohorquez1@unisabana.edu.co01"/>
    <x v="41"/>
    <s v="PLANTA"/>
    <s v="Si"/>
    <s v="https://ProfPlanta2024.sawtoothsoftware.com/cgi-bin/ciwweb.pl?studyname=ProfPlanta2024&amp;Correo=cristina.bohorquez1@unisabana.edu.co01"/>
    <s v="POSGRADO"/>
    <n v="6"/>
    <x v="9"/>
  </r>
  <r>
    <s v="daniel.botero@unisabana.edu.co01"/>
    <x v="113"/>
    <s v="PLANTA"/>
    <s v="No"/>
    <s v="https://ProfPlanta2024.sawtoothsoftware.com/cgi-bin/ciwweb.pl?studyname=ProfPlanta2024&amp;Correo=daniel.botero@unisabana.edu.co01"/>
    <s v="POSGRADO"/>
    <n v="8"/>
    <x v="0"/>
  </r>
  <r>
    <s v="daniel.rodriguez1@unisabana.edu.co01"/>
    <x v="36"/>
    <s v="PLANTA"/>
    <s v="No"/>
    <s v="https://ProfPlanta2024.sawtoothsoftware.com/cgi-bin/ciwweb.pl?studyname=ProfPlanta2024&amp;Correo=daniel.rodriguez1@unisabana.edu.co01"/>
    <s v="POSGRADO"/>
    <n v="8"/>
    <x v="0"/>
  </r>
  <r>
    <s v="danny.illera@unisabana.edu.co01"/>
    <x v="141"/>
    <s v="PLANTA"/>
    <s v="No"/>
    <s v="https://ProfPlanta2024.sawtoothsoftware.com/cgi-bin/ciwweb.pl?studyname=ProfPlanta2024&amp;Correo=danny.illera@unisabana.edu.co01"/>
    <s v="POSGRADO"/>
    <n v="8"/>
    <x v="0"/>
  </r>
  <r>
    <s v="diana.bedoya1@unisabana.edu.co01"/>
    <x v="80"/>
    <s v="PLANTA"/>
    <s v="Si"/>
    <s v="https://ProfPlanta2024.sawtoothsoftware.com/cgi-bin/ciwweb.pl?studyname=ProfPlanta2024&amp;Correo=diana.bedoya1@unisabana.edu.co01"/>
    <s v="POSGRADO"/>
    <n v="9"/>
    <x v="6"/>
  </r>
  <r>
    <s v="diana.gallego@unisabana.edu.co01"/>
    <x v="41"/>
    <s v="PLANTA"/>
    <s v="No"/>
    <s v="https://ProfPlanta2024.sawtoothsoftware.com/cgi-bin/ciwweb.pl?studyname=ProfPlanta2024&amp;Correo=diana.gallego@unisabana.edu.co01"/>
    <s v="POSGRADO"/>
    <n v="6"/>
    <x v="9"/>
  </r>
  <r>
    <s v="diana.munoz5@unisabana.edu.co01"/>
    <x v="137"/>
    <s v="PLANTA"/>
    <s v="No"/>
    <s v="https://ProfPlanta2024.sawtoothsoftware.com/cgi-bin/ciwweb.pl?studyname=ProfPlanta2024&amp;Correo=diana.munoz5@unisabana.edu.co01"/>
    <s v="POSGRADO"/>
    <n v="10"/>
    <x v="13"/>
  </r>
  <r>
    <s v="diana.obando@unisabana.edu.co01"/>
    <x v="117"/>
    <s v="PLANTA"/>
    <s v="No"/>
    <s v="https://ProfPlanta2024.sawtoothsoftware.com/cgi-bin/ciwweb.pl?studyname=ProfPlanta2024&amp;Correo=diana.obando@unisabana.edu.co01"/>
    <s v="POSGRADO"/>
    <n v="9"/>
    <x v="6"/>
  </r>
  <r>
    <s v="dianaar@unisabana.edu.co01"/>
    <x v="143"/>
    <s v="PLANTA"/>
    <s v="Si"/>
    <s v="https://ProfPlanta2024.sawtoothsoftware.com/cgi-bin/ciwweb.pl?studyname=ProfPlanta2024&amp;Correo=dianaar@unisabana.edu.co01"/>
    <s v="POSGRADO"/>
    <n v="6"/>
    <x v="9"/>
  </r>
  <r>
    <s v="diego.becerra2@unisabana.edu.co01"/>
    <x v="109"/>
    <s v="PLANTA"/>
    <s v="No"/>
    <s v="https://ProfPlanta2024.sawtoothsoftware.com/cgi-bin/ciwweb.pl?studyname=ProfPlanta2024&amp;Correo=diego.becerra2@unisabana.edu.co01"/>
    <s v="POSGRADO"/>
    <n v="5"/>
    <x v="1"/>
  </r>
  <r>
    <s v="diego.sierra1@clinicaunisabana.edu.co01"/>
    <x v="89"/>
    <s v="PLANTA"/>
    <s v="Si"/>
    <s v="https://ProfPlanta2024.sawtoothsoftware.com/cgi-bin/ciwweb.pl?studyname=ProfPlanta2024&amp;Correo=diego.sierra1@clinicaunisabana.edu.co01"/>
    <s v="POSGRADO"/>
    <n v="1"/>
    <x v="7"/>
  </r>
  <r>
    <s v="edgar.mayorga@unisabana.edu.co01"/>
    <x v="36"/>
    <s v="PLANTA"/>
    <s v="No"/>
    <s v="https://ProfPlanta2024.sawtoothsoftware.com/cgi-bin/ciwweb.pl?studyname=ProfPlanta2024&amp;Correo=edgar.mayorga@unisabana.edu.co01"/>
    <s v="POSGRADO"/>
    <n v="8"/>
    <x v="0"/>
  </r>
  <r>
    <s v="edward.goyeneche@unisabana.edu.co01"/>
    <x v="140"/>
    <s v="PLANTA"/>
    <s v="No"/>
    <s v="https://ProfPlanta2024.sawtoothsoftware.com/cgi-bin/ciwweb.pl?studyname=ProfPlanta2024&amp;Correo=edward.goyeneche@unisabana.edu.co01"/>
    <s v="POSGRADO"/>
    <n v="3"/>
    <x v="2"/>
  </r>
  <r>
    <s v="erwin.hernandez1@unisabana.edu.co01"/>
    <x v="85"/>
    <s v="PLANTA"/>
    <s v="Si"/>
    <s v="https://ProfPlanta2024.sawtoothsoftware.com/cgi-bin/ciwweb.pl?studyname=ProfPlanta2024&amp;Correo=erwin.hernandez1@unisabana.edu.co01"/>
    <s v="POSGRADO"/>
    <n v="1"/>
    <x v="7"/>
  </r>
  <r>
    <s v="esteban.lopez1@unisabana.edu.co01"/>
    <x v="36"/>
    <s v="PLANTA"/>
    <s v="No"/>
    <s v="https://ProfPlanta2024.sawtoothsoftware.com/cgi-bin/ciwweb.pl?studyname=ProfPlanta2024&amp;Correo=esteban.lopez1@unisabana.edu.co01"/>
    <s v="POSGRADO"/>
    <n v="8"/>
    <x v="0"/>
  </r>
  <r>
    <s v="fabio.victorino1@unisabana.edu.co01"/>
    <x v="83"/>
    <s v="PLANTA"/>
    <s v="Si"/>
    <s v="https://ProfPlanta2024.sawtoothsoftware.com/cgi-bin/ciwweb.pl?studyname=ProfPlanta2024&amp;Correo=fabio.victorino1@unisabana.edu.co01"/>
    <s v="POSGRADO"/>
    <n v="11"/>
    <x v="12"/>
  </r>
  <r>
    <s v="felipe.cardenas@unisabana.edu.co01"/>
    <x v="139"/>
    <s v="PLANTA"/>
    <s v="No"/>
    <s v="https://ProfPlanta2024.sawtoothsoftware.com/cgi-bin/ciwweb.pl?studyname=ProfPlanta2024&amp;Correo=felipe.cardenas@unisabana.edu.co01"/>
    <s v="POSGRADO"/>
    <n v="5"/>
    <x v="1"/>
  </r>
  <r>
    <s v="felix.mohr@unisabana.edu.co01"/>
    <x v="43"/>
    <s v="PLANTA"/>
    <s v="No"/>
    <s v="https://ProfPlanta2024.sawtoothsoftware.com/cgi-bin/ciwweb.pl?studyname=ProfPlanta2024&amp;Correo=felix.mohr@unisabana.edu.co01"/>
    <s v="POSGRADO"/>
    <n v="8"/>
    <x v="0"/>
  </r>
  <r>
    <s v="fernando.lizcano@unisabana.edu.co01"/>
    <x v="113"/>
    <s v="PLANTA"/>
    <s v="No"/>
    <s v="https://ProfPlanta2024.sawtoothsoftware.com/cgi-bin/ciwweb.pl?studyname=ProfPlanta2024&amp;Correo=fernando.lizcano@unisabana.edu.co01"/>
    <s v="POSGRADO"/>
    <n v="8"/>
    <x v="0"/>
  </r>
  <r>
    <s v="fernando.rios@unisabana.edu.co01"/>
    <x v="144"/>
    <s v="PLANTA"/>
    <s v="No"/>
    <s v="https://ProfPlanta2024.sawtoothsoftware.com/cgi-bin/ciwweb.pl?studyname=ProfPlanta2024&amp;Correo=fernando.rios@unisabana.edu.co01"/>
    <s v="POSGRADO"/>
    <n v="1"/>
    <x v="7"/>
  </r>
  <r>
    <s v="flor.baracaldo@unisabana.edu.co01"/>
    <x v="77"/>
    <s v="PLANTA"/>
    <s v="No"/>
    <s v="https://ProfPlanta2024.sawtoothsoftware.com/cgi-bin/ciwweb.pl?studyname=ProfPlanta2024&amp;Correo=flor.baracaldo@unisabana.edu.co01"/>
    <s v="POSGRADO"/>
    <n v="9"/>
    <x v="6"/>
  </r>
  <r>
    <s v="francisco.lamus@unisabana.edu.co01"/>
    <x v="85"/>
    <s v="PLANTA"/>
    <s v="No"/>
    <s v="https://ProfPlanta2024.sawtoothsoftware.com/cgi-bin/ciwweb.pl?studyname=ProfPlanta2024&amp;Correo=francisco.lamus@unisabana.edu.co01"/>
    <s v="POSGRADO"/>
    <n v="1"/>
    <x v="7"/>
  </r>
  <r>
    <s v="gabriel.soche@unisabana.edu.co01"/>
    <x v="43"/>
    <s v="PLANTA"/>
    <s v="Si"/>
    <s v="https://ProfPlanta2024.sawtoothsoftware.com/cgi-bin/ciwweb.pl?studyname=ProfPlanta2024&amp;Correo=gabriel.soche@unisabana.edu.co01"/>
    <s v="POSGRADO"/>
    <n v="8"/>
    <x v="0"/>
  </r>
  <r>
    <s v="gabriela.caez@unisabana.edu.co01"/>
    <x v="113"/>
    <s v="PLANTA"/>
    <s v="No"/>
    <s v="https://ProfPlanta2024.sawtoothsoftware.com/cgi-bin/ciwweb.pl?studyname=ProfPlanta2024&amp;Correo=gabriela.caez@unisabana.edu.co01"/>
    <s v="POSGRADO"/>
    <n v="8"/>
    <x v="0"/>
  </r>
  <r>
    <s v="gilberto.gamboa@unisabana.edu.co01"/>
    <x v="145"/>
    <s v="PLANTA"/>
    <s v="Si"/>
    <s v="https://ProfPlanta2024.sawtoothsoftware.com/cgi-bin/ciwweb.pl?studyname=ProfPlanta2024&amp;Correo=gilberto.gamboa@unisabana.edu.co01"/>
    <s v="POSGRADO"/>
    <n v="1"/>
    <x v="7"/>
  </r>
  <r>
    <s v="Ginnagl@unisabana.edu.co01"/>
    <x v="41"/>
    <s v="PLANTA"/>
    <s v="Si"/>
    <s v="https://ProfPlanta2024.sawtoothsoftware.com/cgi-bin/ciwweb.pl?studyname=ProfPlanta2024&amp;Correo=Ginnagl@unisabana.edu.co01"/>
    <s v="POSGRADO"/>
    <n v="6"/>
    <x v="9"/>
  </r>
  <r>
    <s v="giovanni.hernandez@unisabana.edu.co01"/>
    <x v="142"/>
    <s v="PLANTA"/>
    <s v="No"/>
    <s v="https://ProfPlanta2024.sawtoothsoftware.com/cgi-bin/ciwweb.pl?studyname=ProfPlanta2024&amp;Correo=giovanni.hernandez@unisabana.edu.co01"/>
    <s v="POSGRADO"/>
    <n v="2"/>
    <x v="4"/>
  </r>
  <r>
    <s v="gloria.carvajal@unisabana.edu.co01"/>
    <x v="116"/>
    <s v="PLANTA"/>
    <s v="No"/>
    <s v="https://ProfPlanta2024.sawtoothsoftware.com/cgi-bin/ciwweb.pl?studyname=ProfPlanta2024&amp;Correo=gloria.carvajal@unisabana.edu.co01"/>
    <s v="POSGRADO"/>
    <n v="6"/>
    <x v="9"/>
  </r>
  <r>
    <s v="gonzalo.mejia@unisabana.edu.co01"/>
    <x v="146"/>
    <s v="PLANTA"/>
    <s v="No"/>
    <s v="https://ProfPlanta2024.sawtoothsoftware.com/cgi-bin/ciwweb.pl?studyname=ProfPlanta2024&amp;Correo=gonzalo.mejia@unisabana.edu.co01"/>
    <s v="POSGRADO"/>
    <n v="8"/>
    <x v="0"/>
  </r>
  <r>
    <s v="guido.castro@unisabana.edu.co01"/>
    <x v="142"/>
    <s v="PLANTA"/>
    <s v="Si"/>
    <s v="https://ProfPlanta2024.sawtoothsoftware.com/cgi-bin/ciwweb.pl?studyname=ProfPlanta2024&amp;Correo=guido.castro@unisabana.edu.co01"/>
    <s v="POSGRADO"/>
    <n v="2"/>
    <x v="4"/>
  </r>
  <r>
    <s v="gustavo.riveros1@unisabana.edu.co01"/>
    <x v="68"/>
    <s v="PLANTA"/>
    <s v="Si"/>
    <s v="https://ProfPlanta2024.sawtoothsoftware.com/cgi-bin/ciwweb.pl?studyname=ProfPlanta2024&amp;Correo=gustavo.riveros1@unisabana.edu.co01"/>
    <s v="POSGRADO"/>
    <n v="11"/>
    <x v="12"/>
  </r>
  <r>
    <s v="hanier.fajardo@unisabana.edu.co01"/>
    <x v="41"/>
    <s v="PLANTA"/>
    <s v="Si"/>
    <s v="https://ProfPlanta2024.sawtoothsoftware.com/cgi-bin/ciwweb.pl?studyname=ProfPlanta2024&amp;Correo=hanier.fajardo@unisabana.edu.co01"/>
    <s v="POSGRADO"/>
    <n v="6"/>
    <x v="9"/>
  </r>
  <r>
    <s v="henry.oliveros@unisabana.edu.co01"/>
    <x v="92"/>
    <s v="PLANTA"/>
    <s v="No"/>
    <s v="https://ProfPlanta2024.sawtoothsoftware.com/cgi-bin/ciwweb.pl?studyname=ProfPlanta2024&amp;Correo=henry.oliveros@unisabana.edu.co01"/>
    <s v="POSGRADO"/>
    <n v="1"/>
    <x v="7"/>
  </r>
  <r>
    <s v="ignacio.briceno@unisabana.edu.co01"/>
    <x v="113"/>
    <s v="PLANTA"/>
    <s v="No"/>
    <s v="https://ProfPlanta2024.sawtoothsoftware.com/cgi-bin/ciwweb.pl?studyname=ProfPlanta2024&amp;Correo=ignacio.briceno@unisabana.edu.co01"/>
    <s v="POSGRADO"/>
    <n v="8"/>
    <x v="0"/>
  </r>
  <r>
    <s v="indira.rodriguez@unisabana.edu.co01"/>
    <x v="143"/>
    <s v="PLANTA"/>
    <s v="No"/>
    <s v="https://ProfPlanta2024.sawtoothsoftware.com/cgi-bin/ciwweb.pl?studyname=ProfPlanta2024&amp;Correo=indira.rodriguez@unisabana.edu.co01"/>
    <s v="POSGRADO"/>
    <n v="6"/>
    <x v="9"/>
  </r>
  <r>
    <s v="indira.sotelo@unisabana.edu.co01"/>
    <x v="142"/>
    <s v="PLANTA"/>
    <s v="Si"/>
    <s v="https://ProfPlanta2024.sawtoothsoftware.com/cgi-bin/ciwweb.pl?studyname=ProfPlanta2024&amp;Correo=indira.sotelo@unisabana.edu.co01"/>
    <s v="POSGRADO"/>
    <n v="2"/>
    <x v="4"/>
  </r>
  <r>
    <s v="ivan.cabeza@unisabana.edu.co01"/>
    <x v="36"/>
    <s v="PLANTA"/>
    <s v="Si"/>
    <s v="https://ProfPlanta2024.sawtoothsoftware.com/cgi-bin/ciwweb.pl?studyname=ProfPlanta2024&amp;Correo=ivan.cabeza@unisabana.edu.co01"/>
    <s v="POSGRADO"/>
    <n v="8"/>
    <x v="0"/>
  </r>
  <r>
    <s v="ivan.serrano@unisabana.edu.co01"/>
    <x v="36"/>
    <s v="PLANTA"/>
    <s v="No"/>
    <s v="https://ProfPlanta2024.sawtoothsoftware.com/cgi-bin/ciwweb.pl?studyname=ProfPlanta2024&amp;Correo=ivan.serrano@unisabana.edu.co01"/>
    <s v="POSGRADO"/>
    <n v="8"/>
    <x v="0"/>
  </r>
  <r>
    <s v="IvanMA@unisabana.edu.co01"/>
    <x v="137"/>
    <s v="PLANTA"/>
    <s v="No"/>
    <s v="https://ProfPlanta2024.sawtoothsoftware.com/cgi-bin/ciwweb.pl?studyname=ProfPlanta2024&amp;Correo=IvanMA@unisabana.edu.co01"/>
    <s v="POSGRADO"/>
    <n v="10"/>
    <x v="13"/>
  </r>
  <r>
    <s v="Jaime.Rodriguez3@unisabana.edu.co01"/>
    <x v="142"/>
    <s v="PLANTA"/>
    <s v="No"/>
    <s v="https://ProfPlanta2024.sawtoothsoftware.com/cgi-bin/ciwweb.pl?studyname=ProfPlanta2024&amp;Correo=Jaime.Rodriguez3@unisabana.edu.co01"/>
    <s v="POSGRADO"/>
    <n v="2"/>
    <x v="4"/>
  </r>
  <r>
    <s v="JaimeFe@unisabana.edu.co01"/>
    <x v="94"/>
    <s v="PLANTA"/>
    <s v="No"/>
    <s v="https://ProfPlanta2024.sawtoothsoftware.com/cgi-bin/ciwweb.pl?studyname=ProfPlanta2024&amp;Correo=JaimeFe@unisabana.edu.co01"/>
    <s v="POSGRADO"/>
    <n v="1"/>
    <x v="7"/>
  </r>
  <r>
    <s v="Jairo.Jimenez2@unisabana.edu.co01"/>
    <x v="139"/>
    <s v="PLANTA"/>
    <s v="No"/>
    <s v="https://ProfPlanta2024.sawtoothsoftware.com/cgi-bin/ciwweb.pl?studyname=ProfPlanta2024&amp;Correo=Jairo.Jimenez2@unisabana.edu.co01"/>
    <s v="POSGRADO"/>
    <n v="5"/>
    <x v="1"/>
  </r>
  <r>
    <s v="jairo.montoya@unisabana.edu.co01"/>
    <x v="146"/>
    <s v="PLANTA"/>
    <s v="Si"/>
    <s v="https://ProfPlanta2024.sawtoothsoftware.com/cgi-bin/ciwweb.pl?studyname=ProfPlanta2024&amp;Correo=jairo.montoya@unisabana.edu.co01"/>
    <s v="POSGRADO"/>
    <n v="8"/>
    <x v="0"/>
  </r>
  <r>
    <s v="javier.mayorga@unisabana.edu.co01"/>
    <x v="122"/>
    <s v="PLANTA"/>
    <s v="Si"/>
    <s v="https://ProfPlanta2024.sawtoothsoftware.com/cgi-bin/ciwweb.pl?studyname=ProfPlanta2024&amp;Correo=javier.mayorga@unisabana.edu.co01"/>
    <s v="POSGRADO"/>
    <n v="3"/>
    <x v="2"/>
  </r>
  <r>
    <s v="jeronimo.rivera@unisabana.edu.co01"/>
    <x v="140"/>
    <s v="PLANTA"/>
    <s v="Si"/>
    <s v="https://ProfPlanta2024.sawtoothsoftware.com/cgi-bin/ciwweb.pl?studyname=ProfPlanta2024&amp;Correo=jeronimo.rivera@unisabana.edu.co01"/>
    <s v="POSGRADO"/>
    <n v="3"/>
    <x v="2"/>
  </r>
  <r>
    <s v="jesus.girado@unisabana.edu.co01"/>
    <x v="117"/>
    <s v="PLANTA"/>
    <s v="No"/>
    <s v="https://ProfPlanta2024.sawtoothsoftware.com/cgi-bin/ciwweb.pl?studyname=ProfPlanta2024&amp;Correo=jesus.girado@unisabana.edu.co01"/>
    <s v="POSGRADO"/>
    <n v="9"/>
    <x v="6"/>
  </r>
  <r>
    <s v="jimmy.mendieta@unisabana.edu.co01"/>
    <x v="132"/>
    <s v="PLANTA"/>
    <s v="Si"/>
    <s v="https://ProfPlanta2024.sawtoothsoftware.com/cgi-bin/ciwweb.pl?studyname=ProfPlanta2024&amp;Correo=jimmy.mendieta@unisabana.edu.co01"/>
    <s v="POSGRADO"/>
    <n v="6"/>
    <x v="9"/>
  </r>
  <r>
    <s v="johanna.camargo1@unisabana.edu.co01"/>
    <x v="78"/>
    <s v="PLANTA"/>
    <s v="No"/>
    <s v="https://ProfPlanta2024.sawtoothsoftware.com/cgi-bin/ciwweb.pl?studyname=ProfPlanta2024&amp;Correo=johanna.camargo1@unisabana.edu.co01"/>
    <s v="POSGRADO"/>
    <n v="11"/>
    <x v="12"/>
  </r>
  <r>
    <s v="johanna.choconta1@unisabana.edu.co01"/>
    <x v="62"/>
    <s v="PLANTA"/>
    <s v="No"/>
    <s v="https://ProfPlanta2024.sawtoothsoftware.com/cgi-bin/ciwweb.pl?studyname=ProfPlanta2024&amp;Correo=johanna.choconta1@unisabana.edu.co01"/>
    <s v="POSGRADO"/>
    <n v="5"/>
    <x v="1"/>
  </r>
  <r>
    <s v="john.londono@unisabana.edu.co01"/>
    <x v="147"/>
    <s v="PLANTA"/>
    <s v="Si"/>
    <s v="https://ProfPlanta2024.sawtoothsoftware.com/cgi-bin/ciwweb.pl?studyname=ProfPlanta2024&amp;Correo=john.londono@unisabana.edu.co01"/>
    <s v="POSGRADO"/>
    <n v="1"/>
    <x v="7"/>
  </r>
  <r>
    <s v="jorge.restrepo1@unisabana.edu.co01"/>
    <x v="99"/>
    <s v="PLANTA"/>
    <s v="No"/>
    <s v="https://ProfPlanta2024.sawtoothsoftware.com/cgi-bin/ciwweb.pl?studyname=ProfPlanta2024&amp;Correo=jorge.restrepo1@unisabana.edu.co01"/>
    <s v="POSGRADO"/>
    <n v="1"/>
    <x v="7"/>
  </r>
  <r>
    <s v="jose.rodriguez3@unisabana.edu.co01"/>
    <x v="73"/>
    <s v="PLANTA"/>
    <s v="No"/>
    <s v="https://ProfPlanta2024.sawtoothsoftware.com/cgi-bin/ciwweb.pl?studyname=ProfPlanta2024&amp;Correo=jose.rodriguez3@unisabana.edu.co01"/>
    <s v="POSGRADO"/>
    <n v="4"/>
    <x v="5"/>
  </r>
  <r>
    <s v="juan.aranda@unisabana.edu.co01"/>
    <x v="36"/>
    <s v="PLANTA"/>
    <s v="Si"/>
    <s v="https://ProfPlanta2024.sawtoothsoftware.com/cgi-bin/ciwweb.pl?studyname=ProfPlanta2024&amp;Correo=juan.aranda@unisabana.edu.co01"/>
    <s v="POSGRADO"/>
    <n v="8"/>
    <x v="0"/>
  </r>
  <r>
    <s v="juan.cardenas4@unisabana.edu.co01"/>
    <x v="122"/>
    <s v="PLANTA"/>
    <s v="No"/>
    <s v="https://ProfPlanta2024.sawtoothsoftware.com/cgi-bin/ciwweb.pl?studyname=ProfPlanta2024&amp;Correo=juan.cardenas4@unisabana.edu.co01"/>
    <s v="POSGRADO"/>
    <n v="3"/>
    <x v="2"/>
  </r>
  <r>
    <s v="juan.garcia@unisabana.edu.co01"/>
    <x v="52"/>
    <s v="PLANTA"/>
    <s v="Si"/>
    <s v="https://ProfPlanta2024.sawtoothsoftware.com/cgi-bin/ciwweb.pl?studyname=ProfPlanta2024&amp;Correo=juan.garcia@unisabana.edu.co01"/>
    <s v="POSGRADO"/>
    <n v="1"/>
    <x v="7"/>
  </r>
  <r>
    <s v="juan.garzon@unisabana.edu.co01"/>
    <x v="46"/>
    <s v="PLANTA"/>
    <s v="Si"/>
    <s v="https://ProfPlanta2024.sawtoothsoftware.com/cgi-bin/ciwweb.pl?studyname=ProfPlanta2024&amp;Correo=juan.garzon@unisabana.edu.co01"/>
    <s v="POSGRADO"/>
    <n v="4"/>
    <x v="5"/>
  </r>
  <r>
    <s v="juan.martinez15@unisabana.edu.co01"/>
    <x v="84"/>
    <s v="PLANTA"/>
    <s v="No"/>
    <s v="https://ProfPlanta2024.sawtoothsoftware.com/cgi-bin/ciwweb.pl?studyname=ProfPlanta2024&amp;Correo=juan.martinez15@unisabana.edu.co01"/>
    <s v="POSGRADO"/>
    <n v="4"/>
    <x v="5"/>
  </r>
  <r>
    <s v="juan.mojica2@unisabana.edu.co01"/>
    <x v="43"/>
    <s v="PLANTA"/>
    <s v="No"/>
    <s v="https://ProfPlanta2024.sawtoothsoftware.com/cgi-bin/ciwweb.pl?studyname=ProfPlanta2024&amp;Correo=juan.mojica2@unisabana.edu.co01"/>
    <s v="POSGRADO"/>
    <n v="8"/>
    <x v="0"/>
  </r>
  <r>
    <s v="juan.sandoval1@unisabana.edu.co01"/>
    <x v="77"/>
    <s v="PLANTA"/>
    <s v="No"/>
    <s v="https://ProfPlanta2024.sawtoothsoftware.com/cgi-bin/ciwweb.pl?studyname=ProfPlanta2024&amp;Correo=juan.sandoval1@unisabana.edu.co01"/>
    <s v="POSGRADO"/>
    <n v="9"/>
    <x v="6"/>
  </r>
  <r>
    <s v="juan.sarmiento3@unisabana.edu.co01"/>
    <x v="72"/>
    <s v="PLANTA"/>
    <s v="Si"/>
    <s v="https://ProfPlanta2024.sawtoothsoftware.com/cgi-bin/ciwweb.pl?studyname=ProfPlanta2024&amp;Correo=juan.sarmiento3@unisabana.edu.co01"/>
    <s v="POSGRADO"/>
    <n v="4"/>
    <x v="5"/>
  </r>
  <r>
    <s v="juana.jaramillo@unisabana.edu.co01"/>
    <x v="145"/>
    <s v="PLANTA"/>
    <s v="Si"/>
    <s v="https://ProfPlanta2024.sawtoothsoftware.com/cgi-bin/ciwweb.pl?studyname=ProfPlanta2024&amp;Correo=juana.jaramillo@unisabana.edu.co01"/>
    <s v="POSGRADO"/>
    <n v="1"/>
    <x v="7"/>
  </r>
  <r>
    <s v="julian.huertas1@unisabana.edu.co01"/>
    <x v="73"/>
    <s v="PLANTA"/>
    <s v="No"/>
    <s v="https://ProfPlanta2024.sawtoothsoftware.com/cgi-bin/ciwweb.pl?studyname=ProfPlanta2024&amp;Correo=julian.huertas1@unisabana.edu.co01"/>
    <s v="POSGRADO"/>
    <n v="4"/>
    <x v="5"/>
  </r>
  <r>
    <s v="julie.cedeno@unisabana.edu.co01"/>
    <x v="77"/>
    <s v="PLANTA"/>
    <s v="No"/>
    <s v="https://ProfPlanta2024.sawtoothsoftware.com/cgi-bin/ciwweb.pl?studyname=ProfPlanta2024&amp;Correo=julie.cedeno@unisabana.edu.co01"/>
    <s v="POSGRADO"/>
    <n v="9"/>
    <x v="6"/>
  </r>
  <r>
    <s v="julio.duarte@unisabana.edu.co01"/>
    <x v="131"/>
    <s v="PLANTA"/>
    <s v="No"/>
    <s v="https://ProfPlanta2024.sawtoothsoftware.com/cgi-bin/ciwweb.pl?studyname=ProfPlanta2024&amp;Correo=julio.duarte@unisabana.edu.co01"/>
    <s v="POSGRADO"/>
    <n v="11"/>
    <x v="12"/>
  </r>
  <r>
    <s v="Juliocc@unisabana.edu.co01"/>
    <x v="78"/>
    <s v="PLANTA"/>
    <s v="Si"/>
    <s v="https://ProfPlanta2024.sawtoothsoftware.com/cgi-bin/ciwweb.pl?studyname=ProfPlanta2024&amp;Correo=Juliocc@unisabana.edu.co01"/>
    <s v="POSGRADO"/>
    <n v="11"/>
    <x v="12"/>
  </r>
  <r>
    <s v="jullyorjve@unisabana.edu.co01"/>
    <x v="91"/>
    <s v="PLANTA"/>
    <s v="Si"/>
    <s v="https://ProfPlanta2024.sawtoothsoftware.com/cgi-bin/ciwweb.pl?studyname=ProfPlanta2024&amp;Correo=jullyorjve@unisabana.edu.co01"/>
    <s v="POSGRADO"/>
    <n v="6"/>
    <x v="9"/>
  </r>
  <r>
    <s v="laura.carreno@unisabana.edu.co01"/>
    <x v="37"/>
    <s v="PLANTA"/>
    <s v="No"/>
    <s v="https://ProfPlanta2024.sawtoothsoftware.com/cgi-bin/ciwweb.pl?studyname=ProfPlanta2024&amp;Correo=laura.carreno@unisabana.edu.co01"/>
    <s v="POSGRADO"/>
    <n v="5"/>
    <x v="1"/>
  </r>
  <r>
    <s v="laura.fonseca2@unisabana.edu.co01"/>
    <x v="117"/>
    <s v="PLANTA"/>
    <s v="No"/>
    <s v="https://ProfPlanta2024.sawtoothsoftware.com/cgi-bin/ciwweb.pl?studyname=ProfPlanta2024&amp;Correo=laura.fonseca2@unisabana.edu.co01"/>
    <s v="POSGRADO"/>
    <n v="9"/>
    <x v="6"/>
  </r>
  <r>
    <s v="laura.fuerte1@unisabana.edu.co01"/>
    <x v="47"/>
    <s v="PLANTA"/>
    <s v="No"/>
    <s v="https://ProfPlanta2024.sawtoothsoftware.com/cgi-bin/ciwweb.pl?studyname=ProfPlanta2024&amp;Correo=laura.fuerte1@unisabana.edu.co01"/>
    <s v="POSGRADO"/>
    <n v="2"/>
    <x v="4"/>
  </r>
  <r>
    <s v="ledy.armirola@unisabana.edu.co01"/>
    <x v="122"/>
    <s v="PLANTA"/>
    <s v="Si"/>
    <s v="https://ProfPlanta2024.sawtoothsoftware.com/cgi-bin/ciwweb.pl?studyname=ProfPlanta2024&amp;Correo=ledy.armirola@unisabana.edu.co01"/>
    <s v="POSGRADO"/>
    <n v="3"/>
    <x v="2"/>
  </r>
  <r>
    <s v="leidy.diaz3@unisabana.edu.co01"/>
    <x v="79"/>
    <s v="PLANTA"/>
    <s v="No"/>
    <s v="https://ProfPlanta2024.sawtoothsoftware.com/cgi-bin/ciwweb.pl?studyname=ProfPlanta2024&amp;Correo=leidy.diaz3@unisabana.edu.co01"/>
    <s v="POSGRADO"/>
    <n v="9"/>
    <x v="6"/>
  </r>
  <r>
    <s v="leidy.leon@unisabana.edu.co01"/>
    <x v="43"/>
    <s v="PLANTA"/>
    <s v="No"/>
    <s v="https://ProfPlanta2024.sawtoothsoftware.com/cgi-bin/ciwweb.pl?studyname=ProfPlanta2024&amp;Correo=leidy.leon@unisabana.edu.co01"/>
    <s v="POSGRADO"/>
    <n v="8"/>
    <x v="0"/>
  </r>
  <r>
    <s v="liliana.cuesta@unisabana.edu.co01"/>
    <x v="65"/>
    <s v="PLANTA"/>
    <s v="No"/>
    <s v="https://ProfPlanta2024.sawtoothsoftware.com/cgi-bin/ciwweb.pl?studyname=ProfPlanta2024&amp;Correo=liliana.cuesta@unisabana.edu.co01"/>
    <s v="POSGRADO"/>
    <n v="3"/>
    <x v="2"/>
  </r>
  <r>
    <s v="liliana.gutierrez1@unisabana.edu.co01"/>
    <x v="140"/>
    <s v="PLANTA"/>
    <s v="No"/>
    <s v="https://ProfPlanta2024.sawtoothsoftware.com/cgi-bin/ciwweb.pl?studyname=ProfPlanta2024&amp;Correo=liliana.gutierrez1@unisabana.edu.co01"/>
    <s v="POSGRADO"/>
    <n v="3"/>
    <x v="2"/>
  </r>
  <r>
    <s v="liliana.paredes@unisabana.edu.co01"/>
    <x v="122"/>
    <s v="PLANTA"/>
    <s v="No"/>
    <s v="https://ProfPlanta2024.sawtoothsoftware.com/cgi-bin/ciwweb.pl?studyname=ProfPlanta2024&amp;Correo=liliana.paredes@unisabana.edu.co01"/>
    <s v="POSGRADO"/>
    <n v="3"/>
    <x v="2"/>
  </r>
  <r>
    <s v="liza.pinzon@unisabana.edu.co01"/>
    <x v="56"/>
    <s v="PLANTA"/>
    <s v="Si"/>
    <s v="https://ProfPlanta2024.sawtoothsoftware.com/cgi-bin/ciwweb.pl?studyname=ProfPlanta2024&amp;Correo=liza.pinzon@unisabana.edu.co01"/>
    <s v="POSGRADO"/>
    <n v="2"/>
    <x v="4"/>
  </r>
  <r>
    <s v="luis.diaz1@unisabana.edu.co01"/>
    <x v="113"/>
    <s v="PLANTA"/>
    <s v="No"/>
    <s v="https://ProfPlanta2024.sawtoothsoftware.com/cgi-bin/ciwweb.pl?studyname=ProfPlanta2024&amp;Correo=luis.diaz1@unisabana.edu.co01"/>
    <s v="POSGRADO"/>
    <n v="8"/>
    <x v="0"/>
  </r>
  <r>
    <s v="luis.gomez10@unisabana.edu.co01"/>
    <x v="97"/>
    <s v="PLANTA"/>
    <s v="No"/>
    <s v="https://ProfPlanta2024.sawtoothsoftware.com/cgi-bin/ciwweb.pl?studyname=ProfPlanta2024&amp;Correo=luis.gomez10@unisabana.edu.co01"/>
    <s v="POSGRADO"/>
    <n v="11"/>
    <x v="12"/>
  </r>
  <r>
    <s v="luis.paipa@unisabana.edu.co01"/>
    <x v="36"/>
    <s v="PLANTA"/>
    <s v="No"/>
    <s v="https://ProfPlanta2024.sawtoothsoftware.com/cgi-bin/ciwweb.pl?studyname=ProfPlanta2024&amp;Correo=luis.paipa@unisabana.edu.co01"/>
    <s v="POSGRADO"/>
    <n v="8"/>
    <x v="0"/>
  </r>
  <r>
    <s v="luis.pineda@unisabana.edu.co01"/>
    <x v="75"/>
    <s v="PLANTA"/>
    <s v="No"/>
    <s v="https://ProfPlanta2024.sawtoothsoftware.com/cgi-bin/ciwweb.pl?studyname=ProfPlanta2024&amp;Correo=luis.pineda@unisabana.edu.co01"/>
    <s v="POSGRADO"/>
    <n v="7"/>
    <x v="10"/>
  </r>
  <r>
    <s v="luis.prieto@unisabana.edu.co01"/>
    <x v="117"/>
    <s v="PLANTA"/>
    <s v="Si"/>
    <s v="https://ProfPlanta2024.sawtoothsoftware.com/cgi-bin/ciwweb.pl?studyname=ProfPlanta2024&amp;Correo=luis.prieto@unisabana.edu.co01"/>
    <s v="POSGRADO"/>
    <n v="9"/>
    <x v="6"/>
  </r>
  <r>
    <s v="LuisBC@unisabana.edu.co01"/>
    <x v="57"/>
    <s v="PLANTA"/>
    <s v="No"/>
    <s v="https://ProfPlanta2024.sawtoothsoftware.com/cgi-bin/ciwweb.pl?studyname=ProfPlanta2024&amp;Correo=LuisBC@unisabana.edu.co01"/>
    <s v="POSGRADO"/>
    <n v="2"/>
    <x v="4"/>
  </r>
  <r>
    <s v="luisf.giraldo@unisabana.edu.co01"/>
    <x v="113"/>
    <s v="PLANTA"/>
    <s v="No"/>
    <s v="https://ProfPlanta2024.sawtoothsoftware.com/cgi-bin/ciwweb.pl?studyname=ProfPlanta2024&amp;Correo=luisf.giraldo@unisabana.edu.co01"/>
    <s v="POSGRADO"/>
    <n v="8"/>
    <x v="0"/>
  </r>
  <r>
    <s v="luz.alejo@unisabana.edu.co01"/>
    <x v="41"/>
    <s v="PLANTA"/>
    <s v="Si"/>
    <s v="https://ProfPlanta2024.sawtoothsoftware.com/cgi-bin/ciwweb.pl?studyname=ProfPlanta2024&amp;Correo=luz.alejo@unisabana.edu.co01"/>
    <s v="POSGRADO"/>
    <n v="6"/>
    <x v="9"/>
  </r>
  <r>
    <s v="luz.torres3@unisabana.edu.co01"/>
    <x v="142"/>
    <s v="PLANTA"/>
    <s v="No"/>
    <s v="https://ProfPlanta2024.sawtoothsoftware.com/cgi-bin/ciwweb.pl?studyname=ProfPlanta2024&amp;Correo=luz.torres3@unisabana.edu.co01"/>
    <s v="POSGRADO"/>
    <n v="2"/>
    <x v="4"/>
  </r>
  <r>
    <s v="luz.villegas1@unisabana.edu.co01"/>
    <x v="112"/>
    <s v="PLANTA"/>
    <s v="Si"/>
    <s v="https://ProfPlanta2024.sawtoothsoftware.com/cgi-bin/ciwweb.pl?studyname=ProfPlanta2024&amp;Correo=luz.villegas1@unisabana.edu.co01"/>
    <s v="POSGRADO"/>
    <n v="11"/>
    <x v="12"/>
  </r>
  <r>
    <s v="manuel.figueredo@unisabana.edu.co01"/>
    <x v="36"/>
    <s v="PLANTA"/>
    <s v="No"/>
    <s v="https://ProfPlanta2024.sawtoothsoftware.com/cgi-bin/ciwweb.pl?studyname=ProfPlanta2024&amp;Correo=manuel.figueredo@unisabana.edu.co01"/>
    <s v="POSGRADO"/>
    <n v="8"/>
    <x v="0"/>
  </r>
  <r>
    <s v="manuel.gonzalez@unisabana.edu.co01"/>
    <x v="65"/>
    <s v="PLANTA"/>
    <s v="No"/>
    <s v="https://ProfPlanta2024.sawtoothsoftware.com/cgi-bin/ciwweb.pl?studyname=ProfPlanta2024&amp;Correo=manuel.gonzalez@unisabana.edu.co01"/>
    <s v="POSGRADO"/>
    <n v="3"/>
    <x v="2"/>
  </r>
  <r>
    <s v="manuel.valero@unisabana.edu.co01"/>
    <x v="36"/>
    <s v="PLANTA"/>
    <s v="No"/>
    <s v="https://ProfPlanta2024.sawtoothsoftware.com/cgi-bin/ciwweb.pl?studyname=ProfPlanta2024&amp;Correo=manuel.valero@unisabana.edu.co01"/>
    <s v="POSGRADO"/>
    <n v="8"/>
    <x v="0"/>
  </r>
  <r>
    <s v="marcoscz@unisabana.edu.co01"/>
    <x v="148"/>
    <s v="PLANTA"/>
    <s v="No"/>
    <s v="https://ProfPlanta2024.sawtoothsoftware.com/cgi-bin/ciwweb.pl?studyname=ProfPlanta2024&amp;Correo=marcoscz@unisabana.edu.co01"/>
    <s v="POSGRADO"/>
    <n v="1"/>
    <x v="7"/>
  </r>
  <r>
    <s v="margarethalmo@unisabana.edu.co01"/>
    <x v="143"/>
    <s v="PLANTA"/>
    <s v="No"/>
    <s v="https://ProfPlanta2024.sawtoothsoftware.com/cgi-bin/ciwweb.pl?studyname=ProfPlanta2024&amp;Correo=margarethalmo@unisabana.edu.co01"/>
    <s v="POSGRADO"/>
    <n v="6"/>
    <x v="9"/>
  </r>
  <r>
    <s v="margarita.cardenas@unisabana.edu.co01"/>
    <x v="72"/>
    <s v="PLANTA"/>
    <s v="No"/>
    <s v="https://ProfPlanta2024.sawtoothsoftware.com/cgi-bin/ciwweb.pl?studyname=ProfPlanta2024&amp;Correo=margarita.cardenas@unisabana.edu.co01"/>
    <s v="POSGRADO"/>
    <n v="4"/>
    <x v="5"/>
  </r>
  <r>
    <s v="margarita.pomar@unisabana.edu.co01"/>
    <x v="41"/>
    <s v="PLANTA"/>
    <s v="Si"/>
    <s v="https://ProfPlanta2024.sawtoothsoftware.com/cgi-bin/ciwweb.pl?studyname=ProfPlanta2024&amp;Correo=margarita.pomar@unisabana.edu.co01"/>
    <s v="POSGRADO"/>
    <n v="6"/>
    <x v="9"/>
  </r>
  <r>
    <s v="maria.angel6@unisabana.edu.co01"/>
    <x v="91"/>
    <s v="PLANTA"/>
    <s v="Si"/>
    <s v="https://ProfPlanta2024.sawtoothsoftware.com/cgi-bin/ciwweb.pl?studyname=ProfPlanta2024&amp;Correo=maria.angel6@unisabana.edu.co01"/>
    <s v="POSGRADO"/>
    <n v="6"/>
    <x v="9"/>
  </r>
  <r>
    <s v="maria.barrios1@unisabana.edu.co01"/>
    <x v="52"/>
    <s v="PLANTA"/>
    <s v="Si"/>
    <s v="https://ProfPlanta2024.sawtoothsoftware.com/cgi-bin/ciwweb.pl?studyname=ProfPlanta2024&amp;Correo=maria.barrios1@unisabana.edu.co01"/>
    <s v="POSGRADO"/>
    <n v="1"/>
    <x v="7"/>
  </r>
  <r>
    <s v="maria.docal@unisabana.edu.co01"/>
    <x v="137"/>
    <s v="PLANTA"/>
    <s v="No"/>
    <s v="https://ProfPlanta2024.sawtoothsoftware.com/cgi-bin/ciwweb.pl?studyname=ProfPlanta2024&amp;Correo=maria.docal@unisabana.edu.co01"/>
    <s v="POSGRADO"/>
    <n v="10"/>
    <x v="13"/>
  </r>
  <r>
    <s v="maria.macias1@unisabana.edu.co01"/>
    <x v="57"/>
    <s v="PLANTA"/>
    <s v="No"/>
    <s v="https://ProfPlanta2024.sawtoothsoftware.com/cgi-bin/ciwweb.pl?studyname=ProfPlanta2024&amp;Correo=maria.macias1@unisabana.edu.co01"/>
    <s v="POSGRADO"/>
    <n v="2"/>
    <x v="4"/>
  </r>
  <r>
    <s v="maria.maldonado5@unisabana.edu.co01"/>
    <x v="88"/>
    <s v="PLANTA"/>
    <s v="No"/>
    <s v="https://ProfPlanta2024.sawtoothsoftware.com/cgi-bin/ciwweb.pl?studyname=ProfPlanta2024&amp;Correo=maria.maldonado5@unisabana.edu.co01"/>
    <s v="POSGRADO"/>
    <n v="1"/>
    <x v="7"/>
  </r>
  <r>
    <s v="maria.mazzanti@unisabana.edu.co01"/>
    <x v="113"/>
    <s v="PLANTA"/>
    <s v="Si"/>
    <s v="https://ProfPlanta2024.sawtoothsoftware.com/cgi-bin/ciwweb.pl?studyname=ProfPlanta2024&amp;Correo=maria.mazzanti@unisabana.edu.co01"/>
    <s v="POSGRADO"/>
    <n v="8"/>
    <x v="0"/>
  </r>
  <r>
    <s v="maria.mejia2@unisabana.edu.co01"/>
    <x v="80"/>
    <s v="PLANTA"/>
    <s v="No"/>
    <s v="https://ProfPlanta2024.sawtoothsoftware.com/cgi-bin/ciwweb.pl?studyname=ProfPlanta2024&amp;Correo=maria.mejia2@unisabana.edu.co01"/>
    <s v="POSGRADO"/>
    <n v="9"/>
    <x v="6"/>
  </r>
  <r>
    <s v="maria.quintanilla1@unisabana.edu.co01"/>
    <x v="113"/>
    <s v="PLANTA"/>
    <s v="No"/>
    <s v="https://ProfPlanta2024.sawtoothsoftware.com/cgi-bin/ciwweb.pl?studyname=ProfPlanta2024&amp;Correo=maria.quintanilla1@unisabana.edu.co01"/>
    <s v="POSGRADO"/>
    <n v="8"/>
    <x v="0"/>
  </r>
  <r>
    <s v="maria.quiroz@unisabana.edu.co01"/>
    <x v="117"/>
    <s v="PLANTA"/>
    <s v="No"/>
    <s v="https://ProfPlanta2024.sawtoothsoftware.com/cgi-bin/ciwweb.pl?studyname=ProfPlanta2024&amp;Correo=maria.quiroz@unisabana.edu.co01"/>
    <s v="POSGRADO"/>
    <n v="9"/>
    <x v="6"/>
  </r>
  <r>
    <s v="maria.rojas22@unisabana.edu.co01"/>
    <x v="41"/>
    <s v="PLANTA"/>
    <s v="No"/>
    <s v="https://ProfPlanta2024.sawtoothsoftware.com/cgi-bin/ciwweb.pl?studyname=ProfPlanta2024&amp;Correo=maria.rojas22@unisabana.edu.co01"/>
    <s v="POSGRADO"/>
    <n v="6"/>
    <x v="9"/>
  </r>
  <r>
    <s v="maria.sanchez2@unisabana.edu.co01"/>
    <x v="91"/>
    <s v="PLANTA"/>
    <s v="Si"/>
    <s v="https://ProfPlanta2024.sawtoothsoftware.com/cgi-bin/ciwweb.pl?studyname=ProfPlanta2024&amp;Correo=maria.sanchez2@unisabana.edu.co01"/>
    <s v="POSGRADO"/>
    <n v="6"/>
    <x v="9"/>
  </r>
  <r>
    <s v="maria.tovar5@unisabana.edu.co01"/>
    <x v="88"/>
    <s v="PLANTA"/>
    <s v="No"/>
    <s v="https://ProfPlanta2024.sawtoothsoftware.com/cgi-bin/ciwweb.pl?studyname=ProfPlanta2024&amp;Correo=maria.tovar5@unisabana.edu.co01"/>
    <s v="POSGRADO"/>
    <n v="1"/>
    <x v="7"/>
  </r>
  <r>
    <s v="maria.umbacia@unisabana.edu.co01"/>
    <x v="119"/>
    <s v="PLANTA"/>
    <s v="No"/>
    <s v="https://ProfPlanta2024.sawtoothsoftware.com/cgi-bin/ciwweb.pl?studyname=ProfPlanta2024&amp;Correo=maria.umbacia@unisabana.edu.co01"/>
    <s v="POSGRADO"/>
    <n v="1"/>
    <x v="7"/>
  </r>
  <r>
    <s v="mariae.moreno@unisabana.edu.co01"/>
    <x v="116"/>
    <s v="PLANTA"/>
    <s v="No"/>
    <s v="https://ProfPlanta2024.sawtoothsoftware.com/cgi-bin/ciwweb.pl?studyname=ProfPlanta2024&amp;Correo=mariae.moreno@unisabana.edu.co01"/>
    <s v="POSGRADO"/>
    <n v="6"/>
    <x v="9"/>
  </r>
  <r>
    <s v="maricela.montes@unisabana.edu.co01"/>
    <x v="142"/>
    <s v="PLANTA"/>
    <s v="No"/>
    <s v="https://ProfPlanta2024.sawtoothsoftware.com/cgi-bin/ciwweb.pl?studyname=ProfPlanta2024&amp;Correo=maricela.montes@unisabana.edu.co01"/>
    <s v="POSGRADO"/>
    <n v="2"/>
    <x v="4"/>
  </r>
  <r>
    <s v="mario.juha@unisabana.edu.co01"/>
    <x v="141"/>
    <s v="PLANTA"/>
    <s v="No"/>
    <s v="https://ProfPlanta2024.sawtoothsoftware.com/cgi-bin/ciwweb.pl?studyname=ProfPlanta2024&amp;Correo=mario.juha@unisabana.edu.co01"/>
    <s v="POSGRADO"/>
    <n v="8"/>
    <x v="0"/>
  </r>
  <r>
    <s v="MaritzaRP@unisabana.edu.co01"/>
    <x v="117"/>
    <s v="PLANTA"/>
    <s v="No"/>
    <s v="https://ProfPlanta2024.sawtoothsoftware.com/cgi-bin/ciwweb.pl?studyname=ProfPlanta2024&amp;Correo=MaritzaRP@unisabana.edu.co01"/>
    <s v="POSGRADO"/>
    <n v="9"/>
    <x v="6"/>
  </r>
  <r>
    <s v="martha.acosta@unisabana.edu.co01"/>
    <x v="143"/>
    <s v="PLANTA"/>
    <s v="No"/>
    <s v="https://ProfPlanta2024.sawtoothsoftware.com/cgi-bin/ciwweb.pl?studyname=ProfPlanta2024&amp;Correo=martha.acosta@unisabana.edu.co01"/>
    <s v="POSGRADO"/>
    <n v="6"/>
    <x v="9"/>
  </r>
  <r>
    <s v="martha.co0bo@unisabana.edu.co01"/>
    <x v="141"/>
    <s v="PLANTA"/>
    <s v="No"/>
    <s v="https://ProfPlanta2024.sawtoothsoftware.com/cgi-bin/ciwweb.pl?studyname=ProfPlanta2024&amp;Correo=martha.co0bo@unisabana.edu.co01"/>
    <s v="POSGRADO"/>
    <n v="8"/>
    <x v="0"/>
  </r>
  <r>
    <s v="martha.leon@unisabana.edu.co01"/>
    <x v="119"/>
    <s v="PLANTA"/>
    <s v="No"/>
    <s v="https://ProfPlanta2024.sawtoothsoftware.com/cgi-bin/ciwweb.pl?studyname=ProfPlanta2024&amp;Correo=martha.leon@unisabana.edu.co01"/>
    <s v="POSGRADO"/>
    <n v="1"/>
    <x v="7"/>
  </r>
  <r>
    <s v="Maryorygl@unisabana.edu.co01"/>
    <x v="132"/>
    <s v="PLANTA"/>
    <s v="No"/>
    <s v="https://ProfPlanta2024.sawtoothsoftware.com/cgi-bin/ciwweb.pl?studyname=ProfPlanta2024&amp;Correo=Maryorygl@unisabana.edu.co01"/>
    <s v="POSGRADO"/>
    <n v="6"/>
    <x v="9"/>
  </r>
  <r>
    <s v="mauricio.agudelo@unisabana.edu.co01"/>
    <x v="36"/>
    <s v="PLANTA"/>
    <s v="No"/>
    <s v="https://ProfPlanta2024.sawtoothsoftware.com/cgi-bin/ciwweb.pl?studyname=ProfPlanta2024&amp;Correo=mauricio.agudelo@unisabana.edu.co01"/>
    <s v="POSGRADO"/>
    <n v="8"/>
    <x v="0"/>
  </r>
  <r>
    <s v="mauricio.ulloa@unisabana.edu.co01"/>
    <x v="52"/>
    <s v="PLANTA"/>
    <s v="Si"/>
    <s v="https://ProfPlanta2024.sawtoothsoftware.com/cgi-bin/ciwweb.pl?studyname=ProfPlanta2024&amp;Correo=mauricio.ulloa@unisabana.edu.co01"/>
    <s v="POSGRADO"/>
    <n v="1"/>
    <x v="7"/>
  </r>
  <r>
    <s v="nadia.proanos1@unisabana.edu.co01"/>
    <x v="92"/>
    <s v="PLANTA"/>
    <s v="No"/>
    <s v="https://ProfPlanta2024.sawtoothsoftware.com/cgi-bin/ciwweb.pl?studyname=ProfPlanta2024&amp;Correo=nadia.proanos1@unisabana.edu.co01"/>
    <s v="POSGRADO"/>
    <n v="1"/>
    <x v="7"/>
  </r>
  <r>
    <s v="natalia.co0nde@unisabana.edu.co01"/>
    <x v="36"/>
    <s v="PLANTA"/>
    <s v="Si"/>
    <s v="https://ProfPlanta2024.sawtoothsoftware.com/cgi-bin/ciwweb.pl?studyname=ProfPlanta2024&amp;Correo=natalia.co0nde@unisabana.edu.co01"/>
    <s v="POSGRADO"/>
    <n v="8"/>
    <x v="0"/>
  </r>
  <r>
    <s v="neil.valentin@unisabana.edu.co01"/>
    <x v="89"/>
    <s v="PLANTA"/>
    <s v="No"/>
    <s v="https://ProfPlanta2024.sawtoothsoftware.com/cgi-bin/ciwweb.pl?studyname=ProfPlanta2024&amp;Correo=neil.valentin@unisabana.edu.co01"/>
    <s v="POSGRADO"/>
    <n v="1"/>
    <x v="7"/>
  </r>
  <r>
    <s v="nestor.sanchez1@unisabana.edu.co01"/>
    <x v="36"/>
    <s v="PLANTA"/>
    <s v="No"/>
    <s v="https://ProfPlanta2024.sawtoothsoftware.com/cgi-bin/ciwweb.pl?studyname=ProfPlanta2024&amp;Correo=nestor.sanchez1@unisabana.edu.co01"/>
    <s v="POSGRADO"/>
    <n v="8"/>
    <x v="0"/>
  </r>
  <r>
    <s v="nicolas.garzon@unisabana.edu.co01"/>
    <x v="117"/>
    <s v="PLANTA"/>
    <s v="No"/>
    <s v="https://ProfPlanta2024.sawtoothsoftware.com/cgi-bin/ciwweb.pl?studyname=ProfPlanta2024&amp;Correo=nicolas.garzon@unisabana.edu.co01"/>
    <s v="POSGRADO"/>
    <n v="9"/>
    <x v="6"/>
  </r>
  <r>
    <s v="nicolas.rodriguez5@unisabana.edu.co01"/>
    <x v="80"/>
    <s v="PLANTA"/>
    <s v="No"/>
    <s v="https://ProfPlanta2024.sawtoothsoftware.com/cgi-bin/ciwweb.pl?studyname=ProfPlanta2024&amp;Correo=nicolas.rodriguez5@unisabana.edu.co01"/>
    <s v="POSGRADO"/>
    <n v="9"/>
    <x v="6"/>
  </r>
  <r>
    <s v="olga.reyes1@unisabana.edu.co01"/>
    <x v="139"/>
    <s v="PLANTA"/>
    <s v="No"/>
    <s v="https://ProfPlanta2024.sawtoothsoftware.com/cgi-bin/ciwweb.pl?studyname=ProfPlanta2024&amp;Correo=olga.reyes1@unisabana.edu.co01"/>
    <s v="POSGRADO"/>
    <n v="5"/>
    <x v="1"/>
  </r>
  <r>
    <s v="oscar.boude@unisabana.edu.co01"/>
    <x v="139"/>
    <s v="PLANTA"/>
    <s v="Si"/>
    <s v="https://ProfPlanta2024.sawtoothsoftware.com/cgi-bin/ciwweb.pl?studyname=ProfPlanta2024&amp;Correo=oscar.boude@unisabana.edu.co01"/>
    <s v="POSGRADO"/>
    <n v="5"/>
    <x v="1"/>
  </r>
  <r>
    <s v="pablo.gutierrez@unisabana.edu.co01"/>
    <x v="117"/>
    <s v="PLANTA"/>
    <s v="No"/>
    <s v="https://ProfPlanta2024.sawtoothsoftware.com/cgi-bin/ciwweb.pl?studyname=ProfPlanta2024&amp;Correo=pablo.gutierrez@unisabana.edu.co01"/>
    <s v="POSGRADO"/>
    <n v="9"/>
    <x v="6"/>
  </r>
  <r>
    <s v="pamela.leyva1@unisabana.edu.co01"/>
    <x v="137"/>
    <s v="PLANTA"/>
    <s v="No"/>
    <s v="https://ProfPlanta2024.sawtoothsoftware.com/cgi-bin/ciwweb.pl?studyname=ProfPlanta2024&amp;Correo=pamela.leyva1@unisabana.edu.co01"/>
    <s v="POSGRADO"/>
    <n v="10"/>
    <x v="13"/>
  </r>
  <r>
    <s v="paola.sarmiento1@unisabana.edu.co01"/>
    <x v="135"/>
    <s v="PLANTA"/>
    <s v="No"/>
    <s v="https://ProfPlanta2024.sawtoothsoftware.com/cgi-bin/ciwweb.pl?studyname=ProfPlanta2024&amp;Correo=paola.sarmiento1@unisabana.edu.co01"/>
    <s v="POSGRADO"/>
    <n v="6"/>
    <x v="9"/>
  </r>
  <r>
    <s v="paolaalbde@unisabana.edu.co01"/>
    <x v="65"/>
    <s v="PLANTA"/>
    <s v="No"/>
    <s v="https://ProfPlanta2024.sawtoothsoftware.com/cgi-bin/ciwweb.pl?studyname=ProfPlanta2024&amp;Correo=paolaalbde@unisabana.edu.co01"/>
    <s v="POSGRADO"/>
    <n v="3"/>
    <x v="2"/>
  </r>
  <r>
    <s v="paula.bonilla3@unisabana.edu.co01"/>
    <x v="91"/>
    <s v="PLANTA"/>
    <s v="No"/>
    <s v="https://ProfPlanta2024.sawtoothsoftware.com/cgi-bin/ciwweb.pl?studyname=ProfPlanta2024&amp;Correo=paula.bonilla3@unisabana.edu.co01"/>
    <s v="POSGRADO"/>
    <n v="6"/>
    <x v="9"/>
  </r>
  <r>
    <s v="pedro.rugeles@unisabana.edu.co01"/>
    <x v="105"/>
    <s v="PLANTA"/>
    <s v="No"/>
    <s v="https://ProfPlanta2024.sawtoothsoftware.com/cgi-bin/ciwweb.pl?studyname=ProfPlanta2024&amp;Correo=pedro.rugeles@unisabana.edu.co01"/>
    <s v="POSGRADO"/>
    <n v="11"/>
    <x v="12"/>
  </r>
  <r>
    <s v="pedro.sarmiento@unisabana.edu.co01"/>
    <x v="145"/>
    <s v="PLANTA"/>
    <s v="No"/>
    <s v="https://ProfPlanta2024.sawtoothsoftware.com/cgi-bin/ciwweb.pl?studyname=ProfPlanta2024&amp;Correo=pedro.sarmiento@unisabana.edu.co01"/>
    <s v="POSGRADO"/>
    <n v="1"/>
    <x v="7"/>
  </r>
  <r>
    <s v="ricardo.sotaquira@unisabana.edu.co01"/>
    <x v="36"/>
    <s v="PLANTA"/>
    <s v="Si"/>
    <s v="https://ProfPlanta2024.sawtoothsoftware.com/cgi-bin/ciwweb.pl?studyname=ProfPlanta2024&amp;Correo=ricardo.sotaquira@unisabana.edu.co01"/>
    <s v="POSGRADO"/>
    <n v="8"/>
    <x v="0"/>
  </r>
  <r>
    <s v="RocioHP@unisabana.edu.co01"/>
    <x v="97"/>
    <s v="PLANTA"/>
    <s v="No"/>
    <s v="https://ProfPlanta2024.sawtoothsoftware.com/cgi-bin/ciwweb.pl?studyname=ProfPlanta2024&amp;Correo=RocioHP@unisabana.edu.co01"/>
    <s v="POSGRADO"/>
    <n v="11"/>
    <x v="12"/>
  </r>
  <r>
    <s v="ronal.forero@unisabana.edu.co01"/>
    <x v="75"/>
    <s v="PLANTA"/>
    <s v="No"/>
    <s v="https://ProfPlanta2024.sawtoothsoftware.com/cgi-bin/ciwweb.pl?studyname=ProfPlanta2024&amp;Correo=ronal.forero@unisabana.edu.co01"/>
    <s v="POSGRADO"/>
    <n v="7"/>
    <x v="10"/>
  </r>
  <r>
    <s v="rosa.duran@unisabana.edu.co01"/>
    <x v="85"/>
    <s v="PLANTA"/>
    <s v="No"/>
    <s v="https://ProfPlanta2024.sawtoothsoftware.com/cgi-bin/ciwweb.pl?studyname=ProfPlanta2024&amp;Correo=rosa.duran@unisabana.edu.co01"/>
    <s v="POSGRADO"/>
    <n v="1"/>
    <x v="7"/>
  </r>
  <r>
    <s v="rosabucr@unisabana.edu.co01"/>
    <x v="67"/>
    <s v="PLANTA"/>
    <s v="No"/>
    <s v="https://ProfPlanta2024.sawtoothsoftware.com/cgi-bin/ciwweb.pl?studyname=ProfPlanta2024&amp;Correo=rosabucr@unisabana.edu.co01"/>
    <s v="POSGRADO"/>
    <n v="1"/>
    <x v="7"/>
  </r>
  <r>
    <s v="ruth.ruiz@unisabana.edu.co01"/>
    <x v="36"/>
    <s v="PLANTA"/>
    <s v="Si"/>
    <s v="https://ProfPlanta2024.sawtoothsoftware.com/cgi-bin/ciwweb.pl?studyname=ProfPlanta2024&amp;Correo=ruth.ruiz@unisabana.edu.co01"/>
    <s v="POSGRADO"/>
    <n v="8"/>
    <x v="0"/>
  </r>
  <r>
    <s v="santiago.co0rtes1@unisabana.edu.co01"/>
    <x v="43"/>
    <s v="PLANTA"/>
    <s v="No"/>
    <s v="https://ProfPlanta2024.sawtoothsoftware.com/cgi-bin/ciwweb.pl?studyname=ProfPlanta2024&amp;Correo=santiago.co0rtes1@unisabana.edu.co01"/>
    <s v="POSGRADO"/>
    <n v="8"/>
    <x v="0"/>
  </r>
  <r>
    <s v="sara.arias@unisabana.edu.co01"/>
    <x v="67"/>
    <s v="PLANTA"/>
    <s v="Si"/>
    <s v="https://ProfPlanta2024.sawtoothsoftware.com/cgi-bin/ciwweb.pl?studyname=ProfPlanta2024&amp;Correo=sara.arias@unisabana.edu.co01"/>
    <s v="POSGRADO"/>
    <n v="1"/>
    <x v="7"/>
  </r>
  <r>
    <s v="sergio.agudelo1@unisabana.edu.co01"/>
    <x v="88"/>
    <s v="PLANTA"/>
    <s v="Si"/>
    <s v="https://ProfPlanta2024.sawtoothsoftware.com/cgi-bin/ciwweb.pl?studyname=ProfPlanta2024&amp;Correo=sergio.agudelo1@unisabana.edu.co01"/>
    <s v="POSGRADO"/>
    <n v="1"/>
    <x v="7"/>
  </r>
  <r>
    <s v="tatianaghija@unisabana.edu.co01"/>
    <x v="133"/>
    <s v="PLANTA"/>
    <s v="Si"/>
    <s v="https://ProfPlanta2024.sawtoothsoftware.com/cgi-bin/ciwweb.pl?studyname=ProfPlanta2024&amp;Correo=tatianaghija@unisabana.edu.co01"/>
    <s v="POSGRADO"/>
    <n v="5"/>
    <x v="1"/>
  </r>
  <r>
    <s v="victor.garcia2@unisabana.edu.co01"/>
    <x v="140"/>
    <s v="PLANTA"/>
    <s v="No"/>
    <s v="https://ProfPlanta2024.sawtoothsoftware.com/cgi-bin/ciwweb.pl?studyname=ProfPlanta2024&amp;Correo=victor.garcia2@unisabana.edu.co01"/>
    <s v="POSGRADO"/>
    <n v="3"/>
    <x v="2"/>
  </r>
  <r>
    <s v="victoria.cabrera@unisabana.edu.co01"/>
    <x v="137"/>
    <s v="PLANTA"/>
    <s v="Si"/>
    <s v="https://ProfPlanta2024.sawtoothsoftware.com/cgi-bin/ciwweb.pl?studyname=ProfPlanta2024&amp;Correo=victoria.cabrera@unisabana.edu.co01"/>
    <s v="POSGRADO"/>
    <n v="10"/>
    <x v="13"/>
  </r>
  <r>
    <s v="wilder.villamil@unisabana.edu.co01"/>
    <x v="149"/>
    <s v="PLANTA"/>
    <s v="No"/>
    <s v="https://ProfPlanta2024.sawtoothsoftware.com/cgi-bin/ciwweb.pl?studyname=ProfPlanta2024&amp;Correo=wilder.villamil@unisabana.edu.co01"/>
    <s v="POSGRADO"/>
    <n v="6"/>
    <x v="9"/>
  </r>
  <r>
    <s v="william.guerrero1@unisabana.edu.co01"/>
    <x v="141"/>
    <s v="PLANTA"/>
    <s v="No"/>
    <s v="https://ProfPlanta2024.sawtoothsoftware.com/cgi-bin/ciwweb.pl?studyname=ProfPlanta2024&amp;Correo=william.guerrero1@unisabana.edu.co01"/>
    <s v="POSGRADO"/>
    <n v="8"/>
    <x v="0"/>
  </r>
  <r>
    <s v="william.hernandez2@unisabana.edu.co01"/>
    <x v="121"/>
    <s v="PLANTA"/>
    <s v="Si"/>
    <s v="https://ProfPlanta2024.sawtoothsoftware.com/cgi-bin/ciwweb.pl?studyname=ProfPlanta2024&amp;Correo=william.hernandez2@unisabana.edu.co01"/>
    <s v="POSGRADO"/>
    <n v="4"/>
    <x v="5"/>
  </r>
  <r>
    <s v="wilson.briceno@unisabana.edu.co01"/>
    <x v="67"/>
    <s v="PLANTA"/>
    <s v="Si"/>
    <s v="https://ProfPlanta2024.sawtoothsoftware.com/cgi-bin/ciwweb.pl?studyname=ProfPlanta2024&amp;Correo=wilson.briceno@unisabana.edu.co01"/>
    <s v="POSGRADO"/>
    <n v="1"/>
    <x v="7"/>
  </r>
  <r>
    <s v="yosimar.diaz1@unisabana.edu.co01"/>
    <x v="36"/>
    <s v="PLANTA"/>
    <s v="No"/>
    <s v="https://ProfPlanta2024.sawtoothsoftware.com/cgi-bin/ciwweb.pl?studyname=ProfPlanta2024&amp;Correo=yosimar.diaz1@unisabana.edu.co01"/>
    <s v="POSGRADO"/>
    <n v="8"/>
    <x v="0"/>
  </r>
  <r>
    <s v="yuli.fuentes@unisabana.edu.co01"/>
    <x v="92"/>
    <s v="PLANTA"/>
    <s v="No"/>
    <s v="https://ProfPlanta2024.sawtoothsoftware.com/cgi-bin/ciwweb.pl?studyname=ProfPlanta2024&amp;Correo=yuli.fuentes@unisabana.edu.co01"/>
    <s v="POSGRADO"/>
    <n v="1"/>
    <x v="7"/>
  </r>
  <r>
    <s v="yulieth.zabaleta1@unisabana.edu.co01"/>
    <x v="41"/>
    <s v="PLANTA"/>
    <s v="Si"/>
    <s v="https://ProfPlanta2024.sawtoothsoftware.com/cgi-bin/ciwweb.pl?studyname=ProfPlanta2024&amp;Correo=yulieth.zabaleta1@unisabana.edu.co01"/>
    <s v="POSGRADO"/>
    <n v="6"/>
    <x v="9"/>
  </r>
  <r>
    <s v="adner.capachero@unisabana.edu.co02"/>
    <x v="97"/>
    <s v="PLANTA"/>
    <s v="No"/>
    <s v="https://ProfPlanta2024.sawtoothsoftware.com/cgi-bin/ciwweb.pl?studyname=ProfPlanta2024&amp;Correo=adner.capachero@unisabana.edu.co02"/>
    <s v="POSGRADO"/>
    <n v="11"/>
    <x v="12"/>
  </r>
  <r>
    <s v="adriana.castellanos@unisabana.edu.co02"/>
    <x v="143"/>
    <s v="PLANTA"/>
    <s v="No"/>
    <s v="https://ProfPlanta2024.sawtoothsoftware.com/cgi-bin/ciwweb.pl?studyname=ProfPlanta2024&amp;Correo=adriana.castellanos@unisabana.edu.co02"/>
    <s v="POSGRADO"/>
    <n v="6"/>
    <x v="9"/>
  </r>
  <r>
    <s v="alexandra.pedraza@unisabana.edu.co02"/>
    <x v="74"/>
    <s v="PLANTA"/>
    <s v="No"/>
    <s v="https://ProfPlanta2024.sawtoothsoftware.com/cgi-bin/ciwweb.pl?studyname=ProfPlanta2024&amp;Correo=alexandra.pedraza@unisabana.edu.co02"/>
    <s v="POSGRADO"/>
    <n v="5"/>
    <x v="1"/>
  </r>
  <r>
    <s v="alfonso.sarmiento@unisabana.edu.co02"/>
    <x v="35"/>
    <s v="PLANTA"/>
    <s v="Si"/>
    <s v="https://ProfPlanta2024.sawtoothsoftware.com/cgi-bin/ciwweb.pl?studyname=ProfPlanta2024&amp;Correo=alfonso.sarmiento@unisabana.edu.co02"/>
    <s v="POSGRADO"/>
    <n v="8"/>
    <x v="0"/>
  </r>
  <r>
    <s v="alirio.bastidas@unisabana.edu.co02"/>
    <x v="92"/>
    <s v="PLANTA"/>
    <s v="Si"/>
    <s v="https://ProfPlanta2024.sawtoothsoftware.com/cgi-bin/ciwweb.pl?studyname=ProfPlanta2024&amp;Correo=alirio.bastidas@unisabana.edu.co02"/>
    <s v="POSGRADO"/>
    <n v="1"/>
    <x v="7"/>
  </r>
  <r>
    <s v="ana.olaya@unisabana.edu.co02"/>
    <x v="123"/>
    <s v="PLANTA"/>
    <s v="No"/>
    <s v="https://ProfPlanta2024.sawtoothsoftware.com/cgi-bin/ciwweb.pl?studyname=ProfPlanta2024&amp;Correo=ana.olaya@unisabana.edu.co02"/>
    <s v="POSGRADO"/>
    <n v="2"/>
    <x v="4"/>
  </r>
  <r>
    <s v="ana.santos@unisabana.edu.co02"/>
    <x v="147"/>
    <s v="PLANTA"/>
    <s v="No"/>
    <s v="https://ProfPlanta2024.sawtoothsoftware.com/cgi-bin/ciwweb.pl?studyname=ProfPlanta2024&amp;Correo=ana.santos@unisabana.edu.co02"/>
    <s v="POSGRADO"/>
    <n v="1"/>
    <x v="7"/>
  </r>
  <r>
    <s v="ana.ternent@unisabana.edu.co02"/>
    <x v="50"/>
    <s v="PLANTA"/>
    <s v="No"/>
    <s v="https://ProfPlanta2024.sawtoothsoftware.com/cgi-bin/ciwweb.pl?studyname=ProfPlanta2024&amp;Correo=ana.ternent@unisabana.edu.co02"/>
    <s v="POSGRADO"/>
    <n v="5"/>
    <x v="1"/>
  </r>
  <r>
    <s v="ana.vargas@unisabana.edu.co02"/>
    <x v="109"/>
    <s v="PLANTA"/>
    <s v="Si"/>
    <s v="https://ProfPlanta2024.sawtoothsoftware.com/cgi-bin/ciwweb.pl?studyname=ProfPlanta2024&amp;Correo=ana.vargas@unisabana.edu.co02"/>
    <s v="POSGRADO"/>
    <n v="5"/>
    <x v="1"/>
  </r>
  <r>
    <s v="andres.agudelo@unisabana.edu.co02"/>
    <x v="73"/>
    <s v="PLANTA"/>
    <s v="No"/>
    <s v="https://ProfPlanta2024.sawtoothsoftware.com/cgi-bin/ciwweb.pl?studyname=ProfPlanta2024&amp;Correo=andres.agudelo@unisabana.edu.co02"/>
    <s v="POSGRADO"/>
    <n v="4"/>
    <x v="5"/>
  </r>
  <r>
    <s v="andres.chiappe@unisabana.edu.co02"/>
    <x v="150"/>
    <s v="PLANTA"/>
    <s v="No"/>
    <s v="https://ProfPlanta2024.sawtoothsoftware.com/cgi-bin/ciwweb.pl?studyname=ProfPlanta2024&amp;Correo=andres.chiappe@unisabana.edu.co02"/>
    <s v="POSGRADO"/>
    <n v="5"/>
    <x v="1"/>
  </r>
  <r>
    <s v="andres.mejia@unisabana.edu.co02"/>
    <x v="123"/>
    <s v="PLANTA"/>
    <s v="No"/>
    <s v="https://ProfPlanta2024.sawtoothsoftware.com/cgi-bin/ciwweb.pl?studyname=ProfPlanta2024&amp;Correo=andres.mejia@unisabana.edu.co02"/>
    <s v="POSGRADO"/>
    <n v="2"/>
    <x v="4"/>
  </r>
  <r>
    <s v="angela.rubiano@unisabana.edu.co02"/>
    <x v="74"/>
    <s v="PLANTA"/>
    <s v="No"/>
    <s v="https://ProfPlanta2024.sawtoothsoftware.com/cgi-bin/ciwweb.pl?studyname=ProfPlanta2024&amp;Correo=angela.rubiano@unisabana.edu.co02"/>
    <s v="POSGRADO"/>
    <n v="5"/>
    <x v="1"/>
  </r>
  <r>
    <s v="angela.trujillo@unisabana.edu.co02"/>
    <x v="64"/>
    <s v="PLANTA"/>
    <s v="No"/>
    <s v="https://ProfPlanta2024.sawtoothsoftware.com/cgi-bin/ciwweb.pl?studyname=ProfPlanta2024&amp;Correo=angela.trujillo@unisabana.edu.co02"/>
    <s v="POSGRADO"/>
    <n v="9"/>
    <x v="6"/>
  </r>
  <r>
    <s v="angelica.ospina@unisabana.edu.co02"/>
    <x v="132"/>
    <s v="PLANTA"/>
    <s v="No"/>
    <s v="https://ProfPlanta2024.sawtoothsoftware.com/cgi-bin/ciwweb.pl?studyname=ProfPlanta2024&amp;Correo=angelica.ospina@unisabana.edu.co02"/>
    <s v="POSGRADO"/>
    <n v="6"/>
    <x v="9"/>
  </r>
  <r>
    <s v="astrid.robayo@unisabana.edu.co02"/>
    <x v="91"/>
    <s v="PLANTA"/>
    <s v="No"/>
    <s v="https://ProfPlanta2024.sawtoothsoftware.com/cgi-bin/ciwweb.pl?studyname=ProfPlanta2024&amp;Correo=astrid.robayo@unisabana.edu.co02"/>
    <s v="POSGRADO"/>
    <n v="6"/>
    <x v="9"/>
  </r>
  <r>
    <s v="camilo.rengifo@unisabana.edu.co02"/>
    <x v="36"/>
    <s v="PLANTA"/>
    <s v="Si"/>
    <s v="https://ProfPlanta2024.sawtoothsoftware.com/cgi-bin/ciwweb.pl?studyname=ProfPlanta2024&amp;Correo=camilo.rengifo@unisabana.edu.co02"/>
    <s v="POSGRADO"/>
    <n v="8"/>
    <x v="0"/>
  </r>
  <r>
    <s v="carlos.bernal7@unisabana.edu.co02"/>
    <x v="71"/>
    <s v="PLANTA"/>
    <s v="No"/>
    <s v="https://ProfPlanta2024.sawtoothsoftware.com/cgi-bin/ciwweb.pl?studyname=ProfPlanta2024&amp;Correo=carlos.bernal7@unisabana.edu.co02"/>
    <s v="POSGRADO"/>
    <n v="4"/>
    <x v="5"/>
  </r>
  <r>
    <s v="carlos.dominguez@unisabana.edu.co02"/>
    <x v="99"/>
    <s v="PLANTA"/>
    <s v="No"/>
    <s v="https://ProfPlanta2024.sawtoothsoftware.com/cgi-bin/ciwweb.pl?studyname=ProfPlanta2024&amp;Correo=carlos.dominguez@unisabana.edu.co02"/>
    <s v="POSGRADO"/>
    <n v="1"/>
    <x v="7"/>
  </r>
  <r>
    <s v="carlos.monroy@unisabana.edu.co02"/>
    <x v="117"/>
    <s v="PLANTA"/>
    <s v="No"/>
    <s v="https://ProfPlanta2024.sawtoothsoftware.com/cgi-bin/ciwweb.pl?studyname=ProfPlanta2024&amp;Correo=carlos.monroy@unisabana.edu.co02"/>
    <s v="POSGRADO"/>
    <n v="9"/>
    <x v="6"/>
  </r>
  <r>
    <s v="carol.vanegas@unisabana.edu.co02"/>
    <x v="39"/>
    <s v="PLANTA"/>
    <s v="No"/>
    <s v="https://ProfPlanta2024.sawtoothsoftware.com/cgi-bin/ciwweb.pl?studyname=ProfPlanta2024&amp;Correo=carol.vanegas@unisabana.edu.co02"/>
    <s v="POSGRADO"/>
    <n v="11"/>
    <x v="12"/>
  </r>
  <r>
    <s v="cesar.bernal@unisabana.edu.co02"/>
    <x v="87"/>
    <s v="PLANTA"/>
    <s v="Si"/>
    <s v="https://ProfPlanta2024.sawtoothsoftware.com/cgi-bin/ciwweb.pl?studyname=ProfPlanta2024&amp;Correo=cesar.bernal@unisabana.edu.co02"/>
    <s v="POSGRADO"/>
    <n v="2"/>
    <x v="4"/>
  </r>
  <r>
    <s v="ciro.parra@unisabana.edu.co02"/>
    <x v="111"/>
    <s v="PLANTA"/>
    <s v="No"/>
    <s v="https://ProfPlanta2024.sawtoothsoftware.com/cgi-bin/ciwweb.pl?studyname=ProfPlanta2024&amp;Correo=ciro.parra@unisabana.edu.co02"/>
    <s v="POSGRADO"/>
    <n v="5"/>
    <x v="1"/>
  </r>
  <r>
    <s v="claudia.garzon@unisabana.edu.co02"/>
    <x v="36"/>
    <s v="PLANTA"/>
    <s v="No"/>
    <s v="https://ProfPlanta2024.sawtoothsoftware.com/cgi-bin/ciwweb.pl?studyname=ProfPlanta2024&amp;Correo=claudia.garzon@unisabana.edu.co02"/>
    <s v="POSGRADO"/>
    <n v="8"/>
    <x v="0"/>
  </r>
  <r>
    <s v="cristina.bohorquez1@unisabana.edu.co02"/>
    <x v="132"/>
    <s v="PLANTA"/>
    <s v="Si"/>
    <s v="https://ProfPlanta2024.sawtoothsoftware.com/cgi-bin/ciwweb.pl?studyname=ProfPlanta2024&amp;Correo=cristina.bohorquez1@unisabana.edu.co02"/>
    <s v="POSGRADO"/>
    <n v="6"/>
    <x v="9"/>
  </r>
  <r>
    <s v="dianaar@unisabana.edu.co02"/>
    <x v="149"/>
    <s v="PLANTA"/>
    <s v="Si"/>
    <s v="https://ProfPlanta2024.sawtoothsoftware.com/cgi-bin/ciwweb.pl?studyname=ProfPlanta2024&amp;Correo=dianaar@unisabana.edu.co02"/>
    <s v="POSGRADO"/>
    <n v="6"/>
    <x v="9"/>
  </r>
  <r>
    <s v="diego.becerra2@unisabana.edu.co02"/>
    <x v="150"/>
    <s v="PLANTA"/>
    <s v="No"/>
    <s v="https://ProfPlanta2024.sawtoothsoftware.com/cgi-bin/ciwweb.pl?studyname=ProfPlanta2024&amp;Correo=diego.becerra2@unisabana.edu.co02"/>
    <s v="POSGRADO"/>
    <n v="5"/>
    <x v="1"/>
  </r>
  <r>
    <s v="fabio.victorino1@unisabana.edu.co02"/>
    <x v="127"/>
    <s v="PLANTA"/>
    <s v="Si"/>
    <s v="https://ProfPlanta2024.sawtoothsoftware.com/cgi-bin/ciwweb.pl?studyname=ProfPlanta2024&amp;Correo=fabio.victorino1@unisabana.edu.co02"/>
    <s v="POSGRADO"/>
    <n v="11"/>
    <x v="12"/>
  </r>
  <r>
    <s v="felipe.cardenas@unisabana.edu.co02"/>
    <x v="111"/>
    <s v="PLANTA"/>
    <s v="No"/>
    <s v="https://ProfPlanta2024.sawtoothsoftware.com/cgi-bin/ciwweb.pl?studyname=ProfPlanta2024&amp;Correo=felipe.cardenas@unisabana.edu.co02"/>
    <s v="POSGRADO"/>
    <n v="5"/>
    <x v="1"/>
  </r>
  <r>
    <s v="flor.baracaldo@unisabana.edu.co02"/>
    <x v="117"/>
    <s v="PLANTA"/>
    <s v="No"/>
    <s v="https://ProfPlanta2024.sawtoothsoftware.com/cgi-bin/ciwweb.pl?studyname=ProfPlanta2024&amp;Correo=flor.baracaldo@unisabana.edu.co02"/>
    <s v="POSGRADO"/>
    <n v="9"/>
    <x v="6"/>
  </r>
  <r>
    <s v="giovanni.hernandez@unisabana.edu.co02"/>
    <x v="47"/>
    <s v="PLANTA"/>
    <s v="No"/>
    <s v="https://ProfPlanta2024.sawtoothsoftware.com/cgi-bin/ciwweb.pl?studyname=ProfPlanta2024&amp;Correo=giovanni.hernandez@unisabana.edu.co02"/>
    <s v="POSGRADO"/>
    <n v="2"/>
    <x v="4"/>
  </r>
  <r>
    <s v="gloria.carvajal@unisabana.edu.co02"/>
    <x v="132"/>
    <s v="PLANTA"/>
    <s v="No"/>
    <s v="https://ProfPlanta2024.sawtoothsoftware.com/cgi-bin/ciwweb.pl?studyname=ProfPlanta2024&amp;Correo=gloria.carvajal@unisabana.edu.co02"/>
    <s v="POSGRADO"/>
    <n v="6"/>
    <x v="9"/>
  </r>
  <r>
    <s v="gonzalo.mejia@unisabana.edu.co02"/>
    <x v="43"/>
    <s v="PLANTA"/>
    <s v="No"/>
    <s v="https://ProfPlanta2024.sawtoothsoftware.com/cgi-bin/ciwweb.pl?studyname=ProfPlanta2024&amp;Correo=gonzalo.mejia@unisabana.edu.co02"/>
    <s v="POSGRADO"/>
    <n v="8"/>
    <x v="0"/>
  </r>
  <r>
    <s v="gustavo.riveros1@unisabana.edu.co02"/>
    <x v="120"/>
    <s v="PLANTA"/>
    <s v="Si"/>
    <s v="https://ProfPlanta2024.sawtoothsoftware.com/cgi-bin/ciwweb.pl?studyname=ProfPlanta2024&amp;Correo=gustavo.riveros1@unisabana.edu.co02"/>
    <s v="POSGRADO"/>
    <n v="11"/>
    <x v="12"/>
  </r>
  <r>
    <s v="indira.rodriguez@unisabana.edu.co02"/>
    <x v="149"/>
    <s v="PLANTA"/>
    <s v="No"/>
    <s v="https://ProfPlanta2024.sawtoothsoftware.com/cgi-bin/ciwweb.pl?studyname=ProfPlanta2024&amp;Correo=indira.rodriguez@unisabana.edu.co02"/>
    <s v="POSGRADO"/>
    <n v="6"/>
    <x v="9"/>
  </r>
  <r>
    <s v="Jaime.Rodriguez3@unisabana.edu.co02"/>
    <x v="56"/>
    <s v="PLANTA"/>
    <s v="No"/>
    <s v="https://ProfPlanta2024.sawtoothsoftware.com/cgi-bin/ciwweb.pl?studyname=ProfPlanta2024&amp;Correo=Jaime.Rodriguez3@unisabana.edu.co02"/>
    <s v="POSGRADO"/>
    <n v="2"/>
    <x v="4"/>
  </r>
  <r>
    <s v="Jairo.Jimenez2@unisabana.edu.co02"/>
    <x v="111"/>
    <s v="PLANTA"/>
    <s v="No"/>
    <s v="https://ProfPlanta2024.sawtoothsoftware.com/cgi-bin/ciwweb.pl?studyname=ProfPlanta2024&amp;Correo=Jairo.Jimenez2@unisabana.edu.co02"/>
    <s v="POSGRADO"/>
    <n v="5"/>
    <x v="1"/>
  </r>
  <r>
    <s v="jairo.montoya@unisabana.edu.co02"/>
    <x v="35"/>
    <s v="PLANTA"/>
    <s v="No"/>
    <s v="https://ProfPlanta2024.sawtoothsoftware.com/cgi-bin/ciwweb.pl?studyname=ProfPlanta2024&amp;Correo=jairo.montoya@unisabana.edu.co02"/>
    <s v="POSGRADO"/>
    <n v="8"/>
    <x v="0"/>
  </r>
  <r>
    <s v="jimmy.mendieta@unisabana.edu.co02"/>
    <x v="135"/>
    <s v="PLANTA"/>
    <s v="Si"/>
    <s v="https://ProfPlanta2024.sawtoothsoftware.com/cgi-bin/ciwweb.pl?studyname=ProfPlanta2024&amp;Correo=jimmy.mendieta@unisabana.edu.co02"/>
    <s v="POSGRADO"/>
    <n v="6"/>
    <x v="9"/>
  </r>
  <r>
    <s v="johanna.camargo1@unisabana.edu.co02"/>
    <x v="130"/>
    <s v="PLANTA"/>
    <s v="No"/>
    <s v="https://ProfPlanta2024.sawtoothsoftware.com/cgi-bin/ciwweb.pl?studyname=ProfPlanta2024&amp;Correo=johanna.camargo1@unisabana.edu.co02"/>
    <s v="POSGRADO"/>
    <n v="11"/>
    <x v="12"/>
  </r>
  <r>
    <s v="juan.martinez15@unisabana.edu.co02"/>
    <x v="40"/>
    <s v="PLANTA"/>
    <s v="No"/>
    <s v="https://ProfPlanta2024.sawtoothsoftware.com/cgi-bin/ciwweb.pl?studyname=ProfPlanta2024&amp;Correo=juan.martinez15@unisabana.edu.co02"/>
    <s v="POSGRADO"/>
    <n v="4"/>
    <x v="5"/>
  </r>
  <r>
    <s v="juan.sandoval1@unisabana.edu.co02"/>
    <x v="117"/>
    <s v="PLANTA"/>
    <s v="No"/>
    <s v="https://ProfPlanta2024.sawtoothsoftware.com/cgi-bin/ciwweb.pl?studyname=ProfPlanta2024&amp;Correo=juan.sandoval1@unisabana.edu.co02"/>
    <s v="POSGRADO"/>
    <n v="9"/>
    <x v="6"/>
  </r>
  <r>
    <s v="juan.sarmiento3@unisabana.edu.co02"/>
    <x v="46"/>
    <s v="PLANTA"/>
    <s v="Si"/>
    <s v="https://ProfPlanta2024.sawtoothsoftware.com/cgi-bin/ciwweb.pl?studyname=ProfPlanta2024&amp;Correo=juan.sarmiento3@unisabana.edu.co02"/>
    <s v="POSGRADO"/>
    <n v="4"/>
    <x v="5"/>
  </r>
  <r>
    <s v="julie.cedeno@unisabana.edu.co02"/>
    <x v="117"/>
    <s v="PLANTA"/>
    <s v="No"/>
    <s v="https://ProfPlanta2024.sawtoothsoftware.com/cgi-bin/ciwweb.pl?studyname=ProfPlanta2024&amp;Correo=julie.cedeno@unisabana.edu.co02"/>
    <s v="POSGRADO"/>
    <n v="9"/>
    <x v="6"/>
  </r>
  <r>
    <s v="laura.carreno@unisabana.edu.co02"/>
    <x v="138"/>
    <s v="PLANTA"/>
    <s v="No"/>
    <s v="https://ProfPlanta2024.sawtoothsoftware.com/cgi-bin/ciwweb.pl?studyname=ProfPlanta2024&amp;Correo=laura.carreno@unisabana.edu.co02"/>
    <s v="POSGRADO"/>
    <n v="5"/>
    <x v="1"/>
  </r>
  <r>
    <s v="laura.fuerte1@unisabana.edu.co02"/>
    <x v="123"/>
    <s v="PLANTA"/>
    <s v="No"/>
    <s v="https://ProfPlanta2024.sawtoothsoftware.com/cgi-bin/ciwweb.pl?studyname=ProfPlanta2024&amp;Correo=laura.fuerte1@unisabana.edu.co02"/>
    <s v="POSGRADO"/>
    <n v="2"/>
    <x v="4"/>
  </r>
  <r>
    <s v="leidy.diaz3@unisabana.edu.co02"/>
    <x v="64"/>
    <s v="PLANTA"/>
    <s v="No"/>
    <s v="https://ProfPlanta2024.sawtoothsoftware.com/cgi-bin/ciwweb.pl?studyname=ProfPlanta2024&amp;Correo=leidy.diaz3@unisabana.edu.co02"/>
    <s v="POSGRADO"/>
    <n v="9"/>
    <x v="6"/>
  </r>
  <r>
    <s v="liliana.gutierrez1@unisabana.edu.co02"/>
    <x v="65"/>
    <s v="PLANTA"/>
    <s v="No"/>
    <s v="https://ProfPlanta2024.sawtoothsoftware.com/cgi-bin/ciwweb.pl?studyname=ProfPlanta2024&amp;Correo=liliana.gutierrez1@unisabana.edu.co02"/>
    <s v="POSGRADO"/>
    <n v="3"/>
    <x v="2"/>
  </r>
  <r>
    <s v="liza.pinzon@unisabana.edu.co02"/>
    <x v="57"/>
    <s v="PLANTA"/>
    <s v="Si"/>
    <s v="https://ProfPlanta2024.sawtoothsoftware.com/cgi-bin/ciwweb.pl?studyname=ProfPlanta2024&amp;Correo=liza.pinzon@unisabana.edu.co02"/>
    <s v="POSGRADO"/>
    <n v="2"/>
    <x v="4"/>
  </r>
  <r>
    <s v="luis.diaz1@unisabana.edu.co02"/>
    <x v="36"/>
    <s v="PLANTA"/>
    <s v="No"/>
    <s v="https://ProfPlanta2024.sawtoothsoftware.com/cgi-bin/ciwweb.pl?studyname=ProfPlanta2024&amp;Correo=luis.diaz1@unisabana.edu.co02"/>
    <s v="POSGRADO"/>
    <n v="8"/>
    <x v="0"/>
  </r>
  <r>
    <s v="luisf.giraldo@unisabana.edu.co02"/>
    <x v="92"/>
    <s v="PLANTA"/>
    <s v="No"/>
    <s v="https://ProfPlanta2024.sawtoothsoftware.com/cgi-bin/ciwweb.pl?studyname=ProfPlanta2024&amp;Correo=luisf.giraldo@unisabana.edu.co02"/>
    <s v="POSGRADO"/>
    <n v="1"/>
    <x v="7"/>
  </r>
  <r>
    <s v="luz.torres3@unisabana.edu.co02"/>
    <x v="56"/>
    <s v="PLANTA"/>
    <s v="No"/>
    <s v="https://ProfPlanta2024.sawtoothsoftware.com/cgi-bin/ciwweb.pl?studyname=ProfPlanta2024&amp;Correo=luz.torres3@unisabana.edu.co02"/>
    <s v="POSGRADO"/>
    <n v="2"/>
    <x v="4"/>
  </r>
  <r>
    <s v="luz.villegas1@unisabana.edu.co02"/>
    <x v="61"/>
    <s v="PLANTA"/>
    <s v="Si"/>
    <s v="https://ProfPlanta2024.sawtoothsoftware.com/cgi-bin/ciwweb.pl?studyname=ProfPlanta2024&amp;Correo=luz.villegas1@unisabana.edu.co02"/>
    <s v="POSGRADO"/>
    <n v="11"/>
    <x v="12"/>
  </r>
  <r>
    <s v="manuel.figueredo@unisabana.edu.co02"/>
    <x v="35"/>
    <s v="PLANTA"/>
    <s v="No"/>
    <s v="https://ProfPlanta2024.sawtoothsoftware.com/cgi-bin/ciwweb.pl?studyname=ProfPlanta2024&amp;Correo=manuel.figueredo@unisabana.edu.co02"/>
    <s v="POSGRADO"/>
    <n v="8"/>
    <x v="0"/>
  </r>
  <r>
    <s v="margarethalmo@unisabana.edu.co02"/>
    <x v="149"/>
    <s v="PLANTA"/>
    <s v="No"/>
    <s v="https://ProfPlanta2024.sawtoothsoftware.com/cgi-bin/ciwweb.pl?studyname=ProfPlanta2024&amp;Correo=margarethalmo@unisabana.edu.co02"/>
    <s v="POSGRADO"/>
    <n v="6"/>
    <x v="9"/>
  </r>
  <r>
    <s v="margarita.cardenas@unisabana.edu.co02"/>
    <x v="46"/>
    <s v="PLANTA"/>
    <s v="No"/>
    <s v="https://ProfPlanta2024.sawtoothsoftware.com/cgi-bin/ciwweb.pl?studyname=ProfPlanta2024&amp;Correo=margarita.cardenas@unisabana.edu.co02"/>
    <s v="POSGRADO"/>
    <n v="4"/>
    <x v="5"/>
  </r>
  <r>
    <s v="maria.mejia2@unisabana.edu.co02"/>
    <x v="79"/>
    <s v="PLANTA"/>
    <s v="No"/>
    <s v="https://ProfPlanta2024.sawtoothsoftware.com/cgi-bin/ciwweb.pl?studyname=ProfPlanta2024&amp;Correo=maria.mejia2@unisabana.edu.co02"/>
    <s v="POSGRADO"/>
    <n v="9"/>
    <x v="6"/>
  </r>
  <r>
    <s v="maria.quintanilla1@unisabana.edu.co02"/>
    <x v="36"/>
    <s v="PLANTA"/>
    <s v="No"/>
    <s v="https://ProfPlanta2024.sawtoothsoftware.com/cgi-bin/ciwweb.pl?studyname=ProfPlanta2024&amp;Correo=maria.quintanilla1@unisabana.edu.co02"/>
    <s v="POSGRADO"/>
    <n v="8"/>
    <x v="0"/>
  </r>
  <r>
    <s v="maria.sanchez2@unisabana.edu.co02"/>
    <x v="143"/>
    <s v="PLANTA"/>
    <s v="No"/>
    <s v="https://ProfPlanta2024.sawtoothsoftware.com/cgi-bin/ciwweb.pl?studyname=ProfPlanta2024&amp;Correo=maria.sanchez2@unisabana.edu.co02"/>
    <s v="POSGRADO"/>
    <n v="6"/>
    <x v="9"/>
  </r>
  <r>
    <s v="mariae.moreno@unisabana.edu.co02"/>
    <x v="41"/>
    <s v="PLANTA"/>
    <s v="No"/>
    <s v="https://ProfPlanta2024.sawtoothsoftware.com/cgi-bin/ciwweb.pl?studyname=ProfPlanta2024&amp;Correo=mariae.moreno@unisabana.edu.co02"/>
    <s v="POSGRADO"/>
    <n v="6"/>
    <x v="9"/>
  </r>
  <r>
    <s v="mario.juha@unisabana.edu.co02"/>
    <x v="35"/>
    <s v="PLANTA"/>
    <s v="No"/>
    <s v="https://ProfPlanta2024.sawtoothsoftware.com/cgi-bin/ciwweb.pl?studyname=ProfPlanta2024&amp;Correo=mario.juha@unisabana.edu.co02"/>
    <s v="POSGRADO"/>
    <n v="8"/>
    <x v="0"/>
  </r>
  <r>
    <s v="martha.acosta@unisabana.edu.co02"/>
    <x v="149"/>
    <s v="PLANTA"/>
    <s v="No"/>
    <s v="https://ProfPlanta2024.sawtoothsoftware.com/cgi-bin/ciwweb.pl?studyname=ProfPlanta2024&amp;Correo=martha.acosta@unisabana.edu.co02"/>
    <s v="POSGRADO"/>
    <n v="6"/>
    <x v="9"/>
  </r>
  <r>
    <s v="martha.co0bo@unisabana.edu.co02"/>
    <x v="36"/>
    <s v="PLANTA"/>
    <s v="No"/>
    <s v="https://ProfPlanta2024.sawtoothsoftware.com/cgi-bin/ciwweb.pl?studyname=ProfPlanta2024&amp;Correo=martha.co0bo@unisabana.edu.co02"/>
    <s v="POSGRADO"/>
    <n v="8"/>
    <x v="0"/>
  </r>
  <r>
    <s v="olga.reyes1@unisabana.edu.co02"/>
    <x v="104"/>
    <s v="PLANTA"/>
    <s v="No"/>
    <s v="https://ProfPlanta2024.sawtoothsoftware.com/cgi-bin/ciwweb.pl?studyname=ProfPlanta2024&amp;Correo=olga.reyes1@unisabana.edu.co02"/>
    <s v="POSGRADO"/>
    <n v="5"/>
    <x v="1"/>
  </r>
  <r>
    <s v="oscar.boude@unisabana.edu.co02"/>
    <x v="109"/>
    <s v="PLANTA"/>
    <s v="No"/>
    <s v="https://ProfPlanta2024.sawtoothsoftware.com/cgi-bin/ciwweb.pl?studyname=ProfPlanta2024&amp;Correo=oscar.boude@unisabana.edu.co02"/>
    <s v="POSGRADO"/>
    <n v="5"/>
    <x v="1"/>
  </r>
  <r>
    <s v="RocioHP@unisabana.edu.co02"/>
    <x v="55"/>
    <s v="PLANTA"/>
    <s v="No"/>
    <s v="https://ProfPlanta2024.sawtoothsoftware.com/cgi-bin/ciwweb.pl?studyname=ProfPlanta2024&amp;Correo=RocioHP@unisabana.edu.co02"/>
    <s v="POSGRADO"/>
    <n v="11"/>
    <x v="12"/>
  </r>
  <r>
    <s v="william.guerrero1@unisabana.edu.co02"/>
    <x v="36"/>
    <s v="PLANTA"/>
    <s v="No"/>
    <s v="https://ProfPlanta2024.sawtoothsoftware.com/cgi-bin/ciwweb.pl?studyname=ProfPlanta2024&amp;Correo=william.guerrero1@unisabana.edu.co02"/>
    <s v="POSGRADO"/>
    <n v="8"/>
    <x v="0"/>
  </r>
  <r>
    <s v="william.hernandez2@unisabana.edu.co02"/>
    <x v="40"/>
    <s v="PLANTA"/>
    <s v="Si"/>
    <s v="https://ProfPlanta2024.sawtoothsoftware.com/cgi-bin/ciwweb.pl?studyname=ProfPlanta2024&amp;Correo=william.hernandez2@unisabana.edu.co02"/>
    <s v="POSGRADO"/>
    <n v="4"/>
    <x v="5"/>
  </r>
  <r>
    <s v="yulieth.zabaleta1@unisabana.edu.co02"/>
    <x v="135"/>
    <s v="PLANTA"/>
    <s v="Si"/>
    <s v="https://ProfPlanta2024.sawtoothsoftware.com/cgi-bin/ciwweb.pl?studyname=ProfPlanta2024&amp;Correo=yulieth.zabaleta1@unisabana.edu.co02"/>
    <s v="POSGRADO"/>
    <n v="6"/>
    <x v="9"/>
  </r>
  <r>
    <s v="alejandra.fuentes@unisabana.edu.co02"/>
    <x v="132"/>
    <s v="PLANTA"/>
    <s v="No"/>
    <s v="https://ProfPlanta2024.sawtoothsoftware.com/cgi-bin/ciwweb.pl?studyname=ProfPlanta2024&amp;Correo=alejandra.fuentes@unisabana.edu.co02"/>
    <s v="POSGRADO"/>
    <n v="6"/>
    <x v="9"/>
  </r>
  <r>
    <s v="adriana.castellanos@unisabana.edu.co03"/>
    <x v="149"/>
    <s v="PLANTA"/>
    <s v="Si"/>
    <s v="https://ProfPlanta2024.sawtoothsoftware.com/cgi-bin/ciwweb.pl?studyname=ProfPlanta2024&amp;Correo=adriana.castellanos@unisabana.edu.co03"/>
    <s v="POSGRADO"/>
    <n v="6"/>
    <x v="9"/>
  </r>
  <r>
    <s v="alexandra.pedraza@unisabana.edu.co03"/>
    <x v="151"/>
    <s v="PLANTA"/>
    <s v="No"/>
    <s v="https://ProfPlanta2024.sawtoothsoftware.com/cgi-bin/ciwweb.pl?studyname=ProfPlanta2024&amp;Correo=alexandra.pedraza@unisabana.edu.co03"/>
    <s v="POSGRADO"/>
    <n v="5"/>
    <x v="1"/>
  </r>
  <r>
    <s v="ana.olaya@unisabana.edu.co03"/>
    <x v="58"/>
    <s v="PLANTA"/>
    <s v="No"/>
    <s v="https://ProfPlanta2024.sawtoothsoftware.com/cgi-bin/ciwweb.pl?studyname=ProfPlanta2024&amp;Correo=ana.olaya@unisabana.edu.co03"/>
    <s v="POSGRADO"/>
    <n v="2"/>
    <x v="4"/>
  </r>
  <r>
    <s v="andres.mejia@unisabana.edu.co03"/>
    <x v="87"/>
    <s v="PLANTA"/>
    <s v="No"/>
    <s v="https://ProfPlanta2024.sawtoothsoftware.com/cgi-bin/ciwweb.pl?studyname=ProfPlanta2024&amp;Correo=andres.mejia@unisabana.edu.co03"/>
    <s v="POSGRADO"/>
    <n v="2"/>
    <x v="4"/>
  </r>
  <r>
    <s v="angela.rubiano@unisabana.edu.co03"/>
    <x v="151"/>
    <s v="PLANTA"/>
    <s v="No"/>
    <s v="https://ProfPlanta2024.sawtoothsoftware.com/cgi-bin/ciwweb.pl?studyname=ProfPlanta2024&amp;Correo=angela.rubiano@unisabana.edu.co03"/>
    <s v="POSGRADO"/>
    <n v="5"/>
    <x v="1"/>
  </r>
  <r>
    <s v="angelica.ospina@unisabana.edu.co03"/>
    <x v="135"/>
    <s v="PLANTA"/>
    <s v="No"/>
    <s v="https://ProfPlanta2024.sawtoothsoftware.com/cgi-bin/ciwweb.pl?studyname=ProfPlanta2024&amp;Correo=angelica.ospina@unisabana.edu.co03"/>
    <s v="POSGRADO"/>
    <n v="6"/>
    <x v="9"/>
  </r>
  <r>
    <s v="astrid.robayo@unisabana.edu.co03"/>
    <x v="132"/>
    <s v="PLANTA"/>
    <s v="No"/>
    <s v="https://ProfPlanta2024.sawtoothsoftware.com/cgi-bin/ciwweb.pl?studyname=ProfPlanta2024&amp;Correo=astrid.robayo@unisabana.edu.co03"/>
    <s v="POSGRADO"/>
    <n v="6"/>
    <x v="9"/>
  </r>
  <r>
    <s v="carol.vanegas@unisabana.edu.co03"/>
    <x v="130"/>
    <s v="PLANTA"/>
    <s v="No"/>
    <s v="https://ProfPlanta2024.sawtoothsoftware.com/cgi-bin/ciwweb.pl?studyname=ProfPlanta2024&amp;Correo=carol.vanegas@unisabana.edu.co03"/>
    <s v="POSGRADO"/>
    <n v="11"/>
    <x v="12"/>
  </r>
  <r>
    <s v="diego.becerra2@unisabana.edu.co03"/>
    <x v="150"/>
    <s v="PLANTA"/>
    <s v="No"/>
    <s v="https://ProfPlanta2024.sawtoothsoftware.com/cgi-bin/ciwweb.pl?studyname=ProfPlanta2024&amp;Correo=diego.becerra2@unisabana.edu.co03"/>
    <s v="POSGRADO"/>
    <n v="5"/>
    <x v="1"/>
  </r>
  <r>
    <s v="felipe.cardenas@unisabana.edu.co03"/>
    <x v="150"/>
    <s v="PLANTA"/>
    <s v="No"/>
    <s v="https://ProfPlanta2024.sawtoothsoftware.com/cgi-bin/ciwweb.pl?studyname=ProfPlanta2024&amp;Correo=felipe.cardenas@unisabana.edu.co03"/>
    <s v="POSGRADO"/>
    <n v="5"/>
    <x v="1"/>
  </r>
  <r>
    <s v="giovanni.hernandez@unisabana.edu.co03"/>
    <x v="123"/>
    <s v="PLANTA"/>
    <s v="No"/>
    <s v="https://ProfPlanta2024.sawtoothsoftware.com/cgi-bin/ciwweb.pl?studyname=ProfPlanta2024&amp;Correo=giovanni.hernandez@unisabana.edu.co03"/>
    <s v="POSGRADO"/>
    <n v="2"/>
    <x v="4"/>
  </r>
  <r>
    <s v="gloria.carvajal@unisabana.edu.co03"/>
    <x v="135"/>
    <s v="PLANTA"/>
    <s v="No"/>
    <s v="https://ProfPlanta2024.sawtoothsoftware.com/cgi-bin/ciwweb.pl?studyname=ProfPlanta2024&amp;Correo=gloria.carvajal@unisabana.edu.co03"/>
    <s v="POSGRADO"/>
    <n v="6"/>
    <x v="9"/>
  </r>
  <r>
    <s v="laura.carreno@unisabana.edu.co03"/>
    <x v="152"/>
    <s v="PLANTA"/>
    <s v="No"/>
    <s v="https://ProfPlanta2024.sawtoothsoftware.com/cgi-bin/ciwweb.pl?studyname=ProfPlanta2024&amp;Correo=laura.carreno@unisabana.edu.co03"/>
    <s v="POSGRADO"/>
    <n v="5"/>
    <x v="1"/>
  </r>
  <r>
    <s v="luz.torres3@unisabana.edu.co03"/>
    <x v="87"/>
    <s v="PLANTA"/>
    <s v="No"/>
    <s v="https://ProfPlanta2024.sawtoothsoftware.com/cgi-bin/ciwweb.pl?studyname=ProfPlanta2024&amp;Correo=luz.torres3@unisabana.edu.co03"/>
    <s v="POSGRADO"/>
    <n v="2"/>
    <x v="4"/>
  </r>
  <r>
    <s v="luz.villegas1@unisabana.edu.co03"/>
    <x v="131"/>
    <s v="PLANTA"/>
    <s v="Si"/>
    <s v="https://ProfPlanta2024.sawtoothsoftware.com/cgi-bin/ciwweb.pl?studyname=ProfPlanta2024&amp;Correo=luz.villegas1@unisabana.edu.co03"/>
    <s v="POSGRADO"/>
    <n v="11"/>
    <x v="12"/>
  </r>
  <r>
    <s v="maria.sanchez2@unisabana.edu.co03"/>
    <x v="149"/>
    <s v="PLANTA"/>
    <s v="No"/>
    <s v="https://ProfPlanta2024.sawtoothsoftware.com/cgi-bin/ciwweb.pl?studyname=ProfPlanta2024&amp;Correo=maria.sanchez2@unisabana.edu.co03"/>
    <s v="POSGRADO"/>
    <n v="6"/>
    <x v="9"/>
  </r>
  <r>
    <s v="mariae.moreno@unisabana.edu.co03"/>
    <x v="132"/>
    <s v="PLANTA"/>
    <s v="No"/>
    <s v="https://ProfPlanta2024.sawtoothsoftware.com/cgi-bin/ciwweb.pl?studyname=ProfPlanta2024&amp;Correo=mariae.moreno@unisabana.edu.co03"/>
    <s v="POSGRADO"/>
    <n v="6"/>
    <x v="9"/>
  </r>
  <r>
    <s v="olga.reyes1@unisabana.edu.co03"/>
    <x v="134"/>
    <s v="PLANTA"/>
    <s v="No"/>
    <s v="https://ProfPlanta2024.sawtoothsoftware.com/cgi-bin/ciwweb.pl?studyname=ProfPlanta2024&amp;Correo=olga.reyes1@unisabana.edu.co03"/>
    <s v="POSGRADO"/>
    <n v="5"/>
    <x v="1"/>
  </r>
  <r>
    <s v="oscar.boude@unisabana.edu.co03"/>
    <x v="150"/>
    <s v="PLANTA"/>
    <s v="No"/>
    <s v="https://ProfPlanta2024.sawtoothsoftware.com/cgi-bin/ciwweb.pl?studyname=ProfPlanta2024&amp;Correo=oscar.boude@unisabana.edu.co03"/>
    <s v="POSGRADO"/>
    <n v="5"/>
    <x v="1"/>
  </r>
  <r>
    <s v="RocioHP@unisabana.edu.co03"/>
    <x v="98"/>
    <s v="PLANTA"/>
    <s v="Si"/>
    <s v="https://ProfPlanta2024.sawtoothsoftware.com/cgi-bin/ciwweb.pl?studyname=ProfPlanta2024&amp;Correo=RocioHP@unisabana.edu.co03"/>
    <s v="POSGRADO"/>
    <n v="11"/>
    <x v="12"/>
  </r>
  <r>
    <s v="alejandra.fuentes@unisabana.edu.co03"/>
    <x v="135"/>
    <s v="PLANTA"/>
    <s v="No"/>
    <s v="https://ProfPlanta2024.sawtoothsoftware.com/cgi-bin/ciwweb.pl?studyname=ProfPlanta2024&amp;Correo=alejandra.fuentes@unisabana.edu.co03"/>
    <s v="POSGRADO"/>
    <n v="6"/>
    <x v="9"/>
  </r>
  <r>
    <s v="andres.mejia@unisabana.edu.co04"/>
    <x v="57"/>
    <s v="PLANTA"/>
    <s v="No"/>
    <s v="https://ProfPlanta2024.sawtoothsoftware.com/cgi-bin/ciwweb.pl?studyname=ProfPlanta2024&amp;Correo=andres.mejia@unisabana.edu.co04"/>
    <s v="POSGRADO"/>
    <n v="2"/>
    <x v="4"/>
  </r>
  <r>
    <s v="astrid.robayo@unisabana.edu.co04"/>
    <x v="135"/>
    <s v="PLANTA"/>
    <s v="No"/>
    <s v="https://ProfPlanta2024.sawtoothsoftware.com/cgi-bin/ciwweb.pl?studyname=ProfPlanta2024&amp;Correo=astrid.robayo@unisabana.edu.co04"/>
    <s v="POSGRADO"/>
    <n v="6"/>
    <x v="9"/>
  </r>
  <r>
    <s v="felipe.cardenas@unisabana.edu.co04"/>
    <x v="50"/>
    <s v="PLANTA"/>
    <s v="No"/>
    <s v="https://ProfPlanta2024.sawtoothsoftware.com/cgi-bin/ciwweb.pl?studyname=ProfPlanta2024&amp;Correo=felipe.cardenas@unisabana.edu.co04"/>
    <s v="POSGRADO"/>
    <n v="5"/>
    <x v="1"/>
  </r>
  <r>
    <s v="giovanni.hernandez@unisabana.edu.co04"/>
    <x v="58"/>
    <s v="PLANTA"/>
    <s v="No"/>
    <s v="https://ProfPlanta2024.sawtoothsoftware.com/cgi-bin/ciwweb.pl?studyname=ProfPlanta2024&amp;Correo=giovanni.hernandez@unisabana.edu.co04"/>
    <s v="POSGRADO"/>
    <n v="2"/>
    <x v="4"/>
  </r>
  <r>
    <s v="mariae.moreno@unisabana.edu.co04"/>
    <x v="135"/>
    <s v="PLANTA"/>
    <s v="No"/>
    <s v="https://ProfPlanta2024.sawtoothsoftware.com/cgi-bin/ciwweb.pl?studyname=ProfPlanta2024&amp;Correo=mariae.moreno@unisabana.edu.co04"/>
    <s v="POSGRADO"/>
    <n v="6"/>
    <x v="9"/>
  </r>
  <r>
    <s v="olga.reyes1@unisabana.edu.co04"/>
    <x v="96"/>
    <s v="PLANTA"/>
    <s v="No"/>
    <s v="https://ProfPlanta2024.sawtoothsoftware.com/cgi-bin/ciwweb.pl?studyname=ProfPlanta2024&amp;Correo=olga.reyes1@unisabana.edu.co04"/>
    <s v="POSGRADO"/>
    <n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1">
  <r>
    <s v="maria.ramirez7@unisabana.edu.co"/>
    <x v="0"/>
    <x v="0"/>
  </r>
  <r>
    <s v="maria.rebellon1@unisabana.edu.co"/>
    <x v="0"/>
    <x v="0"/>
  </r>
  <r>
    <s v="adriana.rosillo@unisabana.edu.co"/>
    <x v="0"/>
    <x v="0"/>
  </r>
  <r>
    <s v="sandra.zambrano@unisabana.edu.co"/>
    <x v="0"/>
    <x v="0"/>
  </r>
  <r>
    <s v="catalina.ramirez2@unisabana.edu.co"/>
    <x v="1"/>
    <x v="0"/>
  </r>
  <r>
    <s v="nubia.cortes@unisabana.edu.co"/>
    <x v="1"/>
    <x v="0"/>
  </r>
  <r>
    <s v="nicolas.mejia1@unisabana.edu.co"/>
    <x v="1"/>
    <x v="0"/>
  </r>
  <r>
    <s v="brayan.buitrago@unisabana.edu.co"/>
    <x v="2"/>
    <x v="0"/>
  </r>
  <r>
    <s v="katherincalma@unisabana.edu.co"/>
    <x v="2"/>
    <x v="0"/>
  </r>
  <r>
    <s v="william.castro@unisabana.edu.co"/>
    <x v="2"/>
    <x v="1"/>
  </r>
  <r>
    <s v="adriana.cortes@unisabana.edu.co"/>
    <x v="2"/>
    <x v="0"/>
  </r>
  <r>
    <s v="maria.garzon9@unisabana.edu.co"/>
    <x v="2"/>
    <x v="0"/>
  </r>
  <r>
    <s v="gladys.guerrero@unisabana.edu.co"/>
    <x v="2"/>
    <x v="0"/>
  </r>
  <r>
    <s v="juan.ramirez10@unisabana.edu.co"/>
    <x v="2"/>
    <x v="0"/>
  </r>
  <r>
    <s v="johana.rubiano1@unisabana.edu.co"/>
    <x v="2"/>
    <x v="0"/>
  </r>
  <r>
    <s v="sandra.puentes1@unisabana.edu.co"/>
    <x v="2"/>
    <x v="0"/>
  </r>
  <r>
    <s v="ana.luque1@unisabana.edu.co"/>
    <x v="3"/>
    <x v="1"/>
  </r>
  <r>
    <s v="cesar.yepes@unisabana.edu.co"/>
    <x v="3"/>
    <x v="0"/>
  </r>
  <r>
    <s v="angela.baquero@unisabana.edu.co"/>
    <x v="4"/>
    <x v="0"/>
  </r>
  <r>
    <s v="angelica.barrios@unisabana.edu.co"/>
    <x v="4"/>
    <x v="0"/>
  </r>
  <r>
    <s v="laura.bermudez3@unisabana.edu.co"/>
    <x v="4"/>
    <x v="0"/>
  </r>
  <r>
    <s v="ana.cely@unisabana.edu.co"/>
    <x v="4"/>
    <x v="0"/>
  </r>
  <r>
    <s v="camilo.fernandez1@unisabana.edu.co"/>
    <x v="4"/>
    <x v="0"/>
  </r>
  <r>
    <s v="maria.hernandez3@unisabana.edu.co"/>
    <x v="4"/>
    <x v="0"/>
  </r>
  <r>
    <s v="jorge.medina@unisabana.edu.co"/>
    <x v="4"/>
    <x v="0"/>
  </r>
  <r>
    <s v="valentina.medina@unisabana.edu.co"/>
    <x v="4"/>
    <x v="0"/>
  </r>
  <r>
    <s v="paola.piza@unisabana.edu.co"/>
    <x v="4"/>
    <x v="0"/>
  </r>
  <r>
    <s v="catalina.rivera2@unisabana.edu.co"/>
    <x v="4"/>
    <x v="0"/>
  </r>
  <r>
    <s v="angelica.rodriguez@unisabana.edu.co"/>
    <x v="4"/>
    <x v="0"/>
  </r>
  <r>
    <s v="leidy.ruiz2@unisabana.edu.co"/>
    <x v="4"/>
    <x v="0"/>
  </r>
  <r>
    <s v="cristian.santos@unisabana.edu.co"/>
    <x v="4"/>
    <x v="0"/>
  </r>
  <r>
    <s v="yuli.tellez@unisabana.edu.co"/>
    <x v="4"/>
    <x v="0"/>
  </r>
  <r>
    <s v="sulmavemo@unisabana.edu.co"/>
    <x v="4"/>
    <x v="0"/>
  </r>
  <r>
    <s v="nubia.abella@unisabana.edu.co"/>
    <x v="5"/>
    <x v="0"/>
  </r>
  <r>
    <s v="maria.acevedo1@unisabana.edu.co"/>
    <x v="5"/>
    <x v="0"/>
  </r>
  <r>
    <s v="paula.alfonso1@unisabana.edu.co"/>
    <x v="5"/>
    <x v="0"/>
  </r>
  <r>
    <s v="maria.baez@unisabana.edu.co"/>
    <x v="5"/>
    <x v="0"/>
  </r>
  <r>
    <s v="martha.barrera1@unisabana.edu.co"/>
    <x v="5"/>
    <x v="0"/>
  </r>
  <r>
    <s v="cristhian.bossa@unisabana.edu.co"/>
    <x v="5"/>
    <x v="0"/>
  </r>
  <r>
    <s v="liliam.chia@unisabana.edu.co"/>
    <x v="5"/>
    <x v="0"/>
  </r>
  <r>
    <s v="laura.clavijo1@unisabana.edu.co"/>
    <x v="5"/>
    <x v="0"/>
  </r>
  <r>
    <s v="juan.correa2@unisabana.edu.co"/>
    <x v="5"/>
    <x v="0"/>
  </r>
  <r>
    <s v="juan.correa1@unisabana.edu.co"/>
    <x v="5"/>
    <x v="0"/>
  </r>
  <r>
    <s v="yenifer.corredor@unisabana.edu.co"/>
    <x v="5"/>
    <x v="0"/>
  </r>
  <r>
    <s v="monica.cubillos@unisabana.edu.co"/>
    <x v="5"/>
    <x v="0"/>
  </r>
  <r>
    <s v="erika.diagama@unisabana.edu.co"/>
    <x v="5"/>
    <x v="0"/>
  </r>
  <r>
    <s v="ana.garcia@unisabana.edu.co"/>
    <x v="5"/>
    <x v="0"/>
  </r>
  <r>
    <s v="sergio.garcia1@unisabana.edu.co"/>
    <x v="5"/>
    <x v="0"/>
  </r>
  <r>
    <s v="catalina.gomez3@unisabana.edu.co"/>
    <x v="5"/>
    <x v="0"/>
  </r>
  <r>
    <s v="angie.herrera1@unisabana.edu.co"/>
    <x v="5"/>
    <x v="0"/>
  </r>
  <r>
    <s v="carlos.leon6@unisabana.edu.co"/>
    <x v="5"/>
    <x v="0"/>
  </r>
  <r>
    <s v="constanza.linares2@unisabana.edu.co"/>
    <x v="5"/>
    <x v="0"/>
  </r>
  <r>
    <s v="francyliva@unisabana.edu.co"/>
    <x v="5"/>
    <x v="0"/>
  </r>
  <r>
    <s v="natalia.llano@unisabana.edu.co"/>
    <x v="5"/>
    <x v="1"/>
  </r>
  <r>
    <s v="ruth.malaver@unisabana.edu.co"/>
    <x v="5"/>
    <x v="0"/>
  </r>
  <r>
    <s v="laura.marconi@unisabana.edu.co"/>
    <x v="5"/>
    <x v="1"/>
  </r>
  <r>
    <s v="jose.restrepo1@unisabana.edu.co"/>
    <x v="5"/>
    <x v="0"/>
  </r>
  <r>
    <s v="jelver.rodriguez@unisabana.edu.co"/>
    <x v="5"/>
    <x v="0"/>
  </r>
  <r>
    <s v="karen.rodriguez7@unisabana.edu.co"/>
    <x v="5"/>
    <x v="0"/>
  </r>
  <r>
    <s v="maria.rojas24@unisabana.edu.co"/>
    <x v="5"/>
    <x v="0"/>
  </r>
  <r>
    <s v="Jenny.sarmiento@unisabana.edu.co"/>
    <x v="6"/>
    <x v="0"/>
  </r>
  <r>
    <s v="maria.sierra7@unisabana.edu.co"/>
    <x v="5"/>
    <x v="0"/>
  </r>
  <r>
    <s v="luz.zabala@unisabana.edu.co"/>
    <x v="5"/>
    <x v="0"/>
  </r>
  <r>
    <s v="Magdabg@unisabana.edu.co"/>
    <x v="5"/>
    <x v="0"/>
  </r>
  <r>
    <s v="ivan.alarcon@unisabana.edu.co"/>
    <x v="7"/>
    <x v="0"/>
  </r>
  <r>
    <s v="gladys.bello@unisabana.edu.co"/>
    <x v="7"/>
    <x v="0"/>
  </r>
  <r>
    <s v="clara.rico@unisabana.edu.co"/>
    <x v="7"/>
    <x v="0"/>
  </r>
  <r>
    <s v="catalinacava@unisabana.edu.co"/>
    <x v="7"/>
    <x v="0"/>
  </r>
  <r>
    <s v="nicolas.barreto@unisabana.edu.co"/>
    <x v="7"/>
    <x v="0"/>
  </r>
  <r>
    <s v="jenny.boyaca@unisabana.edu.co"/>
    <x v="7"/>
    <x v="0"/>
  </r>
  <r>
    <s v="diego.gomez8@unisabana.edu.co"/>
    <x v="7"/>
    <x v="0"/>
  </r>
  <r>
    <s v="yuly.gonzalez1@unisabana.edu.co"/>
    <x v="7"/>
    <x v="1"/>
  </r>
  <r>
    <s v="fredy.gonzalez@unisabana.edu.co"/>
    <x v="7"/>
    <x v="0"/>
  </r>
  <r>
    <s v="viviana.hernandez1@unisabana.edu.co"/>
    <x v="7"/>
    <x v="0"/>
  </r>
  <r>
    <s v="ana.leal1@unisabana.edu.co"/>
    <x v="7"/>
    <x v="0"/>
  </r>
  <r>
    <s v="marthalc@unisabana.edu.co"/>
    <x v="7"/>
    <x v="0"/>
  </r>
  <r>
    <s v="simon.martinez@unisabana.edu.co"/>
    <x v="7"/>
    <x v="1"/>
  </r>
  <r>
    <s v="hector.martinez1@unisabana.edu.co"/>
    <x v="7"/>
    <x v="0"/>
  </r>
  <r>
    <s v="wilmar.molina@unisabana.edu.co"/>
    <x v="7"/>
    <x v="0"/>
  </r>
  <r>
    <s v="diego.monsalve1@unisabana.edu.co"/>
    <x v="7"/>
    <x v="0"/>
  </r>
  <r>
    <s v="gustavo.nino@unisabana.edu.co"/>
    <x v="7"/>
    <x v="0"/>
  </r>
  <r>
    <s v="andres.pinzon1@unisabana.edu.co"/>
    <x v="7"/>
    <x v="0"/>
  </r>
  <r>
    <s v="reina.rodriguez@unisabana.edu.co"/>
    <x v="7"/>
    <x v="0"/>
  </r>
  <r>
    <s v="natalia.rueda@unisabana.edu.co"/>
    <x v="7"/>
    <x v="0"/>
  </r>
  <r>
    <s v="javier.saenz@unisabana.edu.co"/>
    <x v="7"/>
    <x v="0"/>
  </r>
  <r>
    <s v="diana.torres7@unisabana.edu.co"/>
    <x v="7"/>
    <x v="0"/>
  </r>
  <r>
    <s v="ricardo.vargas@unisabana.edu.co"/>
    <x v="7"/>
    <x v="0"/>
  </r>
  <r>
    <s v="yuli.vargas@unisabana.edu.co"/>
    <x v="7"/>
    <x v="0"/>
  </r>
  <r>
    <s v="maria.alvarez1@unisabana.edu.co"/>
    <x v="8"/>
    <x v="1"/>
  </r>
  <r>
    <s v="mirabell.moscote@unisabana.edu.co"/>
    <x v="8"/>
    <x v="0"/>
  </r>
  <r>
    <s v="ariana.padilla@unisabana.edu.co"/>
    <x v="8"/>
    <x v="0"/>
  </r>
  <r>
    <s v="martha.rocha@unisabana.edu.co"/>
    <x v="8"/>
    <x v="0"/>
  </r>
  <r>
    <s v="lina.zerrate@unisabana.edu.co"/>
    <x v="8"/>
    <x v="0"/>
  </r>
  <r>
    <s v="jeniffer.camargo@unisabana.edu.co"/>
    <x v="9"/>
    <x v="0"/>
  </r>
  <r>
    <s v="alejandra.cepeda@unisabana.edu.co"/>
    <x v="9"/>
    <x v="0"/>
  </r>
  <r>
    <s v="jennifer.forero1@unisabana.edu.co"/>
    <x v="9"/>
    <x v="0"/>
  </r>
  <r>
    <s v="diana.gaitan1@unisabana.edu.co"/>
    <x v="9"/>
    <x v="0"/>
  </r>
  <r>
    <s v="natalia.galeano@unisabana.edu.co"/>
    <x v="9"/>
    <x v="0"/>
  </r>
  <r>
    <s v="lady.gomez3@unisabana.edu.co"/>
    <x v="9"/>
    <x v="0"/>
  </r>
  <r>
    <s v="luisa.gonzalez1@unisabana.edu.co"/>
    <x v="9"/>
    <x v="0"/>
  </r>
  <r>
    <s v="genly.gonzalez@unisabana.edu.co"/>
    <x v="9"/>
    <x v="0"/>
  </r>
  <r>
    <s v="maria.medinat@unisabana.edu.co"/>
    <x v="9"/>
    <x v="1"/>
  </r>
  <r>
    <s v="jennynima@unisabana.edu.co"/>
    <x v="9"/>
    <x v="0"/>
  </r>
  <r>
    <s v="nubia.ortega@unisabana.edu.co"/>
    <x v="9"/>
    <x v="0"/>
  </r>
  <r>
    <s v="paula.pachon@unisabana.edu.co"/>
    <x v="9"/>
    <x v="0"/>
  </r>
  <r>
    <s v="eliana.perez2@unisabana.edu.co"/>
    <x v="9"/>
    <x v="0"/>
  </r>
  <r>
    <s v="mariana.perez@unisabana.edu.co"/>
    <x v="9"/>
    <x v="1"/>
  </r>
  <r>
    <s v="adriana.poveda@unisabana.edu.co"/>
    <x v="9"/>
    <x v="0"/>
  </r>
  <r>
    <s v="angelica.prada@unisabana.edu.co"/>
    <x v="9"/>
    <x v="0"/>
  </r>
  <r>
    <s v="diana.ramos1@unisabana.edu.co"/>
    <x v="9"/>
    <x v="0"/>
  </r>
  <r>
    <s v="carmen.rincon@unisabana.edu.co"/>
    <x v="9"/>
    <x v="0"/>
  </r>
  <r>
    <s v="dayana.rios@unisabana.edu.co"/>
    <x v="9"/>
    <x v="0"/>
  </r>
  <r>
    <s v="alvaro.rodriguez3@unisabana.edu.co"/>
    <x v="9"/>
    <x v="0"/>
  </r>
  <r>
    <s v="sandra.rodriguez13@unisabana.edu.co"/>
    <x v="9"/>
    <x v="1"/>
  </r>
  <r>
    <s v="lady.romero1@unisabana.edu.co"/>
    <x v="9"/>
    <x v="1"/>
  </r>
  <r>
    <s v="jovana.sanchez@unisabana.edu.co"/>
    <x v="9"/>
    <x v="0"/>
  </r>
  <r>
    <s v="erika.suarez@unisabana.edu.co"/>
    <x v="9"/>
    <x v="0"/>
  </r>
  <r>
    <s v="valentina.toro@unisabana.edu.co"/>
    <x v="9"/>
    <x v="0"/>
  </r>
  <r>
    <s v="beatriz.vargas@unisabana.edu.co"/>
    <x v="9"/>
    <x v="0"/>
  </r>
  <r>
    <s v="gabriel.amaya@unisabana.edu.co"/>
    <x v="10"/>
    <x v="0"/>
  </r>
  <r>
    <s v="paulo.chaparro@unisabana.edu.co"/>
    <x v="10"/>
    <x v="0"/>
  </r>
  <r>
    <s v="ligia.coque@unisabana.edu.co"/>
    <x v="10"/>
    <x v="0"/>
  </r>
  <r>
    <s v="diana.delgado1@unisabana.edu.co"/>
    <x v="10"/>
    <x v="0"/>
  </r>
  <r>
    <s v="john.gutierrez@unisabana.edu.co"/>
    <x v="10"/>
    <x v="0"/>
  </r>
  <r>
    <s v="maria.henriquez@unisabana.edu.co"/>
    <x v="10"/>
    <x v="0"/>
  </r>
  <r>
    <s v="hector.leiva@unisabana.edu.co"/>
    <x v="10"/>
    <x v="0"/>
  </r>
  <r>
    <s v="lauramaor@unisabana.edu.co"/>
    <x v="10"/>
    <x v="0"/>
  </r>
  <r>
    <s v="JohannaMR@unisabana.edu.co"/>
    <x v="10"/>
    <x v="0"/>
  </r>
  <r>
    <s v="ana.noriega1@unisabana.edu.co"/>
    <x v="10"/>
    <x v="0"/>
  </r>
  <r>
    <s v="paula.ramirez1@unisabana.edu.co"/>
    <x v="10"/>
    <x v="0"/>
  </r>
  <r>
    <s v="laura.ruiz4@unisabana.edu.co"/>
    <x v="10"/>
    <x v="0"/>
  </r>
  <r>
    <s v="laura.silgado@unisabana.edu.co"/>
    <x v="10"/>
    <x v="0"/>
  </r>
  <r>
    <s v="nini.soto@unisabana.edu.co"/>
    <x v="10"/>
    <x v="0"/>
  </r>
  <r>
    <s v="john.torres@unisabana.edu.co"/>
    <x v="10"/>
    <x v="0"/>
  </r>
  <r>
    <s v="camilo.torres@unisabana.edu.co"/>
    <x v="10"/>
    <x v="0"/>
  </r>
  <r>
    <s v="laura.torres7@unisabana.edu.co"/>
    <x v="10"/>
    <x v="0"/>
  </r>
  <r>
    <s v="maria.vesga@unisabana.edu.co"/>
    <x v="10"/>
    <x v="0"/>
  </r>
  <r>
    <s v="sebastianaa@unisabana.edu.co"/>
    <x v="11"/>
    <x v="1"/>
  </r>
  <r>
    <s v="andres.amaya1@unisabana.edu.co"/>
    <x v="11"/>
    <x v="0"/>
  </r>
  <r>
    <s v="geimer.ariza@unisabana.edu.co"/>
    <x v="11"/>
    <x v="0"/>
  </r>
  <r>
    <s v="laura.barajas1@unisabana.edu.co"/>
    <x v="11"/>
    <x v="0"/>
  </r>
  <r>
    <s v="caren.barrera@unisabana.edu.co"/>
    <x v="11"/>
    <x v="0"/>
  </r>
  <r>
    <s v="maria.bossa@unisabana.edu.co"/>
    <x v="11"/>
    <x v="0"/>
  </r>
  <r>
    <s v="juan.canchon@unisabana.edu.co"/>
    <x v="11"/>
    <x v="0"/>
  </r>
  <r>
    <s v="javier.castaneda@unisabana.edu.co"/>
    <x v="11"/>
    <x v="0"/>
  </r>
  <r>
    <s v="robinson.castro@unisabana.edu.co"/>
    <x v="11"/>
    <x v="0"/>
  </r>
  <r>
    <s v="jennyffer.chapeton@unisabana.edu.co"/>
    <x v="11"/>
    <x v="0"/>
  </r>
  <r>
    <s v="duvan.farias@unisabana.edu.co"/>
    <x v="11"/>
    <x v="1"/>
  </r>
  <r>
    <s v="wilson.gallo@unisabana.edu.co"/>
    <x v="11"/>
    <x v="0"/>
  </r>
  <r>
    <s v="litza.garcia@unisabana.edu.co"/>
    <x v="11"/>
    <x v="1"/>
  </r>
  <r>
    <s v="arnulfo.garcia1@unisabana.edu.co"/>
    <x v="11"/>
    <x v="0"/>
  </r>
  <r>
    <s v="manuel.garcia2@unisabana.edu.co"/>
    <x v="11"/>
    <x v="0"/>
  </r>
  <r>
    <s v="juan.garnica@unisabana.edu.co"/>
    <x v="11"/>
    <x v="0"/>
  </r>
  <r>
    <s v="sandra.giraldo1@unisabana.edu.co"/>
    <x v="11"/>
    <x v="0"/>
  </r>
  <r>
    <s v="jonathan.gomez2@unisabana.edu.co"/>
    <x v="11"/>
    <x v="0"/>
  </r>
  <r>
    <s v="jorge.gonzalez4@unisabana.edu.co"/>
    <x v="11"/>
    <x v="0"/>
  </r>
  <r>
    <s v="nicolas.hernandez@unisabana.edu.co"/>
    <x v="11"/>
    <x v="0"/>
  </r>
  <r>
    <s v="julio.jimenez@unisabana.edu.co"/>
    <x v="11"/>
    <x v="0"/>
  </r>
  <r>
    <s v="juan.jimenez14@unisabana.edu.co"/>
    <x v="11"/>
    <x v="0"/>
  </r>
  <r>
    <s v="carlos.jimenez5@unisabana.edu.co"/>
    <x v="11"/>
    <x v="0"/>
  </r>
  <r>
    <s v="jaime.jimenez@unisabana.edu.co"/>
    <x v="11"/>
    <x v="0"/>
  </r>
  <r>
    <s v="juan.leon5@unisabana.edu.co"/>
    <x v="11"/>
    <x v="0"/>
  </r>
  <r>
    <s v="luisa.lopez3@unisabana.edu.co"/>
    <x v="11"/>
    <x v="0"/>
  </r>
  <r>
    <s v="maria.manrique@unisabana.edu.co"/>
    <x v="11"/>
    <x v="0"/>
  </r>
  <r>
    <s v="isabel.marrugo@unisabana.edu.co"/>
    <x v="11"/>
    <x v="0"/>
  </r>
  <r>
    <s v="andres.montanez@unisabana.edu.co"/>
    <x v="11"/>
    <x v="0"/>
  </r>
  <r>
    <s v="fernando.montero@unisabana.edu.co"/>
    <x v="11"/>
    <x v="0"/>
  </r>
  <r>
    <s v="david.montoya@unisabana.edu.co"/>
    <x v="11"/>
    <x v="1"/>
  </r>
  <r>
    <s v="jose.nieto3@unisabana.edu.co"/>
    <x v="11"/>
    <x v="0"/>
  </r>
  <r>
    <s v="julian.obando@unisabana.edu.co"/>
    <x v="11"/>
    <x v="1"/>
  </r>
  <r>
    <s v="jhon.ortiz@unisabana.edu.co"/>
    <x v="11"/>
    <x v="0"/>
  </r>
  <r>
    <s v="nicolas.pachon1@unisabana.edu.co"/>
    <x v="11"/>
    <x v="0"/>
  </r>
  <r>
    <s v="melissa.padilla@unisabana.edu.co"/>
    <x v="11"/>
    <x v="0"/>
  </r>
  <r>
    <s v="oscar.pardo@unisabana.edu.co"/>
    <x v="11"/>
    <x v="0"/>
  </r>
  <r>
    <s v="ivonne.pinzon@unisabana.edu.co"/>
    <x v="11"/>
    <x v="1"/>
  </r>
  <r>
    <s v="maria.quevedo@unisabana.edu.co"/>
    <x v="11"/>
    <x v="0"/>
  </r>
  <r>
    <s v="sebastian.rivera@unisabana.edu.co"/>
    <x v="11"/>
    <x v="1"/>
  </r>
  <r>
    <s v="santiago.roa@unisabana.edu.co"/>
    <x v="11"/>
    <x v="0"/>
  </r>
  <r>
    <s v="john.robayo@unisabana.edu.co"/>
    <x v="11"/>
    <x v="0"/>
  </r>
  <r>
    <s v="german.sanchez@unisabana.edu.co"/>
    <x v="11"/>
    <x v="0"/>
  </r>
  <r>
    <s v="blanca.santana@unisabana.edu.co"/>
    <x v="11"/>
    <x v="0"/>
  </r>
  <r>
    <s v="daniel.serna1@unisabana.edu.co"/>
    <x v="11"/>
    <x v="0"/>
  </r>
  <r>
    <s v="jeisson.silva1@unisabana.edu.co"/>
    <x v="11"/>
    <x v="0"/>
  </r>
  <r>
    <s v="andres.tellez1@unisabana.edu.co"/>
    <x v="11"/>
    <x v="0"/>
  </r>
  <r>
    <s v="mauricio.unate@unisabana.edu.co"/>
    <x v="11"/>
    <x v="0"/>
  </r>
  <r>
    <s v="jonathan.valero@unisabana.edu.co"/>
    <x v="11"/>
    <x v="0"/>
  </r>
  <r>
    <s v="hercein.ardila@unisabana.edu.co"/>
    <x v="11"/>
    <x v="0"/>
  </r>
  <r>
    <s v="henry.chicuazuque@unisabana.edu.co"/>
    <x v="11"/>
    <x v="0"/>
  </r>
  <r>
    <s v="diego.diaz@unisabana.edu.co"/>
    <x v="11"/>
    <x v="1"/>
  </r>
  <r>
    <s v="yarithza.galindo@unisabana.edu.co"/>
    <x v="11"/>
    <x v="0"/>
  </r>
  <r>
    <s v="beatriz.garzon@unisabana.edu.co"/>
    <x v="11"/>
    <x v="0"/>
  </r>
  <r>
    <s v="luis.gonzalez@unisabana.edu.co"/>
    <x v="11"/>
    <x v="0"/>
  </r>
  <r>
    <s v="victor.gonzalez1@unisabana.edu.co"/>
    <x v="11"/>
    <x v="0"/>
  </r>
  <r>
    <s v="luis.jimenez@unisabana.edu.co"/>
    <x v="11"/>
    <x v="1"/>
  </r>
  <r>
    <s v="fabian.medina@unisabana.edu.co"/>
    <x v="11"/>
    <x v="0"/>
  </r>
  <r>
    <s v="luz.medina2@unisabana.edu.co"/>
    <x v="11"/>
    <x v="0"/>
  </r>
  <r>
    <s v="hector.perez@unisabana.edu.co"/>
    <x v="11"/>
    <x v="0"/>
  </r>
  <r>
    <s v="catherinerolo@unisabana.edu.co"/>
    <x v="11"/>
    <x v="0"/>
  </r>
  <r>
    <s v="andres.afanador1@unisabana.edu.co"/>
    <x v="11"/>
    <x v="0"/>
  </r>
  <r>
    <s v="sergio.bahamon@unisabana.edu.co"/>
    <x v="11"/>
    <x v="0"/>
  </r>
  <r>
    <s v="oscar.camelo@unisabana.edu.co"/>
    <x v="11"/>
    <x v="1"/>
  </r>
  <r>
    <s v="robinson.cely@unisabana.edu.co"/>
    <x v="11"/>
    <x v="0"/>
  </r>
  <r>
    <s v="jeison.guarin@unisabana.edu.co"/>
    <x v="11"/>
    <x v="0"/>
  </r>
  <r>
    <s v="juan.marquez2@unisabana.edu.co"/>
    <x v="11"/>
    <x v="0"/>
  </r>
  <r>
    <s v="carlos.sandoval1@unisabana.edu.co"/>
    <x v="11"/>
    <x v="1"/>
  </r>
  <r>
    <s v="edwin.chacon@unisabana.edu.co"/>
    <x v="11"/>
    <x v="0"/>
  </r>
  <r>
    <s v="jorgegoga@unisabana.edu.co"/>
    <x v="11"/>
    <x v="0"/>
  </r>
  <r>
    <s v="edna.rodriguez2@unisabana.edu.co"/>
    <x v="11"/>
    <x v="0"/>
  </r>
  <r>
    <s v="camilo.ruiz2@unisabana.edu.co"/>
    <x v="11"/>
    <x v="0"/>
  </r>
  <r>
    <s v="ingrid.contreras@unisabana.edu.co"/>
    <x v="11"/>
    <x v="0"/>
  </r>
  <r>
    <s v="paola.cruz2@unisabana.edu.co"/>
    <x v="12"/>
    <x v="0"/>
  </r>
  <r>
    <s v="liseth.romero@unisabana.edu.co"/>
    <x v="13"/>
    <x v="0"/>
  </r>
  <r>
    <s v="lina.molina@unisabana.edu.co"/>
    <x v="14"/>
    <x v="0"/>
  </r>
  <r>
    <s v="lizeth.abril@unisabana.edu.co"/>
    <x v="14"/>
    <x v="0"/>
  </r>
  <r>
    <s v="nelcy.alfonso@unisabana.edu.co"/>
    <x v="14"/>
    <x v="0"/>
  </r>
  <r>
    <s v="ayran.astorquiza@unisabana.edu.co"/>
    <x v="14"/>
    <x v="0"/>
  </r>
  <r>
    <s v="leidy.bohorquez1@unisabana.edu.co"/>
    <x v="14"/>
    <x v="1"/>
  </r>
  <r>
    <s v="valentina.briceno@unisabana.edu.co"/>
    <x v="14"/>
    <x v="0"/>
  </r>
  <r>
    <s v="jenny.bustos@unisabana.edu.co"/>
    <x v="14"/>
    <x v="0"/>
  </r>
  <r>
    <s v="leonardo.camacho@unisabana.edu.co"/>
    <x v="14"/>
    <x v="0"/>
  </r>
  <r>
    <s v="sandra.castro1@unisabana.edu.co"/>
    <x v="14"/>
    <x v="0"/>
  </r>
  <r>
    <s v="maria.chaves@unisabana.edu.co"/>
    <x v="14"/>
    <x v="0"/>
  </r>
  <r>
    <s v="diana.gomez10@unisabana.edu.co"/>
    <x v="14"/>
    <x v="0"/>
  </r>
  <r>
    <s v="jorge.gonzalez3@unisabana.edu.co"/>
    <x v="14"/>
    <x v="0"/>
  </r>
  <r>
    <s v="juan.gonzalez2@unisabana.edu.co"/>
    <x v="14"/>
    <x v="0"/>
  </r>
  <r>
    <s v="maria.gutierrez@unisabana.edu.co"/>
    <x v="14"/>
    <x v="0"/>
  </r>
  <r>
    <s v="neider.herrera@unisabana.edu.co"/>
    <x v="14"/>
    <x v="0"/>
  </r>
  <r>
    <s v="rafael.leuro@unisabana.edu.co"/>
    <x v="14"/>
    <x v="0"/>
  </r>
  <r>
    <s v="andres.londono2@unisabana.edu.co"/>
    <x v="14"/>
    <x v="0"/>
  </r>
  <r>
    <s v="jonathan.mancipe@unisabana.edu.co"/>
    <x v="14"/>
    <x v="0"/>
  </r>
  <r>
    <s v="carol.pardo1@unisabana.edu.co"/>
    <x v="14"/>
    <x v="0"/>
  </r>
  <r>
    <s v="juan.pedraza@unisabana.edu.co"/>
    <x v="14"/>
    <x v="0"/>
  </r>
  <r>
    <s v="NiniRA@unisabana.edu.co"/>
    <x v="14"/>
    <x v="0"/>
  </r>
  <r>
    <s v="alejandra.rojas@unisabana.edu.co"/>
    <x v="14"/>
    <x v="0"/>
  </r>
  <r>
    <s v="Oscarrc@unisabana.edu.co"/>
    <x v="14"/>
    <x v="0"/>
  </r>
  <r>
    <s v="zully.sierra@unisabana.edu.co"/>
    <x v="14"/>
    <x v="1"/>
  </r>
  <r>
    <s v="ivan.soto@unisabana.edu.co"/>
    <x v="14"/>
    <x v="0"/>
  </r>
  <r>
    <s v="janneth.suarez@unisabana.edu.co"/>
    <x v="14"/>
    <x v="0"/>
  </r>
  <r>
    <s v="mireya.vargas@unisabana.edu.co"/>
    <x v="14"/>
    <x v="0"/>
  </r>
  <r>
    <s v="jose.abella@unisabana.edu.co"/>
    <x v="15"/>
    <x v="0"/>
  </r>
  <r>
    <s v="norberto.acero@unisabana.edu.co"/>
    <x v="15"/>
    <x v="0"/>
  </r>
  <r>
    <s v="jose.arevalo@unisabana.edu.co"/>
    <x v="15"/>
    <x v="0"/>
  </r>
  <r>
    <s v="diana.arias3@unisabana.edu.co"/>
    <x v="15"/>
    <x v="1"/>
  </r>
  <r>
    <s v="yeimi.avellaneda@unisabana.edu.co"/>
    <x v="15"/>
    <x v="0"/>
  </r>
  <r>
    <s v="ginna.barrera@unisabana.edu.co"/>
    <x v="15"/>
    <x v="0"/>
  </r>
  <r>
    <s v="luz.barrera2@unisabana.edu.co"/>
    <x v="15"/>
    <x v="1"/>
  </r>
  <r>
    <s v="yuli.caicedo@unisabana.edu.co"/>
    <x v="15"/>
    <x v="0"/>
  </r>
  <r>
    <s v="giset.camargo@unisabana.edu.co"/>
    <x v="15"/>
    <x v="0"/>
  </r>
  <r>
    <s v="carlos.ceballos@unisabana.edu.co"/>
    <x v="15"/>
    <x v="0"/>
  </r>
  <r>
    <s v="marybelsy.colorado@unisabana.edu.co"/>
    <x v="15"/>
    <x v="0"/>
  </r>
  <r>
    <s v="natalia.corredor@unisabana.edu.co"/>
    <x v="15"/>
    <x v="1"/>
  </r>
  <r>
    <s v="ivan.cristancho@unisabana.edu.co"/>
    <x v="15"/>
    <x v="0"/>
  </r>
  <r>
    <s v="yeimy.espitia@unisabana.edu.co"/>
    <x v="15"/>
    <x v="0"/>
  </r>
  <r>
    <s v="Luz.gomez3@unisabana.edu.co"/>
    <x v="15"/>
    <x v="0"/>
  </r>
  <r>
    <s v="ana.gonzalez4@unisabana.edu.co"/>
    <x v="15"/>
    <x v="0"/>
  </r>
  <r>
    <s v="joanny.hernandez@unisabana.edu.co"/>
    <x v="15"/>
    <x v="1"/>
  </r>
  <r>
    <s v="angee.ipuz@unisabana.edu.co"/>
    <x v="15"/>
    <x v="0"/>
  </r>
  <r>
    <s v="gloria.jimenez1@unisabana.edu.co"/>
    <x v="15"/>
    <x v="0"/>
  </r>
  <r>
    <s v="heyleen.londono@unisabana.edu.co"/>
    <x v="15"/>
    <x v="0"/>
  </r>
  <r>
    <s v="magda.lopez@unisabana.edu.co"/>
    <x v="15"/>
    <x v="0"/>
  </r>
  <r>
    <s v="ana.mendez@unisabana.edu.co"/>
    <x v="15"/>
    <x v="0"/>
  </r>
  <r>
    <s v="suly.monroy@unisabana.edu.co"/>
    <x v="15"/>
    <x v="0"/>
  </r>
  <r>
    <s v="roy.ovalle@unisabana.edu.co"/>
    <x v="15"/>
    <x v="0"/>
  </r>
  <r>
    <s v="cindy.pachon@unisabana.edu.co"/>
    <x v="15"/>
    <x v="0"/>
  </r>
  <r>
    <s v="leidy.padilla@unisabana.edu.co"/>
    <x v="15"/>
    <x v="0"/>
  </r>
  <r>
    <s v="martha.paez@unisabana.edu.co"/>
    <x v="15"/>
    <x v="0"/>
  </r>
  <r>
    <s v="carlos.parada2@unisabana.edu.co"/>
    <x v="15"/>
    <x v="0"/>
  </r>
  <r>
    <s v="martha.pedraza@unisabana.edu.co"/>
    <x v="15"/>
    <x v="1"/>
  </r>
  <r>
    <s v="claudia.pinzon1@unisabana.edu.co"/>
    <x v="15"/>
    <x v="0"/>
  </r>
  <r>
    <s v="carlos.plazas1@unisabana.edu.co"/>
    <x v="15"/>
    <x v="0"/>
  </r>
  <r>
    <s v="sandra.porras@unisabana.edu.co"/>
    <x v="15"/>
    <x v="0"/>
  </r>
  <r>
    <s v="yonatan.poveda@unisabana.edu.co"/>
    <x v="15"/>
    <x v="0"/>
  </r>
  <r>
    <s v="stella.prieto@unisabana.edu.co"/>
    <x v="15"/>
    <x v="0"/>
  </r>
  <r>
    <s v="freddy.ramirez3@unisabana.edu.co"/>
    <x v="15"/>
    <x v="0"/>
  </r>
  <r>
    <s v="diego.reyes1@unisabana.edu.co"/>
    <x v="15"/>
    <x v="0"/>
  </r>
  <r>
    <s v="luis.rincon2@unisabana.edu.co"/>
    <x v="15"/>
    <x v="0"/>
  </r>
  <r>
    <s v="claudia.rincon@unisabana.edu.co"/>
    <x v="15"/>
    <x v="0"/>
  </r>
  <r>
    <s v="edwin.rodriguez3@unisabana.edu.co"/>
    <x v="15"/>
    <x v="0"/>
  </r>
  <r>
    <s v="natalia.rodriguez7@unisabana.edu.co"/>
    <x v="15"/>
    <x v="1"/>
  </r>
  <r>
    <s v="ingrid.rodriguez2@unisabana.edu.co"/>
    <x v="15"/>
    <x v="0"/>
  </r>
  <r>
    <s v="andrea.salgado1@unisabana.edu.co"/>
    <x v="15"/>
    <x v="0"/>
  </r>
  <r>
    <s v="constanza.sanchez@unisabana.edu.co"/>
    <x v="15"/>
    <x v="0"/>
  </r>
  <r>
    <s v="angie.sanchez1@unisabana.edu.co"/>
    <x v="15"/>
    <x v="0"/>
  </r>
  <r>
    <s v="magda.tarazona@unisabana.edu.co"/>
    <x v="15"/>
    <x v="0"/>
  </r>
  <r>
    <s v="andres.tellez@unisabana.edu.co"/>
    <x v="15"/>
    <x v="0"/>
  </r>
  <r>
    <s v="diana.tiempos@unisabana.edu.co"/>
    <x v="15"/>
    <x v="0"/>
  </r>
  <r>
    <s v="natalia.vanegas@unisabana.edu.co"/>
    <x v="15"/>
    <x v="0"/>
  </r>
  <r>
    <s v="jhoshuan.vanegas@unisabana.edu.co"/>
    <x v="15"/>
    <x v="0"/>
  </r>
  <r>
    <s v="ingrid.velandia@unisabana.edu.co"/>
    <x v="15"/>
    <x v="1"/>
  </r>
  <r>
    <s v="diana.wilches1@unisabana.edu.co"/>
    <x v="15"/>
    <x v="1"/>
  </r>
  <r>
    <s v="johnnathan.abril@unisabana.edu.co"/>
    <x v="15"/>
    <x v="0"/>
  </r>
  <r>
    <s v="andres.daza@unisabana.edu.co"/>
    <x v="15"/>
    <x v="0"/>
  </r>
  <r>
    <s v="jennifer.martinez1@unisabana.edu.co"/>
    <x v="15"/>
    <x v="0"/>
  </r>
  <r>
    <s v="pilar.miranda@unisabana.edu.co"/>
    <x v="15"/>
    <x v="1"/>
  </r>
  <r>
    <s v="andrea.pineros@unisabana.edu.co"/>
    <x v="15"/>
    <x v="0"/>
  </r>
  <r>
    <s v="oscar.colorado@unisabana.edu.co"/>
    <x v="16"/>
    <x v="1"/>
  </r>
  <r>
    <s v="egly.cubides@unisabana.edu.co"/>
    <x v="16"/>
    <x v="0"/>
  </r>
  <r>
    <s v="maria.garzon7@unisabana.edu.co"/>
    <x v="16"/>
    <x v="1"/>
  </r>
  <r>
    <s v="ivonne.leon@unisabana.edu.co"/>
    <x v="16"/>
    <x v="0"/>
  </r>
  <r>
    <s v="dora.montano@unisabana.edu.co"/>
    <x v="16"/>
    <x v="0"/>
  </r>
  <r>
    <s v="carlos.roa2@unisabana.edu.co"/>
    <x v="16"/>
    <x v="0"/>
  </r>
  <r>
    <s v="diana.rodriguez14@unisabana.edu.co"/>
    <x v="16"/>
    <x v="0"/>
  </r>
  <r>
    <s v="sergio.rondon@unisabana.edu.co"/>
    <x v="16"/>
    <x v="0"/>
  </r>
  <r>
    <s v="adriana.tocasuche@unisabana.edu.co"/>
    <x v="16"/>
    <x v="0"/>
  </r>
  <r>
    <s v="margie.toscano@unisabana.edu.co"/>
    <x v="16"/>
    <x v="0"/>
  </r>
  <r>
    <s v="lina.ceballos@unisabana.edu.co"/>
    <x v="17"/>
    <x v="1"/>
  </r>
  <r>
    <s v="karen.gonzalez1@unisabana.edu.co"/>
    <x v="17"/>
    <x v="0"/>
  </r>
  <r>
    <s v="angela.mejia1@unisabana.edu.co"/>
    <x v="17"/>
    <x v="0"/>
  </r>
  <r>
    <s v="cristina.quintero@unisabana.edu.co"/>
    <x v="17"/>
    <x v="0"/>
  </r>
  <r>
    <s v="mateo.ballen@unisabana.edu.co"/>
    <x v="18"/>
    <x v="0"/>
  </r>
  <r>
    <s v="pilar.fajardo@unisabana.edu.co"/>
    <x v="18"/>
    <x v="1"/>
  </r>
  <r>
    <s v="natalia.garzon3@unisabana.edu.co"/>
    <x v="18"/>
    <x v="0"/>
  </r>
  <r>
    <s v="alvaro.gonzalez1@unisabana.edu.co"/>
    <x v="18"/>
    <x v="1"/>
  </r>
  <r>
    <s v="juan.jaimes2@unisabana.edu.co"/>
    <x v="18"/>
    <x v="0"/>
  </r>
  <r>
    <s v="Cristina.Macias@unisabana.edu.co"/>
    <x v="18"/>
    <x v="1"/>
  </r>
  <r>
    <s v="anamaria.monroy@unisabana.edu.co"/>
    <x v="18"/>
    <x v="0"/>
  </r>
  <r>
    <s v="laurapazram@unisabana.edu.co"/>
    <x v="18"/>
    <x v="1"/>
  </r>
  <r>
    <s v="sergiotaca@unisabana.edu.co"/>
    <x v="18"/>
    <x v="1"/>
  </r>
  <r>
    <s v="maria.vazquez@unisabana.edu.co"/>
    <x v="18"/>
    <x v="0"/>
  </r>
  <r>
    <s v="leidy.villamil@unisabana.edu.co"/>
    <x v="18"/>
    <x v="0"/>
  </r>
  <r>
    <s v="valentina.zapata@unisabana.edu.co"/>
    <x v="18"/>
    <x v="0"/>
  </r>
  <r>
    <s v="david.cuesta1@unisabana.edu.co"/>
    <x v="18"/>
    <x v="0"/>
  </r>
  <r>
    <s v="andres.gutierrez5@unisabana.edu.co"/>
    <x v="18"/>
    <x v="0"/>
  </r>
  <r>
    <s v="yuri.montano@unisabana.edu.co"/>
    <x v="18"/>
    <x v="0"/>
  </r>
  <r>
    <s v="sebastian.silva2@unisabana.edu.co"/>
    <x v="18"/>
    <x v="1"/>
  </r>
  <r>
    <s v="maria.gomez33@unisabana.edu.co"/>
    <x v="18"/>
    <x v="0"/>
  </r>
  <r>
    <s v="andrea.galindo@unisabana.edu.co"/>
    <x v="19"/>
    <x v="0"/>
  </r>
  <r>
    <s v="cristian.mejia1@unisabana.edu.co"/>
    <x v="19"/>
    <x v="0"/>
  </r>
  <r>
    <s v="william.munoz@unisabana.edu.co"/>
    <x v="19"/>
    <x v="0"/>
  </r>
  <r>
    <s v="deisy.paez@unisabana.edu.co"/>
    <x v="19"/>
    <x v="0"/>
  </r>
  <r>
    <s v="gloria.ruiz1@unisabana.edu.co"/>
    <x v="19"/>
    <x v="0"/>
  </r>
  <r>
    <s v="william.ruiz@unisabana.edu.co"/>
    <x v="19"/>
    <x v="0"/>
  </r>
  <r>
    <s v="leonardo.toro@unisabana.edu.co"/>
    <x v="19"/>
    <x v="0"/>
  </r>
  <r>
    <s v="ana.rozo1@unisabana.edu.co"/>
    <x v="19"/>
    <x v="0"/>
  </r>
  <r>
    <s v="leidy.mercado@unisabana.edu.co"/>
    <x v="20"/>
    <x v="0"/>
  </r>
  <r>
    <s v="henry.moya@unisabana.edu.co"/>
    <x v="20"/>
    <x v="0"/>
  </r>
  <r>
    <s v="diana.cardenas5@unisabana.edu.co"/>
    <x v="21"/>
    <x v="1"/>
  </r>
  <r>
    <s v="liliana.caro@unisabana.edu.co"/>
    <x v="22"/>
    <x v="0"/>
  </r>
  <r>
    <s v="francisco.martin@unisabana.edu.co"/>
    <x v="23"/>
    <x v="1"/>
  </r>
  <r>
    <s v="david.samudio@unisabana.edu.co"/>
    <x v="23"/>
    <x v="0"/>
  </r>
  <r>
    <s v="Carlo.Silva@unisabana.edu.co"/>
    <x v="23"/>
    <x v="1"/>
  </r>
  <r>
    <s v="juan.bernal1@unisabana.edu.co"/>
    <x v="24"/>
    <x v="0"/>
  </r>
  <r>
    <s v="andres.alvarado1@unisabana.edu.co"/>
    <x v="24"/>
    <x v="0"/>
  </r>
  <r>
    <s v="maria.arciniegas1@unisabana.edu.co"/>
    <x v="24"/>
    <x v="0"/>
  </r>
  <r>
    <s v="maria.ardila4@unisabana.edu.co"/>
    <x v="24"/>
    <x v="0"/>
  </r>
  <r>
    <s v="julieth.bayona@unisabana.edu.co"/>
    <x v="24"/>
    <x v="0"/>
  </r>
  <r>
    <s v="maria.caceres2@unisabana.edu.co"/>
    <x v="24"/>
    <x v="0"/>
  </r>
  <r>
    <s v="laura.cuervo@unisabana.edu.co"/>
    <x v="24"/>
    <x v="0"/>
  </r>
  <r>
    <s v="nancy.diaz@unisabana.edu.co"/>
    <x v="24"/>
    <x v="0"/>
  </r>
  <r>
    <s v="erika.flechas1@unisabana.edu.co"/>
    <x v="24"/>
    <x v="0"/>
  </r>
  <r>
    <s v="laura.gonzalez11@unisabana.edu.co"/>
    <x v="24"/>
    <x v="0"/>
  </r>
  <r>
    <s v="diana.mancera@unisabana.edu.co"/>
    <x v="24"/>
    <x v="0"/>
  </r>
  <r>
    <s v="laura.melo1@unisabana.edu.co"/>
    <x v="24"/>
    <x v="0"/>
  </r>
  <r>
    <s v="mario.pinzon@unisabana.edu.co"/>
    <x v="24"/>
    <x v="0"/>
  </r>
  <r>
    <s v="laura.rodriguez16@unisabana.edu.co"/>
    <x v="24"/>
    <x v="0"/>
  </r>
  <r>
    <s v="monica.rojas4@unisabana.edu.co"/>
    <x v="24"/>
    <x v="0"/>
  </r>
  <r>
    <s v="jeimmy.segura@unisabana.edu.co"/>
    <x v="24"/>
    <x v="0"/>
  </r>
  <r>
    <s v="daniela.usuga@unisabana.edu.co"/>
    <x v="24"/>
    <x v="0"/>
  </r>
  <r>
    <s v="nathaly.valcarcel@unisabana.edu.co"/>
    <x v="24"/>
    <x v="0"/>
  </r>
  <r>
    <s v="diana.gomez6@unisabana.edu.co"/>
    <x v="24"/>
    <x v="0"/>
  </r>
  <r>
    <s v="mary.arevalo@unisabana.edu.co"/>
    <x v="24"/>
    <x v="0"/>
  </r>
  <r>
    <s v="ibette.cardenas@unisabana.edu.co"/>
    <x v="24"/>
    <x v="0"/>
  </r>
  <r>
    <s v="gina.cifuentes@unisabana.edu.co"/>
    <x v="24"/>
    <x v="0"/>
  </r>
  <r>
    <s v="pilar.duarte@unisabana.edu.co"/>
    <x v="24"/>
    <x v="0"/>
  </r>
  <r>
    <s v="walther.escobar@unisabana.edu.co"/>
    <x v="24"/>
    <x v="1"/>
  </r>
  <r>
    <s v="maria.estupinan1@unisabana.edu.co"/>
    <x v="24"/>
    <x v="0"/>
  </r>
  <r>
    <s v="monica.farfan@unisabana.edu.co"/>
    <x v="24"/>
    <x v="0"/>
  </r>
  <r>
    <s v="sandra.gonzalez@unisabana.edu.co"/>
    <x v="24"/>
    <x v="0"/>
  </r>
  <r>
    <s v="luz.lagos@unisabana.edu.co"/>
    <x v="24"/>
    <x v="0"/>
  </r>
  <r>
    <s v="wendy.leon1@unisabana.edu.co"/>
    <x v="24"/>
    <x v="0"/>
  </r>
  <r>
    <s v="ana.montenegro@unisabana.edu.co"/>
    <x v="24"/>
    <x v="0"/>
  </r>
  <r>
    <s v="claudia.osorio@unisabana.edu.co"/>
    <x v="24"/>
    <x v="0"/>
  </r>
  <r>
    <s v="clara.rodriguez2@unisabana.edu.co"/>
    <x v="24"/>
    <x v="0"/>
  </r>
  <r>
    <s v="sergio.segura@unisabana.edu.co"/>
    <x v="24"/>
    <x v="0"/>
  </r>
  <r>
    <s v="laura.rodriguez15@unisabana.edu.co"/>
    <x v="24"/>
    <x v="0"/>
  </r>
  <r>
    <s v="paola.toro@unisabana.edu.co"/>
    <x v="24"/>
    <x v="0"/>
  </r>
  <r>
    <s v="sandra.casallas1@unisabana.edu.co"/>
    <x v="24"/>
    <x v="0"/>
  </r>
  <r>
    <s v="sergio.cardona1@unisabana.edu.co"/>
    <x v="25"/>
    <x v="0"/>
  </r>
  <r>
    <s v="laura.dimas@unisabana.edu.co"/>
    <x v="25"/>
    <x v="1"/>
  </r>
  <r>
    <s v="lina.gomez1@unisabana.edu.co"/>
    <x v="25"/>
    <x v="0"/>
  </r>
  <r>
    <s v="viviana.valcarcel@unisabana.edu.co"/>
    <x v="25"/>
    <x v="0"/>
  </r>
  <r>
    <s v="sandra.alfonso1@unisabana.edu.co"/>
    <x v="25"/>
    <x v="0"/>
  </r>
  <r>
    <s v="juan.amaya5@unisabana.edu.co"/>
    <x v="25"/>
    <x v="0"/>
  </r>
  <r>
    <s v="luisa.berruecos@unisabana.edu.co"/>
    <x v="25"/>
    <x v="0"/>
  </r>
  <r>
    <s v="laura.bobadilla@unisabana.edu.co"/>
    <x v="25"/>
    <x v="0"/>
  </r>
  <r>
    <s v="karen.buitrago@unisabana.edu.co"/>
    <x v="25"/>
    <x v="0"/>
  </r>
  <r>
    <s v="tatiana.caballero@unisabana.edu.co"/>
    <x v="25"/>
    <x v="0"/>
  </r>
  <r>
    <s v="valeria.castro@unisabana.edu.co"/>
    <x v="25"/>
    <x v="0"/>
  </r>
  <r>
    <s v="ana.espinel1@unisabana.edu.co"/>
    <x v="25"/>
    <x v="0"/>
  </r>
  <r>
    <s v="sandragozu@unisabana.edu.co"/>
    <x v="25"/>
    <x v="0"/>
  </r>
  <r>
    <s v="camila.hernandez1@unisabana.edu.co"/>
    <x v="25"/>
    <x v="0"/>
  </r>
  <r>
    <s v="erick.ladino@unisabana.edu.co"/>
    <x v="25"/>
    <x v="0"/>
  </r>
  <r>
    <s v="diana.ordonez@unisabana.edu.co"/>
    <x v="25"/>
    <x v="0"/>
  </r>
  <r>
    <s v="diego.prieto2@unisabana.edu.co"/>
    <x v="25"/>
    <x v="0"/>
  </r>
  <r>
    <s v="camilo.rojas1@unisabana.edu.co"/>
    <x v="25"/>
    <x v="0"/>
  </r>
  <r>
    <s v="angela.sotelo@unisabana.edu.co"/>
    <x v="25"/>
    <x v="0"/>
  </r>
  <r>
    <s v="yurani.vargas@unisabana.edu.co"/>
    <x v="25"/>
    <x v="0"/>
  </r>
  <r>
    <s v="miguel.zea@unisabana.edu.co"/>
    <x v="25"/>
    <x v="0"/>
  </r>
  <r>
    <s v="mariluz.acosta@unisabana.edu.co"/>
    <x v="25"/>
    <x v="0"/>
  </r>
  <r>
    <s v="lenis.alfonso@unisabana.edu.co"/>
    <x v="25"/>
    <x v="0"/>
  </r>
  <r>
    <s v="laura.benavides1@unisabana.edu.co"/>
    <x v="26"/>
    <x v="0"/>
  </r>
  <r>
    <s v="anamaria.cardenas@unisabana.edu.co"/>
    <x v="26"/>
    <x v="0"/>
  </r>
  <r>
    <s v="laura.castro1@unisabana.edu.co"/>
    <x v="26"/>
    <x v="0"/>
  </r>
  <r>
    <s v="andres.caviedes@unisabana.edu.co"/>
    <x v="26"/>
    <x v="0"/>
  </r>
  <r>
    <s v="luis.diaz3@unisabana.edu.co"/>
    <x v="26"/>
    <x v="0"/>
  </r>
  <r>
    <s v="jose.escobar@unisabana.edu.co"/>
    <x v="26"/>
    <x v="0"/>
  </r>
  <r>
    <s v="paola.guevara@unisabana.edu.co"/>
    <x v="26"/>
    <x v="0"/>
  </r>
  <r>
    <s v="julian.gutierrez1@unisabana.edu.co"/>
    <x v="26"/>
    <x v="0"/>
  </r>
  <r>
    <s v="nathalia.gutierrez@unisabana.edu.co"/>
    <x v="26"/>
    <x v="0"/>
  </r>
  <r>
    <s v="andrealaca@unisabana.edu.co"/>
    <x v="26"/>
    <x v="0"/>
  </r>
  <r>
    <s v="gina.medina@unisabana.edu.co"/>
    <x v="26"/>
    <x v="0"/>
  </r>
  <r>
    <s v="deicy.mogollon@unisabana.edu.co"/>
    <x v="26"/>
    <x v="0"/>
  </r>
  <r>
    <s v="omar.neira@unisabana.edu.co"/>
    <x v="26"/>
    <x v="0"/>
  </r>
  <r>
    <s v="viviana.nova@unisabana.edu.co"/>
    <x v="26"/>
    <x v="0"/>
  </r>
  <r>
    <s v="katherine.ortiz@unisabana.edu.co"/>
    <x v="26"/>
    <x v="0"/>
  </r>
  <r>
    <s v="karen.oviedo@unisabana.edu.co"/>
    <x v="26"/>
    <x v="0"/>
  </r>
  <r>
    <s v="angie.pardo@unisabana.edu.co"/>
    <x v="26"/>
    <x v="0"/>
  </r>
  <r>
    <s v="sebastian.penuela@unisabana.edu.co"/>
    <x v="26"/>
    <x v="0"/>
  </r>
  <r>
    <s v="robinson.quevedo@unisabana.edu.co"/>
    <x v="26"/>
    <x v="0"/>
  </r>
  <r>
    <s v="pedro.riveros@unisabana.edu.co"/>
    <x v="26"/>
    <x v="0"/>
  </r>
  <r>
    <s v="martha.rojas1@unisabana.edu.co"/>
    <x v="26"/>
    <x v="0"/>
  </r>
  <r>
    <s v="yina.salamanca@unisabana.edu.co"/>
    <x v="26"/>
    <x v="0"/>
  </r>
  <r>
    <s v="fabio.sandoval@unisabana.edu.co"/>
    <x v="26"/>
    <x v="0"/>
  </r>
  <r>
    <s v="anderson.sarmiento@unisabana.edu.co"/>
    <x v="26"/>
    <x v="0"/>
  </r>
  <r>
    <s v="nicole.suarez@unisabana.edu.co"/>
    <x v="26"/>
    <x v="1"/>
  </r>
  <r>
    <s v="lais.tibaque@unisabana.edu.co"/>
    <x v="26"/>
    <x v="0"/>
  </r>
  <r>
    <s v="brigitte.zabala@unisabana.edu.co"/>
    <x v="26"/>
    <x v="0"/>
  </r>
  <r>
    <s v="luis.angel1@unisabana.edu.co"/>
    <x v="27"/>
    <x v="0"/>
  </r>
  <r>
    <s v="natalia.barahona@unisabana.edu.co"/>
    <x v="27"/>
    <x v="1"/>
  </r>
  <r>
    <s v="micsi.canasteros@unisabana.edu.co"/>
    <x v="27"/>
    <x v="0"/>
  </r>
  <r>
    <s v="oswaldo.chavez@unisabana.edu.co"/>
    <x v="27"/>
    <x v="0"/>
  </r>
  <r>
    <s v="emilse.cortes@unisabana.edu.co"/>
    <x v="27"/>
    <x v="0"/>
  </r>
  <r>
    <s v="marisol.cuevas@unisabana.edu.co"/>
    <x v="27"/>
    <x v="0"/>
  </r>
  <r>
    <s v="cristian.farfan@unisabana.edu.co"/>
    <x v="27"/>
    <x v="1"/>
  </r>
  <r>
    <s v="deisy.florez@unisabana.edu.co"/>
    <x v="27"/>
    <x v="0"/>
  </r>
  <r>
    <s v="ana.galvis@unisabana.edu.co"/>
    <x v="27"/>
    <x v="0"/>
  </r>
  <r>
    <s v="sandra.garcia5@unisabana.edu.co"/>
    <x v="27"/>
    <x v="0"/>
  </r>
  <r>
    <s v="karen.gayon@unisabana.edu.co"/>
    <x v="27"/>
    <x v="0"/>
  </r>
  <r>
    <s v="duvan.giraldo1@unisabana.edu.co"/>
    <x v="27"/>
    <x v="1"/>
  </r>
  <r>
    <s v="sandra.gomez2@unisabana.edu.co"/>
    <x v="27"/>
    <x v="0"/>
  </r>
  <r>
    <s v="nancy.gonzalez@unisabana.edu.co"/>
    <x v="27"/>
    <x v="0"/>
  </r>
  <r>
    <s v="jorge.hernandez4@unisabana.edu.co"/>
    <x v="27"/>
    <x v="0"/>
  </r>
  <r>
    <s v="daniel.leiva@unisabana.edu.co"/>
    <x v="27"/>
    <x v="0"/>
  </r>
  <r>
    <s v="miguel.leon@unisabana.edu.co"/>
    <x v="27"/>
    <x v="0"/>
  </r>
  <r>
    <s v="anyi.marin@unisabana.edu.co"/>
    <x v="27"/>
    <x v="0"/>
  </r>
  <r>
    <s v="gina.mendez1@unisabana.edu.co"/>
    <x v="27"/>
    <x v="0"/>
  </r>
  <r>
    <s v="melba.mendoza@unisabana.edu.co"/>
    <x v="27"/>
    <x v="1"/>
  </r>
  <r>
    <s v="rosa.mendoza@unisabana.edu.co"/>
    <x v="27"/>
    <x v="1"/>
  </r>
  <r>
    <s v="cristina.montano@unisabana.edu.co"/>
    <x v="27"/>
    <x v="1"/>
  </r>
  <r>
    <s v="nayibe.mora@unisabana.edu.co"/>
    <x v="27"/>
    <x v="1"/>
  </r>
  <r>
    <s v="katherinne.morantes@unisabana.edu.co"/>
    <x v="27"/>
    <x v="0"/>
  </r>
  <r>
    <s v="laura.ochoa@unisabana.edu.co"/>
    <x v="27"/>
    <x v="1"/>
  </r>
  <r>
    <s v="ivan.ospina@unisabana.edu.co"/>
    <x v="27"/>
    <x v="0"/>
  </r>
  <r>
    <s v="aida.pena@unisabana.edu.co"/>
    <x v="27"/>
    <x v="0"/>
  </r>
  <r>
    <s v="jaime.pinzon@unisabana.edu.co"/>
    <x v="27"/>
    <x v="0"/>
  </r>
  <r>
    <s v="gregorio.prieto@unisabana.edu.co"/>
    <x v="27"/>
    <x v="1"/>
  </r>
  <r>
    <s v="maria.quevedo2@unisabana.edu.co"/>
    <x v="27"/>
    <x v="1"/>
  </r>
  <r>
    <s v="camilo.ramirez1@unisabana.edu.co"/>
    <x v="27"/>
    <x v="0"/>
  </r>
  <r>
    <s v="mariaramo@unisabana.edu.co"/>
    <x v="27"/>
    <x v="1"/>
  </r>
  <r>
    <s v="marco.rivera@unisabana.edu.co"/>
    <x v="27"/>
    <x v="1"/>
  </r>
  <r>
    <s v="catalina.rodriguez2@unisabana.edu.co"/>
    <x v="27"/>
    <x v="1"/>
  </r>
  <r>
    <s v="mariana.rojas@unisabana.edu.co"/>
    <x v="27"/>
    <x v="1"/>
  </r>
  <r>
    <s v="miguel.rozo@unisabana.edu.co"/>
    <x v="27"/>
    <x v="1"/>
  </r>
  <r>
    <s v="steven.rubiano@unisabana.edu.co"/>
    <x v="27"/>
    <x v="0"/>
  </r>
  <r>
    <s v="andrey.sanchez1@unisabana.edu.co"/>
    <x v="27"/>
    <x v="0"/>
  </r>
  <r>
    <s v="maria.sanchez32@unisabana.edu.co"/>
    <x v="27"/>
    <x v="0"/>
  </r>
  <r>
    <s v="andres.sastoque@unisabana.edu.co"/>
    <x v="27"/>
    <x v="0"/>
  </r>
  <r>
    <s v="ana.zuluaga@unisabana.edu.co"/>
    <x v="27"/>
    <x v="0"/>
  </r>
  <r>
    <s v="jessica.giraldo@unisabana.edu.co"/>
    <x v="28"/>
    <x v="1"/>
  </r>
  <r>
    <s v="jenny.londono@unisabana.edu.co"/>
    <x v="28"/>
    <x v="0"/>
  </r>
  <r>
    <s v="sfairha.moreno@unisabana.edu.co"/>
    <x v="28"/>
    <x v="0"/>
  </r>
  <r>
    <s v="manuela.pena1@unisabana.edu.co"/>
    <x v="29"/>
    <x v="0"/>
  </r>
  <r>
    <s v="liliana.pinilla3@unisabana.edu.co"/>
    <x v="29"/>
    <x v="0"/>
  </r>
  <r>
    <s v="paularoasa@unisabana.edu.co"/>
    <x v="29"/>
    <x v="0"/>
  </r>
  <r>
    <s v="ana.gomez2@unisabana.edu.co"/>
    <x v="30"/>
    <x v="0"/>
  </r>
  <r>
    <s v="maria.guaje@unisabana.edu.co"/>
    <x v="30"/>
    <x v="0"/>
  </r>
  <r>
    <s v="mpatricia.jimenez@unisabana.edu.co"/>
    <x v="30"/>
    <x v="0"/>
  </r>
  <r>
    <s v="luis.manjarrez@inalde.edu.co"/>
    <x v="30"/>
    <x v="0"/>
  </r>
  <r>
    <s v="gustavo.joya1@unisabana.edu.co"/>
    <x v="30"/>
    <x v="0"/>
  </r>
  <r>
    <s v="andres.aguilar1@unisabana.edu.co"/>
    <x v="31"/>
    <x v="1"/>
  </r>
  <r>
    <s v="angelica.alarcon@unisabana.edu.co"/>
    <x v="31"/>
    <x v="0"/>
  </r>
  <r>
    <s v="angelica.alarcon1@unisabana.edu.co"/>
    <x v="31"/>
    <x v="1"/>
  </r>
  <r>
    <s v="sergio.beltran@unisabana.edu.co"/>
    <x v="31"/>
    <x v="1"/>
  </r>
  <r>
    <s v="claudia.borda@unisabana.edu.co"/>
    <x v="31"/>
    <x v="0"/>
  </r>
  <r>
    <s v="oscar.calle@unisabana.edu.co"/>
    <x v="31"/>
    <x v="0"/>
  </r>
  <r>
    <s v="veronica.castro@unisabana.edu.co"/>
    <x v="31"/>
    <x v="0"/>
  </r>
  <r>
    <s v="maria.copete@unisabana.edu.co"/>
    <x v="31"/>
    <x v="0"/>
  </r>
  <r>
    <s v="jaime.diaz1@unisabana.edu.co"/>
    <x v="31"/>
    <x v="0"/>
  </r>
  <r>
    <s v="marlyn.garcia@unisabana.edu.co"/>
    <x v="31"/>
    <x v="0"/>
  </r>
  <r>
    <s v="angie.guartos@unisabana.edu.co"/>
    <x v="31"/>
    <x v="0"/>
  </r>
  <r>
    <s v="nadia.gutierrez@unisabana.edu.co"/>
    <x v="31"/>
    <x v="0"/>
  </r>
  <r>
    <s v="maria.herrera1@unisabana.edu.co"/>
    <x v="31"/>
    <x v="0"/>
  </r>
  <r>
    <s v="lina.lopez1@unisabana.edu.co"/>
    <x v="31"/>
    <x v="0"/>
  </r>
  <r>
    <s v="yenny.lopez@unisabana.edu.co"/>
    <x v="31"/>
    <x v="0"/>
  </r>
  <r>
    <s v="carlos.manrique4@unisabana.edu.co"/>
    <x v="31"/>
    <x v="0"/>
  </r>
  <r>
    <s v="andrea.moreno1@unisabana.edu.co"/>
    <x v="31"/>
    <x v="0"/>
  </r>
  <r>
    <s v="jhon.mur@unisabana.edu.co"/>
    <x v="31"/>
    <x v="0"/>
  </r>
  <r>
    <s v="jessica.pedraza@unisabana.edu.co"/>
    <x v="31"/>
    <x v="0"/>
  </r>
  <r>
    <s v="sara.pulido@unisabana.edu.co"/>
    <x v="31"/>
    <x v="1"/>
  </r>
  <r>
    <s v="lizeth.pulido@unisabana.edu.co"/>
    <x v="31"/>
    <x v="0"/>
  </r>
  <r>
    <s v="laura.ramireza@unisabana.edu.co"/>
    <x v="31"/>
    <x v="0"/>
  </r>
  <r>
    <s v="francy.reyes@unisabana.edu.co"/>
    <x v="31"/>
    <x v="0"/>
  </r>
  <r>
    <s v="paula.rodriguez6@unisabana.edu.co"/>
    <x v="31"/>
    <x v="0"/>
  </r>
  <r>
    <s v="juan.rodriguez8@unisabana.edu.co"/>
    <x v="31"/>
    <x v="0"/>
  </r>
  <r>
    <s v="nancy.torres1@unisabana.edu.co"/>
    <x v="31"/>
    <x v="0"/>
  </r>
  <r>
    <s v="john.alba@unisabana.edu.co"/>
    <x v="32"/>
    <x v="0"/>
  </r>
  <r>
    <s v="ingrid.anzelin@unisabana.edu.co"/>
    <x v="32"/>
    <x v="0"/>
  </r>
  <r>
    <s v="gycel.guevara@unisabana.edu.co"/>
    <x v="32"/>
    <x v="0"/>
  </r>
  <r>
    <s v="camila.rodriguez3@unisabana.edu.co"/>
    <x v="33"/>
    <x v="0"/>
  </r>
  <r>
    <s v="diana.maya@unisabana.edu.co"/>
    <x v="33"/>
    <x v="0"/>
  </r>
  <r>
    <s v="david.ramirez7@unisabana.edu.co"/>
    <x v="33"/>
    <x v="0"/>
  </r>
  <r>
    <s v="angelica.munoz1@unisabana.edu.co"/>
    <x v="33"/>
    <x v="1"/>
  </r>
  <r>
    <s v="ana.crispin1@unisabana.edu.co"/>
    <x v="34"/>
    <x v="0"/>
  </r>
  <r>
    <s v="nury.olaya@unisabana.edu.co"/>
    <x v="34"/>
    <x v="0"/>
  </r>
  <r>
    <s v="patricia.cardenas@unisabana.edu.co"/>
    <x v="35"/>
    <x v="0"/>
  </r>
  <r>
    <s v="maria.castellanos@unisabana.edu.co"/>
    <x v="35"/>
    <x v="0"/>
  </r>
  <r>
    <s v="merly.jimenez@unisabana.edu.co"/>
    <x v="35"/>
    <x v="0"/>
  </r>
  <r>
    <s v="catherine.prieto@unisabana.edu.co"/>
    <x v="35"/>
    <x v="0"/>
  </r>
  <r>
    <s v="victoria.rozo@unisabana.edu.co"/>
    <x v="35"/>
    <x v="0"/>
  </r>
  <r>
    <s v="maria.martinez@unisabana.edu.co"/>
    <x v="35"/>
    <x v="1"/>
  </r>
  <r>
    <s v="anyerly.murcia@unisabana.edu.co"/>
    <x v="3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2">
  <r>
    <n v="39"/>
    <x v="0"/>
    <x v="0"/>
  </r>
  <r>
    <n v="39"/>
    <x v="0"/>
    <x v="0"/>
  </r>
  <r>
    <n v="39"/>
    <x v="1"/>
    <x v="0"/>
  </r>
  <r>
    <n v="39"/>
    <x v="0"/>
    <x v="0"/>
  </r>
  <r>
    <n v="39"/>
    <x v="0"/>
    <x v="0"/>
  </r>
  <r>
    <n v="39"/>
    <x v="0"/>
    <x v="0"/>
  </r>
  <r>
    <n v="39"/>
    <x v="1"/>
    <x v="0"/>
  </r>
  <r>
    <n v="39"/>
    <x v="2"/>
    <x v="0"/>
  </r>
  <r>
    <n v="39"/>
    <x v="2"/>
    <x v="0"/>
  </r>
  <r>
    <n v="39"/>
    <x v="2"/>
    <x v="0"/>
  </r>
  <r>
    <n v="39"/>
    <x v="0"/>
    <x v="0"/>
  </r>
  <r>
    <n v="39"/>
    <x v="1"/>
    <x v="0"/>
  </r>
  <r>
    <n v="39"/>
    <x v="1"/>
    <x v="0"/>
  </r>
  <r>
    <n v="39"/>
    <x v="2"/>
    <x v="0"/>
  </r>
  <r>
    <n v="39"/>
    <x v="2"/>
    <x v="0"/>
  </r>
  <r>
    <n v="39"/>
    <x v="0"/>
    <x v="0"/>
  </r>
  <r>
    <n v="39"/>
    <x v="2"/>
    <x v="0"/>
  </r>
  <r>
    <n v="39"/>
    <x v="1"/>
    <x v="0"/>
  </r>
  <r>
    <n v="39"/>
    <x v="2"/>
    <x v="0"/>
  </r>
  <r>
    <n v="39"/>
    <x v="0"/>
    <x v="0"/>
  </r>
  <r>
    <n v="39"/>
    <x v="0"/>
    <x v="0"/>
  </r>
  <r>
    <n v="39"/>
    <x v="2"/>
    <x v="0"/>
  </r>
  <r>
    <n v="39"/>
    <x v="0"/>
    <x v="0"/>
  </r>
  <r>
    <n v="39"/>
    <x v="2"/>
    <x v="0"/>
  </r>
  <r>
    <n v="39"/>
    <x v="0"/>
    <x v="0"/>
  </r>
  <r>
    <n v="39"/>
    <x v="2"/>
    <x v="0"/>
  </r>
  <r>
    <n v="39"/>
    <x v="2"/>
    <x v="0"/>
  </r>
  <r>
    <n v="39"/>
    <x v="0"/>
    <x v="0"/>
  </r>
  <r>
    <n v="39"/>
    <x v="2"/>
    <x v="0"/>
  </r>
  <r>
    <n v="39"/>
    <x v="3"/>
    <x v="0"/>
  </r>
  <r>
    <n v="148"/>
    <x v="4"/>
    <x v="1"/>
  </r>
  <r>
    <n v="39"/>
    <x v="1"/>
    <x v="0"/>
  </r>
  <r>
    <n v="40"/>
    <x v="2"/>
    <x v="2"/>
  </r>
  <r>
    <n v="39"/>
    <x v="0"/>
    <x v="0"/>
  </r>
  <r>
    <n v="148"/>
    <x v="5"/>
    <x v="1"/>
  </r>
  <r>
    <n v="148"/>
    <x v="4"/>
    <x v="1"/>
  </r>
  <r>
    <n v="148"/>
    <x v="2"/>
    <x v="1"/>
  </r>
  <r>
    <n v="148"/>
    <x v="2"/>
    <x v="1"/>
  </r>
  <r>
    <n v="32"/>
    <x v="3"/>
    <x v="3"/>
  </r>
  <r>
    <n v="32"/>
    <x v="3"/>
    <x v="3"/>
  </r>
  <r>
    <n v="32"/>
    <x v="3"/>
    <x v="3"/>
  </r>
  <r>
    <n v="32"/>
    <x v="3"/>
    <x v="3"/>
  </r>
  <r>
    <n v="31"/>
    <x v="3"/>
    <x v="4"/>
  </r>
  <r>
    <n v="32"/>
    <x v="3"/>
    <x v="3"/>
  </r>
  <r>
    <n v="32"/>
    <x v="1"/>
    <x v="3"/>
  </r>
  <r>
    <n v="32"/>
    <x v="3"/>
    <x v="3"/>
  </r>
  <r>
    <n v="32"/>
    <x v="3"/>
    <x v="3"/>
  </r>
  <r>
    <n v="32"/>
    <x v="3"/>
    <x v="3"/>
  </r>
  <r>
    <n v="20"/>
    <x v="5"/>
    <x v="5"/>
  </r>
  <r>
    <n v="20"/>
    <x v="5"/>
    <x v="5"/>
  </r>
  <r>
    <n v="20"/>
    <x v="5"/>
    <x v="5"/>
  </r>
  <r>
    <n v="20"/>
    <x v="5"/>
    <x v="5"/>
  </r>
  <r>
    <n v="20"/>
    <x v="0"/>
    <x v="5"/>
  </r>
  <r>
    <n v="20"/>
    <x v="2"/>
    <x v="5"/>
  </r>
  <r>
    <n v="20"/>
    <x v="2"/>
    <x v="5"/>
  </r>
  <r>
    <n v="20"/>
    <x v="5"/>
    <x v="5"/>
  </r>
  <r>
    <n v="20"/>
    <x v="1"/>
    <x v="5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21"/>
    <x v="3"/>
    <x v="6"/>
  </r>
  <r>
    <n v="40"/>
    <x v="6"/>
    <x v="2"/>
  </r>
  <r>
    <n v="40"/>
    <x v="5"/>
    <x v="2"/>
  </r>
  <r>
    <n v="36"/>
    <x v="5"/>
    <x v="7"/>
  </r>
  <r>
    <n v="36"/>
    <x v="2"/>
    <x v="7"/>
  </r>
  <r>
    <n v="21"/>
    <x v="3"/>
    <x v="6"/>
  </r>
  <r>
    <n v="23"/>
    <x v="4"/>
    <x v="8"/>
  </r>
  <r>
    <n v="23"/>
    <x v="6"/>
    <x v="8"/>
  </r>
  <r>
    <n v="40"/>
    <x v="5"/>
    <x v="2"/>
  </r>
  <r>
    <n v="40"/>
    <x v="5"/>
    <x v="2"/>
  </r>
  <r>
    <n v="40"/>
    <x v="5"/>
    <x v="2"/>
  </r>
  <r>
    <n v="40"/>
    <x v="5"/>
    <x v="2"/>
  </r>
  <r>
    <n v="40"/>
    <x v="5"/>
    <x v="2"/>
  </r>
  <r>
    <n v="22"/>
    <x v="3"/>
    <x v="9"/>
  </r>
  <r>
    <n v="23"/>
    <x v="6"/>
    <x v="8"/>
  </r>
  <r>
    <n v="23"/>
    <x v="4"/>
    <x v="8"/>
  </r>
  <r>
    <n v="36"/>
    <x v="5"/>
    <x v="7"/>
  </r>
  <r>
    <n v="23"/>
    <x v="6"/>
    <x v="8"/>
  </r>
  <r>
    <n v="23"/>
    <x v="6"/>
    <x v="8"/>
  </r>
  <r>
    <n v="40"/>
    <x v="5"/>
    <x v="2"/>
  </r>
  <r>
    <n v="36"/>
    <x v="6"/>
    <x v="7"/>
  </r>
  <r>
    <n v="23"/>
    <x v="2"/>
    <x v="8"/>
  </r>
  <r>
    <n v="40"/>
    <x v="5"/>
    <x v="2"/>
  </r>
  <r>
    <n v="40"/>
    <x v="5"/>
    <x v="2"/>
  </r>
  <r>
    <n v="23"/>
    <x v="6"/>
    <x v="8"/>
  </r>
  <r>
    <n v="22"/>
    <x v="1"/>
    <x v="9"/>
  </r>
  <r>
    <n v="23"/>
    <x v="6"/>
    <x v="8"/>
  </r>
  <r>
    <n v="40"/>
    <x v="5"/>
    <x v="2"/>
  </r>
  <r>
    <n v="21"/>
    <x v="3"/>
    <x v="6"/>
  </r>
  <r>
    <n v="23"/>
    <x v="6"/>
    <x v="8"/>
  </r>
  <r>
    <n v="36"/>
    <x v="5"/>
    <x v="7"/>
  </r>
  <r>
    <n v="22"/>
    <x v="3"/>
    <x v="9"/>
  </r>
  <r>
    <n v="21"/>
    <x v="3"/>
    <x v="6"/>
  </r>
  <r>
    <n v="23"/>
    <x v="1"/>
    <x v="8"/>
  </r>
  <r>
    <n v="22"/>
    <x v="3"/>
    <x v="9"/>
  </r>
  <r>
    <n v="22"/>
    <x v="2"/>
    <x v="9"/>
  </r>
  <r>
    <n v="40"/>
    <x v="5"/>
    <x v="2"/>
  </r>
  <r>
    <n v="23"/>
    <x v="5"/>
    <x v="8"/>
  </r>
  <r>
    <n v="22"/>
    <x v="3"/>
    <x v="9"/>
  </r>
  <r>
    <n v="23"/>
    <x v="6"/>
    <x v="8"/>
  </r>
  <r>
    <n v="21"/>
    <x v="3"/>
    <x v="6"/>
  </r>
  <r>
    <n v="23"/>
    <x v="5"/>
    <x v="8"/>
  </r>
  <r>
    <n v="23"/>
    <x v="0"/>
    <x v="8"/>
  </r>
  <r>
    <n v="23"/>
    <x v="5"/>
    <x v="8"/>
  </r>
  <r>
    <n v="38"/>
    <x v="2"/>
    <x v="10"/>
  </r>
  <r>
    <n v="38"/>
    <x v="0"/>
    <x v="10"/>
  </r>
  <r>
    <n v="38"/>
    <x v="6"/>
    <x v="10"/>
  </r>
  <r>
    <n v="38"/>
    <x v="6"/>
    <x v="10"/>
  </r>
  <r>
    <n v="38"/>
    <x v="2"/>
    <x v="10"/>
  </r>
  <r>
    <n v="38"/>
    <x v="0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23"/>
    <x v="6"/>
    <x v="8"/>
  </r>
  <r>
    <n v="23"/>
    <x v="6"/>
    <x v="8"/>
  </r>
  <r>
    <n v="23"/>
    <x v="6"/>
    <x v="8"/>
  </r>
  <r>
    <n v="20"/>
    <x v="0"/>
    <x v="5"/>
  </r>
  <r>
    <n v="23"/>
    <x v="6"/>
    <x v="8"/>
  </r>
  <r>
    <n v="23"/>
    <x v="5"/>
    <x v="8"/>
  </r>
  <r>
    <n v="22"/>
    <x v="2"/>
    <x v="9"/>
  </r>
  <r>
    <n v="23"/>
    <x v="5"/>
    <x v="8"/>
  </r>
  <r>
    <n v="20"/>
    <x v="0"/>
    <x v="5"/>
  </r>
  <r>
    <n v="23"/>
    <x v="5"/>
    <x v="8"/>
  </r>
  <r>
    <n v="20"/>
    <x v="0"/>
    <x v="5"/>
  </r>
  <r>
    <n v="25"/>
    <x v="1"/>
    <x v="11"/>
  </r>
  <r>
    <n v="22"/>
    <x v="1"/>
    <x v="9"/>
  </r>
  <r>
    <n v="22"/>
    <x v="3"/>
    <x v="9"/>
  </r>
  <r>
    <n v="23"/>
    <x v="6"/>
    <x v="8"/>
  </r>
  <r>
    <n v="23"/>
    <x v="6"/>
    <x v="8"/>
  </r>
  <r>
    <n v="23"/>
    <x v="4"/>
    <x v="8"/>
  </r>
  <r>
    <n v="23"/>
    <x v="2"/>
    <x v="8"/>
  </r>
  <r>
    <n v="22"/>
    <x v="1"/>
    <x v="9"/>
  </r>
  <r>
    <n v="23"/>
    <x v="5"/>
    <x v="8"/>
  </r>
  <r>
    <n v="23"/>
    <x v="6"/>
    <x v="8"/>
  </r>
  <r>
    <n v="23"/>
    <x v="6"/>
    <x v="8"/>
  </r>
  <r>
    <n v="23"/>
    <x v="6"/>
    <x v="8"/>
  </r>
  <r>
    <n v="24"/>
    <x v="4"/>
    <x v="12"/>
  </r>
  <r>
    <n v="23"/>
    <x v="5"/>
    <x v="8"/>
  </r>
  <r>
    <n v="20"/>
    <x v="1"/>
    <x v="5"/>
  </r>
  <r>
    <n v="23"/>
    <x v="4"/>
    <x v="8"/>
  </r>
  <r>
    <n v="23"/>
    <x v="4"/>
    <x v="8"/>
  </r>
  <r>
    <n v="20"/>
    <x v="0"/>
    <x v="5"/>
  </r>
  <r>
    <n v="23"/>
    <x v="5"/>
    <x v="8"/>
  </r>
  <r>
    <n v="20"/>
    <x v="1"/>
    <x v="5"/>
  </r>
  <r>
    <n v="23"/>
    <x v="6"/>
    <x v="8"/>
  </r>
  <r>
    <n v="23"/>
    <x v="6"/>
    <x v="8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32"/>
    <x v="3"/>
    <x v="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6"/>
    <x v="13"/>
  </r>
  <r>
    <n v="43"/>
    <x v="5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3"/>
    <x v="14"/>
  </r>
  <r>
    <n v="28"/>
    <x v="2"/>
    <x v="14"/>
  </r>
  <r>
    <n v="28"/>
    <x v="0"/>
    <x v="14"/>
  </r>
  <r>
    <n v="28"/>
    <x v="1"/>
    <x v="14"/>
  </r>
  <r>
    <n v="28"/>
    <x v="0"/>
    <x v="14"/>
  </r>
  <r>
    <n v="28"/>
    <x v="0"/>
    <x v="14"/>
  </r>
  <r>
    <n v="28"/>
    <x v="1"/>
    <x v="14"/>
  </r>
  <r>
    <n v="28"/>
    <x v="0"/>
    <x v="14"/>
  </r>
  <r>
    <n v="21"/>
    <x v="0"/>
    <x v="6"/>
  </r>
  <r>
    <n v="21"/>
    <x v="2"/>
    <x v="6"/>
  </r>
  <r>
    <n v="21"/>
    <x v="2"/>
    <x v="6"/>
  </r>
  <r>
    <n v="21"/>
    <x v="0"/>
    <x v="6"/>
  </r>
  <r>
    <n v="21"/>
    <x v="2"/>
    <x v="6"/>
  </r>
  <r>
    <n v="21"/>
    <x v="2"/>
    <x v="6"/>
  </r>
  <r>
    <n v="21"/>
    <x v="2"/>
    <x v="6"/>
  </r>
  <r>
    <n v="21"/>
    <x v="1"/>
    <x v="6"/>
  </r>
  <r>
    <n v="21"/>
    <x v="0"/>
    <x v="6"/>
  </r>
  <r>
    <n v="21"/>
    <x v="2"/>
    <x v="6"/>
  </r>
  <r>
    <n v="21"/>
    <x v="2"/>
    <x v="6"/>
  </r>
  <r>
    <n v="21"/>
    <x v="3"/>
    <x v="6"/>
  </r>
  <r>
    <n v="21"/>
    <x v="2"/>
    <x v="6"/>
  </r>
  <r>
    <n v="21"/>
    <x v="2"/>
    <x v="6"/>
  </r>
  <r>
    <n v="21"/>
    <x v="2"/>
    <x v="6"/>
  </r>
  <r>
    <n v="21"/>
    <x v="0"/>
    <x v="6"/>
  </r>
  <r>
    <n v="21"/>
    <x v="2"/>
    <x v="6"/>
  </r>
  <r>
    <n v="21"/>
    <x v="0"/>
    <x v="6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21"/>
    <x v="0"/>
    <x v="6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5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4"/>
    <x v="1"/>
  </r>
  <r>
    <n v="148"/>
    <x v="5"/>
    <x v="1"/>
  </r>
  <r>
    <n v="38"/>
    <x v="3"/>
    <x v="10"/>
  </r>
  <r>
    <n v="148"/>
    <x v="4"/>
    <x v="1"/>
  </r>
  <r>
    <n v="39"/>
    <x v="2"/>
    <x v="0"/>
  </r>
  <r>
    <n v="39"/>
    <x v="2"/>
    <x v="0"/>
  </r>
  <r>
    <n v="39"/>
    <x v="2"/>
    <x v="0"/>
  </r>
  <r>
    <n v="39"/>
    <x v="2"/>
    <x v="0"/>
  </r>
  <r>
    <n v="39"/>
    <x v="5"/>
    <x v="0"/>
  </r>
  <r>
    <n v="39"/>
    <x v="2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2"/>
    <x v="2"/>
    <x v="3"/>
  </r>
  <r>
    <n v="32"/>
    <x v="2"/>
    <x v="3"/>
  </r>
  <r>
    <n v="32"/>
    <x v="2"/>
    <x v="3"/>
  </r>
  <r>
    <n v="32"/>
    <x v="2"/>
    <x v="3"/>
  </r>
  <r>
    <n v="32"/>
    <x v="2"/>
    <x v="3"/>
  </r>
  <r>
    <n v="32"/>
    <x v="2"/>
    <x v="3"/>
  </r>
  <r>
    <n v="32"/>
    <x v="2"/>
    <x v="3"/>
  </r>
  <r>
    <n v="39"/>
    <x v="0"/>
    <x v="0"/>
  </r>
  <r>
    <n v="39"/>
    <x v="2"/>
    <x v="0"/>
  </r>
  <r>
    <n v="39"/>
    <x v="0"/>
    <x v="0"/>
  </r>
  <r>
    <n v="39"/>
    <x v="0"/>
    <x v="0"/>
  </r>
  <r>
    <n v="39"/>
    <x v="3"/>
    <x v="0"/>
  </r>
  <r>
    <n v="39"/>
    <x v="2"/>
    <x v="0"/>
  </r>
  <r>
    <n v="39"/>
    <x v="0"/>
    <x v="0"/>
  </r>
  <r>
    <n v="39"/>
    <x v="0"/>
    <x v="0"/>
  </r>
  <r>
    <n v="39"/>
    <x v="0"/>
    <x v="0"/>
  </r>
  <r>
    <n v="39"/>
    <x v="0"/>
    <x v="0"/>
  </r>
  <r>
    <n v="39"/>
    <x v="2"/>
    <x v="0"/>
  </r>
  <r>
    <n v="39"/>
    <x v="2"/>
    <x v="0"/>
  </r>
  <r>
    <n v="39"/>
    <x v="0"/>
    <x v="0"/>
  </r>
  <r>
    <n v="39"/>
    <x v="2"/>
    <x v="0"/>
  </r>
  <r>
    <n v="39"/>
    <x v="2"/>
    <x v="0"/>
  </r>
  <r>
    <n v="39"/>
    <x v="0"/>
    <x v="0"/>
  </r>
  <r>
    <n v="39"/>
    <x v="0"/>
    <x v="0"/>
  </r>
  <r>
    <n v="39"/>
    <x v="0"/>
    <x v="0"/>
  </r>
  <r>
    <n v="39"/>
    <x v="1"/>
    <x v="0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0"/>
    <x v="2"/>
  </r>
  <r>
    <n v="40"/>
    <x v="3"/>
    <x v="2"/>
  </r>
  <r>
    <n v="40"/>
    <x v="0"/>
    <x v="2"/>
  </r>
  <r>
    <n v="40"/>
    <x v="0"/>
    <x v="2"/>
  </r>
  <r>
    <n v="40"/>
    <x v="3"/>
    <x v="2"/>
  </r>
  <r>
    <n v="40"/>
    <x v="3"/>
    <x v="2"/>
  </r>
  <r>
    <n v="40"/>
    <x v="0"/>
    <x v="2"/>
  </r>
  <r>
    <n v="40"/>
    <x v="0"/>
    <x v="2"/>
  </r>
  <r>
    <n v="23"/>
    <x v="1"/>
    <x v="8"/>
  </r>
  <r>
    <n v="23"/>
    <x v="1"/>
    <x v="8"/>
  </r>
  <r>
    <n v="24"/>
    <x v="2"/>
    <x v="12"/>
  </r>
  <r>
    <n v="23"/>
    <x v="1"/>
    <x v="8"/>
  </r>
  <r>
    <n v="23"/>
    <x v="3"/>
    <x v="8"/>
  </r>
  <r>
    <n v="23"/>
    <x v="1"/>
    <x v="8"/>
  </r>
  <r>
    <n v="20"/>
    <x v="1"/>
    <x v="5"/>
  </r>
  <r>
    <n v="23"/>
    <x v="3"/>
    <x v="8"/>
  </r>
  <r>
    <n v="20"/>
    <x v="1"/>
    <x v="5"/>
  </r>
  <r>
    <n v="20"/>
    <x v="1"/>
    <x v="5"/>
  </r>
  <r>
    <n v="23"/>
    <x v="3"/>
    <x v="8"/>
  </r>
  <r>
    <n v="20"/>
    <x v="1"/>
    <x v="5"/>
  </r>
  <r>
    <n v="20"/>
    <x v="1"/>
    <x v="5"/>
  </r>
  <r>
    <n v="23"/>
    <x v="3"/>
    <x v="8"/>
  </r>
  <r>
    <n v="23"/>
    <x v="1"/>
    <x v="8"/>
  </r>
  <r>
    <n v="20"/>
    <x v="1"/>
    <x v="5"/>
  </r>
  <r>
    <n v="23"/>
    <x v="3"/>
    <x v="8"/>
  </r>
  <r>
    <n v="20"/>
    <x v="1"/>
    <x v="5"/>
  </r>
  <r>
    <n v="23"/>
    <x v="3"/>
    <x v="8"/>
  </r>
  <r>
    <n v="23"/>
    <x v="1"/>
    <x v="8"/>
  </r>
  <r>
    <n v="23"/>
    <x v="1"/>
    <x v="8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0"/>
    <x v="13"/>
  </r>
  <r>
    <n v="43"/>
    <x v="2"/>
    <x v="13"/>
  </r>
  <r>
    <n v="39"/>
    <x v="0"/>
    <x v="0"/>
  </r>
  <r>
    <n v="39"/>
    <x v="0"/>
    <x v="0"/>
  </r>
  <r>
    <n v="39"/>
    <x v="0"/>
    <x v="0"/>
  </r>
  <r>
    <n v="39"/>
    <x v="2"/>
    <x v="0"/>
  </r>
  <r>
    <n v="39"/>
    <x v="0"/>
    <x v="0"/>
  </r>
  <r>
    <n v="39"/>
    <x v="0"/>
    <x v="0"/>
  </r>
  <r>
    <n v="39"/>
    <x v="0"/>
    <x v="0"/>
  </r>
  <r>
    <n v="39"/>
    <x v="2"/>
    <x v="0"/>
  </r>
  <r>
    <n v="39"/>
    <x v="2"/>
    <x v="0"/>
  </r>
  <r>
    <n v="39"/>
    <x v="2"/>
    <x v="0"/>
  </r>
  <r>
    <n v="39"/>
    <x v="2"/>
    <x v="0"/>
  </r>
  <r>
    <n v="39"/>
    <x v="0"/>
    <x v="0"/>
  </r>
  <r>
    <n v="39"/>
    <x v="0"/>
    <x v="0"/>
  </r>
  <r>
    <n v="39"/>
    <x v="6"/>
    <x v="0"/>
  </r>
  <r>
    <n v="39"/>
    <x v="0"/>
    <x v="0"/>
  </r>
  <r>
    <n v="39"/>
    <x v="2"/>
    <x v="0"/>
  </r>
  <r>
    <n v="39"/>
    <x v="2"/>
    <x v="0"/>
  </r>
  <r>
    <n v="39"/>
    <x v="0"/>
    <x v="0"/>
  </r>
  <r>
    <n v="39"/>
    <x v="0"/>
    <x v="0"/>
  </r>
  <r>
    <n v="39"/>
    <x v="2"/>
    <x v="0"/>
  </r>
  <r>
    <n v="39"/>
    <x v="2"/>
    <x v="0"/>
  </r>
  <r>
    <n v="39"/>
    <x v="2"/>
    <x v="0"/>
  </r>
  <r>
    <n v="39"/>
    <x v="0"/>
    <x v="0"/>
  </r>
  <r>
    <n v="28"/>
    <x v="4"/>
    <x v="14"/>
  </r>
  <r>
    <n v="27"/>
    <x v="0"/>
    <x v="16"/>
  </r>
  <r>
    <n v="27"/>
    <x v="1"/>
    <x v="16"/>
  </r>
  <r>
    <n v="28"/>
    <x v="4"/>
    <x v="14"/>
  </r>
  <r>
    <n v="27"/>
    <x v="1"/>
    <x v="16"/>
  </r>
  <r>
    <n v="28"/>
    <x v="4"/>
    <x v="14"/>
  </r>
  <r>
    <n v="27"/>
    <x v="3"/>
    <x v="16"/>
  </r>
  <r>
    <n v="27"/>
    <x v="3"/>
    <x v="16"/>
  </r>
  <r>
    <n v="27"/>
    <x v="6"/>
    <x v="16"/>
  </r>
  <r>
    <n v="27"/>
    <x v="1"/>
    <x v="16"/>
  </r>
  <r>
    <n v="27"/>
    <x v="6"/>
    <x v="16"/>
  </r>
  <r>
    <n v="28"/>
    <x v="4"/>
    <x v="14"/>
  </r>
  <r>
    <n v="27"/>
    <x v="5"/>
    <x v="16"/>
  </r>
  <r>
    <n v="27"/>
    <x v="3"/>
    <x v="16"/>
  </r>
  <r>
    <n v="27"/>
    <x v="1"/>
    <x v="16"/>
  </r>
  <r>
    <n v="27"/>
    <x v="5"/>
    <x v="16"/>
  </r>
  <r>
    <n v="27"/>
    <x v="3"/>
    <x v="16"/>
  </r>
  <r>
    <n v="28"/>
    <x v="4"/>
    <x v="14"/>
  </r>
  <r>
    <n v="27"/>
    <x v="3"/>
    <x v="16"/>
  </r>
  <r>
    <n v="27"/>
    <x v="5"/>
    <x v="16"/>
  </r>
  <r>
    <n v="27"/>
    <x v="3"/>
    <x v="16"/>
  </r>
  <r>
    <n v="28"/>
    <x v="4"/>
    <x v="14"/>
  </r>
  <r>
    <n v="27"/>
    <x v="3"/>
    <x v="16"/>
  </r>
  <r>
    <n v="28"/>
    <x v="4"/>
    <x v="14"/>
  </r>
  <r>
    <n v="28"/>
    <x v="4"/>
    <x v="14"/>
  </r>
  <r>
    <n v="26"/>
    <x v="3"/>
    <x v="17"/>
  </r>
  <r>
    <n v="27"/>
    <x v="0"/>
    <x v="16"/>
  </r>
  <r>
    <n v="28"/>
    <x v="4"/>
    <x v="14"/>
  </r>
  <r>
    <n v="28"/>
    <x v="4"/>
    <x v="14"/>
  </r>
  <r>
    <n v="39"/>
    <x v="2"/>
    <x v="0"/>
  </r>
  <r>
    <n v="39"/>
    <x v="0"/>
    <x v="0"/>
  </r>
  <r>
    <n v="38"/>
    <x v="5"/>
    <x v="10"/>
  </r>
  <r>
    <n v="38"/>
    <x v="5"/>
    <x v="10"/>
  </r>
  <r>
    <n v="38"/>
    <x v="5"/>
    <x v="10"/>
  </r>
  <r>
    <n v="38"/>
    <x v="1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5"/>
    <x v="10"/>
  </r>
  <r>
    <n v="38"/>
    <x v="2"/>
    <x v="10"/>
  </r>
  <r>
    <n v="38"/>
    <x v="5"/>
    <x v="10"/>
  </r>
  <r>
    <n v="38"/>
    <x v="5"/>
    <x v="10"/>
  </r>
  <r>
    <n v="38"/>
    <x v="5"/>
    <x v="10"/>
  </r>
  <r>
    <n v="39"/>
    <x v="0"/>
    <x v="0"/>
  </r>
  <r>
    <n v="39"/>
    <x v="1"/>
    <x v="0"/>
  </r>
  <r>
    <n v="39"/>
    <x v="1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1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3"/>
    <x v="0"/>
  </r>
  <r>
    <n v="32"/>
    <x v="5"/>
    <x v="3"/>
  </r>
  <r>
    <n v="32"/>
    <x v="5"/>
    <x v="3"/>
  </r>
  <r>
    <n v="32"/>
    <x v="5"/>
    <x v="3"/>
  </r>
  <r>
    <n v="32"/>
    <x v="5"/>
    <x v="3"/>
  </r>
  <r>
    <n v="32"/>
    <x v="2"/>
    <x v="3"/>
  </r>
  <r>
    <n v="32"/>
    <x v="5"/>
    <x v="3"/>
  </r>
  <r>
    <n v="39"/>
    <x v="3"/>
    <x v="0"/>
  </r>
  <r>
    <n v="39"/>
    <x v="4"/>
    <x v="0"/>
  </r>
  <r>
    <n v="36"/>
    <x v="2"/>
    <x v="7"/>
  </r>
  <r>
    <n v="36"/>
    <x v="0"/>
    <x v="7"/>
  </r>
  <r>
    <n v="36"/>
    <x v="1"/>
    <x v="7"/>
  </r>
  <r>
    <n v="36"/>
    <x v="0"/>
    <x v="7"/>
  </r>
  <r>
    <n v="36"/>
    <x v="0"/>
    <x v="7"/>
  </r>
  <r>
    <n v="36"/>
    <x v="2"/>
    <x v="7"/>
  </r>
  <r>
    <n v="36"/>
    <x v="0"/>
    <x v="7"/>
  </r>
  <r>
    <n v="36"/>
    <x v="0"/>
    <x v="7"/>
  </r>
  <r>
    <n v="36"/>
    <x v="0"/>
    <x v="7"/>
  </r>
  <r>
    <n v="40"/>
    <x v="0"/>
    <x v="2"/>
  </r>
  <r>
    <n v="36"/>
    <x v="0"/>
    <x v="7"/>
  </r>
  <r>
    <n v="36"/>
    <x v="0"/>
    <x v="7"/>
  </r>
  <r>
    <n v="36"/>
    <x v="0"/>
    <x v="7"/>
  </r>
  <r>
    <n v="36"/>
    <x v="0"/>
    <x v="7"/>
  </r>
  <r>
    <n v="40"/>
    <x v="0"/>
    <x v="2"/>
  </r>
  <r>
    <n v="36"/>
    <x v="0"/>
    <x v="7"/>
  </r>
  <r>
    <n v="40"/>
    <x v="2"/>
    <x v="2"/>
  </r>
  <r>
    <n v="36"/>
    <x v="0"/>
    <x v="7"/>
  </r>
  <r>
    <n v="36"/>
    <x v="0"/>
    <x v="7"/>
  </r>
  <r>
    <n v="36"/>
    <x v="0"/>
    <x v="7"/>
  </r>
  <r>
    <n v="40"/>
    <x v="0"/>
    <x v="2"/>
  </r>
  <r>
    <n v="36"/>
    <x v="0"/>
    <x v="7"/>
  </r>
  <r>
    <n v="36"/>
    <x v="6"/>
    <x v="7"/>
  </r>
  <r>
    <n v="36"/>
    <x v="0"/>
    <x v="7"/>
  </r>
  <r>
    <n v="36"/>
    <x v="2"/>
    <x v="7"/>
  </r>
  <r>
    <n v="36"/>
    <x v="2"/>
    <x v="7"/>
  </r>
  <r>
    <n v="36"/>
    <x v="0"/>
    <x v="7"/>
  </r>
  <r>
    <n v="36"/>
    <x v="0"/>
    <x v="7"/>
  </r>
  <r>
    <n v="36"/>
    <x v="1"/>
    <x v="7"/>
  </r>
  <r>
    <n v="40"/>
    <x v="0"/>
    <x v="2"/>
  </r>
  <r>
    <n v="36"/>
    <x v="0"/>
    <x v="7"/>
  </r>
  <r>
    <n v="36"/>
    <x v="0"/>
    <x v="7"/>
  </r>
  <r>
    <n v="32"/>
    <x v="4"/>
    <x v="3"/>
  </r>
  <r>
    <n v="32"/>
    <x v="4"/>
    <x v="3"/>
  </r>
  <r>
    <n v="32"/>
    <x v="4"/>
    <x v="3"/>
  </r>
  <r>
    <n v="32"/>
    <x v="4"/>
    <x v="3"/>
  </r>
  <r>
    <n v="32"/>
    <x v="4"/>
    <x v="3"/>
  </r>
  <r>
    <n v="32"/>
    <x v="4"/>
    <x v="3"/>
  </r>
  <r>
    <n v="32"/>
    <x v="4"/>
    <x v="3"/>
  </r>
  <r>
    <n v="32"/>
    <x v="0"/>
    <x v="3"/>
  </r>
  <r>
    <n v="32"/>
    <x v="4"/>
    <x v="3"/>
  </r>
  <r>
    <n v="32"/>
    <x v="4"/>
    <x v="3"/>
  </r>
  <r>
    <n v="32"/>
    <x v="4"/>
    <x v="3"/>
  </r>
  <r>
    <n v="32"/>
    <x v="4"/>
    <x v="3"/>
  </r>
  <r>
    <n v="32"/>
    <x v="0"/>
    <x v="3"/>
  </r>
  <r>
    <n v="32"/>
    <x v="4"/>
    <x v="3"/>
  </r>
  <r>
    <n v="32"/>
    <x v="4"/>
    <x v="3"/>
  </r>
  <r>
    <n v="32"/>
    <x v="4"/>
    <x v="3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27"/>
    <x v="4"/>
    <x v="16"/>
  </r>
  <r>
    <n v="27"/>
    <x v="2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6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27"/>
    <x v="4"/>
    <x v="16"/>
  </r>
  <r>
    <n v="40"/>
    <x v="2"/>
    <x v="2"/>
  </r>
  <r>
    <n v="40"/>
    <x v="2"/>
    <x v="2"/>
  </r>
  <r>
    <n v="40"/>
    <x v="2"/>
    <x v="2"/>
  </r>
  <r>
    <n v="40"/>
    <x v="2"/>
    <x v="2"/>
  </r>
  <r>
    <n v="40"/>
    <x v="2"/>
    <x v="2"/>
  </r>
  <r>
    <n v="40"/>
    <x v="2"/>
    <x v="2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36"/>
    <x v="3"/>
    <x v="7"/>
  </r>
  <r>
    <n v="22"/>
    <x v="0"/>
    <x v="9"/>
  </r>
  <r>
    <n v="21"/>
    <x v="2"/>
    <x v="6"/>
  </r>
  <r>
    <n v="22"/>
    <x v="2"/>
    <x v="9"/>
  </r>
  <r>
    <n v="22"/>
    <x v="2"/>
    <x v="9"/>
  </r>
  <r>
    <n v="22"/>
    <x v="2"/>
    <x v="9"/>
  </r>
  <r>
    <n v="22"/>
    <x v="2"/>
    <x v="9"/>
  </r>
  <r>
    <n v="22"/>
    <x v="2"/>
    <x v="9"/>
  </r>
  <r>
    <n v="22"/>
    <x v="2"/>
    <x v="9"/>
  </r>
  <r>
    <n v="22"/>
    <x v="3"/>
    <x v="9"/>
  </r>
  <r>
    <n v="22"/>
    <x v="2"/>
    <x v="9"/>
  </r>
  <r>
    <n v="22"/>
    <x v="0"/>
    <x v="9"/>
  </r>
  <r>
    <n v="22"/>
    <x v="2"/>
    <x v="9"/>
  </r>
  <r>
    <n v="22"/>
    <x v="2"/>
    <x v="9"/>
  </r>
  <r>
    <n v="22"/>
    <x v="0"/>
    <x v="9"/>
  </r>
  <r>
    <n v="22"/>
    <x v="2"/>
    <x v="9"/>
  </r>
  <r>
    <n v="22"/>
    <x v="2"/>
    <x v="9"/>
  </r>
  <r>
    <n v="22"/>
    <x v="0"/>
    <x v="9"/>
  </r>
  <r>
    <n v="22"/>
    <x v="2"/>
    <x v="9"/>
  </r>
  <r>
    <n v="22"/>
    <x v="2"/>
    <x v="9"/>
  </r>
  <r>
    <n v="22"/>
    <x v="2"/>
    <x v="9"/>
  </r>
  <r>
    <n v="22"/>
    <x v="0"/>
    <x v="9"/>
  </r>
  <r>
    <n v="22"/>
    <x v="2"/>
    <x v="9"/>
  </r>
  <r>
    <n v="22"/>
    <x v="0"/>
    <x v="9"/>
  </r>
  <r>
    <n v="22"/>
    <x v="2"/>
    <x v="9"/>
  </r>
  <r>
    <n v="22"/>
    <x v="2"/>
    <x v="9"/>
  </r>
  <r>
    <n v="22"/>
    <x v="2"/>
    <x v="9"/>
  </r>
  <r>
    <n v="22"/>
    <x v="0"/>
    <x v="9"/>
  </r>
  <r>
    <n v="22"/>
    <x v="0"/>
    <x v="9"/>
  </r>
  <r>
    <n v="22"/>
    <x v="2"/>
    <x v="9"/>
  </r>
  <r>
    <n v="22"/>
    <x v="1"/>
    <x v="9"/>
  </r>
  <r>
    <n v="22"/>
    <x v="3"/>
    <x v="9"/>
  </r>
  <r>
    <n v="22"/>
    <x v="2"/>
    <x v="9"/>
  </r>
  <r>
    <n v="36"/>
    <x v="3"/>
    <x v="7"/>
  </r>
  <r>
    <n v="21"/>
    <x v="3"/>
    <x v="6"/>
  </r>
  <r>
    <n v="36"/>
    <x v="3"/>
    <x v="7"/>
  </r>
  <r>
    <n v="41"/>
    <x v="0"/>
    <x v="18"/>
  </r>
  <r>
    <n v="41"/>
    <x v="1"/>
    <x v="18"/>
  </r>
  <r>
    <n v="41"/>
    <x v="1"/>
    <x v="18"/>
  </r>
  <r>
    <n v="41"/>
    <x v="1"/>
    <x v="18"/>
  </r>
  <r>
    <n v="41"/>
    <x v="1"/>
    <x v="18"/>
  </r>
  <r>
    <n v="41"/>
    <x v="1"/>
    <x v="18"/>
  </r>
  <r>
    <n v="41"/>
    <x v="3"/>
    <x v="18"/>
  </r>
  <r>
    <n v="41"/>
    <x v="1"/>
    <x v="18"/>
  </r>
  <r>
    <n v="41"/>
    <x v="1"/>
    <x v="18"/>
  </r>
  <r>
    <n v="41"/>
    <x v="3"/>
    <x v="18"/>
  </r>
  <r>
    <n v="41"/>
    <x v="1"/>
    <x v="18"/>
  </r>
  <r>
    <n v="41"/>
    <x v="1"/>
    <x v="18"/>
  </r>
  <r>
    <n v="41"/>
    <x v="1"/>
    <x v="18"/>
  </r>
  <r>
    <n v="40"/>
    <x v="2"/>
    <x v="2"/>
  </r>
  <r>
    <n v="40"/>
    <x v="2"/>
    <x v="2"/>
  </r>
  <r>
    <n v="40"/>
    <x v="1"/>
    <x v="2"/>
  </r>
  <r>
    <n v="21"/>
    <x v="5"/>
    <x v="6"/>
  </r>
  <r>
    <n v="21"/>
    <x v="0"/>
    <x v="6"/>
  </r>
  <r>
    <n v="22"/>
    <x v="6"/>
    <x v="9"/>
  </r>
  <r>
    <n v="22"/>
    <x v="5"/>
    <x v="9"/>
  </r>
  <r>
    <n v="22"/>
    <x v="5"/>
    <x v="9"/>
  </r>
  <r>
    <n v="22"/>
    <x v="5"/>
    <x v="9"/>
  </r>
  <r>
    <n v="22"/>
    <x v="4"/>
    <x v="9"/>
  </r>
  <r>
    <n v="22"/>
    <x v="5"/>
    <x v="9"/>
  </r>
  <r>
    <n v="22"/>
    <x v="6"/>
    <x v="9"/>
  </r>
  <r>
    <n v="22"/>
    <x v="6"/>
    <x v="9"/>
  </r>
  <r>
    <n v="22"/>
    <x v="6"/>
    <x v="9"/>
  </r>
  <r>
    <n v="22"/>
    <x v="5"/>
    <x v="9"/>
  </r>
  <r>
    <n v="23"/>
    <x v="4"/>
    <x v="8"/>
  </r>
  <r>
    <n v="22"/>
    <x v="6"/>
    <x v="9"/>
  </r>
  <r>
    <n v="23"/>
    <x v="6"/>
    <x v="8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2"/>
    <x v="9"/>
  </r>
  <r>
    <n v="22"/>
    <x v="5"/>
    <x v="9"/>
  </r>
  <r>
    <n v="27"/>
    <x v="2"/>
    <x v="16"/>
  </r>
  <r>
    <n v="27"/>
    <x v="0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27"/>
    <x v="2"/>
    <x v="16"/>
  </r>
  <r>
    <n v="32"/>
    <x v="1"/>
    <x v="3"/>
  </r>
  <r>
    <n v="32"/>
    <x v="1"/>
    <x v="3"/>
  </r>
  <r>
    <n v="32"/>
    <x v="1"/>
    <x v="3"/>
  </r>
  <r>
    <n v="22"/>
    <x v="5"/>
    <x v="9"/>
  </r>
  <r>
    <n v="22"/>
    <x v="5"/>
    <x v="9"/>
  </r>
  <r>
    <n v="21"/>
    <x v="1"/>
    <x v="6"/>
  </r>
  <r>
    <n v="22"/>
    <x v="6"/>
    <x v="9"/>
  </r>
  <r>
    <n v="21"/>
    <x v="2"/>
    <x v="6"/>
  </r>
  <r>
    <n v="21"/>
    <x v="6"/>
    <x v="6"/>
  </r>
  <r>
    <n v="22"/>
    <x v="6"/>
    <x v="9"/>
  </r>
  <r>
    <n v="21"/>
    <x v="0"/>
    <x v="6"/>
  </r>
  <r>
    <n v="21"/>
    <x v="1"/>
    <x v="6"/>
  </r>
  <r>
    <n v="21"/>
    <x v="1"/>
    <x v="6"/>
  </r>
  <r>
    <n v="21"/>
    <x v="0"/>
    <x v="6"/>
  </r>
  <r>
    <n v="21"/>
    <x v="0"/>
    <x v="6"/>
  </r>
  <r>
    <n v="21"/>
    <x v="0"/>
    <x v="6"/>
  </r>
  <r>
    <n v="22"/>
    <x v="6"/>
    <x v="9"/>
  </r>
  <r>
    <n v="21"/>
    <x v="0"/>
    <x v="6"/>
  </r>
  <r>
    <n v="21"/>
    <x v="1"/>
    <x v="6"/>
  </r>
  <r>
    <n v="21"/>
    <x v="0"/>
    <x v="6"/>
  </r>
  <r>
    <n v="22"/>
    <x v="6"/>
    <x v="9"/>
  </r>
  <r>
    <n v="21"/>
    <x v="6"/>
    <x v="6"/>
  </r>
  <r>
    <n v="21"/>
    <x v="0"/>
    <x v="6"/>
  </r>
  <r>
    <n v="22"/>
    <x v="2"/>
    <x v="9"/>
  </r>
  <r>
    <n v="21"/>
    <x v="0"/>
    <x v="6"/>
  </r>
  <r>
    <n v="21"/>
    <x v="6"/>
    <x v="6"/>
  </r>
  <r>
    <n v="21"/>
    <x v="0"/>
    <x v="6"/>
  </r>
  <r>
    <n v="40"/>
    <x v="2"/>
    <x v="2"/>
  </r>
  <r>
    <n v="40"/>
    <x v="2"/>
    <x v="2"/>
  </r>
  <r>
    <n v="40"/>
    <x v="2"/>
    <x v="2"/>
  </r>
  <r>
    <n v="40"/>
    <x v="2"/>
    <x v="2"/>
  </r>
  <r>
    <n v="40"/>
    <x v="1"/>
    <x v="2"/>
  </r>
  <r>
    <n v="40"/>
    <x v="1"/>
    <x v="2"/>
  </r>
  <r>
    <n v="41"/>
    <x v="3"/>
    <x v="18"/>
  </r>
  <r>
    <n v="40"/>
    <x v="1"/>
    <x v="2"/>
  </r>
  <r>
    <n v="40"/>
    <x v="3"/>
    <x v="2"/>
  </r>
  <r>
    <n v="40"/>
    <x v="1"/>
    <x v="2"/>
  </r>
  <r>
    <n v="41"/>
    <x v="1"/>
    <x v="18"/>
  </r>
  <r>
    <n v="40"/>
    <x v="1"/>
    <x v="2"/>
  </r>
  <r>
    <n v="40"/>
    <x v="1"/>
    <x v="2"/>
  </r>
  <r>
    <n v="40"/>
    <x v="3"/>
    <x v="2"/>
  </r>
  <r>
    <n v="40"/>
    <x v="1"/>
    <x v="2"/>
  </r>
  <r>
    <n v="40"/>
    <x v="1"/>
    <x v="2"/>
  </r>
  <r>
    <n v="41"/>
    <x v="3"/>
    <x v="18"/>
  </r>
  <r>
    <n v="40"/>
    <x v="1"/>
    <x v="2"/>
  </r>
  <r>
    <n v="40"/>
    <x v="1"/>
    <x v="2"/>
  </r>
  <r>
    <n v="41"/>
    <x v="3"/>
    <x v="18"/>
  </r>
  <r>
    <n v="41"/>
    <x v="3"/>
    <x v="18"/>
  </r>
  <r>
    <n v="21"/>
    <x v="0"/>
    <x v="6"/>
  </r>
  <r>
    <n v="21"/>
    <x v="0"/>
    <x v="6"/>
  </r>
  <r>
    <n v="22"/>
    <x v="6"/>
    <x v="9"/>
  </r>
  <r>
    <n v="21"/>
    <x v="0"/>
    <x v="6"/>
  </r>
  <r>
    <n v="22"/>
    <x v="5"/>
    <x v="9"/>
  </r>
  <r>
    <n v="21"/>
    <x v="2"/>
    <x v="6"/>
  </r>
  <r>
    <n v="21"/>
    <x v="0"/>
    <x v="6"/>
  </r>
  <r>
    <n v="21"/>
    <x v="0"/>
    <x v="6"/>
  </r>
  <r>
    <n v="22"/>
    <x v="5"/>
    <x v="9"/>
  </r>
  <r>
    <n v="22"/>
    <x v="5"/>
    <x v="9"/>
  </r>
  <r>
    <n v="22"/>
    <x v="5"/>
    <x v="9"/>
  </r>
  <r>
    <n v="22"/>
    <x v="6"/>
    <x v="9"/>
  </r>
  <r>
    <n v="21"/>
    <x v="0"/>
    <x v="6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2"/>
    <x v="5"/>
    <x v="9"/>
  </r>
  <r>
    <n v="21"/>
    <x v="2"/>
    <x v="6"/>
  </r>
  <r>
    <n v="40"/>
    <x v="3"/>
    <x v="2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34"/>
    <x v="4"/>
    <x v="15"/>
  </r>
  <r>
    <n v="20"/>
    <x v="5"/>
    <x v="5"/>
  </r>
  <r>
    <n v="20"/>
    <x v="5"/>
    <x v="5"/>
  </r>
  <r>
    <n v="20"/>
    <x v="5"/>
    <x v="5"/>
  </r>
  <r>
    <n v="20"/>
    <x v="5"/>
    <x v="5"/>
  </r>
  <r>
    <n v="20"/>
    <x v="5"/>
    <x v="5"/>
  </r>
  <r>
    <n v="20"/>
    <x v="4"/>
    <x v="5"/>
  </r>
  <r>
    <n v="41"/>
    <x v="6"/>
    <x v="18"/>
  </r>
  <r>
    <n v="20"/>
    <x v="4"/>
    <x v="5"/>
  </r>
  <r>
    <n v="20"/>
    <x v="5"/>
    <x v="5"/>
  </r>
  <r>
    <n v="39"/>
    <x v="3"/>
    <x v="0"/>
  </r>
  <r>
    <n v="39"/>
    <x v="3"/>
    <x v="0"/>
  </r>
  <r>
    <n v="39"/>
    <x v="1"/>
    <x v="0"/>
  </r>
  <r>
    <n v="39"/>
    <x v="3"/>
    <x v="0"/>
  </r>
  <r>
    <n v="39"/>
    <x v="1"/>
    <x v="0"/>
  </r>
  <r>
    <n v="39"/>
    <x v="3"/>
    <x v="0"/>
  </r>
  <r>
    <n v="39"/>
    <x v="3"/>
    <x v="0"/>
  </r>
  <r>
    <n v="39"/>
    <x v="3"/>
    <x v="0"/>
  </r>
  <r>
    <n v="39"/>
    <x v="3"/>
    <x v="0"/>
  </r>
  <r>
    <n v="39"/>
    <x v="1"/>
    <x v="0"/>
  </r>
  <r>
    <n v="39"/>
    <x v="3"/>
    <x v="0"/>
  </r>
  <r>
    <n v="39"/>
    <x v="1"/>
    <x v="0"/>
  </r>
  <r>
    <n v="39"/>
    <x v="3"/>
    <x v="0"/>
  </r>
  <r>
    <n v="39"/>
    <x v="3"/>
    <x v="0"/>
  </r>
  <r>
    <n v="39"/>
    <x v="3"/>
    <x v="0"/>
  </r>
  <r>
    <n v="39"/>
    <x v="1"/>
    <x v="0"/>
  </r>
  <r>
    <n v="39"/>
    <x v="3"/>
    <x v="0"/>
  </r>
  <r>
    <n v="39"/>
    <x v="3"/>
    <x v="0"/>
  </r>
  <r>
    <n v="39"/>
    <x v="3"/>
    <x v="0"/>
  </r>
  <r>
    <n v="39"/>
    <x v="1"/>
    <x v="0"/>
  </r>
  <r>
    <n v="39"/>
    <x v="3"/>
    <x v="0"/>
  </r>
  <r>
    <n v="27"/>
    <x v="4"/>
    <x v="16"/>
  </r>
  <r>
    <n v="26"/>
    <x v="4"/>
    <x v="17"/>
  </r>
  <r>
    <n v="27"/>
    <x v="4"/>
    <x v="16"/>
  </r>
  <r>
    <n v="27"/>
    <x v="4"/>
    <x v="16"/>
  </r>
  <r>
    <n v="27"/>
    <x v="4"/>
    <x v="16"/>
  </r>
  <r>
    <n v="27"/>
    <x v="4"/>
    <x v="16"/>
  </r>
  <r>
    <n v="28"/>
    <x v="4"/>
    <x v="14"/>
  </r>
  <r>
    <n v="28"/>
    <x v="4"/>
    <x v="14"/>
  </r>
  <r>
    <n v="28"/>
    <x v="4"/>
    <x v="14"/>
  </r>
  <r>
    <n v="30"/>
    <x v="1"/>
    <x v="19"/>
  </r>
  <r>
    <n v="27"/>
    <x v="4"/>
    <x v="16"/>
  </r>
  <r>
    <n v="27"/>
    <x v="4"/>
    <x v="16"/>
  </r>
  <r>
    <n v="27"/>
    <x v="4"/>
    <x v="16"/>
  </r>
  <r>
    <n v="32"/>
    <x v="6"/>
    <x v="3"/>
  </r>
  <r>
    <n v="32"/>
    <x v="2"/>
    <x v="3"/>
  </r>
  <r>
    <n v="32"/>
    <x v="6"/>
    <x v="3"/>
  </r>
  <r>
    <n v="32"/>
    <x v="6"/>
    <x v="3"/>
  </r>
  <r>
    <n v="32"/>
    <x v="6"/>
    <x v="3"/>
  </r>
  <r>
    <n v="32"/>
    <x v="6"/>
    <x v="3"/>
  </r>
  <r>
    <n v="32"/>
    <x v="6"/>
    <x v="3"/>
  </r>
  <r>
    <n v="40"/>
    <x v="5"/>
    <x v="2"/>
  </r>
  <r>
    <n v="36"/>
    <x v="6"/>
    <x v="7"/>
  </r>
  <r>
    <n v="40"/>
    <x v="5"/>
    <x v="2"/>
  </r>
  <r>
    <n v="40"/>
    <x v="5"/>
    <x v="2"/>
  </r>
  <r>
    <n v="40"/>
    <x v="6"/>
    <x v="2"/>
  </r>
  <r>
    <n v="41"/>
    <x v="0"/>
    <x v="18"/>
  </r>
  <r>
    <n v="40"/>
    <x v="5"/>
    <x v="2"/>
  </r>
  <r>
    <n v="40"/>
    <x v="5"/>
    <x v="2"/>
  </r>
  <r>
    <n v="36"/>
    <x v="6"/>
    <x v="7"/>
  </r>
  <r>
    <n v="40"/>
    <x v="6"/>
    <x v="2"/>
  </r>
  <r>
    <n v="36"/>
    <x v="5"/>
    <x v="7"/>
  </r>
  <r>
    <n v="40"/>
    <x v="5"/>
    <x v="2"/>
  </r>
  <r>
    <n v="40"/>
    <x v="0"/>
    <x v="2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2"/>
    <x v="15"/>
  </r>
  <r>
    <n v="34"/>
    <x v="0"/>
    <x v="15"/>
  </r>
  <r>
    <n v="34"/>
    <x v="2"/>
    <x v="15"/>
  </r>
  <r>
    <n v="34"/>
    <x v="2"/>
    <x v="15"/>
  </r>
  <r>
    <n v="40"/>
    <x v="6"/>
    <x v="2"/>
  </r>
  <r>
    <n v="40"/>
    <x v="6"/>
    <x v="2"/>
  </r>
  <r>
    <n v="40"/>
    <x v="6"/>
    <x v="2"/>
  </r>
  <r>
    <n v="40"/>
    <x v="5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40"/>
    <x v="6"/>
    <x v="2"/>
  </r>
  <r>
    <n v="30"/>
    <x v="4"/>
    <x v="19"/>
  </r>
  <r>
    <n v="27"/>
    <x v="2"/>
    <x v="16"/>
  </r>
  <r>
    <n v="26"/>
    <x v="0"/>
    <x v="17"/>
  </r>
  <r>
    <n v="26"/>
    <x v="0"/>
    <x v="17"/>
  </r>
  <r>
    <n v="26"/>
    <x v="0"/>
    <x v="17"/>
  </r>
  <r>
    <n v="26"/>
    <x v="0"/>
    <x v="17"/>
  </r>
  <r>
    <n v="26"/>
    <x v="0"/>
    <x v="17"/>
  </r>
  <r>
    <n v="27"/>
    <x v="2"/>
    <x v="16"/>
  </r>
  <r>
    <n v="26"/>
    <x v="0"/>
    <x v="17"/>
  </r>
  <r>
    <n v="26"/>
    <x v="1"/>
    <x v="17"/>
  </r>
  <r>
    <n v="26"/>
    <x v="0"/>
    <x v="17"/>
  </r>
  <r>
    <n v="26"/>
    <x v="0"/>
    <x v="17"/>
  </r>
  <r>
    <n v="26"/>
    <x v="0"/>
    <x v="17"/>
  </r>
  <r>
    <n v="26"/>
    <x v="0"/>
    <x v="17"/>
  </r>
  <r>
    <n v="28"/>
    <x v="3"/>
    <x v="14"/>
  </r>
  <r>
    <n v="26"/>
    <x v="0"/>
    <x v="17"/>
  </r>
  <r>
    <n v="26"/>
    <x v="0"/>
    <x v="17"/>
  </r>
  <r>
    <n v="26"/>
    <x v="1"/>
    <x v="17"/>
  </r>
  <r>
    <n v="27"/>
    <x v="0"/>
    <x v="16"/>
  </r>
  <r>
    <n v="27"/>
    <x v="3"/>
    <x v="16"/>
  </r>
  <r>
    <n v="27"/>
    <x v="3"/>
    <x v="16"/>
  </r>
  <r>
    <n v="26"/>
    <x v="0"/>
    <x v="17"/>
  </r>
  <r>
    <n v="26"/>
    <x v="0"/>
    <x v="17"/>
  </r>
  <r>
    <n v="27"/>
    <x v="3"/>
    <x v="16"/>
  </r>
  <r>
    <n v="26"/>
    <x v="1"/>
    <x v="17"/>
  </r>
  <r>
    <n v="27"/>
    <x v="4"/>
    <x v="16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24"/>
    <x v="1"/>
    <x v="12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22"/>
    <x v="6"/>
    <x v="9"/>
  </r>
  <r>
    <n v="22"/>
    <x v="6"/>
    <x v="9"/>
  </r>
  <r>
    <n v="22"/>
    <x v="6"/>
    <x v="9"/>
  </r>
  <r>
    <n v="22"/>
    <x v="0"/>
    <x v="9"/>
  </r>
  <r>
    <n v="22"/>
    <x v="6"/>
    <x v="9"/>
  </r>
  <r>
    <n v="22"/>
    <x v="6"/>
    <x v="9"/>
  </r>
  <r>
    <n v="22"/>
    <x v="6"/>
    <x v="9"/>
  </r>
  <r>
    <n v="22"/>
    <x v="2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2"/>
    <x v="9"/>
  </r>
  <r>
    <n v="27"/>
    <x v="3"/>
    <x v="16"/>
  </r>
  <r>
    <n v="22"/>
    <x v="6"/>
    <x v="9"/>
  </r>
  <r>
    <n v="22"/>
    <x v="6"/>
    <x v="9"/>
  </r>
  <r>
    <n v="22"/>
    <x v="2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6"/>
    <x v="9"/>
  </r>
  <r>
    <n v="22"/>
    <x v="2"/>
    <x v="9"/>
  </r>
  <r>
    <n v="22"/>
    <x v="2"/>
    <x v="9"/>
  </r>
  <r>
    <n v="22"/>
    <x v="6"/>
    <x v="9"/>
  </r>
  <r>
    <n v="22"/>
    <x v="0"/>
    <x v="9"/>
  </r>
  <r>
    <n v="22"/>
    <x v="0"/>
    <x v="9"/>
  </r>
  <r>
    <n v="34"/>
    <x v="5"/>
    <x v="15"/>
  </r>
  <r>
    <n v="22"/>
    <x v="6"/>
    <x v="9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3"/>
    <x v="10"/>
  </r>
  <r>
    <n v="38"/>
    <x v="0"/>
    <x v="10"/>
  </r>
  <r>
    <n v="38"/>
    <x v="0"/>
    <x v="10"/>
  </r>
  <r>
    <n v="38"/>
    <x v="1"/>
    <x v="10"/>
  </r>
  <r>
    <n v="38"/>
    <x v="1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27"/>
    <x v="5"/>
    <x v="16"/>
  </r>
  <r>
    <n v="27"/>
    <x v="5"/>
    <x v="16"/>
  </r>
  <r>
    <n v="28"/>
    <x v="6"/>
    <x v="14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6"/>
    <x v="16"/>
  </r>
  <r>
    <n v="27"/>
    <x v="5"/>
    <x v="16"/>
  </r>
  <r>
    <n v="27"/>
    <x v="5"/>
    <x v="16"/>
  </r>
  <r>
    <n v="27"/>
    <x v="5"/>
    <x v="16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3"/>
    <x v="2"/>
  </r>
  <r>
    <n v="40"/>
    <x v="0"/>
    <x v="2"/>
  </r>
  <r>
    <n v="40"/>
    <x v="3"/>
    <x v="2"/>
  </r>
  <r>
    <n v="23"/>
    <x v="4"/>
    <x v="8"/>
  </r>
  <r>
    <n v="22"/>
    <x v="3"/>
    <x v="9"/>
  </r>
  <r>
    <n v="23"/>
    <x v="4"/>
    <x v="8"/>
  </r>
  <r>
    <n v="23"/>
    <x v="4"/>
    <x v="8"/>
  </r>
  <r>
    <n v="23"/>
    <x v="4"/>
    <x v="8"/>
  </r>
  <r>
    <n v="23"/>
    <x v="4"/>
    <x v="8"/>
  </r>
  <r>
    <n v="23"/>
    <x v="5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40"/>
    <x v="3"/>
    <x v="2"/>
  </r>
  <r>
    <n v="40"/>
    <x v="3"/>
    <x v="2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5"/>
    <x v="8"/>
  </r>
  <r>
    <n v="40"/>
    <x v="3"/>
    <x v="2"/>
  </r>
  <r>
    <n v="22"/>
    <x v="2"/>
    <x v="9"/>
  </r>
  <r>
    <n v="22"/>
    <x v="2"/>
    <x v="9"/>
  </r>
  <r>
    <n v="22"/>
    <x v="6"/>
    <x v="9"/>
  </r>
  <r>
    <n v="22"/>
    <x v="6"/>
    <x v="9"/>
  </r>
  <r>
    <n v="22"/>
    <x v="6"/>
    <x v="9"/>
  </r>
  <r>
    <n v="22"/>
    <x v="2"/>
    <x v="9"/>
  </r>
  <r>
    <n v="22"/>
    <x v="2"/>
    <x v="9"/>
  </r>
  <r>
    <n v="22"/>
    <x v="6"/>
    <x v="9"/>
  </r>
  <r>
    <n v="22"/>
    <x v="6"/>
    <x v="9"/>
  </r>
  <r>
    <n v="22"/>
    <x v="6"/>
    <x v="9"/>
  </r>
  <r>
    <n v="22"/>
    <x v="2"/>
    <x v="9"/>
  </r>
  <r>
    <n v="22"/>
    <x v="0"/>
    <x v="9"/>
  </r>
  <r>
    <n v="28"/>
    <x v="5"/>
    <x v="14"/>
  </r>
  <r>
    <n v="22"/>
    <x v="6"/>
    <x v="9"/>
  </r>
  <r>
    <n v="26"/>
    <x v="4"/>
    <x v="17"/>
  </r>
  <r>
    <n v="26"/>
    <x v="4"/>
    <x v="17"/>
  </r>
  <r>
    <n v="27"/>
    <x v="4"/>
    <x v="16"/>
  </r>
  <r>
    <n v="28"/>
    <x v="5"/>
    <x v="14"/>
  </r>
  <r>
    <n v="26"/>
    <x v="2"/>
    <x v="17"/>
  </r>
  <r>
    <n v="43"/>
    <x v="6"/>
    <x v="13"/>
  </r>
  <r>
    <n v="40"/>
    <x v="0"/>
    <x v="2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0"/>
    <x v="18"/>
  </r>
  <r>
    <n v="41"/>
    <x v="4"/>
    <x v="18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3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0"/>
    <x v="20"/>
  </r>
  <r>
    <n v="33"/>
    <x v="4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33"/>
    <x v="1"/>
    <x v="20"/>
  </r>
  <r>
    <n v="22"/>
    <x v="3"/>
    <x v="9"/>
  </r>
  <r>
    <n v="20"/>
    <x v="0"/>
    <x v="5"/>
  </r>
  <r>
    <n v="23"/>
    <x v="6"/>
    <x v="8"/>
  </r>
  <r>
    <n v="22"/>
    <x v="1"/>
    <x v="9"/>
  </r>
  <r>
    <n v="22"/>
    <x v="1"/>
    <x v="9"/>
  </r>
  <r>
    <n v="23"/>
    <x v="6"/>
    <x v="8"/>
  </r>
  <r>
    <n v="23"/>
    <x v="6"/>
    <x v="8"/>
  </r>
  <r>
    <n v="23"/>
    <x v="4"/>
    <x v="8"/>
  </r>
  <r>
    <n v="23"/>
    <x v="6"/>
    <x v="8"/>
  </r>
  <r>
    <n v="22"/>
    <x v="3"/>
    <x v="9"/>
  </r>
  <r>
    <n v="22"/>
    <x v="1"/>
    <x v="9"/>
  </r>
  <r>
    <n v="23"/>
    <x v="6"/>
    <x v="8"/>
  </r>
  <r>
    <n v="22"/>
    <x v="3"/>
    <x v="9"/>
  </r>
  <r>
    <n v="23"/>
    <x v="6"/>
    <x v="8"/>
  </r>
  <r>
    <n v="22"/>
    <x v="3"/>
    <x v="9"/>
  </r>
  <r>
    <n v="22"/>
    <x v="1"/>
    <x v="9"/>
  </r>
  <r>
    <n v="22"/>
    <x v="3"/>
    <x v="9"/>
  </r>
  <r>
    <n v="23"/>
    <x v="6"/>
    <x v="8"/>
  </r>
  <r>
    <n v="22"/>
    <x v="3"/>
    <x v="9"/>
  </r>
  <r>
    <n v="22"/>
    <x v="3"/>
    <x v="9"/>
  </r>
  <r>
    <n v="23"/>
    <x v="6"/>
    <x v="8"/>
  </r>
  <r>
    <n v="22"/>
    <x v="3"/>
    <x v="9"/>
  </r>
  <r>
    <n v="20"/>
    <x v="0"/>
    <x v="5"/>
  </r>
  <r>
    <n v="23"/>
    <x v="6"/>
    <x v="8"/>
  </r>
  <r>
    <n v="20"/>
    <x v="0"/>
    <x v="5"/>
  </r>
  <r>
    <n v="22"/>
    <x v="1"/>
    <x v="9"/>
  </r>
  <r>
    <n v="23"/>
    <x v="4"/>
    <x v="8"/>
  </r>
  <r>
    <n v="22"/>
    <x v="3"/>
    <x v="9"/>
  </r>
  <r>
    <n v="22"/>
    <x v="3"/>
    <x v="9"/>
  </r>
  <r>
    <n v="23"/>
    <x v="6"/>
    <x v="8"/>
  </r>
  <r>
    <n v="23"/>
    <x v="5"/>
    <x v="8"/>
  </r>
  <r>
    <n v="20"/>
    <x v="0"/>
    <x v="5"/>
  </r>
  <r>
    <n v="23"/>
    <x v="6"/>
    <x v="8"/>
  </r>
  <r>
    <n v="22"/>
    <x v="1"/>
    <x v="9"/>
  </r>
  <r>
    <n v="22"/>
    <x v="3"/>
    <x v="9"/>
  </r>
  <r>
    <n v="22"/>
    <x v="3"/>
    <x v="9"/>
  </r>
  <r>
    <n v="27"/>
    <x v="2"/>
    <x v="16"/>
  </r>
  <r>
    <n v="23"/>
    <x v="6"/>
    <x v="8"/>
  </r>
  <r>
    <n v="23"/>
    <x v="6"/>
    <x v="8"/>
  </r>
  <r>
    <n v="43"/>
    <x v="2"/>
    <x v="13"/>
  </r>
  <r>
    <n v="43"/>
    <x v="3"/>
    <x v="13"/>
  </r>
  <r>
    <n v="43"/>
    <x v="2"/>
    <x v="13"/>
  </r>
  <r>
    <n v="43"/>
    <x v="6"/>
    <x v="13"/>
  </r>
  <r>
    <n v="43"/>
    <x v="6"/>
    <x v="13"/>
  </r>
  <r>
    <n v="43"/>
    <x v="2"/>
    <x v="13"/>
  </r>
  <r>
    <n v="43"/>
    <x v="0"/>
    <x v="13"/>
  </r>
  <r>
    <n v="43"/>
    <x v="2"/>
    <x v="13"/>
  </r>
  <r>
    <n v="43"/>
    <x v="0"/>
    <x v="13"/>
  </r>
  <r>
    <n v="43"/>
    <x v="6"/>
    <x v="13"/>
  </r>
  <r>
    <n v="43"/>
    <x v="1"/>
    <x v="13"/>
  </r>
  <r>
    <n v="43"/>
    <x v="6"/>
    <x v="13"/>
  </r>
  <r>
    <n v="43"/>
    <x v="0"/>
    <x v="13"/>
  </r>
  <r>
    <n v="43"/>
    <x v="2"/>
    <x v="13"/>
  </r>
  <r>
    <n v="43"/>
    <x v="5"/>
    <x v="13"/>
  </r>
  <r>
    <n v="43"/>
    <x v="0"/>
    <x v="13"/>
  </r>
  <r>
    <n v="43"/>
    <x v="0"/>
    <x v="13"/>
  </r>
  <r>
    <n v="43"/>
    <x v="0"/>
    <x v="13"/>
  </r>
  <r>
    <n v="43"/>
    <x v="0"/>
    <x v="13"/>
  </r>
  <r>
    <n v="43"/>
    <x v="0"/>
    <x v="13"/>
  </r>
  <r>
    <n v="41"/>
    <x v="6"/>
    <x v="18"/>
  </r>
  <r>
    <n v="41"/>
    <x v="2"/>
    <x v="18"/>
  </r>
  <r>
    <n v="41"/>
    <x v="2"/>
    <x v="18"/>
  </r>
  <r>
    <n v="41"/>
    <x v="2"/>
    <x v="18"/>
  </r>
  <r>
    <n v="41"/>
    <x v="6"/>
    <x v="18"/>
  </r>
  <r>
    <n v="41"/>
    <x v="2"/>
    <x v="18"/>
  </r>
  <r>
    <n v="41"/>
    <x v="0"/>
    <x v="18"/>
  </r>
  <r>
    <n v="41"/>
    <x v="2"/>
    <x v="18"/>
  </r>
  <r>
    <n v="41"/>
    <x v="2"/>
    <x v="18"/>
  </r>
  <r>
    <n v="41"/>
    <x v="2"/>
    <x v="18"/>
  </r>
  <r>
    <n v="41"/>
    <x v="1"/>
    <x v="18"/>
  </r>
  <r>
    <n v="41"/>
    <x v="2"/>
    <x v="18"/>
  </r>
  <r>
    <n v="41"/>
    <x v="2"/>
    <x v="18"/>
  </r>
  <r>
    <n v="41"/>
    <x v="2"/>
    <x v="18"/>
  </r>
  <r>
    <n v="41"/>
    <x v="2"/>
    <x v="18"/>
  </r>
  <r>
    <n v="33"/>
    <x v="5"/>
    <x v="20"/>
  </r>
  <r>
    <n v="33"/>
    <x v="5"/>
    <x v="20"/>
  </r>
  <r>
    <n v="33"/>
    <x v="5"/>
    <x v="20"/>
  </r>
  <r>
    <n v="33"/>
    <x v="6"/>
    <x v="20"/>
  </r>
  <r>
    <n v="33"/>
    <x v="5"/>
    <x v="20"/>
  </r>
  <r>
    <n v="33"/>
    <x v="5"/>
    <x v="20"/>
  </r>
  <r>
    <n v="33"/>
    <x v="5"/>
    <x v="20"/>
  </r>
  <r>
    <n v="33"/>
    <x v="5"/>
    <x v="20"/>
  </r>
  <r>
    <n v="23"/>
    <x v="3"/>
    <x v="8"/>
  </r>
  <r>
    <n v="23"/>
    <x v="3"/>
    <x v="8"/>
  </r>
  <r>
    <n v="23"/>
    <x v="3"/>
    <x v="8"/>
  </r>
  <r>
    <n v="33"/>
    <x v="5"/>
    <x v="20"/>
  </r>
  <r>
    <n v="33"/>
    <x v="5"/>
    <x v="20"/>
  </r>
  <r>
    <n v="33"/>
    <x v="5"/>
    <x v="20"/>
  </r>
  <r>
    <n v="33"/>
    <x v="5"/>
    <x v="20"/>
  </r>
  <r>
    <n v="33"/>
    <x v="5"/>
    <x v="20"/>
  </r>
  <r>
    <n v="33"/>
    <x v="5"/>
    <x v="20"/>
  </r>
  <r>
    <n v="23"/>
    <x v="3"/>
    <x v="8"/>
  </r>
  <r>
    <n v="33"/>
    <x v="5"/>
    <x v="20"/>
  </r>
  <r>
    <n v="33"/>
    <x v="5"/>
    <x v="20"/>
  </r>
  <r>
    <n v="33"/>
    <x v="5"/>
    <x v="20"/>
  </r>
  <r>
    <n v="23"/>
    <x v="3"/>
    <x v="8"/>
  </r>
  <r>
    <n v="23"/>
    <x v="3"/>
    <x v="8"/>
  </r>
  <r>
    <n v="23"/>
    <x v="3"/>
    <x v="8"/>
  </r>
  <r>
    <n v="23"/>
    <x v="3"/>
    <x v="8"/>
  </r>
  <r>
    <n v="33"/>
    <x v="5"/>
    <x v="20"/>
  </r>
  <r>
    <n v="33"/>
    <x v="5"/>
    <x v="20"/>
  </r>
  <r>
    <n v="23"/>
    <x v="3"/>
    <x v="8"/>
  </r>
  <r>
    <n v="23"/>
    <x v="3"/>
    <x v="8"/>
  </r>
  <r>
    <n v="27"/>
    <x v="4"/>
    <x v="16"/>
  </r>
  <r>
    <n v="38"/>
    <x v="1"/>
    <x v="10"/>
  </r>
  <r>
    <n v="39"/>
    <x v="1"/>
    <x v="0"/>
  </r>
  <r>
    <n v="39"/>
    <x v="3"/>
    <x v="0"/>
  </r>
  <r>
    <n v="39"/>
    <x v="3"/>
    <x v="0"/>
  </r>
  <r>
    <n v="39"/>
    <x v="1"/>
    <x v="0"/>
  </r>
  <r>
    <n v="39"/>
    <x v="3"/>
    <x v="0"/>
  </r>
  <r>
    <n v="39"/>
    <x v="3"/>
    <x v="0"/>
  </r>
  <r>
    <n v="39"/>
    <x v="1"/>
    <x v="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5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33"/>
    <x v="4"/>
    <x v="20"/>
  </r>
  <r>
    <n v="41"/>
    <x v="4"/>
    <x v="18"/>
  </r>
  <r>
    <n v="41"/>
    <x v="4"/>
    <x v="18"/>
  </r>
  <r>
    <n v="41"/>
    <x v="4"/>
    <x v="18"/>
  </r>
  <r>
    <n v="31"/>
    <x v="0"/>
    <x v="4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41"/>
    <x v="4"/>
    <x v="18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3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1"/>
    <x v="15"/>
  </r>
  <r>
    <n v="34"/>
    <x v="0"/>
    <x v="15"/>
  </r>
  <r>
    <n v="34"/>
    <x v="1"/>
    <x v="15"/>
  </r>
  <r>
    <n v="39"/>
    <x v="5"/>
    <x v="0"/>
  </r>
  <r>
    <n v="39"/>
    <x v="6"/>
    <x v="0"/>
  </r>
  <r>
    <n v="34"/>
    <x v="1"/>
    <x v="15"/>
  </r>
  <r>
    <n v="39"/>
    <x v="6"/>
    <x v="0"/>
  </r>
  <r>
    <n v="39"/>
    <x v="6"/>
    <x v="0"/>
  </r>
  <r>
    <n v="39"/>
    <x v="6"/>
    <x v="0"/>
  </r>
  <r>
    <n v="39"/>
    <x v="6"/>
    <x v="0"/>
  </r>
  <r>
    <n v="38"/>
    <x v="2"/>
    <x v="10"/>
  </r>
  <r>
    <n v="39"/>
    <x v="5"/>
    <x v="0"/>
  </r>
  <r>
    <n v="39"/>
    <x v="6"/>
    <x v="0"/>
  </r>
  <r>
    <n v="39"/>
    <x v="6"/>
    <x v="0"/>
  </r>
  <r>
    <n v="39"/>
    <x v="6"/>
    <x v="0"/>
  </r>
  <r>
    <n v="39"/>
    <x v="5"/>
    <x v="0"/>
  </r>
  <r>
    <n v="39"/>
    <x v="5"/>
    <x v="0"/>
  </r>
  <r>
    <n v="39"/>
    <x v="6"/>
    <x v="0"/>
  </r>
  <r>
    <n v="39"/>
    <x v="6"/>
    <x v="0"/>
  </r>
  <r>
    <n v="39"/>
    <x v="6"/>
    <x v="0"/>
  </r>
  <r>
    <n v="39"/>
    <x v="5"/>
    <x v="0"/>
  </r>
  <r>
    <n v="39"/>
    <x v="6"/>
    <x v="0"/>
  </r>
  <r>
    <n v="39"/>
    <x v="6"/>
    <x v="0"/>
  </r>
  <r>
    <n v="39"/>
    <x v="5"/>
    <x v="0"/>
  </r>
  <r>
    <n v="39"/>
    <x v="6"/>
    <x v="0"/>
  </r>
  <r>
    <n v="39"/>
    <x v="4"/>
    <x v="0"/>
  </r>
  <r>
    <n v="39"/>
    <x v="5"/>
    <x v="0"/>
  </r>
  <r>
    <n v="39"/>
    <x v="5"/>
    <x v="0"/>
  </r>
  <r>
    <n v="39"/>
    <x v="6"/>
    <x v="0"/>
  </r>
  <r>
    <n v="39"/>
    <x v="5"/>
    <x v="0"/>
  </r>
  <r>
    <n v="39"/>
    <x v="6"/>
    <x v="0"/>
  </r>
  <r>
    <n v="39"/>
    <x v="5"/>
    <x v="0"/>
  </r>
  <r>
    <n v="39"/>
    <x v="5"/>
    <x v="0"/>
  </r>
  <r>
    <n v="39"/>
    <x v="6"/>
    <x v="0"/>
  </r>
  <r>
    <n v="39"/>
    <x v="5"/>
    <x v="0"/>
  </r>
  <r>
    <n v="34"/>
    <x v="1"/>
    <x v="15"/>
  </r>
  <r>
    <n v="39"/>
    <x v="5"/>
    <x v="0"/>
  </r>
  <r>
    <n v="39"/>
    <x v="6"/>
    <x v="0"/>
  </r>
  <r>
    <n v="39"/>
    <x v="5"/>
    <x v="0"/>
  </r>
  <r>
    <n v="39"/>
    <x v="5"/>
    <x v="0"/>
  </r>
  <r>
    <n v="39"/>
    <x v="5"/>
    <x v="0"/>
  </r>
  <r>
    <n v="39"/>
    <x v="5"/>
    <x v="0"/>
  </r>
  <r>
    <n v="39"/>
    <x v="5"/>
    <x v="0"/>
  </r>
  <r>
    <n v="39"/>
    <x v="5"/>
    <x v="0"/>
  </r>
  <r>
    <n v="39"/>
    <x v="6"/>
    <x v="0"/>
  </r>
  <r>
    <n v="39"/>
    <x v="5"/>
    <x v="0"/>
  </r>
  <r>
    <n v="39"/>
    <x v="5"/>
    <x v="0"/>
  </r>
  <r>
    <n v="41"/>
    <x v="4"/>
    <x v="18"/>
  </r>
  <r>
    <n v="41"/>
    <x v="4"/>
    <x v="18"/>
  </r>
  <r>
    <n v="41"/>
    <x v="4"/>
    <x v="18"/>
  </r>
  <r>
    <n v="147"/>
    <x v="4"/>
    <x v="21"/>
  </r>
  <r>
    <n v="31"/>
    <x v="6"/>
    <x v="4"/>
  </r>
  <r>
    <n v="146"/>
    <x v="4"/>
    <x v="22"/>
  </r>
  <r>
    <n v="147"/>
    <x v="4"/>
    <x v="21"/>
  </r>
  <r>
    <n v="41"/>
    <x v="5"/>
    <x v="18"/>
  </r>
  <r>
    <n v="41"/>
    <x v="4"/>
    <x v="18"/>
  </r>
  <r>
    <n v="41"/>
    <x v="5"/>
    <x v="18"/>
  </r>
  <r>
    <n v="41"/>
    <x v="4"/>
    <x v="18"/>
  </r>
  <r>
    <n v="41"/>
    <x v="4"/>
    <x v="18"/>
  </r>
  <r>
    <n v="41"/>
    <x v="4"/>
    <x v="18"/>
  </r>
  <r>
    <n v="146"/>
    <x v="4"/>
    <x v="22"/>
  </r>
  <r>
    <n v="41"/>
    <x v="4"/>
    <x v="18"/>
  </r>
  <r>
    <n v="41"/>
    <x v="6"/>
    <x v="18"/>
  </r>
  <r>
    <n v="146"/>
    <x v="2"/>
    <x v="22"/>
  </r>
  <r>
    <n v="146"/>
    <x v="4"/>
    <x v="22"/>
  </r>
  <r>
    <n v="41"/>
    <x v="6"/>
    <x v="18"/>
  </r>
  <r>
    <n v="41"/>
    <x v="3"/>
    <x v="18"/>
  </r>
  <r>
    <n v="41"/>
    <x v="6"/>
    <x v="18"/>
  </r>
  <r>
    <n v="41"/>
    <x v="4"/>
    <x v="18"/>
  </r>
  <r>
    <n v="146"/>
    <x v="0"/>
    <x v="22"/>
  </r>
  <r>
    <n v="41"/>
    <x v="2"/>
    <x v="18"/>
  </r>
  <r>
    <n v="41"/>
    <x v="6"/>
    <x v="18"/>
  </r>
  <r>
    <n v="41"/>
    <x v="6"/>
    <x v="18"/>
  </r>
  <r>
    <n v="146"/>
    <x v="4"/>
    <x v="22"/>
  </r>
  <r>
    <n v="41"/>
    <x v="2"/>
    <x v="18"/>
  </r>
  <r>
    <n v="146"/>
    <x v="4"/>
    <x v="22"/>
  </r>
  <r>
    <n v="41"/>
    <x v="2"/>
    <x v="18"/>
  </r>
  <r>
    <n v="41"/>
    <x v="5"/>
    <x v="18"/>
  </r>
  <r>
    <n v="41"/>
    <x v="0"/>
    <x v="18"/>
  </r>
  <r>
    <n v="32"/>
    <x v="7"/>
    <x v="3"/>
  </r>
  <r>
    <n v="32"/>
    <x v="7"/>
    <x v="3"/>
  </r>
  <r>
    <n v="22"/>
    <x v="1"/>
    <x v="9"/>
  </r>
  <r>
    <n v="38"/>
    <x v="1"/>
    <x v="10"/>
  </r>
  <r>
    <n v="38"/>
    <x v="1"/>
    <x v="10"/>
  </r>
  <r>
    <n v="38"/>
    <x v="3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38"/>
    <x v="1"/>
    <x v="10"/>
  </r>
  <r>
    <n v="41"/>
    <x v="5"/>
    <x v="18"/>
  </r>
  <r>
    <n v="41"/>
    <x v="6"/>
    <x v="18"/>
  </r>
  <r>
    <n v="41"/>
    <x v="5"/>
    <x v="18"/>
  </r>
  <r>
    <n v="41"/>
    <x v="6"/>
    <x v="18"/>
  </r>
  <r>
    <n v="41"/>
    <x v="5"/>
    <x v="18"/>
  </r>
  <r>
    <n v="41"/>
    <x v="5"/>
    <x v="18"/>
  </r>
  <r>
    <n v="31"/>
    <x v="2"/>
    <x v="4"/>
  </r>
  <r>
    <n v="146"/>
    <x v="6"/>
    <x v="22"/>
  </r>
  <r>
    <n v="41"/>
    <x v="5"/>
    <x v="18"/>
  </r>
  <r>
    <n v="41"/>
    <x v="5"/>
    <x v="18"/>
  </r>
  <r>
    <n v="41"/>
    <x v="5"/>
    <x v="18"/>
  </r>
  <r>
    <n v="146"/>
    <x v="6"/>
    <x v="22"/>
  </r>
  <r>
    <n v="41"/>
    <x v="5"/>
    <x v="18"/>
  </r>
  <r>
    <n v="41"/>
    <x v="5"/>
    <x v="18"/>
  </r>
  <r>
    <n v="41"/>
    <x v="5"/>
    <x v="18"/>
  </r>
  <r>
    <n v="41"/>
    <x v="5"/>
    <x v="18"/>
  </r>
  <r>
    <n v="41"/>
    <x v="5"/>
    <x v="18"/>
  </r>
  <r>
    <n v="146"/>
    <x v="2"/>
    <x v="22"/>
  </r>
  <r>
    <n v="41"/>
    <x v="5"/>
    <x v="18"/>
  </r>
  <r>
    <n v="41"/>
    <x v="2"/>
    <x v="18"/>
  </r>
  <r>
    <n v="41"/>
    <x v="5"/>
    <x v="18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3"/>
    <x v="9"/>
  </r>
  <r>
    <n v="22"/>
    <x v="0"/>
    <x v="9"/>
  </r>
  <r>
    <n v="22"/>
    <x v="3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3"/>
    <x v="9"/>
  </r>
  <r>
    <n v="22"/>
    <x v="0"/>
    <x v="9"/>
  </r>
  <r>
    <n v="22"/>
    <x v="0"/>
    <x v="9"/>
  </r>
  <r>
    <n v="22"/>
    <x v="0"/>
    <x v="9"/>
  </r>
  <r>
    <n v="22"/>
    <x v="0"/>
    <x v="9"/>
  </r>
  <r>
    <n v="40"/>
    <x v="3"/>
    <x v="2"/>
  </r>
  <r>
    <n v="23"/>
    <x v="5"/>
    <x v="8"/>
  </r>
  <r>
    <n v="23"/>
    <x v="6"/>
    <x v="8"/>
  </r>
  <r>
    <n v="23"/>
    <x v="2"/>
    <x v="8"/>
  </r>
  <r>
    <n v="23"/>
    <x v="6"/>
    <x v="8"/>
  </r>
  <r>
    <n v="22"/>
    <x v="1"/>
    <x v="9"/>
  </r>
  <r>
    <n v="23"/>
    <x v="6"/>
    <x v="8"/>
  </r>
  <r>
    <n v="23"/>
    <x v="5"/>
    <x v="8"/>
  </r>
  <r>
    <n v="23"/>
    <x v="5"/>
    <x v="8"/>
  </r>
  <r>
    <n v="23"/>
    <x v="2"/>
    <x v="8"/>
  </r>
  <r>
    <n v="23"/>
    <x v="2"/>
    <x v="8"/>
  </r>
  <r>
    <n v="23"/>
    <x v="5"/>
    <x v="8"/>
  </r>
  <r>
    <n v="20"/>
    <x v="0"/>
    <x v="5"/>
  </r>
  <r>
    <n v="23"/>
    <x v="6"/>
    <x v="8"/>
  </r>
  <r>
    <n v="23"/>
    <x v="6"/>
    <x v="8"/>
  </r>
  <r>
    <n v="23"/>
    <x v="2"/>
    <x v="8"/>
  </r>
  <r>
    <n v="23"/>
    <x v="5"/>
    <x v="8"/>
  </r>
  <r>
    <n v="23"/>
    <x v="6"/>
    <x v="8"/>
  </r>
  <r>
    <n v="23"/>
    <x v="6"/>
    <x v="8"/>
  </r>
  <r>
    <n v="23"/>
    <x v="6"/>
    <x v="8"/>
  </r>
  <r>
    <n v="23"/>
    <x v="6"/>
    <x v="8"/>
  </r>
  <r>
    <n v="23"/>
    <x v="6"/>
    <x v="8"/>
  </r>
  <r>
    <n v="23"/>
    <x v="6"/>
    <x v="8"/>
  </r>
  <r>
    <n v="23"/>
    <x v="6"/>
    <x v="8"/>
  </r>
  <r>
    <n v="23"/>
    <x v="5"/>
    <x v="8"/>
  </r>
  <r>
    <n v="23"/>
    <x v="5"/>
    <x v="8"/>
  </r>
  <r>
    <n v="21"/>
    <x v="3"/>
    <x v="6"/>
  </r>
  <r>
    <n v="23"/>
    <x v="6"/>
    <x v="8"/>
  </r>
  <r>
    <n v="23"/>
    <x v="6"/>
    <x v="8"/>
  </r>
  <r>
    <n v="23"/>
    <x v="4"/>
    <x v="8"/>
  </r>
  <r>
    <n v="23"/>
    <x v="2"/>
    <x v="8"/>
  </r>
  <r>
    <n v="41"/>
    <x v="1"/>
    <x v="18"/>
  </r>
  <r>
    <n v="41"/>
    <x v="2"/>
    <x v="18"/>
  </r>
  <r>
    <n v="41"/>
    <x v="6"/>
    <x v="18"/>
  </r>
  <r>
    <n v="41"/>
    <x v="6"/>
    <x v="18"/>
  </r>
  <r>
    <n v="146"/>
    <x v="6"/>
    <x v="22"/>
  </r>
  <r>
    <n v="41"/>
    <x v="2"/>
    <x v="18"/>
  </r>
  <r>
    <n v="41"/>
    <x v="6"/>
    <x v="18"/>
  </r>
  <r>
    <n v="41"/>
    <x v="6"/>
    <x v="18"/>
  </r>
  <r>
    <n v="41"/>
    <x v="6"/>
    <x v="18"/>
  </r>
  <r>
    <n v="41"/>
    <x v="4"/>
    <x v="18"/>
  </r>
  <r>
    <n v="41"/>
    <x v="6"/>
    <x v="18"/>
  </r>
  <r>
    <n v="41"/>
    <x v="2"/>
    <x v="18"/>
  </r>
  <r>
    <n v="41"/>
    <x v="6"/>
    <x v="18"/>
  </r>
  <r>
    <n v="41"/>
    <x v="6"/>
    <x v="18"/>
  </r>
  <r>
    <n v="41"/>
    <x v="6"/>
    <x v="18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4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34"/>
    <x v="3"/>
    <x v="15"/>
  </r>
  <r>
    <n v="23"/>
    <x v="1"/>
    <x v="8"/>
  </r>
  <r>
    <n v="20"/>
    <x v="1"/>
    <x v="5"/>
  </r>
  <r>
    <n v="20"/>
    <x v="1"/>
    <x v="5"/>
  </r>
  <r>
    <n v="20"/>
    <x v="6"/>
    <x v="5"/>
  </r>
  <r>
    <n v="24"/>
    <x v="4"/>
    <x v="12"/>
  </r>
  <r>
    <n v="20"/>
    <x v="6"/>
    <x v="5"/>
  </r>
  <r>
    <n v="23"/>
    <x v="6"/>
    <x v="8"/>
  </r>
  <r>
    <n v="23"/>
    <x v="2"/>
    <x v="8"/>
  </r>
  <r>
    <n v="23"/>
    <x v="1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5"/>
    <x v="8"/>
  </r>
  <r>
    <n v="23"/>
    <x v="0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3"/>
    <x v="2"/>
    <x v="8"/>
  </r>
  <r>
    <n v="22"/>
    <x v="1"/>
    <x v="9"/>
  </r>
  <r>
    <n v="22"/>
    <x v="3"/>
    <x v="9"/>
  </r>
  <r>
    <n v="23"/>
    <x v="2"/>
    <x v="8"/>
  </r>
  <r>
    <n v="23"/>
    <x v="0"/>
    <x v="8"/>
  </r>
  <r>
    <n v="23"/>
    <x v="2"/>
    <x v="8"/>
  </r>
  <r>
    <n v="22"/>
    <x v="1"/>
    <x v="9"/>
  </r>
  <r>
    <n v="23"/>
    <x v="6"/>
    <x v="8"/>
  </r>
  <r>
    <n v="22"/>
    <x v="1"/>
    <x v="9"/>
  </r>
  <r>
    <n v="22"/>
    <x v="1"/>
    <x v="9"/>
  </r>
  <r>
    <n v="23"/>
    <x v="0"/>
    <x v="8"/>
  </r>
  <r>
    <n v="29"/>
    <x v="0"/>
    <x v="23"/>
  </r>
  <r>
    <n v="29"/>
    <x v="6"/>
    <x v="23"/>
  </r>
  <r>
    <n v="29"/>
    <x v="0"/>
    <x v="23"/>
  </r>
  <r>
    <n v="29"/>
    <x v="0"/>
    <x v="23"/>
  </r>
  <r>
    <n v="29"/>
    <x v="0"/>
    <x v="23"/>
  </r>
  <r>
    <n v="29"/>
    <x v="0"/>
    <x v="23"/>
  </r>
  <r>
    <n v="29"/>
    <x v="1"/>
    <x v="23"/>
  </r>
  <r>
    <n v="29"/>
    <x v="0"/>
    <x v="23"/>
  </r>
  <r>
    <n v="29"/>
    <x v="0"/>
    <x v="23"/>
  </r>
  <r>
    <n v="29"/>
    <x v="1"/>
    <x v="23"/>
  </r>
  <r>
    <n v="29"/>
    <x v="0"/>
    <x v="23"/>
  </r>
  <r>
    <n v="30"/>
    <x v="0"/>
    <x v="19"/>
  </r>
  <r>
    <n v="30"/>
    <x v="1"/>
    <x v="19"/>
  </r>
  <r>
    <n v="30"/>
    <x v="0"/>
    <x v="19"/>
  </r>
  <r>
    <n v="30"/>
    <x v="0"/>
    <x v="19"/>
  </r>
  <r>
    <n v="30"/>
    <x v="0"/>
    <x v="19"/>
  </r>
  <r>
    <n v="30"/>
    <x v="1"/>
    <x v="19"/>
  </r>
  <r>
    <n v="30"/>
    <x v="0"/>
    <x v="19"/>
  </r>
  <r>
    <n v="30"/>
    <x v="0"/>
    <x v="19"/>
  </r>
  <r>
    <n v="30"/>
    <x v="1"/>
    <x v="19"/>
  </r>
  <r>
    <n v="30"/>
    <x v="1"/>
    <x v="19"/>
  </r>
  <r>
    <n v="30"/>
    <x v="1"/>
    <x v="19"/>
  </r>
  <r>
    <n v="30"/>
    <x v="0"/>
    <x v="19"/>
  </r>
  <r>
    <n v="30"/>
    <x v="0"/>
    <x v="19"/>
  </r>
  <r>
    <n v="30"/>
    <x v="3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0"/>
    <x v="19"/>
  </r>
  <r>
    <n v="30"/>
    <x v="1"/>
    <x v="19"/>
  </r>
  <r>
    <n v="30"/>
    <x v="0"/>
    <x v="19"/>
  </r>
  <r>
    <n v="30"/>
    <x v="0"/>
    <x v="19"/>
  </r>
  <r>
    <n v="30"/>
    <x v="2"/>
    <x v="19"/>
  </r>
  <r>
    <n v="30"/>
    <x v="0"/>
    <x v="19"/>
  </r>
  <r>
    <n v="30"/>
    <x v="0"/>
    <x v="19"/>
  </r>
  <r>
    <n v="30"/>
    <x v="0"/>
    <x v="19"/>
  </r>
  <r>
    <n v="28"/>
    <x v="4"/>
    <x v="14"/>
  </r>
  <r>
    <n v="27"/>
    <x v="0"/>
    <x v="16"/>
  </r>
  <r>
    <n v="26"/>
    <x v="0"/>
    <x v="17"/>
  </r>
  <r>
    <n v="28"/>
    <x v="4"/>
    <x v="14"/>
  </r>
  <r>
    <n v="27"/>
    <x v="1"/>
    <x v="16"/>
  </r>
  <r>
    <n v="28"/>
    <x v="4"/>
    <x v="14"/>
  </r>
  <r>
    <n v="27"/>
    <x v="3"/>
    <x v="16"/>
  </r>
  <r>
    <n v="27"/>
    <x v="0"/>
    <x v="16"/>
  </r>
  <r>
    <n v="26"/>
    <x v="1"/>
    <x v="17"/>
  </r>
  <r>
    <n v="27"/>
    <x v="3"/>
    <x v="16"/>
  </r>
  <r>
    <n v="28"/>
    <x v="4"/>
    <x v="14"/>
  </r>
  <r>
    <n v="27"/>
    <x v="3"/>
    <x v="16"/>
  </r>
  <r>
    <n v="27"/>
    <x v="3"/>
    <x v="16"/>
  </r>
  <r>
    <n v="27"/>
    <x v="3"/>
    <x v="16"/>
  </r>
  <r>
    <n v="26"/>
    <x v="3"/>
    <x v="17"/>
  </r>
  <r>
    <n v="27"/>
    <x v="1"/>
    <x v="16"/>
  </r>
  <r>
    <n v="26"/>
    <x v="3"/>
    <x v="17"/>
  </r>
  <r>
    <n v="27"/>
    <x v="5"/>
    <x v="16"/>
  </r>
  <r>
    <n v="26"/>
    <x v="3"/>
    <x v="17"/>
  </r>
  <r>
    <n v="27"/>
    <x v="0"/>
    <x v="16"/>
  </r>
  <r>
    <n v="28"/>
    <x v="4"/>
    <x v="14"/>
  </r>
  <r>
    <n v="26"/>
    <x v="1"/>
    <x v="17"/>
  </r>
  <r>
    <n v="27"/>
    <x v="0"/>
    <x v="16"/>
  </r>
  <r>
    <n v="27"/>
    <x v="6"/>
    <x v="16"/>
  </r>
  <r>
    <n v="27"/>
    <x v="6"/>
    <x v="16"/>
  </r>
  <r>
    <n v="27"/>
    <x v="1"/>
    <x v="16"/>
  </r>
  <r>
    <n v="27"/>
    <x v="1"/>
    <x v="16"/>
  </r>
  <r>
    <n v="27"/>
    <x v="3"/>
    <x v="16"/>
  </r>
  <r>
    <n v="40"/>
    <x v="0"/>
    <x v="2"/>
  </r>
  <r>
    <n v="40"/>
    <x v="3"/>
    <x v="2"/>
  </r>
  <r>
    <n v="28"/>
    <x v="2"/>
    <x v="14"/>
  </r>
  <r>
    <n v="28"/>
    <x v="2"/>
    <x v="14"/>
  </r>
  <r>
    <n v="28"/>
    <x v="0"/>
    <x v="14"/>
  </r>
  <r>
    <n v="28"/>
    <x v="2"/>
    <x v="14"/>
  </r>
  <r>
    <n v="28"/>
    <x v="2"/>
    <x v="14"/>
  </r>
  <r>
    <n v="28"/>
    <x v="0"/>
    <x v="14"/>
  </r>
  <r>
    <n v="28"/>
    <x v="2"/>
    <x v="14"/>
  </r>
  <r>
    <n v="28"/>
    <x v="1"/>
    <x v="14"/>
  </r>
  <r>
    <n v="28"/>
    <x v="2"/>
    <x v="14"/>
  </r>
  <r>
    <n v="28"/>
    <x v="0"/>
    <x v="14"/>
  </r>
  <r>
    <n v="28"/>
    <x v="0"/>
    <x v="14"/>
  </r>
  <r>
    <n v="28"/>
    <x v="2"/>
    <x v="14"/>
  </r>
  <r>
    <n v="28"/>
    <x v="2"/>
    <x v="14"/>
  </r>
  <r>
    <n v="23"/>
    <x v="2"/>
    <x v="8"/>
  </r>
  <r>
    <n v="23"/>
    <x v="2"/>
    <x v="8"/>
  </r>
  <r>
    <n v="23"/>
    <x v="2"/>
    <x v="8"/>
  </r>
  <r>
    <n v="23"/>
    <x v="2"/>
    <x v="8"/>
  </r>
  <r>
    <n v="23"/>
    <x v="0"/>
    <x v="8"/>
  </r>
  <r>
    <n v="23"/>
    <x v="2"/>
    <x v="8"/>
  </r>
  <r>
    <n v="23"/>
    <x v="0"/>
    <x v="8"/>
  </r>
  <r>
    <n v="22"/>
    <x v="1"/>
    <x v="9"/>
  </r>
  <r>
    <n v="22"/>
    <x v="0"/>
    <x v="9"/>
  </r>
  <r>
    <n v="23"/>
    <x v="2"/>
    <x v="8"/>
  </r>
  <r>
    <n v="23"/>
    <x v="2"/>
    <x v="8"/>
  </r>
  <r>
    <n v="23"/>
    <x v="0"/>
    <x v="8"/>
  </r>
  <r>
    <n v="23"/>
    <x v="2"/>
    <x v="8"/>
  </r>
  <r>
    <n v="23"/>
    <x v="2"/>
    <x v="8"/>
  </r>
  <r>
    <n v="22"/>
    <x v="1"/>
    <x v="9"/>
  </r>
  <r>
    <n v="23"/>
    <x v="0"/>
    <x v="8"/>
  </r>
  <r>
    <n v="23"/>
    <x v="2"/>
    <x v="8"/>
  </r>
  <r>
    <n v="23"/>
    <x v="2"/>
    <x v="8"/>
  </r>
  <r>
    <n v="22"/>
    <x v="1"/>
    <x v="9"/>
  </r>
  <r>
    <n v="22"/>
    <x v="1"/>
    <x v="9"/>
  </r>
  <r>
    <n v="22"/>
    <x v="1"/>
    <x v="9"/>
  </r>
  <r>
    <n v="23"/>
    <x v="2"/>
    <x v="8"/>
  </r>
  <r>
    <n v="23"/>
    <x v="2"/>
    <x v="8"/>
  </r>
  <r>
    <n v="23"/>
    <x v="1"/>
    <x v="8"/>
  </r>
  <r>
    <n v="22"/>
    <x v="1"/>
    <x v="9"/>
  </r>
  <r>
    <n v="146"/>
    <x v="2"/>
    <x v="22"/>
  </r>
  <r>
    <n v="146"/>
    <x v="0"/>
    <x v="22"/>
  </r>
  <r>
    <n v="146"/>
    <x v="2"/>
    <x v="22"/>
  </r>
  <r>
    <n v="146"/>
    <x v="2"/>
    <x v="22"/>
  </r>
  <r>
    <n v="146"/>
    <x v="2"/>
    <x v="22"/>
  </r>
  <r>
    <n v="23"/>
    <x v="5"/>
    <x v="8"/>
  </r>
  <r>
    <n v="35"/>
    <x v="6"/>
    <x v="24"/>
  </r>
  <r>
    <n v="35"/>
    <x v="6"/>
    <x v="24"/>
  </r>
  <r>
    <n v="35"/>
    <x v="6"/>
    <x v="24"/>
  </r>
  <r>
    <n v="35"/>
    <x v="4"/>
    <x v="24"/>
  </r>
  <r>
    <n v="35"/>
    <x v="6"/>
    <x v="24"/>
  </r>
  <r>
    <n v="35"/>
    <x v="4"/>
    <x v="24"/>
  </r>
  <r>
    <n v="35"/>
    <x v="6"/>
    <x v="24"/>
  </r>
  <r>
    <n v="35"/>
    <x v="5"/>
    <x v="24"/>
  </r>
  <r>
    <n v="35"/>
    <x v="0"/>
    <x v="24"/>
  </r>
  <r>
    <n v="35"/>
    <x v="6"/>
    <x v="24"/>
  </r>
  <r>
    <n v="35"/>
    <x v="2"/>
    <x v="24"/>
  </r>
  <r>
    <n v="35"/>
    <x v="4"/>
    <x v="24"/>
  </r>
  <r>
    <n v="146"/>
    <x v="2"/>
    <x v="22"/>
  </r>
  <r>
    <n v="35"/>
    <x v="4"/>
    <x v="24"/>
  </r>
  <r>
    <n v="28"/>
    <x v="2"/>
    <x v="14"/>
  </r>
  <r>
    <n v="28"/>
    <x v="2"/>
    <x v="14"/>
  </r>
  <r>
    <n v="28"/>
    <x v="2"/>
    <x v="14"/>
  </r>
  <r>
    <n v="28"/>
    <x v="2"/>
    <x v="14"/>
  </r>
  <r>
    <n v="28"/>
    <x v="0"/>
    <x v="14"/>
  </r>
  <r>
    <n v="28"/>
    <x v="2"/>
    <x v="14"/>
  </r>
  <r>
    <n v="28"/>
    <x v="2"/>
    <x v="14"/>
  </r>
  <r>
    <n v="28"/>
    <x v="2"/>
    <x v="14"/>
  </r>
  <r>
    <n v="28"/>
    <x v="0"/>
    <x v="14"/>
  </r>
  <r>
    <n v="28"/>
    <x v="2"/>
    <x v="14"/>
  </r>
  <r>
    <n v="28"/>
    <x v="0"/>
    <x v="14"/>
  </r>
  <r>
    <n v="28"/>
    <x v="2"/>
    <x v="14"/>
  </r>
  <r>
    <n v="28"/>
    <x v="2"/>
    <x v="14"/>
  </r>
  <r>
    <n v="28"/>
    <x v="2"/>
    <x v="14"/>
  </r>
  <r>
    <n v="28"/>
    <x v="2"/>
    <x v="14"/>
  </r>
  <r>
    <n v="28"/>
    <x v="2"/>
    <x v="14"/>
  </r>
  <r>
    <n v="28"/>
    <x v="2"/>
    <x v="14"/>
  </r>
  <r>
    <n v="27"/>
    <x v="4"/>
    <x v="16"/>
  </r>
  <r>
    <n v="27"/>
    <x v="4"/>
    <x v="16"/>
  </r>
  <r>
    <n v="27"/>
    <x v="4"/>
    <x v="16"/>
  </r>
  <r>
    <n v="28"/>
    <x v="4"/>
    <x v="14"/>
  </r>
  <r>
    <n v="28"/>
    <x v="5"/>
    <x v="14"/>
  </r>
  <r>
    <n v="27"/>
    <x v="4"/>
    <x v="16"/>
  </r>
  <r>
    <n v="27"/>
    <x v="4"/>
    <x v="16"/>
  </r>
  <r>
    <n v="26"/>
    <x v="4"/>
    <x v="17"/>
  </r>
  <r>
    <n v="27"/>
    <x v="4"/>
    <x v="16"/>
  </r>
  <r>
    <n v="28"/>
    <x v="4"/>
    <x v="14"/>
  </r>
  <r>
    <n v="27"/>
    <x v="4"/>
    <x v="16"/>
  </r>
  <r>
    <n v="30"/>
    <x v="4"/>
    <x v="19"/>
  </r>
  <r>
    <n v="30"/>
    <x v="5"/>
    <x v="19"/>
  </r>
  <r>
    <n v="30"/>
    <x v="5"/>
    <x v="19"/>
  </r>
  <r>
    <n v="30"/>
    <x v="5"/>
    <x v="19"/>
  </r>
  <r>
    <n v="30"/>
    <x v="5"/>
    <x v="19"/>
  </r>
  <r>
    <n v="30"/>
    <x v="5"/>
    <x v="19"/>
  </r>
  <r>
    <n v="30"/>
    <x v="5"/>
    <x v="19"/>
  </r>
  <r>
    <n v="30"/>
    <x v="5"/>
    <x v="19"/>
  </r>
  <r>
    <n v="30"/>
    <x v="4"/>
    <x v="19"/>
  </r>
  <r>
    <n v="22"/>
    <x v="2"/>
    <x v="9"/>
  </r>
  <r>
    <n v="30"/>
    <x v="4"/>
    <x v="19"/>
  </r>
  <r>
    <n v="30"/>
    <x v="4"/>
    <x v="19"/>
  </r>
  <r>
    <n v="30"/>
    <x v="5"/>
    <x v="19"/>
  </r>
  <r>
    <n v="30"/>
    <x v="2"/>
    <x v="19"/>
  </r>
  <r>
    <n v="30"/>
    <x v="4"/>
    <x v="19"/>
  </r>
  <r>
    <n v="30"/>
    <x v="4"/>
    <x v="19"/>
  </r>
  <r>
    <n v="28"/>
    <x v="1"/>
    <x v="14"/>
  </r>
  <r>
    <n v="30"/>
    <x v="6"/>
    <x v="19"/>
  </r>
  <r>
    <n v="30"/>
    <x v="4"/>
    <x v="19"/>
  </r>
  <r>
    <n v="30"/>
    <x v="4"/>
    <x v="19"/>
  </r>
  <r>
    <n v="30"/>
    <x v="5"/>
    <x v="19"/>
  </r>
  <r>
    <n v="30"/>
    <x v="5"/>
    <x v="19"/>
  </r>
  <r>
    <n v="30"/>
    <x v="5"/>
    <x v="19"/>
  </r>
  <r>
    <n v="30"/>
    <x v="6"/>
    <x v="19"/>
  </r>
  <r>
    <n v="30"/>
    <x v="4"/>
    <x v="19"/>
  </r>
  <r>
    <n v="30"/>
    <x v="5"/>
    <x v="19"/>
  </r>
  <r>
    <n v="30"/>
    <x v="5"/>
    <x v="19"/>
  </r>
  <r>
    <n v="30"/>
    <x v="1"/>
    <x v="19"/>
  </r>
  <r>
    <n v="30"/>
    <x v="0"/>
    <x v="19"/>
  </r>
  <r>
    <n v="30"/>
    <x v="3"/>
    <x v="19"/>
  </r>
  <r>
    <n v="30"/>
    <x v="3"/>
    <x v="19"/>
  </r>
  <r>
    <n v="30"/>
    <x v="1"/>
    <x v="19"/>
  </r>
  <r>
    <n v="25"/>
    <x v="0"/>
    <x v="11"/>
  </r>
  <r>
    <n v="25"/>
    <x v="0"/>
    <x v="11"/>
  </r>
  <r>
    <n v="25"/>
    <x v="0"/>
    <x v="11"/>
  </r>
  <r>
    <n v="25"/>
    <x v="1"/>
    <x v="11"/>
  </r>
  <r>
    <n v="25"/>
    <x v="0"/>
    <x v="11"/>
  </r>
  <r>
    <n v="25"/>
    <x v="1"/>
    <x v="11"/>
  </r>
  <r>
    <n v="25"/>
    <x v="1"/>
    <x v="11"/>
  </r>
  <r>
    <n v="25"/>
    <x v="5"/>
    <x v="11"/>
  </r>
  <r>
    <n v="25"/>
    <x v="6"/>
    <x v="11"/>
  </r>
  <r>
    <n v="25"/>
    <x v="0"/>
    <x v="11"/>
  </r>
  <r>
    <n v="25"/>
    <x v="0"/>
    <x v="11"/>
  </r>
  <r>
    <n v="25"/>
    <x v="0"/>
    <x v="11"/>
  </r>
  <r>
    <n v="25"/>
    <x v="2"/>
    <x v="11"/>
  </r>
  <r>
    <n v="25"/>
    <x v="1"/>
    <x v="11"/>
  </r>
  <r>
    <n v="25"/>
    <x v="0"/>
    <x v="11"/>
  </r>
  <r>
    <n v="25"/>
    <x v="1"/>
    <x v="11"/>
  </r>
  <r>
    <n v="25"/>
    <x v="0"/>
    <x v="11"/>
  </r>
  <r>
    <n v="25"/>
    <x v="1"/>
    <x v="11"/>
  </r>
  <r>
    <n v="25"/>
    <x v="1"/>
    <x v="11"/>
  </r>
  <r>
    <n v="25"/>
    <x v="0"/>
    <x v="11"/>
  </r>
  <r>
    <n v="25"/>
    <x v="0"/>
    <x v="11"/>
  </r>
  <r>
    <n v="25"/>
    <x v="6"/>
    <x v="11"/>
  </r>
  <r>
    <n v="25"/>
    <x v="1"/>
    <x v="11"/>
  </r>
  <r>
    <n v="25"/>
    <x v="0"/>
    <x v="11"/>
  </r>
  <r>
    <n v="25"/>
    <x v="0"/>
    <x v="11"/>
  </r>
  <r>
    <n v="25"/>
    <x v="1"/>
    <x v="11"/>
  </r>
  <r>
    <n v="25"/>
    <x v="6"/>
    <x v="11"/>
  </r>
  <r>
    <n v="25"/>
    <x v="3"/>
    <x v="11"/>
  </r>
  <r>
    <n v="25"/>
    <x v="0"/>
    <x v="11"/>
  </r>
  <r>
    <n v="25"/>
    <x v="1"/>
    <x v="11"/>
  </r>
  <r>
    <n v="25"/>
    <x v="0"/>
    <x v="11"/>
  </r>
  <r>
    <n v="25"/>
    <x v="1"/>
    <x v="11"/>
  </r>
  <r>
    <n v="30"/>
    <x v="0"/>
    <x v="19"/>
  </r>
  <r>
    <n v="30"/>
    <x v="1"/>
    <x v="19"/>
  </r>
  <r>
    <n v="30"/>
    <x v="1"/>
    <x v="19"/>
  </r>
  <r>
    <n v="30"/>
    <x v="1"/>
    <x v="19"/>
  </r>
  <r>
    <n v="30"/>
    <x v="1"/>
    <x v="19"/>
  </r>
  <r>
    <n v="29"/>
    <x v="3"/>
    <x v="23"/>
  </r>
  <r>
    <n v="30"/>
    <x v="1"/>
    <x v="19"/>
  </r>
  <r>
    <n v="30"/>
    <x v="1"/>
    <x v="19"/>
  </r>
  <r>
    <n v="30"/>
    <x v="1"/>
    <x v="19"/>
  </r>
  <r>
    <n v="23"/>
    <x v="4"/>
    <x v="8"/>
  </r>
  <r>
    <n v="23"/>
    <x v="4"/>
    <x v="8"/>
  </r>
  <r>
    <n v="30"/>
    <x v="0"/>
    <x v="19"/>
  </r>
  <r>
    <n v="30"/>
    <x v="1"/>
    <x v="19"/>
  </r>
  <r>
    <n v="30"/>
    <x v="1"/>
    <x v="19"/>
  </r>
  <r>
    <n v="21"/>
    <x v="4"/>
    <x v="6"/>
  </r>
  <r>
    <n v="21"/>
    <x v="4"/>
    <x v="6"/>
  </r>
  <r>
    <n v="21"/>
    <x v="4"/>
    <x v="6"/>
  </r>
  <r>
    <n v="21"/>
    <x v="5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4"/>
    <x v="6"/>
  </r>
  <r>
    <n v="21"/>
    <x v="5"/>
    <x v="6"/>
  </r>
  <r>
    <n v="23"/>
    <x v="0"/>
    <x v="8"/>
  </r>
  <r>
    <n v="23"/>
    <x v="0"/>
    <x v="8"/>
  </r>
  <r>
    <n v="23"/>
    <x v="0"/>
    <x v="8"/>
  </r>
  <r>
    <n v="23"/>
    <x v="0"/>
    <x v="8"/>
  </r>
  <r>
    <n v="23"/>
    <x v="1"/>
    <x v="8"/>
  </r>
  <r>
    <n v="23"/>
    <x v="0"/>
    <x v="8"/>
  </r>
  <r>
    <n v="23"/>
    <x v="0"/>
    <x v="8"/>
  </r>
  <r>
    <n v="23"/>
    <x v="2"/>
    <x v="8"/>
  </r>
  <r>
    <n v="23"/>
    <x v="0"/>
    <x v="8"/>
  </r>
  <r>
    <n v="23"/>
    <x v="0"/>
    <x v="8"/>
  </r>
  <r>
    <n v="23"/>
    <x v="6"/>
    <x v="8"/>
  </r>
  <r>
    <n v="23"/>
    <x v="1"/>
    <x v="8"/>
  </r>
  <r>
    <n v="23"/>
    <x v="1"/>
    <x v="8"/>
  </r>
  <r>
    <n v="23"/>
    <x v="1"/>
    <x v="8"/>
  </r>
  <r>
    <n v="23"/>
    <x v="0"/>
    <x v="8"/>
  </r>
  <r>
    <n v="23"/>
    <x v="1"/>
    <x v="8"/>
  </r>
  <r>
    <n v="23"/>
    <x v="1"/>
    <x v="8"/>
  </r>
  <r>
    <n v="23"/>
    <x v="5"/>
    <x v="8"/>
  </r>
  <r>
    <n v="23"/>
    <x v="1"/>
    <x v="8"/>
  </r>
  <r>
    <n v="23"/>
    <x v="6"/>
    <x v="8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34"/>
    <x v="6"/>
    <x v="15"/>
  </r>
  <r>
    <n v="22"/>
    <x v="0"/>
    <x v="9"/>
  </r>
  <r>
    <n v="22"/>
    <x v="0"/>
    <x v="9"/>
  </r>
  <r>
    <n v="22"/>
    <x v="0"/>
    <x v="9"/>
  </r>
  <r>
    <n v="22"/>
    <x v="1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0"/>
    <x v="9"/>
  </r>
  <r>
    <n v="22"/>
    <x v="3"/>
    <x v="9"/>
  </r>
  <r>
    <n v="22"/>
    <x v="3"/>
    <x v="9"/>
  </r>
  <r>
    <n v="22"/>
    <x v="1"/>
    <x v="9"/>
  </r>
  <r>
    <n v="22"/>
    <x v="1"/>
    <x v="9"/>
  </r>
  <r>
    <n v="22"/>
    <x v="0"/>
    <x v="9"/>
  </r>
  <r>
    <n v="22"/>
    <x v="0"/>
    <x v="9"/>
  </r>
  <r>
    <n v="42"/>
    <x v="0"/>
    <x v="25"/>
  </r>
  <r>
    <n v="22"/>
    <x v="1"/>
    <x v="9"/>
  </r>
  <r>
    <n v="22"/>
    <x v="0"/>
    <x v="9"/>
  </r>
  <r>
    <n v="22"/>
    <x v="0"/>
    <x v="9"/>
  </r>
  <r>
    <n v="22"/>
    <x v="0"/>
    <x v="9"/>
  </r>
  <r>
    <n v="22"/>
    <x v="3"/>
    <x v="9"/>
  </r>
  <r>
    <n v="22"/>
    <x v="3"/>
    <x v="9"/>
  </r>
  <r>
    <n v="22"/>
    <x v="1"/>
    <x v="9"/>
  </r>
  <r>
    <n v="22"/>
    <x v="1"/>
    <x v="9"/>
  </r>
  <r>
    <n v="25"/>
    <x v="3"/>
    <x v="11"/>
  </r>
  <r>
    <n v="20"/>
    <x v="3"/>
    <x v="5"/>
  </r>
  <r>
    <n v="20"/>
    <x v="3"/>
    <x v="5"/>
  </r>
  <r>
    <n v="20"/>
    <x v="3"/>
    <x v="5"/>
  </r>
  <r>
    <n v="23"/>
    <x v="3"/>
    <x v="8"/>
  </r>
  <r>
    <n v="23"/>
    <x v="3"/>
    <x v="8"/>
  </r>
  <r>
    <n v="25"/>
    <x v="3"/>
    <x v="11"/>
  </r>
  <r>
    <n v="23"/>
    <x v="3"/>
    <x v="8"/>
  </r>
  <r>
    <n v="23"/>
    <x v="3"/>
    <x v="8"/>
  </r>
  <r>
    <n v="23"/>
    <x v="3"/>
    <x v="8"/>
  </r>
  <r>
    <n v="23"/>
    <x v="3"/>
    <x v="8"/>
  </r>
  <r>
    <n v="23"/>
    <x v="3"/>
    <x v="8"/>
  </r>
  <r>
    <n v="20"/>
    <x v="3"/>
    <x v="5"/>
  </r>
  <r>
    <n v="25"/>
    <x v="3"/>
    <x v="11"/>
  </r>
  <r>
    <n v="23"/>
    <x v="3"/>
    <x v="8"/>
  </r>
  <r>
    <n v="23"/>
    <x v="3"/>
    <x v="8"/>
  </r>
  <r>
    <n v="23"/>
    <x v="3"/>
    <x v="8"/>
  </r>
  <r>
    <n v="23"/>
    <x v="3"/>
    <x v="8"/>
  </r>
  <r>
    <n v="23"/>
    <x v="3"/>
    <x v="8"/>
  </r>
  <r>
    <n v="23"/>
    <x v="3"/>
    <x v="8"/>
  </r>
  <r>
    <n v="23"/>
    <x v="3"/>
    <x v="8"/>
  </r>
  <r>
    <n v="35"/>
    <x v="0"/>
    <x v="24"/>
  </r>
  <r>
    <n v="35"/>
    <x v="2"/>
    <x v="24"/>
  </r>
  <r>
    <n v="35"/>
    <x v="0"/>
    <x v="24"/>
  </r>
  <r>
    <n v="35"/>
    <x v="0"/>
    <x v="24"/>
  </r>
  <r>
    <n v="35"/>
    <x v="0"/>
    <x v="24"/>
  </r>
  <r>
    <n v="35"/>
    <x v="4"/>
    <x v="24"/>
  </r>
  <r>
    <n v="35"/>
    <x v="0"/>
    <x v="24"/>
  </r>
  <r>
    <n v="35"/>
    <x v="2"/>
    <x v="24"/>
  </r>
  <r>
    <n v="35"/>
    <x v="0"/>
    <x v="24"/>
  </r>
  <r>
    <n v="35"/>
    <x v="2"/>
    <x v="24"/>
  </r>
  <r>
    <n v="35"/>
    <x v="2"/>
    <x v="24"/>
  </r>
  <r>
    <n v="23"/>
    <x v="4"/>
    <x v="8"/>
  </r>
  <r>
    <n v="23"/>
    <x v="4"/>
    <x v="8"/>
  </r>
  <r>
    <n v="23"/>
    <x v="4"/>
    <x v="8"/>
  </r>
  <r>
    <n v="23"/>
    <x v="4"/>
    <x v="8"/>
  </r>
  <r>
    <n v="22"/>
    <x v="4"/>
    <x v="9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23"/>
    <x v="4"/>
    <x v="8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0"/>
    <x v="15"/>
  </r>
  <r>
    <n v="34"/>
    <x v="1"/>
    <x v="15"/>
  </r>
  <r>
    <n v="23"/>
    <x v="4"/>
    <x v="8"/>
  </r>
  <r>
    <n v="23"/>
    <x v="4"/>
    <x v="8"/>
  </r>
  <r>
    <n v="23"/>
    <x v="5"/>
    <x v="8"/>
  </r>
  <r>
    <n v="23"/>
    <x v="5"/>
    <x v="8"/>
  </r>
  <r>
    <n v="23"/>
    <x v="5"/>
    <x v="8"/>
  </r>
  <r>
    <n v="23"/>
    <x v="5"/>
    <x v="8"/>
  </r>
  <r>
    <n v="23"/>
    <x v="5"/>
    <x v="8"/>
  </r>
  <r>
    <n v="23"/>
    <x v="5"/>
    <x v="8"/>
  </r>
  <r>
    <n v="23"/>
    <x v="5"/>
    <x v="8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30"/>
    <x v="4"/>
    <x v="19"/>
  </r>
  <r>
    <n v="23"/>
    <x v="6"/>
    <x v="8"/>
  </r>
  <r>
    <n v="30"/>
    <x v="4"/>
    <x v="19"/>
  </r>
  <r>
    <n v="23"/>
    <x v="5"/>
    <x v="8"/>
  </r>
  <r>
    <n v="30"/>
    <x v="4"/>
    <x v="19"/>
  </r>
  <r>
    <n v="23"/>
    <x v="5"/>
    <x v="8"/>
  </r>
  <r>
    <n v="30"/>
    <x v="4"/>
    <x v="19"/>
  </r>
  <r>
    <n v="23"/>
    <x v="5"/>
    <x v="8"/>
  </r>
  <r>
    <n v="23"/>
    <x v="5"/>
    <x v="8"/>
  </r>
  <r>
    <n v="23"/>
    <x v="5"/>
    <x v="8"/>
  </r>
  <r>
    <n v="23"/>
    <x v="5"/>
    <x v="8"/>
  </r>
  <r>
    <n v="23"/>
    <x v="5"/>
    <x v="8"/>
  </r>
  <r>
    <n v="23"/>
    <x v="5"/>
    <x v="8"/>
  </r>
  <r>
    <n v="23"/>
    <x v="0"/>
    <x v="8"/>
  </r>
  <r>
    <n v="29"/>
    <x v="2"/>
    <x v="23"/>
  </r>
  <r>
    <n v="23"/>
    <x v="5"/>
    <x v="8"/>
  </r>
  <r>
    <n v="23"/>
    <x v="5"/>
    <x v="8"/>
  </r>
  <r>
    <n v="23"/>
    <x v="5"/>
    <x v="8"/>
  </r>
  <r>
    <n v="26"/>
    <x v="2"/>
    <x v="17"/>
  </r>
  <r>
    <n v="23"/>
    <x v="6"/>
    <x v="8"/>
  </r>
  <r>
    <n v="23"/>
    <x v="5"/>
    <x v="8"/>
  </r>
  <r>
    <n v="23"/>
    <x v="5"/>
    <x v="8"/>
  </r>
  <r>
    <n v="23"/>
    <x v="6"/>
    <x v="8"/>
  </r>
  <r>
    <n v="20"/>
    <x v="4"/>
    <x v="5"/>
  </r>
  <r>
    <n v="20"/>
    <x v="4"/>
    <x v="5"/>
  </r>
  <r>
    <n v="23"/>
    <x v="5"/>
    <x v="8"/>
  </r>
  <r>
    <n v="20"/>
    <x v="4"/>
    <x v="5"/>
  </r>
  <r>
    <n v="20"/>
    <x v="4"/>
    <x v="5"/>
  </r>
  <r>
    <n v="20"/>
    <x v="4"/>
    <x v="5"/>
  </r>
  <r>
    <n v="20"/>
    <x v="4"/>
    <x v="5"/>
  </r>
  <r>
    <n v="20"/>
    <x v="4"/>
    <x v="5"/>
  </r>
  <r>
    <n v="21"/>
    <x v="4"/>
    <x v="6"/>
  </r>
  <r>
    <n v="23"/>
    <x v="2"/>
    <x v="8"/>
  </r>
  <r>
    <n v="23"/>
    <x v="6"/>
    <x v="8"/>
  </r>
  <r>
    <n v="23"/>
    <x v="6"/>
    <x v="8"/>
  </r>
  <r>
    <n v="23"/>
    <x v="0"/>
    <x v="8"/>
  </r>
  <r>
    <n v="23"/>
    <x v="0"/>
    <x v="8"/>
  </r>
  <r>
    <n v="23"/>
    <x v="0"/>
    <x v="8"/>
  </r>
  <r>
    <n v="23"/>
    <x v="6"/>
    <x v="8"/>
  </r>
  <r>
    <n v="23"/>
    <x v="6"/>
    <x v="8"/>
  </r>
  <r>
    <n v="23"/>
    <x v="6"/>
    <x v="8"/>
  </r>
  <r>
    <n v="23"/>
    <x v="5"/>
    <x v="8"/>
  </r>
  <r>
    <n v="23"/>
    <x v="0"/>
    <x v="8"/>
  </r>
  <r>
    <n v="23"/>
    <x v="2"/>
    <x v="8"/>
  </r>
  <r>
    <n v="25"/>
    <x v="0"/>
    <x v="11"/>
  </r>
  <r>
    <n v="25"/>
    <x v="6"/>
    <x v="11"/>
  </r>
  <r>
    <n v="25"/>
    <x v="6"/>
    <x v="11"/>
  </r>
  <r>
    <n v="25"/>
    <x v="6"/>
    <x v="11"/>
  </r>
  <r>
    <n v="41"/>
    <x v="0"/>
    <x v="18"/>
  </r>
  <r>
    <n v="25"/>
    <x v="6"/>
    <x v="11"/>
  </r>
  <r>
    <n v="25"/>
    <x v="6"/>
    <x v="11"/>
  </r>
  <r>
    <n v="25"/>
    <x v="6"/>
    <x v="11"/>
  </r>
  <r>
    <n v="25"/>
    <x v="2"/>
    <x v="11"/>
  </r>
  <r>
    <n v="23"/>
    <x v="0"/>
    <x v="8"/>
  </r>
  <r>
    <n v="25"/>
    <x v="6"/>
    <x v="11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4"/>
    <x v="0"/>
  </r>
  <r>
    <n v="39"/>
    <x v="5"/>
    <x v="0"/>
  </r>
  <r>
    <n v="39"/>
    <x v="4"/>
    <x v="0"/>
  </r>
  <r>
    <n v="39"/>
    <x v="4"/>
    <x v="0"/>
  </r>
  <r>
    <n v="39"/>
    <x v="4"/>
    <x v="0"/>
  </r>
  <r>
    <n v="30"/>
    <x v="3"/>
    <x v="19"/>
  </r>
  <r>
    <n v="29"/>
    <x v="3"/>
    <x v="23"/>
  </r>
  <r>
    <n v="29"/>
    <x v="0"/>
    <x v="23"/>
  </r>
  <r>
    <n v="29"/>
    <x v="3"/>
    <x v="23"/>
  </r>
  <r>
    <n v="29"/>
    <x v="3"/>
    <x v="23"/>
  </r>
  <r>
    <n v="29"/>
    <x v="1"/>
    <x v="23"/>
  </r>
  <r>
    <n v="29"/>
    <x v="3"/>
    <x v="23"/>
  </r>
  <r>
    <n v="30"/>
    <x v="7"/>
    <x v="19"/>
  </r>
  <r>
    <n v="29"/>
    <x v="0"/>
    <x v="23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5"/>
    <x v="4"/>
    <x v="11"/>
  </r>
  <r>
    <n v="21"/>
    <x v="4"/>
    <x v="6"/>
  </r>
  <r>
    <n v="25"/>
    <x v="6"/>
    <x v="11"/>
  </r>
  <r>
    <n v="25"/>
    <x v="2"/>
    <x v="11"/>
  </r>
  <r>
    <n v="25"/>
    <x v="2"/>
    <x v="11"/>
  </r>
  <r>
    <n v="41"/>
    <x v="0"/>
    <x v="18"/>
  </r>
  <r>
    <n v="25"/>
    <x v="0"/>
    <x v="11"/>
  </r>
  <r>
    <n v="25"/>
    <x v="6"/>
    <x v="11"/>
  </r>
  <r>
    <n v="25"/>
    <x v="0"/>
    <x v="11"/>
  </r>
  <r>
    <n v="25"/>
    <x v="2"/>
    <x v="11"/>
  </r>
  <r>
    <n v="25"/>
    <x v="6"/>
    <x v="11"/>
  </r>
  <r>
    <n v="146"/>
    <x v="3"/>
    <x v="22"/>
  </r>
  <r>
    <n v="25"/>
    <x v="6"/>
    <x v="11"/>
  </r>
  <r>
    <n v="35"/>
    <x v="3"/>
    <x v="24"/>
  </r>
  <r>
    <n v="35"/>
    <x v="3"/>
    <x v="24"/>
  </r>
  <r>
    <n v="35"/>
    <x v="7"/>
    <x v="24"/>
  </r>
  <r>
    <n v="35"/>
    <x v="7"/>
    <x v="24"/>
  </r>
  <r>
    <n v="35"/>
    <x v="1"/>
    <x v="24"/>
  </r>
  <r>
    <n v="35"/>
    <x v="7"/>
    <x v="24"/>
  </r>
  <r>
    <n v="35"/>
    <x v="7"/>
    <x v="24"/>
  </r>
  <r>
    <n v="41"/>
    <x v="1"/>
    <x v="18"/>
  </r>
  <r>
    <n v="41"/>
    <x v="3"/>
    <x v="18"/>
  </r>
  <r>
    <n v="147"/>
    <x v="1"/>
    <x v="21"/>
  </r>
  <r>
    <n v="146"/>
    <x v="1"/>
    <x v="22"/>
  </r>
  <r>
    <n v="147"/>
    <x v="3"/>
    <x v="21"/>
  </r>
  <r>
    <n v="147"/>
    <x v="3"/>
    <x v="21"/>
  </r>
  <r>
    <n v="147"/>
    <x v="3"/>
    <x v="21"/>
  </r>
  <r>
    <n v="147"/>
    <x v="3"/>
    <x v="21"/>
  </r>
  <r>
    <n v="147"/>
    <x v="3"/>
    <x v="21"/>
  </r>
  <r>
    <n v="147"/>
    <x v="3"/>
    <x v="21"/>
  </r>
  <r>
    <n v="26"/>
    <x v="2"/>
    <x v="17"/>
  </r>
  <r>
    <n v="26"/>
    <x v="6"/>
    <x v="17"/>
  </r>
  <r>
    <n v="26"/>
    <x v="2"/>
    <x v="17"/>
  </r>
  <r>
    <n v="26"/>
    <x v="5"/>
    <x v="17"/>
  </r>
  <r>
    <n v="26"/>
    <x v="2"/>
    <x v="17"/>
  </r>
  <r>
    <n v="26"/>
    <x v="2"/>
    <x v="17"/>
  </r>
  <r>
    <n v="26"/>
    <x v="2"/>
    <x v="17"/>
  </r>
  <r>
    <n v="26"/>
    <x v="2"/>
    <x v="17"/>
  </r>
  <r>
    <n v="30"/>
    <x v="7"/>
    <x v="19"/>
  </r>
  <r>
    <n v="30"/>
    <x v="3"/>
    <x v="19"/>
  </r>
  <r>
    <n v="30"/>
    <x v="7"/>
    <x v="19"/>
  </r>
  <r>
    <n v="29"/>
    <x v="3"/>
    <x v="23"/>
  </r>
  <r>
    <n v="29"/>
    <x v="1"/>
    <x v="23"/>
  </r>
  <r>
    <n v="30"/>
    <x v="7"/>
    <x v="19"/>
  </r>
  <r>
    <n v="29"/>
    <x v="3"/>
    <x v="23"/>
  </r>
  <r>
    <n v="30"/>
    <x v="7"/>
    <x v="19"/>
  </r>
  <r>
    <n v="30"/>
    <x v="7"/>
    <x v="19"/>
  </r>
  <r>
    <n v="29"/>
    <x v="3"/>
    <x v="23"/>
  </r>
  <r>
    <n v="30"/>
    <x v="7"/>
    <x v="19"/>
  </r>
  <r>
    <n v="29"/>
    <x v="1"/>
    <x v="23"/>
  </r>
  <r>
    <n v="29"/>
    <x v="3"/>
    <x v="23"/>
  </r>
  <r>
    <n v="30"/>
    <x v="7"/>
    <x v="19"/>
  </r>
  <r>
    <n v="30"/>
    <x v="7"/>
    <x v="19"/>
  </r>
  <r>
    <n v="30"/>
    <x v="7"/>
    <x v="19"/>
  </r>
  <r>
    <n v="30"/>
    <x v="7"/>
    <x v="19"/>
  </r>
  <r>
    <n v="30"/>
    <x v="7"/>
    <x v="19"/>
  </r>
  <r>
    <n v="30"/>
    <x v="3"/>
    <x v="19"/>
  </r>
  <r>
    <n v="30"/>
    <x v="7"/>
    <x v="19"/>
  </r>
  <r>
    <n v="30"/>
    <x v="7"/>
    <x v="19"/>
  </r>
  <r>
    <n v="30"/>
    <x v="3"/>
    <x v="19"/>
  </r>
  <r>
    <n v="30"/>
    <x v="7"/>
    <x v="19"/>
  </r>
  <r>
    <n v="29"/>
    <x v="3"/>
    <x v="23"/>
  </r>
  <r>
    <n v="30"/>
    <x v="7"/>
    <x v="19"/>
  </r>
  <r>
    <n v="21"/>
    <x v="4"/>
    <x v="6"/>
  </r>
  <r>
    <n v="21"/>
    <x v="4"/>
    <x v="6"/>
  </r>
  <r>
    <n v="21"/>
    <x v="4"/>
    <x v="6"/>
  </r>
  <r>
    <n v="30"/>
    <x v="1"/>
    <x v="19"/>
  </r>
  <r>
    <n v="147"/>
    <x v="3"/>
    <x v="21"/>
  </r>
  <r>
    <n v="21"/>
    <x v="4"/>
    <x v="6"/>
  </r>
  <r>
    <n v="21"/>
    <x v="4"/>
    <x v="6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33"/>
    <x v="6"/>
    <x v="20"/>
  </r>
  <r>
    <n v="21"/>
    <x v="4"/>
    <x v="6"/>
  </r>
  <r>
    <n v="26"/>
    <x v="6"/>
    <x v="17"/>
  </r>
  <r>
    <n v="27"/>
    <x v="6"/>
    <x v="16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8"/>
    <x v="1"/>
    <x v="14"/>
  </r>
  <r>
    <n v="28"/>
    <x v="1"/>
    <x v="14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0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43"/>
    <x v="3"/>
    <x v="13"/>
  </r>
  <r>
    <n v="24"/>
    <x v="5"/>
    <x v="12"/>
  </r>
  <r>
    <n v="21"/>
    <x v="5"/>
    <x v="6"/>
  </r>
  <r>
    <n v="24"/>
    <x v="5"/>
    <x v="12"/>
  </r>
  <r>
    <n v="24"/>
    <x v="4"/>
    <x v="12"/>
  </r>
  <r>
    <n v="23"/>
    <x v="6"/>
    <x v="8"/>
  </r>
  <r>
    <n v="24"/>
    <x v="5"/>
    <x v="12"/>
  </r>
  <r>
    <n v="24"/>
    <x v="5"/>
    <x v="12"/>
  </r>
  <r>
    <n v="21"/>
    <x v="5"/>
    <x v="6"/>
  </r>
  <r>
    <n v="24"/>
    <x v="5"/>
    <x v="12"/>
  </r>
  <r>
    <n v="24"/>
    <x v="5"/>
    <x v="12"/>
  </r>
  <r>
    <n v="22"/>
    <x v="5"/>
    <x v="9"/>
  </r>
  <r>
    <n v="24"/>
    <x v="5"/>
    <x v="12"/>
  </r>
  <r>
    <n v="22"/>
    <x v="5"/>
    <x v="9"/>
  </r>
  <r>
    <n v="25"/>
    <x v="2"/>
    <x v="11"/>
  </r>
  <r>
    <n v="25"/>
    <x v="0"/>
    <x v="11"/>
  </r>
  <r>
    <n v="24"/>
    <x v="5"/>
    <x v="12"/>
  </r>
  <r>
    <n v="25"/>
    <x v="0"/>
    <x v="11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3"/>
    <x v="1"/>
    <x v="8"/>
  </r>
  <r>
    <n v="20"/>
    <x v="3"/>
    <x v="5"/>
  </r>
  <r>
    <n v="23"/>
    <x v="0"/>
    <x v="8"/>
  </r>
  <r>
    <n v="23"/>
    <x v="0"/>
    <x v="8"/>
  </r>
  <r>
    <n v="23"/>
    <x v="2"/>
    <x v="8"/>
  </r>
  <r>
    <n v="23"/>
    <x v="0"/>
    <x v="8"/>
  </r>
  <r>
    <n v="23"/>
    <x v="2"/>
    <x v="8"/>
  </r>
  <r>
    <n v="23"/>
    <x v="2"/>
    <x v="8"/>
  </r>
  <r>
    <n v="23"/>
    <x v="6"/>
    <x v="8"/>
  </r>
  <r>
    <n v="23"/>
    <x v="0"/>
    <x v="8"/>
  </r>
  <r>
    <n v="23"/>
    <x v="2"/>
    <x v="8"/>
  </r>
  <r>
    <n v="23"/>
    <x v="6"/>
    <x v="8"/>
  </r>
  <r>
    <n v="23"/>
    <x v="2"/>
    <x v="8"/>
  </r>
  <r>
    <n v="23"/>
    <x v="2"/>
    <x v="8"/>
  </r>
  <r>
    <n v="23"/>
    <x v="4"/>
    <x v="8"/>
  </r>
  <r>
    <n v="23"/>
    <x v="6"/>
    <x v="8"/>
  </r>
  <r>
    <n v="23"/>
    <x v="0"/>
    <x v="8"/>
  </r>
  <r>
    <n v="22"/>
    <x v="0"/>
    <x v="9"/>
  </r>
  <r>
    <n v="23"/>
    <x v="6"/>
    <x v="8"/>
  </r>
  <r>
    <n v="23"/>
    <x v="6"/>
    <x v="8"/>
  </r>
  <r>
    <n v="25"/>
    <x v="6"/>
    <x v="11"/>
  </r>
  <r>
    <n v="25"/>
    <x v="6"/>
    <x v="11"/>
  </r>
  <r>
    <n v="25"/>
    <x v="6"/>
    <x v="11"/>
  </r>
  <r>
    <n v="25"/>
    <x v="6"/>
    <x v="11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3"/>
    <x v="2"/>
    <x v="20"/>
  </r>
  <r>
    <n v="30"/>
    <x v="1"/>
    <x v="19"/>
  </r>
  <r>
    <n v="36"/>
    <x v="0"/>
    <x v="7"/>
  </r>
  <r>
    <n v="36"/>
    <x v="1"/>
    <x v="7"/>
  </r>
  <r>
    <n v="36"/>
    <x v="1"/>
    <x v="7"/>
  </r>
  <r>
    <n v="36"/>
    <x v="1"/>
    <x v="7"/>
  </r>
  <r>
    <n v="36"/>
    <x v="1"/>
    <x v="7"/>
  </r>
  <r>
    <n v="36"/>
    <x v="1"/>
    <x v="7"/>
  </r>
  <r>
    <n v="36"/>
    <x v="3"/>
    <x v="7"/>
  </r>
  <r>
    <n v="26"/>
    <x v="6"/>
    <x v="17"/>
  </r>
  <r>
    <n v="26"/>
    <x v="5"/>
    <x v="17"/>
  </r>
  <r>
    <n v="26"/>
    <x v="5"/>
    <x v="17"/>
  </r>
  <r>
    <n v="28"/>
    <x v="1"/>
    <x v="14"/>
  </r>
  <r>
    <n v="27"/>
    <x v="1"/>
    <x v="16"/>
  </r>
  <r>
    <n v="26"/>
    <x v="5"/>
    <x v="17"/>
  </r>
  <r>
    <n v="26"/>
    <x v="5"/>
    <x v="17"/>
  </r>
  <r>
    <n v="26"/>
    <x v="5"/>
    <x v="17"/>
  </r>
  <r>
    <n v="28"/>
    <x v="6"/>
    <x v="14"/>
  </r>
  <r>
    <n v="26"/>
    <x v="5"/>
    <x v="17"/>
  </r>
  <r>
    <n v="32"/>
    <x v="8"/>
    <x v="3"/>
  </r>
  <r>
    <n v="26"/>
    <x v="5"/>
    <x v="17"/>
  </r>
  <r>
    <n v="32"/>
    <x v="8"/>
    <x v="3"/>
  </r>
  <r>
    <n v="32"/>
    <x v="8"/>
    <x v="3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6"/>
    <x v="5"/>
    <x v="17"/>
  </r>
  <r>
    <n v="28"/>
    <x v="1"/>
    <x v="14"/>
  </r>
  <r>
    <n v="28"/>
    <x v="6"/>
    <x v="14"/>
  </r>
  <r>
    <n v="28"/>
    <x v="1"/>
    <x v="14"/>
  </r>
  <r>
    <n v="28"/>
    <x v="1"/>
    <x v="14"/>
  </r>
  <r>
    <n v="28"/>
    <x v="0"/>
    <x v="14"/>
  </r>
  <r>
    <n v="28"/>
    <x v="1"/>
    <x v="14"/>
  </r>
  <r>
    <n v="28"/>
    <x v="2"/>
    <x v="14"/>
  </r>
  <r>
    <n v="28"/>
    <x v="1"/>
    <x v="14"/>
  </r>
  <r>
    <n v="28"/>
    <x v="0"/>
    <x v="14"/>
  </r>
  <r>
    <n v="29"/>
    <x v="2"/>
    <x v="23"/>
  </r>
  <r>
    <n v="30"/>
    <x v="0"/>
    <x v="19"/>
  </r>
  <r>
    <n v="29"/>
    <x v="2"/>
    <x v="23"/>
  </r>
  <r>
    <n v="29"/>
    <x v="2"/>
    <x v="23"/>
  </r>
  <r>
    <n v="30"/>
    <x v="0"/>
    <x v="19"/>
  </r>
  <r>
    <n v="29"/>
    <x v="0"/>
    <x v="23"/>
  </r>
  <r>
    <n v="30"/>
    <x v="3"/>
    <x v="19"/>
  </r>
  <r>
    <n v="29"/>
    <x v="2"/>
    <x v="23"/>
  </r>
  <r>
    <n v="26"/>
    <x v="0"/>
    <x v="17"/>
  </r>
  <r>
    <n v="26"/>
    <x v="2"/>
    <x v="17"/>
  </r>
  <r>
    <n v="26"/>
    <x v="6"/>
    <x v="17"/>
  </r>
  <r>
    <n v="26"/>
    <x v="2"/>
    <x v="17"/>
  </r>
  <r>
    <n v="26"/>
    <x v="6"/>
    <x v="17"/>
  </r>
  <r>
    <n v="39"/>
    <x v="6"/>
    <x v="0"/>
  </r>
  <r>
    <n v="39"/>
    <x v="6"/>
    <x v="0"/>
  </r>
  <r>
    <n v="39"/>
    <x v="6"/>
    <x v="0"/>
  </r>
  <r>
    <n v="39"/>
    <x v="5"/>
    <x v="0"/>
  </r>
  <r>
    <n v="39"/>
    <x v="2"/>
    <x v="0"/>
  </r>
  <r>
    <n v="39"/>
    <x v="6"/>
    <x v="0"/>
  </r>
  <r>
    <n v="39"/>
    <x v="6"/>
    <x v="0"/>
  </r>
  <r>
    <n v="39"/>
    <x v="6"/>
    <x v="0"/>
  </r>
  <r>
    <n v="39"/>
    <x v="6"/>
    <x v="0"/>
  </r>
  <r>
    <n v="39"/>
    <x v="2"/>
    <x v="0"/>
  </r>
  <r>
    <n v="39"/>
    <x v="6"/>
    <x v="0"/>
  </r>
  <r>
    <n v="39"/>
    <x v="6"/>
    <x v="0"/>
  </r>
  <r>
    <n v="39"/>
    <x v="6"/>
    <x v="0"/>
  </r>
  <r>
    <n v="39"/>
    <x v="6"/>
    <x v="0"/>
  </r>
  <r>
    <n v="26"/>
    <x v="2"/>
    <x v="17"/>
  </r>
  <r>
    <n v="26"/>
    <x v="2"/>
    <x v="17"/>
  </r>
  <r>
    <n v="26"/>
    <x v="2"/>
    <x v="17"/>
  </r>
  <r>
    <n v="26"/>
    <x v="6"/>
    <x v="17"/>
  </r>
  <r>
    <n v="26"/>
    <x v="2"/>
    <x v="17"/>
  </r>
  <r>
    <n v="26"/>
    <x v="6"/>
    <x v="17"/>
  </r>
  <r>
    <n v="26"/>
    <x v="2"/>
    <x v="17"/>
  </r>
  <r>
    <n v="26"/>
    <x v="0"/>
    <x v="17"/>
  </r>
  <r>
    <n v="26"/>
    <x v="2"/>
    <x v="17"/>
  </r>
  <r>
    <n v="26"/>
    <x v="0"/>
    <x v="17"/>
  </r>
  <r>
    <n v="29"/>
    <x v="4"/>
    <x v="23"/>
  </r>
  <r>
    <n v="29"/>
    <x v="4"/>
    <x v="23"/>
  </r>
  <r>
    <n v="29"/>
    <x v="4"/>
    <x v="23"/>
  </r>
  <r>
    <n v="29"/>
    <x v="4"/>
    <x v="23"/>
  </r>
  <r>
    <n v="29"/>
    <x v="5"/>
    <x v="23"/>
  </r>
  <r>
    <n v="29"/>
    <x v="0"/>
    <x v="23"/>
  </r>
  <r>
    <n v="29"/>
    <x v="4"/>
    <x v="23"/>
  </r>
  <r>
    <n v="24"/>
    <x v="4"/>
    <x v="12"/>
  </r>
  <r>
    <n v="24"/>
    <x v="4"/>
    <x v="12"/>
  </r>
  <r>
    <n v="24"/>
    <x v="4"/>
    <x v="12"/>
  </r>
  <r>
    <n v="24"/>
    <x v="2"/>
    <x v="12"/>
  </r>
  <r>
    <n v="24"/>
    <x v="4"/>
    <x v="12"/>
  </r>
  <r>
    <n v="29"/>
    <x v="4"/>
    <x v="23"/>
  </r>
  <r>
    <n v="24"/>
    <x v="4"/>
    <x v="12"/>
  </r>
  <r>
    <n v="24"/>
    <x v="4"/>
    <x v="12"/>
  </r>
  <r>
    <n v="24"/>
    <x v="4"/>
    <x v="12"/>
  </r>
  <r>
    <n v="24"/>
    <x v="4"/>
    <x v="12"/>
  </r>
  <r>
    <n v="24"/>
    <x v="4"/>
    <x v="12"/>
  </r>
  <r>
    <n v="24"/>
    <x v="3"/>
    <x v="12"/>
  </r>
  <r>
    <n v="24"/>
    <x v="4"/>
    <x v="12"/>
  </r>
  <r>
    <n v="24"/>
    <x v="4"/>
    <x v="12"/>
  </r>
  <r>
    <n v="24"/>
    <x v="4"/>
    <x v="12"/>
  </r>
  <r>
    <n v="24"/>
    <x v="4"/>
    <x v="12"/>
  </r>
  <r>
    <n v="29"/>
    <x v="4"/>
    <x v="23"/>
  </r>
  <r>
    <n v="24"/>
    <x v="4"/>
    <x v="12"/>
  </r>
  <r>
    <n v="24"/>
    <x v="4"/>
    <x v="12"/>
  </r>
  <r>
    <n v="24"/>
    <x v="4"/>
    <x v="12"/>
  </r>
  <r>
    <n v="24"/>
    <x v="4"/>
    <x v="12"/>
  </r>
  <r>
    <n v="24"/>
    <x v="4"/>
    <x v="12"/>
  </r>
  <r>
    <n v="24"/>
    <x v="4"/>
    <x v="12"/>
  </r>
  <r>
    <n v="24"/>
    <x v="4"/>
    <x v="12"/>
  </r>
  <r>
    <n v="42"/>
    <x v="4"/>
    <x v="25"/>
  </r>
  <r>
    <n v="24"/>
    <x v="4"/>
    <x v="12"/>
  </r>
  <r>
    <n v="24"/>
    <x v="4"/>
    <x v="12"/>
  </r>
  <r>
    <n v="24"/>
    <x v="4"/>
    <x v="12"/>
  </r>
  <r>
    <n v="24"/>
    <x v="4"/>
    <x v="12"/>
  </r>
  <r>
    <n v="25"/>
    <x v="6"/>
    <x v="11"/>
  </r>
  <r>
    <n v="25"/>
    <x v="0"/>
    <x v="11"/>
  </r>
  <r>
    <n v="25"/>
    <x v="2"/>
    <x v="11"/>
  </r>
  <r>
    <n v="25"/>
    <x v="0"/>
    <x v="11"/>
  </r>
  <r>
    <n v="25"/>
    <x v="2"/>
    <x v="11"/>
  </r>
  <r>
    <n v="25"/>
    <x v="2"/>
    <x v="11"/>
  </r>
  <r>
    <n v="25"/>
    <x v="6"/>
    <x v="11"/>
  </r>
  <r>
    <n v="25"/>
    <x v="2"/>
    <x v="11"/>
  </r>
  <r>
    <n v="25"/>
    <x v="2"/>
    <x v="11"/>
  </r>
  <r>
    <n v="25"/>
    <x v="2"/>
    <x v="11"/>
  </r>
  <r>
    <n v="25"/>
    <x v="2"/>
    <x v="11"/>
  </r>
  <r>
    <n v="36"/>
    <x v="2"/>
    <x v="7"/>
  </r>
  <r>
    <n v="36"/>
    <x v="2"/>
    <x v="7"/>
  </r>
  <r>
    <n v="36"/>
    <x v="2"/>
    <x v="7"/>
  </r>
  <r>
    <n v="36"/>
    <x v="2"/>
    <x v="7"/>
  </r>
  <r>
    <n v="36"/>
    <x v="1"/>
    <x v="7"/>
  </r>
  <r>
    <n v="27"/>
    <x v="1"/>
    <x v="16"/>
  </r>
  <r>
    <n v="27"/>
    <x v="1"/>
    <x v="16"/>
  </r>
  <r>
    <n v="27"/>
    <x v="1"/>
    <x v="16"/>
  </r>
  <r>
    <n v="27"/>
    <x v="1"/>
    <x v="16"/>
  </r>
  <r>
    <n v="27"/>
    <x v="1"/>
    <x v="16"/>
  </r>
  <r>
    <n v="27"/>
    <x v="1"/>
    <x v="16"/>
  </r>
  <r>
    <n v="27"/>
    <x v="1"/>
    <x v="16"/>
  </r>
  <r>
    <n v="27"/>
    <x v="1"/>
    <x v="16"/>
  </r>
  <r>
    <n v="36"/>
    <x v="3"/>
    <x v="7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7"/>
    <x v="25"/>
  </r>
  <r>
    <n v="42"/>
    <x v="4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7"/>
    <x v="25"/>
  </r>
  <r>
    <n v="42"/>
    <x v="5"/>
    <x v="25"/>
  </r>
  <r>
    <n v="42"/>
    <x v="5"/>
    <x v="25"/>
  </r>
  <r>
    <n v="42"/>
    <x v="7"/>
    <x v="25"/>
  </r>
  <r>
    <n v="42"/>
    <x v="7"/>
    <x v="25"/>
  </r>
  <r>
    <n v="42"/>
    <x v="5"/>
    <x v="25"/>
  </r>
  <r>
    <n v="42"/>
    <x v="5"/>
    <x v="25"/>
  </r>
  <r>
    <n v="42"/>
    <x v="7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6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6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5"/>
    <x v="25"/>
  </r>
  <r>
    <n v="42"/>
    <x v="7"/>
    <x v="25"/>
  </r>
  <r>
    <n v="42"/>
    <x v="7"/>
    <x v="25"/>
  </r>
  <r>
    <n v="42"/>
    <x v="7"/>
    <x v="25"/>
  </r>
  <r>
    <n v="42"/>
    <x v="7"/>
    <x v="25"/>
  </r>
  <r>
    <n v="42"/>
    <x v="5"/>
    <x v="25"/>
  </r>
  <r>
    <n v="42"/>
    <x v="7"/>
    <x v="25"/>
  </r>
  <r>
    <n v="42"/>
    <x v="7"/>
    <x v="25"/>
  </r>
  <r>
    <n v="42"/>
    <x v="5"/>
    <x v="25"/>
  </r>
  <r>
    <n v="42"/>
    <x v="5"/>
    <x v="25"/>
  </r>
  <r>
    <n v="42"/>
    <x v="7"/>
    <x v="25"/>
  </r>
  <r>
    <n v="42"/>
    <x v="7"/>
    <x v="25"/>
  </r>
  <r>
    <n v="42"/>
    <x v="7"/>
    <x v="25"/>
  </r>
  <r>
    <n v="42"/>
    <x v="6"/>
    <x v="25"/>
  </r>
  <r>
    <n v="42"/>
    <x v="7"/>
    <x v="25"/>
  </r>
  <r>
    <n v="42"/>
    <x v="7"/>
    <x v="25"/>
  </r>
  <r>
    <n v="42"/>
    <x v="6"/>
    <x v="25"/>
  </r>
  <r>
    <n v="42"/>
    <x v="7"/>
    <x v="25"/>
  </r>
  <r>
    <n v="42"/>
    <x v="5"/>
    <x v="25"/>
  </r>
  <r>
    <n v="42"/>
    <x v="7"/>
    <x v="25"/>
  </r>
  <r>
    <n v="42"/>
    <x v="7"/>
    <x v="25"/>
  </r>
  <r>
    <n v="42"/>
    <x v="7"/>
    <x v="25"/>
  </r>
  <r>
    <n v="42"/>
    <x v="5"/>
    <x v="25"/>
  </r>
  <r>
    <n v="42"/>
    <x v="7"/>
    <x v="25"/>
  </r>
  <r>
    <n v="42"/>
    <x v="5"/>
    <x v="25"/>
  </r>
  <r>
    <n v="42"/>
    <x v="7"/>
    <x v="25"/>
  </r>
  <r>
    <n v="42"/>
    <x v="7"/>
    <x v="25"/>
  </r>
  <r>
    <n v="42"/>
    <x v="7"/>
    <x v="25"/>
  </r>
  <r>
    <n v="42"/>
    <x v="5"/>
    <x v="25"/>
  </r>
  <r>
    <n v="42"/>
    <x v="6"/>
    <x v="25"/>
  </r>
  <r>
    <n v="42"/>
    <x v="7"/>
    <x v="25"/>
  </r>
  <r>
    <n v="42"/>
    <x v="5"/>
    <x v="25"/>
  </r>
  <r>
    <n v="42"/>
    <x v="5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6"/>
    <x v="25"/>
  </r>
  <r>
    <n v="42"/>
    <x v="5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5"/>
    <x v="25"/>
  </r>
  <r>
    <n v="42"/>
    <x v="5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5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7"/>
    <x v="25"/>
  </r>
  <r>
    <n v="42"/>
    <x v="7"/>
    <x v="25"/>
  </r>
  <r>
    <n v="42"/>
    <x v="7"/>
    <x v="25"/>
  </r>
  <r>
    <n v="42"/>
    <x v="6"/>
    <x v="25"/>
  </r>
  <r>
    <n v="42"/>
    <x v="7"/>
    <x v="25"/>
  </r>
  <r>
    <n v="42"/>
    <x v="7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5"/>
    <x v="25"/>
  </r>
  <r>
    <n v="42"/>
    <x v="6"/>
    <x v="25"/>
  </r>
  <r>
    <n v="42"/>
    <x v="7"/>
    <x v="25"/>
  </r>
  <r>
    <n v="42"/>
    <x v="6"/>
    <x v="25"/>
  </r>
  <r>
    <n v="42"/>
    <x v="7"/>
    <x v="25"/>
  </r>
  <r>
    <n v="42"/>
    <x v="6"/>
    <x v="25"/>
  </r>
  <r>
    <n v="42"/>
    <x v="7"/>
    <x v="25"/>
  </r>
  <r>
    <n v="42"/>
    <x v="7"/>
    <x v="25"/>
  </r>
  <r>
    <n v="42"/>
    <x v="5"/>
    <x v="25"/>
  </r>
  <r>
    <n v="42"/>
    <x v="5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5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5"/>
    <x v="25"/>
  </r>
  <r>
    <n v="42"/>
    <x v="6"/>
    <x v="25"/>
  </r>
  <r>
    <n v="42"/>
    <x v="6"/>
    <x v="25"/>
  </r>
  <r>
    <n v="42"/>
    <x v="7"/>
    <x v="25"/>
  </r>
  <r>
    <n v="42"/>
    <x v="7"/>
    <x v="25"/>
  </r>
  <r>
    <n v="42"/>
    <x v="6"/>
    <x v="25"/>
  </r>
  <r>
    <n v="42"/>
    <x v="5"/>
    <x v="25"/>
  </r>
  <r>
    <n v="42"/>
    <x v="7"/>
    <x v="25"/>
  </r>
  <r>
    <n v="42"/>
    <x v="7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5"/>
    <x v="25"/>
  </r>
  <r>
    <n v="42"/>
    <x v="6"/>
    <x v="25"/>
  </r>
  <r>
    <n v="42"/>
    <x v="5"/>
    <x v="25"/>
  </r>
  <r>
    <n v="42"/>
    <x v="7"/>
    <x v="25"/>
  </r>
  <r>
    <n v="42"/>
    <x v="6"/>
    <x v="25"/>
  </r>
  <r>
    <n v="42"/>
    <x v="6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7"/>
    <x v="25"/>
  </r>
  <r>
    <n v="42"/>
    <x v="5"/>
    <x v="25"/>
  </r>
  <r>
    <n v="42"/>
    <x v="6"/>
    <x v="25"/>
  </r>
  <r>
    <n v="41"/>
    <x v="0"/>
    <x v="18"/>
  </r>
  <r>
    <n v="42"/>
    <x v="6"/>
    <x v="25"/>
  </r>
  <r>
    <n v="42"/>
    <x v="5"/>
    <x v="25"/>
  </r>
  <r>
    <n v="42"/>
    <x v="6"/>
    <x v="25"/>
  </r>
  <r>
    <n v="42"/>
    <x v="7"/>
    <x v="25"/>
  </r>
  <r>
    <n v="42"/>
    <x v="6"/>
    <x v="25"/>
  </r>
  <r>
    <n v="42"/>
    <x v="6"/>
    <x v="25"/>
  </r>
  <r>
    <n v="42"/>
    <x v="5"/>
    <x v="25"/>
  </r>
  <r>
    <n v="42"/>
    <x v="6"/>
    <x v="25"/>
  </r>
  <r>
    <n v="42"/>
    <x v="7"/>
    <x v="25"/>
  </r>
  <r>
    <n v="42"/>
    <x v="5"/>
    <x v="25"/>
  </r>
  <r>
    <n v="42"/>
    <x v="6"/>
    <x v="25"/>
  </r>
  <r>
    <n v="42"/>
    <x v="6"/>
    <x v="25"/>
  </r>
  <r>
    <n v="42"/>
    <x v="6"/>
    <x v="25"/>
  </r>
  <r>
    <n v="42"/>
    <x v="5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4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0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0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0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0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0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42"/>
    <x v="2"/>
    <x v="25"/>
  </r>
  <r>
    <n v="21"/>
    <x v="4"/>
    <x v="6"/>
  </r>
  <r>
    <n v="30"/>
    <x v="6"/>
    <x v="19"/>
  </r>
  <r>
    <n v="30"/>
    <x v="6"/>
    <x v="19"/>
  </r>
  <r>
    <n v="30"/>
    <x v="2"/>
    <x v="19"/>
  </r>
  <r>
    <n v="30"/>
    <x v="2"/>
    <x v="19"/>
  </r>
  <r>
    <n v="30"/>
    <x v="6"/>
    <x v="19"/>
  </r>
  <r>
    <n v="30"/>
    <x v="6"/>
    <x v="19"/>
  </r>
  <r>
    <n v="30"/>
    <x v="2"/>
    <x v="19"/>
  </r>
  <r>
    <n v="30"/>
    <x v="6"/>
    <x v="19"/>
  </r>
  <r>
    <n v="30"/>
    <x v="2"/>
    <x v="19"/>
  </r>
  <r>
    <n v="30"/>
    <x v="2"/>
    <x v="19"/>
  </r>
  <r>
    <n v="30"/>
    <x v="2"/>
    <x v="19"/>
  </r>
  <r>
    <n v="30"/>
    <x v="6"/>
    <x v="19"/>
  </r>
  <r>
    <n v="30"/>
    <x v="6"/>
    <x v="19"/>
  </r>
  <r>
    <n v="30"/>
    <x v="2"/>
    <x v="19"/>
  </r>
  <r>
    <n v="30"/>
    <x v="6"/>
    <x v="19"/>
  </r>
  <r>
    <n v="30"/>
    <x v="2"/>
    <x v="19"/>
  </r>
  <r>
    <n v="30"/>
    <x v="2"/>
    <x v="19"/>
  </r>
  <r>
    <n v="30"/>
    <x v="2"/>
    <x v="19"/>
  </r>
  <r>
    <n v="30"/>
    <x v="6"/>
    <x v="19"/>
  </r>
  <r>
    <n v="30"/>
    <x v="2"/>
    <x v="19"/>
  </r>
  <r>
    <n v="30"/>
    <x v="2"/>
    <x v="19"/>
  </r>
  <r>
    <n v="30"/>
    <x v="2"/>
    <x v="19"/>
  </r>
  <r>
    <n v="30"/>
    <x v="0"/>
    <x v="19"/>
  </r>
  <r>
    <n v="30"/>
    <x v="0"/>
    <x v="19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42"/>
    <x v="1"/>
    <x v="25"/>
  </r>
  <r>
    <n v="28"/>
    <x v="6"/>
    <x v="14"/>
  </r>
  <r>
    <n v="28"/>
    <x v="6"/>
    <x v="14"/>
  </r>
  <r>
    <n v="28"/>
    <x v="6"/>
    <x v="14"/>
  </r>
  <r>
    <n v="42"/>
    <x v="1"/>
    <x v="25"/>
  </r>
  <r>
    <n v="28"/>
    <x v="6"/>
    <x v="14"/>
  </r>
  <r>
    <n v="42"/>
    <x v="1"/>
    <x v="25"/>
  </r>
  <r>
    <n v="42"/>
    <x v="1"/>
    <x v="25"/>
  </r>
  <r>
    <n v="28"/>
    <x v="6"/>
    <x v="14"/>
  </r>
  <r>
    <n v="42"/>
    <x v="1"/>
    <x v="25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42"/>
    <x v="1"/>
    <x v="25"/>
  </r>
  <r>
    <n v="28"/>
    <x v="6"/>
    <x v="14"/>
  </r>
  <r>
    <n v="42"/>
    <x v="1"/>
    <x v="25"/>
  </r>
  <r>
    <n v="42"/>
    <x v="1"/>
    <x v="25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1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6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6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6"/>
    <x v="14"/>
  </r>
  <r>
    <n v="27"/>
    <x v="5"/>
    <x v="16"/>
  </r>
  <r>
    <n v="28"/>
    <x v="6"/>
    <x v="14"/>
  </r>
  <r>
    <n v="28"/>
    <x v="5"/>
    <x v="14"/>
  </r>
  <r>
    <n v="28"/>
    <x v="6"/>
    <x v="14"/>
  </r>
  <r>
    <n v="28"/>
    <x v="6"/>
    <x v="14"/>
  </r>
  <r>
    <n v="28"/>
    <x v="5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28"/>
    <x v="0"/>
    <x v="14"/>
  </r>
  <r>
    <n v="43"/>
    <x v="6"/>
    <x v="13"/>
  </r>
  <r>
    <n v="43"/>
    <x v="2"/>
    <x v="13"/>
  </r>
  <r>
    <n v="43"/>
    <x v="6"/>
    <x v="13"/>
  </r>
  <r>
    <n v="43"/>
    <x v="2"/>
    <x v="13"/>
  </r>
  <r>
    <n v="43"/>
    <x v="6"/>
    <x v="13"/>
  </r>
  <r>
    <n v="43"/>
    <x v="0"/>
    <x v="13"/>
  </r>
  <r>
    <n v="43"/>
    <x v="2"/>
    <x v="13"/>
  </r>
  <r>
    <n v="43"/>
    <x v="6"/>
    <x v="13"/>
  </r>
  <r>
    <n v="43"/>
    <x v="6"/>
    <x v="13"/>
  </r>
  <r>
    <n v="43"/>
    <x v="4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5"/>
    <x v="13"/>
  </r>
  <r>
    <n v="43"/>
    <x v="5"/>
    <x v="13"/>
  </r>
  <r>
    <n v="41"/>
    <x v="3"/>
    <x v="18"/>
  </r>
  <r>
    <n v="146"/>
    <x v="3"/>
    <x v="22"/>
  </r>
  <r>
    <n v="147"/>
    <x v="3"/>
    <x v="21"/>
  </r>
  <r>
    <n v="147"/>
    <x v="3"/>
    <x v="21"/>
  </r>
  <r>
    <n v="41"/>
    <x v="3"/>
    <x v="18"/>
  </r>
  <r>
    <n v="24"/>
    <x v="6"/>
    <x v="12"/>
  </r>
  <r>
    <n v="24"/>
    <x v="6"/>
    <x v="12"/>
  </r>
  <r>
    <n v="24"/>
    <x v="6"/>
    <x v="12"/>
  </r>
  <r>
    <n v="24"/>
    <x v="6"/>
    <x v="12"/>
  </r>
  <r>
    <n v="23"/>
    <x v="2"/>
    <x v="8"/>
  </r>
  <r>
    <n v="24"/>
    <x v="5"/>
    <x v="12"/>
  </r>
  <r>
    <n v="24"/>
    <x v="6"/>
    <x v="12"/>
  </r>
  <r>
    <n v="24"/>
    <x v="0"/>
    <x v="12"/>
  </r>
  <r>
    <n v="24"/>
    <x v="6"/>
    <x v="12"/>
  </r>
  <r>
    <n v="24"/>
    <x v="1"/>
    <x v="12"/>
  </r>
  <r>
    <n v="24"/>
    <x v="6"/>
    <x v="12"/>
  </r>
  <r>
    <n v="24"/>
    <x v="6"/>
    <x v="12"/>
  </r>
  <r>
    <n v="24"/>
    <x v="6"/>
    <x v="12"/>
  </r>
  <r>
    <n v="30"/>
    <x v="3"/>
    <x v="19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6"/>
    <x v="14"/>
  </r>
  <r>
    <n v="28"/>
    <x v="5"/>
    <x v="14"/>
  </r>
  <r>
    <n v="28"/>
    <x v="5"/>
    <x v="14"/>
  </r>
  <r>
    <n v="28"/>
    <x v="5"/>
    <x v="14"/>
  </r>
  <r>
    <n v="28"/>
    <x v="6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28"/>
    <x v="5"/>
    <x v="14"/>
  </r>
  <r>
    <n v="147"/>
    <x v="3"/>
    <x v="21"/>
  </r>
  <r>
    <n v="23"/>
    <x v="5"/>
    <x v="8"/>
  </r>
  <r>
    <n v="23"/>
    <x v="5"/>
    <x v="8"/>
  </r>
  <r>
    <n v="23"/>
    <x v="5"/>
    <x v="8"/>
  </r>
  <r>
    <n v="25"/>
    <x v="6"/>
    <x v="11"/>
  </r>
  <r>
    <n v="21"/>
    <x v="5"/>
    <x v="6"/>
  </r>
  <r>
    <n v="24"/>
    <x v="5"/>
    <x v="12"/>
  </r>
  <r>
    <n v="23"/>
    <x v="5"/>
    <x v="8"/>
  </r>
  <r>
    <n v="146"/>
    <x v="3"/>
    <x v="22"/>
  </r>
  <r>
    <n v="24"/>
    <x v="1"/>
    <x v="12"/>
  </r>
  <r>
    <n v="24"/>
    <x v="0"/>
    <x v="12"/>
  </r>
  <r>
    <n v="24"/>
    <x v="0"/>
    <x v="12"/>
  </r>
  <r>
    <n v="24"/>
    <x v="3"/>
    <x v="12"/>
  </r>
  <r>
    <n v="23"/>
    <x v="3"/>
    <x v="8"/>
  </r>
  <r>
    <n v="24"/>
    <x v="0"/>
    <x v="12"/>
  </r>
  <r>
    <n v="24"/>
    <x v="1"/>
    <x v="12"/>
  </r>
  <r>
    <n v="24"/>
    <x v="0"/>
    <x v="12"/>
  </r>
  <r>
    <n v="24"/>
    <x v="1"/>
    <x v="12"/>
  </r>
  <r>
    <n v="24"/>
    <x v="0"/>
    <x v="12"/>
  </r>
  <r>
    <n v="24"/>
    <x v="0"/>
    <x v="12"/>
  </r>
  <r>
    <n v="24"/>
    <x v="0"/>
    <x v="12"/>
  </r>
  <r>
    <n v="24"/>
    <x v="1"/>
    <x v="12"/>
  </r>
  <r>
    <n v="24"/>
    <x v="3"/>
    <x v="12"/>
  </r>
  <r>
    <n v="24"/>
    <x v="0"/>
    <x v="12"/>
  </r>
  <r>
    <n v="24"/>
    <x v="1"/>
    <x v="12"/>
  </r>
  <r>
    <n v="24"/>
    <x v="0"/>
    <x v="12"/>
  </r>
  <r>
    <n v="24"/>
    <x v="0"/>
    <x v="12"/>
  </r>
  <r>
    <n v="24"/>
    <x v="0"/>
    <x v="12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2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25"/>
    <x v="6"/>
    <x v="11"/>
  </r>
  <r>
    <n v="25"/>
    <x v="5"/>
    <x v="11"/>
  </r>
  <r>
    <n v="25"/>
    <x v="5"/>
    <x v="11"/>
  </r>
  <r>
    <n v="25"/>
    <x v="5"/>
    <x v="11"/>
  </r>
  <r>
    <n v="25"/>
    <x v="5"/>
    <x v="11"/>
  </r>
  <r>
    <n v="38"/>
    <x v="6"/>
    <x v="10"/>
  </r>
  <r>
    <n v="38"/>
    <x v="1"/>
    <x v="10"/>
  </r>
  <r>
    <n v="38"/>
    <x v="2"/>
    <x v="10"/>
  </r>
  <r>
    <n v="38"/>
    <x v="6"/>
    <x v="10"/>
  </r>
  <r>
    <n v="38"/>
    <x v="6"/>
    <x v="10"/>
  </r>
  <r>
    <n v="38"/>
    <x v="2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6"/>
    <x v="10"/>
  </r>
  <r>
    <n v="38"/>
    <x v="1"/>
    <x v="10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41"/>
    <x v="1"/>
    <x v="18"/>
  </r>
  <r>
    <n v="41"/>
    <x v="1"/>
    <x v="18"/>
  </r>
  <r>
    <n v="41"/>
    <x v="1"/>
    <x v="18"/>
  </r>
  <r>
    <n v="146"/>
    <x v="1"/>
    <x v="22"/>
  </r>
  <r>
    <n v="41"/>
    <x v="1"/>
    <x v="18"/>
  </r>
  <r>
    <n v="41"/>
    <x v="1"/>
    <x v="18"/>
  </r>
  <r>
    <n v="41"/>
    <x v="1"/>
    <x v="18"/>
  </r>
  <r>
    <n v="41"/>
    <x v="3"/>
    <x v="18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2"/>
    <x v="16"/>
  </r>
  <r>
    <n v="27"/>
    <x v="6"/>
    <x v="16"/>
  </r>
  <r>
    <n v="27"/>
    <x v="6"/>
    <x v="16"/>
  </r>
  <r>
    <n v="27"/>
    <x v="6"/>
    <x v="16"/>
  </r>
  <r>
    <n v="43"/>
    <x v="5"/>
    <x v="13"/>
  </r>
  <r>
    <n v="43"/>
    <x v="5"/>
    <x v="13"/>
  </r>
  <r>
    <n v="43"/>
    <x v="5"/>
    <x v="13"/>
  </r>
  <r>
    <n v="43"/>
    <x v="6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6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5"/>
    <x v="13"/>
  </r>
  <r>
    <n v="43"/>
    <x v="4"/>
    <x v="13"/>
  </r>
  <r>
    <n v="43"/>
    <x v="5"/>
    <x v="13"/>
  </r>
  <r>
    <n v="43"/>
    <x v="5"/>
    <x v="13"/>
  </r>
  <r>
    <n v="43"/>
    <x v="6"/>
    <x v="13"/>
  </r>
  <r>
    <n v="43"/>
    <x v="5"/>
    <x v="13"/>
  </r>
  <r>
    <n v="43"/>
    <x v="5"/>
    <x v="13"/>
  </r>
  <r>
    <n v="38"/>
    <x v="3"/>
    <x v="10"/>
  </r>
  <r>
    <n v="38"/>
    <x v="3"/>
    <x v="10"/>
  </r>
  <r>
    <n v="38"/>
    <x v="3"/>
    <x v="10"/>
  </r>
  <r>
    <n v="38"/>
    <x v="3"/>
    <x v="10"/>
  </r>
  <r>
    <n v="38"/>
    <x v="3"/>
    <x v="10"/>
  </r>
  <r>
    <n v="38"/>
    <x v="3"/>
    <x v="10"/>
  </r>
  <r>
    <n v="38"/>
    <x v="3"/>
    <x v="10"/>
  </r>
  <r>
    <n v="38"/>
    <x v="3"/>
    <x v="10"/>
  </r>
  <r>
    <n v="21"/>
    <x v="6"/>
    <x v="6"/>
  </r>
  <r>
    <n v="21"/>
    <x v="6"/>
    <x v="6"/>
  </r>
  <r>
    <n v="24"/>
    <x v="5"/>
    <x v="12"/>
  </r>
  <r>
    <n v="23"/>
    <x v="5"/>
    <x v="8"/>
  </r>
  <r>
    <n v="21"/>
    <x v="6"/>
    <x v="6"/>
  </r>
  <r>
    <n v="21"/>
    <x v="6"/>
    <x v="6"/>
  </r>
  <r>
    <n v="21"/>
    <x v="5"/>
    <x v="6"/>
  </r>
  <r>
    <n v="38"/>
    <x v="3"/>
    <x v="10"/>
  </r>
  <r>
    <n v="21"/>
    <x v="6"/>
    <x v="6"/>
  </r>
  <r>
    <n v="24"/>
    <x v="5"/>
    <x v="12"/>
  </r>
  <r>
    <n v="38"/>
    <x v="3"/>
    <x v="10"/>
  </r>
  <r>
    <n v="38"/>
    <x v="3"/>
    <x v="10"/>
  </r>
  <r>
    <n v="21"/>
    <x v="6"/>
    <x v="6"/>
  </r>
  <r>
    <n v="21"/>
    <x v="6"/>
    <x v="6"/>
  </r>
  <r>
    <n v="38"/>
    <x v="3"/>
    <x v="10"/>
  </r>
  <r>
    <n v="21"/>
    <x v="5"/>
    <x v="6"/>
  </r>
  <r>
    <n v="23"/>
    <x v="5"/>
    <x v="8"/>
  </r>
  <r>
    <n v="21"/>
    <x v="2"/>
    <x v="6"/>
  </r>
  <r>
    <n v="31"/>
    <x v="3"/>
    <x v="4"/>
  </r>
  <r>
    <n v="38"/>
    <x v="3"/>
    <x v="10"/>
  </r>
  <r>
    <n v="38"/>
    <x v="3"/>
    <x v="10"/>
  </r>
  <r>
    <n v="38"/>
    <x v="3"/>
    <x v="10"/>
  </r>
  <r>
    <n v="22"/>
    <x v="6"/>
    <x v="9"/>
  </r>
  <r>
    <n v="24"/>
    <x v="5"/>
    <x v="12"/>
  </r>
  <r>
    <n v="38"/>
    <x v="3"/>
    <x v="10"/>
  </r>
  <r>
    <n v="28"/>
    <x v="6"/>
    <x v="14"/>
  </r>
  <r>
    <n v="28"/>
    <x v="6"/>
    <x v="14"/>
  </r>
  <r>
    <n v="28"/>
    <x v="6"/>
    <x v="14"/>
  </r>
  <r>
    <n v="28"/>
    <x v="6"/>
    <x v="14"/>
  </r>
  <r>
    <n v="29"/>
    <x v="0"/>
    <x v="23"/>
  </r>
  <r>
    <n v="28"/>
    <x v="6"/>
    <x v="14"/>
  </r>
  <r>
    <n v="28"/>
    <x v="6"/>
    <x v="14"/>
  </r>
  <r>
    <n v="24"/>
    <x v="5"/>
    <x v="12"/>
  </r>
  <r>
    <n v="28"/>
    <x v="6"/>
    <x v="14"/>
  </r>
  <r>
    <n v="28"/>
    <x v="6"/>
    <x v="14"/>
  </r>
  <r>
    <n v="29"/>
    <x v="5"/>
    <x v="23"/>
  </r>
  <r>
    <n v="29"/>
    <x v="5"/>
    <x v="23"/>
  </r>
  <r>
    <n v="29"/>
    <x v="5"/>
    <x v="23"/>
  </r>
  <r>
    <n v="29"/>
    <x v="5"/>
    <x v="23"/>
  </r>
  <r>
    <n v="30"/>
    <x v="3"/>
    <x v="19"/>
  </r>
  <r>
    <n v="29"/>
    <x v="6"/>
    <x v="23"/>
  </r>
  <r>
    <n v="29"/>
    <x v="5"/>
    <x v="23"/>
  </r>
  <r>
    <n v="29"/>
    <x v="5"/>
    <x v="23"/>
  </r>
  <r>
    <n v="29"/>
    <x v="5"/>
    <x v="23"/>
  </r>
  <r>
    <n v="29"/>
    <x v="5"/>
    <x v="23"/>
  </r>
  <r>
    <n v="29"/>
    <x v="5"/>
    <x v="23"/>
  </r>
  <r>
    <n v="28"/>
    <x v="6"/>
    <x v="14"/>
  </r>
  <r>
    <n v="28"/>
    <x v="6"/>
    <x v="14"/>
  </r>
  <r>
    <n v="28"/>
    <x v="0"/>
    <x v="14"/>
  </r>
  <r>
    <n v="28"/>
    <x v="6"/>
    <x v="14"/>
  </r>
  <r>
    <n v="20"/>
    <x v="6"/>
    <x v="5"/>
  </r>
  <r>
    <n v="20"/>
    <x v="2"/>
    <x v="5"/>
  </r>
  <r>
    <n v="20"/>
    <x v="2"/>
    <x v="5"/>
  </r>
  <r>
    <n v="20"/>
    <x v="0"/>
    <x v="5"/>
  </r>
  <r>
    <n v="20"/>
    <x v="2"/>
    <x v="5"/>
  </r>
  <r>
    <n v="30"/>
    <x v="3"/>
    <x v="19"/>
  </r>
  <r>
    <n v="30"/>
    <x v="3"/>
    <x v="19"/>
  </r>
  <r>
    <n v="30"/>
    <x v="3"/>
    <x v="19"/>
  </r>
  <r>
    <n v="30"/>
    <x v="3"/>
    <x v="19"/>
  </r>
  <r>
    <n v="30"/>
    <x v="3"/>
    <x v="19"/>
  </r>
  <r>
    <n v="30"/>
    <x v="3"/>
    <x v="19"/>
  </r>
  <r>
    <n v="30"/>
    <x v="1"/>
    <x v="19"/>
  </r>
  <r>
    <n v="30"/>
    <x v="3"/>
    <x v="19"/>
  </r>
  <r>
    <n v="30"/>
    <x v="3"/>
    <x v="19"/>
  </r>
  <r>
    <n v="30"/>
    <x v="3"/>
    <x v="19"/>
  </r>
  <r>
    <n v="43"/>
    <x v="2"/>
    <x v="13"/>
  </r>
  <r>
    <n v="43"/>
    <x v="2"/>
    <x v="13"/>
  </r>
  <r>
    <n v="43"/>
    <x v="0"/>
    <x v="13"/>
  </r>
  <r>
    <n v="43"/>
    <x v="6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43"/>
    <x v="2"/>
    <x v="13"/>
  </r>
  <r>
    <n v="24"/>
    <x v="3"/>
    <x v="12"/>
  </r>
  <r>
    <n v="24"/>
    <x v="3"/>
    <x v="12"/>
  </r>
  <r>
    <n v="24"/>
    <x v="3"/>
    <x v="12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4"/>
    <x v="13"/>
  </r>
  <r>
    <n v="43"/>
    <x v="5"/>
    <x v="13"/>
  </r>
  <r>
    <n v="28"/>
    <x v="4"/>
    <x v="14"/>
  </r>
  <r>
    <n v="27"/>
    <x v="4"/>
    <x v="16"/>
  </r>
  <r>
    <n v="27"/>
    <x v="5"/>
    <x v="16"/>
  </r>
  <r>
    <n v="27"/>
    <x v="4"/>
    <x v="16"/>
  </r>
  <r>
    <n v="27"/>
    <x v="4"/>
    <x v="16"/>
  </r>
  <r>
    <n v="43"/>
    <x v="4"/>
    <x v="13"/>
  </r>
  <r>
    <n v="28"/>
    <x v="4"/>
    <x v="14"/>
  </r>
  <r>
    <n v="27"/>
    <x v="4"/>
    <x v="16"/>
  </r>
  <r>
    <n v="27"/>
    <x v="5"/>
    <x v="16"/>
  </r>
  <r>
    <n v="27"/>
    <x v="4"/>
    <x v="16"/>
  </r>
  <r>
    <n v="27"/>
    <x v="5"/>
    <x v="16"/>
  </r>
  <r>
    <n v="26"/>
    <x v="4"/>
    <x v="17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2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6"/>
    <x v="16"/>
  </r>
  <r>
    <n v="27"/>
    <x v="5"/>
    <x v="16"/>
  </r>
  <r>
    <n v="27"/>
    <x v="2"/>
    <x v="16"/>
  </r>
  <r>
    <n v="27"/>
    <x v="4"/>
    <x v="16"/>
  </r>
  <r>
    <n v="26"/>
    <x v="4"/>
    <x v="17"/>
  </r>
  <r>
    <n v="28"/>
    <x v="4"/>
    <x v="14"/>
  </r>
  <r>
    <n v="40"/>
    <x v="4"/>
    <x v="2"/>
  </r>
  <r>
    <n v="38"/>
    <x v="3"/>
    <x v="10"/>
  </r>
  <r>
    <n v="40"/>
    <x v="4"/>
    <x v="2"/>
  </r>
  <r>
    <n v="40"/>
    <x v="4"/>
    <x v="2"/>
  </r>
  <r>
    <n v="40"/>
    <x v="4"/>
    <x v="2"/>
  </r>
  <r>
    <n v="40"/>
    <x v="4"/>
    <x v="2"/>
  </r>
  <r>
    <n v="40"/>
    <x v="5"/>
    <x v="2"/>
  </r>
  <r>
    <n v="40"/>
    <x v="4"/>
    <x v="2"/>
  </r>
  <r>
    <n v="40"/>
    <x v="5"/>
    <x v="2"/>
  </r>
  <r>
    <n v="40"/>
    <x v="4"/>
    <x v="2"/>
  </r>
  <r>
    <n v="43"/>
    <x v="0"/>
    <x v="13"/>
  </r>
  <r>
    <n v="43"/>
    <x v="1"/>
    <x v="13"/>
  </r>
  <r>
    <n v="43"/>
    <x v="0"/>
    <x v="13"/>
  </r>
  <r>
    <n v="43"/>
    <x v="1"/>
    <x v="13"/>
  </r>
  <r>
    <n v="43"/>
    <x v="0"/>
    <x v="13"/>
  </r>
  <r>
    <n v="43"/>
    <x v="1"/>
    <x v="13"/>
  </r>
  <r>
    <n v="43"/>
    <x v="1"/>
    <x v="13"/>
  </r>
  <r>
    <n v="43"/>
    <x v="1"/>
    <x v="13"/>
  </r>
  <r>
    <n v="43"/>
    <x v="1"/>
    <x v="13"/>
  </r>
  <r>
    <n v="43"/>
    <x v="0"/>
    <x v="13"/>
  </r>
  <r>
    <n v="43"/>
    <x v="1"/>
    <x v="13"/>
  </r>
  <r>
    <n v="43"/>
    <x v="1"/>
    <x v="13"/>
  </r>
  <r>
    <n v="43"/>
    <x v="0"/>
    <x v="13"/>
  </r>
  <r>
    <n v="43"/>
    <x v="1"/>
    <x v="13"/>
  </r>
  <r>
    <n v="43"/>
    <x v="0"/>
    <x v="13"/>
  </r>
  <r>
    <n v="43"/>
    <x v="3"/>
    <x v="13"/>
  </r>
  <r>
    <n v="43"/>
    <x v="1"/>
    <x v="13"/>
  </r>
  <r>
    <n v="43"/>
    <x v="1"/>
    <x v="13"/>
  </r>
  <r>
    <n v="43"/>
    <x v="1"/>
    <x v="13"/>
  </r>
  <r>
    <n v="43"/>
    <x v="1"/>
    <x v="13"/>
  </r>
  <r>
    <n v="40"/>
    <x v="4"/>
    <x v="2"/>
  </r>
  <r>
    <n v="40"/>
    <x v="6"/>
    <x v="2"/>
  </r>
  <r>
    <n v="40"/>
    <x v="5"/>
    <x v="2"/>
  </r>
  <r>
    <n v="40"/>
    <x v="4"/>
    <x v="2"/>
  </r>
  <r>
    <n v="40"/>
    <x v="6"/>
    <x v="2"/>
  </r>
  <r>
    <n v="24"/>
    <x v="3"/>
    <x v="12"/>
  </r>
  <r>
    <n v="24"/>
    <x v="3"/>
    <x v="12"/>
  </r>
  <r>
    <n v="41"/>
    <x v="0"/>
    <x v="18"/>
  </r>
  <r>
    <n v="40"/>
    <x v="6"/>
    <x v="2"/>
  </r>
  <r>
    <n v="28"/>
    <x v="3"/>
    <x v="14"/>
  </r>
  <r>
    <n v="28"/>
    <x v="0"/>
    <x v="14"/>
  </r>
  <r>
    <n v="28"/>
    <x v="0"/>
    <x v="14"/>
  </r>
  <r>
    <n v="28"/>
    <x v="5"/>
    <x v="14"/>
  </r>
  <r>
    <n v="28"/>
    <x v="0"/>
    <x v="14"/>
  </r>
  <r>
    <n v="28"/>
    <x v="6"/>
    <x v="14"/>
  </r>
  <r>
    <n v="28"/>
    <x v="0"/>
    <x v="14"/>
  </r>
  <r>
    <n v="36"/>
    <x v="2"/>
    <x v="7"/>
  </r>
  <r>
    <n v="36"/>
    <x v="6"/>
    <x v="7"/>
  </r>
  <r>
    <n v="36"/>
    <x v="6"/>
    <x v="7"/>
  </r>
  <r>
    <n v="36"/>
    <x v="6"/>
    <x v="7"/>
  </r>
  <r>
    <n v="36"/>
    <x v="6"/>
    <x v="7"/>
  </r>
  <r>
    <n v="36"/>
    <x v="6"/>
    <x v="7"/>
  </r>
  <r>
    <n v="36"/>
    <x v="6"/>
    <x v="7"/>
  </r>
  <r>
    <n v="36"/>
    <x v="6"/>
    <x v="7"/>
  </r>
  <r>
    <n v="36"/>
    <x v="6"/>
    <x v="7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6"/>
    <x v="10"/>
  </r>
  <r>
    <n v="38"/>
    <x v="4"/>
    <x v="10"/>
  </r>
  <r>
    <n v="38"/>
    <x v="4"/>
    <x v="10"/>
  </r>
  <r>
    <n v="38"/>
    <x v="4"/>
    <x v="10"/>
  </r>
  <r>
    <n v="38"/>
    <x v="4"/>
    <x v="10"/>
  </r>
  <r>
    <n v="38"/>
    <x v="5"/>
    <x v="10"/>
  </r>
  <r>
    <n v="26"/>
    <x v="3"/>
    <x v="17"/>
  </r>
  <r>
    <n v="26"/>
    <x v="3"/>
    <x v="17"/>
  </r>
  <r>
    <n v="26"/>
    <x v="1"/>
    <x v="17"/>
  </r>
  <r>
    <n v="26"/>
    <x v="0"/>
    <x v="17"/>
  </r>
  <r>
    <n v="26"/>
    <x v="3"/>
    <x v="17"/>
  </r>
  <r>
    <n v="26"/>
    <x v="0"/>
    <x v="17"/>
  </r>
  <r>
    <n v="26"/>
    <x v="0"/>
    <x v="17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27"/>
    <x v="3"/>
    <x v="16"/>
  </r>
  <r>
    <n v="36"/>
    <x v="5"/>
    <x v="7"/>
  </r>
  <r>
    <n v="36"/>
    <x v="5"/>
    <x v="7"/>
  </r>
  <r>
    <n v="36"/>
    <x v="5"/>
    <x v="7"/>
  </r>
  <r>
    <n v="36"/>
    <x v="4"/>
    <x v="7"/>
  </r>
  <r>
    <n v="27"/>
    <x v="3"/>
    <x v="16"/>
  </r>
  <r>
    <n v="27"/>
    <x v="3"/>
    <x v="16"/>
  </r>
  <r>
    <n v="36"/>
    <x v="5"/>
    <x v="7"/>
  </r>
  <r>
    <n v="27"/>
    <x v="3"/>
    <x v="16"/>
  </r>
  <r>
    <n v="27"/>
    <x v="3"/>
    <x v="16"/>
  </r>
  <r>
    <n v="27"/>
    <x v="3"/>
    <x v="16"/>
  </r>
  <r>
    <n v="24"/>
    <x v="5"/>
    <x v="12"/>
  </r>
  <r>
    <n v="24"/>
    <x v="6"/>
    <x v="12"/>
  </r>
  <r>
    <n v="24"/>
    <x v="5"/>
    <x v="12"/>
  </r>
  <r>
    <n v="24"/>
    <x v="6"/>
    <x v="12"/>
  </r>
  <r>
    <n v="24"/>
    <x v="6"/>
    <x v="12"/>
  </r>
  <r>
    <n v="24"/>
    <x v="6"/>
    <x v="12"/>
  </r>
  <r>
    <n v="24"/>
    <x v="2"/>
    <x v="12"/>
  </r>
  <r>
    <n v="24"/>
    <x v="5"/>
    <x v="12"/>
  </r>
  <r>
    <n v="24"/>
    <x v="2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36"/>
    <x v="5"/>
    <x v="7"/>
  </r>
  <r>
    <n v="24"/>
    <x v="6"/>
    <x v="12"/>
  </r>
  <r>
    <n v="36"/>
    <x v="2"/>
    <x v="7"/>
  </r>
  <r>
    <n v="30"/>
    <x v="6"/>
    <x v="19"/>
  </r>
  <r>
    <n v="30"/>
    <x v="6"/>
    <x v="19"/>
  </r>
  <r>
    <n v="30"/>
    <x v="6"/>
    <x v="19"/>
  </r>
  <r>
    <n v="30"/>
    <x v="6"/>
    <x v="19"/>
  </r>
  <r>
    <n v="30"/>
    <x v="6"/>
    <x v="19"/>
  </r>
  <r>
    <n v="30"/>
    <x v="6"/>
    <x v="19"/>
  </r>
  <r>
    <n v="29"/>
    <x v="3"/>
    <x v="23"/>
  </r>
  <r>
    <n v="30"/>
    <x v="5"/>
    <x v="19"/>
  </r>
  <r>
    <n v="30"/>
    <x v="6"/>
    <x v="19"/>
  </r>
  <r>
    <n v="30"/>
    <x v="6"/>
    <x v="19"/>
  </r>
  <r>
    <n v="30"/>
    <x v="6"/>
    <x v="19"/>
  </r>
  <r>
    <n v="30"/>
    <x v="6"/>
    <x v="19"/>
  </r>
  <r>
    <n v="30"/>
    <x v="6"/>
    <x v="19"/>
  </r>
  <r>
    <n v="30"/>
    <x v="6"/>
    <x v="19"/>
  </r>
  <r>
    <n v="30"/>
    <x v="2"/>
    <x v="19"/>
  </r>
  <r>
    <n v="26"/>
    <x v="4"/>
    <x v="17"/>
  </r>
  <r>
    <n v="28"/>
    <x v="4"/>
    <x v="14"/>
  </r>
  <r>
    <n v="28"/>
    <x v="4"/>
    <x v="14"/>
  </r>
  <r>
    <n v="27"/>
    <x v="4"/>
    <x v="16"/>
  </r>
  <r>
    <n v="26"/>
    <x v="4"/>
    <x v="17"/>
  </r>
  <r>
    <n v="27"/>
    <x v="4"/>
    <x v="16"/>
  </r>
  <r>
    <n v="26"/>
    <x v="4"/>
    <x v="17"/>
  </r>
  <r>
    <n v="28"/>
    <x v="4"/>
    <x v="14"/>
  </r>
  <r>
    <n v="26"/>
    <x v="4"/>
    <x v="17"/>
  </r>
  <r>
    <n v="28"/>
    <x v="4"/>
    <x v="14"/>
  </r>
  <r>
    <n v="27"/>
    <x v="4"/>
    <x v="16"/>
  </r>
  <r>
    <n v="28"/>
    <x v="4"/>
    <x v="14"/>
  </r>
  <r>
    <n v="26"/>
    <x v="4"/>
    <x v="17"/>
  </r>
  <r>
    <n v="26"/>
    <x v="4"/>
    <x v="17"/>
  </r>
  <r>
    <n v="27"/>
    <x v="4"/>
    <x v="16"/>
  </r>
  <r>
    <n v="27"/>
    <x v="4"/>
    <x v="16"/>
  </r>
  <r>
    <n v="27"/>
    <x v="6"/>
    <x v="16"/>
  </r>
  <r>
    <n v="28"/>
    <x v="4"/>
    <x v="14"/>
  </r>
  <r>
    <n v="27"/>
    <x v="4"/>
    <x v="16"/>
  </r>
  <r>
    <n v="27"/>
    <x v="4"/>
    <x v="16"/>
  </r>
  <r>
    <n v="27"/>
    <x v="4"/>
    <x v="16"/>
  </r>
  <r>
    <n v="27"/>
    <x v="4"/>
    <x v="16"/>
  </r>
  <r>
    <n v="28"/>
    <x v="4"/>
    <x v="14"/>
  </r>
  <r>
    <n v="27"/>
    <x v="4"/>
    <x v="16"/>
  </r>
  <r>
    <n v="26"/>
    <x v="5"/>
    <x v="17"/>
  </r>
  <r>
    <n v="21"/>
    <x v="1"/>
    <x v="6"/>
  </r>
  <r>
    <n v="21"/>
    <x v="0"/>
    <x v="6"/>
  </r>
  <r>
    <n v="21"/>
    <x v="1"/>
    <x v="6"/>
  </r>
  <r>
    <n v="21"/>
    <x v="1"/>
    <x v="6"/>
  </r>
  <r>
    <n v="21"/>
    <x v="1"/>
    <x v="6"/>
  </r>
  <r>
    <n v="22"/>
    <x v="1"/>
    <x v="9"/>
  </r>
  <r>
    <n v="21"/>
    <x v="1"/>
    <x v="6"/>
  </r>
  <r>
    <n v="21"/>
    <x v="1"/>
    <x v="6"/>
  </r>
  <r>
    <n v="21"/>
    <x v="1"/>
    <x v="6"/>
  </r>
  <r>
    <n v="21"/>
    <x v="1"/>
    <x v="6"/>
  </r>
  <r>
    <n v="21"/>
    <x v="1"/>
    <x v="6"/>
  </r>
  <r>
    <n v="21"/>
    <x v="1"/>
    <x v="6"/>
  </r>
  <r>
    <n v="21"/>
    <x v="1"/>
    <x v="6"/>
  </r>
  <r>
    <n v="21"/>
    <x v="1"/>
    <x v="6"/>
  </r>
  <r>
    <n v="21"/>
    <x v="3"/>
    <x v="6"/>
  </r>
  <r>
    <n v="21"/>
    <x v="1"/>
    <x v="6"/>
  </r>
  <r>
    <n v="27"/>
    <x v="2"/>
    <x v="16"/>
  </r>
  <r>
    <n v="27"/>
    <x v="2"/>
    <x v="16"/>
  </r>
  <r>
    <n v="27"/>
    <x v="2"/>
    <x v="16"/>
  </r>
  <r>
    <n v="28"/>
    <x v="2"/>
    <x v="14"/>
  </r>
  <r>
    <n v="27"/>
    <x v="2"/>
    <x v="16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40"/>
    <x v="4"/>
    <x v="2"/>
  </r>
  <r>
    <n v="27"/>
    <x v="2"/>
    <x v="16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36"/>
    <x v="4"/>
    <x v="7"/>
  </r>
  <r>
    <n v="24"/>
    <x v="1"/>
    <x v="12"/>
  </r>
  <r>
    <n v="24"/>
    <x v="0"/>
    <x v="12"/>
  </r>
  <r>
    <n v="24"/>
    <x v="1"/>
    <x v="12"/>
  </r>
  <r>
    <n v="24"/>
    <x v="1"/>
    <x v="12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38"/>
    <x v="0"/>
    <x v="10"/>
  </r>
  <r>
    <n v="27"/>
    <x v="2"/>
    <x v="16"/>
  </r>
  <r>
    <n v="27"/>
    <x v="5"/>
    <x v="16"/>
  </r>
  <r>
    <n v="27"/>
    <x v="5"/>
    <x v="16"/>
  </r>
  <r>
    <n v="27"/>
    <x v="4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27"/>
    <x v="5"/>
    <x v="16"/>
  </r>
  <r>
    <n v="31"/>
    <x v="7"/>
    <x v="4"/>
  </r>
  <r>
    <n v="41"/>
    <x v="3"/>
    <x v="18"/>
  </r>
  <r>
    <n v="41"/>
    <x v="3"/>
    <x v="18"/>
  </r>
  <r>
    <n v="41"/>
    <x v="3"/>
    <x v="18"/>
  </r>
  <r>
    <n v="41"/>
    <x v="3"/>
    <x v="18"/>
  </r>
  <r>
    <n v="41"/>
    <x v="3"/>
    <x v="18"/>
  </r>
  <r>
    <n v="41"/>
    <x v="3"/>
    <x v="18"/>
  </r>
  <r>
    <n v="27"/>
    <x v="4"/>
    <x v="16"/>
  </r>
  <r>
    <n v="41"/>
    <x v="3"/>
    <x v="18"/>
  </r>
  <r>
    <n v="41"/>
    <x v="3"/>
    <x v="18"/>
  </r>
  <r>
    <n v="41"/>
    <x v="3"/>
    <x v="18"/>
  </r>
  <r>
    <n v="41"/>
    <x v="3"/>
    <x v="18"/>
  </r>
  <r>
    <n v="41"/>
    <x v="3"/>
    <x v="18"/>
  </r>
  <r>
    <n v="41"/>
    <x v="3"/>
    <x v="18"/>
  </r>
  <r>
    <n v="41"/>
    <x v="3"/>
    <x v="18"/>
  </r>
  <r>
    <n v="24"/>
    <x v="0"/>
    <x v="12"/>
  </r>
  <r>
    <n v="24"/>
    <x v="0"/>
    <x v="12"/>
  </r>
  <r>
    <n v="24"/>
    <x v="1"/>
    <x v="12"/>
  </r>
  <r>
    <n v="24"/>
    <x v="0"/>
    <x v="12"/>
  </r>
  <r>
    <n v="21"/>
    <x v="6"/>
    <x v="6"/>
  </r>
  <r>
    <n v="21"/>
    <x v="6"/>
    <x v="6"/>
  </r>
  <r>
    <n v="21"/>
    <x v="6"/>
    <x v="6"/>
  </r>
  <r>
    <n v="21"/>
    <x v="6"/>
    <x v="6"/>
  </r>
  <r>
    <n v="21"/>
    <x v="2"/>
    <x v="6"/>
  </r>
  <r>
    <n v="24"/>
    <x v="0"/>
    <x v="12"/>
  </r>
  <r>
    <n v="24"/>
    <x v="0"/>
    <x v="12"/>
  </r>
  <r>
    <n v="21"/>
    <x v="6"/>
    <x v="6"/>
  </r>
  <r>
    <n v="21"/>
    <x v="6"/>
    <x v="6"/>
  </r>
  <r>
    <n v="21"/>
    <x v="6"/>
    <x v="6"/>
  </r>
  <r>
    <n v="21"/>
    <x v="2"/>
    <x v="6"/>
  </r>
  <r>
    <n v="21"/>
    <x v="6"/>
    <x v="6"/>
  </r>
  <r>
    <n v="21"/>
    <x v="6"/>
    <x v="6"/>
  </r>
  <r>
    <n v="21"/>
    <x v="1"/>
    <x v="6"/>
  </r>
  <r>
    <n v="29"/>
    <x v="1"/>
    <x v="23"/>
  </r>
  <r>
    <n v="29"/>
    <x v="1"/>
    <x v="23"/>
  </r>
  <r>
    <n v="29"/>
    <x v="1"/>
    <x v="23"/>
  </r>
  <r>
    <n v="28"/>
    <x v="0"/>
    <x v="14"/>
  </r>
  <r>
    <n v="29"/>
    <x v="6"/>
    <x v="23"/>
  </r>
  <r>
    <n v="29"/>
    <x v="5"/>
    <x v="23"/>
  </r>
  <r>
    <n v="29"/>
    <x v="6"/>
    <x v="23"/>
  </r>
  <r>
    <n v="29"/>
    <x v="6"/>
    <x v="23"/>
  </r>
  <r>
    <n v="29"/>
    <x v="6"/>
    <x v="23"/>
  </r>
  <r>
    <n v="29"/>
    <x v="2"/>
    <x v="23"/>
  </r>
  <r>
    <n v="29"/>
    <x v="6"/>
    <x v="23"/>
  </r>
  <r>
    <n v="29"/>
    <x v="6"/>
    <x v="23"/>
  </r>
  <r>
    <n v="29"/>
    <x v="6"/>
    <x v="23"/>
  </r>
  <r>
    <n v="29"/>
    <x v="5"/>
    <x v="23"/>
  </r>
  <r>
    <n v="29"/>
    <x v="6"/>
    <x v="23"/>
  </r>
  <r>
    <n v="29"/>
    <x v="6"/>
    <x v="23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42"/>
    <x v="8"/>
    <x v="25"/>
  </r>
  <r>
    <n v="24"/>
    <x v="2"/>
    <x v="12"/>
  </r>
  <r>
    <n v="24"/>
    <x v="2"/>
    <x v="12"/>
  </r>
  <r>
    <n v="24"/>
    <x v="2"/>
    <x v="12"/>
  </r>
  <r>
    <n v="24"/>
    <x v="2"/>
    <x v="12"/>
  </r>
  <r>
    <n v="24"/>
    <x v="2"/>
    <x v="12"/>
  </r>
  <r>
    <n v="24"/>
    <x v="2"/>
    <x v="12"/>
  </r>
  <r>
    <n v="24"/>
    <x v="0"/>
    <x v="12"/>
  </r>
  <r>
    <n v="24"/>
    <x v="2"/>
    <x v="12"/>
  </r>
  <r>
    <n v="24"/>
    <x v="2"/>
    <x v="12"/>
  </r>
  <r>
    <n v="24"/>
    <x v="0"/>
    <x v="12"/>
  </r>
  <r>
    <n v="24"/>
    <x v="2"/>
    <x v="12"/>
  </r>
  <r>
    <n v="24"/>
    <x v="0"/>
    <x v="12"/>
  </r>
  <r>
    <n v="24"/>
    <x v="0"/>
    <x v="12"/>
  </r>
  <r>
    <n v="24"/>
    <x v="2"/>
    <x v="12"/>
  </r>
  <r>
    <n v="24"/>
    <x v="0"/>
    <x v="12"/>
  </r>
  <r>
    <n v="21"/>
    <x v="6"/>
    <x v="6"/>
  </r>
  <r>
    <n v="20"/>
    <x v="3"/>
    <x v="5"/>
  </r>
  <r>
    <n v="20"/>
    <x v="0"/>
    <x v="5"/>
  </r>
  <r>
    <n v="38"/>
    <x v="0"/>
    <x v="10"/>
  </r>
  <r>
    <n v="38"/>
    <x v="0"/>
    <x v="10"/>
  </r>
  <r>
    <n v="38"/>
    <x v="2"/>
    <x v="10"/>
  </r>
  <r>
    <n v="38"/>
    <x v="0"/>
    <x v="10"/>
  </r>
  <r>
    <n v="38"/>
    <x v="0"/>
    <x v="10"/>
  </r>
  <r>
    <n v="38"/>
    <x v="2"/>
    <x v="10"/>
  </r>
  <r>
    <n v="39"/>
    <x v="5"/>
    <x v="0"/>
  </r>
  <r>
    <n v="38"/>
    <x v="2"/>
    <x v="10"/>
  </r>
  <r>
    <n v="38"/>
    <x v="0"/>
    <x v="10"/>
  </r>
  <r>
    <n v="38"/>
    <x v="1"/>
    <x v="10"/>
  </r>
  <r>
    <n v="21"/>
    <x v="5"/>
    <x v="6"/>
  </r>
  <r>
    <n v="21"/>
    <x v="6"/>
    <x v="6"/>
  </r>
  <r>
    <n v="21"/>
    <x v="6"/>
    <x v="6"/>
  </r>
  <r>
    <n v="21"/>
    <x v="5"/>
    <x v="6"/>
  </r>
  <r>
    <n v="21"/>
    <x v="5"/>
    <x v="6"/>
  </r>
  <r>
    <n v="21"/>
    <x v="5"/>
    <x v="6"/>
  </r>
  <r>
    <n v="20"/>
    <x v="2"/>
    <x v="5"/>
  </r>
  <r>
    <n v="25"/>
    <x v="0"/>
    <x v="11"/>
  </r>
  <r>
    <n v="25"/>
    <x v="6"/>
    <x v="11"/>
  </r>
  <r>
    <n v="25"/>
    <x v="2"/>
    <x v="11"/>
  </r>
  <r>
    <n v="25"/>
    <x v="6"/>
    <x v="11"/>
  </r>
  <r>
    <n v="25"/>
    <x v="2"/>
    <x v="11"/>
  </r>
  <r>
    <n v="25"/>
    <x v="6"/>
    <x v="11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2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43"/>
    <x v="6"/>
    <x v="13"/>
  </r>
  <r>
    <n v="20"/>
    <x v="3"/>
    <x v="5"/>
  </r>
  <r>
    <n v="20"/>
    <x v="3"/>
    <x v="5"/>
  </r>
  <r>
    <n v="20"/>
    <x v="3"/>
    <x v="5"/>
  </r>
  <r>
    <n v="20"/>
    <x v="3"/>
    <x v="5"/>
  </r>
  <r>
    <n v="20"/>
    <x v="3"/>
    <x v="5"/>
  </r>
  <r>
    <n v="20"/>
    <x v="3"/>
    <x v="5"/>
  </r>
  <r>
    <n v="31"/>
    <x v="7"/>
    <x v="4"/>
  </r>
  <r>
    <n v="31"/>
    <x v="3"/>
    <x v="4"/>
  </r>
  <r>
    <n v="31"/>
    <x v="6"/>
    <x v="4"/>
  </r>
  <r>
    <n v="24"/>
    <x v="3"/>
    <x v="12"/>
  </r>
  <r>
    <n v="24"/>
    <x v="3"/>
    <x v="12"/>
  </r>
  <r>
    <n v="24"/>
    <x v="3"/>
    <x v="12"/>
  </r>
  <r>
    <n v="24"/>
    <x v="3"/>
    <x v="12"/>
  </r>
  <r>
    <n v="24"/>
    <x v="3"/>
    <x v="12"/>
  </r>
  <r>
    <n v="24"/>
    <x v="1"/>
    <x v="12"/>
  </r>
  <r>
    <n v="24"/>
    <x v="1"/>
    <x v="12"/>
  </r>
  <r>
    <n v="31"/>
    <x v="3"/>
    <x v="4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24"/>
    <x v="6"/>
    <x v="12"/>
  </r>
  <r>
    <n v="31"/>
    <x v="3"/>
    <x v="4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42"/>
    <x v="0"/>
    <x v="25"/>
  </r>
  <r>
    <n v="25"/>
    <x v="3"/>
    <x v="11"/>
  </r>
  <r>
    <n v="25"/>
    <x v="3"/>
    <x v="11"/>
  </r>
  <r>
    <n v="28"/>
    <x v="3"/>
    <x v="14"/>
  </r>
  <r>
    <n v="28"/>
    <x v="3"/>
    <x v="14"/>
  </r>
  <r>
    <n v="28"/>
    <x v="3"/>
    <x v="14"/>
  </r>
  <r>
    <n v="28"/>
    <x v="3"/>
    <x v="14"/>
  </r>
  <r>
    <n v="28"/>
    <x v="3"/>
    <x v="14"/>
  </r>
  <r>
    <n v="28"/>
    <x v="3"/>
    <x v="14"/>
  </r>
  <r>
    <n v="28"/>
    <x v="1"/>
    <x v="14"/>
  </r>
  <r>
    <n v="28"/>
    <x v="1"/>
    <x v="14"/>
  </r>
  <r>
    <n v="28"/>
    <x v="3"/>
    <x v="14"/>
  </r>
  <r>
    <n v="28"/>
    <x v="3"/>
    <x v="14"/>
  </r>
  <r>
    <n v="28"/>
    <x v="1"/>
    <x v="14"/>
  </r>
  <r>
    <n v="28"/>
    <x v="1"/>
    <x v="14"/>
  </r>
  <r>
    <n v="28"/>
    <x v="3"/>
    <x v="14"/>
  </r>
  <r>
    <n v="28"/>
    <x v="3"/>
    <x v="14"/>
  </r>
  <r>
    <n v="28"/>
    <x v="3"/>
    <x v="14"/>
  </r>
  <r>
    <n v="27"/>
    <x v="0"/>
    <x v="16"/>
  </r>
  <r>
    <n v="27"/>
    <x v="0"/>
    <x v="16"/>
  </r>
  <r>
    <n v="27"/>
    <x v="0"/>
    <x v="16"/>
  </r>
  <r>
    <n v="27"/>
    <x v="0"/>
    <x v="16"/>
  </r>
  <r>
    <n v="27"/>
    <x v="0"/>
    <x v="16"/>
  </r>
  <r>
    <n v="27"/>
    <x v="0"/>
    <x v="16"/>
  </r>
  <r>
    <n v="26"/>
    <x v="1"/>
    <x v="17"/>
  </r>
  <r>
    <n v="26"/>
    <x v="1"/>
    <x v="17"/>
  </r>
  <r>
    <n v="26"/>
    <x v="1"/>
    <x v="17"/>
  </r>
  <r>
    <n v="26"/>
    <x v="1"/>
    <x v="17"/>
  </r>
  <r>
    <n v="26"/>
    <x v="1"/>
    <x v="17"/>
  </r>
  <r>
    <n v="26"/>
    <x v="1"/>
    <x v="17"/>
  </r>
  <r>
    <n v="26"/>
    <x v="1"/>
    <x v="17"/>
  </r>
  <r>
    <n v="26"/>
    <x v="1"/>
    <x v="17"/>
  </r>
  <r>
    <n v="26"/>
    <x v="0"/>
    <x v="17"/>
  </r>
  <r>
    <n v="27"/>
    <x v="0"/>
    <x v="16"/>
  </r>
  <r>
    <n v="27"/>
    <x v="0"/>
    <x v="16"/>
  </r>
  <r>
    <n v="27"/>
    <x v="0"/>
    <x v="16"/>
  </r>
  <r>
    <n v="27"/>
    <x v="0"/>
    <x v="16"/>
  </r>
  <r>
    <n v="27"/>
    <x v="0"/>
    <x v="16"/>
  </r>
  <r>
    <n v="27"/>
    <x v="0"/>
    <x v="16"/>
  </r>
  <r>
    <n v="25"/>
    <x v="3"/>
    <x v="11"/>
  </r>
  <r>
    <n v="27"/>
    <x v="2"/>
    <x v="16"/>
  </r>
  <r>
    <n v="27"/>
    <x v="2"/>
    <x v="16"/>
  </r>
  <r>
    <n v="27"/>
    <x v="0"/>
    <x v="16"/>
  </r>
  <r>
    <n v="27"/>
    <x v="2"/>
    <x v="16"/>
  </r>
  <r>
    <n v="27"/>
    <x v="1"/>
    <x v="16"/>
  </r>
  <r>
    <n v="20"/>
    <x v="2"/>
    <x v="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42"/>
    <x v="3"/>
    <x v="25"/>
  </r>
  <r>
    <n v="26"/>
    <x v="3"/>
    <x v="17"/>
  </r>
  <r>
    <n v="26"/>
    <x v="3"/>
    <x v="17"/>
  </r>
  <r>
    <n v="26"/>
    <x v="3"/>
    <x v="17"/>
  </r>
  <r>
    <n v="26"/>
    <x v="3"/>
    <x v="17"/>
  </r>
  <r>
    <n v="26"/>
    <x v="3"/>
    <x v="17"/>
  </r>
  <r>
    <n v="26"/>
    <x v="3"/>
    <x v="17"/>
  </r>
  <r>
    <n v="26"/>
    <x v="3"/>
    <x v="17"/>
  </r>
  <r>
    <n v="26"/>
    <x v="1"/>
    <x v="17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n v="42"/>
    <x v="9"/>
    <x v="25"/>
  </r>
  <r>
    <m/>
    <x v="10"/>
    <x v="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1">
  <r>
    <s v="acarbonellg@gmail.com"/>
    <s v="acarbonellg@gmail.com1"/>
    <s v="Especializaciï¿½n en Emprendimiento y Negocios Digitales- Chï¿½a"/>
    <x v="0"/>
    <x v="0"/>
    <x v="0"/>
    <s v="Completa"/>
    <s v="Posgrado"/>
    <s v="INSTITUTO FORUM"/>
    <s v="https://ProfCatedra2024.sawtoothsoftware.com/cgi-bin/ciwweb.pl?studyname=ProfCatedra2024&amp;Correo=acarbonellg@gmail.com1"/>
  </r>
  <r>
    <s v="adalberto.prada@unisabana.edu.co"/>
    <s v="adalberto.prada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adalberto.prada@unisabana.edu.co01"/>
  </r>
  <r>
    <s v="adrian.martinez@unisabana.edu.co"/>
    <s v="adrian.martinez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adrian.martinez@unisabana.edu.co1"/>
  </r>
  <r>
    <s v="adriana.acevedo@unisabana.edu.co"/>
    <s v="adriana.acevedo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adriana.acevedo@unisabana.edu.co1"/>
  </r>
  <r>
    <s v="adriana.maldonado@unisabana.edu.co"/>
    <s v="adriana.maldonado@unisabana.edu.co1"/>
    <s v="MEDICINA"/>
    <x v="4"/>
    <x v="0"/>
    <x v="0"/>
    <s v="Completa"/>
    <s v="Pregrado"/>
    <s v="FACULTAD DE MEDICINA"/>
    <s v="https://ProfCatedra2024.sawtoothsoftware.com/cgi-bin/ciwweb.pl?studyname=ProfCatedra2024&amp;Correo=adriana.maldonado@unisabana.edu.co1"/>
  </r>
  <r>
    <s v="adrianagarciagama@gmail.com"/>
    <s v="ADRIANAGARCIAGAMA@GMAIL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ADRIANAGARCIAGAMA@GMAIL.COM1"/>
  </r>
  <r>
    <s v="adrianapeme@unisabana.edu.co"/>
    <s v="adrianapeme@unisabana.edu.co01"/>
    <s v="Especializaciï¿½n en Gerencia Comercial Virtual"/>
    <x v="6"/>
    <x v="0"/>
    <x v="0"/>
    <s v="Completa"/>
    <s v="Posgrado"/>
    <s v="INSTITUTO FORUM"/>
    <s v="https://ProfCatedra2024.sawtoothsoftware.com/cgi-bin/ciwweb.pl?studyname=ProfCatedra2024&amp;Correo=adrianapeme@unisabana.edu.co01"/>
  </r>
  <r>
    <s v="adrianapeme@unisabana.edu.co"/>
    <s v="adrianapeme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adrianapeme@unisabana.edu.co02"/>
  </r>
  <r>
    <s v="adrianapeme@unisabana.edu.co"/>
    <s v="adrianapeme@unisabana.edu.co03"/>
    <s v="Especializaciï¿½n en Liderazgo y Coaching- Chï¿½a"/>
    <x v="8"/>
    <x v="0"/>
    <x v="0"/>
    <s v="Completa"/>
    <s v="Posgrado"/>
    <s v="INSTITUTO FORUM"/>
    <s v="https://ProfCatedra2024.sawtoothsoftware.com/cgi-bin/ciwweb.pl?studyname=ProfCatedra2024&amp;Correo=adrianapeme@unisabana.edu.co03"/>
  </r>
  <r>
    <s v="agaitanrozo@yahoo.es1"/>
    <s v="AGAITANROZO@YAHOO.ES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GAITANROZO@YAHOO.ES1"/>
  </r>
  <r>
    <s v="alba.sachica1@unisabana.edu.co"/>
    <s v="alba.sachica1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alba.sachica1@unisabana.edu.co01"/>
  </r>
  <r>
    <s v="alba.sachica1@unisabana.edu.co"/>
    <s v="alba.sachica1@unisabana.edu.co02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alba.sachica1@unisabana.edu.co02"/>
  </r>
  <r>
    <s v="alba.sachica1@unisabana.edu.co"/>
    <s v="alba.sachica1@unisabana.edu.co03"/>
    <s v="Maestrï¿½a en Enfermerï¿½a"/>
    <x v="12"/>
    <x v="0"/>
    <x v="0"/>
    <s v="Completa"/>
    <s v="Posgrado"/>
    <s v="FACULTAD DE ENFERMERÍA Y REHABILITACIÓN"/>
    <s v="https://ProfCatedra2024.sawtoothsoftware.com/cgi-bin/ciwweb.pl?studyname=ProfCatedra2024&amp;Correo=alba.sachica1@unisabana.edu.co03"/>
  </r>
  <r>
    <s v="alba.sachica1@unisabana.edu.co"/>
    <s v="alba.sachica1@unisabana.edu.co04"/>
    <s v="Maestrï¿½a en Enfermerï¿½a - Virtual"/>
    <x v="13"/>
    <x v="0"/>
    <x v="0"/>
    <s v="Completa"/>
    <s v="Posgrado"/>
    <s v="FACULTAD DE ENFERMERÍA Y REHABILITACIÓN"/>
    <s v="https://ProfCatedra2024.sawtoothsoftware.com/cgi-bin/ciwweb.pl?studyname=ProfCatedra2024&amp;Correo=alba.sachica1@unisabana.edu.co04"/>
  </r>
  <r>
    <s v="alba.sachica1@unisabana.edu.co"/>
    <s v="alba.sachica1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lba.sachica1@unisabana.edu.co07"/>
  </r>
  <r>
    <s v="albertoduqueramirez@gmail.com"/>
    <s v="ALBERTODUQUERAMIREZ@G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LBERTODUQUERAMIREZ@GMAIL.COM1"/>
  </r>
  <r>
    <s v="aldemar.moreno@unisabana.edu.co"/>
    <s v="aldemar.moreno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ldemar.moreno@unisabana.edu.co1"/>
  </r>
  <r>
    <s v="alejandra.henao@unisabana.edu.co"/>
    <s v="alejandra.hena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lejandra.henao@unisabana.edu.co1"/>
  </r>
  <r>
    <s v="alejandro.castro1@unisabana.edu.co"/>
    <s v="alejandro.castro1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lejandro.castro1@unisabana.edu.co1"/>
  </r>
  <r>
    <s v="alejandro.munevar@unisabana.edu.co"/>
    <s v="alejandro.munevar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lejandro.munevar@unisabana.edu.co1"/>
  </r>
  <r>
    <s v="alexandra.jimenez1@unisabana.edu.co"/>
    <s v="alexandra.jimenez1@unisabana.edu.co03"/>
    <s v="Especializaciï¿½n en Gestiï¿½n para el Desarrollo Humano en la Organizaciï¿½n - Bucaramanga"/>
    <x v="17"/>
    <x v="0"/>
    <x v="0"/>
    <s v="Completa"/>
    <s v="Posgrado"/>
    <s v="INSTITUTO FORUM"/>
    <s v="https://ProfCatedra2024.sawtoothsoftware.com/cgi-bin/ciwweb.pl?studyname=ProfCatedra2024&amp;Correo=alexandra.jimenez1@unisabana.edu.co03"/>
  </r>
  <r>
    <s v="alexandra.rodriguez_cont@unisabana.edu.co"/>
    <s v="alexandra.rodriguez_cont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lexandra.rodriguez_cont@unisabana.edu.co07"/>
  </r>
  <r>
    <s v="alfonso.cubillos@unisabana.edu.co"/>
    <s v="alfonso.cubillo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lfonso.cubillos@unisabana.edu.co01"/>
  </r>
  <r>
    <s v="alirio.angarita@unisabana.edu.co"/>
    <s v="alirio.angarit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lirio.angarita@unisabana.edu.co1"/>
  </r>
  <r>
    <s v="alvaro.moncada1@unisabana.edu.co"/>
    <s v="alvaro.moncada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lvaro.moncada1@unisabana.edu.co1"/>
  </r>
  <r>
    <s v="alvarosiehe@unisabana.edu.co"/>
    <s v="alvarosiehe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alvarosiehe@unisabana.edu.co1"/>
  </r>
  <r>
    <s v="amelita99@yahoo.com"/>
    <s v="AMELITA99@YAHOO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MELITA99@YAHOO.COM1"/>
  </r>
  <r>
    <s v="ana.grandas1@unisabana.edu.co"/>
    <s v="ana.grandas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a.grandas1@unisabana.edu.co1"/>
  </r>
  <r>
    <s v="ana.herrera7@unisabana.edu.co"/>
    <s v="ana.herrera7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na.herrera7@unisabana.edu.co07"/>
  </r>
  <r>
    <s v="ana.moya@unisabana.edu.co"/>
    <s v="ana.moy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a.moya@unisabana.edu.co1"/>
  </r>
  <r>
    <s v="ana.olivos@unisabana.edu.co"/>
    <s v="ana.oliv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ana.olivos@unisabana.edu.co1"/>
  </r>
  <r>
    <s v="ana.rodriguez6@unisabana.edu.co"/>
    <s v="ana.rodriguez6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ana.rodriguez6@unisabana.edu.co1"/>
  </r>
  <r>
    <s v="ana.zambrano@unisabana.edu.co"/>
    <s v="ana.zambrano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na.zambrano@unisabana.edu.co1"/>
  </r>
  <r>
    <s v="anamariagarciagaleano@gmail.com"/>
    <s v="ANAMARIAGARCIAGALEANO@G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ANAMARIAGARCIAGALEANO@GMAIL.COM1"/>
  </r>
  <r>
    <s v="andherrerag@gmail.com"/>
    <s v="andherrerag@gmail.com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1"/>
  </r>
  <r>
    <s v="andherrerag@gmail.com"/>
    <s v="andherrerag@gmail.com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2"/>
  </r>
  <r>
    <s v="andrea.areiza@unisabana.edu.co"/>
    <s v="andrea.areiz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andrea.areiza@unisabana.edu.co1"/>
  </r>
  <r>
    <s v="andrea.ceballos@unisabana.edu.co"/>
    <s v="andrea.ceballo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ndrea.ceballos@unisabana.edu.co01"/>
  </r>
  <r>
    <s v="andrea.ceballos@unisabana.edu.co"/>
    <s v="andrea.ceballos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a.ceballos@unisabana.edu.co1"/>
  </r>
  <r>
    <s v="andrea.paez1@unisabana.edu.co"/>
    <s v="andrea.paez1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ndrea.paez1@unisabana.edu.co1"/>
  </r>
  <r>
    <s v="andrea.restrepo@unisabana.edu.co"/>
    <s v="andrea.restrep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andrea.restrepo@unisabana.edu.co1"/>
  </r>
  <r>
    <s v="andreasuajim@unisabana.edu.co"/>
    <s v="andreasuajim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dreasuajim@unisabana.edu.co1"/>
  </r>
  <r>
    <s v="andres.cardona1@unisabana.edu.co"/>
    <s v="andres.cardona1@unisabana.edu.co03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andres.cardona1@unisabana.edu.co03"/>
  </r>
  <r>
    <s v="andres.cardona1@unisabana.edu.co"/>
    <s v="andres.cardona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s.cardona1@unisabana.edu.co1"/>
  </r>
  <r>
    <s v="andres.carreno@unisabana.edu.co"/>
    <s v="andres.carreno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andres.carreno@Unisabana.edu.co01"/>
  </r>
  <r>
    <s v="andres.montanez1@unisabana.edu.co"/>
    <s v="andres.montanez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ndres.montanez1@unisabana.edu.co1"/>
  </r>
  <r>
    <s v="andres.ordonez1@unisabana.edu.co"/>
    <s v="andres.ordonez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andres.ordonez1@unisabana.edu.co1"/>
  </r>
  <r>
    <s v="andres.ortiz9@unisabana.edu.co"/>
    <s v="andres.ortiz9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andres.ortiz9@unisabana.edu.co1"/>
  </r>
  <r>
    <s v="andres.robayo1@unisabana.edu.co"/>
    <s v="andres.robayo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andres.robayo1@unisabana.edu.co1"/>
  </r>
  <r>
    <s v="andres.rodriguez14@unisabana.edu.co"/>
    <s v="andres.rodriguez14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andres.rodriguez14@unisabana.edu.co1"/>
  </r>
  <r>
    <s v="andres.rojas4@unisabana.edu.co"/>
    <s v="andres.rojas4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ndres.rojas4@unisabana.edu.co1"/>
  </r>
  <r>
    <s v="andres.torres4@unisabana.edu.co"/>
    <s v="andres.torres4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s.torres4@unisabana.edu.co1"/>
  </r>
  <r>
    <s v="andrescarrillo@usantotomas.edu.co"/>
    <s v="ANDRESCARRILLO@USANTOTOMAS.edu.co0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NDRESCARRILLO@USANTOTOMAS.edu.co01"/>
  </r>
  <r>
    <s v="andresrodriguez@hotmail.fr1"/>
    <s v="ANDRESRODRIGUEZ@HOTMAIL.FR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ANDRESRODRIGUEZ@HOTMAIL.FR1"/>
  </r>
  <r>
    <s v="angel.gutierrez@unisabana.edu.co"/>
    <s v="angel.gutierrez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ngel.gutierrez@unisabana.edu.co01"/>
  </r>
  <r>
    <s v="angela.dominguez2@unisabana.edu.co"/>
    <s v="angela.dominguez2@unisabana.edu.co1"/>
    <s v="MEDICINA"/>
    <x v="4"/>
    <x v="0"/>
    <x v="0"/>
    <s v="Completa"/>
    <s v="Pregrado"/>
    <s v="FACULTAD DE MEDICINA"/>
    <s v="https://ProfCatedra2024.sawtoothsoftware.com/cgi-bin/ciwweb.pl?studyname=ProfCatedra2024&amp;Correo=angela.dominguez2@unisabana.edu.co1"/>
  </r>
  <r>
    <s v="angela.hernandez4@unisabana.edu.co"/>
    <s v="angela.hernandez4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a.hernandez4@unisabana.edu.co1"/>
  </r>
  <r>
    <s v="angela.rodriguez3@unisabana.edu.co"/>
    <s v="angela.rodriguez3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a.rodriguez3@unisabana.edu.co1"/>
  </r>
  <r>
    <s v="angela.vargas5@unisabana.edu.co"/>
    <s v="angela.vargas5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angela.vargas5@unisabana.edu.co1"/>
  </r>
  <r>
    <s v="angelgup@unisabana.edu.co"/>
    <s v="angelgup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angelgup@unisabana.edu.co01"/>
  </r>
  <r>
    <s v="angelica.bejarano@unisabana.edu.co"/>
    <s v="angelica.bejaran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ica.bejarano@unisabana.edu.co1"/>
  </r>
  <r>
    <s v="angelica.nieves1@unisabana.edu.co"/>
    <s v="angelica.nieves1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angelica.nieves1@unisabana.edu.co1"/>
  </r>
  <r>
    <s v="annabel.astuy_cont@unisabana.edu.co"/>
    <s v="annabel.astuy_cont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nnabel.astuy_cont@unisabana.edu.co07"/>
  </r>
  <r>
    <s v="antonia.gacharna@unisabana.edu.co"/>
    <s v="antonia.gacharn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ntonia.gacharna@unisabana.edu.co1"/>
  </r>
  <r>
    <s v="arley.calderon@unisabana.edu.co"/>
    <s v="Arley.Caldero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Arley.Calderon@unisabana.edu.co1"/>
  </r>
  <r>
    <s v="asmith.parra@gmail.com"/>
    <s v="asmith.parra@gmail.com1"/>
    <s v="Maestrï¿½a en Gerencia Internacional"/>
    <x v="37"/>
    <x v="0"/>
    <x v="0"/>
    <s v="Completa"/>
    <s v="Posgrado"/>
    <s v="ESCUELA INTERNACIONAL DE CIENCIAS ECONÓMICAS Y ADMINISTRATIVAS"/>
    <s v="https://ProfCatedra2024.sawtoothsoftware.com/cgi-bin/ciwweb.pl?studyname=ProfCatedra2024&amp;Correo=asmith.parra@gmail.com1"/>
  </r>
  <r>
    <s v="augusto.delgadillo@unisabana.edu.co"/>
    <s v="augusto.delgadillo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augusto.delgadillo@unisabana.edu.co01"/>
  </r>
  <r>
    <s v="beatriz.herrera@unisabana.edu.co"/>
    <s v="beatriz.herrera@unisabana.edu.co01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beatriz.herrera@unisabana.edu.co01"/>
  </r>
  <r>
    <s v="beatriz.herrera@unisabana.edu.co"/>
    <s v="beatriz.herrera@unisabana.edu.co02"/>
    <s v="Especializaciï¿½n en Gestiï¿½n para el Desarrollo Humano en la Organizaciï¿½n - Chï¿½a"/>
    <x v="39"/>
    <x v="0"/>
    <x v="0"/>
    <s v="Completa"/>
    <s v="Posgrado"/>
    <s v="INSTITUTO FORUM"/>
    <s v="https://ProfCatedra2024.sawtoothsoftware.com/cgi-bin/ciwweb.pl?studyname=ProfCatedra2024&amp;Correo=beatriz.herrera@unisabana.edu.co02"/>
  </r>
  <r>
    <s v="belvy.sanchez@unisabana.edu.co"/>
    <s v="belvy.sanchez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belvy.sanchez@unisabana.edu.co1"/>
  </r>
  <r>
    <s v="benjamin.venegas@unisabana.edu.co"/>
    <s v="benjamin.vene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benjamin.venegas@unisabana.edu.co1"/>
  </r>
  <r>
    <s v="bernardo.luque@unisabana.edu.co"/>
    <s v="bernardo.luque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bernardo.luque@unisabana.edu.co1"/>
  </r>
  <r>
    <s v="bibiana.ramirez@unisabana.edu.co"/>
    <s v="bibiana.ramirez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bibiana.ramirez@unisabana.edu.co1"/>
  </r>
  <r>
    <s v="bohorquezsandoval@gmail.com"/>
    <s v="BOHORQUEZSANDOVAL@G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BOHORQUEZSANDOVAL@GMAIL.COM1"/>
  </r>
  <r>
    <s v="brianda.sarmiento@unisabana.edu.co"/>
    <s v="brianda.sarmiento@unisabana.edu.co01"/>
    <s v="MAESTRï¿½A EN DESARROLLO INFANTIL - CHIA"/>
    <x v="41"/>
    <x v="0"/>
    <x v="0"/>
    <s v="Completa"/>
    <s v="Posgrado"/>
    <s v="FACULTAD DE EDUCACIÓN"/>
    <s v="https://ProfCatedra2024.sawtoothsoftware.com/cgi-bin/ciwweb.pl?studyname=ProfCatedra2024&amp;Correo=brianda.sarmiento@unisabana.edu.co01"/>
  </r>
  <r>
    <s v="brianda.sarmiento@unisabana.edu.co"/>
    <s v="brianda.sarmiento@unisabana.edu.co02"/>
    <s v="MAESTRï¿½A EN DESARROLLO INFANTIL - GUAJIRA"/>
    <x v="42"/>
    <x v="0"/>
    <x v="0"/>
    <s v="Completa"/>
    <s v="Posgrado"/>
    <s v="FACULTAD DE EDUCACIÓN"/>
    <s v="https://ProfCatedra2024.sawtoothsoftware.com/cgi-bin/ciwweb.pl?studyname=ProfCatedra2024&amp;Correo=brianda.sarmiento@unisabana.edu.co02"/>
  </r>
  <r>
    <s v="brianda.sarmiento@unisabana.edu.co"/>
    <s v="brianda.sarmiento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brianda.sarmiento@unisabana.edu.co1"/>
  </r>
  <r>
    <s v="camila.moreno1@unisabana.edu.co"/>
    <s v="camila.moreno1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mila.moreno1@unisabana.edu.co1"/>
  </r>
  <r>
    <s v="camilo.gomez5@unisabana.edu.co"/>
    <s v="camilo.gomez5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camilo.gomez5@unisabana.edu.co1"/>
  </r>
  <r>
    <s v="camilo.navarrete@unisabana.edu.co"/>
    <s v="camilo.navarrete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camilo.navarrete@unisabana.edu.co01"/>
  </r>
  <r>
    <s v="camilo.rincon2@unisabana.edu.co"/>
    <s v="camilo.rincon2@unisabana.edu.co01"/>
    <s v="MAESTRIA EN PSICOLOGIA DE LA SALUD Y DISCAPACIDAD"/>
    <x v="46"/>
    <x v="0"/>
    <x v="0"/>
    <s v="Completa"/>
    <s v="Posgrado"/>
    <s v="FACULTAD DE PSICOLOGÍA"/>
    <s v="https://ProfCatedra2024.sawtoothsoftware.com/cgi-bin/ciwweb.pl?studyname=ProfCatedra2024&amp;Correo=camilo.rincon2@unisabana.edu.co01"/>
  </r>
  <r>
    <s v="camilo.salazar1@unisabana.edu.co"/>
    <s v="camilo.salazar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camilo.salazar1@unisabana.edu.co1"/>
  </r>
  <r>
    <s v="camilo.torres@unisabana.edu.co"/>
    <s v="camilo.torre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camilo.torres@unisabana.edu.co01"/>
  </r>
  <r>
    <s v="carlo.sarmiento@unisabana.edu.co"/>
    <s v="carlo.sarmiento@unisabana.edu.co01"/>
    <s v="Maestrï¿½a en Periodismo y Comunicaciï¿½n Digital"/>
    <x v="47"/>
    <x v="0"/>
    <x v="0"/>
    <s v="Completa"/>
    <s v="Posgrado"/>
    <s v="FACULTAD DE COMUNICACIÓN"/>
    <s v="https://ProfCatedra2024.sawtoothsoftware.com/cgi-bin/ciwweb.pl?studyname=ProfCatedra2024&amp;Correo=carlo.sarmiento@unisabana.edu.co01"/>
  </r>
  <r>
    <s v="carlo.sarmiento@unisabana.edu.co"/>
    <s v="carlo.sarmient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arlo.sarmiento@unisabana.edu.co1"/>
  </r>
  <r>
    <s v="carlo.sarmiento@unisabana.edu.co"/>
    <s v="carlo.sarmiento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arlo.sarmiento@unisabana.edu.co2"/>
  </r>
  <r>
    <s v="carlo.sarmiento@unisabana.edu.co"/>
    <s v="carlo.sarmiento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rlo.sarmiento@unisabana.edu.co3"/>
  </r>
  <r>
    <s v="carlos.aguirre2@unisabana.edu.co"/>
    <s v="carlos.aguirre2@unisabana.edu.co01"/>
    <s v="Especializaciï¿½n en Neumologï¿½a"/>
    <x v="48"/>
    <x v="0"/>
    <x v="0"/>
    <s v="Completa"/>
    <s v="Posgrado"/>
    <s v="FACULTAD DE MEDICINA"/>
    <s v="https://ProfCatedra2024.sawtoothsoftware.com/cgi-bin/ciwweb.pl?studyname=ProfCatedra2024&amp;Correo=carlos.aguirre2@unisabana.edu.co01"/>
  </r>
  <r>
    <s v="carlos.alvarado2@unisabana.edu.co"/>
    <s v="carlos.alvarado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carlos.alvarado2@unisabana.edu.co1"/>
  </r>
  <r>
    <s v="carlos.bustamante@unisabana.edu.co"/>
    <s v="carlos.bustamante@unisabana.edu.co01"/>
    <s v="Especializaciï¿½n en Farmacologï¿½a Clï¿½nica"/>
    <x v="50"/>
    <x v="0"/>
    <x v="0"/>
    <s v="Completa"/>
    <s v="Posgrado"/>
    <s v="FACULTAD DE MEDICINA"/>
    <s v="https://ProfCatedra2024.sawtoothsoftware.com/cgi-bin/ciwweb.pl?studyname=ProfCatedra2024&amp;Correo=carlos.bustamante@unisabana.edu.co01"/>
  </r>
  <r>
    <s v="carlos.entrena@unisabana.edu.co"/>
    <s v="carlos.entrena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carlos.entrena@unisabana.edu.co1"/>
  </r>
  <r>
    <s v="carlos.giron@unisabana.edu.co"/>
    <s v="carlos.giron@unisabana.edu.co01"/>
    <s v="Especializaciï¿½n en Gerencia Estratï¿½gica - Medellï¿½n"/>
    <x v="52"/>
    <x v="0"/>
    <x v="0"/>
    <s v="Completa"/>
    <s v="Posgrado"/>
    <s v="INSTITUTO FORUM"/>
    <s v="https://ProfCatedra2024.sawtoothsoftware.com/cgi-bin/ciwweb.pl?studyname=ProfCatedra2024&amp;Correo=carlos.giron@unisabana.edu.co01"/>
  </r>
  <r>
    <s v="carlos.gomez17@unisabana.edu.co"/>
    <s v="carlos.gomez17@unisabana.edu.co01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carlos.gomez17@unisabana.edu.co01"/>
  </r>
  <r>
    <s v="carlos.manrique3@unisabana.edu.co"/>
    <s v="carlos.manrique3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carlos.manrique3@unisabana.edu.co1"/>
  </r>
  <r>
    <s v="carlos.moreno9@unisabana.edu.co"/>
    <s v="carlos.moreno9@unisabana.edu.co07"/>
    <s v="ESPECIALIZACIÃ“N EN EMPRENDIMIENTO Y NEGOCIOS DIGITALES- CHÃA"/>
    <x v="0"/>
    <x v="0"/>
    <x v="0"/>
    <s v="Completa"/>
    <s v="Posgrado"/>
    <s v="INSTITUTO FORUM"/>
    <s v="https://ProfCatedra2024.sawtoothsoftware.com/cgi-bin/ciwweb.pl?studyname=ProfCatedra2024&amp;Correo=carlos.moreno9@unisabana.edu.co07"/>
  </r>
  <r>
    <s v="carlos.paz@unisabana.edu.co"/>
    <s v="carlos.pa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carlos.paz@unisabana.edu.co1"/>
  </r>
  <r>
    <s v="carlos.rojas@unisabana.edu.co"/>
    <s v="carlos.rojas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carlos.rojas@unisabana.edu.co01"/>
  </r>
  <r>
    <s v="carlos.rojas@unisabana.edu.co"/>
    <s v="carlos.rojas@unisabana.edu.co02"/>
    <s v="Especializaciï¿½n En Gerencia Estratï¿½gica - Bucaramanga"/>
    <x v="55"/>
    <x v="0"/>
    <x v="0"/>
    <s v="Completa"/>
    <s v="Posgrado"/>
    <s v="INSTITUTO FORUM"/>
    <s v="https://ProfCatedra2024.sawtoothsoftware.com/cgi-bin/ciwweb.pl?studyname=ProfCatedra2024&amp;Correo=carlos.rojas@unisabana.edu.co02"/>
  </r>
  <r>
    <s v="carlos.sanchez9@unisabana.edu.co"/>
    <s v="carlos.sanchez9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carlos.sanchez9@unisabana.edu.co1"/>
  </r>
  <r>
    <s v="carlos.torres3@unisabana.edu.co"/>
    <s v="carlos.torres3@unisabana.edu.co01"/>
    <s v="Especializaciï¿½n en Neumologï¿½a"/>
    <x v="48"/>
    <x v="0"/>
    <x v="0"/>
    <s v="Completa"/>
    <s v="Posgrado"/>
    <s v="FACULTAD DE MEDICINA"/>
    <s v="https://ProfCatedra2024.sawtoothsoftware.com/cgi-bin/ciwweb.pl?studyname=ProfCatedra2024&amp;Correo=carlos.torres3@unisabana.edu.co01"/>
  </r>
  <r>
    <s v="carlosarturoramirez@hotmail.com"/>
    <s v="CARLOSARTURORAMIREZ@HOTMAIL.COM1"/>
    <s v="MAESTRIA EN DERECHO CONSTITUCIONAL"/>
    <x v="56"/>
    <x v="0"/>
    <x v="0"/>
    <s v="Completa"/>
    <s v="Posgrado"/>
    <s v="FACULTAD DE DERECHO Y CIENCIAS POLÍTICAS"/>
    <s v="https://ProfCatedra2024.sawtoothsoftware.com/cgi-bin/ciwweb.pl?studyname=ProfCatedra2024&amp;Correo=CARLOSARTURORAMIREZ@HOTMAIL.COM1"/>
  </r>
  <r>
    <s v="carlosdm@unisabana.edu.co"/>
    <s v="CarlosDM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arlosDM@unisabana.edu.co1"/>
  </r>
  <r>
    <s v="carmen.carrero@unisabana.edu.co"/>
    <s v="carmen.carrero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carmen.carrero@unisabana.edu.co1"/>
  </r>
  <r>
    <s v="carolina.correa4@unisabana.edu.co"/>
    <s v="carolina.correa4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carolina.correa4@unisabana.edu.co1"/>
  </r>
  <r>
    <s v="carolina.lozano2@unisabana.edu.co"/>
    <s v="carolina.lozano2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carolina.lozano2@unisabana.edu.co1"/>
  </r>
  <r>
    <s v="carolina.munoz2@unisabana.edu.co"/>
    <s v="carolina.munoz2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rolina.munoz2@unisabana.edu.co1"/>
  </r>
  <r>
    <s v="carolinavama@unisabana.edu.co"/>
    <s v="Carolinavam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Carolinavama@unisabana.edu.co1"/>
  </r>
  <r>
    <s v="catalina.yucuma@gmail.com"/>
    <s v="CATALINA.YUCUMA@GMAIL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CATALINA.YUCUMA@GMAIL.COM1"/>
  </r>
  <r>
    <s v="cejaramillo@arrubladevis.com"/>
    <s v="CEJARAMILLO@ARRUBLADEVIS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CEJARAMILLO@ARRUBLADEVIS.COM1"/>
  </r>
  <r>
    <s v="cerezo_manuel26@hotmail.com"/>
    <s v="cerezo_manuel26@hotmail.com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cerezo_manuel26@hotmail.com1"/>
  </r>
  <r>
    <s v="cesar.orjuela1@unisabana.edu.co"/>
    <s v="cesar.orjuel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cesar.orjuela1@unisabana.edu.co1"/>
  </r>
  <r>
    <s v="cesar.romero@unisabana.edu.co"/>
    <s v="cesar.romero@unisabana.edu.co1"/>
    <s v="MEDICINA"/>
    <x v="4"/>
    <x v="0"/>
    <x v="0"/>
    <s v="Completa"/>
    <s v="Pregrado"/>
    <s v="FACULTAD DE MEDICINA"/>
    <s v="https://ProfCatedra2024.sawtoothsoftware.com/cgi-bin/ciwweb.pl?studyname=ProfCatedra2024&amp;Correo=cesar.romero@unisabana.edu.co1"/>
  </r>
  <r>
    <s v="cesar.vega1@unisabana.edu.co"/>
    <s v="cesar.veg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cesar.vega1@unisabana.edu.co1"/>
  </r>
  <r>
    <s v="cindi.penagos@unisabana.edu.co"/>
    <s v="cindi.penagos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cindi.penagos@unisabana.edu.co1"/>
  </r>
  <r>
    <s v="cindy.espitia1@unisabana.edu.co"/>
    <s v="cindy.espiti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indy.espitia1@unisabana.edu.co1"/>
  </r>
  <r>
    <s v="cindy.espitia1@unisabana.edu.co"/>
    <s v="cindy.espiti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indy.espitia1@unisabana.edu.co2"/>
  </r>
  <r>
    <s v="cindy.espitia1@unisabana.edu.co"/>
    <s v="cindy.espitia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indy.espitia1@unisabana.edu.co3"/>
  </r>
  <r>
    <s v="cindyesmu@gmail.com"/>
    <s v="CINDYESMU@G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CINDYESMU@GMAIL.COM1"/>
  </r>
  <r>
    <s v="clara.tarazona@unisabana.edu.co"/>
    <s v="clara.tarazona@unisabana.edu.co1"/>
    <s v="MEDICINA"/>
    <x v="4"/>
    <x v="0"/>
    <x v="0"/>
    <s v="Completa"/>
    <s v="Pregrado"/>
    <s v="FACULTAD DE MEDICINA"/>
    <s v="https://ProfCatedra2024.sawtoothsoftware.com/cgi-bin/ciwweb.pl?studyname=ProfCatedra2024&amp;Correo=clara.tarazona@unisabana.edu.co1"/>
  </r>
  <r>
    <s v="claudia.becerra1@unisabana.edu.co"/>
    <s v="claudia.becerra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claudia.becerra1@unisabana.edu.co01"/>
  </r>
  <r>
    <s v="claudia.lugo1@unisabana.edu.co"/>
    <s v="claudia.lugo1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claudia.lugo1@unisabana.edu.co01"/>
  </r>
  <r>
    <s v="claudia.pinzon@unisabana.edu.co"/>
    <s v="claudia.pinzon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laudia.pinzon@unisabana.edu.co1"/>
  </r>
  <r>
    <s v="claudia.romero1@unisabana.edu.co"/>
    <s v="claudia.romer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laudia.romero1@unisabana.edu.co1"/>
  </r>
  <r>
    <s v="claudia.romero1@unisabana.edu.co"/>
    <s v="claudia.romero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laudia.romero1@unisabana.edu.co2"/>
  </r>
  <r>
    <s v="claudia.romero1@unisabana.edu.co"/>
    <s v="claudia.romero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laudia.romero1@unisabana.edu.co3"/>
  </r>
  <r>
    <s v="claudia.trujillo@unisabana.edu.co"/>
    <s v="claudia.trujillo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claudia.trujillo@unisabana.edu.co1"/>
  </r>
  <r>
    <s v="claudiapatriciabarrantes@gmail.com"/>
    <s v="CLAUDIAPATRICIABARRANTES@GMAIL.COM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CLAUDIAPATRICIABARRANTES@GMAIL.COM1"/>
  </r>
  <r>
    <s v="cleliap1@gmail.com"/>
    <s v="cleliap1@gmail.com1"/>
    <s v="Maestrï¿½a en Gerencia Internacional"/>
    <x v="37"/>
    <x v="0"/>
    <x v="0"/>
    <s v="Completa"/>
    <s v="Posgrado"/>
    <s v="ESCUELA INTERNACIONAL DE CIENCIAS ECONÓMICAS Y ADMINISTRATIVAS"/>
    <s v="https://ProfCatedra2024.sawtoothsoftware.com/cgi-bin/ciwweb.pl?studyname=ProfCatedra2024&amp;Correo=cleliap1@gmail.com1"/>
  </r>
  <r>
    <s v="cristhian.canon1@unisabana.edu.co"/>
    <s v="cristhian.canon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cristhian.canon1@unisabana.edu.co1"/>
  </r>
  <r>
    <s v="cristian.funeme@unisabana.edu.co"/>
    <s v="cristian.funeme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cristian.funeme@unisabana.edu.co1"/>
  </r>
  <r>
    <s v="cristian.rodriguez4@unisabana.edu.co"/>
    <s v="cristian.rodriguez4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cristian.rodriguez4@unisabana.edu.co01"/>
  </r>
  <r>
    <s v="cristian.serrano@unisabana.edu.co"/>
    <s v="cristian.serrano@unisabana.edu.co1"/>
    <s v="MEDICINA"/>
    <x v="4"/>
    <x v="0"/>
    <x v="0"/>
    <s v="Completa"/>
    <s v="Pregrado"/>
    <s v="FACULTAD DE MEDICINA"/>
    <s v="https://ProfCatedra2024.sawtoothsoftware.com/cgi-bin/ciwweb.pl?studyname=ProfCatedra2024&amp;Correo=cristian.serrano@unisabana.edu.co1"/>
  </r>
  <r>
    <s v="cristinacharry@yahoo.es1"/>
    <s v="CRISTINACHARRY@YAHOO.ES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CRISTINACHARRY@YAHOO.ES1"/>
  </r>
  <r>
    <s v="daniel.ayala1@unisabana.edu.co"/>
    <s v="daniel.ayala1@unisabana.edu.co01"/>
    <s v="ESPECIALIZACION EN CONTRATACION ESTATAL IBAGUE"/>
    <x v="66"/>
    <x v="0"/>
    <x v="0"/>
    <s v="Completa"/>
    <s v="Posgrado"/>
    <s v="FACULTAD DE DERECHO Y CIENCIAS POLÍTICAS"/>
    <s v="https://ProfCatedra2024.sawtoothsoftware.com/cgi-bin/ciwweb.pl?studyname=ProfCatedra2024&amp;Correo=daniel.ayala1@unisabana.edu.co01"/>
  </r>
  <r>
    <s v="daniel.ayala1@unisabana.edu.co"/>
    <s v="daniel.ayala1@unisabana.edu.co02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daniel.ayala1@unisabana.edu.co02"/>
  </r>
  <r>
    <s v="daniel.ayala1@unisabana.edu.co"/>
    <s v="daniel.ayal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aniel.ayala1@unisabana.edu.co1"/>
  </r>
  <r>
    <s v="daniel.ayala1@unisabana.edu.co"/>
    <s v="daniel.ayala1@unisabana.edu.co2"/>
    <s v="INGENIERï¿½A CIVIL"/>
    <x v="49"/>
    <x v="0"/>
    <x v="0"/>
    <s v="Completa"/>
    <s v="Pregrado"/>
    <s v="FACULTAD DE INGENIERÍA"/>
    <s v="https://ProfCatedra2024.sawtoothsoftware.com/cgi-bin/ciwweb.pl?studyname=ProfCatedra2024&amp;Correo=daniel.ayala1@unisabana.edu.co2"/>
  </r>
  <r>
    <s v="daniel.gomez5@unisabana.edu.co"/>
    <s v="daniel.gomez5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daniel.gomez5@unisabana.edu.co01"/>
  </r>
  <r>
    <s v="daniel.parra@unisabana.edu.co"/>
    <s v="daniel.parra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daniel.parra@unisabana.edu.co1"/>
  </r>
  <r>
    <s v="daniel.ramirez1@unisabana.edu.co"/>
    <s v="daniel.ramirez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daniel.ramirez1@unisabana.edu.co1"/>
  </r>
  <r>
    <s v="daniel.rodriguez8@unisabana.edu.co"/>
    <s v="daniel.rodriguez8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daniel.rodriguez8@unisabana.edu.co01"/>
  </r>
  <r>
    <s v="daniel.saavedra@unisabana.edu.co"/>
    <s v="daniel.saavedr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aniel.saavedra@unisabana.edu.co1"/>
  </r>
  <r>
    <s v="daniela.barbosa@unisabana.edu.co"/>
    <s v="daniela.barbosa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daniela.barbosa@unisabana.edu.co1"/>
  </r>
  <r>
    <s v="daniela.jurado@unisabana.edu.co"/>
    <s v="daniela.jurado@unisabana.edu.co1"/>
    <s v="MEDICINA"/>
    <x v="4"/>
    <x v="0"/>
    <x v="0"/>
    <s v="Completa"/>
    <s v="Pregrado"/>
    <s v="FACULTAD DE MEDICINA"/>
    <s v="https://ProfCatedra2024.sawtoothsoftware.com/cgi-bin/ciwweb.pl?studyname=ProfCatedra2024&amp;Correo=daniela.jurado@unisabana.edu.co1"/>
  </r>
  <r>
    <s v="danna.nunez@unisabana.edu.co"/>
    <s v="danna.nunez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danna.nunez@unisabana.edu.co1"/>
  </r>
  <r>
    <s v="dario.rojas@unisabana.edu.co"/>
    <s v="dario.rojas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dario.rojas@unisabana.edu.co01"/>
  </r>
  <r>
    <s v="dario.rojas@unisabana.edu.co"/>
    <s v="dario.rojas@unisabana.edu.co02"/>
    <s v="Maestrï¿½a en Salud Pï¿½blica"/>
    <x v="70"/>
    <x v="0"/>
    <x v="0"/>
    <s v="Completa"/>
    <s v="Posgrado"/>
    <s v="FACULTAD DE MEDICINA"/>
    <s v="https://ProfCatedra2024.sawtoothsoftware.com/cgi-bin/ciwweb.pl?studyname=ProfCatedra2024&amp;Correo=dario.rojas@unisabana.edu.co02"/>
  </r>
  <r>
    <s v="dario.rojas@unisabana.edu.co"/>
    <s v="dario.rojas@unisabana.edu.co1"/>
    <s v="MEDICINA"/>
    <x v="4"/>
    <x v="0"/>
    <x v="0"/>
    <s v="Completa"/>
    <s v="Pregrado"/>
    <s v="FACULTAD DE MEDICINA"/>
    <s v="https://ProfCatedra2024.sawtoothsoftware.com/cgi-bin/ciwweb.pl?studyname=ProfCatedra2024&amp;Correo=dario.rojas@unisabana.edu.co1"/>
  </r>
  <r>
    <s v="davendanosura@gmail.com"/>
    <s v="DAVENDANOSURA@GMAIL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DAVENDANOSURA@GMAIL.COM1"/>
  </r>
  <r>
    <s v="david.castaneda1@unisabana.edu.co"/>
    <s v="david.castaneda1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david.castaneda1@unisabana.edu.co1"/>
  </r>
  <r>
    <s v="david.ruiz@unisabana.edu.co"/>
    <s v="david.ruiz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david.ruiz@unisabana.edu.co1"/>
  </r>
  <r>
    <s v="david.stewart@unisabana.edu.co"/>
    <s v="david.stewart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david.stewart@unisabana.edu.co1"/>
  </r>
  <r>
    <s v="davidrozo@gmail.com"/>
    <s v="davidrozo@gmail.com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avidrozo@gmail.com1"/>
  </r>
  <r>
    <s v="dayana.moreno1@unisabana.edu.co"/>
    <s v="dayana.moreno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dayana.moreno1@unisabana.edu.co1"/>
  </r>
  <r>
    <s v="dedtmat.garces@unisabana.edu.co"/>
    <s v="dedtmat.garc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dedtmat.garces@unisabana.edu.co1"/>
  </r>
  <r>
    <s v="dedtmat.garces@unisabana.edu.co"/>
    <s v="dedtmat.garce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dedtmat.garces@unisabana.edu.co2"/>
  </r>
  <r>
    <s v="dedtmat.garces@unisabana.edu.co"/>
    <s v="dedtmat.garce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dedtmat.garces@unisabana.edu.co3"/>
  </r>
  <r>
    <s v="deissy.mora@unisabana.edu.co"/>
    <s v="deissy.mora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deissy.mora@unisabana.edu.co1"/>
  </r>
  <r>
    <s v="deisy.forero@unisabana.edu.co"/>
    <s v="deisy.forero@unisabana.edu.co01"/>
    <s v="ESPECIALIZACION EN CONTRATACION ESTATAL IBAGUE"/>
    <x v="66"/>
    <x v="0"/>
    <x v="0"/>
    <s v="Completa"/>
    <s v="Posgrado"/>
    <s v="FACULTAD DE DERECHO Y CIENCIAS POLÍTICAS"/>
    <s v="https://ProfCatedra2024.sawtoothsoftware.com/cgi-bin/ciwweb.pl?studyname=ProfCatedra2024&amp;Correo=deisy.forero@unisabana.edu.co01"/>
  </r>
  <r>
    <s v="deisy.forero@unisabana.edu.co"/>
    <s v="deisy.forero@unisabana.edu.co02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deisy.forero@unisabana.edu.co02"/>
  </r>
  <r>
    <s v="deisy.quiroz@unisabana.edu.co"/>
    <s v="deisy.quiroz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deisy.quiroz@unisabana.edu.co2"/>
  </r>
  <r>
    <s v="diana.alvarez1@unisabana.edu.co"/>
    <s v="diana.alvarez1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diana.alvarez1@unisabana.edu.co01"/>
  </r>
  <r>
    <s v="diana.arcila@unisabana.edu.co"/>
    <s v="diana.arcil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diana.arcila@unisabana.edu.co1"/>
  </r>
  <r>
    <s v="diana.cardenas4@unisabana.edu.co"/>
    <s v="diana.cardenas4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diana.cardenas4@unisabana.edu.co1"/>
  </r>
  <r>
    <s v="diana.cruz3@unisabana.edu.co"/>
    <s v="diana.cruz3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diana.cruz3@unisabana.edu.co01"/>
  </r>
  <r>
    <s v="diana.ferrucho@unisabana.edu.co"/>
    <s v="diana.ferruch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diana.ferrucho@unisabana.edu.co1"/>
  </r>
  <r>
    <s v="diana.garzon8@unisabana.edu.co"/>
    <s v="diana.garzon8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.garzon8@unisabana.edu.co1"/>
  </r>
  <r>
    <s v="diana.leguizamon@unisabana.edu.co"/>
    <s v="diana.leguizamon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.leguizamon@unisabana.edu.co1"/>
  </r>
  <r>
    <s v="diana.patarroyo1@unisabana.edu.co"/>
    <s v="diana.patarroyo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iana.patarroyo1@unisabana.edu.co1"/>
  </r>
  <r>
    <s v="diana.silva3@unisabana.edu.co"/>
    <s v="diana.silva3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diana.silva3@unisabana.edu.co01"/>
  </r>
  <r>
    <s v="diana.velasco@unisabana.edu.co"/>
    <s v="diana.velasc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diana.velasco@unisabana.edu.co01"/>
  </r>
  <r>
    <s v="diana.velasco@unisabana.edu.co"/>
    <s v="diana.velasc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diana.velasco@unisabana.edu.co1"/>
  </r>
  <r>
    <s v="diananimo@unisabana.edu.co"/>
    <s v="diananimo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nimo@unisabana.edu.co1"/>
  </r>
  <r>
    <s v="didier.calderon@unisabana.edu.co"/>
    <s v="didier.caldero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idier.calderon@unisabana.edu.co1"/>
  </r>
  <r>
    <s v="diego.camacho1@unisabana.edu.co"/>
    <s v="diego.camacho1@unisabana.edu.co01"/>
    <s v="Especializaciï¿½n en Gerencia Financiera Internacional - Bogotï¿½"/>
    <x v="73"/>
    <x v="0"/>
    <x v="0"/>
    <s v="Incompleta"/>
    <s v="Posgrado"/>
    <s v="INSTITUTO FORUM"/>
    <s v="https://ProfCatedra2024.sawtoothsoftware.com/cgi-bin/ciwweb.pl?studyname=ProfCatedra2024&amp;Correo=diego.camacho1@unisabana.edu.co01"/>
  </r>
  <r>
    <s v="diego.fonseca@unisabana.edu.co"/>
    <s v="diego.fonseca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diego.fonseca@unisabana.edu.co1"/>
  </r>
  <r>
    <s v="diego.garcia9@unisabana.edu.co"/>
    <s v="diego.garcia9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iego.garcia9@unisabana.edu.co1"/>
  </r>
  <r>
    <s v="diego.ramirez5@unisabana.edu.co"/>
    <s v="diego.ramirez5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diego.ramirez5@unisabana.edu.co1"/>
  </r>
  <r>
    <s v="diego.rodriguez11@unisabana.edu.co"/>
    <s v="diego.rodriguez1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diego.rodriguez11@unisabana.edu.co01"/>
  </r>
  <r>
    <s v="diego.rodriguez11@unisabana.edu.co"/>
    <s v="diego.rodriguez11@unisabana.edu.co02"/>
    <s v="Especializaciï¿½n en Gerencia Financiera Internacional - Chia"/>
    <x v="75"/>
    <x v="0"/>
    <x v="0"/>
    <s v="Completa"/>
    <s v="Posgrado"/>
    <s v="INSTITUTO FORUM"/>
    <s v="https://ProfCatedra2024.sawtoothsoftware.com/cgi-bin/ciwweb.pl?studyname=ProfCatedra2024&amp;Correo=diego.rodriguez11@unisabana.edu.co02"/>
  </r>
  <r>
    <s v="doraat@unisabana.edu.co"/>
    <s v="Doraat@unisabana.edu.co01"/>
    <s v="Especializaciï¿½n en Gerencia Comercial - Bogotï¿½"/>
    <x v="76"/>
    <x v="0"/>
    <x v="0"/>
    <s v="Completa"/>
    <s v="Posgrado"/>
    <s v="INSTITUTO FORUM"/>
    <s v="https://ProfCatedra2024.sawtoothsoftware.com/cgi-bin/ciwweb.pl?studyname=ProfCatedra2024&amp;Correo=Doraat@unisabana.edu.co01"/>
  </r>
  <r>
    <s v="drinconv@gmail.com"/>
    <s v="DRINCONV@GMAIL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DRINCONV@GMAIL.COM1"/>
  </r>
  <r>
    <s v="drinconv@gmail.com"/>
    <s v="DRINCONV@GMAIL.COM2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DRINCONV@GMAIL.COM2"/>
  </r>
  <r>
    <s v="eder.ospino1@unisabana.edu.co"/>
    <s v="eder.ospino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er.ospino1@unisabana.edu.co1"/>
  </r>
  <r>
    <s v="edgar.leon.law@gmail.com"/>
    <s v="EDGAR.LEON.LAW@GMAIL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EDGAR.LEON.LAW@GMAIL.COM1"/>
  </r>
  <r>
    <s v="edgar.munoz1@unisabana.edu.co"/>
    <s v="edgar.munoz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gar.munoz1@unisabana.edu.co1"/>
  </r>
  <r>
    <s v="edgar.rey@unisabana.edu.co"/>
    <s v="edgar.rey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edgar.rey@unisabana.edu.co1"/>
  </r>
  <r>
    <s v="edgardo.cuello@unisabana.edu.co"/>
    <s v="edgardo.cuello@unisabana.edu.co01"/>
    <s v="Especializaciï¿½n En Gerencia Estratï¿½gica - Villavicencio"/>
    <x v="78"/>
    <x v="0"/>
    <x v="0"/>
    <s v="Completa"/>
    <s v="Posgrado"/>
    <s v="INSTITUTO FORUM"/>
    <s v="https://ProfCatedra2024.sawtoothsoftware.com/cgi-bin/ciwweb.pl?studyname=ProfCatedra2024&amp;Correo=edgardo.cuello@unisabana.edu.co01"/>
  </r>
  <r>
    <s v="eduardo.acuna1@unisabana.edu.co"/>
    <s v="eduardo.acuna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uardo.acuna1@unisabana.edu.co1"/>
  </r>
  <r>
    <s v="eduardo.ribeiro@unisabana.edu.co"/>
    <s v="eduardo.ribeir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eduardo.ribeiro@unisabana.edu.co1"/>
  </r>
  <r>
    <s v="efrain.fierro@unisabana.edu.co"/>
    <s v="efrain.fierr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efrain.fierro@unisabana.edu.co1"/>
  </r>
  <r>
    <s v="ejustariz@ustarizabogados.com"/>
    <s v="EJUSTARIZ@USTARIZABOGADOS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EJUSTARIZ@USTARIZABOGADOS.COM1"/>
  </r>
  <r>
    <s v="ejustariz@ustarizabogados.com"/>
    <s v="EJUSTARIZ@USTARIZABOGADOS.COM2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EJUSTARIZ@USTARIZABOGADOS.COM2"/>
  </r>
  <r>
    <s v="eliana.lozano@unisabana.edu.co"/>
    <s v="eliana.lozan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eliana.lozano@unisabana.edu.co1"/>
  </r>
  <r>
    <s v="eliana.mahecha@unisabana.edu.co"/>
    <s v="eliana.mahecha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eliana.mahecha@unisabana.edu.co1"/>
  </r>
  <r>
    <s v="elias.amaya1@unisabana.edu.co"/>
    <s v="elias.amay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elias.amaya1@unisabana.edu.co1"/>
  </r>
  <r>
    <s v="fabian.dulce@unisabana.edu.co"/>
    <s v="fabian.dulce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fabian.dulce@unisabana.edu.co1"/>
  </r>
  <r>
    <s v="fabio.gil1@unisabana.edu.co"/>
    <s v="fabio.gil1@unisabana.edu.co1"/>
    <s v="MEDICINA"/>
    <x v="4"/>
    <x v="0"/>
    <x v="0"/>
    <s v="Completa"/>
    <s v="Pregrado"/>
    <s v="FACULTAD DE MEDICINA"/>
    <s v="https://ProfCatedra2024.sawtoothsoftware.com/cgi-bin/ciwweb.pl?studyname=ProfCatedra2024&amp;Correo=fabio.gil1@unisabana.edu.co1"/>
  </r>
  <r>
    <s v="faviorm@unisabana.edu.co"/>
    <s v="Faviorm@unisabana.edu.co01"/>
    <s v="Especializaciï¿½n en Pediatrï¿½a"/>
    <x v="79"/>
    <x v="0"/>
    <x v="0"/>
    <s v="Completa"/>
    <s v="Posgrado"/>
    <s v="FACULTAD DE MEDICINA"/>
    <s v="https://ProfCatedra2024.sawtoothsoftware.com/cgi-bin/ciwweb.pl?studyname=ProfCatedra2024&amp;Correo=Faviorm@unisabana.edu.co01"/>
  </r>
  <r>
    <s v="fbernate@franciscobernate.com"/>
    <s v="FBERNATE@FRANCISCOBERNATE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FBERNATE@FRANCISCOBERNATE.COM1"/>
  </r>
  <r>
    <s v="fbravo@bravoabogados.co"/>
    <s v="FBRAVO@BRAVOABOGADOS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FBRAVO@BRAVOABOGADOS.CO1"/>
  </r>
  <r>
    <s v="felipe.arroyave@unisabana.edu.co"/>
    <s v="Felipe.Arroyave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Felipe.Arroyave@unisabana.edu.co1"/>
  </r>
  <r>
    <s v="felipe.casas1@unisabana.edu.co"/>
    <s v="felipe.casas1@unisabana.edu.co01"/>
    <s v="Especializaciï¿½n en Cirugï¿½a General"/>
    <x v="80"/>
    <x v="0"/>
    <x v="0"/>
    <s v="Completa"/>
    <s v="Posgrado"/>
    <s v="FACULTAD DE MEDICINA"/>
    <s v="https://ProfCatedra2024.sawtoothsoftware.com/cgi-bin/ciwweb.pl?studyname=ProfCatedra2024&amp;Correo=felipe.casas1@unisabana.edu.co01"/>
  </r>
  <r>
    <s v="felipe.huertas@unisabana.edu.co"/>
    <s v="felipe.huertas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felipe.huertas@unisabana.edu.co1"/>
  </r>
  <r>
    <s v="felipe.turbay@unisabana.edu.co"/>
    <s v="felipe.turbay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felipe.turbay@unisabana.edu.co1"/>
  </r>
  <r>
    <s v="fernando.camacho@unisabana.edu.co"/>
    <s v="fernando.camacho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fernando.camacho@unisabana.edu.co01"/>
  </r>
  <r>
    <s v="fernandoc@unisabana.edu.co"/>
    <s v="FernandoC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FernandoC@unisabana.edu.co01"/>
  </r>
  <r>
    <s v="fernandoc@unisabana.edu.co"/>
    <s v="FernandoC@unisabana.edu.co02"/>
    <s v="Especializaciï¿½n en Gerencia Financiera Internacional - Bogotï¿½"/>
    <x v="73"/>
    <x v="0"/>
    <x v="0"/>
    <s v="Completa"/>
    <s v="Posgrado"/>
    <s v="INSTITUTO FORUM"/>
    <s v="https://ProfCatedra2024.sawtoothsoftware.com/cgi-bin/ciwweb.pl?studyname=ProfCatedra2024&amp;Correo=FernandoC@unisabana.edu.co02"/>
  </r>
  <r>
    <s v="fernandocg@unisabana.edu.co"/>
    <s v="FernandoCG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FernandoCG@unisabana.edu.co1"/>
  </r>
  <r>
    <s v="fernandopicozuniga@gmail.com"/>
    <s v="FERNANDOPICOZUNIGA@G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FERNANDOPICOZUNIGA@GMAIL.COM1"/>
  </r>
  <r>
    <s v="fhumar@fabiohumar.com"/>
    <s v="FHUMAR@FABIOHUMAR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FHUMAR@FABIOHUMAR.COM1"/>
  </r>
  <r>
    <s v="flavio.puentes1@unisabana.edu.co"/>
    <s v="flavio.puentes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flavio.puentes1@unisabana.edu.co01"/>
  </r>
  <r>
    <s v="flor.rodriguez2@unisabana.edu.co"/>
    <s v="flor.rodriguez2@unisabana.edu.co1"/>
    <s v="MEDICINA"/>
    <x v="4"/>
    <x v="0"/>
    <x v="0"/>
    <s v="Completa"/>
    <s v="Pregrado"/>
    <s v="FACULTAD DE MEDICINA"/>
    <s v="https://ProfCatedra2024.sawtoothsoftware.com/cgi-bin/ciwweb.pl?studyname=ProfCatedra2024&amp;Correo=flor.rodriguez2@unisabana.edu.co1"/>
  </r>
  <r>
    <s v="francisco.casas@unisabana.edu.co"/>
    <s v="francisco.casas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francisco.casas@unisabana.edu.co1"/>
  </r>
  <r>
    <s v="francisco.casas@unisabana.edu.co"/>
    <s v="francisco.casas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francisco.casas@unisabana.edu.co2"/>
  </r>
  <r>
    <s v="franklyn.rodriguez@unisabana.edu.co"/>
    <s v="franklyn.rodriguez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franklyn.rodriguez@unisabana.edu.co1"/>
  </r>
  <r>
    <s v="freddy.saavedra@unisabana.edu.co"/>
    <s v="freddy.saavedra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freddy.saavedra@unisabana.edu.co1"/>
  </r>
  <r>
    <s v="gabriel.ariza1@unisabana.edu.co"/>
    <s v="gabriel.ariza1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gabriel.ariza1@unisabana.edu.co01"/>
  </r>
  <r>
    <s v="gabriel.bonilla@unisabana.edu.co"/>
    <s v="gabriel.bonilla@unisabana.edu.co0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1"/>
  </r>
  <r>
    <s v="gabriel.bonilla@unisabana.edu.co"/>
    <s v="gabriel.bonilla@unisabana.edu.co0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2"/>
  </r>
  <r>
    <s v="gabriel.pena@unisabana.edu.co"/>
    <s v="gabriel.pen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gabriel.pena@unisabana.edu.co1"/>
  </r>
  <r>
    <s v="gabriela.atehortua@unisabana.edu.co"/>
    <s v="gabriela.atehortua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gabriela.atehortua@unisabana.edu.co01"/>
  </r>
  <r>
    <s v="gabriela.atehortua@unisabana.edu.co"/>
    <s v="gabriela.atehortua@unisabana.edu.co02"/>
    <s v="MAESTRï¿½A EN PEDAGOGï¿½A - HUILA"/>
    <x v="81"/>
    <x v="0"/>
    <x v="0"/>
    <s v="Completa"/>
    <s v="Posgrado"/>
    <s v="FACULTAD DE EDUCACIÓN"/>
    <s v="https://ProfCatedra2024.sawtoothsoftware.com/cgi-bin/ciwweb.pl?studyname=ProfCatedra2024&amp;Correo=gabriela.atehortua@unisabana.edu.co02"/>
  </r>
  <r>
    <s v="gabriela.atehortua@unisabana.edu.co"/>
    <s v="gabriela.atehortua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gabriela.atehortua@unisabana.edu.co1"/>
  </r>
  <r>
    <s v="gabriela.hernandez@unisabana.edu.co"/>
    <s v="gabriela.hernandez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gabriela.hernandez@unisabana.edu.co01"/>
  </r>
  <r>
    <s v="gerardo.mendoza@unisabana.edu.co"/>
    <s v="gerardo.mendoza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gerardo.mendoza@unisabana.edu.co1"/>
  </r>
  <r>
    <s v="gerardor@unisabana.edu.co"/>
    <s v="gerardoR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gerardoR@unisabana.edu.co01"/>
  </r>
  <r>
    <s v="gerardor@unisabana.edu.co"/>
    <s v="gerardoR@unisabana.edu.co02"/>
    <s v="Especializaciï¿½n en Gerencia Financiera Internacional - Bogotï¿½"/>
    <x v="73"/>
    <x v="0"/>
    <x v="0"/>
    <s v="Completa"/>
    <s v="Posgrado"/>
    <s v="INSTITUTO FORUM"/>
    <s v="https://ProfCatedra2024.sawtoothsoftware.com/cgi-bin/ciwweb.pl?studyname=ProfCatedra2024&amp;Correo=gerardoR@unisabana.edu.co02"/>
  </r>
  <r>
    <s v="german.ahumada@unisabana.edu.co"/>
    <s v="german.ahumad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german.ahumada@unisabana.edu.co1"/>
  </r>
  <r>
    <s v="german.fontanilla@unisabana.edu.co"/>
    <s v="german.fontanilla@unisabana.edu.co1"/>
    <s v="MEDICINA"/>
    <x v="4"/>
    <x v="0"/>
    <x v="0"/>
    <s v="Completa"/>
    <s v="Pregrado"/>
    <s v="FACULTAD DE MEDICINA"/>
    <s v="https://ProfCatedra2024.sawtoothsoftware.com/cgi-bin/ciwweb.pl?studyname=ProfCatedra2024&amp;Correo=german.fontanilla@unisabana.edu.co1"/>
  </r>
  <r>
    <s v="germanarango@yahoo.com"/>
    <s v="GERMANARANGO@YAHOO.COM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GERMANARANGO@YAHOO.COM1"/>
  </r>
  <r>
    <s v="germanarango@yahoo.com"/>
    <s v="GERMANARANGO@YAHOO.COM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GERMANARANGO@YAHOO.COM2"/>
  </r>
  <r>
    <s v="germanhr@unisabana.edu.co"/>
    <s v="Germanhr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Germanhr@unisabana.edu.co01"/>
  </r>
  <r>
    <s v="germanhr@unisabana.edu.co"/>
    <s v="Germanhr@unisabana.edu.co02"/>
    <s v="MAESTRIA EN PSICOLOGIA DE LA SALUD Y DISCAPACIDAD"/>
    <x v="46"/>
    <x v="0"/>
    <x v="0"/>
    <s v="Completa"/>
    <s v="Posgrado"/>
    <s v="FACULTAD DE PSICOLOGÍA"/>
    <s v="https://ProfCatedra2024.sawtoothsoftware.com/cgi-bin/ciwweb.pl?studyname=ProfCatedra2024&amp;Correo=Germanhr@unisabana.edu.co02"/>
  </r>
  <r>
    <s v="gicel.rodriguez@unisabana.edu.co"/>
    <s v="gicel.rodrigu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gicel.rodriguez@unisabana.edu.co1"/>
  </r>
  <r>
    <s v="gilberto.calero@unisabana.edu.co"/>
    <s v="gilberto.caler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gilberto.calero@unisabana.edu.co1"/>
  </r>
  <r>
    <s v="gina.montano1@unisabana.edu.co"/>
    <s v="gina.montano1@unisabana.edu.co1"/>
    <s v="MEDICINA"/>
    <x v="4"/>
    <x v="0"/>
    <x v="0"/>
    <s v="Completa"/>
    <s v="Pregrado"/>
    <s v="FACULTAD DE MEDICINA"/>
    <s v="https://ProfCatedra2024.sawtoothsoftware.com/cgi-bin/ciwweb.pl?studyname=ProfCatedra2024&amp;Correo=gina.montano1@unisabana.edu.co1"/>
  </r>
  <r>
    <s v="gina.rodriguez1@unisabana.edu.co"/>
    <s v="gina.rodriguez1@unisabana.edu.co01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gina.rodriguez1@unisabana.edu.co01"/>
  </r>
  <r>
    <s v="giovanny.roa@unisabana.edu.co"/>
    <s v="giovanny.roa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giovanny.roa@unisabana.edu.co01"/>
  </r>
  <r>
    <s v="giovanny.roa@unisabana.edu.co"/>
    <s v="giovanny.roa@unisabana.edu.co02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giovanny.roa@unisabana.edu.co02"/>
  </r>
  <r>
    <s v="giovanny.roa@unisabana.edu.co"/>
    <s v="giovanny.roa@unisabana.edu.co07"/>
    <s v="ESPECIALIZACIÃ“N EN EMPRENDIMIENTO Y NEGOCIOS DIGITALES- CHÃA"/>
    <x v="0"/>
    <x v="0"/>
    <x v="0"/>
    <s v="Completa"/>
    <s v="Posgrado"/>
    <s v="INSTITUTO FORUM"/>
    <s v="https://ProfCatedra2024.sawtoothsoftware.com/cgi-bin/ciwweb.pl?studyname=ProfCatedra2024&amp;Correo=giovanny.roa@unisabana.edu.co07"/>
  </r>
  <r>
    <s v="giovannyavbarbosa@gmail.com"/>
    <s v="GIOVANNYAVBARBOSA@G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GIOVANNYAVBARBOSA@GMAIL.COM1"/>
  </r>
  <r>
    <s v="giuliana.zito@unisabana.edu.co"/>
    <s v="giuliana.zito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giuliana.zito@unisabana.edu.co1"/>
  </r>
  <r>
    <s v="gloria.arias@unisabana.edu.co"/>
    <s v="gloria.arias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gloria.arias@unisabana.edu.co1"/>
  </r>
  <r>
    <s v="gloria.delgado@unisabana.edu.co"/>
    <s v="gloria.delgad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gloria.delgado@unisabana.edu.co01"/>
  </r>
  <r>
    <s v="guido.castro@unisabana.edu.co"/>
    <s v="guido.castro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guido.castro@unisabana.edu.co01"/>
  </r>
  <r>
    <s v="gustavo.gomez@unisabana.edu.co"/>
    <s v="gustavo.gomez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gustavo.gomez@unisabana.edu.co01"/>
  </r>
  <r>
    <s v="gustavo.gomez@unisabana.edu.co"/>
    <s v="gustavo.gomez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gustavo.gomez@unisabana.edu.co1"/>
  </r>
  <r>
    <s v="gustavo.ramirez1@unisabana.edu.co"/>
    <s v="gustavo.ramirez1@unisabana.edu.co0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1"/>
  </r>
  <r>
    <s v="gustavo.ramirez1@unisabana.edu.co"/>
    <s v="gustavo.ramirez1@unisabana.edu.co0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2"/>
  </r>
  <r>
    <s v="hans.correa@unisabana.edu.co"/>
    <s v="hans.corre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hans.correa@unisabana.edu.co1"/>
  </r>
  <r>
    <s v="harol.piravaguen@unisabana.edu.co"/>
    <s v="harol.piravaguen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harol.piravaguen@unisabana.edu.co1"/>
  </r>
  <r>
    <s v="harvey.hernandez@unisabana.edu.co"/>
    <s v="harvey.hernandez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harvey.hernandez@unisabana.edu.co1"/>
  </r>
  <r>
    <s v="hector.posso@unisabana.edu.co"/>
    <s v="hector.posso@Unisabana.edu.co01"/>
    <s v="Maestrï¿½a en Epidemiologï¿½a"/>
    <x v="83"/>
    <x v="0"/>
    <x v="0"/>
    <s v="Completa"/>
    <s v="Posgrado"/>
    <s v="FACULTAD DE MEDICINA"/>
    <s v="https://ProfCatedra2024.sawtoothsoftware.com/cgi-bin/ciwweb.pl?studyname=ProfCatedra2024&amp;Correo=hector.posso@Unisabana.edu.co01"/>
  </r>
  <r>
    <s v="hectorfa@unisabana.edu.co"/>
    <s v="HectorFA@unisabana.edu.co1"/>
    <s v="MEDICINA"/>
    <x v="4"/>
    <x v="0"/>
    <x v="0"/>
    <s v="Completa"/>
    <s v="Pregrado"/>
    <s v="FACULTAD DE MEDICINA"/>
    <s v="https://ProfCatedra2024.sawtoothsoftware.com/cgi-bin/ciwweb.pl?studyname=ProfCatedra2024&amp;Correo=HectorFA@unisabana.edu.co1"/>
  </r>
  <r>
    <s v="henry.moya@unisabana.edu.co"/>
    <s v="henry.moy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henry.moya@unisabana.edu.co1"/>
  </r>
  <r>
    <s v="henry.ramirez@unisabana.edu.co"/>
    <s v="henry.ramirez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henry.ramirez@unisabana.edu.co1"/>
  </r>
  <r>
    <s v="hernando.mullet@unisabana.edu.co"/>
    <s v="hernando.mullet@unisabana.edu.co01"/>
    <s v="Especializaciï¿½n en Cuidado Intensivo Pediï¿½trico"/>
    <x v="84"/>
    <x v="0"/>
    <x v="0"/>
    <s v="Completa"/>
    <s v="Posgrado"/>
    <s v="FACULTAD DE MEDICINA"/>
    <s v="https://ProfCatedra2024.sawtoothsoftware.com/cgi-bin/ciwweb.pl?studyname=ProfCatedra2024&amp;Correo=hernando.mullet@unisabana.edu.co01"/>
  </r>
  <r>
    <s v="hugo.camacho@unisabana.edu.co"/>
    <s v="hugo.camacho@unisabana.edu.co1"/>
    <s v="MEDICINA"/>
    <x v="4"/>
    <x v="0"/>
    <x v="0"/>
    <s v="Completa"/>
    <s v="Pregrado"/>
    <s v="FACULTAD DE MEDICINA"/>
    <s v="https://ProfCatedra2024.sawtoothsoftware.com/cgi-bin/ciwweb.pl?studyname=ProfCatedra2024&amp;Correo=hugo.camacho@unisabana.edu.co1"/>
  </r>
  <r>
    <s v="hugo.nino1@unisabana.edu.co"/>
    <s v="hugo.nino1@unisabana.edu.co01"/>
    <s v="Especializaciï¿½n en Gerencia Logï¿½stica - Bogotï¿½"/>
    <x v="85"/>
    <x v="0"/>
    <x v="0"/>
    <s v="Completa"/>
    <s v="Posgrado"/>
    <s v="INSTITUTO FORUM"/>
    <s v="https://ProfCatedra2024.sawtoothsoftware.com/cgi-bin/ciwweb.pl?studyname=ProfCatedra2024&amp;Correo=hugo.nino1@unisabana.edu.co01"/>
  </r>
  <r>
    <s v="hugo.urena@unisabana.edu.co"/>
    <s v="hugo.uren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hugo.urena@unisabana.edu.co1"/>
  </r>
  <r>
    <s v="ignacio.perez@unisabana.edu.co"/>
    <s v="ignacio.perez@unisabana.edu.co01"/>
    <s v="Maestrï¿½a en Gerencia de Operaciones"/>
    <x v="86"/>
    <x v="0"/>
    <x v="0"/>
    <s v="Completa"/>
    <s v="Posgrado"/>
    <s v="ESCUELA INTERNACIONAL DE CIENCIAS ECONÓMICAS Y ADMINISTRATIVAS"/>
    <s v="https://ProfCatedra2024.sawtoothsoftware.com/cgi-bin/ciwweb.pl?studyname=ProfCatedra2024&amp;Correo=ignacio.perez@unisabana.edu.co01"/>
  </r>
  <r>
    <s v="ingri.moreno@unisabana.edu.co"/>
    <s v="ingri.moreno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ingri.moreno@unisabana.edu.co2"/>
  </r>
  <r>
    <s v="ingrid.bustos2@unisabana.edu.co"/>
    <s v="ingrid.bustos2@unisabana.edu.co1"/>
    <s v="MEDICINA"/>
    <x v="4"/>
    <x v="0"/>
    <x v="0"/>
    <s v="Completa"/>
    <s v="Pregrado"/>
    <s v="FACULTAD DE MEDICINA"/>
    <s v="https://ProfCatedra2024.sawtoothsoftware.com/cgi-bin/ciwweb.pl?studyname=ProfCatedra2024&amp;Correo=ingrid.bustos2@unisabana.edu.co1"/>
  </r>
  <r>
    <s v="irma.aristizabal1@unisabana.edu.co"/>
    <s v="irma.aristizabal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irma.aristizabal1@unisabana.edu.co1"/>
  </r>
  <r>
    <s v="isabela.granados@unisabana.edu.co"/>
    <s v="isabela.granados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isabela.granados@unisabana.edu.co1"/>
  </r>
  <r>
    <s v="ivan.lozano@unisabana.edu.co"/>
    <s v="ivan.lozan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ivan.lozano@unisabana.edu.co1"/>
  </r>
  <r>
    <s v="ivan.sierra@unisabana.edu.co"/>
    <s v="ivan.sierr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ivan.sierra@unisabana.edu.co1"/>
  </r>
  <r>
    <s v="ivan.unigarro1@unisabana.edu.co"/>
    <s v="ivan.unigarro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ivan.unigarro1@unisabana.edu.co1"/>
  </r>
  <r>
    <s v="jacqueline.lopez@unisabana.edu.co"/>
    <s v="jacqueline.lop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jacqueline.lopez@unisabana.edu.co1"/>
  </r>
  <r>
    <s v="jader.castano1@unisabana.edu.co"/>
    <s v="jader.castano1@unisabana.edu.co02"/>
    <s v="Especializaciï¿½n en Gerencia de Proyectos con Enfoque en Habilidades Directivas - Chï¿½a"/>
    <x v="88"/>
    <x v="0"/>
    <x v="0"/>
    <s v="Incompleta"/>
    <s v="Posgrado"/>
    <s v="INSTITUTO FORUM"/>
    <s v="https://ProfCatedra2024.sawtoothsoftware.com/cgi-bin/ciwweb.pl?studyname=ProfCatedra2024&amp;Correo=jader.castano1@unisabana.edu.co02"/>
  </r>
  <r>
    <s v="jaime.avila1@unisabana.edu.co"/>
    <s v="jaime.avila1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aime.avila1@unisabana.edu.co1"/>
  </r>
  <r>
    <s v="jaime.barcenas1@unisabana.edu.co"/>
    <s v="jaime.barcenas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ime.barcenas1@unisabana.edu.co1"/>
  </r>
  <r>
    <s v="jaime.marin@unisabana.edu.co"/>
    <s v="jaime.marin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aime.marin@unisabana.edu.co1"/>
  </r>
  <r>
    <s v="jaime.martinez1@unisabana.edu.co"/>
    <s v="jaime.martinez1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1"/>
  </r>
  <r>
    <s v="jaime.martinez1@unisabana.edu.co"/>
    <s v="jaime.martinez1@unisabana.edu.co02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2"/>
  </r>
  <r>
    <s v="jaime.martinez1@unisabana.edu.co"/>
    <s v="jaime.martinez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ime.martinez1@unisabana.edu.co1"/>
  </r>
  <r>
    <s v="jaimechavesv@consultoriajuridicadecolombia.com.co"/>
    <s v="JAIMECHAVESV@CONSULTORIAJURIDICADECOLOMBIA.COM.CO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JAIMECHAVESV@CONSULTORIAJURIDICADECOLOMBIA.COM.CO1"/>
  </r>
  <r>
    <s v="jaimemm@unisabana.edu.co"/>
    <s v="JaimeMM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aimeMM@unisabana.edu.co01"/>
  </r>
  <r>
    <s v="jairo.rubiano@unisabana.edu.co"/>
    <s v="jairo.rubiano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airo.rubiano@unisabana.edu.co1"/>
  </r>
  <r>
    <s v="jairo.zapata@unisabana.edu.co"/>
    <s v="jairo.zapat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jairo.zapata@unisabana.edu.co1"/>
  </r>
  <r>
    <s v="javier.herrera1@unisabana.edu.co"/>
    <s v="javier.herrera1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javier.herrera1@unisabana.edu.co01"/>
  </r>
  <r>
    <s v="javier.jurado2@unisabana.edu.co"/>
    <s v="javier.jurado2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javier.jurado2@unisabana.edu.co01"/>
  </r>
  <r>
    <s v="javier.prada@unisabana.edu.co"/>
    <s v="javier.prada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javier.prada@unisabana.edu.co1"/>
  </r>
  <r>
    <s v="javier.salazar@unisabana.edu.co"/>
    <s v="javier.salazar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vier.salazar@unisabana.edu.co1"/>
  </r>
  <r>
    <s v="javieros@unisabana.edu.co"/>
    <s v="Javier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avierOS@unisabana.edu.co1"/>
  </r>
  <r>
    <s v="javieros@unisabana.edu.co"/>
    <s v="JavierO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avierOS@unisabana.edu.co2"/>
  </r>
  <r>
    <s v="javieros@unisabana.edu.co"/>
    <s v="JavierO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avierOS@unisabana.edu.co3"/>
  </r>
  <r>
    <s v="jehison.fernandez1@unisabana.edu.co"/>
    <s v="jehison.fernand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ehison.fernandez1@unisabana.edu.co1"/>
  </r>
  <r>
    <s v="jeimy.ariza@unisabana.edu.co"/>
    <s v="jeimy.ariza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jeimy.ariza@unisabana.edu.co1"/>
  </r>
  <r>
    <s v="jelbenav@bancolombia.com.co"/>
    <s v="JELBENAV@BANCOLOMBIA.COM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JELBENAV@BANCOLOMBIA.COM.CO1"/>
  </r>
  <r>
    <s v="jenny.rodriguez13@unisabana.edu.co"/>
    <s v="jenny.rodriguez13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jenny.rodriguez13@unisabana.edu.co1"/>
  </r>
  <r>
    <s v="jeronimo.garcia@unisabana.edu.co"/>
    <s v="jeronimo.garci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eronimo.garcia@unisabana.edu.co1"/>
  </r>
  <r>
    <s v="jeronimo.garcia@unisabana.edu.co"/>
    <s v="jeronimo.garcia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eronimo.garcia@unisabana.edu.co3"/>
  </r>
  <r>
    <s v="jesicabiviana9@gmail.com"/>
    <s v="jesicabiviana9@gmail.com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jesicabiviana9@gmail.com1"/>
  </r>
  <r>
    <s v="jessica.upegui@unisabana.edu.co"/>
    <s v="jessica.upegui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essica.upegui@unisabana.edu.co01"/>
  </r>
  <r>
    <s v="jessica.waked@unisabana.edu.co"/>
    <s v="jessica.waked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essica.waked@unisabana.edu.co1"/>
  </r>
  <r>
    <s v="jesus.agreda@unisabana.edu.co"/>
    <s v="jesus.agreda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jesus.agreda@unisabana.edu.co1"/>
  </r>
  <r>
    <s v="jesus.cifuentes@unisabana.edu.co"/>
    <s v="jesus.cifuentes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jesus.cifuentes@unisabana.edu.co1"/>
  </r>
  <r>
    <s v="jf@zartaasociados.com"/>
    <s v="JF@ZARTAASOCIADOS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JF@ZARTAASOCIADOS.COM1"/>
  </r>
  <r>
    <s v="jhebravobu@unal.edu.co"/>
    <s v="jhebravobu@unal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jhebravobu@unal.edu.co1"/>
  </r>
  <r>
    <s v="jhonathan.rodriguez@unisabana.edu.co"/>
    <s v="jhonathan.rodriguez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honathan.rodriguez@unisabana.edu.co1"/>
  </r>
  <r>
    <s v="jimmy.rojas@unisabana.edu.co"/>
    <s v="jimmy.roj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immy.rojas@unisabana.edu.co1"/>
  </r>
  <r>
    <s v="john.cabrera_cont@unisabana.edu.co"/>
    <s v="john.cabrera_cont@unisabana.edu.co02"/>
    <s v="Especializaciï¿½n en Gerencia de Proyectos con Enfoque en Habilidades Directivas - Chï¿½a"/>
    <x v="88"/>
    <x v="0"/>
    <x v="0"/>
    <s v="Completa"/>
    <s v="Posgrado"/>
    <s v="INSTITUTO FORUM"/>
    <s v="https://ProfCatedra2024.sawtoothsoftware.com/cgi-bin/ciwweb.pl?studyname=ProfCatedra2024&amp;Correo=john.cabrera_cont@unisabana.edu.co02"/>
  </r>
  <r>
    <s v="john.feliciano1@unisabana.edu.co"/>
    <s v="john.feliciano1@unisabana.edu.co01"/>
    <s v="Especializaciï¿½n en Farmacologï¿½a Clï¿½nica"/>
    <x v="50"/>
    <x v="0"/>
    <x v="0"/>
    <s v="Completa"/>
    <s v="Posgrado"/>
    <s v="FACULTAD DE MEDICINA"/>
    <s v="https://ProfCatedra2024.sawtoothsoftware.com/cgi-bin/ciwweb.pl?studyname=ProfCatedra2024&amp;Correo=john.feliciano1@unisabana.edu.co01"/>
  </r>
  <r>
    <s v="john.motta@unisabana.edu.co"/>
    <s v="john.mott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ohn.motta@unisabana.edu.co1"/>
  </r>
  <r>
    <s v="john.pinzon1@unisabana.edu.co"/>
    <s v="john.pinzon1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john.pinzon1@unisabana.edu.co1"/>
  </r>
  <r>
    <s v="jorge.avila@unisabana.edu.co"/>
    <s v="jorge.avila@unisabana.edu.co02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jorge.avila@unisabana.edu.co02"/>
  </r>
  <r>
    <s v="jorge.bolivar@unisabana.edu.co"/>
    <s v="jorge.bolivar@unisabana.edu.co01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jorge.bolivar@unisabana.edu.co01"/>
  </r>
  <r>
    <s v="jorge.cortazar@unisabana.edu.co"/>
    <s v="jorge.cortazar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orge.cortazar@unisabana.edu.co1"/>
  </r>
  <r>
    <s v="jorge.leyva1@unisabana.edu.co"/>
    <s v="jorge.leyva1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orge.leyva1@unisabana.edu.co01"/>
  </r>
  <r>
    <s v="jorge.martinez_cont@unisabana.edu.co"/>
    <s v="JORGE.MARTINEZ_CONT@UNISABANA.edu.co01"/>
    <s v="Especializaciï¿½n En Gerencia Estratï¿½gica - Villavicencio"/>
    <x v="78"/>
    <x v="0"/>
    <x v="0"/>
    <s v="Completa"/>
    <s v="Posgrado"/>
    <s v="INSTITUTO FORUM"/>
    <s v="https://ProfCatedra2024.sawtoothsoftware.com/cgi-bin/ciwweb.pl?studyname=ProfCatedra2024&amp;Correo=JORGE.MARTINEZ_CONT@UNISABANA.edu.co01"/>
  </r>
  <r>
    <s v="jorge.sanmartin@unisabana.edu.co"/>
    <s v="jorge.sanmartin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orge.sanmartin@unisabana.edu.co1"/>
  </r>
  <r>
    <s v="jorgevico@unisabana.edu.co"/>
    <s v="jorgevico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orgevico@unisabana.edu.co1"/>
  </r>
  <r>
    <s v="jose.avellaneda@unisabana.edu.co"/>
    <s v="jose.avellaneda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ose.avellaneda@unisabana.edu.co1"/>
  </r>
  <r>
    <s v="jose.bautista2@unisabana.edu.co"/>
    <s v="jose.bautista2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ose.bautista2@unisabana.edu.co1"/>
  </r>
  <r>
    <s v="jose.castano@unisabana.edu.co"/>
    <s v="jose.castano@unisabana.edu.co02"/>
    <s v="Maestrï¿½a en Direcciï¿½n y Gestiï¿½n de Instituciones Educativas - Riohacha"/>
    <x v="92"/>
    <x v="0"/>
    <x v="0"/>
    <s v="Completa"/>
    <s v="Posgrado"/>
    <s v="FACULTAD DE EDUCACIÓN"/>
    <s v="https://ProfCatedra2024.sawtoothsoftware.com/cgi-bin/ciwweb.pl?studyname=ProfCatedra2024&amp;Correo=jose.castano@unisabana.edu.co02"/>
  </r>
  <r>
    <s v="jose.castano1@unisabana.edu.co"/>
    <s v="jose.castano1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ose.castano1@unisabana.edu.co1"/>
  </r>
  <r>
    <s v="jose.diaz2@unisabana.edu.co"/>
    <s v="jose.diaz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jose.diaz2@unisabana.edu.co1"/>
  </r>
  <r>
    <s v="jose.jerez@unisabana.edu.co"/>
    <s v="jose.jerez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ose.jerez@unisabana.edu.co1"/>
  </r>
  <r>
    <s v="jose.mejia@unisabana.edu.co"/>
    <s v="jose.mejia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jose.mejia@unisabana.edu.co01"/>
  </r>
  <r>
    <s v="jose.mejia@unisabana.edu.co"/>
    <s v="jose.mejia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ose.mejia@unisabana.edu.co1"/>
  </r>
  <r>
    <s v="jose.parra@unisabana.edu.co"/>
    <s v="jose.parr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ose.parra@unisabana.edu.co1"/>
  </r>
  <r>
    <s v="jose.riano@unisabana.edu.co"/>
    <s v="jose.rian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ose.riano@unisabana.edu.co1"/>
  </r>
  <r>
    <s v="jose.riveros1@unisabana.edu.co"/>
    <s v="jose.riveros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ose.riveros1@unisabana.edu.co1"/>
  </r>
  <r>
    <s v="jose.rodriguez13@unisabana.edu.co"/>
    <s v="jose.rodriguez13@unisabana.edu.co01"/>
    <s v="Especializaciï¿½n en Gerencia de Proyectos con Enfoque en Habilidades Directivas - Bogotï¿½"/>
    <x v="93"/>
    <x v="0"/>
    <x v="0"/>
    <s v="Incompleta"/>
    <s v="Posgrado"/>
    <s v="INSTITUTO FORUM"/>
    <s v="https://ProfCatedra2024.sawtoothsoftware.com/cgi-bin/ciwweb.pl?studyname=ProfCatedra2024&amp;Correo=jose.rodriguez13@unisabana.edu.co01"/>
  </r>
  <r>
    <s v="jose.sanchez8@unisabana.edu.co"/>
    <s v="jose.sanchez8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jose.sanchez8@unisabana.edu.co1"/>
  </r>
  <r>
    <s v="jose.sarmiento2@unisabana.edu.co"/>
    <s v="jose.sarmiento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jose.sarmiento2@unisabana.edu.co1"/>
  </r>
  <r>
    <s v="joseroa@unisabana.edu.co"/>
    <s v="JoseRoA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oseRoA@unisabana.edu.co1"/>
  </r>
  <r>
    <s v="juan.acevedo3@unisabana.edu.co"/>
    <s v="juan.acevedo3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juan.acevedo3@unisabana.edu.co1"/>
  </r>
  <r>
    <s v="juan.beltran4@unisabana.edu.co"/>
    <s v="juan.beltran4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uan.beltran4@unisabana.edu.co1"/>
  </r>
  <r>
    <s v="juan.bernal9@unisabana.edu.co"/>
    <s v="juan.bernal9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bernal9@unisabana.edu.co1"/>
  </r>
  <r>
    <s v="juan.betancourt@unisabana.edu.co"/>
    <s v="juan.betancourt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uan.betancourt@unisabana.edu.co1"/>
  </r>
  <r>
    <s v="juan.castiblanco1@unisabana.edu.co"/>
    <s v="juan.castiblanco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juan.castiblanco1@unisabana.edu.co1"/>
  </r>
  <r>
    <s v="juan.cobos@unisabana.edu.co"/>
    <s v="juan.cob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cobos@unisabana.edu.co1"/>
  </r>
  <r>
    <s v="juan.cobos@unisabana.edu.co"/>
    <s v="juan.cobo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an.cobos@unisabana.edu.co2"/>
  </r>
  <r>
    <s v="juan.cobos@unisabana.edu.co"/>
    <s v="juan.cobo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uan.cobos@unisabana.edu.co3"/>
  </r>
  <r>
    <s v="juan.correales@unisabana.edu.co"/>
    <s v="juan.correale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juan.correales@unisabana.edu.co01"/>
  </r>
  <r>
    <s v="juan.enciso2@unisabana.edu.co"/>
    <s v="juan.enciso2@unisabana.edu.co01"/>
    <s v="ESPECIALIZACIï¿½N EN PEDAGOGï¿½A E INVESTIGACIï¿½N EN EL AULA"/>
    <x v="94"/>
    <x v="0"/>
    <x v="0"/>
    <s v="Completa"/>
    <s v="Posgrado"/>
    <s v="FACULTAD DE EDUCACIÓN"/>
    <s v="https://ProfCatedra2024.sawtoothsoftware.com/cgi-bin/ciwweb.pl?studyname=ProfCatedra2024&amp;Correo=juan.enciso2@unisabana.edu.co01"/>
  </r>
  <r>
    <s v="juan.enciso2@unisabana.edu.co"/>
    <s v="juan.enciso2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juan.enciso2@unisabana.edu.co1"/>
  </r>
  <r>
    <s v="juan.espejo1@unisabana.edu.co"/>
    <s v="juan.espejo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uan.espejo1@unisabana.edu.co01"/>
  </r>
  <r>
    <s v="juan.espinosa2@unisabana.edu.co"/>
    <s v="juan.espinosa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espinosa2@unisabana.edu.co1"/>
  </r>
  <r>
    <s v="juan.garcia12@unisabana.edu.co"/>
    <s v="juan.garcia12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uan.garcia12@unisabana.edu.co1"/>
  </r>
  <r>
    <s v="juan.garcia13@unisabana.edu.co"/>
    <s v="juan.garcia13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arcia13@unisabana.edu.co1"/>
  </r>
  <r>
    <s v="juan.giraldo1@unisabana.edu.co"/>
    <s v="juan.girald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iraldo1@unisabana.edu.co1"/>
  </r>
  <r>
    <s v="juan.gonzalez10@unisabana.edu.co"/>
    <s v="juan.gonzalez10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onzalez10@unisabana.edu.co1"/>
  </r>
  <r>
    <s v="juan.grosso1@unisabana.edu.co"/>
    <s v="juan.grosso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uan.grosso1@unisabana.edu.co01"/>
  </r>
  <r>
    <s v="juan.gutierrez1@unisabana.edu.co"/>
    <s v="juan.gutierrez1@unisabana.edu.co01"/>
    <s v="Especializaciï¿½n en Gerencia Comercial - Chia"/>
    <x v="95"/>
    <x v="0"/>
    <x v="0"/>
    <s v="Completa"/>
    <s v="Posgrado"/>
    <s v="INSTITUTO FORUM"/>
    <s v="https://ProfCatedra2024.sawtoothsoftware.com/cgi-bin/ciwweb.pl?studyname=ProfCatedra2024&amp;Correo=juan.gutierrez1@unisabana.edu.co01"/>
  </r>
  <r>
    <s v="juan.gutierrez1@unisabana.edu.co"/>
    <s v="juan.gutierrez1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juan.gutierrez1@unisabana.edu.co02"/>
  </r>
  <r>
    <s v="juan.hernandez@unisabana.edu.co"/>
    <s v="JUAN.HERNANDEZ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UAN.HERNANDEZ@UNISABANA.EDU.CO1"/>
  </r>
  <r>
    <s v="juan.jaramillo1@unisabana.edu.co"/>
    <s v="juan.jaramillo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uan.jaramillo1@unisabana.edu.co1"/>
  </r>
  <r>
    <s v="juan.mojica3@unisabana.edu.co"/>
    <s v="juan.Mojica3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Mojica3@unisabana.edu.co1"/>
  </r>
  <r>
    <s v="alba.munoz@unisabana.edu.co"/>
    <s v="alba.munoz@unisabana.edu.co1"/>
    <s v="LICENCIATURA EN CIENCIAS NATURALES"/>
    <x v="3"/>
    <x v="0"/>
    <x v="1"/>
    <s v="Incompleta"/>
    <s v="Pregrado"/>
    <s v="FACULTAD DE EDUCACIÓN"/>
    <s v="https://ProfCatedra2024.sawtoothsoftware.com/cgi-bin/ciwweb.pl?studyname=ProfCatedra2024&amp;Correo=alba.munoz@unisabana.edu.co1"/>
  </r>
  <r>
    <s v="alexander.jimenez@unisabana.edu.co"/>
    <s v="alexander.jimenez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alexander.jimenez@unisabana.edu.co1"/>
  </r>
  <r>
    <s v="alvaro.pulido@unisabana.edu.co"/>
    <s v="alvaro.pulid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alvaro.pulido@unisabana.edu.co1"/>
  </r>
  <r>
    <s v="alver.castillo@unisabana.edu.co"/>
    <s v="alver.castillo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alver.castillo@unisabana.edu.co1"/>
  </r>
  <r>
    <s v="ana.moreno3@unisabana.edu.co"/>
    <s v="ana.moreno3@unisabana.edu.co1"/>
    <s v="MERCADEO"/>
    <x v="24"/>
    <x v="0"/>
    <x v="1"/>
    <s v="Incompleta"/>
    <s v="Pregrado"/>
    <s v="ESCUELA INTERNACIONAL DE CIENCIAS ECONÓMICAS Y ADMINISTRATIVAS"/>
    <s v="https://ProfCatedra2024.sawtoothsoftware.com/cgi-bin/ciwweb.pl?studyname=ProfCatedra2024&amp;Correo=ana.moreno3@unisabana.edu.co1"/>
  </r>
  <r>
    <s v="andres.guevara3@unisabana.edu.co"/>
    <s v="andres.guevara3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andres.guevara3@unisabana.edu.co1"/>
  </r>
  <r>
    <s v="angela.bertieri@unisabana.edu.co"/>
    <s v="angela.bertieri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angela.bertieri@unisabana.edu.co1"/>
  </r>
  <r>
    <s v="angela.romero3@unisabana.edu.co"/>
    <s v="angela.romero3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angela.romero3@unisabana.edu.co1"/>
  </r>
  <r>
    <s v="angelacorga@unisabana.edu.co"/>
    <s v="angelacorga@unisabana.edu.co1"/>
    <s v="CORE CURRICULUM PERSONA Y CULTURA"/>
    <x v="36"/>
    <x v="0"/>
    <x v="1"/>
    <s v="Incompleta"/>
    <s v="Pregrado"/>
    <s v="CORE CURRICULUM PERSONA Y CULTURA"/>
    <s v="https://ProfCatedra2024.sawtoothsoftware.com/cgi-bin/ciwweb.pl?studyname=ProfCatedra2024&amp;Correo=angelacorga@unisabana.edu.co1"/>
  </r>
  <r>
    <s v="antonio.rodriguez@unisabana.edu.co"/>
    <s v="antonio.rodriguez@unisabana.edu.co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antonio.rodriguez@unisabana.edu.co1"/>
  </r>
  <r>
    <s v="camilo.vargas@unisabana.edu.co"/>
    <s v="camilo.vargas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camilo.vargas@unisabana.edu.co1"/>
  </r>
  <r>
    <s v="carlos.gomez21@unisabana.edu.co"/>
    <s v="carlos.gomez21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carlos.gomez21@unisabana.edu.co1"/>
  </r>
  <r>
    <s v="carlos.prias@unisabana.edu.co"/>
    <s v="carlos.prias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carlos.prias@unisabana.edu.co1"/>
  </r>
  <r>
    <s v="carlos.tapias1@unisabana.edu.co"/>
    <s v="carlos.tapias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arlos.tapias1@unisabana.edu.co1"/>
  </r>
  <r>
    <s v="carlos.villalba@clinicaunisabana.edu.co"/>
    <s v="carlos.villalba@clinicaunisabana.edu.co1"/>
    <s v="MEDICINA"/>
    <x v="4"/>
    <x v="0"/>
    <x v="1"/>
    <s v="Incompleta"/>
    <s v="Pregrado"/>
    <s v="FACULTAD DE MEDICINA"/>
    <s v="https://ProfCatedra2024.sawtoothsoftware.com/cgi-bin/ciwweb.pl?studyname=ProfCatedra2024&amp;Correo=carlos.villalba@clinicaunisabana.edu.co1"/>
  </r>
  <r>
    <s v="cesar.beltran@gmail.com"/>
    <s v="cesar.beltran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cesar.beltran@gmail.com1"/>
  </r>
  <r>
    <s v="cesar.diaz1@unisabana.edu.co"/>
    <s v="cesar.dia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esar.diaz1@unisabana.edu.co1"/>
  </r>
  <r>
    <s v="cflorezt@hotmail.com"/>
    <s v="cflorezt@hotmail.com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cflorezt@hotmail.com1"/>
  </r>
  <r>
    <s v="claudia.jaramillo2@unisabana.edu.co"/>
    <s v="claudia.jaramillo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laudia.jaramillo2@unisabana.edu.co1"/>
  </r>
  <r>
    <s v="daniel.gomez5@unisabana.edu.co"/>
    <s v="daniel.gomez5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daniel.gomez5@unisabana.edu.co1"/>
  </r>
  <r>
    <s v="daniel.robayo@unisabana.edu.co"/>
    <s v="daniel.robayo@unisabana.edu.co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daniel.robayo@unisabana.edu.co1"/>
  </r>
  <r>
    <s v="david.avila@unisabana.edu.co"/>
    <s v="david.avila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david.avila@unisabana.edu.co1"/>
  </r>
  <r>
    <s v="davidheme@unisabana.edu.co"/>
    <s v="davidheme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davidheme@unisabana.edu.co1"/>
  </r>
  <r>
    <s v="diego.guevara@unisabana.edu.co"/>
    <s v="diego.guevara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diego.guevara@unisabana.edu.co1"/>
  </r>
  <r>
    <s v="edwin.rojas@unisabana.edu.co"/>
    <s v="edwin.rojas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edwin.rojas@unisabana.edu.co1"/>
  </r>
  <r>
    <s v="faure.rodriguez1@unisabana.edu.co"/>
    <s v="faure.rodrigue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aure.rodriguez1@unisabana.edu.co1"/>
  </r>
  <r>
    <s v="fidelsm@unisabana.edu.co"/>
    <s v="FidelSM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idelSM@unisabana.edu.co1"/>
  </r>
  <r>
    <s v="francisco.moreno2@unisabana.edu.co"/>
    <s v="francisco.moreno2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francisco.moreno2@unisabana.edu.co1"/>
  </r>
  <r>
    <s v="hector.lopez3@unisabana.edu.co"/>
    <s v="hector.lopez3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hector.lopez3@unisabana.edu.co1"/>
  </r>
  <r>
    <s v="ing.karol.moreno@gmail.com"/>
    <s v="ing.karol.moreno@gmail.com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ing.karol.moreno@gmail.com1"/>
  </r>
  <r>
    <s v="jairo.sarmiento@unisabana.edu.co"/>
    <s v="jairo.sarmient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jairo.sarmiento@unisabana.edu.co1"/>
  </r>
  <r>
    <s v="jesus.ruiz@unisabana.edu.co"/>
    <s v="jesus.ruiz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jesus.ruiz@unisabana.edu.co1"/>
  </r>
  <r>
    <s v="jhenny.perez@unisabana.edu.co"/>
    <s v="jhenny.perez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henny.perez@unisabana.edu.co1"/>
  </r>
  <r>
    <s v="jhon.quiceno@unisabana.edu.co"/>
    <s v="jhon.quicen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hon.quiceno@unisabana.edu.co1"/>
  </r>
  <r>
    <s v="john.mora@unisabana.edu.co"/>
    <s v="john.mora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john.mora@unisabana.edu.co1"/>
  </r>
  <r>
    <s v="jose.capera@unisabana.edu.co"/>
    <s v="jose.capera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jose.capera@unisabana.edu.co1"/>
  </r>
  <r>
    <s v="juan.anzola@unisabana.edu.co"/>
    <s v="juan.anzola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juan.anzola@unisabana.edu.co1"/>
  </r>
  <r>
    <s v="juan.bargans@unisabana.edu.co"/>
    <s v="Juan.Bargans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Juan.Bargans@unisabana.edu.co1"/>
  </r>
  <r>
    <s v="juan.murillo2@unisabana.edu.co"/>
    <s v="juan.murillo2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uan.murillo2@unisabana.edu.co1"/>
  </r>
  <r>
    <s v="juan.nunez@unisabana.edu.co"/>
    <s v="juan.nunez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juan.nunez@unisabana.edu.co1"/>
  </r>
  <r>
    <s v="juan.quintero14@unisabana.edu.co"/>
    <s v="juan.quintero14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juan.quintero14@unisabana.edu.co1"/>
  </r>
  <r>
    <s v="julia.diaz@unisabana.edu.co"/>
    <s v="julia.diaz@unisabana.edu.co1"/>
    <s v="GESTIï¿½N DE OPERACIONES"/>
    <x v="96"/>
    <x v="0"/>
    <x v="1"/>
    <s v="Incompleta"/>
    <s v="Pregrado"/>
    <s v="ESCUELA INTERNACIONAL DE CIENCIAS ECONÓMICAS Y ADMINISTRATIVAS"/>
    <s v="https://ProfCatedra2024.sawtoothsoftware.com/cgi-bin/ciwweb.pl?studyname=ProfCatedra2024&amp;Correo=julia.diaz@unisabana.edu.co1"/>
  </r>
  <r>
    <s v="julianavete@unisabana.edu.co"/>
    <s v="julianavete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julianavete@unisabana.edu.co1"/>
  </r>
  <r>
    <s v="ka.lee@unisabana.edu.co"/>
    <s v="ka.lee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ka.lee@unisabana.edu.co1"/>
  </r>
  <r>
    <s v="laura.vanegas@unisabana.edu.co"/>
    <s v="laura.vanegas@unisabana.edu.co1"/>
    <s v="MERCADEO"/>
    <x v="24"/>
    <x v="0"/>
    <x v="1"/>
    <s v="Incompleta"/>
    <s v="Pregrado"/>
    <s v="ESCUELA INTERNACIONAL DE CIENCIAS ECONÓMICAS Y ADMINISTRATIVAS"/>
    <s v="https://ProfCatedra2024.sawtoothsoftware.com/cgi-bin/ciwweb.pl?studyname=ProfCatedra2024&amp;Correo=laura.vanegas@unisabana.edu.co1"/>
  </r>
  <r>
    <s v="leslie.aguirre@unisabana.edu.co"/>
    <s v="leslie.aguirre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leslie.aguirre@unisabana.edu.co1"/>
  </r>
  <r>
    <s v="lina.gomez5@unisabana.edu.co"/>
    <s v="lina.gomez5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lina.gomez5@unisabana.edu.co1"/>
  </r>
  <r>
    <s v="luis.barrientos@unisabana.edu.co"/>
    <s v="luis.barrientos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luis.barrientos@unisabana.edu.co1"/>
  </r>
  <r>
    <s v="luis.contreras1@unisabana.edu.co"/>
    <s v="luis.contreras1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luis.contreras1@unisabana.edu.co1"/>
  </r>
  <r>
    <s v="luis.lopez8@unisabana.edu.co"/>
    <s v="luis.lopez8@unisabana.edu.co1"/>
    <s v="GESTIï¿½N DE OPERACIONES"/>
    <x v="96"/>
    <x v="0"/>
    <x v="1"/>
    <s v="Incompleta"/>
    <s v="Pregrado"/>
    <s v="ESCUELA INTERNACIONAL DE CIENCIAS ECONÓMICAS Y ADMINISTRATIVAS"/>
    <s v="https://ProfCatedra2024.sawtoothsoftware.com/cgi-bin/ciwweb.pl?studyname=ProfCatedra2024&amp;Correo=luis.lopez8@unisabana.edu.co1"/>
  </r>
  <r>
    <s v="luis.ordonez1@unisabana.edu.co"/>
    <s v="luis.ordonez1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luis.ordonez1@unisabana.edu.co1"/>
  </r>
  <r>
    <s v="luis_parra02@hotmail.com"/>
    <s v="luis_parra02@hot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luis_parra02@hotmail.com1"/>
  </r>
  <r>
    <s v="luisangro@unisabana.edu.co"/>
    <s v="luisangr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luisangro@unisabana.edu.co1"/>
  </r>
  <r>
    <s v="luz.dueri@unisabana.edu.co"/>
    <s v="luz.dueri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luz.dueri@unisabana.edu.co1"/>
  </r>
  <r>
    <s v="maira.ortegon@unisabana.edu.co"/>
    <s v="maira.ortegon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ira.ortegon@unisabana.edu.co1"/>
  </r>
  <r>
    <s v="maria.granados1@unisabana.edu.co"/>
    <s v="MARIA.GRANADOS1@UNISABANA.EDU.CO1"/>
    <s v="PSICOLOGï¿½A"/>
    <x v="29"/>
    <x v="0"/>
    <x v="1"/>
    <s v="Incompleta"/>
    <s v="Pregrado"/>
    <s v="FACULTAD DE PSICOLOGÍA"/>
    <s v="https://ProfCatedra2024.sawtoothsoftware.com/cgi-bin/ciwweb.pl?studyname=ProfCatedra2024&amp;Correo=MARIA.GRANADOS1@UNISABANA.EDU.CO1"/>
  </r>
  <r>
    <s v="maria.lopez16@unisabana.edu.co"/>
    <s v="maria.lopez16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a.lopez16@unisabana.edu.co1"/>
  </r>
  <r>
    <s v="maria.mora1@unisabana.edu.co"/>
    <s v="maria.mora1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maria.mora1@unisabana.edu.co1"/>
  </r>
  <r>
    <s v="maria.morales10@unisabana.edu.co"/>
    <s v="maria.morales10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aria.morales10@unisabana.edu.co1"/>
  </r>
  <r>
    <s v="maria.quevedo@unisabana.edu.co"/>
    <s v="maria.queved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maria.quevedo@unisabana.edu.co1"/>
  </r>
  <r>
    <s v="mariaderom@unisabana.edu.co"/>
    <s v="mariaderom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ariaderom@unisabana.edu.co1"/>
  </r>
  <r>
    <s v="mario.alvarez2@unisabana.edu.co"/>
    <s v="mario.alvarez2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o.alvarez2@unisabana.edu.co1"/>
  </r>
  <r>
    <s v="mario.manzi@unisabana.edu.co"/>
    <s v="mario.manzi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o.manzi@unisabana.edu.co1"/>
  </r>
  <r>
    <s v="marisolescru@unisabana.edu.co"/>
    <s v="marisolescru@unisabana.edu.co1"/>
    <s v="CORE CURRICULUM PERSONA Y CULTURA"/>
    <x v="36"/>
    <x v="0"/>
    <x v="1"/>
    <s v="Incompleta"/>
    <s v="Pregrado"/>
    <s v="CORE CURRICULUM PERSONA Y CULTURA"/>
    <s v="https://ProfCatedra2024.sawtoothsoftware.com/cgi-bin/ciwweb.pl?studyname=ProfCatedra2024&amp;Correo=marisolescru@unisabana.edu.co1"/>
  </r>
  <r>
    <s v="miguelesch@unisabana.edu.co"/>
    <s v="miguelesch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iguelesch@unisabana.edu.co1"/>
  </r>
  <r>
    <s v="nadia.olea1@unisabana.edu.co"/>
    <s v="nadia.olea1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nadia.olea1@unisabana.edu.co1"/>
  </r>
  <r>
    <s v="nancy.franco@unisabana.edu.co"/>
    <s v="nancy.franco@unisabana.edu.co1"/>
    <s v="LICENCIATURA EN EDUCACIï¿½N INFANTIL"/>
    <x v="34"/>
    <x v="0"/>
    <x v="1"/>
    <s v="Incompleta"/>
    <s v="Pregrado"/>
    <s v="FACULTAD DE EDUCACIÓN"/>
    <s v="https://ProfCatedra2024.sawtoothsoftware.com/cgi-bin/ciwweb.pl?studyname=ProfCatedra2024&amp;Correo=nancy.franco@unisabana.edu.co1"/>
  </r>
  <r>
    <s v="oscar.parra2@unisabana.edu.co"/>
    <s v="oscar.parra2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oscar.parra2@unisabana.edu.co1"/>
  </r>
  <r>
    <s v="pedro.garcia@unisabana.edu.co"/>
    <s v="pedro.garcia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pedro.garcia@unisabana.edu.co1"/>
  </r>
  <r>
    <s v="pedrorasa@unisabana.edu.co"/>
    <s v="pedrorasa@unisabana.edu.co1"/>
    <s v="LICENCIATURA EN CIENCIAS NATURALES"/>
    <x v="3"/>
    <x v="0"/>
    <x v="1"/>
    <s v="Incompleta"/>
    <s v="Pregrado"/>
    <s v="FACULTAD DE EDUCACIÓN"/>
    <s v="https://ProfCatedra2024.sawtoothsoftware.com/cgi-bin/ciwweb.pl?studyname=ProfCatedra2024&amp;Correo=pedrorasa@unisabana.edu.co1"/>
  </r>
  <r>
    <s v="rodinson.arrieta_cont@unisabana.edu.co"/>
    <s v="rodinson.arrieta_cont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rodinson.arrieta_cont@unisabana.edu.co1"/>
  </r>
  <r>
    <s v="rodrigo.toro@unisabana.edu.co"/>
    <s v="rodrigo.tor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rodrigo.toro@unisabana.edu.co1"/>
  </r>
  <r>
    <s v="s.tellolee@gmail.com"/>
    <s v="s.tellolee@gmail.com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s.tellolee@gmail.com1"/>
  </r>
  <r>
    <s v="santiagoride@unisabana.edu.co"/>
    <s v="santiagoride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antiagoride@unisabana.edu.co1"/>
  </r>
  <r>
    <s v="sergiogr9506@gmail.com"/>
    <s v="sergiogr9506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ergiogr9506@gmail.com1"/>
  </r>
  <r>
    <s v="squevedor92@gmail.com"/>
    <s v="squevedor92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quevedor92@gmail.com1"/>
  </r>
  <r>
    <s v="stephan.langdon@unisabana.edu.co"/>
    <s v="stephan.langdon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stephan.langdon@unisabana.edu.co1"/>
  </r>
  <r>
    <s v="tatiana.monsalve@unisabana.edu.co"/>
    <s v="tatiana.monsalve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tatiana.monsalve@unisabana.edu.co1"/>
  </r>
  <r>
    <s v="valentina.vieira1@unisabana.edu.co"/>
    <s v="valentina.vieira1@unisabana.edu.co1"/>
    <s v="COMUNICACIï¿½N CORPORATIVA"/>
    <x v="43"/>
    <x v="0"/>
    <x v="1"/>
    <s v="Incompleta"/>
    <s v="Pregrado"/>
    <s v="FACULTAD DE COMUNICACIÓN"/>
    <s v="https://ProfCatedra2024.sawtoothsoftware.com/cgi-bin/ciwweb.pl?studyname=ProfCatedra2024&amp;Correo=valentina.vieira1@unisabana.edu.co1"/>
  </r>
  <r>
    <s v="vera.nunez@unisabana.edu.co"/>
    <s v="vera.nunez@unisabana.edu.co1"/>
    <s v="ENFERMERï¿½A"/>
    <x v="57"/>
    <x v="0"/>
    <x v="1"/>
    <s v="Incompleta"/>
    <s v="Pregrado"/>
    <s v="FACULTAD DE ENFERMERÍA Y REHABILITACIÓN"/>
    <s v="https://ProfCatedra2024.sawtoothsoftware.com/cgi-bin/ciwweb.pl?studyname=ProfCatedra2024&amp;Correo=vera.nunez@unisabana.edu.co1"/>
  </r>
  <r>
    <s v="victor.alvarez@unisabana.edu.co"/>
    <s v="victor.alvarez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victor.alvarez@unisabana.edu.co1"/>
  </r>
  <r>
    <s v="victor.rojas1@unisabana.edu.co"/>
    <s v="victor.rojas1@unisabana.edu.co1"/>
    <s v="LICENCIATURA EN EDUCACIï¿½N INFANTIL"/>
    <x v="34"/>
    <x v="0"/>
    <x v="1"/>
    <s v="Incompleta"/>
    <s v="Pregrado"/>
    <s v="FACULTAD DE EDUCACIÓN"/>
    <s v="https://ProfCatedra2024.sawtoothsoftware.com/cgi-bin/ciwweb.pl?studyname=ProfCatedra2024&amp;Correo=victor.rojas1@unisabana.edu.co1"/>
  </r>
  <r>
    <s v="william.torres@unisabana.edu.co"/>
    <s v="william.torres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william.torres@unisabana.edu.co1"/>
  </r>
  <r>
    <s v="wilson.balaguera@unisabana.edu.co"/>
    <s v="wilson.balaguera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wilson.balaguera@unisabana.edu.co1"/>
  </r>
  <r>
    <s v="oscar.parra2@unisabana.edu.co"/>
    <s v="oscar.parra2@unisabana.edu.co2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oscar.parra2@unisabana.edu.co2"/>
  </r>
  <r>
    <s v="yaleni.solano@unisabana.edu.co"/>
    <s v="yaleni.solano@unisabana.edu.co3"/>
    <s v="COMUNICACIï¿½N CORPORATIVA"/>
    <x v="43"/>
    <x v="0"/>
    <x v="1"/>
    <s v="Incompleta"/>
    <s v="Pregrado"/>
    <s v="FACULTAD DE COMUNICACIÓN"/>
    <s v="https://ProfCatedra2024.sawtoothsoftware.com/cgi-bin/ciwweb.pl?studyname=ProfCatedra2024&amp;Correo=yaleni.solano@unisabana.edu.co3"/>
  </r>
  <r>
    <s v="maria.areiza@unisabana.edu.co"/>
    <s v="maria.areiza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ria.areiza@unisabana.edu.co1"/>
  </r>
  <r>
    <s v="gabriel.ariza1@unisabana.edu.co"/>
    <s v="gabriel.ariza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gabriel.ariza1@unisabana.edu.co1"/>
  </r>
  <r>
    <s v="carlos.bustamante@unisabana.edu.co"/>
    <s v="carlos.bustamante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arlos.bustamante@unisabana.edu.co1"/>
  </r>
  <r>
    <s v="francisco.calle@unisabana.edu.co"/>
    <s v="francisco.calle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rancisco.calle@unisabana.edu.co1"/>
  </r>
  <r>
    <s v="jorge.casas1@unisabana.edu.co"/>
    <s v="jorge.casas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jorge.casas1@unisabana.edu.co1"/>
  </r>
  <r>
    <s v="freddy.cifuentes1@unisabana.edu.co"/>
    <s v="freddy.cifuentes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reddy.cifuentes1@unisabana.edu.co1"/>
  </r>
  <r>
    <s v="angela.correal2@unisabana.edu.co"/>
    <s v="angela.correal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ela.correal2@unisabana.edu.co1"/>
  </r>
  <r>
    <s v="marisol.escano@unisabana.edu.co"/>
    <s v="marisol.escan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risol.escano@unisabana.edu.co1"/>
  </r>
  <r>
    <s v="zhenia.guzman@unisabana.edu.co"/>
    <s v="zhenia.guzman@unisabana.edu.co1"/>
    <s v="MEDICINA"/>
    <x v="4"/>
    <x v="0"/>
    <x v="1"/>
    <s v="Incompleta"/>
    <s v="Pregrado"/>
    <s v="FACULTAD DE MEDICINA"/>
    <s v="https://ProfCatedra2024.sawtoothsoftware.com/cgi-bin/ciwweb.pl?studyname=ProfCatedra2024&amp;Correo=zhenia.guzman@unisabana.edu.co1"/>
  </r>
  <r>
    <s v="guillermo.hunter@unisabana.edu.co"/>
    <s v="guillermo.hunter@unisabana.edu.co1"/>
    <s v="MEDICINA"/>
    <x v="4"/>
    <x v="0"/>
    <x v="1"/>
    <s v="Incompleta"/>
    <s v="Pregrado"/>
    <s v="FACULTAD DE MEDICINA"/>
    <s v="https://ProfCatedra2024.sawtoothsoftware.com/cgi-bin/ciwweb.pl?studyname=ProfCatedra2024&amp;Correo=guillermo.hunter@unisabana.edu.co1"/>
  </r>
  <r>
    <s v="angie.lopez1@unisabana.edu.co"/>
    <s v="angie.lope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ie.lopez1@unisabana.edu.co1"/>
  </r>
  <r>
    <s v="ana.moreno4@unisabana.edu.co"/>
    <s v="ana.moreno4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a.moreno4@unisabana.edu.co1"/>
  </r>
  <r>
    <s v="nathaly.motta@unisabana.edu.co"/>
    <s v="nathaly.motta@unisabana.edu.co1"/>
    <s v="MEDICINA"/>
    <x v="4"/>
    <x v="0"/>
    <x v="1"/>
    <s v="Incompleta"/>
    <s v="Pregrado"/>
    <s v="FACULTAD DE MEDICINA"/>
    <s v="https://ProfCatedra2024.sawtoothsoftware.com/cgi-bin/ciwweb.pl?studyname=ProfCatedra2024&amp;Correo=nathaly.motta@unisabana.edu.co1"/>
  </r>
  <r>
    <s v="fanny.nino@unisabana.edu.co"/>
    <s v="fanny.nin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anny.nino@unisabana.edu.co1"/>
  </r>
  <r>
    <s v="laura.perez2@unisabana.edu.co"/>
    <s v="laura.perez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laura.perez2@unisabana.edu.co1"/>
  </r>
  <r>
    <s v="luisa.prieto1@unisabana.edu.co"/>
    <s v="luisa.prieto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luisa.prieto1@unisabana.edu.co1"/>
  </r>
  <r>
    <s v="diana.suarez8@unisabana.edu.co"/>
    <s v="diana.suarez8@unisabana.edu.co1"/>
    <s v="MEDICINA"/>
    <x v="4"/>
    <x v="0"/>
    <x v="1"/>
    <s v="Incompleta"/>
    <s v="Pregrado"/>
    <s v="FACULTAD DE MEDICINA"/>
    <s v="https://ProfCatedra2024.sawtoothsoftware.com/cgi-bin/ciwweb.pl?studyname=ProfCatedra2024&amp;Correo=diana.suarez8@unisabana.edu.co1"/>
  </r>
  <r>
    <s v="elga.taboada@clinicaunisabana.edu.co"/>
    <s v="Elga.Taboada@clinicaunisabana.edu.co1"/>
    <s v="MEDICINA"/>
    <x v="4"/>
    <x v="0"/>
    <x v="1"/>
    <s v="Incompleta"/>
    <s v="Pregrado"/>
    <s v="FACULTAD DE MEDICINA"/>
    <s v="https://ProfCatedra2024.sawtoothsoftware.com/cgi-bin/ciwweb.pl?studyname=ProfCatedra2024&amp;Correo=Elga.Taboada@clinicaunisabana.edu.co1"/>
  </r>
  <r>
    <s v="rafael.tinoco@unisabana.edu.co"/>
    <s v="rafael.tinoc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rafael.tinoco@unisabana.edu.co1"/>
  </r>
  <r>
    <s v="angelicavadu@unisabana.edu.co"/>
    <s v="angelicavadu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elicavadu@unisabana.edu.co1"/>
  </r>
  <r>
    <s v="john.villegas@unisabana.edu.co"/>
    <s v="john.villegas@unisabana.edu.co1"/>
    <s v="MEDICINA"/>
    <x v="4"/>
    <x v="0"/>
    <x v="1"/>
    <s v="Incompleta"/>
    <s v="Pregrado"/>
    <s v="FACULTAD DE MEDICINA"/>
    <s v="https://ProfCatedra2024.sawtoothsoftware.com/cgi-bin/ciwweb.pl?studyname=ProfCatedra2024&amp;Correo=john.villegas@unisabana.edu.co1"/>
  </r>
  <r>
    <s v="gerencia@seguridadsocialcolmbia.com.co"/>
    <s v="GERENCIA@SEGURIDADSOCIALCOLMBIA.COM.CO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ERENCIA@SEGURIDADSOCIALCOLMBIA.COM.CO1"/>
  </r>
  <r>
    <s v="acastrillon@kpmg.com"/>
    <s v="ACASTRILLON@KPMG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ACASTRILLON@KPMG.COM1"/>
  </r>
  <r>
    <s v="adriana.castro1@unisabana.edu.co"/>
    <s v="adriana.castro1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adriana.castro1@unisabana.edu.co01"/>
  </r>
  <r>
    <s v="adriana.lopez5@unisabana.edu.co"/>
    <s v="adriana.lopez5@unisabana.edu.co01"/>
    <s v="MAESTRï¿½A EN DESARROLLO INFANTIL - RIOHACHA"/>
    <x v="42"/>
    <x v="0"/>
    <x v="1"/>
    <s v="Incompleta"/>
    <s v="Posgrado"/>
    <s v="FACULTAD DE EDUCACIÓN"/>
    <s v="https://ProfCatedra2024.sawtoothsoftware.com/cgi-bin/ciwweb.pl?studyname=ProfCatedra2024&amp;Correo=adriana.lopez5@unisabana.edu.co01"/>
  </r>
  <r>
    <s v="alejandrahear@unisabana.edu.co"/>
    <s v="alejandrahear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alejandrahear@unisabana.edu.co01"/>
  </r>
  <r>
    <s v="ana.grandas1@unisabana.edu.co"/>
    <s v="ana.grandas1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ana.grandas1@unisabana.edu.co01"/>
  </r>
  <r>
    <s v="andrea.medina@unisabana.edu.co"/>
    <s v="andrea.medina@unisabana.edu.co01"/>
    <s v="Especializaciï¿½n en Gerencia Educativa - Chï¿½a"/>
    <x v="98"/>
    <x v="0"/>
    <x v="1"/>
    <s v="Incompleta"/>
    <s v="Posgrado"/>
    <s v="FACULTAD DE EDUCACIÓN"/>
    <s v="https://ProfCatedra2024.sawtoothsoftware.com/cgi-bin/ciwweb.pl?studyname=ProfCatedra2024&amp;Correo=andrea.medina@unisabana.edu.co01"/>
  </r>
  <r>
    <s v="andres.angarita1@unisabana.edu.co"/>
    <s v="andres.angarita1@unisabana.edu.co01"/>
    <s v="Especializaciï¿½n en Emprendimiento y Negocios Digitales- Chï¿½a"/>
    <x v="0"/>
    <x v="0"/>
    <x v="0"/>
    <s v="Incompleta"/>
    <s v="Posgrado"/>
    <s v="INSTITUTO FORUM"/>
    <s v="https://ProfCatedra2024.sawtoothsoftware.com/cgi-bin/ciwweb.pl?studyname=ProfCatedra2024&amp;Correo=andres.angarita1@unisabana.edu.co01"/>
  </r>
  <r>
    <s v="andres.betancourt1@unisabana.edu.co"/>
    <s v="andres.betancourt1@unisabana.edu.co01"/>
    <s v="Especializaciï¿½n en Neurologï¿½a"/>
    <x v="99"/>
    <x v="0"/>
    <x v="1"/>
    <s v="Incompleta"/>
    <s v="Posgrado"/>
    <s v="FACULTAD DE MEDICINA"/>
    <s v="https://ProfCatedra2024.sawtoothsoftware.com/cgi-bin/ciwweb.pl?studyname=ProfCatedra2024&amp;Correo=andres.betancourt1@unisabana.edu.co01"/>
  </r>
  <r>
    <s v="andres.mancipe@gmail.com"/>
    <s v="ANDRES.MANCIPE@GMAIL.COM1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ANDRES.MANCIPE@GMAIL.COM1"/>
  </r>
  <r>
    <s v="andres.martinez10@unisabana.edu.co"/>
    <s v="andres.martinez10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andres.martinez10@unisabana.edu.co01"/>
  </r>
  <r>
    <s v="andres.montoyad1@gmail.com"/>
    <s v="andres.montoyad1@gmail.com1"/>
    <s v="Especializaciï¿½n en Gastroenterologï¿½a"/>
    <x v="100"/>
    <x v="0"/>
    <x v="1"/>
    <s v="Incompleta"/>
    <s v="Posgrado"/>
    <s v="FACULTAD DE MEDICINA"/>
    <s v="https://ProfCatedra2024.sawtoothsoftware.com/cgi-bin/ciwweb.pl?studyname=ProfCatedra2024&amp;Correo=andres.montoyad1@gmail.com1"/>
  </r>
  <r>
    <s v="andresrohe@unisabana.edu.co"/>
    <s v="andresrohe@unisabana.edu.co01"/>
    <s v="Maestrï¿½a en Gerencia de Inversiï¿½n"/>
    <x v="26"/>
    <x v="0"/>
    <x v="0"/>
    <s v="Incompleta"/>
    <s v="Posgrado"/>
    <s v="ESCUELA INTERNACIONAL DE CIENCIAS ECONÓMICAS Y ADMINISTRATIVAS"/>
    <s v="https://ProfCatedra2024.sawtoothsoftware.com/cgi-bin/ciwweb.pl?studyname=ProfCatedra2024&amp;Correo=andresrohe@unisabana.edu.co01"/>
  </r>
  <r>
    <s v="angela.aillon@unisabana.edu.co"/>
    <s v="angela.aillon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angela.aillon@unisabana.edu.co01"/>
  </r>
  <r>
    <s v="angela.bertieri@unisabana.edu.co"/>
    <s v="angela.bertieri@unisabana.edu.co01"/>
    <s v="Maestrï¿½a en Gerencia de la Innovaciï¿½n"/>
    <x v="67"/>
    <x v="0"/>
    <x v="0"/>
    <s v="Incompleta"/>
    <s v="Posgrado"/>
    <s v="ESCUELA INTERNACIONAL DE CIENCIAS ECONÓMICAS Y ADMINISTRATIVAS"/>
    <s v="https://ProfCatedra2024.sawtoothsoftware.com/cgi-bin/ciwweb.pl?studyname=ProfCatedra2024&amp;Correo=angela.bertieri@unisabana.edu.co01"/>
  </r>
  <r>
    <s v="angela.dominguez2@unisabana.edu.co"/>
    <s v="angela.dominguez2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angela.dominguez2@unisabana.edu.co01"/>
  </r>
  <r>
    <s v="aris.rodriguez@unisabana.edu.co"/>
    <s v="aris.rodriguez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aris.rodriguez@unisabana.edu.co01"/>
  </r>
  <r>
    <s v="beatriz.lara1@unisabana.edu.co"/>
    <s v="beatriz.lara1@unisabana.edu.co01"/>
    <s v="Especializaciï¿½n en Gestiï¿½n para el Desarrollo Humano en la Organizaciï¿½n - Bogotï¿½"/>
    <x v="101"/>
    <x v="0"/>
    <x v="1"/>
    <s v="Incompleta"/>
    <s v="Posgrado"/>
    <s v="INSTITUTO FORUM"/>
    <s v="https://ProfCatedra2024.sawtoothsoftware.com/cgi-bin/ciwweb.pl?studyname=ProfCatedra2024&amp;Correo=beatriz.lara1@unisabana.edu.co01"/>
  </r>
  <r>
    <s v="camilo.aljure@unisabana.edu.co"/>
    <s v="camilo.aljure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camilo.aljure@unisabana.edu.co01"/>
  </r>
  <r>
    <s v="camiloguzman63@outlook.com"/>
    <s v="CAMILOGUZMAN63@OUTLOOK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CAMILOGUZMAN63@OUTLOOK.COM1"/>
  </r>
  <r>
    <s v="carlos.salazar5@unisabana.edu.co"/>
    <s v="carlos.salazar5@unisabana.edu.co01"/>
    <s v="Maestrï¿½a en Gerencia de Inversiï¿½n"/>
    <x v="26"/>
    <x v="0"/>
    <x v="1"/>
    <s v="Incompleta"/>
    <s v="Posgrado"/>
    <s v="ESCUELA INTERNACIONAL DE CIENCIAS ECONÓMICAS Y ADMINISTRATIVAS"/>
    <s v="https://ProfCatedra2024.sawtoothsoftware.com/cgi-bin/ciwweb.pl?studyname=ProfCatedra2024&amp;Correo=carlos.salazar5@unisabana.edu.co01"/>
  </r>
  <r>
    <s v="carlos.tapias1@unisabana.edu.co"/>
    <s v="carlos.tapias1@unisabana.edu.co01"/>
    <s v="Especializaciï¿½n en Electrofisiologï¿½a Cardiovascular"/>
    <x v="102"/>
    <x v="0"/>
    <x v="1"/>
    <s v="Incompleta"/>
    <s v="Posgrado"/>
    <s v="FACULTAD DE MEDICINA"/>
    <s v="https://ProfCatedra2024.sawtoothsoftware.com/cgi-bin/ciwweb.pl?studyname=ProfCatedra2024&amp;Correo=carlos.tapias1@unisabana.edu.co01"/>
  </r>
  <r>
    <s v="carlos.villalba@clinicaunisabana.edu.co"/>
    <s v="carlos.villalba@clinica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carlos.villalba@clinicaunisabana.edu.co01"/>
  </r>
  <r>
    <s v="cesar.roma@dret.legal1"/>
    <s v="CESAR.ROMA@DRET.LEGAL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CESAR.ROMA@DRET.LEGAL1"/>
  </r>
  <r>
    <s v="cherrera@gmail.com"/>
    <s v="CHERRERA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CHERRERA@GMAIL.COM1"/>
  </r>
  <r>
    <s v="juan.osman@unisabana.edu.co"/>
    <s v="juan.osman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uan.osman@unisabana.edu.co1"/>
  </r>
  <r>
    <s v="claudia.poveda1@unisabana.edu.co"/>
    <s v="claudia.poveda1@unisabana.edu.co01"/>
    <s v="Especializaciï¿½n en Medicina Crï¿½tica y Cuidado Intensivo"/>
    <x v="103"/>
    <x v="0"/>
    <x v="1"/>
    <s v="Incompleta"/>
    <s v="Posgrado"/>
    <s v="FACULTAD DE MEDICINA"/>
    <s v="https://ProfCatedra2024.sawtoothsoftware.com/cgi-bin/ciwweb.pl?studyname=ProfCatedra2024&amp;Correo=claudia.poveda1@unisabana.edu.co01"/>
  </r>
  <r>
    <s v="claudiapem@unisabana.edu.co"/>
    <s v="Claudiapem@unisabana.edu.co01"/>
    <s v="Especializaciï¿½n en Enfermerï¿½a en Cuidado Crï¿½tico - Chï¿½a"/>
    <x v="10"/>
    <x v="0"/>
    <x v="1"/>
    <s v="Incompleta"/>
    <s v="Posgrado"/>
    <s v="FACULTAD DE ENFERMERÍA Y REHABILITACIÓN"/>
    <s v="https://ProfCatedra2024.sawtoothsoftware.com/cgi-bin/ciwweb.pl?studyname=ProfCatedra2024&amp;Correo=Claudiapem@unisabana.edu.co01"/>
  </r>
  <r>
    <s v="contanza.alarcon@unisabana.edu.co"/>
    <s v="contanza.alarcon@unisabana.edu.co01"/>
    <s v="Maestrï¿½a en Desarrollo Infantil - Riohacha"/>
    <x v="42"/>
    <x v="0"/>
    <x v="1"/>
    <s v="Incompleta"/>
    <s v="Posgrado"/>
    <s v="FACULTAD DE EDUCACIÓN"/>
    <s v="https://ProfCatedra2024.sawtoothsoftware.com/cgi-bin/ciwweb.pl?studyname=ProfCatedra2024&amp;Correo=contanza.alarcon@unisabana.edu.co01"/>
  </r>
  <r>
    <s v="cristhiandavi1@hotmail.com"/>
    <s v="CRISTHIANDAVI1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CRISTHIANDAVI1@HOTMAIL.COM1"/>
  </r>
  <r>
    <s v="daniel.prieto@unisabana.edu.co"/>
    <s v="daniel.prieto@unisabana.edu.co01"/>
    <s v="Maestrï¿½a en Gerencia de Inversiï¿½n"/>
    <x v="26"/>
    <x v="0"/>
    <x v="0"/>
    <s v="Incompleta"/>
    <s v="Posgrado"/>
    <s v="ESCUELA INTERNACIONAL DE CIENCIAS ECONÓMICAS Y ADMINISTRATIVAS"/>
    <s v="https://ProfCatedra2024.sawtoothsoftware.com/cgi-bin/ciwweb.pl?studyname=ProfCatedra2024&amp;Correo=daniel.prieto@unisabana.edu.co01"/>
  </r>
  <r>
    <s v="dario.parra1@unisabana.edu.co"/>
    <s v="dario.parra1@unisabana.edu.co01"/>
    <s v="Especializaciï¿½n en Gerencia Comercial Bucaramanga - Santander"/>
    <x v="104"/>
    <x v="0"/>
    <x v="1"/>
    <s v="Incompleta"/>
    <s v="Posgrado"/>
    <s v="INSTITUTO FORUM"/>
    <s v="https://ProfCatedra2024.sawtoothsoftware.com/cgi-bin/ciwweb.pl?studyname=ProfCatedra2024&amp;Correo=dario.parra1@unisabana.edu.co01"/>
  </r>
  <r>
    <s v="david.rozo@unisabana.edu.co"/>
    <s v="david.rozo@unisabana.edu.co0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david.rozo@unisabana.edu.co01"/>
  </r>
  <r>
    <s v="dayana.moreno1@unisabana.edu.co"/>
    <s v="dayana.moreno1@unisabana.edu.co01"/>
    <s v="Maestrï¿½a en Gerencia Estratï¿½gica"/>
    <x v="35"/>
    <x v="0"/>
    <x v="1"/>
    <s v="Incompleta"/>
    <s v="Posgrado"/>
    <s v="ESCUELA INTERNACIONAL DE CIENCIAS ECONÓMICAS Y ADMINISTRATIVAS"/>
    <s v="https://ProfCatedra2024.sawtoothsoftware.com/cgi-bin/ciwweb.pl?studyname=ProfCatedra2024&amp;Correo=dayana.moreno1@unisabana.edu.co01"/>
  </r>
  <r>
    <s v="diana.hernnadez@rhcadvisers.co"/>
    <s v="DIANA.HERNNADEZ@RHCADVISERS.CO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DIANA.HERNNADEZ@RHCADVISERS.CO1"/>
  </r>
  <r>
    <s v="diana.santana1@unisabana.edu.co"/>
    <s v="diana.santana1@unisabana.edu.co0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diana.santana1@unisabana.edu.co01"/>
  </r>
  <r>
    <s v="dianispeba@hotmail.com"/>
    <s v="DIANISPEBA@HOTMAIL.COM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DIANISPEBA@HOTMAIL.COM1"/>
  </r>
  <r>
    <s v="juan.ramirez1@unisabana.edu.co"/>
    <s v="juan.ramir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ramirez1@unisabana.edu.co1"/>
  </r>
  <r>
    <s v="diego.guevara@unisabana.edu.co"/>
    <s v="diego.guevara@unisabana.edu.co01"/>
    <s v="Maestrï¿½a en Gerencia Estratï¿½gica"/>
    <x v="35"/>
    <x v="0"/>
    <x v="0"/>
    <s v="Incompleta"/>
    <s v="Posgrado"/>
    <s v="ESCUELA INTERNACIONAL DE CIENCIAS ECONÓMICAS Y ADMINISTRATIVAS"/>
    <s v="https://ProfCatedra2024.sawtoothsoftware.com/cgi-bin/ciwweb.pl?studyname=ProfCatedra2024&amp;Correo=diego.guevara@unisabana.edu.co01"/>
  </r>
  <r>
    <s v="diego.hernandez3@unisabana.edu.co"/>
    <s v="diego.hernandez3@unisabana.edu.co01"/>
    <s v="Especializaciï¿½n en Gerencia de Proyectos con Enfoque en Habilidades Directivas - Bogotï¿½"/>
    <x v="93"/>
    <x v="0"/>
    <x v="1"/>
    <s v="Incompleta"/>
    <s v="Posgrado"/>
    <s v="INSTITUTO FORUM"/>
    <s v="https://ProfCatedra2024.sawtoothsoftware.com/cgi-bin/ciwweb.pl?studyname=ProfCatedra2024&amp;Correo=diego.hernandez3@unisabana.edu.co01"/>
  </r>
  <r>
    <s v="edgar.munar@unisabana.edu.co"/>
    <s v="edgar.munar@unisabana.edu.co01"/>
    <s v="Maestrï¿½a en Salud Pï¿½blica"/>
    <x v="70"/>
    <x v="0"/>
    <x v="1"/>
    <s v="Incompleta"/>
    <s v="Posgrado"/>
    <s v="FACULTAD DE MEDICINA"/>
    <s v="https://ProfCatedra2024.sawtoothsoftware.com/cgi-bin/ciwweb.pl?studyname=ProfCatedra2024&amp;Correo=edgar.munar@unisabana.edu.co01"/>
  </r>
  <r>
    <s v="eduardoarce@yahoo.es1"/>
    <s v="EDUARDOARCE@YAHOO.ES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EDUARDOARCE@YAHOO.ES1"/>
  </r>
  <r>
    <s v="eduenas@neumologica.org1"/>
    <s v="eduenas@neumologica.org1"/>
    <s v="Especializaciï¿½n en Neumologï¿½a Pediï¿½trica"/>
    <x v="105"/>
    <x v="0"/>
    <x v="1"/>
    <s v="Incompleta"/>
    <s v="Posgrado"/>
    <s v="FACULTAD DE MEDICINA"/>
    <s v="https://ProfCatedra2024.sawtoothsoftware.com/cgi-bin/ciwweb.pl?studyname=ProfCatedra2024&amp;Correo=eduenas@neumologica.org1"/>
  </r>
  <r>
    <s v="edwiny_87@hotmail.com"/>
    <s v="EDWINY_87@HOTMAIL.COM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EDWINY_87@HOTMAIL.COM1"/>
  </r>
  <r>
    <s v="enriquerm@unisabana.edu.co"/>
    <s v="EnriqueRM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EnriqueRM@unisabana.edu.co01"/>
  </r>
  <r>
    <s v="fabricio_mantilla@hotmail.com"/>
    <s v="fabricio_mantilla@hotmail.com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fabricio_mantilla@hotmail.com1"/>
  </r>
  <r>
    <s v="ferpal48@hotmail.com"/>
    <s v="FERPAL48@HOTMAIL.COM1"/>
    <s v="Especializaciï¿½n en Derecho Comercial - Chï¿½a"/>
    <x v="106"/>
    <x v="0"/>
    <x v="1"/>
    <s v="Incompleta"/>
    <s v="Posgrado"/>
    <s v="FACULTAD DE DERECHO Y CIENCIAS POLÍTICAS"/>
    <s v="https://ProfCatedra2024.sawtoothsoftware.com/cgi-bin/ciwweb.pl?studyname=ProfCatedra2024&amp;Correo=FERPAL48@HOTMAIL.COM1"/>
  </r>
  <r>
    <s v="fidelsm@unisabana.edu.co"/>
    <s v="FidelSM@unisabana.edu.co01"/>
    <s v="Especializaciï¿½n en Neurologï¿½a"/>
    <x v="99"/>
    <x v="0"/>
    <x v="1"/>
    <s v="Incompleta"/>
    <s v="Posgrado"/>
    <s v="FACULTAD DE MEDICINA"/>
    <s v="https://ProfCatedra2024.sawtoothsoftware.com/cgi-bin/ciwweb.pl?studyname=ProfCatedra2024&amp;Correo=FidelSM@unisabana.edu.co01"/>
  </r>
  <r>
    <s v="juan.ramirez1@unisabana.edu.co"/>
    <s v="juan.ramirez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an.ramirez1@unisabana.edu.co2"/>
  </r>
  <r>
    <s v="gabrielazarante@hotmail.com"/>
    <s v="GABRIELAZARANTE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ABRIELAZARANTE@HOTMAIL.COM1"/>
  </r>
  <r>
    <s v="germaneponce@gmail.com"/>
    <s v="GERMANEPONCE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ERMANEPONCE@GMAIL.COM1"/>
  </r>
  <r>
    <s v="gerson_2ged@hotmail.com"/>
    <s v="gerson_2ged@hotmail.com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gerson_2ged@hotmail.com1"/>
  </r>
  <r>
    <s v="gina.valderrama@unisabana.edu.co"/>
    <s v="gina.valderrama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gina.valderrama@unisabana.edu.co01"/>
  </r>
  <r>
    <s v="juan.ramirez1@unisabana.edu.co"/>
    <s v="juan.ramirez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uan.ramirez1@unisabana.edu.co3"/>
  </r>
  <r>
    <s v="hcastillo@araries.com"/>
    <s v="HCASTILLO@ARARIES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HCASTILLO@ARARIES.COM1"/>
  </r>
  <r>
    <s v="hector.roldan1@unisabana.edu.co"/>
    <s v="hector.roldan1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hector.roldan1@unisabana.edu.co01"/>
  </r>
  <r>
    <s v="hectorfa@unisabana.edu.co"/>
    <s v="HectorFA@unisabana.edu.co01"/>
    <s v="Especializaciï¿½n en Oftalmologï¿½a"/>
    <x v="107"/>
    <x v="0"/>
    <x v="1"/>
    <s v="Incompleta"/>
    <s v="Posgrado"/>
    <s v="FACULTAD DE MEDICINA"/>
    <s v="https://ProfCatedra2024.sawtoothsoftware.com/cgi-bin/ciwweb.pl?studyname=ProfCatedra2024&amp;Correo=HectorFA@unisabana.edu.co01"/>
  </r>
  <r>
    <s v="hugosan32@hotmail.com"/>
    <s v="HUGOSAN32@HOTMAIL.COM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HUGOSAN32@HOTMAIL.COM1"/>
  </r>
  <r>
    <s v="ingri.moreno@unisabana.edu.co"/>
    <s v="ingri.moreno@unisabana.edu.co01"/>
    <s v="MAESTRï¿½A EN PEDAGOGIA E INVESTIGACIï¿½N EN EL AULA"/>
    <x v="108"/>
    <x v="0"/>
    <x v="1"/>
    <s v="Incompleta"/>
    <s v="Posgrado"/>
    <s v="FACULTAD DE EDUCACIÓN"/>
    <s v="https://ProfCatedra2024.sawtoothsoftware.com/cgi-bin/ciwweb.pl?studyname=ProfCatedra2024&amp;Correo=ingri.moreno@unisabana.edu.co01"/>
  </r>
  <r>
    <s v="isabella.bello@pwc.com"/>
    <s v="ISABELLA.BELLO@PWC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ISABELLA.BELLO@PWC.COM1"/>
  </r>
  <r>
    <s v="ivan.gutierrez@unisabana.edu.co"/>
    <s v="ivan.gutierrez@unisabana.edu.co01"/>
    <s v="Especializaciï¿½n en Gerencia Logï¿½stica - Chï¿½a"/>
    <x v="109"/>
    <x v="0"/>
    <x v="1"/>
    <s v="Incompleta"/>
    <s v="Posgrado"/>
    <s v="INSTITUTO FORUM"/>
    <s v="https://ProfCatedra2024.sawtoothsoftware.com/cgi-bin/ciwweb.pl?studyname=ProfCatedra2024&amp;Correo=ivan.gutierrez@unisabana.edu.co01"/>
  </r>
  <r>
    <s v="ivan.moya@unisabana.edu.co"/>
    <s v="ivan.moya@unisabana.edu.co01"/>
    <s v="Especializaciï¿½n en Gerencia Comercial - Bogotï¿½"/>
    <x v="76"/>
    <x v="0"/>
    <x v="1"/>
    <s v="Incompleta"/>
    <s v="Posgrado"/>
    <s v="INSTITUTO FORUM"/>
    <s v="https://ProfCatedra2024.sawtoothsoftware.com/cgi-bin/ciwweb.pl?studyname=ProfCatedra2024&amp;Correo=ivan.moya@unisabana.edu.co01"/>
  </r>
  <r>
    <s v="ivan.unigarro1@unisabana.edu.co"/>
    <s v="ivan.unigarro1@unisabana.edu.co0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ivan.unigarro1@unisabana.edu.co01"/>
  </r>
  <r>
    <s v="ivette.amaya@unisabana.edu.co"/>
    <s v="ivette.amaya@unisabana.edu.co01"/>
    <s v="Especializaciï¿½n en Liderazgo y Coaching- Chï¿½a"/>
    <x v="8"/>
    <x v="0"/>
    <x v="1"/>
    <s v="Incompleta"/>
    <s v="Posgrado"/>
    <s v="INSTITUTO FORUM"/>
    <s v="https://ProfCatedra2024.sawtoothsoftware.com/cgi-bin/ciwweb.pl?studyname=ProfCatedra2024&amp;Correo=ivette.amaya@unisabana.edu.co01"/>
  </r>
  <r>
    <s v="jaclancheros@gmail.com"/>
    <s v="JACLANCHEROS@G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JACLANCHEROS@GMAIL.COM1"/>
  </r>
  <r>
    <s v="jader.castano1@unisabana.edu.co"/>
    <s v="jader.castano1@unisabana.edu.co01"/>
    <s v="Especializaciï¿½n en Gerencia Logï¿½stica - Chï¿½a"/>
    <x v="109"/>
    <x v="0"/>
    <x v="1"/>
    <s v="Incompleta"/>
    <s v="Posgrado"/>
    <s v="INSTITUTO FORUM"/>
    <s v="https://ProfCatedra2024.sawtoothsoftware.com/cgi-bin/ciwweb.pl?studyname=ProfCatedra2024&amp;Correo=jader.castano1@unisabana.edu.co01"/>
  </r>
  <r>
    <s v="jaime.barcenas1@unisabana.edu.co"/>
    <s v="jaime.barcenas1@unisabana.edu.co01"/>
    <s v="Maestrï¿½a en Gerencia Estratï¿½gica"/>
    <x v="35"/>
    <x v="0"/>
    <x v="0"/>
    <s v="Incompleta"/>
    <s v="Posgrado"/>
    <s v="ESCUELA INTERNACIONAL DE CIENCIAS ECONÓMICAS Y ADMINISTRATIVAS"/>
    <s v="https://ProfCatedra2024.sawtoothsoftware.com/cgi-bin/ciwweb.pl?studyname=ProfCatedra2024&amp;Correo=jaime.barcenas1@unisabana.edu.co01"/>
  </r>
  <r>
    <s v="jaime.leal@unisabana.edu.co"/>
    <s v="jaime.leal@unisabana.edu.co01"/>
    <s v="Maestrï¿½a en Educaciï¿½n Mï¿½dica"/>
    <x v="110"/>
    <x v="0"/>
    <x v="1"/>
    <s v="Incompleta"/>
    <s v="Posgrado"/>
    <s v="FACULTAD DE MEDICINA"/>
    <s v="https://ProfCatedra2024.sawtoothsoftware.com/cgi-bin/ciwweb.pl?studyname=ProfCatedra2024&amp;Correo=jaime.leal@unisabana.edu.co01"/>
  </r>
  <r>
    <s v="jaimerive@gmail.com"/>
    <s v="JAIMERIVE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AIMERIVE@GMAIL.COM1"/>
  </r>
  <r>
    <s v="javierfgonzalezm@yahoo.com"/>
    <s v="JAVIERFGONZALEZM@YAHOO.COM1"/>
    <s v="Especializaciï¿½n en Derecho y Empresa - Chï¿½a"/>
    <x v="77"/>
    <x v="0"/>
    <x v="1"/>
    <s v="Incompleta"/>
    <s v="Posgrado"/>
    <s v="FACULTAD DE DERECHO Y CIENCIAS POLÍTICAS"/>
    <s v="https://ProfCatedra2024.sawtoothsoftware.com/cgi-bin/ciwweb.pl?studyname=ProfCatedra2024&amp;Correo=JAVIERFGONZALEZM@YAHOO.COM1"/>
  </r>
  <r>
    <s v="jenny.robayo1@unisabana.edu.co"/>
    <s v="jenny.robayo1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jenny.robayo1@unisabana.edu.co01"/>
  </r>
  <r>
    <s v="jgomezp@sura.com.co"/>
    <s v="JGOMEZP@SURA.COM.CO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GOMEZP@SURA.COM.CO1"/>
  </r>
  <r>
    <s v="john.cabrera_cont@unisabana.edu.co"/>
    <s v="john.cabrera_cont@unisabana.edu.co01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john.cabrera_cont@unisabana.edu.co01"/>
  </r>
  <r>
    <s v="john.mora@unisabana.edu.co"/>
    <s v="john.mora@unisabana.edu.co01"/>
    <s v="Maestrï¿½a en Gerencia de Inversiï¿½n"/>
    <x v="26"/>
    <x v="0"/>
    <x v="0"/>
    <s v="Incompleta"/>
    <s v="Posgrado"/>
    <s v="ESCUELA INTERNACIONAL DE CIENCIAS ECONÓMICAS Y ADMINISTRATIVAS"/>
    <s v="https://ProfCatedra2024.sawtoothsoftware.com/cgi-bin/ciwweb.pl?studyname=ProfCatedra2024&amp;Correo=john.mora@unisabana.edu.co01"/>
  </r>
  <r>
    <s v="jorge.avila@unisabana.edu.co"/>
    <s v="jorge.avila@unisabana.edu.co01"/>
    <s v="ESPECIALIZACIï¿½N EN GERENCIA EDUCATIVA"/>
    <x v="98"/>
    <x v="0"/>
    <x v="1"/>
    <s v="Incompleta"/>
    <s v="Posgrado"/>
    <s v="FACULTAD DE EDUCACIÓN"/>
    <s v="https://ProfCatedra2024.sawtoothsoftware.com/cgi-bin/ciwweb.pl?studyname=ProfCatedra2024&amp;Correo=jorge.avila@unisabana.edu.co01"/>
  </r>
  <r>
    <s v="jorge.verdugo@unisabana.edu.co"/>
    <s v="jorge.verdugo@unisabana.edu.co01"/>
    <s v="Maestrï¿½a en Direcciï¿½n y Gestiï¿½n de Instituciones Educativas - Riohacha"/>
    <x v="92"/>
    <x v="0"/>
    <x v="1"/>
    <s v="Incompleta"/>
    <s v="Posgrado"/>
    <s v="FACULTAD DE EDUCACIÓN"/>
    <s v="https://ProfCatedra2024.sawtoothsoftware.com/cgi-bin/ciwweb.pl?studyname=ProfCatedra2024&amp;Correo=jorge.verdugo@unisabana.edu.co01"/>
  </r>
  <r>
    <s v="juan.ramirez22@unisabana.edu.co"/>
    <s v="juan.ramirez22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juan.ramirez22@unisabana.edu.co01"/>
  </r>
  <r>
    <s v="joseat_cont@unisabana.edu.co"/>
    <s v="joseat_cont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joseat_cont@unisabana.edu.co01"/>
  </r>
  <r>
    <s v="josemiguelruedavasquez4@hotmail.com"/>
    <s v="JOSEMIGUELRUEDAVASQUEZ4@HOTMAIL.COM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1"/>
  </r>
  <r>
    <s v="jparaujo5@hotmail.com"/>
    <s v="JPARAUJO5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PARAUJO5@HOTMAIL.COM1"/>
  </r>
  <r>
    <s v="juan.aldana2@clinicaunisabana.edu.co"/>
    <s v="juan.aldana2@clinicaunisabana.edu.co01"/>
    <s v="Especializaciï¿½n en Radiologï¿½a e Imï¿½genes Diagnï¿½sticas"/>
    <x v="111"/>
    <x v="0"/>
    <x v="1"/>
    <s v="Incompleta"/>
    <s v="Posgrado"/>
    <s v="FACULTAD DE MEDICINA"/>
    <s v="https://ProfCatedra2024.sawtoothsoftware.com/cgi-bin/ciwweb.pl?studyname=ProfCatedra2024&amp;Correo=juan.aldana2@clinicaunisabana.edu.co01"/>
  </r>
  <r>
    <s v="juan.guevara@unisabana.edu.co"/>
    <s v="juan.guevara@unisabana.edu.co01"/>
    <s v="Especializaciï¿½n en Gestiï¿½n para el Desarrollo Humano en la Organizaciï¿½n - Bogotï¿½"/>
    <x v="101"/>
    <x v="0"/>
    <x v="1"/>
    <s v="Incompleta"/>
    <s v="Posgrado"/>
    <s v="INSTITUTO FORUM"/>
    <s v="https://ProfCatedra2024.sawtoothsoftware.com/cgi-bin/ciwweb.pl?studyname=ProfCatedra2024&amp;Correo=juan.guevara@unisabana.edu.co01"/>
  </r>
  <r>
    <s v="juan.jaramillo1@unisabana.edu.co"/>
    <s v="juan.jaramillo1@unisabana.edu.co0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juan.jaramillo1@unisabana.edu.co01"/>
  </r>
  <r>
    <s v="juan.lanas@unisabana.edu.co"/>
    <s v="juan.lanas@unisabana.edu.co01"/>
    <s v="MAESTRï¿½A EN DIRECCIï¿½N Y GESTIï¿½N DE INSTITUCIONES EDUCATIVAS"/>
    <x v="62"/>
    <x v="0"/>
    <x v="1"/>
    <s v="Incompleta"/>
    <s v="Posgrado"/>
    <s v="FACULTAD DE EDUCACIÓN"/>
    <s v="https://ProfCatedra2024.sawtoothsoftware.com/cgi-bin/ciwweb.pl?studyname=ProfCatedra2024&amp;Correo=juan.lanas@unisabana.edu.co01"/>
  </r>
  <r>
    <s v="juan.marin2@unisabana.edu.co"/>
    <s v="juan.marin2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juan.marin2@unisabana.edu.co01"/>
  </r>
  <r>
    <s v="juancarlosllanorondon@gmail.com"/>
    <s v="JUANCARLOSLLANORONDON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UANCARLOSLLANORONDON@GMAIL.COM1"/>
  </r>
  <r>
    <s v="juancarlosqg@hotmail.com"/>
    <s v="JUANCARLOSQG@HOT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JUANCARLOSQG@HOTMAIL.COM1"/>
  </r>
  <r>
    <s v="julian.molina1@unisabana.edu.co"/>
    <s v="julian.molina1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julian.molina1@unisabana.edu.co01"/>
  </r>
  <r>
    <s v="juliana.vallejo@unisabana.edu.co"/>
    <s v="juliana.vallejo@unisabana.edu.co01"/>
    <s v="Maestrï¿½a en Educaciï¿½n Mï¿½dica"/>
    <x v="110"/>
    <x v="0"/>
    <x v="1"/>
    <s v="Incompleta"/>
    <s v="Posgrado"/>
    <s v="FACULTAD DE MEDICINA"/>
    <s v="https://ProfCatedra2024.sawtoothsoftware.com/cgi-bin/ciwweb.pl?studyname=ProfCatedra2024&amp;Correo=juliana.vallejo@unisabana.edu.co01"/>
  </r>
  <r>
    <s v="jvillalba_cuellar@yahoo.com"/>
    <s v="JVILLALBA_CUELLAR@YAHOO.COM1"/>
    <s v="Especializaciï¿½n en Derecho y Empresa - Chï¿½a"/>
    <x v="77"/>
    <x v="0"/>
    <x v="1"/>
    <s v="Incompleta"/>
    <s v="Posgrado"/>
    <s v="FACULTAD DE DERECHO Y CIENCIAS POLÍTICAS"/>
    <s v="https://ProfCatedra2024.sawtoothsoftware.com/cgi-bin/ciwweb.pl?studyname=ProfCatedra2024&amp;Correo=JVILLALBA_CUELLAR@YAHOO.COM1"/>
  </r>
  <r>
    <s v="laura.palomino1@unisabana.edu.co"/>
    <s v="laura.palomino1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laura.palomino1@unisabana.edu.co01"/>
  </r>
  <r>
    <s v="lauramunbo@unisabana.edu.co"/>
    <s v="lauramunbo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lauramunbo@unisabana.edu.co01"/>
  </r>
  <r>
    <s v="leoalvarezcasallas@hotmail.com"/>
    <s v="LEOALVAREZCASALLAS@HOTMAIL.COM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LEOALVAREZCASALLAS@HOTMAIL.COM1"/>
  </r>
  <r>
    <s v="leocc@hotmail.com"/>
    <s v="LEOCC@HOT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LEOCC@HOTMAIL.COM1"/>
  </r>
  <r>
    <s v="lida.isaza@unisabana.edu.co"/>
    <s v="lida.isaza@unisabana.edu.co01"/>
    <s v="Especializaciï¿½n en Pedagogï¿½a e Investigaciï¿½n en el Aula - Virtual"/>
    <x v="94"/>
    <x v="0"/>
    <x v="0"/>
    <s v="Incompleta"/>
    <s v="Posgrado"/>
    <s v="FACULTAD DE EDUCACIÓN"/>
    <s v="https://ProfCatedra2024.sawtoothsoftware.com/cgi-bin/ciwweb.pl?studyname=ProfCatedra2024&amp;Correo=lida.isaza@unisabana.edu.co01"/>
  </r>
  <r>
    <s v="lizcaicedo@gmail.com"/>
    <s v="LIZCAICEDO@G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LIZCAICEDO@GMAIL.COM1"/>
  </r>
  <r>
    <s v="lspitia@gmail.com"/>
    <s v="LSPITIA@G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LSPITIA@GMAIL.COM1"/>
  </r>
  <r>
    <s v="lucia.solano_cont@unisabana.edu.co"/>
    <s v="lucia.solano_cont@unisabana.edu.co01"/>
    <s v="MAESTRIA EN DERECHO INTERNACIONAL"/>
    <x v="61"/>
    <x v="0"/>
    <x v="1"/>
    <s v="Incompleta"/>
    <s v="Posgrado"/>
    <s v="FACULTAD DE DERECHO Y CIENCIAS POLÍTICAS"/>
    <s v="https://ProfCatedra2024.sawtoothsoftware.com/cgi-bin/ciwweb.pl?studyname=ProfCatedra2024&amp;Correo=lucia.solano_cont@unisabana.edu.co01"/>
  </r>
  <r>
    <s v="luis.lopez8@unisabana.edu.co"/>
    <s v="luis.lopez8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luis.lopez8@unisabana.edu.co01"/>
  </r>
  <r>
    <s v="luis.martinez2@unisabana.edu.co"/>
    <s v="luis.martinez2@unisabana.edu.co01"/>
    <s v="Especializaciï¿½n en Farmacologï¿½a Clï¿½nica"/>
    <x v="50"/>
    <x v="0"/>
    <x v="1"/>
    <s v="Incompleta"/>
    <s v="Posgrado"/>
    <s v="FACULTAD DE MEDICINA"/>
    <s v="https://ProfCatedra2024.sawtoothsoftware.com/cgi-bin/ciwweb.pl?studyname=ProfCatedra2024&amp;Correo=luis.martinez2@unisabana.edu.co01"/>
  </r>
  <r>
    <s v="luis.rodriguez2@unisabana.edu.co"/>
    <s v="luis.rodriguez2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1"/>
  </r>
  <r>
    <s v="luis.silva2@unisabana.edu.co"/>
    <s v="luis.silva2@unisabana.edu.co01"/>
    <s v="Especializaciï¿½n en Gerencia de Producciï¿½n y Operaciones  - Chia"/>
    <x v="113"/>
    <x v="0"/>
    <x v="1"/>
    <s v="Incompleta"/>
    <s v="Posgrado"/>
    <s v="INSTITUTO FORUM"/>
    <s v="https://ProfCatedra2024.sawtoothsoftware.com/cgi-bin/ciwweb.pl?studyname=ProfCatedra2024&amp;Correo=luis.silva2@unisabana.edu.co01"/>
  </r>
  <r>
    <s v="juan.ramirez22@unisabana.edu.co"/>
    <s v="juan.ramirez22@unisabana.edu.co02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juan.ramirez22@unisabana.edu.co02"/>
  </r>
  <r>
    <s v="luisa.castillo@unisabana.edu.co"/>
    <s v="luisa.castillo@unisabana.edu.co01"/>
    <s v="Especializaciï¿½n en Farmacologï¿½a Clï¿½nica"/>
    <x v="50"/>
    <x v="0"/>
    <x v="1"/>
    <s v="Incompleta"/>
    <s v="Posgrado"/>
    <s v="FACULTAD DE MEDICINA"/>
    <s v="https://ProfCatedra2024.sawtoothsoftware.com/cgi-bin/ciwweb.pl?studyname=ProfCatedra2024&amp;Correo=luisa.castillo@unisabana.edu.co01"/>
  </r>
  <r>
    <s v="luisfever@gmail.com"/>
    <s v="LUISFEVER@G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LUISFEVER@GMAIL.COM1"/>
  </r>
  <r>
    <s v="manuel.marin1@unisabana.edu.co"/>
    <s v="manuel.marin1@unisabana.edu.co0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manuel.marin1@unisabana.edu.co01"/>
  </r>
  <r>
    <s v="manuel.mosquera@unisabana.edu.co"/>
    <s v="manuel.mosquera@unisabana.edu.co01"/>
    <s v="Especializaciï¿½n en Cirugï¿½a General"/>
    <x v="80"/>
    <x v="0"/>
    <x v="1"/>
    <s v="Incompleta"/>
    <s v="Posgrado"/>
    <s v="FACULTAD DE MEDICINA"/>
    <s v="https://ProfCatedra2024.sawtoothsoftware.com/cgi-bin/ciwweb.pl?studyname=ProfCatedra2024&amp;Correo=manuel.mosquera@unisabana.edu.co01"/>
  </r>
  <r>
    <s v="maria.escobar2@unisabana.edu.co"/>
    <s v="maria.escobar2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maria.escobar2@unisabana.edu.co01"/>
  </r>
  <r>
    <s v="maria.granados1@unisabana.edu.co"/>
    <s v="maria.granados1@unisabana.edu.co01"/>
    <s v="MAESTRï¿½A EN GERENCIA Y DESARROLLO DE PERSONAS"/>
    <x v="65"/>
    <x v="0"/>
    <x v="1"/>
    <s v="Incompleta"/>
    <s v="Posgrado"/>
    <s v="FACULTAD DE PSICOLOGÍA"/>
    <s v="https://ProfCatedra2024.sawtoothsoftware.com/cgi-bin/ciwweb.pl?studyname=ProfCatedra2024&amp;Correo=maria.granados1@unisabana.edu.co01"/>
  </r>
  <r>
    <s v="maria.restrepo7@unisabana.edu.co"/>
    <s v="maria.restrepo7@unisabana.edu.co01"/>
    <s v="MAESTRIA EN DERECHO DE LA EMPRESA Y DE LOS NEGOCIOS"/>
    <x v="9"/>
    <x v="0"/>
    <x v="1"/>
    <s v="Incompleta"/>
    <s v="Posgrado"/>
    <s v="FACULTAD DE DERECHO Y CIENCIAS POLÍTICAS"/>
    <s v="https://ProfCatedra2024.sawtoothsoftware.com/cgi-bin/ciwweb.pl?studyname=ProfCatedra2024&amp;Correo=maria.restrepo7@unisabana.edu.co01"/>
  </r>
  <r>
    <s v="mariano.doncel@unisabana.edu.co"/>
    <s v="mariano.doncel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mariano.doncel@unisabana.edu.co01"/>
  </r>
  <r>
    <s v="marianolozanor@gmail.com"/>
    <s v="MARIANOLOZANOR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MARIANOLOZANOR@GMAIL.COM1"/>
  </r>
  <r>
    <s v="mario.manzi@unisabana.edu.co"/>
    <s v="mario.manzi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mario.manzi@unisabana.edu.co01"/>
  </r>
  <r>
    <s v="marpec69@yahoo.com"/>
    <s v="MARPEC69@YAHOO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MARPEC69@YAHOO.COM1"/>
  </r>
  <r>
    <s v="marthaemartineze@gmail.com"/>
    <s v="MARTHAEMARTINEZE@G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MARTHAEMARTINEZE@GMAIL.COM1"/>
  </r>
  <r>
    <s v="mauricio.suarez1@unisabana.edu.co"/>
    <s v="mauricio.suarez1@unisabana.edu.co01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mauricio.suarez1@unisabana.edu.co01"/>
  </r>
  <r>
    <s v="miguelangelfandino@gmail.com"/>
    <s v="MIGUELANGELFANDINO@G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MIGUELANGELFANDINO@GMAIL.COM1"/>
  </r>
  <r>
    <s v="mnmontoyacespedes@gmail.com"/>
    <s v="MNMONTOYACESPEDES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MNMONTOYACESPEDES@GMAIL.COM1"/>
  </r>
  <r>
    <s v="moncayov@hotmail.com"/>
    <s v="MONCAYOV@HOT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MONCAYOV@HOTMAIL.COM1"/>
  </r>
  <r>
    <s v="nestor.diazgranados1@unisabana.edu.co"/>
    <s v="nestor.diazgranados1@unisabana.edu.co01"/>
    <s v="Especializaciï¿½n en Gerencia Comercial - Chia"/>
    <x v="95"/>
    <x v="0"/>
    <x v="0"/>
    <s v="Incompleta"/>
    <s v="Posgrado"/>
    <s v="INSTITUTO FORUM"/>
    <s v="https://ProfCatedra2024.sawtoothsoftware.com/cgi-bin/ciwweb.pl?studyname=ProfCatedra2024&amp;Correo=nestor.diazgranados1@unisabana.edu.co01"/>
  </r>
  <r>
    <s v="newman.gutierrez@unisabana.edu.co"/>
    <s v="newman.gutierrez@unisabana.edu.co01"/>
    <s v="Especializaciï¿½n en Gerencia Comercial - Bogotï¿½"/>
    <x v="76"/>
    <x v="0"/>
    <x v="0"/>
    <s v="Incompleta"/>
    <s v="Posgrado"/>
    <s v="INSTITUTO FORUM"/>
    <s v="https://ProfCatedra2024.sawtoothsoftware.com/cgi-bin/ciwweb.pl?studyname=ProfCatedra2024&amp;Correo=newman.gutierrez@unisabana.edu.co01"/>
  </r>
  <r>
    <s v="obdulio.velasquez@unisabana.edu.co"/>
    <s v="OBDULIO.VELASQUEZ@UNISABANA.edu.co0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OBDULIO.VELASQUEZ@UNISABANA.edu.co01"/>
  </r>
  <r>
    <s v="orlandoramirezgamboa@gmail.com"/>
    <s v="ORLANDORAMIREZGAMBOA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ORLANDORAMIREZGAMBOA@GMAIL.COM1"/>
  </r>
  <r>
    <s v="orlandorg@unisabana.edu.co"/>
    <s v="OrlandoRG@unisabana.edu.co0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OrlandoRG@unisabana.edu.co01"/>
  </r>
  <r>
    <s v="rafael.castro@unisabana.edu.co"/>
    <s v="rafael.castro@unisabana.edu.co01"/>
    <s v="MAESTRï¿½A EN DIRECCIï¿½N Y GESTIï¿½N DE INSTITUCIONES EDUCATIVAS"/>
    <x v="62"/>
    <x v="0"/>
    <x v="1"/>
    <s v="Incompleta"/>
    <s v="Posgrado"/>
    <s v="FACULTAD DE EDUCACIÓN"/>
    <s v="https://ProfCatedra2024.sawtoothsoftware.com/cgi-bin/ciwweb.pl?studyname=ProfCatedra2024&amp;Correo=rafael.castro@unisabana.edu.co01"/>
  </r>
  <r>
    <s v="richard.ramirez@unisabana.edu.co"/>
    <s v="richard.ramirez@unisabana.edu.co01"/>
    <s v="DOCTORADO EN DERECHO"/>
    <x v="114"/>
    <x v="0"/>
    <x v="1"/>
    <s v="Incompleta"/>
    <s v="Posgrado"/>
    <s v="FACULTAD DE DERECHO Y CIENCIAS POLÍTICAS"/>
    <s v="https://ProfCatedra2024.sawtoothsoftware.com/cgi-bin/ciwweb.pl?studyname=ProfCatedra2024&amp;Correo=richard.ramirez@unisabana.edu.co01"/>
  </r>
  <r>
    <s v="robertosuec@unisabana.edu.co"/>
    <s v="ROBERTOSUEC@UNISABANA.edu.co01"/>
    <s v="Especializaciï¿½n en Derecho Comercial - Chï¿½a"/>
    <x v="106"/>
    <x v="0"/>
    <x v="1"/>
    <s v="Incompleta"/>
    <s v="Posgrado"/>
    <s v="FACULTAD DE DERECHO Y CIENCIAS POLÍTICAS"/>
    <s v="https://ProfCatedra2024.sawtoothsoftware.com/cgi-bin/ciwweb.pl?studyname=ProfCatedra2024&amp;Correo=ROBERTOSUEC@UNISABANA.edu.co01"/>
  </r>
  <r>
    <s v="rodolfo.meza@unisabana.edu.co"/>
    <s v="rodolfo.meza@unisabana.edu.co0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rodolfo.meza@unisabana.edu.co01"/>
  </r>
  <r>
    <s v="ruben.martinez@unisabana.edu.co"/>
    <s v="ruben.martinez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ruben.martinez@unisabana.edu.co01"/>
  </r>
  <r>
    <s v="scastrillon@grupovanti.com"/>
    <s v="SCASTRILLON@GRUPOVANTI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SCASTRILLON@GRUPOVANTI.COM1"/>
  </r>
  <r>
    <s v="santiago.arrieta1@unisabana.edu.co"/>
    <s v="santiago.arrieta1@unisabana.edu.co01"/>
    <s v="Maestrï¿½a en Comunicaciï¿½n Estrï¿½tegica"/>
    <x v="115"/>
    <x v="0"/>
    <x v="1"/>
    <s v="Incompleta"/>
    <s v="Posgrado"/>
    <s v="FACULTAD DE COMUNICACIÓN"/>
    <s v="https://ProfCatedra2024.sawtoothsoftware.com/cgi-bin/ciwweb.pl?studyname=ProfCatedra2024&amp;Correo=santiago.arrieta1@unisabana.edu.co01"/>
  </r>
  <r>
    <s v="santiago.bayona1@unisabana.edu.co"/>
    <s v="santiago.bayona1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santiago.bayona1@unisabana.edu.co01"/>
  </r>
  <r>
    <s v="santiago.ocampo1@unisabana.edu.co"/>
    <s v="santiago.ocampo1@unisabana.edu.co01"/>
    <s v="Especializaciï¿½n en Gerencia de la Comunicaciï¿½n Organizacional"/>
    <x v="116"/>
    <x v="0"/>
    <x v="1"/>
    <s v="Incompleta"/>
    <s v="Posgrado"/>
    <s v="FACULTAD DE COMUNICACIÓN"/>
    <s v="https://ProfCatedra2024.sawtoothsoftware.com/cgi-bin/ciwweb.pl?studyname=ProfCatedra2024&amp;Correo=santiago.ocampo1@unisabana.edu.co01"/>
  </r>
  <r>
    <s v="sebasrubiano@hotmail.com"/>
    <s v="SEBASRUBIANO@HOT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SEBASRUBIANO@HOTMAIL.COM1"/>
  </r>
  <r>
    <s v="sergio.duque1@unisabana.edu.co"/>
    <s v="sergio.duque1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sergio.duque1@unisabana.edu.co01"/>
  </r>
  <r>
    <s v="silvana.ahumada@unisabana.edu.co"/>
    <s v="silvana.ahumada@unisabana.edu.co01"/>
    <s v="Maestrï¿½a en Gerencia de Inversiï¿½n"/>
    <x v="26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1"/>
  </r>
  <r>
    <s v="steve.martinez1@unisabana.edu.co"/>
    <s v="steve.martinez1@unisabana.edu.co01"/>
    <s v="Especializaciï¿½n en Gerencia Comercial Bucaramanga - Santander"/>
    <x v="104"/>
    <x v="0"/>
    <x v="0"/>
    <s v="Incompleta"/>
    <s v="Posgrado"/>
    <s v="INSTITUTO FORUM"/>
    <s v="https://ProfCatedra2024.sawtoothsoftware.com/cgi-bin/ciwweb.pl?studyname=ProfCatedra2024&amp;Correo=steve.martinez1@unisabana.edu.co01"/>
  </r>
  <r>
    <s v="viviana.fajardo@unisabana.edu.co"/>
    <s v="viviana.fajardo@unisabana.edu.co01"/>
    <s v="Especializaciï¿½n en Pediatrï¿½a"/>
    <x v="79"/>
    <x v="0"/>
    <x v="1"/>
    <s v="Incompleta"/>
    <s v="Posgrado"/>
    <s v="FACULTAD DE MEDICINA"/>
    <s v="https://ProfCatedra2024.sawtoothsoftware.com/cgi-bin/ciwweb.pl?studyname=ProfCatedra2024&amp;Correo=viviana.fajardo@unisabana.edu.co01"/>
  </r>
  <r>
    <s v="vmplazas@hotmail.com"/>
    <s v="VMPLAZAS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VMPLAZAS@HOTMAIL.COM1"/>
  </r>
  <r>
    <s v="william.pinzon@segurosdelestado.com"/>
    <s v="WILLIAM.PINZON@SEGUROSDELESTADO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WILLIAM.PINZON@SEGUROSDELESTADO.COM1"/>
  </r>
  <r>
    <s v="yenny.celemin@unisabana.edu.co"/>
    <s v="yenny.celemin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yenny.celemin@unisabana.edu.co01"/>
  </r>
  <r>
    <s v="yolanda.ruiz1@unisabana.edu.co"/>
    <s v="yolanda.ruiz1@unisabana.edu.co01"/>
    <s v="Especializaciï¿½n En Gerencia Estratï¿½gica - Ibaguï¿½"/>
    <x v="82"/>
    <x v="0"/>
    <x v="1"/>
    <s v="Incompleta"/>
    <s v="Posgrado"/>
    <s v="INSTITUTO FORUM"/>
    <s v="https://ProfCatedra2024.sawtoothsoftware.com/cgi-bin/ciwweb.pl?studyname=ProfCatedra2024&amp;Correo=yolanda.ruiz1@unisabana.edu.co01"/>
  </r>
  <r>
    <s v="zulma.velandia1@unisabana.edu.co"/>
    <s v="zulma.velandia1@unisabana.edu.co01"/>
    <s v="Especializaciï¿½n en Gerencia de la Comunicaciï¿½n Organizacional"/>
    <x v="116"/>
    <x v="0"/>
    <x v="1"/>
    <s v="Incompleta"/>
    <s v="Posgrado"/>
    <s v="FACULTAD DE COMUNICACIÓN"/>
    <s v="https://ProfCatedra2024.sawtoothsoftware.com/cgi-bin/ciwweb.pl?studyname=ProfCatedra2024&amp;Correo=zulma.velandia1@unisabana.edu.co01"/>
  </r>
  <r>
    <s v="zulmagbecerra@gmail.com"/>
    <s v="ZULMAGBECERRA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ZULMAGBECERRA@GMAIL.COM1"/>
  </r>
  <r>
    <s v="adriana.lopez5@unisabana.edu.co"/>
    <s v="adriana.lopez5@unisabana.edu.co02"/>
    <s v="Maestrï¿½a en Salud Pï¿½blica"/>
    <x v="70"/>
    <x v="0"/>
    <x v="1"/>
    <s v="Incompleta"/>
    <s v="Posgrado"/>
    <s v="FACULTAD DE MEDICINA"/>
    <s v="https://ProfCatedra2024.sawtoothsoftware.com/cgi-bin/ciwweb.pl?studyname=ProfCatedra2024&amp;Correo=adriana.lopez5@unisabana.edu.co02"/>
  </r>
  <r>
    <s v="alvaro.salcedo@unisabana.edu.co"/>
    <s v="alvaro.salcedo@unisabana.edu.co02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alvaro.salcedo@unisabana.edu.co02"/>
  </r>
  <r>
    <s v="andres.mancipe@gmail.com"/>
    <s v="ANDRES.MANCIPE@GMAIL.COM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ANDRES.MANCIPE@GMAIL.COM2"/>
  </r>
  <r>
    <s v="andresrohe@unisabana.edu.co"/>
    <s v="andresrohe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2"/>
  </r>
  <r>
    <s v="carlos.salazar5@unisabana.edu.co"/>
    <s v="carlos.salazar5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carlos.salazar5@unisabana.edu.co02"/>
  </r>
  <r>
    <s v="cherrera@gmail.com"/>
    <s v="CHERRERA@GMAIL.COM2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CHERRERA@GMAIL.COM2"/>
  </r>
  <r>
    <s v="claudiapatriciabarrantes@gmail.com"/>
    <s v="CLAUDIAPATRICIABARRANTES@GMAIL.COM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CLAUDIAPATRICIABARRANTES@GMAIL.COM2"/>
  </r>
  <r>
    <s v="cristinacharry@yahoo.es2"/>
    <s v="CRISTINACHARRY@YAHOO.ES2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CRISTINACHARRY@YAHOO.ES2"/>
  </r>
  <r>
    <s v="daniel.prieto@unisabana.edu.co"/>
    <s v="daniel.prieto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daniel.prieto@unisabana.edu.co02"/>
  </r>
  <r>
    <s v="ferpal48@hotmail.com"/>
    <s v="FERPAL48@HOTMAIL.COM2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FERPAL48@HOTMAIL.COM2"/>
  </r>
  <r>
    <s v="flavio.puentes1@unisabana.edu.co"/>
    <s v="flavio.puentes1@unisabana.edu.co02"/>
    <s v="Especializaciï¿½n en Gerencia Financiera Internacional - Bogotï¿½"/>
    <x v="73"/>
    <x v="0"/>
    <x v="1"/>
    <s v="Incompleta"/>
    <s v="Posgrado"/>
    <s v="INSTITUTO FORUM"/>
    <s v="https://ProfCatedra2024.sawtoothsoftware.com/cgi-bin/ciwweb.pl?studyname=ProfCatedra2024&amp;Correo=flavio.puentes1@unisabana.edu.co02"/>
  </r>
  <r>
    <s v="ivan.gutierrez@unisabana.edu.co"/>
    <s v="ivan.gutierrez@unisabana.edu.co02"/>
    <s v="Especializaciï¿½n en Gerencia Logï¿½stica - Bucaramanga"/>
    <x v="117"/>
    <x v="0"/>
    <x v="1"/>
    <s v="Incompleta"/>
    <s v="Posgrado"/>
    <s v="INSTITUTO FORUM"/>
    <s v="https://ProfCatedra2024.sawtoothsoftware.com/cgi-bin/ciwweb.pl?studyname=ProfCatedra2024&amp;Correo=ivan.gutierrez@unisabana.edu.co02"/>
  </r>
  <r>
    <s v="ivan.moya@unisabana.edu.co"/>
    <s v="ivan.moya@unisabana.edu.co02"/>
    <s v="Especializaciï¿½n en Gerencia Estratï¿½gica de Marca  - Chia"/>
    <x v="118"/>
    <x v="0"/>
    <x v="1"/>
    <s v="Incompleta"/>
    <s v="Posgrado"/>
    <s v="INSTITUTO FORUM"/>
    <s v="https://ProfCatedra2024.sawtoothsoftware.com/cgi-bin/ciwweb.pl?studyname=ProfCatedra2024&amp;Correo=ivan.moya@unisabana.edu.co02"/>
  </r>
  <r>
    <s v="ivan.unigarro1@unisabana.edu.co"/>
    <s v="ivan.unigarro1@unisabana.edu.co0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ivan.unigarro1@unisabana.edu.co02"/>
  </r>
  <r>
    <s v="john.mora@unisabana.edu.co"/>
    <s v="john.mora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john.mora@unisabana.edu.co02"/>
  </r>
  <r>
    <s v="jorge.figueroa@unisabana.edu.co"/>
    <s v="jorge.figueroa@unisabana.edu.co02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jorge.figueroa@unisabana.edu.co02"/>
  </r>
  <r>
    <s v="josemiguelruedavasquez4@hotmail.com"/>
    <s v="JOSEMIGUELRUEDAVASQUEZ4@HOTMAIL.COM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2"/>
  </r>
  <r>
    <s v="juan.marin2@unisabana.edu.co"/>
    <s v="juan.marin2@unisabana.edu.co02"/>
    <s v="Especializaciï¿½n en Gerencia Estratï¿½gica de Marca  - Chia"/>
    <x v="118"/>
    <x v="0"/>
    <x v="0"/>
    <s v="Incompleta"/>
    <s v="Posgrado"/>
    <s v="INSTITUTO FORUM"/>
    <s v="https://ProfCatedra2024.sawtoothsoftware.com/cgi-bin/ciwweb.pl?studyname=ProfCatedra2024&amp;Correo=juan.marin2@unisabana.edu.co02"/>
  </r>
  <r>
    <s v="lida.isaza@unisabana.edu.co"/>
    <s v="lida.isaza@unisabana.edu.co02"/>
    <s v="Maestrï¿½a en Pedagogï¿½a - Neiva"/>
    <x v="81"/>
    <x v="0"/>
    <x v="1"/>
    <s v="Incompleta"/>
    <s v="Posgrado"/>
    <s v="FACULTAD DE EDUCACIÓN"/>
    <s v="https://ProfCatedra2024.sawtoothsoftware.com/cgi-bin/ciwweb.pl?studyname=ProfCatedra2024&amp;Correo=lida.isaza@unisabana.edu.co02"/>
  </r>
  <r>
    <s v="luis.rodriguez2@unisabana.edu.co"/>
    <s v="luis.rodriguez2@unisabana.edu.co02"/>
    <s v="Maestrï¿½a en Gerencia Estratï¿½gica"/>
    <x v="35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2"/>
  </r>
  <r>
    <s v="luis.silva2@unisabana.edu.co"/>
    <s v="luis.silva2@unisabana.edu.co02"/>
    <s v="Especializaciï¿½n en Gerencia Logï¿½stica - Bogotï¿½"/>
    <x v="85"/>
    <x v="0"/>
    <x v="1"/>
    <s v="Incompleta"/>
    <s v="Posgrado"/>
    <s v="INSTITUTO FORUM"/>
    <s v="https://ProfCatedra2024.sawtoothsoftware.com/cgi-bin/ciwweb.pl?studyname=ProfCatedra2024&amp;Correo=luis.silva2@unisabana.edu.co02"/>
  </r>
  <r>
    <s v="manuel.marin1@unisabana.edu.co"/>
    <s v="manuel.marin1@unisabana.edu.co0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manuel.marin1@unisabana.edu.co02"/>
  </r>
  <r>
    <s v="marianolozanor@gmail.com"/>
    <s v="MARIANOLOZANOR@GMAIL.COM2"/>
    <s v="MAESTRIA EN DERECHO INTERNACIONAL"/>
    <x v="61"/>
    <x v="0"/>
    <x v="1"/>
    <s v="Incompleta"/>
    <s v="Posgrado"/>
    <s v="FACULTAD DE DERECHO Y CIENCIAS POLÍTICAS"/>
    <s v="https://ProfCatedra2024.sawtoothsoftware.com/cgi-bin/ciwweb.pl?studyname=ProfCatedra2024&amp;Correo=MARIANOLOZANOR@GMAIL.COM2"/>
  </r>
  <r>
    <s v="mauricio.suarez1@unisabana.edu.co"/>
    <s v="mauricio.suarez1@unisabana.edu.co02"/>
    <s v="Especializaciï¿½n en Gestiï¿½n para el Desarrollo Humano en la Organizaciï¿½n - Bucaramanga"/>
    <x v="17"/>
    <x v="0"/>
    <x v="1"/>
    <s v="Incompleta"/>
    <s v="Posgrado"/>
    <s v="INSTITUTO FORUM"/>
    <s v="https://ProfCatedra2024.sawtoothsoftware.com/cgi-bin/ciwweb.pl?studyname=ProfCatedra2024&amp;Correo=mauricio.suarez1@unisabana.edu.co02"/>
  </r>
  <r>
    <s v="mnmontoyacespedes@gmail.com"/>
    <s v="MNMONTOYACESPEDES@GMAIL.COM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MNMONTOYACESPEDES@GMAIL.COM2"/>
  </r>
  <r>
    <s v="newman.gutierrez@unisabana.edu.co"/>
    <s v="newman.gutierrez@unisabana.edu.co02"/>
    <s v="Especializaciï¿½n en Gerencia Comercial Virtual"/>
    <x v="6"/>
    <x v="0"/>
    <x v="1"/>
    <s v="Incompleta"/>
    <s v="Posgrado"/>
    <s v="INSTITUTO FORUM"/>
    <s v="https://ProfCatedra2024.sawtoothsoftware.com/cgi-bin/ciwweb.pl?studyname=ProfCatedra2024&amp;Correo=newman.gutierrez@unisabana.edu.co02"/>
  </r>
  <r>
    <s v="orlandorg@unisabana.edu.co"/>
    <s v="OrlandoRG@unisabana.edu.co0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OrlandoRG@unisabana.edu.co02"/>
  </r>
  <r>
    <s v="rafael.castro@unisabana.edu.co"/>
    <s v="rafael.castro@unisabana.edu.co02"/>
    <s v="Maestrï¿½a en Direcciï¿½n y Gestiï¿½n de Instituciones Educativas - Riohacha"/>
    <x v="92"/>
    <x v="0"/>
    <x v="1"/>
    <s v="Incompleta"/>
    <s v="Posgrado"/>
    <s v="FACULTAD DE EDUCACIÓN"/>
    <s v="https://ProfCatedra2024.sawtoothsoftware.com/cgi-bin/ciwweb.pl?studyname=ProfCatedra2024&amp;Correo=rafael.castro@unisabana.edu.co02"/>
  </r>
  <r>
    <s v="richard.ramirez@unisabana.edu.co"/>
    <s v="richard.ramirez@unisabana.edu.co0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richard.ramirez@unisabana.edu.co02"/>
  </r>
  <r>
    <s v="robertosuec@unisabana.edu.co"/>
    <s v="ROBERTOSUEC@UNISABANA.edu.co02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ROBERTOSUEC@UNISABANA.edu.co02"/>
  </r>
  <r>
    <s v="silvana.ahumada@unisabana.edu.co"/>
    <s v="silvana.ahumada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2"/>
  </r>
  <r>
    <s v="yenny.celemin@unisabana.edu.co"/>
    <s v="yenny.celemin@unisabana.edu.co0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yenny.celemin@unisabana.edu.co02"/>
  </r>
  <r>
    <s v="yolanda.ruiz1@unisabana.edu.co"/>
    <s v="yolanda.ruiz1@unisabana.edu.co02"/>
    <s v="Especializaciï¿½n en Gerencia Financiera Internacional - Chia"/>
    <x v="75"/>
    <x v="0"/>
    <x v="1"/>
    <s v="Incompleta"/>
    <s v="Posgrado"/>
    <s v="INSTITUTO FORUM"/>
    <s v="https://ProfCatedra2024.sawtoothsoftware.com/cgi-bin/ciwweb.pl?studyname=ProfCatedra2024&amp;Correo=yolanda.ruiz1@unisabana.edu.co02"/>
  </r>
  <r>
    <s v="zulma.velandia1@unisabana.edu.co"/>
    <s v="zulma.velandia1@unisabana.edu.co02"/>
    <s v="Maestrï¿½a en Comunicaciï¿½n Estrï¿½tegica"/>
    <x v="115"/>
    <x v="0"/>
    <x v="1"/>
    <s v="Incompleta"/>
    <s v="Posgrado"/>
    <s v="FACULTAD DE COMUNICACIÓN"/>
    <s v="https://ProfCatedra2024.sawtoothsoftware.com/cgi-bin/ciwweb.pl?studyname=ProfCatedra2024&amp;Correo=zulma.velandia1@unisabana.edu.co02"/>
  </r>
  <r>
    <s v="alvaro.salcedo@unisabana.edu.co"/>
    <s v="alvaro.salcedo@unisabana.edu.co03"/>
    <s v="Especializaciï¿½n en Gerencia de Proyectos con Enfoque en Habilidades Directivas - Chï¿½a"/>
    <x v="88"/>
    <x v="0"/>
    <x v="1"/>
    <s v="Incompleta"/>
    <s v="Posgrado"/>
    <s v="INSTITUTO FORUM"/>
    <s v="https://ProfCatedra2024.sawtoothsoftware.com/cgi-bin/ciwweb.pl?studyname=ProfCatedra2024&amp;Correo=alvaro.salcedo@unisabana.edu.co03"/>
  </r>
  <r>
    <s v="andresrohe@unisabana.edu.co"/>
    <s v="andresrohe@unisabana.edu.co03"/>
    <s v="Maestrï¿½a en Gerencia Internacional"/>
    <x v="37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3"/>
  </r>
  <r>
    <s v="juan.enciso2@unisabana.edu.co"/>
    <s v="juan.enciso2@unisabana.edu.co03"/>
    <s v="Maestrï¿½a en Pedagogï¿½a e Investigaciï¿½n en Aula - Virtual"/>
    <x v="108"/>
    <x v="0"/>
    <x v="0"/>
    <s v="Incompleta"/>
    <s v="Posgrado"/>
    <s v="FACULTAD DE EDUCACIÓN"/>
    <s v="https://ProfCatedra2024.sawtoothsoftware.com/cgi-bin/ciwweb.pl?studyname=ProfCatedra2024&amp;Correo=juan.enciso2@unisabana.edu.co03"/>
  </r>
  <r>
    <s v="lida.isaza@unisabana.edu.co"/>
    <s v="lida.isaza@unisabana.edu.co03"/>
    <s v="Maestrï¿½a en Pedagogï¿½a e Investigaciï¿½n en Aula - Virtual"/>
    <x v="108"/>
    <x v="0"/>
    <x v="0"/>
    <s v="Incompleta"/>
    <s v="Posgrado"/>
    <s v="FACULTAD DE EDUCACIÓN"/>
    <s v="https://ProfCatedra2024.sawtoothsoftware.com/cgi-bin/ciwweb.pl?studyname=ProfCatedra2024&amp;Correo=lida.isaza@unisabana.edu.co03"/>
  </r>
  <r>
    <s v="manuel.marin1@unisabana.edu.co"/>
    <s v="manuel.marin1@unisabana.edu.co03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manuel.marin1@unisabana.edu.co03"/>
  </r>
  <r>
    <s v="silvana.ahumada@unisabana.edu.co"/>
    <s v="silvana.ahumada@unisabana.edu.co03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3"/>
  </r>
  <r>
    <s v="juan.enciso2@unisabana.edu.co"/>
    <s v="juan.enciso2@unisabana.edu.co04"/>
    <s v="MAESTRï¿½A EN PEDAGOGIA E INVESTIGACIï¿½N EN EL AULA"/>
    <x v="108"/>
    <x v="0"/>
    <x v="1"/>
    <s v="Incompleta"/>
    <s v="Posgrado"/>
    <s v="FACULTAD DE EDUCACIÓN"/>
    <s v="https://ProfCatedra2024.sawtoothsoftware.com/cgi-bin/ciwweb.pl?studyname=ProfCatedra2024&amp;Correo=juan.enciso2@unisabana.edu.co04"/>
  </r>
  <r>
    <s v="silvana.ahumada@unisabana.edu.co"/>
    <s v="silvana.ahumada@unisabana.edu.co04"/>
    <s v="MAESTRï¿½A EN GERENCIA Y DESARROLLO DE PERSONAS"/>
    <x v="65"/>
    <x v="0"/>
    <x v="1"/>
    <s v="Incompleta"/>
    <s v="Posgrado"/>
    <s v="FACULTAD DE PSICOLOGÍA"/>
    <s v="https://ProfCatedra2024.sawtoothsoftware.com/cgi-bin/ciwweb.pl?studyname=ProfCatedra2024&amp;Correo=silvana.ahumada@unisabana.edu.co04"/>
  </r>
  <r>
    <s v="juancn@unisabana.edu.co"/>
    <s v="juancn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juancn@unisabana.edu.co07"/>
  </r>
  <r>
    <s v="andres.ortiz9@unisabana.edu.co"/>
    <s v="andres.ortiz9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andres.ortiz9@unisabana.edu.co07"/>
  </r>
  <r>
    <s v="eugenio.valderrama@unisabana.edu.co"/>
    <s v="eugenio.valderrama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eugenio.valderrama@unisabana.edu.co07"/>
  </r>
  <r>
    <s v="jesus.girado@unisabana.edu.co"/>
    <s v="jesus.girado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jesus.girado@unisabana.edu.co07"/>
  </r>
  <r>
    <s v="catalina.velandia@unisabana.edu.co"/>
    <s v="catalina.velandia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catalina.velandia@unisabana.edu.co07"/>
  </r>
  <r>
    <s v="jorge.leyva1@unisabana.edu.co"/>
    <s v="jorge.leyva1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jorge.leyva1@unisabana.edu.co07"/>
  </r>
  <r>
    <s v="luis.paz@unisabana.edu.co"/>
    <s v="luis.paz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luis.paz@unisabana.edu.co07"/>
  </r>
  <r>
    <s v="maria.urbina2@unisabana.edu.co"/>
    <s v="maria.urbina2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maria.urbina2@unisabana.edu.co07"/>
  </r>
  <r>
    <s v="nicolas.rodriguez5@unisabana.edu.co"/>
    <s v="nicolas.rodriguez5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nicolas.rodriguez5@unisabana.edu.co07"/>
  </r>
  <r>
    <s v="wilson.castro1@unisabana.edu.co"/>
    <s v="wilson.castro1@unisabana.edu.co07"/>
    <s v="MAESTRÃA EN GERENCIA DE INGENIERÃA"/>
    <x v="1"/>
    <x v="0"/>
    <x v="2"/>
    <e v="#N/A"/>
    <s v="Posgrado"/>
    <s v="FACULTAD DE INGENIERÍA"/>
    <s v="https://ProfCatedra2024.sawtoothsoftware.com/cgi-bin/ciwweb.pl?studyname=ProfCatedra2024&amp;Correo=wilson.castro1@unisabana.edu.co07"/>
  </r>
  <r>
    <s v="william.moscoso@unisabana.edu.co"/>
    <s v="william.moscoso@unisabana.edu.co07"/>
    <s v="ESPECIALIZACIÃ“N EN GERENCIA ESTRATÃ‰GICA CHÃA"/>
    <x v="54"/>
    <x v="0"/>
    <x v="1"/>
    <e v="#N/A"/>
    <s v="Posgrado"/>
    <s v="INSTITUTO FORUM"/>
    <s v="https://ProfCatedra2024.sawtoothsoftware.com/cgi-bin/ciwweb.pl?studyname=ProfCatedra2024&amp;Correo=william.moscoso@unisabana.edu.co07"/>
  </r>
  <r>
    <s v="cesar.parada@unisabana.edu.co"/>
    <s v="cesar.parada@unisabana.edu.co07"/>
    <s v="ESPECIALIZACIÃ“N EN EMPRENDIMIENTO Y NEGOCIOS DIGITALES- CHÃA"/>
    <x v="0"/>
    <x v="0"/>
    <x v="0"/>
    <e v="#N/A"/>
    <s v="Posgrado"/>
    <s v="INSTITUTO FORUM"/>
    <s v="https://ProfCatedra2024.sawtoothsoftware.com/cgi-bin/ciwweb.pl?studyname=ProfCatedra2024&amp;Correo=cesar.parada@unisabana.edu.co07"/>
  </r>
  <r>
    <s v="adner.capachero@unisabana.edu.co"/>
    <s v="adner.capachero@unisabana.edu.co02"/>
    <s v="ESPECIALIZACIï¿½N EN GERENCIA LOGï¿½STICA - CHï¿½A"/>
    <x v="109"/>
    <x v="1"/>
    <x v="3"/>
    <s v="Incompleta"/>
    <s v="Posgrado"/>
    <s v="INSTITUTO FORUM"/>
    <s v="https://ProfPlanta2024.sawtoothsoftware.com/cgi-bin/ciwweb.pl?studyname=ProfPlanta2024&amp;Correo=adner.capachero@unisabana.edu.co02"/>
  </r>
  <r>
    <s v="adriana.castellanos@unisabana.edu.co"/>
    <s v="adriana.castellanos@unisabana.edu.co01"/>
    <s v="MAESTRï¿½A EN ENFERMERï¿½A - VIRTUAL"/>
    <x v="13"/>
    <x v="1"/>
    <x v="3"/>
    <s v="Incompleta"/>
    <s v="Posgrado"/>
    <s v="FACULTAD DE ENFERMERÍA Y REHABILITACIÓN"/>
    <s v="https://ProfPlanta2024.sawtoothsoftware.com/cgi-bin/ciwweb.pl?studyname=ProfPlanta2024&amp;Correo=adriana.castellanos@unisabana.edu.co01"/>
  </r>
  <r>
    <s v="adriana.castellanos@unisabana.edu.co"/>
    <s v="adriana.castellanos@unisabana.edu.co02"/>
    <s v="MAESTRï¿½A EN FISIOTERAPIA"/>
    <x v="121"/>
    <x v="1"/>
    <x v="3"/>
    <s v="Incompleta"/>
    <s v="Posgrado"/>
    <s v="FACULTAD DE ENFERMERÍA Y REHABILITACIÓN"/>
    <s v="https://ProfPlanta2024.sawtoothsoftware.com/cgi-bin/ciwweb.pl?studyname=ProfPlanta2024&amp;Correo=adriana.castellanos@unisabana.edu.co02"/>
  </r>
  <r>
    <s v="alejandra.fuentes@unisabana.edu.co"/>
    <s v="alejandra.fuentes@unisabana.edu.co02"/>
    <s v="MAESTRï¿½A EN ENFERMERï¿½A"/>
    <x v="12"/>
    <x v="1"/>
    <x v="3"/>
    <s v="Incompleta"/>
    <s v="Posgrado"/>
    <s v="FACULTAD DE ENFERMERÍA Y REHABILITACIÓN"/>
    <s v="https://ProfPlanta2024.sawtoothsoftware.com/cgi-bin/ciwweb.pl?studyname=ProfPlanta2024&amp;Correo=alejandra.fuentes@unisabana.edu.co02"/>
  </r>
  <r>
    <s v="alejandra.fuentes@unisabana.edu.co"/>
    <s v="alejandra.fuentes@unisabana.edu.co03"/>
    <s v="MAESTRï¿½A EN ENFERMERï¿½A - VIRTUAL"/>
    <x v="13"/>
    <x v="1"/>
    <x v="3"/>
    <s v="Incompleta"/>
    <s v="Posgrado"/>
    <s v="FACULTAD DE ENFERMERÍA Y REHABILITACIÓN"/>
    <s v="https://ProfPlanta2024.sawtoothsoftware.com/cgi-bin/ciwweb.pl?studyname=ProfPlanta2024&amp;Correo=alejandra.fuentes@unisabana.edu.co03"/>
  </r>
  <r>
    <s v="alexandra.jimenez1@unisabana.edu.co"/>
    <s v="alexandra.jimenez1@unisabana.edu.co01"/>
    <s v="Especializaciï¿½n en Gerencia Comercial - Barranquilla"/>
    <x v="122"/>
    <x v="0"/>
    <x v="3"/>
    <s v="Incompleta"/>
    <s v="Posgrado"/>
    <s v="INSTITUTO FORUM"/>
    <s v="https://ProfCatedra2024.sawtoothsoftware.com/cgi-bin/ciwweb.pl?studyname=ProfCatedra2024&amp;Correo=alexandra.jimenez1@unisabana.edu.co01"/>
  </r>
  <r>
    <s v="alexandra.jimenez1@unisabana.edu.co"/>
    <s v="alexandra.jimenez1@unisabana.edu.co02"/>
    <s v="Especializaciï¿½n en Gerencia del Servicio - Chï¿½a"/>
    <x v="7"/>
    <x v="0"/>
    <x v="3"/>
    <s v="Incompleta"/>
    <s v="Posgrado"/>
    <s v="INSTITUTO FORUM"/>
    <s v="https://ProfCatedra2024.sawtoothsoftware.com/cgi-bin/ciwweb.pl?studyname=ProfCatedra2024&amp;Correo=alexandra.jimenez1@unisabana.edu.co02"/>
  </r>
  <r>
    <s v="andres.cardona1@unisabana.edu.co"/>
    <s v="andres.cardona1@unisabana.edu.co01"/>
    <s v="Maestrï¿½a en Analï¿½tica Aplicada - Chï¿½a"/>
    <x v="18"/>
    <x v="0"/>
    <x v="3"/>
    <s v="Incompleta"/>
    <s v="Posgrado"/>
    <s v="FACULTAD DE INGENIERÍA"/>
    <s v="https://ProfCatedra2024.sawtoothsoftware.com/cgi-bin/ciwweb.pl?studyname=ProfCatedra2024&amp;Correo=andres.cardona1@unisabana.edu.co01"/>
  </r>
  <r>
    <s v="andres.cardona1@unisabana.edu.co"/>
    <s v="andres.cardona1@unisabana.edu.co02"/>
    <s v="Maestrï¿½a en Diseï¿½o y Gestiï¿½n de Procesos - Chï¿½a"/>
    <x v="97"/>
    <x v="0"/>
    <x v="3"/>
    <s v="Incompleta"/>
    <s v="Posgrado"/>
    <s v="FACULTAD DE INGENIERÍA"/>
    <s v="https://ProfCatedra2024.sawtoothsoftware.com/cgi-bin/ciwweb.pl?studyname=ProfCatedra2024&amp;Correo=andres.cardona1@unisabana.edu.co02"/>
  </r>
  <r>
    <s v="andres.carreno@unisabana.edu.co"/>
    <s v="andres.carreno@Unisabana.edu.co02"/>
    <s v="Maestrï¿½a en Pedagogï¿½a - Neiva"/>
    <x v="81"/>
    <x v="0"/>
    <x v="0"/>
    <s v="Incompleta"/>
    <s v="Posgrado"/>
    <s v="FACULTAD DE EDUCACIÓN"/>
    <s v="https://ProfCatedra2024.sawtoothsoftware.com/cgi-bin/ciwweb.pl?studyname=ProfCatedra2024&amp;Correo=andres.carreno@Unisabana.edu.co02"/>
  </r>
  <r>
    <s v="angela.trujillo@unisabana.edu.co"/>
    <s v="angela.trujillo@unisabana.edu.co01"/>
    <s v="MAESTRIA EN PSICOLOGIA"/>
    <x v="123"/>
    <x v="1"/>
    <x v="3"/>
    <s v="Incompleta"/>
    <s v="Posgrado"/>
    <s v="FACULTAD DE PSICOLOGÍA"/>
    <s v="https://ProfPlanta2024.sawtoothsoftware.com/cgi-bin/ciwweb.pl?studyname=ProfPlanta2024&amp;Correo=angela.trujillo@unisabana.edu.co01"/>
  </r>
  <r>
    <s v="juan.ulloa1@unisabana.edu.co"/>
    <s v="juan.ulloa1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uan.ulloa1@unisabana.edu.co1"/>
  </r>
  <r>
    <s v="carlos.monroy@unisabana.edu.co"/>
    <s v="carlos.monroy@unisabana.edu.co01"/>
    <s v="MAESTRï¿½A EN GERENCIA Y DESARROLLO DE PERSONAS"/>
    <x v="65"/>
    <x v="1"/>
    <x v="3"/>
    <s v="Incompleta"/>
    <s v="Posgrado"/>
    <s v="FACULTAD DE PSICOLOGÍA"/>
    <s v="https://ProfPlanta2024.sawtoothsoftware.com/cgi-bin/ciwweb.pl?studyname=ProfPlanta2024&amp;Correo=carlos.monroy@unisabana.edu.co01"/>
  </r>
  <r>
    <s v="carlos.monroy@unisabana.edu.co"/>
    <s v="carlos.monroy@unisabana.edu.co07"/>
    <s v="MAESTRÃA EN PSICOLOGÃA CLINICA DE LA NIÃ‘EZ Y LA ADOLESCENCIA"/>
    <x v="120"/>
    <x v="1"/>
    <x v="3"/>
    <s v="Incompleta"/>
    <s v="Posgrado"/>
    <s v="FACULTAD DE PSICOLOGÍA"/>
    <s v="https://ProfPlanta2024.sawtoothsoftware.com/cgi-bin/ciwweb.pl?studyname=ProfPlanta2024&amp;Correo=carlos.monroy@unisabana.edu.co07"/>
  </r>
  <r>
    <s v="davendanosura@gmail.com"/>
    <s v="DAVENDANOSURA@GMAIL.COM2"/>
    <s v="Especializaciï¿½n en Seguros y Seguridad Social - Chï¿½a"/>
    <x v="89"/>
    <x v="0"/>
    <x v="3"/>
    <s v="Incompleta"/>
    <s v="Posgrado"/>
    <s v="FACULTAD DE DERECHO Y CIENCIAS POLÍTICAS"/>
    <s v="https://ProfCatedra2024.sawtoothsoftware.com/cgi-bin/ciwweb.pl?studyname=ProfCatedra2024&amp;Correo=DAVENDANOSURA@GMAIL.COM2"/>
  </r>
  <r>
    <s v="deisy.quiroz@unisabana.edu.co"/>
    <s v="deisy.quiroz@unisabana.edu.co1"/>
    <s v="COMUNICACIï¿½N AUDIOVISUAL Y MULTIMEDIOS"/>
    <x v="23"/>
    <x v="0"/>
    <x v="3"/>
    <s v="Incompleta"/>
    <s v="Pregrado"/>
    <s v="FACULTAD DE COMUNICACIÓN"/>
    <s v="https://ProfCatedra2024.sawtoothsoftware.com/cgi-bin/ciwweb.pl?studyname=ProfCatedra2024&amp;Correo=deisy.quiroz@unisabana.edu.co1"/>
  </r>
  <r>
    <s v="juana.jaramillo@unisabana.edu.co"/>
    <s v="juana.jaramill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uana.jaramillo@unisabana.edu.co01"/>
  </r>
  <r>
    <s v="sergio.torres_cont@unisabana.edu.co"/>
    <s v="sergio.torres_cont@unisabana.edu.co01"/>
    <s v="Maestrï¿½a en Gerencia de la Innovaciï¿½n"/>
    <x v="67"/>
    <x v="0"/>
    <x v="0"/>
    <s v="Incompleta"/>
    <s v="Posgrado"/>
    <s v="ESCUELA INTERNACIONAL DE CIENCIAS ECONÓMICAS Y ADMINISTRATIVAS"/>
    <s v="https://ProfCatedra2024.sawtoothsoftware.com/cgi-bin/ciwweb.pl?studyname=ProfCatedra2024&amp;Correo=sergio.torres_cont@unisabana.edu.co01"/>
  </r>
  <r>
    <s v="deisy.quiroz@unisabana.edu.co"/>
    <s v="deisy.quiroz@unisabana.edu.co3"/>
    <s v="COMUNICACIï¿½N CORPORATIVA"/>
    <x v="43"/>
    <x v="0"/>
    <x v="3"/>
    <s v="Incompleta"/>
    <s v="Pregrado"/>
    <s v="FACULTAD DE COMUNICACIÓN"/>
    <s v="https://ProfCatedra2024.sawtoothsoftware.com/cgi-bin/ciwweb.pl?studyname=ProfCatedra2024&amp;Correo=deisy.quiroz@unisabana.edu.co3"/>
  </r>
  <r>
    <s v="diego.becerra2@unisabana.edu.co"/>
    <s v="diego.becerra2@unisabana.edu.co03"/>
    <s v="MAESTRï¿½A EN INNOVACIï¿½N EDUCATIVA MEDIADA POR TIC"/>
    <x v="124"/>
    <x v="1"/>
    <x v="3"/>
    <s v="Incompleta"/>
    <s v="Posgrado"/>
    <s v="FACULTAD DE EDUCACIÓN"/>
    <s v="https://ProfPlanta2024.sawtoothsoftware.com/cgi-bin/ciwweb.pl?studyname=ProfPlanta2024&amp;Correo=diego.becerra2@unisabana.edu.co03"/>
  </r>
  <r>
    <s v="doraat@unisabana.edu.co"/>
    <s v="Doraat@unisabana.edu.co02"/>
    <s v="Especializaciï¿½n en Gerencia del Servicio - Chï¿½a"/>
    <x v="7"/>
    <x v="0"/>
    <x v="3"/>
    <s v="Incompleta"/>
    <s v="Posgrado"/>
    <s v="INSTITUTO FORUM"/>
    <s v="https://ProfCatedra2024.sawtoothsoftware.com/cgi-bin/ciwweb.pl?studyname=ProfCatedra2024&amp;Correo=Doraat@unisabana.edu.co02"/>
  </r>
  <r>
    <s v="doraat@unisabana.edu.co"/>
    <s v="Doraat@unisabana.edu.co03"/>
    <s v="Especializaciï¿½n en Gerencia Logï¿½stica - Bogotï¿½"/>
    <x v="85"/>
    <x v="0"/>
    <x v="3"/>
    <s v="Incompleta"/>
    <s v="Posgrado"/>
    <s v="INSTITUTO FORUM"/>
    <s v="https://ProfCatedra2024.sawtoothsoftware.com/cgi-bin/ciwweb.pl?studyname=ProfCatedra2024&amp;Correo=Doraat@unisabana.edu.co03"/>
  </r>
  <r>
    <s v="flor.baracaldo@unisabana.edu.co"/>
    <s v="flor.baracaldo@unisabana.edu.co01"/>
    <s v="MAESTRï¿½A EN GERENCIA Y DESARROLLO DE PERSONAS"/>
    <x v="65"/>
    <x v="1"/>
    <x v="3"/>
    <s v="Incompleta"/>
    <s v="Posgrado"/>
    <s v="FACULTAD DE PSICOLOGÍA"/>
    <s v="https://ProfPlanta2024.sawtoothsoftware.com/cgi-bin/ciwweb.pl?studyname=ProfPlanta2024&amp;Correo=flor.baracaldo@unisabana.edu.co01"/>
  </r>
  <r>
    <s v="gabriela.atehortua@unisabana.edu.co"/>
    <s v="gabriela.atehortua@unisabana.edu.co03"/>
    <s v="MAESTRï¿½A EN PROYECTOS EDUCATIVOS MEDIADOS POR TIC"/>
    <x v="124"/>
    <x v="0"/>
    <x v="3"/>
    <s v="Incompleta"/>
    <s v="Posgrado"/>
    <s v="FACULTAD DE EDUCACIÓN"/>
    <s v="https://ProfCatedra2024.sawtoothsoftware.com/cgi-bin/ciwweb.pl?studyname=ProfCatedra2024&amp;Correo=gabriela.atehortua@unisabana.edu.co03"/>
  </r>
  <r>
    <s v="luis.maria@unisabana.edu.co"/>
    <s v="luis.maria@unisabana.edu.co02"/>
    <s v="Especializaciï¿½n en Gerencia Financiera Internacional - Chia"/>
    <x v="75"/>
    <x v="0"/>
    <x v="0"/>
    <s v="Incompleta"/>
    <s v="Posgrado"/>
    <s v="INSTITUTO FORUM"/>
    <s v="https://ProfCatedra2024.sawtoothsoftware.com/cgi-bin/ciwweb.pl?studyname=ProfCatedra2024&amp;Correo=luis.maria@unisabana.edu.co02"/>
  </r>
  <r>
    <s v="ingri.moreno@unisabana.edu.co"/>
    <s v="ingri.moreno@unisabana.edu.co1"/>
    <s v="LICENCIATURA EN CIENCIAS NATURALES"/>
    <x v="3"/>
    <x v="0"/>
    <x v="3"/>
    <s v="Incompleta"/>
    <s v="Pregrado"/>
    <s v="FACULTAD DE EDUCACIÓN"/>
    <s v="https://ProfCatedra2024.sawtoothsoftware.com/cgi-bin/ciwweb.pl?studyname=ProfCatedra2024&amp;Correo=ingri.moreno@unisabana.edu.co1"/>
  </r>
  <r>
    <s v="jaime.rodriguez3@unisabana.edu.co"/>
    <s v="Jaime.Rodriguez3@unisabana.edu.co01"/>
    <s v="MAESTRï¿½A EN GERENCIA Y DESARROLLO DE PERSONAS"/>
    <x v="65"/>
    <x v="0"/>
    <x v="3"/>
    <s v="Incompleta"/>
    <s v="Posgrado"/>
    <s v="FACULTAD DE PSICOLOGÍA"/>
    <s v="https://ProfCatedra2024.sawtoothsoftware.com/cgi-bin/ciwweb.pl?studyname=ProfCatedra2024&amp;Correo=Jaime.Rodriguez3@unisabana.edu.co01"/>
  </r>
  <r>
    <s v="jeronimo.garcia@unisabana.edu.co"/>
    <s v="jeronimo.garcia@unisabana.edu.co2"/>
    <s v="COMUNICACIï¿½N SOCIAL Y PERIODISMO"/>
    <x v="15"/>
    <x v="0"/>
    <x v="3"/>
    <s v="Incompleta"/>
    <s v="Pregrado"/>
    <s v="FACULTAD DE COMUNICACIÓN"/>
    <s v="https://ProfCatedra2024.sawtoothsoftware.com/cgi-bin/ciwweb.pl?studyname=ProfCatedra2024&amp;Correo=jeronimo.garcia@unisabana.edu.co2"/>
  </r>
  <r>
    <s v="jose.castano@unisabana.edu.co"/>
    <s v="jose.castano@unisabana.edu.co01"/>
    <s v="MAESTRï¿½A EN DIRECCIï¿½N Y GESTIï¿½N DE INSTITUCIONES EDUCATIVAS"/>
    <x v="62"/>
    <x v="0"/>
    <x v="3"/>
    <s v="Incompleta"/>
    <s v="Posgrado"/>
    <s v="FACULTAD DE EDUCACIÓN"/>
    <s v="https://ProfCatedra2024.sawtoothsoftware.com/cgi-bin/ciwweb.pl?studyname=ProfCatedra2024&amp;Correo=jose.castano@unisabana.edu.co01"/>
  </r>
  <r>
    <s v="jose.rodriguez3@unisabana.edu.co"/>
    <s v="jose.rodriguez3@unisabana.edu.co2"/>
    <s v="DERECHO"/>
    <x v="22"/>
    <x v="1"/>
    <x v="3"/>
    <s v="Incompleta"/>
    <s v="Pregrado"/>
    <s v="FACULTAD DE DERECHO Y CIENCIAS POLÍTICAS"/>
    <s v="https://ProfPlanta2024.sawtoothsoftware.com/cgi-bin/ciwweb.pl?studyname=ProfPlanta2024&amp;Correo=jose.rodriguez3@unisabana.edu.co2"/>
  </r>
  <r>
    <s v="juan.cardenas4@unisabana.edu.co"/>
    <s v="juan.cardenas4@unisabana.edu.co2"/>
    <s v="COMUNICACIï¿½N SOCIAL Y PERIODISMO"/>
    <x v="15"/>
    <x v="1"/>
    <x v="3"/>
    <s v="Incompleta"/>
    <s v="Pregrado"/>
    <s v="FACULTAD DE COMUNICACIÓN"/>
    <s v="https://ProfPlanta2024.sawtoothsoftware.com/cgi-bin/ciwweb.pl?studyname=ProfPlanta2024&amp;Correo=juan.cardenas4@unisabana.edu.co2"/>
  </r>
  <r>
    <s v="sergio.torres_cont@unisabana.edu.co"/>
    <s v="sergio.torres_cont@unisabana.edu.co04"/>
    <s v="MAESTRï¿½A EN GERENCIA Y DESARROLLO DE PERSONAS"/>
    <x v="65"/>
    <x v="0"/>
    <x v="0"/>
    <s v="Incompleta"/>
    <s v="Posgrado"/>
    <s v="FACULTAD DE PSICOLOGÍA"/>
    <s v="https://ProfCatedra2024.sawtoothsoftware.com/cgi-bin/ciwweb.pl?studyname=ProfCatedra2024&amp;Correo=sergio.torres_cont@unisabana.edu.co04"/>
  </r>
  <r>
    <s v="juan.cardenas4@unisabana.edu.co"/>
    <s v="juan.cardenas4@unisabana.edu.co3"/>
    <s v="COMUNICACIï¿½N CORPORATIVA"/>
    <x v="43"/>
    <x v="1"/>
    <x v="3"/>
    <s v="Incompleta"/>
    <s v="Pregrado"/>
    <s v="FACULTAD DE COMUNICACIÓN"/>
    <s v="https://ProfPlanta2024.sawtoothsoftware.com/cgi-bin/ciwweb.pl?studyname=ProfPlanta2024&amp;Correo=juan.cardenas4@unisabana.edu.co3"/>
  </r>
  <r>
    <s v="juan.enciso2@unisabana.edu.co"/>
    <s v="juan.enciso2@unisabana.edu.co02"/>
    <s v="Especializaciï¿½n en Pedagogï¿½a e Investigaciï¿½n en el Aula - Virtual"/>
    <x v="94"/>
    <x v="0"/>
    <x v="0"/>
    <s v="Incompleta"/>
    <s v="Posgrado"/>
    <s v="FACULTAD DE EDUCACIÓN"/>
    <s v="https://ProfCatedra2024.sawtoothsoftware.com/cgi-bin/ciwweb.pl?studyname=ProfCatedra2024&amp;Correo=juan.enciso2@unisabana.edu.co02"/>
  </r>
  <r>
    <s v="julian.carreno@unisabana.edu.co"/>
    <s v="Julian.Carreno@unisabana.edu.co2"/>
    <s v="COMUNICACIï¿½N SOCIAL Y PERIODISMO"/>
    <x v="15"/>
    <x v="1"/>
    <x v="3"/>
    <s v="Incompleta"/>
    <s v="Pregrado"/>
    <s v="FACULTAD DE COMUNICACIÓN"/>
    <s v="https://ProfPlanta2024.sawtoothsoftware.com/cgi-bin/ciwweb.pl?studyname=ProfPlanta2024&amp;Correo=Julian.Carreno@unisabana.edu.co2"/>
  </r>
  <r>
    <s v="julian.carreno@unisabana.edu.co"/>
    <s v="Julian.Carreno@unisabana.edu.co3"/>
    <s v="COMUNICACIï¿½N CORPORATIVA"/>
    <x v="43"/>
    <x v="1"/>
    <x v="3"/>
    <s v="Incompleta"/>
    <s v="Pregrado"/>
    <s v="FACULTAD DE COMUNICACIÓN"/>
    <s v="https://ProfPlanta2024.sawtoothsoftware.com/cgi-bin/ciwweb.pl?studyname=ProfPlanta2024&amp;Correo=Julian.Carreno@unisabana.edu.co3"/>
  </r>
  <r>
    <s v="laura.carreno@unisabana.edu.co"/>
    <s v="laura.carreno@unisabana.edu.co1"/>
    <s v="LICENCIATURA EN EDUCACIï¿½N INFANTIL"/>
    <x v="34"/>
    <x v="1"/>
    <x v="3"/>
    <s v="Incompleta"/>
    <s v="Pregrado"/>
    <s v="FACULTAD DE EDUCACIÓN"/>
    <s v="https://ProfPlanta2024.sawtoothsoftware.com/cgi-bin/ciwweb.pl?studyname=ProfPlanta2024&amp;Correo=laura.carreno@unisabana.edu.co1"/>
  </r>
  <r>
    <s v="lida.isaza@unisabana.edu.co"/>
    <s v="lida.isaza@unisabana.edu.co2"/>
    <s v="LICENCIATURA EN CIENCIAS NATURALES"/>
    <x v="3"/>
    <x v="0"/>
    <x v="3"/>
    <s v="Incompleta"/>
    <s v="Pregrado"/>
    <s v="FACULTAD DE EDUCACIÓN"/>
    <s v="https://ProfCatedra2024.sawtoothsoftware.com/cgi-bin/ciwweb.pl?studyname=ProfCatedra2024&amp;Correo=lida.isaza@unisabana.edu.co2"/>
  </r>
  <r>
    <s v="liliana.paredes@unisabana.edu.co"/>
    <s v="liliana.paredes@unisabana.edu.co2"/>
    <s v="COMUNICACIï¿½N SOCIAL Y PERIODISMO"/>
    <x v="15"/>
    <x v="1"/>
    <x v="3"/>
    <s v="Incompleta"/>
    <s v="Pregrado"/>
    <s v="FACULTAD DE COMUNICACIÓN"/>
    <s v="https://ProfPlanta2024.sawtoothsoftware.com/cgi-bin/ciwweb.pl?studyname=ProfPlanta2024&amp;Correo=liliana.paredes@unisabana.edu.co2"/>
  </r>
  <r>
    <s v="luis.lopez10@unisabana.edu.co"/>
    <s v="luis.lopez10@unisabana.edu.co02"/>
    <s v="Especializaciï¿½n En Gerencia Estratï¿½gica - Bucaramanga"/>
    <x v="55"/>
    <x v="0"/>
    <x v="3"/>
    <s v="Incompleta"/>
    <s v="Posgrado"/>
    <s v="INSTITUTO FORUM"/>
    <s v="https://ProfCatedra2024.sawtoothsoftware.com/cgi-bin/ciwweb.pl?studyname=ProfCatedra2024&amp;Correo=luis.lopez10@unisabana.edu.co02"/>
  </r>
  <r>
    <s v="luis.parra2@unisabana.edu.co"/>
    <s v="luis.parra2@unisabana.edu.co1"/>
    <s v="CIENCIAS POLï¿½TICAS"/>
    <x v="68"/>
    <x v="0"/>
    <x v="3"/>
    <s v="Incompleta"/>
    <s v="Pregrado"/>
    <s v="FACULTAD DE DERECHO Y CIENCIAS POLÍTICAS"/>
    <s v="https://ProfCatedra2024.sawtoothsoftware.com/cgi-bin/ciwweb.pl?studyname=ProfCatedra2024&amp;Correo=luis.parra2@unisabana.edu.co1"/>
  </r>
  <r>
    <s v="luisaaa@unisabana.edu.co"/>
    <s v="Luisaaa@unisabana.edu.co01"/>
    <s v="MAESTRï¿½A EN DESARROLLO INFANTIL - CHIA"/>
    <x v="41"/>
    <x v="0"/>
    <x v="3"/>
    <s v="Incompleta"/>
    <s v="Posgrado"/>
    <s v="FACULTAD DE EDUCACIÓN"/>
    <s v="https://ProfCatedra2024.sawtoothsoftware.com/cgi-bin/ciwweb.pl?studyname=ProfCatedra2024&amp;Correo=Luisaaa@unisabana.edu.co01"/>
  </r>
  <r>
    <s v="luz.villalba@unisabana.edu.co"/>
    <s v="luz.villalba@unisabana.edu.co1"/>
    <s v="COMUNICACIï¿½N AUDIOVISUAL Y MULTIMEDIOS"/>
    <x v="23"/>
    <x v="1"/>
    <x v="3"/>
    <s v="Incompleta"/>
    <s v="Pregrado"/>
    <s v="FACULTAD DE COMUNICACIÓN"/>
    <s v="https://ProfPlanta2024.sawtoothsoftware.com/cgi-bin/ciwweb.pl?studyname=ProfPlanta2024&amp;Correo=luz.villalba@unisabana.edu.co1"/>
  </r>
  <r>
    <s v="luz.villalba@unisabana.edu.co"/>
    <s v="luz.villalba@unisabana.edu.co3"/>
    <s v="COMUNICACIï¿½N CORPORATIVA"/>
    <x v="43"/>
    <x v="1"/>
    <x v="3"/>
    <s v="Incompleta"/>
    <s v="Pregrado"/>
    <s v="FACULTAD DE COMUNICACIÓN"/>
    <s v="https://ProfPlanta2024.sawtoothsoftware.com/cgi-bin/ciwweb.pl?studyname=ProfPlanta2024&amp;Correo=luz.villalba@unisabana.edu.co3"/>
  </r>
  <r>
    <s v="manuel.rodriguez3@unisabana.edu.co"/>
    <s v="manuel.rodriguez3@unisabana.edu.co2"/>
    <s v="COMUNICACIï¿½N SOCIAL Y PERIODISMO"/>
    <x v="15"/>
    <x v="0"/>
    <x v="3"/>
    <s v="Incompleta"/>
    <s v="Pregrado"/>
    <s v="FACULTAD DE COMUNICACIÓN"/>
    <s v="https://ProfCatedra2024.sawtoothsoftware.com/cgi-bin/ciwweb.pl?studyname=ProfCatedra2024&amp;Correo=manuel.rodriguez3@unisabana.edu.co2"/>
  </r>
  <r>
    <s v="manuel.rodriguez3@unisabana.edu.co"/>
    <s v="manuel.rodriguez3@unisabana.edu.co3"/>
    <s v="COMUNICACIï¿½N CORPORATIVA"/>
    <x v="43"/>
    <x v="0"/>
    <x v="3"/>
    <s v="Incompleta"/>
    <s v="Pregrado"/>
    <s v="FACULTAD DE COMUNICACIÓN"/>
    <s v="https://ProfCatedra2024.sawtoothsoftware.com/cgi-bin/ciwweb.pl?studyname=ProfCatedra2024&amp;Correo=manuel.rodriguez3@unisabana.edu.co3"/>
  </r>
  <r>
    <s v="maria.arbelaez4@unisabana.edu.co"/>
    <s v="maria.arbelaez4@unisabana.edu.co1"/>
    <s v="COMUNICACIï¿½N AUDIOVISUAL Y MULTIMEDIOS"/>
    <x v="23"/>
    <x v="1"/>
    <x v="3"/>
    <s v="Incompleta"/>
    <s v="Pregrado"/>
    <s v="FACULTAD DE COMUNICACIÓN"/>
    <s v="https://ProfPlanta2024.sawtoothsoftware.com/cgi-bin/ciwweb.pl?studyname=ProfPlanta2024&amp;Correo=maria.arbelaez4@unisabana.edu.co1"/>
  </r>
  <r>
    <s v="maria.arbelaez4@unisabana.edu.co"/>
    <s v="maria.arbelaez4@unisabana.edu.co3"/>
    <s v="COMUNICACIï¿½N CORPORATIVA"/>
    <x v="43"/>
    <x v="1"/>
    <x v="3"/>
    <s v="Incompleta"/>
    <s v="Pregrado"/>
    <s v="FACULTAD DE COMUNICACIÓN"/>
    <s v="https://ProfPlanta2024.sawtoothsoftware.com/cgi-bin/ciwweb.pl?studyname=ProfPlanta2024&amp;Correo=maria.arbelaez4@unisabana.edu.co3"/>
  </r>
  <r>
    <s v="maria.castillo2@unisabana.edu.co"/>
    <s v="maria.castillo2@unisabana.edu.co02"/>
    <s v="MAESTRï¿½A EN PEDAGOGï¿½A - HUILA"/>
    <x v="81"/>
    <x v="0"/>
    <x v="3"/>
    <s v="Incompleta"/>
    <s v="Posgrado"/>
    <s v="FACULTAD DE EDUCACIÓN"/>
    <s v="https://ProfCatedra2024.sawtoothsoftware.com/cgi-bin/ciwweb.pl?studyname=ProfCatedra2024&amp;Correo=maria.castillo2@unisabana.edu.co02"/>
  </r>
  <r>
    <s v="maria.mejia2@unisabana.edu.co"/>
    <s v="maria.mejia2@unisabana.edu.co02"/>
    <s v="ESPECIALIZACION EN PSICOLOGIA EDUCATIVA"/>
    <x v="71"/>
    <x v="1"/>
    <x v="3"/>
    <s v="Incompleta"/>
    <s v="Posgrado"/>
    <s v="FACULTAD DE PSICOLOGÍA"/>
    <s v="https://ProfPlanta2024.sawtoothsoftware.com/cgi-bin/ciwweb.pl?studyname=ProfPlanta2024&amp;Correo=maria.mejia2@unisabana.edu.co02"/>
  </r>
  <r>
    <s v="maria.villar2@unisabana.edu.co"/>
    <s v="maria.villar2@unisabana.edu.co01"/>
    <s v="Especializaciï¿½n en Gerencia del Servicio - Chï¿½a"/>
    <x v="7"/>
    <x v="0"/>
    <x v="3"/>
    <s v="Incompleta"/>
    <s v="Posgrado"/>
    <s v="INSTITUTO FORUM"/>
    <s v="https://ProfCatedra2024.sawtoothsoftware.com/cgi-bin/ciwweb.pl?studyname=ProfCatedra2024&amp;Correo=maria.villar2@unisabana.edu.co01"/>
  </r>
  <r>
    <s v="rociohp@unisabana.edu.co"/>
    <s v="RocioHP@unisabana.edu.co01"/>
    <s v="ESPECIALIZACIï¿½N EN GERENCIA LOGï¿½STICA - CHï¿½A"/>
    <x v="109"/>
    <x v="1"/>
    <x v="3"/>
    <s v="Incompleta"/>
    <s v="Posgrado"/>
    <s v="INSTITUTO FORUM"/>
    <s v="https://ProfPlanta2024.sawtoothsoftware.com/cgi-bin/ciwweb.pl?studyname=ProfPlanta2024&amp;Correo=RocioHP@unisabana.edu.co01"/>
  </r>
  <r>
    <s v="rociohp@unisabana.edu.co"/>
    <s v="RocioHP@unisabana.edu.co02"/>
    <s v="ESPECIALIZACIï¿½N EN GESTIï¿½N PARA EL DESARROLLO HUMANO EN LA ORGANIZACIï¿½N - CHï¿½A"/>
    <x v="39"/>
    <x v="1"/>
    <x v="3"/>
    <s v="Incompleta"/>
    <s v="Posgrado"/>
    <s v="INSTITUTO FORUM"/>
    <s v="https://ProfPlanta2024.sawtoothsoftware.com/cgi-bin/ciwweb.pl?studyname=ProfPlanta2024&amp;Correo=RocioHP@unisabana.edu.co02"/>
  </r>
  <r>
    <s v="santiago.wills@unisabana.edu.co"/>
    <s v="santiago.wills@unisabana.edu.co2"/>
    <s v="COMUNICACIï¿½N SOCIAL Y PERIODISMO"/>
    <x v="15"/>
    <x v="0"/>
    <x v="3"/>
    <s v="Incompleta"/>
    <s v="Pregrado"/>
    <s v="FACULTAD DE COMUNICACIÓN"/>
    <s v="https://ProfCatedra2024.sawtoothsoftware.com/cgi-bin/ciwweb.pl?studyname=ProfCatedra2024&amp;Correo=santiago.wills@unisabana.edu.co2"/>
  </r>
  <r>
    <s v="sergio.torres_cont@unisabana.edu.co"/>
    <s v="sergio.torres_cont@unisabana.edu.co03"/>
    <s v="Maestrï¿½a en Gerencia Internacional"/>
    <x v="37"/>
    <x v="0"/>
    <x v="3"/>
    <s v="Incompleta"/>
    <s v="Posgrado"/>
    <s v="ESCUELA INTERNACIONAL DE CIENCIAS ECONÓMICAS Y ADMINISTRATIVAS"/>
    <s v="https://ProfCatedra2024.sawtoothsoftware.com/cgi-bin/ciwweb.pl?studyname=ProfCatedra2024&amp;Correo=sergio.torres_cont@unisabana.edu.co03"/>
  </r>
  <r>
    <s v="mikel.ibarra@unisabana.edu.co"/>
    <m/>
    <m/>
    <x v="125"/>
    <x v="0"/>
    <x v="3"/>
    <m/>
    <s v="Posgrado"/>
    <s v="INSTITUTO FORUM"/>
    <m/>
  </r>
  <r>
    <s v="mikel.ibarra@unisabana.edu.co"/>
    <m/>
    <m/>
    <x v="126"/>
    <x v="0"/>
    <x v="3"/>
    <m/>
    <s v="Posgrado"/>
    <s v="INSTITUTO FORUM"/>
    <m/>
  </r>
  <r>
    <s v="mikel.ibarra@unisabana.edu.co"/>
    <m/>
    <m/>
    <x v="55"/>
    <x v="0"/>
    <x v="3"/>
    <m/>
    <s v="Posgrado"/>
    <s v="INSTITUTO FORUM"/>
    <m/>
  </r>
  <r>
    <s v="mikel.ibarra@unisabana.edu.co"/>
    <m/>
    <m/>
    <x v="54"/>
    <x v="0"/>
    <x v="3"/>
    <m/>
    <s v="Posgrado"/>
    <s v="INSTITUTO FORUM"/>
    <m/>
  </r>
  <r>
    <s v="mikel.ibarra@unisabana.edu.co"/>
    <m/>
    <m/>
    <x v="52"/>
    <x v="0"/>
    <x v="3"/>
    <m/>
    <s v="Posgrado"/>
    <s v="INSTITUTO FORUM"/>
    <m/>
  </r>
  <r>
    <s v="mikel.ibarra@unisabana.edu.co"/>
    <m/>
    <m/>
    <x v="78"/>
    <x v="0"/>
    <x v="3"/>
    <m/>
    <s v="Posgrado"/>
    <s v="INSTITUTO FORUM"/>
    <m/>
  </r>
  <r>
    <s v="mikel.ibarra@unisabana.edu.co"/>
    <m/>
    <m/>
    <x v="127"/>
    <x v="0"/>
    <x v="3"/>
    <m/>
    <s v="Posgrado"/>
    <s v="INSTITUTO FORUM"/>
    <m/>
  </r>
  <r>
    <s v="jorge.martinez_cont@unisabana.edu.co"/>
    <m/>
    <m/>
    <x v="125"/>
    <x v="0"/>
    <x v="3"/>
    <m/>
    <s v="Posgrado"/>
    <s v="INSTITUTO FORUM"/>
    <m/>
  </r>
  <r>
    <s v="jorge.martinez_cont@unisabana.edu.co"/>
    <m/>
    <m/>
    <x v="126"/>
    <x v="0"/>
    <x v="3"/>
    <m/>
    <s v="Posgrado"/>
    <s v="INSTITUTO FORUM"/>
    <m/>
  </r>
  <r>
    <s v="jorge.martinez_cont@unisabana.edu.co"/>
    <m/>
    <m/>
    <x v="55"/>
    <x v="0"/>
    <x v="3"/>
    <m/>
    <s v="Posgrado"/>
    <s v="INSTITUTO FORUM"/>
    <m/>
  </r>
  <r>
    <s v="jorge.martinez_cont@unisabana.edu.co"/>
    <m/>
    <m/>
    <x v="54"/>
    <x v="0"/>
    <x v="3"/>
    <m/>
    <s v="Posgrado"/>
    <s v="INSTITUTO FORUM"/>
    <m/>
  </r>
  <r>
    <s v="jorge.martinez_cont@unisabana.edu.co"/>
    <m/>
    <m/>
    <x v="52"/>
    <x v="0"/>
    <x v="3"/>
    <m/>
    <s v="Posgrado"/>
    <s v="INSTITUTO FORUM"/>
    <m/>
  </r>
  <r>
    <s v="juanenco@unisabana.edu.co"/>
    <s v="juanenco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juanenco@unisabana.edu.co1"/>
  </r>
  <r>
    <s v="juanita.macias@unisabana.edu.co"/>
    <s v="juanita.macias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uanita.macias@unisabana.edu.co1"/>
  </r>
  <r>
    <s v="juanmordi@unisabana.edu.co"/>
    <s v="juanmordi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uanmordi@unisabana.edu.co1"/>
  </r>
  <r>
    <s v="juanrig@unisabana.edu.co"/>
    <s v="juanrig@unisabana.edu.co01"/>
    <s v="Especializaciï¿½n en Gerencia de Producciï¿½n y Operaciones  - Chia"/>
    <x v="113"/>
    <x v="0"/>
    <x v="0"/>
    <s v="Completa"/>
    <s v="Posgrado"/>
    <s v="INSTITUTO FORUM"/>
    <s v="https://ProfCatedra2024.sawtoothsoftware.com/cgi-bin/ciwweb.pl?studyname=ProfCatedra2024&amp;Correo=juanrig@unisabana.edu.co01"/>
  </r>
  <r>
    <s v="juansanari@unisabana.edu.co"/>
    <s v="juansanari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juansanari@unisabana.edu.co01"/>
  </r>
  <r>
    <s v="julia.diaz@unisabana.edu.co"/>
    <s v="julia.diaz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julia.diaz@unisabana.edu.co01"/>
  </r>
  <r>
    <s v="julia.diaz@unisabana.edu.co"/>
    <s v="julia.diaz@unisabana.edu.co02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julia.diaz@unisabana.edu.co02"/>
  </r>
  <r>
    <s v="julian.bohorquez@unisabana.edu.co"/>
    <s v="julian.bohorquez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lian.bohorquez@unisabana.edu.co1"/>
  </r>
  <r>
    <s v="julian.obando@unisabana.edu.co"/>
    <s v="julian.oband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julian.obando@unisabana.edu.co1"/>
  </r>
  <r>
    <s v="julian.urrea1@unisabana.edu.co"/>
    <s v="julian.urre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lian.urrea1@unisabana.edu.co1"/>
  </r>
  <r>
    <s v="juliana.cardona@unisabana.edu.co"/>
    <s v="juliana.cardona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juliana.cardona@unisabana.edu.co01"/>
  </r>
  <r>
    <s v="julieth.prieto1@unisabana.edu.co"/>
    <s v="julieth.prieto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julieth.prieto1@unisabana.edu.co1"/>
  </r>
  <r>
    <s v="karinalb_cont@unisabana.edu.co"/>
    <s v="karinalb_cont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karinalb_cont@unisabana.edu.co01"/>
  </r>
  <r>
    <s v="katherine.bauer1@unisabana.edu.co"/>
    <s v="katherine.bauer1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katherine.bauer1@unisabana.edu.co1"/>
  </r>
  <r>
    <s v="kelly.zarate1@unisabana.edu.co"/>
    <s v="kelly.zarate1@unisabana.edu.co01"/>
    <s v="Maestrï¿½a en Salud Pï¿½blica"/>
    <x v="70"/>
    <x v="0"/>
    <x v="0"/>
    <s v="Completa"/>
    <s v="Posgrado"/>
    <s v="FACULTAD DE MEDICINA"/>
    <s v="https://ProfCatedra2024.sawtoothsoftware.com/cgi-bin/ciwweb.pl?studyname=ProfCatedra2024&amp;Correo=kelly.zarate1@unisabana.edu.co01"/>
  </r>
  <r>
    <s v="kelly.zarate1@unisabana.edu.co"/>
    <s v="kelly.zarate1@unisabana.edu.co1"/>
    <s v="MEDICINA"/>
    <x v="4"/>
    <x v="0"/>
    <x v="0"/>
    <s v="Completa"/>
    <s v="Pregrado"/>
    <s v="FACULTAD DE MEDICINA"/>
    <s v="https://ProfCatedra2024.sawtoothsoftware.com/cgi-bin/ciwweb.pl?studyname=ProfCatedra2024&amp;Correo=kelly.zarate1@unisabana.edu.co1"/>
  </r>
  <r>
    <s v="laura.avila3@unisabana.edu.co"/>
    <s v="laura.avila3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laura.avila3@unisabana.edu.co1"/>
  </r>
  <r>
    <s v="laura.mena1@unisabana.edu.co"/>
    <s v="laura.mena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laura.mena1@unisabana.edu.co1"/>
  </r>
  <r>
    <s v="laura.rodriguez24@unisabana.edu.co"/>
    <s v="laura.rodriguez24@unisabana.edu.co1"/>
    <s v="MEDICINA"/>
    <x v="4"/>
    <x v="0"/>
    <x v="0"/>
    <s v="Completa"/>
    <s v="Pregrado"/>
    <s v="FACULTAD DE MEDICINA"/>
    <s v="https://ProfCatedra2024.sawtoothsoftware.com/cgi-bin/ciwweb.pl?studyname=ProfCatedra2024&amp;Correo=laura.rodriguez24@unisabana.edu.co1"/>
  </r>
  <r>
    <s v="lauraramro@unisabana.edu.co"/>
    <s v="lauraramro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auraramro@unisabana.edu.co1"/>
  </r>
  <r>
    <s v="leidy.contreras@unisabana.edu.co"/>
    <s v="leidy.contreras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idy.contreras@unisabana.edu.co1"/>
  </r>
  <r>
    <s v="leidy.gomez1@unisabana.edu.co"/>
    <s v="leidy.gomez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idy.gomez1@unisabana.edu.co1"/>
  </r>
  <r>
    <s v="leidy.martinez4@unisabana.edu.co"/>
    <s v="leidy.martinez4@unisabana.edu.co1"/>
    <s v="MEDICINA"/>
    <x v="4"/>
    <x v="0"/>
    <x v="0"/>
    <s v="Completa"/>
    <s v="Pregrado"/>
    <s v="FACULTAD DE MEDICINA"/>
    <s v="https://ProfCatedra2024.sawtoothsoftware.com/cgi-bin/ciwweb.pl?studyname=ProfCatedra2024&amp;Correo=leidy.martinez4@unisabana.edu.co1"/>
  </r>
  <r>
    <s v="leonardo.ariza@unisabana.edu.co"/>
    <s v="leonardo.ariza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leonardo.ariza@unisabana.edu.co1"/>
  </r>
  <r>
    <s v="leonardo.moya@unisabana.edu.co"/>
    <s v="leonardo.moy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onardo.moya@unisabana.edu.co1"/>
  </r>
  <r>
    <s v="leslie.hernandez1@unisabana.edu.co"/>
    <s v="leslie.hernandez1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eslie.hernandez1@unisabana.edu.co1"/>
  </r>
  <r>
    <s v="libiaro@unisabana.edu.co"/>
    <s v="libiaro@unisabana.edu.co01"/>
    <s v="Especializaciï¿½n en Gerencia Comercial - Barranquilla"/>
    <x v="122"/>
    <x v="0"/>
    <x v="0"/>
    <s v="Completa"/>
    <s v="Posgrado"/>
    <s v="INSTITUTO FORUM"/>
    <s v="https://ProfCatedra2024.sawtoothsoftware.com/cgi-bin/ciwweb.pl?studyname=ProfCatedra2024&amp;Correo=libiaro@unisabana.edu.co01"/>
  </r>
  <r>
    <s v="libiaro@unisabana.edu.co"/>
    <s v="libiaro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libiaro@unisabana.edu.co02"/>
  </r>
  <r>
    <s v="libiaro@unisabana.edu.co"/>
    <s v="libiaro@unisabana.edu.co03"/>
    <s v="Especializaciï¿½n en Gerencia Estratï¿½gica de Marca  - Chia"/>
    <x v="118"/>
    <x v="0"/>
    <x v="0"/>
    <s v="Completa"/>
    <s v="Posgrado"/>
    <s v="INSTITUTO FORUM"/>
    <s v="https://ProfCatedra2024.sawtoothsoftware.com/cgi-bin/ciwweb.pl?studyname=ProfCatedra2024&amp;Correo=libiaro@unisabana.edu.co03"/>
  </r>
  <r>
    <s v="lida.isaza@unisabana.edu.co"/>
    <s v="lida.isaza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da.isaza@unisabana.edu.co1"/>
  </r>
  <r>
    <s v="lida.pena1@unisabana.edu.co"/>
    <s v="lida.pena1@unisabana.edu.co1"/>
    <s v="MEDICINA"/>
    <x v="4"/>
    <x v="0"/>
    <x v="0"/>
    <s v="Completa"/>
    <s v="Pregrado"/>
    <s v="FACULTAD DE MEDICINA"/>
    <s v="https://ProfCatedra2024.sawtoothsoftware.com/cgi-bin/ciwweb.pl?studyname=ProfCatedra2024&amp;Correo=lida.pena1@unisabana.edu.co1"/>
  </r>
  <r>
    <s v="lidapag@yahoo.com"/>
    <s v="LIDAPAG@YAHOO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LIDAPAG@YAHOO.COM1"/>
  </r>
  <r>
    <s v="ligia.arevalo@unisabana.edu.co"/>
    <s v="ligia.arevalo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ligia.arevalo@unisabana.edu.co1"/>
  </r>
  <r>
    <s v="ligia.arevalo@unisabana.edu.co"/>
    <s v="ligia.arevalo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gia.arevalo@unisabana.edu.co2"/>
  </r>
  <r>
    <s v="liliana.amaya@unisabana.edu.co"/>
    <s v="liliana.amaya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iliana.amaya@unisabana.edu.co1"/>
  </r>
  <r>
    <s v="liliana.aponte@unisabana.edu.co"/>
    <s v="liliana.aponte@unisabana.edu.co01"/>
    <s v="Especializaciï¿½n en Gerencia Comercial - Chia"/>
    <x v="95"/>
    <x v="0"/>
    <x v="0"/>
    <s v="Completa"/>
    <s v="Posgrado"/>
    <s v="INSTITUTO FORUM"/>
    <s v="https://ProfCatedra2024.sawtoothsoftware.com/cgi-bin/ciwweb.pl?studyname=ProfCatedra2024&amp;Correo=liliana.aponte@unisabana.edu.co01"/>
  </r>
  <r>
    <s v="liliana.arias@unisabana.edu.co"/>
    <s v="liliana.arias@unisabana.edu.co01"/>
    <s v="DOCTORADO EN INNOVACIï¿½N EDUCATIVA CON USO DE TIC"/>
    <x v="128"/>
    <x v="0"/>
    <x v="0"/>
    <s v="Completa"/>
    <s v="Posgrado"/>
    <s v="FACULTAD DE EDUCACIÓN"/>
    <s v="https://ProfCatedra2024.sawtoothsoftware.com/cgi-bin/ciwweb.pl?studyname=ProfCatedra2024&amp;Correo=liliana.arias@unisabana.edu.co01"/>
  </r>
  <r>
    <s v="liliana.arias@unisabana.edu.co"/>
    <s v="liliana.arias@unisabana.edu.co02"/>
    <s v="MAESTRï¿½A EN DESARROLLO INFANTIL - CHIA"/>
    <x v="41"/>
    <x v="0"/>
    <x v="0"/>
    <s v="Completa"/>
    <s v="Posgrado"/>
    <s v="FACULTAD DE EDUCACIÓN"/>
    <s v="https://ProfCatedra2024.sawtoothsoftware.com/cgi-bin/ciwweb.pl?studyname=ProfCatedra2024&amp;Correo=liliana.arias@unisabana.edu.co02"/>
  </r>
  <r>
    <s v="liliana.arias@unisabana.edu.co"/>
    <s v="liliana.arias@unisabana.edu.co03"/>
    <s v="Maestrï¿½a en Pedagogï¿½a e Investigaciï¿½n en Aula - Virtual"/>
    <x v="108"/>
    <x v="0"/>
    <x v="0"/>
    <s v="Completa"/>
    <s v="Posgrado"/>
    <s v="FACULTAD DE EDUCACIÓN"/>
    <s v="https://ProfCatedra2024.sawtoothsoftware.com/cgi-bin/ciwweb.pl?studyname=ProfCatedra2024&amp;Correo=liliana.arias@unisabana.edu.co03"/>
  </r>
  <r>
    <s v="liliana.arias@unisabana.edu.co"/>
    <s v="liliana.arias@unisabana.edu.co04"/>
    <s v="MAESTRï¿½A EN PEDAGOGIA E INVESTIGACIï¿½N EN EL AULA"/>
    <x v="108"/>
    <x v="0"/>
    <x v="0"/>
    <s v="Completa"/>
    <s v="Posgrado"/>
    <s v="FACULTAD DE EDUCACIÓN"/>
    <s v="https://ProfCatedra2024.sawtoothsoftware.com/cgi-bin/ciwweb.pl?studyname=ProfCatedra2024&amp;Correo=liliana.arias@unisabana.edu.co04"/>
  </r>
  <r>
    <s v="liliana.garcia@clinicaunisabana.edu.co"/>
    <s v="liliana.garcia@clinicaunisabana.edu.co01"/>
    <s v="Especializaciï¿½n en Medicina Fï¿½sica y Rehabilitaciï¿½n"/>
    <x v="129"/>
    <x v="0"/>
    <x v="0"/>
    <s v="Completa"/>
    <s v="Posgrado"/>
    <s v="FACULTAD DE MEDICINA"/>
    <s v="https://ProfCatedra2024.sawtoothsoftware.com/cgi-bin/ciwweb.pl?studyname=ProfCatedra2024&amp;Correo=liliana.garcia@clinicaunisabana.edu.co01"/>
  </r>
  <r>
    <s v="liliana.rojas@unisabana.edu.co"/>
    <s v="liliana.rojas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iliana.rojas@unisabana.edu.co1"/>
  </r>
  <r>
    <s v="liliana.triana@unisabana.edu.co"/>
    <s v="liliana.triana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liliana.triana@unisabana.edu.co01"/>
  </r>
  <r>
    <s v="lilianapinillat@gmail.com"/>
    <s v="lilianapinillat@gmail.com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lilianapinillat@gmail.com1"/>
  </r>
  <r>
    <s v="lilianapo@unisabana.edu.co"/>
    <s v="Lilianap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Lilianapo@unisabana.edu.co1"/>
  </r>
  <r>
    <s v="lina.avella@unisabana.edu.co"/>
    <s v="lina.avella@unisabana.edu.co1"/>
    <s v="MEDICINA"/>
    <x v="4"/>
    <x v="0"/>
    <x v="0"/>
    <s v="Completa"/>
    <s v="Pregrado"/>
    <s v="FACULTAD DE MEDICINA"/>
    <s v="https://ProfCatedra2024.sawtoothsoftware.com/cgi-bin/ciwweb.pl?studyname=ProfCatedra2024&amp;Correo=lina.avella@unisabana.edu.co1"/>
  </r>
  <r>
    <s v="lina.gomez5@unisabana.edu.co"/>
    <s v="lina.gomez5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lina.gomez5@unisabana.edu.co01"/>
  </r>
  <r>
    <s v="lina.guio1@unisabana.edu.co"/>
    <s v="lina.guio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ina.guio1@unisabana.edu.co1"/>
  </r>
  <r>
    <s v="lina.ramirez1@unisabana.edu.co"/>
    <s v="lina.ramirez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lina.ramirez1@unisabana.edu.co1"/>
  </r>
  <r>
    <s v="lina.rojas4@unisabana.edu.co"/>
    <s v="lina.rojas4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ina.rojas4@unisabana.edu.co1"/>
  </r>
  <r>
    <s v="lina.tellez@unisabana.edu.co"/>
    <s v="LINA.TELLEZ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1"/>
  </r>
  <r>
    <s v="lina.tellez@unisabana.edu.co"/>
    <s v="LINA.TELLEZ@UNISABANA.edu.co02"/>
    <s v="Maestrï¿½a en Gerencia de Operaciones"/>
    <x v="86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2"/>
  </r>
  <r>
    <s v="lina.tellez@unisabana.edu.co"/>
    <s v="LINA.TELLEZ@UNISABANA.edu.co03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3"/>
  </r>
  <r>
    <s v="lina.tellez@unisabana.edu.co"/>
    <s v="lina.tellez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lina.tellez@unisabana.edu.co1"/>
  </r>
  <r>
    <s v="lina.virviescas@unisabana.edu.co"/>
    <s v="lina.virviescas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na.virviescas@unisabana.edu.co1"/>
  </r>
  <r>
    <s v="linaesve@unisabana.edu.co"/>
    <s v="linaesve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linaesve@unisabana.edu.co07"/>
  </r>
  <r>
    <s v="lindamarto@unisabana.edu.co"/>
    <s v="lindamart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lindamarto@unisabana.edu.co1"/>
  </r>
  <r>
    <s v="lisethesvi@unisabana.edu.co"/>
    <s v="lisethesvi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lisethesvi@unisabana.edu.co1"/>
  </r>
  <r>
    <s v="lucia.barbosa@unisabana.edu.co"/>
    <s v="lucia.barbosa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lucia.barbosa@unisabana.edu.co01"/>
  </r>
  <r>
    <s v="luis.baquero2@unisabana.edu.co"/>
    <s v="luis.baquero2@unisabana.edu.co01"/>
    <s v="MAESTRï¿½A EN EDUCACIï¿½N"/>
    <x v="130"/>
    <x v="0"/>
    <x v="0"/>
    <s v="Completa"/>
    <s v="Posgrado"/>
    <s v="FACULTAD DE EDUCACIÓN"/>
    <s v="https://ProfCatedra2024.sawtoothsoftware.com/cgi-bin/ciwweb.pl?studyname=ProfCatedra2024&amp;Correo=luis.baquero2@unisabana.edu.co01"/>
  </r>
  <r>
    <s v="luis.barrientos@unisabana.edu.co"/>
    <s v="luis.barrientos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uis.barrientos@unisabana.edu.co01"/>
  </r>
  <r>
    <s v="luis.caballero@unisabana.edu.co"/>
    <s v="luis.caballero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uis.caballero@unisabana.edu.co1"/>
  </r>
  <r>
    <s v="luis.camacho@unisabana.edu.co"/>
    <s v="luis.camacho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luis.camacho@unisabana.edu.co1"/>
  </r>
  <r>
    <s v="luis.garcia1@unisabana.edu.co"/>
    <s v="luis.garcia1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luis.garcia1@unisabana.edu.co1"/>
  </r>
  <r>
    <s v="luis.gomez@unisabana.edu.co"/>
    <s v="luis.gom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luis.gomez@unisabana.edu.co1"/>
  </r>
  <r>
    <s v="luis.gutierrez3@unisabana.edu.co"/>
    <s v="luis.gutierrez3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uis.gutierrez3@unisabana.edu.co01"/>
  </r>
  <r>
    <s v="luis.gutierrez3@unisabana.edu.co"/>
    <s v="luis.gutierrez3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luis.gutierrez3@unisabana.edu.co1"/>
  </r>
  <r>
    <s v="luis.jaimes@unisabana.edu.co"/>
    <s v="luis.jaimes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luis.jaimes@unisabana.edu.co1"/>
  </r>
  <r>
    <s v="luis.lopez10@unisabana.edu.co"/>
    <s v="luis.lopez10@unisabana.edu.co01"/>
    <s v="Especializaciï¿½n en Gerencia Estratï¿½gica - Barranquilla"/>
    <x v="126"/>
    <x v="0"/>
    <x v="0"/>
    <s v="Completa"/>
    <s v="Posgrado"/>
    <s v="INSTITUTO FORUM"/>
    <s v="https://ProfCatedra2024.sawtoothsoftware.com/cgi-bin/ciwweb.pl?studyname=ProfCatedra2024&amp;Correo=luis.lopez10@unisabana.edu.co01"/>
  </r>
  <r>
    <s v="luis.maria@unisabana.edu.co"/>
    <s v="luis.maria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luis.maria@unisabana.edu.co01"/>
  </r>
  <r>
    <s v="luis.parra2@unisabana.edu.co"/>
    <s v="luis.parra2@unisabana.edu.co2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luis.parra2@unisabana.edu.co2"/>
  </r>
  <r>
    <s v="luis.rodriguez2@unisabana.edu.co"/>
    <s v="luis.rodriguez2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luis.rodriguez2@unisabana.edu.co1"/>
  </r>
  <r>
    <s v="luis.silva2@unisabana.edu.co"/>
    <s v="luis.silva2@unisabana.edu.co03"/>
    <s v="Especializaciï¿½n en Gerencia de Proyectos con Enfoque en Habilidades Directivas - Bogotï¿½"/>
    <x v="93"/>
    <x v="0"/>
    <x v="0"/>
    <s v="Incompleta"/>
    <s v="Posgrado"/>
    <s v="INSTITUTO FORUM"/>
    <s v="https://ProfCatedra2024.sawtoothsoftware.com/cgi-bin/ciwweb.pl?studyname=ProfCatedra2024&amp;Correo=luis.silva2@unisabana.edu.co03"/>
  </r>
  <r>
    <s v="luis.uribe@unisabana.edu.co"/>
    <s v="luis.uribe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luis.uribe@unisabana.edu.co1"/>
  </r>
  <r>
    <s v="luisa.cuellar1@unisabana.edu.co"/>
    <s v="luisa.cuellar1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luisa.cuellar1@unisabana.edu.co1"/>
  </r>
  <r>
    <s v="luisa.garcia1@unisabana.edu.co"/>
    <s v="luisa.garcia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luisa.garcia1@unisabana.edu.co1"/>
  </r>
  <r>
    <s v="luisa.villamil@unisabana.edu.co"/>
    <s v="luisa.villamil@unisabana.edu.co01"/>
    <s v="Doctorado en Biociencias"/>
    <x v="131"/>
    <x v="0"/>
    <x v="0"/>
    <s v="Completa"/>
    <s v="Posgrado"/>
    <s v="FACULTAD DE INGENIERÍA"/>
    <s v="https://ProfCatedra2024.sawtoothsoftware.com/cgi-bin/ciwweb.pl?studyname=ProfCatedra2024&amp;Correo=luisa.villamil@unisabana.edu.co01"/>
  </r>
  <r>
    <s v="luisa.zapata1@unisabana.edu.co"/>
    <s v="luisa.zapata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luisa.zapata1@unisabana.edu.co01"/>
  </r>
  <r>
    <s v="luisaaa@unisabana.edu.co"/>
    <s v="Luisaaa@unisabana.edu.co02"/>
    <s v="MAESTRï¿½A EN DESARROLLO INFANTIL - RIOHACHA"/>
    <x v="42"/>
    <x v="0"/>
    <x v="0"/>
    <s v="Completa"/>
    <s v="Posgrado"/>
    <s v="FACULTAD DE EDUCACIÓN"/>
    <s v="https://ProfCatedra2024.sawtoothsoftware.com/cgi-bin/ciwweb.pl?studyname=ProfCatedra2024&amp;Correo=Luisaaa@unisabana.edu.co02"/>
  </r>
  <r>
    <s v="luisaaa@unisabana.edu.co"/>
    <s v="Luisaaa@unisabana.edu.co03"/>
    <s v="MAESTRï¿½A EN PROYECTOS EDUCATIVOS MEDIADOS POR TIC"/>
    <x v="124"/>
    <x v="0"/>
    <x v="0"/>
    <s v="Completa"/>
    <s v="Posgrado"/>
    <s v="FACULTAD DE EDUCACIÓN"/>
    <s v="https://ProfCatedra2024.sawtoothsoftware.com/cgi-bin/ciwweb.pl?studyname=ProfCatedra2024&amp;Correo=Luisaaa@unisabana.edu.co03"/>
  </r>
  <r>
    <s v="luissv@unisabana.edu.co"/>
    <s v="LuisSV@unisabana.edu.co1"/>
    <s v="MEDICINA"/>
    <x v="4"/>
    <x v="0"/>
    <x v="0"/>
    <s v="Completa"/>
    <s v="Pregrado"/>
    <s v="FACULTAD DE MEDICINA"/>
    <s v="https://ProfCatedra2024.sawtoothsoftware.com/cgi-bin/ciwweb.pl?studyname=ProfCatedra2024&amp;Correo=LuisSV@unisabana.edu.co1"/>
  </r>
  <r>
    <s v="luz.diaz2@unisabana.edu.co"/>
    <s v="luz.diaz2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uz.diaz2@unisabana.edu.co1"/>
  </r>
  <r>
    <s v="luz.sandoval@unisabana.edu.co"/>
    <s v="luz.sandoval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luz.sandoval@unisabana.edu.co01"/>
  </r>
  <r>
    <s v="luzma@unisabana.edu.co"/>
    <s v="luzma@unisabana.edu.co01"/>
    <s v="Especializaciï¿½n En Gerencia Estratï¿½gica - Virtual"/>
    <x v="125"/>
    <x v="0"/>
    <x v="0"/>
    <s v="Completa"/>
    <s v="Posgrado"/>
    <s v="INSTITUTO FORUM"/>
    <s v="https://ProfCatedra2024.sawtoothsoftware.com/cgi-bin/ciwweb.pl?studyname=ProfCatedra2024&amp;Correo=luzma@unisabana.edu.co01"/>
  </r>
  <r>
    <s v="manuel.gonzalez2@unisabana.edu.co"/>
    <s v="manuel.gonzalez2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manuel.gonzalez2@unisabana.edu.co01"/>
  </r>
  <r>
    <s v="manuel.plazas@unisabana.edu.co"/>
    <s v="manuel.plaz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manuel.plazas@unisabana.edu.co1"/>
  </r>
  <r>
    <s v="manuel.prada3@unisabana.edu.co"/>
    <s v="manuel.prada3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nuel.prada3@unisabana.edu.co01"/>
  </r>
  <r>
    <s v="manuel.prada3@unisabana.edu.co"/>
    <s v="manuel.prada3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nuel.prada3@unisabana.edu.co1"/>
  </r>
  <r>
    <s v="manuel.rodriguez3@unisabana.edu.co"/>
    <s v="manuel.rodriguez3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nuel.rodriguez3@unisabana.edu.co1"/>
  </r>
  <r>
    <s v="manuelhg@unisabana.edu.co"/>
    <s v="ManuelHG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nuelHG@unisabana.edu.co1"/>
  </r>
  <r>
    <s v="manuelnuto@unisabana.edu.co"/>
    <s v="manuelnuto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nuelnuto@unisabana.edu.co1"/>
  </r>
  <r>
    <s v="marcela.chavez@unisabana.edu.co"/>
    <s v="marcela.chavez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marcela.chavez@unisabana.edu.co01"/>
  </r>
  <r>
    <s v="marcela.chavez@unisabana.edu.co"/>
    <s v="marcela.chavez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marcela.chavez@unisabana.edu.co1"/>
  </r>
  <r>
    <s v="marcia.costa@unisabana.edu.co"/>
    <s v="marcia.cost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cia.costa@unisabana.edu.co1"/>
  </r>
  <r>
    <s v="marco.correa@unisabana.edu.co"/>
    <s v="marco.corre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marco.correa@unisabana.edu.co1"/>
  </r>
  <r>
    <s v="margarita.cadavid@unisabana.edu.co"/>
    <s v="margarita.cadavid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margarita.cadavid@unisabana.edu.co1"/>
  </r>
  <r>
    <s v="margaritaad@unisabana.edu.co"/>
    <s v="MargaritaAD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garitaAD@unisabana.edu.co1"/>
  </r>
  <r>
    <s v="maria.barrera4@unisabana.edu.co"/>
    <s v="maria.barrera4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a.barrera4@unisabana.edu.co1"/>
  </r>
  <r>
    <s v="maria.bernal1@unisabana.edu.co"/>
    <s v="maria.bernal1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a.bernal1@unisabana.edu.co1"/>
  </r>
  <r>
    <s v="maria.castillo2@unisabana.edu.co"/>
    <s v="maria.castillo2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maria.castillo2@unisabana.edu.co01"/>
  </r>
  <r>
    <s v="maria.castillo2@unisabana.edu.co"/>
    <s v="maria.castillo2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aria.castillo2@unisabana.edu.co1"/>
  </r>
  <r>
    <s v="maria.charria1@unisabana.edu.co"/>
    <s v="maria.charria1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charria1@unisabana.edu.co1"/>
  </r>
  <r>
    <s v="maria.diaz11@unisabana.edu.co"/>
    <s v="maria.diaz11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maria.diaz11@unisabana.edu.co1"/>
  </r>
  <r>
    <s v="maria.duran1@unisabana.edu.co"/>
    <s v="maria.duran1@unisabana.edu.co01"/>
    <s v="Doctorado en Enfermerï¿½a"/>
    <x v="133"/>
    <x v="0"/>
    <x v="0"/>
    <s v="Completa"/>
    <s v="Posgrado"/>
    <s v="FACULTAD DE ENFERMERÍA Y REHABILITACIÓN"/>
    <s v="https://ProfCatedra2024.sawtoothsoftware.com/cgi-bin/ciwweb.pl?studyname=ProfCatedra2024&amp;Correo=maria.duran1@unisabana.edu.co01"/>
  </r>
  <r>
    <s v="maria.duran1@unisabana.edu.co"/>
    <s v="maria.duran1@unisabana.edu.co02"/>
    <s v="Maestrï¿½a en Enfermerï¿½a"/>
    <x v="12"/>
    <x v="0"/>
    <x v="0"/>
    <s v="Completa"/>
    <s v="Posgrado"/>
    <s v="FACULTAD DE ENFERMERÍA Y REHABILITACIÓN"/>
    <s v="https://ProfCatedra2024.sawtoothsoftware.com/cgi-bin/ciwweb.pl?studyname=ProfCatedra2024&amp;Correo=maria.duran1@unisabana.edu.co02"/>
  </r>
  <r>
    <s v="maria.duran1@unisabana.edu.co"/>
    <s v="maria.duran1@unisabana.edu.co03"/>
    <s v="Maestrï¿½a en Enfermerï¿½a - Virtual"/>
    <x v="13"/>
    <x v="0"/>
    <x v="0"/>
    <s v="Completa"/>
    <s v="Posgrado"/>
    <s v="FACULTAD DE ENFERMERÍA Y REHABILITACIÓN"/>
    <s v="https://ProfCatedra2024.sawtoothsoftware.com/cgi-bin/ciwweb.pl?studyname=ProfCatedra2024&amp;Correo=maria.duran1@unisabana.edu.co03"/>
  </r>
  <r>
    <s v="maria.escobar2@unisabana.edu.co"/>
    <s v="maria.escobar2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maria.escobar2@unisabana.edu.co1"/>
  </r>
  <r>
    <s v="maria.fernandez1@unisabana.edu.co"/>
    <s v="maria.fernandez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ia.fernandez1@unisabana.edu.co1"/>
  </r>
  <r>
    <s v="maria.fino@unisabana.edu.co"/>
    <s v="maria.fin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a.fino@unisabana.edu.co1"/>
  </r>
  <r>
    <s v="maria.gamboa1@unisabana.edu.co"/>
    <s v="maria.gamboa1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gamboa1@unisabana.edu.co1"/>
  </r>
  <r>
    <s v="maria.guerrero2@unisabana.edu.co"/>
    <s v="maria.guerrero2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aria.guerrero2@unisabana.edu.co1"/>
  </r>
  <r>
    <s v="maria.hernandez8@unisabana.edu.co"/>
    <s v="maria.hernandez8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a.hernandez8@unisabana.edu.co1"/>
  </r>
  <r>
    <s v="maria.jaramillo12@unisabana.edu.co"/>
    <s v="maria.jaramillo1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ria.jaramillo12@unisabana.edu.co1"/>
  </r>
  <r>
    <s v="maria.leon@unisabana.edu.co"/>
    <s v="maria.leon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maria.leon@unisabana.edu.co1"/>
  </r>
  <r>
    <s v="maria.martinez12@unisabana.edu.co"/>
    <s v="maria.martinez12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martinez12@unisabana.edu.co1"/>
  </r>
  <r>
    <s v="maria.moreno3@unisabana.edu.co"/>
    <s v="maria.moreno3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moreno3@unisabana.edu.co1"/>
  </r>
  <r>
    <s v="maria.munoz1@unisabana.edu.co"/>
    <s v="maria.munoz1@unisabana.edu.co01"/>
    <s v="MAESTRIA EN PSICOLOGIA"/>
    <x v="123"/>
    <x v="0"/>
    <x v="0"/>
    <s v="Completa"/>
    <s v="Posgrado"/>
    <s v="FACULTAD DE PSICOLOGÍA"/>
    <s v="https://ProfCatedra2024.sawtoothsoftware.com/cgi-bin/ciwweb.pl?studyname=ProfCatedra2024&amp;Correo=maria.munoz1@unisabana.edu.co01"/>
  </r>
  <r>
    <s v="maria.obregon@unisabana.edu.co"/>
    <s v="maria.obregon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maria.obregon@unisabana.edu.co1"/>
  </r>
  <r>
    <s v="maria.ocampo@unisabana.edu.co"/>
    <s v="MARIA.OCAMPO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A.OCAMPO@UNISABANA.EDU.CO1"/>
  </r>
  <r>
    <s v="maria.paredes@unisabana.edu.co"/>
    <s v="maria.paredes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paredes@unisabana.edu.co1"/>
  </r>
  <r>
    <s v="maria.pareles@unisabana.edu.co"/>
    <s v="maria.parel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a.pareles@unisabana.edu.co1"/>
  </r>
  <r>
    <s v="maria.restrepo7@unisabana.edu.co"/>
    <s v="maria.restrepo7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maria.restrepo7@unisabana.edu.co1"/>
  </r>
  <r>
    <s v="maria.sarmiento7@unisabana.edu.co"/>
    <s v="maria.sarmiento7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sarmiento7@unisabana.edu.co1"/>
  </r>
  <r>
    <s v="maria.serrato@unisabana.edu.co"/>
    <s v="maria.serrato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maria.serrato@unisabana.edu.co1"/>
  </r>
  <r>
    <s v="maria.urbina2@unisabana.edu.co"/>
    <s v="maria.urbina2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ria.urbina2@unisabana.edu.co01"/>
  </r>
  <r>
    <s v="maria.villar2@unisabana.edu.co"/>
    <s v="maria.villar2@unisabana.edu.co02"/>
    <s v="Especializaciï¿½n en Gestiï¿½n para el Desarrollo Humano en la Organizaciï¿½n - Chï¿½a"/>
    <x v="39"/>
    <x v="0"/>
    <x v="0"/>
    <s v="Completa"/>
    <s v="Posgrado"/>
    <s v="INSTITUTO FORUM"/>
    <s v="https://ProfCatedra2024.sawtoothsoftware.com/cgi-bin/ciwweb.pl?studyname=ProfCatedra2024&amp;Correo=maria.villar2@unisabana.edu.co02"/>
  </r>
  <r>
    <s v="marielys.flores1@unisabana.edu.co"/>
    <s v="marielys.flores1@unisabana.edu.co01"/>
    <s v="Especializaciï¿½n en Gerencia de la Comunicaciï¿½n Organizacional"/>
    <x v="116"/>
    <x v="0"/>
    <x v="0"/>
    <s v="Completa"/>
    <s v="Posgrado"/>
    <s v="FACULTAD DE COMUNICACIÓN"/>
    <s v="https://ProfCatedra2024.sawtoothsoftware.com/cgi-bin/ciwweb.pl?studyname=ProfCatedra2024&amp;Correo=marielys.flores1@unisabana.edu.co01"/>
  </r>
  <r>
    <s v="marielys.flores1@unisabana.edu.co"/>
    <s v="marielys.flores1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elys.flores1@unisabana.edu.co1"/>
  </r>
  <r>
    <s v="mario.alvarez2@unisabana.edu.co"/>
    <s v="mario.alvarez2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mario.alvarez2@unisabana.edu.co01"/>
  </r>
  <r>
    <s v="mario.castro1@unisabana.edu.co"/>
    <s v="mario.castr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o.castro1@unisabana.edu.co1"/>
  </r>
  <r>
    <s v="mario.valderrama@unisabana.edu.co"/>
    <s v="mario.valderrama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rio.valderrama@unisabana.edu.co01"/>
  </r>
  <r>
    <s v="mario.valderrama@unisabana.edu.co"/>
    <s v="mario.valderrama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o.valderrama@unisabana.edu.co1"/>
  </r>
  <r>
    <s v="mariosg@unisabana.edu.co"/>
    <s v="mariosg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mariosg@unisabana.edu.co1"/>
  </r>
  <r>
    <s v="marisol.sandoval@unisabana.edu.co"/>
    <s v="marisol.sandoval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marisol.sandoval@unisabana.edu.co1"/>
  </r>
  <r>
    <s v="martha.caicedo1@unisabana.edu.co"/>
    <s v="martha.caicedo1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martha.caicedo1@unisabana.edu.co1"/>
  </r>
  <r>
    <s v="martha.cuevas@unisabana.edu.co"/>
    <s v="martha.cuevas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martha.cuevas@unisabana.edu.co01"/>
  </r>
  <r>
    <s v="martha.striedinger@unisabana.edu.co"/>
    <s v="martha.striedinger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martha.striedinger@unisabana.edu.co01"/>
  </r>
  <r>
    <s v="martha.striedinger@unisabana.edu.co"/>
    <s v="martha.striedinger@unisabana.edu.co07"/>
    <s v="MAESTRÃA EN GERENCIA DE INGENIERÃA"/>
    <x v="1"/>
    <x v="0"/>
    <x v="0"/>
    <s v="Completa"/>
    <s v="Posgrado"/>
    <s v="FACULTAD DE INGENIERÍA"/>
    <s v="https://ProfCatedra2024.sawtoothsoftware.com/cgi-bin/ciwweb.pl?studyname=ProfCatedra2024&amp;Correo=martha.striedinger@unisabana.edu.co07"/>
  </r>
  <r>
    <s v="martha.striedinger@unisabana.edu.co"/>
    <s v="martha.striedinger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martha.striedinger@unisabana.edu.co1"/>
  </r>
  <r>
    <s v="martinez.mauricio@unisabana.edu.co"/>
    <s v="martinez.maurici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martinez.mauricio@unisabana.edu.co1"/>
  </r>
  <r>
    <s v="mauricio.cuervo@unisabana.edu.co"/>
    <s v="mauricio.cuerv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cuervo@unisabana.edu.co1"/>
  </r>
  <r>
    <s v="mauricio.diaz1@unisabana.edu.co"/>
    <s v="mauricio.dia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diaz1@unisabana.edu.co1"/>
  </r>
  <r>
    <s v="mauricio.diaz1@unisabana.edu.co"/>
    <s v="mauricio.diaz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mauricio.diaz1@unisabana.edu.co2"/>
  </r>
  <r>
    <s v="mauricio.diaz1@unisabana.edu.co"/>
    <s v="mauricio.diaz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uricio.diaz1@unisabana.edu.co3"/>
  </r>
  <r>
    <s v="mauricio.escobar1@unisabana.edu.co"/>
    <s v="mauricio.escobar1@unisabana.edu.co01"/>
    <s v="Especializaciï¿½n en Gerencia Estratï¿½gica - Barranquilla"/>
    <x v="126"/>
    <x v="0"/>
    <x v="0"/>
    <s v="Completa"/>
    <s v="Posgrado"/>
    <s v="INSTITUTO FORUM"/>
    <s v="https://ProfCatedra2024.sawtoothsoftware.com/cgi-bin/ciwweb.pl?studyname=ProfCatedra2024&amp;Correo=mauricio.escobar1@unisabana.edu.co01"/>
  </r>
  <r>
    <s v="mauricio.gomez3@unisabana.edu.co"/>
    <s v="mauricio.gomez3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mauricio.gomez3@unisabana.edu.co01"/>
  </r>
  <r>
    <s v="mauricio.gomez3@unisabana.edu.co"/>
    <s v="mauricio.gomez3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uricio.gomez3@unisabana.edu.co1"/>
  </r>
  <r>
    <s v="mauricio.montes@unisabana.edu.co"/>
    <s v="mauricio.mont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montes@unisabana.edu.co1"/>
  </r>
  <r>
    <s v="mauricio.romero1@unisabana.edu.co"/>
    <s v="mauricio.romero1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mauricio.romero1@unisabana.edu.co1"/>
  </r>
  <r>
    <s v="mayra.borda@unisabana.edu.co"/>
    <s v="mayra.borda@unisabana.edu.co1"/>
    <s v="MEDICINA"/>
    <x v="4"/>
    <x v="0"/>
    <x v="0"/>
    <s v="Completa"/>
    <s v="Pregrado"/>
    <s v="FACULTAD DE MEDICINA"/>
    <s v="https://ProfCatedra2024.sawtoothsoftware.com/cgi-bin/ciwweb.pl?studyname=ProfCatedra2024&amp;Correo=mayra.borda@unisabana.edu.co1"/>
  </r>
  <r>
    <s v="mayra.nunez@unisabana.edu.co"/>
    <s v="mayra.nunez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ayra.nunez@unisabana.edu.co01"/>
  </r>
  <r>
    <s v="mbettinj@gmail.com"/>
    <s v="MBETTINJ@GMAIL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MBETTINJ@GMAIL.COM1"/>
  </r>
  <r>
    <s v="melissa.reyes@unisabana.edu.co"/>
    <s v="melissa.reyes@unisabana.edu.co01"/>
    <s v="Especializaciï¿½n en Medicina del Dolor y Cuidados Paliativos"/>
    <x v="134"/>
    <x v="0"/>
    <x v="0"/>
    <s v="Completa"/>
    <s v="Posgrado"/>
    <s v="FACULTAD DE MEDICINA"/>
    <s v="https://ProfCatedra2024.sawtoothsoftware.com/cgi-bin/ciwweb.pl?studyname=ProfCatedra2024&amp;Correo=melissa.reyes@unisabana.edu.co01"/>
  </r>
  <r>
    <s v="miguel.medina@unisabana.edu.co"/>
    <s v="miguel.medin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miguel.medina@unisabana.edu.co1"/>
  </r>
  <r>
    <s v="miguel.pineros@unisabana.edu.co"/>
    <s v="miguel.pineros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iguel.pineros@unisabana.edu.co1"/>
  </r>
  <r>
    <s v="miguel.varela1@unisabana.edu.co"/>
    <s v="miguel.varel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miguel.varela1@unisabana.edu.co1"/>
  </r>
  <r>
    <s v="miguelcarto@unisabana.edu.co"/>
    <s v="miguelcarto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miguelcarto@unisabana.edu.co1"/>
  </r>
  <r>
    <s v="mikel.ibarra@unisabana.edu.co"/>
    <s v="mikel.ibarra@unisabana.edu.co01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mikel.ibarra@unisabana.edu.co01"/>
  </r>
  <r>
    <s v="mikel.ibarra@unisabana.edu.co"/>
    <s v="mikel.ibarra@unisabana.edu.co02"/>
    <s v="Especializaciï¿½n en Gerencia de Proyectos con Enfoque en Habilidades Directivas - Bogotï¿½"/>
    <x v="93"/>
    <x v="0"/>
    <x v="0"/>
    <s v="Completa"/>
    <s v="Posgrado"/>
    <s v="INSTITUTO FORUM"/>
    <s v="https://ProfCatedra2024.sawtoothsoftware.com/cgi-bin/ciwweb.pl?studyname=ProfCatedra2024&amp;Correo=mikel.ibarra@unisabana.edu.co02"/>
  </r>
  <r>
    <s v="milciades.ibanez@unisabana.edu.co"/>
    <s v="milciades.ibanez@unisabana.edu.co01"/>
    <s v="Doctorado en Enfermerï¿½a"/>
    <x v="133"/>
    <x v="0"/>
    <x v="0"/>
    <s v="Completa"/>
    <s v="Posgrado"/>
    <s v="FACULTAD DE ENFERMERÍA Y REHABILITACIÓN"/>
    <s v="https://ProfCatedra2024.sawtoothsoftware.com/cgi-bin/ciwweb.pl?studyname=ProfCatedra2024&amp;Correo=milciades.ibanez@unisabana.edu.co01"/>
  </r>
  <r>
    <s v="milton.bautista@unisabana.edu.co"/>
    <s v="milton.bautista@unisabana.edu.co01"/>
    <s v="Especializaciï¿½n en Gestiï¿½n para el Desarrollo Humano en la Organizaciï¿½n - Bucaramanga"/>
    <x v="17"/>
    <x v="0"/>
    <x v="0"/>
    <s v="Completa"/>
    <s v="Posgrado"/>
    <s v="INSTITUTO FORUM"/>
    <s v="https://ProfCatedra2024.sawtoothsoftware.com/cgi-bin/ciwweb.pl?studyname=ProfCatedra2024&amp;Correo=milton.bautista@unisabana.edu.co01"/>
  </r>
  <r>
    <s v="mochoat@dian.gov.co"/>
    <s v="MOCHOAT@DIAN.GOV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MOCHOAT@DIAN.GOV.CO1"/>
  </r>
  <r>
    <s v="monica.parrado1@unisabana.edu.co"/>
    <s v="monica.parrado1@unisabana.edu.co01"/>
    <s v="Especializaciï¿½n en Cirugï¿½a General"/>
    <x v="80"/>
    <x v="0"/>
    <x v="0"/>
    <s v="Completa"/>
    <s v="Posgrado"/>
    <s v="FACULTAD DE MEDICINA"/>
    <s v="https://ProfCatedra2024.sawtoothsoftware.com/cgi-bin/ciwweb.pl?studyname=ProfCatedra2024&amp;Correo=monica.parrado1@unisabana.edu.co01"/>
  </r>
  <r>
    <s v="monica.parrado1@unisabana.edu.co"/>
    <s v="monica.parrado1@unisabana.edu.co1"/>
    <s v="MEDICINA"/>
    <x v="4"/>
    <x v="0"/>
    <x v="0"/>
    <s v="Completa"/>
    <s v="Pregrado"/>
    <s v="FACULTAD DE MEDICINA"/>
    <s v="https://ProfCatedra2024.sawtoothsoftware.com/cgi-bin/ciwweb.pl?studyname=ProfCatedra2024&amp;Correo=monica.parrado1@unisabana.edu.co1"/>
  </r>
  <r>
    <s v="monica.peralta@unisabana.edu.co"/>
    <s v="monica.peralta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monica.peralta@unisabana.edu.co1"/>
  </r>
  <r>
    <s v="monica.rios1@unisabana.edu.co"/>
    <s v="monica.rios1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monica.rios1@unisabana.edu.co1"/>
  </r>
  <r>
    <s v="monica.sanchez@unisabana.edu.co"/>
    <s v="monica.sanchez@unisabana.edu.co01"/>
    <s v="DOCTORADO EN INNOVACIï¿½N EDUCATIVA CON USO DE TIC"/>
    <x v="128"/>
    <x v="0"/>
    <x v="0"/>
    <s v="Completa"/>
    <s v="Posgrado"/>
    <s v="FACULTAD DE EDUCACIÓN"/>
    <s v="https://ProfCatedra2024.sawtoothsoftware.com/cgi-bin/ciwweb.pl?studyname=ProfCatedra2024&amp;Correo=monica.sanchez@unisabana.edu.co01"/>
  </r>
  <r>
    <s v="monica.tovar1@unisabana.edu.co"/>
    <s v="monica.tovar1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onica.tovar1@unisabana.edu.co01"/>
  </r>
  <r>
    <s v="monicamarcela.riosgutierrez@gmail.com"/>
    <s v="monicamarcela.riosgutierrez@gmail.com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onicamarcela.riosgutierrez@gmail.com1"/>
  </r>
  <r>
    <s v="myriam.vargas@unisabana.edu.co"/>
    <s v="myriam.var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myriam.vargas@unisabana.edu.co1"/>
  </r>
  <r>
    <s v="nancy.almanza@unisabana.edu.co"/>
    <s v="nancy.almanza@unisabana.edu.co1"/>
    <s v="MEDICINA"/>
    <x v="4"/>
    <x v="0"/>
    <x v="0"/>
    <s v="Completa"/>
    <s v="Pregrado"/>
    <s v="FACULTAD DE MEDICINA"/>
    <s v="https://ProfCatedra2024.sawtoothsoftware.com/cgi-bin/ciwweb.pl?studyname=ProfCatedra2024&amp;Correo=nancy.almanza@unisabana.edu.co1"/>
  </r>
  <r>
    <s v="nancy.grande@unisabana.edu.co"/>
    <s v="nancy.grande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nancy.grande@unisabana.edu.co1"/>
  </r>
  <r>
    <s v="nancy.rivera1@unisabana.edu.co"/>
    <s v="nancy.rivera1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nancy.rivera1@unisabana.edu.co01"/>
  </r>
  <r>
    <s v="nestor.valderrama@inalde.edu.co"/>
    <s v="nestor.valderrama@inalde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nestor.valderrama@inalde.edu.co01"/>
  </r>
  <r>
    <s v="nestor.valderrama@inalde.edu.co"/>
    <s v="nestor.valderrama@inalde.edu.co02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nestor.valderrama@inalde.edu.co02"/>
  </r>
  <r>
    <s v="nestor.zambrano@unisabana.edu.co"/>
    <s v="nestor.zambrano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nestor.zambrano@unisabana.edu.co01"/>
  </r>
  <r>
    <s v="nestor.zambrano@unisabana.edu.co"/>
    <s v="nestor.zambrano@unisabana.edu.co02"/>
    <s v="MAESTRï¿½A EN PEDAGOGIA E INVESTIGACIï¿½N EN EL AULA"/>
    <x v="108"/>
    <x v="0"/>
    <x v="0"/>
    <s v="Completa"/>
    <s v="Posgrado"/>
    <s v="FACULTAD DE EDUCACIÓN"/>
    <s v="https://ProfCatedra2024.sawtoothsoftware.com/cgi-bin/ciwweb.pl?studyname=ProfCatedra2024&amp;Correo=nestor.zambrano@unisabana.edu.co02"/>
  </r>
  <r>
    <s v="nicolas.herran@unisabana.edu.co"/>
    <s v="nicolas.herran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colas.herran@unisabana.edu.co1"/>
  </r>
  <r>
    <s v="nicolas.lozada@unisabana.edu.co"/>
    <s v="nicolas.lozad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nicolas.lozada@unisabana.edu.co1"/>
  </r>
  <r>
    <s v="nicolas.mayorga@unisabana.edu.co"/>
    <s v="nicolas.mayorg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nicolas.mayorga@unisabana.edu.co1"/>
  </r>
  <r>
    <s v="nicolas.saiz@unisabana.edu.co"/>
    <s v="nicolas.saiz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colas.saiz@unisabana.edu.co1"/>
  </r>
  <r>
    <s v="nicolasgiela@unisabana.edu.co"/>
    <s v="nicolasgiela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nicolasgiela@unisabana.edu.co1"/>
  </r>
  <r>
    <s v="nidia.garcia3@unisabana.edu.co"/>
    <s v="nidia.garcia3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nidia.garcia3@unisabana.edu.co1"/>
  </r>
  <r>
    <s v="nidia.pineda1@unisabana.edu.co"/>
    <s v="Nidia.Pined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dia.Pineda1@unisabana.edu.co2"/>
  </r>
  <r>
    <s v="nsacipa@scolalegal.com"/>
    <s v="NSACIPA@SCOLALEGAL.COM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NSACIPA@SCOLALEGAL.COM1"/>
  </r>
  <r>
    <s v="nubia.amado@unisabana.edu.co"/>
    <s v="nubia.amado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nubia.amado@unisabana.edu.co1"/>
  </r>
  <r>
    <s v="nubia.amado@unisabana.edu.co"/>
    <s v="nubia.amado@unisabana.edu.co2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nubia.amado@unisabana.edu.co2"/>
  </r>
  <r>
    <s v="omar.caceres1@unisabana.edu.co"/>
    <s v="omar.caceres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omar.caceres1@unisabana.edu.co01"/>
  </r>
  <r>
    <s v="omar.silva@unisabana.edu.co"/>
    <s v="omar.silva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omar.silva@unisabana.edu.co1"/>
  </r>
  <r>
    <s v="oscar.ayala@unisabana.edu.co"/>
    <s v="oscar.ayala@unisabana.edu.co01"/>
    <s v="Especializaciï¿½n en Gerencia de Riesgos - Chï¿½a"/>
    <x v="38"/>
    <x v="0"/>
    <x v="0"/>
    <s v="Incompleta"/>
    <s v="Posgrado"/>
    <s v="INSTITUTO FORUM"/>
    <s v="https://ProfCatedra2024.sawtoothsoftware.com/cgi-bin/ciwweb.pl?studyname=ProfCatedra2024&amp;Correo=oscar.ayala@unisabana.edu.co01"/>
  </r>
  <r>
    <s v="oscar.coy1@unisabana.edu.co"/>
    <s v="oscar.coy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oscar.coy1@unisabana.edu.co1"/>
  </r>
  <r>
    <s v="oscar.suarez@unisabana.edu.co"/>
    <s v="oscar.suar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oscar.suarez@unisabana.edu.co1"/>
  </r>
  <r>
    <s v="oscarjpv@yahoo.es1"/>
    <s v="OSCARJPV@YAHOO.ES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OSCARJPV@YAHOO.ES1"/>
  </r>
  <r>
    <s v="oscarmega@unisabana.edu.co"/>
    <s v="OSCARMEG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OSCARMEGA@UNISABANA.EDU.CO1"/>
  </r>
  <r>
    <s v="pablo.gutierrez@unisabana.edu.co"/>
    <s v="pablo.gutierrez@unisabana.edu.co07"/>
    <s v="Doctorado en PsicologÃ­a"/>
    <x v="119"/>
    <x v="0"/>
    <x v="0"/>
    <s v="Completa"/>
    <s v="Posgrado"/>
    <s v="FACULTAD DE PSICOLOGÍA"/>
    <s v="https://ProfCatedra2024.sawtoothsoftware.com/cgi-bin/ciwweb.pl?studyname=ProfCatedra2024&amp;Correo=pablo.gutierrez@unisabana.edu.co07"/>
  </r>
  <r>
    <s v="pablo.paez@unisabana.edu.co"/>
    <s v="pablo.pa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pablo.paez@unisabana.edu.co1"/>
  </r>
  <r>
    <s v="paola.hartmann@unisabana.edu.co"/>
    <s v="paola.hartmann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paola.hartmann@unisabana.edu.co1"/>
  </r>
  <r>
    <s v="paola.ordonez@unisabana.edu.co"/>
    <s v="paola.ordonez@unisabana.edu.co01"/>
    <s v="Maestrï¿½a en Epidemiologï¿½a"/>
    <x v="83"/>
    <x v="0"/>
    <x v="0"/>
    <s v="Completa"/>
    <s v="Posgrado"/>
    <s v="FACULTAD DE MEDICINA"/>
    <s v="https://ProfCatedra2024.sawtoothsoftware.com/cgi-bin/ciwweb.pl?studyname=ProfCatedra2024&amp;Correo=paola.ordonez@unisabana.edu.co01"/>
  </r>
  <r>
    <s v="paola.ordonez@unisabana.edu.co"/>
    <s v="paola.ordonez@unisabana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paola.ordonez@unisabana.edu.co1"/>
  </r>
  <r>
    <s v="patricia.otero@unisabana.edu.co"/>
    <s v="patricia.otero@unisabana.edu.co01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patricia.otero@unisabana.edu.co01"/>
  </r>
  <r>
    <s v="paula.acevedo1@unisabana.edu.co"/>
    <s v="paula.acevedo1@unisabana.edu.co1"/>
    <s v="MEDICINA"/>
    <x v="4"/>
    <x v="0"/>
    <x v="0"/>
    <s v="Completa"/>
    <s v="Pregrado"/>
    <s v="FACULTAD DE MEDICINA"/>
    <s v="https://ProfCatedra2024.sawtoothsoftware.com/cgi-bin/ciwweb.pl?studyname=ProfCatedra2024&amp;Correo=paula.acevedo1@unisabana.edu.co1"/>
  </r>
  <r>
    <s v="paula.lopez5@unisabana.edu.co"/>
    <s v="paula.lopez5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paula.lopez5@unisabana.edu.co1"/>
  </r>
  <r>
    <s v="paulacacr@unisabana.edu.co"/>
    <s v="paulacacr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paulacacr@unisabana.edu.co1"/>
  </r>
  <r>
    <s v="pcallejascastro@gmail.com"/>
    <s v="PCALLEJASCASTRO@GMAIL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PCALLEJASCASTRO@GMAIL.COM1"/>
  </r>
  <r>
    <s v="pedro.casas@unisabana.edu.co"/>
    <s v="pedro.casas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pedro.casas@unisabana.edu.co01"/>
  </r>
  <r>
    <s v="pedro.contreras1@unisabana.edu.co"/>
    <s v="pedro.contreras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pedro.contreras1@unisabana.edu.co1"/>
  </r>
  <r>
    <s v="pedro.dussan@unisabana.edu.co"/>
    <s v="pedro.dussan@unisabana.edu.co1"/>
    <s v="MEDICINA"/>
    <x v="4"/>
    <x v="0"/>
    <x v="0"/>
    <s v="Completa"/>
    <s v="Pregrado"/>
    <s v="FACULTAD DE MEDICINA"/>
    <s v="https://ProfCatedra2024.sawtoothsoftware.com/cgi-bin/ciwweb.pl?studyname=ProfCatedra2024&amp;Correo=pedro.dussan@unisabana.edu.co1"/>
  </r>
  <r>
    <s v="pedro.garcia@unisabana.edu.co"/>
    <s v="pedro.garcia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pedro.garcia@unisabana.edu.co01"/>
  </r>
  <r>
    <s v="rafael.gonzalez2@unisabana.edu.co"/>
    <s v="rafael.gonzalez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2@unisabana.edu.co1"/>
  </r>
  <r>
    <s v="rafael.gonzalez3@unisabana.edu.co"/>
    <s v="rafael.gonzalez3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3@unisabana.edu.co1"/>
  </r>
  <r>
    <s v="rafael.meza1@unisabana.edu.co"/>
    <s v="rafael.meza1@unisabana.edu.co1"/>
    <s v="MEDICINA"/>
    <x v="4"/>
    <x v="0"/>
    <x v="0"/>
    <s v="Completa"/>
    <s v="Pregrado"/>
    <s v="FACULTAD DE MEDICINA"/>
    <s v="https://ProfCatedra2024.sawtoothsoftware.com/cgi-bin/ciwweb.pl?studyname=ProfCatedra2024&amp;Correo=rafael.meza1@unisabana.edu.co1"/>
  </r>
  <r>
    <s v="rafael.mora2@unisabana.edu.co"/>
    <s v="rafael.mora2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rafael.mora2@unisabana.edu.co1"/>
  </r>
  <r>
    <s v="rafael.tordecilla@unisabana.edu.co"/>
    <s v="rafael.tordecilla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rafael.tordecilla@unisabana.edu.co01"/>
  </r>
  <r>
    <s v="rafael.tordecilla1@unisabana.edu.co"/>
    <s v="rafael.tordecilla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rafael.tordecilla1@unisabana.edu.co1"/>
  </r>
  <r>
    <s v="ramirohernandez@hym-co.com"/>
    <s v="RAMIROHERNANDEZ@HYM-CO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RAMIROHERNANDEZ@HYM-CO.COM1"/>
  </r>
  <r>
    <s v="rbordaridao@hotmail.com"/>
    <s v="RBORDARIDAO@HOT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RBORDARIDAO@HOTMAIL.COM1"/>
  </r>
  <r>
    <s v="ricardo.angelp@hotmail.com"/>
    <s v="RICARDO.ANGELP@HOTMAIL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RICARDO.ANGELP@HOTMAIL.COM1"/>
  </r>
  <r>
    <s v="ricardo.pena1@unisabana.edu.co"/>
    <s v="ricardo.pena1@unisabana.edu.co01"/>
    <s v="Especializaciï¿½n en Gerencia Comercial - Barranquilla"/>
    <x v="122"/>
    <x v="0"/>
    <x v="0"/>
    <s v="Completa"/>
    <s v="Posgrado"/>
    <s v="INSTITUTO FORUM"/>
    <s v="https://ProfCatedra2024.sawtoothsoftware.com/cgi-bin/ciwweb.pl?studyname=ProfCatedra2024&amp;Correo=ricardo.pena1@unisabana.edu.co01"/>
  </r>
  <r>
    <s v="riveros_jonathan@hotmail.com"/>
    <s v="RIVEROS_JONATHAN@HOT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RIVEROS_JONATHAN@HOTMAIL.COM1"/>
  </r>
  <r>
    <s v="rocio.prieto@unisabana.edu.co"/>
    <s v="rocio.prieto@unisabana.edu.co1"/>
    <s v="MEDICINA"/>
    <x v="4"/>
    <x v="0"/>
    <x v="0"/>
    <s v="Completa"/>
    <s v="Pregrado"/>
    <s v="FACULTAD DE MEDICINA"/>
    <s v="https://ProfCatedra2024.sawtoothsoftware.com/cgi-bin/ciwweb.pl?studyname=ProfCatedra2024&amp;Correo=rocio.prieto@unisabana.edu.co1"/>
  </r>
  <r>
    <s v="rodrigo.diaz2@unisabana.edu.co"/>
    <s v="rodrigo.diaz2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rodrigo.diaz2@unisabana.edu.co01"/>
  </r>
  <r>
    <s v="rodrigo.granados@unisabana.edu.co"/>
    <s v="rodrigo.granados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rodrigo.granados@unisabana.edu.co01"/>
  </r>
  <r>
    <s v="rodrigo.granados@unisabana.edu.co"/>
    <s v="rodrigo.granados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rodrigo.granados@unisabana.edu.co02"/>
  </r>
  <r>
    <s v="rodrigomarin-abogado@hotmail.com"/>
    <s v="RODRIGOMARIN-ABOGADO@HOTMAIL.COM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RODRIGOMARIN-ABOGADO@HOTMAIL.COM1"/>
  </r>
  <r>
    <s v="ronal.rodriguez@unisabana.edu.co"/>
    <s v="ronal.rodriguez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ronal.rodriguez@unisabana.edu.co1"/>
  </r>
  <r>
    <s v="rosario.bernal@unisabana.edu.co"/>
    <s v="rosario.bernal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rosario.bernal@unisabana.edu.co1"/>
  </r>
  <r>
    <s v="rosario.bernal@unisabana.edu.co"/>
    <s v="rosario.bernal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rosario.bernal@unisabana.edu.co2"/>
  </r>
  <r>
    <s v="samuel.barbosa@unisabana.edu.co"/>
    <s v="samuel.barbosa@unisabana.edu.co1"/>
    <s v="MEDICINA"/>
    <x v="4"/>
    <x v="0"/>
    <x v="0"/>
    <s v="Completa"/>
    <s v="Pregrado"/>
    <s v="FACULTAD DE MEDICINA"/>
    <s v="https://ProfCatedra2024.sawtoothsoftware.com/cgi-bin/ciwweb.pl?studyname=ProfCatedra2024&amp;Correo=samuel.barbosa@unisabana.edu.co1"/>
  </r>
  <r>
    <s v="samueledortiz@hotmail.com"/>
    <s v="SAMUELEDORTIZ@HOT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SAMUELEDORTIZ@HOTMAIL.COM1"/>
  </r>
  <r>
    <s v="sandra.barragan@unisabana.edu.co"/>
    <s v="sandra.barragan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dra.barragan@unisabana.edu.co1"/>
  </r>
  <r>
    <s v="sandra.jarro@unisabana.edu.co"/>
    <s v="sandra.jarro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sandra.jarro@unisabana.edu.co1"/>
  </r>
  <r>
    <s v="sandra.molina@unisabana.edu.co"/>
    <s v="sandra.molin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sandra.molina@unisabana.edu.co1"/>
  </r>
  <r>
    <s v="sandra.saavedra1@unisabana.edu.co"/>
    <s v="sandra.saavedr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sandra.saavedra1@unisabana.edu.co1"/>
  </r>
  <r>
    <s v="sandra.vanegas4@unisabana.edu.co"/>
    <s v="sandra.vanegas4@unisabana.edu.co1"/>
    <s v="MEDICINA"/>
    <x v="4"/>
    <x v="0"/>
    <x v="0"/>
    <s v="Completa"/>
    <s v="Pregrado"/>
    <s v="FACULTAD DE MEDICINA"/>
    <s v="https://ProfCatedra2024.sawtoothsoftware.com/cgi-bin/ciwweb.pl?studyname=ProfCatedra2024&amp;Correo=sandra.vanegas4@unisabana.edu.co1"/>
  </r>
  <r>
    <s v="sandy.ortiz@unisabana.edu.co"/>
    <s v="sandy.orti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sandy.ortiz@unisabana.edu.co1"/>
  </r>
  <r>
    <s v="santiago.espinosa@unisabana.edu.co"/>
    <s v="santiago.espinosa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santiago.espinosa@unisabana.edu.co1"/>
  </r>
  <r>
    <s v="santiago.gutierrez@unisabana.edu.co"/>
    <s v="santiago.gutierrez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tiago.gutierrez@unisabana.edu.co1"/>
  </r>
  <r>
    <s v="santiago.osorio1@unisabana.edu.co"/>
    <s v="santiago.osorio1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santiago.osorio1@unisabana.edu.co1"/>
  </r>
  <r>
    <s v="santiago.ramirez@unisabana.edu.co"/>
    <s v="santiago.ramir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santiago.ramirez@unisabana.edu.co1"/>
  </r>
  <r>
    <s v="santiago.wills@unisabana.edu.co"/>
    <s v="santiago.will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antiago.wills@unisabana.edu.co1"/>
  </r>
  <r>
    <s v="santiago.wills@unisabana.edu.co"/>
    <s v="santiago.will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tiago.wills@unisabana.edu.co3"/>
  </r>
  <r>
    <s v="santiagomv@unisabana.edu.co"/>
    <s v="santiagomv@unisabana.edu.co01"/>
    <s v="Especializaciï¿½n en Gerencia Comercial Bucaramanga - Santander"/>
    <x v="104"/>
    <x v="0"/>
    <x v="0"/>
    <s v="Completa"/>
    <s v="Posgrado"/>
    <s v="INSTITUTO FORUM"/>
    <s v="https://ProfCatedra2024.sawtoothsoftware.com/cgi-bin/ciwweb.pl?studyname=ProfCatedra2024&amp;Correo=santiagomv@unisabana.edu.co01"/>
  </r>
  <r>
    <s v="santiagomv@unisabana.edu.co"/>
    <s v="santiagomv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santiagomv@unisabana.edu.co02"/>
  </r>
  <r>
    <s v="santiagoreve@unisabana.edu.co"/>
    <s v="santiagoreve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santiagoreve@unisabana.edu.co07"/>
  </r>
  <r>
    <s v="sebastian.jaramillo@unisabana.edu.co"/>
    <s v="sebastian.jaramill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ebastian.jaramillo@unisabana.edu.co1"/>
  </r>
  <r>
    <s v="sergio.arrieta@unisabana.edu.co"/>
    <s v="sergio.arrieta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sergio.arrieta@unisabana.edu.co1"/>
  </r>
  <r>
    <s v="sergio.rubiano@unisabana.edu.co"/>
    <s v="sergio.rubiano@unisabana.edu.co1"/>
    <s v="MEDICINA"/>
    <x v="4"/>
    <x v="0"/>
    <x v="0"/>
    <s v="Completa"/>
    <s v="Pregrado"/>
    <s v="FACULTAD DE MEDICINA"/>
    <s v="https://ProfCatedra2024.sawtoothsoftware.com/cgi-bin/ciwweb.pl?studyname=ProfCatedra2024&amp;Correo=sergio.rubiano@unisabana.edu.co1"/>
  </r>
  <r>
    <s v="sergio.torres_cont@unisabana.edu.co"/>
    <s v="sergio.torres_cont@unisabana.edu.co02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sergio.torres_cont@unisabana.edu.co02"/>
  </r>
  <r>
    <s v="sergio.torres2@unisabana.edu.co"/>
    <s v="sergio.torres2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sergio.torres2@unisabana.edu.co1"/>
  </r>
  <r>
    <s v="silvana.ahumada@unisabana.edu.co"/>
    <s v="silvana.ahumad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silvana.ahumada@unisabana.edu.co1"/>
  </r>
  <r>
    <s v="simon.granja@unisabana.edu.co"/>
    <s v="simon.granja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simon.granja@unisabana.edu.co1"/>
  </r>
  <r>
    <s v="simon.ramon@unisabana.edu.co"/>
    <s v="simon.ramon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imon.ramon@unisabana.edu.co1"/>
  </r>
  <r>
    <s v="sneyder.garcia@unisabana.edu.co"/>
    <s v="sneyder.garci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sneyder.garcia@unisabana.edu.co1"/>
  </r>
  <r>
    <s v="solange.monsalve1@unisabana.edu.co"/>
    <s v="solange.monsalve1@unisabana.edu.co1"/>
    <s v="MEDICINA"/>
    <x v="4"/>
    <x v="0"/>
    <x v="0"/>
    <s v="Completa"/>
    <s v="Pregrado"/>
    <s v="FACULTAD DE MEDICINA"/>
    <s v="https://ProfCatedra2024.sawtoothsoftware.com/cgi-bin/ciwweb.pl?studyname=ProfCatedra2024&amp;Correo=solange.monsalve1@unisabana.edu.co1"/>
  </r>
  <r>
    <s v="stella.venegas@unisabana.edu.co"/>
    <s v="stella.vene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stella.venegas@unisabana.edu.co1"/>
  </r>
  <r>
    <s v="suanny.pinzon@unisabana.edu.co"/>
    <s v="suanny.pinzon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suanny.pinzon@unisabana.edu.co1"/>
  </r>
  <r>
    <s v="sulma.vera@unisabana.edu.co"/>
    <s v="sulma.ver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sulma.vera@unisabana.edu.co1"/>
  </r>
  <r>
    <s v="tabata.cuervo1@unisabana.edu.co"/>
    <s v="tabata.cuervo1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tabata.cuervo1@unisabana.edu.co01"/>
  </r>
  <r>
    <s v="tabata.cuervo1@unisabana.edu.co"/>
    <s v="tabata.cuervo1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tabata.cuervo1@unisabana.edu.co1"/>
  </r>
  <r>
    <s v="tarek.manzur@unisabana.edu.co"/>
    <s v="tarek.manzur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tarek.manzur@unisabana.edu.co1"/>
  </r>
  <r>
    <s v="teadira.perez@unisabana.edu.co"/>
    <s v="teadira.per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teadira.perez@unisabana.edu.co1"/>
  </r>
  <r>
    <s v="tomas.londono@unisabana.edu.co"/>
    <s v="tomas.londono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tomas.londono@unisabana.edu.co1"/>
  </r>
  <r>
    <s v="tyrone.vargas1@unisabana.edu.co"/>
    <s v="tyrone.vargas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tyrone.vargas1@unisabana.edu.co01"/>
  </r>
  <r>
    <s v="tyrone.vargas1@unisabana.edu.co"/>
    <s v="tyrone.vargas1@unisabana.edu.co02"/>
    <s v="Maestrï¿½a en Direcciï¿½n y Gestiï¿½n de Instituciones Educativas - Riohacha"/>
    <x v="92"/>
    <x v="0"/>
    <x v="0"/>
    <s v="Completa"/>
    <s v="Posgrado"/>
    <s v="FACULTAD DE EDUCACIÓN"/>
    <s v="https://ProfCatedra2024.sawtoothsoftware.com/cgi-bin/ciwweb.pl?studyname=ProfCatedra2024&amp;Correo=tyrone.vargas1@unisabana.edu.co02"/>
  </r>
  <r>
    <s v="vera.nunez@unisabana.edu.co"/>
    <s v="vera.nunez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vera.nunez@unisabana.edu.co01"/>
  </r>
  <r>
    <s v="veronica.zas@unisabana.edu.co"/>
    <s v="veronica.zas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veronica.zas@unisabana.edu.co1"/>
  </r>
  <r>
    <s v="victor.parra@unisabana.edu.co"/>
    <s v="victor.parra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victor.parra@unisabana.edu.co1"/>
  </r>
  <r>
    <s v="viktoriya.andreeva@unisabana.edu.co"/>
    <s v="viktoriya.andreeva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viktoriya.andreeva@unisabana.edu.co1"/>
  </r>
  <r>
    <s v="virgilio.ramon_cont@unisabana.edu.co"/>
    <s v="virgilio.ramon_cont@unisabana.edu.co07"/>
    <s v="ESPECIALIZACIÃ“N EN GERENCIA ESTRATÃ‰GICA CHÃA"/>
    <x v="54"/>
    <x v="0"/>
    <x v="0"/>
    <s v="Completa"/>
    <s v="Posgrado"/>
    <s v="INSTITUTO FORUM"/>
    <s v="https://ProfCatedra2024.sawtoothsoftware.com/cgi-bin/ciwweb.pl?studyname=ProfCatedra2024&amp;Correo=virgilio.ramon_cont@unisabana.edu.co07"/>
  </r>
  <r>
    <s v="viviana.mendez1@unisabana.edu.co"/>
    <s v="viviana.mend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viviana.mendez1@unisabana.edu.co1"/>
  </r>
  <r>
    <s v="wbeimar.vera@unisabana.edu.co"/>
    <s v="wbeimar.vera@unisabana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wbeimar.vera@unisabana.edu.co1"/>
  </r>
  <r>
    <s v="wilber.garcia@unisabana.edu.co"/>
    <s v="wilber.garci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ber.garcia@unisabana.edu.co1"/>
  </r>
  <r>
    <s v="william.espitia@unisabana.edu.co"/>
    <s v="william.espiti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william.espitia@unisabana.edu.co1"/>
  </r>
  <r>
    <s v="william.moscoso@unisabana.edu.co"/>
    <s v="william.moscoso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william.moscoso@unisabana.edu.co01"/>
  </r>
  <r>
    <s v="wilmer.beltran@unisabana.edu.co"/>
    <s v="wilmer.beltra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mer.beltran@unisabana.edu.co1"/>
  </r>
  <r>
    <s v="wilmer.triana@unisabana.edu.co"/>
    <s v="wilmer.trian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mer.triana@unisabana.edu.co1"/>
  </r>
  <r>
    <s v="wilson.castro1@unisabana.edu.co"/>
    <s v="wilson.castro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wilson.castro1@unisabana.edu.co01"/>
  </r>
  <r>
    <s v="wilson.castro1@unisabana.edu.co"/>
    <s v="wilson.castro1@unisabana.edu.co03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wilson.castro1@unisabana.edu.co03"/>
  </r>
  <r>
    <s v="yaddy.nino@unisabana.edu.co"/>
    <s v="yaddy.nin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yaddy.nino@unisabana.edu.co1"/>
  </r>
  <r>
    <s v="yaddy.nino@unisabana.edu.co"/>
    <s v="yaddy.nino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yaddy.nino@unisabana.edu.co2"/>
  </r>
  <r>
    <s v="yaddy.nino@unisabana.edu.co"/>
    <s v="yaddy.nino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yaddy.nino@unisabana.edu.co3"/>
  </r>
  <r>
    <s v="yadira.carrion1@unisabana.edu.co"/>
    <s v="yadira.carrion1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yadira.carrion1@unisabana.edu.co01"/>
  </r>
  <r>
    <s v="yaolavem@unal.edu.co"/>
    <s v="yaolavem@unal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yaolavem@unal.edu.co1"/>
  </r>
  <r>
    <s v="yeimmy.contreras@unisabana.edu.co"/>
    <s v="yeimmy.contreras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yeimmy.contreras@unisabana.edu.co1"/>
  </r>
  <r>
    <s v="yeison.patarroyo@unisabana.edu.co"/>
    <s v="yeison.patarroyo@unisabana.edu.co1"/>
    <s v="MEDICINA"/>
    <x v="4"/>
    <x v="0"/>
    <x v="0"/>
    <s v="Completa"/>
    <s v="Pregrado"/>
    <s v="FACULTAD DE MEDICINA"/>
    <s v="https://ProfCatedra2024.sawtoothsoftware.com/cgi-bin/ciwweb.pl?studyname=ProfCatedra2024&amp;Correo=yeison.patarroyo@unisabana.edu.co1"/>
  </r>
  <r>
    <s v="yenny.duran@unisabana.edu.co"/>
    <s v="yenny.duran@unisabana.edu.co1"/>
    <s v="MEDICINA"/>
    <x v="4"/>
    <x v="0"/>
    <x v="0"/>
    <s v="Completa"/>
    <s v="Pregrado"/>
    <s v="FACULTAD DE MEDICINA"/>
    <s v="https://ProfCatedra2024.sawtoothsoftware.com/cgi-bin/ciwweb.pl?studyname=ProfCatedra2024&amp;Correo=yenny.duran@unisabana.edu.co1"/>
  </r>
  <r>
    <s v="yenymr@unisabana.edu.co"/>
    <s v="yenyMR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yenyMR@unisabana.edu.co1"/>
  </r>
  <r>
    <s v="yomaira.uscategui1@unisabana.edu.co"/>
    <s v="yomaira.uscategui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yomaira.uscategui1@unisabana.edu.co1"/>
  </r>
  <r>
    <s v="yomairausma@unisabana.edu.co"/>
    <s v="yomairausm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yomairausma@unisabana.edu.co1"/>
  </r>
  <r>
    <s v="yuli.contreras@unisabana.edu.co"/>
    <s v="yuli.contrer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yuli.contreras@unisabana.edu.co1"/>
  </r>
  <r>
    <s v="yulycudu@unisabana.edu.co"/>
    <s v="yulycudu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yulycudu@unisabana.edu.co1"/>
  </r>
  <r>
    <s v="yury.ricaurte@unisabana.edu.co"/>
    <s v="yury.ricaurte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yury.ricaurte@unisabana.edu.co1"/>
  </r>
  <r>
    <s v="zamir.hamad@unisabana.edu.co"/>
    <s v="Zamir.Hamad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Zamir.Hamad@unisabana.edu.co1"/>
  </r>
  <r>
    <s v="zulma.velandia1@unisabana.edu.co"/>
    <s v="zulma.velandi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zulma.velandia1@unisabana.edu.co1"/>
  </r>
  <r>
    <s v="zulma.velandia1@unisabana.edu.co"/>
    <s v="zulma.velandi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zulma.velandia1@unisabana.edu.co2"/>
  </r>
  <r>
    <s v="zulma.velandia1@unisabana.edu.co"/>
    <s v="zulma.velandia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zulma.velandia1@unisabana.edu.co3"/>
  </r>
  <r>
    <s v="adner.capachero@unisabana.edu.co"/>
    <s v="adner.capachero@unisabana.edu.co01"/>
    <s v="ESPECIALIZACIï¿½N EN GERENCIA DE PRODUCCIï¿½N Y OPERACIONES  - CHIA"/>
    <x v="113"/>
    <x v="1"/>
    <x v="0"/>
    <s v="Completa"/>
    <s v="Posgrado"/>
    <s v="INSTITUTO FORUM"/>
    <s v="https://ProfPlanta2024.sawtoothsoftware.com/cgi-bin/ciwweb.pl?studyname=ProfPlanta2024&amp;Correo=adner.capachero@unisabana.edu.co01"/>
  </r>
  <r>
    <s v="adrian.santana@unisabana.edu.co"/>
    <s v="adrian.santan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adrian.santana@unisabana.edu.co01"/>
  </r>
  <r>
    <s v="adriana.castellanos@unisabana.edu.co"/>
    <s v="adriana.castellanos@unisabana.edu.co03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adriana.castellanos@unisabana.edu.co03"/>
  </r>
  <r>
    <s v="adriana.castellanos@unisabana.edu.co"/>
    <s v="adriana.castellanos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driana.castellanos@unisabana.edu.co1"/>
  </r>
  <r>
    <s v="adriana.cavanzo1@unisabana.edu.co"/>
    <s v="adriana.cavanzo1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adriana.cavanzo1@unisabana.edu.co01"/>
  </r>
  <r>
    <s v="adriana.cavanzo1@unisabana.edu.co"/>
    <s v="adriana.cavanzo1@unisabana.edu.co1"/>
    <s v="MEDICINA"/>
    <x v="4"/>
    <x v="1"/>
    <x v="0"/>
    <s v="Completa"/>
    <s v="Pregrado"/>
    <s v="FACULTAD DE MEDICINA"/>
    <s v="https://ProfPlanta2024.sawtoothsoftware.com/cgi-bin/ciwweb.pl?studyname=ProfPlanta2024&amp;Correo=adriana.cavanzo1@unisabana.edu.co1"/>
  </r>
  <r>
    <s v="adriana.guzman@unisabana.edu.co"/>
    <s v="adriana.guzman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adriana.guzman@unisabana.edu.co1"/>
  </r>
  <r>
    <s v="aida.casadiego@unisabana.edu.co"/>
    <s v="aida.casadiego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ida.casadiego@unisabana.edu.co1"/>
  </r>
  <r>
    <s v="alba.siabatto@unisabana.edu.co"/>
    <s v="alba.siabatto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alba.siabatto@unisabana.edu.co1"/>
  </r>
  <r>
    <s v="albedro.cadena@unisabana.edu.co"/>
    <s v="albedro.caden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lbedro.cadena@unisabana.edu.co1"/>
  </r>
  <r>
    <s v="alejandra.fuentes@unisabana.edu.co"/>
    <s v="alejandra.fuentes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alejandra.fuentes@unisabana.edu.co01"/>
  </r>
  <r>
    <s v="alejandro.acosta1@unisabana.edu.co"/>
    <s v="Alejandro.acosta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Alejandro.acosta1@unisabana.edu.co01"/>
  </r>
  <r>
    <s v="alejandro.acosta1@unisabana.edu.co"/>
    <s v="Alejandro.acost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Alejandro.acosta1@unisabana.edu.co1"/>
  </r>
  <r>
    <s v="alejandro.acosta1@unisabana.edu.co"/>
    <s v="Alejandro.acosta1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Alejandro.acosta1@unisabana.edu.co2"/>
  </r>
  <r>
    <s v="alejandro.aponte@unisabana.edu.co"/>
    <s v="alejandro.aponte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lejandro.aponte@unisabana.edu.co01"/>
  </r>
  <r>
    <s v="alejandro.aponte@unisabana.edu.co"/>
    <s v="alejandro.aponte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lejandro.aponte@unisabana.edu.co1"/>
  </r>
  <r>
    <s v="alexandra.pedraza@unisabana.edu.co"/>
    <s v="alexandra.pedraza@unisabana.edu.co01"/>
    <s v="ESPECIALIZACIï¿½N EN GERENCIA EDUCATIVA"/>
    <x v="98"/>
    <x v="1"/>
    <x v="1"/>
    <s v="Incompleta"/>
    <s v="Posgrado"/>
    <s v="FACULTAD DE EDUCACIÓN"/>
    <s v="https://ProfPlanta2024.sawtoothsoftware.com/cgi-bin/ciwweb.pl?studyname=ProfPlanta2024&amp;Correo=alexandra.pedraza@unisabana.edu.co01"/>
  </r>
  <r>
    <s v="alexandra.pedraza@unisabana.edu.co"/>
    <s v="alexandra.pedraza@unisabana.edu.co02"/>
    <s v="MAESTRï¿½A EN DIRECCIï¿½N Y GESTIï¿½N DE INSTITUCIONES EDUCATIVAS"/>
    <x v="62"/>
    <x v="1"/>
    <x v="1"/>
    <s v="Incompleta"/>
    <s v="Posgrado"/>
    <s v="FACULTAD DE EDUCACIÓN"/>
    <s v="https://ProfPlanta2024.sawtoothsoftware.com/cgi-bin/ciwweb.pl?studyname=ProfPlanta2024&amp;Correo=alexandra.pedraza@unisabana.edu.co02"/>
  </r>
  <r>
    <s v="alexandra.pedraza@unisabana.edu.co"/>
    <s v="alexandra.pedraza@unisabana.edu.co03"/>
    <s v="MAESTRï¿½A EN DIRECCIï¿½N Y GESTIï¿½N DE INSTITUCIONES EDUCATIVAS - GUAJIRA"/>
    <x v="92"/>
    <x v="1"/>
    <x v="1"/>
    <s v="Incompleta"/>
    <s v="Posgrado"/>
    <s v="FACULTAD DE EDUCACIÓN"/>
    <s v="https://ProfPlanta2024.sawtoothsoftware.com/cgi-bin/ciwweb.pl?studyname=ProfPlanta2024&amp;Correo=alexandra.pedraza@unisabana.edu.co03"/>
  </r>
  <r>
    <s v="alexandra.pedraza@unisabana.edu.co"/>
    <s v="alexandra.pedraza@unisabana.edu.co1"/>
    <s v="LICENCIATURA EN CIENCIAS NATURALES"/>
    <x v="3"/>
    <x v="1"/>
    <x v="1"/>
    <s v="Incompleta"/>
    <s v="Pregrado"/>
    <s v="FACULTAD DE EDUCACIÓN"/>
    <s v="https://ProfPlanta2024.sawtoothsoftware.com/cgi-bin/ciwweb.pl?studyname=ProfPlanta2024&amp;Correo=alexandra.pedraza@unisabana.edu.co1"/>
  </r>
  <r>
    <s v="alexandra.pedraza@unisabana.edu.co"/>
    <s v="alexandra.pedraza@unisabana.edu.co2"/>
    <s v="LICENCIATURA EN EDUCACIï¿½N INFANTIL"/>
    <x v="34"/>
    <x v="1"/>
    <x v="1"/>
    <s v="Incompleta"/>
    <s v="Pregrado"/>
    <s v="FACULTAD DE EDUCACIÓN"/>
    <s v="https://ProfPlanta2024.sawtoothsoftware.com/cgi-bin/ciwweb.pl?studyname=ProfPlanta2024&amp;Correo=alexandra.pedraza@unisabana.edu.co2"/>
  </r>
  <r>
    <s v="alfonso.sarmiento@unisabana.edu.co"/>
    <s v="alfonso.sarmiento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alfonso.sarmiento@unisabana.edu.co01"/>
  </r>
  <r>
    <s v="alfonso.sarmiento@unisabana.edu.co"/>
    <s v="alfonso.sarmiento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alfonso.sarmiento@unisabana.edu.co02"/>
  </r>
  <r>
    <s v="alfonsosava@unisabana.edu.co"/>
    <s v="alfonsosav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alfonsosava@unisabana.edu.co1"/>
  </r>
  <r>
    <s v="alirio.bastidas@unisabana.edu.co"/>
    <s v="alirio.bastidas@unisabana.edu.co01"/>
    <s v="ESPECIALIZACIï¿½N EN MEDICINA INTERNA"/>
    <x v="135"/>
    <x v="1"/>
    <x v="0"/>
    <s v="Completa"/>
    <s v="Posgrado"/>
    <s v="FACULTAD DE MEDICINA"/>
    <s v="https://ProfPlanta2024.sawtoothsoftware.com/cgi-bin/ciwweb.pl?studyname=ProfPlanta2024&amp;Correo=alirio.bastidas@unisabana.edu.co01"/>
  </r>
  <r>
    <s v="alirio.bastidas@unisabana.edu.co"/>
    <s v="alirio.bastidas@unisabana.edu.co02"/>
    <s v="MAESTRï¿½A EN EPIDEMIOLOGï¿½A"/>
    <x v="83"/>
    <x v="1"/>
    <x v="0"/>
    <s v="Completa"/>
    <s v="Posgrado"/>
    <s v="FACULTAD DE MEDICINA"/>
    <s v="https://ProfPlanta2024.sawtoothsoftware.com/cgi-bin/ciwweb.pl?studyname=ProfPlanta2024&amp;Correo=alirio.bastidas@unisabana.edu.co02"/>
  </r>
  <r>
    <s v="alirio.bastidas@unisabana.edu.co"/>
    <s v="alirio.bastidas@unisabana.edu.co1"/>
    <s v="MEDICINA"/>
    <x v="4"/>
    <x v="1"/>
    <x v="0"/>
    <s v="Completa"/>
    <s v="Pregrado"/>
    <s v="FACULTAD DE MEDICINA"/>
    <s v="https://ProfPlanta2024.sawtoothsoftware.com/cgi-bin/ciwweb.pl?studyname=ProfPlanta2024&amp;Correo=alirio.bastidas@unisabana.edu.co1"/>
  </r>
  <r>
    <s v="alvaro.mendoza@unisabana.edu.co"/>
    <s v="alvaro.mendoz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lvaro.mendoza@unisabana.edu.co1"/>
  </r>
  <r>
    <s v="amanda.rodriguez1@unisabana.edu.co"/>
    <s v="amanda.rodriguez1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amanda.rodriguez1@unisabana.edu.co01"/>
  </r>
  <r>
    <s v="ana.idarraga@unisabana.edu.co"/>
    <s v="ana.idarraga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a.idarraga@unisabana.edu.co01"/>
  </r>
  <r>
    <s v="ana.idarraga@unisabana.edu.co"/>
    <s v="ana.idarrag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a.idarraga@unisabana.edu.co1"/>
  </r>
  <r>
    <s v="ana.olaya@unisabana.edu.co"/>
    <s v="ana.olaya@unisabana.edu.co01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1"/>
  </r>
  <r>
    <s v="ana.olaya@unisabana.edu.co"/>
    <s v="ana.olaya@unisabana.edu.co02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2"/>
  </r>
  <r>
    <s v="ana.olaya@unisabana.edu.co"/>
    <s v="ana.olaya@unisabana.edu.co03"/>
    <s v="MAESTRï¿½A EN GERENCIA INTERNACIONAL"/>
    <x v="37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3"/>
  </r>
  <r>
    <s v="ana.santos@unisabana.edu.co"/>
    <s v="ana.santos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ana.santos@unisabana.edu.co01"/>
  </r>
  <r>
    <s v="ana.santos@unisabana.edu.co"/>
    <s v="ana.santos@unisabana.edu.co02"/>
    <s v="ESPECIALIZACIï¿½N EN REUMATOLOGï¿½A"/>
    <x v="136"/>
    <x v="1"/>
    <x v="0"/>
    <s v="Completa"/>
    <s v="Posgrado"/>
    <s v="FACULTAD DE INGENIERÍA"/>
    <s v="https://ProfPlanta2024.sawtoothsoftware.com/cgi-bin/ciwweb.pl?studyname=ProfPlanta2024&amp;Correo=ana.santos@unisabana.edu.co02"/>
  </r>
  <r>
    <s v="ana.santos@unisabana.edu.co"/>
    <s v="ana.santos@unisabana.edu.co1"/>
    <s v="MEDICINA"/>
    <x v="4"/>
    <x v="1"/>
    <x v="0"/>
    <s v="Completa"/>
    <s v="Pregrado"/>
    <s v="FACULTAD DE MEDICINA"/>
    <s v="https://ProfPlanta2024.sawtoothsoftware.com/cgi-bin/ciwweb.pl?studyname=ProfPlanta2024&amp;Correo=ana.santos@unisabana.edu.co1"/>
  </r>
  <r>
    <s v="ana.silva3@unisabana.edu.co"/>
    <s v="ana.silva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na.silva3@unisabana.edu.co1"/>
  </r>
  <r>
    <s v="ana.ternent@unisabana.edu.co"/>
    <s v="ana.ternent@unisabana.edu.co01"/>
    <s v="MAESTRï¿½A EN DIDï¿½CTICA DEL INGLï¿½S PARA EL APRENDIZAJE AUTODIRIGIDO"/>
    <x v="137"/>
    <x v="1"/>
    <x v="0"/>
    <s v="Completa"/>
    <s v="Posgrado"/>
    <s v="FACULTAD DE EDUCACIÓN"/>
    <s v="https://ProfPlanta2024.sawtoothsoftware.com/cgi-bin/ciwweb.pl?studyname=ProfPlanta2024&amp;Correo=ana.ternent@unisabana.edu.co01"/>
  </r>
  <r>
    <s v="ana.ternent@unisabana.edu.co"/>
    <s v="ana.ternent@unisabana.edu.co02"/>
    <s v="MAESTRï¿½A EN PEDAGOGï¿½A"/>
    <x v="30"/>
    <x v="1"/>
    <x v="0"/>
    <s v="Completa"/>
    <s v="Posgrado"/>
    <s v="FACULTAD DE EDUCACIÓN"/>
    <s v="https://ProfPlanta2024.sawtoothsoftware.com/cgi-bin/ciwweb.pl?studyname=ProfPlanta2024&amp;Correo=ana.ternent@unisabana.edu.co02"/>
  </r>
  <r>
    <s v="ana.ternent@unisabana.edu.co"/>
    <s v="ana.ternent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ana.ternent@unisabana.edu.co1"/>
  </r>
  <r>
    <s v="ana.vargas@unisabana.edu.co"/>
    <s v="ana.vargas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ana.vargas@unisabana.edu.co01"/>
  </r>
  <r>
    <s v="ana.vargas@unisabana.edu.co"/>
    <s v="ana.vargas@unisabana.edu.co02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ana.vargas@unisabana.edu.co02"/>
  </r>
  <r>
    <s v="ana.vargas@unisabana.edu.co"/>
    <s v="ana.vargas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ana.vargas@unisabana.edu.co1"/>
  </r>
  <r>
    <s v="ana.vargas@unisabana.edu.co"/>
    <s v="ana.vargas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ana.vargas@unisabana.edu.co2"/>
  </r>
  <r>
    <s v="anagr@unisabana.edu.co"/>
    <s v="AnaGR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aGR@unisabana.edu.co1"/>
  </r>
  <r>
    <s v="anasam@unisabana.edu.co"/>
    <s v="Anasam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asam@unisabana.edu.co1"/>
  </r>
  <r>
    <s v="andrea.garcia2@unisabana.edu.co"/>
    <s v="andrea.garcia2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andrea.garcia2@unisabana.edu.co07"/>
  </r>
  <r>
    <s v="andres.agudelo@unisabana.edu.co"/>
    <s v="andres.agudelo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andres.agudelo@unisabana.edu.co01"/>
  </r>
  <r>
    <s v="andres.agudelo@unisabana.edu.co"/>
    <s v="andres.agudelo@unisabana.edu.co02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dres.agudelo@unisabana.edu.co02"/>
  </r>
  <r>
    <s v="andres.agudelo@unisabana.edu.co"/>
    <s v="andres.agudelo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andres.agudelo@unisabana.edu.co1"/>
  </r>
  <r>
    <s v="andres.chiappe@unisabana.edu.co"/>
    <s v="andres.chiappe@unisabana.edu.co01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andres.chiappe@unisabana.edu.co01"/>
  </r>
  <r>
    <s v="andres.chiappe@unisabana.edu.co"/>
    <s v="andres.chiappe@unisabana.edu.co02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andres.chiappe@unisabana.edu.co02"/>
  </r>
  <r>
    <s v="andres.forero1@unisabana.edu.co"/>
    <s v="andres.forero1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andres.forero1@unisabana.edu.co1"/>
  </r>
  <r>
    <s v="andres.lopez4@unisabana.edu.co"/>
    <s v="andres.lopez4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dres.lopez4@unisabana.edu.co01"/>
  </r>
  <r>
    <s v="andres.lopez4@unisabana.edu.co"/>
    <s v="andres.lopez4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andres.lopez4@unisabana.edu.co1"/>
  </r>
  <r>
    <s v="andres.lopez4@unisabana.edu.co"/>
    <s v="andres.lopez4@unisabana.edu.co2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dres.lopez4@unisabana.edu.co2"/>
  </r>
  <r>
    <s v="andres.martinez8@unisabana.edu.co"/>
    <s v="andres.martinez8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andres.martinez8@unisabana.edu.co1"/>
  </r>
  <r>
    <s v="andres.mejia@unisabana.edu.co"/>
    <s v="andres.mejia@unisabana.edu.co04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andres.mejia@unisabana.edu.co04"/>
  </r>
  <r>
    <s v="andres.munoz1@unisabana.edu.co"/>
    <s v="andres.munoz1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andres.munoz1@unisabana.edu.co1"/>
  </r>
  <r>
    <s v="andres.salazar@unisabana.edu.co"/>
    <s v="andres.salazar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dres.salazar@unisabana.edu.co1"/>
  </r>
  <r>
    <s v="andres.villegas@unisabana.edu.co"/>
    <s v="andres.villegas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andres.villegas@unisabana.edu.co1"/>
  </r>
  <r>
    <s v="angela.acero@unisabana.edu.co"/>
    <s v="angela.acero@unisabana.edu.co1"/>
    <s v="MEDICINA"/>
    <x v="4"/>
    <x v="1"/>
    <x v="0"/>
    <s v="Completa"/>
    <s v="Pregrado"/>
    <s v="FACULTAD DE MEDICINA"/>
    <s v="https://ProfPlanta2024.sawtoothsoftware.com/cgi-bin/ciwweb.pl?studyname=ProfPlanta2024&amp;Correo=angela.acero@unisabana.edu.co1"/>
  </r>
  <r>
    <s v="angela.delgado@unisabana.edu.co"/>
    <s v="angela.delgado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gela.delgado@unisabana.edu.co1"/>
  </r>
  <r>
    <s v="angela.gamba@unisabana.edu.co"/>
    <s v="angela.gamb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ngela.gamba@unisabana.edu.co1"/>
  </r>
  <r>
    <s v="angela.moncaleano@unisabana.edu.co"/>
    <s v="angela.moncalean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gela.moncaleano@unisabana.edu.co1"/>
  </r>
  <r>
    <s v="angela.preciado@unisabana.edu.co"/>
    <s v="angela.preciado@unisabana.edu.co01"/>
    <s v="DOCTORADO EN COMUNICACIï¿½N"/>
    <x v="139"/>
    <x v="1"/>
    <x v="1"/>
    <s v="Incompleta"/>
    <s v="Posgrado"/>
    <s v="FACULTAD DE COMUNICACIÓN"/>
    <s v="https://ProfPlanta2024.sawtoothsoftware.com/cgi-bin/ciwweb.pl?studyname=ProfPlanta2024&amp;Correo=angela.preciado@unisabana.edu.co01"/>
  </r>
  <r>
    <s v="angela.preciado@unisabana.edu.co"/>
    <s v="angela.preciado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angela.preciado@unisabana.edu.co1"/>
  </r>
  <r>
    <s v="angela.rubiano@unisabana.edu.co"/>
    <s v="angela.rubiano@unisabana.edu.co01"/>
    <s v="ESPECIALIZACIï¿½N EN GERENCIA EDUCATIVA"/>
    <x v="98"/>
    <x v="1"/>
    <x v="0"/>
    <s v="Completa"/>
    <s v="Posgrado"/>
    <s v="FACULTAD DE EDUCACIÓN"/>
    <s v="https://ProfPlanta2024.sawtoothsoftware.com/cgi-bin/ciwweb.pl?studyname=ProfPlanta2024&amp;Correo=angela.rubiano@unisabana.edu.co01"/>
  </r>
  <r>
    <s v="angela.rubiano@unisabana.edu.co"/>
    <s v="angela.rubiano@unisabana.edu.co02"/>
    <s v="MAESTRï¿½A EN DIRECCIï¿½N Y GESTIï¿½N DE INSTITUCIONES EDUCATIVAS"/>
    <x v="62"/>
    <x v="1"/>
    <x v="0"/>
    <s v="Completa"/>
    <s v="Posgrado"/>
    <s v="FACULTAD DE EDUCACIÓN"/>
    <s v="https://ProfPlanta2024.sawtoothsoftware.com/cgi-bin/ciwweb.pl?studyname=ProfPlanta2024&amp;Correo=angela.rubiano@unisabana.edu.co02"/>
  </r>
  <r>
    <s v="angela.rubiano@unisabana.edu.co"/>
    <s v="angela.rubiano@unisabana.edu.co03"/>
    <s v="MAESTRï¿½A EN DIRECCIï¿½N Y GESTIï¿½N DE INSTITUCIONES EDUCATIVAS - GUAJIRA"/>
    <x v="92"/>
    <x v="1"/>
    <x v="0"/>
    <s v="Completa"/>
    <s v="Posgrado"/>
    <s v="FACULTAD DE EDUCACIÓN"/>
    <s v="https://ProfPlanta2024.sawtoothsoftware.com/cgi-bin/ciwweb.pl?studyname=ProfPlanta2024&amp;Correo=angela.rubiano@unisabana.edu.co03"/>
  </r>
  <r>
    <s v="angela.rubiano@unisabana.edu.co"/>
    <s v="angela.rubiano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angela.rubiano@unisabana.edu.co1"/>
  </r>
  <r>
    <s v="angela.trujillo@unisabana.edu.co"/>
    <s v="angela.trujillo@unisabana.edu.co02"/>
    <s v="MAESTRIA EN PSICOLOGIA DE LA SALUD Y DISCAPACIDAD"/>
    <x v="46"/>
    <x v="1"/>
    <x v="0"/>
    <s v="Completa"/>
    <s v="Posgrado"/>
    <s v="FACULTAD DE PSICOLOGÍA"/>
    <s v="https://ProfPlanta2024.sawtoothsoftware.com/cgi-bin/ciwweb.pl?studyname=ProfPlanta2024&amp;Correo=angela.trujillo@unisabana.edu.co02"/>
  </r>
  <r>
    <s v="angela.trujillo@unisabana.edu.co"/>
    <s v="angela.trujillo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angela.trujillo@unisabana.edu.co07"/>
  </r>
  <r>
    <s v="angelica.ospina@unisabana.edu.co"/>
    <s v="angelica.ospina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angelica.ospina@unisabana.edu.co01"/>
  </r>
  <r>
    <s v="angelica.ospina@unisabana.edu.co"/>
    <s v="angelica.ospina@unisabana.edu.co02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angelica.ospina@unisabana.edu.co02"/>
  </r>
  <r>
    <s v="angelica.ospina@unisabana.edu.co"/>
    <s v="angelica.ospina@unisabana.edu.co03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angelica.ospina@unisabana.edu.co03"/>
  </r>
  <r>
    <s v="angelica.ospina@unisabana.edu.co"/>
    <s v="angelica.ospina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angelica.ospina@unisabana.edu.co1"/>
  </r>
  <r>
    <s v="angelica.ramirez2@unisabana.edu.co"/>
    <s v="angelica.ramirez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ngelica.ramirez2@unisabana.edu.co1"/>
  </r>
  <r>
    <s v="anna.filomena@unisabana.edu.co"/>
    <s v="anna.filomena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anna.filomena@unisabana.edu.co1"/>
  </r>
  <r>
    <s v="astrid.robayo@unisabana.edu.co"/>
    <s v="astrid.robay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astrid.robayo@unisabana.edu.co01"/>
  </r>
  <r>
    <s v="astrid.robayo@unisabana.edu.co"/>
    <s v="astrid.robayo@unisabana.edu.co02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astrid.robayo@unisabana.edu.co02"/>
  </r>
  <r>
    <s v="astrid.robayo@unisabana.edu.co"/>
    <s v="astrid.robayo@unisabana.edu.co03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astrid.robayo@unisabana.edu.co03"/>
  </r>
  <r>
    <s v="astrid.robayo@unisabana.edu.co"/>
    <s v="astrid.robayo@unisabana.edu.co04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astrid.robayo@unisabana.edu.co04"/>
  </r>
  <r>
    <s v="astrid.robayo@unisabana.edu.co"/>
    <s v="astrid.robay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strid.robayo@unisabana.edu.co1"/>
  </r>
  <r>
    <s v="astrid.robayo@unisabana.edu.co"/>
    <s v="astrid.robayo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astrid.robayo@unisabana.edu.co2"/>
  </r>
  <r>
    <s v="bernardo.estrada@unisabana.edu.co"/>
    <s v="bernardo.estrada@unisabana.edu.co01"/>
    <s v="MAESTRï¿½A EN TEOLOGï¿½A - CHï¿½A"/>
    <x v="45"/>
    <x v="1"/>
    <x v="0"/>
    <s v="Completa"/>
    <s v="Posgrado"/>
    <s v="FACULTAD DE FILOSOFÍA Y CIENCIAS HUMANAS"/>
    <s v="https://ProfPlanta2024.sawtoothsoftware.com/cgi-bin/ciwweb.pl?studyname=ProfPlanta2024&amp;Correo=bernardo.estrada@unisabana.edu.co01"/>
  </r>
  <r>
    <s v="bibiana.zapata@unisabana.edu.co"/>
    <s v="bibiana.zapat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bibiana.zapata@unisabana.edu.co1"/>
  </r>
  <r>
    <s v="camila.figueroa1@unisabana.edu.co"/>
    <s v="camila.figuero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camila.figueroa1@unisabana.edu.co1"/>
  </r>
  <r>
    <s v="camila.herrera@unisabana.edu.co"/>
    <s v="camila.herrera@unisabana.edu.co01"/>
    <s v="MAESTRIA EN DERECHO CONSTITUCIONAL"/>
    <x v="56"/>
    <x v="1"/>
    <x v="1"/>
    <s v="Incompleta"/>
    <s v="Posgrado"/>
    <s v="FACULTAD DE DERECHO Y CIENCIAS POLÍTICAS"/>
    <s v="https://ProfPlanta2024.sawtoothsoftware.com/cgi-bin/ciwweb.pl?studyname=ProfPlanta2024&amp;Correo=camila.herrera@unisabana.edu.co01"/>
  </r>
  <r>
    <s v="camila.herrera@unisabana.edu.co"/>
    <s v="camila.herrer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mila.herrera@unisabana.edu.co1"/>
  </r>
  <r>
    <s v="camilo.arias@unisabana.edu.co"/>
    <s v="camilo.arias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camilo.arias@unisabana.edu.co1"/>
  </r>
  <r>
    <s v="camilo.botero@unisabana.edu.co"/>
    <s v="camilo.botero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camilo.botero@unisabana.edu.co1"/>
  </r>
  <r>
    <s v="camilo.co0rreal@unisabana.edu.co"/>
    <s v="camilo.co0rreal@unisabana.edu.co01"/>
    <s v="MAESTRï¿½A EN SALUD Pï¿½BLICA"/>
    <x v="70"/>
    <x v="1"/>
    <x v="0"/>
    <s v="Completa"/>
    <s v="Posgrado"/>
    <s v="FACULTAD DE MEDICINA"/>
    <s v="https://ProfPlanta2024.sawtoothsoftware.com/cgi-bin/ciwweb.pl?studyname=ProfPlanta2024&amp;Correo=camilo.co0rreal@unisabana.edu.co01"/>
  </r>
  <r>
    <s v="camilo.correal@unisabana.edu.co"/>
    <s v="camilo.correal@unisabana.edu.co1"/>
    <s v="MEDICINA"/>
    <x v="4"/>
    <x v="1"/>
    <x v="0"/>
    <s v="Completa"/>
    <s v="Pregrado"/>
    <s v="FACULTAD DE MEDICINA"/>
    <s v="https://ProfPlanta2024.sawtoothsoftware.com/cgi-bin/ciwweb.pl?studyname=ProfPlanta2024&amp;Correo=camilo.correal@unisabana.edu.co1"/>
  </r>
  <r>
    <s v="camilo.posada@unisabana.edu.co"/>
    <s v="camilo.posa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milo.posada@unisabana.edu.co1"/>
  </r>
  <r>
    <s v="camilo.rengifo@unisabana.edu.co"/>
    <s v="camilo.rengif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camilo.rengifo@unisabana.edu.co01"/>
  </r>
  <r>
    <s v="camilo.rengifo@unisabana.edu.co"/>
    <s v="camilo.rengifo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amilo.rengifo@unisabana.edu.co02"/>
  </r>
  <r>
    <s v="camilo.rengifo@unisabana.edu.co"/>
    <s v="camilo.rengif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camilo.rengifo@unisabana.edu.co1"/>
  </r>
  <r>
    <s v="camilo.rincon2@unisabana.edu.co"/>
    <s v="camilo.rincon2@unisabana.edu.co1"/>
    <s v="PSICOLOGï¿½A"/>
    <x v="29"/>
    <x v="1"/>
    <x v="1"/>
    <s v="Incompleta"/>
    <s v="Pregrado"/>
    <s v="FACULTAD DE PSICOLOGÍA"/>
    <s v="https://ProfPlanta2024.sawtoothsoftware.com/cgi-bin/ciwweb.pl?studyname=ProfPlanta2024&amp;Correo=camilo.rincon2@unisabana.edu.co1"/>
  </r>
  <r>
    <s v="carlos.bernal7@unisabana.edu.co"/>
    <s v="carlos.bernal7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carlos.bernal7@unisabana.edu.co01"/>
  </r>
  <r>
    <s v="carlos.bernal7@unisabana.edu.co"/>
    <s v="carlos.bernal7@unisabana.edu.co02"/>
    <s v="MAESTRIA EN DERECHO CONSTITUCIONAL"/>
    <x v="56"/>
    <x v="1"/>
    <x v="0"/>
    <s v="Completa"/>
    <s v="Posgrado"/>
    <s v="FACULTAD DE DERECHO Y CIENCIAS POLÍTICAS"/>
    <s v="https://ProfPlanta2024.sawtoothsoftware.com/cgi-bin/ciwweb.pl?studyname=ProfPlanta2024&amp;Correo=carlos.bernal7@unisabana.edu.co02"/>
  </r>
  <r>
    <s v="carlos.bernal7@unisabana.edu.co"/>
    <s v="carlos.bernal7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rlos.bernal7@unisabana.edu.co1"/>
  </r>
  <r>
    <s v="carlos.castro@unisabana.edu.co"/>
    <s v="carlos.castr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rlos.castro@unisabana.edu.co1"/>
  </r>
  <r>
    <s v="carlos.dominguez@unisabana.edu.co"/>
    <s v="carlos.dominguez@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carlos.dominguez@unisabana.edu.co01"/>
  </r>
  <r>
    <s v="carlos.dominguez@unisabana.edu.co"/>
    <s v="carlos.dominguez@unisabana.edu.co02"/>
    <s v="MAESTRï¿½A EN EDUCACIï¿½N Mï¿½DICA"/>
    <x v="110"/>
    <x v="1"/>
    <x v="0"/>
    <s v="Completa"/>
    <s v="Posgrado"/>
    <s v="FACULTAD DE MEDICINA"/>
    <s v="https://ProfPlanta2024.sawtoothsoftware.com/cgi-bin/ciwweb.pl?studyname=ProfPlanta2024&amp;Correo=carlos.dominguez@unisabana.edu.co02"/>
  </r>
  <r>
    <s v="carlos.dominguez@unisabana.edu.co"/>
    <s v="carlos.dominguez@unisabana.edu.co1"/>
    <s v="MEDICINA"/>
    <x v="4"/>
    <x v="1"/>
    <x v="1"/>
    <s v="Incompleta"/>
    <s v="Pregrado"/>
    <s v="FACULTAD DE MEDICINA"/>
    <s v="https://ProfPlanta2024.sawtoothsoftware.com/cgi-bin/ciwweb.pl?studyname=ProfPlanta2024&amp;Correo=carlos.dominguez@unisabana.edu.co1"/>
  </r>
  <r>
    <s v="carlos.dominguez2@unisabana.edu.co"/>
    <s v="carlos.dominguez2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carlos.dominguez2@unisabana.edu.co1"/>
  </r>
  <r>
    <s v="carlos.gutierrez6@unisabana.edu.co"/>
    <s v="carlos.gutierrez6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carlos.gutierrez6@unisabana.edu.co1"/>
  </r>
  <r>
    <s v="carlos.jimenez@unisabana.edu.co"/>
    <s v="carlos.jimenez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arlos.jimenez@unisabana.edu.co01"/>
  </r>
  <r>
    <s v="carlos.jimenez@unisabana.edu.co"/>
    <s v="carlos.jimenez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carlos.jimenez@unisabana.edu.co1"/>
  </r>
  <r>
    <s v="carlos.jimenez@unisabana.edu.co"/>
    <s v="carlos.jimenez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carlos.jimenez@unisabana.edu.co2"/>
  </r>
  <r>
    <s v="carlos.jimenez3@unisabana.edu.co"/>
    <s v="carlos.jimenez3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carlos.jimenez3@unisabana.edu.co1"/>
  </r>
  <r>
    <s v="carlos.mera@unisabana.edu.co"/>
    <s v="carlos.mera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carlos.mera@unisabana.edu.co1"/>
  </r>
  <r>
    <s v="carlos.monroy@unisabana.edu.co"/>
    <s v="carlos.monroy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carlos.monroy@unisabana.edu.co02"/>
  </r>
  <r>
    <s v="carlos.monroy@unisabana.edu.co"/>
    <s v="carlos.monroy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los.monroy@unisabana.edu.co1"/>
  </r>
  <r>
    <s v="carlos.montes1@unisabana.edu.co"/>
    <s v="carlos.montes1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carlos.montes1@unisabana.edu.co01"/>
  </r>
  <r>
    <s v="carlos.montes1@unisabana.edu.co"/>
    <s v="carlos.montes1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carlos.montes1@unisabana.edu.co1"/>
  </r>
  <r>
    <s v="carlos.quintero5@unisabana.edu.co"/>
    <s v="Carlos.Quintero5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Carlos.Quintero5@unisabana.edu.co01"/>
  </r>
  <r>
    <s v="carlos.rodriguez13@unisabana.edu.co"/>
    <s v="carlos.rodriguez13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carlos.rodriguez13@unisabana.edu.co01"/>
  </r>
  <r>
    <s v="carlos.rodriguez13@unisabana.edu.co"/>
    <s v="carlos.rodriguez13@unisabana.edu.co1"/>
    <s v="COMUNICACIï¿½N CORPORATIVA"/>
    <x v="43"/>
    <x v="1"/>
    <x v="1"/>
    <s v="Incompleta"/>
    <s v="Pregrado"/>
    <s v="FACULTAD DE COMUNICACIÓN"/>
    <s v="https://ProfPlanta2024.sawtoothsoftware.com/cgi-bin/ciwweb.pl?studyname=ProfPlanta2024&amp;Correo=carlos.rodriguez13@unisabana.edu.co1"/>
  </r>
  <r>
    <s v="carlos.salgado2@unisabana.edu.co"/>
    <s v="carlos.salgado2@unisabana.edu.co01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carlos.salgado2@unisabana.edu.co01"/>
  </r>
  <r>
    <s v="carlos.salgado2@unisabana.edu.co"/>
    <s v="carlos.salgado2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carlos.salgado2@unisabana.edu.co1"/>
  </r>
  <r>
    <s v="carloscp@unisabana.edu.co"/>
    <s v="carloscp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carloscp@unisabana.edu.co01"/>
  </r>
  <r>
    <s v="carloscp@unisabana.edu.co"/>
    <s v="carloscp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loscp@unisabana.edu.co1"/>
  </r>
  <r>
    <s v="carlosveme@unisabana.edu.co"/>
    <s v="carlosveme@unisabana.edu.co01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carlosveme@unisabana.edu.co01"/>
  </r>
  <r>
    <s v="carol.vanegas@unisabana.edu.co"/>
    <s v="carol.vanegas@unisabana.edu.co01"/>
    <s v="ESPECIALIZACIï¿½N EN GERENCIA COMERCIAL - CHIA"/>
    <x v="95"/>
    <x v="1"/>
    <x v="0"/>
    <s v="Incompleta"/>
    <s v="Posgrado"/>
    <s v="INSTITUTO FORUM"/>
    <s v="https://ProfPlanta2024.sawtoothsoftware.com/cgi-bin/ciwweb.pl?studyname=ProfPlanta2024&amp;Correo=carol.vanegas@unisabana.edu.co01"/>
  </r>
  <r>
    <s v="carol.vanegas@unisabana.edu.co"/>
    <s v="carol.vanegas@unisabana.edu.co02"/>
    <s v="ESPECIALIZACIï¿½N EN GERENCIA COMERCIAL VIRTUAL"/>
    <x v="6"/>
    <x v="1"/>
    <x v="1"/>
    <s v="Incompleta"/>
    <s v="Posgrado"/>
    <s v="INSTITUTO FORUM"/>
    <s v="https://ProfPlanta2024.sawtoothsoftware.com/cgi-bin/ciwweb.pl?studyname=ProfPlanta2024&amp;Correo=carol.vanegas@unisabana.edu.co02"/>
  </r>
  <r>
    <s v="carol.vanegas@unisabana.edu.co"/>
    <s v="carol.vanegas@unisabana.edu.co03"/>
    <s v="ESPECIALIZACIï¿½N EN GERENCIA ESTRATï¿½GICA DE MARCA  - CHIA"/>
    <x v="118"/>
    <x v="1"/>
    <x v="0"/>
    <s v="Incompleta"/>
    <s v="Posgrado"/>
    <s v="INSTITUTO FORUM"/>
    <s v="https://ProfPlanta2024.sawtoothsoftware.com/cgi-bin/ciwweb.pl?studyname=ProfPlanta2024&amp;Correo=carol.vanegas@unisabana.edu.co03"/>
  </r>
  <r>
    <s v="carolina.plat1@unisabana.edu.co"/>
    <s v="carolina.plat1@unisabana.edu.co07"/>
    <s v="MAESTRÃA EN PSICOLOGÃA CLINICA DE LA NIÃ‘EZ Y LA ADOLESCENCIA"/>
    <x v="120"/>
    <x v="1"/>
    <x v="1"/>
    <s v="Incompleta"/>
    <s v="Posgrado"/>
    <s v="FACULTAD DE PSICOLOGÍA"/>
    <s v="https://ProfPlanta2024.sawtoothsoftware.com/cgi-bin/ciwweb.pl?studyname=ProfPlanta2024&amp;Correo=carolina.plat1@unisabana.edu.co07"/>
  </r>
  <r>
    <s v="carolina.plata1@unisabana.edu.co"/>
    <s v="carolina.plata1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olina.plata1@unisabana.edu.co1"/>
  </r>
  <r>
    <s v="catalina.bermudez2@unisabana.edu.co"/>
    <s v="catalina.bermudez2@unisabana.edu.co01"/>
    <s v="MAESTRï¿½A EN TEOLOGï¿½A - CHï¿½A"/>
    <x v="45"/>
    <x v="1"/>
    <x v="0"/>
    <s v="Completa"/>
    <s v="Posgrado"/>
    <s v="FACULTAD DE FILOSOFÍA Y CIENCIAS HUMANAS"/>
    <s v="https://ProfPlanta2024.sawtoothsoftware.com/cgi-bin/ciwweb.pl?studyname=ProfPlanta2024&amp;Correo=catalina.bermudez2@unisabana.edu.co01"/>
  </r>
  <r>
    <s v="cesar.bernal@unisabana.edu.co"/>
    <s v="cesar.bernal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1"/>
  </r>
  <r>
    <s v="cesar.bernal@unisabana.edu.co"/>
    <s v="cesar.bernal@unisabana.edu.co02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2"/>
  </r>
  <r>
    <s v="cesar.bernal@unisabana.edu.co"/>
    <s v="cesar.bernal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cesar.bernal@unisabana.edu.co1"/>
  </r>
  <r>
    <s v="cesar.nino@unisabana.edu.co"/>
    <s v="cesar.nin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cesar.nino@unisabana.edu.co1"/>
  </r>
  <r>
    <s v="christian.morales@unisabana.edu.co"/>
    <s v="christian.morales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hristian.morales@unisabana.edu.co1"/>
  </r>
  <r>
    <s v="ciro.parra@unisabana.edu.co"/>
    <s v="ciro.parra@unisabana.edu.co01"/>
    <s v="DOCTORADO EN EDUCACIï¿½N"/>
    <x v="138"/>
    <x v="1"/>
    <x v="1"/>
    <s v="Incompleta"/>
    <s v="Posgrado"/>
    <s v="FACULTAD DE EDUCACIÓN"/>
    <s v="https://ProfPlanta2024.sawtoothsoftware.com/cgi-bin/ciwweb.pl?studyname=ProfPlanta2024&amp;Correo=ciro.parra@unisabana.edu.co01"/>
  </r>
  <r>
    <s v="ciro.parra@unisabana.edu.co"/>
    <s v="ciro.parra@unisabana.edu.co02"/>
    <s v="MAESTRï¿½A EN EDUCACIï¿½N"/>
    <x v="130"/>
    <x v="1"/>
    <x v="1"/>
    <s v="Incompleta"/>
    <s v="Posgrado"/>
    <s v="FACULTAD DE EDUCACIÓN"/>
    <s v="https://ProfPlanta2024.sawtoothsoftware.com/cgi-bin/ciwweb.pl?studyname=ProfPlanta2024&amp;Correo=ciro.parra@unisabana.edu.co02"/>
  </r>
  <r>
    <s v="claudia.acero@unisabana.edu.co"/>
    <s v="claudia.acer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laudia.acero@unisabana.edu.co1"/>
  </r>
  <r>
    <s v="claudia.garzon@unisabana.edu.co"/>
    <s v="claudia.garzon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claudia.garzon@unisabana.edu.co01"/>
  </r>
  <r>
    <s v="claudia.garzon@unisabana.edu.co"/>
    <s v="claudia.garzon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laudia.garzon@unisabana.edu.co02"/>
  </r>
  <r>
    <s v="claudia.garzon@unisabana.edu.co"/>
    <s v="claudia.garzon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claudia.garzon@unisabana.edu.co1"/>
  </r>
  <r>
    <s v="claudia.jaimes2@unisabana.edu.co"/>
    <s v="claudia.jaimes2@unisabana.edu.co1"/>
    <s v="MEDICINA"/>
    <x v="4"/>
    <x v="1"/>
    <x v="0"/>
    <s v="Completa"/>
    <s v="Pregrado"/>
    <s v="FACULTAD DE MEDICINA"/>
    <s v="https://ProfPlanta2024.sawtoothsoftware.com/cgi-bin/ciwweb.pl?studyname=ProfPlanta2024&amp;Correo=claudia.jaimes2@unisabana.edu.co1"/>
  </r>
  <r>
    <s v="claudia.mora@unisabana.edu.co"/>
    <s v="claudia.mora@unisabana.edu.co01"/>
    <s v="ESPECIALIZACIï¿½N EN MEDICINA INTERNA"/>
    <x v="135"/>
    <x v="1"/>
    <x v="0"/>
    <s v="Completa"/>
    <s v="Posgrado"/>
    <s v="FACULTAD DE MEDICINA"/>
    <s v="https://ProfPlanta2024.sawtoothsoftware.com/cgi-bin/ciwweb.pl?studyname=ProfPlanta2024&amp;Correo=claudia.mora@unisabana.edu.co01"/>
  </r>
  <r>
    <s v="claudia.mora@unisabana.edu.co"/>
    <s v="claudia.mora@unisabana.edu.co1"/>
    <s v="MEDICINA"/>
    <x v="4"/>
    <x v="1"/>
    <x v="0"/>
    <s v="Completa"/>
    <s v="Pregrado"/>
    <s v="FACULTAD DE MEDICINA"/>
    <s v="https://ProfPlanta2024.sawtoothsoftware.com/cgi-bin/ciwweb.pl?studyname=ProfPlanta2024&amp;Correo=claudia.mora@unisabana.edu.co1"/>
  </r>
  <r>
    <s v="clelia.pineda@unisabana.edu.co"/>
    <s v="clelia.pineda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clelia.pineda@unisabana.edu.co01"/>
  </r>
  <r>
    <s v="cristhian.matusan@unisabana.edu.co"/>
    <s v="cristhian.matusan@unisabana.edu.co01"/>
    <s v="ESPECIALIZACIï¿½N EN RESPONSABILIDAD CIVIL Y DEL ESTADO - CHï¿½A"/>
    <x v="5"/>
    <x v="1"/>
    <x v="1"/>
    <s v="Incompleta"/>
    <s v="Posgrado"/>
    <s v="FACULTAD DE DERECHO Y CIENCIAS POLÍTICAS"/>
    <s v="https://ProfPlanta2024.sawtoothsoftware.com/cgi-bin/ciwweb.pl?studyname=ProfPlanta2024&amp;Correo=cristhian.matusan@unisabana.edu.co01"/>
  </r>
  <r>
    <s v="cristhian.matusan@unisabana.edu.co"/>
    <s v="cristhian.matusan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risthian.matusan@unisabana.edu.co1"/>
  </r>
  <r>
    <s v="cristian.conen@unisabana.edu.co"/>
    <s v="cristian.conen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cristian.conen@unisabana.edu.co1"/>
  </r>
  <r>
    <s v="cristian.penagos@unisabana.edu.co"/>
    <s v="cristian.penagos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cristian.penagos@unisabana.edu.co1"/>
  </r>
  <r>
    <s v="cristian.rojas@unisabana.edu.co"/>
    <s v="cristian.rojas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cristian.rojas@unisabana.edu.co1"/>
  </r>
  <r>
    <s v="cristina.bohorquez1@unisabana.edu.co"/>
    <s v="cristina.bohorquez1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cristina.bohorquez1@unisabana.edu.co01"/>
  </r>
  <r>
    <s v="cristina.bohorquez1@unisabana.edu.co"/>
    <s v="cristina.bohorquez1@unisabana.edu.co02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cristina.bohorquez1@unisabana.edu.co02"/>
  </r>
  <r>
    <s v="cristina.bohorquez1@unisabana.edu.co"/>
    <s v="cristina.bohorquez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cristina.bohorquez1@unisabana.edu.co1"/>
  </r>
  <r>
    <s v="cristinarp@unisabana.edu.co"/>
    <s v="CristinaRP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ristinaRP@unisabana.edu.co1"/>
  </r>
  <r>
    <s v="daniel.botero@unisabana.edu.co"/>
    <s v="daniel.botero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daniel.botero@unisabana.edu.co01"/>
  </r>
  <r>
    <s v="daniel.botero@unisabana.edu.co"/>
    <s v="daniel.botero@unisabana.edu.co1"/>
    <s v="MEDICINA"/>
    <x v="4"/>
    <x v="1"/>
    <x v="0"/>
    <s v="Completa"/>
    <s v="Pregrado"/>
    <s v="FACULTAD DE MEDICINA"/>
    <s v="https://ProfPlanta2024.sawtoothsoftware.com/cgi-bin/ciwweb.pl?studyname=ProfPlanta2024&amp;Correo=daniel.botero@unisabana.edu.co1"/>
  </r>
  <r>
    <s v="daniel.gomez4@unisabana.edu.co"/>
    <s v="daniel.gomez4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daniel.gomez4@unisabana.edu.co1"/>
  </r>
  <r>
    <s v="daniel.morales@unisabana.edu.co"/>
    <s v="daniel.morales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daniel.morales@unisabana.edu.co1"/>
  </r>
  <r>
    <s v="daniel.rodriguez1@unisabana.edu.co"/>
    <s v="daniel.rodrigu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daniel.rodriguez1@unisabana.edu.co01"/>
  </r>
  <r>
    <s v="daniel.rodriguez1@unisabana.edu.co"/>
    <s v="daniel.rodriguez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aniel.rodriguez1@unisabana.edu.co1"/>
  </r>
  <r>
    <s v="daniela.henao1@unisabana.edu.co"/>
    <s v="daniela.henao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daniela.henao1@unisabana.edu.co1"/>
  </r>
  <r>
    <s v="danny.illera@unisabana.edu.co"/>
    <s v="danny.illera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danny.illera@unisabana.edu.co01"/>
  </r>
  <r>
    <s v="danny.illera@unisabana.edu.co"/>
    <s v="danny.iller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danny.illera@unisabana.edu.co1"/>
  </r>
  <r>
    <s v="david.celeita@unisabana.edu.co"/>
    <s v="david.celeit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david.celeita@unisabana.edu.co1"/>
  </r>
  <r>
    <s v="diana.bedoya1@unisabana.edu.co"/>
    <s v="diana.bedoya1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diana.bedoya1@unisabana.edu.co01"/>
  </r>
  <r>
    <s v="diana.duran2@unisabana.edu.co"/>
    <s v="diana.duran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diana.duran2@unisabana.edu.co1"/>
  </r>
  <r>
    <s v="diana.gallego@unisabana.edu.co"/>
    <s v="diana.galleg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diana.gallego@unisabana.edu.co01"/>
  </r>
  <r>
    <s v="diana.gallego@unisabana.edu.co"/>
    <s v="diana.galleg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diana.gallego@unisabana.edu.co1"/>
  </r>
  <r>
    <s v="diana.gomez21@unisabana.edu.co"/>
    <s v="diana.gomez21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diana.gomez21@unisabana.edu.co1"/>
  </r>
  <r>
    <s v="diana.munoz5@unisabana.edu.co"/>
    <s v="diana.munoz5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diana.munoz5@unisabana.edu.co01"/>
  </r>
  <r>
    <s v="diana.obando@unisabana.edu.co"/>
    <s v="diana.obando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diana.obando@unisabana.edu.co01"/>
  </r>
  <r>
    <s v="diana.obando1@unisabana.edu.co"/>
    <s v="diana.obando1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diana.obando1@unisabana.edu.co07"/>
  </r>
  <r>
    <s v="dianaar@unisabana.edu.co"/>
    <s v="dianaar@unisabana.edu.co01"/>
    <s v="MAESTRï¿½A EN FISIOTERAPIA"/>
    <x v="121"/>
    <x v="1"/>
    <x v="0"/>
    <s v="Completa"/>
    <s v="Posgrado"/>
    <s v="FACULTAD DE ENFERMERÍA Y REHABILITACIÓN"/>
    <s v="https://ProfPlanta2024.sawtoothsoftware.com/cgi-bin/ciwweb.pl?studyname=ProfPlanta2024&amp;Correo=dianaar@unisabana.edu.co01"/>
  </r>
  <r>
    <s v="dianaar@unisabana.edu.co"/>
    <s v="dianaar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dianaar@unisabana.edu.co02"/>
  </r>
  <r>
    <s v="dianaar@unisabana.edu.co"/>
    <s v="dianaar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dianaar@unisabana.edu.co1"/>
  </r>
  <r>
    <s v="diego.aldana@unisabana.edu.co"/>
    <s v="diego.aldana@unisabana.edu.co1"/>
    <s v="MEDICINA"/>
    <x v="4"/>
    <x v="1"/>
    <x v="0"/>
    <s v="Completa"/>
    <s v="Pregrado"/>
    <s v="FACULTAD DE MEDICINA"/>
    <s v="https://ProfPlanta2024.sawtoothsoftware.com/cgi-bin/ciwweb.pl?studyname=ProfPlanta2024&amp;Correo=diego.aldana@unisabana.edu.co1"/>
  </r>
  <r>
    <s v="diego.becerra2@unisabana.edu.co"/>
    <s v="diego.becerra2@unisabana.edu.co01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diego.becerra2@unisabana.edu.co01"/>
  </r>
  <r>
    <s v="diego.becerra2@unisabana.edu.co"/>
    <s v="diego.becerra2@unisabana.edu.co02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diego.becerra2@unisabana.edu.co02"/>
  </r>
  <r>
    <s v="diego.becerra2@unisabana.edu.co"/>
    <s v="diego.becerra2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diego.becerra2@unisabana.edu.co1"/>
  </r>
  <r>
    <s v="diego.carvajal1@unisabana.edu.co"/>
    <s v="diego.carvajal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carvajal1@unisabana.edu.co1"/>
  </r>
  <r>
    <s v="diego.duarte1@unisabana.edu.co"/>
    <s v="diego.duarte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duarte1@unisabana.edu.co1"/>
  </r>
  <r>
    <s v="diego.josa1@unisabana.edu.co"/>
    <s v="diego.josa1@unisabana.edu.co1"/>
    <s v="MEDICINA"/>
    <x v="4"/>
    <x v="1"/>
    <x v="0"/>
    <s v="Completa"/>
    <s v="Pregrado"/>
    <s v="FACULTAD DE MEDICINA"/>
    <s v="https://ProfPlanta2024.sawtoothsoftware.com/cgi-bin/ciwweb.pl?studyname=ProfPlanta2024&amp;Correo=diego.josa1@unisabana.edu.co1"/>
  </r>
  <r>
    <s v="diego.rodriguez3@unisabana.edu.co"/>
    <s v="diego.rodriguez3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diego.rodriguez3@unisabana.edu.co1"/>
  </r>
  <r>
    <s v="diego.rodriguez3@unisabana.edu.co"/>
    <s v="diego.rodriguez3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diego.rodriguez3@unisabana.edu.co2"/>
  </r>
  <r>
    <s v="diego.sandoval@unisabana.edu.co"/>
    <s v="diego.sandoval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sandoval@unisabana.edu.co1"/>
  </r>
  <r>
    <s v="diego.sierra1@clinicaunisabana.edu.co"/>
    <s v="diego.sierra1@clinica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diego.sierra1@clinicaunisabana.edu.co01"/>
  </r>
  <r>
    <s v="diego.sierra1@clinicaunisabana.edu.co"/>
    <s v="diego.sierra1@clinicaunisabana.edu.co1"/>
    <s v="MEDICINA"/>
    <x v="4"/>
    <x v="1"/>
    <x v="1"/>
    <s v="Incompleta"/>
    <s v="Pregrado"/>
    <s v="FACULTAD DE MEDICINA"/>
    <s v="https://ProfPlanta2024.sawtoothsoftware.com/cgi-bin/ciwweb.pl?studyname=ProfPlanta2024&amp;Correo=diego.sierra1@clinicaunisabana.edu.co1"/>
  </r>
  <r>
    <s v="edgar.lizcano@unisabana.edu.co"/>
    <s v="edgar.lizcano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edgar.lizcano@unisabana.edu.co1"/>
  </r>
  <r>
    <s v="edgar.mayorga@unisabana.edu.co"/>
    <s v="edgar.mayorg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edgar.mayorga@unisabana.edu.co01"/>
  </r>
  <r>
    <s v="edgar.mayorga@unisabana.edu.co"/>
    <s v="edgar.mayorg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edgar.mayorga@unisabana.edu.co1"/>
  </r>
  <r>
    <s v="edgar.riveros@unisabana.edu.co"/>
    <s v="edgar.riveros@unisabana.edu.co07"/>
    <s v="MAESTRÃA EN PSICOLOGÃA CLINICA DE LA NIÃ‘EZ Y LA ADOLESCENCIA"/>
    <x v="120"/>
    <x v="1"/>
    <x v="0"/>
    <s v="Completa"/>
    <s v="Posgrado"/>
    <s v="FACULTAD DE PSICOLOGÍA"/>
    <s v="https://ProfPlanta2024.sawtoothsoftware.com/cgi-bin/ciwweb.pl?studyname=ProfPlanta2024&amp;Correo=edgar.riveros@unisabana.edu.co07"/>
  </r>
  <r>
    <s v="edgar.riveros@unisabana.edu.co"/>
    <s v="edgar.riveros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edgar.riveros@unisabana.edu.co1"/>
  </r>
  <r>
    <s v="edilberto.garcia1@unisabana.edu.co"/>
    <s v="edilberto.garcia1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edilberto.garcia1@unisabana.edu.co1"/>
  </r>
  <r>
    <s v="edward.acero@unisabana.edu.co"/>
    <s v="edward.acero@unisabana.edu.co1"/>
    <s v="MEDICINA"/>
    <x v="4"/>
    <x v="1"/>
    <x v="0"/>
    <s v="Completa"/>
    <s v="Pregrado"/>
    <s v="FACULTAD DE MEDICINA"/>
    <s v="https://ProfPlanta2024.sawtoothsoftware.com/cgi-bin/ciwweb.pl?studyname=ProfPlanta2024&amp;Correo=edward.acero@unisabana.edu.co1"/>
  </r>
  <r>
    <s v="edward.goyeneche@unisabana.edu.co"/>
    <s v="edward.goyeneche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edward.goyeneche@unisabana.edu.co01"/>
  </r>
  <r>
    <s v="edward.goyeneche@unisabana.edu.co"/>
    <s v="edward.goyeneche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edward.goyeneche@unisabana.edu.co1"/>
  </r>
  <r>
    <s v="edwinchp@unisabana.edu.co"/>
    <s v="edwinchp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edwinchp@unisabana.edu.co1"/>
  </r>
  <r>
    <s v="elga.vargas@unisabana.edu.co"/>
    <s v="elga.vargas@unisabana.edu.co1"/>
    <s v="MEDICINA"/>
    <x v="4"/>
    <x v="1"/>
    <x v="0"/>
    <s v="Completa"/>
    <s v="Pregrado"/>
    <s v="FACULTAD DE MEDICINA"/>
    <s v="https://ProfPlanta2024.sawtoothsoftware.com/cgi-bin/ciwweb.pl?studyname=ProfPlanta2024&amp;Correo=elga.vargas@unisabana.edu.co1"/>
  </r>
  <r>
    <s v="erick.vilaro@unisabana.edu.co"/>
    <s v="erick.vilaro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erick.vilaro@unisabana.edu.co1"/>
  </r>
  <r>
    <s v="erika.duque@unisabana.edu.co"/>
    <s v="erika.duque@unisabana.edu.co1"/>
    <s v="CENTRO DE TECNOLOGï¿½AS PARA LA ACADEMIA"/>
    <x v="87"/>
    <x v="1"/>
    <x v="0"/>
    <s v="Completa"/>
    <s v="Pregrado"/>
    <s v="CENTRO DE TECNOLOGÍAS PARA LA ACADEMIA"/>
    <s v="https://ProfPlanta2024.sawtoothsoftware.com/cgi-bin/ciwweb.pl?studyname=ProfPlanta2024&amp;Correo=erika.duque@unisabana.edu.co1"/>
  </r>
  <r>
    <s v="erlyn.solano@unisabana.edu.co"/>
    <s v="erlyn.solano@unisabana.edu.co1"/>
    <s v="GESTIï¿½N DE OPERACIONES"/>
    <x v="96"/>
    <x v="1"/>
    <x v="0"/>
    <s v="Completa"/>
    <s v="Pregrado"/>
    <s v="ESCUELA INTERNACIONAL DE CIENCIAS ECONÓMICAS Y ADMINISTRATIVAS"/>
    <s v="https://ProfPlanta2024.sawtoothsoftware.com/cgi-bin/ciwweb.pl?studyname=ProfPlanta2024&amp;Correo=erlyn.solano@unisabana.edu.co1"/>
  </r>
  <r>
    <s v="erwin.hernandez1@unisabana.edu.co"/>
    <s v="erwin.hernandez1@unisabana.edu.co01"/>
    <s v="MAESTRï¿½A EN SALUD Pï¿½BLICA"/>
    <x v="70"/>
    <x v="1"/>
    <x v="0"/>
    <s v="Completa"/>
    <s v="Posgrado"/>
    <s v="FACULTAD DE MEDICINA"/>
    <s v="https://ProfPlanta2024.sawtoothsoftware.com/cgi-bin/ciwweb.pl?studyname=ProfPlanta2024&amp;Correo=erwin.hernandez1@unisabana.edu.co01"/>
  </r>
  <r>
    <s v="erwin.hernandez1@unisabana.edu.co"/>
    <s v="erwin.hernandez1@unisabana.edu.co1"/>
    <s v="MEDICINA"/>
    <x v="4"/>
    <x v="1"/>
    <x v="0"/>
    <s v="Completa"/>
    <s v="Pregrado"/>
    <s v="FACULTAD DE MEDICINA"/>
    <s v="https://ProfPlanta2024.sawtoothsoftware.com/cgi-bin/ciwweb.pl?studyname=ProfPlanta2024&amp;Correo=erwin.hernandez1@unisabana.edu.co1"/>
  </r>
  <r>
    <s v="esteban.lopez1@unisabana.edu.co"/>
    <s v="esteban.lop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esteban.lopez1@unisabana.edu.co01"/>
  </r>
  <r>
    <s v="esteban.lopez1@unisabana.edu.co"/>
    <s v="esteban.lopez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esteban.lopez1@unisabana.edu.co1"/>
  </r>
  <r>
    <s v="estefania.losada@unisabana.edu.co"/>
    <s v="estefania.losada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estefania.losada@unisabana.edu.co1"/>
  </r>
  <r>
    <s v="fabio.victorino1@unisabana.edu.co"/>
    <s v="fabio.victorino1@unisabana.edu.co01"/>
    <s v="ESPECIALIZACIï¿½N EN FINANZAS CORPORATIVAS - CHï¿½A"/>
    <x v="74"/>
    <x v="1"/>
    <x v="0"/>
    <s v="Completa"/>
    <s v="Posgrado"/>
    <s v="INSTITUTO FORUM"/>
    <s v="https://ProfPlanta2024.sawtoothsoftware.com/cgi-bin/ciwweb.pl?studyname=ProfPlanta2024&amp;Correo=fabio.victorino1@unisabana.edu.co01"/>
  </r>
  <r>
    <s v="fabio.victorino1@unisabana.edu.co"/>
    <s v="fabio.victorino1@unisabana.edu.co02"/>
    <s v="ESPECIALIZACIï¿½N EN GERENCIA FINANCIERA INTERNACIONAL - CHIA"/>
    <x v="75"/>
    <x v="1"/>
    <x v="0"/>
    <s v="Completa"/>
    <s v="Posgrado"/>
    <s v="INSTITUTO FORUM"/>
    <s v="https://ProfPlanta2024.sawtoothsoftware.com/cgi-bin/ciwweb.pl?studyname=ProfPlanta2024&amp;Correo=fabio.victorino1@unisabana.edu.co02"/>
  </r>
  <r>
    <s v="fanny.almenarez@unisabana.edu.co"/>
    <s v="fanny.almenarez@unisabana.edu.co1"/>
    <s v="CENTRO DE TECNOLOGï¿½AS PARA LA ACADEMIA"/>
    <x v="87"/>
    <x v="1"/>
    <x v="1"/>
    <s v="Incompleta"/>
    <s v="Pregrado"/>
    <s v="CENTRO DE TECNOLOGÍAS PARA LA ACADEMIA"/>
    <s v="https://ProfPlanta2024.sawtoothsoftware.com/cgi-bin/ciwweb.pl?studyname=ProfPlanta2024&amp;Correo=fanny.almenarez@unisabana.edu.co1"/>
  </r>
  <r>
    <s v="felipe.cardenas@unisabana.edu.co"/>
    <s v="felipe.cardenas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felipe.cardenas@unisabana.edu.co01"/>
  </r>
  <r>
    <s v="felipe.cardenas@unisabana.edu.co"/>
    <s v="felipe.cardenas@unisabana.edu.co02"/>
    <s v="MAESTRï¿½A EN EDUCACIï¿½N"/>
    <x v="130"/>
    <x v="1"/>
    <x v="1"/>
    <s v="Incompleta"/>
    <s v="Posgrado"/>
    <s v="FACULTAD DE EDUCACIÓN"/>
    <s v="https://ProfPlanta2024.sawtoothsoftware.com/cgi-bin/ciwweb.pl?studyname=ProfPlanta2024&amp;Correo=felipe.cardenas@unisabana.edu.co02"/>
  </r>
  <r>
    <s v="felipe.cardenas@unisabana.edu.co"/>
    <s v="felipe.cardenas@unisabana.edu.co03"/>
    <s v="MAESTRï¿½A EN INNOVACIï¿½N EDUCATIVA MEDIADA POR TIC"/>
    <x v="124"/>
    <x v="1"/>
    <x v="1"/>
    <s v="Incompleta"/>
    <s v="Posgrado"/>
    <s v="FACULTAD DE EDUCACIÓN"/>
    <s v="https://ProfPlanta2024.sawtoothsoftware.com/cgi-bin/ciwweb.pl?studyname=ProfPlanta2024&amp;Correo=felipe.cardenas@unisabana.edu.co03"/>
  </r>
  <r>
    <s v="felipe.cardenas@unisabana.edu.co"/>
    <s v="felipe.cardenas@unisabana.edu.co04"/>
    <s v="MAESTRï¿½A EN PEDAGOGï¿½A"/>
    <x v="30"/>
    <x v="1"/>
    <x v="1"/>
    <s v="Incompleta"/>
    <s v="Posgrado"/>
    <s v="FACULTAD DE EDUCACIÓN"/>
    <s v="https://ProfPlanta2024.sawtoothsoftware.com/cgi-bin/ciwweb.pl?studyname=ProfPlanta2024&amp;Correo=felipe.cardenas@unisabana.edu.co04"/>
  </r>
  <r>
    <s v="felipe.cardenas@unisabana.edu.co"/>
    <s v="felipe.cardenas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felipe.cardenas@unisabana.edu.co1"/>
  </r>
  <r>
    <s v="felipe.castilla1@unisabana.edu.co"/>
    <s v="felipe.castilla1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felipe.castilla1@unisabana.edu.co1"/>
  </r>
  <r>
    <s v="felix.mohr@unisabana.edu.co"/>
    <s v="felix.mohr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felix.mohr@unisabana.edu.co01"/>
  </r>
  <r>
    <s v="felix.mohr@unisabana.edu.co"/>
    <s v="felix.mohr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felix.mohr@unisabana.edu.co1"/>
  </r>
  <r>
    <s v="fernando.cvitanic@unisabana.edu.co"/>
    <s v="fernando.cvitanic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fernando.cvitanic@unisabana.edu.co1"/>
  </r>
  <r>
    <s v="fernando.cvitanic@unisabana.edu.co"/>
    <s v="fernando.cvitanic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fernando.cvitanic@unisabana.edu.co2"/>
  </r>
  <r>
    <s v="fernando.cvitanic@unisabana.edu.co"/>
    <s v="fernando.cvitanic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fernando.cvitanic@unisabana.edu.co3"/>
  </r>
  <r>
    <s v="fernando.lizcano@unisabana.edu.co"/>
    <s v="fernando.lizcan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fernando.lizcano@unisabana.edu.co01"/>
  </r>
  <r>
    <s v="fernando.lizcano@unisabana.edu.co"/>
    <s v="fernando.lizcano@unisabana.edu.co1"/>
    <s v="MEDICINA"/>
    <x v="4"/>
    <x v="1"/>
    <x v="0"/>
    <s v="Completa"/>
    <s v="Pregrado"/>
    <s v="FACULTAD DE MEDICINA"/>
    <s v="https://ProfPlanta2024.sawtoothsoftware.com/cgi-bin/ciwweb.pl?studyname=ProfPlanta2024&amp;Correo=fernando.lizcano@unisabana.edu.co1"/>
  </r>
  <r>
    <s v="fernando.rios@unisabana.edu.co"/>
    <s v="fernando.rios@unisabana.edu.co01"/>
    <s v="ESPECIALIZACIï¿½N EN ANESTESIOLOGï¿½A Y MEDICINA PERIOPERATORIA"/>
    <x v="142"/>
    <x v="1"/>
    <x v="0"/>
    <s v="Completa"/>
    <s v="Posgrado"/>
    <s v="FACULTAD DE MEDICINA"/>
    <s v="https://ProfPlanta2024.sawtoothsoftware.com/cgi-bin/ciwweb.pl?studyname=ProfPlanta2024&amp;Correo=fernando.rios@unisabana.edu.co01"/>
  </r>
  <r>
    <s v="fernando.rios@unisabana.edu.co"/>
    <s v="fernando.rios@unisabana.edu.co1"/>
    <s v="MEDICINA"/>
    <x v="4"/>
    <x v="1"/>
    <x v="0"/>
    <s v="Completa"/>
    <s v="Pregrado"/>
    <s v="FACULTAD DE MEDICINA"/>
    <s v="https://ProfPlanta2024.sawtoothsoftware.com/cgi-bin/ciwweb.pl?studyname=ProfPlanta2024&amp;Correo=fernando.rios@unisabana.edu.co1"/>
  </r>
  <r>
    <s v="flor.baracaldo@unisabana.edu.co"/>
    <s v="flor.baracaldo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flor.baracaldo@unisabana.edu.co02"/>
  </r>
  <r>
    <s v="flor.baracaldo@unisabana.edu.co"/>
    <s v="flor.baracald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flor.baracaldo@unisabana.edu.co1"/>
  </r>
  <r>
    <s v="francisco.lamus@unisabana.edu.co"/>
    <s v="francisco.lamus@unisabana.edu.co01"/>
    <s v="MAESTRï¿½A EN SALUD Pï¿½BLICA"/>
    <x v="70"/>
    <x v="1"/>
    <x v="1"/>
    <s v="Incompleta"/>
    <s v="Posgrado"/>
    <s v="FACULTAD DE MEDICINA"/>
    <s v="https://ProfPlanta2024.sawtoothsoftware.com/cgi-bin/ciwweb.pl?studyname=ProfPlanta2024&amp;Correo=francisco.lamus@unisabana.edu.co01"/>
  </r>
  <r>
    <s v="gabriel.soche@unisabana.edu.co"/>
    <s v="gabriel.soche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gabriel.soche@unisabana.edu.co01"/>
  </r>
  <r>
    <s v="gabriel.soche@unisabana.edu.co"/>
    <s v="gabriel.soche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gabriel.soche@unisabana.edu.co1"/>
  </r>
  <r>
    <s v="gabriela.caez@unisabana.edu.co"/>
    <s v="gabriela.caez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gabriela.caez@unisabana.edu.co01"/>
  </r>
  <r>
    <s v="gabriela.caez@unisabana.edu.co"/>
    <s v="gabriela.caez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gabriela.caez@unisabana.edu.co1"/>
  </r>
  <r>
    <s v="gabriela.caez@unisabana.edu.co"/>
    <s v="gabriela.caez@unisabana.edu.co2"/>
    <s v="INGENIERï¿½A QUï¿½MICA"/>
    <x v="16"/>
    <x v="1"/>
    <x v="1"/>
    <s v="Incompleta"/>
    <s v="Pregrado"/>
    <s v="FACULTAD DE INGENIERÍA"/>
    <s v="https://ProfPlanta2024.sawtoothsoftware.com/cgi-bin/ciwweb.pl?studyname=ProfPlanta2024&amp;Correo=gabriela.caez@unisabana.edu.co2"/>
  </r>
  <r>
    <s v="gilberto.gamboa@unisabana.edu.co"/>
    <s v="gilberto.gamboa@unisabana.edu.co01"/>
    <s v="MAESTRï¿½A EN BIOï¿½TICA"/>
    <x v="143"/>
    <x v="1"/>
    <x v="0"/>
    <s v="Completa"/>
    <s v="Posgrado"/>
    <s v="FACULTAD DE MEDICINA"/>
    <s v="https://ProfPlanta2024.sawtoothsoftware.com/cgi-bin/ciwweb.pl?studyname=ProfPlanta2024&amp;Correo=gilberto.gamboa@unisabana.edu.co01"/>
  </r>
  <r>
    <s v="gilberto.gamboa@unisabana.edu.co"/>
    <s v="gilberto.gamboa@unisabana.edu.co1"/>
    <s v="MEDICINA"/>
    <x v="4"/>
    <x v="1"/>
    <x v="0"/>
    <s v="Completa"/>
    <s v="Pregrado"/>
    <s v="FACULTAD DE MEDICINA"/>
    <s v="https://ProfPlanta2024.sawtoothsoftware.com/cgi-bin/ciwweb.pl?studyname=ProfPlanta2024&amp;Correo=gilberto.gamboa@unisabana.edu.co1"/>
  </r>
  <r>
    <s v="gina.velasco@unisabana.edu.co"/>
    <s v="gina.velasc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gina.velasco@unisabana.edu.co1"/>
  </r>
  <r>
    <s v="ginnagl@unisabana.edu.co"/>
    <s v="Ginnagl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Ginnagl@unisabana.edu.co01"/>
  </r>
  <r>
    <s v="ginnagl@unisabana.edu.co"/>
    <s v="Ginnagl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Ginnagl@unisabana.edu.co1"/>
  </r>
  <r>
    <s v="giovana.rojas@unisabana.edu.co"/>
    <s v="giovana.rojas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giovana.rojas@unisabana.edu.co1"/>
  </r>
  <r>
    <s v="giovanni.hernandez@unisabana.edu.co"/>
    <s v="giovanni.hernandez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1"/>
  </r>
  <r>
    <s v="giovanni.hernandez@unisabana.edu.co"/>
    <s v="giovanni.hernandez@unisabana.edu.co02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2"/>
  </r>
  <r>
    <s v="giovanni.hernandez@unisabana.edu.co"/>
    <s v="giovanni.hernandez@unisabana.edu.co03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3"/>
  </r>
  <r>
    <s v="giovanni.hernandez@unisabana.edu.co"/>
    <s v="giovanni.hernandez@unisabana.edu.co04"/>
    <s v="MAESTRï¿½A EN GERENCIA INTERNACIONAL"/>
    <x v="37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4"/>
  </r>
  <r>
    <s v="gloria.carvajal@unisabana.edu.co"/>
    <s v="gloria.carvajal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gloria.carvajal@unisabana.edu.co01"/>
  </r>
  <r>
    <s v="gloria.carvajal@unisabana.edu.co"/>
    <s v="gloria.carvajal@unisabana.edu.co02"/>
    <s v="MAESTRï¿½A EN ENFERMERï¿½A"/>
    <x v="12"/>
    <x v="1"/>
    <x v="1"/>
    <s v="Incompleta"/>
    <s v="Posgrado"/>
    <s v="FACULTAD DE ENFERMERÍA Y REHABILITACIÓN"/>
    <s v="https://ProfPlanta2024.sawtoothsoftware.com/cgi-bin/ciwweb.pl?studyname=ProfPlanta2024&amp;Correo=gloria.carvajal@unisabana.edu.co02"/>
  </r>
  <r>
    <s v="gloria.carvajal@unisabana.edu.co"/>
    <s v="gloria.carvajal@unisabana.edu.co03"/>
    <s v="MAESTRï¿½A EN ENFERMERï¿½A - VIRTUAL"/>
    <x v="13"/>
    <x v="1"/>
    <x v="1"/>
    <s v="Incompleta"/>
    <s v="Posgrado"/>
    <s v="FACULTAD DE ENFERMERÍA Y REHABILITACIÓN"/>
    <s v="https://ProfPlanta2024.sawtoothsoftware.com/cgi-bin/ciwweb.pl?studyname=ProfPlanta2024&amp;Correo=gloria.carvajal@unisabana.edu.co03"/>
  </r>
  <r>
    <s v="gonzalo.mejia@unisabana.edu.co"/>
    <s v="gonzalo.mejia@unisabana.edu.co01"/>
    <s v="DOCTORADO EN LOGï¿½STICA Y GESTIï¿½N DE CADENAS DE SUMINISTROS"/>
    <x v="144"/>
    <x v="1"/>
    <x v="0"/>
    <s v="Completa"/>
    <s v="Posgrado"/>
    <s v="FACULTAD DE INGENIERÍA"/>
    <s v="https://ProfPlanta2024.sawtoothsoftware.com/cgi-bin/ciwweb.pl?studyname=ProfPlanta2024&amp;Correo=gonzalo.mejia@unisabana.edu.co01"/>
  </r>
  <r>
    <s v="gonzalo.mejia@unisabana.edu.co"/>
    <s v="gonzalo.mejia@unisabana.edu.co02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gonzalo.mejia@unisabana.edu.co02"/>
  </r>
  <r>
    <s v="gonzalo.mejia@unisabana.edu.co"/>
    <s v="gonzalo.meji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gonzalo.mejia@unisabana.edu.co1"/>
  </r>
  <r>
    <s v="guido.castro@unisabana.edu.co"/>
    <s v="guido.castro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guido.castro@unisabana.edu.co01"/>
  </r>
  <r>
    <s v="guido.castro@unisabana.edu.co"/>
    <s v="guido.castro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guido.castro@unisabana.edu.co1"/>
  </r>
  <r>
    <s v="gustavo.riveros1@unisabana.edu.co"/>
    <s v="gustavo.riveros1@unisabana.edu.co01"/>
    <s v="ESPECIALIZACIï¿½N EN GERENCIA ESTRATï¿½GICA - MEDELLï¿½N"/>
    <x v="52"/>
    <x v="1"/>
    <x v="0"/>
    <s v="Completa"/>
    <s v="Posgrado"/>
    <s v="INSTITUTO FORUM"/>
    <s v="https://ProfPlanta2024.sawtoothsoftware.com/cgi-bin/ciwweb.pl?studyname=ProfPlanta2024&amp;Correo=gustavo.riveros1@unisabana.edu.co01"/>
  </r>
  <r>
    <s v="gustavo.riveros1@unisabana.edu.co"/>
    <s v="gustavo.riveros1@unisabana.edu.co02"/>
    <s v="ESPECIALIZACIï¿½N EN GESTIï¿½N PARA EL DESARROLLO HUMANO EN LA ORGANIZACIï¿½N - BUCARAMANGA"/>
    <x v="17"/>
    <x v="1"/>
    <x v="0"/>
    <s v="Completa"/>
    <s v="Posgrado"/>
    <s v="INSTITUTO FORUM"/>
    <s v="https://ProfPlanta2024.sawtoothsoftware.com/cgi-bin/ciwweb.pl?studyname=ProfPlanta2024&amp;Correo=gustavo.riveros1@unisabana.edu.co02"/>
  </r>
  <r>
    <s v="hanier.fajardo@unisabana.edu.co"/>
    <s v="hanier.fajard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hanier.fajardo@unisabana.edu.co01"/>
  </r>
  <r>
    <s v="hanier.fajardo@unisabana.edu.co"/>
    <s v="hanier.fajardo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hanier.fajardo@unisabana.edu.co1"/>
  </r>
  <r>
    <s v="henry.leon@clinicaunisabana.edu.co"/>
    <s v="henry.leon@clinicaunisabana.edu.co1"/>
    <s v="MEDICINA"/>
    <x v="4"/>
    <x v="1"/>
    <x v="0"/>
    <s v="Completa"/>
    <s v="Pregrado"/>
    <s v="FACULTAD DE MEDICINA"/>
    <s v="https://ProfPlanta2024.sawtoothsoftware.com/cgi-bin/ciwweb.pl?studyname=ProfPlanta2024&amp;Correo=henry.leon@clinicaunisabana.edu.co1"/>
  </r>
  <r>
    <s v="henry.oliveros@unisabana.edu.co"/>
    <s v="henry.oliveros@unisabana.edu.co01"/>
    <s v="MAESTRï¿½A EN EPIDEMIOLOGï¿½A"/>
    <x v="83"/>
    <x v="1"/>
    <x v="1"/>
    <s v="Incompleta"/>
    <s v="Posgrado"/>
    <s v="FACULTAD DE MEDICINA"/>
    <s v="https://ProfPlanta2024.sawtoothsoftware.com/cgi-bin/ciwweb.pl?studyname=ProfPlanta2024&amp;Correo=henry.oliveros@unisabana.edu.co01"/>
  </r>
  <r>
    <s v="henry.oliveros@unisabana.edu.co"/>
    <s v="henry.oliveros@unisabana.edu.co1"/>
    <s v="MEDICINA"/>
    <x v="4"/>
    <x v="1"/>
    <x v="1"/>
    <s v="Incompleta"/>
    <s v="Pregrado"/>
    <s v="FACULTAD DE MEDICINA"/>
    <s v="https://ProfPlanta2024.sawtoothsoftware.com/cgi-bin/ciwweb.pl?studyname=ProfPlanta2024&amp;Correo=henry.oliveros@unisabana.edu.co1"/>
  </r>
  <r>
    <s v="hilba.guzman1@unisabana.edu.co"/>
    <s v="hilba.guzman1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hilba.guzman1@unisabana.edu.co1"/>
  </r>
  <r>
    <s v="ignacio.briceno@unisabana.edu.co"/>
    <s v="ignacio.bricen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ignacio.briceno@unisabana.edu.co01"/>
  </r>
  <r>
    <s v="ignacio.briceno@unisabana.edu.co"/>
    <s v="ignacio.briceno@unisabana.edu.co1"/>
    <s v="MEDICINA"/>
    <x v="4"/>
    <x v="1"/>
    <x v="0"/>
    <s v="Completa"/>
    <s v="Pregrado"/>
    <s v="FACULTAD DE MEDICINA"/>
    <s v="https://ProfPlanta2024.sawtoothsoftware.com/cgi-bin/ciwweb.pl?studyname=ProfPlanta2024&amp;Correo=ignacio.briceno@unisabana.edu.co1"/>
  </r>
  <r>
    <s v="indira.rodriguez@unisabana.edu.co"/>
    <s v="indira.rodriguez@unisabana.edu.co01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indira.rodriguez@unisabana.edu.co01"/>
  </r>
  <r>
    <s v="indira.rodriguez@unisabana.edu.co"/>
    <s v="indira.rodriguez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indira.rodriguez@unisabana.edu.co02"/>
  </r>
  <r>
    <s v="indira.rodriguez@unisabana.edu.co"/>
    <s v="indira.rodriguez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indira.rodriguez@unisabana.edu.co1"/>
  </r>
  <r>
    <s v="indira.sotelo@unisabana.edu.co"/>
    <s v="indira.sotelo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indira.sotelo@unisabana.edu.co01"/>
  </r>
  <r>
    <s v="ingrid.ruiz@unisabana.edu.co"/>
    <s v="ingrid.ruiz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ingrid.ruiz@unisabana.edu.co1"/>
  </r>
  <r>
    <s v="ivan.cabeza@unisabana.edu.co"/>
    <s v="ivan.cabez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ivan.cabeza@unisabana.edu.co01"/>
  </r>
  <r>
    <s v="ivan.cabeza@unisabana.edu.co"/>
    <s v="ivan.cabeza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ivan.cabeza@unisabana.edu.co2"/>
  </r>
  <r>
    <s v="ivan.serrano@unisabana.edu.co"/>
    <s v="ivan.serrano@unisabana.edu.co01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ivan.serrano@unisabana.edu.co01"/>
  </r>
  <r>
    <s v="ivan.serrano@unisabana.edu.co"/>
    <s v="ivan.serrano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ivan.serrano@unisabana.edu.co1"/>
  </r>
  <r>
    <s v="ivanma@unisabana.edu.co"/>
    <s v="IvanMA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IvanMA@unisabana.edu.co01"/>
  </r>
  <r>
    <s v="ivon.guevara@unisabana.edu.co"/>
    <s v="ivon.guevara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ivon.guevara@unisabana.edu.co1"/>
  </r>
  <r>
    <s v="ivonpaca@unisabana.edu.co"/>
    <s v="IVONPACA@UNISABANA.EDU.CO1"/>
    <s v="MEDICINA"/>
    <x v="4"/>
    <x v="1"/>
    <x v="0"/>
    <s v="Completa"/>
    <s v="Pregrado"/>
    <s v="FACULTAD DE MEDICINA"/>
    <s v="https://ProfPlanta2024.sawtoothsoftware.com/cgi-bin/ciwweb.pl?studyname=ProfPlanta2024&amp;Correo=IVONPACA@UNISABANA.EDU.CO1"/>
  </r>
  <r>
    <s v="jaime.rodriguez3@unisabana.edu.co"/>
    <s v="Jaime.Rodriguez3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1"/>
  </r>
  <r>
    <s v="jaime.rodriguez3@unisabana.edu.co"/>
    <s v="Jaime.Rodriguez3@unisabana.edu.co02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2"/>
  </r>
  <r>
    <s v="jaime.rodriguez3@unisabana.edu.co"/>
    <s v="Jaime.Rodriguez3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Jaime.Rodriguez3@unisabana.edu.co1"/>
  </r>
  <r>
    <s v="jaimefe@unisabana.edu.co"/>
    <s v="JaimeFe@unisabana.edu.co01"/>
    <s v="ESPECIALIZACIï¿½N EN CUIDADO INTENSIVO PEDIï¿½TRICO"/>
    <x v="84"/>
    <x v="1"/>
    <x v="0"/>
    <s v="Completa"/>
    <s v="Posgrado"/>
    <s v="FACULTAD DE MEDICINA"/>
    <s v="https://ProfPlanta2024.sawtoothsoftware.com/cgi-bin/ciwweb.pl?studyname=ProfPlanta2024&amp;Correo=JaimeFe@unisabana.edu.co01"/>
  </r>
  <r>
    <s v="jaimefe@unisabana.edu.co"/>
    <s v="JaimeFe@unisabana.edu.co1"/>
    <s v="MEDICINA"/>
    <x v="4"/>
    <x v="1"/>
    <x v="0"/>
    <s v="Completa"/>
    <s v="Pregrado"/>
    <s v="FACULTAD DE MEDICINA"/>
    <s v="https://ProfPlanta2024.sawtoothsoftware.com/cgi-bin/ciwweb.pl?studyname=ProfPlanta2024&amp;Correo=JaimeFe@unisabana.edu.co1"/>
  </r>
  <r>
    <s v="jairo.jimenez2@unisabana.edu.co"/>
    <s v="Jairo.Jimenez2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Jairo.Jimenez2@unisabana.edu.co01"/>
  </r>
  <r>
    <s v="jairo.jimenez2@unisabana.edu.co"/>
    <s v="Jairo.Jimenez2@unisabana.edu.co02"/>
    <s v="MAESTRï¿½A EN EDUCACIï¿½N"/>
    <x v="130"/>
    <x v="1"/>
    <x v="0"/>
    <s v="Completa"/>
    <s v="Posgrado"/>
    <s v="FACULTAD DE EDUCACIÓN"/>
    <s v="https://ProfPlanta2024.sawtoothsoftware.com/cgi-bin/ciwweb.pl?studyname=ProfPlanta2024&amp;Correo=Jairo.Jimenez2@unisabana.edu.co02"/>
  </r>
  <r>
    <s v="jairo.montoya@unisabana.edu.co"/>
    <s v="jairo.montoya@unisabana.edu.co01"/>
    <s v="DOCTORADO EN LOGï¿½STICA Y GESTIï¿½N DE CADENAS DE SUMINISTROS"/>
    <x v="144"/>
    <x v="1"/>
    <x v="0"/>
    <s v="Completa"/>
    <s v="Posgrado"/>
    <s v="FACULTAD DE INGENIERÍA"/>
    <s v="https://ProfPlanta2024.sawtoothsoftware.com/cgi-bin/ciwweb.pl?studyname=ProfPlanta2024&amp;Correo=jairo.montoya@unisabana.edu.co01"/>
  </r>
  <r>
    <s v="jairo.montoya@unisabana.edu.co"/>
    <s v="jairo.montoya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jairo.montoya@unisabana.edu.co02"/>
  </r>
  <r>
    <s v="janeth.lizcano@unisabana.edu.co"/>
    <s v="janeth.lizcan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aneth.lizcano@unisabana.edu.co1"/>
  </r>
  <r>
    <s v="javier.mayorga@unisabana.edu.co"/>
    <s v="javier.mayorga@unisabana.edu.co01"/>
    <s v="MAESTRï¿½A EN COMUNICACIï¿½N ESTRï¿½TEGICA"/>
    <x v="115"/>
    <x v="1"/>
    <x v="0"/>
    <s v="Completa"/>
    <s v="Posgrado"/>
    <s v="FACULTAD DE COMUNICACIÓN"/>
    <s v="https://ProfPlanta2024.sawtoothsoftware.com/cgi-bin/ciwweb.pl?studyname=ProfPlanta2024&amp;Correo=javier.mayorga@unisabana.edu.co01"/>
  </r>
  <r>
    <s v="javierpc@unisabana.edu.co"/>
    <s v="Javierpc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avierpc@unisabana.edu.co1"/>
  </r>
  <r>
    <s v="javierpc@unisabana.edu.co"/>
    <s v="Javierpc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Javierpc@unisabana.edu.co2"/>
  </r>
  <r>
    <s v="javierpc@unisabana.edu.co"/>
    <s v="Javierpc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Javierpc@unisabana.edu.co3"/>
  </r>
  <r>
    <s v="jenny.rodriguez11@unisabana.edu.co"/>
    <s v="jenny.rodriguez1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enny.rodriguez11@unisabana.edu.co1"/>
  </r>
  <r>
    <s v="jennyfer.camargo@unisabana.edu.co"/>
    <s v="jennyfer.camarg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ennyfer.camargo@unisabana.edu.co1"/>
  </r>
  <r>
    <s v="jeronimo.rivera@unisabana.edu.co"/>
    <s v="jeronimo.rivera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jeronimo.rivera@unisabana.edu.co01"/>
  </r>
  <r>
    <s v="jesus.girado@unisabana.edu.co"/>
    <s v="jesus.girado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jesus.girado@unisabana.edu.co01"/>
  </r>
  <r>
    <s v="jimmy.mendieta@unisabana.edu.co"/>
    <s v="jimmy.mendieta@unisabana.edu.co01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jimmy.mendieta@unisabana.edu.co01"/>
  </r>
  <r>
    <s v="jimmy.mendieta@unisabana.edu.co"/>
    <s v="jimmy.mendieta@unisabana.edu.co02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jimmy.mendieta@unisabana.edu.co02"/>
  </r>
  <r>
    <s v="jimmy.mendieta@unisabana.edu.co"/>
    <s v="jimmy.mendiet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jimmy.mendieta@unisabana.edu.co1"/>
  </r>
  <r>
    <s v="jimmy.mendieta@unisabana.edu.co"/>
    <s v="jimmy.mendieta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jimmy.mendieta@unisabana.edu.co2"/>
  </r>
  <r>
    <s v="joaquin.erazo@unisabana.edu.co"/>
    <s v="joaquin.erazo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oaquin.erazo@unisabana.edu.co1"/>
  </r>
  <r>
    <s v="johanna.camargo1@unisabana.edu.co"/>
    <s v="johanna.camargo1@unisabana.edu.co01"/>
    <s v="ESPECIALIZACIï¿½N EN GERENCIA COMERCIAL BUCARAMANGA - SANTANDER"/>
    <x v="104"/>
    <x v="1"/>
    <x v="0"/>
    <s v="Incompleta"/>
    <s v="Posgrado"/>
    <s v="INSTITUTO FORUM"/>
    <s v="https://ProfPlanta2024.sawtoothsoftware.com/cgi-bin/ciwweb.pl?studyname=ProfPlanta2024&amp;Correo=johanna.camargo1@unisabana.edu.co01"/>
  </r>
  <r>
    <s v="johanna.camargo1@unisabana.edu.co"/>
    <s v="johanna.camargo1@unisabana.edu.co02"/>
    <s v="ESPECIALIZACIï¿½N EN GERENCIA ESTRATï¿½GICA DE MARCA  - CHIA"/>
    <x v="118"/>
    <x v="1"/>
    <x v="0"/>
    <s v="Incompleta"/>
    <s v="Posgrado"/>
    <s v="INSTITUTO FORUM"/>
    <s v="https://ProfPlanta2024.sawtoothsoftware.com/cgi-bin/ciwweb.pl?studyname=ProfPlanta2024&amp;Correo=johanna.camargo1@unisabana.edu.co02"/>
  </r>
  <r>
    <s v="johanna.choconta1@unisabana.edu.co"/>
    <s v="johanna.choconta1@unisabana.edu.co01"/>
    <s v="MAESTRï¿½A EN DESARROLLO INFANTIL - CHIA"/>
    <x v="41"/>
    <x v="1"/>
    <x v="0"/>
    <s v="Completa"/>
    <s v="Posgrado"/>
    <s v="FACULTAD DE EDUCACIÓN"/>
    <s v="https://ProfPlanta2024.sawtoothsoftware.com/cgi-bin/ciwweb.pl?studyname=ProfPlanta2024&amp;Correo=johanna.choconta1@unisabana.edu.co01"/>
  </r>
  <r>
    <s v="johanna.choconta1@unisabana.edu.co"/>
    <s v="johanna.choconta1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johanna.choconta1@unisabana.edu.co1"/>
  </r>
  <r>
    <s v="johanna.jimenez1@unisabana.edu.co"/>
    <s v="johanna.jimenez1@unisabana.edu.co1"/>
    <s v="MEDICINA"/>
    <x v="4"/>
    <x v="1"/>
    <x v="0"/>
    <s v="Completa"/>
    <s v="Pregrado"/>
    <s v="FACULTAD DE MEDICINA"/>
    <s v="https://ProfPlanta2024.sawtoothsoftware.com/cgi-bin/ciwweb.pl?studyname=ProfPlanta2024&amp;Correo=johanna.jimenez1@unisabana.edu.co1"/>
  </r>
  <r>
    <s v="john.londono@unisabana.edu.co"/>
    <s v="john.londono@unisabana.edu.co01"/>
    <s v="ESPECIALIZACIï¿½N EN REUMATOLOGï¿½A"/>
    <x v="136"/>
    <x v="1"/>
    <x v="0"/>
    <s v="Completa"/>
    <s v="Posgrado"/>
    <s v="FACULTAD DE MEDICINA"/>
    <s v="https://ProfPlanta2024.sawtoothsoftware.com/cgi-bin/ciwweb.pl?studyname=ProfPlanta2024&amp;Correo=john.londono@unisabana.edu.co01"/>
  </r>
  <r>
    <s v="john.londono@unisabana.edu.co"/>
    <s v="john.londono@unisabana.edu.co1"/>
    <s v="MEDICINA"/>
    <x v="4"/>
    <x v="1"/>
    <x v="0"/>
    <s v="Completa"/>
    <s v="Pregrado"/>
    <s v="FACULTAD DE MEDICINA"/>
    <s v="https://ProfPlanta2024.sawtoothsoftware.com/cgi-bin/ciwweb.pl?studyname=ProfPlanta2024&amp;Correo=john.londono@unisabana.edu.co1"/>
  </r>
  <r>
    <s v="jorge.arbelaez@unisabana.edu.co"/>
    <s v="jorge.arbelaez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jorge.arbelaez@unisabana.edu.co1"/>
  </r>
  <r>
    <s v="jorge.castellanos@unisabana.edu.co"/>
    <s v="jorge.castellanos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jorge.castellanos@unisabana.edu.co1"/>
  </r>
  <r>
    <s v="jorge.gaitan@unisabana.edu.co"/>
    <s v="jorge.gaitan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orge.gaitan@unisabana.edu.co1"/>
  </r>
  <r>
    <s v="jorge.restrepo1@unisabana.edu.co"/>
    <s v="jorge.restrepo1@unisabana.edu.co01"/>
    <s v="MAESTRï¿½A EN EDUCACIï¿½N Mï¿½DICA"/>
    <x v="110"/>
    <x v="1"/>
    <x v="1"/>
    <s v="Incompleta"/>
    <s v="Posgrado"/>
    <s v="FACULTAD DE MEDICINA"/>
    <s v="https://ProfPlanta2024.sawtoothsoftware.com/cgi-bin/ciwweb.pl?studyname=ProfPlanta2024&amp;Correo=jorge.restrepo1@unisabana.edu.co01"/>
  </r>
  <r>
    <s v="jose.guanipa@unisabana.edu.co"/>
    <s v="jose.guanip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ose.guanipa@unisabana.edu.co1"/>
  </r>
  <r>
    <s v="jose.rodriguez3@unisabana.edu.co"/>
    <s v="jose.rodriguez3@unisabana.edu.co01"/>
    <s v="MAESTRIA EN DERECHO INTERNACIONAL"/>
    <x v="61"/>
    <x v="1"/>
    <x v="1"/>
    <s v="Incompleta"/>
    <s v="Posgrado"/>
    <s v="FACULTAD DE DERECHO Y CIENCIAS POLÍTICAS"/>
    <s v="https://ProfPlanta2024.sawtoothsoftware.com/cgi-bin/ciwweb.pl?studyname=ProfPlanta2024&amp;Correo=jose.rodriguez3@unisabana.edu.co01"/>
  </r>
  <r>
    <s v="jose.rodriguez3@unisabana.edu.co"/>
    <s v="jose.rodriguez3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jose.rodriguez3@unisabana.edu.co1"/>
  </r>
  <r>
    <s v="jose.suarez1@unisabana.edu.co"/>
    <s v="jose.suarez1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jose.suarez1@unisabana.edu.co1"/>
  </r>
  <r>
    <s v="juan.aranda@unisabana.edu.co"/>
    <s v="juan.arand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juan.aranda@unisabana.edu.co01"/>
  </r>
  <r>
    <s v="juan.aranda@unisabana.edu.co"/>
    <s v="juan.aranda@unisabana.edu.co1"/>
    <s v="INGENIERï¿½A INDFORMATICA"/>
    <x v="31"/>
    <x v="1"/>
    <x v="0"/>
    <s v="Completa"/>
    <s v="Pregrado"/>
    <s v="FACULTAD DE INGENIERÍA"/>
    <s v="https://ProfPlanta2024.sawtoothsoftware.com/cgi-bin/ciwweb.pl?studyname=ProfPlanta2024&amp;Correo=juan.aranda@unisabana.edu.co1"/>
  </r>
  <r>
    <s v="juan.cardenas4@unisabana.edu.co"/>
    <s v="juan.cardenas4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juan.cardenas4@unisabana.edu.co01"/>
  </r>
  <r>
    <s v="juan.cardenas4@unisabana.edu.co"/>
    <s v="juan.cardenas4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cardenas4@unisabana.edu.co1"/>
  </r>
  <r>
    <s v="juan.castro2@unisabana.edu.co"/>
    <s v="juan.castro2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castro2@unisabana.edu.co1"/>
  </r>
  <r>
    <s v="juan.castro2@unisabana.edu.co"/>
    <s v="juan.castro2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juan.castro2@unisabana.edu.co2"/>
  </r>
  <r>
    <s v="juan.castro2@unisabana.edu.co"/>
    <s v="juan.castro2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juan.castro2@unisabana.edu.co3"/>
  </r>
  <r>
    <s v="juan.de@unisabana.edu.co"/>
    <s v="juan.de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juan.de@unisabana.edu.co1"/>
  </r>
  <r>
    <s v="juan.espejo1@unisabana.edu.co"/>
    <s v="juan.espejo1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juan.espejo1@unisabana.edu.co1"/>
  </r>
  <r>
    <s v="juan.garcia@unisabana.edu.co"/>
    <s v="juan.garcia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juan.garcia@unisabana.edu.co01"/>
  </r>
  <r>
    <s v="juan.garcia@unisabana.edu.co"/>
    <s v="juan.garcia@unisabana.edu.co1"/>
    <s v="MEDICINA"/>
    <x v="4"/>
    <x v="1"/>
    <x v="0"/>
    <s v="Completa"/>
    <s v="Pregrado"/>
    <s v="FACULTAD DE MEDICINA"/>
    <s v="https://ProfPlanta2024.sawtoothsoftware.com/cgi-bin/ciwweb.pl?studyname=ProfPlanta2024&amp;Correo=juan.garcia@unisabana.edu.co1"/>
  </r>
  <r>
    <s v="juan.garzon@unisabana.edu.co"/>
    <s v="juan.garzon@unisabana.edu.co01"/>
    <s v="MAESTRIA EN CONTRATACION ESTATAL"/>
    <x v="59"/>
    <x v="1"/>
    <x v="0"/>
    <s v="Completa"/>
    <s v="Posgrado"/>
    <s v="FACULTAD DE DERECHO Y CIENCIAS POLÍTICAS"/>
    <s v="https://ProfPlanta2024.sawtoothsoftware.com/cgi-bin/ciwweb.pl?studyname=ProfPlanta2024&amp;Correo=juan.garzon@unisabana.edu.co01"/>
  </r>
  <r>
    <s v="juan.garzon@unisabana.edu.co"/>
    <s v="juan.garzon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juan.garzon@unisabana.edu.co1"/>
  </r>
  <r>
    <s v="juan.garzon@unisabana.edu.co"/>
    <s v="juan.garzon@unisabana.edu.co2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garzon@unisabana.edu.co2"/>
  </r>
  <r>
    <s v="juan.giraldo9@unisabana.edu.co"/>
    <s v="juan.giraldo9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juan.giraldo9@unisabana.edu.co07"/>
  </r>
  <r>
    <s v="juan.giraldo9@unisabana.edu.co"/>
    <s v="juan.giraldo9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an.giraldo9@unisabana.edu.co1"/>
  </r>
  <r>
    <s v="juan.gonzalez14@unisabana.edu.co"/>
    <s v="juan.gonzalez14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gonzalez14@unisabana.edu.co1"/>
  </r>
  <r>
    <s v="juan.herrera2@unisabana.edu.co"/>
    <s v="juan.herrera2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juan.herrera2@unisabana.edu.co1"/>
  </r>
  <r>
    <s v="juan.martinez15@unisabana.edu.co"/>
    <s v="juan.martinez15@unisabana.edu.co01"/>
    <s v="ESPECIALIZACIï¿½N EN DERECHO Y EMPRESA - CHï¿½A"/>
    <x v="77"/>
    <x v="1"/>
    <x v="1"/>
    <s v="Incompleta"/>
    <s v="Posgrado"/>
    <s v="FACULTAD DE DERECHO Y CIENCIAS POLÍTICAS"/>
    <s v="https://ProfPlanta2024.sawtoothsoftware.com/cgi-bin/ciwweb.pl?studyname=ProfPlanta2024&amp;Correo=juan.martinez15@unisabana.edu.co01"/>
  </r>
  <r>
    <s v="juan.martinez15@unisabana.edu.co"/>
    <s v="juan.martinez15@unisabana.edu.co02"/>
    <s v="MAESTRIA EN DERECHO DE LA EMPRESA Y DE LOS NEGOCIOS"/>
    <x v="9"/>
    <x v="1"/>
    <x v="1"/>
    <s v="Incompleta"/>
    <s v="Posgrado"/>
    <s v="FACULTAD DE DERECHO Y CIENCIAS POLÍTICAS"/>
    <s v="https://ProfPlanta2024.sawtoothsoftware.com/cgi-bin/ciwweb.pl?studyname=ProfPlanta2024&amp;Correo=juan.martinez15@unisabana.edu.co02"/>
  </r>
  <r>
    <s v="juan.martinez15@unisabana.edu.co"/>
    <s v="juan.martinez15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martinez15@unisabana.edu.co1"/>
  </r>
  <r>
    <s v="juan.martinez20@unisabana.edu.co"/>
    <s v="juan.martinez20@unisabana.edu.co1"/>
    <s v="MEDICINA"/>
    <x v="4"/>
    <x v="1"/>
    <x v="1"/>
    <s v="Incompleta"/>
    <s v="Pregrado"/>
    <s v="FACULTAD DE MEDICINA"/>
    <s v="https://ProfPlanta2024.sawtoothsoftware.com/cgi-bin/ciwweb.pl?studyname=ProfPlanta2024&amp;Correo=juan.martinez20@unisabana.edu.co1"/>
  </r>
  <r>
    <s v="juan.mojica2@unisabana.edu.co"/>
    <s v="juan.mojica2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juan.mojica2@unisabana.edu.co01"/>
  </r>
  <r>
    <s v="juan.mojica2@unisabana.edu.co"/>
    <s v="juan.mojica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juan.mojica2@unisabana.edu.co1"/>
  </r>
  <r>
    <s v="juan.ortiz7@unisabana.edu.co"/>
    <s v="juan.ortiz7@unisabana.edu.co1"/>
    <s v="MEDICINA"/>
    <x v="4"/>
    <x v="1"/>
    <x v="0"/>
    <s v="Completa"/>
    <s v="Pregrado"/>
    <s v="FACULTAD DE MEDICINA"/>
    <s v="https://ProfPlanta2024.sawtoothsoftware.com/cgi-bin/ciwweb.pl?studyname=ProfPlanta2024&amp;Correo=juan.ortiz7@unisabana.edu.co1"/>
  </r>
  <r>
    <s v="juan.sandoval1@unisabana.edu.co"/>
    <s v="juan.sandoval1@unisabana.edu.co01"/>
    <s v="MAESTRï¿½A EN GERENCIA Y DESARROLLO DE PERSONAS"/>
    <x v="65"/>
    <x v="1"/>
    <x v="0"/>
    <s v="Completa"/>
    <s v="Posgrado"/>
    <s v="FACULTAD DE PSICOLOGÍA"/>
    <s v="https://ProfPlanta2024.sawtoothsoftware.com/cgi-bin/ciwweb.pl?studyname=ProfPlanta2024&amp;Correo=juan.sandoval1@unisabana.edu.co01"/>
  </r>
  <r>
    <s v="juan.sandoval1@unisabana.edu.co"/>
    <s v="juan.sandoval1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juan.sandoval1@unisabana.edu.co02"/>
  </r>
  <r>
    <s v="juan.sandoval1@unisabana.edu.co"/>
    <s v="juan.sandoval1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juan.sandoval1@unisabana.edu.co07"/>
  </r>
  <r>
    <s v="juan.sarmiento3@unisabana.edu.co"/>
    <s v="juan.sarmiento3@unisabana.edu.co01"/>
    <s v="ESPECIALIZACIï¿½N EN CONTRATACIï¿½N ESTATAL - CHï¿½A"/>
    <x v="64"/>
    <x v="1"/>
    <x v="0"/>
    <s v="Completa"/>
    <s v="Posgrado"/>
    <s v="FACULTAD DE DERECHO Y CIENCIAS POLÍTICAS"/>
    <s v="https://ProfPlanta2024.sawtoothsoftware.com/cgi-bin/ciwweb.pl?studyname=ProfPlanta2024&amp;Correo=juan.sarmiento3@unisabana.edu.co01"/>
  </r>
  <r>
    <s v="juan.sarmiento3@unisabana.edu.co"/>
    <s v="juan.sarmiento3@unisabana.edu.co02"/>
    <s v="MAESTRIA EN CONTRATACION ESTATAL"/>
    <x v="59"/>
    <x v="1"/>
    <x v="0"/>
    <s v="Completa"/>
    <s v="Posgrado"/>
    <s v="FACULTAD DE DERECHO Y CIENCIAS POLÍTICAS"/>
    <s v="https://ProfPlanta2024.sawtoothsoftware.com/cgi-bin/ciwweb.pl?studyname=ProfPlanta2024&amp;Correo=juan.sarmiento3@unisabana.edu.co02"/>
  </r>
  <r>
    <s v="juan.sarmiento3@unisabana.edu.co"/>
    <s v="juan.sarmiento3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sarmiento3@unisabana.edu.co1"/>
  </r>
  <r>
    <s v="juana.jaramillo@unisabana.edu.co"/>
    <s v="juana.jaramillo@unisabana.edu.co01"/>
    <s v="MAESTRï¿½A EN BIOï¿½TICA"/>
    <x v="143"/>
    <x v="1"/>
    <x v="0"/>
    <s v="Completa"/>
    <s v="Posgrado"/>
    <s v="FACULTAD DE MEDICINA"/>
    <s v="https://ProfPlanta2024.sawtoothsoftware.com/cgi-bin/ciwweb.pl?studyname=ProfPlanta2024&amp;Correo=juana.jaramillo@unisabana.edu.co01"/>
  </r>
  <r>
    <s v="juana.jaramillo@unisabana.edu.co"/>
    <s v="juana.jaramillo@unisabana.edu.co07"/>
    <s v="MAESTRÃA EN PSICOLOGÃA CLINICA DE LA NIÃ‘EZ Y LA ADOLESCENCIA"/>
    <x v="120"/>
    <x v="1"/>
    <x v="0"/>
    <s v="Completa"/>
    <s v="Posgrado"/>
    <s v="FACULTAD DE PSICOLOGÍA"/>
    <s v="https://ProfPlanta2024.sawtoothsoftware.com/cgi-bin/ciwweb.pl?studyname=ProfPlanta2024&amp;Correo=juana.jaramillo@unisabana.edu.co07"/>
  </r>
  <r>
    <s v="juana.jaramillo@unisabana.edu.co"/>
    <s v="juana.jaramillo@unisabana.edu.co1"/>
    <s v="MEDICINA"/>
    <x v="4"/>
    <x v="1"/>
    <x v="0"/>
    <s v="Completa"/>
    <s v="Pregrado"/>
    <s v="FACULTAD DE MEDICINA"/>
    <s v="https://ProfPlanta2024.sawtoothsoftware.com/cgi-bin/ciwweb.pl?studyname=ProfPlanta2024&amp;Correo=juana.jaramillo@unisabana.edu.co1"/>
  </r>
  <r>
    <s v="juanreca@unisabana.edu.co"/>
    <s v="juanreca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juanreca@unisabana.edu.co07"/>
  </r>
  <r>
    <s v="juanreca@unisabana.edu.co"/>
    <s v="juanreca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anreca@unisabana.edu.co1"/>
  </r>
  <r>
    <s v="julian.carreno@unisabana.edu.co"/>
    <s v="Julian.Carreno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lian.Carreno@unisabana.edu.co1"/>
  </r>
  <r>
    <s v="julian.huertas1@unisabana.edu.co"/>
    <s v="julian.huertas1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julian.huertas1@unisabana.edu.co01"/>
  </r>
  <r>
    <s v="julian.huertas1@unisabana.edu.co"/>
    <s v="julian.huertas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lian.huertas1@unisabana.edu.co1"/>
  </r>
  <r>
    <s v="juliana.llanes@unisabana.edu.co"/>
    <s v="juliana.llanes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uliana.llanes@unisabana.edu.co1"/>
  </r>
  <r>
    <s v="julie.cedeno@unisabana.edu.co"/>
    <s v="julie.cedeno@unisabana.edu.co01"/>
    <s v="MAESTRï¿½A EN GERENCIA Y DESARROLLO DE PERSONAS"/>
    <x v="65"/>
    <x v="1"/>
    <x v="1"/>
    <s v="Incompleta"/>
    <s v="Posgrado"/>
    <s v="FACULTAD DE PSICOLOGÍA"/>
    <s v="https://ProfPlanta2024.sawtoothsoftware.com/cgi-bin/ciwweb.pl?studyname=ProfPlanta2024&amp;Correo=julie.cedeno@unisabana.edu.co01"/>
  </r>
  <r>
    <s v="julie.cedeno@unisabana.edu.co"/>
    <s v="julie.cedeno@unisabana.edu.co02"/>
    <s v="MAESTRIA EN PSICOLOGIA"/>
    <x v="123"/>
    <x v="1"/>
    <x v="1"/>
    <s v="Incompleta"/>
    <s v="Posgrado"/>
    <s v="FACULTAD DE PSICOLOGÍA"/>
    <s v="https://ProfPlanta2024.sawtoothsoftware.com/cgi-bin/ciwweb.pl?studyname=ProfPlanta2024&amp;Correo=julie.cedeno@unisabana.edu.co02"/>
  </r>
  <r>
    <s v="julie.cedeno@unisabana.edu.co"/>
    <s v="julie.ceden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lie.cedeno@unisabana.edu.co1"/>
  </r>
  <r>
    <s v="julio.martinez@unisabana.edu.co"/>
    <s v="julio.martinez@unisabana.edu.co1"/>
    <s v="MEDICINA"/>
    <x v="4"/>
    <x v="1"/>
    <x v="0"/>
    <s v="Completa"/>
    <s v="Pregrado"/>
    <s v="FACULTAD DE MEDICINA"/>
    <s v="https://ProfPlanta2024.sawtoothsoftware.com/cgi-bin/ciwweb.pl?studyname=ProfPlanta2024&amp;Correo=julio.martinez@unisabana.edu.co1"/>
  </r>
  <r>
    <s v="juliocc@unisabana.edu.co"/>
    <s v="Juliocc@unisabana.edu.co01"/>
    <s v="ESPECIALIZACIï¿½N EN GERENCIA COMERCIAL BUCARAMANGA - SANTANDER"/>
    <x v="104"/>
    <x v="1"/>
    <x v="0"/>
    <s v="Completa"/>
    <s v="Posgrado"/>
    <s v="INSTITUTO FORUM"/>
    <s v="https://ProfPlanta2024.sawtoothsoftware.com/cgi-bin/ciwweb.pl?studyname=ProfPlanta2024&amp;Correo=Juliocc@unisabana.edu.co01"/>
  </r>
  <r>
    <s v="jullyorjve@unisabana.edu.co"/>
    <s v="jullyorjve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jullyorjve@unisabana.edu.co01"/>
  </r>
  <r>
    <s v="jullyorjve@unisabana.edu.co"/>
    <s v="jullyorjve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jullyorjve@unisabana.edu.co1"/>
  </r>
  <r>
    <s v="kemel.ghotme@unisabana.edu.co"/>
    <s v="kemel.ghotme@unisabana.edu.co1"/>
    <s v="MEDICINA"/>
    <x v="4"/>
    <x v="1"/>
    <x v="0"/>
    <s v="Completa"/>
    <s v="Pregrado"/>
    <s v="FACULTAD DE MEDICINA"/>
    <s v="https://ProfPlanta2024.sawtoothsoftware.com/cgi-bin/ciwweb.pl?studyname=ProfPlanta2024&amp;Correo=kemel.ghotme@unisabana.edu.co1"/>
  </r>
  <r>
    <s v="lady.duque@unisabana.edu.co"/>
    <s v="lady.duque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lady.duque@unisabana.edu.co1"/>
  </r>
  <r>
    <s v="laura.carreno@unisabana.edu.co"/>
    <s v="laura.carreno@unisabana.edu.co01"/>
    <s v="MAESTRï¿½A EN DESARROLLO INFANTIL - RIOHACHA"/>
    <x v="42"/>
    <x v="1"/>
    <x v="1"/>
    <s v="Incompleta"/>
    <s v="Posgrado"/>
    <s v="FACULTAD DE EDUCACIÓN"/>
    <s v="https://ProfPlanta2024.sawtoothsoftware.com/cgi-bin/ciwweb.pl?studyname=ProfPlanta2024&amp;Correo=laura.carreno@unisabana.edu.co01"/>
  </r>
  <r>
    <s v="laura.carreno@unisabana.edu.co"/>
    <s v="laura.carreno@unisabana.edu.co02"/>
    <s v="MAESTRï¿½A EN DIDï¿½CTICA DEL INGLï¿½S PARA EL APRENDIZAJE AUTODIRIGIDO"/>
    <x v="137"/>
    <x v="1"/>
    <x v="1"/>
    <s v="Incompleta"/>
    <s v="Posgrado"/>
    <s v="FACULTAD DE EDUCACIÓN"/>
    <s v="https://ProfPlanta2024.sawtoothsoftware.com/cgi-bin/ciwweb.pl?studyname=ProfPlanta2024&amp;Correo=laura.carreno@unisabana.edu.co02"/>
  </r>
  <r>
    <s v="laura.carreno@unisabana.edu.co"/>
    <s v="laura.carreno@unisabana.edu.co03"/>
    <s v="MAESTRï¿½A EN DIDï¿½CTICA DEL INGLï¿½S PARA EL APRENDIZAJE AUTODIRIGIDO - VIRTUAL"/>
    <x v="137"/>
    <x v="1"/>
    <x v="0"/>
    <s v="Incompleta"/>
    <s v="Posgrado"/>
    <s v="FACULTAD DE EDUCACIÓN"/>
    <s v="https://ProfPlanta2024.sawtoothsoftware.com/cgi-bin/ciwweb.pl?studyname=ProfPlanta2024&amp;Correo=laura.carreno@unisabana.edu.co03"/>
  </r>
  <r>
    <s v="laura.carreno@unisabana.edu.co"/>
    <s v="laura.carreno@unisabana.edu.co2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laura.carreno@unisabana.edu.co2"/>
  </r>
  <r>
    <s v="laura.fonseca@unisabana.edu.co"/>
    <s v="laura.fonseca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laura.fonseca@unisabana.edu.co07"/>
  </r>
  <r>
    <s v="laura.fonseca2@unisabana.edu.co"/>
    <s v="laura.fonseca2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laura.fonseca2@unisabana.edu.co01"/>
  </r>
  <r>
    <s v="laura.fonseca2@unisabana.edu.co"/>
    <s v="laura.fonseca2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laura.fonseca2@unisabana.edu.co1"/>
  </r>
  <r>
    <s v="laura.fuerte1@unisabana.edu.co"/>
    <s v="laura.fuerte1@unisabana.edu.co01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1"/>
  </r>
  <r>
    <s v="laura.fuerte1@unisabana.edu.co"/>
    <s v="laura.fuerte1@unisabana.edu.co02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2"/>
  </r>
  <r>
    <s v="laura.fuerte1@unisabana.edu.co"/>
    <s v="laura.fuerte1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laura.fuerte1@unisabana.edu.co1"/>
  </r>
  <r>
    <s v="laura.lopez7@unisabana.edu.co"/>
    <s v="laura.lopez7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aura.lopez7@unisabana.edu.co1"/>
  </r>
  <r>
    <s v="laura.lopez7@unisabana.edu.co"/>
    <s v="laura.lopez7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laura.lopez7@unisabana.edu.co2"/>
  </r>
  <r>
    <s v="laura.rodriguez23@unisabana.edu.co"/>
    <s v="laura.rodriguez23@unisabana.edu.co1"/>
    <s v="CENTRO INTERNACIONAL DE LENGUAS Y CULTURAS EXTRANJERAS"/>
    <x v="19"/>
    <x v="1"/>
    <x v="1"/>
    <s v="Incompleta"/>
    <s v="Pregrado"/>
    <s v="CENTRO INTERNACIONAL DE LENGUAS Y CULTURAS EXTRANJERAS"/>
    <s v="https://ProfPlanta2024.sawtoothsoftware.com/cgi-bin/ciwweb.pl?studyname=ProfPlanta2024&amp;Correo=laura.rodriguez23@unisabana.edu.co1"/>
  </r>
  <r>
    <s v="ledy.armirola@unisabana.edu.co"/>
    <s v="ledy.armirola@unisabana.edu.co01"/>
    <s v="MAESTRï¿½A EN COMUNICACIï¿½N ESTRï¿½TEGICA"/>
    <x v="115"/>
    <x v="1"/>
    <x v="0"/>
    <s v="Completa"/>
    <s v="Posgrado"/>
    <s v="FACULTAD DE COMUNICACIÓN"/>
    <s v="https://ProfPlanta2024.sawtoothsoftware.com/cgi-bin/ciwweb.pl?studyname=ProfPlanta2024&amp;Correo=ledy.armirola@unisabana.edu.co01"/>
  </r>
  <r>
    <s v="ledy.armirola@unisabana.edu.co"/>
    <s v="ledy.armirola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ledy.armirola@unisabana.edu.co1"/>
  </r>
  <r>
    <s v="ledy.armirola@unisabana.edu.co"/>
    <s v="ledy.armirola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edy.armirola@unisabana.edu.co2"/>
  </r>
  <r>
    <s v="leidy.diaz3@unisabana.edu.co"/>
    <s v="leidy.diaz3@unisabana.edu.co01"/>
    <s v="ESPECIALIZACION EN PSICOLOGIA EDUCATIVA"/>
    <x v="71"/>
    <x v="1"/>
    <x v="0"/>
    <s v="Completa"/>
    <s v="Posgrado"/>
    <s v="FACULTAD DE PSICOLOGÍA"/>
    <s v="https://ProfPlanta2024.sawtoothsoftware.com/cgi-bin/ciwweb.pl?studyname=ProfPlanta2024&amp;Correo=leidy.diaz3@unisabana.edu.co01"/>
  </r>
  <r>
    <s v="leidy.diaz3@unisabana.edu.co"/>
    <s v="leidy.diaz3@unisabana.edu.co02"/>
    <s v="MAESTRIA EN PSICOLOGIA DE LA SALUD Y DISCAPACIDAD"/>
    <x v="46"/>
    <x v="1"/>
    <x v="0"/>
    <s v="Completa"/>
    <s v="Posgrado"/>
    <s v="FACULTAD DE PSICOLOGÍA"/>
    <s v="https://ProfPlanta2024.sawtoothsoftware.com/cgi-bin/ciwweb.pl?studyname=ProfPlanta2024&amp;Correo=leidy.diaz3@unisabana.edu.co02"/>
  </r>
  <r>
    <s v="leidy.leon@unisabana.edu.co"/>
    <s v="leidy.leon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leidy.leon@unisabana.edu.co01"/>
  </r>
  <r>
    <s v="leidy.leon@unisabana.edu.co"/>
    <s v="leidy.leon@unisabana.edu.co1"/>
    <s v="CIENCIA DE DATOS"/>
    <x v="44"/>
    <x v="1"/>
    <x v="0"/>
    <s v="Completa"/>
    <s v="Pregrado"/>
    <s v="FACULTAD DE INGENIERÍA"/>
    <s v="https://ProfPlanta2024.sawtoothsoftware.com/cgi-bin/ciwweb.pl?studyname=ProfPlanta2024&amp;Correo=leidy.leon@unisabana.edu.co1"/>
  </r>
  <r>
    <s v="leonardo.moreno@unisabana.edu.co"/>
    <s v="leonardo.moren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leonardo.moreno@unisabana.edu.co1"/>
  </r>
  <r>
    <s v="leonardo.moreno@unisabana.edu.co"/>
    <s v="leonardo.moreno@unisabana.edu.co2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leonardo.moreno@unisabana.edu.co2"/>
  </r>
  <r>
    <s v="lesly.velandia@unisabana.edu.co"/>
    <s v="lesly.velandi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lesly.velandia@unisabana.edu.co1"/>
  </r>
  <r>
    <s v="liliana.cuesta@unisabana.edu.co"/>
    <s v="liliana.cuesta@unisabana.edu.co01"/>
    <s v="MAESTRï¿½A EN PERIODISMO Y COMUNICACIï¿½N DIGITAL"/>
    <x v="47"/>
    <x v="1"/>
    <x v="1"/>
    <s v="Incompleta"/>
    <s v="Posgrado"/>
    <s v="FACULTAD DE COMUNICACIÓN"/>
    <s v="https://ProfPlanta2024.sawtoothsoftware.com/cgi-bin/ciwweb.pl?studyname=ProfPlanta2024&amp;Correo=liliana.cuesta@unisabana.edu.co01"/>
  </r>
  <r>
    <s v="liliana.gutierrez1@unisabana.edu.co"/>
    <s v="liliana.gutierrez1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liliana.gutierrez1@unisabana.edu.co01"/>
  </r>
  <r>
    <s v="liliana.gutierrez1@unisabana.edu.co"/>
    <s v="liliana.gutierrez1@unisabana.edu.co02"/>
    <s v="MAESTRï¿½A EN PERIODISMO Y COMUNICACIï¿½N DIGITAL"/>
    <x v="47"/>
    <x v="1"/>
    <x v="1"/>
    <s v="Incompleta"/>
    <s v="Posgrado"/>
    <s v="FACULTAD DE COMUNICACIÓN"/>
    <s v="https://ProfPlanta2024.sawtoothsoftware.com/cgi-bin/ciwweb.pl?studyname=ProfPlanta2024&amp;Correo=liliana.gutierrez1@unisabana.edu.co02"/>
  </r>
  <r>
    <s v="liliana.gutierrez1@unisabana.edu.co"/>
    <s v="liliana.gutierrez1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iliana.gutierrez1@unisabana.edu.co1"/>
  </r>
  <r>
    <s v="liliana.paredes@unisabana.edu.co"/>
    <s v="liliana.paredes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liliana.paredes@unisabana.edu.co01"/>
  </r>
  <r>
    <s v="liliana.paredes@unisabana.edu.co"/>
    <s v="liliana.paredes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liliana.paredes@unisabana.edu.co1"/>
  </r>
  <r>
    <s v="liliana.paredes@unisabana.edu.co"/>
    <s v="liliana.paredes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liliana.paredes@unisabana.edu.co3"/>
  </r>
  <r>
    <s v="lilianaoa@unisabana.edu.co"/>
    <s v="lilianaoa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lilianaoa@unisabana.edu.co1"/>
  </r>
  <r>
    <s v="lina.gomez3@unisabana.edu.co"/>
    <s v="lina.gomez3@unisabana.edu.co1"/>
    <s v="MEDICINA"/>
    <x v="4"/>
    <x v="1"/>
    <x v="0"/>
    <s v="Completa"/>
    <s v="Pregrado"/>
    <s v="FACULTAD DE MEDICINA"/>
    <s v="https://ProfPlanta2024.sawtoothsoftware.com/cgi-bin/ciwweb.pl?studyname=ProfPlanta2024&amp;Correo=lina.gomez3@unisabana.edu.co1"/>
  </r>
  <r>
    <s v="lina.grimaldos@unisabana.edu.co"/>
    <s v="lina.grimaldos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ina.grimaldos@unisabana.edu.co1"/>
  </r>
  <r>
    <s v="lina.grimaldos@unisabana.edu.co"/>
    <s v="lina.grimaldos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lina.grimaldos@unisabana.edu.co2"/>
  </r>
  <r>
    <s v="lina.ruiz1@unisabana.edu.co"/>
    <s v="LINA.RUIZ1@UNISABANA.EDU.CO1"/>
    <s v="MEDICINA"/>
    <x v="4"/>
    <x v="1"/>
    <x v="0"/>
    <s v="Completa"/>
    <s v="Pregrado"/>
    <s v="FACULTAD DE MEDICINA"/>
    <s v="https://ProfPlanta2024.sawtoothsoftware.com/cgi-bin/ciwweb.pl?studyname=ProfPlanta2024&amp;Correo=LINA.RUIZ1@UNISABANA.EDU.CO1"/>
  </r>
  <r>
    <s v="lina.sorza@unisabana.edu.co"/>
    <s v="lina.sorza@unisabana.edu.co1"/>
    <s v="CENTRO DE TECNOLOGï¿½AS PARA LA ACADEMIA"/>
    <x v="87"/>
    <x v="1"/>
    <x v="0"/>
    <s v="Completa"/>
    <s v="Pregrado"/>
    <s v="CENTRO DE TECNOLOGÍAS PARA LA ACADEMIA"/>
    <s v="https://ProfPlanta2024.sawtoothsoftware.com/cgi-bin/ciwweb.pl?studyname=ProfPlanta2024&amp;Correo=lina.sorza@unisabana.edu.co1"/>
  </r>
  <r>
    <s v="liza.pinzon@unisabana.edu.co"/>
    <s v="liza.pinzon@unisabana.edu.co01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1"/>
  </r>
  <r>
    <s v="liza.pinzon@unisabana.edu.co"/>
    <s v="liza.pinzon@unisabana.edu.co02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2"/>
  </r>
  <r>
    <s v="lizeth.pedraza@unisabana.edu.co"/>
    <s v="Lizeth.pedraza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Lizeth.pedraza@unisabana.edu.co07"/>
  </r>
  <r>
    <s v="loyda.gomez@unisabana.edu.co"/>
    <s v="loyda.gomez@unisabana.edu.co1"/>
    <s v="INNOVACIï¿½N Y EMPRENDIMIENTO"/>
    <x v="58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1"/>
  </r>
  <r>
    <s v="loyda.gomez@unisabana.edu.co"/>
    <s v="loyda.gomez@unisabana.edu.co2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2"/>
  </r>
  <r>
    <s v="lucia.barbosa@unisabana.edu.co"/>
    <s v="lucia.barbosa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cia.barbosa@unisabana.edu.co1"/>
  </r>
  <r>
    <s v="luis.celis@unisabana.edu.co"/>
    <s v="luis.celis@unisabana.edu.co1"/>
    <s v="MEDICINA"/>
    <x v="4"/>
    <x v="1"/>
    <x v="0"/>
    <s v="Completa"/>
    <s v="Pregrado"/>
    <s v="FACULTAD DE MEDICINA"/>
    <s v="https://ProfPlanta2024.sawtoothsoftware.com/cgi-bin/ciwweb.pl?studyname=ProfPlanta2024&amp;Correo=luis.celis@unisabana.edu.co1"/>
  </r>
  <r>
    <s v="luis.diaz1@unisabana.edu.co"/>
    <s v="luis.diaz1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luis.diaz1@unisabana.edu.co01"/>
  </r>
  <r>
    <s v="luis.diaz1@unisabana.edu.co"/>
    <s v="luis.diaz1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luis.diaz1@unisabana.edu.co02"/>
  </r>
  <r>
    <s v="luis.diaz1@unisabana.edu.co"/>
    <s v="luis.diaz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luis.diaz1@unisabana.edu.co1"/>
  </r>
  <r>
    <s v="luis.gomez10@unisabana.edu.co"/>
    <s v="luis.gomez10@unisabana.edu.co01"/>
    <s v="ESPECIALIZACIï¿½N EN GERENCIA LOGï¿½STICA - CHï¿½A"/>
    <x v="109"/>
    <x v="1"/>
    <x v="1"/>
    <s v="Incompleta"/>
    <s v="Posgrado"/>
    <s v="INSTITUTO FORUM"/>
    <s v="https://ProfPlanta2024.sawtoothsoftware.com/cgi-bin/ciwweb.pl?studyname=ProfPlanta2024&amp;Correo=luis.gomez10@unisabana.edu.co01"/>
  </r>
  <r>
    <s v="luis.paipa@unisabana.edu.co"/>
    <s v="luis.paip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luis.paipa@unisabana.edu.co01"/>
  </r>
  <r>
    <s v="luis.paipa@unisabana.edu.co"/>
    <s v="luis.paipa@unisabana.edu.co1"/>
    <s v="INGENIERï¿½A INDUSTRIAL"/>
    <x v="28"/>
    <x v="1"/>
    <x v="1"/>
    <s v="Incompleta"/>
    <s v="Pregrado"/>
    <s v="FACULTAD DE INGENIERÍA"/>
    <s v="https://ProfPlanta2024.sawtoothsoftware.com/cgi-bin/ciwweb.pl?studyname=ProfPlanta2024&amp;Correo=luis.paipa@unisabana.edu.co1"/>
  </r>
  <r>
    <s v="luis.pineda@unisabana.edu.co"/>
    <s v="luis.pineda@unisabana.edu.co01"/>
    <s v="MAESTRï¿½A EN LINGï¿½ï¿½STICA PANHISPï¿½NICA - CHï¿½A"/>
    <x v="63"/>
    <x v="1"/>
    <x v="0"/>
    <s v="Completa"/>
    <s v="Posgrado"/>
    <s v="FACULTAD DE FILOSOFÍA Y CIENCIAS HUMANAS"/>
    <s v="https://ProfPlanta2024.sawtoothsoftware.com/cgi-bin/ciwweb.pl?studyname=ProfPlanta2024&amp;Correo=luis.pineda@unisabana.edu.co01"/>
  </r>
  <r>
    <s v="luis.prieto@unisabana.edu.co"/>
    <s v="luis.prieto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luis.prieto@unisabana.edu.co01"/>
  </r>
  <r>
    <s v="luis.prieto@unisabana.edu.co"/>
    <s v="luis.priet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luis.prieto@unisabana.edu.co1"/>
  </r>
  <r>
    <s v="luis.reyes5@unisabana.edu.co"/>
    <s v="luis.reyes5@unisabana.edu.co1"/>
    <s v="MEDICINA"/>
    <x v="4"/>
    <x v="1"/>
    <x v="0"/>
    <s v="Completa"/>
    <s v="Pregrado"/>
    <s v="FACULTAD DE MEDICINA"/>
    <s v="https://ProfPlanta2024.sawtoothsoftware.com/cgi-bin/ciwweb.pl?studyname=ProfPlanta2024&amp;Correo=luis.reyes5@unisabana.edu.co1"/>
  </r>
  <r>
    <s v="luisa.zapata1@unisabana.edu.co"/>
    <s v="luisa.zapata1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luisa.zapata1@unisabana.edu.co1"/>
  </r>
  <r>
    <s v="luisbc@unisabana.edu.co"/>
    <s v="LuisBC@unisabana.edu.co01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LuisBC@unisabana.edu.co01"/>
  </r>
  <r>
    <s v="luisbc@unisabana.edu.co"/>
    <s v="LuisBC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isBC@unisabana.edu.co1"/>
  </r>
  <r>
    <s v="luisf.giraldo@unisabana.edu.co"/>
    <s v="luisf.giraldo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luisf.giraldo@unisabana.edu.co01"/>
  </r>
  <r>
    <s v="luisf.giraldo@unisabana.edu.co"/>
    <s v="luisf.giraldo@unisabana.edu.co02"/>
    <s v="MAESTRï¿½A EN EPIDEMIOLOGï¿½A"/>
    <x v="83"/>
    <x v="1"/>
    <x v="1"/>
    <s v="Incompleta"/>
    <s v="Posgrado"/>
    <s v="FACULTAD DE INGENIERÍA"/>
    <s v="https://ProfPlanta2024.sawtoothsoftware.com/cgi-bin/ciwweb.pl?studyname=ProfPlanta2024&amp;Correo=luisf.giraldo@unisabana.edu.co02"/>
  </r>
  <r>
    <s v="luisf.giraldo@unisabana.edu.co"/>
    <s v="luisf.giraldo@unisabana.edu.co03"/>
    <s v="ESPECIALIZACIÃ“N EN NEUMOLOGÃA"/>
    <x v="48"/>
    <x v="1"/>
    <x v="0"/>
    <s v="Completa"/>
    <s v="Posgrado"/>
    <s v="FACULTAD DE MEDICINA"/>
    <s v="https://ProfPlanta2024.sawtoothsoftware.com/cgi-bin/ciwweb.pl?studyname=ProfPlanta2024&amp;Correo=luisf.giraldo@unisabana.edu.co03"/>
  </r>
  <r>
    <s v="luisf.giraldo@unisabana.edu.co"/>
    <s v="luisf.giraldo@unisabana.edu.co1"/>
    <s v="MEDICINA"/>
    <x v="4"/>
    <x v="1"/>
    <x v="1"/>
    <s v="Incompleta"/>
    <s v="Pregrado"/>
    <s v="FACULTAD DE MEDICINA"/>
    <s v="https://ProfPlanta2024.sawtoothsoftware.com/cgi-bin/ciwweb.pl?studyname=ProfPlanta2024&amp;Correo=luisf.giraldo@unisabana.edu.co1"/>
  </r>
  <r>
    <s v="luz.alejo@unisabana.edu.co"/>
    <s v="luz.alej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luz.alejo@unisabana.edu.co01"/>
  </r>
  <r>
    <s v="luz.alejo@unisabana.edu.co"/>
    <s v="luz.alej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uz.alejo@unisabana.edu.co1"/>
  </r>
  <r>
    <s v="luz.mancera2@unisabana.edu.co"/>
    <s v="luz.mancera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luz.mancera2@unisabana.edu.co1"/>
  </r>
  <r>
    <s v="luz.torres3@unisabana.edu.co"/>
    <s v="luz.torres3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1"/>
  </r>
  <r>
    <s v="luz.torres3@unisabana.edu.co"/>
    <s v="luz.torres3@unisabana.edu.co02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2"/>
  </r>
  <r>
    <s v="luz.torres3@unisabana.edu.co"/>
    <s v="luz.torres3@unisabana.edu.co03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3"/>
  </r>
  <r>
    <s v="luz.torres3@unisabana.edu.co"/>
    <s v="luz.torres3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z.torres3@unisabana.edu.co1"/>
  </r>
  <r>
    <s v="luz.villalba@unisabana.edu.co"/>
    <s v="luz.villalba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uz.villalba@unisabana.edu.co2"/>
  </r>
  <r>
    <s v="luz.villegas1@unisabana.edu.co"/>
    <s v="luz.villegas1@unisabana.edu.co01"/>
    <s v="ESPECIALIZACIï¿½N EN GERENCIA ESTRATï¿½GICA - BARRANQUILLA"/>
    <x v="126"/>
    <x v="1"/>
    <x v="0"/>
    <s v="Completa"/>
    <s v="Posgrado"/>
    <s v="INSTITUTO FORUM"/>
    <s v="https://ProfPlanta2024.sawtoothsoftware.com/cgi-bin/ciwweb.pl?studyname=ProfPlanta2024&amp;Correo=luz.villegas1@unisabana.edu.co01"/>
  </r>
  <r>
    <s v="luz.villegas1@unisabana.edu.co"/>
    <s v="luz.villegas1@unisabana.edu.co02"/>
    <s v="ESPECIALIZACIï¿½N EN GESTIï¿½N PARA EL DESARROLLO HUMANO EN LA ORGANIZACIï¿½N - BOGOTï¿½"/>
    <x v="101"/>
    <x v="1"/>
    <x v="0"/>
    <s v="Completa"/>
    <s v="Posgrado"/>
    <s v="INSTITUTO FORUM"/>
    <s v="https://ProfPlanta2024.sawtoothsoftware.com/cgi-bin/ciwweb.pl?studyname=ProfPlanta2024&amp;Correo=luz.villegas1@unisabana.edu.co02"/>
  </r>
  <r>
    <s v="luz.villegas1@unisabana.edu.co"/>
    <s v="luz.villegas1@unisabana.edu.co03"/>
    <s v="ESPECIALIZACIï¿½N EN GERENCIA DE PROYECTOS CON ENFOQUE EN HABILIDADES DIRECTIVAS - CHï¿½A"/>
    <x v="88"/>
    <x v="1"/>
    <x v="0"/>
    <s v="Completa"/>
    <s v="Posgrado"/>
    <s v="INSTITUTO FORUM"/>
    <s v="https://ProfPlanta2024.sawtoothsoftware.com/cgi-bin/ciwweb.pl?studyname=ProfPlanta2024&amp;Correo=luz.villegas1@unisabana.edu.co03"/>
  </r>
  <r>
    <s v="manuel.figueredo@unisabana.edu.co"/>
    <s v="manuel.figueredo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manuel.figueredo@unisabana.edu.co01"/>
  </r>
  <r>
    <s v="manuel.figueredo@unisabana.edu.co"/>
    <s v="manuel.figueredo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manuel.figueredo@unisabana.edu.co02"/>
  </r>
  <r>
    <s v="manuel.figueredo@unisabana.edu.co"/>
    <s v="manuel.figuered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manuel.figueredo@unisabana.edu.co1"/>
  </r>
  <r>
    <s v="manuel.gonzalez@unisabana.edu.co"/>
    <s v="manuel.gonzalez@unisabana.edu.co01"/>
    <s v="MAESTRï¿½A EN PERIODISMO Y COMUNICACIï¿½N DIGITAL"/>
    <x v="47"/>
    <x v="1"/>
    <x v="0"/>
    <s v="Completa"/>
    <s v="Posgrado"/>
    <s v="FACULTAD DE COMUNICACIÓN"/>
    <s v="https://ProfPlanta2024.sawtoothsoftware.com/cgi-bin/ciwweb.pl?studyname=ProfPlanta2024&amp;Correo=manuel.gonzalez@unisabana.edu.co01"/>
  </r>
  <r>
    <s v="manuel.pareja@unisabana.edu.co"/>
    <s v="manuel.pareja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manuel.pareja@unisabana.edu.co1"/>
  </r>
  <r>
    <s v="manuel.prada3@unisabana.edu.co"/>
    <s v="manuel.prada3@unisabana.edu.co07"/>
    <s v="MAESTRÃA EN PSICOLOGÃA CLINICA DE LA NIÃ‘EZ Y LA ADOLESCENCIA"/>
    <x v="120"/>
    <x v="1"/>
    <x v="1"/>
    <s v="Incompleta"/>
    <s v="Posgrado"/>
    <s v="FACULTAD DE PSICOLOGÍA"/>
    <s v="https://ProfPlanta2024.sawtoothsoftware.com/cgi-bin/ciwweb.pl?studyname=ProfPlanta2024&amp;Correo=manuel.prada3@unisabana.edu.co07"/>
  </r>
  <r>
    <s v="manuel.valero@unisabana.edu.co"/>
    <s v="manuel.valero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manuel.valero@unisabana.edu.co01"/>
  </r>
  <r>
    <s v="manuel.valero@unisabana.edu.co"/>
    <s v="manuel.valer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manuel.valero@unisabana.edu.co1"/>
  </r>
  <r>
    <s v="marcela.duran1@unisabana.edu.co"/>
    <s v="marcela.duran1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marcela.duran1@unisabana.edu.co1"/>
  </r>
  <r>
    <s v="marcela.duran1@unisabana.edu.co"/>
    <s v="marcela.duran1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marcela.duran1@unisabana.edu.co2"/>
  </r>
  <r>
    <s v="marcela.duran1@unisabana.edu.co"/>
    <s v="marcela.duran1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marcela.duran1@unisabana.edu.co3"/>
  </r>
  <r>
    <s v="marcos.ferreira@unisabana.edu.co"/>
    <s v="marcos.ferreira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marcos.ferreira@unisabana.edu.co1"/>
  </r>
  <r>
    <s v="marcoscz@unisabana.edu.co"/>
    <s v="marcoscz@unisabana.edu.co01"/>
    <s v="ESPECIALIZACIï¿½N EN GINECOLOGï¿½A Y OBSTETRICIA"/>
    <x v="145"/>
    <x v="1"/>
    <x v="0"/>
    <s v="Completa"/>
    <s v="Posgrado"/>
    <s v="FACULTAD DE MEDICINA"/>
    <s v="https://ProfPlanta2024.sawtoothsoftware.com/cgi-bin/ciwweb.pl?studyname=ProfPlanta2024&amp;Correo=marcoscz@unisabana.edu.co01"/>
  </r>
  <r>
    <s v="marcoscz@unisabana.edu.co"/>
    <s v="marcoscz@unisabana.edu.co1"/>
    <s v="MEDICINA"/>
    <x v="4"/>
    <x v="1"/>
    <x v="1"/>
    <s v="Incompleta"/>
    <s v="Pregrado"/>
    <s v="FACULTAD DE MEDICINA"/>
    <s v="https://ProfPlanta2024.sawtoothsoftware.com/cgi-bin/ciwweb.pl?studyname=ProfPlanta2024&amp;Correo=marcoscz@unisabana.edu.co1"/>
  </r>
  <r>
    <s v="margarethalmo@unisabana.edu.co"/>
    <s v="margarethalmo@unisabana.edu.co01"/>
    <s v="MAESTRï¿½A EN FISIOTERAPIA"/>
    <x v="121"/>
    <x v="1"/>
    <x v="0"/>
    <s v="Completa"/>
    <s v="Posgrado"/>
    <s v="FACULTAD DE ENFERMERÍA Y REHABILITACIÓN"/>
    <s v="https://ProfPlanta2024.sawtoothsoftware.com/cgi-bin/ciwweb.pl?studyname=ProfPlanta2024&amp;Correo=margarethalmo@unisabana.edu.co01"/>
  </r>
  <r>
    <s v="margarethalmo@unisabana.edu.co"/>
    <s v="margarethalmo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margarethalmo@unisabana.edu.co02"/>
  </r>
  <r>
    <s v="margarethalmo@unisabana.edu.co"/>
    <s v="margarethalm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garethalmo@unisabana.edu.co1"/>
  </r>
  <r>
    <s v="margarita.cardenas@unisabana.edu.co"/>
    <s v="margarita.cardenas@unisabana.edu.co01"/>
    <s v="ESPECIALIZACIï¿½N EN CONTRATACIï¿½N ESTATAL - CHï¿½A"/>
    <x v="64"/>
    <x v="1"/>
    <x v="1"/>
    <s v="Incompleta"/>
    <s v="Posgrado"/>
    <s v="FACULTAD DE DERECHO Y CIENCIAS POLÍTICAS"/>
    <s v="https://ProfPlanta2024.sawtoothsoftware.com/cgi-bin/ciwweb.pl?studyname=ProfPlanta2024&amp;Correo=margarita.cardenas@unisabana.edu.co01"/>
  </r>
  <r>
    <s v="margarita.cardenas@unisabana.edu.co"/>
    <s v="margarita.cardenas@unisabana.edu.co02"/>
    <s v="MAESTRIA EN CONTRATACION ESTATAL"/>
    <x v="59"/>
    <x v="1"/>
    <x v="1"/>
    <s v="Incompleta"/>
    <s v="Posgrado"/>
    <s v="FACULTAD DE DERECHO Y CIENCIAS POLÍTICAS"/>
    <s v="https://ProfPlanta2024.sawtoothsoftware.com/cgi-bin/ciwweb.pl?studyname=ProfPlanta2024&amp;Correo=margarita.cardenas@unisabana.edu.co02"/>
  </r>
  <r>
    <s v="margarita.pomar@unisabana.edu.co"/>
    <s v="margarita.pomar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margarita.pomar@unisabana.edu.co01"/>
  </r>
  <r>
    <s v="margarita.pomar@unisabana.edu.co"/>
    <s v="margarita.pomar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margarita.pomar@unisabana.edu.co1"/>
  </r>
  <r>
    <s v="maria.abaunza@unisabana.edu.co"/>
    <s v="maria.abaunza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abaunza@unisabana.edu.co1"/>
  </r>
  <r>
    <s v="maria.aguilar1@unisabana.edu.co"/>
    <s v="maria.aguilar1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maria.aguilar1@unisabana.edu.co1"/>
  </r>
  <r>
    <s v="maria.angel6@unisabana.edu.co"/>
    <s v="maria.angel6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maria.angel6@unisabana.edu.co01"/>
  </r>
  <r>
    <s v="maria.angel6@unisabana.edu.co"/>
    <s v="maria.angel6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angel6@unisabana.edu.co1"/>
  </r>
  <r>
    <s v="maria.arbelaez4@unisabana.edu.co"/>
    <s v="maria.arbelaez4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maria.arbelaez4@unisabana.edu.co2"/>
  </r>
  <r>
    <s v="maria.barrios1@unisabana.edu.co"/>
    <s v="maria.barrios1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maria.barrios1@unisabana.edu.co01"/>
  </r>
  <r>
    <s v="maria.correa3@unisabana.edu.co"/>
    <s v="maria.correa3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maria.correa3@unisabana.edu.co1"/>
  </r>
  <r>
    <s v="maria.deaza@unisabana.edu.co"/>
    <s v="maria.deaza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maria.deaza@unisabana.edu.co1"/>
  </r>
  <r>
    <s v="maria.docal@unisabana.edu.co"/>
    <s v="maria.docal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maria.docal@unisabana.edu.co01"/>
  </r>
  <r>
    <s v="maria.gonzalez2@unisabana.edu.co"/>
    <s v="Maria.Gonzalez2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Maria.Gonzalez2@unisabana.edu.co1"/>
  </r>
  <r>
    <s v="maria.jaramillo10@unisabana.edu.co"/>
    <s v="maria.jaramillo10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maria.jaramillo10@unisabana.edu.co1"/>
  </r>
  <r>
    <s v="maria.macias1@unisabana.edu.co"/>
    <s v="maria.macias1@unisabana.edu.co01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maria.macias1@unisabana.edu.co01"/>
  </r>
  <r>
    <s v="maria.macias1@unisabana.edu.co"/>
    <s v="maria.macias1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maria.macias1@unisabana.edu.co1"/>
  </r>
  <r>
    <s v="maria.maldonado@unisabana.edu.co"/>
    <s v="maria.maldonado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maldonado@unisabana.edu.co1"/>
  </r>
  <r>
    <s v="maria.maldonado5@unisabana.edu.co"/>
    <s v="maria.maldonado5@unisabana.edu.co01"/>
    <s v="ESPECIALIZACIï¿½N EN PEDIATRï¿½A"/>
    <x v="79"/>
    <x v="1"/>
    <x v="1"/>
    <s v="Incompleta"/>
    <s v="Posgrado"/>
    <s v="FACULTAD DE MEDICINA"/>
    <s v="https://ProfPlanta2024.sawtoothsoftware.com/cgi-bin/ciwweb.pl?studyname=ProfPlanta2024&amp;Correo=maria.maldonado5@unisabana.edu.co01"/>
  </r>
  <r>
    <s v="maria.mazzanti@unisabana.edu.co"/>
    <s v="maria.mazzanti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maria.mazzanti@unisabana.edu.co01"/>
  </r>
  <r>
    <s v="maria.mejia2@unisabana.edu.co"/>
    <s v="maria.mejia2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maria.mejia2@unisabana.edu.co01"/>
  </r>
  <r>
    <s v="maria.mejia2@unisabana.edu.co"/>
    <s v="maria.mejia2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a.mejia2@unisabana.edu.co1"/>
  </r>
  <r>
    <s v="maria.quintanilla1@unisabana.edu.co"/>
    <s v="maria.quintanilla1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maria.quintanilla1@unisabana.edu.co01"/>
  </r>
  <r>
    <s v="maria.quintanilla1@unisabana.edu.co"/>
    <s v="maria.quintanilla1@unisabana.edu.co02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ria.quintanilla1@unisabana.edu.co02"/>
  </r>
  <r>
    <s v="maria.quintanilla1@unisabana.edu.co"/>
    <s v="maria.quintanill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maria.quintanilla1@unisabana.edu.co1"/>
  </r>
  <r>
    <s v="maria.quiroz@unisabana.edu.co"/>
    <s v="maria.quiroz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maria.quiroz@unisabana.edu.co01"/>
  </r>
  <r>
    <s v="maria.quiroz@unisabana.edu.co"/>
    <s v="maria.quiroz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maria.quiroz@unisabana.edu.co07"/>
  </r>
  <r>
    <s v="maria.quiroz@unisabana.edu.co"/>
    <s v="maria.quiroz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a.quiroz@unisabana.edu.co1"/>
  </r>
  <r>
    <s v="maria.rojas22@unisabana.edu.co"/>
    <s v="maria.rojas22@unisabana.edu.co01"/>
    <s v="ESPECIALIZACIï¿½N EN ENFERMERï¿½A EN CUIDADO CRï¿½TICO - CHï¿½A"/>
    <x v="10"/>
    <x v="1"/>
    <x v="1"/>
    <s v="Incompleta"/>
    <s v="Posgrado"/>
    <s v="FACULTAD DE ENFERMERÍA Y REHABILITACIÓN"/>
    <s v="https://ProfPlanta2024.sawtoothsoftware.com/cgi-bin/ciwweb.pl?studyname=ProfPlanta2024&amp;Correo=maria.rojas22@unisabana.edu.co01"/>
  </r>
  <r>
    <s v="maria.rojas22@unisabana.edu.co"/>
    <s v="maria.rojas22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maria.rojas22@unisabana.edu.co1"/>
  </r>
  <r>
    <s v="maria.sanchez2@unisabana.edu.co"/>
    <s v="maria.sanchez2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maria.sanchez2@unisabana.edu.co01"/>
  </r>
  <r>
    <s v="maria.sanchez2@unisabana.edu.co"/>
    <s v="maria.sanchez2@unisabana.edu.co02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maria.sanchez2@unisabana.edu.co02"/>
  </r>
  <r>
    <s v="maria.sanchez2@unisabana.edu.co"/>
    <s v="maria.sanchez2@unisabana.edu.co03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maria.sanchez2@unisabana.edu.co03"/>
  </r>
  <r>
    <s v="maria.sanchez2@unisabana.edu.co"/>
    <s v="maria.sanchez2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sanchez2@unisabana.edu.co1"/>
  </r>
  <r>
    <s v="maria.tovar5@unisabana.edu.co"/>
    <s v="maria.tovar5@unisabana.edu.co01"/>
    <s v="ESPECIALIZACIï¿½N EN PEDIATRï¿½A"/>
    <x v="79"/>
    <x v="1"/>
    <x v="0"/>
    <s v="Completa"/>
    <s v="Posgrado"/>
    <s v="FACULTAD DE MEDICINA"/>
    <s v="https://ProfPlanta2024.sawtoothsoftware.com/cgi-bin/ciwweb.pl?studyname=ProfPlanta2024&amp;Correo=maria.tovar5@unisabana.edu.co01"/>
  </r>
  <r>
    <s v="maria.umbacia@unisabana.edu.co"/>
    <s v="maria.umbacia@unisabana.edu.co01"/>
    <s v="ESPECIALIZACIï¿½N EN MEDICINA DEL DOLOR Y CUIDADOS PALIATIVOS"/>
    <x v="134"/>
    <x v="1"/>
    <x v="0"/>
    <s v="Completa"/>
    <s v="Posgrado"/>
    <s v="FACULTAD DE MEDICINA"/>
    <s v="https://ProfPlanta2024.sawtoothsoftware.com/cgi-bin/ciwweb.pl?studyname=ProfPlanta2024&amp;Correo=maria.umbacia@unisabana.edu.co01"/>
  </r>
  <r>
    <s v="maria.umbacia@unisabana.edu.co"/>
    <s v="maria.umbacia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umbacia@unisabana.edu.co1"/>
  </r>
  <r>
    <s v="maria.uribe3@unisabana.edu.co"/>
    <s v="maria.uribe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uribe3@unisabana.edu.co1"/>
  </r>
  <r>
    <s v="maria.velasco2@unisabana.edu.co"/>
    <s v="maria.velasco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maria.velasco2@unisabana.edu.co1"/>
  </r>
  <r>
    <s v="mariae.moreno@unisabana.edu.co"/>
    <s v="mariae.moreno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mariae.moreno@unisabana.edu.co01"/>
  </r>
  <r>
    <s v="mariae.moreno@unisabana.edu.co"/>
    <s v="mariae.moreno@unisabana.edu.co02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mariae.moreno@unisabana.edu.co02"/>
  </r>
  <r>
    <s v="mariae.moreno@unisabana.edu.co"/>
    <s v="mariae.moreno@unisabana.edu.co03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mariae.moreno@unisabana.edu.co03"/>
  </r>
  <r>
    <s v="mariae.moreno@unisabana.edu.co"/>
    <s v="mariae.moreno@unisabana.edu.co04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mariae.moreno@unisabana.edu.co04"/>
  </r>
  <r>
    <s v="mariasc@unisabana.edu.co"/>
    <s v="mariasc@unisabana.edu.co1"/>
    <s v="INNOVACIï¿½N Y EMPRENDIMIENTO"/>
    <x v="58"/>
    <x v="1"/>
    <x v="0"/>
    <s v="Completa"/>
    <s v="Pregrado"/>
    <s v="ESCUELA INTERNACIONAL DE CIENCIAS ECONÓMICAS Y ADMINISTRATIVAS"/>
    <s v="https://ProfPlanta2024.sawtoothsoftware.com/cgi-bin/ciwweb.pl?studyname=ProfPlanta2024&amp;Correo=mariasc@unisabana.edu.co1"/>
  </r>
  <r>
    <s v="maricela.montes@unisabana.edu.co"/>
    <s v="maricela.montes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maricela.montes@unisabana.edu.co01"/>
  </r>
  <r>
    <s v="maricela.montes@unisabana.edu.co"/>
    <s v="maricela.montes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maricela.montes@unisabana.edu.co1"/>
  </r>
  <r>
    <s v="mario.juha@unisabana.edu.co"/>
    <s v="mario.juha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mario.juha@unisabana.edu.co01"/>
  </r>
  <r>
    <s v="mario.juha@unisabana.edu.co"/>
    <s v="mario.juha@unisabana.edu.co02"/>
    <s v="MAESTRï¿½A EN GERENCIA DE INGENIERï¿½A - CHï¿½A"/>
    <x v="1"/>
    <x v="1"/>
    <x v="1"/>
    <s v="Incompleta"/>
    <s v="Posgrado"/>
    <s v="FACULTAD DE INGENIERÍA"/>
    <s v="https://ProfPlanta2024.sawtoothsoftware.com/cgi-bin/ciwweb.pl?studyname=ProfPlanta2024&amp;Correo=mario.juha@unisabana.edu.co02"/>
  </r>
  <r>
    <s v="mario.juha@unisabana.edu.co"/>
    <s v="mario.juh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mario.juha@unisabana.edu.co1"/>
  </r>
  <r>
    <s v="mario.martinez@unisabana.edu.co"/>
    <s v="mario.martinez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mario.martinez@unisabana.edu.co1"/>
  </r>
  <r>
    <s v="maritzarp@unisabana.edu.co"/>
    <s v="MaritzaRP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MaritzaRP@unisabana.edu.co01"/>
  </r>
  <r>
    <s v="maritzarp@unisabana.edu.co"/>
    <s v="MaritzaRP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tzaRP@unisabana.edu.co1"/>
  </r>
  <r>
    <s v="martha.acosta@unisabana.edu.co"/>
    <s v="martha.acosta@unisabana.edu.co01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martha.acosta@unisabana.edu.co01"/>
  </r>
  <r>
    <s v="martha.acosta@unisabana.edu.co"/>
    <s v="martha.acosta@unisabana.edu.co02"/>
    <s v="MAESTRï¿½A EN FISIOTERAPIA  - VIRTUAL"/>
    <x v="121"/>
    <x v="1"/>
    <x v="1"/>
    <s v="Incompleta"/>
    <s v="Posgrado"/>
    <s v="FACULTAD DE ENFERMERÍA Y REHABILITACIÓN"/>
    <s v="https://ProfPlanta2024.sawtoothsoftware.com/cgi-bin/ciwweb.pl?studyname=ProfPlanta2024&amp;Correo=martha.acosta@unisabana.edu.co02"/>
  </r>
  <r>
    <s v="martha.acosta@unisabana.edu.co"/>
    <s v="martha.acost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tha.acosta@unisabana.edu.co1"/>
  </r>
  <r>
    <s v="martha.co0bo@unisabana.edu.co"/>
    <s v="martha.co0bo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martha.co0bo@unisabana.edu.co01"/>
  </r>
  <r>
    <s v="martha.co0bo@unisabana.edu.co"/>
    <s v="martha.co0bo@unisabana.edu.co02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rtha.co0bo@unisabana.edu.co02"/>
  </r>
  <r>
    <s v="martha.gonzalez@unisabana.edu.co"/>
    <s v="martha.gonzalez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martha.gonzalez@unisabana.edu.co07"/>
  </r>
  <r>
    <s v="martha.leon@unisabana.edu.co"/>
    <s v="martha.leon@unisabana.edu.co01"/>
    <s v="ESPECIALIZACIï¿½N EN MEDICINA DEL DOLOR Y CUIDADOS PALIATIVOS"/>
    <x v="134"/>
    <x v="1"/>
    <x v="0"/>
    <s v="Completa"/>
    <s v="Posgrado"/>
    <s v="FACULTAD DE MEDICINA"/>
    <s v="https://ProfPlanta2024.sawtoothsoftware.com/cgi-bin/ciwweb.pl?studyname=ProfPlanta2024&amp;Correo=martha.leon@unisabana.edu.co01"/>
  </r>
  <r>
    <s v="martha.leon@unisabana.edu.co"/>
    <s v="martha.leon@unisabana.edu.co1"/>
    <s v="MEDICINA"/>
    <x v="4"/>
    <x v="1"/>
    <x v="1"/>
    <s v="Incompleta"/>
    <s v="Pregrado"/>
    <s v="FACULTAD DE MEDICINA"/>
    <s v="https://ProfPlanta2024.sawtoothsoftware.com/cgi-bin/ciwweb.pl?studyname=ProfPlanta2024&amp;Correo=martha.leon@unisabana.edu.co1"/>
  </r>
  <r>
    <s v="martha.miranda@unisabana.edu.co"/>
    <s v="martha.miran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martha.miranda@unisabana.edu.co1"/>
  </r>
  <r>
    <s v="martha.misas@unisabana.edu.co"/>
    <s v="martha.misas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martha.misas@unisabana.edu.co1"/>
  </r>
  <r>
    <s v="martha.roa@unisabana.edu.co"/>
    <s v="martha.ro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martha.roa@unisabana.edu.co1"/>
  </r>
  <r>
    <s v="maryorygl@unisabana.edu.co"/>
    <s v="Maryorygl@unisabana.edu.co01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Maryorygl@unisabana.edu.co01"/>
  </r>
  <r>
    <s v="mauricio.agudelo@unisabana.edu.co"/>
    <s v="mauricio.agudelo@unisabana.edu.co01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uricio.agudelo@unisabana.edu.co01"/>
  </r>
  <r>
    <s v="mauricio.agudelo@unisabana.edu.co"/>
    <s v="mauricio.agudel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agudelo@unisabana.edu.co1"/>
  </r>
  <r>
    <s v="mauricio.agudelo@unisabana.edu.co"/>
    <s v="mauricio.agudelo@unisabana.edu.co2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agudelo@unisabana.edu.co2"/>
  </r>
  <r>
    <s v="mauricio.sanchez2@unisabana.edu.co"/>
    <s v="mauricio.sanchez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sanchez2@unisabana.edu.co1"/>
  </r>
  <r>
    <s v="mauricio.ulloa@unisabana.edu.co"/>
    <s v="mauricio.ulloa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mauricio.ulloa@unisabana.edu.co01"/>
  </r>
  <r>
    <s v="mauricio.ulloa@unisabana.edu.co"/>
    <s v="mauricio.ulloa@unisabana.edu.co1"/>
    <s v="MEDICINA"/>
    <x v="4"/>
    <x v="1"/>
    <x v="0"/>
    <s v="Completa"/>
    <s v="Pregrado"/>
    <s v="FACULTAD DE MEDICINA"/>
    <s v="https://ProfPlanta2024.sawtoothsoftware.com/cgi-bin/ciwweb.pl?studyname=ProfPlanta2024&amp;Correo=mauricio.ulloa@unisabana.edu.co1"/>
  </r>
  <r>
    <s v="miguel.sarmiento@unisabana.edu.co"/>
    <s v="miguel.sarmiento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miguel.sarmiento@unisabana.edu.co1"/>
  </r>
  <r>
    <s v="miguel.uribe1@unisabana.edu.co"/>
    <s v="miguel.uribe1@unisabana.edu.co1"/>
    <s v="INGENIERï¿½A INDUSTRIAL"/>
    <x v="28"/>
    <x v="1"/>
    <x v="1"/>
    <s v="Incompleta"/>
    <s v="Pregrado"/>
    <s v="FACULTAD DE INGENIERÍA"/>
    <s v="https://ProfPlanta2024.sawtoothsoftware.com/cgi-bin/ciwweb.pl?studyname=ProfPlanta2024&amp;Correo=miguel.uribe1@unisabana.edu.co1"/>
  </r>
  <r>
    <s v="milena.saavedra@unisabana.edu.co"/>
    <s v="milena.saavedr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ilena.saavedra@unisabana.edu.co1"/>
  </r>
  <r>
    <s v="monica.diaz1@unisabana.edu.co"/>
    <s v="MONICA.DIAZ1@UNISABANA.EDU.CO1"/>
    <s v="MEDICINA"/>
    <x v="4"/>
    <x v="1"/>
    <x v="0"/>
    <s v="Completa"/>
    <s v="Pregrado"/>
    <s v="FACULTAD DE MEDICINA"/>
    <s v="https://ProfPlanta2024.sawtoothsoftware.com/cgi-bin/ciwweb.pl?studyname=ProfPlanta2024&amp;Correo=MONICA.DIAZ1@UNISABANA.EDU.CO1"/>
  </r>
  <r>
    <s v="monica.hurtado@unisabana.edu.co"/>
    <s v="monica.hurtado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monica.hurtado@unisabana.edu.co1"/>
  </r>
  <r>
    <s v="nadia.proanos1@unisabana.edu.co"/>
    <s v="nadia.proanos1@unisabana.edu.co01"/>
    <s v="MAESTRï¿½A EN EPIDEMIOLOGï¿½A"/>
    <x v="83"/>
    <x v="1"/>
    <x v="0"/>
    <s v="Completa"/>
    <s v="Posgrado"/>
    <s v="FACULTAD DE MEDICINA"/>
    <s v="https://ProfPlanta2024.sawtoothsoftware.com/cgi-bin/ciwweb.pl?studyname=ProfPlanta2024&amp;Correo=nadia.proanos1@unisabana.edu.co01"/>
  </r>
  <r>
    <s v="nadia.proanos1@unisabana.edu.co"/>
    <s v="nadia.proanos1@unisabana.edu.co1"/>
    <s v="MEDICINA"/>
    <x v="4"/>
    <x v="1"/>
    <x v="0"/>
    <s v="Completa"/>
    <s v="Pregrado"/>
    <s v="FACULTAD DE MEDICINA"/>
    <s v="https://ProfPlanta2024.sawtoothsoftware.com/cgi-bin/ciwweb.pl?studyname=ProfPlanta2024&amp;Correo=nadia.proanos1@unisabana.edu.co1"/>
  </r>
  <r>
    <s v="nancy.munoz@unisabana.edu.co"/>
    <s v="nancy.munoz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nancy.munoz@unisabana.edu.co1"/>
  </r>
  <r>
    <s v="natalia.arango1@unisabana.edu.co"/>
    <s v="natalia.arango1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natalia.arango1@unisabana.edu.co1"/>
  </r>
  <r>
    <s v="natalia.arango1@unisabana.edu.co"/>
    <s v="natalia.arango1@unisabana.edu.co2"/>
    <s v="INGENIERï¿½A CIVIL"/>
    <x v="49"/>
    <x v="1"/>
    <x v="0"/>
    <s v="Completa"/>
    <s v="Pregrado"/>
    <s v="FACULTAD DE INGENIERÍA"/>
    <s v="https://ProfPlanta2024.sawtoothsoftware.com/cgi-bin/ciwweb.pl?studyname=ProfPlanta2024&amp;Correo=natalia.arango1@unisabana.edu.co2"/>
  </r>
  <r>
    <s v="natalia.co0nde@unisabana.edu.co"/>
    <s v="natalia.co0nde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natalia.co0nde@unisabana.edu.co01"/>
  </r>
  <r>
    <s v="natalia.conde@unisabana.edu.co"/>
    <s v="natalia.conde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natalia.conde@unisabana.edu.co1"/>
  </r>
  <r>
    <s v="natalia.conde@unisabana.edu.co"/>
    <s v="natalia.conde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natalia.conde@unisabana.edu.co2"/>
  </r>
  <r>
    <s v="neil.valentin@unisabana.edu.co"/>
    <s v="neil.valentin@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neil.valentin@unisabana.edu.co01"/>
  </r>
  <r>
    <s v="neil.valentin@unisabana.edu.co"/>
    <s v="neil.valentin@unisabana.edu.co1"/>
    <s v="MEDICINA"/>
    <x v="4"/>
    <x v="1"/>
    <x v="1"/>
    <s v="Incompleta"/>
    <s v="Pregrado"/>
    <s v="FACULTAD DE MEDICINA"/>
    <s v="https://ProfPlanta2024.sawtoothsoftware.com/cgi-bin/ciwweb.pl?studyname=ProfPlanta2024&amp;Correo=neil.valentin@unisabana.edu.co1"/>
  </r>
  <r>
    <s v="neila.diaz@unisabana.edu.co"/>
    <s v="neila.diaz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neila.diaz@unisabana.edu.co1"/>
  </r>
  <r>
    <s v="nelly.ojeda@unisabana.edu.co"/>
    <s v="nelly.oje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nelly.ojeda@unisabana.edu.co1"/>
  </r>
  <r>
    <s v="nestor.sanchez1@unisabana.edu.co"/>
    <s v="nestor.sanch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nestor.sanchez1@unisabana.edu.co01"/>
  </r>
  <r>
    <s v="nestor.sanchez1@unisabana.edu.co"/>
    <s v="nestor.sanchez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nestor.sanchez1@unisabana.edu.co1"/>
  </r>
  <r>
    <s v="nicolas.garzon@unisabana.edu.co"/>
    <s v="nicolas.garzon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nicolas.garzon@unisabana.edu.co01"/>
  </r>
  <r>
    <s v="nicolas.garzon@unisabana.edu.co"/>
    <s v="nicolas.garzon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nicolas.garzon@unisabana.edu.co1"/>
  </r>
  <r>
    <s v="nicolas.rodriguez5@unisabana.edu.co"/>
    <s v="nicolas.rodriguez5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nicolas.rodriguez5@unisabana.edu.co01"/>
  </r>
  <r>
    <s v="nohora.angulo@unisabana.edu.co"/>
    <s v="nohora.angulo@unisabana.edu.co1"/>
    <s v="MEDICINA"/>
    <x v="4"/>
    <x v="1"/>
    <x v="0"/>
    <s v="Completa"/>
    <s v="Pregrado"/>
    <s v="FACULTAD DE MEDICINA"/>
    <s v="https://ProfPlanta2024.sawtoothsoftware.com/cgi-bin/ciwweb.pl?studyname=ProfPlanta2024&amp;Correo=nohora.angulo@unisabana.edu.co1"/>
  </r>
  <r>
    <s v="olga.restrepo@unisabana.edu.co"/>
    <s v="olga.restrepo@unisabana.edu.co1"/>
    <s v="MEDICINA"/>
    <x v="4"/>
    <x v="1"/>
    <x v="0"/>
    <s v="Completa"/>
    <s v="Pregrado"/>
    <s v="FACULTAD DE MEDICINA"/>
    <s v="https://ProfPlanta2024.sawtoothsoftware.com/cgi-bin/ciwweb.pl?studyname=ProfPlanta2024&amp;Correo=olga.restrepo@unisabana.edu.co1"/>
  </r>
  <r>
    <s v="olga.reyes1@unisabana.edu.co"/>
    <s v="olga.reyes1@unisabana.edu.co01"/>
    <s v="DOCTORADO EN EDUCACIï¿½N"/>
    <x v="138"/>
    <x v="1"/>
    <x v="1"/>
    <s v="Incompleta"/>
    <s v="Posgrado"/>
    <s v="FACULTAD DE EDUCACIÓN"/>
    <s v="https://ProfPlanta2024.sawtoothsoftware.com/cgi-bin/ciwweb.pl?studyname=ProfPlanta2024&amp;Correo=olga.reyes1@unisabana.edu.co01"/>
  </r>
  <r>
    <s v="olga.reyes1@unisabana.edu.co"/>
    <s v="olga.reyes1@unisabana.edu.co02"/>
    <s v="ESPECIALIZACIï¿½N EN PEDAGOGï¿½A E INVESTIGACIï¿½N EN EL AULA"/>
    <x v="94"/>
    <x v="1"/>
    <x v="1"/>
    <s v="Incompleta"/>
    <s v="Posgrado"/>
    <s v="FACULTAD DE EDUCACIÓN"/>
    <s v="https://ProfPlanta2024.sawtoothsoftware.com/cgi-bin/ciwweb.pl?studyname=ProfPlanta2024&amp;Correo=olga.reyes1@unisabana.edu.co02"/>
  </r>
  <r>
    <s v="olga.reyes1@unisabana.edu.co"/>
    <s v="olga.reyes1@unisabana.edu.co03"/>
    <s v="MAESTRï¿½A EN PEDAGOGï¿½A E INVESTIGACIï¿½N EN AULA - VIRTUAL"/>
    <x v="108"/>
    <x v="1"/>
    <x v="0"/>
    <s v="Incompleta"/>
    <s v="Posgrado"/>
    <s v="FACULTAD DE EDUCACIÓN"/>
    <s v="https://ProfPlanta2024.sawtoothsoftware.com/cgi-bin/ciwweb.pl?studyname=ProfPlanta2024&amp;Correo=olga.reyes1@unisabana.edu.co03"/>
  </r>
  <r>
    <s v="olga.reyes1@unisabana.edu.co"/>
    <s v="olga.reyes1@unisabana.edu.co04"/>
    <s v="MAESTRï¿½A EN PEDAGOGIA E INVESTIGACIï¿½N EN EL AULA"/>
    <x v="108"/>
    <x v="1"/>
    <x v="1"/>
    <s v="Incompleta"/>
    <s v="Posgrado"/>
    <s v="FACULTAD DE EDUCACIÓN"/>
    <s v="https://ProfPlanta2024.sawtoothsoftware.com/cgi-bin/ciwweb.pl?studyname=ProfPlanta2024&amp;Correo=olga.reyes1@unisabana.edu.co04"/>
  </r>
  <r>
    <s v="olga.reyes1@unisabana.edu.co"/>
    <s v="olga.reyes1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olga.reyes1@unisabana.edu.co1"/>
  </r>
  <r>
    <s v="omar.arias1@unisabana.edu.co"/>
    <s v="omar.arias1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omar.arias1@unisabana.edu.co1"/>
  </r>
  <r>
    <s v="oscar.boude@unisabana.edu.co"/>
    <s v="oscar.boude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oscar.boude@unisabana.edu.co01"/>
  </r>
  <r>
    <s v="oscar.boude@unisabana.edu.co"/>
    <s v="oscar.boude@unisabana.edu.co02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oscar.boude@unisabana.edu.co02"/>
  </r>
  <r>
    <s v="oscar.boude@unisabana.edu.co"/>
    <s v="oscar.boude@unisabana.edu.co03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oscar.boude@unisabana.edu.co03"/>
  </r>
  <r>
    <s v="pablo.gutierrez@unisabana.edu.co"/>
    <s v="pablo.gutierrez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pablo.gutierrez@unisabana.edu.co01"/>
  </r>
  <r>
    <s v="pamela.leyva1@unisabana.edu.co"/>
    <s v="pamela.leyva1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pamela.leyva1@unisabana.edu.co01"/>
  </r>
  <r>
    <s v="paola.arbelaez@unisabana.edu.co"/>
    <s v="paola.arbelaez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paola.arbelaez@unisabana.edu.co1"/>
  </r>
  <r>
    <s v="paola.sarmiento1@unisabana.edu.co"/>
    <s v="paola.sarmiento1@unisabana.edu.co01"/>
    <s v="MAESTRï¿½A EN ENFERMERï¿½A - VIRTUAL"/>
    <x v="13"/>
    <x v="1"/>
    <x v="1"/>
    <s v="Incompleta"/>
    <s v="Posgrado"/>
    <s v="FACULTAD DE ENFERMERÍA Y REHABILITACIÓN"/>
    <s v="https://ProfPlanta2024.sawtoothsoftware.com/cgi-bin/ciwweb.pl?studyname=ProfPlanta2024&amp;Correo=paola.sarmiento1@unisabana.edu.co01"/>
  </r>
  <r>
    <s v="paola.sarmiento1@unisabana.edu.co"/>
    <s v="paola.sarmiento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paola.sarmiento1@unisabana.edu.co1"/>
  </r>
  <r>
    <s v="paola.uribe@unisabana.edu.co"/>
    <s v="paola.uribe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paola.uribe@unisabana.edu.co1"/>
  </r>
  <r>
    <s v="paolaalbde@unisabana.edu.co"/>
    <s v="paolaalbde@unisabana.edu.co01"/>
    <s v="MAESTRï¿½A EN PERIODISMO Y COMUNICACIï¿½N DIGITAL"/>
    <x v="47"/>
    <x v="1"/>
    <x v="0"/>
    <s v="Completa"/>
    <s v="Posgrado"/>
    <s v="FACULTAD DE COMUNICACIÓN"/>
    <s v="https://ProfPlanta2024.sawtoothsoftware.com/cgi-bin/ciwweb.pl?studyname=ProfPlanta2024&amp;Correo=paolaalbde@unisabana.edu.co01"/>
  </r>
  <r>
    <s v="paolaalbde@unisabana.edu.co"/>
    <s v="paolaalbde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paolaalbde@unisabana.edu.co1"/>
  </r>
  <r>
    <s v="paolaalbde@unisabana.edu.co"/>
    <s v="paolaalbde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paolaalbde@unisabana.edu.co2"/>
  </r>
  <r>
    <s v="paolaalbde@unisabana.edu.co"/>
    <s v="paolaalbde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paolaalbde@unisabana.edu.co3"/>
  </r>
  <r>
    <s v="paula.bonilla3@unisabana.edu.co"/>
    <s v="paula.bonilla3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paula.bonilla3@unisabana.edu.co01"/>
  </r>
  <r>
    <s v="paula.bonilla3@unisabana.edu.co"/>
    <s v="paula.bonilla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paula.bonilla3@unisabana.edu.co1"/>
  </r>
  <r>
    <s v="paula.gonzalez4@unisabana.edu.co"/>
    <s v="paula.gonzalez4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paula.gonzalez4@unisabana.edu.co1"/>
  </r>
  <r>
    <s v="pedro.sarmiento@unisabana.edu.co"/>
    <s v="pedro.sarmiento@unisabana.edu.co01"/>
    <s v="MAESTRï¿½A EN BIOï¿½TICA"/>
    <x v="143"/>
    <x v="1"/>
    <x v="1"/>
    <s v="Incompleta"/>
    <s v="Posgrado"/>
    <s v="FACULTAD DE MEDICINA"/>
    <s v="https://ProfPlanta2024.sawtoothsoftware.com/cgi-bin/ciwweb.pl?studyname=ProfPlanta2024&amp;Correo=pedro.sarmiento@unisabana.edu.co01"/>
  </r>
  <r>
    <s v="rafael.alvarez@unisabana.edu.co"/>
    <s v="rafael.alvarez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rafael.alvarez@unisabana.edu.co1"/>
  </r>
  <r>
    <s v="rafael.henriquez@unisabana.edu.co"/>
    <s v="rafael.henriquez@unisabana.edu.co1"/>
    <s v="GESTIï¿½N DE OPERACIONES"/>
    <x v="96"/>
    <x v="1"/>
    <x v="0"/>
    <s v="Completa"/>
    <s v="Pregrado"/>
    <s v="ESCUELA INTERNACIONAL DE CIENCIAS ECONÓMICAS Y ADMINISTRATIVAS"/>
    <s v="https://ProfPlanta2024.sawtoothsoftware.com/cgi-bin/ciwweb.pl?studyname=ProfPlanta2024&amp;Correo=rafael.henriquez@unisabana.edu.co1"/>
  </r>
  <r>
    <s v="ricardo.aldana@unisabana.edu.co"/>
    <s v="ricardo.aldana@unisabana.edu.co1"/>
    <s v="MEDICINA"/>
    <x v="4"/>
    <x v="1"/>
    <x v="0"/>
    <s v="Completa"/>
    <s v="Pregrado"/>
    <s v="FACULTAD DE MEDICINA"/>
    <s v="https://ProfPlanta2024.sawtoothsoftware.com/cgi-bin/ciwweb.pl?studyname=ProfPlanta2024&amp;Correo=ricardo.aldana@unisabana.edu.co1"/>
  </r>
  <r>
    <s v="ricardo.cano@unisabana.edu.co"/>
    <s v="ricardo.can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ricardo.cano@unisabana.edu.co1"/>
  </r>
  <r>
    <s v="ricardo.sotaquira@unisabana.edu.co"/>
    <s v="ricardo.sotaquir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ricardo.sotaquira@unisabana.edu.co01"/>
  </r>
  <r>
    <s v="ricardo.sotaquira@unisabana.edu.co"/>
    <s v="ricardo.sotaquira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ricardo.sotaquira@unisabana.edu.co1"/>
  </r>
  <r>
    <s v="roberto.garcia@unisabana.edu.co"/>
    <s v="roberto.garcia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roberto.garcia@unisabana.edu.co1"/>
  </r>
  <r>
    <s v="rociohp@unisabana.edu.co"/>
    <s v="RocioHP@unisabana.edu.co03"/>
    <s v="ESPECIALIZACIï¿½N EN LIDERAZGO Y COACHING- CHï¿½A"/>
    <x v="8"/>
    <x v="1"/>
    <x v="0"/>
    <s v="Completa"/>
    <s v="Posgrado"/>
    <s v="INSTITUTO FORUM"/>
    <s v="https://ProfPlanta2024.sawtoothsoftware.com/cgi-bin/ciwweb.pl?studyname=ProfPlanta2024&amp;Correo=RocioHP@unisabana.edu.co03"/>
  </r>
  <r>
    <s v="rodrigo.cuevas@clinicaunisabana.edu.co"/>
    <s v="Rodrigo.Cuevas@clinicaunisabana.edu.co1"/>
    <s v="MEDICINA"/>
    <x v="4"/>
    <x v="1"/>
    <x v="0"/>
    <s v="Completa"/>
    <s v="Pregrado"/>
    <s v="FACULTAD DE MEDICINA"/>
    <s v="https://ProfPlanta2024.sawtoothsoftware.com/cgi-bin/ciwweb.pl?studyname=ProfPlanta2024&amp;Correo=Rodrigo.Cuevas@clinicaunisabana.edu.co1"/>
  </r>
  <r>
    <s v="ronal.forero@unisabana.edu.co"/>
    <s v="ronal.forero@unisabana.edu.co01"/>
    <s v="MAESTRï¿½A EN LINGï¿½ï¿½STICA PANHISPï¿½NICA - CHï¿½A"/>
    <x v="63"/>
    <x v="1"/>
    <x v="0"/>
    <s v="Completa"/>
    <s v="Posgrado"/>
    <s v="FACULTAD DE FILOSOFÍA Y CIENCIAS HUMANAS"/>
    <s v="https://ProfPlanta2024.sawtoothsoftware.com/cgi-bin/ciwweb.pl?studyname=ProfPlanta2024&amp;Correo=ronal.forero@unisabana.edu.co01"/>
  </r>
  <r>
    <s v="rosa.duran@unisabana.edu.co"/>
    <s v="rosa.duran@unisabana.edu.co01"/>
    <s v="MAESTRï¿½A EN SALUD Pï¿½BLICA"/>
    <x v="70"/>
    <x v="1"/>
    <x v="1"/>
    <s v="Incompleta"/>
    <s v="Posgrado"/>
    <s v="FACULTAD DE MEDICINA"/>
    <s v="https://ProfPlanta2024.sawtoothsoftware.com/cgi-bin/ciwweb.pl?studyname=ProfPlanta2024&amp;Correo=rosa.duran@unisabana.edu.co01"/>
  </r>
  <r>
    <s v="rosa.duran@unisabana.edu.co"/>
    <s v="rosa.duran@unisabana.edu.co1"/>
    <s v="MEDICINA"/>
    <x v="4"/>
    <x v="1"/>
    <x v="1"/>
    <s v="Incompleta"/>
    <s v="Pregrado"/>
    <s v="FACULTAD DE MEDICINA"/>
    <s v="https://ProfPlanta2024.sawtoothsoftware.com/cgi-bin/ciwweb.pl?studyname=ProfPlanta2024&amp;Correo=rosa.duran@unisabana.edu.co1"/>
  </r>
  <r>
    <s v="rosabucr@unisabana.edu.co"/>
    <s v="rosabucr@unisabana.edu.co01"/>
    <s v="ESPECIALIZACIï¿½N EN FARMACOLOGï¿½A CLï¿½NICA"/>
    <x v="50"/>
    <x v="1"/>
    <x v="1"/>
    <s v="Incompleta"/>
    <s v="Posgrado"/>
    <s v="FACULTAD DE MEDICINA"/>
    <s v="https://ProfPlanta2024.sawtoothsoftware.com/cgi-bin/ciwweb.pl?studyname=ProfPlanta2024&amp;Correo=rosabucr@unisabana.edu.co01"/>
  </r>
  <r>
    <s v="rosabucr@unisabana.edu.co"/>
    <s v="rosabucr@unisabana.edu.co1"/>
    <s v="MEDICINA"/>
    <x v="4"/>
    <x v="1"/>
    <x v="0"/>
    <s v="Completa"/>
    <s v="Pregrado"/>
    <s v="FACULTAD DE MEDICINA"/>
    <s v="https://ProfPlanta2024.sawtoothsoftware.com/cgi-bin/ciwweb.pl?studyname=ProfPlanta2024&amp;Correo=rosabucr@unisabana.edu.co1"/>
  </r>
  <r>
    <s v="ruth.ruiz@unisabana.edu.co"/>
    <s v="ruth.ruiz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ruth.ruiz@unisabana.edu.co01"/>
  </r>
  <r>
    <s v="ruth.ruiz@unisabana.edu.co"/>
    <s v="ruth.ruiz@unisabana.edu.co2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ruth.ruiz@unisabana.edu.co2"/>
  </r>
  <r>
    <s v="sandra.rodriguez11@unisabana.edu.co"/>
    <s v="sandra.rodriguez1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sandra.rodriguez11@unisabana.edu.co1"/>
  </r>
  <r>
    <s v="sandra.toro@unisabana.edu.co"/>
    <s v="sandra.toro@unisabana.edu.co1"/>
    <s v="MEDICINA"/>
    <x v="4"/>
    <x v="1"/>
    <x v="0"/>
    <s v="Completa"/>
    <s v="Pregrado"/>
    <s v="FACULTAD DE MEDICINA"/>
    <s v="https://ProfPlanta2024.sawtoothsoftware.com/cgi-bin/ciwweb.pl?studyname=ProfPlanta2024&amp;Correo=sandra.toro@unisabana.edu.co1"/>
  </r>
  <r>
    <s v="santiago.co0rtes1@unisabana.edu.co"/>
    <s v="santiago.co0rtes1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santiago.co0rtes1@unisabana.edu.co01"/>
  </r>
  <r>
    <s v="santiago.cortes1@unisabana.edu.co"/>
    <s v="santiago.cortes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santiago.cortes1@unisabana.edu.co1"/>
  </r>
  <r>
    <s v="sara.arias@unisabana.edu.co"/>
    <s v="sara.arias@unisabana.edu.co01"/>
    <s v="ESPECIALIZACIï¿½N EN FARMACOLOGï¿½A CLï¿½NICA"/>
    <x v="50"/>
    <x v="1"/>
    <x v="0"/>
    <s v="Completa"/>
    <s v="Posgrado"/>
    <s v="FACULTAD DE MEDICINA"/>
    <s v="https://ProfPlanta2024.sawtoothsoftware.com/cgi-bin/ciwweb.pl?studyname=ProfPlanta2024&amp;Correo=sara.arias@unisabana.edu.co01"/>
  </r>
  <r>
    <s v="sara.arias@unisabana.edu.co"/>
    <s v="sara.arias@unisabana.edu.co1"/>
    <s v="MEDICINA"/>
    <x v="4"/>
    <x v="1"/>
    <x v="0"/>
    <s v="Completa"/>
    <s v="Pregrado"/>
    <s v="FACULTAD DE MEDICINA"/>
    <s v="https://ProfPlanta2024.sawtoothsoftware.com/cgi-bin/ciwweb.pl?studyname=ProfPlanta2024&amp;Correo=sara.arias@unisabana.edu.co1"/>
  </r>
  <r>
    <s v="sarah.romero@unisabana.edu.co"/>
    <s v="sarah.romer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sarah.romero@unisabana.edu.co1"/>
  </r>
  <r>
    <s v="sergio.agudelo1@unisabana.edu.co"/>
    <s v="sergio.agudelo1@unisabana.edu.co01"/>
    <s v="ESPECIALIZACIï¿½N EN PEDIATRï¿½A"/>
    <x v="79"/>
    <x v="1"/>
    <x v="0"/>
    <s v="Completa"/>
    <s v="Posgrado"/>
    <s v="FACULTAD DE MEDICINA"/>
    <s v="https://ProfPlanta2024.sawtoothsoftware.com/cgi-bin/ciwweb.pl?studyname=ProfPlanta2024&amp;Correo=sergio.agudelo1@unisabana.edu.co01"/>
  </r>
  <r>
    <s v="sergio.agudelo1@unisabana.edu.co"/>
    <s v="sergio.agudelo1@unisabana.edu.co1"/>
    <s v="MEDICINA"/>
    <x v="4"/>
    <x v="1"/>
    <x v="0"/>
    <s v="Completa"/>
    <s v="Pregrado"/>
    <s v="FACULTAD DE MEDICINA"/>
    <s v="https://ProfPlanta2024.sawtoothsoftware.com/cgi-bin/ciwweb.pl?studyname=ProfPlanta2024&amp;Correo=sergio.agudelo1@unisabana.edu.co1"/>
  </r>
  <r>
    <s v="sergio.arciniegas@unisabana.edu.co"/>
    <s v="sergio.arciniegas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sergio.arciniegas@unisabana.edu.co1"/>
  </r>
  <r>
    <s v="sergio.lozano@unisabana.edu.co"/>
    <s v="sergio.lozano@unisabana.edu.co1"/>
    <s v="CENTRO INTERNACIONAL DE LENGUAS Y CULTURAS EXTRANJERAS"/>
    <x v="19"/>
    <x v="1"/>
    <x v="1"/>
    <s v="Incompleta"/>
    <s v="Pregrado"/>
    <s v="CENTRO INTERNACIONAL DE LENGUAS Y CULTURAS EXTRANJERAS"/>
    <s v="https://ProfPlanta2024.sawtoothsoftware.com/cgi-bin/ciwweb.pl?studyname=ProfPlanta2024&amp;Correo=sergio.lozano@unisabana.edu.co1"/>
  </r>
  <r>
    <s v="silvia.gast@unisabana.edu.co"/>
    <s v="silvia.gast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silvia.gast@unisabana.edu.co1"/>
  </r>
  <r>
    <s v="sonia.cardenas2@unisabana.edu.co"/>
    <s v="sonia.cardenas2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sonia.cardenas2@unisabana.edu.co1"/>
  </r>
  <r>
    <s v="tatiana.avila@unisabana.edu.co"/>
    <s v="tatiana.avila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tatiana.avila@unisabana.edu.co1"/>
  </r>
  <r>
    <s v="tatiana.osorio@unisabana.edu.co"/>
    <s v="tatiana.osorio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tatiana.osorio@unisabana.edu.co1"/>
  </r>
  <r>
    <s v="tatianaghija@unisabana.edu.co"/>
    <s v="tatianaghija@unisabana.edu.co01"/>
    <s v="MAESTRï¿½A EN PROYECTOS EDUCATIVOS MEDIADOS POR TIC"/>
    <x v="124"/>
    <x v="1"/>
    <x v="0"/>
    <s v="Completa"/>
    <s v="Posgrado"/>
    <s v="FACULTAD DE EDUCACIÓN"/>
    <s v="https://ProfPlanta2024.sawtoothsoftware.com/cgi-bin/ciwweb.pl?studyname=ProfPlanta2024&amp;Correo=tatianaghija@unisabana.edu.co01"/>
  </r>
  <r>
    <s v="tatianaghija@unisabana.edu.co"/>
    <s v="tatianaghija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tatianaghija@unisabana.edu.co1"/>
  </r>
  <r>
    <s v="tebbie.chacon1@unisabana.edu.co"/>
    <s v="tebbie.chacon1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tebbie.chacon1@unisabana.edu.co2"/>
  </r>
  <r>
    <s v="ulf.thoene@unisabana.edu.co"/>
    <s v="ulf.thoene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ulf.thoene@unisabana.edu.co1"/>
  </r>
  <r>
    <s v="victor.gamboa@unisabana.edu.co"/>
    <s v="victor.gamboa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victor.gamboa@unisabana.edu.co1"/>
  </r>
  <r>
    <s v="victor.garcia2@unisabana.edu.co"/>
    <s v="victor.garcia2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victor.garcia2@unisabana.edu.co01"/>
  </r>
  <r>
    <s v="victoria.cabrera@unisabana.edu.co"/>
    <s v="victoria.cabrera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victoria.cabrera@unisabana.edu.co01"/>
  </r>
  <r>
    <s v="wilder.villamil@unisabana.edu.co"/>
    <s v="wilder.villamil@unisabana.edu.co01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wilder.villamil@unisabana.edu.co01"/>
  </r>
  <r>
    <s v="william.guerrero1@unisabana.edu.co"/>
    <s v="william.guerrero1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william.guerrero1@unisabana.edu.co01"/>
  </r>
  <r>
    <s v="william.guerrero1@unisabana.edu.co"/>
    <s v="william.guerrero1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william.guerrero1@unisabana.edu.co02"/>
  </r>
  <r>
    <s v="william.hernandez2@unisabana.edu.co"/>
    <s v="william.hernandez2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william.hernandez2@unisabana.edu.co01"/>
  </r>
  <r>
    <s v="william.hernandez2@unisabana.edu.co"/>
    <s v="william.hernandez2@unisabana.edu.co02"/>
    <s v="MAESTRIA EN DERECHO DE LA EMPRESA Y DE LOS NEGOCIOS"/>
    <x v="9"/>
    <x v="1"/>
    <x v="0"/>
    <s v="Completa"/>
    <s v="Posgrado"/>
    <s v="FACULTAD DE DERECHO Y CIENCIAS POLÍTICAS"/>
    <s v="https://ProfPlanta2024.sawtoothsoftware.com/cgi-bin/ciwweb.pl?studyname=ProfPlanta2024&amp;Correo=william.hernandez2@unisabana.edu.co02"/>
  </r>
  <r>
    <s v="william.hernandez2@unisabana.edu.co"/>
    <s v="william.hernandez2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william.hernandez2@unisabana.edu.co1"/>
  </r>
  <r>
    <s v="wilmar.segura@unisabana.edu.co"/>
    <s v="wilmar.segur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wilmar.segura@unisabana.edu.co1"/>
  </r>
  <r>
    <s v="wilson.betancur@unisabana.edu.co"/>
    <s v="wilson.betancur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wilson.betancur@unisabana.edu.co1"/>
  </r>
  <r>
    <s v="wilson.betancur@unisabana.edu.co"/>
    <s v="wilson.betancur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wilson.betancur@unisabana.edu.co2"/>
  </r>
  <r>
    <s v="wilson.briceno@unisabana.edu.co"/>
    <s v="wilson.briceno@unisabana.edu.co01"/>
    <s v="ESPECIALIZACIï¿½N EN FARMACOLOGï¿½A CLï¿½NICA"/>
    <x v="50"/>
    <x v="1"/>
    <x v="0"/>
    <s v="Completa"/>
    <s v="Posgrado"/>
    <s v="FACULTAD DE MEDICINA"/>
    <s v="https://ProfPlanta2024.sawtoothsoftware.com/cgi-bin/ciwweb.pl?studyname=ProfPlanta2024&amp;Correo=wilson.briceno@unisabana.edu.co01"/>
  </r>
  <r>
    <s v="wilson.briceno@unisabana.edu.co"/>
    <s v="wilson.briceno@unisabana.edu.co1"/>
    <s v="MEDICINA"/>
    <x v="4"/>
    <x v="1"/>
    <x v="0"/>
    <s v="Completa"/>
    <s v="Pregrado"/>
    <s v="FACULTAD DE MEDICINA"/>
    <s v="https://ProfPlanta2024.sawtoothsoftware.com/cgi-bin/ciwweb.pl?studyname=ProfPlanta2024&amp;Correo=wilson.briceno@unisabana.edu.co1"/>
  </r>
  <r>
    <s v="wilson.parra1@unisabana.edu.co"/>
    <s v="wilson.parra1@unisabana.edu.co1"/>
    <s v="MEDICINA"/>
    <x v="4"/>
    <x v="1"/>
    <x v="0"/>
    <s v="Completa"/>
    <s v="Pregrado"/>
    <s v="FACULTAD DE MEDICINA"/>
    <s v="https://ProfPlanta2024.sawtoothsoftware.com/cgi-bin/ciwweb.pl?studyname=ProfPlanta2024&amp;Correo=wilson.parra1@unisabana.edu.co1"/>
  </r>
  <r>
    <s v="wilson.rodriguez1@unisabana.edu.co"/>
    <s v="wilson.rodriguez1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wilson.rodriguez1@unisabana.edu.co1"/>
  </r>
  <r>
    <s v="yady.gonzalez@unisabana.edu.co"/>
    <s v="yady.gonzalez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yady.gonzalez@unisabana.edu.co1"/>
  </r>
  <r>
    <s v="yady.gonzalez@unisabana.edu.co"/>
    <s v="yady.gonzalez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yady.gonzalez@unisabana.edu.co2"/>
  </r>
  <r>
    <s v="yeimysd@unisabana.edu.co"/>
    <s v="yeimysd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yeimysd@unisabana.edu.co1"/>
  </r>
  <r>
    <s v="yili.espitia@unisabana.edu.co"/>
    <s v="yili.espitia@unisabana.edu.co1"/>
    <s v="INGENIERï¿½A DE BIOPRODUCCIï¿½N"/>
    <x v="90"/>
    <x v="1"/>
    <x v="1"/>
    <s v="Incompleta"/>
    <s v="Pregrado"/>
    <s v="FACULTAD DE INGENIERÍA"/>
    <s v="https://ProfPlanta2024.sawtoothsoftware.com/cgi-bin/ciwweb.pl?studyname=ProfPlanta2024&amp;Correo=yili.espitia@unisabana.edu.co1"/>
  </r>
  <r>
    <s v="yili.espitia@unisabana.edu.co"/>
    <s v="yili.espitia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yili.espitia@unisabana.edu.co2"/>
  </r>
  <r>
    <s v="yosimar.diaz1@unisabana.edu.co"/>
    <s v="yosimar.dia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yosimar.diaz1@unisabana.edu.co01"/>
  </r>
  <r>
    <s v="yosimar.diaz1@unisabana.edu.co"/>
    <s v="yosimar.diaz1@unisabana.edu.co1"/>
    <s v="INGENIERï¿½A DE BIOPRODUCCIï¿½N"/>
    <x v="90"/>
    <x v="1"/>
    <x v="1"/>
    <s v="Incompleta"/>
    <s v="Pregrado"/>
    <s v="FACULTAD DE INGENIERÍA"/>
    <s v="https://ProfPlanta2024.sawtoothsoftware.com/cgi-bin/ciwweb.pl?studyname=ProfPlanta2024&amp;Correo=yosimar.diaz1@unisabana.edu.co1"/>
  </r>
  <r>
    <s v="yosimar.diaz1@unisabana.edu.co"/>
    <s v="yosimar.diaz1@unisabana.edu.co2"/>
    <s v="INGENIERï¿½A INDUSTRIAL"/>
    <x v="28"/>
    <x v="1"/>
    <x v="0"/>
    <s v="Completa"/>
    <s v="Pregrado"/>
    <s v="FACULTAD DE INGENIERÍA"/>
    <s v="https://ProfPlanta2024.sawtoothsoftware.com/cgi-bin/ciwweb.pl?studyname=ProfPlanta2024&amp;Correo=yosimar.diaz1@unisabana.edu.co2"/>
  </r>
  <r>
    <s v="yuli.fuentes@unisabana.edu.co"/>
    <s v="yuli.fuentes@unisabana.edu.co01"/>
    <s v="MAESTRï¿½A EN EPIDEMIOLOGï¿½A"/>
    <x v="83"/>
    <x v="1"/>
    <x v="1"/>
    <s v="Incompleta"/>
    <s v="Posgrado"/>
    <s v="FACULTAD DE MEDICINA"/>
    <s v="https://ProfPlanta2024.sawtoothsoftware.com/cgi-bin/ciwweb.pl?studyname=ProfPlanta2024&amp;Correo=yuli.fuentes@unisabana.edu.co01"/>
  </r>
  <r>
    <s v="yuli.fuentes@unisabana.edu.co"/>
    <s v="yuli.fuentes@unisabana.edu.co1"/>
    <s v="MEDICINA"/>
    <x v="4"/>
    <x v="1"/>
    <x v="0"/>
    <s v="Completa"/>
    <s v="Pregrado"/>
    <s v="FACULTAD DE MEDICINA"/>
    <s v="https://ProfPlanta2024.sawtoothsoftware.com/cgi-bin/ciwweb.pl?studyname=ProfPlanta2024&amp;Correo=yuli.fuentes@unisabana.edu.co1"/>
  </r>
  <r>
    <s v="yulieth.zabaleta1@unisabana.edu.co"/>
    <s v="yulieth.zabaleta1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yulieth.zabaleta1@unisabana.edu.co01"/>
  </r>
  <r>
    <s v="yulieth.zabaleta1@unisabana.edu.co"/>
    <s v="yulieth.zabaleta1@unisabana.edu.co02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yulieth.zabaleta1@unisabana.edu.co02"/>
  </r>
  <r>
    <s v="yulieth.zabaleta1@unisabana.edu.co"/>
    <s v="yulieth.zabaleta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yulieth.zabaleta1@unisabana.edu.co1"/>
  </r>
  <r>
    <s v="yustinne.cardenas@unisabana.edu.co"/>
    <s v="yustinne.cardenas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yustinne.cardenas@unisabana.edu.co1"/>
  </r>
  <r>
    <s v="zulanye.figueredo@unisabana.edu.co"/>
    <s v="zulanye.figuered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zulanye.figueredo@unisabana.edu.co1"/>
  </r>
  <r>
    <s v="camilo.rincon2@unisabana.edu.co"/>
    <s v="camilo.rincon2@unisabana.edu.co02"/>
    <s v="MAESTRÍA EN GERENCIA Y DESARROLLO DE PERSONAS"/>
    <x v="65"/>
    <x v="0"/>
    <x v="0"/>
    <m/>
    <s v="Posgrado"/>
    <s v="FACULTAD DE PSICOLOGÍA"/>
    <s v="https://ProfCatedra2024.sawtoothsoftware.com/cgi-bin/ciwweb.pl?studyname=ProfCatedra2024&amp;Correo=camilo.rincon2@unisabana.edu.co02"/>
  </r>
  <r>
    <s v="jorge.martinez_cont@unisabana.edu.co"/>
    <m/>
    <m/>
    <x v="82"/>
    <x v="0"/>
    <x v="3"/>
    <m/>
    <s v="Posgrado"/>
    <s v="INSTITUTO FORUM"/>
    <m/>
  </r>
  <r>
    <s v="jorge.martinez_cont@unisabana.edu.co"/>
    <m/>
    <m/>
    <x v="127"/>
    <x v="0"/>
    <x v="3"/>
    <m/>
    <s v="Posgrado"/>
    <s v="INSTITUTO FORUM"/>
    <m/>
  </r>
  <r>
    <s v="mauricio.escobar1@unisabana.edu.co"/>
    <m/>
    <m/>
    <x v="125"/>
    <x v="0"/>
    <x v="3"/>
    <m/>
    <s v="Posgrado"/>
    <s v="INSTITUTO FORUM"/>
    <m/>
  </r>
  <r>
    <s v="mauricio.escobar1@unisabana.edu.co"/>
    <m/>
    <m/>
    <x v="52"/>
    <x v="0"/>
    <x v="3"/>
    <m/>
    <s v="Posgrado"/>
    <s v="INSTITUTO FORUM"/>
    <m/>
  </r>
  <r>
    <s v="mauricio.escobar1@unisabana.edu.co"/>
    <m/>
    <m/>
    <x v="55"/>
    <x v="0"/>
    <x v="3"/>
    <m/>
    <s v="Posgrado"/>
    <s v="INSTITUTO FORUM"/>
    <m/>
  </r>
  <r>
    <s v="mauricio.escobar1@unisabana.edu.co"/>
    <m/>
    <m/>
    <x v="54"/>
    <x v="0"/>
    <x v="3"/>
    <m/>
    <s v="Posgrado"/>
    <s v="INSTITUTO FORUM"/>
    <m/>
  </r>
  <r>
    <s v="mauricio.escobar1@unisabana.edu.co"/>
    <m/>
    <m/>
    <x v="82"/>
    <x v="0"/>
    <x v="3"/>
    <m/>
    <s v="Posgrado"/>
    <s v="INSTITUTO FORUM"/>
    <m/>
  </r>
  <r>
    <s v="mauricio.escobar1@unisabana.edu.co"/>
    <m/>
    <m/>
    <x v="78"/>
    <x v="0"/>
    <x v="3"/>
    <m/>
    <s v="Posgrado"/>
    <s v="INSTITUTO FORUM"/>
    <m/>
  </r>
  <r>
    <s v="mauricio.escobar1@unisabana.edu.co"/>
    <m/>
    <m/>
    <x v="127"/>
    <x v="0"/>
    <x v="3"/>
    <m/>
    <s v="Posgrado"/>
    <s v="INSTITUTO FORUM"/>
    <m/>
  </r>
  <r>
    <s v="jorge.bolivar@unisabana.edu.co"/>
    <m/>
    <m/>
    <x v="125"/>
    <x v="0"/>
    <x v="3"/>
    <m/>
    <s v="Posgrado"/>
    <s v="INSTITUTO FORUM"/>
    <m/>
  </r>
  <r>
    <s v="jorge.bolivar@unisabana.edu.co"/>
    <m/>
    <m/>
    <x v="126"/>
    <x v="0"/>
    <x v="3"/>
    <m/>
    <s v="Posgrado"/>
    <s v="INSTITUTO FORUM"/>
    <m/>
  </r>
  <r>
    <s v="jorge.bolivar@unisabana.edu.co"/>
    <m/>
    <m/>
    <x v="55"/>
    <x v="0"/>
    <x v="3"/>
    <m/>
    <s v="Posgrado"/>
    <s v="INSTITUTO FORUM"/>
    <m/>
  </r>
  <r>
    <s v="jorge.bolivar@unisabana.edu.co"/>
    <m/>
    <m/>
    <x v="54"/>
    <x v="0"/>
    <x v="3"/>
    <m/>
    <s v="Posgrado"/>
    <s v="INSTITUTO FORUM"/>
    <m/>
  </r>
  <r>
    <s v="jorge.bolivar@unisabana.edu.co"/>
    <m/>
    <m/>
    <x v="52"/>
    <x v="0"/>
    <x v="3"/>
    <m/>
    <s v="Posgrado"/>
    <s v="INSTITUTO FORUM"/>
    <m/>
  </r>
  <r>
    <s v="jorge.bolivar@unisabana.edu.co"/>
    <m/>
    <m/>
    <x v="78"/>
    <x v="0"/>
    <x v="3"/>
    <m/>
    <s v="Posgrado"/>
    <s v="INSTITUTO FORUM"/>
    <m/>
  </r>
  <r>
    <s v="jorge.bolivar@unisabana.edu.co"/>
    <m/>
    <m/>
    <x v="127"/>
    <x v="0"/>
    <x v="3"/>
    <m/>
    <s v="Posgrado"/>
    <s v="INSTITUTO FORUM"/>
    <m/>
  </r>
  <r>
    <s v="carlos.rojas@unisabana.edu.co"/>
    <m/>
    <m/>
    <x v="125"/>
    <x v="0"/>
    <x v="3"/>
    <m/>
    <s v="Posgrado"/>
    <s v="INSTITUTO FORUM"/>
    <m/>
  </r>
  <r>
    <s v="carlos.rojas@unisabana.edu.co"/>
    <m/>
    <m/>
    <x v="126"/>
    <x v="0"/>
    <x v="3"/>
    <m/>
    <s v="Posgrado"/>
    <s v="INSTITUTO FORUM"/>
    <m/>
  </r>
  <r>
    <s v="carlos.rojas@unisabana.edu.co"/>
    <m/>
    <m/>
    <x v="52"/>
    <x v="0"/>
    <x v="3"/>
    <m/>
    <s v="Posgrado"/>
    <s v="INSTITUTO FORUM"/>
    <m/>
  </r>
  <r>
    <s v="carlos.rojas@unisabana.edu.co"/>
    <m/>
    <m/>
    <x v="78"/>
    <x v="0"/>
    <x v="3"/>
    <m/>
    <s v="Posgrado"/>
    <s v="INSTITUTO FORUM"/>
    <m/>
  </r>
  <r>
    <s v="carlos.rojas@unisabana.edu.co"/>
    <m/>
    <m/>
    <x v="127"/>
    <x v="0"/>
    <x v="3"/>
    <m/>
    <s v="Posgrado"/>
    <s v="INSTITUTO FORUM"/>
    <m/>
  </r>
  <r>
    <s v="carlos.rojas@unisabana.edu.co"/>
    <m/>
    <m/>
    <x v="82"/>
    <x v="0"/>
    <x v="3"/>
    <m/>
    <s v="Posgrado"/>
    <s v="INSTITUTO FORUM"/>
    <m/>
  </r>
  <r>
    <s v="milton.bautista@unisabana.edu.co"/>
    <m/>
    <m/>
    <x v="146"/>
    <x v="0"/>
    <x v="3"/>
    <m/>
    <s v="Posgrado"/>
    <s v="INSTITUTO FORUM"/>
    <m/>
  </r>
  <r>
    <s v="maria.villar2@unisabana.edu.co"/>
    <m/>
    <m/>
    <x v="146"/>
    <x v="0"/>
    <x v="3"/>
    <m/>
    <s v="Posgrado"/>
    <s v="INSTITUTO FORUM"/>
    <m/>
  </r>
  <r>
    <s v="gustavo.riveros1@unisabana.edu.co"/>
    <m/>
    <m/>
    <x v="125"/>
    <x v="1"/>
    <x v="3"/>
    <e v="#N/A"/>
    <s v="Posgrado"/>
    <s v="INSTITUTO FORUM"/>
    <m/>
  </r>
  <r>
    <s v="gustavo.riveros1@unisabana.edu.co"/>
    <m/>
    <m/>
    <x v="126"/>
    <x v="1"/>
    <x v="3"/>
    <e v="#N/A"/>
    <s v="Posgrado"/>
    <s v="INSTITUTO FORUM"/>
    <m/>
  </r>
  <r>
    <s v="gustavo.riveros1@unisabana.edu.co"/>
    <m/>
    <m/>
    <x v="55"/>
    <x v="1"/>
    <x v="3"/>
    <e v="#N/A"/>
    <s v="Posgrado"/>
    <s v="INSTITUTO FORUM"/>
    <m/>
  </r>
  <r>
    <s v="gustavo.riveros1@unisabana.edu.co"/>
    <m/>
    <m/>
    <x v="54"/>
    <x v="1"/>
    <x v="3"/>
    <e v="#N/A"/>
    <s v="Posgrado"/>
    <s v="INSTITUTO FORUM"/>
    <m/>
  </r>
  <r>
    <s v="gustavo.riveros1@unisabana.edu.co"/>
    <m/>
    <m/>
    <x v="82"/>
    <x v="1"/>
    <x v="3"/>
    <e v="#N/A"/>
    <s v="Posgrado"/>
    <s v="INSTITUTO FORUM"/>
    <m/>
  </r>
  <r>
    <s v="gustavo.riveros1@unisabana.edu.co"/>
    <m/>
    <m/>
    <x v="78"/>
    <x v="1"/>
    <x v="3"/>
    <e v="#N/A"/>
    <s v="Posgrado"/>
    <s v="INSTITUTO FORUM"/>
    <m/>
  </r>
  <r>
    <s v="gustavo.riveros1@unisabana.edu.co"/>
    <m/>
    <m/>
    <x v="127"/>
    <x v="1"/>
    <x v="3"/>
    <e v="#N/A"/>
    <s v="Posgrado"/>
    <s v="INSTITUTO FORUM"/>
    <m/>
  </r>
  <r>
    <s v="luz.villegas1@unisabana.edu.co"/>
    <m/>
    <m/>
    <x v="125"/>
    <x v="1"/>
    <x v="3"/>
    <e v="#N/A"/>
    <s v="Posgrado"/>
    <s v="INSTITUTO FORUM"/>
    <m/>
  </r>
  <r>
    <s v="luz.villegas1@unisabana.edu.co"/>
    <m/>
    <m/>
    <x v="52"/>
    <x v="1"/>
    <x v="3"/>
    <e v="#N/A"/>
    <s v="Posgrado"/>
    <s v="INSTITUTO FORUM"/>
    <m/>
  </r>
  <r>
    <s v="luz.villegas1@unisabana.edu.co"/>
    <m/>
    <m/>
    <x v="55"/>
    <x v="1"/>
    <x v="3"/>
    <e v="#N/A"/>
    <s v="Posgrado"/>
    <s v="INSTITUTO FORUM"/>
    <m/>
  </r>
  <r>
    <s v="luz.villegas1@unisabana.edu.co"/>
    <m/>
    <m/>
    <x v="54"/>
    <x v="1"/>
    <x v="3"/>
    <e v="#N/A"/>
    <s v="Posgrado"/>
    <s v="INSTITUTO FORUM"/>
    <m/>
  </r>
  <r>
    <s v="luz.villegas1@unisabana.edu.co"/>
    <m/>
    <m/>
    <x v="82"/>
    <x v="1"/>
    <x v="3"/>
    <e v="#N/A"/>
    <s v="Posgrado"/>
    <s v="INSTITUTO FORUM"/>
    <m/>
  </r>
  <r>
    <s v="luz.villegas1@unisabana.edu.co"/>
    <m/>
    <m/>
    <x v="78"/>
    <x v="1"/>
    <x v="3"/>
    <e v="#N/A"/>
    <s v="Posgrado"/>
    <s v="INSTITUTO FORUM"/>
    <m/>
  </r>
  <r>
    <s v="luz.villegas1@unisabana.edu.co"/>
    <m/>
    <m/>
    <x v="127"/>
    <x v="1"/>
    <x v="3"/>
    <e v="#N/A"/>
    <s v="Posgrado"/>
    <s v="INSTITUTO FORUM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8">
  <r>
    <s v="acarbonellg@gmail.com"/>
    <s v="acarbonellg@gmail.com1"/>
    <s v="Especializaciï¿½n en Emprendimiento y Negocios Digitales- Chï¿½a"/>
    <x v="0"/>
    <x v="0"/>
    <x v="0"/>
    <s v="Completa"/>
    <s v="Posgrado"/>
    <s v="INSTITUTO FORUM"/>
    <s v="https://ProfCatedra2024.sawtoothsoftware.com/cgi-bin/ciwweb.pl?studyname=ProfCatedra2024&amp;Correo=acarbonellg@gmail.com1"/>
  </r>
  <r>
    <s v="adalberto.prada@unisabana.edu.co"/>
    <s v="adalberto.prada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adalberto.prada@unisabana.edu.co01"/>
  </r>
  <r>
    <s v="adrian.martinez@unisabana.edu.co"/>
    <s v="adrian.martinez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adrian.martinez@unisabana.edu.co1"/>
  </r>
  <r>
    <s v="adriana.acevedo@unisabana.edu.co"/>
    <s v="adriana.acevedo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adriana.acevedo@unisabana.edu.co1"/>
  </r>
  <r>
    <s v="adriana.maldonado@unisabana.edu.co"/>
    <s v="adriana.maldonado@unisabana.edu.co1"/>
    <s v="MEDICINA"/>
    <x v="4"/>
    <x v="0"/>
    <x v="0"/>
    <s v="Completa"/>
    <s v="Pregrado"/>
    <s v="FACULTAD DE MEDICINA"/>
    <s v="https://ProfCatedra2024.sawtoothsoftware.com/cgi-bin/ciwweb.pl?studyname=ProfCatedra2024&amp;Correo=adriana.maldonado@unisabana.edu.co1"/>
  </r>
  <r>
    <s v="adrianagarciagama@gmail.com"/>
    <s v="ADRIANAGARCIAGAMA@GMAIL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ADRIANAGARCIAGAMA@GMAIL.COM1"/>
  </r>
  <r>
    <s v="adrianapeme@unisabana.edu.co"/>
    <s v="adrianapeme@unisabana.edu.co01"/>
    <s v="Especializaciï¿½n en Gerencia Comercial Virtual"/>
    <x v="6"/>
    <x v="0"/>
    <x v="0"/>
    <s v="Completa"/>
    <s v="Posgrado"/>
    <s v="INSTITUTO FORUM"/>
    <s v="https://ProfCatedra2024.sawtoothsoftware.com/cgi-bin/ciwweb.pl?studyname=ProfCatedra2024&amp;Correo=adrianapeme@unisabana.edu.co01"/>
  </r>
  <r>
    <s v="adrianapeme@unisabana.edu.co"/>
    <s v="adrianapeme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adrianapeme@unisabana.edu.co02"/>
  </r>
  <r>
    <s v="adrianapeme@unisabana.edu.co"/>
    <s v="adrianapeme@unisabana.edu.co03"/>
    <s v="Especializaciï¿½n en Liderazgo y Coaching- Chï¿½a"/>
    <x v="8"/>
    <x v="0"/>
    <x v="0"/>
    <s v="Completa"/>
    <s v="Posgrado"/>
    <s v="INSTITUTO FORUM"/>
    <s v="https://ProfCatedra2024.sawtoothsoftware.com/cgi-bin/ciwweb.pl?studyname=ProfCatedra2024&amp;Correo=adrianapeme@unisabana.edu.co03"/>
  </r>
  <r>
    <s v="agaitanrozo@yahoo.es1"/>
    <s v="AGAITANROZO@YAHOO.ES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GAITANROZO@YAHOO.ES1"/>
  </r>
  <r>
    <s v="alba.sachica1@unisabana.edu.co"/>
    <s v="alba.sachica1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alba.sachica1@unisabana.edu.co01"/>
  </r>
  <r>
    <s v="alba.sachica1@unisabana.edu.co"/>
    <s v="alba.sachica1@unisabana.edu.co02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alba.sachica1@unisabana.edu.co02"/>
  </r>
  <r>
    <s v="alba.sachica1@unisabana.edu.co"/>
    <s v="alba.sachica1@unisabana.edu.co03"/>
    <s v="Maestrï¿½a en Enfermerï¿½a"/>
    <x v="12"/>
    <x v="0"/>
    <x v="0"/>
    <s v="Completa"/>
    <s v="Posgrado"/>
    <s v="FACULTAD DE ENFERMERÍA Y REHABILITACIÓN"/>
    <s v="https://ProfCatedra2024.sawtoothsoftware.com/cgi-bin/ciwweb.pl?studyname=ProfCatedra2024&amp;Correo=alba.sachica1@unisabana.edu.co03"/>
  </r>
  <r>
    <s v="alba.sachica1@unisabana.edu.co"/>
    <s v="alba.sachica1@unisabana.edu.co04"/>
    <s v="Maestrï¿½a en Enfermerï¿½a - Virtual"/>
    <x v="13"/>
    <x v="0"/>
    <x v="0"/>
    <s v="Completa"/>
    <s v="Posgrado"/>
    <s v="FACULTAD DE ENFERMERÍA Y REHABILITACIÓN"/>
    <s v="https://ProfCatedra2024.sawtoothsoftware.com/cgi-bin/ciwweb.pl?studyname=ProfCatedra2024&amp;Correo=alba.sachica1@unisabana.edu.co04"/>
  </r>
  <r>
    <s v="alba.sachica1@unisabana.edu.co"/>
    <s v="alba.sachica1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lba.sachica1@unisabana.edu.co07"/>
  </r>
  <r>
    <s v="albertoduqueramirez@gmail.com"/>
    <s v="ALBERTODUQUERAMIREZ@G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LBERTODUQUERAMIREZ@GMAIL.COM1"/>
  </r>
  <r>
    <s v="aldemar.moreno@unisabana.edu.co"/>
    <s v="aldemar.moreno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ldemar.moreno@unisabana.edu.co1"/>
  </r>
  <r>
    <s v="alejandra.henao@unisabana.edu.co"/>
    <s v="alejandra.hena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lejandra.henao@unisabana.edu.co1"/>
  </r>
  <r>
    <s v="alejandro.castro1@unisabana.edu.co"/>
    <s v="alejandro.castro1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lejandro.castro1@unisabana.edu.co1"/>
  </r>
  <r>
    <s v="alejandro.munevar@unisabana.edu.co"/>
    <s v="alejandro.munevar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lejandro.munevar@unisabana.edu.co1"/>
  </r>
  <r>
    <s v="alexandra.jimenez1@unisabana.edu.co"/>
    <s v="alexandra.jimenez1@unisabana.edu.co03"/>
    <s v="Especializaciï¿½n en Gestiï¿½n para el Desarrollo Humano en la Organizaciï¿½n - Bucaramanga"/>
    <x v="17"/>
    <x v="0"/>
    <x v="0"/>
    <s v="Completa"/>
    <s v="Posgrado"/>
    <s v="INSTITUTO FORUM"/>
    <s v="https://ProfCatedra2024.sawtoothsoftware.com/cgi-bin/ciwweb.pl?studyname=ProfCatedra2024&amp;Correo=alexandra.jimenez1@unisabana.edu.co03"/>
  </r>
  <r>
    <s v="alexandra.rodriguez_cont@unisabana.edu.co"/>
    <s v="alexandra.rodriguez_cont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lexandra.rodriguez_cont@unisabana.edu.co07"/>
  </r>
  <r>
    <s v="alfonso.cubillos@unisabana.edu.co"/>
    <s v="alfonso.cubillo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lfonso.cubillos@unisabana.edu.co01"/>
  </r>
  <r>
    <s v="alirio.angarita@unisabana.edu.co"/>
    <s v="alirio.angarit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lirio.angarita@unisabana.edu.co1"/>
  </r>
  <r>
    <s v="alvaro.moncada1@unisabana.edu.co"/>
    <s v="alvaro.moncada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lvaro.moncada1@unisabana.edu.co1"/>
  </r>
  <r>
    <s v="alvarosiehe@unisabana.edu.co"/>
    <s v="alvarosiehe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alvarosiehe@unisabana.edu.co1"/>
  </r>
  <r>
    <s v="amelita99@yahoo.com"/>
    <s v="AMELITA99@YAHOO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MELITA99@YAHOO.COM1"/>
  </r>
  <r>
    <s v="ana.grandas1@unisabana.edu.co"/>
    <s v="ana.grandas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a.grandas1@unisabana.edu.co1"/>
  </r>
  <r>
    <s v="ana.herrera7@unisabana.edu.co"/>
    <s v="ana.herrera7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na.herrera7@unisabana.edu.co07"/>
  </r>
  <r>
    <s v="ana.moya@unisabana.edu.co"/>
    <s v="ana.moy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a.moya@unisabana.edu.co1"/>
  </r>
  <r>
    <s v="ana.olivos@unisabana.edu.co"/>
    <s v="ana.oliv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ana.olivos@unisabana.edu.co1"/>
  </r>
  <r>
    <s v="ana.rodriguez6@unisabana.edu.co"/>
    <s v="ana.rodriguez6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ana.rodriguez6@unisabana.edu.co1"/>
  </r>
  <r>
    <s v="ana.zambrano@unisabana.edu.co"/>
    <s v="ana.zambrano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na.zambrano@unisabana.edu.co1"/>
  </r>
  <r>
    <s v="anamariagarciagaleano@gmail.com"/>
    <s v="ANAMARIAGARCIAGALEANO@G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ANAMARIAGARCIAGALEANO@GMAIL.COM1"/>
  </r>
  <r>
    <s v="andherrerag@gmail.com"/>
    <s v="andherrerag@gmail.com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1"/>
  </r>
  <r>
    <s v="andherrerag@gmail.com"/>
    <s v="andherrerag@gmail.com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2"/>
  </r>
  <r>
    <s v="andrea.areiza@unisabana.edu.co"/>
    <s v="andrea.areiz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andrea.areiza@unisabana.edu.co1"/>
  </r>
  <r>
    <s v="andrea.ceballos@unisabana.edu.co"/>
    <s v="andrea.ceballo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ndrea.ceballos@unisabana.edu.co01"/>
  </r>
  <r>
    <s v="andrea.ceballos@unisabana.edu.co"/>
    <s v="andrea.ceballos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a.ceballos@unisabana.edu.co1"/>
  </r>
  <r>
    <s v="andrea.paez1@unisabana.edu.co"/>
    <s v="andrea.paez1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andrea.paez1@unisabana.edu.co1"/>
  </r>
  <r>
    <s v="andrea.restrepo@unisabana.edu.co"/>
    <s v="andrea.restrep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andrea.restrepo@unisabana.edu.co1"/>
  </r>
  <r>
    <s v="andreasuajim@unisabana.edu.co"/>
    <s v="andreasuajim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andreasuajim@unisabana.edu.co1"/>
  </r>
  <r>
    <s v="andres.cardona1@unisabana.edu.co"/>
    <s v="andres.cardona1@unisabana.edu.co03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andres.cardona1@unisabana.edu.co03"/>
  </r>
  <r>
    <s v="andres.cardona1@unisabana.edu.co"/>
    <s v="andres.cardona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s.cardona1@unisabana.edu.co1"/>
  </r>
  <r>
    <s v="andres.carreno@unisabana.edu.co"/>
    <s v="andres.carreno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andres.carreno@Unisabana.edu.co01"/>
  </r>
  <r>
    <s v="andres.montanez1@unisabana.edu.co"/>
    <s v="andres.montanez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ndres.montanez1@unisabana.edu.co1"/>
  </r>
  <r>
    <s v="andres.ordonez1@unisabana.edu.co"/>
    <s v="andres.ordonez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andres.ordonez1@unisabana.edu.co1"/>
  </r>
  <r>
    <s v="andres.ortiz9@unisabana.edu.co"/>
    <s v="andres.ortiz9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andres.ortiz9@unisabana.edu.co1"/>
  </r>
  <r>
    <s v="andres.robayo1@unisabana.edu.co"/>
    <s v="andres.robayo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andres.robayo1@unisabana.edu.co1"/>
  </r>
  <r>
    <s v="andres.rodriguez14@unisabana.edu.co"/>
    <s v="andres.rodriguez14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andres.rodriguez14@unisabana.edu.co1"/>
  </r>
  <r>
    <s v="andres.rojas4@unisabana.edu.co"/>
    <s v="andres.rojas4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andres.rojas4@unisabana.edu.co1"/>
  </r>
  <r>
    <s v="andres.torres4@unisabana.edu.co"/>
    <s v="andres.torres4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andres.torres4@unisabana.edu.co1"/>
  </r>
  <r>
    <s v="andrescarrillo@usantotomas.edu.co"/>
    <s v="ANDRESCARRILLO@USANTOTOMAS.edu.co0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ANDRESCARRILLO@USANTOTOMAS.edu.co01"/>
  </r>
  <r>
    <s v="andresrodriguez@hotmail.fr1"/>
    <s v="ANDRESRODRIGUEZ@HOTMAIL.FR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ANDRESRODRIGUEZ@HOTMAIL.FR1"/>
  </r>
  <r>
    <s v="angel.gutierrez@unisabana.edu.co"/>
    <s v="angel.gutierrez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angel.gutierrez@unisabana.edu.co01"/>
  </r>
  <r>
    <s v="angela.dominguez2@unisabana.edu.co"/>
    <s v="angela.dominguez2@unisabana.edu.co1"/>
    <s v="MEDICINA"/>
    <x v="4"/>
    <x v="0"/>
    <x v="0"/>
    <s v="Completa"/>
    <s v="Pregrado"/>
    <s v="FACULTAD DE MEDICINA"/>
    <s v="https://ProfCatedra2024.sawtoothsoftware.com/cgi-bin/ciwweb.pl?studyname=ProfCatedra2024&amp;Correo=angela.dominguez2@unisabana.edu.co1"/>
  </r>
  <r>
    <s v="angela.hernandez4@unisabana.edu.co"/>
    <s v="angela.hernandez4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a.hernandez4@unisabana.edu.co1"/>
  </r>
  <r>
    <s v="angela.rodriguez3@unisabana.edu.co"/>
    <s v="angela.rodriguez3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a.rodriguez3@unisabana.edu.co1"/>
  </r>
  <r>
    <s v="angela.vargas5@unisabana.edu.co"/>
    <s v="angela.vargas5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angela.vargas5@unisabana.edu.co1"/>
  </r>
  <r>
    <s v="angelgup@unisabana.edu.co"/>
    <s v="angelgup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angelgup@unisabana.edu.co01"/>
  </r>
  <r>
    <s v="angelica.bejarano@unisabana.edu.co"/>
    <s v="angelica.bejaran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angelica.bejarano@unisabana.edu.co1"/>
  </r>
  <r>
    <s v="angelica.nieves1@unisabana.edu.co"/>
    <s v="angelica.nieves1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angelica.nieves1@unisabana.edu.co1"/>
  </r>
  <r>
    <s v="annabel.astuy_cont@unisabana.edu.co"/>
    <s v="annabel.astuy_cont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annabel.astuy_cont@unisabana.edu.co07"/>
  </r>
  <r>
    <s v="antonia.gacharna@unisabana.edu.co"/>
    <s v="antonia.gacharn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antonia.gacharna@unisabana.edu.co1"/>
  </r>
  <r>
    <s v="arley.calderon@unisabana.edu.co"/>
    <s v="Arley.Caldero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Arley.Calderon@unisabana.edu.co1"/>
  </r>
  <r>
    <s v="asmith.parra@gmail.com"/>
    <s v="asmith.parra@gmail.com1"/>
    <s v="Maestrï¿½a en Gerencia Internacional"/>
    <x v="37"/>
    <x v="0"/>
    <x v="0"/>
    <s v="Completa"/>
    <s v="Posgrado"/>
    <s v="ESCUELA INTERNACIONAL DE CIENCIAS ECONÓMICAS Y ADMINISTRATIVAS"/>
    <s v="https://ProfCatedra2024.sawtoothsoftware.com/cgi-bin/ciwweb.pl?studyname=ProfCatedra2024&amp;Correo=asmith.parra@gmail.com1"/>
  </r>
  <r>
    <s v="augusto.delgadillo@unisabana.edu.co"/>
    <s v="augusto.delgadillo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augusto.delgadillo@unisabana.edu.co01"/>
  </r>
  <r>
    <s v="beatriz.herrera@unisabana.edu.co"/>
    <s v="beatriz.herrera@unisabana.edu.co01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beatriz.herrera@unisabana.edu.co01"/>
  </r>
  <r>
    <s v="beatriz.herrera@unisabana.edu.co"/>
    <s v="beatriz.herrera@unisabana.edu.co02"/>
    <s v="Especializaciï¿½n en Gestiï¿½n para el Desarrollo Humano en la Organizaciï¿½n - Chï¿½a"/>
    <x v="39"/>
    <x v="0"/>
    <x v="0"/>
    <s v="Completa"/>
    <s v="Posgrado"/>
    <s v="INSTITUTO FORUM"/>
    <s v="https://ProfCatedra2024.sawtoothsoftware.com/cgi-bin/ciwweb.pl?studyname=ProfCatedra2024&amp;Correo=beatriz.herrera@unisabana.edu.co02"/>
  </r>
  <r>
    <s v="belvy.sanchez@unisabana.edu.co"/>
    <s v="belvy.sanchez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belvy.sanchez@unisabana.edu.co1"/>
  </r>
  <r>
    <s v="benjamin.venegas@unisabana.edu.co"/>
    <s v="benjamin.vene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benjamin.venegas@unisabana.edu.co1"/>
  </r>
  <r>
    <s v="bernardo.luque@unisabana.edu.co"/>
    <s v="bernardo.luque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bernardo.luque@unisabana.edu.co1"/>
  </r>
  <r>
    <s v="bibiana.ramirez@unisabana.edu.co"/>
    <s v="bibiana.ramirez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bibiana.ramirez@unisabana.edu.co1"/>
  </r>
  <r>
    <s v="bohorquezsandoval@gmail.com"/>
    <s v="BOHORQUEZSANDOVAL@G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BOHORQUEZSANDOVAL@GMAIL.COM1"/>
  </r>
  <r>
    <s v="brianda.sarmiento@unisabana.edu.co"/>
    <s v="brianda.sarmiento@unisabana.edu.co01"/>
    <s v="MAESTRï¿½A EN DESARROLLO INFANTIL - CHIA"/>
    <x v="41"/>
    <x v="0"/>
    <x v="0"/>
    <s v="Completa"/>
    <s v="Posgrado"/>
    <s v="FACULTAD DE EDUCACIÓN"/>
    <s v="https://ProfCatedra2024.sawtoothsoftware.com/cgi-bin/ciwweb.pl?studyname=ProfCatedra2024&amp;Correo=brianda.sarmiento@unisabana.edu.co01"/>
  </r>
  <r>
    <s v="brianda.sarmiento@unisabana.edu.co"/>
    <s v="brianda.sarmiento@unisabana.edu.co02"/>
    <s v="MAESTRï¿½A EN DESARROLLO INFANTIL - GUAJIRA"/>
    <x v="42"/>
    <x v="0"/>
    <x v="0"/>
    <s v="Completa"/>
    <s v="Posgrado"/>
    <s v="FACULTAD DE EDUCACIÓN"/>
    <s v="https://ProfCatedra2024.sawtoothsoftware.com/cgi-bin/ciwweb.pl?studyname=ProfCatedra2024&amp;Correo=brianda.sarmiento@unisabana.edu.co02"/>
  </r>
  <r>
    <s v="brianda.sarmiento@unisabana.edu.co"/>
    <s v="brianda.sarmiento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brianda.sarmiento@unisabana.edu.co1"/>
  </r>
  <r>
    <s v="camila.moreno1@unisabana.edu.co"/>
    <s v="camila.moreno1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mila.moreno1@unisabana.edu.co1"/>
  </r>
  <r>
    <s v="camilo.gomez5@unisabana.edu.co"/>
    <s v="camilo.gomez5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camilo.gomez5@unisabana.edu.co1"/>
  </r>
  <r>
    <s v="camilo.navarrete@unisabana.edu.co"/>
    <s v="camilo.navarrete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camilo.navarrete@unisabana.edu.co01"/>
  </r>
  <r>
    <s v="camilo.rincon2@unisabana.edu.co"/>
    <s v="camilo.rincon2@unisabana.edu.co01"/>
    <s v="MAESTRIA EN PSICOLOGIA DE LA SALUD Y DISCAPACIDAD"/>
    <x v="46"/>
    <x v="0"/>
    <x v="0"/>
    <s v="Completa"/>
    <s v="Posgrado"/>
    <s v="FACULTAD DE PSICOLOGÍA"/>
    <s v="https://ProfCatedra2024.sawtoothsoftware.com/cgi-bin/ciwweb.pl?studyname=ProfCatedra2024&amp;Correo=camilo.rincon2@unisabana.edu.co01"/>
  </r>
  <r>
    <s v="camilo.salazar1@unisabana.edu.co"/>
    <s v="camilo.salazar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camilo.salazar1@unisabana.edu.co1"/>
  </r>
  <r>
    <s v="camilo.torres@unisabana.edu.co"/>
    <s v="camilo.torre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camilo.torres@unisabana.edu.co01"/>
  </r>
  <r>
    <s v="carlo.sarmiento@unisabana.edu.co"/>
    <s v="carlo.sarmiento@unisabana.edu.co01"/>
    <s v="Maestrï¿½a en Periodismo y Comunicaciï¿½n Digital"/>
    <x v="47"/>
    <x v="0"/>
    <x v="0"/>
    <s v="Completa"/>
    <s v="Posgrado"/>
    <s v="FACULTAD DE COMUNICACIÓN"/>
    <s v="https://ProfCatedra2024.sawtoothsoftware.com/cgi-bin/ciwweb.pl?studyname=ProfCatedra2024&amp;Correo=carlo.sarmiento@unisabana.edu.co01"/>
  </r>
  <r>
    <s v="carlo.sarmiento@unisabana.edu.co"/>
    <s v="carlo.sarmient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arlo.sarmiento@unisabana.edu.co1"/>
  </r>
  <r>
    <s v="carlo.sarmiento@unisabana.edu.co"/>
    <s v="carlo.sarmiento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arlo.sarmiento@unisabana.edu.co2"/>
  </r>
  <r>
    <s v="carlo.sarmiento@unisabana.edu.co"/>
    <s v="carlo.sarmiento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rlo.sarmiento@unisabana.edu.co3"/>
  </r>
  <r>
    <s v="carlos.aguirre2@unisabana.edu.co"/>
    <s v="carlos.aguirre2@unisabana.edu.co01"/>
    <s v="Especializaciï¿½n en Neumologï¿½a"/>
    <x v="48"/>
    <x v="0"/>
    <x v="0"/>
    <s v="Completa"/>
    <s v="Posgrado"/>
    <s v="FACULTAD DE MEDICINA"/>
    <s v="https://ProfCatedra2024.sawtoothsoftware.com/cgi-bin/ciwweb.pl?studyname=ProfCatedra2024&amp;Correo=carlos.aguirre2@unisabana.edu.co01"/>
  </r>
  <r>
    <s v="carlos.alvarado2@unisabana.edu.co"/>
    <s v="carlos.alvarado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carlos.alvarado2@unisabana.edu.co1"/>
  </r>
  <r>
    <s v="carlos.bustamante@unisabana.edu.co"/>
    <s v="carlos.bustamante@unisabana.edu.co01"/>
    <s v="Especializaciï¿½n en Farmacologï¿½a Clï¿½nica"/>
    <x v="50"/>
    <x v="0"/>
    <x v="0"/>
    <s v="Completa"/>
    <s v="Posgrado"/>
    <s v="FACULTAD DE MEDICINA"/>
    <s v="https://ProfCatedra2024.sawtoothsoftware.com/cgi-bin/ciwweb.pl?studyname=ProfCatedra2024&amp;Correo=carlos.bustamante@unisabana.edu.co01"/>
  </r>
  <r>
    <s v="carlos.entrena@unisabana.edu.co"/>
    <s v="carlos.entrena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carlos.entrena@unisabana.edu.co1"/>
  </r>
  <r>
    <s v="carlos.giron@unisabana.edu.co"/>
    <s v="carlos.giron@unisabana.edu.co01"/>
    <s v="Especializaciï¿½n en Gerencia Estratï¿½gica - Medellï¿½n"/>
    <x v="52"/>
    <x v="0"/>
    <x v="0"/>
    <s v="Completa"/>
    <s v="Posgrado"/>
    <s v="INSTITUTO FORUM"/>
    <s v="https://ProfCatedra2024.sawtoothsoftware.com/cgi-bin/ciwweb.pl?studyname=ProfCatedra2024&amp;Correo=carlos.giron@unisabana.edu.co01"/>
  </r>
  <r>
    <s v="carlos.gomez17@unisabana.edu.co"/>
    <s v="carlos.gomez17@unisabana.edu.co01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carlos.gomez17@unisabana.edu.co01"/>
  </r>
  <r>
    <s v="carlos.manrique3@unisabana.edu.co"/>
    <s v="carlos.manrique3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carlos.manrique3@unisabana.edu.co1"/>
  </r>
  <r>
    <s v="carlos.moreno9@unisabana.edu.co"/>
    <s v="carlos.moreno9@unisabana.edu.co07"/>
    <s v="ESPECIALIZACIÃ“N EN EMPRENDIMIENTO Y NEGOCIOS DIGITALES- CHÃA"/>
    <x v="0"/>
    <x v="0"/>
    <x v="0"/>
    <s v="Completa"/>
    <s v="Posgrado"/>
    <s v="INSTITUTO FORUM"/>
    <s v="https://ProfCatedra2024.sawtoothsoftware.com/cgi-bin/ciwweb.pl?studyname=ProfCatedra2024&amp;Correo=carlos.moreno9@unisabana.edu.co07"/>
  </r>
  <r>
    <s v="carlos.paz@unisabana.edu.co"/>
    <s v="carlos.pa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carlos.paz@unisabana.edu.co1"/>
  </r>
  <r>
    <s v="carlos.rojas@unisabana.edu.co"/>
    <s v="carlos.rojas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carlos.rojas@unisabana.edu.co01"/>
  </r>
  <r>
    <s v="carlos.rojas@unisabana.edu.co"/>
    <s v="carlos.rojas@unisabana.edu.co02"/>
    <s v="Especializaciï¿½n En Gerencia Estratï¿½gica - Bucaramanga"/>
    <x v="55"/>
    <x v="0"/>
    <x v="0"/>
    <s v="Completa"/>
    <s v="Posgrado"/>
    <s v="INSTITUTO FORUM"/>
    <s v="https://ProfCatedra2024.sawtoothsoftware.com/cgi-bin/ciwweb.pl?studyname=ProfCatedra2024&amp;Correo=carlos.rojas@unisabana.edu.co02"/>
  </r>
  <r>
    <s v="carlos.sanchez9@unisabana.edu.co"/>
    <s v="carlos.sanchez9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carlos.sanchez9@unisabana.edu.co1"/>
  </r>
  <r>
    <s v="carlos.torres3@unisabana.edu.co"/>
    <s v="carlos.torres3@unisabana.edu.co01"/>
    <s v="Especializaciï¿½n en Neumologï¿½a"/>
    <x v="48"/>
    <x v="0"/>
    <x v="0"/>
    <s v="Completa"/>
    <s v="Posgrado"/>
    <s v="FACULTAD DE MEDICINA"/>
    <s v="https://ProfCatedra2024.sawtoothsoftware.com/cgi-bin/ciwweb.pl?studyname=ProfCatedra2024&amp;Correo=carlos.torres3@unisabana.edu.co01"/>
  </r>
  <r>
    <s v="carlosarturoramirez@hotmail.com"/>
    <s v="CARLOSARTURORAMIREZ@HOTMAIL.COM1"/>
    <s v="MAESTRIA EN DERECHO CONSTITUCIONAL"/>
    <x v="56"/>
    <x v="0"/>
    <x v="0"/>
    <s v="Completa"/>
    <s v="Posgrado"/>
    <s v="FACULTAD DE DERECHO Y CIENCIAS POLÍTICAS"/>
    <s v="https://ProfCatedra2024.sawtoothsoftware.com/cgi-bin/ciwweb.pl?studyname=ProfCatedra2024&amp;Correo=CARLOSARTURORAMIREZ@HOTMAIL.COM1"/>
  </r>
  <r>
    <s v="carlosdm@unisabana.edu.co"/>
    <s v="CarlosDM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arlosDM@unisabana.edu.co1"/>
  </r>
  <r>
    <s v="carmen.carrero@unisabana.edu.co"/>
    <s v="carmen.carrero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carmen.carrero@unisabana.edu.co1"/>
  </r>
  <r>
    <s v="carolina.correa4@unisabana.edu.co"/>
    <s v="carolina.correa4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carolina.correa4@unisabana.edu.co1"/>
  </r>
  <r>
    <s v="carolina.lozano2@unisabana.edu.co"/>
    <s v="carolina.lozano2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carolina.lozano2@unisabana.edu.co1"/>
  </r>
  <r>
    <s v="carolina.munoz2@unisabana.edu.co"/>
    <s v="carolina.munoz2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arolina.munoz2@unisabana.edu.co1"/>
  </r>
  <r>
    <s v="carolinavama@unisabana.edu.co"/>
    <s v="Carolinavam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Carolinavama@unisabana.edu.co1"/>
  </r>
  <r>
    <s v="catalina.yucuma@gmail.com"/>
    <s v="CATALINA.YUCUMA@GMAIL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CATALINA.YUCUMA@GMAIL.COM1"/>
  </r>
  <r>
    <s v="cejaramillo@arrubladevis.com"/>
    <s v="CEJARAMILLO@ARRUBLADEVIS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CEJARAMILLO@ARRUBLADEVIS.COM1"/>
  </r>
  <r>
    <s v="cerezo_manuel26@hotmail.com"/>
    <s v="cerezo_manuel26@hotmail.com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cerezo_manuel26@hotmail.com1"/>
  </r>
  <r>
    <s v="cesar.orjuela1@unisabana.edu.co"/>
    <s v="cesar.orjuel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cesar.orjuela1@unisabana.edu.co1"/>
  </r>
  <r>
    <s v="cesar.romero@unisabana.edu.co"/>
    <s v="cesar.romero@unisabana.edu.co1"/>
    <s v="MEDICINA"/>
    <x v="4"/>
    <x v="0"/>
    <x v="0"/>
    <s v="Completa"/>
    <s v="Pregrado"/>
    <s v="FACULTAD DE MEDICINA"/>
    <s v="https://ProfCatedra2024.sawtoothsoftware.com/cgi-bin/ciwweb.pl?studyname=ProfCatedra2024&amp;Correo=cesar.romero@unisabana.edu.co1"/>
  </r>
  <r>
    <s v="cesar.vega1@unisabana.edu.co"/>
    <s v="cesar.veg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cesar.vega1@unisabana.edu.co1"/>
  </r>
  <r>
    <s v="cindi.penagos@unisabana.edu.co"/>
    <s v="cindi.penagos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cindi.penagos@unisabana.edu.co1"/>
  </r>
  <r>
    <s v="cindy.espitia1@unisabana.edu.co"/>
    <s v="cindy.espiti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indy.espitia1@unisabana.edu.co1"/>
  </r>
  <r>
    <s v="cindy.espitia1@unisabana.edu.co"/>
    <s v="cindy.espiti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indy.espitia1@unisabana.edu.co2"/>
  </r>
  <r>
    <s v="cindy.espitia1@unisabana.edu.co"/>
    <s v="cindy.espitia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indy.espitia1@unisabana.edu.co3"/>
  </r>
  <r>
    <s v="cindyesmu@gmail.com"/>
    <s v="CINDYESMU@G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CINDYESMU@GMAIL.COM1"/>
  </r>
  <r>
    <s v="clara.tarazona@unisabana.edu.co"/>
    <s v="clara.tarazona@unisabana.edu.co1"/>
    <s v="MEDICINA"/>
    <x v="4"/>
    <x v="0"/>
    <x v="0"/>
    <s v="Completa"/>
    <s v="Pregrado"/>
    <s v="FACULTAD DE MEDICINA"/>
    <s v="https://ProfCatedra2024.sawtoothsoftware.com/cgi-bin/ciwweb.pl?studyname=ProfCatedra2024&amp;Correo=clara.tarazona@unisabana.edu.co1"/>
  </r>
  <r>
    <s v="claudia.becerra1@unisabana.edu.co"/>
    <s v="claudia.becerra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claudia.becerra1@unisabana.edu.co01"/>
  </r>
  <r>
    <s v="claudia.lugo1@unisabana.edu.co"/>
    <s v="claudia.lugo1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claudia.lugo1@unisabana.edu.co01"/>
  </r>
  <r>
    <s v="claudia.pinzon@unisabana.edu.co"/>
    <s v="claudia.pinzon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laudia.pinzon@unisabana.edu.co1"/>
  </r>
  <r>
    <s v="claudia.romero1@unisabana.edu.co"/>
    <s v="claudia.romer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claudia.romero1@unisabana.edu.co1"/>
  </r>
  <r>
    <s v="claudia.romero1@unisabana.edu.co"/>
    <s v="claudia.romero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claudia.romero1@unisabana.edu.co2"/>
  </r>
  <r>
    <s v="claudia.romero1@unisabana.edu.co"/>
    <s v="claudia.romero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claudia.romero1@unisabana.edu.co3"/>
  </r>
  <r>
    <s v="claudia.trujillo@unisabana.edu.co"/>
    <s v="claudia.trujillo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claudia.trujillo@unisabana.edu.co1"/>
  </r>
  <r>
    <s v="claudiapatriciabarrantes@gmail.com"/>
    <s v="CLAUDIAPATRICIABARRANTES@GMAIL.COM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CLAUDIAPATRICIABARRANTES@GMAIL.COM1"/>
  </r>
  <r>
    <s v="cleliap1@gmail.com"/>
    <s v="cleliap1@gmail.com1"/>
    <s v="Maestrï¿½a en Gerencia Internacional"/>
    <x v="37"/>
    <x v="0"/>
    <x v="0"/>
    <s v="Completa"/>
    <s v="Posgrado"/>
    <s v="ESCUELA INTERNACIONAL DE CIENCIAS ECONÓMICAS Y ADMINISTRATIVAS"/>
    <s v="https://ProfCatedra2024.sawtoothsoftware.com/cgi-bin/ciwweb.pl?studyname=ProfCatedra2024&amp;Correo=cleliap1@gmail.com1"/>
  </r>
  <r>
    <s v="cristhian.canon1@unisabana.edu.co"/>
    <s v="cristhian.canon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cristhian.canon1@unisabana.edu.co1"/>
  </r>
  <r>
    <s v="cristian.funeme@unisabana.edu.co"/>
    <s v="cristian.funeme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cristian.funeme@unisabana.edu.co1"/>
  </r>
  <r>
    <s v="cristian.rodriguez4@unisabana.edu.co"/>
    <s v="cristian.rodriguez4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cristian.rodriguez4@unisabana.edu.co01"/>
  </r>
  <r>
    <s v="cristian.serrano@unisabana.edu.co"/>
    <s v="cristian.serrano@unisabana.edu.co1"/>
    <s v="MEDICINA"/>
    <x v="4"/>
    <x v="0"/>
    <x v="0"/>
    <s v="Completa"/>
    <s v="Pregrado"/>
    <s v="FACULTAD DE MEDICINA"/>
    <s v="https://ProfCatedra2024.sawtoothsoftware.com/cgi-bin/ciwweb.pl?studyname=ProfCatedra2024&amp;Correo=cristian.serrano@unisabana.edu.co1"/>
  </r>
  <r>
    <s v="cristinacharry@yahoo.es1"/>
    <s v="CRISTINACHARRY@YAHOO.ES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CRISTINACHARRY@YAHOO.ES1"/>
  </r>
  <r>
    <s v="daniel.ayala1@unisabana.edu.co"/>
    <s v="daniel.ayala1@unisabana.edu.co01"/>
    <s v="ESPECIALIZACION EN CONTRATACION ESTATAL IBAGUE"/>
    <x v="66"/>
    <x v="0"/>
    <x v="0"/>
    <s v="Completa"/>
    <s v="Posgrado"/>
    <s v="FACULTAD DE DERECHO Y CIENCIAS POLÍTICAS"/>
    <s v="https://ProfCatedra2024.sawtoothsoftware.com/cgi-bin/ciwweb.pl?studyname=ProfCatedra2024&amp;Correo=daniel.ayala1@unisabana.edu.co01"/>
  </r>
  <r>
    <s v="daniel.ayala1@unisabana.edu.co"/>
    <s v="daniel.ayala1@unisabana.edu.co02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daniel.ayala1@unisabana.edu.co02"/>
  </r>
  <r>
    <s v="daniel.ayala1@unisabana.edu.co"/>
    <s v="daniel.ayal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aniel.ayala1@unisabana.edu.co1"/>
  </r>
  <r>
    <s v="daniel.ayala1@unisabana.edu.co"/>
    <s v="daniel.ayala1@unisabana.edu.co2"/>
    <s v="INGENIERï¿½A CIVIL"/>
    <x v="49"/>
    <x v="0"/>
    <x v="0"/>
    <s v="Completa"/>
    <s v="Pregrado"/>
    <s v="FACULTAD DE INGENIERÍA"/>
    <s v="https://ProfCatedra2024.sawtoothsoftware.com/cgi-bin/ciwweb.pl?studyname=ProfCatedra2024&amp;Correo=daniel.ayala1@unisabana.edu.co2"/>
  </r>
  <r>
    <s v="daniel.gomez5@unisabana.edu.co"/>
    <s v="daniel.gomez5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daniel.gomez5@unisabana.edu.co01"/>
  </r>
  <r>
    <s v="daniel.parra@unisabana.edu.co"/>
    <s v="daniel.parra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daniel.parra@unisabana.edu.co1"/>
  </r>
  <r>
    <s v="daniel.ramirez1@unisabana.edu.co"/>
    <s v="daniel.ramirez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daniel.ramirez1@unisabana.edu.co1"/>
  </r>
  <r>
    <s v="daniel.rodriguez8@unisabana.edu.co"/>
    <s v="daniel.rodriguez8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daniel.rodriguez8@unisabana.edu.co01"/>
  </r>
  <r>
    <s v="daniel.saavedra@unisabana.edu.co"/>
    <s v="daniel.saavedr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aniel.saavedra@unisabana.edu.co1"/>
  </r>
  <r>
    <s v="daniela.barbosa@unisabana.edu.co"/>
    <s v="daniela.barbosa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daniela.barbosa@unisabana.edu.co1"/>
  </r>
  <r>
    <s v="daniela.jurado@unisabana.edu.co"/>
    <s v="daniela.jurado@unisabana.edu.co1"/>
    <s v="MEDICINA"/>
    <x v="4"/>
    <x v="0"/>
    <x v="0"/>
    <s v="Completa"/>
    <s v="Pregrado"/>
    <s v="FACULTAD DE MEDICINA"/>
    <s v="https://ProfCatedra2024.sawtoothsoftware.com/cgi-bin/ciwweb.pl?studyname=ProfCatedra2024&amp;Correo=daniela.jurado@unisabana.edu.co1"/>
  </r>
  <r>
    <s v="danna.nunez@unisabana.edu.co"/>
    <s v="danna.nunez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danna.nunez@unisabana.edu.co1"/>
  </r>
  <r>
    <s v="dario.rojas@unisabana.edu.co"/>
    <s v="dario.rojas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dario.rojas@unisabana.edu.co01"/>
  </r>
  <r>
    <s v="dario.rojas@unisabana.edu.co"/>
    <s v="dario.rojas@unisabana.edu.co02"/>
    <s v="Maestrï¿½a en Salud Pï¿½blica"/>
    <x v="70"/>
    <x v="0"/>
    <x v="0"/>
    <s v="Completa"/>
    <s v="Posgrado"/>
    <s v="FACULTAD DE MEDICINA"/>
    <s v="https://ProfCatedra2024.sawtoothsoftware.com/cgi-bin/ciwweb.pl?studyname=ProfCatedra2024&amp;Correo=dario.rojas@unisabana.edu.co02"/>
  </r>
  <r>
    <s v="dario.rojas@unisabana.edu.co"/>
    <s v="dario.rojas@unisabana.edu.co1"/>
    <s v="MEDICINA"/>
    <x v="4"/>
    <x v="0"/>
    <x v="0"/>
    <s v="Completa"/>
    <s v="Pregrado"/>
    <s v="FACULTAD DE MEDICINA"/>
    <s v="https://ProfCatedra2024.sawtoothsoftware.com/cgi-bin/ciwweb.pl?studyname=ProfCatedra2024&amp;Correo=dario.rojas@unisabana.edu.co1"/>
  </r>
  <r>
    <s v="davendanosura@gmail.com"/>
    <s v="DAVENDANOSURA@GMAIL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DAVENDANOSURA@GMAIL.COM1"/>
  </r>
  <r>
    <s v="david.castaneda1@unisabana.edu.co"/>
    <s v="david.castaneda1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david.castaneda1@unisabana.edu.co1"/>
  </r>
  <r>
    <s v="david.ruiz@unisabana.edu.co"/>
    <s v="david.ruiz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david.ruiz@unisabana.edu.co1"/>
  </r>
  <r>
    <s v="david.stewart@unisabana.edu.co"/>
    <s v="david.stewart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david.stewart@unisabana.edu.co1"/>
  </r>
  <r>
    <s v="davidrozo@gmail.com"/>
    <s v="davidrozo@gmail.com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avidrozo@gmail.com1"/>
  </r>
  <r>
    <s v="dayana.moreno1@unisabana.edu.co"/>
    <s v="dayana.moreno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dayana.moreno1@unisabana.edu.co1"/>
  </r>
  <r>
    <s v="dedtmat.garces@unisabana.edu.co"/>
    <s v="dedtmat.garc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dedtmat.garces@unisabana.edu.co1"/>
  </r>
  <r>
    <s v="dedtmat.garces@unisabana.edu.co"/>
    <s v="dedtmat.garce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dedtmat.garces@unisabana.edu.co2"/>
  </r>
  <r>
    <s v="dedtmat.garces@unisabana.edu.co"/>
    <s v="dedtmat.garce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dedtmat.garces@unisabana.edu.co3"/>
  </r>
  <r>
    <s v="deissy.mora@unisabana.edu.co"/>
    <s v="deissy.mora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deissy.mora@unisabana.edu.co1"/>
  </r>
  <r>
    <s v="deisy.forero@unisabana.edu.co"/>
    <s v="deisy.forero@unisabana.edu.co01"/>
    <s v="ESPECIALIZACION EN CONTRATACION ESTATAL IBAGUE"/>
    <x v="66"/>
    <x v="0"/>
    <x v="0"/>
    <s v="Completa"/>
    <s v="Posgrado"/>
    <s v="FACULTAD DE DERECHO Y CIENCIAS POLÍTICAS"/>
    <s v="https://ProfCatedra2024.sawtoothsoftware.com/cgi-bin/ciwweb.pl?studyname=ProfCatedra2024&amp;Correo=deisy.forero@unisabana.edu.co01"/>
  </r>
  <r>
    <s v="deisy.forero@unisabana.edu.co"/>
    <s v="deisy.forero@unisabana.edu.co02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deisy.forero@unisabana.edu.co02"/>
  </r>
  <r>
    <s v="deisy.quiroz@unisabana.edu.co"/>
    <s v="deisy.quiroz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deisy.quiroz@unisabana.edu.co2"/>
  </r>
  <r>
    <s v="diana.alvarez1@unisabana.edu.co"/>
    <s v="diana.alvarez1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diana.alvarez1@unisabana.edu.co01"/>
  </r>
  <r>
    <s v="diana.arcila@unisabana.edu.co"/>
    <s v="diana.arcil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diana.arcila@unisabana.edu.co1"/>
  </r>
  <r>
    <s v="diana.cardenas4@unisabana.edu.co"/>
    <s v="diana.cardenas4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diana.cardenas4@unisabana.edu.co1"/>
  </r>
  <r>
    <s v="diana.cruz3@unisabana.edu.co"/>
    <s v="diana.cruz3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diana.cruz3@unisabana.edu.co01"/>
  </r>
  <r>
    <s v="diana.ferrucho@unisabana.edu.co"/>
    <s v="diana.ferruch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diana.ferrucho@unisabana.edu.co1"/>
  </r>
  <r>
    <s v="diana.garzon8@unisabana.edu.co"/>
    <s v="diana.garzon8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.garzon8@unisabana.edu.co1"/>
  </r>
  <r>
    <s v="diana.leguizamon@unisabana.edu.co"/>
    <s v="diana.leguizamon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.leguizamon@unisabana.edu.co1"/>
  </r>
  <r>
    <s v="diana.patarroyo1@unisabana.edu.co"/>
    <s v="diana.patarroyo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iana.patarroyo1@unisabana.edu.co1"/>
  </r>
  <r>
    <s v="diana.silva3@unisabana.edu.co"/>
    <s v="diana.silva3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diana.silva3@unisabana.edu.co01"/>
  </r>
  <r>
    <s v="diana.velasco@unisabana.edu.co"/>
    <s v="diana.velasc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diana.velasco@unisabana.edu.co01"/>
  </r>
  <r>
    <s v="diana.velasco@unisabana.edu.co"/>
    <s v="diana.velasc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diana.velasco@unisabana.edu.co1"/>
  </r>
  <r>
    <s v="diananimo@unisabana.edu.co"/>
    <s v="diananimo@unisabana.edu.co1"/>
    <s v="MEDICINA"/>
    <x v="4"/>
    <x v="0"/>
    <x v="0"/>
    <s v="Completa"/>
    <s v="Pregrado"/>
    <s v="FACULTAD DE MEDICINA"/>
    <s v="https://ProfCatedra2024.sawtoothsoftware.com/cgi-bin/ciwweb.pl?studyname=ProfCatedra2024&amp;Correo=diananimo@unisabana.edu.co1"/>
  </r>
  <r>
    <s v="didier.calderon@unisabana.edu.co"/>
    <s v="didier.caldero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didier.calderon@unisabana.edu.co1"/>
  </r>
  <r>
    <s v="diego.camacho1@unisabana.edu.co"/>
    <s v="diego.camacho1@unisabana.edu.co01"/>
    <s v="Especializaciï¿½n en Gerencia Financiera Internacional - Bogotï¿½"/>
    <x v="73"/>
    <x v="0"/>
    <x v="0"/>
    <s v="Incompleta"/>
    <s v="Posgrado"/>
    <s v="INSTITUTO FORUM"/>
    <s v="https://ProfCatedra2024.sawtoothsoftware.com/cgi-bin/ciwweb.pl?studyname=ProfCatedra2024&amp;Correo=diego.camacho1@unisabana.edu.co01"/>
  </r>
  <r>
    <s v="diego.fonseca@unisabana.edu.co"/>
    <s v="diego.fonseca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diego.fonseca@unisabana.edu.co1"/>
  </r>
  <r>
    <s v="diego.garcia9@unisabana.edu.co"/>
    <s v="diego.garcia9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diego.garcia9@unisabana.edu.co1"/>
  </r>
  <r>
    <s v="diego.ramirez5@unisabana.edu.co"/>
    <s v="diego.ramirez5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diego.ramirez5@unisabana.edu.co1"/>
  </r>
  <r>
    <s v="diego.rodriguez11@unisabana.edu.co"/>
    <s v="diego.rodriguez1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diego.rodriguez11@unisabana.edu.co01"/>
  </r>
  <r>
    <s v="diego.rodriguez11@unisabana.edu.co"/>
    <s v="diego.rodriguez11@unisabana.edu.co02"/>
    <s v="Especializaciï¿½n en Gerencia Financiera Internacional - Chia"/>
    <x v="75"/>
    <x v="0"/>
    <x v="0"/>
    <s v="Completa"/>
    <s v="Posgrado"/>
    <s v="INSTITUTO FORUM"/>
    <s v="https://ProfCatedra2024.sawtoothsoftware.com/cgi-bin/ciwweb.pl?studyname=ProfCatedra2024&amp;Correo=diego.rodriguez11@unisabana.edu.co02"/>
  </r>
  <r>
    <s v="doraat@unisabana.edu.co"/>
    <s v="Doraat@unisabana.edu.co01"/>
    <s v="Especializaciï¿½n en Gerencia Comercial - Bogotï¿½"/>
    <x v="76"/>
    <x v="0"/>
    <x v="0"/>
    <s v="Completa"/>
    <s v="Posgrado"/>
    <s v="INSTITUTO FORUM"/>
    <s v="https://ProfCatedra2024.sawtoothsoftware.com/cgi-bin/ciwweb.pl?studyname=ProfCatedra2024&amp;Correo=Doraat@unisabana.edu.co01"/>
  </r>
  <r>
    <s v="drinconv@gmail.com"/>
    <s v="DRINCONV@GMAIL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DRINCONV@GMAIL.COM1"/>
  </r>
  <r>
    <s v="drinconv@gmail.com"/>
    <s v="DRINCONV@GMAIL.COM2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DRINCONV@GMAIL.COM2"/>
  </r>
  <r>
    <s v="eder.ospino1@unisabana.edu.co"/>
    <s v="eder.ospino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er.ospino1@unisabana.edu.co1"/>
  </r>
  <r>
    <s v="edgar.leon.law@gmail.com"/>
    <s v="EDGAR.LEON.LAW@GMAIL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EDGAR.LEON.LAW@GMAIL.COM1"/>
  </r>
  <r>
    <s v="edgar.munoz1@unisabana.edu.co"/>
    <s v="edgar.munoz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gar.munoz1@unisabana.edu.co1"/>
  </r>
  <r>
    <s v="edgar.rey@unisabana.edu.co"/>
    <s v="edgar.rey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edgar.rey@unisabana.edu.co1"/>
  </r>
  <r>
    <s v="edgardo.cuello@unisabana.edu.co"/>
    <s v="edgardo.cuello@unisabana.edu.co01"/>
    <s v="Especializaciï¿½n En Gerencia Estratï¿½gica - Villavicencio"/>
    <x v="78"/>
    <x v="0"/>
    <x v="0"/>
    <s v="Completa"/>
    <s v="Posgrado"/>
    <s v="INSTITUTO FORUM"/>
    <s v="https://ProfCatedra2024.sawtoothsoftware.com/cgi-bin/ciwweb.pl?studyname=ProfCatedra2024&amp;Correo=edgardo.cuello@unisabana.edu.co01"/>
  </r>
  <r>
    <s v="eduardo.acuna1@unisabana.edu.co"/>
    <s v="eduardo.acuna1@unisabana.edu.co1"/>
    <s v="MEDICINA"/>
    <x v="4"/>
    <x v="0"/>
    <x v="0"/>
    <s v="Completa"/>
    <s v="Pregrado"/>
    <s v="FACULTAD DE MEDICINA"/>
    <s v="https://ProfCatedra2024.sawtoothsoftware.com/cgi-bin/ciwweb.pl?studyname=ProfCatedra2024&amp;Correo=eduardo.acuna1@unisabana.edu.co1"/>
  </r>
  <r>
    <s v="eduardo.ribeiro@unisabana.edu.co"/>
    <s v="eduardo.ribeir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eduardo.ribeiro@unisabana.edu.co1"/>
  </r>
  <r>
    <s v="efrain.fierro@unisabana.edu.co"/>
    <s v="efrain.fierr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efrain.fierro@unisabana.edu.co1"/>
  </r>
  <r>
    <s v="ejustariz@ustarizabogados.com"/>
    <s v="EJUSTARIZ@USTARIZABOGADOS.COM1"/>
    <s v="Especializaciï¿½n en Derecho y Empresa - Chï¿½a"/>
    <x v="77"/>
    <x v="0"/>
    <x v="0"/>
    <s v="Completa"/>
    <s v="Posgrado"/>
    <s v="FACULTAD DE DERECHO Y CIENCIAS POLÍTICAS"/>
    <s v="https://ProfCatedra2024.sawtoothsoftware.com/cgi-bin/ciwweb.pl?studyname=ProfCatedra2024&amp;Correo=EJUSTARIZ@USTARIZABOGADOS.COM1"/>
  </r>
  <r>
    <s v="ejustariz@ustarizabogados.com"/>
    <s v="EJUSTARIZ@USTARIZABOGADOS.COM2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EJUSTARIZ@USTARIZABOGADOS.COM2"/>
  </r>
  <r>
    <s v="eliana.lozano@unisabana.edu.co"/>
    <s v="eliana.lozano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eliana.lozano@unisabana.edu.co1"/>
  </r>
  <r>
    <s v="eliana.mahecha@unisabana.edu.co"/>
    <s v="eliana.mahecha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eliana.mahecha@unisabana.edu.co1"/>
  </r>
  <r>
    <s v="elias.amaya1@unisabana.edu.co"/>
    <s v="elias.amaya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elias.amaya1@unisabana.edu.co1"/>
  </r>
  <r>
    <s v="fabian.dulce@unisabana.edu.co"/>
    <s v="fabian.dulce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fabian.dulce@unisabana.edu.co1"/>
  </r>
  <r>
    <s v="fabio.gil1@unisabana.edu.co"/>
    <s v="fabio.gil1@unisabana.edu.co1"/>
    <s v="MEDICINA"/>
    <x v="4"/>
    <x v="0"/>
    <x v="0"/>
    <s v="Completa"/>
    <s v="Pregrado"/>
    <s v="FACULTAD DE MEDICINA"/>
    <s v="https://ProfCatedra2024.sawtoothsoftware.com/cgi-bin/ciwweb.pl?studyname=ProfCatedra2024&amp;Correo=fabio.gil1@unisabana.edu.co1"/>
  </r>
  <r>
    <s v="faviorm@unisabana.edu.co"/>
    <s v="Faviorm@unisabana.edu.co01"/>
    <s v="Especializaciï¿½n en Pediatrï¿½a"/>
    <x v="79"/>
    <x v="0"/>
    <x v="0"/>
    <s v="Completa"/>
    <s v="Posgrado"/>
    <s v="FACULTAD DE MEDICINA"/>
    <s v="https://ProfCatedra2024.sawtoothsoftware.com/cgi-bin/ciwweb.pl?studyname=ProfCatedra2024&amp;Correo=Faviorm@unisabana.edu.co01"/>
  </r>
  <r>
    <s v="fbernate@franciscobernate.com"/>
    <s v="FBERNATE@FRANCISCOBERNATE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FBERNATE@FRANCISCOBERNATE.COM1"/>
  </r>
  <r>
    <s v="fbravo@bravoabogados.co"/>
    <s v="FBRAVO@BRAVOABOGADOS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FBRAVO@BRAVOABOGADOS.CO1"/>
  </r>
  <r>
    <s v="felipe.arroyave@unisabana.edu.co"/>
    <s v="Felipe.Arroyave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Felipe.Arroyave@unisabana.edu.co1"/>
  </r>
  <r>
    <s v="felipe.casas1@unisabana.edu.co"/>
    <s v="felipe.casas1@unisabana.edu.co01"/>
    <s v="Especializaciï¿½n en Cirugï¿½a General"/>
    <x v="80"/>
    <x v="0"/>
    <x v="0"/>
    <s v="Completa"/>
    <s v="Posgrado"/>
    <s v="FACULTAD DE MEDICINA"/>
    <s v="https://ProfCatedra2024.sawtoothsoftware.com/cgi-bin/ciwweb.pl?studyname=ProfCatedra2024&amp;Correo=felipe.casas1@unisabana.edu.co01"/>
  </r>
  <r>
    <s v="felipe.huertas@unisabana.edu.co"/>
    <s v="felipe.huertas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felipe.huertas@unisabana.edu.co1"/>
  </r>
  <r>
    <s v="felipe.turbay@unisabana.edu.co"/>
    <s v="felipe.turbay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felipe.turbay@unisabana.edu.co1"/>
  </r>
  <r>
    <s v="fernando.camacho@unisabana.edu.co"/>
    <s v="fernando.camacho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fernando.camacho@unisabana.edu.co01"/>
  </r>
  <r>
    <s v="fernandoc@unisabana.edu.co"/>
    <s v="FernandoC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FernandoC@unisabana.edu.co01"/>
  </r>
  <r>
    <s v="fernandoc@unisabana.edu.co"/>
    <s v="FernandoC@unisabana.edu.co02"/>
    <s v="Especializaciï¿½n en Gerencia Financiera Internacional - Bogotï¿½"/>
    <x v="73"/>
    <x v="0"/>
    <x v="0"/>
    <s v="Completa"/>
    <s v="Posgrado"/>
    <s v="INSTITUTO FORUM"/>
    <s v="https://ProfCatedra2024.sawtoothsoftware.com/cgi-bin/ciwweb.pl?studyname=ProfCatedra2024&amp;Correo=FernandoC@unisabana.edu.co02"/>
  </r>
  <r>
    <s v="fernandocg@unisabana.edu.co"/>
    <s v="FernandoCG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FernandoCG@unisabana.edu.co1"/>
  </r>
  <r>
    <s v="fernandopicozuniga@gmail.com"/>
    <s v="FERNANDOPICOZUNIGA@G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FERNANDOPICOZUNIGA@GMAIL.COM1"/>
  </r>
  <r>
    <s v="fhumar@fabiohumar.com"/>
    <s v="FHUMAR@FABIOHUMAR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FHUMAR@FABIOHUMAR.COM1"/>
  </r>
  <r>
    <s v="flavio.puentes1@unisabana.edu.co"/>
    <s v="flavio.puentes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flavio.puentes1@unisabana.edu.co01"/>
  </r>
  <r>
    <s v="flor.rodriguez2@unisabana.edu.co"/>
    <s v="flor.rodriguez2@unisabana.edu.co1"/>
    <s v="MEDICINA"/>
    <x v="4"/>
    <x v="0"/>
    <x v="0"/>
    <s v="Completa"/>
    <s v="Pregrado"/>
    <s v="FACULTAD DE MEDICINA"/>
    <s v="https://ProfCatedra2024.sawtoothsoftware.com/cgi-bin/ciwweb.pl?studyname=ProfCatedra2024&amp;Correo=flor.rodriguez2@unisabana.edu.co1"/>
  </r>
  <r>
    <s v="francisco.casas@unisabana.edu.co"/>
    <s v="francisco.casas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francisco.casas@unisabana.edu.co1"/>
  </r>
  <r>
    <s v="francisco.casas@unisabana.edu.co"/>
    <s v="francisco.casas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francisco.casas@unisabana.edu.co2"/>
  </r>
  <r>
    <s v="franklyn.rodriguez@unisabana.edu.co"/>
    <s v="franklyn.rodriguez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franklyn.rodriguez@unisabana.edu.co1"/>
  </r>
  <r>
    <s v="freddy.saavedra@unisabana.edu.co"/>
    <s v="freddy.saavedra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freddy.saavedra@unisabana.edu.co1"/>
  </r>
  <r>
    <s v="gabriel.ariza1@unisabana.edu.co"/>
    <s v="gabriel.ariza1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gabriel.ariza1@unisabana.edu.co01"/>
  </r>
  <r>
    <s v="gabriel.bonilla@unisabana.edu.co"/>
    <s v="gabriel.bonilla@unisabana.edu.co0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1"/>
  </r>
  <r>
    <s v="gabriel.bonilla@unisabana.edu.co"/>
    <s v="gabriel.bonilla@unisabana.edu.co0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2"/>
  </r>
  <r>
    <s v="gabriel.pena@unisabana.edu.co"/>
    <s v="gabriel.pen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gabriel.pena@unisabana.edu.co1"/>
  </r>
  <r>
    <s v="gabriela.atehortua@unisabana.edu.co"/>
    <s v="gabriela.atehortua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gabriela.atehortua@unisabana.edu.co01"/>
  </r>
  <r>
    <s v="gabriela.atehortua@unisabana.edu.co"/>
    <s v="gabriela.atehortua@unisabana.edu.co02"/>
    <s v="MAESTRï¿½A EN PEDAGOGï¿½A - HUILA"/>
    <x v="81"/>
    <x v="0"/>
    <x v="0"/>
    <s v="Completa"/>
    <s v="Posgrado"/>
    <s v="FACULTAD DE EDUCACIÓN"/>
    <s v="https://ProfCatedra2024.sawtoothsoftware.com/cgi-bin/ciwweb.pl?studyname=ProfCatedra2024&amp;Correo=gabriela.atehortua@unisabana.edu.co02"/>
  </r>
  <r>
    <s v="gabriela.atehortua@unisabana.edu.co"/>
    <s v="gabriela.atehortua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gabriela.atehortua@unisabana.edu.co1"/>
  </r>
  <r>
    <s v="gabriela.hernandez@unisabana.edu.co"/>
    <s v="gabriela.hernandez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gabriela.hernandez@unisabana.edu.co01"/>
  </r>
  <r>
    <s v="gerardo.mendoza@unisabana.edu.co"/>
    <s v="gerardo.mendoza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gerardo.mendoza@unisabana.edu.co1"/>
  </r>
  <r>
    <s v="gerardor@unisabana.edu.co"/>
    <s v="gerardoR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gerardoR@unisabana.edu.co01"/>
  </r>
  <r>
    <s v="gerardor@unisabana.edu.co"/>
    <s v="gerardoR@unisabana.edu.co02"/>
    <s v="Especializaciï¿½n en Gerencia Financiera Internacional - Bogotï¿½"/>
    <x v="73"/>
    <x v="0"/>
    <x v="0"/>
    <s v="Completa"/>
    <s v="Posgrado"/>
    <s v="INSTITUTO FORUM"/>
    <s v="https://ProfCatedra2024.sawtoothsoftware.com/cgi-bin/ciwweb.pl?studyname=ProfCatedra2024&amp;Correo=gerardoR@unisabana.edu.co02"/>
  </r>
  <r>
    <s v="german.ahumada@unisabana.edu.co"/>
    <s v="german.ahumad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german.ahumada@unisabana.edu.co1"/>
  </r>
  <r>
    <s v="german.fontanilla@unisabana.edu.co"/>
    <s v="german.fontanilla@unisabana.edu.co1"/>
    <s v="MEDICINA"/>
    <x v="4"/>
    <x v="0"/>
    <x v="0"/>
    <s v="Completa"/>
    <s v="Pregrado"/>
    <s v="FACULTAD DE MEDICINA"/>
    <s v="https://ProfCatedra2024.sawtoothsoftware.com/cgi-bin/ciwweb.pl?studyname=ProfCatedra2024&amp;Correo=german.fontanilla@unisabana.edu.co1"/>
  </r>
  <r>
    <s v="germanarango@yahoo.com"/>
    <s v="GERMANARANGO@YAHOO.COM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GERMANARANGO@YAHOO.COM1"/>
  </r>
  <r>
    <s v="germanarango@yahoo.com"/>
    <s v="GERMANARANGO@YAHOO.COM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GERMANARANGO@YAHOO.COM2"/>
  </r>
  <r>
    <s v="germanhr@unisabana.edu.co"/>
    <s v="Germanhr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Germanhr@unisabana.edu.co01"/>
  </r>
  <r>
    <s v="germanhr@unisabana.edu.co"/>
    <s v="Germanhr@unisabana.edu.co02"/>
    <s v="MAESTRIA EN PSICOLOGIA DE LA SALUD Y DISCAPACIDAD"/>
    <x v="46"/>
    <x v="0"/>
    <x v="0"/>
    <s v="Completa"/>
    <s v="Posgrado"/>
    <s v="FACULTAD DE PSICOLOGÍA"/>
    <s v="https://ProfCatedra2024.sawtoothsoftware.com/cgi-bin/ciwweb.pl?studyname=ProfCatedra2024&amp;Correo=Germanhr@unisabana.edu.co02"/>
  </r>
  <r>
    <s v="gicel.rodriguez@unisabana.edu.co"/>
    <s v="gicel.rodrigu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gicel.rodriguez@unisabana.edu.co1"/>
  </r>
  <r>
    <s v="gilberto.calero@unisabana.edu.co"/>
    <s v="gilberto.calero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gilberto.calero@unisabana.edu.co1"/>
  </r>
  <r>
    <s v="gina.montano1@unisabana.edu.co"/>
    <s v="gina.montano1@unisabana.edu.co1"/>
    <s v="MEDICINA"/>
    <x v="4"/>
    <x v="0"/>
    <x v="0"/>
    <s v="Completa"/>
    <s v="Pregrado"/>
    <s v="FACULTAD DE MEDICINA"/>
    <s v="https://ProfCatedra2024.sawtoothsoftware.com/cgi-bin/ciwweb.pl?studyname=ProfCatedra2024&amp;Correo=gina.montano1@unisabana.edu.co1"/>
  </r>
  <r>
    <s v="gina.rodriguez1@unisabana.edu.co"/>
    <s v="gina.rodriguez1@unisabana.edu.co01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gina.rodriguez1@unisabana.edu.co01"/>
  </r>
  <r>
    <s v="giovanny.roa@unisabana.edu.co"/>
    <s v="giovanny.roa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giovanny.roa@unisabana.edu.co01"/>
  </r>
  <r>
    <s v="giovanny.roa@unisabana.edu.co"/>
    <s v="giovanny.roa@unisabana.edu.co02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giovanny.roa@unisabana.edu.co02"/>
  </r>
  <r>
    <s v="giovanny.roa@unisabana.edu.co"/>
    <s v="giovanny.roa@unisabana.edu.co07"/>
    <s v="ESPECIALIZACIÃ“N EN EMPRENDIMIENTO Y NEGOCIOS DIGITALES- CHÃA"/>
    <x v="0"/>
    <x v="0"/>
    <x v="0"/>
    <s v="Completa"/>
    <s v="Posgrado"/>
    <s v="INSTITUTO FORUM"/>
    <s v="https://ProfCatedra2024.sawtoothsoftware.com/cgi-bin/ciwweb.pl?studyname=ProfCatedra2024&amp;Correo=giovanny.roa@unisabana.edu.co07"/>
  </r>
  <r>
    <s v="giovannyavbarbosa@gmail.com"/>
    <s v="GIOVANNYAVBARBOSA@G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GIOVANNYAVBARBOSA@GMAIL.COM1"/>
  </r>
  <r>
    <s v="giuliana.zito@unisabana.edu.co"/>
    <s v="giuliana.zito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giuliana.zito@unisabana.edu.co1"/>
  </r>
  <r>
    <s v="gloria.arias@unisabana.edu.co"/>
    <s v="gloria.arias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gloria.arias@unisabana.edu.co1"/>
  </r>
  <r>
    <s v="gloria.delgado@unisabana.edu.co"/>
    <s v="gloria.delgad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gloria.delgado@unisabana.edu.co01"/>
  </r>
  <r>
    <s v="guido.castro@unisabana.edu.co"/>
    <s v="guido.castro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guido.castro@unisabana.edu.co01"/>
  </r>
  <r>
    <s v="gustavo.gomez@unisabana.edu.co"/>
    <s v="gustavo.gomez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gustavo.gomez@unisabana.edu.co01"/>
  </r>
  <r>
    <s v="gustavo.gomez@unisabana.edu.co"/>
    <s v="gustavo.gomez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gustavo.gomez@unisabana.edu.co1"/>
  </r>
  <r>
    <s v="gustavo.ramirez1@unisabana.edu.co"/>
    <s v="gustavo.ramirez1@unisabana.edu.co01"/>
    <s v="Maestrï¿½a en Gerencia de Inversiï¿½n"/>
    <x v="26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1"/>
  </r>
  <r>
    <s v="gustavo.ramirez1@unisabana.edu.co"/>
    <s v="gustavo.ramirez1@unisabana.edu.co02"/>
    <s v="Maestrï¿½a en Gerencia de Inversiï¿½n - Virtual"/>
    <x v="27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2"/>
  </r>
  <r>
    <s v="hans.correa@unisabana.edu.co"/>
    <s v="hans.corre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hans.correa@unisabana.edu.co1"/>
  </r>
  <r>
    <s v="harol.piravaguen@unisabana.edu.co"/>
    <s v="harol.piravaguen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harol.piravaguen@unisabana.edu.co1"/>
  </r>
  <r>
    <s v="harvey.hernandez@unisabana.edu.co"/>
    <s v="harvey.hernandez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harvey.hernandez@unisabana.edu.co1"/>
  </r>
  <r>
    <s v="hector.posso@unisabana.edu.co"/>
    <s v="hector.posso@Unisabana.edu.co01"/>
    <s v="Maestrï¿½a en Epidemiologï¿½a"/>
    <x v="83"/>
    <x v="0"/>
    <x v="0"/>
    <s v="Completa"/>
    <s v="Posgrado"/>
    <s v="FACULTAD DE MEDICINA"/>
    <s v="https://ProfCatedra2024.sawtoothsoftware.com/cgi-bin/ciwweb.pl?studyname=ProfCatedra2024&amp;Correo=hector.posso@Unisabana.edu.co01"/>
  </r>
  <r>
    <s v="hectorfa@unisabana.edu.co"/>
    <s v="HectorFA@unisabana.edu.co1"/>
    <s v="MEDICINA"/>
    <x v="4"/>
    <x v="0"/>
    <x v="0"/>
    <s v="Completa"/>
    <s v="Pregrado"/>
    <s v="FACULTAD DE MEDICINA"/>
    <s v="https://ProfCatedra2024.sawtoothsoftware.com/cgi-bin/ciwweb.pl?studyname=ProfCatedra2024&amp;Correo=HectorFA@unisabana.edu.co1"/>
  </r>
  <r>
    <s v="henry.moya@unisabana.edu.co"/>
    <s v="henry.moy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henry.moya@unisabana.edu.co1"/>
  </r>
  <r>
    <s v="henry.ramirez@unisabana.edu.co"/>
    <s v="henry.ramirez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henry.ramirez@unisabana.edu.co1"/>
  </r>
  <r>
    <s v="hernando.mullet@unisabana.edu.co"/>
    <s v="hernando.mullet@unisabana.edu.co01"/>
    <s v="Especializaciï¿½n en Cuidado Intensivo Pediï¿½trico"/>
    <x v="84"/>
    <x v="0"/>
    <x v="0"/>
    <s v="Completa"/>
    <s v="Posgrado"/>
    <s v="FACULTAD DE MEDICINA"/>
    <s v="https://ProfCatedra2024.sawtoothsoftware.com/cgi-bin/ciwweb.pl?studyname=ProfCatedra2024&amp;Correo=hernando.mullet@unisabana.edu.co01"/>
  </r>
  <r>
    <s v="hugo.camacho@unisabana.edu.co"/>
    <s v="hugo.camacho@unisabana.edu.co1"/>
    <s v="MEDICINA"/>
    <x v="4"/>
    <x v="0"/>
    <x v="0"/>
    <s v="Completa"/>
    <s v="Pregrado"/>
    <s v="FACULTAD DE MEDICINA"/>
    <s v="https://ProfCatedra2024.sawtoothsoftware.com/cgi-bin/ciwweb.pl?studyname=ProfCatedra2024&amp;Correo=hugo.camacho@unisabana.edu.co1"/>
  </r>
  <r>
    <s v="hugo.nino1@unisabana.edu.co"/>
    <s v="hugo.nino1@unisabana.edu.co01"/>
    <s v="Especializaciï¿½n en Gerencia Logï¿½stica - Bogotï¿½"/>
    <x v="85"/>
    <x v="0"/>
    <x v="0"/>
    <s v="Completa"/>
    <s v="Posgrado"/>
    <s v="INSTITUTO FORUM"/>
    <s v="https://ProfCatedra2024.sawtoothsoftware.com/cgi-bin/ciwweb.pl?studyname=ProfCatedra2024&amp;Correo=hugo.nino1@unisabana.edu.co01"/>
  </r>
  <r>
    <s v="hugo.urena@unisabana.edu.co"/>
    <s v="hugo.uren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hugo.urena@unisabana.edu.co1"/>
  </r>
  <r>
    <s v="ignacio.perez@unisabana.edu.co"/>
    <s v="ignacio.perez@unisabana.edu.co01"/>
    <s v="Maestrï¿½a en Gerencia de Operaciones"/>
    <x v="86"/>
    <x v="0"/>
    <x v="0"/>
    <s v="Completa"/>
    <s v="Posgrado"/>
    <s v="ESCUELA INTERNACIONAL DE CIENCIAS ECONÓMICAS Y ADMINISTRATIVAS"/>
    <s v="https://ProfCatedra2024.sawtoothsoftware.com/cgi-bin/ciwweb.pl?studyname=ProfCatedra2024&amp;Correo=ignacio.perez@unisabana.edu.co01"/>
  </r>
  <r>
    <s v="ingri.moreno@unisabana.edu.co"/>
    <s v="ingri.moreno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ingri.moreno@unisabana.edu.co2"/>
  </r>
  <r>
    <s v="ingrid.bustos2@unisabana.edu.co"/>
    <s v="ingrid.bustos2@unisabana.edu.co1"/>
    <s v="MEDICINA"/>
    <x v="4"/>
    <x v="0"/>
    <x v="0"/>
    <s v="Completa"/>
    <s v="Pregrado"/>
    <s v="FACULTAD DE MEDICINA"/>
    <s v="https://ProfCatedra2024.sawtoothsoftware.com/cgi-bin/ciwweb.pl?studyname=ProfCatedra2024&amp;Correo=ingrid.bustos2@unisabana.edu.co1"/>
  </r>
  <r>
    <s v="irma.aristizabal1@unisabana.edu.co"/>
    <s v="irma.aristizabal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irma.aristizabal1@unisabana.edu.co1"/>
  </r>
  <r>
    <s v="isabela.granados@unisabana.edu.co"/>
    <s v="isabela.granados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isabela.granados@unisabana.edu.co1"/>
  </r>
  <r>
    <s v="ivan.lozano@unisabana.edu.co"/>
    <s v="ivan.lozan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ivan.lozano@unisabana.edu.co1"/>
  </r>
  <r>
    <s v="ivan.sierra@unisabana.edu.co"/>
    <s v="ivan.sierr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ivan.sierra@unisabana.edu.co1"/>
  </r>
  <r>
    <s v="ivan.unigarro1@unisabana.edu.co"/>
    <s v="ivan.unigarro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ivan.unigarro1@unisabana.edu.co1"/>
  </r>
  <r>
    <s v="jacqueline.lopez@unisabana.edu.co"/>
    <s v="jacqueline.lop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jacqueline.lopez@unisabana.edu.co1"/>
  </r>
  <r>
    <s v="jader.castano1@unisabana.edu.co"/>
    <s v="jader.castano1@unisabana.edu.co02"/>
    <s v="Especializaciï¿½n en Gerencia de Proyectos con Enfoque en Habilidades Directivas - Chï¿½a"/>
    <x v="88"/>
    <x v="0"/>
    <x v="0"/>
    <s v="Incompleta"/>
    <s v="Posgrado"/>
    <s v="INSTITUTO FORUM"/>
    <s v="https://ProfCatedra2024.sawtoothsoftware.com/cgi-bin/ciwweb.pl?studyname=ProfCatedra2024&amp;Correo=jader.castano1@unisabana.edu.co02"/>
  </r>
  <r>
    <s v="jaime.avila1@unisabana.edu.co"/>
    <s v="jaime.avila1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aime.avila1@unisabana.edu.co1"/>
  </r>
  <r>
    <s v="jaime.barcenas1@unisabana.edu.co"/>
    <s v="jaime.barcenas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ime.barcenas1@unisabana.edu.co1"/>
  </r>
  <r>
    <s v="jaime.marin@unisabana.edu.co"/>
    <s v="jaime.marin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aime.marin@unisabana.edu.co1"/>
  </r>
  <r>
    <s v="jaime.martinez1@unisabana.edu.co"/>
    <s v="jaime.martinez1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1"/>
  </r>
  <r>
    <s v="jaime.martinez1@unisabana.edu.co"/>
    <s v="jaime.martinez1@unisabana.edu.co02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2"/>
  </r>
  <r>
    <s v="jaime.martinez1@unisabana.edu.co"/>
    <s v="jaime.martinez1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ime.martinez1@unisabana.edu.co1"/>
  </r>
  <r>
    <s v="jaimechavesv@consultoriajuridicadecolombia.com.co"/>
    <s v="JAIMECHAVESV@CONSULTORIAJURIDICADECOLOMBIA.COM.CO1"/>
    <s v="Especializaciï¿½n en Contrataciï¿½n Estatal - Chï¿½a"/>
    <x v="64"/>
    <x v="0"/>
    <x v="0"/>
    <s v="Completa"/>
    <s v="Posgrado"/>
    <s v="FACULTAD DE DERECHO Y CIENCIAS POLÍTICAS"/>
    <s v="https://ProfCatedra2024.sawtoothsoftware.com/cgi-bin/ciwweb.pl?studyname=ProfCatedra2024&amp;Correo=JAIMECHAVESV@CONSULTORIAJURIDICADECOLOMBIA.COM.CO1"/>
  </r>
  <r>
    <s v="jaimemm@unisabana.edu.co"/>
    <s v="JaimeMM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aimeMM@unisabana.edu.co01"/>
  </r>
  <r>
    <s v="jairo.rubiano@unisabana.edu.co"/>
    <s v="jairo.rubiano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airo.rubiano@unisabana.edu.co1"/>
  </r>
  <r>
    <s v="jairo.zapata@unisabana.edu.co"/>
    <s v="jairo.zapat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jairo.zapata@unisabana.edu.co1"/>
  </r>
  <r>
    <s v="javier.herrera1@unisabana.edu.co"/>
    <s v="javier.herrera1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javier.herrera1@unisabana.edu.co01"/>
  </r>
  <r>
    <s v="javier.jurado2@unisabana.edu.co"/>
    <s v="javier.jurado2@unisabana.edu.co01"/>
    <s v="Especializaciï¿½n en Medicina Familiar y Comunitaria"/>
    <x v="69"/>
    <x v="0"/>
    <x v="0"/>
    <s v="Completa"/>
    <s v="Posgrado"/>
    <s v="FACULTAD DE MEDICINA"/>
    <s v="https://ProfCatedra2024.sawtoothsoftware.com/cgi-bin/ciwweb.pl?studyname=ProfCatedra2024&amp;Correo=javier.jurado2@unisabana.edu.co01"/>
  </r>
  <r>
    <s v="javier.prada@unisabana.edu.co"/>
    <s v="javier.prada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javier.prada@unisabana.edu.co1"/>
  </r>
  <r>
    <s v="javier.salazar@unisabana.edu.co"/>
    <s v="javier.salazar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avier.salazar@unisabana.edu.co1"/>
  </r>
  <r>
    <s v="javieros@unisabana.edu.co"/>
    <s v="Javier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avierOS@unisabana.edu.co1"/>
  </r>
  <r>
    <s v="javieros@unisabana.edu.co"/>
    <s v="JavierO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avierOS@unisabana.edu.co2"/>
  </r>
  <r>
    <s v="javieros@unisabana.edu.co"/>
    <s v="JavierO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avierOS@unisabana.edu.co3"/>
  </r>
  <r>
    <s v="jehison.fernandez1@unisabana.edu.co"/>
    <s v="jehison.fernand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ehison.fernandez1@unisabana.edu.co1"/>
  </r>
  <r>
    <s v="jeimy.ariza@unisabana.edu.co"/>
    <s v="jeimy.ariza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jeimy.ariza@unisabana.edu.co1"/>
  </r>
  <r>
    <s v="jelbenav@bancolombia.com.co"/>
    <s v="JELBENAV@BANCOLOMBIA.COM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JELBENAV@BANCOLOMBIA.COM.CO1"/>
  </r>
  <r>
    <s v="jenny.rodriguez13@unisabana.edu.co"/>
    <s v="jenny.rodriguez13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jenny.rodriguez13@unisabana.edu.co1"/>
  </r>
  <r>
    <s v="jeronimo.garcia@unisabana.edu.co"/>
    <s v="jeronimo.garcia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eronimo.garcia@unisabana.edu.co1"/>
  </r>
  <r>
    <s v="jeronimo.garcia@unisabana.edu.co"/>
    <s v="jeronimo.garcia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eronimo.garcia@unisabana.edu.co3"/>
  </r>
  <r>
    <s v="jesicabiviana9@gmail.com"/>
    <s v="jesicabiviana9@gmail.com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jesicabiviana9@gmail.com1"/>
  </r>
  <r>
    <s v="jessica.upegui@unisabana.edu.co"/>
    <s v="jessica.upegui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essica.upegui@unisabana.edu.co01"/>
  </r>
  <r>
    <s v="jessica.waked@unisabana.edu.co"/>
    <s v="jessica.waked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essica.waked@unisabana.edu.co1"/>
  </r>
  <r>
    <s v="jesus.agreda@unisabana.edu.co"/>
    <s v="jesus.agreda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jesus.agreda@unisabana.edu.co1"/>
  </r>
  <r>
    <s v="jesus.cifuentes@unisabana.edu.co"/>
    <s v="jesus.cifuentes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jesus.cifuentes@unisabana.edu.co1"/>
  </r>
  <r>
    <s v="jf@zartaasociados.com"/>
    <s v="JF@ZARTAASOCIADOS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JF@ZARTAASOCIADOS.COM1"/>
  </r>
  <r>
    <s v="jhebravobu@unal.edu.co"/>
    <s v="jhebravobu@unal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jhebravobu@unal.edu.co1"/>
  </r>
  <r>
    <s v="jhonathan.rodriguez@unisabana.edu.co"/>
    <s v="jhonathan.rodriguez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honathan.rodriguez@unisabana.edu.co1"/>
  </r>
  <r>
    <s v="jimmy.rojas@unisabana.edu.co"/>
    <s v="jimmy.roj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immy.rojas@unisabana.edu.co1"/>
  </r>
  <r>
    <s v="john.cabrera_cont@unisabana.edu.co"/>
    <s v="john.cabrera_cont@unisabana.edu.co02"/>
    <s v="Especializaciï¿½n en Gerencia de Proyectos con Enfoque en Habilidades Directivas - Chï¿½a"/>
    <x v="88"/>
    <x v="0"/>
    <x v="0"/>
    <s v="Completa"/>
    <s v="Posgrado"/>
    <s v="INSTITUTO FORUM"/>
    <s v="https://ProfCatedra2024.sawtoothsoftware.com/cgi-bin/ciwweb.pl?studyname=ProfCatedra2024&amp;Correo=john.cabrera_cont@unisabana.edu.co02"/>
  </r>
  <r>
    <s v="john.feliciano1@unisabana.edu.co"/>
    <s v="john.feliciano1@unisabana.edu.co01"/>
    <s v="Especializaciï¿½n en Farmacologï¿½a Clï¿½nica"/>
    <x v="50"/>
    <x v="0"/>
    <x v="0"/>
    <s v="Completa"/>
    <s v="Posgrado"/>
    <s v="FACULTAD DE MEDICINA"/>
    <s v="https://ProfCatedra2024.sawtoothsoftware.com/cgi-bin/ciwweb.pl?studyname=ProfCatedra2024&amp;Correo=john.feliciano1@unisabana.edu.co01"/>
  </r>
  <r>
    <s v="john.motta@unisabana.edu.co"/>
    <s v="john.mott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ohn.motta@unisabana.edu.co1"/>
  </r>
  <r>
    <s v="john.pinzon1@unisabana.edu.co"/>
    <s v="john.pinzon1@unisabana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john.pinzon1@unisabana.edu.co1"/>
  </r>
  <r>
    <s v="jorge.avila@unisabana.edu.co"/>
    <s v="jorge.avila@unisabana.edu.co02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jorge.avila@unisabana.edu.co02"/>
  </r>
  <r>
    <s v="jorge.bolivar@unisabana.edu.co"/>
    <s v="jorge.bolivar@unisabana.edu.co01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jorge.bolivar@unisabana.edu.co01"/>
  </r>
  <r>
    <s v="jorge.cortazar@unisabana.edu.co"/>
    <s v="jorge.cortazar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orge.cortazar@unisabana.edu.co1"/>
  </r>
  <r>
    <s v="jorge.leyva1@unisabana.edu.co"/>
    <s v="jorge.leyva1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orge.leyva1@unisabana.edu.co01"/>
  </r>
  <r>
    <s v="jorge.martinez_cont@unisabana.edu.co"/>
    <s v="JORGE.MARTINEZ_CONT@UNISABANA.edu.co01"/>
    <s v="Especializaciï¿½n En Gerencia Estratï¿½gica - Villavicencio"/>
    <x v="78"/>
    <x v="0"/>
    <x v="0"/>
    <s v="Completa"/>
    <s v="Posgrado"/>
    <s v="INSTITUTO FORUM"/>
    <s v="https://ProfCatedra2024.sawtoothsoftware.com/cgi-bin/ciwweb.pl?studyname=ProfCatedra2024&amp;Correo=JORGE.MARTINEZ_CONT@UNISABANA.edu.co01"/>
  </r>
  <r>
    <s v="jorge.sanmartin@unisabana.edu.co"/>
    <s v="jorge.sanmartin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orge.sanmartin@unisabana.edu.co1"/>
  </r>
  <r>
    <s v="jorgevico@unisabana.edu.co"/>
    <s v="jorgevico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orgevico@unisabana.edu.co1"/>
  </r>
  <r>
    <s v="jose.avellaneda@unisabana.edu.co"/>
    <s v="jose.avellaneda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ose.avellaneda@unisabana.edu.co1"/>
  </r>
  <r>
    <s v="jose.bautista2@unisabana.edu.co"/>
    <s v="jose.bautista2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ose.bautista2@unisabana.edu.co1"/>
  </r>
  <r>
    <s v="jose.castano@unisabana.edu.co"/>
    <s v="jose.castano@unisabana.edu.co02"/>
    <s v="Maestrï¿½a en Direcciï¿½n y Gestiï¿½n de Instituciones Educativas - Riohacha"/>
    <x v="92"/>
    <x v="0"/>
    <x v="0"/>
    <s v="Completa"/>
    <s v="Posgrado"/>
    <s v="FACULTAD DE EDUCACIÓN"/>
    <s v="https://ProfCatedra2024.sawtoothsoftware.com/cgi-bin/ciwweb.pl?studyname=ProfCatedra2024&amp;Correo=jose.castano@unisabana.edu.co02"/>
  </r>
  <r>
    <s v="jose.castano1@unisabana.edu.co"/>
    <s v="jose.castano1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ose.castano1@unisabana.edu.co1"/>
  </r>
  <r>
    <s v="jose.diaz2@unisabana.edu.co"/>
    <s v="jose.diaz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jose.diaz2@unisabana.edu.co1"/>
  </r>
  <r>
    <s v="jose.jerez@unisabana.edu.co"/>
    <s v="jose.jerez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ose.jerez@unisabana.edu.co1"/>
  </r>
  <r>
    <s v="jose.mejia@unisabana.edu.co"/>
    <s v="jose.mejia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jose.mejia@unisabana.edu.co01"/>
  </r>
  <r>
    <s v="jose.mejia@unisabana.edu.co"/>
    <s v="jose.mejia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ose.mejia@unisabana.edu.co1"/>
  </r>
  <r>
    <s v="jose.parra@unisabana.edu.co"/>
    <s v="jose.parr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ose.parra@unisabana.edu.co1"/>
  </r>
  <r>
    <s v="jose.riano@unisabana.edu.co"/>
    <s v="jose.rian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ose.riano@unisabana.edu.co1"/>
  </r>
  <r>
    <s v="jose.riveros1@unisabana.edu.co"/>
    <s v="jose.riveros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ose.riveros1@unisabana.edu.co1"/>
  </r>
  <r>
    <s v="jose.rodriguez13@unisabana.edu.co"/>
    <s v="jose.rodriguez13@unisabana.edu.co01"/>
    <s v="Especializaciï¿½n en Gerencia de Proyectos con Enfoque en Habilidades Directivas - Bogotï¿½"/>
    <x v="93"/>
    <x v="0"/>
    <x v="0"/>
    <s v="Incompleta"/>
    <s v="Posgrado"/>
    <s v="INSTITUTO FORUM"/>
    <s v="https://ProfCatedra2024.sawtoothsoftware.com/cgi-bin/ciwweb.pl?studyname=ProfCatedra2024&amp;Correo=jose.rodriguez13@unisabana.edu.co01"/>
  </r>
  <r>
    <s v="jose.sanchez8@unisabana.edu.co"/>
    <s v="jose.sanchez8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jose.sanchez8@unisabana.edu.co1"/>
  </r>
  <r>
    <s v="jose.sarmiento2@unisabana.edu.co"/>
    <s v="jose.sarmiento2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jose.sarmiento2@unisabana.edu.co1"/>
  </r>
  <r>
    <s v="joseroa@unisabana.edu.co"/>
    <s v="JoseRoA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oseRoA@unisabana.edu.co1"/>
  </r>
  <r>
    <s v="juan.acevedo3@unisabana.edu.co"/>
    <s v="juan.acevedo3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juan.acevedo3@unisabana.edu.co1"/>
  </r>
  <r>
    <s v="juan.beltran4@unisabana.edu.co"/>
    <s v="juan.beltran4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juan.beltran4@unisabana.edu.co1"/>
  </r>
  <r>
    <s v="juan.bernal9@unisabana.edu.co"/>
    <s v="juan.bernal9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bernal9@unisabana.edu.co1"/>
  </r>
  <r>
    <s v="juan.betancourt@unisabana.edu.co"/>
    <s v="juan.betancourt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juan.betancourt@unisabana.edu.co1"/>
  </r>
  <r>
    <s v="juan.castiblanco1@unisabana.edu.co"/>
    <s v="juan.castiblanco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juan.castiblanco1@unisabana.edu.co1"/>
  </r>
  <r>
    <s v="juan.cobos@unisabana.edu.co"/>
    <s v="juan.cobo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cobos@unisabana.edu.co1"/>
  </r>
  <r>
    <s v="juan.cobos@unisabana.edu.co"/>
    <s v="juan.cobos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an.cobos@unisabana.edu.co2"/>
  </r>
  <r>
    <s v="juan.cobos@unisabana.edu.co"/>
    <s v="juan.cobo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uan.cobos@unisabana.edu.co3"/>
  </r>
  <r>
    <s v="juan.correales@unisabana.edu.co"/>
    <s v="juan.correales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juan.correales@unisabana.edu.co01"/>
  </r>
  <r>
    <s v="juan.enciso2@unisabana.edu.co"/>
    <s v="juan.enciso2@unisabana.edu.co01"/>
    <s v="ESPECIALIZACIï¿½N EN PEDAGOGï¿½A E INVESTIGACIï¿½N EN EL AULA"/>
    <x v="94"/>
    <x v="0"/>
    <x v="0"/>
    <s v="Completa"/>
    <s v="Posgrado"/>
    <s v="FACULTAD DE EDUCACIÓN"/>
    <s v="https://ProfCatedra2024.sawtoothsoftware.com/cgi-bin/ciwweb.pl?studyname=ProfCatedra2024&amp;Correo=juan.enciso2@unisabana.edu.co01"/>
  </r>
  <r>
    <s v="juan.enciso2@unisabana.edu.co"/>
    <s v="juan.enciso2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juan.enciso2@unisabana.edu.co1"/>
  </r>
  <r>
    <s v="juan.espejo1@unisabana.edu.co"/>
    <s v="juan.espejo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uan.espejo1@unisabana.edu.co01"/>
  </r>
  <r>
    <s v="juan.espinosa2@unisabana.edu.co"/>
    <s v="juan.espinosa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espinosa2@unisabana.edu.co1"/>
  </r>
  <r>
    <s v="juan.garcia12@unisabana.edu.co"/>
    <s v="juan.garcia12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juan.garcia12@unisabana.edu.co1"/>
  </r>
  <r>
    <s v="juan.garcia13@unisabana.edu.co"/>
    <s v="juan.garcia13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arcia13@unisabana.edu.co1"/>
  </r>
  <r>
    <s v="juan.giraldo1@unisabana.edu.co"/>
    <s v="juan.girald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iraldo1@unisabana.edu.co1"/>
  </r>
  <r>
    <s v="juan.gonzalez10@unisabana.edu.co"/>
    <s v="juan.gonzalez10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gonzalez10@unisabana.edu.co1"/>
  </r>
  <r>
    <s v="juan.grosso1@unisabana.edu.co"/>
    <s v="juan.grosso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juan.grosso1@unisabana.edu.co01"/>
  </r>
  <r>
    <s v="juan.gutierrez1@unisabana.edu.co"/>
    <s v="juan.gutierrez1@unisabana.edu.co01"/>
    <s v="Especializaciï¿½n en Gerencia Comercial - Chia"/>
    <x v="95"/>
    <x v="0"/>
    <x v="0"/>
    <s v="Completa"/>
    <s v="Posgrado"/>
    <s v="INSTITUTO FORUM"/>
    <s v="https://ProfCatedra2024.sawtoothsoftware.com/cgi-bin/ciwweb.pl?studyname=ProfCatedra2024&amp;Correo=juan.gutierrez1@unisabana.edu.co01"/>
  </r>
  <r>
    <s v="juan.gutierrez1@unisabana.edu.co"/>
    <s v="juan.gutierrez1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juan.gutierrez1@unisabana.edu.co02"/>
  </r>
  <r>
    <s v="juan.hernandez@unisabana.edu.co"/>
    <s v="JUAN.HERNANDEZ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JUAN.HERNANDEZ@UNISABANA.EDU.CO1"/>
  </r>
  <r>
    <s v="juan.jaramillo1@unisabana.edu.co"/>
    <s v="juan.jaramillo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juan.jaramillo1@unisabana.edu.co1"/>
  </r>
  <r>
    <s v="juan.mojica3@unisabana.edu.co"/>
    <s v="juan.Mojica3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juan.Mojica3@unisabana.edu.co1"/>
  </r>
  <r>
    <s v="alba.munoz@unisabana.edu.co"/>
    <s v="alba.munoz@unisabana.edu.co1"/>
    <s v="LICENCIATURA EN CIENCIAS NATURALES"/>
    <x v="3"/>
    <x v="0"/>
    <x v="1"/>
    <s v="Incompleta"/>
    <s v="Pregrado"/>
    <s v="FACULTAD DE EDUCACIÓN"/>
    <s v="https://ProfCatedra2024.sawtoothsoftware.com/cgi-bin/ciwweb.pl?studyname=ProfCatedra2024&amp;Correo=alba.munoz@unisabana.edu.co1"/>
  </r>
  <r>
    <s v="alexander.jimenez@unisabana.edu.co"/>
    <s v="alexander.jimenez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alexander.jimenez@unisabana.edu.co1"/>
  </r>
  <r>
    <s v="alvaro.pulido@unisabana.edu.co"/>
    <s v="alvaro.pulid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alvaro.pulido@unisabana.edu.co1"/>
  </r>
  <r>
    <s v="alver.castillo@unisabana.edu.co"/>
    <s v="alver.castillo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alver.castillo@unisabana.edu.co1"/>
  </r>
  <r>
    <s v="ana.moreno3@unisabana.edu.co"/>
    <s v="ana.moreno3@unisabana.edu.co1"/>
    <s v="MERCADEO"/>
    <x v="24"/>
    <x v="0"/>
    <x v="1"/>
    <s v="Incompleta"/>
    <s v="Pregrado"/>
    <s v="ESCUELA INTERNACIONAL DE CIENCIAS ECONÓMICAS Y ADMINISTRATIVAS"/>
    <s v="https://ProfCatedra2024.sawtoothsoftware.com/cgi-bin/ciwweb.pl?studyname=ProfCatedra2024&amp;Correo=ana.moreno3@unisabana.edu.co1"/>
  </r>
  <r>
    <s v="andres.guevara3@unisabana.edu.co"/>
    <s v="andres.guevara3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andres.guevara3@unisabana.edu.co1"/>
  </r>
  <r>
    <s v="angela.bertieri@unisabana.edu.co"/>
    <s v="angela.bertieri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angela.bertieri@unisabana.edu.co1"/>
  </r>
  <r>
    <s v="angela.romero3@unisabana.edu.co"/>
    <s v="angela.romero3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angela.romero3@unisabana.edu.co1"/>
  </r>
  <r>
    <s v="angelacorga@unisabana.edu.co"/>
    <s v="angelacorga@unisabana.edu.co1"/>
    <s v="CORE CURRICULUM PERSONA Y CULTURA"/>
    <x v="36"/>
    <x v="0"/>
    <x v="1"/>
    <s v="Incompleta"/>
    <s v="Pregrado"/>
    <s v="CORE CURRICULUM PERSONA Y CULTURA"/>
    <s v="https://ProfCatedra2024.sawtoothsoftware.com/cgi-bin/ciwweb.pl?studyname=ProfCatedra2024&amp;Correo=angelacorga@unisabana.edu.co1"/>
  </r>
  <r>
    <s v="antonio.rodriguez@unisabana.edu.co"/>
    <s v="antonio.rodriguez@unisabana.edu.co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antonio.rodriguez@unisabana.edu.co1"/>
  </r>
  <r>
    <s v="camilo.vargas@unisabana.edu.co"/>
    <s v="camilo.vargas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camilo.vargas@unisabana.edu.co1"/>
  </r>
  <r>
    <s v="carlos.gomez21@unisabana.edu.co"/>
    <s v="carlos.gomez21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carlos.gomez21@unisabana.edu.co1"/>
  </r>
  <r>
    <s v="carlos.prias@unisabana.edu.co"/>
    <s v="carlos.prias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carlos.prias@unisabana.edu.co1"/>
  </r>
  <r>
    <s v="cesar.beltran@gmail.com"/>
    <s v="cesar.beltran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cesar.beltran@gmail.com1"/>
  </r>
  <r>
    <s v="cesar.diaz1@unisabana.edu.co"/>
    <s v="cesar.dia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esar.diaz1@unisabana.edu.co1"/>
  </r>
  <r>
    <s v="cflorezt@hotmail.com"/>
    <s v="cflorezt@hotmail.com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cflorezt@hotmail.com1"/>
  </r>
  <r>
    <s v="claudia.jaramillo2@unisabana.edu.co"/>
    <s v="claudia.jaramillo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laudia.jaramillo2@unisabana.edu.co1"/>
  </r>
  <r>
    <s v="daniel.gomez5@unisabana.edu.co"/>
    <s v="daniel.gomez5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daniel.gomez5@unisabana.edu.co1"/>
  </r>
  <r>
    <s v="daniel.robayo@unisabana.edu.co"/>
    <s v="daniel.robayo@unisabana.edu.co1"/>
    <s v="INGENIERï¿½A MECï¿½NICA"/>
    <x v="2"/>
    <x v="0"/>
    <x v="1"/>
    <s v="Incompleta"/>
    <s v="Pregrado"/>
    <s v="FACULTAD DE INGENIERÍA"/>
    <s v="https://ProfCatedra2024.sawtoothsoftware.com/cgi-bin/ciwweb.pl?studyname=ProfCatedra2024&amp;Correo=daniel.robayo@unisabana.edu.co1"/>
  </r>
  <r>
    <s v="david.avila@unisabana.edu.co"/>
    <s v="david.avila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david.avila@unisabana.edu.co1"/>
  </r>
  <r>
    <s v="davidheme@unisabana.edu.co"/>
    <s v="davidheme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davidheme@unisabana.edu.co1"/>
  </r>
  <r>
    <s v="diego.guevara@unisabana.edu.co"/>
    <s v="diego.guevara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diego.guevara@unisabana.edu.co1"/>
  </r>
  <r>
    <s v="edwin.rojas@unisabana.edu.co"/>
    <s v="edwin.rojas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edwin.rojas@unisabana.edu.co1"/>
  </r>
  <r>
    <s v="faure.rodriguez1@unisabana.edu.co"/>
    <s v="faure.rodrigue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aure.rodriguez1@unisabana.edu.co1"/>
  </r>
  <r>
    <s v="francisco.moreno2@unisabana.edu.co"/>
    <s v="francisco.moreno2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francisco.moreno2@unisabana.edu.co1"/>
  </r>
  <r>
    <s v="hector.lopez3@unisabana.edu.co"/>
    <s v="hector.lopez3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hector.lopez3@unisabana.edu.co1"/>
  </r>
  <r>
    <s v="ing.karol.moreno@gmail.com"/>
    <s v="ing.karol.moreno@gmail.com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ing.karol.moreno@gmail.com1"/>
  </r>
  <r>
    <s v="jairo.sarmiento@unisabana.edu.co"/>
    <s v="jairo.sarmient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jairo.sarmiento@unisabana.edu.co1"/>
  </r>
  <r>
    <s v="jesus.ruiz@unisabana.edu.co"/>
    <s v="jesus.ruiz@unisabana.edu.co1"/>
    <s v="ECONOMï¿½A"/>
    <x v="40"/>
    <x v="0"/>
    <x v="1"/>
    <s v="Incompleta"/>
    <s v="Pregrado"/>
    <s v="ESCUELA INTERNACIONAL DE CIENCIAS ECONÓMICAS Y ADMINISTRATIVAS"/>
    <s v="https://ProfCatedra2024.sawtoothsoftware.com/cgi-bin/ciwweb.pl?studyname=ProfCatedra2024&amp;Correo=jesus.ruiz@unisabana.edu.co1"/>
  </r>
  <r>
    <s v="jhenny.perez@unisabana.edu.co"/>
    <s v="jhenny.perez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henny.perez@unisabana.edu.co1"/>
  </r>
  <r>
    <s v="jhon.quiceno@unisabana.edu.co"/>
    <s v="jhon.quicen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hon.quiceno@unisabana.edu.co1"/>
  </r>
  <r>
    <s v="john.mora@unisabana.edu.co"/>
    <s v="john.mora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john.mora@unisabana.edu.co1"/>
  </r>
  <r>
    <s v="jose.capera@unisabana.edu.co"/>
    <s v="jose.capera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jose.capera@unisabana.edu.co1"/>
  </r>
  <r>
    <s v="juan.anzola@unisabana.edu.co"/>
    <s v="juan.anzola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juan.anzola@unisabana.edu.co1"/>
  </r>
  <r>
    <s v="juan.bargans@unisabana.edu.co"/>
    <s v="Juan.Bargans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Juan.Bargans@unisabana.edu.co1"/>
  </r>
  <r>
    <s v="juan.murillo2@unisabana.edu.co"/>
    <s v="juan.murillo2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juan.murillo2@unisabana.edu.co1"/>
  </r>
  <r>
    <s v="juan.nunez@unisabana.edu.co"/>
    <s v="juan.nunez@unisabana.edu.co1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juan.nunez@unisabana.edu.co1"/>
  </r>
  <r>
    <s v="juan.quintero14@unisabana.edu.co"/>
    <s v="juan.quintero14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juan.quintero14@unisabana.edu.co1"/>
  </r>
  <r>
    <s v="julia.diaz@unisabana.edu.co"/>
    <s v="julia.diaz@unisabana.edu.co1"/>
    <s v="GESTIï¿½N DE OPERACIONES"/>
    <x v="96"/>
    <x v="0"/>
    <x v="1"/>
    <s v="Incompleta"/>
    <s v="Pregrado"/>
    <s v="ESCUELA INTERNACIONAL DE CIENCIAS ECONÓMICAS Y ADMINISTRATIVAS"/>
    <s v="https://ProfCatedra2024.sawtoothsoftware.com/cgi-bin/ciwweb.pl?studyname=ProfCatedra2024&amp;Correo=julia.diaz@unisabana.edu.co1"/>
  </r>
  <r>
    <s v="julianavete@unisabana.edu.co"/>
    <s v="julianavete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julianavete@unisabana.edu.co1"/>
  </r>
  <r>
    <s v="ka.lee@unisabana.edu.co"/>
    <s v="ka.lee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ka.lee@unisabana.edu.co1"/>
  </r>
  <r>
    <s v="laura.vanegas@unisabana.edu.co"/>
    <s v="laura.vanegas@unisabana.edu.co1"/>
    <s v="MERCADEO"/>
    <x v="24"/>
    <x v="0"/>
    <x v="1"/>
    <s v="Incompleta"/>
    <s v="Pregrado"/>
    <s v="ESCUELA INTERNACIONAL DE CIENCIAS ECONÓMICAS Y ADMINISTRATIVAS"/>
    <s v="https://ProfCatedra2024.sawtoothsoftware.com/cgi-bin/ciwweb.pl?studyname=ProfCatedra2024&amp;Correo=laura.vanegas@unisabana.edu.co1"/>
  </r>
  <r>
    <s v="leslie.aguirre@unisabana.edu.co"/>
    <s v="leslie.aguirre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leslie.aguirre@unisabana.edu.co1"/>
  </r>
  <r>
    <s v="lina.gomez5@unisabana.edu.co"/>
    <s v="lina.gomez5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lina.gomez5@unisabana.edu.co1"/>
  </r>
  <r>
    <s v="luis.barrientos@unisabana.edu.co"/>
    <s v="luis.barrientos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luis.barrientos@unisabana.edu.co1"/>
  </r>
  <r>
    <s v="luis.contreras1@unisabana.edu.co"/>
    <s v="luis.contreras1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luis.contreras1@unisabana.edu.co1"/>
  </r>
  <r>
    <s v="luis.lopez8@unisabana.edu.co"/>
    <s v="luis.lopez8@unisabana.edu.co1"/>
    <s v="GESTIï¿½N DE OPERACIONES"/>
    <x v="96"/>
    <x v="0"/>
    <x v="1"/>
    <s v="Incompleta"/>
    <s v="Pregrado"/>
    <s v="ESCUELA INTERNACIONAL DE CIENCIAS ECONÓMICAS Y ADMINISTRATIVAS"/>
    <s v="https://ProfCatedra2024.sawtoothsoftware.com/cgi-bin/ciwweb.pl?studyname=ProfCatedra2024&amp;Correo=luis.lopez8@unisabana.edu.co1"/>
  </r>
  <r>
    <s v="luis.ordonez1@unisabana.edu.co"/>
    <s v="luis.ordonez1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luis.ordonez1@unisabana.edu.co1"/>
  </r>
  <r>
    <s v="luis_parra02@hotmail.com"/>
    <s v="luis_parra02@hot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luis_parra02@hotmail.com1"/>
  </r>
  <r>
    <s v="luisangro@unisabana.edu.co"/>
    <s v="luisangr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luisangro@unisabana.edu.co1"/>
  </r>
  <r>
    <s v="luz.dueri@unisabana.edu.co"/>
    <s v="luz.dueri@unisabana.edu.co1"/>
    <s v="FINANZAS"/>
    <x v="20"/>
    <x v="0"/>
    <x v="1"/>
    <s v="Incompleta"/>
    <s v="Pregrado"/>
    <s v="ESCUELA INTERNACIONAL DE CIENCIAS ECONÓMICAS Y ADMINISTRATIVAS"/>
    <s v="https://ProfCatedra2024.sawtoothsoftware.com/cgi-bin/ciwweb.pl?studyname=ProfCatedra2024&amp;Correo=luz.dueri@unisabana.edu.co1"/>
  </r>
  <r>
    <s v="maira.ortegon@unisabana.edu.co"/>
    <s v="maira.ortegon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ira.ortegon@unisabana.edu.co1"/>
  </r>
  <r>
    <s v="maria.granados1@unisabana.edu.co"/>
    <s v="MARIA.GRANADOS1@UNISABANA.EDU.CO1"/>
    <s v="PSICOLOGï¿½A"/>
    <x v="29"/>
    <x v="0"/>
    <x v="1"/>
    <s v="Incompleta"/>
    <s v="Pregrado"/>
    <s v="FACULTAD DE PSICOLOGÍA"/>
    <s v="https://ProfCatedra2024.sawtoothsoftware.com/cgi-bin/ciwweb.pl?studyname=ProfCatedra2024&amp;Correo=MARIA.GRANADOS1@UNISABANA.EDU.CO1"/>
  </r>
  <r>
    <s v="maria.lopez16@unisabana.edu.co"/>
    <s v="maria.lopez16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a.lopez16@unisabana.edu.co1"/>
  </r>
  <r>
    <s v="maria.mora1@unisabana.edu.co"/>
    <s v="maria.mora1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maria.mora1@unisabana.edu.co1"/>
  </r>
  <r>
    <s v="maria.morales10@unisabana.edu.co"/>
    <s v="maria.morales10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aria.morales10@unisabana.edu.co1"/>
  </r>
  <r>
    <s v="maria.quevedo@unisabana.edu.co"/>
    <s v="maria.quevedo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maria.quevedo@unisabana.edu.co1"/>
  </r>
  <r>
    <s v="mariaderom@unisabana.edu.co"/>
    <s v="mariaderom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ariaderom@unisabana.edu.co1"/>
  </r>
  <r>
    <s v="mario.alvarez2@unisabana.edu.co"/>
    <s v="mario.alvarez2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o.alvarez2@unisabana.edu.co1"/>
  </r>
  <r>
    <s v="mario.manzi@unisabana.edu.co"/>
    <s v="mario.manzi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mario.manzi@unisabana.edu.co1"/>
  </r>
  <r>
    <s v="marisolescru@unisabana.edu.co"/>
    <s v="marisolescru@unisabana.edu.co1"/>
    <s v="CORE CURRICULUM PERSONA Y CULTURA"/>
    <x v="36"/>
    <x v="0"/>
    <x v="1"/>
    <s v="Incompleta"/>
    <s v="Pregrado"/>
    <s v="CORE CURRICULUM PERSONA Y CULTURA"/>
    <s v="https://ProfCatedra2024.sawtoothsoftware.com/cgi-bin/ciwweb.pl?studyname=ProfCatedra2024&amp;Correo=marisolescru@unisabana.edu.co1"/>
  </r>
  <r>
    <s v="miguelesch@unisabana.edu.co"/>
    <s v="miguelesch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miguelesch@unisabana.edu.co1"/>
  </r>
  <r>
    <s v="nadia.olea1@unisabana.edu.co"/>
    <s v="nadia.olea1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nadia.olea1@unisabana.edu.co1"/>
  </r>
  <r>
    <s v="nancy.franco@unisabana.edu.co"/>
    <s v="nancy.franco@unisabana.edu.co1"/>
    <s v="LICENCIATURA EN EDUCACIï¿½N INFANTIL"/>
    <x v="34"/>
    <x v="0"/>
    <x v="1"/>
    <s v="Incompleta"/>
    <s v="Pregrado"/>
    <s v="FACULTAD DE EDUCACIÓN"/>
    <s v="https://ProfCatedra2024.sawtoothsoftware.com/cgi-bin/ciwweb.pl?studyname=ProfCatedra2024&amp;Correo=nancy.franco@unisabana.edu.co1"/>
  </r>
  <r>
    <s v="oscar.parra2@unisabana.edu.co"/>
    <s v="oscar.parra2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oscar.parra2@unisabana.edu.co1"/>
  </r>
  <r>
    <s v="pedro.garcia@unisabana.edu.co"/>
    <s v="pedro.garcia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pedro.garcia@unisabana.edu.co1"/>
  </r>
  <r>
    <s v="pedrorasa@unisabana.edu.co"/>
    <s v="pedrorasa@unisabana.edu.co1"/>
    <s v="LICENCIATURA EN CIENCIAS NATURALES"/>
    <x v="3"/>
    <x v="0"/>
    <x v="1"/>
    <s v="Incompleta"/>
    <s v="Pregrado"/>
    <s v="FACULTAD DE EDUCACIÓN"/>
    <s v="https://ProfCatedra2024.sawtoothsoftware.com/cgi-bin/ciwweb.pl?studyname=ProfCatedra2024&amp;Correo=pedrorasa@unisabana.edu.co1"/>
  </r>
  <r>
    <s v="rodinson.arrieta_cont@unisabana.edu.co"/>
    <s v="rodinson.arrieta_cont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rodinson.arrieta_cont@unisabana.edu.co1"/>
  </r>
  <r>
    <s v="rodrigo.toro@unisabana.edu.co"/>
    <s v="rodrigo.toro@unisabana.edu.co1"/>
    <s v="COMUNICACIï¿½N SOCIAL Y PERIODISMO"/>
    <x v="15"/>
    <x v="0"/>
    <x v="1"/>
    <s v="Incompleta"/>
    <s v="Pregrado"/>
    <s v="FACULTAD DE COMUNICACIÓN"/>
    <s v="https://ProfCatedra2024.sawtoothsoftware.com/cgi-bin/ciwweb.pl?studyname=ProfCatedra2024&amp;Correo=rodrigo.toro@unisabana.edu.co1"/>
  </r>
  <r>
    <s v="s.tellolee@gmail.com"/>
    <s v="s.tellolee@gmail.com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s.tellolee@gmail.com1"/>
  </r>
  <r>
    <s v="santiagoride@unisabana.edu.co"/>
    <s v="santiagoride@unisabana.edu.co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antiagoride@unisabana.edu.co1"/>
  </r>
  <r>
    <s v="sergiogr9506@gmail.com"/>
    <s v="sergiogr9506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ergiogr9506@gmail.com1"/>
  </r>
  <r>
    <s v="squevedor92@gmail.com"/>
    <s v="squevedor92@gmail.com1"/>
    <s v="INGENIERï¿½A INFORMï¿½TICA"/>
    <x v="31"/>
    <x v="0"/>
    <x v="1"/>
    <s v="Incompleta"/>
    <s v="Pregrado"/>
    <s v="FACULTAD DE INGENIERÍA"/>
    <s v="https://ProfCatedra2024.sawtoothsoftware.com/cgi-bin/ciwweb.pl?studyname=ProfCatedra2024&amp;Correo=squevedor92@gmail.com1"/>
  </r>
  <r>
    <s v="stephan.langdon@unisabana.edu.co"/>
    <s v="stephan.langdon@unisabana.edu.co1"/>
    <s v="NEGOCIACIï¿½N Y COMERCIO INTERNACIONAL"/>
    <x v="91"/>
    <x v="0"/>
    <x v="1"/>
    <s v="Incompleta"/>
    <s v="Pregrado"/>
    <s v="ESCUELA INTERNACIONAL DE CIENCIAS ECONÓMICAS Y ADMINISTRATIVAS"/>
    <s v="https://ProfCatedra2024.sawtoothsoftware.com/cgi-bin/ciwweb.pl?studyname=ProfCatedra2024&amp;Correo=stephan.langdon@unisabana.edu.co1"/>
  </r>
  <r>
    <s v="tatiana.monsalve@unisabana.edu.co"/>
    <s v="tatiana.monsalve@unisabana.edu.co1"/>
    <s v="INNOVACIï¿½N Y EMPRENDIMIENTO"/>
    <x v="58"/>
    <x v="0"/>
    <x v="1"/>
    <s v="Incompleta"/>
    <s v="Pregrado"/>
    <s v="ESCUELA INTERNACIONAL DE CIENCIAS ECONÓMICAS Y ADMINISTRATIVAS"/>
    <s v="https://ProfCatedra2024.sawtoothsoftware.com/cgi-bin/ciwweb.pl?studyname=ProfCatedra2024&amp;Correo=tatiana.monsalve@unisabana.edu.co1"/>
  </r>
  <r>
    <s v="valentina.vieira1@unisabana.edu.co"/>
    <s v="valentina.vieira1@unisabana.edu.co1"/>
    <s v="COMUNICACIï¿½N CORPORATIVA"/>
    <x v="43"/>
    <x v="0"/>
    <x v="1"/>
    <s v="Incompleta"/>
    <s v="Pregrado"/>
    <s v="FACULTAD DE COMUNICACIÓN"/>
    <s v="https://ProfCatedra2024.sawtoothsoftware.com/cgi-bin/ciwweb.pl?studyname=ProfCatedra2024&amp;Correo=valentina.vieira1@unisabana.edu.co1"/>
  </r>
  <r>
    <s v="vera.nunez@unisabana.edu.co"/>
    <s v="vera.nunez@unisabana.edu.co1"/>
    <s v="ENFERMERï¿½A"/>
    <x v="57"/>
    <x v="0"/>
    <x v="1"/>
    <s v="Incompleta"/>
    <s v="Pregrado"/>
    <s v="FACULTAD DE ENFERMERÍA Y REHABILITACIÓN"/>
    <s v="https://ProfCatedra2024.sawtoothsoftware.com/cgi-bin/ciwweb.pl?studyname=ProfCatedra2024&amp;Correo=vera.nunez@unisabana.edu.co1"/>
  </r>
  <r>
    <s v="victor.alvarez@unisabana.edu.co"/>
    <s v="victor.alvarez@unisabana.edu.co1"/>
    <s v="INGENIERï¿½A QUï¿½MICA"/>
    <x v="16"/>
    <x v="0"/>
    <x v="1"/>
    <s v="Incompleta"/>
    <s v="Pregrado"/>
    <s v="FACULTAD DE INGENIERÍA"/>
    <s v="https://ProfCatedra2024.sawtoothsoftware.com/cgi-bin/ciwweb.pl?studyname=ProfCatedra2024&amp;Correo=victor.alvarez@unisabana.edu.co1"/>
  </r>
  <r>
    <s v="victor.rojas1@unisabana.edu.co"/>
    <s v="victor.rojas1@unisabana.edu.co1"/>
    <s v="LICENCIATURA EN EDUCACIï¿½N INFANTIL"/>
    <x v="34"/>
    <x v="0"/>
    <x v="1"/>
    <s v="Incompleta"/>
    <s v="Pregrado"/>
    <s v="FACULTAD DE EDUCACIÓN"/>
    <s v="https://ProfCatedra2024.sawtoothsoftware.com/cgi-bin/ciwweb.pl?studyname=ProfCatedra2024&amp;Correo=victor.rojas1@unisabana.edu.co1"/>
  </r>
  <r>
    <s v="william.torres@unisabana.edu.co"/>
    <s v="william.torres@unisabana.edu.co1"/>
    <s v="INGENIERï¿½A INDUSTRIAL"/>
    <x v="28"/>
    <x v="0"/>
    <x v="1"/>
    <s v="Incompleta"/>
    <s v="Pregrado"/>
    <s v="FACULTAD DE INGENIERÍA"/>
    <s v="https://ProfCatedra2024.sawtoothsoftware.com/cgi-bin/ciwweb.pl?studyname=ProfCatedra2024&amp;Correo=william.torres@unisabana.edu.co1"/>
  </r>
  <r>
    <s v="wilson.balaguera@unisabana.edu.co"/>
    <s v="wilson.balaguera@unisabana.edu.co1"/>
    <s v="CENTRO INTERNACIONAL DE LENGUAS Y CULTURAS EXTRANJERAS"/>
    <x v="19"/>
    <x v="0"/>
    <x v="1"/>
    <s v="Incompleta"/>
    <s v="Pregrado"/>
    <s v="CENTRO INTERNACIONAL DE LENGUAS Y CULTURAS EXTRANJERAS"/>
    <s v="https://ProfCatedra2024.sawtoothsoftware.com/cgi-bin/ciwweb.pl?studyname=ProfCatedra2024&amp;Correo=wilson.balaguera@unisabana.edu.co1"/>
  </r>
  <r>
    <s v="oscar.parra2@unisabana.edu.co"/>
    <s v="oscar.parra2@unisabana.edu.co2"/>
    <s v="COMUNICACIï¿½N AUDIOVISUAL Y MULTIMEDIOS"/>
    <x v="23"/>
    <x v="0"/>
    <x v="1"/>
    <s v="Incompleta"/>
    <s v="Pregrado"/>
    <s v="FACULTAD DE COMUNICACIÓN"/>
    <s v="https://ProfCatedra2024.sawtoothsoftware.com/cgi-bin/ciwweb.pl?studyname=ProfCatedra2024&amp;Correo=oscar.parra2@unisabana.edu.co2"/>
  </r>
  <r>
    <s v="yaleni.solano@unisabana.edu.co"/>
    <s v="yaleni.solano@unisabana.edu.co3"/>
    <s v="COMUNICACIï¿½N CORPORATIVA"/>
    <x v="43"/>
    <x v="0"/>
    <x v="1"/>
    <s v="Incompleta"/>
    <s v="Pregrado"/>
    <s v="FACULTAD DE COMUNICACIÓN"/>
    <s v="https://ProfCatedra2024.sawtoothsoftware.com/cgi-bin/ciwweb.pl?studyname=ProfCatedra2024&amp;Correo=yaleni.solano@unisabana.edu.co3"/>
  </r>
  <r>
    <s v="maria.areiza@unisabana.edu.co"/>
    <s v="maria.areiza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ria.areiza@unisabana.edu.co1"/>
  </r>
  <r>
    <s v="gabriel.ariza1@unisabana.edu.co"/>
    <s v="gabriel.ariza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gabriel.ariza1@unisabana.edu.co1"/>
  </r>
  <r>
    <s v="carlos.bustamante@unisabana.edu.co"/>
    <s v="carlos.bustamante@unisabana.edu.co1"/>
    <s v="MEDICINA"/>
    <x v="4"/>
    <x v="0"/>
    <x v="1"/>
    <s v="Incompleta"/>
    <s v="Pregrado"/>
    <s v="FACULTAD DE MEDICINA"/>
    <s v="https://ProfCatedra2024.sawtoothsoftware.com/cgi-bin/ciwweb.pl?studyname=ProfCatedra2024&amp;Correo=carlos.bustamante@unisabana.edu.co1"/>
  </r>
  <r>
    <s v="francisco.calle@unisabana.edu.co"/>
    <s v="francisco.calle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rancisco.calle@unisabana.edu.co1"/>
  </r>
  <r>
    <s v="jorge.casas1@unisabana.edu.co"/>
    <s v="jorge.casas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jorge.casas1@unisabana.edu.co1"/>
  </r>
  <r>
    <s v="freddy.cifuentes1@unisabana.edu.co"/>
    <s v="freddy.cifuentes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reddy.cifuentes1@unisabana.edu.co1"/>
  </r>
  <r>
    <s v="angela.correal2@unisabana.edu.co"/>
    <s v="angela.correal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ela.correal2@unisabana.edu.co1"/>
  </r>
  <r>
    <s v="marisol.escano@unisabana.edu.co"/>
    <s v="marisol.escan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marisol.escano@unisabana.edu.co1"/>
  </r>
  <r>
    <s v="zhenia.guzman@unisabana.edu.co"/>
    <s v="zhenia.guzman@unisabana.edu.co1"/>
    <s v="MEDICINA"/>
    <x v="4"/>
    <x v="0"/>
    <x v="1"/>
    <s v="Incompleta"/>
    <s v="Pregrado"/>
    <s v="FACULTAD DE MEDICINA"/>
    <s v="https://ProfCatedra2024.sawtoothsoftware.com/cgi-bin/ciwweb.pl?studyname=ProfCatedra2024&amp;Correo=zhenia.guzman@unisabana.edu.co1"/>
  </r>
  <r>
    <s v="guillermo.hunter@unisabana.edu.co"/>
    <s v="guillermo.hunter@unisabana.edu.co1"/>
    <s v="MEDICINA"/>
    <x v="4"/>
    <x v="0"/>
    <x v="1"/>
    <s v="Incompleta"/>
    <s v="Pregrado"/>
    <s v="FACULTAD DE MEDICINA"/>
    <s v="https://ProfCatedra2024.sawtoothsoftware.com/cgi-bin/ciwweb.pl?studyname=ProfCatedra2024&amp;Correo=guillermo.hunter@unisabana.edu.co1"/>
  </r>
  <r>
    <s v="angie.lopez1@unisabana.edu.co"/>
    <s v="angie.lopez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ie.lopez1@unisabana.edu.co1"/>
  </r>
  <r>
    <s v="ana.moreno4@unisabana.edu.co"/>
    <s v="ana.moreno4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a.moreno4@unisabana.edu.co1"/>
  </r>
  <r>
    <s v="nathaly.motta@unisabana.edu.co"/>
    <s v="nathaly.motta@unisabana.edu.co1"/>
    <s v="MEDICINA"/>
    <x v="4"/>
    <x v="0"/>
    <x v="1"/>
    <s v="Incompleta"/>
    <s v="Pregrado"/>
    <s v="FACULTAD DE MEDICINA"/>
    <s v="https://ProfCatedra2024.sawtoothsoftware.com/cgi-bin/ciwweb.pl?studyname=ProfCatedra2024&amp;Correo=nathaly.motta@unisabana.edu.co1"/>
  </r>
  <r>
    <s v="fanny.nino@unisabana.edu.co"/>
    <s v="fanny.nin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fanny.nino@unisabana.edu.co1"/>
  </r>
  <r>
    <s v="laura.perez2@unisabana.edu.co"/>
    <s v="laura.perez2@unisabana.edu.co1"/>
    <s v="MEDICINA"/>
    <x v="4"/>
    <x v="0"/>
    <x v="1"/>
    <s v="Incompleta"/>
    <s v="Pregrado"/>
    <s v="FACULTAD DE MEDICINA"/>
    <s v="https://ProfCatedra2024.sawtoothsoftware.com/cgi-bin/ciwweb.pl?studyname=ProfCatedra2024&amp;Correo=laura.perez2@unisabana.edu.co1"/>
  </r>
  <r>
    <s v="luisa.prieto1@unisabana.edu.co"/>
    <s v="luisa.prieto1@unisabana.edu.co1"/>
    <s v="MEDICINA"/>
    <x v="4"/>
    <x v="0"/>
    <x v="1"/>
    <s v="Incompleta"/>
    <s v="Pregrado"/>
    <s v="FACULTAD DE MEDICINA"/>
    <s v="https://ProfCatedra2024.sawtoothsoftware.com/cgi-bin/ciwweb.pl?studyname=ProfCatedra2024&amp;Correo=luisa.prieto1@unisabana.edu.co1"/>
  </r>
  <r>
    <s v="diana.suarez8@unisabana.edu.co"/>
    <s v="diana.suarez8@unisabana.edu.co1"/>
    <s v="MEDICINA"/>
    <x v="4"/>
    <x v="0"/>
    <x v="1"/>
    <s v="Incompleta"/>
    <s v="Pregrado"/>
    <s v="FACULTAD DE MEDICINA"/>
    <s v="https://ProfCatedra2024.sawtoothsoftware.com/cgi-bin/ciwweb.pl?studyname=ProfCatedra2024&amp;Correo=diana.suarez8@unisabana.edu.co1"/>
  </r>
  <r>
    <s v="elga.taboada@clinicaunisabana.edu.co"/>
    <s v="Elga.Taboada@clinicaunisabana.edu.co1"/>
    <s v="MEDICINA"/>
    <x v="4"/>
    <x v="0"/>
    <x v="1"/>
    <s v="Incompleta"/>
    <s v="Pregrado"/>
    <s v="FACULTAD DE MEDICINA"/>
    <s v="https://ProfCatedra2024.sawtoothsoftware.com/cgi-bin/ciwweb.pl?studyname=ProfCatedra2024&amp;Correo=Elga.Taboada@clinicaunisabana.edu.co1"/>
  </r>
  <r>
    <s v="rafael.tinoco@unisabana.edu.co"/>
    <s v="rafael.tinoco@unisabana.edu.co1"/>
    <s v="MEDICINA"/>
    <x v="4"/>
    <x v="0"/>
    <x v="1"/>
    <s v="Incompleta"/>
    <s v="Pregrado"/>
    <s v="FACULTAD DE MEDICINA"/>
    <s v="https://ProfCatedra2024.sawtoothsoftware.com/cgi-bin/ciwweb.pl?studyname=ProfCatedra2024&amp;Correo=rafael.tinoco@unisabana.edu.co1"/>
  </r>
  <r>
    <s v="angelicavadu@unisabana.edu.co"/>
    <s v="angelicavadu@unisabana.edu.co1"/>
    <s v="MEDICINA"/>
    <x v="4"/>
    <x v="0"/>
    <x v="1"/>
    <s v="Incompleta"/>
    <s v="Pregrado"/>
    <s v="FACULTAD DE MEDICINA"/>
    <s v="https://ProfCatedra2024.sawtoothsoftware.com/cgi-bin/ciwweb.pl?studyname=ProfCatedra2024&amp;Correo=angelicavadu@unisabana.edu.co1"/>
  </r>
  <r>
    <s v="john.villegas@unisabana.edu.co"/>
    <s v="john.villegas@unisabana.edu.co1"/>
    <s v="MEDICINA"/>
    <x v="4"/>
    <x v="0"/>
    <x v="1"/>
    <s v="Incompleta"/>
    <s v="Pregrado"/>
    <s v="FACULTAD DE MEDICINA"/>
    <s v="https://ProfCatedra2024.sawtoothsoftware.com/cgi-bin/ciwweb.pl?studyname=ProfCatedra2024&amp;Correo=john.villegas@unisabana.edu.co1"/>
  </r>
  <r>
    <s v="gerencia@seguridadsocialcolmbia.com.co"/>
    <s v="GERENCIA@SEGURIDADSOCIALCOLMBIA.COM.CO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ERENCIA@SEGURIDADSOCIALCOLMBIA.COM.CO1"/>
  </r>
  <r>
    <s v="acastrillon@kpmg.com"/>
    <s v="ACASTRILLON@KPMG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ACASTRILLON@KPMG.COM1"/>
  </r>
  <r>
    <s v="adriana.castro1@unisabana.edu.co"/>
    <s v="adriana.castro1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adriana.castro1@unisabana.edu.co01"/>
  </r>
  <r>
    <s v="adriana.lopez5@unisabana.edu.co"/>
    <s v="adriana.lopez5@unisabana.edu.co01"/>
    <s v="MAESTRï¿½A EN DESARROLLO INFANTIL - RIOHACHA"/>
    <x v="42"/>
    <x v="0"/>
    <x v="1"/>
    <s v="Incompleta"/>
    <s v="Posgrado"/>
    <s v="FACULTAD DE EDUCACIÓN"/>
    <s v="https://ProfCatedra2024.sawtoothsoftware.com/cgi-bin/ciwweb.pl?studyname=ProfCatedra2024&amp;Correo=adriana.lopez5@unisabana.edu.co01"/>
  </r>
  <r>
    <s v="alejandrahear@unisabana.edu.co"/>
    <s v="alejandrahear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alejandrahear@unisabana.edu.co01"/>
  </r>
  <r>
    <s v="ana.grandas1@unisabana.edu.co"/>
    <s v="ana.grandas1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ana.grandas1@unisabana.edu.co01"/>
  </r>
  <r>
    <s v="andrea.medina@unisabana.edu.co"/>
    <s v="andrea.medina@unisabana.edu.co01"/>
    <s v="Especializaciï¿½n en Gerencia Educativa - Chï¿½a"/>
    <x v="98"/>
    <x v="0"/>
    <x v="1"/>
    <s v="Incompleta"/>
    <s v="Posgrado"/>
    <s v="FACULTAD DE EDUCACIÓN"/>
    <s v="https://ProfCatedra2024.sawtoothsoftware.com/cgi-bin/ciwweb.pl?studyname=ProfCatedra2024&amp;Correo=andrea.medina@unisabana.edu.co01"/>
  </r>
  <r>
    <s v="andres.angarita1@unisabana.edu.co"/>
    <s v="andres.angarita1@unisabana.edu.co01"/>
    <s v="Especializaciï¿½n en Emprendimiento y Negocios Digitales- Chï¿½a"/>
    <x v="0"/>
    <x v="0"/>
    <x v="0"/>
    <s v="Incompleta"/>
    <s v="Posgrado"/>
    <s v="INSTITUTO FORUM"/>
    <s v="https://ProfCatedra2024.sawtoothsoftware.com/cgi-bin/ciwweb.pl?studyname=ProfCatedra2024&amp;Correo=andres.angarita1@unisabana.edu.co01"/>
  </r>
  <r>
    <s v="andres.betancourt1@unisabana.edu.co"/>
    <s v="andres.betancourt1@unisabana.edu.co01"/>
    <s v="Especializaciï¿½n en Neurologï¿½a"/>
    <x v="99"/>
    <x v="0"/>
    <x v="1"/>
    <s v="Incompleta"/>
    <s v="Posgrado"/>
    <s v="FACULTAD DE MEDICINA"/>
    <s v="https://ProfCatedra2024.sawtoothsoftware.com/cgi-bin/ciwweb.pl?studyname=ProfCatedra2024&amp;Correo=andres.betancourt1@unisabana.edu.co01"/>
  </r>
  <r>
    <s v="andres.mancipe@gmail.com"/>
    <s v="ANDRES.MANCIPE@GMAIL.COM1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ANDRES.MANCIPE@GMAIL.COM1"/>
  </r>
  <r>
    <s v="andres.martinez10@unisabana.edu.co"/>
    <s v="andres.martinez10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andres.martinez10@unisabana.edu.co01"/>
  </r>
  <r>
    <s v="andres.montoyad1@gmail.com"/>
    <s v="andres.montoyad1@gmail.com1"/>
    <s v="Especializaciï¿½n en Gastroenterologï¿½a"/>
    <x v="100"/>
    <x v="0"/>
    <x v="1"/>
    <s v="Incompleta"/>
    <s v="Posgrado"/>
    <s v="FACULTAD DE MEDICINA"/>
    <s v="https://ProfCatedra2024.sawtoothsoftware.com/cgi-bin/ciwweb.pl?studyname=ProfCatedra2024&amp;Correo=andres.montoyad1@gmail.com1"/>
  </r>
  <r>
    <s v="angela.aillon@unisabana.edu.co"/>
    <s v="angela.aillon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angela.aillon@unisabana.edu.co01"/>
  </r>
  <r>
    <s v="angela.bertieri@unisabana.edu.co"/>
    <s v="angela.bertieri@unisabana.edu.co01"/>
    <s v="Maestrï¿½a en Gerencia de la Innovaciï¿½n"/>
    <x v="67"/>
    <x v="0"/>
    <x v="0"/>
    <s v="Incompleta"/>
    <s v="Posgrado"/>
    <s v="ESCUELA INTERNACIONAL DE CIENCIAS ECONÓMICAS Y ADMINISTRATIVAS"/>
    <s v="https://ProfCatedra2024.sawtoothsoftware.com/cgi-bin/ciwweb.pl?studyname=ProfCatedra2024&amp;Correo=angela.bertieri@unisabana.edu.co01"/>
  </r>
  <r>
    <s v="angela.dominguez2@unisabana.edu.co"/>
    <s v="angela.dominguez2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angela.dominguez2@unisabana.edu.co01"/>
  </r>
  <r>
    <s v="aris.rodriguez@unisabana.edu.co"/>
    <s v="aris.rodriguez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aris.rodriguez@unisabana.edu.co01"/>
  </r>
  <r>
    <s v="beatriz.lara1@unisabana.edu.co"/>
    <s v="beatriz.lara1@unisabana.edu.co01"/>
    <s v="Especializaciï¿½n en Gestiï¿½n para el Desarrollo Humano en la Organizaciï¿½n - Bogotï¿½"/>
    <x v="101"/>
    <x v="0"/>
    <x v="1"/>
    <s v="Incompleta"/>
    <s v="Posgrado"/>
    <s v="INSTITUTO FORUM"/>
    <s v="https://ProfCatedra2024.sawtoothsoftware.com/cgi-bin/ciwweb.pl?studyname=ProfCatedra2024&amp;Correo=beatriz.lara1@unisabana.edu.co01"/>
  </r>
  <r>
    <s v="camilo.aljure@unisabana.edu.co"/>
    <s v="camilo.aljure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camilo.aljure@unisabana.edu.co01"/>
  </r>
  <r>
    <s v="camiloguzman63@outlook.com"/>
    <s v="CAMILOGUZMAN63@OUTLOOK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CAMILOGUZMAN63@OUTLOOK.COM1"/>
  </r>
  <r>
    <s v="carlos.salazar5@unisabana.edu.co"/>
    <s v="carlos.salazar5@unisabana.edu.co01"/>
    <s v="Maestrï¿½a en Gerencia de Inversiï¿½n"/>
    <x v="26"/>
    <x v="0"/>
    <x v="1"/>
    <s v="Incompleta"/>
    <s v="Posgrado"/>
    <s v="ESCUELA INTERNACIONAL DE CIENCIAS ECONÓMICAS Y ADMINISTRATIVAS"/>
    <s v="https://ProfCatedra2024.sawtoothsoftware.com/cgi-bin/ciwweb.pl?studyname=ProfCatedra2024&amp;Correo=carlos.salazar5@unisabana.edu.co01"/>
  </r>
  <r>
    <s v="carlos.tapias1@unisabana.edu.co"/>
    <s v="carlos.tapias1@unisabana.edu.co01"/>
    <s v="Especializaciï¿½n en Electrofisiologï¿½a Cardiovascular"/>
    <x v="102"/>
    <x v="0"/>
    <x v="1"/>
    <s v="Incompleta"/>
    <s v="Posgrado"/>
    <s v="FACULTAD DE MEDICINA"/>
    <s v="https://ProfCatedra2024.sawtoothsoftware.com/cgi-bin/ciwweb.pl?studyname=ProfCatedra2024&amp;Correo=carlos.tapias1@unisabana.edu.co01"/>
  </r>
  <r>
    <s v="carlos.villalba@clinicaunisabana.edu.co"/>
    <s v="carlos.villalba@clinica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carlos.villalba@clinicaunisabana.edu.co01"/>
  </r>
  <r>
    <s v="cesar.roma@dret.legal1"/>
    <s v="CESAR.ROMA@DRET.LEGAL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CESAR.ROMA@DRET.LEGAL1"/>
  </r>
  <r>
    <s v="cherrera@gmail.com"/>
    <s v="CHERRERA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CHERRERA@GMAIL.COM1"/>
  </r>
  <r>
    <s v="juan.osman@unisabana.edu.co"/>
    <s v="juan.osman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uan.osman@unisabana.edu.co1"/>
  </r>
  <r>
    <s v="claudia.poveda1@unisabana.edu.co"/>
    <s v="claudia.poveda1@unisabana.edu.co01"/>
    <s v="Especializaciï¿½n en Medicina Crï¿½tica y Cuidado Intensivo"/>
    <x v="103"/>
    <x v="0"/>
    <x v="1"/>
    <s v="Incompleta"/>
    <s v="Posgrado"/>
    <s v="FACULTAD DE MEDICINA"/>
    <s v="https://ProfCatedra2024.sawtoothsoftware.com/cgi-bin/ciwweb.pl?studyname=ProfCatedra2024&amp;Correo=claudia.poveda1@unisabana.edu.co01"/>
  </r>
  <r>
    <s v="claudiapem@unisabana.edu.co"/>
    <s v="Claudiapem@unisabana.edu.co01"/>
    <s v="Especializaciï¿½n en Enfermerï¿½a en Cuidado Crï¿½tico - Chï¿½a"/>
    <x v="10"/>
    <x v="0"/>
    <x v="1"/>
    <s v="Incompleta"/>
    <s v="Posgrado"/>
    <s v="FACULTAD DE ENFERMERÍA Y REHABILITACIÓN"/>
    <s v="https://ProfCatedra2024.sawtoothsoftware.com/cgi-bin/ciwweb.pl?studyname=ProfCatedra2024&amp;Correo=Claudiapem@unisabana.edu.co01"/>
  </r>
  <r>
    <s v="contanza.alarcon@unisabana.edu.co"/>
    <s v="contanza.alarcon@unisabana.edu.co01"/>
    <s v="Maestrï¿½a en Desarrollo Infantil - Riohacha"/>
    <x v="42"/>
    <x v="0"/>
    <x v="1"/>
    <s v="Incompleta"/>
    <s v="Posgrado"/>
    <s v="FACULTAD DE EDUCACIÓN"/>
    <s v="https://ProfCatedra2024.sawtoothsoftware.com/cgi-bin/ciwweb.pl?studyname=ProfCatedra2024&amp;Correo=contanza.alarcon@unisabana.edu.co01"/>
  </r>
  <r>
    <s v="cristhiandavi1@hotmail.com"/>
    <s v="CRISTHIANDAVI1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CRISTHIANDAVI1@HOTMAIL.COM1"/>
  </r>
  <r>
    <s v="daniel.prieto@unisabana.edu.co"/>
    <s v="daniel.prieto@unisabana.edu.co01"/>
    <s v="Maestrï¿½a en Gerencia de Inversiï¿½n"/>
    <x v="26"/>
    <x v="0"/>
    <x v="0"/>
    <s v="Incompleta"/>
    <s v="Posgrado"/>
    <s v="ESCUELA INTERNACIONAL DE CIENCIAS ECONÓMICAS Y ADMINISTRATIVAS"/>
    <s v="https://ProfCatedra2024.sawtoothsoftware.com/cgi-bin/ciwweb.pl?studyname=ProfCatedra2024&amp;Correo=daniel.prieto@unisabana.edu.co01"/>
  </r>
  <r>
    <s v="dario.parra1@unisabana.edu.co"/>
    <s v="dario.parra1@unisabana.edu.co01"/>
    <s v="Especializaciï¿½n en Gerencia Comercial Bucaramanga - Santander"/>
    <x v="104"/>
    <x v="0"/>
    <x v="1"/>
    <s v="Incompleta"/>
    <s v="Posgrado"/>
    <s v="INSTITUTO FORUM"/>
    <s v="https://ProfCatedra2024.sawtoothsoftware.com/cgi-bin/ciwweb.pl?studyname=ProfCatedra2024&amp;Correo=dario.parra1@unisabana.edu.co01"/>
  </r>
  <r>
    <s v="david.rozo@unisabana.edu.co"/>
    <s v="david.rozo@unisabana.edu.co0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david.rozo@unisabana.edu.co01"/>
  </r>
  <r>
    <s v="diana.hernnadez@rhcadvisers.co"/>
    <s v="DIANA.HERNNADEZ@RHCADVISERS.CO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DIANA.HERNNADEZ@RHCADVISERS.CO1"/>
  </r>
  <r>
    <s v="diana.santana1@unisabana.edu.co"/>
    <s v="diana.santana1@unisabana.edu.co0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diana.santana1@unisabana.edu.co01"/>
  </r>
  <r>
    <s v="dianispeba@hotmail.com"/>
    <s v="DIANISPEBA@HOTMAIL.COM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DIANISPEBA@HOTMAIL.COM1"/>
  </r>
  <r>
    <s v="juan.ramirez1@unisabana.edu.co"/>
    <s v="juan.ramir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an.ramirez1@unisabana.edu.co1"/>
  </r>
  <r>
    <s v="diego.guevara@unisabana.edu.co"/>
    <s v="diego.guevara@unisabana.edu.co01"/>
    <s v="Maestrï¿½a en Gerencia Estratï¿½gica"/>
    <x v="35"/>
    <x v="0"/>
    <x v="0"/>
    <s v="Incompleta"/>
    <s v="Posgrado"/>
    <s v="ESCUELA INTERNACIONAL DE CIENCIAS ECONÓMICAS Y ADMINISTRATIVAS"/>
    <s v="https://ProfCatedra2024.sawtoothsoftware.com/cgi-bin/ciwweb.pl?studyname=ProfCatedra2024&amp;Correo=diego.guevara@unisabana.edu.co01"/>
  </r>
  <r>
    <s v="diego.hernandez3@unisabana.edu.co"/>
    <s v="diego.hernandez3@unisabana.edu.co01"/>
    <s v="Especializaciï¿½n en Gerencia de Proyectos con Enfoque en Habilidades Directivas - Bogotï¿½"/>
    <x v="93"/>
    <x v="0"/>
    <x v="1"/>
    <s v="Incompleta"/>
    <s v="Posgrado"/>
    <s v="INSTITUTO FORUM"/>
    <s v="https://ProfCatedra2024.sawtoothsoftware.com/cgi-bin/ciwweb.pl?studyname=ProfCatedra2024&amp;Correo=diego.hernandez3@unisabana.edu.co01"/>
  </r>
  <r>
    <s v="edgar.munar@unisabana.edu.co"/>
    <s v="edgar.munar@unisabana.edu.co01"/>
    <s v="Maestrï¿½a en Salud Pï¿½blica"/>
    <x v="70"/>
    <x v="0"/>
    <x v="1"/>
    <s v="Incompleta"/>
    <s v="Posgrado"/>
    <s v="FACULTAD DE MEDICINA"/>
    <s v="https://ProfCatedra2024.sawtoothsoftware.com/cgi-bin/ciwweb.pl?studyname=ProfCatedra2024&amp;Correo=edgar.munar@unisabana.edu.co01"/>
  </r>
  <r>
    <s v="eduardoarce@yahoo.es1"/>
    <s v="EDUARDOARCE@YAHOO.ES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EDUARDOARCE@YAHOO.ES1"/>
  </r>
  <r>
    <s v="eduenas@neumologica.org1"/>
    <s v="eduenas@neumologica.org1"/>
    <s v="Especializaciï¿½n en Neumologï¿½a Pediï¿½trica"/>
    <x v="105"/>
    <x v="0"/>
    <x v="1"/>
    <s v="Incompleta"/>
    <s v="Posgrado"/>
    <s v="FACULTAD DE MEDICINA"/>
    <s v="https://ProfCatedra2024.sawtoothsoftware.com/cgi-bin/ciwweb.pl?studyname=ProfCatedra2024&amp;Correo=eduenas@neumologica.org1"/>
  </r>
  <r>
    <s v="edwiny_87@hotmail.com"/>
    <s v="EDWINY_87@HOTMAIL.COM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EDWINY_87@HOTMAIL.COM1"/>
  </r>
  <r>
    <s v="enriquerm@unisabana.edu.co"/>
    <s v="EnriqueRM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EnriqueRM@unisabana.edu.co01"/>
  </r>
  <r>
    <s v="fabricio_mantilla@hotmail.com"/>
    <s v="fabricio_mantilla@hotmail.com1"/>
    <s v="MAESTRIA EN DERECHO DE LA EMPRESA Y DE LOS NEGOCIOS"/>
    <x v="9"/>
    <x v="0"/>
    <x v="0"/>
    <s v="Incompleta"/>
    <s v="Posgrado"/>
    <s v="FACULTAD DE DERECHO Y CIENCIAS POLÍTICAS"/>
    <s v="https://ProfCatedra2024.sawtoothsoftware.com/cgi-bin/ciwweb.pl?studyname=ProfCatedra2024&amp;Correo=fabricio_mantilla@hotmail.com1"/>
  </r>
  <r>
    <s v="ferpal48@hotmail.com"/>
    <s v="FERPAL48@HOTMAIL.COM1"/>
    <s v="Especializaciï¿½n en Derecho Comercial - Chï¿½a"/>
    <x v="106"/>
    <x v="0"/>
    <x v="1"/>
    <s v="Incompleta"/>
    <s v="Posgrado"/>
    <s v="FACULTAD DE DERECHO Y CIENCIAS POLÍTICAS"/>
    <s v="https://ProfCatedra2024.sawtoothsoftware.com/cgi-bin/ciwweb.pl?studyname=ProfCatedra2024&amp;Correo=FERPAL48@HOTMAIL.COM1"/>
  </r>
  <r>
    <s v="fidelsm@unisabana.edu.co"/>
    <s v="FidelSM@unisabana.edu.co01"/>
    <s v="Especializaciï¿½n en Neurologï¿½a"/>
    <x v="99"/>
    <x v="0"/>
    <x v="1"/>
    <s v="Incompleta"/>
    <s v="Posgrado"/>
    <s v="FACULTAD DE MEDICINA"/>
    <s v="https://ProfCatedra2024.sawtoothsoftware.com/cgi-bin/ciwweb.pl?studyname=ProfCatedra2024&amp;Correo=FidelSM@unisabana.edu.co01"/>
  </r>
  <r>
    <s v="juan.ramirez1@unisabana.edu.co"/>
    <s v="juan.ramirez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an.ramirez1@unisabana.edu.co2"/>
  </r>
  <r>
    <s v="gabrielazarante@hotmail.com"/>
    <s v="GABRIELAZARANTE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ABRIELAZARANTE@HOTMAIL.COM1"/>
  </r>
  <r>
    <s v="germaneponce@gmail.com"/>
    <s v="GERMANEPONCE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GERMANEPONCE@GMAIL.COM1"/>
  </r>
  <r>
    <s v="gerson_2ged@hotmail.com"/>
    <s v="gerson_2ged@hotmail.com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gerson_2ged@hotmail.com1"/>
  </r>
  <r>
    <s v="gina.valderrama@unisabana.edu.co"/>
    <s v="gina.valderrama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gina.valderrama@unisabana.edu.co01"/>
  </r>
  <r>
    <s v="juan.ramirez1@unisabana.edu.co"/>
    <s v="juan.ramirez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juan.ramirez1@unisabana.edu.co3"/>
  </r>
  <r>
    <s v="hcastillo@araries.com"/>
    <s v="HCASTILLO@ARARIES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HCASTILLO@ARARIES.COM1"/>
  </r>
  <r>
    <s v="hector.roldan1@unisabana.edu.co"/>
    <s v="hector.roldan1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hector.roldan1@unisabana.edu.co01"/>
  </r>
  <r>
    <s v="hectorfa@unisabana.edu.co"/>
    <s v="HectorFA@unisabana.edu.co01"/>
    <s v="Especializaciï¿½n en Oftalmologï¿½a"/>
    <x v="107"/>
    <x v="0"/>
    <x v="1"/>
    <s v="Incompleta"/>
    <s v="Posgrado"/>
    <s v="FACULTAD DE MEDICINA"/>
    <s v="https://ProfCatedra2024.sawtoothsoftware.com/cgi-bin/ciwweb.pl?studyname=ProfCatedra2024&amp;Correo=HectorFA@unisabana.edu.co01"/>
  </r>
  <r>
    <s v="hugosan32@hotmail.com"/>
    <s v="HUGOSAN32@HOTMAIL.COM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HUGOSAN32@HOTMAIL.COM1"/>
  </r>
  <r>
    <s v="ingri.moreno@unisabana.edu.co"/>
    <s v="ingri.moreno@unisabana.edu.co01"/>
    <s v="MAESTRï¿½A EN PEDAGOGIA E INVESTIGACIï¿½N EN EL AULA"/>
    <x v="108"/>
    <x v="0"/>
    <x v="1"/>
    <s v="Incompleta"/>
    <s v="Posgrado"/>
    <s v="FACULTAD DE EDUCACIÓN"/>
    <s v="https://ProfCatedra2024.sawtoothsoftware.com/cgi-bin/ciwweb.pl?studyname=ProfCatedra2024&amp;Correo=ingri.moreno@unisabana.edu.co01"/>
  </r>
  <r>
    <s v="isabella.bello@pwc.com"/>
    <s v="ISABELLA.BELLO@PWC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ISABELLA.BELLO@PWC.COM1"/>
  </r>
  <r>
    <s v="ivan.gutierrez@unisabana.edu.co"/>
    <s v="ivan.gutierrez@unisabana.edu.co01"/>
    <s v="Especializaciï¿½n en Gerencia Logï¿½stica - Chï¿½a"/>
    <x v="109"/>
    <x v="0"/>
    <x v="1"/>
    <s v="Incompleta"/>
    <s v="Posgrado"/>
    <s v="INSTITUTO FORUM"/>
    <s v="https://ProfCatedra2024.sawtoothsoftware.com/cgi-bin/ciwweb.pl?studyname=ProfCatedra2024&amp;Correo=ivan.gutierrez@unisabana.edu.co01"/>
  </r>
  <r>
    <s v="ivan.moya@unisabana.edu.co"/>
    <s v="ivan.moya@unisabana.edu.co01"/>
    <s v="Especializaciï¿½n en Gerencia Comercial - Bogotï¿½"/>
    <x v="76"/>
    <x v="0"/>
    <x v="1"/>
    <s v="Incompleta"/>
    <s v="Posgrado"/>
    <s v="INSTITUTO FORUM"/>
    <s v="https://ProfCatedra2024.sawtoothsoftware.com/cgi-bin/ciwweb.pl?studyname=ProfCatedra2024&amp;Correo=ivan.moya@unisabana.edu.co01"/>
  </r>
  <r>
    <s v="ivan.unigarro1@unisabana.edu.co"/>
    <s v="ivan.unigarro1@unisabana.edu.co0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ivan.unigarro1@unisabana.edu.co01"/>
  </r>
  <r>
    <s v="ivette.amaya@unisabana.edu.co"/>
    <s v="ivette.amaya@unisabana.edu.co01"/>
    <s v="Especializaciï¿½n en Liderazgo y Coaching- Chï¿½a"/>
    <x v="8"/>
    <x v="0"/>
    <x v="1"/>
    <s v="Incompleta"/>
    <s v="Posgrado"/>
    <s v="INSTITUTO FORUM"/>
    <s v="https://ProfCatedra2024.sawtoothsoftware.com/cgi-bin/ciwweb.pl?studyname=ProfCatedra2024&amp;Correo=ivette.amaya@unisabana.edu.co01"/>
  </r>
  <r>
    <s v="jaclancheros@gmail.com"/>
    <s v="JACLANCHEROS@G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JACLANCHEROS@GMAIL.COM1"/>
  </r>
  <r>
    <s v="jader.castano1@unisabana.edu.co"/>
    <s v="jader.castano1@unisabana.edu.co01"/>
    <s v="Especializaciï¿½n en Gerencia Logï¿½stica - Chï¿½a"/>
    <x v="109"/>
    <x v="0"/>
    <x v="1"/>
    <s v="Incompleta"/>
    <s v="Posgrado"/>
    <s v="INSTITUTO FORUM"/>
    <s v="https://ProfCatedra2024.sawtoothsoftware.com/cgi-bin/ciwweb.pl?studyname=ProfCatedra2024&amp;Correo=jader.castano1@unisabana.edu.co01"/>
  </r>
  <r>
    <s v="jaime.barcenas1@unisabana.edu.co"/>
    <s v="jaime.barcenas1@unisabana.edu.co01"/>
    <s v="Maestrï¿½a en Gerencia Estratï¿½gica"/>
    <x v="35"/>
    <x v="0"/>
    <x v="0"/>
    <s v="Incompleta"/>
    <s v="Posgrado"/>
    <s v="ESCUELA INTERNACIONAL DE CIENCIAS ECONÓMICAS Y ADMINISTRATIVAS"/>
    <s v="https://ProfCatedra2024.sawtoothsoftware.com/cgi-bin/ciwweb.pl?studyname=ProfCatedra2024&amp;Correo=jaime.barcenas1@unisabana.edu.co01"/>
  </r>
  <r>
    <s v="jaime.leal@unisabana.edu.co"/>
    <s v="jaime.leal@unisabana.edu.co01"/>
    <s v="Maestrï¿½a en Educaciï¿½n Mï¿½dica"/>
    <x v="110"/>
    <x v="0"/>
    <x v="1"/>
    <s v="Incompleta"/>
    <s v="Posgrado"/>
    <s v="FACULTAD DE MEDICINA"/>
    <s v="https://ProfCatedra2024.sawtoothsoftware.com/cgi-bin/ciwweb.pl?studyname=ProfCatedra2024&amp;Correo=jaime.leal@unisabana.edu.co01"/>
  </r>
  <r>
    <s v="jaimerive@gmail.com"/>
    <s v="JAIMERIVE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AIMERIVE@GMAIL.COM1"/>
  </r>
  <r>
    <s v="javierfgonzalezm@yahoo.com"/>
    <s v="JAVIERFGONZALEZM@YAHOO.COM1"/>
    <s v="Especializaciï¿½n en Derecho y Empresa - Chï¿½a"/>
    <x v="77"/>
    <x v="0"/>
    <x v="1"/>
    <s v="Incompleta"/>
    <s v="Posgrado"/>
    <s v="FACULTAD DE DERECHO Y CIENCIAS POLÍTICAS"/>
    <s v="https://ProfCatedra2024.sawtoothsoftware.com/cgi-bin/ciwweb.pl?studyname=ProfCatedra2024&amp;Correo=JAVIERFGONZALEZM@YAHOO.COM1"/>
  </r>
  <r>
    <s v="jenny.robayo1@unisabana.edu.co"/>
    <s v="jenny.robayo1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jenny.robayo1@unisabana.edu.co01"/>
  </r>
  <r>
    <s v="jgomezp@sura.com.co"/>
    <s v="JGOMEZP@SURA.COM.CO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GOMEZP@SURA.COM.CO1"/>
  </r>
  <r>
    <s v="john.cabrera_cont@unisabana.edu.co"/>
    <s v="john.cabrera_cont@unisabana.edu.co01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john.cabrera_cont@unisabana.edu.co01"/>
  </r>
  <r>
    <s v="john.mora@unisabana.edu.co"/>
    <s v="john.mora@unisabana.edu.co01"/>
    <s v="Maestrï¿½a en Gerencia de Inversiï¿½n"/>
    <x v="26"/>
    <x v="0"/>
    <x v="0"/>
    <s v="Incompleta"/>
    <s v="Posgrado"/>
    <s v="ESCUELA INTERNACIONAL DE CIENCIAS ECONÓMICAS Y ADMINISTRATIVAS"/>
    <s v="https://ProfCatedra2024.sawtoothsoftware.com/cgi-bin/ciwweb.pl?studyname=ProfCatedra2024&amp;Correo=john.mora@unisabana.edu.co01"/>
  </r>
  <r>
    <s v="jorge.avila@unisabana.edu.co"/>
    <s v="jorge.avila@unisabana.edu.co01"/>
    <s v="ESPECIALIZACIï¿½N EN GERENCIA EDUCATIVA"/>
    <x v="98"/>
    <x v="0"/>
    <x v="1"/>
    <s v="Incompleta"/>
    <s v="Posgrado"/>
    <s v="FACULTAD DE EDUCACIÓN"/>
    <s v="https://ProfCatedra2024.sawtoothsoftware.com/cgi-bin/ciwweb.pl?studyname=ProfCatedra2024&amp;Correo=jorge.avila@unisabana.edu.co01"/>
  </r>
  <r>
    <s v="jorge.verdugo@unisabana.edu.co"/>
    <s v="jorge.verdugo@unisabana.edu.co01"/>
    <s v="Maestrï¿½a en Direcciï¿½n y Gestiï¿½n de Instituciones Educativas - Riohacha"/>
    <x v="92"/>
    <x v="0"/>
    <x v="1"/>
    <s v="Incompleta"/>
    <s v="Posgrado"/>
    <s v="FACULTAD DE EDUCACIÓN"/>
    <s v="https://ProfCatedra2024.sawtoothsoftware.com/cgi-bin/ciwweb.pl?studyname=ProfCatedra2024&amp;Correo=jorge.verdugo@unisabana.edu.co01"/>
  </r>
  <r>
    <s v="juan.ramirez22@unisabana.edu.co"/>
    <s v="juan.ramirez22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juan.ramirez22@unisabana.edu.co01"/>
  </r>
  <r>
    <s v="joseat_cont@unisabana.edu.co"/>
    <s v="joseat_cont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joseat_cont@unisabana.edu.co01"/>
  </r>
  <r>
    <s v="josemiguelruedavasquez4@hotmail.com"/>
    <s v="JOSEMIGUELRUEDAVASQUEZ4@HOTMAIL.COM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1"/>
  </r>
  <r>
    <s v="jparaujo5@hotmail.com"/>
    <s v="JPARAUJO5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PARAUJO5@HOTMAIL.COM1"/>
  </r>
  <r>
    <s v="juan.aldana2@clinicaunisabana.edu.co"/>
    <s v="juan.aldana2@clinicaunisabana.edu.co01"/>
    <s v="Especializaciï¿½n en Radiologï¿½a e Imï¿½genes Diagnï¿½sticas"/>
    <x v="111"/>
    <x v="0"/>
    <x v="1"/>
    <s v="Incompleta"/>
    <s v="Posgrado"/>
    <s v="FACULTAD DE MEDICINA"/>
    <s v="https://ProfCatedra2024.sawtoothsoftware.com/cgi-bin/ciwweb.pl?studyname=ProfCatedra2024&amp;Correo=juan.aldana2@clinicaunisabana.edu.co01"/>
  </r>
  <r>
    <s v="juan.guevara@unisabana.edu.co"/>
    <s v="juan.guevara@unisabana.edu.co01"/>
    <s v="Especializaciï¿½n en Gestiï¿½n para el Desarrollo Humano en la Organizaciï¿½n - Bogotï¿½"/>
    <x v="101"/>
    <x v="0"/>
    <x v="1"/>
    <s v="Incompleta"/>
    <s v="Posgrado"/>
    <s v="INSTITUTO FORUM"/>
    <s v="https://ProfCatedra2024.sawtoothsoftware.com/cgi-bin/ciwweb.pl?studyname=ProfCatedra2024&amp;Correo=juan.guevara@unisabana.edu.co01"/>
  </r>
  <r>
    <s v="juan.jaramillo1@unisabana.edu.co"/>
    <s v="juan.jaramillo1@unisabana.edu.co0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juan.jaramillo1@unisabana.edu.co01"/>
  </r>
  <r>
    <s v="juan.lanas@unisabana.edu.co"/>
    <s v="juan.lanas@unisabana.edu.co01"/>
    <s v="MAESTRï¿½A EN DIRECCIï¿½N Y GESTIï¿½N DE INSTITUCIONES EDUCATIVAS"/>
    <x v="62"/>
    <x v="0"/>
    <x v="1"/>
    <s v="Incompleta"/>
    <s v="Posgrado"/>
    <s v="FACULTAD DE EDUCACIÓN"/>
    <s v="https://ProfCatedra2024.sawtoothsoftware.com/cgi-bin/ciwweb.pl?studyname=ProfCatedra2024&amp;Correo=juan.lanas@unisabana.edu.co01"/>
  </r>
  <r>
    <s v="juan.marin2@unisabana.edu.co"/>
    <s v="juan.marin2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juan.marin2@unisabana.edu.co01"/>
  </r>
  <r>
    <s v="juancarlosllanorondon@gmail.com"/>
    <s v="JUANCARLOSLLANORONDON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JUANCARLOSLLANORONDON@GMAIL.COM1"/>
  </r>
  <r>
    <s v="juancarlosqg@hotmail.com"/>
    <s v="JUANCARLOSQG@HOT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JUANCARLOSQG@HOTMAIL.COM1"/>
  </r>
  <r>
    <s v="julian.molina1@unisabana.edu.co"/>
    <s v="julian.molina1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julian.molina1@unisabana.edu.co01"/>
  </r>
  <r>
    <s v="juliana.vallejo@unisabana.edu.co"/>
    <s v="juliana.vallejo@unisabana.edu.co01"/>
    <s v="Maestrï¿½a en Educaciï¿½n Mï¿½dica"/>
    <x v="110"/>
    <x v="0"/>
    <x v="1"/>
    <s v="Incompleta"/>
    <s v="Posgrado"/>
    <s v="FACULTAD DE MEDICINA"/>
    <s v="https://ProfCatedra2024.sawtoothsoftware.com/cgi-bin/ciwweb.pl?studyname=ProfCatedra2024&amp;Correo=juliana.vallejo@unisabana.edu.co01"/>
  </r>
  <r>
    <s v="jvillalba_cuellar@yahoo.com"/>
    <s v="JVILLALBA_CUELLAR@YAHOO.COM1"/>
    <s v="Especializaciï¿½n en Derecho y Empresa - Chï¿½a"/>
    <x v="77"/>
    <x v="0"/>
    <x v="1"/>
    <s v="Incompleta"/>
    <s v="Posgrado"/>
    <s v="FACULTAD DE DERECHO Y CIENCIAS POLÍTICAS"/>
    <s v="https://ProfCatedra2024.sawtoothsoftware.com/cgi-bin/ciwweb.pl?studyname=ProfCatedra2024&amp;Correo=JVILLALBA_CUELLAR@YAHOO.COM1"/>
  </r>
  <r>
    <s v="laura.palomino1@unisabana.edu.co"/>
    <s v="laura.palomino1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laura.palomino1@unisabana.edu.co01"/>
  </r>
  <r>
    <s v="lauramunbo@unisabana.edu.co"/>
    <s v="lauramunbo@unisabana.edu.co01"/>
    <s v="Especializaciï¿½n en Medicina Familiar y Comunitaria"/>
    <x v="69"/>
    <x v="0"/>
    <x v="1"/>
    <s v="Incompleta"/>
    <s v="Posgrado"/>
    <s v="FACULTAD DE MEDICINA"/>
    <s v="https://ProfCatedra2024.sawtoothsoftware.com/cgi-bin/ciwweb.pl?studyname=ProfCatedra2024&amp;Correo=lauramunbo@unisabana.edu.co01"/>
  </r>
  <r>
    <s v="leoalvarezcasallas@hotmail.com"/>
    <s v="LEOALVAREZCASALLAS@HOTMAIL.COM1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LEOALVAREZCASALLAS@HOTMAIL.COM1"/>
  </r>
  <r>
    <s v="leocc@hotmail.com"/>
    <s v="LEOCC@HOT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LEOCC@HOTMAIL.COM1"/>
  </r>
  <r>
    <s v="lida.isaza@unisabana.edu.co"/>
    <s v="lida.isaza@unisabana.edu.co01"/>
    <s v="Especializaciï¿½n en Pedagogï¿½a e Investigaciï¿½n en el Aula - Virtual"/>
    <x v="94"/>
    <x v="0"/>
    <x v="0"/>
    <s v="Incompleta"/>
    <s v="Posgrado"/>
    <s v="FACULTAD DE EDUCACIÓN"/>
    <s v="https://ProfCatedra2024.sawtoothsoftware.com/cgi-bin/ciwweb.pl?studyname=ProfCatedra2024&amp;Correo=lida.isaza@unisabana.edu.co01"/>
  </r>
  <r>
    <s v="lizcaicedo@gmail.com"/>
    <s v="LIZCAICEDO@G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LIZCAICEDO@GMAIL.COM1"/>
  </r>
  <r>
    <s v="lspitia@gmail.com"/>
    <s v="LSPITIA@G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LSPITIA@GMAIL.COM1"/>
  </r>
  <r>
    <s v="lucia.solano_cont@unisabana.edu.co"/>
    <s v="lucia.solano_cont@unisabana.edu.co01"/>
    <s v="MAESTRIA EN DERECHO INTERNACIONAL"/>
    <x v="61"/>
    <x v="0"/>
    <x v="1"/>
    <s v="Incompleta"/>
    <s v="Posgrado"/>
    <s v="FACULTAD DE DERECHO Y CIENCIAS POLÍTICAS"/>
    <s v="https://ProfCatedra2024.sawtoothsoftware.com/cgi-bin/ciwweb.pl?studyname=ProfCatedra2024&amp;Correo=lucia.solano_cont@unisabana.edu.co01"/>
  </r>
  <r>
    <s v="luis.lopez8@unisabana.edu.co"/>
    <s v="luis.lopez8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luis.lopez8@unisabana.edu.co01"/>
  </r>
  <r>
    <s v="luis.martinez2@unisabana.edu.co"/>
    <s v="luis.martinez2@unisabana.edu.co01"/>
    <s v="Especializaciï¿½n en Farmacologï¿½a Clï¿½nica"/>
    <x v="50"/>
    <x v="0"/>
    <x v="1"/>
    <s v="Incompleta"/>
    <s v="Posgrado"/>
    <s v="FACULTAD DE MEDICINA"/>
    <s v="https://ProfCatedra2024.sawtoothsoftware.com/cgi-bin/ciwweb.pl?studyname=ProfCatedra2024&amp;Correo=luis.martinez2@unisabana.edu.co01"/>
  </r>
  <r>
    <s v="luis.rodriguez2@unisabana.edu.co"/>
    <s v="luis.rodriguez2@unisabana.edu.co01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1"/>
  </r>
  <r>
    <s v="luis.silva2@unisabana.edu.co"/>
    <s v="luis.silva2@unisabana.edu.co01"/>
    <s v="Especializaciï¿½n en Gerencia de Producciï¿½n y Operaciones  - Chia"/>
    <x v="113"/>
    <x v="0"/>
    <x v="1"/>
    <s v="Incompleta"/>
    <s v="Posgrado"/>
    <s v="INSTITUTO FORUM"/>
    <s v="https://ProfCatedra2024.sawtoothsoftware.com/cgi-bin/ciwweb.pl?studyname=ProfCatedra2024&amp;Correo=luis.silva2@unisabana.edu.co01"/>
  </r>
  <r>
    <s v="juan.ramirez22@unisabana.edu.co"/>
    <s v="juan.ramirez22@unisabana.edu.co02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juan.ramirez22@unisabana.edu.co02"/>
  </r>
  <r>
    <s v="luisa.castillo@unisabana.edu.co"/>
    <s v="luisa.castillo@unisabana.edu.co01"/>
    <s v="Especializaciï¿½n en Farmacologï¿½a Clï¿½nica"/>
    <x v="50"/>
    <x v="0"/>
    <x v="1"/>
    <s v="Incompleta"/>
    <s v="Posgrado"/>
    <s v="FACULTAD DE MEDICINA"/>
    <s v="https://ProfCatedra2024.sawtoothsoftware.com/cgi-bin/ciwweb.pl?studyname=ProfCatedra2024&amp;Correo=luisa.castillo@unisabana.edu.co01"/>
  </r>
  <r>
    <s v="luisfever@gmail.com"/>
    <s v="LUISFEVER@G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LUISFEVER@GMAIL.COM1"/>
  </r>
  <r>
    <s v="manuel.marin1@unisabana.edu.co"/>
    <s v="manuel.marin1@unisabana.edu.co0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manuel.marin1@unisabana.edu.co01"/>
  </r>
  <r>
    <s v="manuel.mosquera@unisabana.edu.co"/>
    <s v="manuel.mosquera@unisabana.edu.co01"/>
    <s v="Especializaciï¿½n en Cirugï¿½a General"/>
    <x v="80"/>
    <x v="0"/>
    <x v="1"/>
    <s v="Incompleta"/>
    <s v="Posgrado"/>
    <s v="FACULTAD DE MEDICINA"/>
    <s v="https://ProfCatedra2024.sawtoothsoftware.com/cgi-bin/ciwweb.pl?studyname=ProfCatedra2024&amp;Correo=manuel.mosquera@unisabana.edu.co01"/>
  </r>
  <r>
    <s v="maria.escobar2@unisabana.edu.co"/>
    <s v="maria.escobar2@unisabana.edu.co01"/>
    <s v="Maestrï¿½a en Diseï¿½o y Gestiï¿½n de Procesos - Chï¿½a"/>
    <x v="97"/>
    <x v="0"/>
    <x v="1"/>
    <s v="Incompleta"/>
    <s v="Posgrado"/>
    <s v="FACULTAD DE INGENIERÍA"/>
    <s v="https://ProfCatedra2024.sawtoothsoftware.com/cgi-bin/ciwweb.pl?studyname=ProfCatedra2024&amp;Correo=maria.escobar2@unisabana.edu.co01"/>
  </r>
  <r>
    <s v="maria.granados1@unisabana.edu.co"/>
    <s v="maria.granados1@unisabana.edu.co01"/>
    <s v="MAESTRï¿½A EN GERENCIA Y DESARROLLO DE PERSONAS"/>
    <x v="65"/>
    <x v="0"/>
    <x v="1"/>
    <s v="Incompleta"/>
    <s v="Posgrado"/>
    <s v="FACULTAD DE PSICOLOGÍA"/>
    <s v="https://ProfCatedra2024.sawtoothsoftware.com/cgi-bin/ciwweb.pl?studyname=ProfCatedra2024&amp;Correo=maria.granados1@unisabana.edu.co01"/>
  </r>
  <r>
    <s v="maria.restrepo7@unisabana.edu.co"/>
    <s v="maria.restrepo7@unisabana.edu.co01"/>
    <s v="MAESTRIA EN DERECHO DE LA EMPRESA Y DE LOS NEGOCIOS"/>
    <x v="9"/>
    <x v="0"/>
    <x v="1"/>
    <s v="Incompleta"/>
    <s v="Posgrado"/>
    <s v="FACULTAD DE DERECHO Y CIENCIAS POLÍTICAS"/>
    <s v="https://ProfCatedra2024.sawtoothsoftware.com/cgi-bin/ciwweb.pl?studyname=ProfCatedra2024&amp;Correo=maria.restrepo7@unisabana.edu.co01"/>
  </r>
  <r>
    <s v="mariano.doncel@unisabana.edu.co"/>
    <s v="mariano.doncel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mariano.doncel@unisabana.edu.co01"/>
  </r>
  <r>
    <s v="marianolozanor@gmail.com"/>
    <s v="MARIANOLOZANOR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MARIANOLOZANOR@GMAIL.COM1"/>
  </r>
  <r>
    <s v="mario.manzi@unisabana.edu.co"/>
    <s v="mario.manzi@unisabana.edu.co01"/>
    <s v="Maestrï¿½a en Gerencia de la Innovaciï¿½n"/>
    <x v="67"/>
    <x v="0"/>
    <x v="1"/>
    <s v="Incompleta"/>
    <s v="Posgrado"/>
    <s v="ESCUELA INTERNACIONAL DE CIENCIAS ECONÓMICAS Y ADMINISTRATIVAS"/>
    <s v="https://ProfCatedra2024.sawtoothsoftware.com/cgi-bin/ciwweb.pl?studyname=ProfCatedra2024&amp;Correo=mario.manzi@unisabana.edu.co01"/>
  </r>
  <r>
    <s v="marpec69@yahoo.com"/>
    <s v="MARPEC69@YAHOO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MARPEC69@YAHOO.COM1"/>
  </r>
  <r>
    <s v="marthaemartineze@gmail.com"/>
    <s v="MARTHAEMARTINEZE@G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MARTHAEMARTINEZE@GMAIL.COM1"/>
  </r>
  <r>
    <s v="mauricio.suarez1@unisabana.edu.co"/>
    <s v="mauricio.suarez1@unisabana.edu.co01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mauricio.suarez1@unisabana.edu.co01"/>
  </r>
  <r>
    <s v="miguelangelfandino@gmail.com"/>
    <s v="MIGUELANGELFANDINO@GMAIL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MIGUELANGELFANDINO@GMAIL.COM1"/>
  </r>
  <r>
    <s v="mnmontoyacespedes@gmail.com"/>
    <s v="MNMONTOYACESPEDES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MNMONTOYACESPEDES@GMAIL.COM1"/>
  </r>
  <r>
    <s v="moncayov@hotmail.com"/>
    <s v="MONCAYOV@HOTMAIL.COM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MONCAYOV@HOTMAIL.COM1"/>
  </r>
  <r>
    <s v="nestor.diazgranados1@unisabana.edu.co"/>
    <s v="nestor.diazgranados1@unisabana.edu.co01"/>
    <s v="Especializaciï¿½n en Gerencia Comercial - Chia"/>
    <x v="95"/>
    <x v="0"/>
    <x v="0"/>
    <s v="Incompleta"/>
    <s v="Posgrado"/>
    <s v="INSTITUTO FORUM"/>
    <s v="https://ProfCatedra2024.sawtoothsoftware.com/cgi-bin/ciwweb.pl?studyname=ProfCatedra2024&amp;Correo=nestor.diazgranados1@unisabana.edu.co01"/>
  </r>
  <r>
    <s v="newman.gutierrez@unisabana.edu.co"/>
    <s v="newman.gutierrez@unisabana.edu.co01"/>
    <s v="Especializaciï¿½n en Gerencia Comercial - Bogotï¿½"/>
    <x v="76"/>
    <x v="0"/>
    <x v="0"/>
    <s v="Incompleta"/>
    <s v="Posgrado"/>
    <s v="INSTITUTO FORUM"/>
    <s v="https://ProfCatedra2024.sawtoothsoftware.com/cgi-bin/ciwweb.pl?studyname=ProfCatedra2024&amp;Correo=newman.gutierrez@unisabana.edu.co01"/>
  </r>
  <r>
    <s v="obdulio.velasquez@unisabana.edu.co"/>
    <s v="OBDULIO.VELASQUEZ@UNISABANA.edu.co01"/>
    <s v="Especializaciï¿½n en Responsabilidad Civil y del Estado - Chï¿½a"/>
    <x v="5"/>
    <x v="0"/>
    <x v="1"/>
    <s v="Incompleta"/>
    <s v="Posgrado"/>
    <s v="FACULTAD DE DERECHO Y CIENCIAS POLÍTICAS"/>
    <s v="https://ProfCatedra2024.sawtoothsoftware.com/cgi-bin/ciwweb.pl?studyname=ProfCatedra2024&amp;Correo=OBDULIO.VELASQUEZ@UNISABANA.edu.co01"/>
  </r>
  <r>
    <s v="orlandoramirezgamboa@gmail.com"/>
    <s v="ORLANDORAMIREZGAMBOA@GMAIL.COM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ORLANDORAMIREZGAMBOA@GMAIL.COM1"/>
  </r>
  <r>
    <s v="orlandorg@unisabana.edu.co"/>
    <s v="OrlandoRG@unisabana.edu.co01"/>
    <s v="Especializaciï¿½n en Contrataciï¿½n Estatal - Chï¿½a"/>
    <x v="64"/>
    <x v="0"/>
    <x v="1"/>
    <s v="Incompleta"/>
    <s v="Posgrado"/>
    <s v="FACULTAD DE DERECHO Y CIENCIAS POLÍTICAS"/>
    <s v="https://ProfCatedra2024.sawtoothsoftware.com/cgi-bin/ciwweb.pl?studyname=ProfCatedra2024&amp;Correo=OrlandoRG@unisabana.edu.co01"/>
  </r>
  <r>
    <s v="rafael.castro@unisabana.edu.co"/>
    <s v="rafael.castro@unisabana.edu.co01"/>
    <s v="MAESTRï¿½A EN DIRECCIï¿½N Y GESTIï¿½N DE INSTITUCIONES EDUCATIVAS"/>
    <x v="62"/>
    <x v="0"/>
    <x v="1"/>
    <s v="Incompleta"/>
    <s v="Posgrado"/>
    <s v="FACULTAD DE EDUCACIÓN"/>
    <s v="https://ProfCatedra2024.sawtoothsoftware.com/cgi-bin/ciwweb.pl?studyname=ProfCatedra2024&amp;Correo=rafael.castro@unisabana.edu.co01"/>
  </r>
  <r>
    <s v="richard.ramirez@unisabana.edu.co"/>
    <s v="richard.ramirez@unisabana.edu.co01"/>
    <s v="DOCTORADO EN DERECHO"/>
    <x v="114"/>
    <x v="0"/>
    <x v="1"/>
    <s v="Incompleta"/>
    <s v="Posgrado"/>
    <s v="FACULTAD DE DERECHO Y CIENCIAS POLÍTICAS"/>
    <s v="https://ProfCatedra2024.sawtoothsoftware.com/cgi-bin/ciwweb.pl?studyname=ProfCatedra2024&amp;Correo=richard.ramirez@unisabana.edu.co01"/>
  </r>
  <r>
    <s v="robertosuec@unisabana.edu.co"/>
    <s v="ROBERTOSUEC@UNISABANA.edu.co01"/>
    <s v="Especializaciï¿½n en Derecho Comercial - Chï¿½a"/>
    <x v="106"/>
    <x v="0"/>
    <x v="1"/>
    <s v="Incompleta"/>
    <s v="Posgrado"/>
    <s v="FACULTAD DE DERECHO Y CIENCIAS POLÍTICAS"/>
    <s v="https://ProfCatedra2024.sawtoothsoftware.com/cgi-bin/ciwweb.pl?studyname=ProfCatedra2024&amp;Correo=ROBERTOSUEC@UNISABANA.edu.co01"/>
  </r>
  <r>
    <s v="rodolfo.meza@unisabana.edu.co"/>
    <s v="rodolfo.meza@unisabana.edu.co01"/>
    <s v="Maestrï¿½a en Analï¿½tica Aplicada - Chï¿½a"/>
    <x v="18"/>
    <x v="0"/>
    <x v="1"/>
    <s v="Incompleta"/>
    <s v="Posgrado"/>
    <s v="FACULTAD DE INGENIERÍA"/>
    <s v="https://ProfCatedra2024.sawtoothsoftware.com/cgi-bin/ciwweb.pl?studyname=ProfCatedra2024&amp;Correo=rodolfo.meza@unisabana.edu.co01"/>
  </r>
  <r>
    <s v="ruben.martinez@unisabana.edu.co"/>
    <s v="ruben.martinez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ruben.martinez@unisabana.edu.co01"/>
  </r>
  <r>
    <s v="scastrillon@grupovanti.com"/>
    <s v="SCASTRILLON@GRUPOVANTI.COM1"/>
    <s v="Especializaciï¿½n en Derecho Tributario - Chï¿½a"/>
    <x v="25"/>
    <x v="0"/>
    <x v="1"/>
    <s v="Incompleta"/>
    <s v="Posgrado"/>
    <s v="FACULTAD DE DERECHO Y CIENCIAS POLÍTICAS"/>
    <s v="https://ProfCatedra2024.sawtoothsoftware.com/cgi-bin/ciwweb.pl?studyname=ProfCatedra2024&amp;Correo=SCASTRILLON@GRUPOVANTI.COM1"/>
  </r>
  <r>
    <s v="santiago.arrieta1@unisabana.edu.co"/>
    <s v="santiago.arrieta1@unisabana.edu.co01"/>
    <s v="Maestrï¿½a en Comunicaciï¿½n Estrï¿½tegica"/>
    <x v="115"/>
    <x v="0"/>
    <x v="1"/>
    <s v="Incompleta"/>
    <s v="Posgrado"/>
    <s v="FACULTAD DE COMUNICACIÓN"/>
    <s v="https://ProfCatedra2024.sawtoothsoftware.com/cgi-bin/ciwweb.pl?studyname=ProfCatedra2024&amp;Correo=santiago.arrieta1@unisabana.edu.co01"/>
  </r>
  <r>
    <s v="santiago.bayona1@unisabana.edu.co"/>
    <s v="santiago.bayona1@unisabana.edu.co01"/>
    <s v="Especializaciï¿½n en Gestiï¿½n para el Desarrollo Humano en la Organizaciï¿½n - Chï¿½a"/>
    <x v="39"/>
    <x v="0"/>
    <x v="1"/>
    <s v="Incompleta"/>
    <s v="Posgrado"/>
    <s v="INSTITUTO FORUM"/>
    <s v="https://ProfCatedra2024.sawtoothsoftware.com/cgi-bin/ciwweb.pl?studyname=ProfCatedra2024&amp;Correo=santiago.bayona1@unisabana.edu.co01"/>
  </r>
  <r>
    <s v="santiago.ocampo1@unisabana.edu.co"/>
    <s v="santiago.ocampo1@unisabana.edu.co01"/>
    <s v="Especializaciï¿½n en Gerencia de la Comunicaciï¿½n Organizacional"/>
    <x v="116"/>
    <x v="0"/>
    <x v="1"/>
    <s v="Incompleta"/>
    <s v="Posgrado"/>
    <s v="FACULTAD DE COMUNICACIÓN"/>
    <s v="https://ProfCatedra2024.sawtoothsoftware.com/cgi-bin/ciwweb.pl?studyname=ProfCatedra2024&amp;Correo=santiago.ocampo1@unisabana.edu.co01"/>
  </r>
  <r>
    <s v="sebasrubiano@hotmail.com"/>
    <s v="SEBASRUBIANO@HOTMAIL.COM1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SEBASRUBIANO@HOTMAIL.COM1"/>
  </r>
  <r>
    <s v="sergio.duque1@unisabana.edu.co"/>
    <s v="sergio.duque1@unisabana.edu.co01"/>
    <s v="Especializaciï¿½n En Gerencia Comercial Ibaguï¿½ - Tolima"/>
    <x v="112"/>
    <x v="0"/>
    <x v="1"/>
    <s v="Incompleta"/>
    <s v="Posgrado"/>
    <s v="INSTITUTO FORUM"/>
    <s v="https://ProfCatedra2024.sawtoothsoftware.com/cgi-bin/ciwweb.pl?studyname=ProfCatedra2024&amp;Correo=sergio.duque1@unisabana.edu.co01"/>
  </r>
  <r>
    <s v="silvana.ahumada@unisabana.edu.co"/>
    <s v="silvana.ahumada@unisabana.edu.co01"/>
    <s v="Maestrï¿½a en Gerencia de Inversiï¿½n"/>
    <x v="26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1"/>
  </r>
  <r>
    <s v="steve.martinez1@unisabana.edu.co"/>
    <s v="steve.martinez1@unisabana.edu.co01"/>
    <s v="Especializaciï¿½n en Gerencia Comercial Bucaramanga - Santander"/>
    <x v="104"/>
    <x v="0"/>
    <x v="0"/>
    <s v="Incompleta"/>
    <s v="Posgrado"/>
    <s v="INSTITUTO FORUM"/>
    <s v="https://ProfCatedra2024.sawtoothsoftware.com/cgi-bin/ciwweb.pl?studyname=ProfCatedra2024&amp;Correo=steve.martinez1@unisabana.edu.co01"/>
  </r>
  <r>
    <s v="viviana.fajardo@unisabana.edu.co"/>
    <s v="viviana.fajardo@unisabana.edu.co01"/>
    <s v="Especializaciï¿½n en Pediatrï¿½a"/>
    <x v="79"/>
    <x v="0"/>
    <x v="1"/>
    <s v="Incompleta"/>
    <s v="Posgrado"/>
    <s v="FACULTAD DE MEDICINA"/>
    <s v="https://ProfCatedra2024.sawtoothsoftware.com/cgi-bin/ciwweb.pl?studyname=ProfCatedra2024&amp;Correo=viviana.fajardo@unisabana.edu.co01"/>
  </r>
  <r>
    <s v="vmplazas@hotmail.com"/>
    <s v="VMPLAZAS@HOT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VMPLAZAS@HOTMAIL.COM1"/>
  </r>
  <r>
    <s v="william.pinzon@segurosdelestado.com"/>
    <s v="WILLIAM.PINZON@SEGUROSDELESTADO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WILLIAM.PINZON@SEGUROSDELESTADO.COM1"/>
  </r>
  <r>
    <s v="yenny.celemin@unisabana.edu.co"/>
    <s v="yenny.celemin@unisabana.edu.co01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yenny.celemin@unisabana.edu.co01"/>
  </r>
  <r>
    <s v="zulma.velandia1@unisabana.edu.co"/>
    <s v="zulma.velandia1@unisabana.edu.co01"/>
    <s v="Especializaciï¿½n en Gerencia de la Comunicaciï¿½n Organizacional"/>
    <x v="116"/>
    <x v="0"/>
    <x v="1"/>
    <s v="Incompleta"/>
    <s v="Posgrado"/>
    <s v="FACULTAD DE COMUNICACIÓN"/>
    <s v="https://ProfCatedra2024.sawtoothsoftware.com/cgi-bin/ciwweb.pl?studyname=ProfCatedra2024&amp;Correo=zulma.velandia1@unisabana.edu.co01"/>
  </r>
  <r>
    <s v="zulmagbecerra@gmail.com"/>
    <s v="ZULMAGBECERRA@GMAIL.COM1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ZULMAGBECERRA@GMAIL.COM1"/>
  </r>
  <r>
    <s v="adriana.lopez5@unisabana.edu.co"/>
    <s v="adriana.lopez5@unisabana.edu.co02"/>
    <s v="Maestrï¿½a en Salud Pï¿½blica"/>
    <x v="70"/>
    <x v="0"/>
    <x v="1"/>
    <s v="Incompleta"/>
    <s v="Posgrado"/>
    <s v="FACULTAD DE MEDICINA"/>
    <s v="https://ProfCatedra2024.sawtoothsoftware.com/cgi-bin/ciwweb.pl?studyname=ProfCatedra2024&amp;Correo=adriana.lopez5@unisabana.edu.co02"/>
  </r>
  <r>
    <s v="alvaro.salcedo@unisabana.edu.co"/>
    <s v="alvaro.salcedo@unisabana.edu.co02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alvaro.salcedo@unisabana.edu.co02"/>
  </r>
  <r>
    <s v="andres.mancipe@gmail.com"/>
    <s v="ANDRES.MANCIPE@GMAIL.COM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ANDRES.MANCIPE@GMAIL.COM2"/>
  </r>
  <r>
    <s v="andresrohe@unisabana.edu.co"/>
    <s v="andresrohe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2"/>
  </r>
  <r>
    <s v="carlos.salazar5@unisabana.edu.co"/>
    <s v="carlos.salazar5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carlos.salazar5@unisabana.edu.co02"/>
  </r>
  <r>
    <s v="cherrera@gmail.com"/>
    <s v="CHERRERA@GMAIL.COM2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CHERRERA@GMAIL.COM2"/>
  </r>
  <r>
    <s v="claudiapatriciabarrantes@gmail.com"/>
    <s v="CLAUDIAPATRICIABARRANTES@GMAIL.COM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CLAUDIAPATRICIABARRANTES@GMAIL.COM2"/>
  </r>
  <r>
    <s v="cristinacharry@yahoo.es2"/>
    <s v="CRISTINACHARRY@YAHOO.ES2"/>
    <s v="ESPECIALIZACION EN CONTRATACION ESTATAL IBAGUE"/>
    <x v="66"/>
    <x v="0"/>
    <x v="1"/>
    <s v="Incompleta"/>
    <s v="Posgrado"/>
    <s v="FACULTAD DE DERECHO Y CIENCIAS POLÍTICAS"/>
    <s v="https://ProfCatedra2024.sawtoothsoftware.com/cgi-bin/ciwweb.pl?studyname=ProfCatedra2024&amp;Correo=CRISTINACHARRY@YAHOO.ES2"/>
  </r>
  <r>
    <s v="daniel.prieto@unisabana.edu.co"/>
    <s v="daniel.prieto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daniel.prieto@unisabana.edu.co02"/>
  </r>
  <r>
    <s v="ferpal48@hotmail.com"/>
    <s v="FERPAL48@HOTMAIL.COM2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FERPAL48@HOTMAIL.COM2"/>
  </r>
  <r>
    <s v="flavio.puentes1@unisabana.edu.co"/>
    <s v="flavio.puentes1@unisabana.edu.co02"/>
    <s v="Especializaciï¿½n en Gerencia Financiera Internacional - Bogotï¿½"/>
    <x v="73"/>
    <x v="0"/>
    <x v="1"/>
    <s v="Incompleta"/>
    <s v="Posgrado"/>
    <s v="INSTITUTO FORUM"/>
    <s v="https://ProfCatedra2024.sawtoothsoftware.com/cgi-bin/ciwweb.pl?studyname=ProfCatedra2024&amp;Correo=flavio.puentes1@unisabana.edu.co02"/>
  </r>
  <r>
    <s v="ivan.gutierrez@unisabana.edu.co"/>
    <s v="ivan.gutierrez@unisabana.edu.co02"/>
    <s v="Especializaciï¿½n en Gerencia Logï¿½stica - Bucaramanga"/>
    <x v="117"/>
    <x v="0"/>
    <x v="1"/>
    <s v="Incompleta"/>
    <s v="Posgrado"/>
    <s v="INSTITUTO FORUM"/>
    <s v="https://ProfCatedra2024.sawtoothsoftware.com/cgi-bin/ciwweb.pl?studyname=ProfCatedra2024&amp;Correo=ivan.gutierrez@unisabana.edu.co02"/>
  </r>
  <r>
    <s v="ivan.moya@unisabana.edu.co"/>
    <s v="ivan.moya@unisabana.edu.co02"/>
    <s v="Especializaciï¿½n en Gerencia Estratï¿½gica de Marca  - Chia"/>
    <x v="118"/>
    <x v="0"/>
    <x v="1"/>
    <s v="Incompleta"/>
    <s v="Posgrado"/>
    <s v="INSTITUTO FORUM"/>
    <s v="https://ProfCatedra2024.sawtoothsoftware.com/cgi-bin/ciwweb.pl?studyname=ProfCatedra2024&amp;Correo=ivan.moya@unisabana.edu.co02"/>
  </r>
  <r>
    <s v="ivan.unigarro1@unisabana.edu.co"/>
    <s v="ivan.unigarro1@unisabana.edu.co02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ivan.unigarro1@unisabana.edu.co02"/>
  </r>
  <r>
    <s v="jorge.figueroa@unisabana.edu.co"/>
    <s v="jorge.figueroa@unisabana.edu.co02"/>
    <s v="Especializaciï¿½n en Gerencia del Servicio - Chï¿½a"/>
    <x v="7"/>
    <x v="0"/>
    <x v="1"/>
    <s v="Incompleta"/>
    <s v="Posgrado"/>
    <s v="INSTITUTO FORUM"/>
    <s v="https://ProfCatedra2024.sawtoothsoftware.com/cgi-bin/ciwweb.pl?studyname=ProfCatedra2024&amp;Correo=jorge.figueroa@unisabana.edu.co02"/>
  </r>
  <r>
    <s v="josemiguelruedavasquez4@hotmail.com"/>
    <s v="JOSEMIGUELRUEDAVASQUEZ4@HOTMAIL.COM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2"/>
  </r>
  <r>
    <s v="juan.marin2@unisabana.edu.co"/>
    <s v="juan.marin2@unisabana.edu.co02"/>
    <s v="Especializaciï¿½n en Gerencia Estratï¿½gica de Marca  - Chia"/>
    <x v="118"/>
    <x v="0"/>
    <x v="0"/>
    <s v="Incompleta"/>
    <s v="Posgrado"/>
    <s v="INSTITUTO FORUM"/>
    <s v="https://ProfCatedra2024.sawtoothsoftware.com/cgi-bin/ciwweb.pl?studyname=ProfCatedra2024&amp;Correo=juan.marin2@unisabana.edu.co02"/>
  </r>
  <r>
    <s v="lida.isaza@unisabana.edu.co"/>
    <s v="lida.isaza@unisabana.edu.co02"/>
    <s v="Maestrï¿½a en Pedagogï¿½a - Neiva"/>
    <x v="81"/>
    <x v="0"/>
    <x v="1"/>
    <s v="Incompleta"/>
    <s v="Posgrado"/>
    <s v="FACULTAD DE EDUCACIÓN"/>
    <s v="https://ProfCatedra2024.sawtoothsoftware.com/cgi-bin/ciwweb.pl?studyname=ProfCatedra2024&amp;Correo=lida.isaza@unisabana.edu.co02"/>
  </r>
  <r>
    <s v="luis.rodriguez2@unisabana.edu.co"/>
    <s v="luis.rodriguez2@unisabana.edu.co02"/>
    <s v="Maestrï¿½a en Gerencia Estratï¿½gica"/>
    <x v="35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2"/>
  </r>
  <r>
    <s v="luis.silva2@unisabana.edu.co"/>
    <s v="luis.silva2@unisabana.edu.co02"/>
    <s v="Especializaciï¿½n en Gerencia Logï¿½stica - Bogotï¿½"/>
    <x v="85"/>
    <x v="0"/>
    <x v="1"/>
    <s v="Incompleta"/>
    <s v="Posgrado"/>
    <s v="INSTITUTO FORUM"/>
    <s v="https://ProfCatedra2024.sawtoothsoftware.com/cgi-bin/ciwweb.pl?studyname=ProfCatedra2024&amp;Correo=luis.silva2@unisabana.edu.co02"/>
  </r>
  <r>
    <s v="manuel.marin1@unisabana.edu.co"/>
    <s v="manuel.marin1@unisabana.edu.co0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manuel.marin1@unisabana.edu.co02"/>
  </r>
  <r>
    <s v="marianolozanor@gmail.com"/>
    <s v="MARIANOLOZANOR@GMAIL.COM2"/>
    <s v="MAESTRIA EN DERECHO INTERNACIONAL"/>
    <x v="61"/>
    <x v="0"/>
    <x v="1"/>
    <s v="Incompleta"/>
    <s v="Posgrado"/>
    <s v="FACULTAD DE DERECHO Y CIENCIAS POLÍTICAS"/>
    <s v="https://ProfCatedra2024.sawtoothsoftware.com/cgi-bin/ciwweb.pl?studyname=ProfCatedra2024&amp;Correo=MARIANOLOZANOR@GMAIL.COM2"/>
  </r>
  <r>
    <s v="mauricio.suarez1@unisabana.edu.co"/>
    <s v="mauricio.suarez1@unisabana.edu.co02"/>
    <s v="Especializaciï¿½n en Gestiï¿½n para el Desarrollo Humano en la Organizaciï¿½n - Bucaramanga"/>
    <x v="17"/>
    <x v="0"/>
    <x v="1"/>
    <s v="Incompleta"/>
    <s v="Posgrado"/>
    <s v="INSTITUTO FORUM"/>
    <s v="https://ProfCatedra2024.sawtoothsoftware.com/cgi-bin/ciwweb.pl?studyname=ProfCatedra2024&amp;Correo=mauricio.suarez1@unisabana.edu.co02"/>
  </r>
  <r>
    <s v="mnmontoyacespedes@gmail.com"/>
    <s v="MNMONTOYACESPEDES@GMAIL.COM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MNMONTOYACESPEDES@GMAIL.COM2"/>
  </r>
  <r>
    <s v="newman.gutierrez@unisabana.edu.co"/>
    <s v="newman.gutierrez@unisabana.edu.co02"/>
    <s v="Especializaciï¿½n en Gerencia Comercial Virtual"/>
    <x v="6"/>
    <x v="0"/>
    <x v="1"/>
    <s v="Incompleta"/>
    <s v="Posgrado"/>
    <s v="INSTITUTO FORUM"/>
    <s v="https://ProfCatedra2024.sawtoothsoftware.com/cgi-bin/ciwweb.pl?studyname=ProfCatedra2024&amp;Correo=newman.gutierrez@unisabana.edu.co02"/>
  </r>
  <r>
    <s v="orlandorg@unisabana.edu.co"/>
    <s v="OrlandoRG@unisabana.edu.co02"/>
    <s v="ESPECIALIZACION EN CONTRATACION ESTATAL NEIVA"/>
    <x v="33"/>
    <x v="0"/>
    <x v="1"/>
    <s v="Incompleta"/>
    <s v="Posgrado"/>
    <s v="FACULTAD DE DERECHO Y CIENCIAS POLÍTICAS"/>
    <s v="https://ProfCatedra2024.sawtoothsoftware.com/cgi-bin/ciwweb.pl?studyname=ProfCatedra2024&amp;Correo=OrlandoRG@unisabana.edu.co02"/>
  </r>
  <r>
    <s v="rafael.castro@unisabana.edu.co"/>
    <s v="rafael.castro@unisabana.edu.co02"/>
    <s v="Maestrï¿½a en Direcciï¿½n y Gestiï¿½n de Instituciones Educativas - Riohacha"/>
    <x v="92"/>
    <x v="0"/>
    <x v="1"/>
    <s v="Incompleta"/>
    <s v="Posgrado"/>
    <s v="FACULTAD DE EDUCACIÓN"/>
    <s v="https://ProfCatedra2024.sawtoothsoftware.com/cgi-bin/ciwweb.pl?studyname=ProfCatedra2024&amp;Correo=rafael.castro@unisabana.edu.co02"/>
  </r>
  <r>
    <s v="richard.ramirez@unisabana.edu.co"/>
    <s v="richard.ramirez@unisabana.edu.co0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richard.ramirez@unisabana.edu.co02"/>
  </r>
  <r>
    <s v="robertosuec@unisabana.edu.co"/>
    <s v="ROBERTOSUEC@UNISABANA.edu.co02"/>
    <s v="Especializaciï¿½n en Seguros y Seguridad Social - Chï¿½a"/>
    <x v="89"/>
    <x v="0"/>
    <x v="1"/>
    <s v="Incompleta"/>
    <s v="Posgrado"/>
    <s v="FACULTAD DE DERECHO Y CIENCIAS POLÍTICAS"/>
    <s v="https://ProfCatedra2024.sawtoothsoftware.com/cgi-bin/ciwweb.pl?studyname=ProfCatedra2024&amp;Correo=ROBERTOSUEC@UNISABANA.edu.co02"/>
  </r>
  <r>
    <s v="silvana.ahumada@unisabana.edu.co"/>
    <s v="silvana.ahumada@unisabana.edu.co02"/>
    <s v="Maestrï¿½a en Gerencia de Inversiï¿½n - Virtual"/>
    <x v="27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2"/>
  </r>
  <r>
    <s v="yenny.celemin@unisabana.edu.co"/>
    <s v="yenny.celemin@unisabana.edu.co02"/>
    <s v="MAESTRIA EN DERECHO CONSTITUCIONAL"/>
    <x v="56"/>
    <x v="0"/>
    <x v="1"/>
    <s v="Incompleta"/>
    <s v="Posgrado"/>
    <s v="FACULTAD DE DERECHO Y CIENCIAS POLÍTICAS"/>
    <s v="https://ProfCatedra2024.sawtoothsoftware.com/cgi-bin/ciwweb.pl?studyname=ProfCatedra2024&amp;Correo=yenny.celemin@unisabana.edu.co02"/>
  </r>
  <r>
    <s v="yolanda.ruiz1@unisabana.edu.co"/>
    <s v="yolanda.ruiz1@unisabana.edu.co02"/>
    <s v="Especializaciï¿½n en Gerencia Financiera Internacional - Chia"/>
    <x v="75"/>
    <x v="0"/>
    <x v="1"/>
    <s v="Incompleta"/>
    <s v="Posgrado"/>
    <s v="INSTITUTO FORUM"/>
    <s v="https://ProfCatedra2024.sawtoothsoftware.com/cgi-bin/ciwweb.pl?studyname=ProfCatedra2024&amp;Correo=yolanda.ruiz1@unisabana.edu.co02"/>
  </r>
  <r>
    <s v="zulma.velandia1@unisabana.edu.co"/>
    <s v="zulma.velandia1@unisabana.edu.co02"/>
    <s v="Maestrï¿½a en Comunicaciï¿½n Estrï¿½tegica"/>
    <x v="115"/>
    <x v="0"/>
    <x v="1"/>
    <s v="Incompleta"/>
    <s v="Posgrado"/>
    <s v="FACULTAD DE COMUNICACIÓN"/>
    <s v="https://ProfCatedra2024.sawtoothsoftware.com/cgi-bin/ciwweb.pl?studyname=ProfCatedra2024&amp;Correo=zulma.velandia1@unisabana.edu.co02"/>
  </r>
  <r>
    <s v="alvaro.salcedo@unisabana.edu.co"/>
    <s v="alvaro.salcedo@unisabana.edu.co03"/>
    <s v="Especializaciï¿½n en Gerencia de Proyectos con Enfoque en Habilidades Directivas - Chï¿½a"/>
    <x v="88"/>
    <x v="0"/>
    <x v="1"/>
    <s v="Incompleta"/>
    <s v="Posgrado"/>
    <s v="INSTITUTO FORUM"/>
    <s v="https://ProfCatedra2024.sawtoothsoftware.com/cgi-bin/ciwweb.pl?studyname=ProfCatedra2024&amp;Correo=alvaro.salcedo@unisabana.edu.co03"/>
  </r>
  <r>
    <s v="andresrohe@unisabana.edu.co"/>
    <s v="andresrohe@unisabana.edu.co03"/>
    <s v="Maestrï¿½a en Gerencia Internacional"/>
    <x v="37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3"/>
  </r>
  <r>
    <s v="juan.enciso2@unisabana.edu.co"/>
    <s v="juan.enciso2@unisabana.edu.co03"/>
    <s v="Maestrï¿½a en Pedagogï¿½a e Investigaciï¿½n en Aula - Virtual"/>
    <x v="108"/>
    <x v="0"/>
    <x v="0"/>
    <s v="Incompleta"/>
    <s v="Posgrado"/>
    <s v="FACULTAD DE EDUCACIÓN"/>
    <s v="https://ProfCatedra2024.sawtoothsoftware.com/cgi-bin/ciwweb.pl?studyname=ProfCatedra2024&amp;Correo=juan.enciso2@unisabana.edu.co03"/>
  </r>
  <r>
    <s v="lida.isaza@unisabana.edu.co"/>
    <s v="lida.isaza@unisabana.edu.co03"/>
    <s v="Maestrï¿½a en Pedagogï¿½a e Investigaciï¿½n en Aula - Virtual"/>
    <x v="108"/>
    <x v="0"/>
    <x v="0"/>
    <s v="Incompleta"/>
    <s v="Posgrado"/>
    <s v="FACULTAD DE EDUCACIÓN"/>
    <s v="https://ProfCatedra2024.sawtoothsoftware.com/cgi-bin/ciwweb.pl?studyname=ProfCatedra2024&amp;Correo=lida.isaza@unisabana.edu.co03"/>
  </r>
  <r>
    <s v="manuel.marin1@unisabana.edu.co"/>
    <s v="manuel.marin1@unisabana.edu.co03"/>
    <s v="MAESTRIA EN CONTRATACION ESTATAL"/>
    <x v="59"/>
    <x v="0"/>
    <x v="1"/>
    <s v="Incompleta"/>
    <s v="Posgrado"/>
    <s v="FACULTAD DE DERECHO Y CIENCIAS POLÍTICAS"/>
    <s v="https://ProfCatedra2024.sawtoothsoftware.com/cgi-bin/ciwweb.pl?studyname=ProfCatedra2024&amp;Correo=manuel.marin1@unisabana.edu.co03"/>
  </r>
  <r>
    <s v="silvana.ahumada@unisabana.edu.co"/>
    <s v="silvana.ahumada@unisabana.edu.co03"/>
    <s v="Maestrï¿½a en Gerencia de Operaciones"/>
    <x v="86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3"/>
  </r>
  <r>
    <s v="juan.enciso2@unisabana.edu.co"/>
    <s v="juan.enciso2@unisabana.edu.co04"/>
    <s v="MAESTRï¿½A EN PEDAGOGIA E INVESTIGACIï¿½N EN EL AULA"/>
    <x v="108"/>
    <x v="0"/>
    <x v="1"/>
    <s v="Incompleta"/>
    <s v="Posgrado"/>
    <s v="FACULTAD DE EDUCACIÓN"/>
    <s v="https://ProfCatedra2024.sawtoothsoftware.com/cgi-bin/ciwweb.pl?studyname=ProfCatedra2024&amp;Correo=juan.enciso2@unisabana.edu.co04"/>
  </r>
  <r>
    <s v="silvana.ahumada@unisabana.edu.co"/>
    <s v="silvana.ahumada@unisabana.edu.co04"/>
    <s v="MAESTRï¿½A EN GERENCIA Y DESARROLLO DE PERSONAS"/>
    <x v="65"/>
    <x v="0"/>
    <x v="1"/>
    <s v="Incompleta"/>
    <s v="Posgrado"/>
    <s v="FACULTAD DE PSICOLOGÍA"/>
    <s v="https://ProfCatedra2024.sawtoothsoftware.com/cgi-bin/ciwweb.pl?studyname=ProfCatedra2024&amp;Correo=silvana.ahumada@unisabana.edu.co04"/>
  </r>
  <r>
    <s v="juancn@unisabana.edu.co"/>
    <s v="juancn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juancn@unisabana.edu.co07"/>
  </r>
  <r>
    <s v="andres.ortiz9@unisabana.edu.co"/>
    <s v="andres.ortiz9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andres.ortiz9@unisabana.edu.co07"/>
  </r>
  <r>
    <s v="eugenio.valderrama@unisabana.edu.co"/>
    <s v="eugenio.valderrama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eugenio.valderrama@unisabana.edu.co07"/>
  </r>
  <r>
    <s v="jesus.girado@unisabana.edu.co"/>
    <s v="jesus.girado@unisabana.edu.co07"/>
    <s v="Doctorado en PsicologÃ­a"/>
    <x v="119"/>
    <x v="0"/>
    <x v="1"/>
    <s v="Incompleta"/>
    <s v="Posgrado"/>
    <s v="FACULTAD DE PSICOLOGÍA"/>
    <s v="https://ProfCatedra2024.sawtoothsoftware.com/cgi-bin/ciwweb.pl?studyname=ProfCatedra2024&amp;Correo=jesus.girado@unisabana.edu.co07"/>
  </r>
  <r>
    <s v="catalina.velandia@unisabana.edu.co"/>
    <s v="catalina.velandia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catalina.velandia@unisabana.edu.co07"/>
  </r>
  <r>
    <s v="jorge.leyva1@unisabana.edu.co"/>
    <s v="jorge.leyva1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jorge.leyva1@unisabana.edu.co07"/>
  </r>
  <r>
    <s v="luis.paz@unisabana.edu.co"/>
    <s v="luis.paz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luis.paz@unisabana.edu.co07"/>
  </r>
  <r>
    <s v="maria.urbina2@unisabana.edu.co"/>
    <s v="maria.urbina2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maria.urbina2@unisabana.edu.co07"/>
  </r>
  <r>
    <s v="nicolas.rodriguez5@unisabana.edu.co"/>
    <s v="nicolas.rodriguez5@unisabana.edu.co07"/>
    <s v="MAESTRÃA EN PSICOLOGÃA CLINICA DE LA NIÃ‘EZ Y LA ADOLESCENCIA"/>
    <x v="120"/>
    <x v="0"/>
    <x v="1"/>
    <s v="Incompleta"/>
    <s v="Posgrado"/>
    <s v="FACULTAD DE PSICOLOGÍA"/>
    <s v="https://ProfCatedra2024.sawtoothsoftware.com/cgi-bin/ciwweb.pl?studyname=ProfCatedra2024&amp;Correo=nicolas.rodriguez5@unisabana.edu.co07"/>
  </r>
  <r>
    <s v="william.moscoso@unisabana.edu.co"/>
    <s v="william.moscoso@unisabana.edu.co07"/>
    <s v="ESPECIALIZACIÃ“N EN GERENCIA ESTRATÃ‰GICA CHÃA"/>
    <x v="54"/>
    <x v="0"/>
    <x v="1"/>
    <e v="#N/A"/>
    <s v="Posgrado"/>
    <s v="INSTITUTO FORUM"/>
    <s v="https://ProfCatedra2024.sawtoothsoftware.com/cgi-bin/ciwweb.pl?studyname=ProfCatedra2024&amp;Correo=william.moscoso@unisabana.edu.co07"/>
  </r>
  <r>
    <s v="cesar.parada@unisabana.edu.co"/>
    <s v="cesar.parada@unisabana.edu.co07"/>
    <s v="ESPECIALIZACIÃ“N EN EMPRENDIMIENTO Y NEGOCIOS DIGITALES- CHÃA"/>
    <x v="0"/>
    <x v="0"/>
    <x v="0"/>
    <e v="#N/A"/>
    <s v="Posgrado"/>
    <s v="INSTITUTO FORUM"/>
    <s v="https://ProfCatedra2024.sawtoothsoftware.com/cgi-bin/ciwweb.pl?studyname=ProfCatedra2024&amp;Correo=cesar.parada@unisabana.edu.co07"/>
  </r>
  <r>
    <s v="adner.capachero@unisabana.edu.co"/>
    <s v="adner.capachero@unisabana.edu.co02"/>
    <s v="ESPECIALIZACIï¿½N EN GERENCIA LOGï¿½STICA - CHï¿½A"/>
    <x v="109"/>
    <x v="1"/>
    <x v="2"/>
    <s v="Incompleta"/>
    <s v="Posgrado"/>
    <s v="INSTITUTO FORUM"/>
    <s v="https://ProfPlanta2024.sawtoothsoftware.com/cgi-bin/ciwweb.pl?studyname=ProfPlanta2024&amp;Correo=adner.capachero@unisabana.edu.co02"/>
  </r>
  <r>
    <s v="adriana.castellanos@unisabana.edu.co"/>
    <s v="adriana.castellanos@unisabana.edu.co01"/>
    <s v="MAESTRï¿½A EN ENFERMERï¿½A - VIRTUAL"/>
    <x v="13"/>
    <x v="1"/>
    <x v="2"/>
    <s v="Incompleta"/>
    <s v="Posgrado"/>
    <s v="FACULTAD DE ENFERMERÍA Y REHABILITACIÓN"/>
    <s v="https://ProfPlanta2024.sawtoothsoftware.com/cgi-bin/ciwweb.pl?studyname=ProfPlanta2024&amp;Correo=adriana.castellanos@unisabana.edu.co01"/>
  </r>
  <r>
    <s v="adriana.castellanos@unisabana.edu.co"/>
    <s v="adriana.castellanos@unisabana.edu.co02"/>
    <s v="MAESTRï¿½A EN FISIOTERAPIA"/>
    <x v="121"/>
    <x v="1"/>
    <x v="2"/>
    <s v="Incompleta"/>
    <s v="Posgrado"/>
    <s v="FACULTAD DE ENFERMERÍA Y REHABILITACIÓN"/>
    <s v="https://ProfPlanta2024.sawtoothsoftware.com/cgi-bin/ciwweb.pl?studyname=ProfPlanta2024&amp;Correo=adriana.castellanos@unisabana.edu.co02"/>
  </r>
  <r>
    <s v="alejandra.fuentes@unisabana.edu.co"/>
    <s v="alejandra.fuentes@unisabana.edu.co02"/>
    <s v="MAESTRï¿½A EN ENFERMERï¿½A"/>
    <x v="12"/>
    <x v="1"/>
    <x v="2"/>
    <s v="Incompleta"/>
    <s v="Posgrado"/>
    <s v="FACULTAD DE ENFERMERÍA Y REHABILITACIÓN"/>
    <s v="https://ProfPlanta2024.sawtoothsoftware.com/cgi-bin/ciwweb.pl?studyname=ProfPlanta2024&amp;Correo=alejandra.fuentes@unisabana.edu.co02"/>
  </r>
  <r>
    <s v="alejandra.fuentes@unisabana.edu.co"/>
    <s v="alejandra.fuentes@unisabana.edu.co03"/>
    <s v="MAESTRï¿½A EN ENFERMERï¿½A - VIRTUAL"/>
    <x v="13"/>
    <x v="1"/>
    <x v="2"/>
    <s v="Incompleta"/>
    <s v="Posgrado"/>
    <s v="FACULTAD DE ENFERMERÍA Y REHABILITACIÓN"/>
    <s v="https://ProfPlanta2024.sawtoothsoftware.com/cgi-bin/ciwweb.pl?studyname=ProfPlanta2024&amp;Correo=alejandra.fuentes@unisabana.edu.co03"/>
  </r>
  <r>
    <s v="alexandra.jimenez1@unisabana.edu.co"/>
    <s v="alexandra.jimenez1@unisabana.edu.co01"/>
    <s v="Especializaciï¿½n en Gerencia Comercial - Barranquilla"/>
    <x v="122"/>
    <x v="0"/>
    <x v="2"/>
    <s v="Incompleta"/>
    <s v="Posgrado"/>
    <s v="INSTITUTO FORUM"/>
    <s v="https://ProfCatedra2024.sawtoothsoftware.com/cgi-bin/ciwweb.pl?studyname=ProfCatedra2024&amp;Correo=alexandra.jimenez1@unisabana.edu.co01"/>
  </r>
  <r>
    <s v="alexandra.jimenez1@unisabana.edu.co"/>
    <s v="alexandra.jimenez1@unisabana.edu.co02"/>
    <s v="Especializaciï¿½n en Gerencia del Servicio - Chï¿½a"/>
    <x v="7"/>
    <x v="0"/>
    <x v="2"/>
    <s v="Incompleta"/>
    <s v="Posgrado"/>
    <s v="INSTITUTO FORUM"/>
    <s v="https://ProfCatedra2024.sawtoothsoftware.com/cgi-bin/ciwweb.pl?studyname=ProfCatedra2024&amp;Correo=alexandra.jimenez1@unisabana.edu.co02"/>
  </r>
  <r>
    <s v="andres.cardona1@unisabana.edu.co"/>
    <s v="andres.cardona1@unisabana.edu.co01"/>
    <s v="Maestrï¿½a en Analï¿½tica Aplicada - Chï¿½a"/>
    <x v="18"/>
    <x v="0"/>
    <x v="2"/>
    <s v="Incompleta"/>
    <s v="Posgrado"/>
    <s v="FACULTAD DE INGENIERÍA"/>
    <s v="https://ProfCatedra2024.sawtoothsoftware.com/cgi-bin/ciwweb.pl?studyname=ProfCatedra2024&amp;Correo=andres.cardona1@unisabana.edu.co01"/>
  </r>
  <r>
    <s v="andres.cardona1@unisabana.edu.co"/>
    <s v="andres.cardona1@unisabana.edu.co02"/>
    <s v="Maestrï¿½a en Diseï¿½o y Gestiï¿½n de Procesos - Chï¿½a"/>
    <x v="97"/>
    <x v="0"/>
    <x v="2"/>
    <s v="Incompleta"/>
    <s v="Posgrado"/>
    <s v="FACULTAD DE INGENIERÍA"/>
    <s v="https://ProfCatedra2024.sawtoothsoftware.com/cgi-bin/ciwweb.pl?studyname=ProfCatedra2024&amp;Correo=andres.cardona1@unisabana.edu.co02"/>
  </r>
  <r>
    <s v="andres.carreno@unisabana.edu.co"/>
    <s v="andres.carreno@Unisabana.edu.co02"/>
    <s v="Maestrï¿½a en Pedagogï¿½a - Neiva"/>
    <x v="81"/>
    <x v="0"/>
    <x v="0"/>
    <s v="Incompleta"/>
    <s v="Posgrado"/>
    <s v="FACULTAD DE EDUCACIÓN"/>
    <s v="https://ProfCatedra2024.sawtoothsoftware.com/cgi-bin/ciwweb.pl?studyname=ProfCatedra2024&amp;Correo=andres.carreno@Unisabana.edu.co02"/>
  </r>
  <r>
    <s v="angela.trujillo@unisabana.edu.co"/>
    <s v="angela.trujillo@unisabana.edu.co01"/>
    <s v="MAESTRIA EN PSICOLOGIA"/>
    <x v="123"/>
    <x v="1"/>
    <x v="2"/>
    <s v="Incompleta"/>
    <s v="Posgrado"/>
    <s v="FACULTAD DE PSICOLOGÍA"/>
    <s v="https://ProfPlanta2024.sawtoothsoftware.com/cgi-bin/ciwweb.pl?studyname=ProfPlanta2024&amp;Correo=angela.trujillo@unisabana.edu.co01"/>
  </r>
  <r>
    <s v="juan.ulloa1@unisabana.edu.co"/>
    <s v="juan.ulloa1@unisabana.edu.co1"/>
    <s v="INNOVACIï¿½N Y EMPRENDIMIENTO"/>
    <x v="58"/>
    <x v="0"/>
    <x v="0"/>
    <s v="Completa"/>
    <s v="Pregrado"/>
    <s v="ESCUELA INTERNACIONAL DE CIENCIAS ECONÓMICAS Y ADMINISTRATIVAS"/>
    <s v="https://ProfCatedra2024.sawtoothsoftware.com/cgi-bin/ciwweb.pl?studyname=ProfCatedra2024&amp;Correo=juan.ulloa1@unisabana.edu.co1"/>
  </r>
  <r>
    <s v="carlos.monroy@unisabana.edu.co"/>
    <s v="carlos.monroy@unisabana.edu.co01"/>
    <s v="MAESTRï¿½A EN GERENCIA Y DESARROLLO DE PERSONAS"/>
    <x v="65"/>
    <x v="1"/>
    <x v="2"/>
    <s v="Incompleta"/>
    <s v="Posgrado"/>
    <s v="FACULTAD DE PSICOLOGÍA"/>
    <s v="https://ProfPlanta2024.sawtoothsoftware.com/cgi-bin/ciwweb.pl?studyname=ProfPlanta2024&amp;Correo=carlos.monroy@unisabana.edu.co01"/>
  </r>
  <r>
    <s v="carlos.monroy@unisabana.edu.co"/>
    <s v="carlos.monroy@unisabana.edu.co07"/>
    <s v="MAESTRÃA EN PSICOLOGÃA CLINICA DE LA NIÃ‘EZ Y LA ADOLESCENCIA"/>
    <x v="120"/>
    <x v="1"/>
    <x v="2"/>
    <s v="Incompleta"/>
    <s v="Posgrado"/>
    <s v="FACULTAD DE PSICOLOGÍA"/>
    <s v="https://ProfPlanta2024.sawtoothsoftware.com/cgi-bin/ciwweb.pl?studyname=ProfPlanta2024&amp;Correo=carlos.monroy@unisabana.edu.co07"/>
  </r>
  <r>
    <s v="davendanosura@gmail.com"/>
    <s v="DAVENDANOSURA@GMAIL.COM2"/>
    <s v="Especializaciï¿½n en Seguros y Seguridad Social - Chï¿½a"/>
    <x v="89"/>
    <x v="0"/>
    <x v="2"/>
    <s v="Incompleta"/>
    <s v="Posgrado"/>
    <s v="FACULTAD DE DERECHO Y CIENCIAS POLÍTICAS"/>
    <s v="https://ProfCatedra2024.sawtoothsoftware.com/cgi-bin/ciwweb.pl?studyname=ProfCatedra2024&amp;Correo=DAVENDANOSURA@GMAIL.COM2"/>
  </r>
  <r>
    <s v="deisy.quiroz@unisabana.edu.co"/>
    <s v="deisy.quiroz@unisabana.edu.co1"/>
    <s v="COMUNICACIï¿½N AUDIOVISUAL Y MULTIMEDIOS"/>
    <x v="23"/>
    <x v="0"/>
    <x v="2"/>
    <s v="Incompleta"/>
    <s v="Pregrado"/>
    <s v="FACULTAD DE COMUNICACIÓN"/>
    <s v="https://ProfCatedra2024.sawtoothsoftware.com/cgi-bin/ciwweb.pl?studyname=ProfCatedra2024&amp;Correo=deisy.quiroz@unisabana.edu.co1"/>
  </r>
  <r>
    <s v="juana.jaramillo@unisabana.edu.co"/>
    <s v="juana.jaramillo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juana.jaramillo@unisabana.edu.co01"/>
  </r>
  <r>
    <s v="sergio.torres_cont@unisabana.edu.co"/>
    <s v="sergio.torres_cont@unisabana.edu.co01"/>
    <s v="Maestrï¿½a en Gerencia de la Innovaciï¿½n"/>
    <x v="67"/>
    <x v="0"/>
    <x v="0"/>
    <s v="Incompleta"/>
    <s v="Posgrado"/>
    <s v="ESCUELA INTERNACIONAL DE CIENCIAS ECONÓMICAS Y ADMINISTRATIVAS"/>
    <s v="https://ProfCatedra2024.sawtoothsoftware.com/cgi-bin/ciwweb.pl?studyname=ProfCatedra2024&amp;Correo=sergio.torres_cont@unisabana.edu.co01"/>
  </r>
  <r>
    <s v="deisy.quiroz@unisabana.edu.co"/>
    <s v="deisy.quiroz@unisabana.edu.co3"/>
    <s v="COMUNICACIï¿½N CORPORATIVA"/>
    <x v="43"/>
    <x v="0"/>
    <x v="2"/>
    <s v="Incompleta"/>
    <s v="Pregrado"/>
    <s v="FACULTAD DE COMUNICACIÓN"/>
    <s v="https://ProfCatedra2024.sawtoothsoftware.com/cgi-bin/ciwweb.pl?studyname=ProfCatedra2024&amp;Correo=deisy.quiroz@unisabana.edu.co3"/>
  </r>
  <r>
    <s v="doraat@unisabana.edu.co"/>
    <s v="Doraat@unisabana.edu.co02"/>
    <s v="Especializaciï¿½n en Gerencia del Servicio - Chï¿½a"/>
    <x v="7"/>
    <x v="0"/>
    <x v="2"/>
    <s v="Incompleta"/>
    <s v="Posgrado"/>
    <s v="INSTITUTO FORUM"/>
    <s v="https://ProfCatedra2024.sawtoothsoftware.com/cgi-bin/ciwweb.pl?studyname=ProfCatedra2024&amp;Correo=Doraat@unisabana.edu.co02"/>
  </r>
  <r>
    <s v="doraat@unisabana.edu.co"/>
    <s v="Doraat@unisabana.edu.co03"/>
    <s v="Especializaciï¿½n en Gerencia Logï¿½stica - Bogotï¿½"/>
    <x v="85"/>
    <x v="0"/>
    <x v="2"/>
    <s v="Incompleta"/>
    <s v="Posgrado"/>
    <s v="INSTITUTO FORUM"/>
    <s v="https://ProfCatedra2024.sawtoothsoftware.com/cgi-bin/ciwweb.pl?studyname=ProfCatedra2024&amp;Correo=Doraat@unisabana.edu.co03"/>
  </r>
  <r>
    <s v="flor.baracaldo@unisabana.edu.co"/>
    <s v="flor.baracaldo@unisabana.edu.co01"/>
    <s v="MAESTRï¿½A EN GERENCIA Y DESARROLLO DE PERSONAS"/>
    <x v="65"/>
    <x v="1"/>
    <x v="2"/>
    <s v="Incompleta"/>
    <s v="Posgrado"/>
    <s v="FACULTAD DE PSICOLOGÍA"/>
    <s v="https://ProfPlanta2024.sawtoothsoftware.com/cgi-bin/ciwweb.pl?studyname=ProfPlanta2024&amp;Correo=flor.baracaldo@unisabana.edu.co01"/>
  </r>
  <r>
    <s v="gabriela.atehortua@unisabana.edu.co"/>
    <s v="gabriela.atehortua@unisabana.edu.co03"/>
    <s v="MAESTRï¿½A EN PROYECTOS EDUCATIVOS MEDIADOS POR TIC"/>
    <x v="124"/>
    <x v="0"/>
    <x v="2"/>
    <s v="Incompleta"/>
    <s v="Posgrado"/>
    <s v="FACULTAD DE EDUCACIÓN"/>
    <s v="https://ProfCatedra2024.sawtoothsoftware.com/cgi-bin/ciwweb.pl?studyname=ProfCatedra2024&amp;Correo=gabriela.atehortua@unisabana.edu.co03"/>
  </r>
  <r>
    <s v="luis.maria@unisabana.edu.co"/>
    <s v="luis.maria@unisabana.edu.co02"/>
    <s v="Especializaciï¿½n en Gerencia Financiera Internacional - Chia"/>
    <x v="75"/>
    <x v="0"/>
    <x v="0"/>
    <s v="Incompleta"/>
    <s v="Posgrado"/>
    <s v="INSTITUTO FORUM"/>
    <s v="https://ProfCatedra2024.sawtoothsoftware.com/cgi-bin/ciwweb.pl?studyname=ProfCatedra2024&amp;Correo=luis.maria@unisabana.edu.co02"/>
  </r>
  <r>
    <s v="ingri.moreno@unisabana.edu.co"/>
    <s v="ingri.moreno@unisabana.edu.co1"/>
    <s v="LICENCIATURA EN CIENCIAS NATURALES"/>
    <x v="3"/>
    <x v="0"/>
    <x v="2"/>
    <s v="Incompleta"/>
    <s v="Pregrado"/>
    <s v="FACULTAD DE EDUCACIÓN"/>
    <s v="https://ProfCatedra2024.sawtoothsoftware.com/cgi-bin/ciwweb.pl?studyname=ProfCatedra2024&amp;Correo=ingri.moreno@unisabana.edu.co1"/>
  </r>
  <r>
    <s v="jaime.rodriguez3@unisabana.edu.co"/>
    <s v="Jaime.Rodriguez3@unisabana.edu.co01"/>
    <s v="MAESTRï¿½A EN GERENCIA Y DESARROLLO DE PERSONAS"/>
    <x v="65"/>
    <x v="0"/>
    <x v="2"/>
    <s v="Incompleta"/>
    <s v="Posgrado"/>
    <s v="FACULTAD DE PSICOLOGÍA"/>
    <s v="https://ProfCatedra2024.sawtoothsoftware.com/cgi-bin/ciwweb.pl?studyname=ProfCatedra2024&amp;Correo=Jaime.Rodriguez3@unisabana.edu.co01"/>
  </r>
  <r>
    <s v="jeronimo.garcia@unisabana.edu.co"/>
    <s v="jeronimo.garcia@unisabana.edu.co2"/>
    <s v="COMUNICACIï¿½N SOCIAL Y PERIODISMO"/>
    <x v="15"/>
    <x v="0"/>
    <x v="2"/>
    <s v="Incompleta"/>
    <s v="Pregrado"/>
    <s v="FACULTAD DE COMUNICACIÓN"/>
    <s v="https://ProfCatedra2024.sawtoothsoftware.com/cgi-bin/ciwweb.pl?studyname=ProfCatedra2024&amp;Correo=jeronimo.garcia@unisabana.edu.co2"/>
  </r>
  <r>
    <s v="jose.castano@unisabana.edu.co"/>
    <s v="jose.castano@unisabana.edu.co01"/>
    <s v="MAESTRï¿½A EN DIRECCIï¿½N Y GESTIï¿½N DE INSTITUCIONES EDUCATIVAS"/>
    <x v="62"/>
    <x v="0"/>
    <x v="2"/>
    <s v="Incompleta"/>
    <s v="Posgrado"/>
    <s v="FACULTAD DE EDUCACIÓN"/>
    <s v="https://ProfCatedra2024.sawtoothsoftware.com/cgi-bin/ciwweb.pl?studyname=ProfCatedra2024&amp;Correo=jose.castano@unisabana.edu.co01"/>
  </r>
  <r>
    <s v="jose.rodriguez3@unisabana.edu.co"/>
    <s v="jose.rodriguez3@unisabana.edu.co2"/>
    <s v="DERECHO"/>
    <x v="22"/>
    <x v="1"/>
    <x v="2"/>
    <s v="Incompleta"/>
    <s v="Pregrado"/>
    <s v="FACULTAD DE DERECHO Y CIENCIAS POLÍTICAS"/>
    <s v="https://ProfPlanta2024.sawtoothsoftware.com/cgi-bin/ciwweb.pl?studyname=ProfPlanta2024&amp;Correo=jose.rodriguez3@unisabana.edu.co2"/>
  </r>
  <r>
    <s v="juan.cardenas4@unisabana.edu.co"/>
    <s v="juan.cardenas4@unisabana.edu.co2"/>
    <s v="COMUNICACIï¿½N SOCIAL Y PERIODISMO"/>
    <x v="15"/>
    <x v="1"/>
    <x v="2"/>
    <s v="Incompleta"/>
    <s v="Pregrado"/>
    <s v="FACULTAD DE COMUNICACIÓN"/>
    <s v="https://ProfPlanta2024.sawtoothsoftware.com/cgi-bin/ciwweb.pl?studyname=ProfPlanta2024&amp;Correo=juan.cardenas4@unisabana.edu.co2"/>
  </r>
  <r>
    <s v="sergio.torres_cont@unisabana.edu.co"/>
    <s v="sergio.torres_cont@unisabana.edu.co04"/>
    <s v="MAESTRï¿½A EN GERENCIA Y DESARROLLO DE PERSONAS"/>
    <x v="65"/>
    <x v="0"/>
    <x v="0"/>
    <s v="Incompleta"/>
    <s v="Posgrado"/>
    <s v="FACULTAD DE PSICOLOGÍA"/>
    <s v="https://ProfCatedra2024.sawtoothsoftware.com/cgi-bin/ciwweb.pl?studyname=ProfCatedra2024&amp;Correo=sergio.torres_cont@unisabana.edu.co04"/>
  </r>
  <r>
    <s v="juan.cardenas4@unisabana.edu.co"/>
    <s v="juan.cardenas4@unisabana.edu.co3"/>
    <s v="COMUNICACIï¿½N CORPORATIVA"/>
    <x v="43"/>
    <x v="1"/>
    <x v="2"/>
    <s v="Incompleta"/>
    <s v="Pregrado"/>
    <s v="FACULTAD DE COMUNICACIÓN"/>
    <s v="https://ProfPlanta2024.sawtoothsoftware.com/cgi-bin/ciwweb.pl?studyname=ProfPlanta2024&amp;Correo=juan.cardenas4@unisabana.edu.co3"/>
  </r>
  <r>
    <s v="juan.enciso2@unisabana.edu.co"/>
    <s v="juan.enciso2@unisabana.edu.co02"/>
    <s v="Especializaciï¿½n en Pedagogï¿½a e Investigaciï¿½n en el Aula - Virtual"/>
    <x v="94"/>
    <x v="0"/>
    <x v="0"/>
    <s v="Incompleta"/>
    <s v="Posgrado"/>
    <s v="FACULTAD DE EDUCACIÓN"/>
    <s v="https://ProfCatedra2024.sawtoothsoftware.com/cgi-bin/ciwweb.pl?studyname=ProfCatedra2024&amp;Correo=juan.enciso2@unisabana.edu.co02"/>
  </r>
  <r>
    <s v="julian.carreno@unisabana.edu.co"/>
    <s v="Julian.Carreno@unisabana.edu.co2"/>
    <s v="COMUNICACIï¿½N SOCIAL Y PERIODISMO"/>
    <x v="15"/>
    <x v="1"/>
    <x v="2"/>
    <s v="Incompleta"/>
    <s v="Pregrado"/>
    <s v="FACULTAD DE COMUNICACIÓN"/>
    <s v="https://ProfPlanta2024.sawtoothsoftware.com/cgi-bin/ciwweb.pl?studyname=ProfPlanta2024&amp;Correo=Julian.Carreno@unisabana.edu.co2"/>
  </r>
  <r>
    <s v="julian.carreno@unisabana.edu.co"/>
    <s v="Julian.Carreno@unisabana.edu.co3"/>
    <s v="COMUNICACIï¿½N CORPORATIVA"/>
    <x v="43"/>
    <x v="1"/>
    <x v="2"/>
    <s v="Incompleta"/>
    <s v="Pregrado"/>
    <s v="FACULTAD DE COMUNICACIÓN"/>
    <s v="https://ProfPlanta2024.sawtoothsoftware.com/cgi-bin/ciwweb.pl?studyname=ProfPlanta2024&amp;Correo=Julian.Carreno@unisabana.edu.co3"/>
  </r>
  <r>
    <s v="laura.carreno@unisabana.edu.co"/>
    <s v="laura.carreno@unisabana.edu.co1"/>
    <s v="LICENCIATURA EN EDUCACIï¿½N INFANTIL"/>
    <x v="34"/>
    <x v="1"/>
    <x v="2"/>
    <s v="Incompleta"/>
    <s v="Pregrado"/>
    <s v="FACULTAD DE EDUCACIÓN"/>
    <s v="https://ProfPlanta2024.sawtoothsoftware.com/cgi-bin/ciwweb.pl?studyname=ProfPlanta2024&amp;Correo=laura.carreno@unisabana.edu.co1"/>
  </r>
  <r>
    <s v="lida.isaza@unisabana.edu.co"/>
    <s v="lida.isaza@unisabana.edu.co2"/>
    <s v="LICENCIATURA EN CIENCIAS NATURALES"/>
    <x v="3"/>
    <x v="0"/>
    <x v="2"/>
    <s v="Incompleta"/>
    <s v="Pregrado"/>
    <s v="FACULTAD DE EDUCACIÓN"/>
    <s v="https://ProfCatedra2024.sawtoothsoftware.com/cgi-bin/ciwweb.pl?studyname=ProfCatedra2024&amp;Correo=lida.isaza@unisabana.edu.co2"/>
  </r>
  <r>
    <s v="liliana.paredes@unisabana.edu.co"/>
    <s v="liliana.paredes@unisabana.edu.co2"/>
    <s v="COMUNICACIï¿½N SOCIAL Y PERIODISMO"/>
    <x v="15"/>
    <x v="1"/>
    <x v="2"/>
    <s v="Incompleta"/>
    <s v="Pregrado"/>
    <s v="FACULTAD DE COMUNICACIÓN"/>
    <s v="https://ProfPlanta2024.sawtoothsoftware.com/cgi-bin/ciwweb.pl?studyname=ProfPlanta2024&amp;Correo=liliana.paredes@unisabana.edu.co2"/>
  </r>
  <r>
    <s v="luis.lopez10@unisabana.edu.co"/>
    <s v="luis.lopez10@unisabana.edu.co02"/>
    <s v="Especializaciï¿½n En Gerencia Estratï¿½gica - Bucaramanga"/>
    <x v="55"/>
    <x v="0"/>
    <x v="2"/>
    <s v="Incompleta"/>
    <s v="Posgrado"/>
    <s v="INSTITUTO FORUM"/>
    <s v="https://ProfCatedra2024.sawtoothsoftware.com/cgi-bin/ciwweb.pl?studyname=ProfCatedra2024&amp;Correo=luis.lopez10@unisabana.edu.co02"/>
  </r>
  <r>
    <s v="luis.parra2@unisabana.edu.co"/>
    <s v="luis.parra2@unisabana.edu.co1"/>
    <s v="CIENCIAS POLï¿½TICAS"/>
    <x v="68"/>
    <x v="0"/>
    <x v="2"/>
    <s v="Incompleta"/>
    <s v="Pregrado"/>
    <s v="FACULTAD DE DERECHO Y CIENCIAS POLÍTICAS"/>
    <s v="https://ProfCatedra2024.sawtoothsoftware.com/cgi-bin/ciwweb.pl?studyname=ProfCatedra2024&amp;Correo=luis.parra2@unisabana.edu.co1"/>
  </r>
  <r>
    <s v="luisaaa@unisabana.edu.co"/>
    <s v="Luisaaa@unisabana.edu.co01"/>
    <s v="MAESTRï¿½A EN DESARROLLO INFANTIL - CHIA"/>
    <x v="41"/>
    <x v="0"/>
    <x v="2"/>
    <s v="Incompleta"/>
    <s v="Posgrado"/>
    <s v="FACULTAD DE EDUCACIÓN"/>
    <s v="https://ProfCatedra2024.sawtoothsoftware.com/cgi-bin/ciwweb.pl?studyname=ProfCatedra2024&amp;Correo=Luisaaa@unisabana.edu.co01"/>
  </r>
  <r>
    <s v="luz.villalba@unisabana.edu.co"/>
    <s v="luz.villalba@unisabana.edu.co1"/>
    <s v="COMUNICACIï¿½N AUDIOVISUAL Y MULTIMEDIOS"/>
    <x v="23"/>
    <x v="1"/>
    <x v="2"/>
    <s v="Incompleta"/>
    <s v="Pregrado"/>
    <s v="FACULTAD DE COMUNICACIÓN"/>
    <s v="https://ProfPlanta2024.sawtoothsoftware.com/cgi-bin/ciwweb.pl?studyname=ProfPlanta2024&amp;Correo=luz.villalba@unisabana.edu.co1"/>
  </r>
  <r>
    <s v="luz.villalba@unisabana.edu.co"/>
    <s v="luz.villalba@unisabana.edu.co3"/>
    <s v="COMUNICACIï¿½N CORPORATIVA"/>
    <x v="43"/>
    <x v="1"/>
    <x v="2"/>
    <s v="Incompleta"/>
    <s v="Pregrado"/>
    <s v="FACULTAD DE COMUNICACIÓN"/>
    <s v="https://ProfPlanta2024.sawtoothsoftware.com/cgi-bin/ciwweb.pl?studyname=ProfPlanta2024&amp;Correo=luz.villalba@unisabana.edu.co3"/>
  </r>
  <r>
    <s v="manuel.rodriguez3@unisabana.edu.co"/>
    <s v="manuel.rodriguez3@unisabana.edu.co2"/>
    <s v="COMUNICACIï¿½N SOCIAL Y PERIODISMO"/>
    <x v="15"/>
    <x v="0"/>
    <x v="2"/>
    <s v="Incompleta"/>
    <s v="Pregrado"/>
    <s v="FACULTAD DE COMUNICACIÓN"/>
    <s v="https://ProfCatedra2024.sawtoothsoftware.com/cgi-bin/ciwweb.pl?studyname=ProfCatedra2024&amp;Correo=manuel.rodriguez3@unisabana.edu.co2"/>
  </r>
  <r>
    <s v="manuel.rodriguez3@unisabana.edu.co"/>
    <s v="manuel.rodriguez3@unisabana.edu.co3"/>
    <s v="COMUNICACIï¿½N CORPORATIVA"/>
    <x v="43"/>
    <x v="0"/>
    <x v="2"/>
    <s v="Incompleta"/>
    <s v="Pregrado"/>
    <s v="FACULTAD DE COMUNICACIÓN"/>
    <s v="https://ProfCatedra2024.sawtoothsoftware.com/cgi-bin/ciwweb.pl?studyname=ProfCatedra2024&amp;Correo=manuel.rodriguez3@unisabana.edu.co3"/>
  </r>
  <r>
    <s v="maria.arbelaez4@unisabana.edu.co"/>
    <s v="maria.arbelaez4@unisabana.edu.co1"/>
    <s v="COMUNICACIï¿½N AUDIOVISUAL Y MULTIMEDIOS"/>
    <x v="23"/>
    <x v="1"/>
    <x v="2"/>
    <s v="Incompleta"/>
    <s v="Pregrado"/>
    <s v="FACULTAD DE COMUNICACIÓN"/>
    <s v="https://ProfPlanta2024.sawtoothsoftware.com/cgi-bin/ciwweb.pl?studyname=ProfPlanta2024&amp;Correo=maria.arbelaez4@unisabana.edu.co1"/>
  </r>
  <r>
    <s v="maria.arbelaez4@unisabana.edu.co"/>
    <s v="maria.arbelaez4@unisabana.edu.co3"/>
    <s v="COMUNICACIï¿½N CORPORATIVA"/>
    <x v="43"/>
    <x v="1"/>
    <x v="2"/>
    <s v="Incompleta"/>
    <s v="Pregrado"/>
    <s v="FACULTAD DE COMUNICACIÓN"/>
    <s v="https://ProfPlanta2024.sawtoothsoftware.com/cgi-bin/ciwweb.pl?studyname=ProfPlanta2024&amp;Correo=maria.arbelaez4@unisabana.edu.co3"/>
  </r>
  <r>
    <s v="maria.castillo2@unisabana.edu.co"/>
    <s v="maria.castillo2@unisabana.edu.co02"/>
    <s v="MAESTRï¿½A EN PEDAGOGï¿½A - HUILA"/>
    <x v="81"/>
    <x v="0"/>
    <x v="2"/>
    <s v="Incompleta"/>
    <s v="Posgrado"/>
    <s v="FACULTAD DE EDUCACIÓN"/>
    <s v="https://ProfCatedra2024.sawtoothsoftware.com/cgi-bin/ciwweb.pl?studyname=ProfCatedra2024&amp;Correo=maria.castillo2@unisabana.edu.co02"/>
  </r>
  <r>
    <s v="maria.mejia2@unisabana.edu.co"/>
    <s v="maria.mejia2@unisabana.edu.co02"/>
    <s v="ESPECIALIZACION EN PSICOLOGIA EDUCATIVA"/>
    <x v="71"/>
    <x v="1"/>
    <x v="2"/>
    <s v="Incompleta"/>
    <s v="Posgrado"/>
    <s v="FACULTAD DE PSICOLOGÍA"/>
    <s v="https://ProfPlanta2024.sawtoothsoftware.com/cgi-bin/ciwweb.pl?studyname=ProfPlanta2024&amp;Correo=maria.mejia2@unisabana.edu.co02"/>
  </r>
  <r>
    <s v="maria.villar2@unisabana.edu.co"/>
    <s v="maria.villar2@unisabana.edu.co01"/>
    <s v="Especializaciï¿½n en Gerencia del Servicio - Chï¿½a"/>
    <x v="7"/>
    <x v="0"/>
    <x v="2"/>
    <s v="Incompleta"/>
    <s v="Posgrado"/>
    <s v="INSTITUTO FORUM"/>
    <s v="https://ProfCatedra2024.sawtoothsoftware.com/cgi-bin/ciwweb.pl?studyname=ProfCatedra2024&amp;Correo=maria.villar2@unisabana.edu.co01"/>
  </r>
  <r>
    <s v="rociohp@unisabana.edu.co"/>
    <s v="RocioHP@unisabana.edu.co01"/>
    <s v="ESPECIALIZACIï¿½N EN GERENCIA LOGï¿½STICA - CHï¿½A"/>
    <x v="109"/>
    <x v="1"/>
    <x v="2"/>
    <s v="Incompleta"/>
    <s v="Posgrado"/>
    <s v="INSTITUTO FORUM"/>
    <s v="https://ProfPlanta2024.sawtoothsoftware.com/cgi-bin/ciwweb.pl?studyname=ProfPlanta2024&amp;Correo=RocioHP@unisabana.edu.co01"/>
  </r>
  <r>
    <s v="rociohp@unisabana.edu.co"/>
    <s v="RocioHP@unisabana.edu.co02"/>
    <s v="ESPECIALIZACIï¿½N EN GESTIï¿½N PARA EL DESARROLLO HUMANO EN LA ORGANIZACIï¿½N - CHï¿½A"/>
    <x v="39"/>
    <x v="1"/>
    <x v="2"/>
    <s v="Incompleta"/>
    <s v="Posgrado"/>
    <s v="INSTITUTO FORUM"/>
    <s v="https://ProfPlanta2024.sawtoothsoftware.com/cgi-bin/ciwweb.pl?studyname=ProfPlanta2024&amp;Correo=RocioHP@unisabana.edu.co02"/>
  </r>
  <r>
    <s v="santiago.wills@unisabana.edu.co"/>
    <s v="santiago.wills@unisabana.edu.co2"/>
    <s v="COMUNICACIï¿½N SOCIAL Y PERIODISMO"/>
    <x v="15"/>
    <x v="0"/>
    <x v="2"/>
    <s v="Incompleta"/>
    <s v="Pregrado"/>
    <s v="FACULTAD DE COMUNICACIÓN"/>
    <s v="https://ProfCatedra2024.sawtoothsoftware.com/cgi-bin/ciwweb.pl?studyname=ProfCatedra2024&amp;Correo=santiago.wills@unisabana.edu.co2"/>
  </r>
  <r>
    <s v="sergio.torres_cont@unisabana.edu.co"/>
    <s v="sergio.torres_cont@unisabana.edu.co03"/>
    <s v="Maestrï¿½a en Gerencia Internacional"/>
    <x v="37"/>
    <x v="0"/>
    <x v="2"/>
    <s v="Incompleta"/>
    <s v="Posgrado"/>
    <s v="ESCUELA INTERNACIONAL DE CIENCIAS ECONÓMICAS Y ADMINISTRATIVAS"/>
    <s v="https://ProfCatedra2024.sawtoothsoftware.com/cgi-bin/ciwweb.pl?studyname=ProfCatedra2024&amp;Correo=sergio.torres_cont@unisabana.edu.co03"/>
  </r>
  <r>
    <s v="mikel.ibarra@unisabana.edu.co"/>
    <m/>
    <m/>
    <x v="125"/>
    <x v="0"/>
    <x v="2"/>
    <m/>
    <s v="Posgrado"/>
    <s v="INSTITUTO FORUM"/>
    <m/>
  </r>
  <r>
    <s v="mikel.ibarra@unisabana.edu.co"/>
    <m/>
    <m/>
    <x v="126"/>
    <x v="0"/>
    <x v="2"/>
    <m/>
    <s v="Posgrado"/>
    <s v="INSTITUTO FORUM"/>
    <m/>
  </r>
  <r>
    <s v="mikel.ibarra@unisabana.edu.co"/>
    <m/>
    <m/>
    <x v="55"/>
    <x v="0"/>
    <x v="2"/>
    <m/>
    <s v="Posgrado"/>
    <s v="INSTITUTO FORUM"/>
    <m/>
  </r>
  <r>
    <s v="mikel.ibarra@unisabana.edu.co"/>
    <m/>
    <m/>
    <x v="54"/>
    <x v="0"/>
    <x v="2"/>
    <m/>
    <s v="Posgrado"/>
    <s v="INSTITUTO FORUM"/>
    <m/>
  </r>
  <r>
    <s v="mikel.ibarra@unisabana.edu.co"/>
    <m/>
    <m/>
    <x v="52"/>
    <x v="0"/>
    <x v="2"/>
    <m/>
    <s v="Posgrado"/>
    <s v="INSTITUTO FORUM"/>
    <m/>
  </r>
  <r>
    <s v="mikel.ibarra@unisabana.edu.co"/>
    <m/>
    <m/>
    <x v="78"/>
    <x v="0"/>
    <x v="2"/>
    <m/>
    <s v="Posgrado"/>
    <s v="INSTITUTO FORUM"/>
    <m/>
  </r>
  <r>
    <s v="mikel.ibarra@unisabana.edu.co"/>
    <m/>
    <m/>
    <x v="127"/>
    <x v="0"/>
    <x v="2"/>
    <m/>
    <s v="Posgrado"/>
    <s v="INSTITUTO FORUM"/>
    <m/>
  </r>
  <r>
    <s v="jorge.martinez_cont@unisabana.edu.co"/>
    <m/>
    <m/>
    <x v="125"/>
    <x v="0"/>
    <x v="2"/>
    <m/>
    <s v="Posgrado"/>
    <s v="INSTITUTO FORUM"/>
    <m/>
  </r>
  <r>
    <s v="jorge.martinez_cont@unisabana.edu.co"/>
    <m/>
    <m/>
    <x v="126"/>
    <x v="0"/>
    <x v="2"/>
    <m/>
    <s v="Posgrado"/>
    <s v="INSTITUTO FORUM"/>
    <m/>
  </r>
  <r>
    <s v="jorge.martinez_cont@unisabana.edu.co"/>
    <m/>
    <m/>
    <x v="55"/>
    <x v="0"/>
    <x v="2"/>
    <m/>
    <s v="Posgrado"/>
    <s v="INSTITUTO FORUM"/>
    <m/>
  </r>
  <r>
    <s v="jorge.martinez_cont@unisabana.edu.co"/>
    <m/>
    <m/>
    <x v="54"/>
    <x v="0"/>
    <x v="2"/>
    <m/>
    <s v="Posgrado"/>
    <s v="INSTITUTO FORUM"/>
    <m/>
  </r>
  <r>
    <s v="jorge.martinez_cont@unisabana.edu.co"/>
    <m/>
    <m/>
    <x v="52"/>
    <x v="0"/>
    <x v="2"/>
    <m/>
    <s v="Posgrado"/>
    <s v="INSTITUTO FORUM"/>
    <m/>
  </r>
  <r>
    <s v="juanenco@unisabana.edu.co"/>
    <s v="juanenco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juanenco@unisabana.edu.co1"/>
  </r>
  <r>
    <s v="juanita.macias@unisabana.edu.co"/>
    <s v="juanita.macias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juanita.macias@unisabana.edu.co1"/>
  </r>
  <r>
    <s v="juanmordi@unisabana.edu.co"/>
    <s v="juanmordi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juanmordi@unisabana.edu.co1"/>
  </r>
  <r>
    <s v="juanrig@unisabana.edu.co"/>
    <s v="juanrig@unisabana.edu.co01"/>
    <s v="Especializaciï¿½n en Gerencia de Producciï¿½n y Operaciones  - Chia"/>
    <x v="113"/>
    <x v="0"/>
    <x v="0"/>
    <s v="Completa"/>
    <s v="Posgrado"/>
    <s v="INSTITUTO FORUM"/>
    <s v="https://ProfCatedra2024.sawtoothsoftware.com/cgi-bin/ciwweb.pl?studyname=ProfCatedra2024&amp;Correo=juanrig@unisabana.edu.co01"/>
  </r>
  <r>
    <s v="juansanari@unisabana.edu.co"/>
    <s v="juansanari@unisabana.edu.co01"/>
    <s v="Especializaciï¿½n en Gerencia Estratï¿½gica - Chia"/>
    <x v="54"/>
    <x v="0"/>
    <x v="0"/>
    <s v="Completa"/>
    <s v="Posgrado"/>
    <s v="INSTITUTO FORUM"/>
    <s v="https://ProfCatedra2024.sawtoothsoftware.com/cgi-bin/ciwweb.pl?studyname=ProfCatedra2024&amp;Correo=juansanari@unisabana.edu.co01"/>
  </r>
  <r>
    <s v="julia.diaz@unisabana.edu.co"/>
    <s v="julia.diaz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julia.diaz@unisabana.edu.co01"/>
  </r>
  <r>
    <s v="julia.diaz@unisabana.edu.co"/>
    <s v="julia.diaz@unisabana.edu.co02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julia.diaz@unisabana.edu.co02"/>
  </r>
  <r>
    <s v="julian.bohorquez@unisabana.edu.co"/>
    <s v="julian.bohorquez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julian.bohorquez@unisabana.edu.co1"/>
  </r>
  <r>
    <s v="julian.obando@unisabana.edu.co"/>
    <s v="julian.oband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julian.obando@unisabana.edu.co1"/>
  </r>
  <r>
    <s v="julian.urrea1@unisabana.edu.co"/>
    <s v="julian.urre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julian.urrea1@unisabana.edu.co1"/>
  </r>
  <r>
    <s v="juliana.cardona@unisabana.edu.co"/>
    <s v="juliana.cardona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juliana.cardona@unisabana.edu.co01"/>
  </r>
  <r>
    <s v="julieth.prieto1@unisabana.edu.co"/>
    <s v="julieth.prieto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julieth.prieto1@unisabana.edu.co1"/>
  </r>
  <r>
    <s v="karinalb_cont@unisabana.edu.co"/>
    <s v="karinalb_cont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karinalb_cont@unisabana.edu.co01"/>
  </r>
  <r>
    <s v="katherine.bauer1@unisabana.edu.co"/>
    <s v="katherine.bauer1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katherine.bauer1@unisabana.edu.co1"/>
  </r>
  <r>
    <s v="kelly.zarate1@unisabana.edu.co"/>
    <s v="kelly.zarate1@unisabana.edu.co01"/>
    <s v="Maestrï¿½a en Salud Pï¿½blica"/>
    <x v="70"/>
    <x v="0"/>
    <x v="0"/>
    <s v="Completa"/>
    <s v="Posgrado"/>
    <s v="FACULTAD DE MEDICINA"/>
    <s v="https://ProfCatedra2024.sawtoothsoftware.com/cgi-bin/ciwweb.pl?studyname=ProfCatedra2024&amp;Correo=kelly.zarate1@unisabana.edu.co01"/>
  </r>
  <r>
    <s v="kelly.zarate1@unisabana.edu.co"/>
    <s v="kelly.zarate1@unisabana.edu.co1"/>
    <s v="MEDICINA"/>
    <x v="4"/>
    <x v="0"/>
    <x v="0"/>
    <s v="Completa"/>
    <s v="Pregrado"/>
    <s v="FACULTAD DE MEDICINA"/>
    <s v="https://ProfCatedra2024.sawtoothsoftware.com/cgi-bin/ciwweb.pl?studyname=ProfCatedra2024&amp;Correo=kelly.zarate1@unisabana.edu.co1"/>
  </r>
  <r>
    <s v="laura.avila3@unisabana.edu.co"/>
    <s v="laura.avila3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laura.avila3@unisabana.edu.co1"/>
  </r>
  <r>
    <s v="laura.mena1@unisabana.edu.co"/>
    <s v="laura.mena1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laura.mena1@unisabana.edu.co1"/>
  </r>
  <r>
    <s v="laura.rodriguez24@unisabana.edu.co"/>
    <s v="laura.rodriguez24@unisabana.edu.co1"/>
    <s v="MEDICINA"/>
    <x v="4"/>
    <x v="0"/>
    <x v="0"/>
    <s v="Completa"/>
    <s v="Pregrado"/>
    <s v="FACULTAD DE MEDICINA"/>
    <s v="https://ProfCatedra2024.sawtoothsoftware.com/cgi-bin/ciwweb.pl?studyname=ProfCatedra2024&amp;Correo=laura.rodriguez24@unisabana.edu.co1"/>
  </r>
  <r>
    <s v="lauraramro@unisabana.edu.co"/>
    <s v="lauraramro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auraramro@unisabana.edu.co1"/>
  </r>
  <r>
    <s v="leidy.contreras@unisabana.edu.co"/>
    <s v="leidy.contreras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idy.contreras@unisabana.edu.co1"/>
  </r>
  <r>
    <s v="leidy.gomez1@unisabana.edu.co"/>
    <s v="leidy.gomez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idy.gomez1@unisabana.edu.co1"/>
  </r>
  <r>
    <s v="leidy.martinez4@unisabana.edu.co"/>
    <s v="leidy.martinez4@unisabana.edu.co1"/>
    <s v="MEDICINA"/>
    <x v="4"/>
    <x v="0"/>
    <x v="0"/>
    <s v="Completa"/>
    <s v="Pregrado"/>
    <s v="FACULTAD DE MEDICINA"/>
    <s v="https://ProfCatedra2024.sawtoothsoftware.com/cgi-bin/ciwweb.pl?studyname=ProfCatedra2024&amp;Correo=leidy.martinez4@unisabana.edu.co1"/>
  </r>
  <r>
    <s v="leonardo.ariza@unisabana.edu.co"/>
    <s v="leonardo.ariza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leonardo.ariza@unisabana.edu.co1"/>
  </r>
  <r>
    <s v="leonardo.moya@unisabana.edu.co"/>
    <s v="leonardo.moy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eonardo.moya@unisabana.edu.co1"/>
  </r>
  <r>
    <s v="leslie.hernandez1@unisabana.edu.co"/>
    <s v="leslie.hernandez1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eslie.hernandez1@unisabana.edu.co1"/>
  </r>
  <r>
    <s v="libiaro@unisabana.edu.co"/>
    <s v="libiaro@unisabana.edu.co01"/>
    <s v="Especializaciï¿½n en Gerencia Comercial - Barranquilla"/>
    <x v="122"/>
    <x v="0"/>
    <x v="0"/>
    <s v="Completa"/>
    <s v="Posgrado"/>
    <s v="INSTITUTO FORUM"/>
    <s v="https://ProfCatedra2024.sawtoothsoftware.com/cgi-bin/ciwweb.pl?studyname=ProfCatedra2024&amp;Correo=libiaro@unisabana.edu.co01"/>
  </r>
  <r>
    <s v="libiaro@unisabana.edu.co"/>
    <s v="libiaro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libiaro@unisabana.edu.co02"/>
  </r>
  <r>
    <s v="libiaro@unisabana.edu.co"/>
    <s v="libiaro@unisabana.edu.co03"/>
    <s v="Especializaciï¿½n en Gerencia Estratï¿½gica de Marca  - Chia"/>
    <x v="118"/>
    <x v="0"/>
    <x v="0"/>
    <s v="Completa"/>
    <s v="Posgrado"/>
    <s v="INSTITUTO FORUM"/>
    <s v="https://ProfCatedra2024.sawtoothsoftware.com/cgi-bin/ciwweb.pl?studyname=ProfCatedra2024&amp;Correo=libiaro@unisabana.edu.co03"/>
  </r>
  <r>
    <s v="lida.isaza@unisabana.edu.co"/>
    <s v="lida.isaza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da.isaza@unisabana.edu.co1"/>
  </r>
  <r>
    <s v="lida.pena1@unisabana.edu.co"/>
    <s v="lida.pena1@unisabana.edu.co1"/>
    <s v="MEDICINA"/>
    <x v="4"/>
    <x v="0"/>
    <x v="0"/>
    <s v="Completa"/>
    <s v="Pregrado"/>
    <s v="FACULTAD DE MEDICINA"/>
    <s v="https://ProfCatedra2024.sawtoothsoftware.com/cgi-bin/ciwweb.pl?studyname=ProfCatedra2024&amp;Correo=lida.pena1@unisabana.edu.co1"/>
  </r>
  <r>
    <s v="lidapag@yahoo.com"/>
    <s v="LIDAPAG@YAHOO.COM1"/>
    <s v="Especializaciï¿½n en Responsabilidad Civil y del Estado - Chï¿½a"/>
    <x v="5"/>
    <x v="0"/>
    <x v="0"/>
    <s v="Completa"/>
    <s v="Posgrado"/>
    <s v="FACULTAD DE DERECHO Y CIENCIAS POLÍTICAS"/>
    <s v="https://ProfCatedra2024.sawtoothsoftware.com/cgi-bin/ciwweb.pl?studyname=ProfCatedra2024&amp;Correo=LIDAPAG@YAHOO.COM1"/>
  </r>
  <r>
    <s v="ligia.arevalo@unisabana.edu.co"/>
    <s v="ligia.arevalo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ligia.arevalo@unisabana.edu.co1"/>
  </r>
  <r>
    <s v="ligia.arevalo@unisabana.edu.co"/>
    <s v="ligia.arevalo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gia.arevalo@unisabana.edu.co2"/>
  </r>
  <r>
    <s v="liliana.amaya@unisabana.edu.co"/>
    <s v="liliana.amaya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iliana.amaya@unisabana.edu.co1"/>
  </r>
  <r>
    <s v="liliana.aponte@unisabana.edu.co"/>
    <s v="liliana.aponte@unisabana.edu.co01"/>
    <s v="Especializaciï¿½n en Gerencia Comercial - Chia"/>
    <x v="95"/>
    <x v="0"/>
    <x v="0"/>
    <s v="Completa"/>
    <s v="Posgrado"/>
    <s v="INSTITUTO FORUM"/>
    <s v="https://ProfCatedra2024.sawtoothsoftware.com/cgi-bin/ciwweb.pl?studyname=ProfCatedra2024&amp;Correo=liliana.aponte@unisabana.edu.co01"/>
  </r>
  <r>
    <s v="liliana.arias@unisabana.edu.co"/>
    <s v="liliana.arias@unisabana.edu.co01"/>
    <s v="DOCTORADO EN INNOVACIï¿½N EDUCATIVA CON USO DE TIC"/>
    <x v="128"/>
    <x v="0"/>
    <x v="0"/>
    <s v="Completa"/>
    <s v="Posgrado"/>
    <s v="FACULTAD DE EDUCACIÓN"/>
    <s v="https://ProfCatedra2024.sawtoothsoftware.com/cgi-bin/ciwweb.pl?studyname=ProfCatedra2024&amp;Correo=liliana.arias@unisabana.edu.co01"/>
  </r>
  <r>
    <s v="liliana.arias@unisabana.edu.co"/>
    <s v="liliana.arias@unisabana.edu.co02"/>
    <s v="MAESTRï¿½A EN DESARROLLO INFANTIL - CHIA"/>
    <x v="41"/>
    <x v="0"/>
    <x v="0"/>
    <s v="Completa"/>
    <s v="Posgrado"/>
    <s v="FACULTAD DE EDUCACIÓN"/>
    <s v="https://ProfCatedra2024.sawtoothsoftware.com/cgi-bin/ciwweb.pl?studyname=ProfCatedra2024&amp;Correo=liliana.arias@unisabana.edu.co02"/>
  </r>
  <r>
    <s v="liliana.arias@unisabana.edu.co"/>
    <s v="liliana.arias@unisabana.edu.co03"/>
    <s v="Maestrï¿½a en Pedagogï¿½a e Investigaciï¿½n en Aula - Virtual"/>
    <x v="108"/>
    <x v="0"/>
    <x v="0"/>
    <s v="Completa"/>
    <s v="Posgrado"/>
    <s v="FACULTAD DE EDUCACIÓN"/>
    <s v="https://ProfCatedra2024.sawtoothsoftware.com/cgi-bin/ciwweb.pl?studyname=ProfCatedra2024&amp;Correo=liliana.arias@unisabana.edu.co03"/>
  </r>
  <r>
    <s v="liliana.arias@unisabana.edu.co"/>
    <s v="liliana.arias@unisabana.edu.co04"/>
    <s v="MAESTRï¿½A EN PEDAGOGIA E INVESTIGACIï¿½N EN EL AULA"/>
    <x v="108"/>
    <x v="0"/>
    <x v="0"/>
    <s v="Completa"/>
    <s v="Posgrado"/>
    <s v="FACULTAD DE EDUCACIÓN"/>
    <s v="https://ProfCatedra2024.sawtoothsoftware.com/cgi-bin/ciwweb.pl?studyname=ProfCatedra2024&amp;Correo=liliana.arias@unisabana.edu.co04"/>
  </r>
  <r>
    <s v="liliana.garcia@clinicaunisabana.edu.co"/>
    <s v="liliana.garcia@clinicaunisabana.edu.co01"/>
    <s v="Especializaciï¿½n en Medicina Fï¿½sica y Rehabilitaciï¿½n"/>
    <x v="129"/>
    <x v="0"/>
    <x v="0"/>
    <s v="Completa"/>
    <s v="Posgrado"/>
    <s v="FACULTAD DE MEDICINA"/>
    <s v="https://ProfCatedra2024.sawtoothsoftware.com/cgi-bin/ciwweb.pl?studyname=ProfCatedra2024&amp;Correo=liliana.garcia@clinicaunisabana.edu.co01"/>
  </r>
  <r>
    <s v="liliana.rojas@unisabana.edu.co"/>
    <s v="liliana.rojas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iliana.rojas@unisabana.edu.co1"/>
  </r>
  <r>
    <s v="liliana.triana@unisabana.edu.co"/>
    <s v="liliana.triana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liliana.triana@unisabana.edu.co01"/>
  </r>
  <r>
    <s v="lilianapinillat@gmail.com"/>
    <s v="lilianapinillat@gmail.com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lilianapinillat@gmail.com1"/>
  </r>
  <r>
    <s v="lilianapo@unisabana.edu.co"/>
    <s v="Lilianap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Lilianapo@unisabana.edu.co1"/>
  </r>
  <r>
    <s v="lina.avella@unisabana.edu.co"/>
    <s v="lina.avella@unisabana.edu.co1"/>
    <s v="MEDICINA"/>
    <x v="4"/>
    <x v="0"/>
    <x v="0"/>
    <s v="Completa"/>
    <s v="Pregrado"/>
    <s v="FACULTAD DE MEDICINA"/>
    <s v="https://ProfCatedra2024.sawtoothsoftware.com/cgi-bin/ciwweb.pl?studyname=ProfCatedra2024&amp;Correo=lina.avella@unisabana.edu.co1"/>
  </r>
  <r>
    <s v="lina.gomez5@unisabana.edu.co"/>
    <s v="lina.gomez5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lina.gomez5@unisabana.edu.co01"/>
  </r>
  <r>
    <s v="lina.guio1@unisabana.edu.co"/>
    <s v="lina.guio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ina.guio1@unisabana.edu.co1"/>
  </r>
  <r>
    <s v="lina.ramirez1@unisabana.edu.co"/>
    <s v="lina.ramirez1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lina.ramirez1@unisabana.edu.co1"/>
  </r>
  <r>
    <s v="lina.rojas4@unisabana.edu.co"/>
    <s v="lina.rojas4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lina.rojas4@unisabana.edu.co1"/>
  </r>
  <r>
    <s v="lina.tellez@unisabana.edu.co"/>
    <s v="LINA.TELLEZ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1"/>
  </r>
  <r>
    <s v="lina.tellez@unisabana.edu.co"/>
    <s v="LINA.TELLEZ@UNISABANA.edu.co02"/>
    <s v="Maestrï¿½a en Gerencia de Operaciones"/>
    <x v="86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2"/>
  </r>
  <r>
    <s v="lina.tellez@unisabana.edu.co"/>
    <s v="LINA.TELLEZ@UNISABANA.edu.co03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3"/>
  </r>
  <r>
    <s v="lina.tellez@unisabana.edu.co"/>
    <s v="lina.tellez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lina.tellez@unisabana.edu.co1"/>
  </r>
  <r>
    <s v="lina.virviescas@unisabana.edu.co"/>
    <s v="lina.virviescas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lina.virviescas@unisabana.edu.co1"/>
  </r>
  <r>
    <s v="linaesve@unisabana.edu.co"/>
    <s v="linaesve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linaesve@unisabana.edu.co07"/>
  </r>
  <r>
    <s v="lindamarto@unisabana.edu.co"/>
    <s v="lindamart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lindamarto@unisabana.edu.co1"/>
  </r>
  <r>
    <s v="lisethesvi@unisabana.edu.co"/>
    <s v="lisethesvi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lisethesvi@unisabana.edu.co1"/>
  </r>
  <r>
    <s v="lucia.barbosa@unisabana.edu.co"/>
    <s v="lucia.barbosa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lucia.barbosa@unisabana.edu.co01"/>
  </r>
  <r>
    <s v="luis.baquero2@unisabana.edu.co"/>
    <s v="luis.baquero2@unisabana.edu.co01"/>
    <s v="MAESTRï¿½A EN EDUCACIï¿½N"/>
    <x v="130"/>
    <x v="0"/>
    <x v="0"/>
    <s v="Completa"/>
    <s v="Posgrado"/>
    <s v="FACULTAD DE EDUCACIÓN"/>
    <s v="https://ProfCatedra2024.sawtoothsoftware.com/cgi-bin/ciwweb.pl?studyname=ProfCatedra2024&amp;Correo=luis.baquero2@unisabana.edu.co01"/>
  </r>
  <r>
    <s v="luis.barrientos@unisabana.edu.co"/>
    <s v="luis.barrientos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uis.barrientos@unisabana.edu.co01"/>
  </r>
  <r>
    <s v="luis.caballero@unisabana.edu.co"/>
    <s v="luis.caballero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luis.caballero@unisabana.edu.co1"/>
  </r>
  <r>
    <s v="luis.camacho@unisabana.edu.co"/>
    <s v="luis.camacho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luis.camacho@unisabana.edu.co1"/>
  </r>
  <r>
    <s v="luis.garcia1@unisabana.edu.co"/>
    <s v="luis.garcia1@unisabana.edu.co1"/>
    <s v="CIENCIA DE DATOS"/>
    <x v="44"/>
    <x v="0"/>
    <x v="0"/>
    <s v="Completa"/>
    <s v="Pregrado"/>
    <s v="FACULTAD DE INGENIERÍA"/>
    <s v="https://ProfCatedra2024.sawtoothsoftware.com/cgi-bin/ciwweb.pl?studyname=ProfCatedra2024&amp;Correo=luis.garcia1@unisabana.edu.co1"/>
  </r>
  <r>
    <s v="luis.gomez@unisabana.edu.co"/>
    <s v="luis.gom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luis.gomez@unisabana.edu.co1"/>
  </r>
  <r>
    <s v="luis.gutierrez3@unisabana.edu.co"/>
    <s v="luis.gutierrez3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luis.gutierrez3@unisabana.edu.co01"/>
  </r>
  <r>
    <s v="luis.gutierrez3@unisabana.edu.co"/>
    <s v="luis.gutierrez3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luis.gutierrez3@unisabana.edu.co1"/>
  </r>
  <r>
    <s v="luis.jaimes@unisabana.edu.co"/>
    <s v="luis.jaimes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luis.jaimes@unisabana.edu.co1"/>
  </r>
  <r>
    <s v="luis.lopez10@unisabana.edu.co"/>
    <s v="luis.lopez10@unisabana.edu.co01"/>
    <s v="Especializaciï¿½n en Gerencia Estratï¿½gica - Barranquilla"/>
    <x v="126"/>
    <x v="0"/>
    <x v="0"/>
    <s v="Completa"/>
    <s v="Posgrado"/>
    <s v="INSTITUTO FORUM"/>
    <s v="https://ProfCatedra2024.sawtoothsoftware.com/cgi-bin/ciwweb.pl?studyname=ProfCatedra2024&amp;Correo=luis.lopez10@unisabana.edu.co01"/>
  </r>
  <r>
    <s v="luis.maria@unisabana.edu.co"/>
    <s v="luis.maria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luis.maria@unisabana.edu.co01"/>
  </r>
  <r>
    <s v="luis.parra2@unisabana.edu.co"/>
    <s v="luis.parra2@unisabana.edu.co2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luis.parra2@unisabana.edu.co2"/>
  </r>
  <r>
    <s v="luis.rodriguez2@unisabana.edu.co"/>
    <s v="luis.rodriguez2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luis.rodriguez2@unisabana.edu.co1"/>
  </r>
  <r>
    <s v="luis.silva2@unisabana.edu.co"/>
    <s v="luis.silva2@unisabana.edu.co03"/>
    <s v="Especializaciï¿½n en Gerencia de Proyectos con Enfoque en Habilidades Directivas - Bogotï¿½"/>
    <x v="93"/>
    <x v="0"/>
    <x v="0"/>
    <s v="Incompleta"/>
    <s v="Posgrado"/>
    <s v="INSTITUTO FORUM"/>
    <s v="https://ProfCatedra2024.sawtoothsoftware.com/cgi-bin/ciwweb.pl?studyname=ProfCatedra2024&amp;Correo=luis.silva2@unisabana.edu.co03"/>
  </r>
  <r>
    <s v="luis.uribe@unisabana.edu.co"/>
    <s v="luis.uribe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luis.uribe@unisabana.edu.co1"/>
  </r>
  <r>
    <s v="luisa.cuellar1@unisabana.edu.co"/>
    <s v="luisa.cuellar1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luisa.cuellar1@unisabana.edu.co1"/>
  </r>
  <r>
    <s v="luisa.garcia1@unisabana.edu.co"/>
    <s v="luisa.garcia1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luisa.garcia1@unisabana.edu.co1"/>
  </r>
  <r>
    <s v="luisa.villamil@unisabana.edu.co"/>
    <s v="luisa.villamil@unisabana.edu.co01"/>
    <s v="Doctorado en Biociencias"/>
    <x v="131"/>
    <x v="0"/>
    <x v="0"/>
    <s v="Completa"/>
    <s v="Posgrado"/>
    <s v="FACULTAD DE INGENIERÍA"/>
    <s v="https://ProfCatedra2024.sawtoothsoftware.com/cgi-bin/ciwweb.pl?studyname=ProfCatedra2024&amp;Correo=luisa.villamil@unisabana.edu.co01"/>
  </r>
  <r>
    <s v="luisa.zapata1@unisabana.edu.co"/>
    <s v="luisa.zapata1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luisa.zapata1@unisabana.edu.co01"/>
  </r>
  <r>
    <s v="luisaaa@unisabana.edu.co"/>
    <s v="Luisaaa@unisabana.edu.co02"/>
    <s v="MAESTRï¿½A EN DESARROLLO INFANTIL - RIOHACHA"/>
    <x v="42"/>
    <x v="0"/>
    <x v="0"/>
    <s v="Completa"/>
    <s v="Posgrado"/>
    <s v="FACULTAD DE EDUCACIÓN"/>
    <s v="https://ProfCatedra2024.sawtoothsoftware.com/cgi-bin/ciwweb.pl?studyname=ProfCatedra2024&amp;Correo=Luisaaa@unisabana.edu.co02"/>
  </r>
  <r>
    <s v="luisaaa@unisabana.edu.co"/>
    <s v="Luisaaa@unisabana.edu.co03"/>
    <s v="MAESTRï¿½A EN PROYECTOS EDUCATIVOS MEDIADOS POR TIC"/>
    <x v="124"/>
    <x v="0"/>
    <x v="0"/>
    <s v="Completa"/>
    <s v="Posgrado"/>
    <s v="FACULTAD DE EDUCACIÓN"/>
    <s v="https://ProfCatedra2024.sawtoothsoftware.com/cgi-bin/ciwweb.pl?studyname=ProfCatedra2024&amp;Correo=Luisaaa@unisabana.edu.co03"/>
  </r>
  <r>
    <s v="luissv@unisabana.edu.co"/>
    <s v="LuisSV@unisabana.edu.co1"/>
    <s v="MEDICINA"/>
    <x v="4"/>
    <x v="0"/>
    <x v="0"/>
    <s v="Completa"/>
    <s v="Pregrado"/>
    <s v="FACULTAD DE MEDICINA"/>
    <s v="https://ProfCatedra2024.sawtoothsoftware.com/cgi-bin/ciwweb.pl?studyname=ProfCatedra2024&amp;Correo=LuisSV@unisabana.edu.co1"/>
  </r>
  <r>
    <s v="luz.diaz2@unisabana.edu.co"/>
    <s v="luz.diaz2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luz.diaz2@unisabana.edu.co1"/>
  </r>
  <r>
    <s v="luz.sandoval@unisabana.edu.co"/>
    <s v="luz.sandoval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luz.sandoval@unisabana.edu.co01"/>
  </r>
  <r>
    <s v="luzma@unisabana.edu.co"/>
    <s v="luzma@unisabana.edu.co01"/>
    <s v="Especializaciï¿½n En Gerencia Estratï¿½gica - Virtual"/>
    <x v="125"/>
    <x v="0"/>
    <x v="0"/>
    <s v="Completa"/>
    <s v="Posgrado"/>
    <s v="INSTITUTO FORUM"/>
    <s v="https://ProfCatedra2024.sawtoothsoftware.com/cgi-bin/ciwweb.pl?studyname=ProfCatedra2024&amp;Correo=luzma@unisabana.edu.co01"/>
  </r>
  <r>
    <s v="manuel.gonzalez2@unisabana.edu.co"/>
    <s v="manuel.gonzalez2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manuel.gonzalez2@unisabana.edu.co01"/>
  </r>
  <r>
    <s v="manuel.plazas@unisabana.edu.co"/>
    <s v="manuel.plaz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manuel.plazas@unisabana.edu.co1"/>
  </r>
  <r>
    <s v="manuel.prada3@unisabana.edu.co"/>
    <s v="manuel.prada3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nuel.prada3@unisabana.edu.co01"/>
  </r>
  <r>
    <s v="manuel.prada3@unisabana.edu.co"/>
    <s v="manuel.prada3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nuel.prada3@unisabana.edu.co1"/>
  </r>
  <r>
    <s v="manuel.rodriguez3@unisabana.edu.co"/>
    <s v="manuel.rodriguez3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nuel.rodriguez3@unisabana.edu.co1"/>
  </r>
  <r>
    <s v="manuelhg@unisabana.edu.co"/>
    <s v="ManuelHG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nuelHG@unisabana.edu.co1"/>
  </r>
  <r>
    <s v="manuelnuto@unisabana.edu.co"/>
    <s v="manuelnuto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nuelnuto@unisabana.edu.co1"/>
  </r>
  <r>
    <s v="marcela.chavez@unisabana.edu.co"/>
    <s v="marcela.chavez@unisabana.edu.co01"/>
    <s v="MAESTRï¿½A EN GERENCIA Y DESARROLLO DE PERSONAS"/>
    <x v="65"/>
    <x v="0"/>
    <x v="0"/>
    <s v="Completa"/>
    <s v="Posgrado"/>
    <s v="FACULTAD DE PSICOLOGÍA"/>
    <s v="https://ProfCatedra2024.sawtoothsoftware.com/cgi-bin/ciwweb.pl?studyname=ProfCatedra2024&amp;Correo=marcela.chavez@unisabana.edu.co01"/>
  </r>
  <r>
    <s v="marcela.chavez@unisabana.edu.co"/>
    <s v="marcela.chavez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marcela.chavez@unisabana.edu.co1"/>
  </r>
  <r>
    <s v="marcia.costa@unisabana.edu.co"/>
    <s v="marcia.costa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cia.costa@unisabana.edu.co1"/>
  </r>
  <r>
    <s v="marco.correa@unisabana.edu.co"/>
    <s v="marco.correa@unisabana.edu.co1"/>
    <s v="MERCADEO"/>
    <x v="24"/>
    <x v="0"/>
    <x v="0"/>
    <s v="Completa"/>
    <s v="Pregrado"/>
    <s v="ESCUELA INTERNACIONAL DE CIENCIAS ECONÓMICAS Y ADMINISTRATIVAS"/>
    <s v="https://ProfCatedra2024.sawtoothsoftware.com/cgi-bin/ciwweb.pl?studyname=ProfCatedra2024&amp;Correo=marco.correa@unisabana.edu.co1"/>
  </r>
  <r>
    <s v="margarita.cadavid@unisabana.edu.co"/>
    <s v="margarita.cadavid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margarita.cadavid@unisabana.edu.co1"/>
  </r>
  <r>
    <s v="margaritaad@unisabana.edu.co"/>
    <s v="MargaritaAD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garitaAD@unisabana.edu.co1"/>
  </r>
  <r>
    <s v="maria.barrera4@unisabana.edu.co"/>
    <s v="maria.barrera4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a.barrera4@unisabana.edu.co1"/>
  </r>
  <r>
    <s v="maria.bernal1@unisabana.edu.co"/>
    <s v="maria.bernal1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a.bernal1@unisabana.edu.co1"/>
  </r>
  <r>
    <s v="maria.castillo2@unisabana.edu.co"/>
    <s v="maria.castillo2@unisabana.edu.co01"/>
    <s v="MAESTRï¿½A EN PEDAGOGï¿½A"/>
    <x v="30"/>
    <x v="0"/>
    <x v="0"/>
    <s v="Completa"/>
    <s v="Posgrado"/>
    <s v="FACULTAD DE EDUCACIÓN"/>
    <s v="https://ProfCatedra2024.sawtoothsoftware.com/cgi-bin/ciwweb.pl?studyname=ProfCatedra2024&amp;Correo=maria.castillo2@unisabana.edu.co01"/>
  </r>
  <r>
    <s v="maria.castillo2@unisabana.edu.co"/>
    <s v="maria.castillo2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aria.castillo2@unisabana.edu.co1"/>
  </r>
  <r>
    <s v="maria.charria1@unisabana.edu.co"/>
    <s v="maria.charria1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charria1@unisabana.edu.co1"/>
  </r>
  <r>
    <s v="maria.diaz11@unisabana.edu.co"/>
    <s v="maria.diaz11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maria.diaz11@unisabana.edu.co1"/>
  </r>
  <r>
    <s v="maria.duran1@unisabana.edu.co"/>
    <s v="maria.duran1@unisabana.edu.co01"/>
    <s v="Doctorado en Enfermerï¿½a"/>
    <x v="133"/>
    <x v="0"/>
    <x v="0"/>
    <s v="Completa"/>
    <s v="Posgrado"/>
    <s v="FACULTAD DE ENFERMERÍA Y REHABILITACIÓN"/>
    <s v="https://ProfCatedra2024.sawtoothsoftware.com/cgi-bin/ciwweb.pl?studyname=ProfCatedra2024&amp;Correo=maria.duran1@unisabana.edu.co01"/>
  </r>
  <r>
    <s v="maria.duran1@unisabana.edu.co"/>
    <s v="maria.duran1@unisabana.edu.co02"/>
    <s v="Maestrï¿½a en Enfermerï¿½a"/>
    <x v="12"/>
    <x v="0"/>
    <x v="0"/>
    <s v="Completa"/>
    <s v="Posgrado"/>
    <s v="FACULTAD DE ENFERMERÍA Y REHABILITACIÓN"/>
    <s v="https://ProfCatedra2024.sawtoothsoftware.com/cgi-bin/ciwweb.pl?studyname=ProfCatedra2024&amp;Correo=maria.duran1@unisabana.edu.co02"/>
  </r>
  <r>
    <s v="maria.duran1@unisabana.edu.co"/>
    <s v="maria.duran1@unisabana.edu.co03"/>
    <s v="Maestrï¿½a en Enfermerï¿½a - Virtual"/>
    <x v="13"/>
    <x v="0"/>
    <x v="0"/>
    <s v="Completa"/>
    <s v="Posgrado"/>
    <s v="FACULTAD DE ENFERMERÍA Y REHABILITACIÓN"/>
    <s v="https://ProfCatedra2024.sawtoothsoftware.com/cgi-bin/ciwweb.pl?studyname=ProfCatedra2024&amp;Correo=maria.duran1@unisabana.edu.co03"/>
  </r>
  <r>
    <s v="maria.escobar2@unisabana.edu.co"/>
    <s v="maria.escobar2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maria.escobar2@unisabana.edu.co1"/>
  </r>
  <r>
    <s v="maria.fernandez1@unisabana.edu.co"/>
    <s v="maria.fernandez1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maria.fernandez1@unisabana.edu.co1"/>
  </r>
  <r>
    <s v="maria.fino@unisabana.edu.co"/>
    <s v="maria.fino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a.fino@unisabana.edu.co1"/>
  </r>
  <r>
    <s v="maria.gamboa1@unisabana.edu.co"/>
    <s v="maria.gamboa1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gamboa1@unisabana.edu.co1"/>
  </r>
  <r>
    <s v="maria.guerrero2@unisabana.edu.co"/>
    <s v="maria.guerrero2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aria.guerrero2@unisabana.edu.co1"/>
  </r>
  <r>
    <s v="maria.hernandez8@unisabana.edu.co"/>
    <s v="maria.hernandez8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a.hernandez8@unisabana.edu.co1"/>
  </r>
  <r>
    <s v="maria.jaramillo12@unisabana.edu.co"/>
    <s v="maria.jaramillo1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maria.jaramillo12@unisabana.edu.co1"/>
  </r>
  <r>
    <s v="maria.leon@unisabana.edu.co"/>
    <s v="maria.leon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maria.leon@unisabana.edu.co1"/>
  </r>
  <r>
    <s v="maria.martinez12@unisabana.edu.co"/>
    <s v="maria.martinez12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martinez12@unisabana.edu.co1"/>
  </r>
  <r>
    <s v="maria.moreno3@unisabana.edu.co"/>
    <s v="maria.moreno3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moreno3@unisabana.edu.co1"/>
  </r>
  <r>
    <s v="maria.munoz1@unisabana.edu.co"/>
    <s v="maria.munoz1@unisabana.edu.co01"/>
    <s v="MAESTRIA EN PSICOLOGIA"/>
    <x v="123"/>
    <x v="0"/>
    <x v="0"/>
    <s v="Completa"/>
    <s v="Posgrado"/>
    <s v="FACULTAD DE PSICOLOGÍA"/>
    <s v="https://ProfCatedra2024.sawtoothsoftware.com/cgi-bin/ciwweb.pl?studyname=ProfCatedra2024&amp;Correo=maria.munoz1@unisabana.edu.co01"/>
  </r>
  <r>
    <s v="maria.obregon@unisabana.edu.co"/>
    <s v="maria.obregon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maria.obregon@unisabana.edu.co1"/>
  </r>
  <r>
    <s v="maria.ocampo@unisabana.edu.co"/>
    <s v="MARIA.OCAMPO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A.OCAMPO@UNISABANA.EDU.CO1"/>
  </r>
  <r>
    <s v="maria.paredes@unisabana.edu.co"/>
    <s v="maria.paredes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paredes@unisabana.edu.co1"/>
  </r>
  <r>
    <s v="maria.pareles@unisabana.edu.co"/>
    <s v="maria.parel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a.pareles@unisabana.edu.co1"/>
  </r>
  <r>
    <s v="maria.restrepo7@unisabana.edu.co"/>
    <s v="maria.restrepo7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maria.restrepo7@unisabana.edu.co1"/>
  </r>
  <r>
    <s v="maria.sarmiento7@unisabana.edu.co"/>
    <s v="maria.sarmiento7@unisabana.edu.co1"/>
    <s v="MEDICINA"/>
    <x v="4"/>
    <x v="0"/>
    <x v="0"/>
    <s v="Completa"/>
    <s v="Pregrado"/>
    <s v="FACULTAD DE MEDICINA"/>
    <s v="https://ProfCatedra2024.sawtoothsoftware.com/cgi-bin/ciwweb.pl?studyname=ProfCatedra2024&amp;Correo=maria.sarmiento7@unisabana.edu.co1"/>
  </r>
  <r>
    <s v="maria.serrato@unisabana.edu.co"/>
    <s v="maria.serrato@unisabana.edu.co1"/>
    <s v="FISIOTERAPIA"/>
    <x v="51"/>
    <x v="0"/>
    <x v="0"/>
    <s v="Completa"/>
    <s v="Pregrado"/>
    <s v="FACULTAD DE ENFERMERÍA Y REHABILITACIÓN"/>
    <s v="https://ProfCatedra2024.sawtoothsoftware.com/cgi-bin/ciwweb.pl?studyname=ProfCatedra2024&amp;Correo=maria.serrato@unisabana.edu.co1"/>
  </r>
  <r>
    <s v="maria.urbina2@unisabana.edu.co"/>
    <s v="maria.urbina2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ria.urbina2@unisabana.edu.co01"/>
  </r>
  <r>
    <s v="maria.villar2@unisabana.edu.co"/>
    <s v="maria.villar2@unisabana.edu.co02"/>
    <s v="Especializaciï¿½n en Gestiï¿½n para el Desarrollo Humano en la Organizaciï¿½n - Chï¿½a"/>
    <x v="39"/>
    <x v="0"/>
    <x v="0"/>
    <s v="Completa"/>
    <s v="Posgrado"/>
    <s v="INSTITUTO FORUM"/>
    <s v="https://ProfCatedra2024.sawtoothsoftware.com/cgi-bin/ciwweb.pl?studyname=ProfCatedra2024&amp;Correo=maria.villar2@unisabana.edu.co02"/>
  </r>
  <r>
    <s v="marielys.flores1@unisabana.edu.co"/>
    <s v="marielys.flores1@unisabana.edu.co01"/>
    <s v="Especializaciï¿½n en Gerencia de la Comunicaciï¿½n Organizacional"/>
    <x v="116"/>
    <x v="0"/>
    <x v="0"/>
    <s v="Completa"/>
    <s v="Posgrado"/>
    <s v="FACULTAD DE COMUNICACIÓN"/>
    <s v="https://ProfCatedra2024.sawtoothsoftware.com/cgi-bin/ciwweb.pl?studyname=ProfCatedra2024&amp;Correo=marielys.flores1@unisabana.edu.co01"/>
  </r>
  <r>
    <s v="marielys.flores1@unisabana.edu.co"/>
    <s v="marielys.flores1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rielys.flores1@unisabana.edu.co1"/>
  </r>
  <r>
    <s v="mario.alvarez2@unisabana.edu.co"/>
    <s v="mario.alvarez2@unisabana.edu.co01"/>
    <s v="Maestrï¿½a en Gerencia de la Innovaciï¿½n"/>
    <x v="67"/>
    <x v="0"/>
    <x v="0"/>
    <s v="Completa"/>
    <s v="Posgrado"/>
    <s v="ESCUELA INTERNACIONAL DE CIENCIAS ECONÓMICAS Y ADMINISTRATIVAS"/>
    <s v="https://ProfCatedra2024.sawtoothsoftware.com/cgi-bin/ciwweb.pl?studyname=ProfCatedra2024&amp;Correo=mario.alvarez2@unisabana.edu.co01"/>
  </r>
  <r>
    <s v="mario.castro1@unisabana.edu.co"/>
    <s v="mario.castro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rio.castro1@unisabana.edu.co1"/>
  </r>
  <r>
    <s v="mario.valderrama@unisabana.edu.co"/>
    <s v="mario.valderrama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mario.valderrama@unisabana.edu.co01"/>
  </r>
  <r>
    <s v="mario.valderrama@unisabana.edu.co"/>
    <s v="mario.valderrama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rio.valderrama@unisabana.edu.co1"/>
  </r>
  <r>
    <s v="mariosg@unisabana.edu.co"/>
    <s v="mariosg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mariosg@unisabana.edu.co1"/>
  </r>
  <r>
    <s v="marisol.sandoval@unisabana.edu.co"/>
    <s v="marisol.sandoval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marisol.sandoval@unisabana.edu.co1"/>
  </r>
  <r>
    <s v="martha.caicedo1@unisabana.edu.co"/>
    <s v="martha.caicedo1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martha.caicedo1@unisabana.edu.co1"/>
  </r>
  <r>
    <s v="martha.cuevas@unisabana.edu.co"/>
    <s v="martha.cuevas@unisabana.edu.co01"/>
    <s v="Maestrï¿½a en Teologï¿½a - Chï¿½a"/>
    <x v="45"/>
    <x v="0"/>
    <x v="0"/>
    <s v="Completa"/>
    <s v="Posgrado"/>
    <s v="FACULTAD DE FILOSOFÍA Y CIENCIAS HUMANAS"/>
    <s v="https://ProfCatedra2024.sawtoothsoftware.com/cgi-bin/ciwweb.pl?studyname=ProfCatedra2024&amp;Correo=martha.cuevas@unisabana.edu.co01"/>
  </r>
  <r>
    <s v="martha.striedinger@unisabana.edu.co"/>
    <s v="martha.striedinger@unisabana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martha.striedinger@unisabana.edu.co01"/>
  </r>
  <r>
    <s v="martha.striedinger@unisabana.edu.co"/>
    <s v="martha.striedinger@unisabana.edu.co07"/>
    <s v="MAESTRÃA EN GERENCIA DE INGENIERÃA"/>
    <x v="1"/>
    <x v="0"/>
    <x v="0"/>
    <s v="Completa"/>
    <s v="Posgrado"/>
    <s v="FACULTAD DE INGENIERÍA"/>
    <s v="https://ProfCatedra2024.sawtoothsoftware.com/cgi-bin/ciwweb.pl?studyname=ProfCatedra2024&amp;Correo=martha.striedinger@unisabana.edu.co07"/>
  </r>
  <r>
    <s v="martha.striedinger@unisabana.edu.co"/>
    <s v="martha.striedinger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martha.striedinger@unisabana.edu.co1"/>
  </r>
  <r>
    <s v="martinez.mauricio@unisabana.edu.co"/>
    <s v="martinez.mauricio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martinez.mauricio@unisabana.edu.co1"/>
  </r>
  <r>
    <s v="mauricio.cuervo@unisabana.edu.co"/>
    <s v="mauricio.cuerv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cuervo@unisabana.edu.co1"/>
  </r>
  <r>
    <s v="mauricio.diaz1@unisabana.edu.co"/>
    <s v="mauricio.dia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diaz1@unisabana.edu.co1"/>
  </r>
  <r>
    <s v="mauricio.diaz1@unisabana.edu.co"/>
    <s v="mauricio.diaz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mauricio.diaz1@unisabana.edu.co2"/>
  </r>
  <r>
    <s v="mauricio.diaz1@unisabana.edu.co"/>
    <s v="mauricio.diaz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mauricio.diaz1@unisabana.edu.co3"/>
  </r>
  <r>
    <s v="mauricio.escobar1@unisabana.edu.co"/>
    <s v="mauricio.escobar1@unisabana.edu.co01"/>
    <s v="Especializaciï¿½n en Gerencia Estratï¿½gica - Barranquilla"/>
    <x v="126"/>
    <x v="0"/>
    <x v="0"/>
    <s v="Completa"/>
    <s v="Posgrado"/>
    <s v="INSTITUTO FORUM"/>
    <s v="https://ProfCatedra2024.sawtoothsoftware.com/cgi-bin/ciwweb.pl?studyname=ProfCatedra2024&amp;Correo=mauricio.escobar1@unisabana.edu.co01"/>
  </r>
  <r>
    <s v="mauricio.gomez3@unisabana.edu.co"/>
    <s v="mauricio.gomez3@unisabana.edu.co01"/>
    <s v="ESPECIALIZACION EN PSICOLOGIA EDUCATIVA"/>
    <x v="71"/>
    <x v="0"/>
    <x v="0"/>
    <s v="Completa"/>
    <s v="Posgrado"/>
    <s v="FACULTAD DE PSICOLOGÍA"/>
    <s v="https://ProfCatedra2024.sawtoothsoftware.com/cgi-bin/ciwweb.pl?studyname=ProfCatedra2024&amp;Correo=mauricio.gomez3@unisabana.edu.co01"/>
  </r>
  <r>
    <s v="mauricio.gomez3@unisabana.edu.co"/>
    <s v="mauricio.gomez3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mauricio.gomez3@unisabana.edu.co1"/>
  </r>
  <r>
    <s v="mauricio.montes@unisabana.edu.co"/>
    <s v="mauricio.monte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mauricio.montes@unisabana.edu.co1"/>
  </r>
  <r>
    <s v="mauricio.romero1@unisabana.edu.co"/>
    <s v="mauricio.romero1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mauricio.romero1@unisabana.edu.co1"/>
  </r>
  <r>
    <s v="mayra.borda@unisabana.edu.co"/>
    <s v="mayra.borda@unisabana.edu.co1"/>
    <s v="MEDICINA"/>
    <x v="4"/>
    <x v="0"/>
    <x v="0"/>
    <s v="Completa"/>
    <s v="Pregrado"/>
    <s v="FACULTAD DE MEDICINA"/>
    <s v="https://ProfCatedra2024.sawtoothsoftware.com/cgi-bin/ciwweb.pl?studyname=ProfCatedra2024&amp;Correo=mayra.borda@unisabana.edu.co1"/>
  </r>
  <r>
    <s v="mayra.nunez@unisabana.edu.co"/>
    <s v="mayra.nunez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ayra.nunez@unisabana.edu.co01"/>
  </r>
  <r>
    <s v="mbettinj@gmail.com"/>
    <s v="MBETTINJ@GMAIL.COM1"/>
    <s v="MAESTRIA EN CONTRATACION ESTATAL"/>
    <x v="59"/>
    <x v="0"/>
    <x v="0"/>
    <s v="Completa"/>
    <s v="Posgrado"/>
    <s v="FACULTAD DE DERECHO Y CIENCIAS POLÍTICAS"/>
    <s v="https://ProfCatedra2024.sawtoothsoftware.com/cgi-bin/ciwweb.pl?studyname=ProfCatedra2024&amp;Correo=MBETTINJ@GMAIL.COM1"/>
  </r>
  <r>
    <s v="melissa.reyes@unisabana.edu.co"/>
    <s v="melissa.reyes@unisabana.edu.co01"/>
    <s v="Especializaciï¿½n en Medicina del Dolor y Cuidados Paliativos"/>
    <x v="134"/>
    <x v="0"/>
    <x v="0"/>
    <s v="Completa"/>
    <s v="Posgrado"/>
    <s v="FACULTAD DE MEDICINA"/>
    <s v="https://ProfCatedra2024.sawtoothsoftware.com/cgi-bin/ciwweb.pl?studyname=ProfCatedra2024&amp;Correo=melissa.reyes@unisabana.edu.co01"/>
  </r>
  <r>
    <s v="miguel.medina@unisabana.edu.co"/>
    <s v="miguel.medina@unisabana.edu.co1"/>
    <s v="INGENIERï¿½A MECï¿½NICA"/>
    <x v="2"/>
    <x v="0"/>
    <x v="0"/>
    <s v="Completa"/>
    <s v="Pregrado"/>
    <s v="FACULTAD DE INGENIERÍA"/>
    <s v="https://ProfCatedra2024.sawtoothsoftware.com/cgi-bin/ciwweb.pl?studyname=ProfCatedra2024&amp;Correo=miguel.medina@unisabana.edu.co1"/>
  </r>
  <r>
    <s v="miguel.pineros@unisabana.edu.co"/>
    <s v="miguel.pineros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miguel.pineros@unisabana.edu.co1"/>
  </r>
  <r>
    <s v="miguel.varela1@unisabana.edu.co"/>
    <s v="miguel.varel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miguel.varela1@unisabana.edu.co1"/>
  </r>
  <r>
    <s v="miguelcarto@unisabana.edu.co"/>
    <s v="miguelcarto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miguelcarto@unisabana.edu.co1"/>
  </r>
  <r>
    <s v="mikel.ibarra@unisabana.edu.co"/>
    <s v="mikel.ibarra@unisabana.edu.co01"/>
    <s v="Especializaciï¿½n En Gerencia Estratï¿½gica - Ibaguï¿½"/>
    <x v="82"/>
    <x v="0"/>
    <x v="0"/>
    <s v="Completa"/>
    <s v="Posgrado"/>
    <s v="INSTITUTO FORUM"/>
    <s v="https://ProfCatedra2024.sawtoothsoftware.com/cgi-bin/ciwweb.pl?studyname=ProfCatedra2024&amp;Correo=mikel.ibarra@unisabana.edu.co01"/>
  </r>
  <r>
    <s v="mikel.ibarra@unisabana.edu.co"/>
    <s v="mikel.ibarra@unisabana.edu.co02"/>
    <s v="Especializaciï¿½n en Gerencia de Proyectos con Enfoque en Habilidades Directivas - Bogotï¿½"/>
    <x v="93"/>
    <x v="0"/>
    <x v="0"/>
    <s v="Completa"/>
    <s v="Posgrado"/>
    <s v="INSTITUTO FORUM"/>
    <s v="https://ProfCatedra2024.sawtoothsoftware.com/cgi-bin/ciwweb.pl?studyname=ProfCatedra2024&amp;Correo=mikel.ibarra@unisabana.edu.co02"/>
  </r>
  <r>
    <s v="milciades.ibanez@unisabana.edu.co"/>
    <s v="milciades.ibanez@unisabana.edu.co01"/>
    <s v="Doctorado en Enfermerï¿½a"/>
    <x v="133"/>
    <x v="0"/>
    <x v="0"/>
    <s v="Completa"/>
    <s v="Posgrado"/>
    <s v="FACULTAD DE ENFERMERÍA Y REHABILITACIÓN"/>
    <s v="https://ProfCatedra2024.sawtoothsoftware.com/cgi-bin/ciwweb.pl?studyname=ProfCatedra2024&amp;Correo=milciades.ibanez@unisabana.edu.co01"/>
  </r>
  <r>
    <s v="milton.bautista@unisabana.edu.co"/>
    <s v="milton.bautista@unisabana.edu.co01"/>
    <s v="Especializaciï¿½n en Gestiï¿½n para el Desarrollo Humano en la Organizaciï¿½n - Bucaramanga"/>
    <x v="17"/>
    <x v="0"/>
    <x v="0"/>
    <s v="Completa"/>
    <s v="Posgrado"/>
    <s v="INSTITUTO FORUM"/>
    <s v="https://ProfCatedra2024.sawtoothsoftware.com/cgi-bin/ciwweb.pl?studyname=ProfCatedra2024&amp;Correo=milton.bautista@unisabana.edu.co01"/>
  </r>
  <r>
    <s v="mochoat@dian.gov.co"/>
    <s v="MOCHOAT@DIAN.GOV.CO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MOCHOAT@DIAN.GOV.CO1"/>
  </r>
  <r>
    <s v="monica.parrado1@unisabana.edu.co"/>
    <s v="monica.parrado1@unisabana.edu.co01"/>
    <s v="Especializaciï¿½n en Cirugï¿½a General"/>
    <x v="80"/>
    <x v="0"/>
    <x v="0"/>
    <s v="Completa"/>
    <s v="Posgrado"/>
    <s v="FACULTAD DE MEDICINA"/>
    <s v="https://ProfCatedra2024.sawtoothsoftware.com/cgi-bin/ciwweb.pl?studyname=ProfCatedra2024&amp;Correo=monica.parrado1@unisabana.edu.co01"/>
  </r>
  <r>
    <s v="monica.parrado1@unisabana.edu.co"/>
    <s v="monica.parrado1@unisabana.edu.co1"/>
    <s v="MEDICINA"/>
    <x v="4"/>
    <x v="0"/>
    <x v="0"/>
    <s v="Completa"/>
    <s v="Pregrado"/>
    <s v="FACULTAD DE MEDICINA"/>
    <s v="https://ProfCatedra2024.sawtoothsoftware.com/cgi-bin/ciwweb.pl?studyname=ProfCatedra2024&amp;Correo=monica.parrado1@unisabana.edu.co1"/>
  </r>
  <r>
    <s v="monica.peralta@unisabana.edu.co"/>
    <s v="monica.peralta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monica.peralta@unisabana.edu.co1"/>
  </r>
  <r>
    <s v="monica.rios1@unisabana.edu.co"/>
    <s v="monica.rios1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monica.rios1@unisabana.edu.co1"/>
  </r>
  <r>
    <s v="monica.sanchez@unisabana.edu.co"/>
    <s v="monica.sanchez@unisabana.edu.co01"/>
    <s v="DOCTORADO EN INNOVACIï¿½N EDUCATIVA CON USO DE TIC"/>
    <x v="128"/>
    <x v="0"/>
    <x v="0"/>
    <s v="Completa"/>
    <s v="Posgrado"/>
    <s v="FACULTAD DE EDUCACIÓN"/>
    <s v="https://ProfCatedra2024.sawtoothsoftware.com/cgi-bin/ciwweb.pl?studyname=ProfCatedra2024&amp;Correo=monica.sanchez@unisabana.edu.co01"/>
  </r>
  <r>
    <s v="monica.tovar1@unisabana.edu.co"/>
    <s v="monica.tovar1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onica.tovar1@unisabana.edu.co01"/>
  </r>
  <r>
    <s v="monicamarcela.riosgutierrez@gmail.com"/>
    <s v="monicamarcela.riosgutierrez@gmail.com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monicamarcela.riosgutierrez@gmail.com1"/>
  </r>
  <r>
    <s v="myriam.vargas@unisabana.edu.co"/>
    <s v="myriam.var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myriam.vargas@unisabana.edu.co1"/>
  </r>
  <r>
    <s v="nancy.almanza@unisabana.edu.co"/>
    <s v="nancy.almanza@unisabana.edu.co1"/>
    <s v="MEDICINA"/>
    <x v="4"/>
    <x v="0"/>
    <x v="0"/>
    <s v="Completa"/>
    <s v="Pregrado"/>
    <s v="FACULTAD DE MEDICINA"/>
    <s v="https://ProfCatedra2024.sawtoothsoftware.com/cgi-bin/ciwweb.pl?studyname=ProfCatedra2024&amp;Correo=nancy.almanza@unisabana.edu.co1"/>
  </r>
  <r>
    <s v="nancy.grande@unisabana.edu.co"/>
    <s v="nancy.grande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nancy.grande@unisabana.edu.co1"/>
  </r>
  <r>
    <s v="nancy.rivera1@unisabana.edu.co"/>
    <s v="nancy.rivera1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nancy.rivera1@unisabana.edu.co01"/>
  </r>
  <r>
    <s v="nestor.valderrama@inalde.edu.co"/>
    <s v="nestor.valderrama@inalde.edu.co01"/>
    <s v="Maestrï¿½a en Analï¿½tica Aplicada - Chï¿½a"/>
    <x v="18"/>
    <x v="0"/>
    <x v="0"/>
    <s v="Completa"/>
    <s v="Posgrado"/>
    <s v="FACULTAD DE INGENIERÍA"/>
    <s v="https://ProfCatedra2024.sawtoothsoftware.com/cgi-bin/ciwweb.pl?studyname=ProfCatedra2024&amp;Correo=nestor.valderrama@inalde.edu.co01"/>
  </r>
  <r>
    <s v="nestor.valderrama@inalde.edu.co"/>
    <s v="nestor.valderrama@inalde.edu.co02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nestor.valderrama@inalde.edu.co02"/>
  </r>
  <r>
    <s v="nestor.zambrano@unisabana.edu.co"/>
    <s v="nestor.zambrano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nestor.zambrano@unisabana.edu.co01"/>
  </r>
  <r>
    <s v="nestor.zambrano@unisabana.edu.co"/>
    <s v="nestor.zambrano@unisabana.edu.co02"/>
    <s v="MAESTRï¿½A EN PEDAGOGIA E INVESTIGACIï¿½N EN EL AULA"/>
    <x v="108"/>
    <x v="0"/>
    <x v="0"/>
    <s v="Completa"/>
    <s v="Posgrado"/>
    <s v="FACULTAD DE EDUCACIÓN"/>
    <s v="https://ProfCatedra2024.sawtoothsoftware.com/cgi-bin/ciwweb.pl?studyname=ProfCatedra2024&amp;Correo=nestor.zambrano@unisabana.edu.co02"/>
  </r>
  <r>
    <s v="nicolas.herran@unisabana.edu.co"/>
    <s v="nicolas.herran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colas.herran@unisabana.edu.co1"/>
  </r>
  <r>
    <s v="nicolas.lozada@unisabana.edu.co"/>
    <s v="nicolas.lozad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nicolas.lozada@unisabana.edu.co1"/>
  </r>
  <r>
    <s v="nicolas.mayorga@unisabana.edu.co"/>
    <s v="nicolas.mayorg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nicolas.mayorga@unisabana.edu.co1"/>
  </r>
  <r>
    <s v="nicolas.saiz@unisabana.edu.co"/>
    <s v="nicolas.saiz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colas.saiz@unisabana.edu.co1"/>
  </r>
  <r>
    <s v="nicolasgiela@unisabana.edu.co"/>
    <s v="nicolasgiela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nicolasgiela@unisabana.edu.co1"/>
  </r>
  <r>
    <s v="nidia.garcia3@unisabana.edu.co"/>
    <s v="nidia.garcia3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nidia.garcia3@unisabana.edu.co1"/>
  </r>
  <r>
    <s v="nidia.pineda1@unisabana.edu.co"/>
    <s v="Nidia.Pined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Nidia.Pineda1@unisabana.edu.co2"/>
  </r>
  <r>
    <s v="nsacipa@scolalegal.com"/>
    <s v="NSACIPA@SCOLALEGAL.COM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NSACIPA@SCOLALEGAL.COM1"/>
  </r>
  <r>
    <s v="nubia.amado@unisabana.edu.co"/>
    <s v="nubia.amado@unisabana.edu.co1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nubia.amado@unisabana.edu.co1"/>
  </r>
  <r>
    <s v="nubia.amado@unisabana.edu.co"/>
    <s v="nubia.amado@unisabana.edu.co2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nubia.amado@unisabana.edu.co2"/>
  </r>
  <r>
    <s v="omar.caceres1@unisabana.edu.co"/>
    <s v="omar.caceres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omar.caceres1@unisabana.edu.co01"/>
  </r>
  <r>
    <s v="omar.silva@unisabana.edu.co"/>
    <s v="omar.silva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omar.silva@unisabana.edu.co1"/>
  </r>
  <r>
    <s v="oscar.ayala@unisabana.edu.co"/>
    <s v="oscar.ayala@unisabana.edu.co01"/>
    <s v="Especializaciï¿½n en Gerencia de Riesgos - Chï¿½a"/>
    <x v="38"/>
    <x v="0"/>
    <x v="0"/>
    <s v="Incompleta"/>
    <s v="Posgrado"/>
    <s v="INSTITUTO FORUM"/>
    <s v="https://ProfCatedra2024.sawtoothsoftware.com/cgi-bin/ciwweb.pl?studyname=ProfCatedra2024&amp;Correo=oscar.ayala@unisabana.edu.co01"/>
  </r>
  <r>
    <s v="oscar.coy1@unisabana.edu.co"/>
    <s v="oscar.coy1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oscar.coy1@unisabana.edu.co1"/>
  </r>
  <r>
    <s v="oscar.suarez@unisabana.edu.co"/>
    <s v="oscar.suar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oscar.suarez@unisabana.edu.co1"/>
  </r>
  <r>
    <s v="oscarjpv@yahoo.es1"/>
    <s v="OSCARJPV@YAHOO.ES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OSCARJPV@YAHOO.ES1"/>
  </r>
  <r>
    <s v="oscarmega@unisabana.edu.co"/>
    <s v="OSCARMEGA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OSCARMEGA@UNISABANA.EDU.CO1"/>
  </r>
  <r>
    <s v="pablo.gutierrez@unisabana.edu.co"/>
    <s v="pablo.gutierrez@unisabana.edu.co07"/>
    <s v="Doctorado en PsicologÃ­a"/>
    <x v="119"/>
    <x v="0"/>
    <x v="0"/>
    <s v="Completa"/>
    <s v="Posgrado"/>
    <s v="FACULTAD DE PSICOLOGÍA"/>
    <s v="https://ProfCatedra2024.sawtoothsoftware.com/cgi-bin/ciwweb.pl?studyname=ProfCatedra2024&amp;Correo=pablo.gutierrez@unisabana.edu.co07"/>
  </r>
  <r>
    <s v="pablo.paez@unisabana.edu.co"/>
    <s v="pablo.pa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pablo.paez@unisabana.edu.co1"/>
  </r>
  <r>
    <s v="paola.hartmann@unisabana.edu.co"/>
    <s v="paola.hartmann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paola.hartmann@unisabana.edu.co1"/>
  </r>
  <r>
    <s v="paola.ordonez@unisabana.edu.co"/>
    <s v="paola.ordonez@unisabana.edu.co01"/>
    <s v="Maestrï¿½a en Epidemiologï¿½a"/>
    <x v="83"/>
    <x v="0"/>
    <x v="0"/>
    <s v="Completa"/>
    <s v="Posgrado"/>
    <s v="FACULTAD DE MEDICINA"/>
    <s v="https://ProfCatedra2024.sawtoothsoftware.com/cgi-bin/ciwweb.pl?studyname=ProfCatedra2024&amp;Correo=paola.ordonez@unisabana.edu.co01"/>
  </r>
  <r>
    <s v="paola.ordonez@unisabana.edu.co"/>
    <s v="paola.ordonez@unisabana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paola.ordonez@unisabana.edu.co1"/>
  </r>
  <r>
    <s v="patricia.otero@unisabana.edu.co"/>
    <s v="patricia.otero@unisabana.edu.co01"/>
    <s v="Especializaciï¿½n en Terapia Manual Ortopï¿½dica - Chï¿½a"/>
    <x v="11"/>
    <x v="0"/>
    <x v="0"/>
    <s v="Completa"/>
    <s v="Posgrado"/>
    <s v="FACULTAD DE ENFERMERÍA Y REHABILITACIÓN"/>
    <s v="https://ProfCatedra2024.sawtoothsoftware.com/cgi-bin/ciwweb.pl?studyname=ProfCatedra2024&amp;Correo=patricia.otero@unisabana.edu.co01"/>
  </r>
  <r>
    <s v="paula.acevedo1@unisabana.edu.co"/>
    <s v="paula.acevedo1@unisabana.edu.co1"/>
    <s v="MEDICINA"/>
    <x v="4"/>
    <x v="0"/>
    <x v="0"/>
    <s v="Completa"/>
    <s v="Pregrado"/>
    <s v="FACULTAD DE MEDICINA"/>
    <s v="https://ProfCatedra2024.sawtoothsoftware.com/cgi-bin/ciwweb.pl?studyname=ProfCatedra2024&amp;Correo=paula.acevedo1@unisabana.edu.co1"/>
  </r>
  <r>
    <s v="paula.lopez5@unisabana.edu.co"/>
    <s v="paula.lopez5@unisabana.edu.co1"/>
    <s v="SERVICIO, HOSPITALIDAD Y CALIDAD"/>
    <x v="53"/>
    <x v="0"/>
    <x v="0"/>
    <s v="Completa"/>
    <s v="Pregrado"/>
    <s v="ESCUELA INTERNACIONAL DE CIENCIAS ECONÓMICAS Y ADMINISTRATIVAS"/>
    <s v="https://ProfCatedra2024.sawtoothsoftware.com/cgi-bin/ciwweb.pl?studyname=ProfCatedra2024&amp;Correo=paula.lopez5@unisabana.edu.co1"/>
  </r>
  <r>
    <s v="paulacacr@unisabana.edu.co"/>
    <s v="paulacacr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paulacacr@unisabana.edu.co1"/>
  </r>
  <r>
    <s v="pcallejascastro@gmail.com"/>
    <s v="PCALLEJASCASTRO@GMAIL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PCALLEJASCASTRO@GMAIL.COM1"/>
  </r>
  <r>
    <s v="pedro.casas@unisabana.edu.co"/>
    <s v="pedro.casas@unisabana.edu.co01"/>
    <s v="Maestrï¿½a en Lingï¿½ï¿½stica Panhispï¿½nica - Chï¿½a"/>
    <x v="63"/>
    <x v="0"/>
    <x v="0"/>
    <s v="Completa"/>
    <s v="Posgrado"/>
    <s v="FACULTAD DE FILOSOFÍA Y CIENCIAS HUMANAS"/>
    <s v="https://ProfCatedra2024.sawtoothsoftware.com/cgi-bin/ciwweb.pl?studyname=ProfCatedra2024&amp;Correo=pedro.casas@unisabana.edu.co01"/>
  </r>
  <r>
    <s v="pedro.contreras1@unisabana.edu.co"/>
    <s v="pedro.contreras1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pedro.contreras1@unisabana.edu.co1"/>
  </r>
  <r>
    <s v="pedro.dussan@unisabana.edu.co"/>
    <s v="pedro.dussan@unisabana.edu.co1"/>
    <s v="MEDICINA"/>
    <x v="4"/>
    <x v="0"/>
    <x v="0"/>
    <s v="Completa"/>
    <s v="Pregrado"/>
    <s v="FACULTAD DE MEDICINA"/>
    <s v="https://ProfCatedra2024.sawtoothsoftware.com/cgi-bin/ciwweb.pl?studyname=ProfCatedra2024&amp;Correo=pedro.dussan@unisabana.edu.co1"/>
  </r>
  <r>
    <s v="pedro.garcia@unisabana.edu.co"/>
    <s v="pedro.garcia@unisabana.edu.co01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pedro.garcia@unisabana.edu.co01"/>
  </r>
  <r>
    <s v="rafael.gonzalez2@unisabana.edu.co"/>
    <s v="rafael.gonzalez2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2@unisabana.edu.co1"/>
  </r>
  <r>
    <s v="rafael.gonzalez3@unisabana.edu.co"/>
    <s v="rafael.gonzalez3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3@unisabana.edu.co1"/>
  </r>
  <r>
    <s v="rafael.meza1@unisabana.edu.co"/>
    <s v="rafael.meza1@unisabana.edu.co1"/>
    <s v="MEDICINA"/>
    <x v="4"/>
    <x v="0"/>
    <x v="0"/>
    <s v="Completa"/>
    <s v="Pregrado"/>
    <s v="FACULTAD DE MEDICINA"/>
    <s v="https://ProfCatedra2024.sawtoothsoftware.com/cgi-bin/ciwweb.pl?studyname=ProfCatedra2024&amp;Correo=rafael.meza1@unisabana.edu.co1"/>
  </r>
  <r>
    <s v="rafael.mora2@unisabana.edu.co"/>
    <s v="rafael.mora2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rafael.mora2@unisabana.edu.co1"/>
  </r>
  <r>
    <s v="rafael.tordecilla@unisabana.edu.co"/>
    <s v="rafael.tordecilla@unisabana.edu.co01"/>
    <s v="Maestrï¿½a en Gerencia de Ingenierï¿½a - Chï¿½a"/>
    <x v="1"/>
    <x v="0"/>
    <x v="0"/>
    <s v="Completa"/>
    <s v="Posgrado"/>
    <s v="FACULTAD DE INGENIERÍA"/>
    <s v="https://ProfCatedra2024.sawtoothsoftware.com/cgi-bin/ciwweb.pl?studyname=ProfCatedra2024&amp;Correo=rafael.tordecilla@unisabana.edu.co01"/>
  </r>
  <r>
    <s v="rafael.tordecilla1@unisabana.edu.co"/>
    <s v="rafael.tordecilla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rafael.tordecilla1@unisabana.edu.co1"/>
  </r>
  <r>
    <s v="ramirohernandez@hym-co.com"/>
    <s v="RAMIROHERNANDEZ@HYM-CO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RAMIROHERNANDEZ@HYM-CO.COM1"/>
  </r>
  <r>
    <s v="rbordaridao@hotmail.com"/>
    <s v="RBORDARIDAO@HOTMAIL.COM1"/>
    <s v="MAESTRIA EN DERECHO DE LA EMPRESA Y DE LOS NEGOCIOS"/>
    <x v="9"/>
    <x v="0"/>
    <x v="0"/>
    <s v="Completa"/>
    <s v="Posgrado"/>
    <s v="FACULTAD DE DERECHO Y CIENCIAS POLÍTICAS"/>
    <s v="https://ProfCatedra2024.sawtoothsoftware.com/cgi-bin/ciwweb.pl?studyname=ProfCatedra2024&amp;Correo=RBORDARIDAO@HOTMAIL.COM1"/>
  </r>
  <r>
    <s v="ricardo.angelp@hotmail.com"/>
    <s v="RICARDO.ANGELP@HOTMAIL.COM1"/>
    <s v="Especializaciï¿½n en Seguros y Seguridad Social - Chï¿½a"/>
    <x v="89"/>
    <x v="0"/>
    <x v="0"/>
    <s v="Completa"/>
    <s v="Posgrado"/>
    <s v="FACULTAD DE DERECHO Y CIENCIAS POLÍTICAS"/>
    <s v="https://ProfCatedra2024.sawtoothsoftware.com/cgi-bin/ciwweb.pl?studyname=ProfCatedra2024&amp;Correo=RICARDO.ANGELP@HOTMAIL.COM1"/>
  </r>
  <r>
    <s v="ricardo.pena1@unisabana.edu.co"/>
    <s v="ricardo.pena1@unisabana.edu.co01"/>
    <s v="Especializaciï¿½n en Gerencia Comercial - Barranquilla"/>
    <x v="122"/>
    <x v="0"/>
    <x v="0"/>
    <s v="Completa"/>
    <s v="Posgrado"/>
    <s v="INSTITUTO FORUM"/>
    <s v="https://ProfCatedra2024.sawtoothsoftware.com/cgi-bin/ciwweb.pl?studyname=ProfCatedra2024&amp;Correo=ricardo.pena1@unisabana.edu.co01"/>
  </r>
  <r>
    <s v="riveros_jonathan@hotmail.com"/>
    <s v="RIVEROS_JONATHAN@HOTMAIL.COM1"/>
    <s v="MAESTRIA EN DERECHO INTERNACIONAL"/>
    <x v="61"/>
    <x v="0"/>
    <x v="0"/>
    <s v="Completa"/>
    <s v="Posgrado"/>
    <s v="FACULTAD DE DERECHO Y CIENCIAS POLÍTICAS"/>
    <s v="https://ProfCatedra2024.sawtoothsoftware.com/cgi-bin/ciwweb.pl?studyname=ProfCatedra2024&amp;Correo=RIVEROS_JONATHAN@HOTMAIL.COM1"/>
  </r>
  <r>
    <s v="rocio.prieto@unisabana.edu.co"/>
    <s v="rocio.prieto@unisabana.edu.co1"/>
    <s v="MEDICINA"/>
    <x v="4"/>
    <x v="0"/>
    <x v="0"/>
    <s v="Completa"/>
    <s v="Pregrado"/>
    <s v="FACULTAD DE MEDICINA"/>
    <s v="https://ProfCatedra2024.sawtoothsoftware.com/cgi-bin/ciwweb.pl?studyname=ProfCatedra2024&amp;Correo=rocio.prieto@unisabana.edu.co1"/>
  </r>
  <r>
    <s v="rodrigo.diaz2@unisabana.edu.co"/>
    <s v="rodrigo.diaz2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rodrigo.diaz2@unisabana.edu.co01"/>
  </r>
  <r>
    <s v="rodrigo.granados@unisabana.edu.co"/>
    <s v="rodrigo.granados@unisabana.edu.co01"/>
    <s v="Especializaciï¿½n en Gerencia Comercial Medellï¿½n - Antioquia"/>
    <x v="132"/>
    <x v="0"/>
    <x v="0"/>
    <s v="Completa"/>
    <s v="Posgrado"/>
    <s v="INSTITUTO FORUM"/>
    <s v="https://ProfCatedra2024.sawtoothsoftware.com/cgi-bin/ciwweb.pl?studyname=ProfCatedra2024&amp;Correo=rodrigo.granados@unisabana.edu.co01"/>
  </r>
  <r>
    <s v="rodrigo.granados@unisabana.edu.co"/>
    <s v="rodrigo.granados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rodrigo.granados@unisabana.edu.co02"/>
  </r>
  <r>
    <s v="rodrigomarin-abogado@hotmail.com"/>
    <s v="RODRIGOMARIN-ABOGADO@HOTMAIL.COM1"/>
    <s v="ESPECIALIZACION EN CONTRATACION ESTATAL NEIVA"/>
    <x v="33"/>
    <x v="0"/>
    <x v="0"/>
    <s v="Completa"/>
    <s v="Posgrado"/>
    <s v="FACULTAD DE DERECHO Y CIENCIAS POLÍTICAS"/>
    <s v="https://ProfCatedra2024.sawtoothsoftware.com/cgi-bin/ciwweb.pl?studyname=ProfCatedra2024&amp;Correo=RODRIGOMARIN-ABOGADO@HOTMAIL.COM1"/>
  </r>
  <r>
    <s v="ronal.rodriguez@unisabana.edu.co"/>
    <s v="ronal.rodriguez@unisabana.edu.co1"/>
    <s v="CIENCIAS POLï¿½TICAS"/>
    <x v="68"/>
    <x v="0"/>
    <x v="0"/>
    <s v="Completa"/>
    <s v="Pregrado"/>
    <s v="FACULTAD DE DERECHO Y CIENCIAS POLÍTICAS"/>
    <s v="https://ProfCatedra2024.sawtoothsoftware.com/cgi-bin/ciwweb.pl?studyname=ProfCatedra2024&amp;Correo=ronal.rodriguez@unisabana.edu.co1"/>
  </r>
  <r>
    <s v="rosario.bernal@unisabana.edu.co"/>
    <s v="rosario.bernal@unisabana.edu.co1"/>
    <s v="LICENCIATURA EN CIENCIAS NATURALES"/>
    <x v="3"/>
    <x v="0"/>
    <x v="0"/>
    <s v="Completa"/>
    <s v="Pregrado"/>
    <s v="FACULTAD DE EDUCACIÓN"/>
    <s v="https://ProfCatedra2024.sawtoothsoftware.com/cgi-bin/ciwweb.pl?studyname=ProfCatedra2024&amp;Correo=rosario.bernal@unisabana.edu.co1"/>
  </r>
  <r>
    <s v="rosario.bernal@unisabana.edu.co"/>
    <s v="rosario.bernal@unisabana.edu.co2"/>
    <s v="LICENCIATURA EN EDUCACIï¿½N INFANTIL"/>
    <x v="34"/>
    <x v="0"/>
    <x v="0"/>
    <s v="Completa"/>
    <s v="Pregrado"/>
    <s v="FACULTAD DE EDUCACIÓN"/>
    <s v="https://ProfCatedra2024.sawtoothsoftware.com/cgi-bin/ciwweb.pl?studyname=ProfCatedra2024&amp;Correo=rosario.bernal@unisabana.edu.co2"/>
  </r>
  <r>
    <s v="samuel.barbosa@unisabana.edu.co"/>
    <s v="samuel.barbosa@unisabana.edu.co1"/>
    <s v="MEDICINA"/>
    <x v="4"/>
    <x v="0"/>
    <x v="0"/>
    <s v="Completa"/>
    <s v="Pregrado"/>
    <s v="FACULTAD DE MEDICINA"/>
    <s v="https://ProfCatedra2024.sawtoothsoftware.com/cgi-bin/ciwweb.pl?studyname=ProfCatedra2024&amp;Correo=samuel.barbosa@unisabana.edu.co1"/>
  </r>
  <r>
    <s v="samueledortiz@hotmail.com"/>
    <s v="SAMUELEDORTIZ@HOTMAIL.COM1"/>
    <s v="Especializaciï¿½n en Derecho Tributario - Chï¿½a"/>
    <x v="25"/>
    <x v="0"/>
    <x v="0"/>
    <s v="Completa"/>
    <s v="Posgrado"/>
    <s v="FACULTAD DE DERECHO Y CIENCIAS POLÍTICAS"/>
    <s v="https://ProfCatedra2024.sawtoothsoftware.com/cgi-bin/ciwweb.pl?studyname=ProfCatedra2024&amp;Correo=SAMUELEDORTIZ@HOTMAIL.COM1"/>
  </r>
  <r>
    <s v="sandra.barragan@unisabana.edu.co"/>
    <s v="sandra.barragan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dra.barragan@unisabana.edu.co1"/>
  </r>
  <r>
    <s v="sandra.jarro@unisabana.edu.co"/>
    <s v="sandra.jarro@unisabana.edu.co1"/>
    <s v="INGENIERï¿½A CIVIL"/>
    <x v="49"/>
    <x v="0"/>
    <x v="0"/>
    <s v="Completa"/>
    <s v="Pregrado"/>
    <s v="FACULTAD DE INGENIERÍA"/>
    <s v="https://ProfCatedra2024.sawtoothsoftware.com/cgi-bin/ciwweb.pl?studyname=ProfCatedra2024&amp;Correo=sandra.jarro@unisabana.edu.co1"/>
  </r>
  <r>
    <s v="sandra.molina@unisabana.edu.co"/>
    <s v="sandra.molin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sandra.molina@unisabana.edu.co1"/>
  </r>
  <r>
    <s v="sandra.saavedra1@unisabana.edu.co"/>
    <s v="sandra.saavedra1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sandra.saavedra1@unisabana.edu.co1"/>
  </r>
  <r>
    <s v="sandra.vanegas4@unisabana.edu.co"/>
    <s v="sandra.vanegas4@unisabana.edu.co1"/>
    <s v="MEDICINA"/>
    <x v="4"/>
    <x v="0"/>
    <x v="0"/>
    <s v="Completa"/>
    <s v="Pregrado"/>
    <s v="FACULTAD DE MEDICINA"/>
    <s v="https://ProfCatedra2024.sawtoothsoftware.com/cgi-bin/ciwweb.pl?studyname=ProfCatedra2024&amp;Correo=sandra.vanegas4@unisabana.edu.co1"/>
  </r>
  <r>
    <s v="sandy.ortiz@unisabana.edu.co"/>
    <s v="sandy.orti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sandy.ortiz@unisabana.edu.co1"/>
  </r>
  <r>
    <s v="santiago.espinosa@unisabana.edu.co"/>
    <s v="santiago.espinosa@unisabana.edu.co1"/>
    <s v="FINANZAS"/>
    <x v="20"/>
    <x v="0"/>
    <x v="0"/>
    <s v="Completa"/>
    <s v="Pregrado"/>
    <s v="ESCUELA INTERNACIONAL DE CIENCIAS ECONÓMICAS Y ADMINISTRATIVAS"/>
    <s v="https://ProfCatedra2024.sawtoothsoftware.com/cgi-bin/ciwweb.pl?studyname=ProfCatedra2024&amp;Correo=santiago.espinosa@unisabana.edu.co1"/>
  </r>
  <r>
    <s v="santiago.gutierrez@unisabana.edu.co"/>
    <s v="santiago.gutierrez@unisabana.edu.co1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tiago.gutierrez@unisabana.edu.co1"/>
  </r>
  <r>
    <s v="santiago.osorio1@unisabana.edu.co"/>
    <s v="santiago.osorio1@unisabana.edu.co1"/>
    <s v="GESTIï¿½N DE OPERACIONES"/>
    <x v="96"/>
    <x v="0"/>
    <x v="0"/>
    <s v="Completa"/>
    <s v="Pregrado"/>
    <s v="ESCUELA INTERNACIONAL DE CIENCIAS ECONÓMICAS Y ADMINISTRATIVAS"/>
    <s v="https://ProfCatedra2024.sawtoothsoftware.com/cgi-bin/ciwweb.pl?studyname=ProfCatedra2024&amp;Correo=santiago.osorio1@unisabana.edu.co1"/>
  </r>
  <r>
    <s v="santiago.ramirez@unisabana.edu.co"/>
    <s v="santiago.ramirez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santiago.ramirez@unisabana.edu.co1"/>
  </r>
  <r>
    <s v="santiago.wills@unisabana.edu.co"/>
    <s v="santiago.wills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antiago.wills@unisabana.edu.co1"/>
  </r>
  <r>
    <s v="santiago.wills@unisabana.edu.co"/>
    <s v="santiago.wills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santiago.wills@unisabana.edu.co3"/>
  </r>
  <r>
    <s v="santiagomv@unisabana.edu.co"/>
    <s v="santiagomv@unisabana.edu.co01"/>
    <s v="Especializaciï¿½n en Gerencia Comercial Bucaramanga - Santander"/>
    <x v="104"/>
    <x v="0"/>
    <x v="0"/>
    <s v="Completa"/>
    <s v="Posgrado"/>
    <s v="INSTITUTO FORUM"/>
    <s v="https://ProfCatedra2024.sawtoothsoftware.com/cgi-bin/ciwweb.pl?studyname=ProfCatedra2024&amp;Correo=santiagomv@unisabana.edu.co01"/>
  </r>
  <r>
    <s v="santiagomv@unisabana.edu.co"/>
    <s v="santiagomv@unisabana.edu.co02"/>
    <s v="Especializaciï¿½n en Gerencia del Servicio - Chï¿½a"/>
    <x v="7"/>
    <x v="0"/>
    <x v="0"/>
    <s v="Completa"/>
    <s v="Posgrado"/>
    <s v="INSTITUTO FORUM"/>
    <s v="https://ProfCatedra2024.sawtoothsoftware.com/cgi-bin/ciwweb.pl?studyname=ProfCatedra2024&amp;Correo=santiagomv@unisabana.edu.co02"/>
  </r>
  <r>
    <s v="santiagoreve@unisabana.edu.co"/>
    <s v="santiagoreve@unisabana.edu.co07"/>
    <s v="MaestrÃ­a en AsesorÃ­a Familiar y GestiÃ³n de Programas para la Familia"/>
    <x v="14"/>
    <x v="0"/>
    <x v="0"/>
    <s v="Completa"/>
    <s v="Posgrado"/>
    <s v="INSTITUTO DE LA FAMILIA: ILFARUS"/>
    <s v="https://ProfCatedra2024.sawtoothsoftware.com/cgi-bin/ciwweb.pl?studyname=ProfCatedra2024&amp;Correo=santiagoreve@unisabana.edu.co07"/>
  </r>
  <r>
    <s v="sebastian.jaramillo@unisabana.edu.co"/>
    <s v="sebastian.jaramill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ebastian.jaramillo@unisabana.edu.co1"/>
  </r>
  <r>
    <s v="sergio.arrieta@unisabana.edu.co"/>
    <s v="sergio.arrieta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sergio.arrieta@unisabana.edu.co1"/>
  </r>
  <r>
    <s v="sergio.rubiano@unisabana.edu.co"/>
    <s v="sergio.rubiano@unisabana.edu.co1"/>
    <s v="MEDICINA"/>
    <x v="4"/>
    <x v="0"/>
    <x v="0"/>
    <s v="Completa"/>
    <s v="Pregrado"/>
    <s v="FACULTAD DE MEDICINA"/>
    <s v="https://ProfCatedra2024.sawtoothsoftware.com/cgi-bin/ciwweb.pl?studyname=ProfCatedra2024&amp;Correo=sergio.rubiano@unisabana.edu.co1"/>
  </r>
  <r>
    <s v="sergio.torres_cont@unisabana.edu.co"/>
    <s v="sergio.torres_cont@unisabana.edu.co02"/>
    <s v="Maestrï¿½a en Gerencia Estratï¿½gica"/>
    <x v="35"/>
    <x v="0"/>
    <x v="0"/>
    <s v="Completa"/>
    <s v="Posgrado"/>
    <s v="ESCUELA INTERNACIONAL DE CIENCIAS ECONÓMICAS Y ADMINISTRATIVAS"/>
    <s v="https://ProfCatedra2024.sawtoothsoftware.com/cgi-bin/ciwweb.pl?studyname=ProfCatedra2024&amp;Correo=sergio.torres_cont@unisabana.edu.co02"/>
  </r>
  <r>
    <s v="sergio.torres2@unisabana.edu.co"/>
    <s v="sergio.torres2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sergio.torres2@unisabana.edu.co1"/>
  </r>
  <r>
    <s v="silvana.ahumada@unisabana.edu.co"/>
    <s v="silvana.ahumad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silvana.ahumada@unisabana.edu.co1"/>
  </r>
  <r>
    <s v="simon.granja@unisabana.edu.co"/>
    <s v="simon.granja@unisabana.edu.co1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simon.granja@unisabana.edu.co1"/>
  </r>
  <r>
    <s v="simon.ramon@unisabana.edu.co"/>
    <s v="simon.ramon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simon.ramon@unisabana.edu.co1"/>
  </r>
  <r>
    <s v="sneyder.garcia@unisabana.edu.co"/>
    <s v="sneyder.garcia@unisabana.edu.co1"/>
    <s v="ADMINISTRACIï¿½N Y ORGANIZACIONES"/>
    <x v="21"/>
    <x v="0"/>
    <x v="0"/>
    <s v="Completa"/>
    <s v="Pregrado"/>
    <s v="ESCUELA INTERNACIONAL DE CIENCIAS ECONÓMICAS Y ADMINISTRATIVAS"/>
    <s v="https://ProfCatedra2024.sawtoothsoftware.com/cgi-bin/ciwweb.pl?studyname=ProfCatedra2024&amp;Correo=sneyder.garcia@unisabana.edu.co1"/>
  </r>
  <r>
    <s v="solange.monsalve1@unisabana.edu.co"/>
    <s v="solange.monsalve1@unisabana.edu.co1"/>
    <s v="MEDICINA"/>
    <x v="4"/>
    <x v="0"/>
    <x v="0"/>
    <s v="Completa"/>
    <s v="Pregrado"/>
    <s v="FACULTAD DE MEDICINA"/>
    <s v="https://ProfCatedra2024.sawtoothsoftware.com/cgi-bin/ciwweb.pl?studyname=ProfCatedra2024&amp;Correo=solange.monsalve1@unisabana.edu.co1"/>
  </r>
  <r>
    <s v="stella.venegas@unisabana.edu.co"/>
    <s v="stella.venegas@unisabana.edu.co1"/>
    <s v="ECONOMï¿½A"/>
    <x v="40"/>
    <x v="0"/>
    <x v="0"/>
    <s v="Completa"/>
    <s v="Pregrado"/>
    <s v="ESCUELA INTERNACIONAL DE CIENCIAS ECONÓMICAS Y ADMINISTRATIVAS"/>
    <s v="https://ProfCatedra2024.sawtoothsoftware.com/cgi-bin/ciwweb.pl?studyname=ProfCatedra2024&amp;Correo=stella.venegas@unisabana.edu.co1"/>
  </r>
  <r>
    <s v="suanny.pinzon@unisabana.edu.co"/>
    <s v="suanny.pinzon@unisabana.edu.co1"/>
    <s v="CENTRO DE TECNOLOGï¿½AS PARA LA ACADEMIA"/>
    <x v="87"/>
    <x v="0"/>
    <x v="0"/>
    <s v="Completa"/>
    <s v="Pregrado"/>
    <s v="CENTRO DE TECNOLOGÍAS PARA LA ACADEMIA"/>
    <s v="https://ProfCatedra2024.sawtoothsoftware.com/cgi-bin/ciwweb.pl?studyname=ProfCatedra2024&amp;Correo=suanny.pinzon@unisabana.edu.co1"/>
  </r>
  <r>
    <s v="sulma.vera@unisabana.edu.co"/>
    <s v="sulma.ver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sulma.vera@unisabana.edu.co1"/>
  </r>
  <r>
    <s v="tabata.cuervo1@unisabana.edu.co"/>
    <s v="tabata.cuervo1@unisabana.edu.co01"/>
    <s v="ESPECIALIZACION EN PSICOLOGIA CLINICA DE LA NIï¿½EZ Y LA ADOLESCENCIA"/>
    <x v="72"/>
    <x v="0"/>
    <x v="0"/>
    <s v="Completa"/>
    <s v="Posgrado"/>
    <s v="FACULTAD DE PSICOLOGÍA"/>
    <s v="https://ProfCatedra2024.sawtoothsoftware.com/cgi-bin/ciwweb.pl?studyname=ProfCatedra2024&amp;Correo=tabata.cuervo1@unisabana.edu.co01"/>
  </r>
  <r>
    <s v="tabata.cuervo1@unisabana.edu.co"/>
    <s v="tabata.cuervo1@unisabana.edu.co1"/>
    <s v="PSICOLOGï¿½A"/>
    <x v="29"/>
    <x v="0"/>
    <x v="0"/>
    <s v="Completa"/>
    <s v="Pregrado"/>
    <s v="FACULTAD DE PSICOLOGÍA"/>
    <s v="https://ProfCatedra2024.sawtoothsoftware.com/cgi-bin/ciwweb.pl?studyname=ProfCatedra2024&amp;Correo=tabata.cuervo1@unisabana.edu.co1"/>
  </r>
  <r>
    <s v="tarek.manzur@unisabana.edu.co"/>
    <s v="tarek.manzur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tarek.manzur@unisabana.edu.co1"/>
  </r>
  <r>
    <s v="teadira.perez@unisabana.edu.co"/>
    <s v="teadira.perez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teadira.perez@unisabana.edu.co1"/>
  </r>
  <r>
    <s v="tomas.londono@unisabana.edu.co"/>
    <s v="tomas.londono@unisabana.edu.co1"/>
    <s v="ARTES CULINARIAS Y CIENCIAS DE LA ALIMENTACIï¿½N"/>
    <x v="32"/>
    <x v="0"/>
    <x v="0"/>
    <s v="Completa"/>
    <s v="Pregrado"/>
    <s v="ESCUELA INTERNACIONAL DE CIENCIAS ECONÓMICAS Y ADMINISTRATIVAS"/>
    <s v="https://ProfCatedra2024.sawtoothsoftware.com/cgi-bin/ciwweb.pl?studyname=ProfCatedra2024&amp;Correo=tomas.londono@unisabana.edu.co1"/>
  </r>
  <r>
    <s v="tyrone.vargas1@unisabana.edu.co"/>
    <s v="tyrone.vargas1@unisabana.edu.co01"/>
    <s v="MAESTRï¿½A EN DIRECCIï¿½N Y GESTIï¿½N DE INSTITUCIONES EDUCATIVAS"/>
    <x v="62"/>
    <x v="0"/>
    <x v="0"/>
    <s v="Completa"/>
    <s v="Posgrado"/>
    <s v="FACULTAD DE EDUCACIÓN"/>
    <s v="https://ProfCatedra2024.sawtoothsoftware.com/cgi-bin/ciwweb.pl?studyname=ProfCatedra2024&amp;Correo=tyrone.vargas1@unisabana.edu.co01"/>
  </r>
  <r>
    <s v="tyrone.vargas1@unisabana.edu.co"/>
    <s v="tyrone.vargas1@unisabana.edu.co02"/>
    <s v="Maestrï¿½a en Direcciï¿½n y Gestiï¿½n de Instituciones Educativas - Riohacha"/>
    <x v="92"/>
    <x v="0"/>
    <x v="0"/>
    <s v="Completa"/>
    <s v="Posgrado"/>
    <s v="FACULTAD DE EDUCACIÓN"/>
    <s v="https://ProfCatedra2024.sawtoothsoftware.com/cgi-bin/ciwweb.pl?studyname=ProfCatedra2024&amp;Correo=tyrone.vargas1@unisabana.edu.co02"/>
  </r>
  <r>
    <s v="vera.nunez@unisabana.edu.co"/>
    <s v="vera.nunez@unisabana.edu.co01"/>
    <s v="Especializaciï¿½n en Enfermerï¿½a en Cuidado Crï¿½tico - Chï¿½a"/>
    <x v="10"/>
    <x v="0"/>
    <x v="0"/>
    <s v="Completa"/>
    <s v="Posgrado"/>
    <s v="FACULTAD DE ENFERMERÍA Y REHABILITACIÓN"/>
    <s v="https://ProfCatedra2024.sawtoothsoftware.com/cgi-bin/ciwweb.pl?studyname=ProfCatedra2024&amp;Correo=vera.nunez@unisabana.edu.co01"/>
  </r>
  <r>
    <s v="veronica.zas@unisabana.edu.co"/>
    <s v="veronica.zas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veronica.zas@unisabana.edu.co1"/>
  </r>
  <r>
    <s v="victor.parra@unisabana.edu.co"/>
    <s v="victor.parra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victor.parra@unisabana.edu.co1"/>
  </r>
  <r>
    <s v="viktoriya.andreeva@unisabana.edu.co"/>
    <s v="viktoriya.andreeva@unisabana.edu.co1"/>
    <s v="NEGOCIACIï¿½N Y COMERCIO INTERNACIONAL"/>
    <x v="91"/>
    <x v="0"/>
    <x v="0"/>
    <s v="Completa"/>
    <s v="Pregrado"/>
    <s v="ESCUELA INTERNACIONAL DE CIENCIAS ECONÓMICAS Y ADMINISTRATIVAS"/>
    <s v="https://ProfCatedra2024.sawtoothsoftware.com/cgi-bin/ciwweb.pl?studyname=ProfCatedra2024&amp;Correo=viktoriya.andreeva@unisabana.edu.co1"/>
  </r>
  <r>
    <s v="virgilio.ramon_cont@unisabana.edu.co"/>
    <s v="virgilio.ramon_cont@unisabana.edu.co07"/>
    <s v="ESPECIALIZACIÃ“N EN GERENCIA ESTRATÃ‰GICA CHÃA"/>
    <x v="54"/>
    <x v="0"/>
    <x v="0"/>
    <s v="Completa"/>
    <s v="Posgrado"/>
    <s v="INSTITUTO FORUM"/>
    <s v="https://ProfCatedra2024.sawtoothsoftware.com/cgi-bin/ciwweb.pl?studyname=ProfCatedra2024&amp;Correo=virgilio.ramon_cont@unisabana.edu.co07"/>
  </r>
  <r>
    <s v="viviana.mendez1@unisabana.edu.co"/>
    <s v="viviana.mendez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viviana.mendez1@unisabana.edu.co1"/>
  </r>
  <r>
    <s v="wbeimar.vera@unisabana.edu.co"/>
    <s v="wbeimar.vera@unisabana.edu.co1"/>
    <s v="INGENIERï¿½A DE BIOPRODUCCIï¿½N"/>
    <x v="90"/>
    <x v="0"/>
    <x v="0"/>
    <s v="Completa"/>
    <s v="Pregrado"/>
    <s v="FACULTAD DE INGENIERÍA"/>
    <s v="https://ProfCatedra2024.sawtoothsoftware.com/cgi-bin/ciwweb.pl?studyname=ProfCatedra2024&amp;Correo=wbeimar.vera@unisabana.edu.co1"/>
  </r>
  <r>
    <s v="wilber.garcia@unisabana.edu.co"/>
    <s v="wilber.garci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ber.garcia@unisabana.edu.co1"/>
  </r>
  <r>
    <s v="william.espitia@unisabana.edu.co"/>
    <s v="william.espiti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william.espitia@unisabana.edu.co1"/>
  </r>
  <r>
    <s v="william.moscoso@unisabana.edu.co"/>
    <s v="william.moscoso@unisabana.edu.co01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william.moscoso@unisabana.edu.co01"/>
  </r>
  <r>
    <s v="wilmer.beltran@unisabana.edu.co"/>
    <s v="wilmer.beltran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mer.beltran@unisabana.edu.co1"/>
  </r>
  <r>
    <s v="wilmer.triana@unisabana.edu.co"/>
    <s v="wilmer.triana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wilmer.triana@unisabana.edu.co1"/>
  </r>
  <r>
    <s v="wilson.castro1@unisabana.edu.co"/>
    <s v="wilson.castro1@unisabana.edu.co01"/>
    <s v="Especializaciï¿½n en Finanzas Corporativas - Chï¿½a"/>
    <x v="74"/>
    <x v="0"/>
    <x v="0"/>
    <s v="Completa"/>
    <s v="Posgrado"/>
    <s v="INSTITUTO FORUM"/>
    <s v="https://ProfCatedra2024.sawtoothsoftware.com/cgi-bin/ciwweb.pl?studyname=ProfCatedra2024&amp;Correo=wilson.castro1@unisabana.edu.co01"/>
  </r>
  <r>
    <s v="wilson.castro1@unisabana.edu.co"/>
    <s v="wilson.castro1@unisabana.edu.co03"/>
    <s v="Maestrï¿½a en Diseï¿½o y Gestiï¿½n de Procesos - Chï¿½a"/>
    <x v="97"/>
    <x v="0"/>
    <x v="0"/>
    <s v="Completa"/>
    <s v="Posgrado"/>
    <s v="FACULTAD DE INGENIERÍA"/>
    <s v="https://ProfCatedra2024.sawtoothsoftware.com/cgi-bin/ciwweb.pl?studyname=ProfCatedra2024&amp;Correo=wilson.castro1@unisabana.edu.co03"/>
  </r>
  <r>
    <s v="yaddy.nino@unisabana.edu.co"/>
    <s v="yaddy.nino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yaddy.nino@unisabana.edu.co1"/>
  </r>
  <r>
    <s v="yaddy.nino@unisabana.edu.co"/>
    <s v="yaddy.nino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yaddy.nino@unisabana.edu.co2"/>
  </r>
  <r>
    <s v="yaddy.nino@unisabana.edu.co"/>
    <s v="yaddy.nino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yaddy.nino@unisabana.edu.co3"/>
  </r>
  <r>
    <s v="yadira.carrion1@unisabana.edu.co"/>
    <s v="yadira.carrion1@unisabana.edu.co01"/>
    <s v="Especializaciï¿½n en Gerencia de Riesgos - Chï¿½a"/>
    <x v="38"/>
    <x v="0"/>
    <x v="0"/>
    <s v="Completa"/>
    <s v="Posgrado"/>
    <s v="INSTITUTO FORUM"/>
    <s v="https://ProfCatedra2024.sawtoothsoftware.com/cgi-bin/ciwweb.pl?studyname=ProfCatedra2024&amp;Correo=yadira.carrion1@unisabana.edu.co01"/>
  </r>
  <r>
    <s v="yaolavem@unal.edu.co"/>
    <s v="yaolavem@unal.edu.co1"/>
    <s v="FILOSOFï¿½A"/>
    <x v="60"/>
    <x v="0"/>
    <x v="0"/>
    <s v="Completa"/>
    <s v="Pregrado"/>
    <s v="FACULTAD DE FILOSOFÍA Y CIENCIAS HUMANAS"/>
    <s v="https://ProfCatedra2024.sawtoothsoftware.com/cgi-bin/ciwweb.pl?studyname=ProfCatedra2024&amp;Correo=yaolavem@unal.edu.co1"/>
  </r>
  <r>
    <s v="yeimmy.contreras@unisabana.edu.co"/>
    <s v="yeimmy.contreras@unisabana.edu.co1"/>
    <s v="INGENIERï¿½A INFORMï¿½TICA"/>
    <x v="31"/>
    <x v="0"/>
    <x v="0"/>
    <s v="Completa"/>
    <s v="Pregrado"/>
    <s v="FACULTAD DE INGENIERÍA"/>
    <s v="https://ProfCatedra2024.sawtoothsoftware.com/cgi-bin/ciwweb.pl?studyname=ProfCatedra2024&amp;Correo=yeimmy.contreras@unisabana.edu.co1"/>
  </r>
  <r>
    <s v="yeison.patarroyo@unisabana.edu.co"/>
    <s v="yeison.patarroyo@unisabana.edu.co1"/>
    <s v="MEDICINA"/>
    <x v="4"/>
    <x v="0"/>
    <x v="0"/>
    <s v="Completa"/>
    <s v="Pregrado"/>
    <s v="FACULTAD DE MEDICINA"/>
    <s v="https://ProfCatedra2024.sawtoothsoftware.com/cgi-bin/ciwweb.pl?studyname=ProfCatedra2024&amp;Correo=yeison.patarroyo@unisabana.edu.co1"/>
  </r>
  <r>
    <s v="yenny.duran@unisabana.edu.co"/>
    <s v="yenny.duran@unisabana.edu.co1"/>
    <s v="MEDICINA"/>
    <x v="4"/>
    <x v="0"/>
    <x v="0"/>
    <s v="Completa"/>
    <s v="Pregrado"/>
    <s v="FACULTAD DE MEDICINA"/>
    <s v="https://ProfCatedra2024.sawtoothsoftware.com/cgi-bin/ciwweb.pl?studyname=ProfCatedra2024&amp;Correo=yenny.duran@unisabana.edu.co1"/>
  </r>
  <r>
    <s v="yenymr@unisabana.edu.co"/>
    <s v="yenyMR@unisabana.edu.co1"/>
    <s v="CENTRO INTERNACIONAL DE LENGUAS Y CULTURAS EXTRANJERAS"/>
    <x v="19"/>
    <x v="0"/>
    <x v="0"/>
    <s v="Completa"/>
    <s v="Pregrado"/>
    <s v="CENTRO INTERNACIONAL DE LENGUAS Y CULTURAS EXTRANJERAS"/>
    <s v="https://ProfCatedra2024.sawtoothsoftware.com/cgi-bin/ciwweb.pl?studyname=ProfCatedra2024&amp;Correo=yenyMR@unisabana.edu.co1"/>
  </r>
  <r>
    <s v="yomaira.uscategui1@unisabana.edu.co"/>
    <s v="yomaira.uscategui1@unisabana.edu.co1"/>
    <s v="INGENIERï¿½A INDUSTRIAL"/>
    <x v="28"/>
    <x v="0"/>
    <x v="0"/>
    <s v="Completa"/>
    <s v="Pregrado"/>
    <s v="FACULTAD DE INGENIERÍA"/>
    <s v="https://ProfCatedra2024.sawtoothsoftware.com/cgi-bin/ciwweb.pl?studyname=ProfCatedra2024&amp;Correo=yomaira.uscategui1@unisabana.edu.co1"/>
  </r>
  <r>
    <s v="yomairausma@unisabana.edu.co"/>
    <s v="yomairausma@unisabana.edu.co1"/>
    <s v="INGENIERï¿½A QUï¿½MICA"/>
    <x v="16"/>
    <x v="0"/>
    <x v="0"/>
    <s v="Completa"/>
    <s v="Pregrado"/>
    <s v="FACULTAD DE INGENIERÍA"/>
    <s v="https://ProfCatedra2024.sawtoothsoftware.com/cgi-bin/ciwweb.pl?studyname=ProfCatedra2024&amp;Correo=yomairausma@unisabana.edu.co1"/>
  </r>
  <r>
    <s v="yuli.contreras@unisabana.edu.co"/>
    <s v="yuli.contreras@unisabana.edu.co1"/>
    <s v="DERECHO"/>
    <x v="22"/>
    <x v="0"/>
    <x v="0"/>
    <s v="Completa"/>
    <s v="Pregrado"/>
    <s v="FACULTAD DE DERECHO Y CIENCIAS POLÍTICAS"/>
    <s v="https://ProfCatedra2024.sawtoothsoftware.com/cgi-bin/ciwweb.pl?studyname=ProfCatedra2024&amp;Correo=yuli.contreras@unisabana.edu.co1"/>
  </r>
  <r>
    <s v="yulycudu@unisabana.edu.co"/>
    <s v="yulycudu@unisabana.edu.co1"/>
    <s v="CORE CURRICULUM PERSONA Y CULTURA"/>
    <x v="36"/>
    <x v="0"/>
    <x v="0"/>
    <s v="Completa"/>
    <s v="Pregrado"/>
    <s v="CORE CURRICULUM PERSONA Y CULTURA"/>
    <s v="https://ProfCatedra2024.sawtoothsoftware.com/cgi-bin/ciwweb.pl?studyname=ProfCatedra2024&amp;Correo=yulycudu@unisabana.edu.co1"/>
  </r>
  <r>
    <s v="yury.ricaurte@unisabana.edu.co"/>
    <s v="yury.ricaurte@unisabana.edu.co1"/>
    <s v="ENFERMERï¿½A"/>
    <x v="57"/>
    <x v="0"/>
    <x v="0"/>
    <s v="Completa"/>
    <s v="Pregrado"/>
    <s v="FACULTAD DE ENFERMERÍA Y REHABILITACIÓN"/>
    <s v="https://ProfCatedra2024.sawtoothsoftware.com/cgi-bin/ciwweb.pl?studyname=ProfCatedra2024&amp;Correo=yury.ricaurte@unisabana.edu.co1"/>
  </r>
  <r>
    <s v="zamir.hamad@unisabana.edu.co"/>
    <s v="Zamir.Hamad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Zamir.Hamad@unisabana.edu.co1"/>
  </r>
  <r>
    <s v="zulma.velandia1@unisabana.edu.co"/>
    <s v="zulma.velandia1@unisabana.edu.co1"/>
    <s v="COMUNICACIï¿½N AUDIOVISUAL Y MULTIMEDIOS"/>
    <x v="23"/>
    <x v="0"/>
    <x v="0"/>
    <s v="Completa"/>
    <s v="Pregrado"/>
    <s v="FACULTAD DE COMUNICACIÓN"/>
    <s v="https://ProfCatedra2024.sawtoothsoftware.com/cgi-bin/ciwweb.pl?studyname=ProfCatedra2024&amp;Correo=zulma.velandia1@unisabana.edu.co1"/>
  </r>
  <r>
    <s v="zulma.velandia1@unisabana.edu.co"/>
    <s v="zulma.velandia1@unisabana.edu.co2"/>
    <s v="COMUNICACIï¿½N SOCIAL Y PERIODISMO"/>
    <x v="15"/>
    <x v="0"/>
    <x v="0"/>
    <s v="Completa"/>
    <s v="Pregrado"/>
    <s v="FACULTAD DE COMUNICACIÓN"/>
    <s v="https://ProfCatedra2024.sawtoothsoftware.com/cgi-bin/ciwweb.pl?studyname=ProfCatedra2024&amp;Correo=zulma.velandia1@unisabana.edu.co2"/>
  </r>
  <r>
    <s v="zulma.velandia1@unisabana.edu.co"/>
    <s v="zulma.velandia1@unisabana.edu.co3"/>
    <s v="COMUNICACIï¿½N CORPORATIVA"/>
    <x v="43"/>
    <x v="0"/>
    <x v="0"/>
    <s v="Completa"/>
    <s v="Pregrado"/>
    <s v="FACULTAD DE COMUNICACIÓN"/>
    <s v="https://ProfCatedra2024.sawtoothsoftware.com/cgi-bin/ciwweb.pl?studyname=ProfCatedra2024&amp;Correo=zulma.velandia1@unisabana.edu.co3"/>
  </r>
  <r>
    <s v="adner.capachero@unisabana.edu.co"/>
    <s v="adner.capachero@unisabana.edu.co01"/>
    <s v="ESPECIALIZACIï¿½N EN GERENCIA DE PRODUCCIï¿½N Y OPERACIONES  - CHIA"/>
    <x v="113"/>
    <x v="1"/>
    <x v="0"/>
    <s v="Completa"/>
    <s v="Posgrado"/>
    <s v="INSTITUTO FORUM"/>
    <s v="https://ProfPlanta2024.sawtoothsoftware.com/cgi-bin/ciwweb.pl?studyname=ProfPlanta2024&amp;Correo=adner.capachero@unisabana.edu.co01"/>
  </r>
  <r>
    <s v="adrian.santana@unisabana.edu.co"/>
    <s v="adrian.santan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adrian.santana@unisabana.edu.co01"/>
  </r>
  <r>
    <s v="adriana.castellanos@unisabana.edu.co"/>
    <s v="adriana.castellanos@unisabana.edu.co03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adriana.castellanos@unisabana.edu.co03"/>
  </r>
  <r>
    <s v="adriana.castellanos@unisabana.edu.co"/>
    <s v="adriana.castellanos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driana.castellanos@unisabana.edu.co1"/>
  </r>
  <r>
    <s v="adriana.cavanzo1@unisabana.edu.co"/>
    <s v="adriana.cavanzo1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adriana.cavanzo1@unisabana.edu.co01"/>
  </r>
  <r>
    <s v="adriana.cavanzo1@unisabana.edu.co"/>
    <s v="adriana.cavanzo1@unisabana.edu.co1"/>
    <s v="MEDICINA"/>
    <x v="4"/>
    <x v="1"/>
    <x v="0"/>
    <s v="Completa"/>
    <s v="Pregrado"/>
    <s v="FACULTAD DE MEDICINA"/>
    <s v="https://ProfPlanta2024.sawtoothsoftware.com/cgi-bin/ciwweb.pl?studyname=ProfPlanta2024&amp;Correo=adriana.cavanzo1@unisabana.edu.co1"/>
  </r>
  <r>
    <s v="adriana.guzman@unisabana.edu.co"/>
    <s v="adriana.guzman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adriana.guzman@unisabana.edu.co1"/>
  </r>
  <r>
    <s v="aida.casadiego@unisabana.edu.co"/>
    <s v="aida.casadiego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ida.casadiego@unisabana.edu.co1"/>
  </r>
  <r>
    <s v="alba.siabatto@unisabana.edu.co"/>
    <s v="alba.siabatto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alba.siabatto@unisabana.edu.co1"/>
  </r>
  <r>
    <s v="albedro.cadena@unisabana.edu.co"/>
    <s v="albedro.caden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lbedro.cadena@unisabana.edu.co1"/>
  </r>
  <r>
    <s v="alejandra.fuentes@unisabana.edu.co"/>
    <s v="alejandra.fuentes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alejandra.fuentes@unisabana.edu.co01"/>
  </r>
  <r>
    <s v="alejandro.acosta1@unisabana.edu.co"/>
    <s v="Alejandro.acosta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Alejandro.acosta1@unisabana.edu.co01"/>
  </r>
  <r>
    <s v="alejandro.acosta1@unisabana.edu.co"/>
    <s v="Alejandro.acost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Alejandro.acosta1@unisabana.edu.co1"/>
  </r>
  <r>
    <s v="alejandro.acosta1@unisabana.edu.co"/>
    <s v="Alejandro.acosta1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Alejandro.acosta1@unisabana.edu.co2"/>
  </r>
  <r>
    <s v="alejandro.aponte@unisabana.edu.co"/>
    <s v="alejandro.aponte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lejandro.aponte@unisabana.edu.co01"/>
  </r>
  <r>
    <s v="alejandro.aponte@unisabana.edu.co"/>
    <s v="alejandro.aponte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lejandro.aponte@unisabana.edu.co1"/>
  </r>
  <r>
    <s v="alexandra.pedraza@unisabana.edu.co"/>
    <s v="alexandra.pedraza@unisabana.edu.co01"/>
    <s v="ESPECIALIZACIï¿½N EN GERENCIA EDUCATIVA"/>
    <x v="98"/>
    <x v="1"/>
    <x v="1"/>
    <s v="Incompleta"/>
    <s v="Posgrado"/>
    <s v="FACULTAD DE EDUCACIÓN"/>
    <s v="https://ProfPlanta2024.sawtoothsoftware.com/cgi-bin/ciwweb.pl?studyname=ProfPlanta2024&amp;Correo=alexandra.pedraza@unisabana.edu.co01"/>
  </r>
  <r>
    <s v="alexandra.pedraza@unisabana.edu.co"/>
    <s v="alexandra.pedraza@unisabana.edu.co02"/>
    <s v="MAESTRï¿½A EN DIRECCIï¿½N Y GESTIï¿½N DE INSTITUCIONES EDUCATIVAS"/>
    <x v="62"/>
    <x v="1"/>
    <x v="1"/>
    <s v="Incompleta"/>
    <s v="Posgrado"/>
    <s v="FACULTAD DE EDUCACIÓN"/>
    <s v="https://ProfPlanta2024.sawtoothsoftware.com/cgi-bin/ciwweb.pl?studyname=ProfPlanta2024&amp;Correo=alexandra.pedraza@unisabana.edu.co02"/>
  </r>
  <r>
    <s v="alexandra.pedraza@unisabana.edu.co"/>
    <s v="alexandra.pedraza@unisabana.edu.co03"/>
    <s v="MAESTRï¿½A EN DIRECCIï¿½N Y GESTIï¿½N DE INSTITUCIONES EDUCATIVAS - GUAJIRA"/>
    <x v="92"/>
    <x v="1"/>
    <x v="1"/>
    <s v="Incompleta"/>
    <s v="Posgrado"/>
    <s v="FACULTAD DE EDUCACIÓN"/>
    <s v="https://ProfPlanta2024.sawtoothsoftware.com/cgi-bin/ciwweb.pl?studyname=ProfPlanta2024&amp;Correo=alexandra.pedraza@unisabana.edu.co03"/>
  </r>
  <r>
    <s v="alexandra.pedraza@unisabana.edu.co"/>
    <s v="alexandra.pedraza@unisabana.edu.co1"/>
    <s v="LICENCIATURA EN CIENCIAS NATURALES"/>
    <x v="3"/>
    <x v="1"/>
    <x v="1"/>
    <s v="Incompleta"/>
    <s v="Pregrado"/>
    <s v="FACULTAD DE EDUCACIÓN"/>
    <s v="https://ProfPlanta2024.sawtoothsoftware.com/cgi-bin/ciwweb.pl?studyname=ProfPlanta2024&amp;Correo=alexandra.pedraza@unisabana.edu.co1"/>
  </r>
  <r>
    <s v="alexandra.pedraza@unisabana.edu.co"/>
    <s v="alexandra.pedraza@unisabana.edu.co2"/>
    <s v="LICENCIATURA EN EDUCACIï¿½N INFANTIL"/>
    <x v="34"/>
    <x v="1"/>
    <x v="1"/>
    <s v="Incompleta"/>
    <s v="Pregrado"/>
    <s v="FACULTAD DE EDUCACIÓN"/>
    <s v="https://ProfPlanta2024.sawtoothsoftware.com/cgi-bin/ciwweb.pl?studyname=ProfPlanta2024&amp;Correo=alexandra.pedraza@unisabana.edu.co2"/>
  </r>
  <r>
    <s v="alfonso.sarmiento@unisabana.edu.co"/>
    <s v="alfonso.sarmiento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alfonso.sarmiento@unisabana.edu.co01"/>
  </r>
  <r>
    <s v="alfonso.sarmiento@unisabana.edu.co"/>
    <s v="alfonso.sarmiento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alfonso.sarmiento@unisabana.edu.co02"/>
  </r>
  <r>
    <s v="alfonsosava@unisabana.edu.co"/>
    <s v="alfonsosav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alfonsosava@unisabana.edu.co1"/>
  </r>
  <r>
    <s v="alirio.bastidas@unisabana.edu.co"/>
    <s v="alirio.bastidas@unisabana.edu.co01"/>
    <s v="ESPECIALIZACIï¿½N EN MEDICINA INTERNA"/>
    <x v="135"/>
    <x v="1"/>
    <x v="0"/>
    <s v="Completa"/>
    <s v="Posgrado"/>
    <s v="FACULTAD DE MEDICINA"/>
    <s v="https://ProfPlanta2024.sawtoothsoftware.com/cgi-bin/ciwweb.pl?studyname=ProfPlanta2024&amp;Correo=alirio.bastidas@unisabana.edu.co01"/>
  </r>
  <r>
    <s v="alirio.bastidas@unisabana.edu.co"/>
    <s v="alirio.bastidas@unisabana.edu.co02"/>
    <s v="MAESTRï¿½A EN EPIDEMIOLOGï¿½A"/>
    <x v="83"/>
    <x v="1"/>
    <x v="0"/>
    <s v="Completa"/>
    <s v="Posgrado"/>
    <s v="FACULTAD DE MEDICINA"/>
    <s v="https://ProfPlanta2024.sawtoothsoftware.com/cgi-bin/ciwweb.pl?studyname=ProfPlanta2024&amp;Correo=alirio.bastidas@unisabana.edu.co02"/>
  </r>
  <r>
    <s v="alirio.bastidas@unisabana.edu.co"/>
    <s v="alirio.bastidas@unisabana.edu.co1"/>
    <s v="MEDICINA"/>
    <x v="4"/>
    <x v="1"/>
    <x v="0"/>
    <s v="Completa"/>
    <s v="Pregrado"/>
    <s v="FACULTAD DE MEDICINA"/>
    <s v="https://ProfPlanta2024.sawtoothsoftware.com/cgi-bin/ciwweb.pl?studyname=ProfPlanta2024&amp;Correo=alirio.bastidas@unisabana.edu.co1"/>
  </r>
  <r>
    <s v="alvaro.mendoza@unisabana.edu.co"/>
    <s v="alvaro.mendoz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lvaro.mendoza@unisabana.edu.co1"/>
  </r>
  <r>
    <s v="amanda.rodriguez1@unisabana.edu.co"/>
    <s v="amanda.rodriguez1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amanda.rodriguez1@unisabana.edu.co01"/>
  </r>
  <r>
    <s v="ana.idarraga@unisabana.edu.co"/>
    <s v="ana.idarraga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a.idarraga@unisabana.edu.co01"/>
  </r>
  <r>
    <s v="ana.idarraga@unisabana.edu.co"/>
    <s v="ana.idarrag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a.idarraga@unisabana.edu.co1"/>
  </r>
  <r>
    <s v="ana.olaya@unisabana.edu.co"/>
    <s v="ana.olaya@unisabana.edu.co01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1"/>
  </r>
  <r>
    <s v="ana.olaya@unisabana.edu.co"/>
    <s v="ana.olaya@unisabana.edu.co02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2"/>
  </r>
  <r>
    <s v="ana.olaya@unisabana.edu.co"/>
    <s v="ana.olaya@unisabana.edu.co03"/>
    <s v="MAESTRï¿½A EN GERENCIA INTERNACIONAL"/>
    <x v="37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3"/>
  </r>
  <r>
    <s v="ana.santos@unisabana.edu.co"/>
    <s v="ana.santos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ana.santos@unisabana.edu.co01"/>
  </r>
  <r>
    <s v="ana.santos@unisabana.edu.co"/>
    <s v="ana.santos@unisabana.edu.co02"/>
    <s v="ESPECIALIZACIï¿½N EN REUMATOLOGï¿½A"/>
    <x v="136"/>
    <x v="1"/>
    <x v="0"/>
    <s v="Completa"/>
    <s v="Posgrado"/>
    <s v="FACULTAD DE INGENIERÍA"/>
    <s v="https://ProfPlanta2024.sawtoothsoftware.com/cgi-bin/ciwweb.pl?studyname=ProfPlanta2024&amp;Correo=ana.santos@unisabana.edu.co02"/>
  </r>
  <r>
    <s v="ana.santos@unisabana.edu.co"/>
    <s v="ana.santos@unisabana.edu.co1"/>
    <s v="MEDICINA"/>
    <x v="4"/>
    <x v="1"/>
    <x v="0"/>
    <s v="Completa"/>
    <s v="Pregrado"/>
    <s v="FACULTAD DE MEDICINA"/>
    <s v="https://ProfPlanta2024.sawtoothsoftware.com/cgi-bin/ciwweb.pl?studyname=ProfPlanta2024&amp;Correo=ana.santos@unisabana.edu.co1"/>
  </r>
  <r>
    <s v="ana.silva3@unisabana.edu.co"/>
    <s v="ana.silva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na.silva3@unisabana.edu.co1"/>
  </r>
  <r>
    <s v="ana.ternent@unisabana.edu.co"/>
    <s v="ana.ternent@unisabana.edu.co01"/>
    <s v="MAESTRï¿½A EN DIDï¿½CTICA DEL INGLï¿½S PARA EL APRENDIZAJE AUTODIRIGIDO"/>
    <x v="137"/>
    <x v="1"/>
    <x v="0"/>
    <s v="Completa"/>
    <s v="Posgrado"/>
    <s v="FACULTAD DE EDUCACIÓN"/>
    <s v="https://ProfPlanta2024.sawtoothsoftware.com/cgi-bin/ciwweb.pl?studyname=ProfPlanta2024&amp;Correo=ana.ternent@unisabana.edu.co01"/>
  </r>
  <r>
    <s v="ana.ternent@unisabana.edu.co"/>
    <s v="ana.ternent@unisabana.edu.co02"/>
    <s v="MAESTRï¿½A EN PEDAGOGï¿½A"/>
    <x v="30"/>
    <x v="1"/>
    <x v="0"/>
    <s v="Completa"/>
    <s v="Posgrado"/>
    <s v="FACULTAD DE EDUCACIÓN"/>
    <s v="https://ProfPlanta2024.sawtoothsoftware.com/cgi-bin/ciwweb.pl?studyname=ProfPlanta2024&amp;Correo=ana.ternent@unisabana.edu.co02"/>
  </r>
  <r>
    <s v="ana.ternent@unisabana.edu.co"/>
    <s v="ana.ternent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ana.ternent@unisabana.edu.co1"/>
  </r>
  <r>
    <s v="ana.vargas@unisabana.edu.co"/>
    <s v="ana.vargas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ana.vargas@unisabana.edu.co01"/>
  </r>
  <r>
    <s v="ana.vargas@unisabana.edu.co"/>
    <s v="ana.vargas@unisabana.edu.co02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ana.vargas@unisabana.edu.co02"/>
  </r>
  <r>
    <s v="ana.vargas@unisabana.edu.co"/>
    <s v="ana.vargas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ana.vargas@unisabana.edu.co1"/>
  </r>
  <r>
    <s v="ana.vargas@unisabana.edu.co"/>
    <s v="ana.vargas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ana.vargas@unisabana.edu.co2"/>
  </r>
  <r>
    <s v="anagr@unisabana.edu.co"/>
    <s v="AnaGR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aGR@unisabana.edu.co1"/>
  </r>
  <r>
    <s v="anasam@unisabana.edu.co"/>
    <s v="Anasam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asam@unisabana.edu.co1"/>
  </r>
  <r>
    <s v="andrea.garcia2@unisabana.edu.co"/>
    <s v="andrea.garcia2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andrea.garcia2@unisabana.edu.co07"/>
  </r>
  <r>
    <s v="andres.agudelo@unisabana.edu.co"/>
    <s v="andres.agudelo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andres.agudelo@unisabana.edu.co01"/>
  </r>
  <r>
    <s v="andres.agudelo@unisabana.edu.co"/>
    <s v="andres.agudelo@unisabana.edu.co02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dres.agudelo@unisabana.edu.co02"/>
  </r>
  <r>
    <s v="andres.agudelo@unisabana.edu.co"/>
    <s v="andres.agudelo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andres.agudelo@unisabana.edu.co1"/>
  </r>
  <r>
    <s v="andres.chiappe@unisabana.edu.co"/>
    <s v="andres.chiappe@unisabana.edu.co01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andres.chiappe@unisabana.edu.co01"/>
  </r>
  <r>
    <s v="andres.chiappe@unisabana.edu.co"/>
    <s v="andres.chiappe@unisabana.edu.co02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andres.chiappe@unisabana.edu.co02"/>
  </r>
  <r>
    <s v="andres.forero1@unisabana.edu.co"/>
    <s v="andres.forero1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andres.forero1@unisabana.edu.co1"/>
  </r>
  <r>
    <s v="andres.lopez4@unisabana.edu.co"/>
    <s v="andres.lopez4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andres.lopez4@unisabana.edu.co01"/>
  </r>
  <r>
    <s v="andres.lopez4@unisabana.edu.co"/>
    <s v="andres.lopez4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andres.lopez4@unisabana.edu.co1"/>
  </r>
  <r>
    <s v="andres.lopez4@unisabana.edu.co"/>
    <s v="andres.lopez4@unisabana.edu.co2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dres.lopez4@unisabana.edu.co2"/>
  </r>
  <r>
    <s v="andres.martinez8@unisabana.edu.co"/>
    <s v="andres.martinez8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andres.martinez8@unisabana.edu.co1"/>
  </r>
  <r>
    <s v="andres.mejia@unisabana.edu.co"/>
    <s v="andres.mejia@unisabana.edu.co04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andres.mejia@unisabana.edu.co04"/>
  </r>
  <r>
    <s v="andres.munoz1@unisabana.edu.co"/>
    <s v="andres.munoz1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andres.munoz1@unisabana.edu.co1"/>
  </r>
  <r>
    <s v="andres.salazar@unisabana.edu.co"/>
    <s v="andres.salazar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dres.salazar@unisabana.edu.co1"/>
  </r>
  <r>
    <s v="andres.villegas@unisabana.edu.co"/>
    <s v="andres.villegas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andres.villegas@unisabana.edu.co1"/>
  </r>
  <r>
    <s v="angela.acero@unisabana.edu.co"/>
    <s v="angela.acero@unisabana.edu.co1"/>
    <s v="MEDICINA"/>
    <x v="4"/>
    <x v="1"/>
    <x v="0"/>
    <s v="Completa"/>
    <s v="Pregrado"/>
    <s v="FACULTAD DE MEDICINA"/>
    <s v="https://ProfPlanta2024.sawtoothsoftware.com/cgi-bin/ciwweb.pl?studyname=ProfPlanta2024&amp;Correo=angela.acero@unisabana.edu.co1"/>
  </r>
  <r>
    <s v="angela.delgado@unisabana.edu.co"/>
    <s v="angela.delgado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angela.delgado@unisabana.edu.co1"/>
  </r>
  <r>
    <s v="angela.gamba@unisabana.edu.co"/>
    <s v="angela.gamb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ngela.gamba@unisabana.edu.co1"/>
  </r>
  <r>
    <s v="angela.moncaleano@unisabana.edu.co"/>
    <s v="angela.moncalean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angela.moncaleano@unisabana.edu.co1"/>
  </r>
  <r>
    <s v="angela.preciado@unisabana.edu.co"/>
    <s v="angela.preciado@unisabana.edu.co01"/>
    <s v="DOCTORADO EN COMUNICACIï¿½N"/>
    <x v="139"/>
    <x v="1"/>
    <x v="1"/>
    <s v="Incompleta"/>
    <s v="Posgrado"/>
    <s v="FACULTAD DE COMUNICACIÓN"/>
    <s v="https://ProfPlanta2024.sawtoothsoftware.com/cgi-bin/ciwweb.pl?studyname=ProfPlanta2024&amp;Correo=angela.preciado@unisabana.edu.co01"/>
  </r>
  <r>
    <s v="angela.preciado@unisabana.edu.co"/>
    <s v="angela.preciado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angela.preciado@unisabana.edu.co1"/>
  </r>
  <r>
    <s v="angela.rubiano@unisabana.edu.co"/>
    <s v="angela.rubiano@unisabana.edu.co01"/>
    <s v="ESPECIALIZACIï¿½N EN GERENCIA EDUCATIVA"/>
    <x v="98"/>
    <x v="1"/>
    <x v="0"/>
    <s v="Completa"/>
    <s v="Posgrado"/>
    <s v="FACULTAD DE EDUCACIÓN"/>
    <s v="https://ProfPlanta2024.sawtoothsoftware.com/cgi-bin/ciwweb.pl?studyname=ProfPlanta2024&amp;Correo=angela.rubiano@unisabana.edu.co01"/>
  </r>
  <r>
    <s v="angela.rubiano@unisabana.edu.co"/>
    <s v="angela.rubiano@unisabana.edu.co02"/>
    <s v="MAESTRï¿½A EN DIRECCIï¿½N Y GESTIï¿½N DE INSTITUCIONES EDUCATIVAS"/>
    <x v="62"/>
    <x v="1"/>
    <x v="0"/>
    <s v="Completa"/>
    <s v="Posgrado"/>
    <s v="FACULTAD DE EDUCACIÓN"/>
    <s v="https://ProfPlanta2024.sawtoothsoftware.com/cgi-bin/ciwweb.pl?studyname=ProfPlanta2024&amp;Correo=angela.rubiano@unisabana.edu.co02"/>
  </r>
  <r>
    <s v="angela.rubiano@unisabana.edu.co"/>
    <s v="angela.rubiano@unisabana.edu.co03"/>
    <s v="MAESTRï¿½A EN DIRECCIï¿½N Y GESTIï¿½N DE INSTITUCIONES EDUCATIVAS - GUAJIRA"/>
    <x v="92"/>
    <x v="1"/>
    <x v="0"/>
    <s v="Completa"/>
    <s v="Posgrado"/>
    <s v="FACULTAD DE EDUCACIÓN"/>
    <s v="https://ProfPlanta2024.sawtoothsoftware.com/cgi-bin/ciwweb.pl?studyname=ProfPlanta2024&amp;Correo=angela.rubiano@unisabana.edu.co03"/>
  </r>
  <r>
    <s v="angela.rubiano@unisabana.edu.co"/>
    <s v="angela.rubiano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angela.rubiano@unisabana.edu.co1"/>
  </r>
  <r>
    <s v="angela.trujillo@unisabana.edu.co"/>
    <s v="angela.trujillo@unisabana.edu.co02"/>
    <s v="MAESTRIA EN PSICOLOGIA DE LA SALUD Y DISCAPACIDAD"/>
    <x v="46"/>
    <x v="1"/>
    <x v="0"/>
    <s v="Completa"/>
    <s v="Posgrado"/>
    <s v="FACULTAD DE PSICOLOGÍA"/>
    <s v="https://ProfPlanta2024.sawtoothsoftware.com/cgi-bin/ciwweb.pl?studyname=ProfPlanta2024&amp;Correo=angela.trujillo@unisabana.edu.co02"/>
  </r>
  <r>
    <s v="angela.trujillo@unisabana.edu.co"/>
    <s v="angela.trujillo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angela.trujillo@unisabana.edu.co07"/>
  </r>
  <r>
    <s v="angelica.ospina@unisabana.edu.co"/>
    <s v="angelica.ospina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angelica.ospina@unisabana.edu.co01"/>
  </r>
  <r>
    <s v="angelica.ospina@unisabana.edu.co"/>
    <s v="angelica.ospina@unisabana.edu.co02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angelica.ospina@unisabana.edu.co02"/>
  </r>
  <r>
    <s v="angelica.ospina@unisabana.edu.co"/>
    <s v="angelica.ospina@unisabana.edu.co03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angelica.ospina@unisabana.edu.co03"/>
  </r>
  <r>
    <s v="angelica.ospina@unisabana.edu.co"/>
    <s v="angelica.ospina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angelica.ospina@unisabana.edu.co1"/>
  </r>
  <r>
    <s v="angelica.ramirez2@unisabana.edu.co"/>
    <s v="angelica.ramirez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angelica.ramirez2@unisabana.edu.co1"/>
  </r>
  <r>
    <s v="anna.filomena@unisabana.edu.co"/>
    <s v="anna.filomena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anna.filomena@unisabana.edu.co1"/>
  </r>
  <r>
    <s v="astrid.robayo@unisabana.edu.co"/>
    <s v="astrid.robay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astrid.robayo@unisabana.edu.co01"/>
  </r>
  <r>
    <s v="astrid.robayo@unisabana.edu.co"/>
    <s v="astrid.robayo@unisabana.edu.co02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astrid.robayo@unisabana.edu.co02"/>
  </r>
  <r>
    <s v="astrid.robayo@unisabana.edu.co"/>
    <s v="astrid.robayo@unisabana.edu.co03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astrid.robayo@unisabana.edu.co03"/>
  </r>
  <r>
    <s v="astrid.robayo@unisabana.edu.co"/>
    <s v="astrid.robayo@unisabana.edu.co04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astrid.robayo@unisabana.edu.co04"/>
  </r>
  <r>
    <s v="astrid.robayo@unisabana.edu.co"/>
    <s v="astrid.robay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astrid.robayo@unisabana.edu.co1"/>
  </r>
  <r>
    <s v="astrid.robayo@unisabana.edu.co"/>
    <s v="astrid.robayo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astrid.robayo@unisabana.edu.co2"/>
  </r>
  <r>
    <s v="bernardo.estrada@unisabana.edu.co"/>
    <s v="bernardo.estrada@unisabana.edu.co01"/>
    <s v="MAESTRï¿½A EN TEOLOGï¿½A - CHï¿½A"/>
    <x v="45"/>
    <x v="1"/>
    <x v="0"/>
    <s v="Completa"/>
    <s v="Posgrado"/>
    <s v="FACULTAD DE FILOSOFÍA Y CIENCIAS HUMANAS"/>
    <s v="https://ProfPlanta2024.sawtoothsoftware.com/cgi-bin/ciwweb.pl?studyname=ProfPlanta2024&amp;Correo=bernardo.estrada@unisabana.edu.co01"/>
  </r>
  <r>
    <s v="bibiana.zapata@unisabana.edu.co"/>
    <s v="bibiana.zapat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bibiana.zapata@unisabana.edu.co1"/>
  </r>
  <r>
    <s v="camila.figueroa1@unisabana.edu.co"/>
    <s v="camila.figuero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camila.figueroa1@unisabana.edu.co1"/>
  </r>
  <r>
    <s v="camila.herrera@unisabana.edu.co"/>
    <s v="camila.herrera@unisabana.edu.co01"/>
    <s v="MAESTRIA EN DERECHO CONSTITUCIONAL"/>
    <x v="56"/>
    <x v="1"/>
    <x v="1"/>
    <s v="Incompleta"/>
    <s v="Posgrado"/>
    <s v="FACULTAD DE DERECHO Y CIENCIAS POLÍTICAS"/>
    <s v="https://ProfPlanta2024.sawtoothsoftware.com/cgi-bin/ciwweb.pl?studyname=ProfPlanta2024&amp;Correo=camila.herrera@unisabana.edu.co01"/>
  </r>
  <r>
    <s v="camila.herrera@unisabana.edu.co"/>
    <s v="camila.herrer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mila.herrera@unisabana.edu.co1"/>
  </r>
  <r>
    <s v="camilo.arias@unisabana.edu.co"/>
    <s v="camilo.arias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camilo.arias@unisabana.edu.co1"/>
  </r>
  <r>
    <s v="camilo.botero@unisabana.edu.co"/>
    <s v="camilo.botero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camilo.botero@unisabana.edu.co1"/>
  </r>
  <r>
    <s v="camilo.co0rreal@unisabana.edu.co"/>
    <s v="camilo.co0rreal@unisabana.edu.co01"/>
    <s v="MAESTRï¿½A EN SALUD Pï¿½BLICA"/>
    <x v="70"/>
    <x v="1"/>
    <x v="0"/>
    <s v="Completa"/>
    <s v="Posgrado"/>
    <s v="FACULTAD DE MEDICINA"/>
    <s v="https://ProfPlanta2024.sawtoothsoftware.com/cgi-bin/ciwweb.pl?studyname=ProfPlanta2024&amp;Correo=camilo.co0rreal@unisabana.edu.co01"/>
  </r>
  <r>
    <s v="camilo.correal@unisabana.edu.co"/>
    <s v="camilo.correal@unisabana.edu.co1"/>
    <s v="MEDICINA"/>
    <x v="4"/>
    <x v="1"/>
    <x v="0"/>
    <s v="Completa"/>
    <s v="Pregrado"/>
    <s v="FACULTAD DE MEDICINA"/>
    <s v="https://ProfPlanta2024.sawtoothsoftware.com/cgi-bin/ciwweb.pl?studyname=ProfPlanta2024&amp;Correo=camilo.correal@unisabana.edu.co1"/>
  </r>
  <r>
    <s v="camilo.posada@unisabana.edu.co"/>
    <s v="camilo.posa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milo.posada@unisabana.edu.co1"/>
  </r>
  <r>
    <s v="camilo.rengifo@unisabana.edu.co"/>
    <s v="camilo.rengif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camilo.rengifo@unisabana.edu.co01"/>
  </r>
  <r>
    <s v="camilo.rengifo@unisabana.edu.co"/>
    <s v="camilo.rengifo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amilo.rengifo@unisabana.edu.co02"/>
  </r>
  <r>
    <s v="camilo.rengifo@unisabana.edu.co"/>
    <s v="camilo.rengif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camilo.rengifo@unisabana.edu.co1"/>
  </r>
  <r>
    <s v="camilo.rincon2@unisabana.edu.co"/>
    <s v="camilo.rincon2@unisabana.edu.co1"/>
    <s v="PSICOLOGï¿½A"/>
    <x v="29"/>
    <x v="1"/>
    <x v="1"/>
    <s v="Incompleta"/>
    <s v="Pregrado"/>
    <s v="FACULTAD DE PSICOLOGÍA"/>
    <s v="https://ProfPlanta2024.sawtoothsoftware.com/cgi-bin/ciwweb.pl?studyname=ProfPlanta2024&amp;Correo=camilo.rincon2@unisabana.edu.co1"/>
  </r>
  <r>
    <s v="carlos.bernal7@unisabana.edu.co"/>
    <s v="carlos.bernal7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carlos.bernal7@unisabana.edu.co01"/>
  </r>
  <r>
    <s v="carlos.bernal7@unisabana.edu.co"/>
    <s v="carlos.bernal7@unisabana.edu.co02"/>
    <s v="MAESTRIA EN DERECHO CONSTITUCIONAL"/>
    <x v="56"/>
    <x v="1"/>
    <x v="0"/>
    <s v="Completa"/>
    <s v="Posgrado"/>
    <s v="FACULTAD DE DERECHO Y CIENCIAS POLÍTICAS"/>
    <s v="https://ProfPlanta2024.sawtoothsoftware.com/cgi-bin/ciwweb.pl?studyname=ProfPlanta2024&amp;Correo=carlos.bernal7@unisabana.edu.co02"/>
  </r>
  <r>
    <s v="carlos.bernal7@unisabana.edu.co"/>
    <s v="carlos.bernal7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rlos.bernal7@unisabana.edu.co1"/>
  </r>
  <r>
    <s v="carlos.castro@unisabana.edu.co"/>
    <s v="carlos.castr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arlos.castro@unisabana.edu.co1"/>
  </r>
  <r>
    <s v="carlos.dominguez@unisabana.edu.co"/>
    <s v="carlos.dominguez@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carlos.dominguez@unisabana.edu.co01"/>
  </r>
  <r>
    <s v="carlos.dominguez@unisabana.edu.co"/>
    <s v="carlos.dominguez@unisabana.edu.co02"/>
    <s v="MAESTRï¿½A EN EDUCACIï¿½N Mï¿½DICA"/>
    <x v="110"/>
    <x v="1"/>
    <x v="0"/>
    <s v="Completa"/>
    <s v="Posgrado"/>
    <s v="FACULTAD DE MEDICINA"/>
    <s v="https://ProfPlanta2024.sawtoothsoftware.com/cgi-bin/ciwweb.pl?studyname=ProfPlanta2024&amp;Correo=carlos.dominguez@unisabana.edu.co02"/>
  </r>
  <r>
    <s v="carlos.dominguez@unisabana.edu.co"/>
    <s v="carlos.dominguez@unisabana.edu.co1"/>
    <s v="MEDICINA"/>
    <x v="4"/>
    <x v="1"/>
    <x v="1"/>
    <s v="Incompleta"/>
    <s v="Pregrado"/>
    <s v="FACULTAD DE MEDICINA"/>
    <s v="https://ProfPlanta2024.sawtoothsoftware.com/cgi-bin/ciwweb.pl?studyname=ProfPlanta2024&amp;Correo=carlos.dominguez@unisabana.edu.co1"/>
  </r>
  <r>
    <s v="carlos.dominguez2@unisabana.edu.co"/>
    <s v="carlos.dominguez2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carlos.dominguez2@unisabana.edu.co1"/>
  </r>
  <r>
    <s v="carlos.gutierrez6@unisabana.edu.co"/>
    <s v="carlos.gutierrez6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carlos.gutierrez6@unisabana.edu.co1"/>
  </r>
  <r>
    <s v="carlos.jimenez@unisabana.edu.co"/>
    <s v="carlos.jimenez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arlos.jimenez@unisabana.edu.co01"/>
  </r>
  <r>
    <s v="carlos.jimenez@unisabana.edu.co"/>
    <s v="carlos.jimenez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carlos.jimenez@unisabana.edu.co1"/>
  </r>
  <r>
    <s v="carlos.jimenez@unisabana.edu.co"/>
    <s v="carlos.jimenez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carlos.jimenez@unisabana.edu.co2"/>
  </r>
  <r>
    <s v="carlos.jimenez3@unisabana.edu.co"/>
    <s v="carlos.jimenez3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carlos.jimenez3@unisabana.edu.co1"/>
  </r>
  <r>
    <s v="carlos.mera@unisabana.edu.co"/>
    <s v="carlos.mera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carlos.mera@unisabana.edu.co1"/>
  </r>
  <r>
    <s v="carlos.monroy@unisabana.edu.co"/>
    <s v="carlos.monroy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carlos.monroy@unisabana.edu.co02"/>
  </r>
  <r>
    <s v="carlos.monroy@unisabana.edu.co"/>
    <s v="carlos.monroy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los.monroy@unisabana.edu.co1"/>
  </r>
  <r>
    <s v="carlos.montes1@unisabana.edu.co"/>
    <s v="carlos.montes1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carlos.montes1@unisabana.edu.co01"/>
  </r>
  <r>
    <s v="carlos.montes1@unisabana.edu.co"/>
    <s v="carlos.montes1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carlos.montes1@unisabana.edu.co1"/>
  </r>
  <r>
    <s v="carlos.quintero5@unisabana.edu.co"/>
    <s v="Carlos.Quintero5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Carlos.Quintero5@unisabana.edu.co01"/>
  </r>
  <r>
    <s v="carlos.rodriguez13@unisabana.edu.co"/>
    <s v="carlos.rodriguez13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carlos.rodriguez13@unisabana.edu.co01"/>
  </r>
  <r>
    <s v="carlos.rodriguez13@unisabana.edu.co"/>
    <s v="carlos.rodriguez13@unisabana.edu.co1"/>
    <s v="COMUNICACIï¿½N CORPORATIVA"/>
    <x v="43"/>
    <x v="1"/>
    <x v="1"/>
    <s v="Incompleta"/>
    <s v="Pregrado"/>
    <s v="FACULTAD DE COMUNICACIÓN"/>
    <s v="https://ProfPlanta2024.sawtoothsoftware.com/cgi-bin/ciwweb.pl?studyname=ProfPlanta2024&amp;Correo=carlos.rodriguez13@unisabana.edu.co1"/>
  </r>
  <r>
    <s v="carlos.salgado2@unisabana.edu.co"/>
    <s v="carlos.salgado2@unisabana.edu.co01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carlos.salgado2@unisabana.edu.co01"/>
  </r>
  <r>
    <s v="carlos.salgado2@unisabana.edu.co"/>
    <s v="carlos.salgado2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carlos.salgado2@unisabana.edu.co1"/>
  </r>
  <r>
    <s v="carloscp@unisabana.edu.co"/>
    <s v="carloscp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carloscp@unisabana.edu.co01"/>
  </r>
  <r>
    <s v="carloscp@unisabana.edu.co"/>
    <s v="carloscp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loscp@unisabana.edu.co1"/>
  </r>
  <r>
    <s v="carlosveme@unisabana.edu.co"/>
    <s v="carlosveme@unisabana.edu.co01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carlosveme@unisabana.edu.co01"/>
  </r>
  <r>
    <s v="carol.vanegas@unisabana.edu.co"/>
    <s v="carol.vanegas@unisabana.edu.co01"/>
    <s v="ESPECIALIZACIï¿½N EN GERENCIA COMERCIAL - CHIA"/>
    <x v="95"/>
    <x v="1"/>
    <x v="0"/>
    <s v="Incompleta"/>
    <s v="Posgrado"/>
    <s v="INSTITUTO FORUM"/>
    <s v="https://ProfPlanta2024.sawtoothsoftware.com/cgi-bin/ciwweb.pl?studyname=ProfPlanta2024&amp;Correo=carol.vanegas@unisabana.edu.co01"/>
  </r>
  <r>
    <s v="carol.vanegas@unisabana.edu.co"/>
    <s v="carol.vanegas@unisabana.edu.co02"/>
    <s v="ESPECIALIZACIï¿½N EN GERENCIA COMERCIAL VIRTUAL"/>
    <x v="6"/>
    <x v="1"/>
    <x v="1"/>
    <s v="Incompleta"/>
    <s v="Posgrado"/>
    <s v="INSTITUTO FORUM"/>
    <s v="https://ProfPlanta2024.sawtoothsoftware.com/cgi-bin/ciwweb.pl?studyname=ProfPlanta2024&amp;Correo=carol.vanegas@unisabana.edu.co02"/>
  </r>
  <r>
    <s v="carol.vanegas@unisabana.edu.co"/>
    <s v="carol.vanegas@unisabana.edu.co03"/>
    <s v="ESPECIALIZACIï¿½N EN GERENCIA ESTRATï¿½GICA DE MARCA  - CHIA"/>
    <x v="118"/>
    <x v="1"/>
    <x v="0"/>
    <s v="Incompleta"/>
    <s v="Posgrado"/>
    <s v="INSTITUTO FORUM"/>
    <s v="https://ProfPlanta2024.sawtoothsoftware.com/cgi-bin/ciwweb.pl?studyname=ProfPlanta2024&amp;Correo=carol.vanegas@unisabana.edu.co03"/>
  </r>
  <r>
    <s v="carolina.plat1@unisabana.edu.co"/>
    <s v="carolina.plat1@unisabana.edu.co07"/>
    <s v="MAESTRÃA EN PSICOLOGÃA CLINICA DE LA NIÃ‘EZ Y LA ADOLESCENCIA"/>
    <x v="120"/>
    <x v="1"/>
    <x v="1"/>
    <s v="Incompleta"/>
    <s v="Posgrado"/>
    <s v="FACULTAD DE PSICOLOGÍA"/>
    <s v="https://ProfPlanta2024.sawtoothsoftware.com/cgi-bin/ciwweb.pl?studyname=ProfPlanta2024&amp;Correo=carolina.plat1@unisabana.edu.co07"/>
  </r>
  <r>
    <s v="carolina.plata1@unisabana.edu.co"/>
    <s v="carolina.plata1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carolina.plata1@unisabana.edu.co1"/>
  </r>
  <r>
    <s v="catalina.bermudez2@unisabana.edu.co"/>
    <s v="catalina.bermudez2@unisabana.edu.co01"/>
    <s v="MAESTRï¿½A EN TEOLOGï¿½A - CHï¿½A"/>
    <x v="45"/>
    <x v="1"/>
    <x v="0"/>
    <s v="Completa"/>
    <s v="Posgrado"/>
    <s v="FACULTAD DE FILOSOFÍA Y CIENCIAS HUMANAS"/>
    <s v="https://ProfPlanta2024.sawtoothsoftware.com/cgi-bin/ciwweb.pl?studyname=ProfPlanta2024&amp;Correo=catalina.bermudez2@unisabana.edu.co01"/>
  </r>
  <r>
    <s v="cesar.bernal@unisabana.edu.co"/>
    <s v="cesar.bernal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1"/>
  </r>
  <r>
    <s v="cesar.bernal@unisabana.edu.co"/>
    <s v="cesar.bernal@unisabana.edu.co02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2"/>
  </r>
  <r>
    <s v="cesar.bernal@unisabana.edu.co"/>
    <s v="cesar.bernal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cesar.bernal@unisabana.edu.co1"/>
  </r>
  <r>
    <s v="cesar.nino@unisabana.edu.co"/>
    <s v="cesar.nin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cesar.nino@unisabana.edu.co1"/>
  </r>
  <r>
    <s v="christian.morales@unisabana.edu.co"/>
    <s v="christian.morales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hristian.morales@unisabana.edu.co1"/>
  </r>
  <r>
    <s v="ciro.parra@unisabana.edu.co"/>
    <s v="ciro.parra@unisabana.edu.co01"/>
    <s v="DOCTORADO EN EDUCACIï¿½N"/>
    <x v="138"/>
    <x v="1"/>
    <x v="1"/>
    <s v="Incompleta"/>
    <s v="Posgrado"/>
    <s v="FACULTAD DE EDUCACIÓN"/>
    <s v="https://ProfPlanta2024.sawtoothsoftware.com/cgi-bin/ciwweb.pl?studyname=ProfPlanta2024&amp;Correo=ciro.parra@unisabana.edu.co01"/>
  </r>
  <r>
    <s v="ciro.parra@unisabana.edu.co"/>
    <s v="ciro.parra@unisabana.edu.co02"/>
    <s v="MAESTRï¿½A EN EDUCACIï¿½N"/>
    <x v="130"/>
    <x v="1"/>
    <x v="1"/>
    <s v="Incompleta"/>
    <s v="Posgrado"/>
    <s v="FACULTAD DE EDUCACIÓN"/>
    <s v="https://ProfPlanta2024.sawtoothsoftware.com/cgi-bin/ciwweb.pl?studyname=ProfPlanta2024&amp;Correo=ciro.parra@unisabana.edu.co02"/>
  </r>
  <r>
    <s v="claudia.acero@unisabana.edu.co"/>
    <s v="claudia.acer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laudia.acero@unisabana.edu.co1"/>
  </r>
  <r>
    <s v="claudia.garzon@unisabana.edu.co"/>
    <s v="claudia.garzon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claudia.garzon@unisabana.edu.co01"/>
  </r>
  <r>
    <s v="claudia.garzon@unisabana.edu.co"/>
    <s v="claudia.garzon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claudia.garzon@unisabana.edu.co02"/>
  </r>
  <r>
    <s v="claudia.garzon@unisabana.edu.co"/>
    <s v="claudia.garzon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claudia.garzon@unisabana.edu.co1"/>
  </r>
  <r>
    <s v="claudia.jaimes2@unisabana.edu.co"/>
    <s v="claudia.jaimes2@unisabana.edu.co1"/>
    <s v="MEDICINA"/>
    <x v="4"/>
    <x v="1"/>
    <x v="0"/>
    <s v="Completa"/>
    <s v="Pregrado"/>
    <s v="FACULTAD DE MEDICINA"/>
    <s v="https://ProfPlanta2024.sawtoothsoftware.com/cgi-bin/ciwweb.pl?studyname=ProfPlanta2024&amp;Correo=claudia.jaimes2@unisabana.edu.co1"/>
  </r>
  <r>
    <s v="claudia.mora@unisabana.edu.co"/>
    <s v="claudia.mora@unisabana.edu.co01"/>
    <s v="ESPECIALIZACIï¿½N EN MEDICINA INTERNA"/>
    <x v="135"/>
    <x v="1"/>
    <x v="0"/>
    <s v="Completa"/>
    <s v="Posgrado"/>
    <s v="FACULTAD DE MEDICINA"/>
    <s v="https://ProfPlanta2024.sawtoothsoftware.com/cgi-bin/ciwweb.pl?studyname=ProfPlanta2024&amp;Correo=claudia.mora@unisabana.edu.co01"/>
  </r>
  <r>
    <s v="claudia.mora@unisabana.edu.co"/>
    <s v="claudia.mora@unisabana.edu.co1"/>
    <s v="MEDICINA"/>
    <x v="4"/>
    <x v="1"/>
    <x v="0"/>
    <s v="Completa"/>
    <s v="Pregrado"/>
    <s v="FACULTAD DE MEDICINA"/>
    <s v="https://ProfPlanta2024.sawtoothsoftware.com/cgi-bin/ciwweb.pl?studyname=ProfPlanta2024&amp;Correo=claudia.mora@unisabana.edu.co1"/>
  </r>
  <r>
    <s v="clelia.pineda@unisabana.edu.co"/>
    <s v="clelia.pineda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clelia.pineda@unisabana.edu.co01"/>
  </r>
  <r>
    <s v="cristhian.matusan@unisabana.edu.co"/>
    <s v="cristhian.matusan@unisabana.edu.co01"/>
    <s v="ESPECIALIZACIï¿½N EN RESPONSABILIDAD CIVIL Y DEL ESTADO - CHï¿½A"/>
    <x v="5"/>
    <x v="1"/>
    <x v="1"/>
    <s v="Incompleta"/>
    <s v="Posgrado"/>
    <s v="FACULTAD DE DERECHO Y CIENCIAS POLÍTICAS"/>
    <s v="https://ProfPlanta2024.sawtoothsoftware.com/cgi-bin/ciwweb.pl?studyname=ProfPlanta2024&amp;Correo=cristhian.matusan@unisabana.edu.co01"/>
  </r>
  <r>
    <s v="cristhian.matusan@unisabana.edu.co"/>
    <s v="cristhian.matusan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cristhian.matusan@unisabana.edu.co1"/>
  </r>
  <r>
    <s v="cristian.conen@unisabana.edu.co"/>
    <s v="cristian.conen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cristian.conen@unisabana.edu.co1"/>
  </r>
  <r>
    <s v="cristian.penagos@unisabana.edu.co"/>
    <s v="cristian.penagos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cristian.penagos@unisabana.edu.co1"/>
  </r>
  <r>
    <s v="cristian.rojas@unisabana.edu.co"/>
    <s v="cristian.rojas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cristian.rojas@unisabana.edu.co1"/>
  </r>
  <r>
    <s v="cristina.bohorquez1@unisabana.edu.co"/>
    <s v="cristina.bohorquez1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cristina.bohorquez1@unisabana.edu.co01"/>
  </r>
  <r>
    <s v="cristina.bohorquez1@unisabana.edu.co"/>
    <s v="cristina.bohorquez1@unisabana.edu.co02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cristina.bohorquez1@unisabana.edu.co02"/>
  </r>
  <r>
    <s v="cristina.bohorquez1@unisabana.edu.co"/>
    <s v="cristina.bohorquez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cristina.bohorquez1@unisabana.edu.co1"/>
  </r>
  <r>
    <s v="cristinarp@unisabana.edu.co"/>
    <s v="CristinaRP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CristinaRP@unisabana.edu.co1"/>
  </r>
  <r>
    <s v="daniel.botero@unisabana.edu.co"/>
    <s v="daniel.botero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daniel.botero@unisabana.edu.co01"/>
  </r>
  <r>
    <s v="daniel.botero@unisabana.edu.co"/>
    <s v="daniel.botero@unisabana.edu.co1"/>
    <s v="MEDICINA"/>
    <x v="4"/>
    <x v="1"/>
    <x v="0"/>
    <s v="Completa"/>
    <s v="Pregrado"/>
    <s v="FACULTAD DE MEDICINA"/>
    <s v="https://ProfPlanta2024.sawtoothsoftware.com/cgi-bin/ciwweb.pl?studyname=ProfPlanta2024&amp;Correo=daniel.botero@unisabana.edu.co1"/>
  </r>
  <r>
    <s v="daniel.gomez4@unisabana.edu.co"/>
    <s v="daniel.gomez4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daniel.gomez4@unisabana.edu.co1"/>
  </r>
  <r>
    <s v="daniel.morales@unisabana.edu.co"/>
    <s v="daniel.morales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daniel.morales@unisabana.edu.co1"/>
  </r>
  <r>
    <s v="daniel.rodriguez1@unisabana.edu.co"/>
    <s v="daniel.rodrigu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daniel.rodriguez1@unisabana.edu.co01"/>
  </r>
  <r>
    <s v="daniel.rodriguez1@unisabana.edu.co"/>
    <s v="daniel.rodriguez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aniel.rodriguez1@unisabana.edu.co1"/>
  </r>
  <r>
    <s v="daniela.henao1@unisabana.edu.co"/>
    <s v="daniela.henao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daniela.henao1@unisabana.edu.co1"/>
  </r>
  <r>
    <s v="danny.illera@unisabana.edu.co"/>
    <s v="danny.illera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danny.illera@unisabana.edu.co01"/>
  </r>
  <r>
    <s v="danny.illera@unisabana.edu.co"/>
    <s v="danny.iller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danny.illera@unisabana.edu.co1"/>
  </r>
  <r>
    <s v="david.celeita@unisabana.edu.co"/>
    <s v="david.celeit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david.celeita@unisabana.edu.co1"/>
  </r>
  <r>
    <s v="diana.bedoya1@unisabana.edu.co"/>
    <s v="diana.bedoya1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diana.bedoya1@unisabana.edu.co01"/>
  </r>
  <r>
    <s v="diana.duran2@unisabana.edu.co"/>
    <s v="diana.duran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diana.duran2@unisabana.edu.co1"/>
  </r>
  <r>
    <s v="diana.gallego@unisabana.edu.co"/>
    <s v="diana.galleg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diana.gallego@unisabana.edu.co01"/>
  </r>
  <r>
    <s v="diana.gallego@unisabana.edu.co"/>
    <s v="diana.galleg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diana.gallego@unisabana.edu.co1"/>
  </r>
  <r>
    <s v="diana.gomez21@unisabana.edu.co"/>
    <s v="diana.gomez21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diana.gomez21@unisabana.edu.co1"/>
  </r>
  <r>
    <s v="diana.munoz5@unisabana.edu.co"/>
    <s v="diana.munoz5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diana.munoz5@unisabana.edu.co01"/>
  </r>
  <r>
    <s v="diana.obando@unisabana.edu.co"/>
    <s v="diana.obando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diana.obando@unisabana.edu.co01"/>
  </r>
  <r>
    <s v="diana.obando1@unisabana.edu.co"/>
    <s v="diana.obando1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diana.obando1@unisabana.edu.co07"/>
  </r>
  <r>
    <s v="dianaar@unisabana.edu.co"/>
    <s v="dianaar@unisabana.edu.co01"/>
    <s v="MAESTRï¿½A EN FISIOTERAPIA"/>
    <x v="121"/>
    <x v="1"/>
    <x v="0"/>
    <s v="Completa"/>
    <s v="Posgrado"/>
    <s v="FACULTAD DE ENFERMERÍA Y REHABILITACIÓN"/>
    <s v="https://ProfPlanta2024.sawtoothsoftware.com/cgi-bin/ciwweb.pl?studyname=ProfPlanta2024&amp;Correo=dianaar@unisabana.edu.co01"/>
  </r>
  <r>
    <s v="dianaar@unisabana.edu.co"/>
    <s v="dianaar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dianaar@unisabana.edu.co02"/>
  </r>
  <r>
    <s v="dianaar@unisabana.edu.co"/>
    <s v="dianaar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dianaar@unisabana.edu.co1"/>
  </r>
  <r>
    <s v="diego.aldana@unisabana.edu.co"/>
    <s v="diego.aldana@unisabana.edu.co1"/>
    <s v="MEDICINA"/>
    <x v="4"/>
    <x v="1"/>
    <x v="0"/>
    <s v="Completa"/>
    <s v="Pregrado"/>
    <s v="FACULTAD DE MEDICINA"/>
    <s v="https://ProfPlanta2024.sawtoothsoftware.com/cgi-bin/ciwweb.pl?studyname=ProfPlanta2024&amp;Correo=diego.aldana@unisabana.edu.co1"/>
  </r>
  <r>
    <s v="diego.becerra2@unisabana.edu.co"/>
    <s v="diego.becerra2@unisabana.edu.co01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diego.becerra2@unisabana.edu.co01"/>
  </r>
  <r>
    <s v="diego.becerra2@unisabana.edu.co"/>
    <s v="diego.becerra2@unisabana.edu.co02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diego.becerra2@unisabana.edu.co02"/>
  </r>
  <r>
    <s v="diego.becerra2@unisabana.edu.co"/>
    <s v="diego.becerra2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diego.becerra2@unisabana.edu.co1"/>
  </r>
  <r>
    <s v="diego.carvajal1@unisabana.edu.co"/>
    <s v="diego.carvajal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carvajal1@unisabana.edu.co1"/>
  </r>
  <r>
    <s v="diego.duarte1@unisabana.edu.co"/>
    <s v="diego.duarte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duarte1@unisabana.edu.co1"/>
  </r>
  <r>
    <s v="diego.josa1@unisabana.edu.co"/>
    <s v="diego.josa1@unisabana.edu.co1"/>
    <s v="MEDICINA"/>
    <x v="4"/>
    <x v="1"/>
    <x v="0"/>
    <s v="Completa"/>
    <s v="Pregrado"/>
    <s v="FACULTAD DE MEDICINA"/>
    <s v="https://ProfPlanta2024.sawtoothsoftware.com/cgi-bin/ciwweb.pl?studyname=ProfPlanta2024&amp;Correo=diego.josa1@unisabana.edu.co1"/>
  </r>
  <r>
    <s v="diego.rodriguez3@unisabana.edu.co"/>
    <s v="diego.rodriguez3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diego.rodriguez3@unisabana.edu.co1"/>
  </r>
  <r>
    <s v="diego.rodriguez3@unisabana.edu.co"/>
    <s v="diego.rodriguez3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diego.rodriguez3@unisabana.edu.co2"/>
  </r>
  <r>
    <s v="diego.sandoval@unisabana.edu.co"/>
    <s v="diego.sandoval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diego.sandoval@unisabana.edu.co1"/>
  </r>
  <r>
    <s v="diego.sierra1@clinicaunisabana.edu.co"/>
    <s v="diego.sierra1@clinica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diego.sierra1@clinicaunisabana.edu.co01"/>
  </r>
  <r>
    <s v="diego.sierra1@clinicaunisabana.edu.co"/>
    <s v="diego.sierra1@clinicaunisabana.edu.co1"/>
    <s v="MEDICINA"/>
    <x v="4"/>
    <x v="1"/>
    <x v="1"/>
    <s v="Incompleta"/>
    <s v="Pregrado"/>
    <s v="FACULTAD DE MEDICINA"/>
    <s v="https://ProfPlanta2024.sawtoothsoftware.com/cgi-bin/ciwweb.pl?studyname=ProfPlanta2024&amp;Correo=diego.sierra1@clinicaunisabana.edu.co1"/>
  </r>
  <r>
    <s v="edgar.lizcano@unisabana.edu.co"/>
    <s v="edgar.lizcano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edgar.lizcano@unisabana.edu.co1"/>
  </r>
  <r>
    <s v="edgar.mayorga@unisabana.edu.co"/>
    <s v="edgar.mayorg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edgar.mayorga@unisabana.edu.co01"/>
  </r>
  <r>
    <s v="edgar.mayorga@unisabana.edu.co"/>
    <s v="edgar.mayorg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edgar.mayorga@unisabana.edu.co1"/>
  </r>
  <r>
    <s v="edgar.riveros@unisabana.edu.co"/>
    <s v="edgar.riveros@unisabana.edu.co07"/>
    <s v="MAESTRÃA EN PSICOLOGÃA CLINICA DE LA NIÃ‘EZ Y LA ADOLESCENCIA"/>
    <x v="120"/>
    <x v="1"/>
    <x v="0"/>
    <s v="Completa"/>
    <s v="Posgrado"/>
    <s v="FACULTAD DE PSICOLOGÍA"/>
    <s v="https://ProfPlanta2024.sawtoothsoftware.com/cgi-bin/ciwweb.pl?studyname=ProfPlanta2024&amp;Correo=edgar.riveros@unisabana.edu.co07"/>
  </r>
  <r>
    <s v="edgar.riveros@unisabana.edu.co"/>
    <s v="edgar.riveros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edgar.riveros@unisabana.edu.co1"/>
  </r>
  <r>
    <s v="edilberto.garcia1@unisabana.edu.co"/>
    <s v="edilberto.garcia1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edilberto.garcia1@unisabana.edu.co1"/>
  </r>
  <r>
    <s v="edward.acero@unisabana.edu.co"/>
    <s v="edward.acero@unisabana.edu.co1"/>
    <s v="MEDICINA"/>
    <x v="4"/>
    <x v="1"/>
    <x v="0"/>
    <s v="Completa"/>
    <s v="Pregrado"/>
    <s v="FACULTAD DE MEDICINA"/>
    <s v="https://ProfPlanta2024.sawtoothsoftware.com/cgi-bin/ciwweb.pl?studyname=ProfPlanta2024&amp;Correo=edward.acero@unisabana.edu.co1"/>
  </r>
  <r>
    <s v="edward.goyeneche@unisabana.edu.co"/>
    <s v="edward.goyeneche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edward.goyeneche@unisabana.edu.co01"/>
  </r>
  <r>
    <s v="edward.goyeneche@unisabana.edu.co"/>
    <s v="edward.goyeneche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edward.goyeneche@unisabana.edu.co1"/>
  </r>
  <r>
    <s v="edwinchp@unisabana.edu.co"/>
    <s v="edwinchp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edwinchp@unisabana.edu.co1"/>
  </r>
  <r>
    <s v="elga.vargas@unisabana.edu.co"/>
    <s v="elga.vargas@unisabana.edu.co1"/>
    <s v="MEDICINA"/>
    <x v="4"/>
    <x v="1"/>
    <x v="0"/>
    <s v="Completa"/>
    <s v="Pregrado"/>
    <s v="FACULTAD DE MEDICINA"/>
    <s v="https://ProfPlanta2024.sawtoothsoftware.com/cgi-bin/ciwweb.pl?studyname=ProfPlanta2024&amp;Correo=elga.vargas@unisabana.edu.co1"/>
  </r>
  <r>
    <s v="erick.vilaro@unisabana.edu.co"/>
    <s v="erick.vilaro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erick.vilaro@unisabana.edu.co1"/>
  </r>
  <r>
    <s v="erika.duque@unisabana.edu.co"/>
    <s v="erika.duque@unisabana.edu.co1"/>
    <s v="CENTRO DE TECNOLOGï¿½AS PARA LA ACADEMIA"/>
    <x v="87"/>
    <x v="1"/>
    <x v="0"/>
    <s v="Completa"/>
    <s v="Pregrado"/>
    <s v="CENTRO DE TECNOLOGÍAS PARA LA ACADEMIA"/>
    <s v="https://ProfPlanta2024.sawtoothsoftware.com/cgi-bin/ciwweb.pl?studyname=ProfPlanta2024&amp;Correo=erika.duque@unisabana.edu.co1"/>
  </r>
  <r>
    <s v="erlyn.solano@unisabana.edu.co"/>
    <s v="erlyn.solano@unisabana.edu.co1"/>
    <s v="GESTIï¿½N DE OPERACIONES"/>
    <x v="96"/>
    <x v="1"/>
    <x v="0"/>
    <s v="Completa"/>
    <s v="Pregrado"/>
    <s v="ESCUELA INTERNACIONAL DE CIENCIAS ECONÓMICAS Y ADMINISTRATIVAS"/>
    <s v="https://ProfPlanta2024.sawtoothsoftware.com/cgi-bin/ciwweb.pl?studyname=ProfPlanta2024&amp;Correo=erlyn.solano@unisabana.edu.co1"/>
  </r>
  <r>
    <s v="erwin.hernandez1@unisabana.edu.co"/>
    <s v="erwin.hernandez1@unisabana.edu.co01"/>
    <s v="MAESTRï¿½A EN SALUD Pï¿½BLICA"/>
    <x v="70"/>
    <x v="1"/>
    <x v="0"/>
    <s v="Completa"/>
    <s v="Posgrado"/>
    <s v="FACULTAD DE MEDICINA"/>
    <s v="https://ProfPlanta2024.sawtoothsoftware.com/cgi-bin/ciwweb.pl?studyname=ProfPlanta2024&amp;Correo=erwin.hernandez1@unisabana.edu.co01"/>
  </r>
  <r>
    <s v="erwin.hernandez1@unisabana.edu.co"/>
    <s v="erwin.hernandez1@unisabana.edu.co1"/>
    <s v="MEDICINA"/>
    <x v="4"/>
    <x v="1"/>
    <x v="0"/>
    <s v="Completa"/>
    <s v="Pregrado"/>
    <s v="FACULTAD DE MEDICINA"/>
    <s v="https://ProfPlanta2024.sawtoothsoftware.com/cgi-bin/ciwweb.pl?studyname=ProfPlanta2024&amp;Correo=erwin.hernandez1@unisabana.edu.co1"/>
  </r>
  <r>
    <s v="esteban.lopez1@unisabana.edu.co"/>
    <s v="esteban.lop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esteban.lopez1@unisabana.edu.co01"/>
  </r>
  <r>
    <s v="esteban.lopez1@unisabana.edu.co"/>
    <s v="esteban.lopez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esteban.lopez1@unisabana.edu.co1"/>
  </r>
  <r>
    <s v="estefania.losada@unisabana.edu.co"/>
    <s v="estefania.losada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estefania.losada@unisabana.edu.co1"/>
  </r>
  <r>
    <s v="fabio.victorino1@unisabana.edu.co"/>
    <s v="fabio.victorino1@unisabana.edu.co01"/>
    <s v="ESPECIALIZACIï¿½N EN FINANZAS CORPORATIVAS - CHï¿½A"/>
    <x v="74"/>
    <x v="1"/>
    <x v="0"/>
    <s v="Completa"/>
    <s v="Posgrado"/>
    <s v="INSTITUTO FORUM"/>
    <s v="https://ProfPlanta2024.sawtoothsoftware.com/cgi-bin/ciwweb.pl?studyname=ProfPlanta2024&amp;Correo=fabio.victorino1@unisabana.edu.co01"/>
  </r>
  <r>
    <s v="fabio.victorino1@unisabana.edu.co"/>
    <s v="fabio.victorino1@unisabana.edu.co02"/>
    <s v="ESPECIALIZACIï¿½N EN GERENCIA FINANCIERA INTERNACIONAL - CHIA"/>
    <x v="75"/>
    <x v="1"/>
    <x v="0"/>
    <s v="Completa"/>
    <s v="Posgrado"/>
    <s v="INSTITUTO FORUM"/>
    <s v="https://ProfPlanta2024.sawtoothsoftware.com/cgi-bin/ciwweb.pl?studyname=ProfPlanta2024&amp;Correo=fabio.victorino1@unisabana.edu.co02"/>
  </r>
  <r>
    <s v="fanny.almenarez@unisabana.edu.co"/>
    <s v="fanny.almenarez@unisabana.edu.co1"/>
    <s v="CENTRO DE TECNOLOGï¿½AS PARA LA ACADEMIA"/>
    <x v="87"/>
    <x v="1"/>
    <x v="1"/>
    <s v="Incompleta"/>
    <s v="Pregrado"/>
    <s v="CENTRO DE TECNOLOGÍAS PARA LA ACADEMIA"/>
    <s v="https://ProfPlanta2024.sawtoothsoftware.com/cgi-bin/ciwweb.pl?studyname=ProfPlanta2024&amp;Correo=fanny.almenarez@unisabana.edu.co1"/>
  </r>
  <r>
    <s v="felipe.cardenas@unisabana.edu.co"/>
    <s v="felipe.cardenas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felipe.cardenas@unisabana.edu.co01"/>
  </r>
  <r>
    <s v="felipe.cardenas@unisabana.edu.co"/>
    <s v="felipe.cardenas@unisabana.edu.co02"/>
    <s v="MAESTRï¿½A EN EDUCACIï¿½N"/>
    <x v="130"/>
    <x v="1"/>
    <x v="1"/>
    <s v="Incompleta"/>
    <s v="Posgrado"/>
    <s v="FACULTAD DE EDUCACIÓN"/>
    <s v="https://ProfPlanta2024.sawtoothsoftware.com/cgi-bin/ciwweb.pl?studyname=ProfPlanta2024&amp;Correo=felipe.cardenas@unisabana.edu.co02"/>
  </r>
  <r>
    <s v="felipe.cardenas@unisabana.edu.co"/>
    <s v="felipe.cardenas@unisabana.edu.co03"/>
    <s v="MAESTRï¿½A EN INNOVACIï¿½N EDUCATIVA MEDIADA POR TIC"/>
    <x v="124"/>
    <x v="1"/>
    <x v="1"/>
    <s v="Incompleta"/>
    <s v="Posgrado"/>
    <s v="FACULTAD DE EDUCACIÓN"/>
    <s v="https://ProfPlanta2024.sawtoothsoftware.com/cgi-bin/ciwweb.pl?studyname=ProfPlanta2024&amp;Correo=felipe.cardenas@unisabana.edu.co03"/>
  </r>
  <r>
    <s v="felipe.cardenas@unisabana.edu.co"/>
    <s v="felipe.cardenas@unisabana.edu.co04"/>
    <s v="MAESTRï¿½A EN PEDAGOGï¿½A"/>
    <x v="30"/>
    <x v="1"/>
    <x v="1"/>
    <s v="Incompleta"/>
    <s v="Posgrado"/>
    <s v="FACULTAD DE EDUCACIÓN"/>
    <s v="https://ProfPlanta2024.sawtoothsoftware.com/cgi-bin/ciwweb.pl?studyname=ProfPlanta2024&amp;Correo=felipe.cardenas@unisabana.edu.co04"/>
  </r>
  <r>
    <s v="felipe.cardenas@unisabana.edu.co"/>
    <s v="felipe.cardenas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felipe.cardenas@unisabana.edu.co1"/>
  </r>
  <r>
    <s v="felipe.castilla1@unisabana.edu.co"/>
    <s v="felipe.castilla1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felipe.castilla1@unisabana.edu.co1"/>
  </r>
  <r>
    <s v="felix.mohr@unisabana.edu.co"/>
    <s v="felix.mohr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felix.mohr@unisabana.edu.co01"/>
  </r>
  <r>
    <s v="felix.mohr@unisabana.edu.co"/>
    <s v="felix.mohr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felix.mohr@unisabana.edu.co1"/>
  </r>
  <r>
    <s v="fernando.cvitanic@unisabana.edu.co"/>
    <s v="fernando.cvitanic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fernando.cvitanic@unisabana.edu.co1"/>
  </r>
  <r>
    <s v="fernando.cvitanic@unisabana.edu.co"/>
    <s v="fernando.cvitanic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fernando.cvitanic@unisabana.edu.co2"/>
  </r>
  <r>
    <s v="fernando.cvitanic@unisabana.edu.co"/>
    <s v="fernando.cvitanic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fernando.cvitanic@unisabana.edu.co3"/>
  </r>
  <r>
    <s v="fernando.lizcano@unisabana.edu.co"/>
    <s v="fernando.lizcan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fernando.lizcano@unisabana.edu.co01"/>
  </r>
  <r>
    <s v="fernando.lizcano@unisabana.edu.co"/>
    <s v="fernando.lizcano@unisabana.edu.co1"/>
    <s v="MEDICINA"/>
    <x v="4"/>
    <x v="1"/>
    <x v="0"/>
    <s v="Completa"/>
    <s v="Pregrado"/>
    <s v="FACULTAD DE MEDICINA"/>
    <s v="https://ProfPlanta2024.sawtoothsoftware.com/cgi-bin/ciwweb.pl?studyname=ProfPlanta2024&amp;Correo=fernando.lizcano@unisabana.edu.co1"/>
  </r>
  <r>
    <s v="fernando.rios@unisabana.edu.co"/>
    <s v="fernando.rios@unisabana.edu.co01"/>
    <s v="ESPECIALIZACIï¿½N EN ANESTESIOLOGï¿½A Y MEDICINA PERIOPERATORIA"/>
    <x v="142"/>
    <x v="1"/>
    <x v="0"/>
    <s v="Completa"/>
    <s v="Posgrado"/>
    <s v="FACULTAD DE MEDICINA"/>
    <s v="https://ProfPlanta2024.sawtoothsoftware.com/cgi-bin/ciwweb.pl?studyname=ProfPlanta2024&amp;Correo=fernando.rios@unisabana.edu.co01"/>
  </r>
  <r>
    <s v="fernando.rios@unisabana.edu.co"/>
    <s v="fernando.rios@unisabana.edu.co1"/>
    <s v="MEDICINA"/>
    <x v="4"/>
    <x v="1"/>
    <x v="0"/>
    <s v="Completa"/>
    <s v="Pregrado"/>
    <s v="FACULTAD DE MEDICINA"/>
    <s v="https://ProfPlanta2024.sawtoothsoftware.com/cgi-bin/ciwweb.pl?studyname=ProfPlanta2024&amp;Correo=fernando.rios@unisabana.edu.co1"/>
  </r>
  <r>
    <s v="flor.baracaldo@unisabana.edu.co"/>
    <s v="flor.baracaldo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flor.baracaldo@unisabana.edu.co02"/>
  </r>
  <r>
    <s v="flor.baracaldo@unisabana.edu.co"/>
    <s v="flor.baracald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flor.baracaldo@unisabana.edu.co1"/>
  </r>
  <r>
    <s v="francisco.lamus@unisabana.edu.co"/>
    <s v="francisco.lamus@unisabana.edu.co01"/>
    <s v="MAESTRï¿½A EN SALUD Pï¿½BLICA"/>
    <x v="70"/>
    <x v="1"/>
    <x v="1"/>
    <s v="Incompleta"/>
    <s v="Posgrado"/>
    <s v="FACULTAD DE MEDICINA"/>
    <s v="https://ProfPlanta2024.sawtoothsoftware.com/cgi-bin/ciwweb.pl?studyname=ProfPlanta2024&amp;Correo=francisco.lamus@unisabana.edu.co01"/>
  </r>
  <r>
    <s v="gabriel.soche@unisabana.edu.co"/>
    <s v="gabriel.soche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gabriel.soche@unisabana.edu.co01"/>
  </r>
  <r>
    <s v="gabriel.soche@unisabana.edu.co"/>
    <s v="gabriel.soche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gabriel.soche@unisabana.edu.co1"/>
  </r>
  <r>
    <s v="gabriela.caez@unisabana.edu.co"/>
    <s v="gabriela.caez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gabriela.caez@unisabana.edu.co01"/>
  </r>
  <r>
    <s v="gabriela.caez@unisabana.edu.co"/>
    <s v="gabriela.caez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gabriela.caez@unisabana.edu.co1"/>
  </r>
  <r>
    <s v="gabriela.caez@unisabana.edu.co"/>
    <s v="gabriela.caez@unisabana.edu.co2"/>
    <s v="INGENIERï¿½A QUï¿½MICA"/>
    <x v="16"/>
    <x v="1"/>
    <x v="1"/>
    <s v="Incompleta"/>
    <s v="Pregrado"/>
    <s v="FACULTAD DE INGENIERÍA"/>
    <s v="https://ProfPlanta2024.sawtoothsoftware.com/cgi-bin/ciwweb.pl?studyname=ProfPlanta2024&amp;Correo=gabriela.caez@unisabana.edu.co2"/>
  </r>
  <r>
    <s v="gilberto.gamboa@unisabana.edu.co"/>
    <s v="gilberto.gamboa@unisabana.edu.co01"/>
    <s v="MAESTRï¿½A EN BIOï¿½TICA"/>
    <x v="143"/>
    <x v="1"/>
    <x v="0"/>
    <s v="Completa"/>
    <s v="Posgrado"/>
    <s v="FACULTAD DE MEDICINA"/>
    <s v="https://ProfPlanta2024.sawtoothsoftware.com/cgi-bin/ciwweb.pl?studyname=ProfPlanta2024&amp;Correo=gilberto.gamboa@unisabana.edu.co01"/>
  </r>
  <r>
    <s v="gilberto.gamboa@unisabana.edu.co"/>
    <s v="gilberto.gamboa@unisabana.edu.co1"/>
    <s v="MEDICINA"/>
    <x v="4"/>
    <x v="1"/>
    <x v="0"/>
    <s v="Completa"/>
    <s v="Pregrado"/>
    <s v="FACULTAD DE MEDICINA"/>
    <s v="https://ProfPlanta2024.sawtoothsoftware.com/cgi-bin/ciwweb.pl?studyname=ProfPlanta2024&amp;Correo=gilberto.gamboa@unisabana.edu.co1"/>
  </r>
  <r>
    <s v="gina.velasco@unisabana.edu.co"/>
    <s v="gina.velasc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gina.velasco@unisabana.edu.co1"/>
  </r>
  <r>
    <s v="ginnagl@unisabana.edu.co"/>
    <s v="Ginnagl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Ginnagl@unisabana.edu.co01"/>
  </r>
  <r>
    <s v="ginnagl@unisabana.edu.co"/>
    <s v="Ginnagl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Ginnagl@unisabana.edu.co1"/>
  </r>
  <r>
    <s v="giovana.rojas@unisabana.edu.co"/>
    <s v="giovana.rojas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giovana.rojas@unisabana.edu.co1"/>
  </r>
  <r>
    <s v="giovanni.hernandez@unisabana.edu.co"/>
    <s v="giovanni.hernandez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1"/>
  </r>
  <r>
    <s v="giovanni.hernandez@unisabana.edu.co"/>
    <s v="giovanni.hernandez@unisabana.edu.co02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2"/>
  </r>
  <r>
    <s v="giovanni.hernandez@unisabana.edu.co"/>
    <s v="giovanni.hernandez@unisabana.edu.co03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3"/>
  </r>
  <r>
    <s v="giovanni.hernandez@unisabana.edu.co"/>
    <s v="giovanni.hernandez@unisabana.edu.co04"/>
    <s v="MAESTRï¿½A EN GERENCIA INTERNACIONAL"/>
    <x v="37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4"/>
  </r>
  <r>
    <s v="gloria.carvajal@unisabana.edu.co"/>
    <s v="gloria.carvajal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gloria.carvajal@unisabana.edu.co01"/>
  </r>
  <r>
    <s v="gloria.carvajal@unisabana.edu.co"/>
    <s v="gloria.carvajal@unisabana.edu.co02"/>
    <s v="MAESTRï¿½A EN ENFERMERï¿½A"/>
    <x v="12"/>
    <x v="1"/>
    <x v="1"/>
    <s v="Incompleta"/>
    <s v="Posgrado"/>
    <s v="FACULTAD DE ENFERMERÍA Y REHABILITACIÓN"/>
    <s v="https://ProfPlanta2024.sawtoothsoftware.com/cgi-bin/ciwweb.pl?studyname=ProfPlanta2024&amp;Correo=gloria.carvajal@unisabana.edu.co02"/>
  </r>
  <r>
    <s v="gloria.carvajal@unisabana.edu.co"/>
    <s v="gloria.carvajal@unisabana.edu.co03"/>
    <s v="MAESTRï¿½A EN ENFERMERï¿½A - VIRTUAL"/>
    <x v="13"/>
    <x v="1"/>
    <x v="1"/>
    <s v="Incompleta"/>
    <s v="Posgrado"/>
    <s v="FACULTAD DE ENFERMERÍA Y REHABILITACIÓN"/>
    <s v="https://ProfPlanta2024.sawtoothsoftware.com/cgi-bin/ciwweb.pl?studyname=ProfPlanta2024&amp;Correo=gloria.carvajal@unisabana.edu.co03"/>
  </r>
  <r>
    <s v="gonzalo.mejia@unisabana.edu.co"/>
    <s v="gonzalo.mejia@unisabana.edu.co01"/>
    <s v="DOCTORADO EN LOGï¿½STICA Y GESTIï¿½N DE CADENAS DE SUMINISTROS"/>
    <x v="144"/>
    <x v="1"/>
    <x v="0"/>
    <s v="Completa"/>
    <s v="Posgrado"/>
    <s v="FACULTAD DE INGENIERÍA"/>
    <s v="https://ProfPlanta2024.sawtoothsoftware.com/cgi-bin/ciwweb.pl?studyname=ProfPlanta2024&amp;Correo=gonzalo.mejia@unisabana.edu.co01"/>
  </r>
  <r>
    <s v="gonzalo.mejia@unisabana.edu.co"/>
    <s v="gonzalo.mejia@unisabana.edu.co02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gonzalo.mejia@unisabana.edu.co02"/>
  </r>
  <r>
    <s v="gonzalo.mejia@unisabana.edu.co"/>
    <s v="gonzalo.mejia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gonzalo.mejia@unisabana.edu.co1"/>
  </r>
  <r>
    <s v="guido.castro@unisabana.edu.co"/>
    <s v="guido.castro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guido.castro@unisabana.edu.co01"/>
  </r>
  <r>
    <s v="guido.castro@unisabana.edu.co"/>
    <s v="guido.castro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guido.castro@unisabana.edu.co1"/>
  </r>
  <r>
    <s v="gustavo.riveros1@unisabana.edu.co"/>
    <s v="gustavo.riveros1@unisabana.edu.co01"/>
    <s v="ESPECIALIZACIï¿½N EN GERENCIA ESTRATï¿½GICA - MEDELLï¿½N"/>
    <x v="52"/>
    <x v="1"/>
    <x v="0"/>
    <s v="Completa"/>
    <s v="Posgrado"/>
    <s v="INSTITUTO FORUM"/>
    <s v="https://ProfPlanta2024.sawtoothsoftware.com/cgi-bin/ciwweb.pl?studyname=ProfPlanta2024&amp;Correo=gustavo.riveros1@unisabana.edu.co01"/>
  </r>
  <r>
    <s v="gustavo.riveros1@unisabana.edu.co"/>
    <s v="gustavo.riveros1@unisabana.edu.co02"/>
    <s v="ESPECIALIZACIï¿½N EN GESTIï¿½N PARA EL DESARROLLO HUMANO EN LA ORGANIZACIï¿½N - BUCARAMANGA"/>
    <x v="17"/>
    <x v="1"/>
    <x v="0"/>
    <s v="Completa"/>
    <s v="Posgrado"/>
    <s v="INSTITUTO FORUM"/>
    <s v="https://ProfPlanta2024.sawtoothsoftware.com/cgi-bin/ciwweb.pl?studyname=ProfPlanta2024&amp;Correo=gustavo.riveros1@unisabana.edu.co02"/>
  </r>
  <r>
    <s v="hanier.fajardo@unisabana.edu.co"/>
    <s v="hanier.fajard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hanier.fajardo@unisabana.edu.co01"/>
  </r>
  <r>
    <s v="hanier.fajardo@unisabana.edu.co"/>
    <s v="hanier.fajardo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hanier.fajardo@unisabana.edu.co1"/>
  </r>
  <r>
    <s v="henry.leon@clinicaunisabana.edu.co"/>
    <s v="henry.leon@clinicaunisabana.edu.co1"/>
    <s v="MEDICINA"/>
    <x v="4"/>
    <x v="1"/>
    <x v="0"/>
    <s v="Completa"/>
    <s v="Pregrado"/>
    <s v="FACULTAD DE MEDICINA"/>
    <s v="https://ProfPlanta2024.sawtoothsoftware.com/cgi-bin/ciwweb.pl?studyname=ProfPlanta2024&amp;Correo=henry.leon@clinicaunisabana.edu.co1"/>
  </r>
  <r>
    <s v="henry.oliveros@unisabana.edu.co"/>
    <s v="henry.oliveros@unisabana.edu.co01"/>
    <s v="MAESTRï¿½A EN EPIDEMIOLOGï¿½A"/>
    <x v="83"/>
    <x v="1"/>
    <x v="1"/>
    <s v="Incompleta"/>
    <s v="Posgrado"/>
    <s v="FACULTAD DE MEDICINA"/>
    <s v="https://ProfPlanta2024.sawtoothsoftware.com/cgi-bin/ciwweb.pl?studyname=ProfPlanta2024&amp;Correo=henry.oliveros@unisabana.edu.co01"/>
  </r>
  <r>
    <s v="hilba.guzman1@unisabana.edu.co"/>
    <s v="hilba.guzman1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hilba.guzman1@unisabana.edu.co1"/>
  </r>
  <r>
    <s v="ignacio.briceno@unisabana.edu.co"/>
    <s v="ignacio.briceno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ignacio.briceno@unisabana.edu.co01"/>
  </r>
  <r>
    <s v="ignacio.briceno@unisabana.edu.co"/>
    <s v="ignacio.briceno@unisabana.edu.co1"/>
    <s v="MEDICINA"/>
    <x v="4"/>
    <x v="1"/>
    <x v="0"/>
    <s v="Completa"/>
    <s v="Pregrado"/>
    <s v="FACULTAD DE MEDICINA"/>
    <s v="https://ProfPlanta2024.sawtoothsoftware.com/cgi-bin/ciwweb.pl?studyname=ProfPlanta2024&amp;Correo=ignacio.briceno@unisabana.edu.co1"/>
  </r>
  <r>
    <s v="indira.rodriguez@unisabana.edu.co"/>
    <s v="indira.rodriguez@unisabana.edu.co01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indira.rodriguez@unisabana.edu.co01"/>
  </r>
  <r>
    <s v="indira.rodriguez@unisabana.edu.co"/>
    <s v="indira.rodriguez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indira.rodriguez@unisabana.edu.co02"/>
  </r>
  <r>
    <s v="indira.rodriguez@unisabana.edu.co"/>
    <s v="indira.rodriguez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indira.rodriguez@unisabana.edu.co1"/>
  </r>
  <r>
    <s v="indira.sotelo@unisabana.edu.co"/>
    <s v="indira.sotelo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indira.sotelo@unisabana.edu.co01"/>
  </r>
  <r>
    <s v="ingrid.ruiz@unisabana.edu.co"/>
    <s v="ingrid.ruiz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ingrid.ruiz@unisabana.edu.co1"/>
  </r>
  <r>
    <s v="ivan.cabeza@unisabana.edu.co"/>
    <s v="ivan.cabez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ivan.cabeza@unisabana.edu.co01"/>
  </r>
  <r>
    <s v="ivan.cabeza@unisabana.edu.co"/>
    <s v="ivan.cabeza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ivan.cabeza@unisabana.edu.co2"/>
  </r>
  <r>
    <s v="ivan.serrano@unisabana.edu.co"/>
    <s v="ivan.serrano@unisabana.edu.co01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ivan.serrano@unisabana.edu.co01"/>
  </r>
  <r>
    <s v="ivan.serrano@unisabana.edu.co"/>
    <s v="ivan.serrano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ivan.serrano@unisabana.edu.co1"/>
  </r>
  <r>
    <s v="ivanma@unisabana.edu.co"/>
    <s v="IvanMA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IvanMA@unisabana.edu.co01"/>
  </r>
  <r>
    <s v="ivon.guevara@unisabana.edu.co"/>
    <s v="ivon.guevara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ivon.guevara@unisabana.edu.co1"/>
  </r>
  <r>
    <s v="ivonpaca@unisabana.edu.co"/>
    <s v="IVONPACA@UNISABANA.EDU.CO1"/>
    <s v="MEDICINA"/>
    <x v="4"/>
    <x v="1"/>
    <x v="0"/>
    <s v="Completa"/>
    <s v="Pregrado"/>
    <s v="FACULTAD DE MEDICINA"/>
    <s v="https://ProfPlanta2024.sawtoothsoftware.com/cgi-bin/ciwweb.pl?studyname=ProfPlanta2024&amp;Correo=IVONPACA@UNISABANA.EDU.CO1"/>
  </r>
  <r>
    <s v="jaime.rodriguez3@unisabana.edu.co"/>
    <s v="Jaime.Rodriguez3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1"/>
  </r>
  <r>
    <s v="jaime.rodriguez3@unisabana.edu.co"/>
    <s v="Jaime.Rodriguez3@unisabana.edu.co02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2"/>
  </r>
  <r>
    <s v="jaime.rodriguez3@unisabana.edu.co"/>
    <s v="Jaime.Rodriguez3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Jaime.Rodriguez3@unisabana.edu.co1"/>
  </r>
  <r>
    <s v="jaimefe@unisabana.edu.co"/>
    <s v="JaimeFe@unisabana.edu.co01"/>
    <s v="ESPECIALIZACIï¿½N EN CUIDADO INTENSIVO PEDIï¿½TRICO"/>
    <x v="84"/>
    <x v="1"/>
    <x v="0"/>
    <s v="Completa"/>
    <s v="Posgrado"/>
    <s v="FACULTAD DE MEDICINA"/>
    <s v="https://ProfPlanta2024.sawtoothsoftware.com/cgi-bin/ciwweb.pl?studyname=ProfPlanta2024&amp;Correo=JaimeFe@unisabana.edu.co01"/>
  </r>
  <r>
    <s v="jaimefe@unisabana.edu.co"/>
    <s v="JaimeFe@unisabana.edu.co1"/>
    <s v="MEDICINA"/>
    <x v="4"/>
    <x v="1"/>
    <x v="0"/>
    <s v="Completa"/>
    <s v="Pregrado"/>
    <s v="FACULTAD DE MEDICINA"/>
    <s v="https://ProfPlanta2024.sawtoothsoftware.com/cgi-bin/ciwweb.pl?studyname=ProfPlanta2024&amp;Correo=JaimeFe@unisabana.edu.co1"/>
  </r>
  <r>
    <s v="jairo.jimenez2@unisabana.edu.co"/>
    <s v="Jairo.Jimenez2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Jairo.Jimenez2@unisabana.edu.co01"/>
  </r>
  <r>
    <s v="jairo.jimenez2@unisabana.edu.co"/>
    <s v="Jairo.Jimenez2@unisabana.edu.co02"/>
    <s v="MAESTRï¿½A EN EDUCACIï¿½N"/>
    <x v="130"/>
    <x v="1"/>
    <x v="0"/>
    <s v="Completa"/>
    <s v="Posgrado"/>
    <s v="FACULTAD DE EDUCACIÓN"/>
    <s v="https://ProfPlanta2024.sawtoothsoftware.com/cgi-bin/ciwweb.pl?studyname=ProfPlanta2024&amp;Correo=Jairo.Jimenez2@unisabana.edu.co02"/>
  </r>
  <r>
    <s v="jairo.montoya@unisabana.edu.co"/>
    <s v="jairo.montoya@unisabana.edu.co01"/>
    <s v="DOCTORADO EN LOGï¿½STICA Y GESTIï¿½N DE CADENAS DE SUMINISTROS"/>
    <x v="144"/>
    <x v="1"/>
    <x v="0"/>
    <s v="Completa"/>
    <s v="Posgrado"/>
    <s v="FACULTAD DE INGENIERÍA"/>
    <s v="https://ProfPlanta2024.sawtoothsoftware.com/cgi-bin/ciwweb.pl?studyname=ProfPlanta2024&amp;Correo=jairo.montoya@unisabana.edu.co01"/>
  </r>
  <r>
    <s v="jairo.montoya@unisabana.edu.co"/>
    <s v="jairo.montoya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jairo.montoya@unisabana.edu.co02"/>
  </r>
  <r>
    <s v="janeth.lizcano@unisabana.edu.co"/>
    <s v="janeth.lizcano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aneth.lizcano@unisabana.edu.co1"/>
  </r>
  <r>
    <s v="javier.mayorga@unisabana.edu.co"/>
    <s v="javier.mayorga@unisabana.edu.co01"/>
    <s v="MAESTRï¿½A EN COMUNICACIï¿½N ESTRï¿½TEGICA"/>
    <x v="115"/>
    <x v="1"/>
    <x v="0"/>
    <s v="Completa"/>
    <s v="Posgrado"/>
    <s v="FACULTAD DE COMUNICACIÓN"/>
    <s v="https://ProfPlanta2024.sawtoothsoftware.com/cgi-bin/ciwweb.pl?studyname=ProfPlanta2024&amp;Correo=javier.mayorga@unisabana.edu.co01"/>
  </r>
  <r>
    <s v="javierpc@unisabana.edu.co"/>
    <s v="Javierpc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avierpc@unisabana.edu.co1"/>
  </r>
  <r>
    <s v="javierpc@unisabana.edu.co"/>
    <s v="Javierpc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Javierpc@unisabana.edu.co2"/>
  </r>
  <r>
    <s v="javierpc@unisabana.edu.co"/>
    <s v="Javierpc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Javierpc@unisabana.edu.co3"/>
  </r>
  <r>
    <s v="jenny.rodriguez11@unisabana.edu.co"/>
    <s v="jenny.rodriguez1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enny.rodriguez11@unisabana.edu.co1"/>
  </r>
  <r>
    <s v="jennyfer.camargo@unisabana.edu.co"/>
    <s v="jennyfer.camarg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ennyfer.camargo@unisabana.edu.co1"/>
  </r>
  <r>
    <s v="jeronimo.rivera@unisabana.edu.co"/>
    <s v="jeronimo.rivera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jeronimo.rivera@unisabana.edu.co01"/>
  </r>
  <r>
    <s v="jesus.girado@unisabana.edu.co"/>
    <s v="jesus.girado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jesus.girado@unisabana.edu.co01"/>
  </r>
  <r>
    <s v="jimmy.mendieta@unisabana.edu.co"/>
    <s v="jimmy.mendieta@unisabana.edu.co01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jimmy.mendieta@unisabana.edu.co01"/>
  </r>
  <r>
    <s v="jimmy.mendieta@unisabana.edu.co"/>
    <s v="jimmy.mendieta@unisabana.edu.co02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jimmy.mendieta@unisabana.edu.co02"/>
  </r>
  <r>
    <s v="jimmy.mendieta@unisabana.edu.co"/>
    <s v="jimmy.mendiet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jimmy.mendieta@unisabana.edu.co1"/>
  </r>
  <r>
    <s v="jimmy.mendieta@unisabana.edu.co"/>
    <s v="jimmy.mendieta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jimmy.mendieta@unisabana.edu.co2"/>
  </r>
  <r>
    <s v="joaquin.erazo@unisabana.edu.co"/>
    <s v="joaquin.erazo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oaquin.erazo@unisabana.edu.co1"/>
  </r>
  <r>
    <s v="johanna.camargo1@unisabana.edu.co"/>
    <s v="johanna.camargo1@unisabana.edu.co01"/>
    <s v="ESPECIALIZACIï¿½N EN GERENCIA COMERCIAL BUCARAMANGA - SANTANDER"/>
    <x v="104"/>
    <x v="1"/>
    <x v="0"/>
    <s v="Incompleta"/>
    <s v="Posgrado"/>
    <s v="INSTITUTO FORUM"/>
    <s v="https://ProfPlanta2024.sawtoothsoftware.com/cgi-bin/ciwweb.pl?studyname=ProfPlanta2024&amp;Correo=johanna.camargo1@unisabana.edu.co01"/>
  </r>
  <r>
    <s v="johanna.camargo1@unisabana.edu.co"/>
    <s v="johanna.camargo1@unisabana.edu.co02"/>
    <s v="ESPECIALIZACIï¿½N EN GERENCIA ESTRATï¿½GICA DE MARCA  - CHIA"/>
    <x v="118"/>
    <x v="1"/>
    <x v="0"/>
    <s v="Incompleta"/>
    <s v="Posgrado"/>
    <s v="INSTITUTO FORUM"/>
    <s v="https://ProfPlanta2024.sawtoothsoftware.com/cgi-bin/ciwweb.pl?studyname=ProfPlanta2024&amp;Correo=johanna.camargo1@unisabana.edu.co02"/>
  </r>
  <r>
    <s v="johanna.choconta1@unisabana.edu.co"/>
    <s v="johanna.choconta1@unisabana.edu.co01"/>
    <s v="MAESTRï¿½A EN DESARROLLO INFANTIL - CHIA"/>
    <x v="41"/>
    <x v="1"/>
    <x v="0"/>
    <s v="Completa"/>
    <s v="Posgrado"/>
    <s v="FACULTAD DE EDUCACIÓN"/>
    <s v="https://ProfPlanta2024.sawtoothsoftware.com/cgi-bin/ciwweb.pl?studyname=ProfPlanta2024&amp;Correo=johanna.choconta1@unisabana.edu.co01"/>
  </r>
  <r>
    <s v="johanna.choconta1@unisabana.edu.co"/>
    <s v="johanna.choconta1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johanna.choconta1@unisabana.edu.co1"/>
  </r>
  <r>
    <s v="johanna.jimenez1@unisabana.edu.co"/>
    <s v="johanna.jimenez1@unisabana.edu.co1"/>
    <s v="MEDICINA"/>
    <x v="4"/>
    <x v="1"/>
    <x v="0"/>
    <s v="Completa"/>
    <s v="Pregrado"/>
    <s v="FACULTAD DE MEDICINA"/>
    <s v="https://ProfPlanta2024.sawtoothsoftware.com/cgi-bin/ciwweb.pl?studyname=ProfPlanta2024&amp;Correo=johanna.jimenez1@unisabana.edu.co1"/>
  </r>
  <r>
    <s v="john.londono@unisabana.edu.co"/>
    <s v="john.londono@unisabana.edu.co01"/>
    <s v="ESPECIALIZACIï¿½N EN REUMATOLOGï¿½A"/>
    <x v="136"/>
    <x v="1"/>
    <x v="0"/>
    <s v="Completa"/>
    <s v="Posgrado"/>
    <s v="FACULTAD DE MEDICINA"/>
    <s v="https://ProfPlanta2024.sawtoothsoftware.com/cgi-bin/ciwweb.pl?studyname=ProfPlanta2024&amp;Correo=john.londono@unisabana.edu.co01"/>
  </r>
  <r>
    <s v="john.londono@unisabana.edu.co"/>
    <s v="john.londono@unisabana.edu.co1"/>
    <s v="MEDICINA"/>
    <x v="4"/>
    <x v="1"/>
    <x v="0"/>
    <s v="Completa"/>
    <s v="Pregrado"/>
    <s v="FACULTAD DE MEDICINA"/>
    <s v="https://ProfPlanta2024.sawtoothsoftware.com/cgi-bin/ciwweb.pl?studyname=ProfPlanta2024&amp;Correo=john.londono@unisabana.edu.co1"/>
  </r>
  <r>
    <s v="jorge.arbelaez@unisabana.edu.co"/>
    <s v="jorge.arbelaez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jorge.arbelaez@unisabana.edu.co1"/>
  </r>
  <r>
    <s v="jorge.castellanos@unisabana.edu.co"/>
    <s v="jorge.castellanos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jorge.castellanos@unisabana.edu.co1"/>
  </r>
  <r>
    <s v="jorge.gaitan@unisabana.edu.co"/>
    <s v="jorge.gaitan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orge.gaitan@unisabana.edu.co1"/>
  </r>
  <r>
    <s v="jorge.restrepo1@unisabana.edu.co"/>
    <s v="jorge.restrepo1@unisabana.edu.co01"/>
    <s v="MAESTRï¿½A EN EDUCACIï¿½N Mï¿½DICA"/>
    <x v="110"/>
    <x v="1"/>
    <x v="1"/>
    <s v="Incompleta"/>
    <s v="Posgrado"/>
    <s v="FACULTAD DE MEDICINA"/>
    <s v="https://ProfPlanta2024.sawtoothsoftware.com/cgi-bin/ciwweb.pl?studyname=ProfPlanta2024&amp;Correo=jorge.restrepo1@unisabana.edu.co01"/>
  </r>
  <r>
    <s v="jose.guanipa@unisabana.edu.co"/>
    <s v="jose.guanip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ose.guanipa@unisabana.edu.co1"/>
  </r>
  <r>
    <s v="jose.rodriguez3@unisabana.edu.co"/>
    <s v="jose.rodriguez3@unisabana.edu.co01"/>
    <s v="MAESTRIA EN DERECHO INTERNACIONAL"/>
    <x v="61"/>
    <x v="1"/>
    <x v="1"/>
    <s v="Incompleta"/>
    <s v="Posgrado"/>
    <s v="FACULTAD DE DERECHO Y CIENCIAS POLÍTICAS"/>
    <s v="https://ProfPlanta2024.sawtoothsoftware.com/cgi-bin/ciwweb.pl?studyname=ProfPlanta2024&amp;Correo=jose.rodriguez3@unisabana.edu.co01"/>
  </r>
  <r>
    <s v="jose.rodriguez3@unisabana.edu.co"/>
    <s v="jose.rodriguez3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jose.rodriguez3@unisabana.edu.co1"/>
  </r>
  <r>
    <s v="jose.suarez1@unisabana.edu.co"/>
    <s v="jose.suarez1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jose.suarez1@unisabana.edu.co1"/>
  </r>
  <r>
    <s v="juan.aranda@unisabana.edu.co"/>
    <s v="juan.arand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juan.aranda@unisabana.edu.co01"/>
  </r>
  <r>
    <s v="juan.aranda@unisabana.edu.co"/>
    <s v="juan.aranda@unisabana.edu.co1"/>
    <s v="INGENIERï¿½A INDFORMATICA"/>
    <x v="31"/>
    <x v="1"/>
    <x v="0"/>
    <s v="Completa"/>
    <s v="Pregrado"/>
    <s v="FACULTAD DE INGENIERÍA"/>
    <s v="https://ProfPlanta2024.sawtoothsoftware.com/cgi-bin/ciwweb.pl?studyname=ProfPlanta2024&amp;Correo=juan.aranda@unisabana.edu.co1"/>
  </r>
  <r>
    <s v="juan.cardenas4@unisabana.edu.co"/>
    <s v="juan.cardenas4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juan.cardenas4@unisabana.edu.co01"/>
  </r>
  <r>
    <s v="juan.cardenas4@unisabana.edu.co"/>
    <s v="juan.cardenas4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cardenas4@unisabana.edu.co1"/>
  </r>
  <r>
    <s v="juan.castro2@unisabana.edu.co"/>
    <s v="juan.castro2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castro2@unisabana.edu.co1"/>
  </r>
  <r>
    <s v="juan.castro2@unisabana.edu.co"/>
    <s v="juan.castro2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juan.castro2@unisabana.edu.co2"/>
  </r>
  <r>
    <s v="juan.castro2@unisabana.edu.co"/>
    <s v="juan.castro2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juan.castro2@unisabana.edu.co3"/>
  </r>
  <r>
    <s v="juan.de@unisabana.edu.co"/>
    <s v="juan.de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juan.de@unisabana.edu.co1"/>
  </r>
  <r>
    <s v="juan.espejo1@unisabana.edu.co"/>
    <s v="juan.espejo1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juan.espejo1@unisabana.edu.co1"/>
  </r>
  <r>
    <s v="juan.garcia@unisabana.edu.co"/>
    <s v="juan.garcia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juan.garcia@unisabana.edu.co01"/>
  </r>
  <r>
    <s v="juan.garcia@unisabana.edu.co"/>
    <s v="juan.garcia@unisabana.edu.co1"/>
    <s v="MEDICINA"/>
    <x v="4"/>
    <x v="1"/>
    <x v="0"/>
    <s v="Completa"/>
    <s v="Pregrado"/>
    <s v="FACULTAD DE MEDICINA"/>
    <s v="https://ProfPlanta2024.sawtoothsoftware.com/cgi-bin/ciwweb.pl?studyname=ProfPlanta2024&amp;Correo=juan.garcia@unisabana.edu.co1"/>
  </r>
  <r>
    <s v="juan.garzon@unisabana.edu.co"/>
    <s v="juan.garzon@unisabana.edu.co01"/>
    <s v="MAESTRIA EN CONTRATACION ESTATAL"/>
    <x v="59"/>
    <x v="1"/>
    <x v="0"/>
    <s v="Completa"/>
    <s v="Posgrado"/>
    <s v="FACULTAD DE DERECHO Y CIENCIAS POLÍTICAS"/>
    <s v="https://ProfPlanta2024.sawtoothsoftware.com/cgi-bin/ciwweb.pl?studyname=ProfPlanta2024&amp;Correo=juan.garzon@unisabana.edu.co01"/>
  </r>
  <r>
    <s v="juan.garzon@unisabana.edu.co"/>
    <s v="juan.garzon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juan.garzon@unisabana.edu.co1"/>
  </r>
  <r>
    <s v="juan.garzon@unisabana.edu.co"/>
    <s v="juan.garzon@unisabana.edu.co2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garzon@unisabana.edu.co2"/>
  </r>
  <r>
    <s v="juan.giraldo9@unisabana.edu.co"/>
    <s v="juan.giraldo9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juan.giraldo9@unisabana.edu.co07"/>
  </r>
  <r>
    <s v="juan.giraldo9@unisabana.edu.co"/>
    <s v="juan.giraldo9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an.giraldo9@unisabana.edu.co1"/>
  </r>
  <r>
    <s v="juan.gonzalez14@unisabana.edu.co"/>
    <s v="juan.gonzalez14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an.gonzalez14@unisabana.edu.co1"/>
  </r>
  <r>
    <s v="juan.herrera2@unisabana.edu.co"/>
    <s v="juan.herrera2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juan.herrera2@unisabana.edu.co1"/>
  </r>
  <r>
    <s v="juan.martinez15@unisabana.edu.co"/>
    <s v="juan.martinez15@unisabana.edu.co01"/>
    <s v="ESPECIALIZACIï¿½N EN DERECHO Y EMPRESA - CHï¿½A"/>
    <x v="77"/>
    <x v="1"/>
    <x v="1"/>
    <s v="Incompleta"/>
    <s v="Posgrado"/>
    <s v="FACULTAD DE DERECHO Y CIENCIAS POLÍTICAS"/>
    <s v="https://ProfPlanta2024.sawtoothsoftware.com/cgi-bin/ciwweb.pl?studyname=ProfPlanta2024&amp;Correo=juan.martinez15@unisabana.edu.co01"/>
  </r>
  <r>
    <s v="juan.martinez15@unisabana.edu.co"/>
    <s v="juan.martinez15@unisabana.edu.co02"/>
    <s v="MAESTRIA EN DERECHO DE LA EMPRESA Y DE LOS NEGOCIOS"/>
    <x v="9"/>
    <x v="1"/>
    <x v="1"/>
    <s v="Incompleta"/>
    <s v="Posgrado"/>
    <s v="FACULTAD DE DERECHO Y CIENCIAS POLÍTICAS"/>
    <s v="https://ProfPlanta2024.sawtoothsoftware.com/cgi-bin/ciwweb.pl?studyname=ProfPlanta2024&amp;Correo=juan.martinez15@unisabana.edu.co02"/>
  </r>
  <r>
    <s v="juan.martinez15@unisabana.edu.co"/>
    <s v="juan.martinez15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martinez15@unisabana.edu.co1"/>
  </r>
  <r>
    <s v="juan.mojica2@unisabana.edu.co"/>
    <s v="juan.mojica2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juan.mojica2@unisabana.edu.co01"/>
  </r>
  <r>
    <s v="juan.mojica2@unisabana.edu.co"/>
    <s v="juan.mojica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juan.mojica2@unisabana.edu.co1"/>
  </r>
  <r>
    <s v="juan.ortiz7@unisabana.edu.co"/>
    <s v="juan.ortiz7@unisabana.edu.co1"/>
    <s v="MEDICINA"/>
    <x v="4"/>
    <x v="1"/>
    <x v="0"/>
    <s v="Completa"/>
    <s v="Pregrado"/>
    <s v="FACULTAD DE MEDICINA"/>
    <s v="https://ProfPlanta2024.sawtoothsoftware.com/cgi-bin/ciwweb.pl?studyname=ProfPlanta2024&amp;Correo=juan.ortiz7@unisabana.edu.co1"/>
  </r>
  <r>
    <s v="juan.sandoval1@unisabana.edu.co"/>
    <s v="juan.sandoval1@unisabana.edu.co01"/>
    <s v="MAESTRï¿½A EN GERENCIA Y DESARROLLO DE PERSONAS"/>
    <x v="65"/>
    <x v="1"/>
    <x v="0"/>
    <s v="Completa"/>
    <s v="Posgrado"/>
    <s v="FACULTAD DE PSICOLOGÍA"/>
    <s v="https://ProfPlanta2024.sawtoothsoftware.com/cgi-bin/ciwweb.pl?studyname=ProfPlanta2024&amp;Correo=juan.sandoval1@unisabana.edu.co01"/>
  </r>
  <r>
    <s v="juan.sandoval1@unisabana.edu.co"/>
    <s v="juan.sandoval1@unisabana.edu.co02"/>
    <s v="MAESTRIA EN PSICOLOGIA"/>
    <x v="123"/>
    <x v="1"/>
    <x v="0"/>
    <s v="Completa"/>
    <s v="Posgrado"/>
    <s v="FACULTAD DE PSICOLOGÍA"/>
    <s v="https://ProfPlanta2024.sawtoothsoftware.com/cgi-bin/ciwweb.pl?studyname=ProfPlanta2024&amp;Correo=juan.sandoval1@unisabana.edu.co02"/>
  </r>
  <r>
    <s v="juan.sandoval1@unisabana.edu.co"/>
    <s v="juan.sandoval1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juan.sandoval1@unisabana.edu.co07"/>
  </r>
  <r>
    <s v="juan.sarmiento3@unisabana.edu.co"/>
    <s v="juan.sarmiento3@unisabana.edu.co01"/>
    <s v="ESPECIALIZACIï¿½N EN CONTRATACIï¿½N ESTATAL - CHï¿½A"/>
    <x v="64"/>
    <x v="1"/>
    <x v="0"/>
    <s v="Completa"/>
    <s v="Posgrado"/>
    <s v="FACULTAD DE DERECHO Y CIENCIAS POLÍTICAS"/>
    <s v="https://ProfPlanta2024.sawtoothsoftware.com/cgi-bin/ciwweb.pl?studyname=ProfPlanta2024&amp;Correo=juan.sarmiento3@unisabana.edu.co01"/>
  </r>
  <r>
    <s v="juan.sarmiento3@unisabana.edu.co"/>
    <s v="juan.sarmiento3@unisabana.edu.co02"/>
    <s v="MAESTRIA EN CONTRATACION ESTATAL"/>
    <x v="59"/>
    <x v="1"/>
    <x v="0"/>
    <s v="Completa"/>
    <s v="Posgrado"/>
    <s v="FACULTAD DE DERECHO Y CIENCIAS POLÍTICAS"/>
    <s v="https://ProfPlanta2024.sawtoothsoftware.com/cgi-bin/ciwweb.pl?studyname=ProfPlanta2024&amp;Correo=juan.sarmiento3@unisabana.edu.co02"/>
  </r>
  <r>
    <s v="juan.sarmiento3@unisabana.edu.co"/>
    <s v="juan.sarmiento3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an.sarmiento3@unisabana.edu.co1"/>
  </r>
  <r>
    <s v="juana.jaramillo@unisabana.edu.co"/>
    <s v="juana.jaramillo@unisabana.edu.co01"/>
    <s v="MAESTRï¿½A EN BIOï¿½TICA"/>
    <x v="143"/>
    <x v="1"/>
    <x v="0"/>
    <s v="Completa"/>
    <s v="Posgrado"/>
    <s v="FACULTAD DE MEDICINA"/>
    <s v="https://ProfPlanta2024.sawtoothsoftware.com/cgi-bin/ciwweb.pl?studyname=ProfPlanta2024&amp;Correo=juana.jaramillo@unisabana.edu.co01"/>
  </r>
  <r>
    <s v="juana.jaramillo@unisabana.edu.co"/>
    <s v="juana.jaramillo@unisabana.edu.co07"/>
    <s v="MAESTRÃA EN PSICOLOGÃA CLINICA DE LA NIÃ‘EZ Y LA ADOLESCENCIA"/>
    <x v="120"/>
    <x v="1"/>
    <x v="0"/>
    <s v="Completa"/>
    <s v="Posgrado"/>
    <s v="FACULTAD DE PSICOLOGÍA"/>
    <s v="https://ProfPlanta2024.sawtoothsoftware.com/cgi-bin/ciwweb.pl?studyname=ProfPlanta2024&amp;Correo=juana.jaramillo@unisabana.edu.co07"/>
  </r>
  <r>
    <s v="juana.jaramillo@unisabana.edu.co"/>
    <s v="juana.jaramillo@unisabana.edu.co1"/>
    <s v="MEDICINA"/>
    <x v="4"/>
    <x v="1"/>
    <x v="0"/>
    <s v="Completa"/>
    <s v="Pregrado"/>
    <s v="FACULTAD DE MEDICINA"/>
    <s v="https://ProfPlanta2024.sawtoothsoftware.com/cgi-bin/ciwweb.pl?studyname=ProfPlanta2024&amp;Correo=juana.jaramillo@unisabana.edu.co1"/>
  </r>
  <r>
    <s v="juanreca@unisabana.edu.co"/>
    <s v="juanreca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juanreca@unisabana.edu.co07"/>
  </r>
  <r>
    <s v="juanreca@unisabana.edu.co"/>
    <s v="juanreca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anreca@unisabana.edu.co1"/>
  </r>
  <r>
    <s v="julian.carreno@unisabana.edu.co"/>
    <s v="Julian.Carreno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Julian.Carreno@unisabana.edu.co1"/>
  </r>
  <r>
    <s v="julian.huertas1@unisabana.edu.co"/>
    <s v="julian.huertas1@unisabana.edu.co01"/>
    <s v="MAESTRIA EN DERECHO INTERNACIONAL"/>
    <x v="61"/>
    <x v="1"/>
    <x v="0"/>
    <s v="Completa"/>
    <s v="Posgrado"/>
    <s v="FACULTAD DE DERECHO Y CIENCIAS POLÍTICAS"/>
    <s v="https://ProfPlanta2024.sawtoothsoftware.com/cgi-bin/ciwweb.pl?studyname=ProfPlanta2024&amp;Correo=julian.huertas1@unisabana.edu.co01"/>
  </r>
  <r>
    <s v="julian.huertas1@unisabana.edu.co"/>
    <s v="julian.huertas1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julian.huertas1@unisabana.edu.co1"/>
  </r>
  <r>
    <s v="juliana.llanes@unisabana.edu.co"/>
    <s v="juliana.llanes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juliana.llanes@unisabana.edu.co1"/>
  </r>
  <r>
    <s v="julie.cedeno@unisabana.edu.co"/>
    <s v="julie.cedeno@unisabana.edu.co01"/>
    <s v="MAESTRï¿½A EN GERENCIA Y DESARROLLO DE PERSONAS"/>
    <x v="65"/>
    <x v="1"/>
    <x v="1"/>
    <s v="Incompleta"/>
    <s v="Posgrado"/>
    <s v="FACULTAD DE PSICOLOGÍA"/>
    <s v="https://ProfPlanta2024.sawtoothsoftware.com/cgi-bin/ciwweb.pl?studyname=ProfPlanta2024&amp;Correo=julie.cedeno@unisabana.edu.co01"/>
  </r>
  <r>
    <s v="julie.cedeno@unisabana.edu.co"/>
    <s v="julie.cedeno@unisabana.edu.co02"/>
    <s v="MAESTRIA EN PSICOLOGIA"/>
    <x v="123"/>
    <x v="1"/>
    <x v="1"/>
    <s v="Incompleta"/>
    <s v="Posgrado"/>
    <s v="FACULTAD DE PSICOLOGÍA"/>
    <s v="https://ProfPlanta2024.sawtoothsoftware.com/cgi-bin/ciwweb.pl?studyname=ProfPlanta2024&amp;Correo=julie.cedeno@unisabana.edu.co02"/>
  </r>
  <r>
    <s v="julie.cedeno@unisabana.edu.co"/>
    <s v="julie.ceden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julie.cedeno@unisabana.edu.co1"/>
  </r>
  <r>
    <s v="julio.martinez@unisabana.edu.co"/>
    <s v="julio.martinez@unisabana.edu.co1"/>
    <s v="MEDICINA"/>
    <x v="4"/>
    <x v="1"/>
    <x v="0"/>
    <s v="Completa"/>
    <s v="Pregrado"/>
    <s v="FACULTAD DE MEDICINA"/>
    <s v="https://ProfPlanta2024.sawtoothsoftware.com/cgi-bin/ciwweb.pl?studyname=ProfPlanta2024&amp;Correo=julio.martinez@unisabana.edu.co1"/>
  </r>
  <r>
    <s v="juliocc@unisabana.edu.co"/>
    <s v="Juliocc@unisabana.edu.co01"/>
    <s v="ESPECIALIZACIï¿½N EN GERENCIA COMERCIAL BUCARAMANGA - SANTANDER"/>
    <x v="104"/>
    <x v="1"/>
    <x v="0"/>
    <s v="Completa"/>
    <s v="Posgrado"/>
    <s v="INSTITUTO FORUM"/>
    <s v="https://ProfPlanta2024.sawtoothsoftware.com/cgi-bin/ciwweb.pl?studyname=ProfPlanta2024&amp;Correo=Juliocc@unisabana.edu.co01"/>
  </r>
  <r>
    <s v="jullyorjve@unisabana.edu.co"/>
    <s v="jullyorjve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jullyorjve@unisabana.edu.co01"/>
  </r>
  <r>
    <s v="jullyorjve@unisabana.edu.co"/>
    <s v="jullyorjve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jullyorjve@unisabana.edu.co1"/>
  </r>
  <r>
    <s v="kemel.ghotme@unisabana.edu.co"/>
    <s v="kemel.ghotme@unisabana.edu.co1"/>
    <s v="MEDICINA"/>
    <x v="4"/>
    <x v="1"/>
    <x v="0"/>
    <s v="Completa"/>
    <s v="Pregrado"/>
    <s v="FACULTAD DE MEDICINA"/>
    <s v="https://ProfPlanta2024.sawtoothsoftware.com/cgi-bin/ciwweb.pl?studyname=ProfPlanta2024&amp;Correo=kemel.ghotme@unisabana.edu.co1"/>
  </r>
  <r>
    <s v="lady.duque@unisabana.edu.co"/>
    <s v="lady.duque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lady.duque@unisabana.edu.co1"/>
  </r>
  <r>
    <s v="laura.carreno@unisabana.edu.co"/>
    <s v="laura.carreno@unisabana.edu.co01"/>
    <s v="MAESTRï¿½A EN DESARROLLO INFANTIL - RIOHACHA"/>
    <x v="42"/>
    <x v="1"/>
    <x v="1"/>
    <s v="Incompleta"/>
    <s v="Posgrado"/>
    <s v="FACULTAD DE EDUCACIÓN"/>
    <s v="https://ProfPlanta2024.sawtoothsoftware.com/cgi-bin/ciwweb.pl?studyname=ProfPlanta2024&amp;Correo=laura.carreno@unisabana.edu.co01"/>
  </r>
  <r>
    <s v="laura.carreno@unisabana.edu.co"/>
    <s v="laura.carreno@unisabana.edu.co03"/>
    <s v="MAESTRï¿½A EN DIDï¿½CTICA DEL INGLï¿½S PARA EL APRENDIZAJE AUTODIRIGIDO - VIRTUAL"/>
    <x v="137"/>
    <x v="1"/>
    <x v="0"/>
    <s v="Incompleta"/>
    <s v="Posgrado"/>
    <s v="FACULTAD DE EDUCACIÓN"/>
    <s v="https://ProfPlanta2024.sawtoothsoftware.com/cgi-bin/ciwweb.pl?studyname=ProfPlanta2024&amp;Correo=laura.carreno@unisabana.edu.co03"/>
  </r>
  <r>
    <s v="laura.carreno@unisabana.edu.co"/>
    <s v="laura.carreno@unisabana.edu.co2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laura.carreno@unisabana.edu.co2"/>
  </r>
  <r>
    <s v="laura.fonseca@unisabana.edu.co"/>
    <s v="laura.fonseca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laura.fonseca@unisabana.edu.co07"/>
  </r>
  <r>
    <s v="laura.fonseca2@unisabana.edu.co"/>
    <s v="laura.fonseca2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laura.fonseca2@unisabana.edu.co01"/>
  </r>
  <r>
    <s v="laura.fonseca2@unisabana.edu.co"/>
    <s v="laura.fonseca2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laura.fonseca2@unisabana.edu.co1"/>
  </r>
  <r>
    <s v="laura.fuerte1@unisabana.edu.co"/>
    <s v="laura.fuerte1@unisabana.edu.co01"/>
    <s v="MAESTRï¿½A EN GERENCIA DE INVERSIï¿½N"/>
    <x v="26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1"/>
  </r>
  <r>
    <s v="laura.fuerte1@unisabana.edu.co"/>
    <s v="laura.fuerte1@unisabana.edu.co02"/>
    <s v="MAESTRï¿½A EN GERENCIA DE INVERSIï¿½N - VIRTUAL"/>
    <x v="27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2"/>
  </r>
  <r>
    <s v="laura.fuerte1@unisabana.edu.co"/>
    <s v="laura.fuerte1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laura.fuerte1@unisabana.edu.co1"/>
  </r>
  <r>
    <s v="laura.lopez7@unisabana.edu.co"/>
    <s v="laura.lopez7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aura.lopez7@unisabana.edu.co1"/>
  </r>
  <r>
    <s v="laura.lopez7@unisabana.edu.co"/>
    <s v="laura.lopez7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laura.lopez7@unisabana.edu.co2"/>
  </r>
  <r>
    <s v="laura.rodriguez23@unisabana.edu.co"/>
    <s v="laura.rodriguez23@unisabana.edu.co1"/>
    <s v="CENTRO INTERNACIONAL DE LENGUAS Y CULTURAS EXTRANJERAS"/>
    <x v="19"/>
    <x v="1"/>
    <x v="1"/>
    <s v="Incompleta"/>
    <s v="Pregrado"/>
    <s v="CENTRO INTERNACIONAL DE LENGUAS Y CULTURAS EXTRANJERAS"/>
    <s v="https://ProfPlanta2024.sawtoothsoftware.com/cgi-bin/ciwweb.pl?studyname=ProfPlanta2024&amp;Correo=laura.rodriguez23@unisabana.edu.co1"/>
  </r>
  <r>
    <s v="ledy.armirola@unisabana.edu.co"/>
    <s v="ledy.armirola@unisabana.edu.co01"/>
    <s v="MAESTRï¿½A EN COMUNICACIï¿½N ESTRï¿½TEGICA"/>
    <x v="115"/>
    <x v="1"/>
    <x v="0"/>
    <s v="Completa"/>
    <s v="Posgrado"/>
    <s v="FACULTAD DE COMUNICACIÓN"/>
    <s v="https://ProfPlanta2024.sawtoothsoftware.com/cgi-bin/ciwweb.pl?studyname=ProfPlanta2024&amp;Correo=ledy.armirola@unisabana.edu.co01"/>
  </r>
  <r>
    <s v="ledy.armirola@unisabana.edu.co"/>
    <s v="ledy.armirola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ledy.armirola@unisabana.edu.co1"/>
  </r>
  <r>
    <s v="ledy.armirola@unisabana.edu.co"/>
    <s v="ledy.armirola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edy.armirola@unisabana.edu.co2"/>
  </r>
  <r>
    <s v="leidy.diaz3@unisabana.edu.co"/>
    <s v="leidy.diaz3@unisabana.edu.co01"/>
    <s v="ESPECIALIZACION EN PSICOLOGIA EDUCATIVA"/>
    <x v="71"/>
    <x v="1"/>
    <x v="0"/>
    <s v="Completa"/>
    <s v="Posgrado"/>
    <s v="FACULTAD DE PSICOLOGÍA"/>
    <s v="https://ProfPlanta2024.sawtoothsoftware.com/cgi-bin/ciwweb.pl?studyname=ProfPlanta2024&amp;Correo=leidy.diaz3@unisabana.edu.co01"/>
  </r>
  <r>
    <s v="leidy.diaz3@unisabana.edu.co"/>
    <s v="leidy.diaz3@unisabana.edu.co02"/>
    <s v="MAESTRIA EN PSICOLOGIA DE LA SALUD Y DISCAPACIDAD"/>
    <x v="46"/>
    <x v="1"/>
    <x v="0"/>
    <s v="Completa"/>
    <s v="Posgrado"/>
    <s v="FACULTAD DE PSICOLOGÍA"/>
    <s v="https://ProfPlanta2024.sawtoothsoftware.com/cgi-bin/ciwweb.pl?studyname=ProfPlanta2024&amp;Correo=leidy.diaz3@unisabana.edu.co02"/>
  </r>
  <r>
    <s v="leidy.leon@unisabana.edu.co"/>
    <s v="leidy.leon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leidy.leon@unisabana.edu.co01"/>
  </r>
  <r>
    <s v="leidy.leon@unisabana.edu.co"/>
    <s v="leidy.leon@unisabana.edu.co1"/>
    <s v="CIENCIA DE DATOS"/>
    <x v="44"/>
    <x v="1"/>
    <x v="0"/>
    <s v="Completa"/>
    <s v="Pregrado"/>
    <s v="FACULTAD DE INGENIERÍA"/>
    <s v="https://ProfPlanta2024.sawtoothsoftware.com/cgi-bin/ciwweb.pl?studyname=ProfPlanta2024&amp;Correo=leidy.leon@unisabana.edu.co1"/>
  </r>
  <r>
    <s v="leonardo.moreno@unisabana.edu.co"/>
    <s v="leonardo.moren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leonardo.moreno@unisabana.edu.co1"/>
  </r>
  <r>
    <s v="leonardo.moreno@unisabana.edu.co"/>
    <s v="leonardo.moreno@unisabana.edu.co2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leonardo.moreno@unisabana.edu.co2"/>
  </r>
  <r>
    <s v="lesly.velandia@unisabana.edu.co"/>
    <s v="lesly.velandi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lesly.velandia@unisabana.edu.co1"/>
  </r>
  <r>
    <s v="liliana.cuesta@unisabana.edu.co"/>
    <s v="liliana.cuesta@unisabana.edu.co01"/>
    <s v="MAESTRï¿½A EN PERIODISMO Y COMUNICACIï¿½N DIGITAL"/>
    <x v="47"/>
    <x v="1"/>
    <x v="1"/>
    <s v="Incompleta"/>
    <s v="Posgrado"/>
    <s v="FACULTAD DE COMUNICACIÓN"/>
    <s v="https://ProfPlanta2024.sawtoothsoftware.com/cgi-bin/ciwweb.pl?studyname=ProfPlanta2024&amp;Correo=liliana.cuesta@unisabana.edu.co01"/>
  </r>
  <r>
    <s v="liliana.gutierrez1@unisabana.edu.co"/>
    <s v="liliana.gutierrez1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liliana.gutierrez1@unisabana.edu.co01"/>
  </r>
  <r>
    <s v="liliana.gutierrez1@unisabana.edu.co"/>
    <s v="liliana.gutierrez1@unisabana.edu.co02"/>
    <s v="MAESTRï¿½A EN PERIODISMO Y COMUNICACIï¿½N DIGITAL"/>
    <x v="47"/>
    <x v="1"/>
    <x v="1"/>
    <s v="Incompleta"/>
    <s v="Posgrado"/>
    <s v="FACULTAD DE COMUNICACIÓN"/>
    <s v="https://ProfPlanta2024.sawtoothsoftware.com/cgi-bin/ciwweb.pl?studyname=ProfPlanta2024&amp;Correo=liliana.gutierrez1@unisabana.edu.co02"/>
  </r>
  <r>
    <s v="liliana.gutierrez1@unisabana.edu.co"/>
    <s v="liliana.gutierrez1@unisabana.edu.co1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iliana.gutierrez1@unisabana.edu.co1"/>
  </r>
  <r>
    <s v="liliana.paredes@unisabana.edu.co"/>
    <s v="liliana.paredes@unisabana.edu.co01"/>
    <s v="MAESTRï¿½A EN COMUNICACIï¿½N ESTRï¿½TEGICA"/>
    <x v="115"/>
    <x v="1"/>
    <x v="1"/>
    <s v="Incompleta"/>
    <s v="Posgrado"/>
    <s v="FACULTAD DE COMUNICACIÓN"/>
    <s v="https://ProfPlanta2024.sawtoothsoftware.com/cgi-bin/ciwweb.pl?studyname=ProfPlanta2024&amp;Correo=liliana.paredes@unisabana.edu.co01"/>
  </r>
  <r>
    <s v="liliana.paredes@unisabana.edu.co"/>
    <s v="liliana.paredes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liliana.paredes@unisabana.edu.co1"/>
  </r>
  <r>
    <s v="liliana.paredes@unisabana.edu.co"/>
    <s v="liliana.paredes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liliana.paredes@unisabana.edu.co3"/>
  </r>
  <r>
    <s v="lilianaoa@unisabana.edu.co"/>
    <s v="lilianaoa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lilianaoa@unisabana.edu.co1"/>
  </r>
  <r>
    <s v="lina.gomez3@unisabana.edu.co"/>
    <s v="lina.gomez3@unisabana.edu.co1"/>
    <s v="MEDICINA"/>
    <x v="4"/>
    <x v="1"/>
    <x v="0"/>
    <s v="Completa"/>
    <s v="Pregrado"/>
    <s v="FACULTAD DE MEDICINA"/>
    <s v="https://ProfPlanta2024.sawtoothsoftware.com/cgi-bin/ciwweb.pl?studyname=ProfPlanta2024&amp;Correo=lina.gomez3@unisabana.edu.co1"/>
  </r>
  <r>
    <s v="lina.grimaldos@unisabana.edu.co"/>
    <s v="lina.grimaldos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ina.grimaldos@unisabana.edu.co1"/>
  </r>
  <r>
    <s v="lina.grimaldos@unisabana.edu.co"/>
    <s v="lina.grimaldos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lina.grimaldos@unisabana.edu.co2"/>
  </r>
  <r>
    <s v="lina.ruiz1@unisabana.edu.co"/>
    <s v="LINA.RUIZ1@UNISABANA.EDU.CO1"/>
    <s v="MEDICINA"/>
    <x v="4"/>
    <x v="1"/>
    <x v="0"/>
    <s v="Completa"/>
    <s v="Pregrado"/>
    <s v="FACULTAD DE MEDICINA"/>
    <s v="https://ProfPlanta2024.sawtoothsoftware.com/cgi-bin/ciwweb.pl?studyname=ProfPlanta2024&amp;Correo=LINA.RUIZ1@UNISABANA.EDU.CO1"/>
  </r>
  <r>
    <s v="lina.sorza@unisabana.edu.co"/>
    <s v="lina.sorza@unisabana.edu.co1"/>
    <s v="CENTRO DE TECNOLOGï¿½AS PARA LA ACADEMIA"/>
    <x v="87"/>
    <x v="1"/>
    <x v="0"/>
    <s v="Completa"/>
    <s v="Pregrado"/>
    <s v="CENTRO DE TECNOLOGÍAS PARA LA ACADEMIA"/>
    <s v="https://ProfPlanta2024.sawtoothsoftware.com/cgi-bin/ciwweb.pl?studyname=ProfPlanta2024&amp;Correo=lina.sorza@unisabana.edu.co1"/>
  </r>
  <r>
    <s v="liza.pinzon@unisabana.edu.co"/>
    <s v="liza.pinzon@unisabana.edu.co01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1"/>
  </r>
  <r>
    <s v="liza.pinzon@unisabana.edu.co"/>
    <s v="liza.pinzon@unisabana.edu.co02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2"/>
  </r>
  <r>
    <s v="lizeth.pedraza@unisabana.edu.co"/>
    <s v="Lizeth.pedraza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Lizeth.pedraza@unisabana.edu.co07"/>
  </r>
  <r>
    <s v="loyda.gomez@unisabana.edu.co"/>
    <s v="loyda.gomez@unisabana.edu.co1"/>
    <s v="INNOVACIï¿½N Y EMPRENDIMIENTO"/>
    <x v="58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1"/>
  </r>
  <r>
    <s v="loyda.gomez@unisabana.edu.co"/>
    <s v="loyda.gomez@unisabana.edu.co2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2"/>
  </r>
  <r>
    <s v="lucia.barbosa@unisabana.edu.co"/>
    <s v="lucia.barbosa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cia.barbosa@unisabana.edu.co1"/>
  </r>
  <r>
    <s v="luis.celis@unisabana.edu.co"/>
    <s v="luis.celis@unisabana.edu.co1"/>
    <s v="MEDICINA"/>
    <x v="4"/>
    <x v="1"/>
    <x v="0"/>
    <s v="Completa"/>
    <s v="Pregrado"/>
    <s v="FACULTAD DE MEDICINA"/>
    <s v="https://ProfPlanta2024.sawtoothsoftware.com/cgi-bin/ciwweb.pl?studyname=ProfPlanta2024&amp;Correo=luis.celis@unisabana.edu.co1"/>
  </r>
  <r>
    <s v="luis.diaz1@unisabana.edu.co"/>
    <s v="luis.diaz1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luis.diaz1@unisabana.edu.co01"/>
  </r>
  <r>
    <s v="luis.diaz1@unisabana.edu.co"/>
    <s v="luis.diaz1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luis.diaz1@unisabana.edu.co02"/>
  </r>
  <r>
    <s v="luis.diaz1@unisabana.edu.co"/>
    <s v="luis.diaz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luis.diaz1@unisabana.edu.co1"/>
  </r>
  <r>
    <s v="luis.gomez10@unisabana.edu.co"/>
    <s v="luis.gomez10@unisabana.edu.co01"/>
    <s v="ESPECIALIZACIï¿½N EN GERENCIA LOGï¿½STICA - CHï¿½A"/>
    <x v="109"/>
    <x v="1"/>
    <x v="1"/>
    <s v="Incompleta"/>
    <s v="Posgrado"/>
    <s v="INSTITUTO FORUM"/>
    <s v="https://ProfPlanta2024.sawtoothsoftware.com/cgi-bin/ciwweb.pl?studyname=ProfPlanta2024&amp;Correo=luis.gomez10@unisabana.edu.co01"/>
  </r>
  <r>
    <s v="luis.paipa@unisabana.edu.co"/>
    <s v="luis.paip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luis.paipa@unisabana.edu.co01"/>
  </r>
  <r>
    <s v="luis.paipa@unisabana.edu.co"/>
    <s v="luis.paipa@unisabana.edu.co1"/>
    <s v="INGENIERï¿½A INDUSTRIAL"/>
    <x v="28"/>
    <x v="1"/>
    <x v="1"/>
    <s v="Incompleta"/>
    <s v="Pregrado"/>
    <s v="FACULTAD DE INGENIERÍA"/>
    <s v="https://ProfPlanta2024.sawtoothsoftware.com/cgi-bin/ciwweb.pl?studyname=ProfPlanta2024&amp;Correo=luis.paipa@unisabana.edu.co1"/>
  </r>
  <r>
    <s v="luis.pineda@unisabana.edu.co"/>
    <s v="luis.pineda@unisabana.edu.co01"/>
    <s v="MAESTRï¿½A EN LINGï¿½ï¿½STICA PANHISPï¿½NICA - CHï¿½A"/>
    <x v="63"/>
    <x v="1"/>
    <x v="0"/>
    <s v="Completa"/>
    <s v="Posgrado"/>
    <s v="FACULTAD DE FILOSOFÍA Y CIENCIAS HUMANAS"/>
    <s v="https://ProfPlanta2024.sawtoothsoftware.com/cgi-bin/ciwweb.pl?studyname=ProfPlanta2024&amp;Correo=luis.pineda@unisabana.edu.co01"/>
  </r>
  <r>
    <s v="luis.prieto@unisabana.edu.co"/>
    <s v="luis.prieto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luis.prieto@unisabana.edu.co01"/>
  </r>
  <r>
    <s v="luis.prieto@unisabana.edu.co"/>
    <s v="luis.prieto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luis.prieto@unisabana.edu.co1"/>
  </r>
  <r>
    <s v="luis.reyes5@unisabana.edu.co"/>
    <s v="luis.reyes5@unisabana.edu.co1"/>
    <s v="MEDICINA"/>
    <x v="4"/>
    <x v="1"/>
    <x v="0"/>
    <s v="Completa"/>
    <s v="Pregrado"/>
    <s v="FACULTAD DE MEDICINA"/>
    <s v="https://ProfPlanta2024.sawtoothsoftware.com/cgi-bin/ciwweb.pl?studyname=ProfPlanta2024&amp;Correo=luis.reyes5@unisabana.edu.co1"/>
  </r>
  <r>
    <s v="luisa.zapata1@unisabana.edu.co"/>
    <s v="luisa.zapata1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luisa.zapata1@unisabana.edu.co1"/>
  </r>
  <r>
    <s v="luisbc@unisabana.edu.co"/>
    <s v="LuisBC@unisabana.edu.co01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LuisBC@unisabana.edu.co01"/>
  </r>
  <r>
    <s v="luisbc@unisabana.edu.co"/>
    <s v="LuisBC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isBC@unisabana.edu.co1"/>
  </r>
  <r>
    <s v="luisf.giraldo@unisabana.edu.co"/>
    <s v="luisf.giraldo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luisf.giraldo@unisabana.edu.co01"/>
  </r>
  <r>
    <s v="luisf.giraldo@unisabana.edu.co"/>
    <s v="luisf.giraldo@unisabana.edu.co02"/>
    <s v="MAESTRï¿½A EN EPIDEMIOLOGï¿½A"/>
    <x v="83"/>
    <x v="1"/>
    <x v="1"/>
    <s v="Incompleta"/>
    <s v="Posgrado"/>
    <s v="FACULTAD DE INGENIERÍA"/>
    <s v="https://ProfPlanta2024.sawtoothsoftware.com/cgi-bin/ciwweb.pl?studyname=ProfPlanta2024&amp;Correo=luisf.giraldo@unisabana.edu.co02"/>
  </r>
  <r>
    <s v="luisf.giraldo@unisabana.edu.co"/>
    <s v="luisf.giraldo@unisabana.edu.co03"/>
    <s v="ESPECIALIZACIÃ“N EN NEUMOLOGÃA"/>
    <x v="48"/>
    <x v="1"/>
    <x v="0"/>
    <s v="Completa"/>
    <s v="Posgrado"/>
    <s v="FACULTAD DE MEDICINA"/>
    <s v="https://ProfPlanta2024.sawtoothsoftware.com/cgi-bin/ciwweb.pl?studyname=ProfPlanta2024&amp;Correo=luisf.giraldo@unisabana.edu.co03"/>
  </r>
  <r>
    <s v="luz.alejo@unisabana.edu.co"/>
    <s v="luz.alejo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luz.alejo@unisabana.edu.co01"/>
  </r>
  <r>
    <s v="luz.alejo@unisabana.edu.co"/>
    <s v="luz.alej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luz.alejo@unisabana.edu.co1"/>
  </r>
  <r>
    <s v="luz.mancera2@unisabana.edu.co"/>
    <s v="luz.mancera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luz.mancera2@unisabana.edu.co1"/>
  </r>
  <r>
    <s v="luz.torres3@unisabana.edu.co"/>
    <s v="luz.torres3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1"/>
  </r>
  <r>
    <s v="luz.torres3@unisabana.edu.co"/>
    <s v="luz.torres3@unisabana.edu.co02"/>
    <s v="MAESTRï¿½A EN GERENCIA DE LA INNOVACIï¿½N"/>
    <x v="67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2"/>
  </r>
  <r>
    <s v="luz.torres3@unisabana.edu.co"/>
    <s v="luz.torres3@unisabana.edu.co03"/>
    <s v="MAESTRï¿½A EN GERENCIA DE OPERACIONES"/>
    <x v="86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3"/>
  </r>
  <r>
    <s v="luz.torres3@unisabana.edu.co"/>
    <s v="luz.torres3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luz.torres3@unisabana.edu.co1"/>
  </r>
  <r>
    <s v="luz.villalba@unisabana.edu.co"/>
    <s v="luz.villalba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luz.villalba@unisabana.edu.co2"/>
  </r>
  <r>
    <s v="luz.villegas1@unisabana.edu.co"/>
    <s v="luz.villegas1@unisabana.edu.co01"/>
    <s v="ESPECIALIZACIï¿½N EN GERENCIA ESTRATï¿½GICA - BARRANQUILLA"/>
    <x v="126"/>
    <x v="1"/>
    <x v="0"/>
    <s v="Completa"/>
    <s v="Posgrado"/>
    <s v="INSTITUTO FORUM"/>
    <s v="https://ProfPlanta2024.sawtoothsoftware.com/cgi-bin/ciwweb.pl?studyname=ProfPlanta2024&amp;Correo=luz.villegas1@unisabana.edu.co01"/>
  </r>
  <r>
    <s v="luz.villegas1@unisabana.edu.co"/>
    <s v="luz.villegas1@unisabana.edu.co02"/>
    <s v="ESPECIALIZACIï¿½N EN GESTIï¿½N PARA EL DESARROLLO HUMANO EN LA ORGANIZACIï¿½N - BOGOTï¿½"/>
    <x v="101"/>
    <x v="1"/>
    <x v="0"/>
    <s v="Completa"/>
    <s v="Posgrado"/>
    <s v="INSTITUTO FORUM"/>
    <s v="https://ProfPlanta2024.sawtoothsoftware.com/cgi-bin/ciwweb.pl?studyname=ProfPlanta2024&amp;Correo=luz.villegas1@unisabana.edu.co02"/>
  </r>
  <r>
    <s v="luz.villegas1@unisabana.edu.co"/>
    <s v="luz.villegas1@unisabana.edu.co03"/>
    <s v="ESPECIALIZACIï¿½N EN GERENCIA DE PROYECTOS CON ENFOQUE EN HABILIDADES DIRECTIVAS - CHï¿½A"/>
    <x v="88"/>
    <x v="1"/>
    <x v="0"/>
    <s v="Completa"/>
    <s v="Posgrado"/>
    <s v="INSTITUTO FORUM"/>
    <s v="https://ProfPlanta2024.sawtoothsoftware.com/cgi-bin/ciwweb.pl?studyname=ProfPlanta2024&amp;Correo=luz.villegas1@unisabana.edu.co03"/>
  </r>
  <r>
    <s v="manuel.figueredo@unisabana.edu.co"/>
    <s v="manuel.figueredo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manuel.figueredo@unisabana.edu.co01"/>
  </r>
  <r>
    <s v="manuel.figueredo@unisabana.edu.co"/>
    <s v="manuel.figueredo@unisabana.edu.co02"/>
    <s v="MAESTRï¿½A EN GERENCIA DE INGENIERï¿½A - CHï¿½A"/>
    <x v="1"/>
    <x v="1"/>
    <x v="0"/>
    <s v="Completa"/>
    <s v="Posgrado"/>
    <s v="FACULTAD DE INGENIERÍA"/>
    <s v="https://ProfPlanta2024.sawtoothsoftware.com/cgi-bin/ciwweb.pl?studyname=ProfPlanta2024&amp;Correo=manuel.figueredo@unisabana.edu.co02"/>
  </r>
  <r>
    <s v="manuel.figueredo@unisabana.edu.co"/>
    <s v="manuel.figuered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manuel.figueredo@unisabana.edu.co1"/>
  </r>
  <r>
    <s v="manuel.gonzalez@unisabana.edu.co"/>
    <s v="manuel.gonzalez@unisabana.edu.co01"/>
    <s v="MAESTRï¿½A EN PERIODISMO Y COMUNICACIï¿½N DIGITAL"/>
    <x v="47"/>
    <x v="1"/>
    <x v="0"/>
    <s v="Completa"/>
    <s v="Posgrado"/>
    <s v="FACULTAD DE COMUNICACIÓN"/>
    <s v="https://ProfPlanta2024.sawtoothsoftware.com/cgi-bin/ciwweb.pl?studyname=ProfPlanta2024&amp;Correo=manuel.gonzalez@unisabana.edu.co01"/>
  </r>
  <r>
    <s v="manuel.pareja@unisabana.edu.co"/>
    <s v="manuel.pareja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manuel.pareja@unisabana.edu.co1"/>
  </r>
  <r>
    <s v="manuel.prada3@unisabana.edu.co"/>
    <s v="manuel.prada3@unisabana.edu.co07"/>
    <s v="MAESTRÃA EN PSICOLOGÃA CLINICA DE LA NIÃ‘EZ Y LA ADOLESCENCIA"/>
    <x v="120"/>
    <x v="1"/>
    <x v="1"/>
    <s v="Incompleta"/>
    <s v="Posgrado"/>
    <s v="FACULTAD DE PSICOLOGÍA"/>
    <s v="https://ProfPlanta2024.sawtoothsoftware.com/cgi-bin/ciwweb.pl?studyname=ProfPlanta2024&amp;Correo=manuel.prada3@unisabana.edu.co07"/>
  </r>
  <r>
    <s v="manuel.valero@unisabana.edu.co"/>
    <s v="manuel.valero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manuel.valero@unisabana.edu.co01"/>
  </r>
  <r>
    <s v="manuel.valero@unisabana.edu.co"/>
    <s v="manuel.valero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manuel.valero@unisabana.edu.co1"/>
  </r>
  <r>
    <s v="marcela.duran1@unisabana.edu.co"/>
    <s v="marcela.duran1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marcela.duran1@unisabana.edu.co1"/>
  </r>
  <r>
    <s v="marcela.duran1@unisabana.edu.co"/>
    <s v="marcela.duran1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marcela.duran1@unisabana.edu.co2"/>
  </r>
  <r>
    <s v="marcela.duran1@unisabana.edu.co"/>
    <s v="marcela.duran1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marcela.duran1@unisabana.edu.co3"/>
  </r>
  <r>
    <s v="marcos.ferreira@unisabana.edu.co"/>
    <s v="marcos.ferreira@unisabana.edu.co1"/>
    <s v="MERCADEO"/>
    <x v="24"/>
    <x v="1"/>
    <x v="0"/>
    <s v="Completa"/>
    <s v="Pregrado"/>
    <s v="ESCUELA INTERNACIONAL DE CIENCIAS ECONÓMICAS Y ADMINISTRATIVAS"/>
    <s v="https://ProfPlanta2024.sawtoothsoftware.com/cgi-bin/ciwweb.pl?studyname=ProfPlanta2024&amp;Correo=marcos.ferreira@unisabana.edu.co1"/>
  </r>
  <r>
    <s v="marcoscz@unisabana.edu.co"/>
    <s v="marcoscz@unisabana.edu.co01"/>
    <s v="ESPECIALIZACIï¿½N EN GINECOLOGï¿½A Y OBSTETRICIA"/>
    <x v="145"/>
    <x v="1"/>
    <x v="0"/>
    <s v="Completa"/>
    <s v="Posgrado"/>
    <s v="FACULTAD DE MEDICINA"/>
    <s v="https://ProfPlanta2024.sawtoothsoftware.com/cgi-bin/ciwweb.pl?studyname=ProfPlanta2024&amp;Correo=marcoscz@unisabana.edu.co01"/>
  </r>
  <r>
    <s v="marcoscz@unisabana.edu.co"/>
    <s v="marcoscz@unisabana.edu.co1"/>
    <s v="MEDICINA"/>
    <x v="4"/>
    <x v="1"/>
    <x v="1"/>
    <s v="Incompleta"/>
    <s v="Pregrado"/>
    <s v="FACULTAD DE MEDICINA"/>
    <s v="https://ProfPlanta2024.sawtoothsoftware.com/cgi-bin/ciwweb.pl?studyname=ProfPlanta2024&amp;Correo=marcoscz@unisabana.edu.co1"/>
  </r>
  <r>
    <s v="margarethalmo@unisabana.edu.co"/>
    <s v="margarethalmo@unisabana.edu.co01"/>
    <s v="MAESTRï¿½A EN FISIOTERAPIA"/>
    <x v="121"/>
    <x v="1"/>
    <x v="0"/>
    <s v="Completa"/>
    <s v="Posgrado"/>
    <s v="FACULTAD DE ENFERMERÍA Y REHABILITACIÓN"/>
    <s v="https://ProfPlanta2024.sawtoothsoftware.com/cgi-bin/ciwweb.pl?studyname=ProfPlanta2024&amp;Correo=margarethalmo@unisabana.edu.co01"/>
  </r>
  <r>
    <s v="margarethalmo@unisabana.edu.co"/>
    <s v="margarethalmo@unisabana.edu.co02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margarethalmo@unisabana.edu.co02"/>
  </r>
  <r>
    <s v="margarethalmo@unisabana.edu.co"/>
    <s v="margarethalm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garethalmo@unisabana.edu.co1"/>
  </r>
  <r>
    <s v="margarita.cardenas@unisabana.edu.co"/>
    <s v="margarita.cardenas@unisabana.edu.co01"/>
    <s v="ESPECIALIZACIï¿½N EN CONTRATACIï¿½N ESTATAL - CHï¿½A"/>
    <x v="64"/>
    <x v="1"/>
    <x v="1"/>
    <s v="Incompleta"/>
    <s v="Posgrado"/>
    <s v="FACULTAD DE DERECHO Y CIENCIAS POLÍTICAS"/>
    <s v="https://ProfPlanta2024.sawtoothsoftware.com/cgi-bin/ciwweb.pl?studyname=ProfPlanta2024&amp;Correo=margarita.cardenas@unisabana.edu.co01"/>
  </r>
  <r>
    <s v="margarita.cardenas@unisabana.edu.co"/>
    <s v="margarita.cardenas@unisabana.edu.co02"/>
    <s v="MAESTRIA EN CONTRATACION ESTATAL"/>
    <x v="59"/>
    <x v="1"/>
    <x v="1"/>
    <s v="Incompleta"/>
    <s v="Posgrado"/>
    <s v="FACULTAD DE DERECHO Y CIENCIAS POLÍTICAS"/>
    <s v="https://ProfPlanta2024.sawtoothsoftware.com/cgi-bin/ciwweb.pl?studyname=ProfPlanta2024&amp;Correo=margarita.cardenas@unisabana.edu.co02"/>
  </r>
  <r>
    <s v="margarita.pomar@unisabana.edu.co"/>
    <s v="margarita.pomar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margarita.pomar@unisabana.edu.co01"/>
  </r>
  <r>
    <s v="margarita.pomar@unisabana.edu.co"/>
    <s v="margarita.pomar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margarita.pomar@unisabana.edu.co1"/>
  </r>
  <r>
    <s v="maria.abaunza@unisabana.edu.co"/>
    <s v="maria.abaunza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abaunza@unisabana.edu.co1"/>
  </r>
  <r>
    <s v="maria.aguilar1@unisabana.edu.co"/>
    <s v="maria.aguilar1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maria.aguilar1@unisabana.edu.co1"/>
  </r>
  <r>
    <s v="maria.angel6@unisabana.edu.co"/>
    <s v="maria.angel6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maria.angel6@unisabana.edu.co01"/>
  </r>
  <r>
    <s v="maria.angel6@unisabana.edu.co"/>
    <s v="maria.angel6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angel6@unisabana.edu.co1"/>
  </r>
  <r>
    <s v="maria.arbelaez4@unisabana.edu.co"/>
    <s v="maria.arbelaez4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maria.arbelaez4@unisabana.edu.co2"/>
  </r>
  <r>
    <s v="maria.barrios1@unisabana.edu.co"/>
    <s v="maria.barrios1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maria.barrios1@unisabana.edu.co01"/>
  </r>
  <r>
    <s v="maria.correa3@unisabana.edu.co"/>
    <s v="maria.correa3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maria.correa3@unisabana.edu.co1"/>
  </r>
  <r>
    <s v="maria.deaza@unisabana.edu.co"/>
    <s v="maria.deaza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maria.deaza@unisabana.edu.co1"/>
  </r>
  <r>
    <s v="maria.docal@unisabana.edu.co"/>
    <s v="maria.docal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maria.docal@unisabana.edu.co01"/>
  </r>
  <r>
    <s v="maria.gonzalez2@unisabana.edu.co"/>
    <s v="Maria.Gonzalez2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Maria.Gonzalez2@unisabana.edu.co1"/>
  </r>
  <r>
    <s v="maria.jaramillo10@unisabana.edu.co"/>
    <s v="maria.jaramillo10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maria.jaramillo10@unisabana.edu.co1"/>
  </r>
  <r>
    <s v="maria.macias1@unisabana.edu.co"/>
    <s v="maria.macias1@unisabana.edu.co01"/>
    <s v="MAESTRï¿½A EN GERENCIA ESTRATï¿½GICA"/>
    <x v="35"/>
    <x v="1"/>
    <x v="0"/>
    <s v="Completa"/>
    <s v="Posgrado"/>
    <s v="ESCUELA INTERNACIONAL DE CIENCIAS ECONÓMICAS Y ADMINISTRATIVAS"/>
    <s v="https://ProfPlanta2024.sawtoothsoftware.com/cgi-bin/ciwweb.pl?studyname=ProfPlanta2024&amp;Correo=maria.macias1@unisabana.edu.co01"/>
  </r>
  <r>
    <s v="maria.macias1@unisabana.edu.co"/>
    <s v="maria.macias1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maria.macias1@unisabana.edu.co1"/>
  </r>
  <r>
    <s v="maria.maldonado@unisabana.edu.co"/>
    <s v="maria.maldonado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maldonado@unisabana.edu.co1"/>
  </r>
  <r>
    <s v="maria.maldonado5@unisabana.edu.co"/>
    <s v="maria.maldonado5@unisabana.edu.co01"/>
    <s v="ESPECIALIZACIï¿½N EN PEDIATRï¿½A"/>
    <x v="79"/>
    <x v="1"/>
    <x v="1"/>
    <s v="Incompleta"/>
    <s v="Posgrado"/>
    <s v="FACULTAD DE MEDICINA"/>
    <s v="https://ProfPlanta2024.sawtoothsoftware.com/cgi-bin/ciwweb.pl?studyname=ProfPlanta2024&amp;Correo=maria.maldonado5@unisabana.edu.co01"/>
  </r>
  <r>
    <s v="maria.mazzanti@unisabana.edu.co"/>
    <s v="maria.mazzanti@unisabana.edu.co01"/>
    <s v="DOCTORADO EN BIOCIENCIAS"/>
    <x v="131"/>
    <x v="1"/>
    <x v="0"/>
    <s v="Completa"/>
    <s v="Posgrado"/>
    <s v="FACULTAD DE INGENIERÍA"/>
    <s v="https://ProfPlanta2024.sawtoothsoftware.com/cgi-bin/ciwweb.pl?studyname=ProfPlanta2024&amp;Correo=maria.mazzanti@unisabana.edu.co01"/>
  </r>
  <r>
    <s v="maria.mejia2@unisabana.edu.co"/>
    <s v="maria.mejia2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maria.mejia2@unisabana.edu.co01"/>
  </r>
  <r>
    <s v="maria.mejia2@unisabana.edu.co"/>
    <s v="maria.mejia2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a.mejia2@unisabana.edu.co1"/>
  </r>
  <r>
    <s v="maria.quintanilla1@unisabana.edu.co"/>
    <s v="maria.quintanilla1@unisabana.edu.co01"/>
    <s v="DOCTORADO EN BIOCIENCIAS"/>
    <x v="131"/>
    <x v="1"/>
    <x v="1"/>
    <s v="Incompleta"/>
    <s v="Posgrado"/>
    <s v="FACULTAD DE INGENIERÍA"/>
    <s v="https://ProfPlanta2024.sawtoothsoftware.com/cgi-bin/ciwweb.pl?studyname=ProfPlanta2024&amp;Correo=maria.quintanilla1@unisabana.edu.co01"/>
  </r>
  <r>
    <s v="maria.quintanilla1@unisabana.edu.co"/>
    <s v="maria.quintanilla1@unisabana.edu.co02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ria.quintanilla1@unisabana.edu.co02"/>
  </r>
  <r>
    <s v="maria.quintanilla1@unisabana.edu.co"/>
    <s v="maria.quintanilla1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maria.quintanilla1@unisabana.edu.co1"/>
  </r>
  <r>
    <s v="maria.quiroz@unisabana.edu.co"/>
    <s v="maria.quiroz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maria.quiroz@unisabana.edu.co01"/>
  </r>
  <r>
    <s v="maria.quiroz@unisabana.edu.co"/>
    <s v="maria.quiroz@unisabana.edu.co07"/>
    <s v="Doctorado en PsicologÃ­a"/>
    <x v="119"/>
    <x v="1"/>
    <x v="1"/>
    <s v="Incompleta"/>
    <s v="Posgrado"/>
    <s v="FACULTAD DE PSICOLOGÍA"/>
    <s v="https://ProfPlanta2024.sawtoothsoftware.com/cgi-bin/ciwweb.pl?studyname=ProfPlanta2024&amp;Correo=maria.quiroz@unisabana.edu.co07"/>
  </r>
  <r>
    <s v="maria.quiroz@unisabana.edu.co"/>
    <s v="maria.quiroz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a.quiroz@unisabana.edu.co1"/>
  </r>
  <r>
    <s v="maria.rojas22@unisabana.edu.co"/>
    <s v="maria.rojas22@unisabana.edu.co01"/>
    <s v="ESPECIALIZACIï¿½N EN ENFERMERï¿½A EN CUIDADO CRï¿½TICO - CHï¿½A"/>
    <x v="10"/>
    <x v="1"/>
    <x v="1"/>
    <s v="Incompleta"/>
    <s v="Posgrado"/>
    <s v="FACULTAD DE ENFERMERÍA Y REHABILITACIÓN"/>
    <s v="https://ProfPlanta2024.sawtoothsoftware.com/cgi-bin/ciwweb.pl?studyname=ProfPlanta2024&amp;Correo=maria.rojas22@unisabana.edu.co01"/>
  </r>
  <r>
    <s v="maria.rojas22@unisabana.edu.co"/>
    <s v="maria.rojas22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maria.rojas22@unisabana.edu.co1"/>
  </r>
  <r>
    <s v="maria.sanchez2@unisabana.edu.co"/>
    <s v="maria.sanchez2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maria.sanchez2@unisabana.edu.co01"/>
  </r>
  <r>
    <s v="maria.sanchez2@unisabana.edu.co"/>
    <s v="maria.sanchez2@unisabana.edu.co02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maria.sanchez2@unisabana.edu.co02"/>
  </r>
  <r>
    <s v="maria.sanchez2@unisabana.edu.co"/>
    <s v="maria.sanchez2@unisabana.edu.co03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maria.sanchez2@unisabana.edu.co03"/>
  </r>
  <r>
    <s v="maria.sanchez2@unisabana.edu.co"/>
    <s v="maria.sanchez2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sanchez2@unisabana.edu.co1"/>
  </r>
  <r>
    <s v="maria.tovar5@unisabana.edu.co"/>
    <s v="maria.tovar5@unisabana.edu.co01"/>
    <s v="ESPECIALIZACIï¿½N EN PEDIATRï¿½A"/>
    <x v="79"/>
    <x v="1"/>
    <x v="0"/>
    <s v="Completa"/>
    <s v="Posgrado"/>
    <s v="FACULTAD DE MEDICINA"/>
    <s v="https://ProfPlanta2024.sawtoothsoftware.com/cgi-bin/ciwweb.pl?studyname=ProfPlanta2024&amp;Correo=maria.tovar5@unisabana.edu.co01"/>
  </r>
  <r>
    <s v="maria.umbacia@unisabana.edu.co"/>
    <s v="maria.umbacia@unisabana.edu.co01"/>
    <s v="ESPECIALIZACIï¿½N EN MEDICINA DEL DOLOR Y CUIDADOS PALIATIVOS"/>
    <x v="134"/>
    <x v="1"/>
    <x v="0"/>
    <s v="Completa"/>
    <s v="Posgrado"/>
    <s v="FACULTAD DE MEDICINA"/>
    <s v="https://ProfPlanta2024.sawtoothsoftware.com/cgi-bin/ciwweb.pl?studyname=ProfPlanta2024&amp;Correo=maria.umbacia@unisabana.edu.co01"/>
  </r>
  <r>
    <s v="maria.umbacia@unisabana.edu.co"/>
    <s v="maria.umbacia@unisabana.edu.co1"/>
    <s v="MEDICINA"/>
    <x v="4"/>
    <x v="1"/>
    <x v="0"/>
    <s v="Completa"/>
    <s v="Pregrado"/>
    <s v="FACULTAD DE MEDICINA"/>
    <s v="https://ProfPlanta2024.sawtoothsoftware.com/cgi-bin/ciwweb.pl?studyname=ProfPlanta2024&amp;Correo=maria.umbacia@unisabana.edu.co1"/>
  </r>
  <r>
    <s v="maria.uribe3@unisabana.edu.co"/>
    <s v="maria.uribe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ia.uribe3@unisabana.edu.co1"/>
  </r>
  <r>
    <s v="maria.velasco2@unisabana.edu.co"/>
    <s v="maria.velasco2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maria.velasco2@unisabana.edu.co1"/>
  </r>
  <r>
    <s v="mariae.moreno@unisabana.edu.co"/>
    <s v="mariae.moreno@unisabana.edu.co01"/>
    <s v="DOCTORADO EN ENFERMERï¿½A"/>
    <x v="133"/>
    <x v="1"/>
    <x v="0"/>
    <s v="Completa"/>
    <s v="Posgrado"/>
    <s v="FACULTAD DE ENFERMERÍA Y REHABILITACIÓN"/>
    <s v="https://ProfPlanta2024.sawtoothsoftware.com/cgi-bin/ciwweb.pl?studyname=ProfPlanta2024&amp;Correo=mariae.moreno@unisabana.edu.co01"/>
  </r>
  <r>
    <s v="mariae.moreno@unisabana.edu.co"/>
    <s v="mariae.moreno@unisabana.edu.co02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mariae.moreno@unisabana.edu.co02"/>
  </r>
  <r>
    <s v="mariae.moreno@unisabana.edu.co"/>
    <s v="mariae.moreno@unisabana.edu.co03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mariae.moreno@unisabana.edu.co03"/>
  </r>
  <r>
    <s v="mariae.moreno@unisabana.edu.co"/>
    <s v="mariae.moreno@unisabana.edu.co04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mariae.moreno@unisabana.edu.co04"/>
  </r>
  <r>
    <s v="mariasc@unisabana.edu.co"/>
    <s v="mariasc@unisabana.edu.co1"/>
    <s v="INNOVACIï¿½N Y EMPRENDIMIENTO"/>
    <x v="58"/>
    <x v="1"/>
    <x v="0"/>
    <s v="Completa"/>
    <s v="Pregrado"/>
    <s v="ESCUELA INTERNACIONAL DE CIENCIAS ECONÓMICAS Y ADMINISTRATIVAS"/>
    <s v="https://ProfPlanta2024.sawtoothsoftware.com/cgi-bin/ciwweb.pl?studyname=ProfPlanta2024&amp;Correo=mariasc@unisabana.edu.co1"/>
  </r>
  <r>
    <s v="maricela.montes@unisabana.edu.co"/>
    <s v="maricela.montes@unisabana.edu.co01"/>
    <s v="DOCTORADO EN ADMINISTRACIï¿½N DE ORGANIZACIONES"/>
    <x v="141"/>
    <x v="1"/>
    <x v="0"/>
    <s v="Completa"/>
    <s v="Posgrado"/>
    <s v="ESCUELA INTERNACIONAL DE CIENCIAS ECONÓMICAS Y ADMINISTRATIVAS"/>
    <s v="https://ProfPlanta2024.sawtoothsoftware.com/cgi-bin/ciwweb.pl?studyname=ProfPlanta2024&amp;Correo=maricela.montes@unisabana.edu.co01"/>
  </r>
  <r>
    <s v="maricela.montes@unisabana.edu.co"/>
    <s v="maricela.montes@unisabana.edu.co1"/>
    <s v="SERVICIO, HOSPITALIDAD Y CALIDAD"/>
    <x v="53"/>
    <x v="1"/>
    <x v="0"/>
    <s v="Completa"/>
    <s v="Pregrado"/>
    <s v="ESCUELA INTERNACIONAL DE CIENCIAS ECONÓMICAS Y ADMINISTRATIVAS"/>
    <s v="https://ProfPlanta2024.sawtoothsoftware.com/cgi-bin/ciwweb.pl?studyname=ProfPlanta2024&amp;Correo=maricela.montes@unisabana.edu.co1"/>
  </r>
  <r>
    <s v="mario.juha@unisabana.edu.co"/>
    <s v="mario.juha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mario.juha@unisabana.edu.co01"/>
  </r>
  <r>
    <s v="mario.juha@unisabana.edu.co"/>
    <s v="mario.juha@unisabana.edu.co02"/>
    <s v="MAESTRï¿½A EN GERENCIA DE INGENIERï¿½A - CHï¿½A"/>
    <x v="1"/>
    <x v="1"/>
    <x v="1"/>
    <s v="Incompleta"/>
    <s v="Posgrado"/>
    <s v="FACULTAD DE INGENIERÍA"/>
    <s v="https://ProfPlanta2024.sawtoothsoftware.com/cgi-bin/ciwweb.pl?studyname=ProfPlanta2024&amp;Correo=mario.juha@unisabana.edu.co02"/>
  </r>
  <r>
    <s v="mario.juha@unisabana.edu.co"/>
    <s v="mario.juha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mario.juha@unisabana.edu.co1"/>
  </r>
  <r>
    <s v="mario.martinez@unisabana.edu.co"/>
    <s v="mario.martinez@unisabana.edu.co1"/>
    <s v="ADMINISTRACIï¿½N Y ORGANIZACIONES"/>
    <x v="21"/>
    <x v="1"/>
    <x v="0"/>
    <s v="Completa"/>
    <s v="Pregrado"/>
    <s v="ESCUELA INTERNACIONAL DE CIENCIAS ECONÓMICAS Y ADMINISTRATIVAS"/>
    <s v="https://ProfPlanta2024.sawtoothsoftware.com/cgi-bin/ciwweb.pl?studyname=ProfPlanta2024&amp;Correo=mario.martinez@unisabana.edu.co1"/>
  </r>
  <r>
    <s v="maritzarp@unisabana.edu.co"/>
    <s v="MaritzaRP@unisabana.edu.co01"/>
    <s v="MAESTRIA EN PSICOLOGIA"/>
    <x v="123"/>
    <x v="1"/>
    <x v="0"/>
    <s v="Completa"/>
    <s v="Posgrado"/>
    <s v="FACULTAD DE PSICOLOGÍA"/>
    <s v="https://ProfPlanta2024.sawtoothsoftware.com/cgi-bin/ciwweb.pl?studyname=ProfPlanta2024&amp;Correo=MaritzaRP@unisabana.edu.co01"/>
  </r>
  <r>
    <s v="maritzarp@unisabana.edu.co"/>
    <s v="MaritzaRP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MaritzaRP@unisabana.edu.co1"/>
  </r>
  <r>
    <s v="martha.acosta@unisabana.edu.co"/>
    <s v="martha.acosta@unisabana.edu.co01"/>
    <s v="MAESTRï¿½A EN FISIOTERAPIA"/>
    <x v="121"/>
    <x v="1"/>
    <x v="1"/>
    <s v="Incompleta"/>
    <s v="Posgrado"/>
    <s v="FACULTAD DE ENFERMERÍA Y REHABILITACIÓN"/>
    <s v="https://ProfPlanta2024.sawtoothsoftware.com/cgi-bin/ciwweb.pl?studyname=ProfPlanta2024&amp;Correo=martha.acosta@unisabana.edu.co01"/>
  </r>
  <r>
    <s v="martha.acosta@unisabana.edu.co"/>
    <s v="martha.acosta@unisabana.edu.co02"/>
    <s v="MAESTRï¿½A EN FISIOTERAPIA  - VIRTUAL"/>
    <x v="121"/>
    <x v="1"/>
    <x v="1"/>
    <s v="Incompleta"/>
    <s v="Posgrado"/>
    <s v="FACULTAD DE ENFERMERÍA Y REHABILITACIÓN"/>
    <s v="https://ProfPlanta2024.sawtoothsoftware.com/cgi-bin/ciwweb.pl?studyname=ProfPlanta2024&amp;Correo=martha.acosta@unisabana.edu.co02"/>
  </r>
  <r>
    <s v="martha.acosta@unisabana.edu.co"/>
    <s v="martha.acost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artha.acosta@unisabana.edu.co1"/>
  </r>
  <r>
    <s v="martha.co0bo@unisabana.edu.co"/>
    <s v="martha.co0bo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martha.co0bo@unisabana.edu.co01"/>
  </r>
  <r>
    <s v="martha.co0bo@unisabana.edu.co"/>
    <s v="martha.co0bo@unisabana.edu.co02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rtha.co0bo@unisabana.edu.co02"/>
  </r>
  <r>
    <s v="martha.gonzalez@unisabana.edu.co"/>
    <s v="martha.gonzalez@unisabana.edu.co07"/>
    <s v="Doctorado en PsicologÃ­a"/>
    <x v="119"/>
    <x v="1"/>
    <x v="0"/>
    <s v="Completa"/>
    <s v="Posgrado"/>
    <s v="FACULTAD DE PSICOLOGÍA"/>
    <s v="https://ProfPlanta2024.sawtoothsoftware.com/cgi-bin/ciwweb.pl?studyname=ProfPlanta2024&amp;Correo=martha.gonzalez@unisabana.edu.co07"/>
  </r>
  <r>
    <s v="martha.leon@unisabana.edu.co"/>
    <s v="martha.leon@unisabana.edu.co01"/>
    <s v="ESPECIALIZACIï¿½N EN MEDICINA DEL DOLOR Y CUIDADOS PALIATIVOS"/>
    <x v="134"/>
    <x v="1"/>
    <x v="0"/>
    <s v="Completa"/>
    <s v="Posgrado"/>
    <s v="FACULTAD DE MEDICINA"/>
    <s v="https://ProfPlanta2024.sawtoothsoftware.com/cgi-bin/ciwweb.pl?studyname=ProfPlanta2024&amp;Correo=martha.leon@unisabana.edu.co01"/>
  </r>
  <r>
    <s v="martha.leon@unisabana.edu.co"/>
    <s v="martha.leon@unisabana.edu.co1"/>
    <s v="MEDICINA"/>
    <x v="4"/>
    <x v="1"/>
    <x v="1"/>
    <s v="Incompleta"/>
    <s v="Pregrado"/>
    <s v="FACULTAD DE MEDICINA"/>
    <s v="https://ProfPlanta2024.sawtoothsoftware.com/cgi-bin/ciwweb.pl?studyname=ProfPlanta2024&amp;Correo=martha.leon@unisabana.edu.co1"/>
  </r>
  <r>
    <s v="martha.miranda@unisabana.edu.co"/>
    <s v="martha.miran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martha.miranda@unisabana.edu.co1"/>
  </r>
  <r>
    <s v="martha.misas@unisabana.edu.co"/>
    <s v="martha.misas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martha.misas@unisabana.edu.co1"/>
  </r>
  <r>
    <s v="martha.roa@unisabana.edu.co"/>
    <s v="martha.ro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martha.roa@unisabana.edu.co1"/>
  </r>
  <r>
    <s v="maryorygl@unisabana.edu.co"/>
    <s v="Maryorygl@unisabana.edu.co01"/>
    <s v="MAESTRï¿½A EN ENFERMERï¿½A"/>
    <x v="12"/>
    <x v="1"/>
    <x v="0"/>
    <s v="Completa"/>
    <s v="Posgrado"/>
    <s v="FACULTAD DE ENFERMERÍA Y REHABILITACIÓN"/>
    <s v="https://ProfPlanta2024.sawtoothsoftware.com/cgi-bin/ciwweb.pl?studyname=ProfPlanta2024&amp;Correo=Maryorygl@unisabana.edu.co01"/>
  </r>
  <r>
    <s v="mauricio.agudelo@unisabana.edu.co"/>
    <s v="mauricio.agudelo@unisabana.edu.co01"/>
    <s v="MAESTRï¿½A EN DISEï¿½O Y GESTIï¿½N DE PROCESOS - CHï¿½A"/>
    <x v="97"/>
    <x v="1"/>
    <x v="1"/>
    <s v="Incompleta"/>
    <s v="Posgrado"/>
    <s v="FACULTAD DE INGENIERÍA"/>
    <s v="https://ProfPlanta2024.sawtoothsoftware.com/cgi-bin/ciwweb.pl?studyname=ProfPlanta2024&amp;Correo=mauricio.agudelo@unisabana.edu.co01"/>
  </r>
  <r>
    <s v="mauricio.agudelo@unisabana.edu.co"/>
    <s v="mauricio.agudel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agudelo@unisabana.edu.co1"/>
  </r>
  <r>
    <s v="mauricio.agudelo@unisabana.edu.co"/>
    <s v="mauricio.agudelo@unisabana.edu.co2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agudelo@unisabana.edu.co2"/>
  </r>
  <r>
    <s v="mauricio.sanchez2@unisabana.edu.co"/>
    <s v="mauricio.sanchez2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mauricio.sanchez2@unisabana.edu.co1"/>
  </r>
  <r>
    <s v="mauricio.ulloa@unisabana.edu.co"/>
    <s v="mauricio.ulloa@unisabana.edu.co01"/>
    <s v="ESPECIALIZACIï¿½N EN MEDICINA FAMILIAR Y COMUNITARIA"/>
    <x v="69"/>
    <x v="1"/>
    <x v="0"/>
    <s v="Completa"/>
    <s v="Posgrado"/>
    <s v="FACULTAD DE MEDICINA"/>
    <s v="https://ProfPlanta2024.sawtoothsoftware.com/cgi-bin/ciwweb.pl?studyname=ProfPlanta2024&amp;Correo=mauricio.ulloa@unisabana.edu.co01"/>
  </r>
  <r>
    <s v="mauricio.ulloa@unisabana.edu.co"/>
    <s v="mauricio.ulloa@unisabana.edu.co1"/>
    <s v="MEDICINA"/>
    <x v="4"/>
    <x v="1"/>
    <x v="0"/>
    <s v="Completa"/>
    <s v="Pregrado"/>
    <s v="FACULTAD DE MEDICINA"/>
    <s v="https://ProfPlanta2024.sawtoothsoftware.com/cgi-bin/ciwweb.pl?studyname=ProfPlanta2024&amp;Correo=mauricio.ulloa@unisabana.edu.co1"/>
  </r>
  <r>
    <s v="miguel.sarmiento@unisabana.edu.co"/>
    <s v="miguel.sarmiento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miguel.sarmiento@unisabana.edu.co1"/>
  </r>
  <r>
    <s v="miguel.uribe1@unisabana.edu.co"/>
    <s v="miguel.uribe1@unisabana.edu.co1"/>
    <s v="INGENIERï¿½A INDUSTRIAL"/>
    <x v="28"/>
    <x v="1"/>
    <x v="1"/>
    <s v="Incompleta"/>
    <s v="Pregrado"/>
    <s v="FACULTAD DE INGENIERÍA"/>
    <s v="https://ProfPlanta2024.sawtoothsoftware.com/cgi-bin/ciwweb.pl?studyname=ProfPlanta2024&amp;Correo=miguel.uribe1@unisabana.edu.co1"/>
  </r>
  <r>
    <s v="milena.saavedra@unisabana.edu.co"/>
    <s v="milena.saavedra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milena.saavedra@unisabana.edu.co1"/>
  </r>
  <r>
    <s v="monica.diaz1@unisabana.edu.co"/>
    <s v="MONICA.DIAZ1@UNISABANA.EDU.CO1"/>
    <s v="MEDICINA"/>
    <x v="4"/>
    <x v="1"/>
    <x v="0"/>
    <s v="Completa"/>
    <s v="Pregrado"/>
    <s v="FACULTAD DE MEDICINA"/>
    <s v="https://ProfPlanta2024.sawtoothsoftware.com/cgi-bin/ciwweb.pl?studyname=ProfPlanta2024&amp;Correo=MONICA.DIAZ1@UNISABANA.EDU.CO1"/>
  </r>
  <r>
    <s v="monica.hurtado@unisabana.edu.co"/>
    <s v="monica.hurtado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monica.hurtado@unisabana.edu.co1"/>
  </r>
  <r>
    <s v="nadia.proanos1@unisabana.edu.co"/>
    <s v="nadia.proanos1@unisabana.edu.co01"/>
    <s v="MAESTRï¿½A EN EPIDEMIOLOGï¿½A"/>
    <x v="83"/>
    <x v="1"/>
    <x v="0"/>
    <s v="Completa"/>
    <s v="Posgrado"/>
    <s v="FACULTAD DE MEDICINA"/>
    <s v="https://ProfPlanta2024.sawtoothsoftware.com/cgi-bin/ciwweb.pl?studyname=ProfPlanta2024&amp;Correo=nadia.proanos1@unisabana.edu.co01"/>
  </r>
  <r>
    <s v="nadia.proanos1@unisabana.edu.co"/>
    <s v="nadia.proanos1@unisabana.edu.co1"/>
    <s v="MEDICINA"/>
    <x v="4"/>
    <x v="1"/>
    <x v="0"/>
    <s v="Completa"/>
    <s v="Pregrado"/>
    <s v="FACULTAD DE MEDICINA"/>
    <s v="https://ProfPlanta2024.sawtoothsoftware.com/cgi-bin/ciwweb.pl?studyname=ProfPlanta2024&amp;Correo=nadia.proanos1@unisabana.edu.co1"/>
  </r>
  <r>
    <s v="nancy.munoz@unisabana.edu.co"/>
    <s v="nancy.munoz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nancy.munoz@unisabana.edu.co1"/>
  </r>
  <r>
    <s v="natalia.arango1@unisabana.edu.co"/>
    <s v="natalia.arango1@unisabana.edu.co1"/>
    <s v="INGENIERï¿½A CIVIL"/>
    <x v="49"/>
    <x v="1"/>
    <x v="0"/>
    <s v="Completa"/>
    <s v="Pregrado"/>
    <s v="FACULTAD DE INGENIERÍA"/>
    <s v="https://ProfPlanta2024.sawtoothsoftware.com/cgi-bin/ciwweb.pl?studyname=ProfPlanta2024&amp;Correo=natalia.arango1@unisabana.edu.co1"/>
  </r>
  <r>
    <s v="natalia.arango1@unisabana.edu.co"/>
    <s v="natalia.arango1@unisabana.edu.co2"/>
    <s v="INGENIERï¿½A CIVIL"/>
    <x v="49"/>
    <x v="1"/>
    <x v="0"/>
    <s v="Completa"/>
    <s v="Pregrado"/>
    <s v="FACULTAD DE INGENIERÍA"/>
    <s v="https://ProfPlanta2024.sawtoothsoftware.com/cgi-bin/ciwweb.pl?studyname=ProfPlanta2024&amp;Correo=natalia.arango1@unisabana.edu.co2"/>
  </r>
  <r>
    <s v="natalia.co0nde@unisabana.edu.co"/>
    <s v="natalia.co0nde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natalia.co0nde@unisabana.edu.co01"/>
  </r>
  <r>
    <s v="natalia.conde@unisabana.edu.co"/>
    <s v="natalia.conde@unisabana.edu.co1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natalia.conde@unisabana.edu.co1"/>
  </r>
  <r>
    <s v="natalia.conde@unisabana.edu.co"/>
    <s v="natalia.conde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natalia.conde@unisabana.edu.co2"/>
  </r>
  <r>
    <s v="neil.valentin@unisabana.edu.co"/>
    <s v="neil.valentin@unisabana.edu.co01"/>
    <s v="ESPECIALIZACIï¿½N EN CIRUGï¿½A GENERAL"/>
    <x v="80"/>
    <x v="1"/>
    <x v="0"/>
    <s v="Completa"/>
    <s v="Posgrado"/>
    <s v="FACULTAD DE MEDICINA"/>
    <s v="https://ProfPlanta2024.sawtoothsoftware.com/cgi-bin/ciwweb.pl?studyname=ProfPlanta2024&amp;Correo=neil.valentin@unisabana.edu.co01"/>
  </r>
  <r>
    <s v="neil.valentin@unisabana.edu.co"/>
    <s v="neil.valentin@unisabana.edu.co1"/>
    <s v="MEDICINA"/>
    <x v="4"/>
    <x v="1"/>
    <x v="1"/>
    <s v="Incompleta"/>
    <s v="Pregrado"/>
    <s v="FACULTAD DE MEDICINA"/>
    <s v="https://ProfPlanta2024.sawtoothsoftware.com/cgi-bin/ciwweb.pl?studyname=ProfPlanta2024&amp;Correo=neil.valentin@unisabana.edu.co1"/>
  </r>
  <r>
    <s v="neila.diaz@unisabana.edu.co"/>
    <s v="neila.diaz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neila.diaz@unisabana.edu.co1"/>
  </r>
  <r>
    <s v="nelly.ojeda@unisabana.edu.co"/>
    <s v="nelly.ojeda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nelly.ojeda@unisabana.edu.co1"/>
  </r>
  <r>
    <s v="nestor.sanchez1@unisabana.edu.co"/>
    <s v="nestor.sanche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nestor.sanchez1@unisabana.edu.co01"/>
  </r>
  <r>
    <s v="nestor.sanchez1@unisabana.edu.co"/>
    <s v="nestor.sanchez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nestor.sanchez1@unisabana.edu.co1"/>
  </r>
  <r>
    <s v="nicolas.garzon@unisabana.edu.co"/>
    <s v="nicolas.garzon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nicolas.garzon@unisabana.edu.co01"/>
  </r>
  <r>
    <s v="nicolas.garzon@unisabana.edu.co"/>
    <s v="nicolas.garzon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nicolas.garzon@unisabana.edu.co1"/>
  </r>
  <r>
    <s v="nicolas.rodriguez5@unisabana.edu.co"/>
    <s v="nicolas.rodriguez5@unisabana.edu.co01"/>
    <s v="ESPECIALIZACION EN PSICOLOGIA CLINICA DE LA NIï¿½EZ Y LA ADOLESCENCIA"/>
    <x v="72"/>
    <x v="1"/>
    <x v="0"/>
    <s v="Completa"/>
    <s v="Posgrado"/>
    <s v="FACULTAD DE PSICOLOGÍA"/>
    <s v="https://ProfPlanta2024.sawtoothsoftware.com/cgi-bin/ciwweb.pl?studyname=ProfPlanta2024&amp;Correo=nicolas.rodriguez5@unisabana.edu.co01"/>
  </r>
  <r>
    <s v="nohora.angulo@unisabana.edu.co"/>
    <s v="nohora.angulo@unisabana.edu.co1"/>
    <s v="MEDICINA"/>
    <x v="4"/>
    <x v="1"/>
    <x v="0"/>
    <s v="Completa"/>
    <s v="Pregrado"/>
    <s v="FACULTAD DE MEDICINA"/>
    <s v="https://ProfPlanta2024.sawtoothsoftware.com/cgi-bin/ciwweb.pl?studyname=ProfPlanta2024&amp;Correo=nohora.angulo@unisabana.edu.co1"/>
  </r>
  <r>
    <s v="olga.restrepo@unisabana.edu.co"/>
    <s v="olga.restrepo@unisabana.edu.co1"/>
    <s v="MEDICINA"/>
    <x v="4"/>
    <x v="1"/>
    <x v="0"/>
    <s v="Completa"/>
    <s v="Pregrado"/>
    <s v="FACULTAD DE MEDICINA"/>
    <s v="https://ProfPlanta2024.sawtoothsoftware.com/cgi-bin/ciwweb.pl?studyname=ProfPlanta2024&amp;Correo=olga.restrepo@unisabana.edu.co1"/>
  </r>
  <r>
    <s v="olga.reyes1@unisabana.edu.co"/>
    <s v="olga.reyes1@unisabana.edu.co01"/>
    <s v="DOCTORADO EN EDUCACIï¿½N"/>
    <x v="138"/>
    <x v="1"/>
    <x v="1"/>
    <s v="Incompleta"/>
    <s v="Posgrado"/>
    <s v="FACULTAD DE EDUCACIÓN"/>
    <s v="https://ProfPlanta2024.sawtoothsoftware.com/cgi-bin/ciwweb.pl?studyname=ProfPlanta2024&amp;Correo=olga.reyes1@unisabana.edu.co01"/>
  </r>
  <r>
    <s v="olga.reyes1@unisabana.edu.co"/>
    <s v="olga.reyes1@unisabana.edu.co02"/>
    <s v="ESPECIALIZACIï¿½N EN PEDAGOGï¿½A E INVESTIGACIï¿½N EN EL AULA"/>
    <x v="94"/>
    <x v="1"/>
    <x v="1"/>
    <s v="Incompleta"/>
    <s v="Posgrado"/>
    <s v="FACULTAD DE EDUCACIÓN"/>
    <s v="https://ProfPlanta2024.sawtoothsoftware.com/cgi-bin/ciwweb.pl?studyname=ProfPlanta2024&amp;Correo=olga.reyes1@unisabana.edu.co02"/>
  </r>
  <r>
    <s v="olga.reyes1@unisabana.edu.co"/>
    <s v="olga.reyes1@unisabana.edu.co03"/>
    <s v="MAESTRï¿½A EN PEDAGOGï¿½A E INVESTIGACIï¿½N EN AULA - VIRTUAL"/>
    <x v="108"/>
    <x v="1"/>
    <x v="0"/>
    <s v="Incompleta"/>
    <s v="Posgrado"/>
    <s v="FACULTAD DE EDUCACIÓN"/>
    <s v="https://ProfPlanta2024.sawtoothsoftware.com/cgi-bin/ciwweb.pl?studyname=ProfPlanta2024&amp;Correo=olga.reyes1@unisabana.edu.co03"/>
  </r>
  <r>
    <s v="olga.reyes1@unisabana.edu.co"/>
    <s v="olga.reyes1@unisabana.edu.co04"/>
    <s v="MAESTRï¿½A EN PEDAGOGIA E INVESTIGACIï¿½N EN EL AULA"/>
    <x v="108"/>
    <x v="1"/>
    <x v="1"/>
    <s v="Incompleta"/>
    <s v="Posgrado"/>
    <s v="FACULTAD DE EDUCACIÓN"/>
    <s v="https://ProfPlanta2024.sawtoothsoftware.com/cgi-bin/ciwweb.pl?studyname=ProfPlanta2024&amp;Correo=olga.reyes1@unisabana.edu.co04"/>
  </r>
  <r>
    <s v="olga.reyes1@unisabana.edu.co"/>
    <s v="olga.reyes1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olga.reyes1@unisabana.edu.co1"/>
  </r>
  <r>
    <s v="omar.arias1@unisabana.edu.co"/>
    <s v="omar.arias1@unisabana.edu.co1"/>
    <s v="ECONOMï¿½A"/>
    <x v="40"/>
    <x v="1"/>
    <x v="0"/>
    <s v="Completa"/>
    <s v="Pregrado"/>
    <s v="ESCUELA INTERNACIONAL DE CIENCIAS ECONÓMICAS Y ADMINISTRATIVAS"/>
    <s v="https://ProfPlanta2024.sawtoothsoftware.com/cgi-bin/ciwweb.pl?studyname=ProfPlanta2024&amp;Correo=omar.arias1@unisabana.edu.co1"/>
  </r>
  <r>
    <s v="oscar.boude@unisabana.edu.co"/>
    <s v="oscar.boude@unisabana.edu.co01"/>
    <s v="DOCTORADO EN EDUCACIï¿½N"/>
    <x v="138"/>
    <x v="1"/>
    <x v="0"/>
    <s v="Completa"/>
    <s v="Posgrado"/>
    <s v="FACULTAD DE EDUCACIÓN"/>
    <s v="https://ProfPlanta2024.sawtoothsoftware.com/cgi-bin/ciwweb.pl?studyname=ProfPlanta2024&amp;Correo=oscar.boude@unisabana.edu.co01"/>
  </r>
  <r>
    <s v="oscar.boude@unisabana.edu.co"/>
    <s v="oscar.boude@unisabana.edu.co02"/>
    <s v="DOCTORADO EN INNOVACIï¿½N EDUCATIVA CON USO DE TIC"/>
    <x v="128"/>
    <x v="1"/>
    <x v="0"/>
    <s v="Completa"/>
    <s v="Posgrado"/>
    <s v="FACULTAD DE EDUCACIÓN"/>
    <s v="https://ProfPlanta2024.sawtoothsoftware.com/cgi-bin/ciwweb.pl?studyname=ProfPlanta2024&amp;Correo=oscar.boude@unisabana.edu.co02"/>
  </r>
  <r>
    <s v="oscar.boude@unisabana.edu.co"/>
    <s v="oscar.boude@unisabana.edu.co03"/>
    <s v="MAESTRï¿½A EN INNOVACIï¿½N EDUCATIVA MEDIADA POR TIC"/>
    <x v="124"/>
    <x v="1"/>
    <x v="0"/>
    <s v="Completa"/>
    <s v="Posgrado"/>
    <s v="FACULTAD DE EDUCACIÓN"/>
    <s v="https://ProfPlanta2024.sawtoothsoftware.com/cgi-bin/ciwweb.pl?studyname=ProfPlanta2024&amp;Correo=oscar.boude@unisabana.edu.co03"/>
  </r>
  <r>
    <s v="pablo.gutierrez@unisabana.edu.co"/>
    <s v="pablo.gutierrez@unisabana.edu.co01"/>
    <s v="MAESTRIA EN PSICOLOGIA"/>
    <x v="123"/>
    <x v="1"/>
    <x v="1"/>
    <s v="Incompleta"/>
    <s v="Posgrado"/>
    <s v="FACULTAD DE PSICOLOGÍA"/>
    <s v="https://ProfPlanta2024.sawtoothsoftware.com/cgi-bin/ciwweb.pl?studyname=ProfPlanta2024&amp;Correo=pablo.gutierrez@unisabana.edu.co01"/>
  </r>
  <r>
    <s v="pamela.leyva1@unisabana.edu.co"/>
    <s v="pamela.leyva1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pamela.leyva1@unisabana.edu.co01"/>
  </r>
  <r>
    <s v="paola.arbelaez@unisabana.edu.co"/>
    <s v="paola.arbelaez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paola.arbelaez@unisabana.edu.co1"/>
  </r>
  <r>
    <s v="paola.sarmiento1@unisabana.edu.co"/>
    <s v="paola.sarmiento1@unisabana.edu.co01"/>
    <s v="MAESTRï¿½A EN ENFERMERï¿½A - VIRTUAL"/>
    <x v="13"/>
    <x v="1"/>
    <x v="1"/>
    <s v="Incompleta"/>
    <s v="Posgrado"/>
    <s v="FACULTAD DE ENFERMERÍA Y REHABILITACIÓN"/>
    <s v="https://ProfPlanta2024.sawtoothsoftware.com/cgi-bin/ciwweb.pl?studyname=ProfPlanta2024&amp;Correo=paola.sarmiento1@unisabana.edu.co01"/>
  </r>
  <r>
    <s v="paola.sarmiento1@unisabana.edu.co"/>
    <s v="paola.sarmiento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paola.sarmiento1@unisabana.edu.co1"/>
  </r>
  <r>
    <s v="paola.uribe@unisabana.edu.co"/>
    <s v="paola.uribe@unisabana.edu.co1"/>
    <s v="CORE CURRICULUM PERSONA Y CULTURA"/>
    <x v="36"/>
    <x v="1"/>
    <x v="0"/>
    <s v="Completa"/>
    <s v="Pregrado"/>
    <s v="CORE CURRICULUM PERSONA Y CULTURA"/>
    <s v="https://ProfPlanta2024.sawtoothsoftware.com/cgi-bin/ciwweb.pl?studyname=ProfPlanta2024&amp;Correo=paola.uribe@unisabana.edu.co1"/>
  </r>
  <r>
    <s v="paolaalbde@unisabana.edu.co"/>
    <s v="paolaalbde@unisabana.edu.co01"/>
    <s v="MAESTRï¿½A EN PERIODISMO Y COMUNICACIï¿½N DIGITAL"/>
    <x v="47"/>
    <x v="1"/>
    <x v="0"/>
    <s v="Completa"/>
    <s v="Posgrado"/>
    <s v="FACULTAD DE COMUNICACIÓN"/>
    <s v="https://ProfPlanta2024.sawtoothsoftware.com/cgi-bin/ciwweb.pl?studyname=ProfPlanta2024&amp;Correo=paolaalbde@unisabana.edu.co01"/>
  </r>
  <r>
    <s v="paolaalbde@unisabana.edu.co"/>
    <s v="paolaalbde@unisabana.edu.co1"/>
    <s v="COMUNICACIï¿½N AUDIOVISUAL Y MULTIMEDIOS"/>
    <x v="23"/>
    <x v="1"/>
    <x v="0"/>
    <s v="Completa"/>
    <s v="Pregrado"/>
    <s v="FACULTAD DE COMUNICACIÓN"/>
    <s v="https://ProfPlanta2024.sawtoothsoftware.com/cgi-bin/ciwweb.pl?studyname=ProfPlanta2024&amp;Correo=paolaalbde@unisabana.edu.co1"/>
  </r>
  <r>
    <s v="paolaalbde@unisabana.edu.co"/>
    <s v="paolaalbde@unisabana.edu.co2"/>
    <s v="COMUNICACIï¿½N SOCIAL Y PERIODISMO"/>
    <x v="15"/>
    <x v="1"/>
    <x v="0"/>
    <s v="Completa"/>
    <s v="Pregrado"/>
    <s v="FACULTAD DE COMUNICACIÓN"/>
    <s v="https://ProfPlanta2024.sawtoothsoftware.com/cgi-bin/ciwweb.pl?studyname=ProfPlanta2024&amp;Correo=paolaalbde@unisabana.edu.co2"/>
  </r>
  <r>
    <s v="paolaalbde@unisabana.edu.co"/>
    <s v="paolaalbde@unisabana.edu.co3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paolaalbde@unisabana.edu.co3"/>
  </r>
  <r>
    <s v="paula.bonilla3@unisabana.edu.co"/>
    <s v="paula.bonilla3@unisabana.edu.co01"/>
    <s v="ESPECIALIZACIï¿½N EN TERAPIA MANUAL ORTOPï¿½DICA - CHï¿½A"/>
    <x v="11"/>
    <x v="1"/>
    <x v="0"/>
    <s v="Completa"/>
    <s v="Posgrado"/>
    <s v="FACULTAD DE ENFERMERÍA Y REHABILITACIÓN"/>
    <s v="https://ProfPlanta2024.sawtoothsoftware.com/cgi-bin/ciwweb.pl?studyname=ProfPlanta2024&amp;Correo=paula.bonilla3@unisabana.edu.co01"/>
  </r>
  <r>
    <s v="paula.bonilla3@unisabana.edu.co"/>
    <s v="paula.bonilla3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paula.bonilla3@unisabana.edu.co1"/>
  </r>
  <r>
    <s v="paula.gonzalez4@unisabana.edu.co"/>
    <s v="paula.gonzalez4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paula.gonzalez4@unisabana.edu.co1"/>
  </r>
  <r>
    <s v="pedro.sarmiento@unisabana.edu.co"/>
    <s v="pedro.sarmiento@unisabana.edu.co01"/>
    <s v="MAESTRï¿½A EN BIOï¿½TICA"/>
    <x v="143"/>
    <x v="1"/>
    <x v="1"/>
    <s v="Incompleta"/>
    <s v="Posgrado"/>
    <s v="FACULTAD DE MEDICINA"/>
    <s v="https://ProfPlanta2024.sawtoothsoftware.com/cgi-bin/ciwweb.pl?studyname=ProfPlanta2024&amp;Correo=pedro.sarmiento@unisabana.edu.co01"/>
  </r>
  <r>
    <s v="rafael.alvarez@unisabana.edu.co"/>
    <s v="rafael.alvarez@unisabana.edu.co1"/>
    <s v="INGENIERï¿½A MECï¿½NICA"/>
    <x v="2"/>
    <x v="1"/>
    <x v="0"/>
    <s v="Completa"/>
    <s v="Pregrado"/>
    <s v="FACULTAD DE INGENIERÍA"/>
    <s v="https://ProfPlanta2024.sawtoothsoftware.com/cgi-bin/ciwweb.pl?studyname=ProfPlanta2024&amp;Correo=rafael.alvarez@unisabana.edu.co1"/>
  </r>
  <r>
    <s v="rafael.henriquez@unisabana.edu.co"/>
    <s v="rafael.henriquez@unisabana.edu.co1"/>
    <s v="GESTIï¿½N DE OPERACIONES"/>
    <x v="96"/>
    <x v="1"/>
    <x v="0"/>
    <s v="Completa"/>
    <s v="Pregrado"/>
    <s v="ESCUELA INTERNACIONAL DE CIENCIAS ECONÓMICAS Y ADMINISTRATIVAS"/>
    <s v="https://ProfPlanta2024.sawtoothsoftware.com/cgi-bin/ciwweb.pl?studyname=ProfPlanta2024&amp;Correo=rafael.henriquez@unisabana.edu.co1"/>
  </r>
  <r>
    <s v="ricardo.aldana@unisabana.edu.co"/>
    <s v="ricardo.aldana@unisabana.edu.co1"/>
    <s v="MEDICINA"/>
    <x v="4"/>
    <x v="1"/>
    <x v="0"/>
    <s v="Completa"/>
    <s v="Pregrado"/>
    <s v="FACULTAD DE MEDICINA"/>
    <s v="https://ProfPlanta2024.sawtoothsoftware.com/cgi-bin/ciwweb.pl?studyname=ProfPlanta2024&amp;Correo=ricardo.aldana@unisabana.edu.co1"/>
  </r>
  <r>
    <s v="ricardo.cano@unisabana.edu.co"/>
    <s v="ricardo.cano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ricardo.cano@unisabana.edu.co1"/>
  </r>
  <r>
    <s v="ricardo.sotaquira@unisabana.edu.co"/>
    <s v="ricardo.sotaquira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ricardo.sotaquira@unisabana.edu.co01"/>
  </r>
  <r>
    <s v="ricardo.sotaquira@unisabana.edu.co"/>
    <s v="ricardo.sotaquira@unisabana.edu.co1"/>
    <s v="INGENIERï¿½A INFORMï¿½TICA"/>
    <x v="31"/>
    <x v="1"/>
    <x v="0"/>
    <s v="Completa"/>
    <s v="Pregrado"/>
    <s v="FACULTAD DE INGENIERÍA"/>
    <s v="https://ProfPlanta2024.sawtoothsoftware.com/cgi-bin/ciwweb.pl?studyname=ProfPlanta2024&amp;Correo=ricardo.sotaquira@unisabana.edu.co1"/>
  </r>
  <r>
    <s v="roberto.garcia@unisabana.edu.co"/>
    <s v="roberto.garcia@unisabana.edu.co1"/>
    <s v="CIENCIAS POLï¿½TICAS"/>
    <x v="68"/>
    <x v="1"/>
    <x v="0"/>
    <s v="Completa"/>
    <s v="Pregrado"/>
    <s v="FACULTAD DE DERECHO Y CIENCIAS POLÍTICAS"/>
    <s v="https://ProfPlanta2024.sawtoothsoftware.com/cgi-bin/ciwweb.pl?studyname=ProfPlanta2024&amp;Correo=roberto.garcia@unisabana.edu.co1"/>
  </r>
  <r>
    <s v="rociohp@unisabana.edu.co"/>
    <s v="RocioHP@unisabana.edu.co03"/>
    <s v="ESPECIALIZACIï¿½N EN LIDERAZGO Y COACHING- CHï¿½A"/>
    <x v="8"/>
    <x v="1"/>
    <x v="0"/>
    <s v="Completa"/>
    <s v="Posgrado"/>
    <s v="INSTITUTO FORUM"/>
    <s v="https://ProfPlanta2024.sawtoothsoftware.com/cgi-bin/ciwweb.pl?studyname=ProfPlanta2024&amp;Correo=RocioHP@unisabana.edu.co03"/>
  </r>
  <r>
    <s v="rodrigo.cuevas@clinicaunisabana.edu.co"/>
    <s v="Rodrigo.Cuevas@clinicaunisabana.edu.co1"/>
    <s v="MEDICINA"/>
    <x v="4"/>
    <x v="1"/>
    <x v="0"/>
    <s v="Completa"/>
    <s v="Pregrado"/>
    <s v="FACULTAD DE MEDICINA"/>
    <s v="https://ProfPlanta2024.sawtoothsoftware.com/cgi-bin/ciwweb.pl?studyname=ProfPlanta2024&amp;Correo=Rodrigo.Cuevas@clinicaunisabana.edu.co1"/>
  </r>
  <r>
    <s v="ronal.forero@unisabana.edu.co"/>
    <s v="ronal.forero@unisabana.edu.co01"/>
    <s v="MAESTRï¿½A EN LINGï¿½ï¿½STICA PANHISPï¿½NICA - CHï¿½A"/>
    <x v="63"/>
    <x v="1"/>
    <x v="0"/>
    <s v="Completa"/>
    <s v="Posgrado"/>
    <s v="FACULTAD DE FILOSOFÍA Y CIENCIAS HUMANAS"/>
    <s v="https://ProfPlanta2024.sawtoothsoftware.com/cgi-bin/ciwweb.pl?studyname=ProfPlanta2024&amp;Correo=ronal.forero@unisabana.edu.co01"/>
  </r>
  <r>
    <s v="rosa.duran@unisabana.edu.co"/>
    <s v="rosa.duran@unisabana.edu.co01"/>
    <s v="MAESTRï¿½A EN SALUD Pï¿½BLICA"/>
    <x v="70"/>
    <x v="1"/>
    <x v="1"/>
    <s v="Incompleta"/>
    <s v="Posgrado"/>
    <s v="FACULTAD DE MEDICINA"/>
    <s v="https://ProfPlanta2024.sawtoothsoftware.com/cgi-bin/ciwweb.pl?studyname=ProfPlanta2024&amp;Correo=rosa.duran@unisabana.edu.co01"/>
  </r>
  <r>
    <s v="rosabucr@unisabana.edu.co"/>
    <s v="rosabucr@unisabana.edu.co01"/>
    <s v="ESPECIALIZACIï¿½N EN FARMACOLOGï¿½A CLï¿½NICA"/>
    <x v="50"/>
    <x v="1"/>
    <x v="1"/>
    <s v="Incompleta"/>
    <s v="Posgrado"/>
    <s v="FACULTAD DE MEDICINA"/>
    <s v="https://ProfPlanta2024.sawtoothsoftware.com/cgi-bin/ciwweb.pl?studyname=ProfPlanta2024&amp;Correo=rosabucr@unisabana.edu.co01"/>
  </r>
  <r>
    <s v="rosabucr@unisabana.edu.co"/>
    <s v="rosabucr@unisabana.edu.co1"/>
    <s v="MEDICINA"/>
    <x v="4"/>
    <x v="1"/>
    <x v="0"/>
    <s v="Completa"/>
    <s v="Pregrado"/>
    <s v="FACULTAD DE MEDICINA"/>
    <s v="https://ProfPlanta2024.sawtoothsoftware.com/cgi-bin/ciwweb.pl?studyname=ProfPlanta2024&amp;Correo=rosabucr@unisabana.edu.co1"/>
  </r>
  <r>
    <s v="ruth.ruiz@unisabana.edu.co"/>
    <s v="ruth.ruiz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ruth.ruiz@unisabana.edu.co01"/>
  </r>
  <r>
    <s v="ruth.ruiz@unisabana.edu.co"/>
    <s v="ruth.ruiz@unisabana.edu.co2"/>
    <s v="INGENIERï¿½A DE BIOPRODUCCIï¿½N"/>
    <x v="90"/>
    <x v="1"/>
    <x v="0"/>
    <s v="Completa"/>
    <s v="Pregrado"/>
    <s v="FACULTAD DE INGENIERÍA"/>
    <s v="https://ProfPlanta2024.sawtoothsoftware.com/cgi-bin/ciwweb.pl?studyname=ProfPlanta2024&amp;Correo=ruth.ruiz@unisabana.edu.co2"/>
  </r>
  <r>
    <s v="sandra.rodriguez11@unisabana.edu.co"/>
    <s v="sandra.rodriguez11@unisabana.edu.co1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sandra.rodriguez11@unisabana.edu.co1"/>
  </r>
  <r>
    <s v="sandra.toro@unisabana.edu.co"/>
    <s v="sandra.toro@unisabana.edu.co1"/>
    <s v="MEDICINA"/>
    <x v="4"/>
    <x v="1"/>
    <x v="0"/>
    <s v="Completa"/>
    <s v="Pregrado"/>
    <s v="FACULTAD DE MEDICINA"/>
    <s v="https://ProfPlanta2024.sawtoothsoftware.com/cgi-bin/ciwweb.pl?studyname=ProfPlanta2024&amp;Correo=sandra.toro@unisabana.edu.co1"/>
  </r>
  <r>
    <s v="santiago.co0rtes1@unisabana.edu.co"/>
    <s v="santiago.co0rtes1@unisabana.edu.co01"/>
    <s v="MAESTRï¿½A EN ANALï¿½TICA APLICADA - CHï¿½A"/>
    <x v="18"/>
    <x v="1"/>
    <x v="0"/>
    <s v="Completa"/>
    <s v="Posgrado"/>
    <s v="FACULTAD DE INGENIERÍA"/>
    <s v="https://ProfPlanta2024.sawtoothsoftware.com/cgi-bin/ciwweb.pl?studyname=ProfPlanta2024&amp;Correo=santiago.co0rtes1@unisabana.edu.co01"/>
  </r>
  <r>
    <s v="santiago.cortes1@unisabana.edu.co"/>
    <s v="santiago.cortes1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santiago.cortes1@unisabana.edu.co1"/>
  </r>
  <r>
    <s v="sara.arias@unisabana.edu.co"/>
    <s v="sara.arias@unisabana.edu.co01"/>
    <s v="ESPECIALIZACIï¿½N EN FARMACOLOGï¿½A CLï¿½NICA"/>
    <x v="50"/>
    <x v="1"/>
    <x v="0"/>
    <s v="Completa"/>
    <s v="Posgrado"/>
    <s v="FACULTAD DE MEDICINA"/>
    <s v="https://ProfPlanta2024.sawtoothsoftware.com/cgi-bin/ciwweb.pl?studyname=ProfPlanta2024&amp;Correo=sara.arias@unisabana.edu.co01"/>
  </r>
  <r>
    <s v="sara.arias@unisabana.edu.co"/>
    <s v="sara.arias@unisabana.edu.co1"/>
    <s v="MEDICINA"/>
    <x v="4"/>
    <x v="1"/>
    <x v="0"/>
    <s v="Completa"/>
    <s v="Pregrado"/>
    <s v="FACULTAD DE MEDICINA"/>
    <s v="https://ProfPlanta2024.sawtoothsoftware.com/cgi-bin/ciwweb.pl?studyname=ProfPlanta2024&amp;Correo=sara.arias@unisabana.edu.co1"/>
  </r>
  <r>
    <s v="sarah.romero@unisabana.edu.co"/>
    <s v="sarah.romero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sarah.romero@unisabana.edu.co1"/>
  </r>
  <r>
    <s v="sergio.agudelo1@unisabana.edu.co"/>
    <s v="sergio.agudelo1@unisabana.edu.co01"/>
    <s v="ESPECIALIZACIï¿½N EN PEDIATRï¿½A"/>
    <x v="79"/>
    <x v="1"/>
    <x v="0"/>
    <s v="Completa"/>
    <s v="Posgrado"/>
    <s v="FACULTAD DE MEDICINA"/>
    <s v="https://ProfPlanta2024.sawtoothsoftware.com/cgi-bin/ciwweb.pl?studyname=ProfPlanta2024&amp;Correo=sergio.agudelo1@unisabana.edu.co01"/>
  </r>
  <r>
    <s v="sergio.agudelo1@unisabana.edu.co"/>
    <s v="sergio.agudelo1@unisabana.edu.co1"/>
    <s v="MEDICINA"/>
    <x v="4"/>
    <x v="1"/>
    <x v="0"/>
    <s v="Completa"/>
    <s v="Pregrado"/>
    <s v="FACULTAD DE MEDICINA"/>
    <s v="https://ProfPlanta2024.sawtoothsoftware.com/cgi-bin/ciwweb.pl?studyname=ProfPlanta2024&amp;Correo=sergio.agudelo1@unisabana.edu.co1"/>
  </r>
  <r>
    <s v="sergio.arciniegas@unisabana.edu.co"/>
    <s v="sergio.arciniegas@unisabana.edu.co1"/>
    <s v="INGENIERï¿½A INDUSTRIAL"/>
    <x v="28"/>
    <x v="1"/>
    <x v="0"/>
    <s v="Completa"/>
    <s v="Pregrado"/>
    <s v="FACULTAD DE INGENIERÍA"/>
    <s v="https://ProfPlanta2024.sawtoothsoftware.com/cgi-bin/ciwweb.pl?studyname=ProfPlanta2024&amp;Correo=sergio.arciniegas@unisabana.edu.co1"/>
  </r>
  <r>
    <s v="sergio.lozano@unisabana.edu.co"/>
    <s v="sergio.lozano@unisabana.edu.co1"/>
    <s v="CENTRO INTERNACIONAL DE LENGUAS Y CULTURAS EXTRANJERAS"/>
    <x v="19"/>
    <x v="1"/>
    <x v="1"/>
    <s v="Incompleta"/>
    <s v="Pregrado"/>
    <s v="CENTRO INTERNACIONAL DE LENGUAS Y CULTURAS EXTRANJERAS"/>
    <s v="https://ProfPlanta2024.sawtoothsoftware.com/cgi-bin/ciwweb.pl?studyname=ProfPlanta2024&amp;Correo=sergio.lozano@unisabana.edu.co1"/>
  </r>
  <r>
    <s v="silvia.gast@unisabana.edu.co"/>
    <s v="silvia.gast@unisabana.edu.co1"/>
    <s v="ARTES CULINARIAS Y CIENCIAS DE LA ALIMENTACIï¿½N"/>
    <x v="32"/>
    <x v="1"/>
    <x v="0"/>
    <s v="Completa"/>
    <s v="Pregrado"/>
    <s v="ESCUELA INTERNACIONAL DE CIENCIAS ECONÓMICAS Y ADMINISTRATIVAS"/>
    <s v="https://ProfPlanta2024.sawtoothsoftware.com/cgi-bin/ciwweb.pl?studyname=ProfPlanta2024&amp;Correo=silvia.gast@unisabana.edu.co1"/>
  </r>
  <r>
    <s v="sonia.cardenas2@unisabana.edu.co"/>
    <s v="sonia.cardenas2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sonia.cardenas2@unisabana.edu.co1"/>
  </r>
  <r>
    <s v="tatiana.avila@unisabana.edu.co"/>
    <s v="tatiana.avila@unisabana.edu.co1"/>
    <s v="COMUNICACIï¿½N CORPORATIVA"/>
    <x v="43"/>
    <x v="1"/>
    <x v="0"/>
    <s v="Completa"/>
    <s v="Pregrado"/>
    <s v="FACULTAD DE COMUNICACIÓN"/>
    <s v="https://ProfPlanta2024.sawtoothsoftware.com/cgi-bin/ciwweb.pl?studyname=ProfPlanta2024&amp;Correo=tatiana.avila@unisabana.edu.co1"/>
  </r>
  <r>
    <s v="tatiana.osorio@unisabana.edu.co"/>
    <s v="tatiana.osorio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tatiana.osorio@unisabana.edu.co1"/>
  </r>
  <r>
    <s v="tatianaghija@unisabana.edu.co"/>
    <s v="tatianaghija@unisabana.edu.co01"/>
    <s v="MAESTRï¿½A EN PROYECTOS EDUCATIVOS MEDIADOS POR TIC"/>
    <x v="124"/>
    <x v="1"/>
    <x v="0"/>
    <s v="Completa"/>
    <s v="Posgrado"/>
    <s v="FACULTAD DE EDUCACIÓN"/>
    <s v="https://ProfPlanta2024.sawtoothsoftware.com/cgi-bin/ciwweb.pl?studyname=ProfPlanta2024&amp;Correo=tatianaghija@unisabana.edu.co01"/>
  </r>
  <r>
    <s v="tatianaghija@unisabana.edu.co"/>
    <s v="tatianaghija@unisabana.edu.co1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tatianaghija@unisabana.edu.co1"/>
  </r>
  <r>
    <s v="tebbie.chacon1@unisabana.edu.co"/>
    <s v="tebbie.chacon1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tebbie.chacon1@unisabana.edu.co2"/>
  </r>
  <r>
    <s v="ulf.thoene@unisabana.edu.co"/>
    <s v="ulf.thoene@unisabana.edu.co1"/>
    <s v="NEGOCIACIï¿½N Y COMERCIO INTERNACIONAL"/>
    <x v="91"/>
    <x v="1"/>
    <x v="0"/>
    <s v="Completa"/>
    <s v="Pregrado"/>
    <s v="ESCUELA INTERNACIONAL DE CIENCIAS ECONÓMICAS Y ADMINISTRATIVAS"/>
    <s v="https://ProfPlanta2024.sawtoothsoftware.com/cgi-bin/ciwweb.pl?studyname=ProfPlanta2024&amp;Correo=ulf.thoene@unisabana.edu.co1"/>
  </r>
  <r>
    <s v="victor.gamboa@unisabana.edu.co"/>
    <s v="victor.gamboa@unisabana.edu.co1"/>
    <s v="PSICOLOGï¿½A"/>
    <x v="29"/>
    <x v="1"/>
    <x v="0"/>
    <s v="Completa"/>
    <s v="Pregrado"/>
    <s v="FACULTAD DE PSICOLOGÍA"/>
    <s v="https://ProfPlanta2024.sawtoothsoftware.com/cgi-bin/ciwweb.pl?studyname=ProfPlanta2024&amp;Correo=victor.gamboa@unisabana.edu.co1"/>
  </r>
  <r>
    <s v="victor.garcia2@unisabana.edu.co"/>
    <s v="victor.garcia2@unisabana.edu.co01"/>
    <s v="DOCTORADO EN COMUNICACIï¿½N"/>
    <x v="139"/>
    <x v="1"/>
    <x v="0"/>
    <s v="Completa"/>
    <s v="Posgrado"/>
    <s v="FACULTAD DE COMUNICACIÓN"/>
    <s v="https://ProfPlanta2024.sawtoothsoftware.com/cgi-bin/ciwweb.pl?studyname=ProfPlanta2024&amp;Correo=victor.garcia2@unisabana.edu.co01"/>
  </r>
  <r>
    <s v="victoria.cabrera@unisabana.edu.co"/>
    <s v="victoria.cabrera@unisabana.edu.co01"/>
    <s v="MAESTRï¿½A EN ASESORï¿½A FAMILIAR Y GESTIï¿½N DE PROGRAMAS PARA LA FAMILIA - VIRTUAL"/>
    <x v="14"/>
    <x v="1"/>
    <x v="0"/>
    <s v="Completa"/>
    <s v="Posgrado"/>
    <s v="INSTITUTO DE LA FAMILIA: ILFARUS"/>
    <s v="https://ProfPlanta2024.sawtoothsoftware.com/cgi-bin/ciwweb.pl?studyname=ProfPlanta2024&amp;Correo=victoria.cabrera@unisabana.edu.co01"/>
  </r>
  <r>
    <s v="wilder.villamil@unisabana.edu.co"/>
    <s v="wilder.villamil@unisabana.edu.co01"/>
    <s v="MAESTRï¿½A EN FISIOTERAPIA  - VIRTUAL"/>
    <x v="121"/>
    <x v="1"/>
    <x v="0"/>
    <s v="Completa"/>
    <s v="Posgrado"/>
    <s v="FACULTAD DE ENFERMERÍA Y REHABILITACIÓN"/>
    <s v="https://ProfPlanta2024.sawtoothsoftware.com/cgi-bin/ciwweb.pl?studyname=ProfPlanta2024&amp;Correo=wilder.villamil@unisabana.edu.co01"/>
  </r>
  <r>
    <s v="william.guerrero1@unisabana.edu.co"/>
    <s v="william.guerrero1@unisabana.edu.co01"/>
    <s v="DOCTORADO EN INGENIERï¿½A"/>
    <x v="140"/>
    <x v="1"/>
    <x v="0"/>
    <s v="Completa"/>
    <s v="Posgrado"/>
    <s v="FACULTAD DE INGENIERÍA"/>
    <s v="https://ProfPlanta2024.sawtoothsoftware.com/cgi-bin/ciwweb.pl?studyname=ProfPlanta2024&amp;Correo=william.guerrero1@unisabana.edu.co01"/>
  </r>
  <r>
    <s v="william.guerrero1@unisabana.edu.co"/>
    <s v="william.guerrero1@unisabana.edu.co02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william.guerrero1@unisabana.edu.co02"/>
  </r>
  <r>
    <s v="william.hernandez2@unisabana.edu.co"/>
    <s v="william.hernandez2@unisabana.edu.co01"/>
    <s v="DOCTORADO EN DERECHO"/>
    <x v="114"/>
    <x v="1"/>
    <x v="0"/>
    <s v="Completa"/>
    <s v="Posgrado"/>
    <s v="FACULTAD DE DERECHO Y CIENCIAS POLÍTICAS"/>
    <s v="https://ProfPlanta2024.sawtoothsoftware.com/cgi-bin/ciwweb.pl?studyname=ProfPlanta2024&amp;Correo=william.hernandez2@unisabana.edu.co01"/>
  </r>
  <r>
    <s v="william.hernandez2@unisabana.edu.co"/>
    <s v="william.hernandez2@unisabana.edu.co02"/>
    <s v="MAESTRIA EN DERECHO DE LA EMPRESA Y DE LOS NEGOCIOS"/>
    <x v="9"/>
    <x v="1"/>
    <x v="0"/>
    <s v="Completa"/>
    <s v="Posgrado"/>
    <s v="FACULTAD DE DERECHO Y CIENCIAS POLÍTICAS"/>
    <s v="https://ProfPlanta2024.sawtoothsoftware.com/cgi-bin/ciwweb.pl?studyname=ProfPlanta2024&amp;Correo=william.hernandez2@unisabana.edu.co02"/>
  </r>
  <r>
    <s v="william.hernandez2@unisabana.edu.co"/>
    <s v="william.hernandez2@unisabana.edu.co1"/>
    <s v="DERECHO"/>
    <x v="22"/>
    <x v="1"/>
    <x v="0"/>
    <s v="Completa"/>
    <s v="Pregrado"/>
    <s v="FACULTAD DE DERECHO Y CIENCIAS POLÍTICAS"/>
    <s v="https://ProfPlanta2024.sawtoothsoftware.com/cgi-bin/ciwweb.pl?studyname=ProfPlanta2024&amp;Correo=william.hernandez2@unisabana.edu.co1"/>
  </r>
  <r>
    <s v="wilmar.segura@unisabana.edu.co"/>
    <s v="wilmar.segura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wilmar.segura@unisabana.edu.co1"/>
  </r>
  <r>
    <s v="wilson.betancur@unisabana.edu.co"/>
    <s v="wilson.betancur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wilson.betancur@unisabana.edu.co1"/>
  </r>
  <r>
    <s v="wilson.betancur@unisabana.edu.co"/>
    <s v="wilson.betancur@unisabana.edu.co2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wilson.betancur@unisabana.edu.co2"/>
  </r>
  <r>
    <s v="wilson.briceno@unisabana.edu.co"/>
    <s v="wilson.briceno@unisabana.edu.co01"/>
    <s v="ESPECIALIZACIï¿½N EN FARMACOLOGï¿½A CLï¿½NICA"/>
    <x v="50"/>
    <x v="1"/>
    <x v="0"/>
    <s v="Completa"/>
    <s v="Posgrado"/>
    <s v="FACULTAD DE MEDICINA"/>
    <s v="https://ProfPlanta2024.sawtoothsoftware.com/cgi-bin/ciwweb.pl?studyname=ProfPlanta2024&amp;Correo=wilson.briceno@unisabana.edu.co01"/>
  </r>
  <r>
    <s v="wilson.briceno@unisabana.edu.co"/>
    <s v="wilson.briceno@unisabana.edu.co1"/>
    <s v="MEDICINA"/>
    <x v="4"/>
    <x v="1"/>
    <x v="0"/>
    <s v="Completa"/>
    <s v="Pregrado"/>
    <s v="FACULTAD DE MEDICINA"/>
    <s v="https://ProfPlanta2024.sawtoothsoftware.com/cgi-bin/ciwweb.pl?studyname=ProfPlanta2024&amp;Correo=wilson.briceno@unisabana.edu.co1"/>
  </r>
  <r>
    <s v="wilson.parra1@unisabana.edu.co"/>
    <s v="wilson.parra1@unisabana.edu.co1"/>
    <s v="MEDICINA"/>
    <x v="4"/>
    <x v="1"/>
    <x v="0"/>
    <s v="Completa"/>
    <s v="Pregrado"/>
    <s v="FACULTAD DE MEDICINA"/>
    <s v="https://ProfPlanta2024.sawtoothsoftware.com/cgi-bin/ciwweb.pl?studyname=ProfPlanta2024&amp;Correo=wilson.parra1@unisabana.edu.co1"/>
  </r>
  <r>
    <s v="wilson.rodriguez1@unisabana.edu.co"/>
    <s v="wilson.rodriguez1@unisabana.edu.co1"/>
    <s v="FINANZAS"/>
    <x v="20"/>
    <x v="1"/>
    <x v="0"/>
    <s v="Completa"/>
    <s v="Pregrado"/>
    <s v="ESCUELA INTERNACIONAL DE CIENCIAS ECONÓMICAS Y ADMINISTRATIVAS"/>
    <s v="https://ProfPlanta2024.sawtoothsoftware.com/cgi-bin/ciwweb.pl?studyname=ProfPlanta2024&amp;Correo=wilson.rodriguez1@unisabana.edu.co1"/>
  </r>
  <r>
    <s v="yady.gonzalez@unisabana.edu.co"/>
    <s v="yady.gonzalez@unisabana.edu.co1"/>
    <s v="LICENCIATURA EN CIENCIAS NATURALES"/>
    <x v="3"/>
    <x v="1"/>
    <x v="0"/>
    <s v="Completa"/>
    <s v="Pregrado"/>
    <s v="FACULTAD DE EDUCACIÓN"/>
    <s v="https://ProfPlanta2024.sawtoothsoftware.com/cgi-bin/ciwweb.pl?studyname=ProfPlanta2024&amp;Correo=yady.gonzalez@unisabana.edu.co1"/>
  </r>
  <r>
    <s v="yady.gonzalez@unisabana.edu.co"/>
    <s v="yady.gonzalez@unisabana.edu.co2"/>
    <s v="LICENCIATURA EN EDUCACIï¿½N INFANTIL"/>
    <x v="34"/>
    <x v="1"/>
    <x v="0"/>
    <s v="Completa"/>
    <s v="Pregrado"/>
    <s v="FACULTAD DE EDUCACIÓN"/>
    <s v="https://ProfPlanta2024.sawtoothsoftware.com/cgi-bin/ciwweb.pl?studyname=ProfPlanta2024&amp;Correo=yady.gonzalez@unisabana.edu.co2"/>
  </r>
  <r>
    <s v="yeimysd@unisabana.edu.co"/>
    <s v="yeimysd@unisabana.edu.co1"/>
    <s v="CENTRO INTERNACIONAL DE LENGUAS Y CULTURAS EXTRANJERAS"/>
    <x v="19"/>
    <x v="1"/>
    <x v="0"/>
    <s v="Completa"/>
    <s v="Pregrado"/>
    <s v="CENTRO INTERNACIONAL DE LENGUAS Y CULTURAS EXTRANJERAS"/>
    <s v="https://ProfPlanta2024.sawtoothsoftware.com/cgi-bin/ciwweb.pl?studyname=ProfPlanta2024&amp;Correo=yeimysd@unisabana.edu.co1"/>
  </r>
  <r>
    <s v="yili.espitia@unisabana.edu.co"/>
    <s v="yili.espitia@unisabana.edu.co1"/>
    <s v="INGENIERï¿½A DE BIOPRODUCCIï¿½N"/>
    <x v="90"/>
    <x v="1"/>
    <x v="1"/>
    <s v="Incompleta"/>
    <s v="Pregrado"/>
    <s v="FACULTAD DE INGENIERÍA"/>
    <s v="https://ProfPlanta2024.sawtoothsoftware.com/cgi-bin/ciwweb.pl?studyname=ProfPlanta2024&amp;Correo=yili.espitia@unisabana.edu.co1"/>
  </r>
  <r>
    <s v="yili.espitia@unisabana.edu.co"/>
    <s v="yili.espitia@unisabana.edu.co2"/>
    <s v="INGENIERï¿½A QUï¿½MICA"/>
    <x v="16"/>
    <x v="1"/>
    <x v="0"/>
    <s v="Completa"/>
    <s v="Pregrado"/>
    <s v="FACULTAD DE INGENIERÍA"/>
    <s v="https://ProfPlanta2024.sawtoothsoftware.com/cgi-bin/ciwweb.pl?studyname=ProfPlanta2024&amp;Correo=yili.espitia@unisabana.edu.co2"/>
  </r>
  <r>
    <s v="yosimar.diaz1@unisabana.edu.co"/>
    <s v="yosimar.diaz1@unisabana.edu.co01"/>
    <s v="MAESTRï¿½A EN DISEï¿½O Y GESTIï¿½N DE PROCESOS - CHï¿½A"/>
    <x v="97"/>
    <x v="1"/>
    <x v="0"/>
    <s v="Completa"/>
    <s v="Posgrado"/>
    <s v="FACULTAD DE INGENIERÍA"/>
    <s v="https://ProfPlanta2024.sawtoothsoftware.com/cgi-bin/ciwweb.pl?studyname=ProfPlanta2024&amp;Correo=yosimar.diaz1@unisabana.edu.co01"/>
  </r>
  <r>
    <s v="yosimar.diaz1@unisabana.edu.co"/>
    <s v="yosimar.diaz1@unisabana.edu.co1"/>
    <s v="INGENIERï¿½A DE BIOPRODUCCIï¿½N"/>
    <x v="90"/>
    <x v="1"/>
    <x v="1"/>
    <s v="Incompleta"/>
    <s v="Pregrado"/>
    <s v="FACULTAD DE INGENIERÍA"/>
    <s v="https://ProfPlanta2024.sawtoothsoftware.com/cgi-bin/ciwweb.pl?studyname=ProfPlanta2024&amp;Correo=yosimar.diaz1@unisabana.edu.co1"/>
  </r>
  <r>
    <s v="yosimar.diaz1@unisabana.edu.co"/>
    <s v="yosimar.diaz1@unisabana.edu.co2"/>
    <s v="INGENIERï¿½A INDUSTRIAL"/>
    <x v="28"/>
    <x v="1"/>
    <x v="0"/>
    <s v="Completa"/>
    <s v="Pregrado"/>
    <s v="FACULTAD DE INGENIERÍA"/>
    <s v="https://ProfPlanta2024.sawtoothsoftware.com/cgi-bin/ciwweb.pl?studyname=ProfPlanta2024&amp;Correo=yosimar.diaz1@unisabana.edu.co2"/>
  </r>
  <r>
    <s v="yuli.fuentes@unisabana.edu.co"/>
    <s v="yuli.fuentes@unisabana.edu.co01"/>
    <s v="MAESTRï¿½A EN EPIDEMIOLOGï¿½A"/>
    <x v="83"/>
    <x v="1"/>
    <x v="1"/>
    <s v="Incompleta"/>
    <s v="Posgrado"/>
    <s v="FACULTAD DE MEDICINA"/>
    <s v="https://ProfPlanta2024.sawtoothsoftware.com/cgi-bin/ciwweb.pl?studyname=ProfPlanta2024&amp;Correo=yuli.fuentes@unisabana.edu.co01"/>
  </r>
  <r>
    <s v="yuli.fuentes@unisabana.edu.co"/>
    <s v="yuli.fuentes@unisabana.edu.co1"/>
    <s v="MEDICINA"/>
    <x v="4"/>
    <x v="1"/>
    <x v="0"/>
    <s v="Completa"/>
    <s v="Pregrado"/>
    <s v="FACULTAD DE MEDICINA"/>
    <s v="https://ProfPlanta2024.sawtoothsoftware.com/cgi-bin/ciwweb.pl?studyname=ProfPlanta2024&amp;Correo=yuli.fuentes@unisabana.edu.co1"/>
  </r>
  <r>
    <s v="yulieth.zabaleta1@unisabana.edu.co"/>
    <s v="yulieth.zabaleta1@unisabana.edu.co01"/>
    <s v="ESPECIALIZACIï¿½N EN ENFERMERï¿½A EN CUIDADO CRï¿½TICO - CHï¿½A"/>
    <x v="10"/>
    <x v="1"/>
    <x v="0"/>
    <s v="Completa"/>
    <s v="Posgrado"/>
    <s v="FACULTAD DE ENFERMERÍA Y REHABILITACIÓN"/>
    <s v="https://ProfPlanta2024.sawtoothsoftware.com/cgi-bin/ciwweb.pl?studyname=ProfPlanta2024&amp;Correo=yulieth.zabaleta1@unisabana.edu.co01"/>
  </r>
  <r>
    <s v="yulieth.zabaleta1@unisabana.edu.co"/>
    <s v="yulieth.zabaleta1@unisabana.edu.co02"/>
    <s v="MAESTRï¿½A EN ENFERMERï¿½A - VIRTUAL"/>
    <x v="13"/>
    <x v="1"/>
    <x v="0"/>
    <s v="Completa"/>
    <s v="Posgrado"/>
    <s v="FACULTAD DE ENFERMERÍA Y REHABILITACIÓN"/>
    <s v="https://ProfPlanta2024.sawtoothsoftware.com/cgi-bin/ciwweb.pl?studyname=ProfPlanta2024&amp;Correo=yulieth.zabaleta1@unisabana.edu.co02"/>
  </r>
  <r>
    <s v="yulieth.zabaleta1@unisabana.edu.co"/>
    <s v="yulieth.zabaleta1@unisabana.edu.co1"/>
    <s v="ENFERMERï¿½A"/>
    <x v="57"/>
    <x v="1"/>
    <x v="0"/>
    <s v="Completa"/>
    <s v="Pregrado"/>
    <s v="FACULTAD DE ENFERMERÍA Y REHABILITACIÓN"/>
    <s v="https://ProfPlanta2024.sawtoothsoftware.com/cgi-bin/ciwweb.pl?studyname=ProfPlanta2024&amp;Correo=yulieth.zabaleta1@unisabana.edu.co1"/>
  </r>
  <r>
    <s v="yustinne.cardenas@unisabana.edu.co"/>
    <s v="yustinne.cardenas@unisabana.edu.co1"/>
    <s v="FILOSOFï¿½A"/>
    <x v="60"/>
    <x v="1"/>
    <x v="0"/>
    <s v="Completa"/>
    <s v="Pregrado"/>
    <s v="FACULTAD DE FILOSOFÍA Y CIENCIAS HUMANAS"/>
    <s v="https://ProfPlanta2024.sawtoothsoftware.com/cgi-bin/ciwweb.pl?studyname=ProfPlanta2024&amp;Correo=yustinne.cardenas@unisabana.edu.co1"/>
  </r>
  <r>
    <s v="zulanye.figueredo@unisabana.edu.co"/>
    <s v="zulanye.figueredo@unisabana.edu.co1"/>
    <s v="FISIOTERAPIA"/>
    <x v="51"/>
    <x v="1"/>
    <x v="0"/>
    <s v="Completa"/>
    <s v="Pregrado"/>
    <s v="FACULTAD DE ENFERMERÍA Y REHABILITACIÓN"/>
    <s v="https://ProfPlanta2024.sawtoothsoftware.com/cgi-bin/ciwweb.pl?studyname=ProfPlanta2024&amp;Correo=zulanye.figueredo@unisabana.edu.co1"/>
  </r>
  <r>
    <s v="camilo.rincon2@unisabana.edu.co"/>
    <s v="camilo.rincon2@unisabana.edu.co02"/>
    <s v="MAESTRÍA EN GERENCIA Y DESARROLLO DE PERSONAS"/>
    <x v="65"/>
    <x v="0"/>
    <x v="0"/>
    <m/>
    <s v="Posgrado"/>
    <s v="FACULTAD DE PSICOLOGÍA"/>
    <s v="https://ProfCatedra2024.sawtoothsoftware.com/cgi-bin/ciwweb.pl?studyname=ProfCatedra2024&amp;Correo=camilo.rincon2@unisabana.edu.co02"/>
  </r>
  <r>
    <s v="jorge.martinez_cont@unisabana.edu.co"/>
    <m/>
    <m/>
    <x v="82"/>
    <x v="0"/>
    <x v="2"/>
    <m/>
    <s v="Posgrado"/>
    <s v="INSTITUTO FORUM"/>
    <m/>
  </r>
  <r>
    <s v="jorge.martinez_cont@unisabana.edu.co"/>
    <m/>
    <m/>
    <x v="127"/>
    <x v="0"/>
    <x v="2"/>
    <m/>
    <s v="Posgrado"/>
    <s v="INSTITUTO FORUM"/>
    <m/>
  </r>
  <r>
    <s v="mauricio.escobar1@unisabana.edu.co"/>
    <m/>
    <m/>
    <x v="125"/>
    <x v="0"/>
    <x v="2"/>
    <m/>
    <s v="Posgrado"/>
    <s v="INSTITUTO FORUM"/>
    <m/>
  </r>
  <r>
    <s v="mauricio.escobar1@unisabana.edu.co"/>
    <m/>
    <m/>
    <x v="52"/>
    <x v="0"/>
    <x v="2"/>
    <m/>
    <s v="Posgrado"/>
    <s v="INSTITUTO FORUM"/>
    <m/>
  </r>
  <r>
    <s v="mauricio.escobar1@unisabana.edu.co"/>
    <m/>
    <m/>
    <x v="55"/>
    <x v="0"/>
    <x v="2"/>
    <m/>
    <s v="Posgrado"/>
    <s v="INSTITUTO FORUM"/>
    <m/>
  </r>
  <r>
    <s v="mauricio.escobar1@unisabana.edu.co"/>
    <m/>
    <m/>
    <x v="54"/>
    <x v="0"/>
    <x v="2"/>
    <m/>
    <s v="Posgrado"/>
    <s v="INSTITUTO FORUM"/>
    <m/>
  </r>
  <r>
    <s v="mauricio.escobar1@unisabana.edu.co"/>
    <m/>
    <m/>
    <x v="82"/>
    <x v="0"/>
    <x v="2"/>
    <m/>
    <s v="Posgrado"/>
    <s v="INSTITUTO FORUM"/>
    <m/>
  </r>
  <r>
    <s v="mauricio.escobar1@unisabana.edu.co"/>
    <m/>
    <m/>
    <x v="78"/>
    <x v="0"/>
    <x v="2"/>
    <m/>
    <s v="Posgrado"/>
    <s v="INSTITUTO FORUM"/>
    <m/>
  </r>
  <r>
    <s v="mauricio.escobar1@unisabana.edu.co"/>
    <m/>
    <m/>
    <x v="127"/>
    <x v="0"/>
    <x v="2"/>
    <m/>
    <s v="Posgrado"/>
    <s v="INSTITUTO FORUM"/>
    <m/>
  </r>
  <r>
    <s v="jorge.bolivar@unisabana.edu.co"/>
    <m/>
    <m/>
    <x v="125"/>
    <x v="0"/>
    <x v="2"/>
    <m/>
    <s v="Posgrado"/>
    <s v="INSTITUTO FORUM"/>
    <m/>
  </r>
  <r>
    <s v="jorge.bolivar@unisabana.edu.co"/>
    <m/>
    <m/>
    <x v="126"/>
    <x v="0"/>
    <x v="2"/>
    <m/>
    <s v="Posgrado"/>
    <s v="INSTITUTO FORUM"/>
    <m/>
  </r>
  <r>
    <s v="jorge.bolivar@unisabana.edu.co"/>
    <m/>
    <m/>
    <x v="55"/>
    <x v="0"/>
    <x v="2"/>
    <m/>
    <s v="Posgrado"/>
    <s v="INSTITUTO FORUM"/>
    <m/>
  </r>
  <r>
    <s v="jorge.bolivar@unisabana.edu.co"/>
    <m/>
    <m/>
    <x v="54"/>
    <x v="0"/>
    <x v="2"/>
    <m/>
    <s v="Posgrado"/>
    <s v="INSTITUTO FORUM"/>
    <m/>
  </r>
  <r>
    <s v="jorge.bolivar@unisabana.edu.co"/>
    <m/>
    <m/>
    <x v="52"/>
    <x v="0"/>
    <x v="2"/>
    <m/>
    <s v="Posgrado"/>
    <s v="INSTITUTO FORUM"/>
    <m/>
  </r>
  <r>
    <s v="jorge.bolivar@unisabana.edu.co"/>
    <m/>
    <m/>
    <x v="78"/>
    <x v="0"/>
    <x v="2"/>
    <m/>
    <s v="Posgrado"/>
    <s v="INSTITUTO FORUM"/>
    <m/>
  </r>
  <r>
    <s v="jorge.bolivar@unisabana.edu.co"/>
    <m/>
    <m/>
    <x v="127"/>
    <x v="0"/>
    <x v="2"/>
    <m/>
    <s v="Posgrado"/>
    <s v="INSTITUTO FORUM"/>
    <m/>
  </r>
  <r>
    <s v="carlos.rojas@unisabana.edu.co"/>
    <m/>
    <m/>
    <x v="125"/>
    <x v="0"/>
    <x v="2"/>
    <m/>
    <s v="Posgrado"/>
    <s v="INSTITUTO FORUM"/>
    <m/>
  </r>
  <r>
    <s v="carlos.rojas@unisabana.edu.co"/>
    <m/>
    <m/>
    <x v="126"/>
    <x v="0"/>
    <x v="2"/>
    <m/>
    <s v="Posgrado"/>
    <s v="INSTITUTO FORUM"/>
    <m/>
  </r>
  <r>
    <s v="carlos.rojas@unisabana.edu.co"/>
    <m/>
    <m/>
    <x v="52"/>
    <x v="0"/>
    <x v="2"/>
    <m/>
    <s v="Posgrado"/>
    <s v="INSTITUTO FORUM"/>
    <m/>
  </r>
  <r>
    <s v="carlos.rojas@unisabana.edu.co"/>
    <m/>
    <m/>
    <x v="78"/>
    <x v="0"/>
    <x v="2"/>
    <m/>
    <s v="Posgrado"/>
    <s v="INSTITUTO FORUM"/>
    <m/>
  </r>
  <r>
    <s v="carlos.rojas@unisabana.edu.co"/>
    <m/>
    <m/>
    <x v="127"/>
    <x v="0"/>
    <x v="2"/>
    <m/>
    <s v="Posgrado"/>
    <s v="INSTITUTO FORUM"/>
    <m/>
  </r>
  <r>
    <s v="carlos.rojas@unisabana.edu.co"/>
    <m/>
    <m/>
    <x v="82"/>
    <x v="0"/>
    <x v="2"/>
    <m/>
    <s v="Posgrado"/>
    <s v="INSTITUTO FORUM"/>
    <m/>
  </r>
  <r>
    <s v="milton.bautista@unisabana.edu.co"/>
    <m/>
    <m/>
    <x v="146"/>
    <x v="0"/>
    <x v="2"/>
    <m/>
    <s v="Posgrado"/>
    <s v="INSTITUTO FORUM"/>
    <m/>
  </r>
  <r>
    <s v="maria.villar2@unisabana.edu.co"/>
    <m/>
    <m/>
    <x v="146"/>
    <x v="0"/>
    <x v="2"/>
    <m/>
    <s v="Posgrado"/>
    <s v="INSTITUTO FORUM"/>
    <m/>
  </r>
  <r>
    <s v="gustavo.riveros1@unisabana.edu.co"/>
    <m/>
    <m/>
    <x v="125"/>
    <x v="1"/>
    <x v="2"/>
    <m/>
    <s v="Posgrado"/>
    <s v="INSTITUTO FORUM"/>
    <m/>
  </r>
  <r>
    <s v="gustavo.riveros1@unisabana.edu.co"/>
    <m/>
    <m/>
    <x v="126"/>
    <x v="1"/>
    <x v="2"/>
    <m/>
    <s v="Posgrado"/>
    <s v="INSTITUTO FORUM"/>
    <m/>
  </r>
  <r>
    <s v="gustavo.riveros1@unisabana.edu.co"/>
    <m/>
    <m/>
    <x v="55"/>
    <x v="1"/>
    <x v="2"/>
    <m/>
    <s v="Posgrado"/>
    <s v="INSTITUTO FORUM"/>
    <m/>
  </r>
  <r>
    <s v="gustavo.riveros1@unisabana.edu.co"/>
    <m/>
    <m/>
    <x v="54"/>
    <x v="1"/>
    <x v="2"/>
    <m/>
    <s v="Posgrado"/>
    <s v="INSTITUTO FORUM"/>
    <m/>
  </r>
  <r>
    <s v="gustavo.riveros1@unisabana.edu.co"/>
    <m/>
    <m/>
    <x v="82"/>
    <x v="1"/>
    <x v="2"/>
    <m/>
    <s v="Posgrado"/>
    <s v="INSTITUTO FORUM"/>
    <m/>
  </r>
  <r>
    <s v="gustavo.riveros1@unisabana.edu.co"/>
    <m/>
    <m/>
    <x v="78"/>
    <x v="1"/>
    <x v="2"/>
    <m/>
    <s v="Posgrado"/>
    <s v="INSTITUTO FORUM"/>
    <m/>
  </r>
  <r>
    <s v="gustavo.riveros1@unisabana.edu.co"/>
    <m/>
    <m/>
    <x v="127"/>
    <x v="1"/>
    <x v="2"/>
    <m/>
    <s v="Posgrado"/>
    <s v="INSTITUTO FORUM"/>
    <m/>
  </r>
  <r>
    <s v="luz.villegas1@unisabana.edu.co"/>
    <m/>
    <m/>
    <x v="125"/>
    <x v="1"/>
    <x v="2"/>
    <m/>
    <s v="Posgrado"/>
    <s v="INSTITUTO FORUM"/>
    <m/>
  </r>
  <r>
    <s v="luz.villegas1@unisabana.edu.co"/>
    <m/>
    <m/>
    <x v="52"/>
    <x v="1"/>
    <x v="2"/>
    <m/>
    <s v="Posgrado"/>
    <s v="INSTITUTO FORUM"/>
    <m/>
  </r>
  <r>
    <s v="luz.villegas1@unisabana.edu.co"/>
    <m/>
    <m/>
    <x v="55"/>
    <x v="1"/>
    <x v="2"/>
    <m/>
    <s v="Posgrado"/>
    <s v="INSTITUTO FORUM"/>
    <m/>
  </r>
  <r>
    <s v="luz.villegas1@unisabana.edu.co"/>
    <m/>
    <m/>
    <x v="54"/>
    <x v="1"/>
    <x v="2"/>
    <m/>
    <s v="Posgrado"/>
    <s v="INSTITUTO FORUM"/>
    <m/>
  </r>
  <r>
    <s v="luz.villegas1@unisabana.edu.co"/>
    <m/>
    <m/>
    <x v="82"/>
    <x v="1"/>
    <x v="2"/>
    <m/>
    <s v="Posgrado"/>
    <s v="INSTITUTO FORUM"/>
    <m/>
  </r>
  <r>
    <s v="luz.villegas1@unisabana.edu.co"/>
    <m/>
    <m/>
    <x v="78"/>
    <x v="1"/>
    <x v="2"/>
    <m/>
    <s v="Posgrado"/>
    <s v="INSTITUTO FORUM"/>
    <m/>
  </r>
  <r>
    <s v="luz.villegas1@unisabana.edu.co"/>
    <m/>
    <m/>
    <x v="127"/>
    <x v="1"/>
    <x v="2"/>
    <m/>
    <s v="Posgrado"/>
    <s v="INSTITUTO FORUM"/>
    <m/>
  </r>
  <r>
    <s v="steve.martinez1@unisabana.edu.co"/>
    <s v="steve.martinez1@unisabana.edu.co01"/>
    <m/>
    <x v="118"/>
    <x v="0"/>
    <x v="2"/>
    <s v="Incompleta"/>
    <s v="Posgrado"/>
    <s v="INSTITUTO FORUM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acarbonellg@gmail.com"/>
    <s v="acarbonellg@gmail.com1"/>
    <s v="Especializaciï¿½n en Emprendimiento y Negocios Digitales- Chï¿½a"/>
    <x v="0"/>
    <n v="202"/>
    <x v="0"/>
    <x v="0"/>
    <s v="Completa"/>
    <s v="Posgrado"/>
    <s v="INSTITUTO FORUM"/>
    <s v="https://ProfCatedra2024.sawtoothsoftware.com/cgi-bin/ciwweb.pl?studyname=ProfCatedra2024&amp;Correo=acarbonellg@gmail.com1"/>
  </r>
  <r>
    <s v="adalberto.prada@unisabana.edu.co"/>
    <s v="adalberto.prada@unisabana.edu.co01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adalberto.prada@unisabana.edu.co01"/>
  </r>
  <r>
    <s v="adrian.martinez@unisabana.edu.co"/>
    <s v="adrian.martinez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adrian.martinez@unisabana.edu.co1"/>
  </r>
  <r>
    <s v="adriana.acevedo@unisabana.edu.co"/>
    <s v="adriana.acevedo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adriana.acevedo@unisabana.edu.co1"/>
  </r>
  <r>
    <s v="adriana.maldonado@unisabana.edu.co"/>
    <s v="adriana.maldonad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adriana.maldonado@unisabana.edu.co1"/>
  </r>
  <r>
    <s v="adrianagarciagama@gmail.com"/>
    <s v="ADRIANAGARCIAGAMA@GMAIL.COM1"/>
    <s v="Especializaciï¿½n en Responsabilidad Civil y del Estado - Chï¿½a"/>
    <x v="5"/>
    <n v="101"/>
    <x v="0"/>
    <x v="0"/>
    <s v="Completa"/>
    <s v="Posgrado"/>
    <s v="FACULTAD DE DERECHO Y CIENCIAS POLÍTICAS"/>
    <s v="https://ProfCatedra2024.sawtoothsoftware.com/cgi-bin/ciwweb.pl?studyname=ProfCatedra2024&amp;Correo=ADRIANAGARCIAGAMA@GMAIL.COM1"/>
  </r>
  <r>
    <s v="adrianapeme@unisabana.edu.co"/>
    <s v="adrianapeme@unisabana.edu.co01"/>
    <s v="Especializaciï¿½n en Gerencia Comercial Virtual"/>
    <x v="6"/>
    <n v="126"/>
    <x v="0"/>
    <x v="0"/>
    <s v="Completa"/>
    <s v="Posgrado"/>
    <s v="INSTITUTO FORUM"/>
    <s v="https://ProfCatedra2024.sawtoothsoftware.com/cgi-bin/ciwweb.pl?studyname=ProfCatedra2024&amp;Correo=adrianapeme@unisabana.edu.co01"/>
  </r>
  <r>
    <s v="adrianapeme@unisabana.edu.co"/>
    <s v="adrianapeme@unisabana.edu.co02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adrianapeme@unisabana.edu.co02"/>
  </r>
  <r>
    <s v="adrianapeme@unisabana.edu.co"/>
    <s v="adrianapeme@unisabana.edu.co03"/>
    <s v="Especializaciï¿½n en Liderazgo y Coaching- Chï¿½a"/>
    <x v="8"/>
    <n v="203"/>
    <x v="0"/>
    <x v="0"/>
    <s v="Completa"/>
    <s v="Posgrado"/>
    <s v="INSTITUTO FORUM"/>
    <s v="https://ProfCatedra2024.sawtoothsoftware.com/cgi-bin/ciwweb.pl?studyname=ProfCatedra2024&amp;Correo=adrianapeme@unisabana.edu.co03"/>
  </r>
  <r>
    <s v="agaitanrozo@yahoo.es1"/>
    <s v="AGAITANROZO@YAHOO.ES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AGAITANROZO@YAHOO.ES1"/>
  </r>
  <r>
    <s v="alba.sachica1@unisabana.edu.co"/>
    <s v="alba.sachica1@unisabana.edu.co01"/>
    <s v="Especializaciï¿½n en Enfermerï¿½a en Cuidado Crï¿½tico - Chï¿½a"/>
    <x v="10"/>
    <n v="104"/>
    <x v="0"/>
    <x v="0"/>
    <s v="Completa"/>
    <s v="Posgrado"/>
    <s v="FACULTAD DE ENFERMERÍA Y REHABILITACIÓN"/>
    <s v="https://ProfCatedra2024.sawtoothsoftware.com/cgi-bin/ciwweb.pl?studyname=ProfCatedra2024&amp;Correo=alba.sachica1@unisabana.edu.co01"/>
  </r>
  <r>
    <s v="alba.sachica1@unisabana.edu.co"/>
    <s v="alba.sachica1@unisabana.edu.co02"/>
    <s v="Especializaciï¿½n en Terapia Manual Ortopï¿½dica - Chï¿½a"/>
    <x v="11"/>
    <n v="105"/>
    <x v="0"/>
    <x v="0"/>
    <s v="Completa"/>
    <s v="Posgrado"/>
    <s v="FACULTAD DE ENFERMERÍA Y REHABILITACIÓN"/>
    <s v="https://ProfCatedra2024.sawtoothsoftware.com/cgi-bin/ciwweb.pl?studyname=ProfCatedra2024&amp;Correo=alba.sachica1@unisabana.edu.co02"/>
  </r>
  <r>
    <s v="alba.sachica1@unisabana.edu.co"/>
    <s v="alba.sachica1@unisabana.edu.co03"/>
    <s v="Maestrï¿½a en Enfermerï¿½a"/>
    <x v="12"/>
    <n v="67"/>
    <x v="0"/>
    <x v="0"/>
    <s v="Completa"/>
    <s v="Posgrado"/>
    <s v="FACULTAD DE ENFERMERÍA Y REHABILITACIÓN"/>
    <s v="https://ProfCatedra2024.sawtoothsoftware.com/cgi-bin/ciwweb.pl?studyname=ProfCatedra2024&amp;Correo=alba.sachica1@unisabana.edu.co03"/>
  </r>
  <r>
    <s v="alba.sachica1@unisabana.edu.co"/>
    <s v="alba.sachica1@unisabana.edu.co04"/>
    <s v="Maestrï¿½a en Enfermerï¿½a - Virtual"/>
    <x v="13"/>
    <n v="94"/>
    <x v="0"/>
    <x v="0"/>
    <s v="Completa"/>
    <s v="Posgrado"/>
    <s v="FACULTAD DE ENFERMERÍA Y REHABILITACIÓN"/>
    <s v="https://ProfCatedra2024.sawtoothsoftware.com/cgi-bin/ciwweb.pl?studyname=ProfCatedra2024&amp;Correo=alba.sachica1@unisabana.edu.co04"/>
  </r>
  <r>
    <s v="alba.sachica1@unisabana.edu.co"/>
    <s v="alba.sachica1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alba.sachica1@unisabana.edu.co07"/>
  </r>
  <r>
    <s v="albertoduqueramirez@gmail.com"/>
    <s v="ALBERTODUQUERAMIREZ@GMAIL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ALBERTODUQUERAMIREZ@GMAIL.COM1"/>
  </r>
  <r>
    <s v="aldemar.moreno@unisabana.edu.co"/>
    <s v="aldemar.moreno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aldemar.moreno@unisabana.edu.co1"/>
  </r>
  <r>
    <s v="alejandra.henao@unisabana.edu.co"/>
    <s v="alejandra.henao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alejandra.henao@unisabana.edu.co1"/>
  </r>
  <r>
    <s v="alejandro.castro1@unisabana.edu.co"/>
    <s v="alejandro.castro1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alejandro.castro1@unisabana.edu.co1"/>
  </r>
  <r>
    <s v="alejandro.munevar@unisabana.edu.co"/>
    <s v="alejandro.munevar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alejandro.munevar@unisabana.edu.co1"/>
  </r>
  <r>
    <s v="alexandra.jimenez1@unisabana.edu.co"/>
    <s v="alexandra.jimenez1@unisabana.edu.co03"/>
    <s v="Especializaciï¿½n en Gestiï¿½n para el Desarrollo Humano en la Organizaciï¿½n - Bucaramanga"/>
    <x v="17"/>
    <n v="136"/>
    <x v="0"/>
    <x v="0"/>
    <s v="Completa"/>
    <s v="Posgrado"/>
    <s v="INSTITUTO FORUM"/>
    <s v="https://ProfCatedra2024.sawtoothsoftware.com/cgi-bin/ciwweb.pl?studyname=ProfCatedra2024&amp;Correo=alexandra.jimenez1@unisabana.edu.co03"/>
  </r>
  <r>
    <s v="alexandra.rodriguez_cont@unisabana.edu.co"/>
    <s v="alexandra.rodriguez_cont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alexandra.rodriguez_cont@unisabana.edu.co07"/>
  </r>
  <r>
    <s v="alfonso.cubillos@unisabana.edu.co"/>
    <s v="alfonso.cubillos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alfonso.cubillos@unisabana.edu.co01"/>
  </r>
  <r>
    <s v="alirio.angarita@unisabana.edu.co"/>
    <s v="alirio.angarita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alirio.angarita@unisabana.edu.co1"/>
  </r>
  <r>
    <s v="alvaro.moncada1@unisabana.edu.co"/>
    <s v="alvaro.moncada1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alvaro.moncada1@unisabana.edu.co1"/>
  </r>
  <r>
    <s v="alvarosiehe@unisabana.edu.co"/>
    <s v="alvarosiehe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alvarosiehe@unisabana.edu.co1"/>
  </r>
  <r>
    <s v="amelita99@yahoo.com"/>
    <s v="AMELITA99@YAHOO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AMELITA99@YAHOO.COM1"/>
  </r>
  <r>
    <s v="ana.grandas1@unisabana.edu.co"/>
    <s v="ana.grandas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ana.grandas1@unisabana.edu.co1"/>
  </r>
  <r>
    <s v="ana.herrera7@unisabana.edu.co"/>
    <s v="ana.herrera7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ana.herrera7@unisabana.edu.co07"/>
  </r>
  <r>
    <s v="ana.moya@unisabana.edu.co"/>
    <s v="ana.moya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ana.moya@unisabana.edu.co1"/>
  </r>
  <r>
    <s v="ana.olivos@unisabana.edu.co"/>
    <s v="ana.olivo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ana.olivos@unisabana.edu.co1"/>
  </r>
  <r>
    <s v="ana.rodriguez6@unisabana.edu.co"/>
    <s v="ana.rodriguez6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ana.rodriguez6@unisabana.edu.co1"/>
  </r>
  <r>
    <s v="ana.zambrano@unisabana.edu.co"/>
    <s v="ana.zambrano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ana.zambrano@unisabana.edu.co1"/>
  </r>
  <r>
    <s v="anamariagarciagaleano@gmail.com"/>
    <s v="ANAMARIAGARCIAGALEANO@GMAIL.COM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ANAMARIAGARCIAGALEANO@GMAIL.COM1"/>
  </r>
  <r>
    <s v="andherrerag@gmail.com"/>
    <s v="andherrerag@gmail.com1"/>
    <s v="Maestrï¿½a en Gerencia de Inversiï¿½n"/>
    <x v="26"/>
    <n v="45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1"/>
  </r>
  <r>
    <s v="andherrerag@gmail.com"/>
    <s v="andherrerag@gmail.com2"/>
    <s v="Maestrï¿½a en Gerencia de Inversiï¿½n - Virtual"/>
    <x v="27"/>
    <n v="207"/>
    <x v="0"/>
    <x v="0"/>
    <s v="Completa"/>
    <s v="Posgrado"/>
    <s v="ESCUELA INTERNACIONAL DE CIENCIAS ECONÓMICAS Y ADMINISTRATIVAS"/>
    <s v="https://ProfCatedra2024.sawtoothsoftware.com/cgi-bin/ciwweb.pl?studyname=ProfCatedra2024&amp;Correo=andherrerag@gmail.com2"/>
  </r>
  <r>
    <s v="andrea.areiza@unisabana.edu.co"/>
    <s v="andrea.areiza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andrea.areiza@unisabana.edu.co1"/>
  </r>
  <r>
    <s v="andrea.ceballos@unisabana.edu.co"/>
    <s v="andrea.ceballos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andrea.ceballos@unisabana.edu.co01"/>
  </r>
  <r>
    <s v="andrea.ceballos@unisabana.edu.co"/>
    <s v="andrea.ceballos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andrea.ceballos@unisabana.edu.co1"/>
  </r>
  <r>
    <s v="andrea.paez1@unisabana.edu.co"/>
    <s v="andrea.paez1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andrea.paez1@unisabana.edu.co1"/>
  </r>
  <r>
    <s v="andrea.restrepo@unisabana.edu.co"/>
    <s v="andrea.restrepo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andrea.restrepo@unisabana.edu.co1"/>
  </r>
  <r>
    <s v="andreasuajim@unisabana.edu.co"/>
    <s v="andreasuajim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andreasuajim@unisabana.edu.co1"/>
  </r>
  <r>
    <s v="andres.cardona1@unisabana.edu.co"/>
    <s v="andres.cardona1@unisabana.edu.co03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andres.cardona1@unisabana.edu.co03"/>
  </r>
  <r>
    <s v="andres.cardona1@unisabana.edu.co"/>
    <s v="andres.cardona1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andres.cardona1@unisabana.edu.co1"/>
  </r>
  <r>
    <s v="andres.carreno@unisabana.edu.co"/>
    <s v="andres.carreno@Unisabana.edu.co01"/>
    <s v="MAESTRï¿½A EN PEDAGOGï¿½A"/>
    <x v="30"/>
    <n v="65"/>
    <x v="0"/>
    <x v="0"/>
    <s v="Completa"/>
    <s v="Posgrado"/>
    <s v="FACULTAD DE EDUCACIÓN"/>
    <s v="https://ProfCatedra2024.sawtoothsoftware.com/cgi-bin/ciwweb.pl?studyname=ProfCatedra2024&amp;Correo=andres.carreno@Unisabana.edu.co01"/>
  </r>
  <r>
    <s v="andres.montanez1@unisabana.edu.co"/>
    <s v="andres.montanez1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andres.montanez1@unisabana.edu.co1"/>
  </r>
  <r>
    <s v="andres.ordonez1@unisabana.edu.co"/>
    <s v="andres.ordonez1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andres.ordonez1@unisabana.edu.co1"/>
  </r>
  <r>
    <s v="andres.ortiz9@unisabana.edu.co"/>
    <s v="andres.ortiz9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andres.ortiz9@unisabana.edu.co1"/>
  </r>
  <r>
    <s v="andres.robayo1@unisabana.edu.co"/>
    <s v="andres.robayo1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andres.robayo1@unisabana.edu.co1"/>
  </r>
  <r>
    <s v="andres.rodriguez14@unisabana.edu.co"/>
    <s v="andres.rodriguez14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andres.rodriguez14@unisabana.edu.co1"/>
  </r>
  <r>
    <s v="andres.rojas4@unisabana.edu.co"/>
    <s v="andres.rojas4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andres.rojas4@unisabana.edu.co1"/>
  </r>
  <r>
    <s v="andres.torres4@unisabana.edu.co"/>
    <s v="andres.torres4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andres.torres4@unisabana.edu.co1"/>
  </r>
  <r>
    <s v="andrescarrillo@usantotomas.edu.co"/>
    <s v="ANDRESCARRILLO@USANTOTOMAS.edu.co0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ANDRESCARRILLO@USANTOTOMAS.edu.co01"/>
  </r>
  <r>
    <s v="andresrodriguez@hotmail.fr1"/>
    <s v="ANDRESRODRIGUEZ@HOTMAIL.FR1"/>
    <s v="ESPECIALIZACION EN CONTRATACION ESTATAL NEIVA"/>
    <x v="33"/>
    <n v="122"/>
    <x v="0"/>
    <x v="0"/>
    <s v="Completa"/>
    <s v="Posgrado"/>
    <s v="FACULTAD DE DERECHO Y CIENCIAS POLÍTICAS"/>
    <s v="https://ProfCatedra2024.sawtoothsoftware.com/cgi-bin/ciwweb.pl?studyname=ProfCatedra2024&amp;Correo=ANDRESRODRIGUEZ@HOTMAIL.FR1"/>
  </r>
  <r>
    <s v="angel.gutierrez@unisabana.edu.co"/>
    <s v="angel.gutierrez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angel.gutierrez@unisabana.edu.co01"/>
  </r>
  <r>
    <s v="angela.dominguez2@unisabana.edu.co"/>
    <s v="angela.dominguez2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angela.dominguez2@unisabana.edu.co1"/>
  </r>
  <r>
    <s v="angela.hernandez4@unisabana.edu.co"/>
    <s v="angela.hernandez4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angela.hernandez4@unisabana.edu.co1"/>
  </r>
  <r>
    <s v="angela.rodriguez3@unisabana.edu.co"/>
    <s v="angela.rodriguez3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angela.rodriguez3@unisabana.edu.co1"/>
  </r>
  <r>
    <s v="angela.vargas5@unisabana.edu.co"/>
    <s v="angela.vargas5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angela.vargas5@unisabana.edu.co1"/>
  </r>
  <r>
    <s v="angelgup@unisabana.edu.co"/>
    <s v="angelgup@unisabana.edu.co01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angelgup@unisabana.edu.co01"/>
  </r>
  <r>
    <s v="angelica.bejarano@unisabana.edu.co"/>
    <s v="angelica.bejarano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angelica.bejarano@unisabana.edu.co1"/>
  </r>
  <r>
    <s v="angelica.nieves1@unisabana.edu.co"/>
    <s v="angelica.nieves1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angelica.nieves1@unisabana.edu.co1"/>
  </r>
  <r>
    <s v="annabel.astuy_cont@unisabana.edu.co"/>
    <s v="annabel.astuy_cont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annabel.astuy_cont@unisabana.edu.co07"/>
  </r>
  <r>
    <s v="antonia.gacharna@unisabana.edu.co"/>
    <s v="antonia.gacharn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antonia.gacharna@unisabana.edu.co1"/>
  </r>
  <r>
    <s v="arley.calderon@unisabana.edu.co"/>
    <s v="Arley.Calderon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Arley.Calderon@unisabana.edu.co1"/>
  </r>
  <r>
    <s v="asmith.parra@gmail.com"/>
    <s v="asmith.parra@gmail.com1"/>
    <s v="Maestrï¿½a en Gerencia Internacional"/>
    <x v="37"/>
    <n v="48"/>
    <x v="0"/>
    <x v="0"/>
    <s v="Completa"/>
    <s v="Posgrado"/>
    <s v="ESCUELA INTERNACIONAL DE CIENCIAS ECONÓMICAS Y ADMINISTRATIVAS"/>
    <s v="https://ProfCatedra2024.sawtoothsoftware.com/cgi-bin/ciwweb.pl?studyname=ProfCatedra2024&amp;Correo=asmith.parra@gmail.com1"/>
  </r>
  <r>
    <s v="augusto.delgadillo@unisabana.edu.co"/>
    <s v="augusto.delgadillo@unisabana.edu.co01"/>
    <s v="Especializaciï¿½n en Gerencia de Riesgos - Chï¿½a"/>
    <x v="38"/>
    <n v="120"/>
    <x v="0"/>
    <x v="0"/>
    <s v="Completa"/>
    <s v="Posgrado"/>
    <s v="INSTITUTO FORUM"/>
    <s v="https://ProfCatedra2024.sawtoothsoftware.com/cgi-bin/ciwweb.pl?studyname=ProfCatedra2024&amp;Correo=augusto.delgadillo@unisabana.edu.co01"/>
  </r>
  <r>
    <s v="beatriz.herrera@unisabana.edu.co"/>
    <s v="beatriz.herrera@unisabana.edu.co01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beatriz.herrera@unisabana.edu.co01"/>
  </r>
  <r>
    <s v="beatriz.herrera@unisabana.edu.co"/>
    <s v="beatriz.herrera@unisabana.edu.co02"/>
    <s v="Especializaciï¿½n en Gestiï¿½n para el Desarrollo Humano en la Organizaciï¿½n - Chï¿½a"/>
    <x v="39"/>
    <n v="141"/>
    <x v="0"/>
    <x v="0"/>
    <s v="Completa"/>
    <s v="Posgrado"/>
    <s v="INSTITUTO FORUM"/>
    <s v="https://ProfCatedra2024.sawtoothsoftware.com/cgi-bin/ciwweb.pl?studyname=ProfCatedra2024&amp;Correo=beatriz.herrera@unisabana.edu.co02"/>
  </r>
  <r>
    <s v="belvy.sanchez@unisabana.edu.co"/>
    <s v="belvy.sanchez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belvy.sanchez@unisabana.edu.co1"/>
  </r>
  <r>
    <s v="benjamin.venegas@unisabana.edu.co"/>
    <s v="benjamin.venegas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benjamin.venegas@unisabana.edu.co1"/>
  </r>
  <r>
    <s v="bernardo.luque@unisabana.edu.co"/>
    <s v="bernardo.luque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bernardo.luque@unisabana.edu.co1"/>
  </r>
  <r>
    <s v="bibiana.ramirez@unisabana.edu.co"/>
    <s v="bibiana.ramirez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bibiana.ramirez@unisabana.edu.co1"/>
  </r>
  <r>
    <s v="bohorquezsandoval@gmail.com"/>
    <s v="BOHORQUEZSANDOVAL@GMAIL.COM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BOHORQUEZSANDOVAL@GMAIL.COM1"/>
  </r>
  <r>
    <s v="brianda.sarmiento@unisabana.edu.co"/>
    <s v="brianda.sarmiento@unisabana.edu.co01"/>
    <s v="MAESTRï¿½A EN DESARROLLO INFANTIL - CHIA"/>
    <x v="41"/>
    <n v="60"/>
    <x v="0"/>
    <x v="0"/>
    <s v="Completa"/>
    <s v="Posgrado"/>
    <s v="FACULTAD DE EDUCACIÓN"/>
    <s v="https://ProfCatedra2024.sawtoothsoftware.com/cgi-bin/ciwweb.pl?studyname=ProfCatedra2024&amp;Correo=brianda.sarmiento@unisabana.edu.co01"/>
  </r>
  <r>
    <s v="brianda.sarmiento@unisabana.edu.co"/>
    <s v="brianda.sarmiento@unisabana.edu.co02"/>
    <s v="MAESTRï¿½A EN DESARROLLO INFANTIL - GUAJIRA"/>
    <x v="42"/>
    <n v="88"/>
    <x v="0"/>
    <x v="0"/>
    <s v="Completa"/>
    <s v="Posgrado"/>
    <s v="FACULTAD DE EDUCACIÓN"/>
    <s v="https://ProfCatedra2024.sawtoothsoftware.com/cgi-bin/ciwweb.pl?studyname=ProfCatedra2024&amp;Correo=brianda.sarmiento@unisabana.edu.co02"/>
  </r>
  <r>
    <s v="brianda.sarmiento@unisabana.edu.co"/>
    <s v="brianda.sarmiento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brianda.sarmiento@unisabana.edu.co1"/>
  </r>
  <r>
    <s v="camila.moreno1@unisabana.edu.co"/>
    <s v="camila.moreno1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camila.moreno1@unisabana.edu.co1"/>
  </r>
  <r>
    <s v="camilo.gomez5@unisabana.edu.co"/>
    <s v="camilo.gomez5@unisabana.edu.co1"/>
    <s v="CIENCIA DE DATOS"/>
    <x v="44"/>
    <n v="200"/>
    <x v="0"/>
    <x v="0"/>
    <s v="Completa"/>
    <s v="Pregrado"/>
    <s v="FACULTAD DE INGENIERÍA"/>
    <s v="https://ProfCatedra2024.sawtoothsoftware.com/cgi-bin/ciwweb.pl?studyname=ProfCatedra2024&amp;Correo=camilo.gomez5@unisabana.edu.co1"/>
  </r>
  <r>
    <s v="camilo.navarrete@unisabana.edu.co"/>
    <s v="camilo.navarrete@unisabana.edu.co01"/>
    <s v="Maestrï¿½a en Teologï¿½a - Chï¿½a"/>
    <x v="45"/>
    <n v="69"/>
    <x v="0"/>
    <x v="0"/>
    <s v="Completa"/>
    <s v="Posgrado"/>
    <s v="FACULTAD DE FILOSOFÍA Y CIENCIAS HUMANAS"/>
    <s v="https://ProfCatedra2024.sawtoothsoftware.com/cgi-bin/ciwweb.pl?studyname=ProfCatedra2024&amp;Correo=camilo.navarrete@unisabana.edu.co01"/>
  </r>
  <r>
    <s v="camilo.rincon2@unisabana.edu.co"/>
    <s v="camilo.rincon2@unisabana.edu.co01"/>
    <s v="MAESTRIA EN PSICOLOGIA DE LA SALUD Y DISCAPACIDAD"/>
    <x v="46"/>
    <n v="82"/>
    <x v="0"/>
    <x v="0"/>
    <s v="Completa"/>
    <s v="Posgrado"/>
    <s v="FACULTAD DE PSICOLOGÍA"/>
    <s v="https://ProfCatedra2024.sawtoothsoftware.com/cgi-bin/ciwweb.pl?studyname=ProfCatedra2024&amp;Correo=camilo.rincon2@unisabana.edu.co01"/>
  </r>
  <r>
    <s v="camilo.salazar1@unisabana.edu.co"/>
    <s v="camilo.salazar1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camilo.salazar1@unisabana.edu.co1"/>
  </r>
  <r>
    <s v="camilo.torres@unisabana.edu.co"/>
    <s v="camilo.torres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camilo.torres@unisabana.edu.co01"/>
  </r>
  <r>
    <s v="carlo.sarmiento@unisabana.edu.co"/>
    <s v="carlo.sarmiento@unisabana.edu.co01"/>
    <s v="Maestrï¿½a en Periodismo y Comunicaciï¿½n Digital"/>
    <x v="47"/>
    <n v="52"/>
    <x v="0"/>
    <x v="0"/>
    <s v="Completa"/>
    <s v="Posgrado"/>
    <s v="FACULTAD DE COMUNICACIÓN"/>
    <s v="https://ProfCatedra2024.sawtoothsoftware.com/cgi-bin/ciwweb.pl?studyname=ProfCatedra2024&amp;Correo=carlo.sarmiento@unisabana.edu.co01"/>
  </r>
  <r>
    <s v="carlo.sarmiento@unisabana.edu.co"/>
    <s v="carlo.sarmient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carlo.sarmiento@unisabana.edu.co1"/>
  </r>
  <r>
    <s v="carlo.sarmiento@unisabana.edu.co"/>
    <s v="carlo.sarmiento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carlo.sarmiento@unisabana.edu.co2"/>
  </r>
  <r>
    <s v="carlo.sarmiento@unisabana.edu.co"/>
    <s v="carlo.sarmiento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carlo.sarmiento@unisabana.edu.co3"/>
  </r>
  <r>
    <s v="carlos.aguirre2@unisabana.edu.co"/>
    <s v="carlos.aguirre2@unisabana.edu.co01"/>
    <s v="Especializaciï¿½n en Neumologï¿½a"/>
    <x v="48"/>
    <n v="11"/>
    <x v="0"/>
    <x v="0"/>
    <s v="Completa"/>
    <s v="Posgrado"/>
    <s v="FACULTAD DE MEDICINA"/>
    <s v="https://ProfCatedra2024.sawtoothsoftware.com/cgi-bin/ciwweb.pl?studyname=ProfCatedra2024&amp;Correo=carlos.aguirre2@unisabana.edu.co01"/>
  </r>
  <r>
    <s v="carlos.alvarado2@unisabana.edu.co"/>
    <s v="carlos.alvarado2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carlos.alvarado2@unisabana.edu.co1"/>
  </r>
  <r>
    <s v="carlos.bustamante@unisabana.edu.co"/>
    <s v="carlos.bustamante@unisabana.edu.co01"/>
    <s v="Especializaciï¿½n en Farmacologï¿½a Clï¿½nica"/>
    <x v="50"/>
    <n v="5"/>
    <x v="0"/>
    <x v="0"/>
    <s v="Completa"/>
    <s v="Posgrado"/>
    <s v="FACULTAD DE MEDICINA"/>
    <s v="https://ProfCatedra2024.sawtoothsoftware.com/cgi-bin/ciwweb.pl?studyname=ProfCatedra2024&amp;Correo=carlos.bustamante@unisabana.edu.co01"/>
  </r>
  <r>
    <s v="carlos.entrena@unisabana.edu.co"/>
    <s v="carlos.entrena@unisabana.edu.co1"/>
    <s v="FISIOTERAPIA"/>
    <x v="51"/>
    <n v="34"/>
    <x v="0"/>
    <x v="0"/>
    <s v="Completa"/>
    <s v="Pregrado"/>
    <s v="FACULTAD DE ENFERMERÍA Y REHABILITACIÓN"/>
    <s v="https://ProfCatedra2024.sawtoothsoftware.com/cgi-bin/ciwweb.pl?studyname=ProfCatedra2024&amp;Correo=carlos.entrena@unisabana.edu.co1"/>
  </r>
  <r>
    <s v="carlos.giron@unisabana.edu.co"/>
    <s v="carlos.giron@unisabana.edu.co01"/>
    <s v="Especializaciï¿½n en Gerencia Estratï¿½gica - Medellï¿½n"/>
    <x v="52"/>
    <n v="131"/>
    <x v="0"/>
    <x v="0"/>
    <s v="Completa"/>
    <s v="Posgrado"/>
    <s v="INSTITUTO FORUM"/>
    <s v="https://ProfCatedra2024.sawtoothsoftware.com/cgi-bin/ciwweb.pl?studyname=ProfCatedra2024&amp;Correo=carlos.giron@unisabana.edu.co01"/>
  </r>
  <r>
    <s v="carlos.gomez17@unisabana.edu.co"/>
    <s v="carlos.gomez17@unisabana.edu.co01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carlos.gomez17@unisabana.edu.co01"/>
  </r>
  <r>
    <s v="carlos.manrique3@unisabana.edu.co"/>
    <s v="carlos.manrique3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carlos.manrique3@unisabana.edu.co1"/>
  </r>
  <r>
    <s v="carlos.moreno9@unisabana.edu.co"/>
    <s v="carlos.moreno9@unisabana.edu.co07"/>
    <s v="ESPECIALIZACIÃ“N EN EMPRENDIMIENTO Y NEGOCIOS DIGITALES- CHÃA"/>
    <x v="0"/>
    <n v="202"/>
    <x v="0"/>
    <x v="0"/>
    <s v="Completa"/>
    <s v="Posgrado"/>
    <s v="INSTITUTO FORUM"/>
    <s v="https://ProfCatedra2024.sawtoothsoftware.com/cgi-bin/ciwweb.pl?studyname=ProfCatedra2024&amp;Correo=carlos.moreno9@unisabana.edu.co07"/>
  </r>
  <r>
    <s v="carlos.paz@unisabana.edu.co"/>
    <s v="carlos.paz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carlos.paz@unisabana.edu.co1"/>
  </r>
  <r>
    <s v="carlos.rojas@unisabana.edu.co"/>
    <s v="carlos.rojas@unisabana.edu.co01"/>
    <s v="Especializaciï¿½n en Gerencia Estratï¿½gica - Chia"/>
    <x v="54"/>
    <n v="114"/>
    <x v="0"/>
    <x v="0"/>
    <s v="Completa"/>
    <s v="Posgrado"/>
    <s v="INSTITUTO FORUM"/>
    <s v="https://ProfCatedra2024.sawtoothsoftware.com/cgi-bin/ciwweb.pl?studyname=ProfCatedra2024&amp;Correo=carlos.rojas@unisabana.edu.co01"/>
  </r>
  <r>
    <s v="carlos.rojas@unisabana.edu.co"/>
    <s v="carlos.rojas@unisabana.edu.co02"/>
    <s v="Especializaciï¿½n En Gerencia Estratï¿½gica - Bucaramanga"/>
    <x v="55"/>
    <n v="134"/>
    <x v="0"/>
    <x v="0"/>
    <s v="Completa"/>
    <s v="Posgrado"/>
    <s v="INSTITUTO FORUM"/>
    <s v="https://ProfCatedra2024.sawtoothsoftware.com/cgi-bin/ciwweb.pl?studyname=ProfCatedra2024&amp;Correo=carlos.rojas@unisabana.edu.co02"/>
  </r>
  <r>
    <s v="carlos.sanchez9@unisabana.edu.co"/>
    <s v="carlos.sanchez9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carlos.sanchez9@unisabana.edu.co1"/>
  </r>
  <r>
    <s v="carlos.torres3@unisabana.edu.co"/>
    <s v="carlos.torres3@unisabana.edu.co01"/>
    <s v="Especializaciï¿½n en Neumologï¿½a"/>
    <x v="48"/>
    <n v="11"/>
    <x v="0"/>
    <x v="0"/>
    <s v="Completa"/>
    <s v="Posgrado"/>
    <s v="FACULTAD DE MEDICINA"/>
    <s v="https://ProfCatedra2024.sawtoothsoftware.com/cgi-bin/ciwweb.pl?studyname=ProfCatedra2024&amp;Correo=carlos.torres3@unisabana.edu.co01"/>
  </r>
  <r>
    <s v="carlosarturoramirez@hotmail.com"/>
    <s v="CARLOSARTURORAMIREZ@HOTMAIL.COM1"/>
    <s v="MAESTRIA EN DERECHO CONSTITUCIONAL"/>
    <x v="56"/>
    <n v="54"/>
    <x v="0"/>
    <x v="0"/>
    <s v="Completa"/>
    <s v="Posgrado"/>
    <s v="FACULTAD DE DERECHO Y CIENCIAS POLÍTICAS"/>
    <s v="https://ProfCatedra2024.sawtoothsoftware.com/cgi-bin/ciwweb.pl?studyname=ProfCatedra2024&amp;Correo=CARLOSARTURORAMIREZ@HOTMAIL.COM1"/>
  </r>
  <r>
    <s v="carlosdm@unisabana.edu.co"/>
    <s v="CarlosDM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CarlosDM@unisabana.edu.co1"/>
  </r>
  <r>
    <s v="carmen.carrero@unisabana.edu.co"/>
    <s v="carmen.carrero@unisabana.edu.co1"/>
    <s v="ENFERMERï¿½A"/>
    <x v="57"/>
    <n v="33"/>
    <x v="0"/>
    <x v="0"/>
    <s v="Completa"/>
    <s v="Pregrado"/>
    <s v="FACULTAD DE ENFERMERÍA Y REHABILITACIÓN"/>
    <s v="https://ProfCatedra2024.sawtoothsoftware.com/cgi-bin/ciwweb.pl?studyname=ProfCatedra2024&amp;Correo=carmen.carrero@unisabana.edu.co1"/>
  </r>
  <r>
    <s v="carolina.correa4@unisabana.edu.co"/>
    <s v="carolina.correa4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carolina.correa4@unisabana.edu.co1"/>
  </r>
  <r>
    <s v="carolina.lozano2@unisabana.edu.co"/>
    <s v="carolina.lozano2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carolina.lozano2@unisabana.edu.co1"/>
  </r>
  <r>
    <s v="carolina.munoz2@unisabana.edu.co"/>
    <s v="carolina.munoz2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carolina.munoz2@unisabana.edu.co1"/>
  </r>
  <r>
    <s v="carolinavama@unisabana.edu.co"/>
    <s v="Carolinavama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Carolinavama@unisabana.edu.co1"/>
  </r>
  <r>
    <s v="catalina.yucuma@gmail.com"/>
    <s v="CATALINA.YUCUMA@GMAIL.COM1"/>
    <s v="MAESTRIA EN CONTRATACION ESTATAL"/>
    <x v="59"/>
    <n v="57"/>
    <x v="0"/>
    <x v="0"/>
    <s v="Completa"/>
    <s v="Posgrado"/>
    <s v="FACULTAD DE DERECHO Y CIENCIAS POLÍTICAS"/>
    <s v="https://ProfCatedra2024.sawtoothsoftware.com/cgi-bin/ciwweb.pl?studyname=ProfCatedra2024&amp;Correo=CATALINA.YUCUMA@GMAIL.COM1"/>
  </r>
  <r>
    <s v="cejaramillo@arrubladevis.com"/>
    <s v="CEJARAMILLO@ARRUBLADEVIS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CEJARAMILLO@ARRUBLADEVIS.COM1"/>
  </r>
  <r>
    <s v="cerezo_manuel26@hotmail.com"/>
    <s v="cerezo_manuel26@hotmail.com1"/>
    <s v="FILOSOFï¿½A"/>
    <x v="60"/>
    <n v="35"/>
    <x v="0"/>
    <x v="0"/>
    <s v="Completa"/>
    <s v="Pregrado"/>
    <s v="FACULTAD DE FILOSOFÍA Y CIENCIAS HUMANAS"/>
    <s v="https://ProfCatedra2024.sawtoothsoftware.com/cgi-bin/ciwweb.pl?studyname=ProfCatedra2024&amp;Correo=cerezo_manuel26@hotmail.com1"/>
  </r>
  <r>
    <s v="cesar.orjuela1@unisabana.edu.co"/>
    <s v="cesar.orjuela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cesar.orjuela1@unisabana.edu.co1"/>
  </r>
  <r>
    <s v="cesar.romero@unisabana.edu.co"/>
    <s v="cesar.romer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cesar.romero@unisabana.edu.co1"/>
  </r>
  <r>
    <s v="cesar.vega1@unisabana.edu.co"/>
    <s v="cesar.vega1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cesar.vega1@unisabana.edu.co1"/>
  </r>
  <r>
    <s v="cindi.penagos@unisabana.edu.co"/>
    <s v="cindi.penagos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cindi.penagos@unisabana.edu.co1"/>
  </r>
  <r>
    <s v="cindy.espitia1@unisabana.edu.co"/>
    <s v="cindy.espitia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cindy.espitia1@unisabana.edu.co1"/>
  </r>
  <r>
    <s v="cindy.espitia1@unisabana.edu.co"/>
    <s v="cindy.espitia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cindy.espitia1@unisabana.edu.co2"/>
  </r>
  <r>
    <s v="cindy.espitia1@unisabana.edu.co"/>
    <s v="cindy.espitia1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cindy.espitia1@unisabana.edu.co3"/>
  </r>
  <r>
    <s v="cindyesmu@gmail.com"/>
    <s v="CINDYESMU@GMAIL.COM1"/>
    <s v="MAESTRIA EN DERECHO INTERNACIONAL"/>
    <x v="61"/>
    <n v="56"/>
    <x v="0"/>
    <x v="0"/>
    <s v="Completa"/>
    <s v="Posgrado"/>
    <s v="FACULTAD DE DERECHO Y CIENCIAS POLÍTICAS"/>
    <s v="https://ProfCatedra2024.sawtoothsoftware.com/cgi-bin/ciwweb.pl?studyname=ProfCatedra2024&amp;Correo=CINDYESMU@GMAIL.COM1"/>
  </r>
  <r>
    <s v="clara.tarazona@unisabana.edu.co"/>
    <s v="clara.tarazon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clara.tarazona@unisabana.edu.co1"/>
  </r>
  <r>
    <s v="claudia.becerra1@unisabana.edu.co"/>
    <s v="claudia.becerra1@unisabana.edu.co01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claudia.becerra1@unisabana.edu.co01"/>
  </r>
  <r>
    <s v="claudia.lugo1@unisabana.edu.co"/>
    <s v="claudia.lugo1@unisabana.edu.co01"/>
    <s v="Maestrï¿½a en Lingï¿½ï¿½stica Panhispï¿½nica - Chï¿½a"/>
    <x v="63"/>
    <n v="68"/>
    <x v="0"/>
    <x v="0"/>
    <s v="Completa"/>
    <s v="Posgrado"/>
    <s v="FACULTAD DE FILOSOFÍA Y CIENCIAS HUMANAS"/>
    <s v="https://ProfCatedra2024.sawtoothsoftware.com/cgi-bin/ciwweb.pl?studyname=ProfCatedra2024&amp;Correo=claudia.lugo1@unisabana.edu.co01"/>
  </r>
  <r>
    <s v="claudia.pinzon@unisabana.edu.co"/>
    <s v="claudia.pinzon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claudia.pinzon@unisabana.edu.co1"/>
  </r>
  <r>
    <s v="claudia.romero1@unisabana.edu.co"/>
    <s v="claudia.romero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claudia.romero1@unisabana.edu.co1"/>
  </r>
  <r>
    <s v="claudia.romero1@unisabana.edu.co"/>
    <s v="claudia.romero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claudia.romero1@unisabana.edu.co2"/>
  </r>
  <r>
    <s v="claudia.romero1@unisabana.edu.co"/>
    <s v="claudia.romero1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claudia.romero1@unisabana.edu.co3"/>
  </r>
  <r>
    <s v="claudia.trujillo@unisabana.edu.co"/>
    <s v="claudia.trujillo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claudia.trujillo@unisabana.edu.co1"/>
  </r>
  <r>
    <s v="claudiapatriciabarrantes@gmail.com"/>
    <s v="CLAUDIAPATRICIABARRANTES@GMAIL.COM1"/>
    <s v="Especializaciï¿½n en Contrataciï¿½n Estatal - Chï¿½a"/>
    <x v="64"/>
    <n v="97"/>
    <x v="0"/>
    <x v="0"/>
    <s v="Completa"/>
    <s v="Posgrado"/>
    <s v="FACULTAD DE DERECHO Y CIENCIAS POLÍTICAS"/>
    <s v="https://ProfCatedra2024.sawtoothsoftware.com/cgi-bin/ciwweb.pl?studyname=ProfCatedra2024&amp;Correo=CLAUDIAPATRICIABARRANTES@GMAIL.COM1"/>
  </r>
  <r>
    <s v="cleliap1@gmail.com"/>
    <s v="cleliap1@gmail.com1"/>
    <s v="Maestrï¿½a en Gerencia Internacional"/>
    <x v="37"/>
    <n v="48"/>
    <x v="0"/>
    <x v="0"/>
    <s v="Completa"/>
    <s v="Posgrado"/>
    <s v="ESCUELA INTERNACIONAL DE CIENCIAS ECONÓMICAS Y ADMINISTRATIVAS"/>
    <s v="https://ProfCatedra2024.sawtoothsoftware.com/cgi-bin/ciwweb.pl?studyname=ProfCatedra2024&amp;Correo=cleliap1@gmail.com1"/>
  </r>
  <r>
    <s v="cristhian.canon1@unisabana.edu.co"/>
    <s v="cristhian.canon1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cristhian.canon1@unisabana.edu.co1"/>
  </r>
  <r>
    <s v="cristian.funeme@unisabana.edu.co"/>
    <s v="cristian.funeme@unisabana.edu.co1"/>
    <s v="CIENCIA DE DATOS"/>
    <x v="44"/>
    <n v="200"/>
    <x v="0"/>
    <x v="0"/>
    <s v="Completa"/>
    <s v="Pregrado"/>
    <s v="FACULTAD DE INGENIERÍA"/>
    <s v="https://ProfCatedra2024.sawtoothsoftware.com/cgi-bin/ciwweb.pl?studyname=ProfCatedra2024&amp;Correo=cristian.funeme@unisabana.edu.co1"/>
  </r>
  <r>
    <s v="cristian.rodriguez4@unisabana.edu.co"/>
    <s v="cristian.rodriguez4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cristian.rodriguez4@unisabana.edu.co01"/>
  </r>
  <r>
    <s v="cristian.serrano@unisabana.edu.co"/>
    <s v="cristian.serran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cristian.serrano@unisabana.edu.co1"/>
  </r>
  <r>
    <s v="cristinacharry@yahoo.es1"/>
    <s v="CRISTINACHARRY@YAHOO.ES1"/>
    <s v="Especializaciï¿½n en Contrataciï¿½n Estatal - Chï¿½a"/>
    <x v="64"/>
    <n v="97"/>
    <x v="0"/>
    <x v="0"/>
    <s v="Completa"/>
    <s v="Posgrado"/>
    <s v="FACULTAD DE DERECHO Y CIENCIAS POLÍTICAS"/>
    <s v="https://ProfCatedra2024.sawtoothsoftware.com/cgi-bin/ciwweb.pl?studyname=ProfCatedra2024&amp;Correo=CRISTINACHARRY@YAHOO.ES1"/>
  </r>
  <r>
    <s v="daniel.ayala1@unisabana.edu.co"/>
    <s v="daniel.ayala1@unisabana.edu.co01"/>
    <s v="ESPECIALIZACION EN CONTRATACION ESTATAL IBAGUE"/>
    <x v="66"/>
    <n v="121"/>
    <x v="0"/>
    <x v="0"/>
    <s v="Completa"/>
    <s v="Posgrado"/>
    <s v="FACULTAD DE DERECHO Y CIENCIAS POLÍTICAS"/>
    <s v="https://ProfCatedra2024.sawtoothsoftware.com/cgi-bin/ciwweb.pl?studyname=ProfCatedra2024&amp;Correo=daniel.ayala1@unisabana.edu.co01"/>
  </r>
  <r>
    <s v="daniel.ayala1@unisabana.edu.co"/>
    <s v="daniel.ayala1@unisabana.edu.co02"/>
    <s v="MAESTRIA EN CONTRATACION ESTATAL"/>
    <x v="59"/>
    <n v="57"/>
    <x v="0"/>
    <x v="0"/>
    <s v="Completa"/>
    <s v="Posgrado"/>
    <s v="FACULTAD DE DERECHO Y CIENCIAS POLÍTICAS"/>
    <s v="https://ProfCatedra2024.sawtoothsoftware.com/cgi-bin/ciwweb.pl?studyname=ProfCatedra2024&amp;Correo=daniel.ayala1@unisabana.edu.co02"/>
  </r>
  <r>
    <s v="daniel.ayala1@unisabana.edu.co"/>
    <s v="daniel.ayala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daniel.ayala1@unisabana.edu.co1"/>
  </r>
  <r>
    <s v="daniel.ayala1@unisabana.edu.co"/>
    <s v="daniel.ayala1@unisabana.edu.co2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daniel.ayala1@unisabana.edu.co2"/>
  </r>
  <r>
    <s v="daniel.gomez5@unisabana.edu.co"/>
    <s v="daniel.gomez5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daniel.gomez5@unisabana.edu.co01"/>
  </r>
  <r>
    <s v="daniel.parra@unisabana.edu.co"/>
    <s v="daniel.parra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daniel.parra@unisabana.edu.co1"/>
  </r>
  <r>
    <s v="daniel.ramirez1@unisabana.edu.co"/>
    <s v="daniel.ramirez1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daniel.ramirez1@unisabana.edu.co1"/>
  </r>
  <r>
    <s v="daniel.rodriguez8@unisabana.edu.co"/>
    <s v="daniel.rodriguez8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daniel.rodriguez8@unisabana.edu.co01"/>
  </r>
  <r>
    <s v="daniel.saavedra@unisabana.edu.co"/>
    <s v="daniel.saavedra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daniel.saavedra@unisabana.edu.co1"/>
  </r>
  <r>
    <s v="daniela.barbosa@unisabana.edu.co"/>
    <s v="daniela.barbosa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daniela.barbosa@unisabana.edu.co1"/>
  </r>
  <r>
    <s v="daniela.jurado@unisabana.edu.co"/>
    <s v="daniela.jurad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daniela.jurado@unisabana.edu.co1"/>
  </r>
  <r>
    <s v="danna.nunez@unisabana.edu.co"/>
    <s v="danna.nunez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danna.nunez@unisabana.edu.co1"/>
  </r>
  <r>
    <s v="dario.rojas@unisabana.edu.co"/>
    <s v="dario.rojas@unisabana.edu.co01"/>
    <s v="Especializaciï¿½n en Medicina Familiar y Comunitaria"/>
    <x v="69"/>
    <n v="8"/>
    <x v="0"/>
    <x v="0"/>
    <s v="Completa"/>
    <s v="Posgrado"/>
    <s v="FACULTAD DE MEDICINA"/>
    <s v="https://ProfCatedra2024.sawtoothsoftware.com/cgi-bin/ciwweb.pl?studyname=ProfCatedra2024&amp;Correo=dario.rojas@unisabana.edu.co01"/>
  </r>
  <r>
    <s v="dario.rojas@unisabana.edu.co"/>
    <s v="dario.rojas@unisabana.edu.co02"/>
    <s v="Maestrï¿½a en Salud Pï¿½blica"/>
    <x v="70"/>
    <n v="79"/>
    <x v="0"/>
    <x v="0"/>
    <s v="Completa"/>
    <s v="Posgrado"/>
    <s v="FACULTAD DE MEDICINA"/>
    <s v="https://ProfCatedra2024.sawtoothsoftware.com/cgi-bin/ciwweb.pl?studyname=ProfCatedra2024&amp;Correo=dario.rojas@unisabana.edu.co02"/>
  </r>
  <r>
    <s v="dario.rojas@unisabana.edu.co"/>
    <s v="dario.rojas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dario.rojas@unisabana.edu.co1"/>
  </r>
  <r>
    <s v="davendanosura@gmail.com"/>
    <s v="DAVENDANOSURA@GMAIL.COM1"/>
    <s v="Especializaciï¿½n en Responsabilidad Civil y del Estado - Chï¿½a"/>
    <x v="5"/>
    <n v="101"/>
    <x v="0"/>
    <x v="0"/>
    <s v="Completa"/>
    <s v="Posgrado"/>
    <s v="FACULTAD DE DERECHO Y CIENCIAS POLÍTICAS"/>
    <s v="https://ProfCatedra2024.sawtoothsoftware.com/cgi-bin/ciwweb.pl?studyname=ProfCatedra2024&amp;Correo=DAVENDANOSURA@GMAIL.COM1"/>
  </r>
  <r>
    <s v="david.castaneda1@unisabana.edu.co"/>
    <s v="david.castaneda1@unisabana.edu.co1"/>
    <s v="FILOSOFï¿½A"/>
    <x v="60"/>
    <n v="35"/>
    <x v="0"/>
    <x v="0"/>
    <s v="Completa"/>
    <s v="Pregrado"/>
    <s v="FACULTAD DE FILOSOFÍA Y CIENCIAS HUMANAS"/>
    <s v="https://ProfCatedra2024.sawtoothsoftware.com/cgi-bin/ciwweb.pl?studyname=ProfCatedra2024&amp;Correo=david.castaneda1@unisabana.edu.co1"/>
  </r>
  <r>
    <s v="david.ruiz@unisabana.edu.co"/>
    <s v="david.ruiz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david.ruiz@unisabana.edu.co1"/>
  </r>
  <r>
    <s v="david.stewart@unisabana.edu.co"/>
    <s v="david.stewart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david.stewart@unisabana.edu.co1"/>
  </r>
  <r>
    <s v="davidrozo@gmail.com"/>
    <s v="davidrozo@gmail.com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davidrozo@gmail.com1"/>
  </r>
  <r>
    <s v="dayana.moreno1@unisabana.edu.co"/>
    <s v="dayana.moreno1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dayana.moreno1@unisabana.edu.co1"/>
  </r>
  <r>
    <s v="dedtmat.garces@unisabana.edu.co"/>
    <s v="dedtmat.garce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dedtmat.garces@unisabana.edu.co1"/>
  </r>
  <r>
    <s v="dedtmat.garces@unisabana.edu.co"/>
    <s v="dedtmat.garces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dedtmat.garces@unisabana.edu.co2"/>
  </r>
  <r>
    <s v="dedtmat.garces@unisabana.edu.co"/>
    <s v="dedtmat.garces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dedtmat.garces@unisabana.edu.co3"/>
  </r>
  <r>
    <s v="deissy.mora@unisabana.edu.co"/>
    <s v="deissy.mora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deissy.mora@unisabana.edu.co1"/>
  </r>
  <r>
    <s v="deisy.forero@unisabana.edu.co"/>
    <s v="deisy.forero@unisabana.edu.co01"/>
    <s v="ESPECIALIZACION EN CONTRATACION ESTATAL IBAGUE"/>
    <x v="66"/>
    <n v="121"/>
    <x v="0"/>
    <x v="0"/>
    <s v="Completa"/>
    <s v="Posgrado"/>
    <s v="FACULTAD DE DERECHO Y CIENCIAS POLÍTICAS"/>
    <s v="https://ProfCatedra2024.sawtoothsoftware.com/cgi-bin/ciwweb.pl?studyname=ProfCatedra2024&amp;Correo=deisy.forero@unisabana.edu.co01"/>
  </r>
  <r>
    <s v="deisy.forero@unisabana.edu.co"/>
    <s v="deisy.forero@unisabana.edu.co02"/>
    <s v="MAESTRIA EN CONTRATACION ESTATAL"/>
    <x v="59"/>
    <n v="57"/>
    <x v="0"/>
    <x v="0"/>
    <s v="Completa"/>
    <s v="Posgrado"/>
    <s v="FACULTAD DE DERECHO Y CIENCIAS POLÍTICAS"/>
    <s v="https://ProfCatedra2024.sawtoothsoftware.com/cgi-bin/ciwweb.pl?studyname=ProfCatedra2024&amp;Correo=deisy.forero@unisabana.edu.co02"/>
  </r>
  <r>
    <s v="deisy.quiroz@unisabana.edu.co"/>
    <s v="deisy.quiroz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deisy.quiroz@unisabana.edu.co2"/>
  </r>
  <r>
    <s v="diana.alvarez1@unisabana.edu.co"/>
    <s v="diana.alvarez1@unisabana.edu.co01"/>
    <s v="ESPECIALIZACION EN PSICOLOGIA EDUCATIVA"/>
    <x v="71"/>
    <n v="108"/>
    <x v="0"/>
    <x v="0"/>
    <s v="Completa"/>
    <s v="Posgrado"/>
    <s v="FACULTAD DE PSICOLOGÍA"/>
    <s v="https://ProfCatedra2024.sawtoothsoftware.com/cgi-bin/ciwweb.pl?studyname=ProfCatedra2024&amp;Correo=diana.alvarez1@unisabana.edu.co01"/>
  </r>
  <r>
    <s v="diana.arcila@unisabana.edu.co"/>
    <s v="diana.arcila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diana.arcila@unisabana.edu.co1"/>
  </r>
  <r>
    <s v="diana.cardenas4@unisabana.edu.co"/>
    <s v="diana.cardenas4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diana.cardenas4@unisabana.edu.co1"/>
  </r>
  <r>
    <s v="diana.cruz3@unisabana.edu.co"/>
    <s v="diana.cruz3@unisabana.edu.co01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diana.cruz3@unisabana.edu.co01"/>
  </r>
  <r>
    <s v="diana.ferrucho@unisabana.edu.co"/>
    <s v="diana.ferrucho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diana.ferrucho@unisabana.edu.co1"/>
  </r>
  <r>
    <s v="diana.garzon8@unisabana.edu.co"/>
    <s v="diana.garzon8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diana.garzon8@unisabana.edu.co1"/>
  </r>
  <r>
    <s v="diana.leguizamon@unisabana.edu.co"/>
    <s v="diana.leguizamon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diana.leguizamon@unisabana.edu.co1"/>
  </r>
  <r>
    <s v="diana.patarroyo1@unisabana.edu.co"/>
    <s v="diana.patarroyo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diana.patarroyo1@unisabana.edu.co1"/>
  </r>
  <r>
    <s v="diana.silva3@unisabana.edu.co"/>
    <s v="diana.silva3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diana.silva3@unisabana.edu.co01"/>
  </r>
  <r>
    <s v="diana.velasco@unisabana.edu.co"/>
    <s v="diana.velasco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diana.velasco@unisabana.edu.co01"/>
  </r>
  <r>
    <s v="diana.velasco@unisabana.edu.co"/>
    <s v="diana.velasco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diana.velasco@unisabana.edu.co1"/>
  </r>
  <r>
    <s v="diananimo@unisabana.edu.co"/>
    <s v="diananim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diananimo@unisabana.edu.co1"/>
  </r>
  <r>
    <s v="didier.calderon@unisabana.edu.co"/>
    <s v="didier.calderon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didier.calderon@unisabana.edu.co1"/>
  </r>
  <r>
    <s v="diego.camacho1@unisabana.edu.co"/>
    <s v="diego.camacho1@unisabana.edu.co01"/>
    <s v="Especializaciï¿½n en Gerencia Financiera Internacional - Bogotï¿½"/>
    <x v="73"/>
    <n v="204"/>
    <x v="0"/>
    <x v="0"/>
    <s v="Incompleta"/>
    <s v="Posgrado"/>
    <s v="INSTITUTO FORUM"/>
    <s v="https://ProfCatedra2024.sawtoothsoftware.com/cgi-bin/ciwweb.pl?studyname=ProfCatedra2024&amp;Correo=diego.camacho1@unisabana.edu.co01"/>
  </r>
  <r>
    <s v="diego.fonseca@unisabana.edu.co"/>
    <s v="diego.fonseca@unisabana.edu.co1"/>
    <s v="CIENCIA DE DATOS"/>
    <x v="44"/>
    <n v="200"/>
    <x v="0"/>
    <x v="0"/>
    <s v="Completa"/>
    <s v="Pregrado"/>
    <s v="FACULTAD DE INGENIERÍA"/>
    <s v="https://ProfCatedra2024.sawtoothsoftware.com/cgi-bin/ciwweb.pl?studyname=ProfCatedra2024&amp;Correo=diego.fonseca@unisabana.edu.co1"/>
  </r>
  <r>
    <s v="diego.garcia9@unisabana.edu.co"/>
    <s v="diego.garcia9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diego.garcia9@unisabana.edu.co1"/>
  </r>
  <r>
    <s v="diego.ramirez5@unisabana.edu.co"/>
    <s v="diego.ramirez5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diego.ramirez5@unisabana.edu.co1"/>
  </r>
  <r>
    <s v="diego.rodriguez11@unisabana.edu.co"/>
    <s v="diego.rodriguez11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diego.rodriguez11@unisabana.edu.co01"/>
  </r>
  <r>
    <s v="diego.rodriguez11@unisabana.edu.co"/>
    <s v="diego.rodriguez11@unisabana.edu.co02"/>
    <s v="Especializaciï¿½n en Gerencia Financiera Internacional - Chia"/>
    <x v="75"/>
    <n v="110"/>
    <x v="0"/>
    <x v="0"/>
    <s v="Completa"/>
    <s v="Posgrado"/>
    <s v="INSTITUTO FORUM"/>
    <s v="https://ProfCatedra2024.sawtoothsoftware.com/cgi-bin/ciwweb.pl?studyname=ProfCatedra2024&amp;Correo=diego.rodriguez11@unisabana.edu.co02"/>
  </r>
  <r>
    <s v="doraat@unisabana.edu.co"/>
    <s v="Doraat@unisabana.edu.co01"/>
    <s v="Especializaciï¿½n en Gerencia Comercial - Bogotï¿½"/>
    <x v="76"/>
    <n v="145"/>
    <x v="0"/>
    <x v="0"/>
    <s v="Completa"/>
    <s v="Posgrado"/>
    <s v="INSTITUTO FORUM"/>
    <s v="https://ProfCatedra2024.sawtoothsoftware.com/cgi-bin/ciwweb.pl?studyname=ProfCatedra2024&amp;Correo=Doraat@unisabana.edu.co01"/>
  </r>
  <r>
    <s v="drinconv@gmail.com"/>
    <s v="DRINCONV@GMAIL.COM1"/>
    <s v="Especializaciï¿½n en Derecho y Empresa - Chï¿½a"/>
    <x v="77"/>
    <n v="100"/>
    <x v="0"/>
    <x v="0"/>
    <s v="Completa"/>
    <s v="Posgrado"/>
    <s v="FACULTAD DE DERECHO Y CIENCIAS POLÍTICAS"/>
    <s v="https://ProfCatedra2024.sawtoothsoftware.com/cgi-bin/ciwweb.pl?studyname=ProfCatedra2024&amp;Correo=DRINCONV@GMAIL.COM1"/>
  </r>
  <r>
    <s v="drinconv@gmail.com"/>
    <s v="DRINCONV@GMAIL.COM2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DRINCONV@GMAIL.COM2"/>
  </r>
  <r>
    <s v="eder.ospino1@unisabana.edu.co"/>
    <s v="eder.ospino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eder.ospino1@unisabana.edu.co1"/>
  </r>
  <r>
    <s v="edgar.leon.law@gmail.com"/>
    <s v="EDGAR.LEON.LAW@GMAIL.COM1"/>
    <s v="Especializaciï¿½n en Derecho y Empresa - Chï¿½a"/>
    <x v="77"/>
    <n v="100"/>
    <x v="0"/>
    <x v="0"/>
    <s v="Completa"/>
    <s v="Posgrado"/>
    <s v="FACULTAD DE DERECHO Y CIENCIAS POLÍTICAS"/>
    <s v="https://ProfCatedra2024.sawtoothsoftware.com/cgi-bin/ciwweb.pl?studyname=ProfCatedra2024&amp;Correo=EDGAR.LEON.LAW@GMAIL.COM1"/>
  </r>
  <r>
    <s v="edgar.munoz1@unisabana.edu.co"/>
    <s v="edgar.munoz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edgar.munoz1@unisabana.edu.co1"/>
  </r>
  <r>
    <s v="edgar.rey@unisabana.edu.co"/>
    <s v="edgar.rey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edgar.rey@unisabana.edu.co1"/>
  </r>
  <r>
    <s v="edgardo.cuello@unisabana.edu.co"/>
    <s v="edgardo.cuello@unisabana.edu.co01"/>
    <s v="Especializaciï¿½n En Gerencia Estratï¿½gica - Villavicencio"/>
    <x v="78"/>
    <n v="133"/>
    <x v="0"/>
    <x v="0"/>
    <s v="Completa"/>
    <s v="Posgrado"/>
    <s v="INSTITUTO FORUM"/>
    <s v="https://ProfCatedra2024.sawtoothsoftware.com/cgi-bin/ciwweb.pl?studyname=ProfCatedra2024&amp;Correo=edgardo.cuello@unisabana.edu.co01"/>
  </r>
  <r>
    <s v="eduardo.acuna1@unisabana.edu.co"/>
    <s v="eduardo.acuna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eduardo.acuna1@unisabana.edu.co1"/>
  </r>
  <r>
    <s v="eduardo.ribeiro@unisabana.edu.co"/>
    <s v="eduardo.ribeiro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eduardo.ribeiro@unisabana.edu.co1"/>
  </r>
  <r>
    <s v="efrain.fierro@unisabana.edu.co"/>
    <s v="efrain.fierr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efrain.fierro@unisabana.edu.co1"/>
  </r>
  <r>
    <s v="ejustariz@ustarizabogados.com"/>
    <s v="EJUSTARIZ@USTARIZABOGADOS.COM1"/>
    <s v="Especializaciï¿½n en Derecho y Empresa - Chï¿½a"/>
    <x v="77"/>
    <n v="100"/>
    <x v="0"/>
    <x v="0"/>
    <s v="Completa"/>
    <s v="Posgrado"/>
    <s v="FACULTAD DE DERECHO Y CIENCIAS POLÍTICAS"/>
    <s v="https://ProfCatedra2024.sawtoothsoftware.com/cgi-bin/ciwweb.pl?studyname=ProfCatedra2024&amp;Correo=EJUSTARIZ@USTARIZABOGADOS.COM1"/>
  </r>
  <r>
    <s v="ejustariz@ustarizabogados.com"/>
    <s v="EJUSTARIZ@USTARIZABOGADOS.COM2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EJUSTARIZ@USTARIZABOGADOS.COM2"/>
  </r>
  <r>
    <s v="eliana.lozano@unisabana.edu.co"/>
    <s v="eliana.lozano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eliana.lozano@unisabana.edu.co1"/>
  </r>
  <r>
    <s v="eliana.mahecha@unisabana.edu.co"/>
    <s v="eliana.mahecha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eliana.mahecha@unisabana.edu.co1"/>
  </r>
  <r>
    <s v="elias.amaya1@unisabana.edu.co"/>
    <s v="elias.amaya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elias.amaya1@unisabana.edu.co1"/>
  </r>
  <r>
    <s v="fabian.dulce@unisabana.edu.co"/>
    <s v="fabian.dulce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fabian.dulce@unisabana.edu.co1"/>
  </r>
  <r>
    <s v="fabio.gil1@unisabana.edu.co"/>
    <s v="fabio.gil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fabio.gil1@unisabana.edu.co1"/>
  </r>
  <r>
    <s v="faviorm@unisabana.edu.co"/>
    <s v="Faviorm@unisabana.edu.co01"/>
    <s v="Especializaciï¿½n en Pediatrï¿½a"/>
    <x v="79"/>
    <n v="14"/>
    <x v="0"/>
    <x v="0"/>
    <s v="Completa"/>
    <s v="Posgrado"/>
    <s v="FACULTAD DE MEDICINA"/>
    <s v="https://ProfCatedra2024.sawtoothsoftware.com/cgi-bin/ciwweb.pl?studyname=ProfCatedra2024&amp;Correo=Faviorm@unisabana.edu.co01"/>
  </r>
  <r>
    <s v="fbernate@franciscobernate.com"/>
    <s v="FBERNATE@FRANCISCOBERNATE.COM1"/>
    <s v="MAESTRIA EN CONTRATACION ESTATAL"/>
    <x v="59"/>
    <n v="57"/>
    <x v="0"/>
    <x v="0"/>
    <s v="Completa"/>
    <s v="Posgrado"/>
    <s v="FACULTAD DE DERECHO Y CIENCIAS POLÍTICAS"/>
    <s v="https://ProfCatedra2024.sawtoothsoftware.com/cgi-bin/ciwweb.pl?studyname=ProfCatedra2024&amp;Correo=FBERNATE@FRANCISCOBERNATE.COM1"/>
  </r>
  <r>
    <s v="fbravo@bravoabogados.co"/>
    <s v="FBRAVO@BRAVOABOGADOS.CO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FBRAVO@BRAVOABOGADOS.CO1"/>
  </r>
  <r>
    <s v="felipe.arroyave@unisabana.edu.co"/>
    <s v="Felipe.Arroyave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Felipe.Arroyave@unisabana.edu.co1"/>
  </r>
  <r>
    <s v="felipe.casas1@unisabana.edu.co"/>
    <s v="felipe.casas1@unisabana.edu.co01"/>
    <s v="Especializaciï¿½n en Cirugï¿½a General"/>
    <x v="80"/>
    <n v="2"/>
    <x v="0"/>
    <x v="0"/>
    <s v="Completa"/>
    <s v="Posgrado"/>
    <s v="FACULTAD DE MEDICINA"/>
    <s v="https://ProfCatedra2024.sawtoothsoftware.com/cgi-bin/ciwweb.pl?studyname=ProfCatedra2024&amp;Correo=felipe.casas1@unisabana.edu.co01"/>
  </r>
  <r>
    <s v="felipe.huertas@unisabana.edu.co"/>
    <s v="felipe.huertas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felipe.huertas@unisabana.edu.co1"/>
  </r>
  <r>
    <s v="felipe.turbay@unisabana.edu.co"/>
    <s v="felipe.turbay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felipe.turbay@unisabana.edu.co1"/>
  </r>
  <r>
    <s v="fernando.camacho@unisabana.edu.co"/>
    <s v="fernando.camacho@unisabana.edu.co01"/>
    <s v="Maestrï¿½a en Teologï¿½a - Chï¿½a"/>
    <x v="45"/>
    <n v="69"/>
    <x v="0"/>
    <x v="0"/>
    <s v="Completa"/>
    <s v="Posgrado"/>
    <s v="FACULTAD DE FILOSOFÍA Y CIENCIAS HUMANAS"/>
    <s v="https://ProfCatedra2024.sawtoothsoftware.com/cgi-bin/ciwweb.pl?studyname=ProfCatedra2024&amp;Correo=fernando.camacho@unisabana.edu.co01"/>
  </r>
  <r>
    <s v="fernandoc@unisabana.edu.co"/>
    <s v="FernandoC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FernandoC@unisabana.edu.co01"/>
  </r>
  <r>
    <s v="fernandoc@unisabana.edu.co"/>
    <s v="FernandoC@unisabana.edu.co02"/>
    <s v="Especializaciï¿½n en Gerencia Financiera Internacional - Bogotï¿½"/>
    <x v="73"/>
    <n v="204"/>
    <x v="0"/>
    <x v="0"/>
    <s v="Completa"/>
    <s v="Posgrado"/>
    <s v="INSTITUTO FORUM"/>
    <s v="https://ProfCatedra2024.sawtoothsoftware.com/cgi-bin/ciwweb.pl?studyname=ProfCatedra2024&amp;Correo=FernandoC@unisabana.edu.co02"/>
  </r>
  <r>
    <s v="fernandocg@unisabana.edu.co"/>
    <s v="FernandoCG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FernandoCG@unisabana.edu.co1"/>
  </r>
  <r>
    <s v="fernandopicozuniga@gmail.com"/>
    <s v="FERNANDOPICOZUNIGA@GMAIL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FERNANDOPICOZUNIGA@GMAIL.COM1"/>
  </r>
  <r>
    <s v="fhumar@fabiohumar.com"/>
    <s v="FHUMAR@FABIOHUMAR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FHUMAR@FABIOHUMAR.COM1"/>
  </r>
  <r>
    <s v="flavio.puentes1@unisabana.edu.co"/>
    <s v="flavio.puentes1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flavio.puentes1@unisabana.edu.co01"/>
  </r>
  <r>
    <s v="flor.rodriguez2@unisabana.edu.co"/>
    <s v="flor.rodriguez2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flor.rodriguez2@unisabana.edu.co1"/>
  </r>
  <r>
    <s v="francisco.casas@unisabana.edu.co"/>
    <s v="francisco.casas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francisco.casas@unisabana.edu.co1"/>
  </r>
  <r>
    <s v="francisco.casas@unisabana.edu.co"/>
    <s v="francisco.casas@unisabana.edu.co2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francisco.casas@unisabana.edu.co2"/>
  </r>
  <r>
    <s v="franklyn.rodriguez@unisabana.edu.co"/>
    <s v="franklyn.rodriguez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franklyn.rodriguez@unisabana.edu.co1"/>
  </r>
  <r>
    <s v="freddy.saavedra@unisabana.edu.co"/>
    <s v="freddy.saavedra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freddy.saavedra@unisabana.edu.co1"/>
  </r>
  <r>
    <s v="gabriel.ariza1@unisabana.edu.co"/>
    <s v="gabriel.ariza1@unisabana.edu.co01"/>
    <s v="Especializaciï¿½n en Medicina Familiar y Comunitaria"/>
    <x v="69"/>
    <n v="8"/>
    <x v="0"/>
    <x v="0"/>
    <s v="Completa"/>
    <s v="Posgrado"/>
    <s v="FACULTAD DE MEDICINA"/>
    <s v="https://ProfCatedra2024.sawtoothsoftware.com/cgi-bin/ciwweb.pl?studyname=ProfCatedra2024&amp;Correo=gabriel.ariza1@unisabana.edu.co01"/>
  </r>
  <r>
    <s v="gabriel.bonilla@unisabana.edu.co"/>
    <s v="gabriel.bonilla@unisabana.edu.co01"/>
    <s v="Maestrï¿½a en Gerencia de Inversiï¿½n"/>
    <x v="26"/>
    <n v="45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1"/>
  </r>
  <r>
    <s v="gabriel.bonilla@unisabana.edu.co"/>
    <s v="gabriel.bonilla@unisabana.edu.co02"/>
    <s v="Maestrï¿½a en Gerencia de Inversiï¿½n - Virtual"/>
    <x v="27"/>
    <n v="207"/>
    <x v="0"/>
    <x v="0"/>
    <s v="Completa"/>
    <s v="Posgrado"/>
    <s v="ESCUELA INTERNACIONAL DE CIENCIAS ECONÓMICAS Y ADMINISTRATIVAS"/>
    <s v="https://ProfCatedra2024.sawtoothsoftware.com/cgi-bin/ciwweb.pl?studyname=ProfCatedra2024&amp;Correo=gabriel.bonilla@unisabana.edu.co02"/>
  </r>
  <r>
    <s v="gabriel.pena@unisabana.edu.co"/>
    <s v="gabriel.pena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gabriel.pena@unisabana.edu.co1"/>
  </r>
  <r>
    <s v="gabriela.atehortua@unisabana.edu.co"/>
    <s v="gabriela.atehortua@unisabana.edu.co01"/>
    <s v="MAESTRï¿½A EN PEDAGOGï¿½A"/>
    <x v="30"/>
    <n v="65"/>
    <x v="0"/>
    <x v="0"/>
    <s v="Completa"/>
    <s v="Posgrado"/>
    <s v="FACULTAD DE EDUCACIÓN"/>
    <s v="https://ProfCatedra2024.sawtoothsoftware.com/cgi-bin/ciwweb.pl?studyname=ProfCatedra2024&amp;Correo=gabriela.atehortua@unisabana.edu.co01"/>
  </r>
  <r>
    <s v="gabriela.atehortua@unisabana.edu.co"/>
    <s v="gabriela.atehortua@unisabana.edu.co02"/>
    <s v="MAESTRï¿½A EN PEDAGOGï¿½A - HUILA"/>
    <x v="81"/>
    <n v="90"/>
    <x v="0"/>
    <x v="0"/>
    <s v="Completa"/>
    <s v="Posgrado"/>
    <s v="FACULTAD DE EDUCACIÓN"/>
    <s v="https://ProfCatedra2024.sawtoothsoftware.com/cgi-bin/ciwweb.pl?studyname=ProfCatedra2024&amp;Correo=gabriela.atehortua@unisabana.edu.co02"/>
  </r>
  <r>
    <s v="gabriela.atehortua@unisabana.edu.co"/>
    <s v="gabriela.atehortua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gabriela.atehortua@unisabana.edu.co1"/>
  </r>
  <r>
    <s v="gabriela.hernandez@unisabana.edu.co"/>
    <s v="gabriela.hernandez@unisabana.edu.co01"/>
    <s v="Maestrï¿½a en Teologï¿½a - Chï¿½a"/>
    <x v="45"/>
    <n v="69"/>
    <x v="0"/>
    <x v="0"/>
    <s v="Completa"/>
    <s v="Posgrado"/>
    <s v="FACULTAD DE FILOSOFÍA Y CIENCIAS HUMANAS"/>
    <s v="https://ProfCatedra2024.sawtoothsoftware.com/cgi-bin/ciwweb.pl?studyname=ProfCatedra2024&amp;Correo=gabriela.hernandez@unisabana.edu.co01"/>
  </r>
  <r>
    <s v="gerardo.mendoza@unisabana.edu.co"/>
    <s v="gerardo.mendoza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gerardo.mendoza@unisabana.edu.co1"/>
  </r>
  <r>
    <s v="gerardor@unisabana.edu.co"/>
    <s v="gerardoR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gerardoR@unisabana.edu.co01"/>
  </r>
  <r>
    <s v="gerardor@unisabana.edu.co"/>
    <s v="gerardoR@unisabana.edu.co02"/>
    <s v="Especializaciï¿½n en Gerencia Financiera Internacional - Bogotï¿½"/>
    <x v="73"/>
    <n v="204"/>
    <x v="0"/>
    <x v="0"/>
    <s v="Completa"/>
    <s v="Posgrado"/>
    <s v="INSTITUTO FORUM"/>
    <s v="https://ProfCatedra2024.sawtoothsoftware.com/cgi-bin/ciwweb.pl?studyname=ProfCatedra2024&amp;Correo=gerardoR@unisabana.edu.co02"/>
  </r>
  <r>
    <s v="german.ahumada@unisabana.edu.co"/>
    <s v="german.ahumada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german.ahumada@unisabana.edu.co1"/>
  </r>
  <r>
    <s v="german.fontanilla@unisabana.edu.co"/>
    <s v="german.fontanill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german.fontanilla@unisabana.edu.co1"/>
  </r>
  <r>
    <s v="germanarango@yahoo.com"/>
    <s v="GERMANARANGO@YAHOO.COM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GERMANARANGO@YAHOO.COM1"/>
  </r>
  <r>
    <s v="germanarango@yahoo.com"/>
    <s v="GERMANARANGO@YAHOO.COM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GERMANARANGO@YAHOO.COM2"/>
  </r>
  <r>
    <s v="germanhr@unisabana.edu.co"/>
    <s v="Germanhr@unisabana.edu.co01"/>
    <s v="ESPECIALIZACION EN PSICOLOGIA EDUCATIVA"/>
    <x v="71"/>
    <n v="108"/>
    <x v="0"/>
    <x v="0"/>
    <s v="Completa"/>
    <s v="Posgrado"/>
    <s v="FACULTAD DE PSICOLOGÍA"/>
    <s v="https://ProfCatedra2024.sawtoothsoftware.com/cgi-bin/ciwweb.pl?studyname=ProfCatedra2024&amp;Correo=Germanhr@unisabana.edu.co01"/>
  </r>
  <r>
    <s v="germanhr@unisabana.edu.co"/>
    <s v="Germanhr@unisabana.edu.co02"/>
    <s v="MAESTRIA EN PSICOLOGIA DE LA SALUD Y DISCAPACIDAD"/>
    <x v="46"/>
    <n v="82"/>
    <x v="0"/>
    <x v="0"/>
    <s v="Completa"/>
    <s v="Posgrado"/>
    <s v="FACULTAD DE PSICOLOGÍA"/>
    <s v="https://ProfCatedra2024.sawtoothsoftware.com/cgi-bin/ciwweb.pl?studyname=ProfCatedra2024&amp;Correo=Germanhr@unisabana.edu.co02"/>
  </r>
  <r>
    <s v="gicel.rodriguez@unisabana.edu.co"/>
    <s v="gicel.rodriguez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gicel.rodriguez@unisabana.edu.co1"/>
  </r>
  <r>
    <s v="gilberto.calero@unisabana.edu.co"/>
    <s v="gilberto.calero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gilberto.calero@unisabana.edu.co1"/>
  </r>
  <r>
    <s v="gina.montano1@unisabana.edu.co"/>
    <s v="gina.montano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gina.montano1@unisabana.edu.co1"/>
  </r>
  <r>
    <s v="gina.rodriguez1@unisabana.edu.co"/>
    <s v="gina.rodriguez1@unisabana.edu.co01"/>
    <s v="Especializaciï¿½n en Terapia Manual Ortopï¿½dica - Chï¿½a"/>
    <x v="11"/>
    <n v="105"/>
    <x v="0"/>
    <x v="0"/>
    <s v="Completa"/>
    <s v="Posgrado"/>
    <s v="FACULTAD DE ENFERMERÍA Y REHABILITACIÓN"/>
    <s v="https://ProfCatedra2024.sawtoothsoftware.com/cgi-bin/ciwweb.pl?studyname=ProfCatedra2024&amp;Correo=gina.rodriguez1@unisabana.edu.co01"/>
  </r>
  <r>
    <s v="giovanny.roa@unisabana.edu.co"/>
    <s v="giovanny.roa@unisabana.edu.co01"/>
    <s v="Especializaciï¿½n en Gerencia Estratï¿½gica - Chia"/>
    <x v="54"/>
    <n v="114"/>
    <x v="0"/>
    <x v="0"/>
    <s v="Completa"/>
    <s v="Posgrado"/>
    <s v="INSTITUTO FORUM"/>
    <s v="https://ProfCatedra2024.sawtoothsoftware.com/cgi-bin/ciwweb.pl?studyname=ProfCatedra2024&amp;Correo=giovanny.roa@unisabana.edu.co01"/>
  </r>
  <r>
    <s v="giovanny.roa@unisabana.edu.co"/>
    <s v="giovanny.roa@unisabana.edu.co02"/>
    <s v="Especializaciï¿½n En Gerencia Estratï¿½gica - Ibaguï¿½"/>
    <x v="82"/>
    <n v="132"/>
    <x v="0"/>
    <x v="0"/>
    <s v="Completa"/>
    <s v="Posgrado"/>
    <s v="INSTITUTO FORUM"/>
    <s v="https://ProfCatedra2024.sawtoothsoftware.com/cgi-bin/ciwweb.pl?studyname=ProfCatedra2024&amp;Correo=giovanny.roa@unisabana.edu.co02"/>
  </r>
  <r>
    <s v="giovanny.roa@unisabana.edu.co"/>
    <s v="giovanny.roa@unisabana.edu.co07"/>
    <s v="ESPECIALIZACIÃ“N EN EMPRENDIMIENTO Y NEGOCIOS DIGITALES- CHÃA"/>
    <x v="0"/>
    <n v="202"/>
    <x v="0"/>
    <x v="0"/>
    <s v="Completa"/>
    <s v="Posgrado"/>
    <s v="INSTITUTO FORUM"/>
    <s v="https://ProfCatedra2024.sawtoothsoftware.com/cgi-bin/ciwweb.pl?studyname=ProfCatedra2024&amp;Correo=giovanny.roa@unisabana.edu.co07"/>
  </r>
  <r>
    <s v="giovannyavbarbosa@gmail.com"/>
    <s v="GIOVANNYAVBARBOSA@GMAIL.COM1"/>
    <s v="MAESTRIA EN DERECHO INTERNACIONAL"/>
    <x v="61"/>
    <n v="56"/>
    <x v="0"/>
    <x v="0"/>
    <s v="Completa"/>
    <s v="Posgrado"/>
    <s v="FACULTAD DE DERECHO Y CIENCIAS POLÍTICAS"/>
    <s v="https://ProfCatedra2024.sawtoothsoftware.com/cgi-bin/ciwweb.pl?studyname=ProfCatedra2024&amp;Correo=GIOVANNYAVBARBOSA@GMAIL.COM1"/>
  </r>
  <r>
    <s v="giuliana.zito@unisabana.edu.co"/>
    <s v="giuliana.zito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giuliana.zito@unisabana.edu.co1"/>
  </r>
  <r>
    <s v="gloria.arias@unisabana.edu.co"/>
    <s v="gloria.arias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gloria.arias@unisabana.edu.co1"/>
  </r>
  <r>
    <s v="gloria.delgado@unisabana.edu.co"/>
    <s v="gloria.delgado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gloria.delgado@unisabana.edu.co01"/>
  </r>
  <r>
    <s v="guido.castro@unisabana.edu.co"/>
    <s v="guido.castro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guido.castro@unisabana.edu.co01"/>
  </r>
  <r>
    <s v="gustavo.gomez@unisabana.edu.co"/>
    <s v="gustavo.gomez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gustavo.gomez@unisabana.edu.co01"/>
  </r>
  <r>
    <s v="gustavo.gomez@unisabana.edu.co"/>
    <s v="gustavo.gomez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gustavo.gomez@unisabana.edu.co1"/>
  </r>
  <r>
    <s v="gustavo.ramirez1@unisabana.edu.co"/>
    <s v="gustavo.ramirez1@unisabana.edu.co01"/>
    <s v="Maestrï¿½a en Gerencia de Inversiï¿½n"/>
    <x v="26"/>
    <n v="45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1"/>
  </r>
  <r>
    <s v="gustavo.ramirez1@unisabana.edu.co"/>
    <s v="gustavo.ramirez1@unisabana.edu.co02"/>
    <s v="Maestrï¿½a en Gerencia de Inversiï¿½n - Virtual"/>
    <x v="27"/>
    <n v="207"/>
    <x v="0"/>
    <x v="0"/>
    <s v="Completa"/>
    <s v="Posgrado"/>
    <s v="ESCUELA INTERNACIONAL DE CIENCIAS ECONÓMICAS Y ADMINISTRATIVAS"/>
    <s v="https://ProfCatedra2024.sawtoothsoftware.com/cgi-bin/ciwweb.pl?studyname=ProfCatedra2024&amp;Correo=gustavo.ramirez1@unisabana.edu.co02"/>
  </r>
  <r>
    <s v="hans.correa@unisabana.edu.co"/>
    <s v="hans.correa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hans.correa@unisabana.edu.co1"/>
  </r>
  <r>
    <s v="harol.piravaguen@unisabana.edu.co"/>
    <s v="harol.piravaguen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harol.piravaguen@unisabana.edu.co1"/>
  </r>
  <r>
    <s v="harvey.hernandez@unisabana.edu.co"/>
    <s v="harvey.hernandez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harvey.hernandez@unisabana.edu.co1"/>
  </r>
  <r>
    <s v="hector.posso@unisabana.edu.co"/>
    <s v="hector.posso@Unisabana.edu.co01"/>
    <s v="Maestrï¿½a en Epidemiologï¿½a"/>
    <x v="83"/>
    <n v="77"/>
    <x v="0"/>
    <x v="0"/>
    <s v="Completa"/>
    <s v="Posgrado"/>
    <s v="FACULTAD DE MEDICINA"/>
    <s v="https://ProfCatedra2024.sawtoothsoftware.com/cgi-bin/ciwweb.pl?studyname=ProfCatedra2024&amp;Correo=hector.posso@Unisabana.edu.co01"/>
  </r>
  <r>
    <s v="hectorfa@unisabana.edu.co"/>
    <s v="HectorF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HectorFA@unisabana.edu.co1"/>
  </r>
  <r>
    <s v="henry.moya@unisabana.edu.co"/>
    <s v="henry.moy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henry.moya@unisabana.edu.co1"/>
  </r>
  <r>
    <s v="henry.ramirez@unisabana.edu.co"/>
    <s v="henry.ramirez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henry.ramirez@unisabana.edu.co1"/>
  </r>
  <r>
    <s v="hernando.mullet@unisabana.edu.co"/>
    <s v="hernando.mullet@unisabana.edu.co01"/>
    <s v="Especializaciï¿½n en Cuidado Intensivo Pediï¿½trico"/>
    <x v="84"/>
    <n v="3"/>
    <x v="0"/>
    <x v="0"/>
    <s v="Completa"/>
    <s v="Posgrado"/>
    <s v="FACULTAD DE MEDICINA"/>
    <s v="https://ProfCatedra2024.sawtoothsoftware.com/cgi-bin/ciwweb.pl?studyname=ProfCatedra2024&amp;Correo=hernando.mullet@unisabana.edu.co01"/>
  </r>
  <r>
    <s v="hugo.camacho@unisabana.edu.co"/>
    <s v="hugo.camach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hugo.camacho@unisabana.edu.co1"/>
  </r>
  <r>
    <s v="hugo.nino1@unisabana.edu.co"/>
    <s v="hugo.nino1@unisabana.edu.co01"/>
    <s v="Especializaciï¿½n en Gerencia Logï¿½stica - Bogotï¿½"/>
    <x v="85"/>
    <n v="143"/>
    <x v="0"/>
    <x v="0"/>
    <s v="Completa"/>
    <s v="Posgrado"/>
    <s v="INSTITUTO FORUM"/>
    <s v="https://ProfCatedra2024.sawtoothsoftware.com/cgi-bin/ciwweb.pl?studyname=ProfCatedra2024&amp;Correo=hugo.nino1@unisabana.edu.co01"/>
  </r>
  <r>
    <s v="hugo.urena@unisabana.edu.co"/>
    <s v="hugo.urena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hugo.urena@unisabana.edu.co1"/>
  </r>
  <r>
    <s v="ignacio.perez@unisabana.edu.co"/>
    <s v="ignacio.perez@unisabana.edu.co01"/>
    <s v="Maestrï¿½a en Gerencia de Operaciones"/>
    <x v="86"/>
    <n v="46"/>
    <x v="0"/>
    <x v="0"/>
    <s v="Completa"/>
    <s v="Posgrado"/>
    <s v="ESCUELA INTERNACIONAL DE CIENCIAS ECONÓMICAS Y ADMINISTRATIVAS"/>
    <s v="https://ProfCatedra2024.sawtoothsoftware.com/cgi-bin/ciwweb.pl?studyname=ProfCatedra2024&amp;Correo=ignacio.perez@unisabana.edu.co01"/>
  </r>
  <r>
    <s v="ingri.moreno@unisabana.edu.co"/>
    <s v="ingri.moreno@unisabana.edu.co2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ingri.moreno@unisabana.edu.co2"/>
  </r>
  <r>
    <s v="ingrid.bustos2@unisabana.edu.co"/>
    <s v="ingrid.bustos2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ingrid.bustos2@unisabana.edu.co1"/>
  </r>
  <r>
    <s v="irma.aristizabal1@unisabana.edu.co"/>
    <s v="irma.aristizabal1@unisabana.edu.co1"/>
    <s v="CENTRO DE TECNOLOGï¿½AS PARA LA ACADEMIA"/>
    <x v="87"/>
    <n v="212"/>
    <x v="0"/>
    <x v="0"/>
    <s v="Completa"/>
    <s v="Pregrado"/>
    <s v="CENTRO DE TECNOLOGÍAS PARA LA ACADEMIA"/>
    <s v="https://ProfCatedra2024.sawtoothsoftware.com/cgi-bin/ciwweb.pl?studyname=ProfCatedra2024&amp;Correo=irma.aristizabal1@unisabana.edu.co1"/>
  </r>
  <r>
    <s v="isabela.granados@unisabana.edu.co"/>
    <s v="isabela.granados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isabela.granados@unisabana.edu.co1"/>
  </r>
  <r>
    <s v="ivan.lozano@unisabana.edu.co"/>
    <s v="ivan.lozano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ivan.lozano@unisabana.edu.co1"/>
  </r>
  <r>
    <s v="ivan.sierra@unisabana.edu.co"/>
    <s v="ivan.sierra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ivan.sierra@unisabana.edu.co1"/>
  </r>
  <r>
    <s v="ivan.unigarro1@unisabana.edu.co"/>
    <s v="ivan.unigarro1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ivan.unigarro1@unisabana.edu.co1"/>
  </r>
  <r>
    <s v="jacqueline.lopez@unisabana.edu.co"/>
    <s v="jacqueline.lopez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jacqueline.lopez@unisabana.edu.co1"/>
  </r>
  <r>
    <s v="jader.castano1@unisabana.edu.co"/>
    <s v="jader.castano1@unisabana.edu.co02"/>
    <s v="Especializaciï¿½n en Gerencia de Proyectos con Enfoque en Habilidades Directivas - Chï¿½a"/>
    <x v="88"/>
    <n v="119"/>
    <x v="0"/>
    <x v="0"/>
    <s v="Incompleta"/>
    <s v="Posgrado"/>
    <s v="INSTITUTO FORUM"/>
    <s v="https://ProfCatedra2024.sawtoothsoftware.com/cgi-bin/ciwweb.pl?studyname=ProfCatedra2024&amp;Correo=jader.castano1@unisabana.edu.co02"/>
  </r>
  <r>
    <s v="jaime.avila1@unisabana.edu.co"/>
    <s v="jaime.avila1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jaime.avila1@unisabana.edu.co1"/>
  </r>
  <r>
    <s v="jaime.barcenas1@unisabana.edu.co"/>
    <s v="jaime.barcenas1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jaime.barcenas1@unisabana.edu.co1"/>
  </r>
  <r>
    <s v="jaime.marin@unisabana.edu.co"/>
    <s v="jaime.marin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jaime.marin@unisabana.edu.co1"/>
  </r>
  <r>
    <s v="jaime.martinez1@unisabana.edu.co"/>
    <s v="jaime.martinez1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1"/>
  </r>
  <r>
    <s v="jaime.martinez1@unisabana.edu.co"/>
    <s v="jaime.martinez1@unisabana.edu.co02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jaime.martinez1@unisabana.edu.co02"/>
  </r>
  <r>
    <s v="jaime.martinez1@unisabana.edu.co"/>
    <s v="jaime.martinez1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jaime.martinez1@unisabana.edu.co1"/>
  </r>
  <r>
    <s v="jaimechavesv@consultoriajuridicadecolombia.com.co"/>
    <s v="JAIMECHAVESV@CONSULTORIAJURIDICADECOLOMBIA.COM.CO1"/>
    <s v="Especializaciï¿½n en Contrataciï¿½n Estatal - Chï¿½a"/>
    <x v="64"/>
    <n v="97"/>
    <x v="0"/>
    <x v="0"/>
    <s v="Completa"/>
    <s v="Posgrado"/>
    <s v="FACULTAD DE DERECHO Y CIENCIAS POLÍTICAS"/>
    <s v="https://ProfCatedra2024.sawtoothsoftware.com/cgi-bin/ciwweb.pl?studyname=ProfCatedra2024&amp;Correo=JAIMECHAVESV@CONSULTORIAJURIDICADECOLOMBIA.COM.CO1"/>
  </r>
  <r>
    <s v="jaimemm@unisabana.edu.co"/>
    <s v="JaimeMM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JaimeMM@unisabana.edu.co01"/>
  </r>
  <r>
    <s v="jairo.rubiano@unisabana.edu.co"/>
    <s v="jairo.rubiano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jairo.rubiano@unisabana.edu.co1"/>
  </r>
  <r>
    <s v="jairo.zapata@unisabana.edu.co"/>
    <s v="jairo.zapata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jairo.zapata@unisabana.edu.co1"/>
  </r>
  <r>
    <s v="javier.herrera1@unisabana.edu.co"/>
    <s v="javier.herrera1@unisabana.edu.co01"/>
    <s v="Maestrï¿½a en Lingï¿½ï¿½stica Panhispï¿½nica - Chï¿½a"/>
    <x v="63"/>
    <n v="68"/>
    <x v="0"/>
    <x v="0"/>
    <s v="Completa"/>
    <s v="Posgrado"/>
    <s v="FACULTAD DE FILOSOFÍA Y CIENCIAS HUMANAS"/>
    <s v="https://ProfCatedra2024.sawtoothsoftware.com/cgi-bin/ciwweb.pl?studyname=ProfCatedra2024&amp;Correo=javier.herrera1@unisabana.edu.co01"/>
  </r>
  <r>
    <s v="javier.jurado2@unisabana.edu.co"/>
    <s v="javier.jurado2@unisabana.edu.co01"/>
    <s v="Especializaciï¿½n en Medicina Familiar y Comunitaria"/>
    <x v="69"/>
    <n v="8"/>
    <x v="0"/>
    <x v="0"/>
    <s v="Completa"/>
    <s v="Posgrado"/>
    <s v="FACULTAD DE MEDICINA"/>
    <s v="https://ProfCatedra2024.sawtoothsoftware.com/cgi-bin/ciwweb.pl?studyname=ProfCatedra2024&amp;Correo=javier.jurado2@unisabana.edu.co01"/>
  </r>
  <r>
    <s v="javier.prada@unisabana.edu.co"/>
    <s v="javier.prada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javier.prada@unisabana.edu.co1"/>
  </r>
  <r>
    <s v="javier.salazar@unisabana.edu.co"/>
    <s v="javier.salazar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javier.salazar@unisabana.edu.co1"/>
  </r>
  <r>
    <s v="javieros@unisabana.edu.co"/>
    <s v="JavierO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avierOS@unisabana.edu.co1"/>
  </r>
  <r>
    <s v="javieros@unisabana.edu.co"/>
    <s v="JavierOS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JavierOS@unisabana.edu.co2"/>
  </r>
  <r>
    <s v="javieros@unisabana.edu.co"/>
    <s v="JavierOS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JavierOS@unisabana.edu.co3"/>
  </r>
  <r>
    <s v="jehison.fernandez1@unisabana.edu.co"/>
    <s v="jehison.fernandez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ehison.fernandez1@unisabana.edu.co1"/>
  </r>
  <r>
    <s v="jeimy.ariza@unisabana.edu.co"/>
    <s v="jeimy.ariza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jeimy.ariza@unisabana.edu.co1"/>
  </r>
  <r>
    <s v="jelbenav@bancolombia.com.co"/>
    <s v="JELBENAV@BANCOLOMBIA.COM.CO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JELBENAV@BANCOLOMBIA.COM.CO1"/>
  </r>
  <r>
    <s v="jenny.rodriguez13@unisabana.edu.co"/>
    <s v="jenny.rodriguez13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jenny.rodriguez13@unisabana.edu.co1"/>
  </r>
  <r>
    <s v="jeronimo.garcia@unisabana.edu.co"/>
    <s v="jeronimo.garcia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eronimo.garcia@unisabana.edu.co1"/>
  </r>
  <r>
    <s v="jeronimo.garcia@unisabana.edu.co"/>
    <s v="jeronimo.garcia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jeronimo.garcia@unisabana.edu.co3"/>
  </r>
  <r>
    <s v="jesicabiviana9@gmail.com"/>
    <s v="jesicabiviana9@gmail.com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jesicabiviana9@gmail.com1"/>
  </r>
  <r>
    <s v="jessica.upegui@unisabana.edu.co"/>
    <s v="jessica.upegui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jessica.upegui@unisabana.edu.co01"/>
  </r>
  <r>
    <s v="jessica.waked@unisabana.edu.co"/>
    <s v="jessica.waked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jessica.waked@unisabana.edu.co1"/>
  </r>
  <r>
    <s v="jesus.agreda@unisabana.edu.co"/>
    <s v="jesus.agreda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jesus.agreda@unisabana.edu.co1"/>
  </r>
  <r>
    <s v="jesus.cifuentes@unisabana.edu.co"/>
    <s v="jesus.cifuentes@unisabana.edu.co1"/>
    <s v="FILOSOFï¿½A"/>
    <x v="60"/>
    <n v="35"/>
    <x v="0"/>
    <x v="0"/>
    <s v="Completa"/>
    <s v="Pregrado"/>
    <s v="FACULTAD DE FILOSOFÍA Y CIENCIAS HUMANAS"/>
    <s v="https://ProfCatedra2024.sawtoothsoftware.com/cgi-bin/ciwweb.pl?studyname=ProfCatedra2024&amp;Correo=jesus.cifuentes@unisabana.edu.co1"/>
  </r>
  <r>
    <s v="jf@zartaasociados.com"/>
    <s v="JF@ZARTAASOCIADOS.COM1"/>
    <s v="Especializaciï¿½n en Seguros y Seguridad Social - Chï¿½a"/>
    <x v="89"/>
    <n v="102"/>
    <x v="0"/>
    <x v="0"/>
    <s v="Completa"/>
    <s v="Posgrado"/>
    <s v="FACULTAD DE DERECHO Y CIENCIAS POLÍTICAS"/>
    <s v="https://ProfCatedra2024.sawtoothsoftware.com/cgi-bin/ciwweb.pl?studyname=ProfCatedra2024&amp;Correo=JF@ZARTAASOCIADOS.COM1"/>
  </r>
  <r>
    <s v="jhebravobu@unal.edu.co"/>
    <s v="jhebravobu@unal.edu.co1"/>
    <s v="INGENIERï¿½A DE BIOPRODUCCIï¿½N"/>
    <x v="90"/>
    <n v="37"/>
    <x v="0"/>
    <x v="0"/>
    <s v="Completa"/>
    <s v="Pregrado"/>
    <s v="FACULTAD DE INGENIERÍA"/>
    <s v="https://ProfCatedra2024.sawtoothsoftware.com/cgi-bin/ciwweb.pl?studyname=ProfCatedra2024&amp;Correo=jhebravobu@unal.edu.co1"/>
  </r>
  <r>
    <s v="jhonathan.rodriguez@unisabana.edu.co"/>
    <s v="jhonathan.rodriguez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jhonathan.rodriguez@unisabana.edu.co1"/>
  </r>
  <r>
    <s v="jimmy.rojas@unisabana.edu.co"/>
    <s v="jimmy.rojas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jimmy.rojas@unisabana.edu.co1"/>
  </r>
  <r>
    <s v="john.cabrera_cont@unisabana.edu.co"/>
    <s v="john.cabrera_cont@unisabana.edu.co02"/>
    <s v="Especializaciï¿½n en Gerencia de Proyectos con Enfoque en Habilidades Directivas - Chï¿½a"/>
    <x v="88"/>
    <n v="119"/>
    <x v="0"/>
    <x v="0"/>
    <s v="Completa"/>
    <s v="Posgrado"/>
    <s v="INSTITUTO FORUM"/>
    <s v="https://ProfCatedra2024.sawtoothsoftware.com/cgi-bin/ciwweb.pl?studyname=ProfCatedra2024&amp;Correo=john.cabrera_cont@unisabana.edu.co02"/>
  </r>
  <r>
    <s v="john.feliciano1@unisabana.edu.co"/>
    <s v="john.feliciano1@unisabana.edu.co01"/>
    <s v="Especializaciï¿½n en Farmacologï¿½a Clï¿½nica"/>
    <x v="50"/>
    <n v="5"/>
    <x v="0"/>
    <x v="0"/>
    <s v="Completa"/>
    <s v="Posgrado"/>
    <s v="FACULTAD DE MEDICINA"/>
    <s v="https://ProfCatedra2024.sawtoothsoftware.com/cgi-bin/ciwweb.pl?studyname=ProfCatedra2024&amp;Correo=john.feliciano1@unisabana.edu.co01"/>
  </r>
  <r>
    <s v="john.motta@unisabana.edu.co"/>
    <s v="john.motta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john.motta@unisabana.edu.co1"/>
  </r>
  <r>
    <s v="john.pinzon1@unisabana.edu.co"/>
    <s v="john.pinzon1@unisabana.edu.co1"/>
    <s v="FILOSOFï¿½A"/>
    <x v="60"/>
    <n v="35"/>
    <x v="0"/>
    <x v="0"/>
    <s v="Completa"/>
    <s v="Pregrado"/>
    <s v="FACULTAD DE FILOSOFÍA Y CIENCIAS HUMANAS"/>
    <s v="https://ProfCatedra2024.sawtoothsoftware.com/cgi-bin/ciwweb.pl?studyname=ProfCatedra2024&amp;Correo=john.pinzon1@unisabana.edu.co1"/>
  </r>
  <r>
    <s v="jorge.avila@unisabana.edu.co"/>
    <s v="jorge.avila@unisabana.edu.co02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jorge.avila@unisabana.edu.co02"/>
  </r>
  <r>
    <s v="jorge.bolivar@unisabana.edu.co"/>
    <s v="jorge.bolivar@unisabana.edu.co01"/>
    <s v="Especializaciï¿½n En Gerencia Estratï¿½gica - Ibaguï¿½"/>
    <x v="82"/>
    <n v="132"/>
    <x v="0"/>
    <x v="0"/>
    <s v="Completa"/>
    <s v="Posgrado"/>
    <s v="INSTITUTO FORUM"/>
    <s v="https://ProfCatedra2024.sawtoothsoftware.com/cgi-bin/ciwweb.pl?studyname=ProfCatedra2024&amp;Correo=jorge.bolivar@unisabana.edu.co01"/>
  </r>
  <r>
    <s v="jorge.cortazar@unisabana.edu.co"/>
    <s v="jorge.cortazar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jorge.cortazar@unisabana.edu.co1"/>
  </r>
  <r>
    <s v="jorge.leyva1@unisabana.edu.co"/>
    <s v="jorge.leyva1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jorge.leyva1@unisabana.edu.co01"/>
  </r>
  <r>
    <s v="jorge.martinez_cont@unisabana.edu.co"/>
    <s v="JORGE.MARTINEZ_CONT@UNISABANA.edu.co01"/>
    <s v="Especializaciï¿½n En Gerencia Estratï¿½gica - Villavicencio"/>
    <x v="78"/>
    <n v="133"/>
    <x v="0"/>
    <x v="0"/>
    <s v="Completa"/>
    <s v="Posgrado"/>
    <s v="INSTITUTO FORUM"/>
    <s v="https://ProfCatedra2024.sawtoothsoftware.com/cgi-bin/ciwweb.pl?studyname=ProfCatedra2024&amp;Correo=JORGE.MARTINEZ_CONT@UNISABANA.edu.co01"/>
  </r>
  <r>
    <s v="jorge.sanmartin@unisabana.edu.co"/>
    <s v="jorge.sanmartin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jorge.sanmartin@unisabana.edu.co1"/>
  </r>
  <r>
    <s v="jorgevico@unisabana.edu.co"/>
    <s v="jorgevico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jorgevico@unisabana.edu.co1"/>
  </r>
  <r>
    <s v="jose.avellaneda@unisabana.edu.co"/>
    <s v="jose.avellaneda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jose.avellaneda@unisabana.edu.co1"/>
  </r>
  <r>
    <s v="jose.bautista2@unisabana.edu.co"/>
    <s v="jose.bautista2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jose.bautista2@unisabana.edu.co1"/>
  </r>
  <r>
    <s v="jose.castano@unisabana.edu.co"/>
    <s v="jose.castano@unisabana.edu.co02"/>
    <s v="Maestrï¿½a en Direcciï¿½n y Gestiï¿½n de Instituciones Educativas - Riohacha"/>
    <x v="92"/>
    <n v="89"/>
    <x v="0"/>
    <x v="0"/>
    <s v="Completa"/>
    <s v="Posgrado"/>
    <s v="FACULTAD DE EDUCACIÓN"/>
    <s v="https://ProfCatedra2024.sawtoothsoftware.com/cgi-bin/ciwweb.pl?studyname=ProfCatedra2024&amp;Correo=jose.castano@unisabana.edu.co02"/>
  </r>
  <r>
    <s v="jose.castano1@unisabana.edu.co"/>
    <s v="jose.castano1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jose.castano1@unisabana.edu.co1"/>
  </r>
  <r>
    <s v="jose.diaz2@unisabana.edu.co"/>
    <s v="jose.diaz2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jose.diaz2@unisabana.edu.co1"/>
  </r>
  <r>
    <s v="jose.jerez@unisabana.edu.co"/>
    <s v="jose.jerez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jose.jerez@unisabana.edu.co1"/>
  </r>
  <r>
    <s v="jose.mejia@unisabana.edu.co"/>
    <s v="jose.mejia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jose.mejia@unisabana.edu.co01"/>
  </r>
  <r>
    <s v="jose.mejia@unisabana.edu.co"/>
    <s v="jose.mejia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jose.mejia@unisabana.edu.co1"/>
  </r>
  <r>
    <s v="jose.parra@unisabana.edu.co"/>
    <s v="jose.parra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jose.parra@unisabana.edu.co1"/>
  </r>
  <r>
    <s v="jose.riano@unisabana.edu.co"/>
    <s v="jose.rian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ose.riano@unisabana.edu.co1"/>
  </r>
  <r>
    <s v="jose.riveros1@unisabana.edu.co"/>
    <s v="jose.riveros1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jose.riveros1@unisabana.edu.co1"/>
  </r>
  <r>
    <s v="jose.rodriguez13@unisabana.edu.co"/>
    <s v="jose.rodriguez13@unisabana.edu.co01"/>
    <s v="Especializaciï¿½n en Gerencia de Proyectos con Enfoque en Habilidades Directivas - Bogotï¿½"/>
    <x v="93"/>
    <n v="208"/>
    <x v="0"/>
    <x v="0"/>
    <s v="Incompleta"/>
    <s v="Posgrado"/>
    <s v="INSTITUTO FORUM"/>
    <s v="https://ProfCatedra2024.sawtoothsoftware.com/cgi-bin/ciwweb.pl?studyname=ProfCatedra2024&amp;Correo=jose.rodriguez13@unisabana.edu.co01"/>
  </r>
  <r>
    <s v="jose.sanchez8@unisabana.edu.co"/>
    <s v="jose.sanchez8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jose.sanchez8@unisabana.edu.co1"/>
  </r>
  <r>
    <s v="jose.sarmiento2@unisabana.edu.co"/>
    <s v="jose.sarmiento2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jose.sarmiento2@unisabana.edu.co1"/>
  </r>
  <r>
    <s v="joseroa@unisabana.edu.co"/>
    <s v="JoseRoA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JoseRoA@unisabana.edu.co1"/>
  </r>
  <r>
    <s v="juan.acevedo3@unisabana.edu.co"/>
    <s v="juan.acevedo3@unisabana.edu.co1"/>
    <s v="FISIOTERAPIA"/>
    <x v="51"/>
    <n v="34"/>
    <x v="0"/>
    <x v="0"/>
    <s v="Completa"/>
    <s v="Pregrado"/>
    <s v="FACULTAD DE ENFERMERÍA Y REHABILITACIÓN"/>
    <s v="https://ProfCatedra2024.sawtoothsoftware.com/cgi-bin/ciwweb.pl?studyname=ProfCatedra2024&amp;Correo=juan.acevedo3@unisabana.edu.co1"/>
  </r>
  <r>
    <s v="juan.beltran4@unisabana.edu.co"/>
    <s v="juan.beltran4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juan.beltran4@unisabana.edu.co1"/>
  </r>
  <r>
    <s v="juan.bernal9@unisabana.edu.co"/>
    <s v="juan.bernal9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juan.bernal9@unisabana.edu.co1"/>
  </r>
  <r>
    <s v="juan.betancourt@unisabana.edu.co"/>
    <s v="juan.betancourt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juan.betancourt@unisabana.edu.co1"/>
  </r>
  <r>
    <s v="juan.castiblanco1@unisabana.edu.co"/>
    <s v="juan.castiblanco1@unisabana.edu.co1"/>
    <s v="CENTRO DE TECNOLOGï¿½AS PARA LA ACADEMIA"/>
    <x v="87"/>
    <n v="212"/>
    <x v="0"/>
    <x v="0"/>
    <s v="Completa"/>
    <s v="Pregrado"/>
    <s v="CENTRO DE TECNOLOGÍAS PARA LA ACADEMIA"/>
    <s v="https://ProfCatedra2024.sawtoothsoftware.com/cgi-bin/ciwweb.pl?studyname=ProfCatedra2024&amp;Correo=juan.castiblanco1@unisabana.edu.co1"/>
  </r>
  <r>
    <s v="juan.cobos@unisabana.edu.co"/>
    <s v="juan.cobo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an.cobos@unisabana.edu.co1"/>
  </r>
  <r>
    <s v="juan.cobos@unisabana.edu.co"/>
    <s v="juan.cobos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juan.cobos@unisabana.edu.co2"/>
  </r>
  <r>
    <s v="juan.cobos@unisabana.edu.co"/>
    <s v="juan.cobos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juan.cobos@unisabana.edu.co3"/>
  </r>
  <r>
    <s v="juan.correales@unisabana.edu.co"/>
    <s v="juan.correales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juan.correales@unisabana.edu.co01"/>
  </r>
  <r>
    <s v="juan.enciso2@unisabana.edu.co"/>
    <s v="juan.enciso2@unisabana.edu.co01"/>
    <s v="ESPECIALIZACIï¿½N EN PEDAGOGï¿½A E INVESTIGACIï¿½N EN EL AULA"/>
    <x v="94"/>
    <n v="123"/>
    <x v="0"/>
    <x v="0"/>
    <s v="Completa"/>
    <s v="Posgrado"/>
    <s v="FACULTAD DE EDUCACIÓN"/>
    <s v="https://ProfCatedra2024.sawtoothsoftware.com/cgi-bin/ciwweb.pl?studyname=ProfCatedra2024&amp;Correo=juan.enciso2@unisabana.edu.co01"/>
  </r>
  <r>
    <s v="juan.enciso2@unisabana.edu.co"/>
    <s v="juan.enciso2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juan.enciso2@unisabana.edu.co1"/>
  </r>
  <r>
    <s v="juan.espejo1@unisabana.edu.co"/>
    <s v="juan.espejo1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juan.espejo1@unisabana.edu.co01"/>
  </r>
  <r>
    <s v="juan.espinosa2@unisabana.edu.co"/>
    <s v="juan.espinosa2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juan.espinosa2@unisabana.edu.co1"/>
  </r>
  <r>
    <s v="juan.garcia12@unisabana.edu.co"/>
    <s v="juan.garcia12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juan.garcia12@unisabana.edu.co1"/>
  </r>
  <r>
    <s v="juan.garcia13@unisabana.edu.co"/>
    <s v="juan.garcia13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an.garcia13@unisabana.edu.co1"/>
  </r>
  <r>
    <s v="juan.giraldo1@unisabana.edu.co"/>
    <s v="juan.giraldo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an.giraldo1@unisabana.edu.co1"/>
  </r>
  <r>
    <s v="juan.gonzalez10@unisabana.edu.co"/>
    <s v="juan.gonzalez10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an.gonzalez10@unisabana.edu.co1"/>
  </r>
  <r>
    <s v="juan.grosso1@unisabana.edu.co"/>
    <s v="juan.grosso1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juan.grosso1@unisabana.edu.co01"/>
  </r>
  <r>
    <s v="juan.gutierrez1@unisabana.edu.co"/>
    <s v="juan.gutierrez1@unisabana.edu.co01"/>
    <s v="Especializaciï¿½n en Gerencia Comercial - Chia"/>
    <x v="95"/>
    <n v="111"/>
    <x v="0"/>
    <x v="0"/>
    <s v="Completa"/>
    <s v="Posgrado"/>
    <s v="INSTITUTO FORUM"/>
    <s v="https://ProfCatedra2024.sawtoothsoftware.com/cgi-bin/ciwweb.pl?studyname=ProfCatedra2024&amp;Correo=juan.gutierrez1@unisabana.edu.co01"/>
  </r>
  <r>
    <s v="juan.gutierrez1@unisabana.edu.co"/>
    <s v="juan.gutierrez1@unisabana.edu.co02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juan.gutierrez1@unisabana.edu.co02"/>
  </r>
  <r>
    <s v="juan.hernandez@unisabana.edu.co"/>
    <s v="JUAN.HERNANDEZ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JUAN.HERNANDEZ@UNISABANA.EDU.CO1"/>
  </r>
  <r>
    <s v="juan.jaramillo1@unisabana.edu.co"/>
    <s v="juan.jaramillo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juan.jaramillo1@unisabana.edu.co1"/>
  </r>
  <r>
    <s v="juan.mojica3@unisabana.edu.co"/>
    <s v="juan.Mojica3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juan.Mojica3@unisabana.edu.co1"/>
  </r>
  <r>
    <s v="alba.munoz@unisabana.edu.co"/>
    <s v="alba.munoz@unisabana.edu.co1"/>
    <s v="LICENCIATURA EN CIENCIAS NATURALES"/>
    <x v="3"/>
    <n v="31"/>
    <x v="0"/>
    <x v="1"/>
    <s v="Incompleta"/>
    <s v="Pregrado"/>
    <s v="FACULTAD DE EDUCACIÓN"/>
    <s v="https://ProfCatedra2024.sawtoothsoftware.com/cgi-bin/ciwweb.pl?studyname=ProfCatedra2024&amp;Correo=alba.munoz@unisabana.edu.co1"/>
  </r>
  <r>
    <s v="alexander.jimenez@unisabana.edu.co"/>
    <s v="alexander.jimenez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alexander.jimenez@unisabana.edu.co1"/>
  </r>
  <r>
    <s v="alvaro.pulido@unisabana.edu.co"/>
    <s v="alvaro.pulido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alvaro.pulido@unisabana.edu.co1"/>
  </r>
  <r>
    <s v="alver.castillo@unisabana.edu.co"/>
    <s v="alver.castillo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alver.castillo@unisabana.edu.co1"/>
  </r>
  <r>
    <s v="ana.moreno3@unisabana.edu.co"/>
    <s v="ana.moreno3@unisabana.edu.co1"/>
    <s v="MERCADEO"/>
    <x v="24"/>
    <n v="156"/>
    <x v="0"/>
    <x v="1"/>
    <s v="Incompleta"/>
    <s v="Pregrado"/>
    <s v="ESCUELA INTERNACIONAL DE CIENCIAS ECONÓMICAS Y ADMINISTRATIVAS"/>
    <s v="https://ProfCatedra2024.sawtoothsoftware.com/cgi-bin/ciwweb.pl?studyname=ProfCatedra2024&amp;Correo=ana.moreno3@unisabana.edu.co1"/>
  </r>
  <r>
    <s v="andres.guevara3@unisabana.edu.co"/>
    <s v="andres.guevara3@unisabana.edu.co1"/>
    <s v="COMUNICACIï¿½N AUDIOVISUAL Y MULTIMEDIOS"/>
    <x v="23"/>
    <n v="27"/>
    <x v="0"/>
    <x v="1"/>
    <s v="Incompleta"/>
    <s v="Pregrado"/>
    <s v="FACULTAD DE COMUNICACIÓN"/>
    <s v="https://ProfCatedra2024.sawtoothsoftware.com/cgi-bin/ciwweb.pl?studyname=ProfCatedra2024&amp;Correo=andres.guevara3@unisabana.edu.co1"/>
  </r>
  <r>
    <s v="angela.bertieri@unisabana.edu.co"/>
    <s v="angela.bertieri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angela.bertieri@unisabana.edu.co1"/>
  </r>
  <r>
    <s v="angela.romero3@unisabana.edu.co"/>
    <s v="angela.romero3@unisabana.edu.co1"/>
    <s v="CENTRO INTERNACIONAL DE LENGUAS Y CULTURAS EXTRANJERAS"/>
    <x v="19"/>
    <n v="210"/>
    <x v="0"/>
    <x v="1"/>
    <s v="Incompleta"/>
    <s v="Pregrado"/>
    <s v="CENTRO INTERNACIONAL DE LENGUAS Y CULTURAS EXTRANJERAS"/>
    <s v="https://ProfCatedra2024.sawtoothsoftware.com/cgi-bin/ciwweb.pl?studyname=ProfCatedra2024&amp;Correo=angela.romero3@unisabana.edu.co1"/>
  </r>
  <r>
    <s v="angelacorga@unisabana.edu.co"/>
    <s v="angelacorga@unisabana.edu.co1"/>
    <s v="CORE CURRICULUM PERSONA Y CULTURA"/>
    <x v="36"/>
    <n v="211"/>
    <x v="0"/>
    <x v="1"/>
    <s v="Incompleta"/>
    <s v="Pregrado"/>
    <s v="CORE CURRICULUM PERSONA Y CULTURA"/>
    <s v="https://ProfCatedra2024.sawtoothsoftware.com/cgi-bin/ciwweb.pl?studyname=ProfCatedra2024&amp;Correo=angelacorga@unisabana.edu.co1"/>
  </r>
  <r>
    <s v="antonio.rodriguez@unisabana.edu.co"/>
    <s v="antonio.rodriguez@unisabana.edu.co1"/>
    <s v="INGENIERï¿½A MECï¿½NICA"/>
    <x v="2"/>
    <n v="40"/>
    <x v="0"/>
    <x v="1"/>
    <s v="Incompleta"/>
    <s v="Pregrado"/>
    <s v="FACULTAD DE INGENIERÍA"/>
    <s v="https://ProfCatedra2024.sawtoothsoftware.com/cgi-bin/ciwweb.pl?studyname=ProfCatedra2024&amp;Correo=antonio.rodriguez@unisabana.edu.co1"/>
  </r>
  <r>
    <s v="camilo.vargas@unisabana.edu.co"/>
    <s v="camilo.vargas@unisabana.edu.co1"/>
    <s v="ECONOMï¿½A"/>
    <x v="40"/>
    <n v="152"/>
    <x v="0"/>
    <x v="1"/>
    <s v="Incompleta"/>
    <s v="Pregrado"/>
    <s v="ESCUELA INTERNACIONAL DE CIENCIAS ECONÓMICAS Y ADMINISTRATIVAS"/>
    <s v="https://ProfCatedra2024.sawtoothsoftware.com/cgi-bin/ciwweb.pl?studyname=ProfCatedra2024&amp;Correo=camilo.vargas@unisabana.edu.co1"/>
  </r>
  <r>
    <s v="carlos.gomez21@unisabana.edu.co"/>
    <s v="carlos.gomez21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carlos.gomez21@unisabana.edu.co1"/>
  </r>
  <r>
    <s v="carlos.prias@unisabana.edu.co"/>
    <s v="carlos.prias@unisabana.edu.co1"/>
    <s v="COMUNICACIï¿½N AUDIOVISUAL Y MULTIMEDIOS"/>
    <x v="23"/>
    <n v="27"/>
    <x v="0"/>
    <x v="1"/>
    <s v="Incompleta"/>
    <s v="Pregrado"/>
    <s v="FACULTAD DE COMUNICACIÓN"/>
    <s v="https://ProfCatedra2024.sawtoothsoftware.com/cgi-bin/ciwweb.pl?studyname=ProfCatedra2024&amp;Correo=carlos.prias@unisabana.edu.co1"/>
  </r>
  <r>
    <s v="cesar.beltran@gmail.com"/>
    <s v="cesar.beltran@gmail.com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cesar.beltran@gmail.com1"/>
  </r>
  <r>
    <s v="cesar.diaz1@unisabana.edu.co"/>
    <s v="cesar.diaz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cesar.diaz1@unisabana.edu.co1"/>
  </r>
  <r>
    <s v="cflorezt@hotmail.com"/>
    <s v="cflorezt@hotmail.com1"/>
    <s v="INGENIERï¿½A MECï¿½NICA"/>
    <x v="2"/>
    <n v="40"/>
    <x v="0"/>
    <x v="1"/>
    <s v="Incompleta"/>
    <s v="Pregrado"/>
    <s v="FACULTAD DE INGENIERÍA"/>
    <s v="https://ProfCatedra2024.sawtoothsoftware.com/cgi-bin/ciwweb.pl?studyname=ProfCatedra2024&amp;Correo=cflorezt@hotmail.com1"/>
  </r>
  <r>
    <s v="claudia.jaramillo2@unisabana.edu.co"/>
    <s v="claudia.jaramillo2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claudia.jaramillo2@unisabana.edu.co1"/>
  </r>
  <r>
    <s v="daniel.gomez5@unisabana.edu.co"/>
    <s v="daniel.gomez5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daniel.gomez5@unisabana.edu.co1"/>
  </r>
  <r>
    <s v="daniel.robayo@unisabana.edu.co"/>
    <s v="daniel.robayo@unisabana.edu.co1"/>
    <s v="INGENIERï¿½A MECï¿½NICA"/>
    <x v="2"/>
    <n v="40"/>
    <x v="0"/>
    <x v="1"/>
    <s v="Incompleta"/>
    <s v="Pregrado"/>
    <s v="FACULTAD DE INGENIERÍA"/>
    <s v="https://ProfCatedra2024.sawtoothsoftware.com/cgi-bin/ciwweb.pl?studyname=ProfCatedra2024&amp;Correo=daniel.robayo@unisabana.edu.co1"/>
  </r>
  <r>
    <s v="david.avila@unisabana.edu.co"/>
    <s v="david.avila@unisabana.edu.co1"/>
    <s v="COMUNICACIï¿½N AUDIOVISUAL Y MULTIMEDIOS"/>
    <x v="23"/>
    <n v="27"/>
    <x v="0"/>
    <x v="1"/>
    <s v="Incompleta"/>
    <s v="Pregrado"/>
    <s v="FACULTAD DE COMUNICACIÓN"/>
    <s v="https://ProfCatedra2024.sawtoothsoftware.com/cgi-bin/ciwweb.pl?studyname=ProfCatedra2024&amp;Correo=david.avila@unisabana.edu.co1"/>
  </r>
  <r>
    <s v="davidheme@unisabana.edu.co"/>
    <s v="davidheme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davidheme@unisabana.edu.co1"/>
  </r>
  <r>
    <s v="diego.guevara@unisabana.edu.co"/>
    <s v="diego.guevara@unisabana.edu.co1"/>
    <s v="ECONOMï¿½A"/>
    <x v="40"/>
    <n v="152"/>
    <x v="0"/>
    <x v="1"/>
    <s v="Incompleta"/>
    <s v="Pregrado"/>
    <s v="ESCUELA INTERNACIONAL DE CIENCIAS ECONÓMICAS Y ADMINISTRATIVAS"/>
    <s v="https://ProfCatedra2024.sawtoothsoftware.com/cgi-bin/ciwweb.pl?studyname=ProfCatedra2024&amp;Correo=diego.guevara@unisabana.edu.co1"/>
  </r>
  <r>
    <s v="edwin.rojas@unisabana.edu.co"/>
    <s v="edwin.rojas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edwin.rojas@unisabana.edu.co1"/>
  </r>
  <r>
    <s v="faure.rodriguez1@unisabana.edu.co"/>
    <s v="faure.rodriguez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faure.rodriguez1@unisabana.edu.co1"/>
  </r>
  <r>
    <s v="francisco.moreno2@unisabana.edu.co"/>
    <s v="francisco.moreno2@unisabana.edu.co1"/>
    <s v="INGENIERï¿½A INDUSTRIAL"/>
    <x v="28"/>
    <n v="38"/>
    <x v="0"/>
    <x v="1"/>
    <s v="Incompleta"/>
    <s v="Pregrado"/>
    <s v="FACULTAD DE INGENIERÍA"/>
    <s v="https://ProfCatedra2024.sawtoothsoftware.com/cgi-bin/ciwweb.pl?studyname=ProfCatedra2024&amp;Correo=francisco.moreno2@unisabana.edu.co1"/>
  </r>
  <r>
    <s v="hector.lopez3@unisabana.edu.co"/>
    <s v="hector.lopez3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hector.lopez3@unisabana.edu.co1"/>
  </r>
  <r>
    <s v="ing.karol.moreno@gmail.com"/>
    <s v="ing.karol.moreno@gmail.com1"/>
    <s v="INGENIERï¿½A INDUSTRIAL"/>
    <x v="28"/>
    <n v="38"/>
    <x v="0"/>
    <x v="1"/>
    <s v="Incompleta"/>
    <s v="Pregrado"/>
    <s v="FACULTAD DE INGENIERÍA"/>
    <s v="https://ProfCatedra2024.sawtoothsoftware.com/cgi-bin/ciwweb.pl?studyname=ProfCatedra2024&amp;Correo=ing.karol.moreno@gmail.com1"/>
  </r>
  <r>
    <s v="jairo.sarmiento@unisabana.edu.co"/>
    <s v="jairo.sarmiento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jairo.sarmiento@unisabana.edu.co1"/>
  </r>
  <r>
    <s v="jesus.ruiz@unisabana.edu.co"/>
    <s v="jesus.ruiz@unisabana.edu.co1"/>
    <s v="ECONOMï¿½A"/>
    <x v="40"/>
    <n v="152"/>
    <x v="0"/>
    <x v="1"/>
    <s v="Incompleta"/>
    <s v="Pregrado"/>
    <s v="ESCUELA INTERNACIONAL DE CIENCIAS ECONÓMICAS Y ADMINISTRATIVAS"/>
    <s v="https://ProfCatedra2024.sawtoothsoftware.com/cgi-bin/ciwweb.pl?studyname=ProfCatedra2024&amp;Correo=jesus.ruiz@unisabana.edu.co1"/>
  </r>
  <r>
    <s v="jhenny.perez@unisabana.edu.co"/>
    <s v="jhenny.perez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jhenny.perez@unisabana.edu.co1"/>
  </r>
  <r>
    <s v="jhon.quiceno@unisabana.edu.co"/>
    <s v="jhon.quiceno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jhon.quiceno@unisabana.edu.co1"/>
  </r>
  <r>
    <s v="john.mora@unisabana.edu.co"/>
    <s v="john.mora@unisabana.edu.co1"/>
    <s v="FINANZAS"/>
    <x v="20"/>
    <n v="153"/>
    <x v="0"/>
    <x v="1"/>
    <s v="Incompleta"/>
    <s v="Pregrado"/>
    <s v="ESCUELA INTERNACIONAL DE CIENCIAS ECONÓMICAS Y ADMINISTRATIVAS"/>
    <s v="https://ProfCatedra2024.sawtoothsoftware.com/cgi-bin/ciwweb.pl?studyname=ProfCatedra2024&amp;Correo=john.mora@unisabana.edu.co1"/>
  </r>
  <r>
    <s v="jose.capera@unisabana.edu.co"/>
    <s v="jose.capera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jose.capera@unisabana.edu.co1"/>
  </r>
  <r>
    <s v="juan.anzola@unisabana.edu.co"/>
    <s v="juan.anzola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juan.anzola@unisabana.edu.co1"/>
  </r>
  <r>
    <s v="juan.bargans@unisabana.edu.co"/>
    <s v="Juan.Bargans@unisabana.edu.co1"/>
    <s v="NEGOCIACIï¿½N Y COMERCIO INTERNACIONAL"/>
    <x v="91"/>
    <n v="157"/>
    <x v="0"/>
    <x v="1"/>
    <s v="Incompleta"/>
    <s v="Pregrado"/>
    <s v="ESCUELA INTERNACIONAL DE CIENCIAS ECONÓMICAS Y ADMINISTRATIVAS"/>
    <s v="https://ProfCatedra2024.sawtoothsoftware.com/cgi-bin/ciwweb.pl?studyname=ProfCatedra2024&amp;Correo=Juan.Bargans@unisabana.edu.co1"/>
  </r>
  <r>
    <s v="juan.murillo2@unisabana.edu.co"/>
    <s v="juan.murillo2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juan.murillo2@unisabana.edu.co1"/>
  </r>
  <r>
    <s v="juan.nunez@unisabana.edu.co"/>
    <s v="juan.nunez@unisabana.edu.co1"/>
    <s v="COMUNICACIï¿½N AUDIOVISUAL Y MULTIMEDIOS"/>
    <x v="23"/>
    <n v="27"/>
    <x v="0"/>
    <x v="1"/>
    <s v="Incompleta"/>
    <s v="Pregrado"/>
    <s v="FACULTAD DE COMUNICACIÓN"/>
    <s v="https://ProfCatedra2024.sawtoothsoftware.com/cgi-bin/ciwweb.pl?studyname=ProfCatedra2024&amp;Correo=juan.nunez@unisabana.edu.co1"/>
  </r>
  <r>
    <s v="juan.quintero14@unisabana.edu.co"/>
    <s v="juan.quintero14@unisabana.edu.co1"/>
    <s v="FINANZAS"/>
    <x v="20"/>
    <n v="153"/>
    <x v="0"/>
    <x v="1"/>
    <s v="Incompleta"/>
    <s v="Pregrado"/>
    <s v="ESCUELA INTERNACIONAL DE CIENCIAS ECONÓMICAS Y ADMINISTRATIVAS"/>
    <s v="https://ProfCatedra2024.sawtoothsoftware.com/cgi-bin/ciwweb.pl?studyname=ProfCatedra2024&amp;Correo=juan.quintero14@unisabana.edu.co1"/>
  </r>
  <r>
    <s v="julia.diaz@unisabana.edu.co"/>
    <s v="julia.diaz@unisabana.edu.co1"/>
    <s v="GESTIï¿½N DE OPERACIONES"/>
    <x v="96"/>
    <n v="154"/>
    <x v="0"/>
    <x v="1"/>
    <s v="Incompleta"/>
    <s v="Pregrado"/>
    <s v="ESCUELA INTERNACIONAL DE CIENCIAS ECONÓMICAS Y ADMINISTRATIVAS"/>
    <s v="https://ProfCatedra2024.sawtoothsoftware.com/cgi-bin/ciwweb.pl?studyname=ProfCatedra2024&amp;Correo=julia.diaz@unisabana.edu.co1"/>
  </r>
  <r>
    <s v="julianavete@unisabana.edu.co"/>
    <s v="julianavete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julianavete@unisabana.edu.co1"/>
  </r>
  <r>
    <s v="ka.lee@unisabana.edu.co"/>
    <s v="ka.lee@unisabana.edu.co1"/>
    <s v="CENTRO INTERNACIONAL DE LENGUAS Y CULTURAS EXTRANJERAS"/>
    <x v="19"/>
    <n v="210"/>
    <x v="0"/>
    <x v="1"/>
    <s v="Incompleta"/>
    <s v="Pregrado"/>
    <s v="CENTRO INTERNACIONAL DE LENGUAS Y CULTURAS EXTRANJERAS"/>
    <s v="https://ProfCatedra2024.sawtoothsoftware.com/cgi-bin/ciwweb.pl?studyname=ProfCatedra2024&amp;Correo=ka.lee@unisabana.edu.co1"/>
  </r>
  <r>
    <s v="laura.vanegas@unisabana.edu.co"/>
    <s v="laura.vanegas@unisabana.edu.co1"/>
    <s v="MERCADEO"/>
    <x v="24"/>
    <n v="156"/>
    <x v="0"/>
    <x v="1"/>
    <s v="Incompleta"/>
    <s v="Pregrado"/>
    <s v="ESCUELA INTERNACIONAL DE CIENCIAS ECONÓMICAS Y ADMINISTRATIVAS"/>
    <s v="https://ProfCatedra2024.sawtoothsoftware.com/cgi-bin/ciwweb.pl?studyname=ProfCatedra2024&amp;Correo=laura.vanegas@unisabana.edu.co1"/>
  </r>
  <r>
    <s v="leslie.aguirre@unisabana.edu.co"/>
    <s v="leslie.aguirre@unisabana.edu.co1"/>
    <s v="INGENIERï¿½A INDUSTRIAL"/>
    <x v="28"/>
    <n v="38"/>
    <x v="0"/>
    <x v="1"/>
    <s v="Incompleta"/>
    <s v="Pregrado"/>
    <s v="FACULTAD DE INGENIERÍA"/>
    <s v="https://ProfCatedra2024.sawtoothsoftware.com/cgi-bin/ciwweb.pl?studyname=ProfCatedra2024&amp;Correo=leslie.aguirre@unisabana.edu.co1"/>
  </r>
  <r>
    <s v="lina.gomez5@unisabana.edu.co"/>
    <s v="lina.gomez5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lina.gomez5@unisabana.edu.co1"/>
  </r>
  <r>
    <s v="luis.barrientos@unisabana.edu.co"/>
    <s v="luis.barrientos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luis.barrientos@unisabana.edu.co1"/>
  </r>
  <r>
    <s v="luis.contreras1@unisabana.edu.co"/>
    <s v="luis.contreras1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luis.contreras1@unisabana.edu.co1"/>
  </r>
  <r>
    <s v="luis.lopez8@unisabana.edu.co"/>
    <s v="luis.lopez8@unisabana.edu.co1"/>
    <s v="GESTIï¿½N DE OPERACIONES"/>
    <x v="96"/>
    <n v="154"/>
    <x v="0"/>
    <x v="1"/>
    <s v="Incompleta"/>
    <s v="Pregrado"/>
    <s v="ESCUELA INTERNACIONAL DE CIENCIAS ECONÓMICAS Y ADMINISTRATIVAS"/>
    <s v="https://ProfCatedra2024.sawtoothsoftware.com/cgi-bin/ciwweb.pl?studyname=ProfCatedra2024&amp;Correo=luis.lopez8@unisabana.edu.co1"/>
  </r>
  <r>
    <s v="luis.ordonez1@unisabana.edu.co"/>
    <s v="luis.ordonez1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luis.ordonez1@unisabana.edu.co1"/>
  </r>
  <r>
    <s v="luis_parra02@hotmail.com"/>
    <s v="luis_parra02@hotmail.com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luis_parra02@hotmail.com1"/>
  </r>
  <r>
    <s v="luisangro@unisabana.edu.co"/>
    <s v="luisangro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luisangro@unisabana.edu.co1"/>
  </r>
  <r>
    <s v="luz.dueri@unisabana.edu.co"/>
    <s v="luz.dueri@unisabana.edu.co1"/>
    <s v="FINANZAS"/>
    <x v="20"/>
    <n v="153"/>
    <x v="0"/>
    <x v="1"/>
    <s v="Incompleta"/>
    <s v="Pregrado"/>
    <s v="ESCUELA INTERNACIONAL DE CIENCIAS ECONÓMICAS Y ADMINISTRATIVAS"/>
    <s v="https://ProfCatedra2024.sawtoothsoftware.com/cgi-bin/ciwweb.pl?studyname=ProfCatedra2024&amp;Correo=luz.dueri@unisabana.edu.co1"/>
  </r>
  <r>
    <s v="maira.ortegon@unisabana.edu.co"/>
    <s v="maira.ortegon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maira.ortegon@unisabana.edu.co1"/>
  </r>
  <r>
    <s v="maria.granados1@unisabana.edu.co"/>
    <s v="MARIA.GRANADOS1@UNISABANA.EDU.CO1"/>
    <s v="PSICOLOGï¿½A"/>
    <x v="29"/>
    <n v="43"/>
    <x v="0"/>
    <x v="1"/>
    <s v="Incompleta"/>
    <s v="Pregrado"/>
    <s v="FACULTAD DE PSICOLOGÍA"/>
    <s v="https://ProfCatedra2024.sawtoothsoftware.com/cgi-bin/ciwweb.pl?studyname=ProfCatedra2024&amp;Correo=MARIA.GRANADOS1@UNISABANA.EDU.CO1"/>
  </r>
  <r>
    <s v="maria.lopez16@unisabana.edu.co"/>
    <s v="maria.lopez16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maria.lopez16@unisabana.edu.co1"/>
  </r>
  <r>
    <s v="maria.mora1@unisabana.edu.co"/>
    <s v="maria.mora1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maria.mora1@unisabana.edu.co1"/>
  </r>
  <r>
    <s v="maria.morales10@unisabana.edu.co"/>
    <s v="maria.morales10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maria.morales10@unisabana.edu.co1"/>
  </r>
  <r>
    <s v="maria.quevedo@unisabana.edu.co"/>
    <s v="maria.quevedo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maria.quevedo@unisabana.edu.co1"/>
  </r>
  <r>
    <s v="mariaderom@unisabana.edu.co"/>
    <s v="mariaderom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mariaderom@unisabana.edu.co1"/>
  </r>
  <r>
    <s v="mario.alvarez2@unisabana.edu.co"/>
    <s v="mario.alvarez2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mario.alvarez2@unisabana.edu.co1"/>
  </r>
  <r>
    <s v="mario.manzi@unisabana.edu.co"/>
    <s v="mario.manzi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mario.manzi@unisabana.edu.co1"/>
  </r>
  <r>
    <s v="marisolescru@unisabana.edu.co"/>
    <s v="marisolescru@unisabana.edu.co1"/>
    <s v="CORE CURRICULUM PERSONA Y CULTURA"/>
    <x v="36"/>
    <n v="211"/>
    <x v="0"/>
    <x v="1"/>
    <s v="Incompleta"/>
    <s v="Pregrado"/>
    <s v="CORE CURRICULUM PERSONA Y CULTURA"/>
    <s v="https://ProfCatedra2024.sawtoothsoftware.com/cgi-bin/ciwweb.pl?studyname=ProfCatedra2024&amp;Correo=marisolescru@unisabana.edu.co1"/>
  </r>
  <r>
    <s v="miguelesch@unisabana.edu.co"/>
    <s v="miguelesch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miguelesch@unisabana.edu.co1"/>
  </r>
  <r>
    <s v="nadia.olea1@unisabana.edu.co"/>
    <s v="nadia.olea1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nadia.olea1@unisabana.edu.co1"/>
  </r>
  <r>
    <s v="nancy.franco@unisabana.edu.co"/>
    <s v="nancy.franco@unisabana.edu.co1"/>
    <s v="LICENCIATURA EN EDUCACIï¿½N INFANTIL"/>
    <x v="34"/>
    <n v="32"/>
    <x v="0"/>
    <x v="1"/>
    <s v="Incompleta"/>
    <s v="Pregrado"/>
    <s v="FACULTAD DE EDUCACIÓN"/>
    <s v="https://ProfCatedra2024.sawtoothsoftware.com/cgi-bin/ciwweb.pl?studyname=ProfCatedra2024&amp;Correo=nancy.franco@unisabana.edu.co1"/>
  </r>
  <r>
    <s v="oscar.parra2@unisabana.edu.co"/>
    <s v="oscar.parra2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oscar.parra2@unisabana.edu.co1"/>
  </r>
  <r>
    <s v="pedro.garcia@unisabana.edu.co"/>
    <s v="pedro.garcia@unisabana.edu.co1"/>
    <s v="NEGOCIACIï¿½N Y COMERCIO INTERNACIONAL"/>
    <x v="91"/>
    <n v="157"/>
    <x v="0"/>
    <x v="1"/>
    <s v="Incompleta"/>
    <s v="Pregrado"/>
    <s v="ESCUELA INTERNACIONAL DE CIENCIAS ECONÓMICAS Y ADMINISTRATIVAS"/>
    <s v="https://ProfCatedra2024.sawtoothsoftware.com/cgi-bin/ciwweb.pl?studyname=ProfCatedra2024&amp;Correo=pedro.garcia@unisabana.edu.co1"/>
  </r>
  <r>
    <s v="pedrorasa@unisabana.edu.co"/>
    <s v="pedrorasa@unisabana.edu.co1"/>
    <s v="LICENCIATURA EN CIENCIAS NATURALES"/>
    <x v="3"/>
    <n v="31"/>
    <x v="0"/>
    <x v="1"/>
    <s v="Incompleta"/>
    <s v="Pregrado"/>
    <s v="FACULTAD DE EDUCACIÓN"/>
    <s v="https://ProfCatedra2024.sawtoothsoftware.com/cgi-bin/ciwweb.pl?studyname=ProfCatedra2024&amp;Correo=pedrorasa@unisabana.edu.co1"/>
  </r>
  <r>
    <s v="rodinson.arrieta_cont@unisabana.edu.co"/>
    <s v="rodinson.arrieta_cont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rodinson.arrieta_cont@unisabana.edu.co1"/>
  </r>
  <r>
    <s v="rodrigo.toro@unisabana.edu.co"/>
    <s v="rodrigo.toro@unisabana.edu.co1"/>
    <s v="COMUNICACIï¿½N SOCIAL Y PERIODISMO"/>
    <x v="15"/>
    <n v="28"/>
    <x v="0"/>
    <x v="1"/>
    <s v="Incompleta"/>
    <s v="Pregrado"/>
    <s v="FACULTAD DE COMUNICACIÓN"/>
    <s v="https://ProfCatedra2024.sawtoothsoftware.com/cgi-bin/ciwweb.pl?studyname=ProfCatedra2024&amp;Correo=rodrigo.toro@unisabana.edu.co1"/>
  </r>
  <r>
    <s v="s.tellolee@gmail.com"/>
    <s v="s.tellolee@gmail.com1"/>
    <s v="INGENIERï¿½A INDUSTRIAL"/>
    <x v="28"/>
    <n v="38"/>
    <x v="0"/>
    <x v="1"/>
    <s v="Incompleta"/>
    <s v="Pregrado"/>
    <s v="FACULTAD DE INGENIERÍA"/>
    <s v="https://ProfCatedra2024.sawtoothsoftware.com/cgi-bin/ciwweb.pl?studyname=ProfCatedra2024&amp;Correo=s.tellolee@gmail.com1"/>
  </r>
  <r>
    <s v="santiagoride@unisabana.edu.co"/>
    <s v="santiagoride@unisabana.edu.co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santiagoride@unisabana.edu.co1"/>
  </r>
  <r>
    <s v="sergiogr9506@gmail.com"/>
    <s v="sergiogr9506@gmail.com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sergiogr9506@gmail.com1"/>
  </r>
  <r>
    <s v="squevedor92@gmail.com"/>
    <s v="squevedor92@gmail.com1"/>
    <s v="INGENIERï¿½A INFORMï¿½TICA"/>
    <x v="31"/>
    <n v="39"/>
    <x v="0"/>
    <x v="1"/>
    <s v="Incompleta"/>
    <s v="Pregrado"/>
    <s v="FACULTAD DE INGENIERÍA"/>
    <s v="https://ProfCatedra2024.sawtoothsoftware.com/cgi-bin/ciwweb.pl?studyname=ProfCatedra2024&amp;Correo=squevedor92@gmail.com1"/>
  </r>
  <r>
    <s v="stephan.langdon@unisabana.edu.co"/>
    <s v="stephan.langdon@unisabana.edu.co1"/>
    <s v="NEGOCIACIï¿½N Y COMERCIO INTERNACIONAL"/>
    <x v="91"/>
    <n v="157"/>
    <x v="0"/>
    <x v="1"/>
    <s v="Incompleta"/>
    <s v="Pregrado"/>
    <s v="ESCUELA INTERNACIONAL DE CIENCIAS ECONÓMICAS Y ADMINISTRATIVAS"/>
    <s v="https://ProfCatedra2024.sawtoothsoftware.com/cgi-bin/ciwweb.pl?studyname=ProfCatedra2024&amp;Correo=stephan.langdon@unisabana.edu.co1"/>
  </r>
  <r>
    <s v="tatiana.monsalve@unisabana.edu.co"/>
    <s v="tatiana.monsalve@unisabana.edu.co1"/>
    <s v="INNOVACIï¿½N Y EMPRENDIMIENTO"/>
    <x v="58"/>
    <n v="155"/>
    <x v="0"/>
    <x v="1"/>
    <s v="Incompleta"/>
    <s v="Pregrado"/>
    <s v="ESCUELA INTERNACIONAL DE CIENCIAS ECONÓMICAS Y ADMINISTRATIVAS"/>
    <s v="https://ProfCatedra2024.sawtoothsoftware.com/cgi-bin/ciwweb.pl?studyname=ProfCatedra2024&amp;Correo=tatiana.monsalve@unisabana.edu.co1"/>
  </r>
  <r>
    <s v="valentina.vieira1@unisabana.edu.co"/>
    <s v="valentina.vieira1@unisabana.edu.co1"/>
    <s v="COMUNICACIï¿½N CORPORATIVA"/>
    <x v="43"/>
    <n v="26"/>
    <x v="0"/>
    <x v="1"/>
    <s v="Incompleta"/>
    <s v="Pregrado"/>
    <s v="FACULTAD DE COMUNICACIÓN"/>
    <s v="https://ProfCatedra2024.sawtoothsoftware.com/cgi-bin/ciwweb.pl?studyname=ProfCatedra2024&amp;Correo=valentina.vieira1@unisabana.edu.co1"/>
  </r>
  <r>
    <s v="vera.nunez@unisabana.edu.co"/>
    <s v="vera.nunez@unisabana.edu.co1"/>
    <s v="ENFERMERï¿½A"/>
    <x v="57"/>
    <n v="33"/>
    <x v="0"/>
    <x v="1"/>
    <s v="Incompleta"/>
    <s v="Pregrado"/>
    <s v="FACULTAD DE ENFERMERÍA Y REHABILITACIÓN"/>
    <s v="https://ProfCatedra2024.sawtoothsoftware.com/cgi-bin/ciwweb.pl?studyname=ProfCatedra2024&amp;Correo=vera.nunez@unisabana.edu.co1"/>
  </r>
  <r>
    <s v="victor.alvarez@unisabana.edu.co"/>
    <s v="victor.alvarez@unisabana.edu.co1"/>
    <s v="INGENIERï¿½A QUï¿½MICA"/>
    <x v="16"/>
    <n v="41"/>
    <x v="0"/>
    <x v="1"/>
    <s v="Incompleta"/>
    <s v="Pregrado"/>
    <s v="FACULTAD DE INGENIERÍA"/>
    <s v="https://ProfCatedra2024.sawtoothsoftware.com/cgi-bin/ciwweb.pl?studyname=ProfCatedra2024&amp;Correo=victor.alvarez@unisabana.edu.co1"/>
  </r>
  <r>
    <s v="victor.rojas1@unisabana.edu.co"/>
    <s v="victor.rojas1@unisabana.edu.co1"/>
    <s v="LICENCIATURA EN EDUCACIï¿½N INFANTIL"/>
    <x v="34"/>
    <n v="32"/>
    <x v="0"/>
    <x v="1"/>
    <s v="Incompleta"/>
    <s v="Pregrado"/>
    <s v="FACULTAD DE EDUCACIÓN"/>
    <s v="https://ProfCatedra2024.sawtoothsoftware.com/cgi-bin/ciwweb.pl?studyname=ProfCatedra2024&amp;Correo=victor.rojas1@unisabana.edu.co1"/>
  </r>
  <r>
    <s v="william.torres@unisabana.edu.co"/>
    <s v="william.torres@unisabana.edu.co1"/>
    <s v="INGENIERï¿½A INDUSTRIAL"/>
    <x v="28"/>
    <n v="38"/>
    <x v="0"/>
    <x v="1"/>
    <s v="Incompleta"/>
    <s v="Pregrado"/>
    <s v="FACULTAD DE INGENIERÍA"/>
    <s v="https://ProfCatedra2024.sawtoothsoftware.com/cgi-bin/ciwweb.pl?studyname=ProfCatedra2024&amp;Correo=william.torres@unisabana.edu.co1"/>
  </r>
  <r>
    <s v="wilson.balaguera@unisabana.edu.co"/>
    <s v="wilson.balaguera@unisabana.edu.co1"/>
    <s v="CENTRO INTERNACIONAL DE LENGUAS Y CULTURAS EXTRANJERAS"/>
    <x v="19"/>
    <n v="210"/>
    <x v="0"/>
    <x v="1"/>
    <s v="Incompleta"/>
    <s v="Pregrado"/>
    <s v="CENTRO INTERNACIONAL DE LENGUAS Y CULTURAS EXTRANJERAS"/>
    <s v="https://ProfCatedra2024.sawtoothsoftware.com/cgi-bin/ciwweb.pl?studyname=ProfCatedra2024&amp;Correo=wilson.balaguera@unisabana.edu.co1"/>
  </r>
  <r>
    <s v="oscar.parra2@unisabana.edu.co"/>
    <s v="oscar.parra2@unisabana.edu.co2"/>
    <s v="COMUNICACIï¿½N AUDIOVISUAL Y MULTIMEDIOS"/>
    <x v="23"/>
    <n v="27"/>
    <x v="0"/>
    <x v="1"/>
    <s v="Incompleta"/>
    <s v="Pregrado"/>
    <s v="FACULTAD DE COMUNICACIÓN"/>
    <s v="https://ProfCatedra2024.sawtoothsoftware.com/cgi-bin/ciwweb.pl?studyname=ProfCatedra2024&amp;Correo=oscar.parra2@unisabana.edu.co2"/>
  </r>
  <r>
    <s v="yaleni.solano@unisabana.edu.co"/>
    <s v="yaleni.solano@unisabana.edu.co3"/>
    <s v="COMUNICACIï¿½N CORPORATIVA"/>
    <x v="43"/>
    <n v="26"/>
    <x v="0"/>
    <x v="1"/>
    <s v="Incompleta"/>
    <s v="Pregrado"/>
    <s v="FACULTAD DE COMUNICACIÓN"/>
    <s v="https://ProfCatedra2024.sawtoothsoftware.com/cgi-bin/ciwweb.pl?studyname=ProfCatedra2024&amp;Correo=yaleni.solano@unisabana.edu.co3"/>
  </r>
  <r>
    <s v="maria.areiza@unisabana.edu.co"/>
    <s v="maria.areiza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maria.areiza@unisabana.edu.co1"/>
  </r>
  <r>
    <s v="gabriel.ariza1@unisabana.edu.co"/>
    <s v="gabriel.ariza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gabriel.ariza1@unisabana.edu.co1"/>
  </r>
  <r>
    <s v="carlos.bustamante@unisabana.edu.co"/>
    <s v="carlos.bustamante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carlos.bustamante@unisabana.edu.co1"/>
  </r>
  <r>
    <s v="francisco.calle@unisabana.edu.co"/>
    <s v="francisco.calle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francisco.calle@unisabana.edu.co1"/>
  </r>
  <r>
    <s v="jorge.casas1@unisabana.edu.co"/>
    <s v="jorge.casas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jorge.casas1@unisabana.edu.co1"/>
  </r>
  <r>
    <s v="freddy.cifuentes1@unisabana.edu.co"/>
    <s v="freddy.cifuentes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freddy.cifuentes1@unisabana.edu.co1"/>
  </r>
  <r>
    <s v="angela.correal2@unisabana.edu.co"/>
    <s v="angela.correal2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angela.correal2@unisabana.edu.co1"/>
  </r>
  <r>
    <s v="marisol.escano@unisabana.edu.co"/>
    <s v="marisol.escano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marisol.escano@unisabana.edu.co1"/>
  </r>
  <r>
    <s v="zhenia.guzman@unisabana.edu.co"/>
    <s v="zhenia.guzman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zhenia.guzman@unisabana.edu.co1"/>
  </r>
  <r>
    <s v="guillermo.hunter@unisabana.edu.co"/>
    <s v="guillermo.hunter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guillermo.hunter@unisabana.edu.co1"/>
  </r>
  <r>
    <s v="angie.lopez1@unisabana.edu.co"/>
    <s v="angie.lopez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angie.lopez1@unisabana.edu.co1"/>
  </r>
  <r>
    <s v="ana.moreno4@unisabana.edu.co"/>
    <s v="ana.moreno4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ana.moreno4@unisabana.edu.co1"/>
  </r>
  <r>
    <s v="nathaly.motta@unisabana.edu.co"/>
    <s v="nathaly.motta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nathaly.motta@unisabana.edu.co1"/>
  </r>
  <r>
    <s v="fanny.nino@unisabana.edu.co"/>
    <s v="fanny.nino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fanny.nino@unisabana.edu.co1"/>
  </r>
  <r>
    <s v="laura.perez2@unisabana.edu.co"/>
    <s v="laura.perez2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laura.perez2@unisabana.edu.co1"/>
  </r>
  <r>
    <s v="luisa.prieto1@unisabana.edu.co"/>
    <s v="luisa.prieto1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luisa.prieto1@unisabana.edu.co1"/>
  </r>
  <r>
    <s v="diana.suarez8@unisabana.edu.co"/>
    <s v="diana.suarez8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diana.suarez8@unisabana.edu.co1"/>
  </r>
  <r>
    <s v="elga.taboada@clinicaunisabana.edu.co"/>
    <s v="Elga.Taboada@clinica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Elga.Taboada@clinicaunisabana.edu.co1"/>
  </r>
  <r>
    <s v="rafael.tinoco@unisabana.edu.co"/>
    <s v="rafael.tinoco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rafael.tinoco@unisabana.edu.co1"/>
  </r>
  <r>
    <s v="angelicavadu@unisabana.edu.co"/>
    <s v="angelicavadu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angelicavadu@unisabana.edu.co1"/>
  </r>
  <r>
    <s v="john.villegas@unisabana.edu.co"/>
    <s v="john.villegas@unisabana.edu.co1"/>
    <s v="MEDICINA"/>
    <x v="4"/>
    <n v="42"/>
    <x v="0"/>
    <x v="1"/>
    <s v="Incompleta"/>
    <s v="Pregrado"/>
    <s v="FACULTAD DE MEDICINA"/>
    <s v="https://ProfCatedra2024.sawtoothsoftware.com/cgi-bin/ciwweb.pl?studyname=ProfCatedra2024&amp;Correo=john.villegas@unisabana.edu.co1"/>
  </r>
  <r>
    <s v="gerencia@seguridadsocialcolmbia.com.co"/>
    <s v="GERENCIA@SEGURIDADSOCIALCOLMBIA.COM.CO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GERENCIA@SEGURIDADSOCIALCOLMBIA.COM.CO1"/>
  </r>
  <r>
    <s v="acastrillon@kpmg.com"/>
    <s v="ACASTRILLON@KPMG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ACASTRILLON@KPMG.COM1"/>
  </r>
  <r>
    <s v="adriana.castro1@unisabana.edu.co"/>
    <s v="adriana.castro1@unisabana.edu.co01"/>
    <s v="Maestrï¿½a en Diseï¿½o y Gestiï¿½n de Procesos - Chï¿½a"/>
    <x v="97"/>
    <n v="73"/>
    <x v="0"/>
    <x v="1"/>
    <s v="Incompleta"/>
    <s v="Posgrado"/>
    <s v="FACULTAD DE INGENIERÍA"/>
    <s v="https://ProfCatedra2024.sawtoothsoftware.com/cgi-bin/ciwweb.pl?studyname=ProfCatedra2024&amp;Correo=adriana.castro1@unisabana.edu.co01"/>
  </r>
  <r>
    <s v="adriana.lopez5@unisabana.edu.co"/>
    <s v="adriana.lopez5@unisabana.edu.co01"/>
    <s v="MAESTRï¿½A EN DESARROLLO INFANTIL - RIOHACHA"/>
    <x v="42"/>
    <n v="88"/>
    <x v="0"/>
    <x v="1"/>
    <s v="Incompleta"/>
    <s v="Posgrado"/>
    <s v="FACULTAD DE EDUCACIÓN"/>
    <s v="https://ProfCatedra2024.sawtoothsoftware.com/cgi-bin/ciwweb.pl?studyname=ProfCatedra2024&amp;Correo=adriana.lopez5@unisabana.edu.co01"/>
  </r>
  <r>
    <s v="alejandrahear@unisabana.edu.co"/>
    <s v="alejandrahear@unisabana.edu.co01"/>
    <s v="Maestrï¿½a en Diseï¿½o y Gestiï¿½n de Procesos - Chï¿½a"/>
    <x v="97"/>
    <n v="73"/>
    <x v="0"/>
    <x v="1"/>
    <s v="Incompleta"/>
    <s v="Posgrado"/>
    <s v="FACULTAD DE INGENIERÍA"/>
    <s v="https://ProfCatedra2024.sawtoothsoftware.com/cgi-bin/ciwweb.pl?studyname=ProfCatedra2024&amp;Correo=alejandrahear@unisabana.edu.co01"/>
  </r>
  <r>
    <s v="ana.grandas1@unisabana.edu.co"/>
    <s v="ana.grandas1@unisabana.edu.co0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ana.grandas1@unisabana.edu.co01"/>
  </r>
  <r>
    <s v="andrea.medina@unisabana.edu.co"/>
    <s v="andrea.medina@unisabana.edu.co01"/>
    <s v="Especializaciï¿½n en Gerencia Educativa - Chï¿½a"/>
    <x v="98"/>
    <n v="103"/>
    <x v="0"/>
    <x v="1"/>
    <s v="Incompleta"/>
    <s v="Posgrado"/>
    <s v="FACULTAD DE EDUCACIÓN"/>
    <s v="https://ProfCatedra2024.sawtoothsoftware.com/cgi-bin/ciwweb.pl?studyname=ProfCatedra2024&amp;Correo=andrea.medina@unisabana.edu.co01"/>
  </r>
  <r>
    <s v="andres.angarita1@unisabana.edu.co"/>
    <s v="andres.angarita1@unisabana.edu.co01"/>
    <s v="Especializaciï¿½n en Emprendimiento y Negocios Digitales- Chï¿½a"/>
    <x v="0"/>
    <n v="202"/>
    <x v="0"/>
    <x v="0"/>
    <s v="Incompleta"/>
    <s v="Posgrado"/>
    <s v="INSTITUTO FORUM"/>
    <s v="https://ProfCatedra2024.sawtoothsoftware.com/cgi-bin/ciwweb.pl?studyname=ProfCatedra2024&amp;Correo=andres.angarita1@unisabana.edu.co01"/>
  </r>
  <r>
    <s v="andres.betancourt1@unisabana.edu.co"/>
    <s v="andres.betancourt1@unisabana.edu.co01"/>
    <s v="Especializaciï¿½n en Neurologï¿½a"/>
    <x v="99"/>
    <n v="12"/>
    <x v="0"/>
    <x v="1"/>
    <s v="Incompleta"/>
    <s v="Posgrado"/>
    <s v="FACULTAD DE MEDICINA"/>
    <s v="https://ProfCatedra2024.sawtoothsoftware.com/cgi-bin/ciwweb.pl?studyname=ProfCatedra2024&amp;Correo=andres.betancourt1@unisabana.edu.co01"/>
  </r>
  <r>
    <s v="andres.mancipe@gmail.com"/>
    <s v="ANDRES.MANCIPE@GMAIL.COM1"/>
    <s v="ESPECIALIZACION EN CONTRATACION ESTATAL IBAGUE"/>
    <x v="66"/>
    <n v="121"/>
    <x v="0"/>
    <x v="1"/>
    <s v="Incompleta"/>
    <s v="Posgrado"/>
    <s v="FACULTAD DE DERECHO Y CIENCIAS POLÍTICAS"/>
    <s v="https://ProfCatedra2024.sawtoothsoftware.com/cgi-bin/ciwweb.pl?studyname=ProfCatedra2024&amp;Correo=ANDRES.MANCIPE@GMAIL.COM1"/>
  </r>
  <r>
    <s v="andres.martinez10@unisabana.edu.co"/>
    <s v="andres.martinez10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andres.martinez10@unisabana.edu.co01"/>
  </r>
  <r>
    <s v="andres.montoyad1@gmail.com"/>
    <s v="andres.montoyad1@gmail.com1"/>
    <s v="Especializaciï¿½n en Gastroenterologï¿½a"/>
    <x v="100"/>
    <n v="17"/>
    <x v="0"/>
    <x v="1"/>
    <s v="Incompleta"/>
    <s v="Posgrado"/>
    <s v="FACULTAD DE MEDICINA"/>
    <s v="https://ProfCatedra2024.sawtoothsoftware.com/cgi-bin/ciwweb.pl?studyname=ProfCatedra2024&amp;Correo=andres.montoyad1@gmail.com1"/>
  </r>
  <r>
    <s v="angela.aillon@unisabana.edu.co"/>
    <s v="angela.aillon@unisabana.edu.co01"/>
    <s v="Especializaciï¿½n en Gestiï¿½n para el Desarrollo Humano en la Organizaciï¿½n - Chï¿½a"/>
    <x v="39"/>
    <n v="141"/>
    <x v="0"/>
    <x v="1"/>
    <s v="Incompleta"/>
    <s v="Posgrado"/>
    <s v="INSTITUTO FORUM"/>
    <s v="https://ProfCatedra2024.sawtoothsoftware.com/cgi-bin/ciwweb.pl?studyname=ProfCatedra2024&amp;Correo=angela.aillon@unisabana.edu.co01"/>
  </r>
  <r>
    <s v="angela.bertieri@unisabana.edu.co"/>
    <s v="angela.bertieri@unisabana.edu.co01"/>
    <s v="Maestrï¿½a en Gerencia de la Innovaciï¿½n"/>
    <x v="67"/>
    <n v="49"/>
    <x v="0"/>
    <x v="0"/>
    <s v="Incompleta"/>
    <s v="Posgrado"/>
    <s v="ESCUELA INTERNACIONAL DE CIENCIAS ECONÓMICAS Y ADMINISTRATIVAS"/>
    <s v="https://ProfCatedra2024.sawtoothsoftware.com/cgi-bin/ciwweb.pl?studyname=ProfCatedra2024&amp;Correo=angela.bertieri@unisabana.edu.co01"/>
  </r>
  <r>
    <s v="angela.dominguez2@unisabana.edu.co"/>
    <s v="angela.dominguez2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angela.dominguez2@unisabana.edu.co01"/>
  </r>
  <r>
    <s v="aris.rodriguez@unisabana.edu.co"/>
    <s v="aris.rodriguez@unisabana.edu.co01"/>
    <s v="Especializaciï¿½n en Gestiï¿½n para el Desarrollo Humano en la Organizaciï¿½n - Chï¿½a"/>
    <x v="39"/>
    <n v="141"/>
    <x v="0"/>
    <x v="1"/>
    <s v="Incompleta"/>
    <s v="Posgrado"/>
    <s v="INSTITUTO FORUM"/>
    <s v="https://ProfCatedra2024.sawtoothsoftware.com/cgi-bin/ciwweb.pl?studyname=ProfCatedra2024&amp;Correo=aris.rodriguez@unisabana.edu.co01"/>
  </r>
  <r>
    <s v="beatriz.lara1@unisabana.edu.co"/>
    <s v="beatriz.lara1@unisabana.edu.co01"/>
    <s v="Especializaciï¿½n en Gestiï¿½n para el Desarrollo Humano en la Organizaciï¿½n - Bogotï¿½"/>
    <x v="101"/>
    <n v="209"/>
    <x v="0"/>
    <x v="1"/>
    <s v="Incompleta"/>
    <s v="Posgrado"/>
    <s v="INSTITUTO FORUM"/>
    <s v="https://ProfCatedra2024.sawtoothsoftware.com/cgi-bin/ciwweb.pl?studyname=ProfCatedra2024&amp;Correo=beatriz.lara1@unisabana.edu.co01"/>
  </r>
  <r>
    <s v="camilo.aljure@unisabana.edu.co"/>
    <s v="camilo.aljure@unisabana.edu.co01"/>
    <s v="Especializaciï¿½n en Gestiï¿½n para el Desarrollo Humano en la Organizaciï¿½n - Chï¿½a"/>
    <x v="39"/>
    <n v="141"/>
    <x v="0"/>
    <x v="1"/>
    <s v="Incompleta"/>
    <s v="Posgrado"/>
    <s v="INSTITUTO FORUM"/>
    <s v="https://ProfCatedra2024.sawtoothsoftware.com/cgi-bin/ciwweb.pl?studyname=ProfCatedra2024&amp;Correo=camilo.aljure@unisabana.edu.co01"/>
  </r>
  <r>
    <s v="camiloguzman63@outlook.com"/>
    <s v="CAMILOGUZMAN63@OUTLOOK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CAMILOGUZMAN63@OUTLOOK.COM1"/>
  </r>
  <r>
    <s v="carlos.tapias1@unisabana.edu.co"/>
    <s v="carlos.tapias1@unisabana.edu.co01"/>
    <s v="Especializaciï¿½n en Electrofisiologï¿½a Cardiovascular"/>
    <x v="102"/>
    <n v="4"/>
    <x v="0"/>
    <x v="1"/>
    <s v="Incompleta"/>
    <s v="Posgrado"/>
    <s v="FACULTAD DE MEDICINA"/>
    <s v="https://ProfCatedra2024.sawtoothsoftware.com/cgi-bin/ciwweb.pl?studyname=ProfCatedra2024&amp;Correo=carlos.tapias1@unisabana.edu.co01"/>
  </r>
  <r>
    <s v="carlos.villalba@clinicaunisabana.edu.co"/>
    <s v="carlos.villalba@clinica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carlos.villalba@clinicaunisabana.edu.co01"/>
  </r>
  <r>
    <s v="cesar.roma@dret.legal1"/>
    <s v="CESAR.ROMA@DRET.LEGAL1"/>
    <s v="MAESTRIA EN DERECHO DE LA EMPRESA Y DE LOS NEGOCIOS"/>
    <x v="9"/>
    <n v="55"/>
    <x v="0"/>
    <x v="0"/>
    <s v="Incompleta"/>
    <s v="Posgrado"/>
    <s v="FACULTAD DE DERECHO Y CIENCIAS POLÍTICAS"/>
    <s v="https://ProfCatedra2024.sawtoothsoftware.com/cgi-bin/ciwweb.pl?studyname=ProfCatedra2024&amp;Correo=CESAR.ROMA@DRET.LEGAL1"/>
  </r>
  <r>
    <s v="cherrera@gmail.com"/>
    <s v="CHERRERA@GMAIL.COM1"/>
    <s v="Especializaciï¿½n en Contrataciï¿½n Estatal - Chï¿½a"/>
    <x v="64"/>
    <n v="97"/>
    <x v="0"/>
    <x v="1"/>
    <s v="Incompleta"/>
    <s v="Posgrado"/>
    <s v="FACULTAD DE DERECHO Y CIENCIAS POLÍTICAS"/>
    <s v="https://ProfCatedra2024.sawtoothsoftware.com/cgi-bin/ciwweb.pl?studyname=ProfCatedra2024&amp;Correo=CHERRERA@GMAIL.COM1"/>
  </r>
  <r>
    <s v="juan.osman@unisabana.edu.co"/>
    <s v="juan.osman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juan.osman@unisabana.edu.co1"/>
  </r>
  <r>
    <s v="claudia.poveda1@unisabana.edu.co"/>
    <s v="claudia.poveda1@unisabana.edu.co01"/>
    <s v="Especializaciï¿½n en Medicina Crï¿½tica y Cuidado Intensivo"/>
    <x v="103"/>
    <n v="7"/>
    <x v="0"/>
    <x v="1"/>
    <s v="Incompleta"/>
    <s v="Posgrado"/>
    <s v="FACULTAD DE MEDICINA"/>
    <s v="https://ProfCatedra2024.sawtoothsoftware.com/cgi-bin/ciwweb.pl?studyname=ProfCatedra2024&amp;Correo=claudia.poveda1@unisabana.edu.co01"/>
  </r>
  <r>
    <s v="claudiapem@unisabana.edu.co"/>
    <s v="Claudiapem@unisabana.edu.co01"/>
    <s v="Especializaciï¿½n en Enfermerï¿½a en Cuidado Crï¿½tico - Chï¿½a"/>
    <x v="10"/>
    <n v="104"/>
    <x v="0"/>
    <x v="1"/>
    <s v="Incompleta"/>
    <s v="Posgrado"/>
    <s v="FACULTAD DE ENFERMERÍA Y REHABILITACIÓN"/>
    <s v="https://ProfCatedra2024.sawtoothsoftware.com/cgi-bin/ciwweb.pl?studyname=ProfCatedra2024&amp;Correo=Claudiapem@unisabana.edu.co01"/>
  </r>
  <r>
    <s v="contanza.alarcon@unisabana.edu.co"/>
    <s v="contanza.alarcon@unisabana.edu.co01"/>
    <s v="Maestrï¿½a en Desarrollo Infantil - Riohacha"/>
    <x v="42"/>
    <n v="88"/>
    <x v="0"/>
    <x v="1"/>
    <s v="Incompleta"/>
    <s v="Posgrado"/>
    <s v="FACULTAD DE EDUCACIÓN"/>
    <s v="https://ProfCatedra2024.sawtoothsoftware.com/cgi-bin/ciwweb.pl?studyname=ProfCatedra2024&amp;Correo=contanza.alarcon@unisabana.edu.co01"/>
  </r>
  <r>
    <s v="cristhiandavi1@hotmail.com"/>
    <s v="CRISTHIANDAVI1@HOT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CRISTHIANDAVI1@HOTMAIL.COM1"/>
  </r>
  <r>
    <s v="daniel.prieto@unisabana.edu.co"/>
    <s v="daniel.prieto@unisabana.edu.co01"/>
    <s v="Maestrï¿½a en Gerencia de Inversiï¿½n"/>
    <x v="26"/>
    <n v="45"/>
    <x v="0"/>
    <x v="0"/>
    <s v="Incompleta"/>
    <s v="Posgrado"/>
    <s v="ESCUELA INTERNACIONAL DE CIENCIAS ECONÓMICAS Y ADMINISTRATIVAS"/>
    <s v="https://ProfCatedra2024.sawtoothsoftware.com/cgi-bin/ciwweb.pl?studyname=ProfCatedra2024&amp;Correo=daniel.prieto@unisabana.edu.co01"/>
  </r>
  <r>
    <s v="david.rozo@unisabana.edu.co"/>
    <s v="david.rozo@unisabana.edu.co01"/>
    <s v="Maestrï¿½a en Analï¿½tica Aplicada - Chï¿½a"/>
    <x v="18"/>
    <n v="75"/>
    <x v="0"/>
    <x v="1"/>
    <s v="Incompleta"/>
    <s v="Posgrado"/>
    <s v="FACULTAD DE INGENIERÍA"/>
    <s v="https://ProfCatedra2024.sawtoothsoftware.com/cgi-bin/ciwweb.pl?studyname=ProfCatedra2024&amp;Correo=david.rozo@unisabana.edu.co01"/>
  </r>
  <r>
    <s v="diana.hernnadez@rhcadvisers.co"/>
    <s v="DIANA.HERNNADEZ@RHCADVISERS.CO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DIANA.HERNNADEZ@RHCADVISERS.CO1"/>
  </r>
  <r>
    <s v="diana.santana1@unisabana.edu.co"/>
    <s v="diana.santana1@unisabana.edu.co01"/>
    <s v="Especializaciï¿½n en Responsabilidad Civil y del Estado - Chï¿½a"/>
    <x v="5"/>
    <n v="101"/>
    <x v="0"/>
    <x v="1"/>
    <s v="Incompleta"/>
    <s v="Posgrado"/>
    <s v="FACULTAD DE DERECHO Y CIENCIAS POLÍTICAS"/>
    <s v="https://ProfCatedra2024.sawtoothsoftware.com/cgi-bin/ciwweb.pl?studyname=ProfCatedra2024&amp;Correo=diana.santana1@unisabana.edu.co01"/>
  </r>
  <r>
    <s v="dianispeba@hotmail.com"/>
    <s v="DIANISPEBA@HOTMAIL.COM1"/>
    <s v="MAESTRIA EN DERECHO DE LA EMPRESA Y DE LOS NEGOCIOS"/>
    <x v="9"/>
    <n v="55"/>
    <x v="0"/>
    <x v="0"/>
    <s v="Incompleta"/>
    <s v="Posgrado"/>
    <s v="FACULTAD DE DERECHO Y CIENCIAS POLÍTICAS"/>
    <s v="https://ProfCatedra2024.sawtoothsoftware.com/cgi-bin/ciwweb.pl?studyname=ProfCatedra2024&amp;Correo=DIANISPEBA@HOTMAIL.COM1"/>
  </r>
  <r>
    <s v="juan.ramirez1@unisabana.edu.co"/>
    <s v="juan.ramirez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an.ramirez1@unisabana.edu.co1"/>
  </r>
  <r>
    <s v="diego.guevara@unisabana.edu.co"/>
    <s v="diego.guevara@unisabana.edu.co01"/>
    <s v="Maestrï¿½a en Gerencia Estratï¿½gica"/>
    <x v="35"/>
    <n v="47"/>
    <x v="0"/>
    <x v="0"/>
    <s v="Incompleta"/>
    <s v="Posgrado"/>
    <s v="ESCUELA INTERNACIONAL DE CIENCIAS ECONÓMICAS Y ADMINISTRATIVAS"/>
    <s v="https://ProfCatedra2024.sawtoothsoftware.com/cgi-bin/ciwweb.pl?studyname=ProfCatedra2024&amp;Correo=diego.guevara@unisabana.edu.co01"/>
  </r>
  <r>
    <s v="diego.hernandez3@unisabana.edu.co"/>
    <s v="diego.hernandez3@unisabana.edu.co01"/>
    <s v="Especializaciï¿½n en Gerencia de Proyectos con Enfoque en Habilidades Directivas - Bogotï¿½"/>
    <x v="93"/>
    <n v="208"/>
    <x v="0"/>
    <x v="1"/>
    <s v="Incompleta"/>
    <s v="Posgrado"/>
    <s v="INSTITUTO FORUM"/>
    <s v="https://ProfCatedra2024.sawtoothsoftware.com/cgi-bin/ciwweb.pl?studyname=ProfCatedra2024&amp;Correo=diego.hernandez3@unisabana.edu.co01"/>
  </r>
  <r>
    <s v="edgar.munar@unisabana.edu.co"/>
    <s v="edgar.munar@unisabana.edu.co01"/>
    <s v="Maestrï¿½a en Salud Pï¿½blica"/>
    <x v="70"/>
    <n v="79"/>
    <x v="0"/>
    <x v="1"/>
    <s v="Incompleta"/>
    <s v="Posgrado"/>
    <s v="FACULTAD DE MEDICINA"/>
    <s v="https://ProfCatedra2024.sawtoothsoftware.com/cgi-bin/ciwweb.pl?studyname=ProfCatedra2024&amp;Correo=edgar.munar@unisabana.edu.co01"/>
  </r>
  <r>
    <s v="eduardoarce@yahoo.es1"/>
    <s v="EDUARDOARCE@YAHOO.ES1"/>
    <s v="MAESTRIA EN DERECHO DE LA EMPRESA Y DE LOS NEGOCIOS"/>
    <x v="9"/>
    <n v="55"/>
    <x v="0"/>
    <x v="0"/>
    <s v="Incompleta"/>
    <s v="Posgrado"/>
    <s v="FACULTAD DE DERECHO Y CIENCIAS POLÍTICAS"/>
    <s v="https://ProfCatedra2024.sawtoothsoftware.com/cgi-bin/ciwweb.pl?studyname=ProfCatedra2024&amp;Correo=EDUARDOARCE@YAHOO.ES1"/>
  </r>
  <r>
    <s v="eduenas@neumologica.org1"/>
    <s v="eduenas@neumologica.org1"/>
    <s v="Especializaciï¿½n en Neumologï¿½a Pediï¿½trica"/>
    <x v="104"/>
    <n v="19"/>
    <x v="0"/>
    <x v="1"/>
    <s v="Incompleta"/>
    <s v="Posgrado"/>
    <s v="FACULTAD DE MEDICINA"/>
    <s v="https://ProfCatedra2024.sawtoothsoftware.com/cgi-bin/ciwweb.pl?studyname=ProfCatedra2024&amp;Correo=eduenas@neumologica.org1"/>
  </r>
  <r>
    <s v="edwiny_87@hotmail.com"/>
    <s v="EDWINY_87@HOTMAIL.COM1"/>
    <s v="Especializaciï¿½n en Responsabilidad Civil y del Estado - Chï¿½a"/>
    <x v="5"/>
    <n v="101"/>
    <x v="0"/>
    <x v="1"/>
    <s v="Incompleta"/>
    <s v="Posgrado"/>
    <s v="FACULTAD DE DERECHO Y CIENCIAS POLÍTICAS"/>
    <s v="https://ProfCatedra2024.sawtoothsoftware.com/cgi-bin/ciwweb.pl?studyname=ProfCatedra2024&amp;Correo=EDWINY_87@HOTMAIL.COM1"/>
  </r>
  <r>
    <s v="enriquerm@unisabana.edu.co"/>
    <s v="EnriqueRM@unisabana.edu.co01"/>
    <s v="Maestrï¿½a en Gerencia de Operaciones"/>
    <x v="86"/>
    <n v="46"/>
    <x v="0"/>
    <x v="1"/>
    <s v="Incompleta"/>
    <s v="Posgrado"/>
    <s v="ESCUELA INTERNACIONAL DE CIENCIAS ECONÓMICAS Y ADMINISTRATIVAS"/>
    <s v="https://ProfCatedra2024.sawtoothsoftware.com/cgi-bin/ciwweb.pl?studyname=ProfCatedra2024&amp;Correo=EnriqueRM@unisabana.edu.co01"/>
  </r>
  <r>
    <s v="fabricio_mantilla@hotmail.com"/>
    <s v="fabricio_mantilla@hotmail.com1"/>
    <s v="MAESTRIA EN DERECHO DE LA EMPRESA Y DE LOS NEGOCIOS"/>
    <x v="9"/>
    <n v="55"/>
    <x v="0"/>
    <x v="0"/>
    <s v="Incompleta"/>
    <s v="Posgrado"/>
    <s v="FACULTAD DE DERECHO Y CIENCIAS POLÍTICAS"/>
    <s v="https://ProfCatedra2024.sawtoothsoftware.com/cgi-bin/ciwweb.pl?studyname=ProfCatedra2024&amp;Correo=fabricio_mantilla@hotmail.com1"/>
  </r>
  <r>
    <s v="ferpal48@hotmail.com"/>
    <s v="FERPAL48@HOTMAIL.COM1"/>
    <s v="Especializaciï¿½n en Derecho Comercial - Chï¿½a"/>
    <x v="105"/>
    <n v="98"/>
    <x v="0"/>
    <x v="1"/>
    <s v="Incompleta"/>
    <s v="Posgrado"/>
    <s v="FACULTAD DE DERECHO Y CIENCIAS POLÍTICAS"/>
    <s v="https://ProfCatedra2024.sawtoothsoftware.com/cgi-bin/ciwweb.pl?studyname=ProfCatedra2024&amp;Correo=FERPAL48@HOTMAIL.COM1"/>
  </r>
  <r>
    <s v="fidelsm@unisabana.edu.co"/>
    <s v="FidelSM@unisabana.edu.co01"/>
    <s v="Especializaciï¿½n en Neurologï¿½a"/>
    <x v="99"/>
    <n v="12"/>
    <x v="0"/>
    <x v="1"/>
    <s v="Incompleta"/>
    <s v="Posgrado"/>
    <s v="FACULTAD DE MEDICINA"/>
    <s v="https://ProfCatedra2024.sawtoothsoftware.com/cgi-bin/ciwweb.pl?studyname=ProfCatedra2024&amp;Correo=FidelSM@unisabana.edu.co01"/>
  </r>
  <r>
    <s v="juan.ramirez1@unisabana.edu.co"/>
    <s v="juan.ramirez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juan.ramirez1@unisabana.edu.co2"/>
  </r>
  <r>
    <s v="gabrielazarante@hotmail.com"/>
    <s v="GABRIELAZARANTE@HOT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GABRIELAZARANTE@HOTMAIL.COM1"/>
  </r>
  <r>
    <s v="germaneponce@gmail.com"/>
    <s v="GERMANEPONCE@G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GERMANEPONCE@GMAIL.COM1"/>
  </r>
  <r>
    <s v="gerson_2ged@hotmail.com"/>
    <s v="gerson_2ged@hotmail.com1"/>
    <s v="Maestrï¿½a en Analï¿½tica Aplicada - Chï¿½a"/>
    <x v="18"/>
    <n v="75"/>
    <x v="0"/>
    <x v="1"/>
    <s v="Incompleta"/>
    <s v="Posgrado"/>
    <s v="FACULTAD DE INGENIERÍA"/>
    <s v="https://ProfCatedra2024.sawtoothsoftware.com/cgi-bin/ciwweb.pl?studyname=ProfCatedra2024&amp;Correo=gerson_2ged@hotmail.com1"/>
  </r>
  <r>
    <s v="gina.valderrama@unisabana.edu.co"/>
    <s v="gina.valderrama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gina.valderrama@unisabana.edu.co01"/>
  </r>
  <r>
    <s v="juan.ramirez1@unisabana.edu.co"/>
    <s v="juan.ramirez1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juan.ramirez1@unisabana.edu.co3"/>
  </r>
  <r>
    <s v="hcastillo@araries.com"/>
    <s v="HCASTILLO@ARARIES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HCASTILLO@ARARIES.COM1"/>
  </r>
  <r>
    <s v="hector.roldan1@unisabana.edu.co"/>
    <s v="hector.roldan1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hector.roldan1@unisabana.edu.co01"/>
  </r>
  <r>
    <s v="hectorfa@unisabana.edu.co"/>
    <s v="HectorFA@unisabana.edu.co01"/>
    <s v="Especializaciï¿½n en Oftalmologï¿½a"/>
    <x v="106"/>
    <n v="13"/>
    <x v="0"/>
    <x v="1"/>
    <s v="Incompleta"/>
    <s v="Posgrado"/>
    <s v="FACULTAD DE MEDICINA"/>
    <s v="https://ProfCatedra2024.sawtoothsoftware.com/cgi-bin/ciwweb.pl?studyname=ProfCatedra2024&amp;Correo=HectorFA@unisabana.edu.co01"/>
  </r>
  <r>
    <s v="hugosan32@hotmail.com"/>
    <s v="HUGOSAN32@HOTMAIL.COM1"/>
    <s v="Especializaciï¿½n en Responsabilidad Civil y del Estado - Chï¿½a"/>
    <x v="5"/>
    <n v="101"/>
    <x v="0"/>
    <x v="1"/>
    <s v="Incompleta"/>
    <s v="Posgrado"/>
    <s v="FACULTAD DE DERECHO Y CIENCIAS POLÍTICAS"/>
    <s v="https://ProfCatedra2024.sawtoothsoftware.com/cgi-bin/ciwweb.pl?studyname=ProfCatedra2024&amp;Correo=HUGOSAN32@HOTMAIL.COM1"/>
  </r>
  <r>
    <s v="ingri.moreno@unisabana.edu.co"/>
    <s v="ingri.moreno@unisabana.edu.co01"/>
    <s v="MAESTRï¿½A EN PEDAGOGIA E INVESTIGACIï¿½N EN EL AULA"/>
    <x v="107"/>
    <n v="85"/>
    <x v="0"/>
    <x v="1"/>
    <s v="Incompleta"/>
    <s v="Posgrado"/>
    <s v="FACULTAD DE EDUCACIÓN"/>
    <s v="https://ProfCatedra2024.sawtoothsoftware.com/cgi-bin/ciwweb.pl?studyname=ProfCatedra2024&amp;Correo=ingri.moreno@unisabana.edu.co01"/>
  </r>
  <r>
    <s v="isabella.bello@pwc.com"/>
    <s v="ISABELLA.BELLO@PWC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ISABELLA.BELLO@PWC.COM1"/>
  </r>
  <r>
    <s v="ivan.gutierrez@unisabana.edu.co"/>
    <s v="ivan.gutierrez@unisabana.edu.co01"/>
    <s v="Especializaciï¿½n en Gerencia Logï¿½stica - Chï¿½a"/>
    <x v="108"/>
    <n v="115"/>
    <x v="0"/>
    <x v="1"/>
    <s v="Incompleta"/>
    <s v="Posgrado"/>
    <s v="INSTITUTO FORUM"/>
    <s v="https://ProfCatedra2024.sawtoothsoftware.com/cgi-bin/ciwweb.pl?studyname=ProfCatedra2024&amp;Correo=ivan.gutierrez@unisabana.edu.co01"/>
  </r>
  <r>
    <s v="ivan.moya@unisabana.edu.co"/>
    <s v="ivan.moya@unisabana.edu.co01"/>
    <s v="Especializaciï¿½n en Gerencia Comercial - Bogotï¿½"/>
    <x v="76"/>
    <n v="145"/>
    <x v="0"/>
    <x v="1"/>
    <s v="Incompleta"/>
    <s v="Posgrado"/>
    <s v="INSTITUTO FORUM"/>
    <s v="https://ProfCatedra2024.sawtoothsoftware.com/cgi-bin/ciwweb.pl?studyname=ProfCatedra2024&amp;Correo=ivan.moya@unisabana.edu.co01"/>
  </r>
  <r>
    <s v="ivan.unigarro1@unisabana.edu.co"/>
    <s v="ivan.unigarro1@unisabana.edu.co01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ivan.unigarro1@unisabana.edu.co01"/>
  </r>
  <r>
    <s v="ivette.amaya@unisabana.edu.co"/>
    <s v="ivette.amaya@unisabana.edu.co01"/>
    <s v="Especializaciï¿½n en Liderazgo y Coaching- Chï¿½a"/>
    <x v="8"/>
    <n v="203"/>
    <x v="0"/>
    <x v="1"/>
    <s v="Incompleta"/>
    <s v="Posgrado"/>
    <s v="INSTITUTO FORUM"/>
    <s v="https://ProfCatedra2024.sawtoothsoftware.com/cgi-bin/ciwweb.pl?studyname=ProfCatedra2024&amp;Correo=ivette.amaya@unisabana.edu.co01"/>
  </r>
  <r>
    <s v="jaclancheros@gmail.com"/>
    <s v="JACLANCHEROS@GMAIL.COM1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JACLANCHEROS@GMAIL.COM1"/>
  </r>
  <r>
    <s v="jader.castano1@unisabana.edu.co"/>
    <s v="jader.castano1@unisabana.edu.co01"/>
    <s v="Especializaciï¿½n en Gerencia Logï¿½stica - Chï¿½a"/>
    <x v="108"/>
    <n v="115"/>
    <x v="0"/>
    <x v="1"/>
    <s v="Incompleta"/>
    <s v="Posgrado"/>
    <s v="INSTITUTO FORUM"/>
    <s v="https://ProfCatedra2024.sawtoothsoftware.com/cgi-bin/ciwweb.pl?studyname=ProfCatedra2024&amp;Correo=jader.castano1@unisabana.edu.co01"/>
  </r>
  <r>
    <s v="jaime.barcenas1@unisabana.edu.co"/>
    <s v="jaime.barcenas1@unisabana.edu.co01"/>
    <s v="Maestrï¿½a en Gerencia Estratï¿½gica"/>
    <x v="35"/>
    <n v="47"/>
    <x v="0"/>
    <x v="0"/>
    <s v="Incompleta"/>
    <s v="Posgrado"/>
    <s v="ESCUELA INTERNACIONAL DE CIENCIAS ECONÓMICAS Y ADMINISTRATIVAS"/>
    <s v="https://ProfCatedra2024.sawtoothsoftware.com/cgi-bin/ciwweb.pl?studyname=ProfCatedra2024&amp;Correo=jaime.barcenas1@unisabana.edu.co01"/>
  </r>
  <r>
    <s v="jaime.leal@unisabana.edu.co"/>
    <s v="jaime.leal@unisabana.edu.co01"/>
    <s v="Maestrï¿½a en Educaciï¿½n Mï¿½dica"/>
    <x v="109"/>
    <n v="78"/>
    <x v="0"/>
    <x v="1"/>
    <s v="Incompleta"/>
    <s v="Posgrado"/>
    <s v="FACULTAD DE MEDICINA"/>
    <s v="https://ProfCatedra2024.sawtoothsoftware.com/cgi-bin/ciwweb.pl?studyname=ProfCatedra2024&amp;Correo=jaime.leal@unisabana.edu.co01"/>
  </r>
  <r>
    <s v="jaimerive@gmail.com"/>
    <s v="JAIMERIVE@G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JAIMERIVE@GMAIL.COM1"/>
  </r>
  <r>
    <s v="javierfgonzalezm@yahoo.com"/>
    <s v="JAVIERFGONZALEZM@YAHOO.COM1"/>
    <s v="Especializaciï¿½n en Derecho y Empresa - Chï¿½a"/>
    <x v="77"/>
    <n v="100"/>
    <x v="0"/>
    <x v="1"/>
    <s v="Incompleta"/>
    <s v="Posgrado"/>
    <s v="FACULTAD DE DERECHO Y CIENCIAS POLÍTICAS"/>
    <s v="https://ProfCatedra2024.sawtoothsoftware.com/cgi-bin/ciwweb.pl?studyname=ProfCatedra2024&amp;Correo=JAVIERFGONZALEZM@YAHOO.COM1"/>
  </r>
  <r>
    <s v="jenny.robayo1@unisabana.edu.co"/>
    <s v="jenny.robayo1@unisabana.edu.co01"/>
    <s v="Maestrï¿½a en Diseï¿½o y Gestiï¿½n de Procesos - Chï¿½a"/>
    <x v="97"/>
    <n v="73"/>
    <x v="0"/>
    <x v="1"/>
    <s v="Incompleta"/>
    <s v="Posgrado"/>
    <s v="FACULTAD DE INGENIERÍA"/>
    <s v="https://ProfCatedra2024.sawtoothsoftware.com/cgi-bin/ciwweb.pl?studyname=ProfCatedra2024&amp;Correo=jenny.robayo1@unisabana.edu.co01"/>
  </r>
  <r>
    <s v="jgomezp@sura.com.co"/>
    <s v="JGOMEZP@SURA.COM.CO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JGOMEZP@SURA.COM.CO1"/>
  </r>
  <r>
    <s v="john.cabrera_cont@unisabana.edu.co"/>
    <s v="john.cabrera_cont@unisabana.edu.co01"/>
    <s v="Especializaciï¿½n en Gerencia del Servicio - Chï¿½a"/>
    <x v="7"/>
    <n v="118"/>
    <x v="0"/>
    <x v="1"/>
    <s v="Incompleta"/>
    <s v="Posgrado"/>
    <s v="INSTITUTO FORUM"/>
    <s v="https://ProfCatedra2024.sawtoothsoftware.com/cgi-bin/ciwweb.pl?studyname=ProfCatedra2024&amp;Correo=john.cabrera_cont@unisabana.edu.co01"/>
  </r>
  <r>
    <s v="john.mora@unisabana.edu.co"/>
    <s v="john.mora@unisabana.edu.co01"/>
    <s v="Maestrï¿½a en Gerencia de Inversiï¿½n"/>
    <x v="26"/>
    <n v="45"/>
    <x v="0"/>
    <x v="0"/>
    <s v="Incompleta"/>
    <s v="Posgrado"/>
    <s v="ESCUELA INTERNACIONAL DE CIENCIAS ECONÓMICAS Y ADMINISTRATIVAS"/>
    <s v="https://ProfCatedra2024.sawtoothsoftware.com/cgi-bin/ciwweb.pl?studyname=ProfCatedra2024&amp;Correo=john.mora@unisabana.edu.co01"/>
  </r>
  <r>
    <s v="jorge.avila@unisabana.edu.co"/>
    <s v="jorge.avila@unisabana.edu.co01"/>
    <s v="ESPECIALIZACIï¿½N EN GERENCIA EDUCATIVA"/>
    <x v="98"/>
    <n v="103"/>
    <x v="0"/>
    <x v="1"/>
    <s v="Incompleta"/>
    <s v="Posgrado"/>
    <s v="FACULTAD DE EDUCACIÓN"/>
    <s v="https://ProfCatedra2024.sawtoothsoftware.com/cgi-bin/ciwweb.pl?studyname=ProfCatedra2024&amp;Correo=jorge.avila@unisabana.edu.co01"/>
  </r>
  <r>
    <s v="jorge.verdugo@unisabana.edu.co"/>
    <s v="jorge.verdugo@unisabana.edu.co01"/>
    <s v="Maestrï¿½a en Direcciï¿½n y Gestiï¿½n de Instituciones Educativas - Riohacha"/>
    <x v="92"/>
    <n v="89"/>
    <x v="0"/>
    <x v="1"/>
    <s v="Incompleta"/>
    <s v="Posgrado"/>
    <s v="FACULTAD DE EDUCACIÓN"/>
    <s v="https://ProfCatedra2024.sawtoothsoftware.com/cgi-bin/ciwweb.pl?studyname=ProfCatedra2024&amp;Correo=jorge.verdugo@unisabana.edu.co01"/>
  </r>
  <r>
    <s v="juan.ramirez22@unisabana.edu.co"/>
    <s v="juan.ramirez22@unisabana.edu.co01"/>
    <s v="Maestrï¿½a en Diseï¿½o y Gestiï¿½n de Procesos - Chï¿½a"/>
    <x v="97"/>
    <n v="73"/>
    <x v="0"/>
    <x v="0"/>
    <s v="Completa"/>
    <s v="Posgrado"/>
    <s v="FACULTAD DE INGENIERÍA"/>
    <s v="https://ProfCatedra2024.sawtoothsoftware.com/cgi-bin/ciwweb.pl?studyname=ProfCatedra2024&amp;Correo=juan.ramirez22@unisabana.edu.co01"/>
  </r>
  <r>
    <s v="joseat_cont@unisabana.edu.co"/>
    <s v="joseat_cont@unisabana.edu.co01"/>
    <s v="Maestrï¿½a en Gerencia de la Innovaciï¿½n"/>
    <x v="67"/>
    <n v="49"/>
    <x v="0"/>
    <x v="1"/>
    <s v="Incompleta"/>
    <s v="Posgrado"/>
    <s v="ESCUELA INTERNACIONAL DE CIENCIAS ECONÓMICAS Y ADMINISTRATIVAS"/>
    <s v="https://ProfCatedra2024.sawtoothsoftware.com/cgi-bin/ciwweb.pl?studyname=ProfCatedra2024&amp;Correo=joseat_cont@unisabana.edu.co01"/>
  </r>
  <r>
    <s v="josemiguelruedavasquez4@hotmail.com"/>
    <s v="JOSEMIGUELRUEDAVASQUEZ4@HOTMAIL.COM1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1"/>
  </r>
  <r>
    <s v="jparaujo5@hotmail.com"/>
    <s v="JPARAUJO5@HOT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JPARAUJO5@HOTMAIL.COM1"/>
  </r>
  <r>
    <s v="juan.aldana2@clinicaunisabana.edu.co"/>
    <s v="juan.aldana2@clinicaunisabana.edu.co01"/>
    <s v="Especializaciï¿½n en Radiologï¿½a e Imï¿½genes Diagnï¿½sticas"/>
    <x v="110"/>
    <n v="15"/>
    <x v="0"/>
    <x v="1"/>
    <s v="Incompleta"/>
    <s v="Posgrado"/>
    <s v="FACULTAD DE MEDICINA"/>
    <s v="https://ProfCatedra2024.sawtoothsoftware.com/cgi-bin/ciwweb.pl?studyname=ProfCatedra2024&amp;Correo=juan.aldana2@clinicaunisabana.edu.co01"/>
  </r>
  <r>
    <s v="juan.guevara@unisabana.edu.co"/>
    <s v="juan.guevara@unisabana.edu.co01"/>
    <s v="Especializaciï¿½n en Gestiï¿½n para el Desarrollo Humano en la Organizaciï¿½n - Bogotï¿½"/>
    <x v="101"/>
    <n v="209"/>
    <x v="0"/>
    <x v="1"/>
    <s v="Incompleta"/>
    <s v="Posgrado"/>
    <s v="INSTITUTO FORUM"/>
    <s v="https://ProfCatedra2024.sawtoothsoftware.com/cgi-bin/ciwweb.pl?studyname=ProfCatedra2024&amp;Correo=juan.guevara@unisabana.edu.co01"/>
  </r>
  <r>
    <s v="juan.jaramillo1@unisabana.edu.co"/>
    <s v="juan.jaramillo1@unisabana.edu.co0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juan.jaramillo1@unisabana.edu.co01"/>
  </r>
  <r>
    <s v="juan.lanas@unisabana.edu.co"/>
    <s v="juan.lanas@unisabana.edu.co01"/>
    <s v="MAESTRï¿½A EN DIRECCIï¿½N Y GESTIï¿½N DE INSTITUCIONES EDUCATIVAS"/>
    <x v="62"/>
    <n v="64"/>
    <x v="0"/>
    <x v="1"/>
    <s v="Incompleta"/>
    <s v="Posgrado"/>
    <s v="FACULTAD DE EDUCACIÓN"/>
    <s v="https://ProfCatedra2024.sawtoothsoftware.com/cgi-bin/ciwweb.pl?studyname=ProfCatedra2024&amp;Correo=juan.lanas@unisabana.edu.co01"/>
  </r>
  <r>
    <s v="juan.marin2@unisabana.edu.co"/>
    <s v="juan.marin2@unisabana.edu.co01"/>
    <s v="Especializaciï¿½n En Gerencia Comercial Ibaguï¿½ - Tolima"/>
    <x v="111"/>
    <n v="128"/>
    <x v="0"/>
    <x v="1"/>
    <s v="Incompleta"/>
    <s v="Posgrado"/>
    <s v="INSTITUTO FORUM"/>
    <s v="https://ProfCatedra2024.sawtoothsoftware.com/cgi-bin/ciwweb.pl?studyname=ProfCatedra2024&amp;Correo=juan.marin2@unisabana.edu.co01"/>
  </r>
  <r>
    <s v="juancarlosllanorondon@gmail.com"/>
    <s v="JUANCARLOSLLANORONDON@G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JUANCARLOSLLANORONDON@GMAIL.COM1"/>
  </r>
  <r>
    <s v="juancarlosqg@hotmail.com"/>
    <s v="JUANCARLOSQG@HOTMAIL.COM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JUANCARLOSQG@HOTMAIL.COM1"/>
  </r>
  <r>
    <s v="julian.molina1@unisabana.edu.co"/>
    <s v="julian.molina1@unisabana.edu.co0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julian.molina1@unisabana.edu.co01"/>
  </r>
  <r>
    <s v="juliana.vallejo@unisabana.edu.co"/>
    <s v="juliana.vallejo@unisabana.edu.co01"/>
    <s v="Maestrï¿½a en Educaciï¿½n Mï¿½dica"/>
    <x v="109"/>
    <n v="78"/>
    <x v="0"/>
    <x v="1"/>
    <s v="Incompleta"/>
    <s v="Posgrado"/>
    <s v="FACULTAD DE MEDICINA"/>
    <s v="https://ProfCatedra2024.sawtoothsoftware.com/cgi-bin/ciwweb.pl?studyname=ProfCatedra2024&amp;Correo=juliana.vallejo@unisabana.edu.co01"/>
  </r>
  <r>
    <s v="jvillalba_cuellar@yahoo.com"/>
    <s v="JVILLALBA_CUELLAR@YAHOO.COM1"/>
    <s v="Especializaciï¿½n en Derecho y Empresa - Chï¿½a"/>
    <x v="77"/>
    <n v="100"/>
    <x v="0"/>
    <x v="1"/>
    <s v="Incompleta"/>
    <s v="Posgrado"/>
    <s v="FACULTAD DE DERECHO Y CIENCIAS POLÍTICAS"/>
    <s v="https://ProfCatedra2024.sawtoothsoftware.com/cgi-bin/ciwweb.pl?studyname=ProfCatedra2024&amp;Correo=JVILLALBA_CUELLAR@YAHOO.COM1"/>
  </r>
  <r>
    <s v="laura.palomino1@unisabana.edu.co"/>
    <s v="laura.palomino1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laura.palomino1@unisabana.edu.co01"/>
  </r>
  <r>
    <s v="lauramunbo@unisabana.edu.co"/>
    <s v="lauramunbo@unisabana.edu.co01"/>
    <s v="Especializaciï¿½n en Medicina Familiar y Comunitaria"/>
    <x v="69"/>
    <n v="8"/>
    <x v="0"/>
    <x v="1"/>
    <s v="Incompleta"/>
    <s v="Posgrado"/>
    <s v="FACULTAD DE MEDICINA"/>
    <s v="https://ProfCatedra2024.sawtoothsoftware.com/cgi-bin/ciwweb.pl?studyname=ProfCatedra2024&amp;Correo=lauramunbo@unisabana.edu.co01"/>
  </r>
  <r>
    <s v="leoalvarezcasallas@hotmail.com"/>
    <s v="LEOALVAREZCASALLAS@HOTMAIL.COM1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LEOALVAREZCASALLAS@HOTMAIL.COM1"/>
  </r>
  <r>
    <s v="leocc@hotmail.com"/>
    <s v="LEOCC@HOTMAIL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LEOCC@HOTMAIL.COM1"/>
  </r>
  <r>
    <s v="lida.isaza@unisabana.edu.co"/>
    <s v="lida.isaza@unisabana.edu.co01"/>
    <s v="Especializaciï¿½n en Pedagogï¿½a e Investigaciï¿½n en el Aula - Virtual"/>
    <x v="94"/>
    <n v="123"/>
    <x v="0"/>
    <x v="0"/>
    <s v="Incompleta"/>
    <s v="Posgrado"/>
    <s v="FACULTAD DE EDUCACIÓN"/>
    <s v="https://ProfCatedra2024.sawtoothsoftware.com/cgi-bin/ciwweb.pl?studyname=ProfCatedra2024&amp;Correo=lida.isaza@unisabana.edu.co01"/>
  </r>
  <r>
    <s v="lizcaicedo@gmail.com"/>
    <s v="LIZCAICEDO@GMAIL.COM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LIZCAICEDO@GMAIL.COM1"/>
  </r>
  <r>
    <s v="lspitia@gmail.com"/>
    <s v="LSPITIA@GMAIL.COM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LSPITIA@GMAIL.COM1"/>
  </r>
  <r>
    <s v="lucia.solano_cont@unisabana.edu.co"/>
    <s v="lucia.solano_cont@unisabana.edu.co01"/>
    <s v="MAESTRIA EN DERECHO INTERNACIONAL"/>
    <x v="61"/>
    <n v="56"/>
    <x v="0"/>
    <x v="1"/>
    <s v="Incompleta"/>
    <s v="Posgrado"/>
    <s v="FACULTAD DE DERECHO Y CIENCIAS POLÍTICAS"/>
    <s v="https://ProfCatedra2024.sawtoothsoftware.com/cgi-bin/ciwweb.pl?studyname=ProfCatedra2024&amp;Correo=lucia.solano_cont@unisabana.edu.co01"/>
  </r>
  <r>
    <s v="luis.lopez8@unisabana.edu.co"/>
    <s v="luis.lopez8@unisabana.edu.co01"/>
    <s v="Maestrï¿½a en Gerencia de Operaciones"/>
    <x v="86"/>
    <n v="46"/>
    <x v="0"/>
    <x v="1"/>
    <s v="Incompleta"/>
    <s v="Posgrado"/>
    <s v="ESCUELA INTERNACIONAL DE CIENCIAS ECONÓMICAS Y ADMINISTRATIVAS"/>
    <s v="https://ProfCatedra2024.sawtoothsoftware.com/cgi-bin/ciwweb.pl?studyname=ProfCatedra2024&amp;Correo=luis.lopez8@unisabana.edu.co01"/>
  </r>
  <r>
    <s v="luis.martinez2@unisabana.edu.co"/>
    <s v="luis.martinez2@unisabana.edu.co01"/>
    <s v="Especializaciï¿½n en Farmacologï¿½a Clï¿½nica"/>
    <x v="50"/>
    <n v="5"/>
    <x v="0"/>
    <x v="1"/>
    <s v="Incompleta"/>
    <s v="Posgrado"/>
    <s v="FACULTAD DE MEDICINA"/>
    <s v="https://ProfCatedra2024.sawtoothsoftware.com/cgi-bin/ciwweb.pl?studyname=ProfCatedra2024&amp;Correo=luis.martinez2@unisabana.edu.co01"/>
  </r>
  <r>
    <s v="luis.rodriguez2@unisabana.edu.co"/>
    <s v="luis.rodriguez2@unisabana.edu.co01"/>
    <s v="Maestrï¿½a en Gerencia de Operaciones"/>
    <x v="86"/>
    <n v="46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1"/>
  </r>
  <r>
    <s v="luis.silva2@unisabana.edu.co"/>
    <s v="luis.silva2@unisabana.edu.co01"/>
    <s v="Especializaciï¿½n en Gerencia de Producciï¿½n y Operaciones  - Chia"/>
    <x v="112"/>
    <n v="112"/>
    <x v="0"/>
    <x v="1"/>
    <s v="Incompleta"/>
    <s v="Posgrado"/>
    <s v="INSTITUTO FORUM"/>
    <s v="https://ProfCatedra2024.sawtoothsoftware.com/cgi-bin/ciwweb.pl?studyname=ProfCatedra2024&amp;Correo=luis.silva2@unisabana.edu.co01"/>
  </r>
  <r>
    <s v="juan.ramirez22@unisabana.edu.co"/>
    <s v="juan.ramirez22@unisabana.edu.co02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juan.ramirez22@unisabana.edu.co02"/>
  </r>
  <r>
    <s v="luisa.castillo@unisabana.edu.co"/>
    <s v="luisa.castillo@unisabana.edu.co01"/>
    <s v="Especializaciï¿½n en Farmacologï¿½a Clï¿½nica"/>
    <x v="50"/>
    <n v="5"/>
    <x v="0"/>
    <x v="1"/>
    <s v="Incompleta"/>
    <s v="Posgrado"/>
    <s v="FACULTAD DE MEDICINA"/>
    <s v="https://ProfCatedra2024.sawtoothsoftware.com/cgi-bin/ciwweb.pl?studyname=ProfCatedra2024&amp;Correo=luisa.castillo@unisabana.edu.co01"/>
  </r>
  <r>
    <s v="luisfever@gmail.com"/>
    <s v="LUISFEVER@GMAIL.COM1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LUISFEVER@GMAIL.COM1"/>
  </r>
  <r>
    <s v="manuel.marin1@unisabana.edu.co"/>
    <s v="manuel.marin1@unisabana.edu.co01"/>
    <s v="Especializaciï¿½n en Contrataciï¿½n Estatal - Chï¿½a"/>
    <x v="64"/>
    <n v="97"/>
    <x v="0"/>
    <x v="1"/>
    <s v="Incompleta"/>
    <s v="Posgrado"/>
    <s v="FACULTAD DE DERECHO Y CIENCIAS POLÍTICAS"/>
    <s v="https://ProfCatedra2024.sawtoothsoftware.com/cgi-bin/ciwweb.pl?studyname=ProfCatedra2024&amp;Correo=manuel.marin1@unisabana.edu.co01"/>
  </r>
  <r>
    <s v="manuel.mosquera@unisabana.edu.co"/>
    <s v="manuel.mosquera@unisabana.edu.co01"/>
    <s v="Especializaciï¿½n en Cirugï¿½a General"/>
    <x v="80"/>
    <n v="2"/>
    <x v="0"/>
    <x v="1"/>
    <s v="Incompleta"/>
    <s v="Posgrado"/>
    <s v="FACULTAD DE MEDICINA"/>
    <s v="https://ProfCatedra2024.sawtoothsoftware.com/cgi-bin/ciwweb.pl?studyname=ProfCatedra2024&amp;Correo=manuel.mosquera@unisabana.edu.co01"/>
  </r>
  <r>
    <s v="maria.escobar2@unisabana.edu.co"/>
    <s v="maria.escobar2@unisabana.edu.co01"/>
    <s v="Maestrï¿½a en Diseï¿½o y Gestiï¿½n de Procesos - Chï¿½a"/>
    <x v="97"/>
    <n v="73"/>
    <x v="0"/>
    <x v="1"/>
    <s v="Incompleta"/>
    <s v="Posgrado"/>
    <s v="FACULTAD DE INGENIERÍA"/>
    <s v="https://ProfCatedra2024.sawtoothsoftware.com/cgi-bin/ciwweb.pl?studyname=ProfCatedra2024&amp;Correo=maria.escobar2@unisabana.edu.co01"/>
  </r>
  <r>
    <s v="maria.granados1@unisabana.edu.co"/>
    <s v="maria.granados1@unisabana.edu.co01"/>
    <s v="MAESTRï¿½A EN GERENCIA Y DESARROLLO DE PERSONAS"/>
    <x v="65"/>
    <n v="81"/>
    <x v="0"/>
    <x v="1"/>
    <s v="Incompleta"/>
    <s v="Posgrado"/>
    <s v="FACULTAD DE PSICOLOGÍA"/>
    <s v="https://ProfCatedra2024.sawtoothsoftware.com/cgi-bin/ciwweb.pl?studyname=ProfCatedra2024&amp;Correo=maria.granados1@unisabana.edu.co01"/>
  </r>
  <r>
    <s v="maria.restrepo7@unisabana.edu.co"/>
    <s v="maria.restrepo7@unisabana.edu.co01"/>
    <s v="MAESTRIA EN DERECHO DE LA EMPRESA Y DE LOS NEGOCIOS"/>
    <x v="9"/>
    <n v="55"/>
    <x v="0"/>
    <x v="1"/>
    <s v="Incompleta"/>
    <s v="Posgrado"/>
    <s v="FACULTAD DE DERECHO Y CIENCIAS POLÍTICAS"/>
    <s v="https://ProfCatedra2024.sawtoothsoftware.com/cgi-bin/ciwweb.pl?studyname=ProfCatedra2024&amp;Correo=maria.restrepo7@unisabana.edu.co01"/>
  </r>
  <r>
    <s v="mariano.doncel@unisabana.edu.co"/>
    <s v="mariano.doncel@unisabana.edu.co01"/>
    <s v="Maestrï¿½a en Gerencia de la Innovaciï¿½n"/>
    <x v="67"/>
    <n v="49"/>
    <x v="0"/>
    <x v="1"/>
    <s v="Incompleta"/>
    <s v="Posgrado"/>
    <s v="ESCUELA INTERNACIONAL DE CIENCIAS ECONÓMICAS Y ADMINISTRATIVAS"/>
    <s v="https://ProfCatedra2024.sawtoothsoftware.com/cgi-bin/ciwweb.pl?studyname=ProfCatedra2024&amp;Correo=mariano.doncel@unisabana.edu.co01"/>
  </r>
  <r>
    <s v="marianolozanor@gmail.com"/>
    <s v="MARIANOLOZANOR@G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MARIANOLOZANOR@GMAIL.COM1"/>
  </r>
  <r>
    <s v="mario.manzi@unisabana.edu.co"/>
    <s v="mario.manzi@unisabana.edu.co01"/>
    <s v="Maestrï¿½a en Gerencia de la Innovaciï¿½n"/>
    <x v="67"/>
    <n v="49"/>
    <x v="0"/>
    <x v="1"/>
    <s v="Incompleta"/>
    <s v="Posgrado"/>
    <s v="ESCUELA INTERNACIONAL DE CIENCIAS ECONÓMICAS Y ADMINISTRATIVAS"/>
    <s v="https://ProfCatedra2024.sawtoothsoftware.com/cgi-bin/ciwweb.pl?studyname=ProfCatedra2024&amp;Correo=mario.manzi@unisabana.edu.co01"/>
  </r>
  <r>
    <s v="marpec69@yahoo.com"/>
    <s v="MARPEC69@YAHOO.COM1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MARPEC69@YAHOO.COM1"/>
  </r>
  <r>
    <s v="marthaemartineze@gmail.com"/>
    <s v="MARTHAEMARTINEZE@GMAIL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MARTHAEMARTINEZE@GMAIL.COM1"/>
  </r>
  <r>
    <s v="mauricio.suarez1@unisabana.edu.co"/>
    <s v="mauricio.suarez1@unisabana.edu.co01"/>
    <s v="Especializaciï¿½n en Gerencia del Servicio - Chï¿½a"/>
    <x v="7"/>
    <n v="118"/>
    <x v="0"/>
    <x v="1"/>
    <s v="Incompleta"/>
    <s v="Posgrado"/>
    <s v="INSTITUTO FORUM"/>
    <s v="https://ProfCatedra2024.sawtoothsoftware.com/cgi-bin/ciwweb.pl?studyname=ProfCatedra2024&amp;Correo=mauricio.suarez1@unisabana.edu.co01"/>
  </r>
  <r>
    <s v="miguelangelfandino@gmail.com"/>
    <s v="MIGUELANGELFANDINO@GMAIL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MIGUELANGELFANDINO@GMAIL.COM1"/>
  </r>
  <r>
    <s v="mnmontoyacespedes@gmail.com"/>
    <s v="MNMONTOYACESPEDES@GMAIL.COM1"/>
    <s v="Especializaciï¿½n en Contrataciï¿½n Estatal - Chï¿½a"/>
    <x v="64"/>
    <n v="97"/>
    <x v="0"/>
    <x v="1"/>
    <s v="Incompleta"/>
    <s v="Posgrado"/>
    <s v="FACULTAD DE DERECHO Y CIENCIAS POLÍTICAS"/>
    <s v="https://ProfCatedra2024.sawtoothsoftware.com/cgi-bin/ciwweb.pl?studyname=ProfCatedra2024&amp;Correo=MNMONTOYACESPEDES@GMAIL.COM1"/>
  </r>
  <r>
    <s v="moncayov@hotmail.com"/>
    <s v="MONCAYOV@HOTMAIL.COM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MONCAYOV@HOTMAIL.COM1"/>
  </r>
  <r>
    <s v="nestor.diazgranados1@unisabana.edu.co"/>
    <s v="nestor.diazgranados1@unisabana.edu.co01"/>
    <s v="Especializaciï¿½n en Gerencia Comercial - Chia"/>
    <x v="95"/>
    <n v="111"/>
    <x v="0"/>
    <x v="0"/>
    <s v="Incompleta"/>
    <s v="Posgrado"/>
    <s v="INSTITUTO FORUM"/>
    <s v="https://ProfCatedra2024.sawtoothsoftware.com/cgi-bin/ciwweb.pl?studyname=ProfCatedra2024&amp;Correo=nestor.diazgranados1@unisabana.edu.co01"/>
  </r>
  <r>
    <s v="newman.gutierrez@unisabana.edu.co"/>
    <s v="newman.gutierrez@unisabana.edu.co01"/>
    <s v="Especializaciï¿½n en Gerencia Comercial - Bogotï¿½"/>
    <x v="76"/>
    <n v="145"/>
    <x v="0"/>
    <x v="0"/>
    <s v="Incompleta"/>
    <s v="Posgrado"/>
    <s v="INSTITUTO FORUM"/>
    <s v="https://ProfCatedra2024.sawtoothsoftware.com/cgi-bin/ciwweb.pl?studyname=ProfCatedra2024&amp;Correo=newman.gutierrez@unisabana.edu.co01"/>
  </r>
  <r>
    <s v="obdulio.velasquez@unisabana.edu.co"/>
    <s v="OBDULIO.VELASQUEZ@UNISABANA.edu.co01"/>
    <s v="Especializaciï¿½n en Responsabilidad Civil y del Estado - Chï¿½a"/>
    <x v="5"/>
    <n v="101"/>
    <x v="0"/>
    <x v="1"/>
    <s v="Incompleta"/>
    <s v="Posgrado"/>
    <s v="FACULTAD DE DERECHO Y CIENCIAS POLÍTICAS"/>
    <s v="https://ProfCatedra2024.sawtoothsoftware.com/cgi-bin/ciwweb.pl?studyname=ProfCatedra2024&amp;Correo=OBDULIO.VELASQUEZ@UNISABANA.edu.co01"/>
  </r>
  <r>
    <s v="orlandoramirezgamboa@gmail.com"/>
    <s v="ORLANDORAMIREZGAMBOA@GMAIL.COM1"/>
    <s v="Especializaciï¿½n en Contrataciï¿½n Estatal - Chï¿½a"/>
    <x v="64"/>
    <n v="97"/>
    <x v="0"/>
    <x v="1"/>
    <s v="Incompleta"/>
    <s v="Posgrado"/>
    <s v="FACULTAD DE DERECHO Y CIENCIAS POLÍTICAS"/>
    <s v="https://ProfCatedra2024.sawtoothsoftware.com/cgi-bin/ciwweb.pl?studyname=ProfCatedra2024&amp;Correo=ORLANDORAMIREZGAMBOA@GMAIL.COM1"/>
  </r>
  <r>
    <s v="orlandorg@unisabana.edu.co"/>
    <s v="OrlandoRG@unisabana.edu.co01"/>
    <s v="Especializaciï¿½n en Contrataciï¿½n Estatal - Chï¿½a"/>
    <x v="64"/>
    <n v="97"/>
    <x v="0"/>
    <x v="1"/>
    <s v="Incompleta"/>
    <s v="Posgrado"/>
    <s v="FACULTAD DE DERECHO Y CIENCIAS POLÍTICAS"/>
    <s v="https://ProfCatedra2024.sawtoothsoftware.com/cgi-bin/ciwweb.pl?studyname=ProfCatedra2024&amp;Correo=OrlandoRG@unisabana.edu.co01"/>
  </r>
  <r>
    <s v="rafael.castro@unisabana.edu.co"/>
    <s v="rafael.castro@unisabana.edu.co01"/>
    <s v="MAESTRï¿½A EN DIRECCIï¿½N Y GESTIï¿½N DE INSTITUCIONES EDUCATIVAS"/>
    <x v="62"/>
    <n v="64"/>
    <x v="0"/>
    <x v="1"/>
    <s v="Incompleta"/>
    <s v="Posgrado"/>
    <s v="FACULTAD DE EDUCACIÓN"/>
    <s v="https://ProfCatedra2024.sawtoothsoftware.com/cgi-bin/ciwweb.pl?studyname=ProfCatedra2024&amp;Correo=rafael.castro@unisabana.edu.co01"/>
  </r>
  <r>
    <s v="richard.ramirez@unisabana.edu.co"/>
    <s v="richard.ramirez@unisabana.edu.co01"/>
    <s v="DOCTORADO EN DERECHO"/>
    <x v="113"/>
    <n v="53"/>
    <x v="0"/>
    <x v="1"/>
    <s v="Incompleta"/>
    <s v="Posgrado"/>
    <s v="FACULTAD DE DERECHO Y CIENCIAS POLÍTICAS"/>
    <s v="https://ProfCatedra2024.sawtoothsoftware.com/cgi-bin/ciwweb.pl?studyname=ProfCatedra2024&amp;Correo=richard.ramirez@unisabana.edu.co01"/>
  </r>
  <r>
    <s v="robertosuec@unisabana.edu.co"/>
    <s v="ROBERTOSUEC@UNISABANA.edu.co01"/>
    <s v="Especializaciï¿½n en Derecho Comercial - Chï¿½a"/>
    <x v="105"/>
    <n v="98"/>
    <x v="0"/>
    <x v="1"/>
    <s v="Incompleta"/>
    <s v="Posgrado"/>
    <s v="FACULTAD DE DERECHO Y CIENCIAS POLÍTICAS"/>
    <s v="https://ProfCatedra2024.sawtoothsoftware.com/cgi-bin/ciwweb.pl?studyname=ProfCatedra2024&amp;Correo=ROBERTOSUEC@UNISABANA.edu.co01"/>
  </r>
  <r>
    <s v="rodolfo.meza@unisabana.edu.co"/>
    <s v="rodolfo.meza@unisabana.edu.co01"/>
    <s v="Maestrï¿½a en Analï¿½tica Aplicada - Chï¿½a"/>
    <x v="18"/>
    <n v="75"/>
    <x v="0"/>
    <x v="1"/>
    <s v="Incompleta"/>
    <s v="Posgrado"/>
    <s v="FACULTAD DE INGENIERÍA"/>
    <s v="https://ProfCatedra2024.sawtoothsoftware.com/cgi-bin/ciwweb.pl?studyname=ProfCatedra2024&amp;Correo=rodolfo.meza@unisabana.edu.co01"/>
  </r>
  <r>
    <s v="ruben.martinez@unisabana.edu.co"/>
    <s v="ruben.martinez@unisabana.edu.co01"/>
    <s v="Especializaciï¿½n En Gerencia Comercial Ibaguï¿½ - Tolima"/>
    <x v="111"/>
    <n v="128"/>
    <x v="0"/>
    <x v="1"/>
    <s v="Incompleta"/>
    <s v="Posgrado"/>
    <s v="INSTITUTO FORUM"/>
    <s v="https://ProfCatedra2024.sawtoothsoftware.com/cgi-bin/ciwweb.pl?studyname=ProfCatedra2024&amp;Correo=ruben.martinez@unisabana.edu.co01"/>
  </r>
  <r>
    <s v="scastrillon@grupovanti.com"/>
    <s v="SCASTRILLON@GRUPOVANTI.COM1"/>
    <s v="Especializaciï¿½n en Derecho Tributario - Chï¿½a"/>
    <x v="25"/>
    <n v="99"/>
    <x v="0"/>
    <x v="1"/>
    <s v="Incompleta"/>
    <s v="Posgrado"/>
    <s v="FACULTAD DE DERECHO Y CIENCIAS POLÍTICAS"/>
    <s v="https://ProfCatedra2024.sawtoothsoftware.com/cgi-bin/ciwweb.pl?studyname=ProfCatedra2024&amp;Correo=SCASTRILLON@GRUPOVANTI.COM1"/>
  </r>
  <r>
    <s v="santiago.arrieta1@unisabana.edu.co"/>
    <s v="santiago.arrieta1@unisabana.edu.co01"/>
    <s v="Maestrï¿½a en Comunicaciï¿½n Estrï¿½tegica"/>
    <x v="114"/>
    <n v="51"/>
    <x v="0"/>
    <x v="1"/>
    <s v="Incompleta"/>
    <s v="Posgrado"/>
    <s v="FACULTAD DE COMUNICACIÓN"/>
    <s v="https://ProfCatedra2024.sawtoothsoftware.com/cgi-bin/ciwweb.pl?studyname=ProfCatedra2024&amp;Correo=santiago.arrieta1@unisabana.edu.co01"/>
  </r>
  <r>
    <s v="santiago.bayona1@unisabana.edu.co"/>
    <s v="santiago.bayona1@unisabana.edu.co01"/>
    <s v="Especializaciï¿½n en Gestiï¿½n para el Desarrollo Humano en la Organizaciï¿½n - Chï¿½a"/>
    <x v="39"/>
    <n v="141"/>
    <x v="0"/>
    <x v="1"/>
    <s v="Incompleta"/>
    <s v="Posgrado"/>
    <s v="INSTITUTO FORUM"/>
    <s v="https://ProfCatedra2024.sawtoothsoftware.com/cgi-bin/ciwweb.pl?studyname=ProfCatedra2024&amp;Correo=santiago.bayona1@unisabana.edu.co01"/>
  </r>
  <r>
    <s v="santiago.ocampo1@unisabana.edu.co"/>
    <s v="santiago.ocampo1@unisabana.edu.co01"/>
    <s v="Especializaciï¿½n en Gerencia de la Comunicaciï¿½n Organizacional"/>
    <x v="115"/>
    <n v="96"/>
    <x v="0"/>
    <x v="1"/>
    <s v="Incompleta"/>
    <s v="Posgrado"/>
    <s v="FACULTAD DE COMUNICACIÓN"/>
    <s v="https://ProfCatedra2024.sawtoothsoftware.com/cgi-bin/ciwweb.pl?studyname=ProfCatedra2024&amp;Correo=santiago.ocampo1@unisabana.edu.co01"/>
  </r>
  <r>
    <s v="sebasrubiano@hotmail.com"/>
    <s v="SEBASRUBIANO@HOTMAIL.COM1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SEBASRUBIANO@HOTMAIL.COM1"/>
  </r>
  <r>
    <s v="sergio.duque1@unisabana.edu.co"/>
    <s v="sergio.duque1@unisabana.edu.co01"/>
    <s v="Especializaciï¿½n En Gerencia Comercial Ibaguï¿½ - Tolima"/>
    <x v="111"/>
    <n v="128"/>
    <x v="0"/>
    <x v="1"/>
    <s v="Incompleta"/>
    <s v="Posgrado"/>
    <s v="INSTITUTO FORUM"/>
    <s v="https://ProfCatedra2024.sawtoothsoftware.com/cgi-bin/ciwweb.pl?studyname=ProfCatedra2024&amp;Correo=sergio.duque1@unisabana.edu.co01"/>
  </r>
  <r>
    <s v="silvana.ahumada@unisabana.edu.co"/>
    <s v="silvana.ahumada@unisabana.edu.co01"/>
    <s v="Maestrï¿½a en Gerencia de Inversiï¿½n"/>
    <x v="26"/>
    <n v="45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1"/>
  </r>
  <r>
    <s v="steve.martinez1@unisabana.edu.co"/>
    <s v="steve.martinez1@unisabana.edu.co01"/>
    <s v="Especializaciï¿½n en Gerencia Comercial Bucaramanga - Santander"/>
    <x v="116"/>
    <n v="127"/>
    <x v="0"/>
    <x v="0"/>
    <s v="Incompleta"/>
    <s v="Posgrado"/>
    <s v="INSTITUTO FORUM"/>
    <s v="https://ProfCatedra2024.sawtoothsoftware.com/cgi-bin/ciwweb.pl?studyname=ProfCatedra2024&amp;Correo=steve.martinez1@unisabana.edu.co01"/>
  </r>
  <r>
    <s v="viviana.fajardo@unisabana.edu.co"/>
    <s v="viviana.fajardo@unisabana.edu.co01"/>
    <s v="Especializaciï¿½n en Pediatrï¿½a"/>
    <x v="79"/>
    <n v="14"/>
    <x v="0"/>
    <x v="1"/>
    <s v="Incompleta"/>
    <s v="Posgrado"/>
    <s v="FACULTAD DE MEDICINA"/>
    <s v="https://ProfCatedra2024.sawtoothsoftware.com/cgi-bin/ciwweb.pl?studyname=ProfCatedra2024&amp;Correo=viviana.fajardo@unisabana.edu.co01"/>
  </r>
  <r>
    <s v="vmplazas@hotmail.com"/>
    <s v="VMPLAZAS@HOT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VMPLAZAS@HOTMAIL.COM1"/>
  </r>
  <r>
    <s v="william.pinzon@segurosdelestado.com"/>
    <s v="WILLIAM.PINZON@SEGUROSDELESTADO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WILLIAM.PINZON@SEGUROSDELESTADO.COM1"/>
  </r>
  <r>
    <s v="yenny.celemin@unisabana.edu.co"/>
    <s v="yenny.celemin@unisabana.edu.co01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yenny.celemin@unisabana.edu.co01"/>
  </r>
  <r>
    <s v="zulma.velandia1@unisabana.edu.co"/>
    <s v="zulma.velandia1@unisabana.edu.co01"/>
    <s v="Especializaciï¿½n en Gerencia de la Comunicaciï¿½n Organizacional"/>
    <x v="115"/>
    <n v="96"/>
    <x v="0"/>
    <x v="1"/>
    <s v="Incompleta"/>
    <s v="Posgrado"/>
    <s v="FACULTAD DE COMUNICACIÓN"/>
    <s v="https://ProfCatedra2024.sawtoothsoftware.com/cgi-bin/ciwweb.pl?studyname=ProfCatedra2024&amp;Correo=zulma.velandia1@unisabana.edu.co01"/>
  </r>
  <r>
    <s v="zulmagbecerra@gmail.com"/>
    <s v="ZULMAGBECERRA@GMAIL.COM1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ZULMAGBECERRA@GMAIL.COM1"/>
  </r>
  <r>
    <s v="adriana.lopez5@unisabana.edu.co"/>
    <s v="adriana.lopez5@unisabana.edu.co02"/>
    <s v="Maestrï¿½a en Salud Pï¿½blica"/>
    <x v="70"/>
    <n v="79"/>
    <x v="0"/>
    <x v="1"/>
    <s v="Incompleta"/>
    <s v="Posgrado"/>
    <s v="FACULTAD DE MEDICINA"/>
    <s v="https://ProfCatedra2024.sawtoothsoftware.com/cgi-bin/ciwweb.pl?studyname=ProfCatedra2024&amp;Correo=adriana.lopez5@unisabana.edu.co02"/>
  </r>
  <r>
    <s v="alvaro.salcedo@unisabana.edu.co"/>
    <s v="alvaro.salcedo@unisabana.edu.co02"/>
    <s v="Especializaciï¿½n en Gerencia del Servicio - Chï¿½a"/>
    <x v="7"/>
    <n v="118"/>
    <x v="0"/>
    <x v="1"/>
    <s v="Incompleta"/>
    <s v="Posgrado"/>
    <s v="INSTITUTO FORUM"/>
    <s v="https://ProfCatedra2024.sawtoothsoftware.com/cgi-bin/ciwweb.pl?studyname=ProfCatedra2024&amp;Correo=alvaro.salcedo@unisabana.edu.co02"/>
  </r>
  <r>
    <s v="andres.mancipe@gmail.com"/>
    <s v="ANDRES.MANCIPE@GMAIL.COM2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ANDRES.MANCIPE@GMAIL.COM2"/>
  </r>
  <r>
    <s v="andresrohe@unisabana.edu.co"/>
    <s v="andresrohe@unisabana.edu.co02"/>
    <s v="Maestrï¿½a en Gerencia de Inversiï¿½n - Virtual"/>
    <x v="27"/>
    <n v="207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2"/>
  </r>
  <r>
    <s v="carlos.salazar5@unisabana.edu.co"/>
    <s v="carlos.salazar5@unisabana.edu.co02"/>
    <s v="Maestrï¿½a en Gerencia de Inversiï¿½n - Virtual"/>
    <x v="27"/>
    <n v="207"/>
    <x v="0"/>
    <x v="1"/>
    <s v="Incompleta"/>
    <s v="Posgrado"/>
    <s v="ESCUELA INTERNACIONAL DE CIENCIAS ECONÓMICAS Y ADMINISTRATIVAS"/>
    <s v="https://ProfCatedra2024.sawtoothsoftware.com/cgi-bin/ciwweb.pl?studyname=ProfCatedra2024&amp;Correo=carlos.salazar5@unisabana.edu.co02"/>
  </r>
  <r>
    <s v="cherrera@gmail.com"/>
    <s v="CHERRERA@GMAIL.COM2"/>
    <s v="ESPECIALIZACION EN CONTRATACION ESTATAL IBAGUE"/>
    <x v="66"/>
    <n v="121"/>
    <x v="0"/>
    <x v="1"/>
    <s v="Incompleta"/>
    <s v="Posgrado"/>
    <s v="FACULTAD DE DERECHO Y CIENCIAS POLÍTICAS"/>
    <s v="https://ProfCatedra2024.sawtoothsoftware.com/cgi-bin/ciwweb.pl?studyname=ProfCatedra2024&amp;Correo=CHERRERA@GMAIL.COM2"/>
  </r>
  <r>
    <s v="claudiapatriciabarrantes@gmail.com"/>
    <s v="CLAUDIAPATRICIABARRANTES@GMAIL.COM2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CLAUDIAPATRICIABARRANTES@GMAIL.COM2"/>
  </r>
  <r>
    <s v="cristinacharry@yahoo.es2"/>
    <s v="CRISTINACHARRY@YAHOO.ES2"/>
    <s v="ESPECIALIZACION EN CONTRATACION ESTATAL IBAGUE"/>
    <x v="66"/>
    <n v="121"/>
    <x v="0"/>
    <x v="1"/>
    <s v="Incompleta"/>
    <s v="Posgrado"/>
    <s v="FACULTAD DE DERECHO Y CIENCIAS POLÍTICAS"/>
    <s v="https://ProfCatedra2024.sawtoothsoftware.com/cgi-bin/ciwweb.pl?studyname=ProfCatedra2024&amp;Correo=CRISTINACHARRY@YAHOO.ES2"/>
  </r>
  <r>
    <s v="daniel.prieto@unisabana.edu.co"/>
    <s v="daniel.prieto@unisabana.edu.co02"/>
    <s v="Maestrï¿½a en Gerencia de Inversiï¿½n - Virtual"/>
    <x v="27"/>
    <n v="207"/>
    <x v="0"/>
    <x v="1"/>
    <s v="Incompleta"/>
    <s v="Posgrado"/>
    <s v="ESCUELA INTERNACIONAL DE CIENCIAS ECONÓMICAS Y ADMINISTRATIVAS"/>
    <s v="https://ProfCatedra2024.sawtoothsoftware.com/cgi-bin/ciwweb.pl?studyname=ProfCatedra2024&amp;Correo=daniel.prieto@unisabana.edu.co02"/>
  </r>
  <r>
    <s v="ferpal48@hotmail.com"/>
    <s v="FERPAL48@HOTMAIL.COM2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FERPAL48@HOTMAIL.COM2"/>
  </r>
  <r>
    <s v="flavio.puentes1@unisabana.edu.co"/>
    <s v="flavio.puentes1@unisabana.edu.co02"/>
    <s v="Especializaciï¿½n en Gerencia Financiera Internacional - Bogotï¿½"/>
    <x v="73"/>
    <n v="204"/>
    <x v="0"/>
    <x v="1"/>
    <s v="Incompleta"/>
    <s v="Posgrado"/>
    <s v="INSTITUTO FORUM"/>
    <s v="https://ProfCatedra2024.sawtoothsoftware.com/cgi-bin/ciwweb.pl?studyname=ProfCatedra2024&amp;Correo=flavio.puentes1@unisabana.edu.co02"/>
  </r>
  <r>
    <s v="ivan.gutierrez@unisabana.edu.co"/>
    <s v="ivan.gutierrez@unisabana.edu.co02"/>
    <s v="Especializaciï¿½n en Gerencia Logï¿½stica - Bucaramanga"/>
    <x v="117"/>
    <n v="135"/>
    <x v="0"/>
    <x v="1"/>
    <s v="Incompleta"/>
    <s v="Posgrado"/>
    <s v="INSTITUTO FORUM"/>
    <s v="https://ProfCatedra2024.sawtoothsoftware.com/cgi-bin/ciwweb.pl?studyname=ProfCatedra2024&amp;Correo=ivan.gutierrez@unisabana.edu.co02"/>
  </r>
  <r>
    <s v="ivan.moya@unisabana.edu.co"/>
    <s v="ivan.moya@unisabana.edu.co02"/>
    <s v="Especializaciï¿½n en Gerencia Estratï¿½gica de Marca  - Chia"/>
    <x v="118"/>
    <n v="113"/>
    <x v="0"/>
    <x v="1"/>
    <s v="Incompleta"/>
    <s v="Posgrado"/>
    <s v="INSTITUTO FORUM"/>
    <s v="https://ProfCatedra2024.sawtoothsoftware.com/cgi-bin/ciwweb.pl?studyname=ProfCatedra2024&amp;Correo=ivan.moya@unisabana.edu.co02"/>
  </r>
  <r>
    <s v="ivan.unigarro1@unisabana.edu.co"/>
    <s v="ivan.unigarro1@unisabana.edu.co02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ivan.unigarro1@unisabana.edu.co02"/>
  </r>
  <r>
    <s v="jorge.figueroa@unisabana.edu.co"/>
    <s v="jorge.figueroa@unisabana.edu.co02"/>
    <s v="Especializaciï¿½n en Gerencia del Servicio - Chï¿½a"/>
    <x v="7"/>
    <n v="118"/>
    <x v="0"/>
    <x v="1"/>
    <s v="Incompleta"/>
    <s v="Posgrado"/>
    <s v="INSTITUTO FORUM"/>
    <s v="https://ProfCatedra2024.sawtoothsoftware.com/cgi-bin/ciwweb.pl?studyname=ProfCatedra2024&amp;Correo=jorge.figueroa@unisabana.edu.co02"/>
  </r>
  <r>
    <s v="josemiguelruedavasquez4@hotmail.com"/>
    <s v="JOSEMIGUELRUEDAVASQUEZ4@HOTMAIL.COM2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JOSEMIGUELRUEDAVASQUEZ4@HOTMAIL.COM2"/>
  </r>
  <r>
    <s v="juan.marin2@unisabana.edu.co"/>
    <s v="juan.marin2@unisabana.edu.co02"/>
    <s v="Especializaciï¿½n en Gerencia Estratï¿½gica de Marca  - Chia"/>
    <x v="118"/>
    <n v="113"/>
    <x v="0"/>
    <x v="0"/>
    <s v="Incompleta"/>
    <s v="Posgrado"/>
    <s v="INSTITUTO FORUM"/>
    <s v="https://ProfCatedra2024.sawtoothsoftware.com/cgi-bin/ciwweb.pl?studyname=ProfCatedra2024&amp;Correo=juan.marin2@unisabana.edu.co02"/>
  </r>
  <r>
    <s v="lida.isaza@unisabana.edu.co"/>
    <s v="lida.isaza@unisabana.edu.co02"/>
    <s v="Maestrï¿½a en Pedagogï¿½a - Neiva"/>
    <x v="81"/>
    <n v="90"/>
    <x v="0"/>
    <x v="1"/>
    <s v="Incompleta"/>
    <s v="Posgrado"/>
    <s v="FACULTAD DE EDUCACIÓN"/>
    <s v="https://ProfCatedra2024.sawtoothsoftware.com/cgi-bin/ciwweb.pl?studyname=ProfCatedra2024&amp;Correo=lida.isaza@unisabana.edu.co02"/>
  </r>
  <r>
    <s v="luis.rodriguez2@unisabana.edu.co"/>
    <s v="luis.rodriguez2@unisabana.edu.co02"/>
    <s v="Maestrï¿½a en Gerencia Estratï¿½gica"/>
    <x v="35"/>
    <n v="47"/>
    <x v="0"/>
    <x v="1"/>
    <s v="Incompleta"/>
    <s v="Posgrado"/>
    <s v="ESCUELA INTERNACIONAL DE CIENCIAS ECONÓMICAS Y ADMINISTRATIVAS"/>
    <s v="https://ProfCatedra2024.sawtoothsoftware.com/cgi-bin/ciwweb.pl?studyname=ProfCatedra2024&amp;Correo=luis.rodriguez2@unisabana.edu.co02"/>
  </r>
  <r>
    <s v="luis.silva2@unisabana.edu.co"/>
    <s v="luis.silva2@unisabana.edu.co02"/>
    <s v="Especializaciï¿½n en Gerencia Logï¿½stica - Bogotï¿½"/>
    <x v="85"/>
    <n v="143"/>
    <x v="0"/>
    <x v="1"/>
    <s v="Incompleta"/>
    <s v="Posgrado"/>
    <s v="INSTITUTO FORUM"/>
    <s v="https://ProfCatedra2024.sawtoothsoftware.com/cgi-bin/ciwweb.pl?studyname=ProfCatedra2024&amp;Correo=luis.silva2@unisabana.edu.co02"/>
  </r>
  <r>
    <s v="manuel.marin1@unisabana.edu.co"/>
    <s v="manuel.marin1@unisabana.edu.co02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manuel.marin1@unisabana.edu.co02"/>
  </r>
  <r>
    <s v="marianolozanor@gmail.com"/>
    <s v="MARIANOLOZANOR@GMAIL.COM2"/>
    <s v="MAESTRIA EN DERECHO INTERNACIONAL"/>
    <x v="61"/>
    <n v="56"/>
    <x v="0"/>
    <x v="1"/>
    <s v="Incompleta"/>
    <s v="Posgrado"/>
    <s v="FACULTAD DE DERECHO Y CIENCIAS POLÍTICAS"/>
    <s v="https://ProfCatedra2024.sawtoothsoftware.com/cgi-bin/ciwweb.pl?studyname=ProfCatedra2024&amp;Correo=MARIANOLOZANOR@GMAIL.COM2"/>
  </r>
  <r>
    <s v="mauricio.suarez1@unisabana.edu.co"/>
    <s v="mauricio.suarez1@unisabana.edu.co02"/>
    <s v="Especializaciï¿½n en Gestiï¿½n para el Desarrollo Humano en la Organizaciï¿½n - Bucaramanga"/>
    <x v="17"/>
    <n v="136"/>
    <x v="0"/>
    <x v="1"/>
    <s v="Incompleta"/>
    <s v="Posgrado"/>
    <s v="INSTITUTO FORUM"/>
    <s v="https://ProfCatedra2024.sawtoothsoftware.com/cgi-bin/ciwweb.pl?studyname=ProfCatedra2024&amp;Correo=mauricio.suarez1@unisabana.edu.co02"/>
  </r>
  <r>
    <s v="mnmontoyacespedes@gmail.com"/>
    <s v="MNMONTOYACESPEDES@GMAIL.COM2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MNMONTOYACESPEDES@GMAIL.COM2"/>
  </r>
  <r>
    <s v="newman.gutierrez@unisabana.edu.co"/>
    <s v="newman.gutierrez@unisabana.edu.co02"/>
    <s v="Especializaciï¿½n en Gerencia Comercial Virtual"/>
    <x v="6"/>
    <n v="126"/>
    <x v="0"/>
    <x v="1"/>
    <s v="Incompleta"/>
    <s v="Posgrado"/>
    <s v="INSTITUTO FORUM"/>
    <s v="https://ProfCatedra2024.sawtoothsoftware.com/cgi-bin/ciwweb.pl?studyname=ProfCatedra2024&amp;Correo=newman.gutierrez@unisabana.edu.co02"/>
  </r>
  <r>
    <s v="orlandorg@unisabana.edu.co"/>
    <s v="OrlandoRG@unisabana.edu.co02"/>
    <s v="ESPECIALIZACION EN CONTRATACION ESTATAL NEIVA"/>
    <x v="33"/>
    <n v="122"/>
    <x v="0"/>
    <x v="1"/>
    <s v="Incompleta"/>
    <s v="Posgrado"/>
    <s v="FACULTAD DE DERECHO Y CIENCIAS POLÍTICAS"/>
    <s v="https://ProfCatedra2024.sawtoothsoftware.com/cgi-bin/ciwweb.pl?studyname=ProfCatedra2024&amp;Correo=OrlandoRG@unisabana.edu.co02"/>
  </r>
  <r>
    <s v="rafael.castro@unisabana.edu.co"/>
    <s v="rafael.castro@unisabana.edu.co02"/>
    <s v="Maestrï¿½a en Direcciï¿½n y Gestiï¿½n de Instituciones Educativas - Riohacha"/>
    <x v="92"/>
    <n v="89"/>
    <x v="0"/>
    <x v="1"/>
    <s v="Incompleta"/>
    <s v="Posgrado"/>
    <s v="FACULTAD DE EDUCACIÓN"/>
    <s v="https://ProfCatedra2024.sawtoothsoftware.com/cgi-bin/ciwweb.pl?studyname=ProfCatedra2024&amp;Correo=rafael.castro@unisabana.edu.co02"/>
  </r>
  <r>
    <s v="richard.ramirez@unisabana.edu.co"/>
    <s v="richard.ramirez@unisabana.edu.co02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richard.ramirez@unisabana.edu.co02"/>
  </r>
  <r>
    <s v="robertosuec@unisabana.edu.co"/>
    <s v="ROBERTOSUEC@UNISABANA.edu.co02"/>
    <s v="Especializaciï¿½n en Seguros y Seguridad Social - Chï¿½a"/>
    <x v="89"/>
    <n v="102"/>
    <x v="0"/>
    <x v="1"/>
    <s v="Incompleta"/>
    <s v="Posgrado"/>
    <s v="FACULTAD DE DERECHO Y CIENCIAS POLÍTICAS"/>
    <s v="https://ProfCatedra2024.sawtoothsoftware.com/cgi-bin/ciwweb.pl?studyname=ProfCatedra2024&amp;Correo=ROBERTOSUEC@UNISABANA.edu.co02"/>
  </r>
  <r>
    <s v="silvana.ahumada@unisabana.edu.co"/>
    <s v="silvana.ahumada@unisabana.edu.co02"/>
    <s v="Maestrï¿½a en Gerencia de Inversiï¿½n - Virtual"/>
    <x v="27"/>
    <n v="207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2"/>
  </r>
  <r>
    <s v="yenny.celemin@unisabana.edu.co"/>
    <s v="yenny.celemin@unisabana.edu.co02"/>
    <s v="MAESTRIA EN DERECHO CONSTITUCIONAL"/>
    <x v="56"/>
    <n v="54"/>
    <x v="0"/>
    <x v="1"/>
    <s v="Incompleta"/>
    <s v="Posgrado"/>
    <s v="FACULTAD DE DERECHO Y CIENCIAS POLÍTICAS"/>
    <s v="https://ProfCatedra2024.sawtoothsoftware.com/cgi-bin/ciwweb.pl?studyname=ProfCatedra2024&amp;Correo=yenny.celemin@unisabana.edu.co02"/>
  </r>
  <r>
    <s v="yolanda.ruiz1@unisabana.edu.co"/>
    <s v="yolanda.ruiz1@unisabana.edu.co02"/>
    <s v="Especializaciï¿½n en Gerencia Financiera Internacional - Chia"/>
    <x v="75"/>
    <n v="110"/>
    <x v="0"/>
    <x v="1"/>
    <s v="Incompleta"/>
    <s v="Posgrado"/>
    <s v="INSTITUTO FORUM"/>
    <s v="https://ProfCatedra2024.sawtoothsoftware.com/cgi-bin/ciwweb.pl?studyname=ProfCatedra2024&amp;Correo=yolanda.ruiz1@unisabana.edu.co02"/>
  </r>
  <r>
    <s v="zulma.velandia1@unisabana.edu.co"/>
    <s v="zulma.velandia1@unisabana.edu.co02"/>
    <s v="Maestrï¿½a en Comunicaciï¿½n Estrï¿½tegica"/>
    <x v="114"/>
    <n v="51"/>
    <x v="0"/>
    <x v="1"/>
    <s v="Incompleta"/>
    <s v="Posgrado"/>
    <s v="FACULTAD DE COMUNICACIÓN"/>
    <s v="https://ProfCatedra2024.sawtoothsoftware.com/cgi-bin/ciwweb.pl?studyname=ProfCatedra2024&amp;Correo=zulma.velandia1@unisabana.edu.co02"/>
  </r>
  <r>
    <s v="alvaro.salcedo@unisabana.edu.co"/>
    <s v="alvaro.salcedo@unisabana.edu.co03"/>
    <s v="Especializaciï¿½n en Gerencia de Proyectos con Enfoque en Habilidades Directivas - Chï¿½a"/>
    <x v="88"/>
    <n v="119"/>
    <x v="0"/>
    <x v="1"/>
    <s v="Incompleta"/>
    <s v="Posgrado"/>
    <s v="INSTITUTO FORUM"/>
    <s v="https://ProfCatedra2024.sawtoothsoftware.com/cgi-bin/ciwweb.pl?studyname=ProfCatedra2024&amp;Correo=alvaro.salcedo@unisabana.edu.co03"/>
  </r>
  <r>
    <s v="andresrohe@unisabana.edu.co"/>
    <s v="andresrohe@unisabana.edu.co03"/>
    <s v="Maestrï¿½a en Gerencia Internacional"/>
    <x v="37"/>
    <n v="48"/>
    <x v="0"/>
    <x v="1"/>
    <s v="Incompleta"/>
    <s v="Posgrado"/>
    <s v="ESCUELA INTERNACIONAL DE CIENCIAS ECONÓMICAS Y ADMINISTRATIVAS"/>
    <s v="https://ProfCatedra2024.sawtoothsoftware.com/cgi-bin/ciwweb.pl?studyname=ProfCatedra2024&amp;Correo=andresrohe@unisabana.edu.co03"/>
  </r>
  <r>
    <s v="juan.enciso2@unisabana.edu.co"/>
    <s v="juan.enciso2@unisabana.edu.co03"/>
    <s v="Maestrï¿½a en Pedagogï¿½a e Investigaciï¿½n en Aula - Virtual"/>
    <x v="107"/>
    <n v="85"/>
    <x v="0"/>
    <x v="0"/>
    <s v="Incompleta"/>
    <s v="Posgrado"/>
    <s v="FACULTAD DE EDUCACIÓN"/>
    <s v="https://ProfCatedra2024.sawtoothsoftware.com/cgi-bin/ciwweb.pl?studyname=ProfCatedra2024&amp;Correo=juan.enciso2@unisabana.edu.co03"/>
  </r>
  <r>
    <s v="lida.isaza@unisabana.edu.co"/>
    <s v="lida.isaza@unisabana.edu.co03"/>
    <s v="Maestrï¿½a en Pedagogï¿½a e Investigaciï¿½n en Aula - Virtual"/>
    <x v="107"/>
    <n v="85"/>
    <x v="0"/>
    <x v="0"/>
    <s v="Incompleta"/>
    <s v="Posgrado"/>
    <s v="FACULTAD DE EDUCACIÓN"/>
    <s v="https://ProfCatedra2024.sawtoothsoftware.com/cgi-bin/ciwweb.pl?studyname=ProfCatedra2024&amp;Correo=lida.isaza@unisabana.edu.co03"/>
  </r>
  <r>
    <s v="manuel.marin1@unisabana.edu.co"/>
    <s v="manuel.marin1@unisabana.edu.co03"/>
    <s v="MAESTRIA EN CONTRATACION ESTATAL"/>
    <x v="59"/>
    <n v="57"/>
    <x v="0"/>
    <x v="1"/>
    <s v="Incompleta"/>
    <s v="Posgrado"/>
    <s v="FACULTAD DE DERECHO Y CIENCIAS POLÍTICAS"/>
    <s v="https://ProfCatedra2024.sawtoothsoftware.com/cgi-bin/ciwweb.pl?studyname=ProfCatedra2024&amp;Correo=manuel.marin1@unisabana.edu.co03"/>
  </r>
  <r>
    <s v="silvana.ahumada@unisabana.edu.co"/>
    <s v="silvana.ahumada@unisabana.edu.co03"/>
    <s v="Maestrï¿½a en Gerencia de Operaciones"/>
    <x v="86"/>
    <n v="46"/>
    <x v="0"/>
    <x v="1"/>
    <s v="Incompleta"/>
    <s v="Posgrado"/>
    <s v="ESCUELA INTERNACIONAL DE CIENCIAS ECONÓMICAS Y ADMINISTRATIVAS"/>
    <s v="https://ProfCatedra2024.sawtoothsoftware.com/cgi-bin/ciwweb.pl?studyname=ProfCatedra2024&amp;Correo=silvana.ahumada@unisabana.edu.co03"/>
  </r>
  <r>
    <s v="juan.enciso2@unisabana.edu.co"/>
    <s v="juan.enciso2@unisabana.edu.co04"/>
    <s v="MAESTRï¿½A EN PEDAGOGIA E INVESTIGACIï¿½N EN EL AULA"/>
    <x v="107"/>
    <n v="85"/>
    <x v="0"/>
    <x v="1"/>
    <s v="Incompleta"/>
    <s v="Posgrado"/>
    <s v="FACULTAD DE EDUCACIÓN"/>
    <s v="https://ProfCatedra2024.sawtoothsoftware.com/cgi-bin/ciwweb.pl?studyname=ProfCatedra2024&amp;Correo=juan.enciso2@unisabana.edu.co04"/>
  </r>
  <r>
    <s v="silvana.ahumada@unisabana.edu.co"/>
    <s v="silvana.ahumada@unisabana.edu.co04"/>
    <s v="MAESTRï¿½A EN GERENCIA Y DESARROLLO DE PERSONAS"/>
    <x v="65"/>
    <n v="81"/>
    <x v="0"/>
    <x v="1"/>
    <s v="Incompleta"/>
    <s v="Posgrado"/>
    <s v="FACULTAD DE PSICOLOGÍA"/>
    <s v="https://ProfCatedra2024.sawtoothsoftware.com/cgi-bin/ciwweb.pl?studyname=ProfCatedra2024&amp;Correo=silvana.ahumada@unisabana.edu.co04"/>
  </r>
  <r>
    <s v="juancn@unisabana.edu.co"/>
    <s v="juancn@unisabana.edu.co07"/>
    <s v="Doctorado en PsicologÃ­a"/>
    <x v="119"/>
    <n v="201"/>
    <x v="0"/>
    <x v="1"/>
    <s v="Incompleta"/>
    <s v="Posgrado"/>
    <s v="FACULTAD DE PSICOLOGÍA"/>
    <s v="https://ProfCatedra2024.sawtoothsoftware.com/cgi-bin/ciwweb.pl?studyname=ProfCatedra2024&amp;Correo=juancn@unisabana.edu.co07"/>
  </r>
  <r>
    <s v="andres.ortiz9@unisabana.edu.co"/>
    <s v="andres.ortiz9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andres.ortiz9@unisabana.edu.co07"/>
  </r>
  <r>
    <s v="eugenio.valderrama@unisabana.edu.co"/>
    <s v="eugenio.valderrama@unisabana.edu.co07"/>
    <s v="Doctorado en PsicologÃ­a"/>
    <x v="119"/>
    <n v="201"/>
    <x v="0"/>
    <x v="1"/>
    <s v="Incompleta"/>
    <s v="Posgrado"/>
    <s v="FACULTAD DE PSICOLOGÍA"/>
    <s v="https://ProfCatedra2024.sawtoothsoftware.com/cgi-bin/ciwweb.pl?studyname=ProfCatedra2024&amp;Correo=eugenio.valderrama@unisabana.edu.co07"/>
  </r>
  <r>
    <s v="jesus.girado@unisabana.edu.co"/>
    <s v="jesus.girado@unisabana.edu.co07"/>
    <s v="Doctorado en PsicologÃ­a"/>
    <x v="119"/>
    <n v="201"/>
    <x v="0"/>
    <x v="1"/>
    <s v="Incompleta"/>
    <s v="Posgrado"/>
    <s v="FACULTAD DE PSICOLOGÍA"/>
    <s v="https://ProfCatedra2024.sawtoothsoftware.com/cgi-bin/ciwweb.pl?studyname=ProfCatedra2024&amp;Correo=jesus.girado@unisabana.edu.co07"/>
  </r>
  <r>
    <s v="catalina.velandia@unisabana.edu.co"/>
    <s v="catalina.velandia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catalina.velandia@unisabana.edu.co07"/>
  </r>
  <r>
    <s v="jorge.leyva1@unisabana.edu.co"/>
    <s v="jorge.leyva1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jorge.leyva1@unisabana.edu.co07"/>
  </r>
  <r>
    <s v="luis.paz@unisabana.edu.co"/>
    <s v="luis.paz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luis.paz@unisabana.edu.co07"/>
  </r>
  <r>
    <s v="maria.urbina2@unisabana.edu.co"/>
    <s v="maria.urbina2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maria.urbina2@unisabana.edu.co07"/>
  </r>
  <r>
    <s v="nicolas.rodriguez5@unisabana.edu.co"/>
    <s v="nicolas.rodriguez5@unisabana.edu.co07"/>
    <s v="MAESTRÃA EN PSICOLOGÃA CLINICA DE LA NIÃ‘EZ Y LA ADOLESCENCIA"/>
    <x v="120"/>
    <n v="205"/>
    <x v="0"/>
    <x v="1"/>
    <s v="Incompleta"/>
    <s v="Posgrado"/>
    <s v="FACULTAD DE PSICOLOGÍA"/>
    <s v="https://ProfCatedra2024.sawtoothsoftware.com/cgi-bin/ciwweb.pl?studyname=ProfCatedra2024&amp;Correo=nicolas.rodriguez5@unisabana.edu.co07"/>
  </r>
  <r>
    <s v="william.moscoso@unisabana.edu.co"/>
    <s v="william.moscoso@unisabana.edu.co07"/>
    <s v="ESPECIALIZACIÃ“N EN GERENCIA ESTRATÃ‰GICA CHÃA"/>
    <x v="54"/>
    <n v="114"/>
    <x v="0"/>
    <x v="1"/>
    <e v="#N/A"/>
    <s v="Posgrado"/>
    <s v="INSTITUTO FORUM"/>
    <s v="https://ProfCatedra2024.sawtoothsoftware.com/cgi-bin/ciwweb.pl?studyname=ProfCatedra2024&amp;Correo=william.moscoso@unisabana.edu.co07"/>
  </r>
  <r>
    <s v="cesar.parada@unisabana.edu.co"/>
    <s v="cesar.parada@unisabana.edu.co07"/>
    <s v="ESPECIALIZACIÃ“N EN EMPRENDIMIENTO Y NEGOCIOS DIGITALES- CHÃA"/>
    <x v="0"/>
    <n v="202"/>
    <x v="0"/>
    <x v="0"/>
    <e v="#N/A"/>
    <s v="Posgrado"/>
    <s v="INSTITUTO FORUM"/>
    <s v="https://ProfCatedra2024.sawtoothsoftware.com/cgi-bin/ciwweb.pl?studyname=ProfCatedra2024&amp;Correo=cesar.parada@unisabana.edu.co07"/>
  </r>
  <r>
    <s v="adner.capachero@unisabana.edu.co"/>
    <s v="adner.capachero@unisabana.edu.co02"/>
    <s v="ESPECIALIZACIï¿½N EN GERENCIA LOGï¿½STICA - CHï¿½A"/>
    <x v="108"/>
    <n v="115"/>
    <x v="1"/>
    <x v="2"/>
    <s v="Incompleta"/>
    <s v="Posgrado"/>
    <s v="INSTITUTO FORUM"/>
    <s v="https://ProfPlanta2024.sawtoothsoftware.com/cgi-bin/ciwweb.pl?studyname=ProfPlanta2024&amp;Correo=adner.capachero@unisabana.edu.co02"/>
  </r>
  <r>
    <s v="adriana.castellanos@unisabana.edu.co"/>
    <s v="adriana.castellanos@unisabana.edu.co01"/>
    <s v="MAESTRï¿½A EN ENFERMERï¿½A - VIRTUAL"/>
    <x v="13"/>
    <n v="94"/>
    <x v="1"/>
    <x v="2"/>
    <s v="Incompleta"/>
    <s v="Posgrado"/>
    <s v="FACULTAD DE ENFERMERÍA Y REHABILITACIÓN"/>
    <s v="https://ProfPlanta2024.sawtoothsoftware.com/cgi-bin/ciwweb.pl?studyname=ProfPlanta2024&amp;Correo=adriana.castellanos@unisabana.edu.co01"/>
  </r>
  <r>
    <s v="adriana.castellanos@unisabana.edu.co"/>
    <s v="adriana.castellanos@unisabana.edu.co02"/>
    <s v="MAESTRï¿½A EN FISIOTERAPIA"/>
    <x v="121"/>
    <n v="206"/>
    <x v="1"/>
    <x v="2"/>
    <s v="Incompleta"/>
    <s v="Posgrado"/>
    <s v="FACULTAD DE ENFERMERÍA Y REHABILITACIÓN"/>
    <s v="https://ProfPlanta2024.sawtoothsoftware.com/cgi-bin/ciwweb.pl?studyname=ProfPlanta2024&amp;Correo=adriana.castellanos@unisabana.edu.co02"/>
  </r>
  <r>
    <s v="alejandra.fuentes@unisabana.edu.co"/>
    <s v="alejandra.fuentes@unisabana.edu.co02"/>
    <s v="MAESTRï¿½A EN ENFERMERï¿½A"/>
    <x v="12"/>
    <n v="67"/>
    <x v="1"/>
    <x v="2"/>
    <s v="Incompleta"/>
    <s v="Posgrado"/>
    <s v="FACULTAD DE ENFERMERÍA Y REHABILITACIÓN"/>
    <s v="https://ProfPlanta2024.sawtoothsoftware.com/cgi-bin/ciwweb.pl?studyname=ProfPlanta2024&amp;Correo=alejandra.fuentes@unisabana.edu.co02"/>
  </r>
  <r>
    <s v="alejandra.fuentes@unisabana.edu.co"/>
    <s v="alejandra.fuentes@unisabana.edu.co03"/>
    <s v="MAESTRï¿½A EN ENFERMERï¿½A - VIRTUAL"/>
    <x v="13"/>
    <n v="94"/>
    <x v="1"/>
    <x v="2"/>
    <s v="Incompleta"/>
    <s v="Posgrado"/>
    <s v="FACULTAD DE ENFERMERÍA Y REHABILITACIÓN"/>
    <s v="https://ProfPlanta2024.sawtoothsoftware.com/cgi-bin/ciwweb.pl?studyname=ProfPlanta2024&amp;Correo=alejandra.fuentes@unisabana.edu.co03"/>
  </r>
  <r>
    <s v="alexandra.jimenez1@unisabana.edu.co"/>
    <s v="alexandra.jimenez1@unisabana.edu.co01"/>
    <s v="Especializaciï¿½n en Gerencia Comercial - Barranquilla"/>
    <x v="122"/>
    <n v="138"/>
    <x v="0"/>
    <x v="2"/>
    <s v="Incompleta"/>
    <s v="Posgrado"/>
    <s v="INSTITUTO FORUM"/>
    <s v="https://ProfCatedra2024.sawtoothsoftware.com/cgi-bin/ciwweb.pl?studyname=ProfCatedra2024&amp;Correo=alexandra.jimenez1@unisabana.edu.co01"/>
  </r>
  <r>
    <s v="alexandra.jimenez1@unisabana.edu.co"/>
    <s v="alexandra.jimenez1@unisabana.edu.co02"/>
    <s v="Especializaciï¿½n en Gerencia del Servicio - Chï¿½a"/>
    <x v="7"/>
    <n v="118"/>
    <x v="0"/>
    <x v="2"/>
    <s v="Incompleta"/>
    <s v="Posgrado"/>
    <s v="INSTITUTO FORUM"/>
    <s v="https://ProfCatedra2024.sawtoothsoftware.com/cgi-bin/ciwweb.pl?studyname=ProfCatedra2024&amp;Correo=alexandra.jimenez1@unisabana.edu.co02"/>
  </r>
  <r>
    <s v="andres.cardona1@unisabana.edu.co"/>
    <s v="andres.cardona1@unisabana.edu.co01"/>
    <s v="Maestrï¿½a en Analï¿½tica Aplicada - Chï¿½a"/>
    <x v="18"/>
    <n v="75"/>
    <x v="0"/>
    <x v="2"/>
    <s v="Incompleta"/>
    <s v="Posgrado"/>
    <s v="FACULTAD DE INGENIERÍA"/>
    <s v="https://ProfCatedra2024.sawtoothsoftware.com/cgi-bin/ciwweb.pl?studyname=ProfCatedra2024&amp;Correo=andres.cardona1@unisabana.edu.co01"/>
  </r>
  <r>
    <s v="andres.cardona1@unisabana.edu.co"/>
    <s v="andres.cardona1@unisabana.edu.co02"/>
    <s v="Maestrï¿½a en Diseï¿½o y Gestiï¿½n de Procesos - Chï¿½a"/>
    <x v="97"/>
    <n v="73"/>
    <x v="0"/>
    <x v="2"/>
    <s v="Incompleta"/>
    <s v="Posgrado"/>
    <s v="FACULTAD DE INGENIERÍA"/>
    <s v="https://ProfCatedra2024.sawtoothsoftware.com/cgi-bin/ciwweb.pl?studyname=ProfCatedra2024&amp;Correo=andres.cardona1@unisabana.edu.co02"/>
  </r>
  <r>
    <s v="andres.carreno@unisabana.edu.co"/>
    <s v="andres.carreno@Unisabana.edu.co02"/>
    <s v="Maestrï¿½a en Pedagogï¿½a - Neiva"/>
    <x v="81"/>
    <n v="90"/>
    <x v="0"/>
    <x v="0"/>
    <s v="Incompleta"/>
    <s v="Posgrado"/>
    <s v="FACULTAD DE EDUCACIÓN"/>
    <s v="https://ProfCatedra2024.sawtoothsoftware.com/cgi-bin/ciwweb.pl?studyname=ProfCatedra2024&amp;Correo=andres.carreno@Unisabana.edu.co02"/>
  </r>
  <r>
    <s v="angela.trujillo@unisabana.edu.co"/>
    <s v="angela.trujillo@unisabana.edu.co01"/>
    <s v="MAESTRIA EN PSICOLOGIA"/>
    <x v="123"/>
    <n v="80"/>
    <x v="1"/>
    <x v="2"/>
    <s v="Incompleta"/>
    <s v="Posgrado"/>
    <s v="FACULTAD DE PSICOLOGÍA"/>
    <s v="https://ProfPlanta2024.sawtoothsoftware.com/cgi-bin/ciwweb.pl?studyname=ProfPlanta2024&amp;Correo=angela.trujillo@unisabana.edu.co01"/>
  </r>
  <r>
    <s v="juan.ulloa1@unisabana.edu.co"/>
    <s v="juan.ulloa1@unisabana.edu.co1"/>
    <s v="INNOVACIï¿½N Y EMPRENDIMIENTO"/>
    <x v="58"/>
    <n v="155"/>
    <x v="0"/>
    <x v="0"/>
    <s v="Completa"/>
    <s v="Pregrado"/>
    <s v="ESCUELA INTERNACIONAL DE CIENCIAS ECONÓMICAS Y ADMINISTRATIVAS"/>
    <s v="https://ProfCatedra2024.sawtoothsoftware.com/cgi-bin/ciwweb.pl?studyname=ProfCatedra2024&amp;Correo=juan.ulloa1@unisabana.edu.co1"/>
  </r>
  <r>
    <s v="carlos.monroy@unisabana.edu.co"/>
    <s v="carlos.monroy@unisabana.edu.co01"/>
    <s v="MAESTRï¿½A EN GERENCIA Y DESARROLLO DE PERSONAS"/>
    <x v="65"/>
    <n v="81"/>
    <x v="1"/>
    <x v="2"/>
    <s v="Incompleta"/>
    <s v="Posgrado"/>
    <s v="FACULTAD DE PSICOLOGÍA"/>
    <s v="https://ProfPlanta2024.sawtoothsoftware.com/cgi-bin/ciwweb.pl?studyname=ProfPlanta2024&amp;Correo=carlos.monroy@unisabana.edu.co01"/>
  </r>
  <r>
    <s v="carlos.monroy@unisabana.edu.co"/>
    <s v="carlos.monroy@unisabana.edu.co07"/>
    <s v="MAESTRÃA EN PSICOLOGÃA CLINICA DE LA NIÃ‘EZ Y LA ADOLESCENCIA"/>
    <x v="120"/>
    <n v="205"/>
    <x v="1"/>
    <x v="2"/>
    <s v="Incompleta"/>
    <s v="Posgrado"/>
    <s v="FACULTAD DE PSICOLOGÍA"/>
    <s v="https://ProfPlanta2024.sawtoothsoftware.com/cgi-bin/ciwweb.pl?studyname=ProfPlanta2024&amp;Correo=carlos.monroy@unisabana.edu.co07"/>
  </r>
  <r>
    <s v="davendanosura@gmail.com"/>
    <s v="DAVENDANOSURA@GMAIL.COM2"/>
    <s v="Especializaciï¿½n en Seguros y Seguridad Social - Chï¿½a"/>
    <x v="89"/>
    <n v="102"/>
    <x v="0"/>
    <x v="2"/>
    <s v="Incompleta"/>
    <s v="Posgrado"/>
    <s v="FACULTAD DE DERECHO Y CIENCIAS POLÍTICAS"/>
    <s v="https://ProfCatedra2024.sawtoothsoftware.com/cgi-bin/ciwweb.pl?studyname=ProfCatedra2024&amp;Correo=DAVENDANOSURA@GMAIL.COM2"/>
  </r>
  <r>
    <s v="deisy.quiroz@unisabana.edu.co"/>
    <s v="deisy.quiroz@unisabana.edu.co1"/>
    <s v="COMUNICACIï¿½N AUDIOVISUAL Y MULTIMEDIOS"/>
    <x v="23"/>
    <n v="27"/>
    <x v="0"/>
    <x v="2"/>
    <s v="Incompleta"/>
    <s v="Pregrado"/>
    <s v="FACULTAD DE COMUNICACIÓN"/>
    <s v="https://ProfCatedra2024.sawtoothsoftware.com/cgi-bin/ciwweb.pl?studyname=ProfCatedra2024&amp;Correo=deisy.quiroz@unisabana.edu.co1"/>
  </r>
  <r>
    <s v="juana.jaramillo@unisabana.edu.co"/>
    <s v="juana.jaramillo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juana.jaramillo@unisabana.edu.co01"/>
  </r>
  <r>
    <s v="sergio.torres_cont@unisabana.edu.co"/>
    <s v="sergio.torres_cont@unisabana.edu.co01"/>
    <s v="Maestrï¿½a en Gerencia de la Innovaciï¿½n"/>
    <x v="67"/>
    <n v="49"/>
    <x v="0"/>
    <x v="0"/>
    <s v="Incompleta"/>
    <s v="Posgrado"/>
    <s v="ESCUELA INTERNACIONAL DE CIENCIAS ECONÓMICAS Y ADMINISTRATIVAS"/>
    <s v="https://ProfCatedra2024.sawtoothsoftware.com/cgi-bin/ciwweb.pl?studyname=ProfCatedra2024&amp;Correo=sergio.torres_cont@unisabana.edu.co01"/>
  </r>
  <r>
    <s v="deisy.quiroz@unisabana.edu.co"/>
    <s v="deisy.quiroz@unisabana.edu.co3"/>
    <s v="COMUNICACIï¿½N CORPORATIVA"/>
    <x v="43"/>
    <n v="26"/>
    <x v="0"/>
    <x v="2"/>
    <s v="Incompleta"/>
    <s v="Pregrado"/>
    <s v="FACULTAD DE COMUNICACIÓN"/>
    <s v="https://ProfCatedra2024.sawtoothsoftware.com/cgi-bin/ciwweb.pl?studyname=ProfCatedra2024&amp;Correo=deisy.quiroz@unisabana.edu.co3"/>
  </r>
  <r>
    <s v="doraat@unisabana.edu.co"/>
    <s v="Doraat@unisabana.edu.co02"/>
    <s v="Especializaciï¿½n en Gerencia del Servicio - Chï¿½a"/>
    <x v="7"/>
    <n v="118"/>
    <x v="0"/>
    <x v="2"/>
    <s v="Incompleta"/>
    <s v="Posgrado"/>
    <s v="INSTITUTO FORUM"/>
    <s v="https://ProfCatedra2024.sawtoothsoftware.com/cgi-bin/ciwweb.pl?studyname=ProfCatedra2024&amp;Correo=Doraat@unisabana.edu.co02"/>
  </r>
  <r>
    <s v="doraat@unisabana.edu.co"/>
    <s v="Doraat@unisabana.edu.co03"/>
    <s v="Especializaciï¿½n en Gerencia Logï¿½stica - Bogotï¿½"/>
    <x v="85"/>
    <n v="143"/>
    <x v="0"/>
    <x v="2"/>
    <s v="Incompleta"/>
    <s v="Posgrado"/>
    <s v="INSTITUTO FORUM"/>
    <s v="https://ProfCatedra2024.sawtoothsoftware.com/cgi-bin/ciwweb.pl?studyname=ProfCatedra2024&amp;Correo=Doraat@unisabana.edu.co03"/>
  </r>
  <r>
    <s v="flor.baracaldo@unisabana.edu.co"/>
    <s v="flor.baracaldo@unisabana.edu.co01"/>
    <s v="MAESTRï¿½A EN GERENCIA Y DESARROLLO DE PERSONAS"/>
    <x v="65"/>
    <n v="81"/>
    <x v="1"/>
    <x v="2"/>
    <s v="Incompleta"/>
    <s v="Posgrado"/>
    <s v="FACULTAD DE PSICOLOGÍA"/>
    <s v="https://ProfPlanta2024.sawtoothsoftware.com/cgi-bin/ciwweb.pl?studyname=ProfPlanta2024&amp;Correo=flor.baracaldo@unisabana.edu.co01"/>
  </r>
  <r>
    <s v="gabriela.atehortua@unisabana.edu.co"/>
    <s v="gabriela.atehortua@unisabana.edu.co03"/>
    <s v="MAESTRï¿½A EN PROYECTOS EDUCATIVOS MEDIADOS POR TIC"/>
    <x v="124"/>
    <n v="84"/>
    <x v="0"/>
    <x v="2"/>
    <s v="Incompleta"/>
    <s v="Posgrado"/>
    <s v="FACULTAD DE EDUCACIÓN"/>
    <s v="https://ProfCatedra2024.sawtoothsoftware.com/cgi-bin/ciwweb.pl?studyname=ProfCatedra2024&amp;Correo=gabriela.atehortua@unisabana.edu.co03"/>
  </r>
  <r>
    <s v="luis.maria@unisabana.edu.co"/>
    <s v="luis.maria@unisabana.edu.co02"/>
    <s v="Especializaciï¿½n en Gerencia Financiera Internacional - Chia"/>
    <x v="75"/>
    <n v="110"/>
    <x v="0"/>
    <x v="0"/>
    <s v="Incompleta"/>
    <s v="Posgrado"/>
    <s v="INSTITUTO FORUM"/>
    <s v="https://ProfCatedra2024.sawtoothsoftware.com/cgi-bin/ciwweb.pl?studyname=ProfCatedra2024&amp;Correo=luis.maria@unisabana.edu.co02"/>
  </r>
  <r>
    <s v="ingri.moreno@unisabana.edu.co"/>
    <s v="ingri.moreno@unisabana.edu.co1"/>
    <s v="LICENCIATURA EN CIENCIAS NATURALES"/>
    <x v="3"/>
    <n v="31"/>
    <x v="0"/>
    <x v="2"/>
    <s v="Incompleta"/>
    <s v="Pregrado"/>
    <s v="FACULTAD DE EDUCACIÓN"/>
    <s v="https://ProfCatedra2024.sawtoothsoftware.com/cgi-bin/ciwweb.pl?studyname=ProfCatedra2024&amp;Correo=ingri.moreno@unisabana.edu.co1"/>
  </r>
  <r>
    <s v="jaime.rodriguez3@unisabana.edu.co"/>
    <s v="Jaime.Rodriguez3@unisabana.edu.co01"/>
    <s v="MAESTRï¿½A EN GERENCIA Y DESARROLLO DE PERSONAS"/>
    <x v="65"/>
    <n v="81"/>
    <x v="1"/>
    <x v="2"/>
    <s v="Incompleta"/>
    <s v="Posgrado"/>
    <s v="FACULTAD DE PSICOLOGÍA"/>
    <s v="https://ProfCatedra2024.sawtoothsoftware.com/cgi-bin/ciwweb.pl?studyname=ProfCatedra2024&amp;Correo=Jaime.Rodriguez3@unisabana.edu.co01"/>
  </r>
  <r>
    <s v="jeronimo.garcia@unisabana.edu.co"/>
    <s v="jeronimo.garcia@unisabana.edu.co2"/>
    <s v="COMUNICACIï¿½N SOCIAL Y PERIODISMO"/>
    <x v="15"/>
    <n v="28"/>
    <x v="0"/>
    <x v="2"/>
    <s v="Incompleta"/>
    <s v="Pregrado"/>
    <s v="FACULTAD DE COMUNICACIÓN"/>
    <s v="https://ProfCatedra2024.sawtoothsoftware.com/cgi-bin/ciwweb.pl?studyname=ProfCatedra2024&amp;Correo=jeronimo.garcia@unisabana.edu.co2"/>
  </r>
  <r>
    <s v="jose.castano@unisabana.edu.co"/>
    <s v="jose.castano@unisabana.edu.co01"/>
    <s v="MAESTRï¿½A EN DIRECCIï¿½N Y GESTIï¿½N DE INSTITUCIONES EDUCATIVAS"/>
    <x v="62"/>
    <n v="64"/>
    <x v="0"/>
    <x v="2"/>
    <s v="Incompleta"/>
    <s v="Posgrado"/>
    <s v="FACULTAD DE EDUCACIÓN"/>
    <s v="https://ProfCatedra2024.sawtoothsoftware.com/cgi-bin/ciwweb.pl?studyname=ProfCatedra2024&amp;Correo=jose.castano@unisabana.edu.co01"/>
  </r>
  <r>
    <s v="jose.rodriguez3@unisabana.edu.co"/>
    <s v="jose.rodriguez3@unisabana.edu.co2"/>
    <s v="DERECHO"/>
    <x v="22"/>
    <n v="30"/>
    <x v="1"/>
    <x v="2"/>
    <s v="Incompleta"/>
    <s v="Pregrado"/>
    <s v="FACULTAD DE DERECHO Y CIENCIAS POLÍTICAS"/>
    <s v="https://ProfPlanta2024.sawtoothsoftware.com/cgi-bin/ciwweb.pl?studyname=ProfPlanta2024&amp;Correo=jose.rodriguez3@unisabana.edu.co2"/>
  </r>
  <r>
    <s v="juan.cardenas4@unisabana.edu.co"/>
    <s v="juan.cardenas4@unisabana.edu.co2"/>
    <s v="COMUNICACIï¿½N SOCIAL Y PERIODISMO"/>
    <x v="15"/>
    <n v="28"/>
    <x v="1"/>
    <x v="2"/>
    <s v="Incompleta"/>
    <s v="Pregrado"/>
    <s v="FACULTAD DE COMUNICACIÓN"/>
    <s v="https://ProfPlanta2024.sawtoothsoftware.com/cgi-bin/ciwweb.pl?studyname=ProfPlanta2024&amp;Correo=juan.cardenas4@unisabana.edu.co2"/>
  </r>
  <r>
    <s v="sergio.torres_cont@unisabana.edu.co"/>
    <s v="sergio.torres_cont@unisabana.edu.co04"/>
    <s v="MAESTRï¿½A EN GERENCIA Y DESARROLLO DE PERSONAS"/>
    <x v="65"/>
    <n v="81"/>
    <x v="0"/>
    <x v="0"/>
    <s v="Incompleta"/>
    <s v="Posgrado"/>
    <s v="FACULTAD DE PSICOLOGÍA"/>
    <s v="https://ProfCatedra2024.sawtoothsoftware.com/cgi-bin/ciwweb.pl?studyname=ProfCatedra2024&amp;Correo=sergio.torres_cont@unisabana.edu.co04"/>
  </r>
  <r>
    <s v="juan.cardenas4@unisabana.edu.co"/>
    <s v="juan.cardenas4@unisabana.edu.co3"/>
    <s v="COMUNICACIï¿½N CORPORATIVA"/>
    <x v="43"/>
    <n v="26"/>
    <x v="1"/>
    <x v="2"/>
    <s v="Incompleta"/>
    <s v="Pregrado"/>
    <s v="FACULTAD DE COMUNICACIÓN"/>
    <s v="https://ProfPlanta2024.sawtoothsoftware.com/cgi-bin/ciwweb.pl?studyname=ProfPlanta2024&amp;Correo=juan.cardenas4@unisabana.edu.co3"/>
  </r>
  <r>
    <s v="juan.enciso2@unisabana.edu.co"/>
    <s v="juan.enciso2@unisabana.edu.co02"/>
    <s v="Especializaciï¿½n en Pedagogï¿½a e Investigaciï¿½n en el Aula - Virtual"/>
    <x v="94"/>
    <n v="123"/>
    <x v="0"/>
    <x v="0"/>
    <s v="Incompleta"/>
    <s v="Posgrado"/>
    <s v="FACULTAD DE EDUCACIÓN"/>
    <s v="https://ProfCatedra2024.sawtoothsoftware.com/cgi-bin/ciwweb.pl?studyname=ProfCatedra2024&amp;Correo=juan.enciso2@unisabana.edu.co02"/>
  </r>
  <r>
    <s v="julian.carreno@unisabana.edu.co"/>
    <s v="Julian.Carreno@unisabana.edu.co2"/>
    <s v="COMUNICACIï¿½N SOCIAL Y PERIODISMO"/>
    <x v="15"/>
    <n v="28"/>
    <x v="1"/>
    <x v="2"/>
    <s v="Incompleta"/>
    <s v="Pregrado"/>
    <s v="FACULTAD DE COMUNICACIÓN"/>
    <s v="https://ProfPlanta2024.sawtoothsoftware.com/cgi-bin/ciwweb.pl?studyname=ProfPlanta2024&amp;Correo=Julian.Carreno@unisabana.edu.co2"/>
  </r>
  <r>
    <s v="julian.carreno@unisabana.edu.co"/>
    <s v="Julian.Carreno@unisabana.edu.co3"/>
    <s v="COMUNICACIï¿½N CORPORATIVA"/>
    <x v="43"/>
    <n v="26"/>
    <x v="1"/>
    <x v="2"/>
    <s v="Incompleta"/>
    <s v="Pregrado"/>
    <s v="FACULTAD DE COMUNICACIÓN"/>
    <s v="https://ProfPlanta2024.sawtoothsoftware.com/cgi-bin/ciwweb.pl?studyname=ProfPlanta2024&amp;Correo=Julian.Carreno@unisabana.edu.co3"/>
  </r>
  <r>
    <s v="laura.carreno@unisabana.edu.co"/>
    <s v="laura.carreno@unisabana.edu.co1"/>
    <s v="LICENCIATURA EN EDUCACIï¿½N INFANTIL"/>
    <x v="34"/>
    <n v="32"/>
    <x v="1"/>
    <x v="2"/>
    <s v="Incompleta"/>
    <s v="Pregrado"/>
    <s v="FACULTAD DE EDUCACIÓN"/>
    <s v="https://ProfPlanta2024.sawtoothsoftware.com/cgi-bin/ciwweb.pl?studyname=ProfPlanta2024&amp;Correo=laura.carreno@unisabana.edu.co1"/>
  </r>
  <r>
    <s v="lida.isaza@unisabana.edu.co"/>
    <s v="lida.isaza@unisabana.edu.co2"/>
    <s v="LICENCIATURA EN CIENCIAS NATURALES"/>
    <x v="3"/>
    <n v="31"/>
    <x v="0"/>
    <x v="2"/>
    <s v="Incompleta"/>
    <s v="Pregrado"/>
    <s v="FACULTAD DE EDUCACIÓN"/>
    <s v="https://ProfCatedra2024.sawtoothsoftware.com/cgi-bin/ciwweb.pl?studyname=ProfCatedra2024&amp;Correo=lida.isaza@unisabana.edu.co2"/>
  </r>
  <r>
    <s v="liliana.paredes@unisabana.edu.co"/>
    <s v="liliana.paredes@unisabana.edu.co2"/>
    <s v="COMUNICACIï¿½N SOCIAL Y PERIODISMO"/>
    <x v="15"/>
    <n v="28"/>
    <x v="1"/>
    <x v="2"/>
    <s v="Incompleta"/>
    <s v="Pregrado"/>
    <s v="FACULTAD DE COMUNICACIÓN"/>
    <s v="https://ProfPlanta2024.sawtoothsoftware.com/cgi-bin/ciwweb.pl?studyname=ProfPlanta2024&amp;Correo=liliana.paredes@unisabana.edu.co2"/>
  </r>
  <r>
    <s v="luis.lopez10@unisabana.edu.co"/>
    <s v="luis.lopez10@unisabana.edu.co02"/>
    <s v="Especializaciï¿½n En Gerencia Estratï¿½gica - Bucaramanga"/>
    <x v="55"/>
    <n v="134"/>
    <x v="0"/>
    <x v="2"/>
    <s v="Incompleta"/>
    <s v="Posgrado"/>
    <s v="INSTITUTO FORUM"/>
    <s v="https://ProfCatedra2024.sawtoothsoftware.com/cgi-bin/ciwweb.pl?studyname=ProfCatedra2024&amp;Correo=luis.lopez10@unisabana.edu.co02"/>
  </r>
  <r>
    <s v="luis.parra2@unisabana.edu.co"/>
    <s v="luis.parra2@unisabana.edu.co1"/>
    <s v="CIENCIAS POLï¿½TICAS"/>
    <x v="68"/>
    <n v="29"/>
    <x v="0"/>
    <x v="2"/>
    <s v="Incompleta"/>
    <s v="Pregrado"/>
    <s v="FACULTAD DE DERECHO Y CIENCIAS POLÍTICAS"/>
    <s v="https://ProfCatedra2024.sawtoothsoftware.com/cgi-bin/ciwweb.pl?studyname=ProfCatedra2024&amp;Correo=luis.parra2@unisabana.edu.co1"/>
  </r>
  <r>
    <s v="luisaaa@unisabana.edu.co"/>
    <s v="Luisaaa@unisabana.edu.co01"/>
    <s v="MAESTRï¿½A EN DESARROLLO INFANTIL - CHIA"/>
    <x v="41"/>
    <n v="60"/>
    <x v="0"/>
    <x v="2"/>
    <s v="Incompleta"/>
    <s v="Posgrado"/>
    <s v="FACULTAD DE EDUCACIÓN"/>
    <s v="https://ProfCatedra2024.sawtoothsoftware.com/cgi-bin/ciwweb.pl?studyname=ProfCatedra2024&amp;Correo=Luisaaa@unisabana.edu.co01"/>
  </r>
  <r>
    <s v="luz.villalba@unisabana.edu.co"/>
    <s v="luz.villalba@unisabana.edu.co1"/>
    <s v="COMUNICACIï¿½N AUDIOVISUAL Y MULTIMEDIOS"/>
    <x v="23"/>
    <n v="27"/>
    <x v="1"/>
    <x v="2"/>
    <s v="Incompleta"/>
    <s v="Pregrado"/>
    <s v="FACULTAD DE COMUNICACIÓN"/>
    <s v="https://ProfPlanta2024.sawtoothsoftware.com/cgi-bin/ciwweb.pl?studyname=ProfPlanta2024&amp;Correo=luz.villalba@unisabana.edu.co1"/>
  </r>
  <r>
    <s v="luz.villalba@unisabana.edu.co"/>
    <s v="luz.villalba@unisabana.edu.co3"/>
    <s v="COMUNICACIï¿½N CORPORATIVA"/>
    <x v="43"/>
    <n v="26"/>
    <x v="1"/>
    <x v="2"/>
    <s v="Incompleta"/>
    <s v="Pregrado"/>
    <s v="FACULTAD DE COMUNICACIÓN"/>
    <s v="https://ProfPlanta2024.sawtoothsoftware.com/cgi-bin/ciwweb.pl?studyname=ProfPlanta2024&amp;Correo=luz.villalba@unisabana.edu.co3"/>
  </r>
  <r>
    <s v="manuel.rodriguez3@unisabana.edu.co"/>
    <s v="manuel.rodriguez3@unisabana.edu.co2"/>
    <s v="COMUNICACIï¿½N SOCIAL Y PERIODISMO"/>
    <x v="15"/>
    <n v="28"/>
    <x v="0"/>
    <x v="2"/>
    <s v="Incompleta"/>
    <s v="Pregrado"/>
    <s v="FACULTAD DE COMUNICACIÓN"/>
    <s v="https://ProfCatedra2024.sawtoothsoftware.com/cgi-bin/ciwweb.pl?studyname=ProfCatedra2024&amp;Correo=manuel.rodriguez3@unisabana.edu.co2"/>
  </r>
  <r>
    <s v="manuel.rodriguez3@unisabana.edu.co"/>
    <s v="manuel.rodriguez3@unisabana.edu.co3"/>
    <s v="COMUNICACIï¿½N CORPORATIVA"/>
    <x v="43"/>
    <n v="26"/>
    <x v="0"/>
    <x v="2"/>
    <s v="Incompleta"/>
    <s v="Pregrado"/>
    <s v="FACULTAD DE COMUNICACIÓN"/>
    <s v="https://ProfCatedra2024.sawtoothsoftware.com/cgi-bin/ciwweb.pl?studyname=ProfCatedra2024&amp;Correo=manuel.rodriguez3@unisabana.edu.co3"/>
  </r>
  <r>
    <s v="maria.arbelaez4@unisabana.edu.co"/>
    <s v="maria.arbelaez4@unisabana.edu.co1"/>
    <s v="COMUNICACIï¿½N AUDIOVISUAL Y MULTIMEDIOS"/>
    <x v="23"/>
    <n v="27"/>
    <x v="1"/>
    <x v="2"/>
    <s v="Incompleta"/>
    <s v="Pregrado"/>
    <s v="FACULTAD DE COMUNICACIÓN"/>
    <s v="https://ProfPlanta2024.sawtoothsoftware.com/cgi-bin/ciwweb.pl?studyname=ProfPlanta2024&amp;Correo=maria.arbelaez4@unisabana.edu.co1"/>
  </r>
  <r>
    <s v="maria.arbelaez4@unisabana.edu.co"/>
    <s v="maria.arbelaez4@unisabana.edu.co3"/>
    <s v="COMUNICACIï¿½N CORPORATIVA"/>
    <x v="43"/>
    <n v="26"/>
    <x v="1"/>
    <x v="2"/>
    <s v="Incompleta"/>
    <s v="Pregrado"/>
    <s v="FACULTAD DE COMUNICACIÓN"/>
    <s v="https://ProfPlanta2024.sawtoothsoftware.com/cgi-bin/ciwweb.pl?studyname=ProfPlanta2024&amp;Correo=maria.arbelaez4@unisabana.edu.co3"/>
  </r>
  <r>
    <s v="maria.castillo2@unisabana.edu.co"/>
    <s v="maria.castillo2@unisabana.edu.co02"/>
    <s v="MAESTRï¿½A EN PEDAGOGï¿½A - HUILA"/>
    <x v="81"/>
    <n v="90"/>
    <x v="0"/>
    <x v="2"/>
    <s v="Incompleta"/>
    <s v="Posgrado"/>
    <s v="FACULTAD DE EDUCACIÓN"/>
    <s v="https://ProfCatedra2024.sawtoothsoftware.com/cgi-bin/ciwweb.pl?studyname=ProfCatedra2024&amp;Correo=maria.castillo2@unisabana.edu.co02"/>
  </r>
  <r>
    <s v="maria.mejia2@unisabana.edu.co"/>
    <s v="maria.mejia2@unisabana.edu.co02"/>
    <s v="ESPECIALIZACION EN PSICOLOGIA EDUCATIVA"/>
    <x v="71"/>
    <n v="108"/>
    <x v="1"/>
    <x v="2"/>
    <s v="Incompleta"/>
    <s v="Posgrado"/>
    <s v="FACULTAD DE PSICOLOGÍA"/>
    <s v="https://ProfPlanta2024.sawtoothsoftware.com/cgi-bin/ciwweb.pl?studyname=ProfPlanta2024&amp;Correo=maria.mejia2@unisabana.edu.co02"/>
  </r>
  <r>
    <s v="maria.villar2@unisabana.edu.co"/>
    <s v="maria.villar2@unisabana.edu.co01"/>
    <s v="Especializaciï¿½n en Gerencia del Servicio - Chï¿½a"/>
    <x v="7"/>
    <n v="118"/>
    <x v="0"/>
    <x v="2"/>
    <s v="Incompleta"/>
    <s v="Posgrado"/>
    <s v="INSTITUTO FORUM"/>
    <s v="https://ProfCatedra2024.sawtoothsoftware.com/cgi-bin/ciwweb.pl?studyname=ProfCatedra2024&amp;Correo=maria.villar2@unisabana.edu.co01"/>
  </r>
  <r>
    <s v="rociohp@unisabana.edu.co"/>
    <s v="RocioHP@unisabana.edu.co01"/>
    <s v="ESPECIALIZACIï¿½N EN GERENCIA LOGï¿½STICA - CHï¿½A"/>
    <x v="108"/>
    <n v="115"/>
    <x v="1"/>
    <x v="2"/>
    <s v="Incompleta"/>
    <s v="Posgrado"/>
    <s v="INSTITUTO FORUM"/>
    <s v="https://ProfPlanta2024.sawtoothsoftware.com/cgi-bin/ciwweb.pl?studyname=ProfPlanta2024&amp;Correo=RocioHP@unisabana.edu.co01"/>
  </r>
  <r>
    <s v="rociohp@unisabana.edu.co"/>
    <s v="RocioHP@unisabana.edu.co02"/>
    <s v="ESPECIALIZACIï¿½N EN GESTIï¿½N PARA EL DESARROLLO HUMANO EN LA ORGANIZACIï¿½N - CHï¿½A"/>
    <x v="39"/>
    <n v="141"/>
    <x v="1"/>
    <x v="2"/>
    <s v="Incompleta"/>
    <s v="Posgrado"/>
    <s v="INSTITUTO FORUM"/>
    <s v="https://ProfPlanta2024.sawtoothsoftware.com/cgi-bin/ciwweb.pl?studyname=ProfPlanta2024&amp;Correo=RocioHP@unisabana.edu.co02"/>
  </r>
  <r>
    <s v="santiago.wills@unisabana.edu.co"/>
    <s v="santiago.wills@unisabana.edu.co2"/>
    <s v="COMUNICACIï¿½N SOCIAL Y PERIODISMO"/>
    <x v="15"/>
    <n v="28"/>
    <x v="0"/>
    <x v="2"/>
    <s v="Incompleta"/>
    <s v="Pregrado"/>
    <s v="FACULTAD DE COMUNICACIÓN"/>
    <s v="https://ProfCatedra2024.sawtoothsoftware.com/cgi-bin/ciwweb.pl?studyname=ProfCatedra2024&amp;Correo=santiago.wills@unisabana.edu.co2"/>
  </r>
  <r>
    <s v="sergio.torres_cont@unisabana.edu.co"/>
    <s v="sergio.torres_cont@unisabana.edu.co03"/>
    <s v="Maestrï¿½a en Gerencia Internacional"/>
    <x v="37"/>
    <n v="48"/>
    <x v="0"/>
    <x v="2"/>
    <s v="Incompleta"/>
    <s v="Posgrado"/>
    <s v="ESCUELA INTERNACIONAL DE CIENCIAS ECONÓMICAS Y ADMINISTRATIVAS"/>
    <s v="https://ProfCatedra2024.sawtoothsoftware.com/cgi-bin/ciwweb.pl?studyname=ProfCatedra2024&amp;Correo=sergio.torres_cont@unisabana.edu.co03"/>
  </r>
  <r>
    <s v="mikel.ibarra@unisabana.edu.co"/>
    <m/>
    <m/>
    <x v="125"/>
    <n v="124"/>
    <x v="0"/>
    <x v="2"/>
    <m/>
    <s v="Posgrado"/>
    <s v="INSTITUTO FORUM"/>
    <m/>
  </r>
  <r>
    <s v="mikel.ibarra@unisabana.edu.co"/>
    <m/>
    <m/>
    <x v="126"/>
    <n v="139"/>
    <x v="0"/>
    <x v="2"/>
    <m/>
    <s v="Posgrado"/>
    <s v="INSTITUTO FORUM"/>
    <m/>
  </r>
  <r>
    <s v="mikel.ibarra@unisabana.edu.co"/>
    <m/>
    <m/>
    <x v="55"/>
    <n v="134"/>
    <x v="0"/>
    <x v="2"/>
    <m/>
    <s v="Posgrado"/>
    <s v="INSTITUTO FORUM"/>
    <m/>
  </r>
  <r>
    <s v="mikel.ibarra@unisabana.edu.co"/>
    <m/>
    <m/>
    <x v="54"/>
    <n v="114"/>
    <x v="0"/>
    <x v="2"/>
    <m/>
    <s v="Posgrado"/>
    <s v="INSTITUTO FORUM"/>
    <m/>
  </r>
  <r>
    <s v="mikel.ibarra@unisabana.edu.co"/>
    <m/>
    <m/>
    <x v="52"/>
    <n v="131"/>
    <x v="0"/>
    <x v="2"/>
    <m/>
    <s v="Posgrado"/>
    <s v="INSTITUTO FORUM"/>
    <m/>
  </r>
  <r>
    <s v="mikel.ibarra@unisabana.edu.co"/>
    <m/>
    <m/>
    <x v="78"/>
    <n v="133"/>
    <x v="0"/>
    <x v="2"/>
    <m/>
    <s v="Posgrado"/>
    <s v="INSTITUTO FORUM"/>
    <m/>
  </r>
  <r>
    <s v="mikel.ibarra@unisabana.edu.co"/>
    <m/>
    <m/>
    <x v="127"/>
    <n v="140"/>
    <x v="0"/>
    <x v="2"/>
    <m/>
    <s v="Posgrado"/>
    <s v="INSTITUTO FORUM"/>
    <m/>
  </r>
  <r>
    <s v="jorge.martinez_cont@unisabana.edu.co"/>
    <m/>
    <m/>
    <x v="125"/>
    <n v="124"/>
    <x v="0"/>
    <x v="2"/>
    <m/>
    <s v="Posgrado"/>
    <s v="INSTITUTO FORUM"/>
    <m/>
  </r>
  <r>
    <s v="jorge.martinez_cont@unisabana.edu.co"/>
    <m/>
    <m/>
    <x v="126"/>
    <n v="139"/>
    <x v="0"/>
    <x v="2"/>
    <m/>
    <s v="Posgrado"/>
    <s v="INSTITUTO FORUM"/>
    <m/>
  </r>
  <r>
    <s v="jorge.martinez_cont@unisabana.edu.co"/>
    <m/>
    <m/>
    <x v="55"/>
    <n v="134"/>
    <x v="0"/>
    <x v="2"/>
    <m/>
    <s v="Posgrado"/>
    <s v="INSTITUTO FORUM"/>
    <m/>
  </r>
  <r>
    <s v="jorge.martinez_cont@unisabana.edu.co"/>
    <m/>
    <m/>
    <x v="54"/>
    <n v="114"/>
    <x v="0"/>
    <x v="2"/>
    <m/>
    <s v="Posgrado"/>
    <s v="INSTITUTO FORUM"/>
    <m/>
  </r>
  <r>
    <s v="jorge.martinez_cont@unisabana.edu.co"/>
    <m/>
    <m/>
    <x v="52"/>
    <n v="131"/>
    <x v="0"/>
    <x v="2"/>
    <m/>
    <s v="Posgrado"/>
    <s v="INSTITUTO FORUM"/>
    <m/>
  </r>
  <r>
    <s v="juanenco@unisabana.edu.co"/>
    <s v="juanenco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juanenco@unisabana.edu.co1"/>
  </r>
  <r>
    <s v="juanita.macias@unisabana.edu.co"/>
    <s v="juanita.macias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juanita.macias@unisabana.edu.co1"/>
  </r>
  <r>
    <s v="juanmordi@unisabana.edu.co"/>
    <s v="juanmordi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juanmordi@unisabana.edu.co1"/>
  </r>
  <r>
    <s v="juanrig@unisabana.edu.co"/>
    <s v="juanrig@unisabana.edu.co01"/>
    <s v="Especializaciï¿½n en Gerencia de Producciï¿½n y Operaciones  - Chia"/>
    <x v="112"/>
    <n v="112"/>
    <x v="0"/>
    <x v="0"/>
    <s v="Completa"/>
    <s v="Posgrado"/>
    <s v="INSTITUTO FORUM"/>
    <s v="https://ProfCatedra2024.sawtoothsoftware.com/cgi-bin/ciwweb.pl?studyname=ProfCatedra2024&amp;Correo=juanrig@unisabana.edu.co01"/>
  </r>
  <r>
    <s v="juansanari@unisabana.edu.co"/>
    <s v="juansanari@unisabana.edu.co01"/>
    <s v="Especializaciï¿½n en Gerencia Estratï¿½gica - Chia"/>
    <x v="54"/>
    <n v="114"/>
    <x v="0"/>
    <x v="0"/>
    <s v="Completa"/>
    <s v="Posgrado"/>
    <s v="INSTITUTO FORUM"/>
    <s v="https://ProfCatedra2024.sawtoothsoftware.com/cgi-bin/ciwweb.pl?studyname=ProfCatedra2024&amp;Correo=juansanari@unisabana.edu.co01"/>
  </r>
  <r>
    <s v="julia.diaz@unisabana.edu.co"/>
    <s v="julia.diaz@unisabana.edu.co01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julia.diaz@unisabana.edu.co01"/>
  </r>
  <r>
    <s v="julia.diaz@unisabana.edu.co"/>
    <s v="julia.diaz@unisabana.edu.co02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julia.diaz@unisabana.edu.co02"/>
  </r>
  <r>
    <s v="julian.bohorquez@unisabana.edu.co"/>
    <s v="julian.bohorquez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julian.bohorquez@unisabana.edu.co1"/>
  </r>
  <r>
    <s v="julian.obando@unisabana.edu.co"/>
    <s v="julian.obando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julian.obando@unisabana.edu.co1"/>
  </r>
  <r>
    <s v="julian.urrea1@unisabana.edu.co"/>
    <s v="julian.urrea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julian.urrea1@unisabana.edu.co1"/>
  </r>
  <r>
    <s v="juliana.cardona@unisabana.edu.co"/>
    <s v="juliana.cardona@unisabana.edu.co01"/>
    <s v="Maestrï¿½a en Diseï¿½o y Gestiï¿½n de Procesos - Chï¿½a"/>
    <x v="97"/>
    <n v="73"/>
    <x v="0"/>
    <x v="0"/>
    <s v="Completa"/>
    <s v="Posgrado"/>
    <s v="FACULTAD DE INGENIERÍA"/>
    <s v="https://ProfCatedra2024.sawtoothsoftware.com/cgi-bin/ciwweb.pl?studyname=ProfCatedra2024&amp;Correo=juliana.cardona@unisabana.edu.co01"/>
  </r>
  <r>
    <s v="julieth.prieto1@unisabana.edu.co"/>
    <s v="julieth.prieto1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julieth.prieto1@unisabana.edu.co1"/>
  </r>
  <r>
    <s v="karinalb_cont@unisabana.edu.co"/>
    <s v="karinalb_cont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karinalb_cont@unisabana.edu.co01"/>
  </r>
  <r>
    <s v="katherine.bauer1@unisabana.edu.co"/>
    <s v="katherine.bauer1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katherine.bauer1@unisabana.edu.co1"/>
  </r>
  <r>
    <s v="kelly.zarate1@unisabana.edu.co"/>
    <s v="kelly.zarate1@unisabana.edu.co01"/>
    <s v="Maestrï¿½a en Salud Pï¿½blica"/>
    <x v="70"/>
    <n v="79"/>
    <x v="0"/>
    <x v="0"/>
    <s v="Completa"/>
    <s v="Posgrado"/>
    <s v="FACULTAD DE MEDICINA"/>
    <s v="https://ProfCatedra2024.sawtoothsoftware.com/cgi-bin/ciwweb.pl?studyname=ProfCatedra2024&amp;Correo=kelly.zarate1@unisabana.edu.co01"/>
  </r>
  <r>
    <s v="kelly.zarate1@unisabana.edu.co"/>
    <s v="kelly.zarate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kelly.zarate1@unisabana.edu.co1"/>
  </r>
  <r>
    <s v="laura.avila3@unisabana.edu.co"/>
    <s v="laura.avila3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laura.avila3@unisabana.edu.co1"/>
  </r>
  <r>
    <s v="laura.mena1@unisabana.edu.co"/>
    <s v="laura.mena1@unisabana.edu.co1"/>
    <s v="CENTRO DE TECNOLOGï¿½AS PARA LA ACADEMIA"/>
    <x v="87"/>
    <n v="212"/>
    <x v="0"/>
    <x v="0"/>
    <s v="Completa"/>
    <s v="Pregrado"/>
    <s v="CENTRO DE TECNOLOGÍAS PARA LA ACADEMIA"/>
    <s v="https://ProfCatedra2024.sawtoothsoftware.com/cgi-bin/ciwweb.pl?studyname=ProfCatedra2024&amp;Correo=laura.mena1@unisabana.edu.co1"/>
  </r>
  <r>
    <s v="laura.rodriguez24@unisabana.edu.co"/>
    <s v="laura.rodriguez24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laura.rodriguez24@unisabana.edu.co1"/>
  </r>
  <r>
    <s v="lauraramro@unisabana.edu.co"/>
    <s v="lauraramro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lauraramro@unisabana.edu.co1"/>
  </r>
  <r>
    <s v="leidy.contreras@unisabana.edu.co"/>
    <s v="leidy.contreras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leidy.contreras@unisabana.edu.co1"/>
  </r>
  <r>
    <s v="leidy.gomez1@unisabana.edu.co"/>
    <s v="leidy.gomez1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leidy.gomez1@unisabana.edu.co1"/>
  </r>
  <r>
    <s v="leidy.martinez4@unisabana.edu.co"/>
    <s v="leidy.martinez4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leidy.martinez4@unisabana.edu.co1"/>
  </r>
  <r>
    <s v="leonardo.ariza@unisabana.edu.co"/>
    <s v="leonardo.ariza@unisabana.edu.co1"/>
    <s v="ENFERMERï¿½A"/>
    <x v="57"/>
    <n v="33"/>
    <x v="0"/>
    <x v="0"/>
    <s v="Completa"/>
    <s v="Pregrado"/>
    <s v="FACULTAD DE ENFERMERÍA Y REHABILITACIÓN"/>
    <s v="https://ProfCatedra2024.sawtoothsoftware.com/cgi-bin/ciwweb.pl?studyname=ProfCatedra2024&amp;Correo=leonardo.ariza@unisabana.edu.co1"/>
  </r>
  <r>
    <s v="leonardo.moya@unisabana.edu.co"/>
    <s v="leonardo.moya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leonardo.moya@unisabana.edu.co1"/>
  </r>
  <r>
    <s v="leslie.hernandez1@unisabana.edu.co"/>
    <s v="leslie.hernandez1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leslie.hernandez1@unisabana.edu.co1"/>
  </r>
  <r>
    <s v="libiaro@unisabana.edu.co"/>
    <s v="libiaro@unisabana.edu.co01"/>
    <s v="Especializaciï¿½n en Gerencia Comercial - Barranquilla"/>
    <x v="122"/>
    <n v="138"/>
    <x v="0"/>
    <x v="0"/>
    <s v="Completa"/>
    <s v="Posgrado"/>
    <s v="INSTITUTO FORUM"/>
    <s v="https://ProfCatedra2024.sawtoothsoftware.com/cgi-bin/ciwweb.pl?studyname=ProfCatedra2024&amp;Correo=libiaro@unisabana.edu.co01"/>
  </r>
  <r>
    <s v="libiaro@unisabana.edu.co"/>
    <s v="libiaro@unisabana.edu.co02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libiaro@unisabana.edu.co02"/>
  </r>
  <r>
    <s v="libiaro@unisabana.edu.co"/>
    <s v="libiaro@unisabana.edu.co03"/>
    <s v="Especializaciï¿½n en Gerencia Estratï¿½gica de Marca  - Chia"/>
    <x v="118"/>
    <n v="113"/>
    <x v="0"/>
    <x v="0"/>
    <s v="Completa"/>
    <s v="Posgrado"/>
    <s v="INSTITUTO FORUM"/>
    <s v="https://ProfCatedra2024.sawtoothsoftware.com/cgi-bin/ciwweb.pl?studyname=ProfCatedra2024&amp;Correo=libiaro@unisabana.edu.co03"/>
  </r>
  <r>
    <s v="lida.isaza@unisabana.edu.co"/>
    <s v="lida.isaza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lida.isaza@unisabana.edu.co1"/>
  </r>
  <r>
    <s v="lida.pena1@unisabana.edu.co"/>
    <s v="lida.pena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lida.pena1@unisabana.edu.co1"/>
  </r>
  <r>
    <s v="lidapag@yahoo.com"/>
    <s v="LIDAPAG@YAHOO.COM1"/>
    <s v="Especializaciï¿½n en Responsabilidad Civil y del Estado - Chï¿½a"/>
    <x v="5"/>
    <n v="101"/>
    <x v="0"/>
    <x v="0"/>
    <s v="Completa"/>
    <s v="Posgrado"/>
    <s v="FACULTAD DE DERECHO Y CIENCIAS POLÍTICAS"/>
    <s v="https://ProfCatedra2024.sawtoothsoftware.com/cgi-bin/ciwweb.pl?studyname=ProfCatedra2024&amp;Correo=LIDAPAG@YAHOO.COM1"/>
  </r>
  <r>
    <s v="ligia.arevalo@unisabana.edu.co"/>
    <s v="ligia.arevalo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ligia.arevalo@unisabana.edu.co1"/>
  </r>
  <r>
    <s v="ligia.arevalo@unisabana.edu.co"/>
    <s v="ligia.arevalo@unisabana.edu.co2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ligia.arevalo@unisabana.edu.co2"/>
  </r>
  <r>
    <s v="liliana.amaya@unisabana.edu.co"/>
    <s v="liliana.amaya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liliana.amaya@unisabana.edu.co1"/>
  </r>
  <r>
    <s v="liliana.aponte@unisabana.edu.co"/>
    <s v="liliana.aponte@unisabana.edu.co01"/>
    <s v="Especializaciï¿½n en Gerencia Comercial - Chia"/>
    <x v="95"/>
    <n v="111"/>
    <x v="0"/>
    <x v="0"/>
    <s v="Completa"/>
    <s v="Posgrado"/>
    <s v="INSTITUTO FORUM"/>
    <s v="https://ProfCatedra2024.sawtoothsoftware.com/cgi-bin/ciwweb.pl?studyname=ProfCatedra2024&amp;Correo=liliana.aponte@unisabana.edu.co01"/>
  </r>
  <r>
    <s v="liliana.arias@unisabana.edu.co"/>
    <s v="liliana.arias@unisabana.edu.co01"/>
    <s v="DOCTORADO EN INNOVACIï¿½N EDUCATIVA CON USO DE TIC"/>
    <x v="128"/>
    <n v="59"/>
    <x v="0"/>
    <x v="0"/>
    <s v="Completa"/>
    <s v="Posgrado"/>
    <s v="FACULTAD DE EDUCACIÓN"/>
    <s v="https://ProfCatedra2024.sawtoothsoftware.com/cgi-bin/ciwweb.pl?studyname=ProfCatedra2024&amp;Correo=liliana.arias@unisabana.edu.co01"/>
  </r>
  <r>
    <s v="liliana.arias@unisabana.edu.co"/>
    <s v="liliana.arias@unisabana.edu.co02"/>
    <s v="MAESTRï¿½A EN DESARROLLO INFANTIL - CHIA"/>
    <x v="41"/>
    <n v="60"/>
    <x v="0"/>
    <x v="0"/>
    <s v="Completa"/>
    <s v="Posgrado"/>
    <s v="FACULTAD DE EDUCACIÓN"/>
    <s v="https://ProfCatedra2024.sawtoothsoftware.com/cgi-bin/ciwweb.pl?studyname=ProfCatedra2024&amp;Correo=liliana.arias@unisabana.edu.co02"/>
  </r>
  <r>
    <s v="liliana.arias@unisabana.edu.co"/>
    <s v="liliana.arias@unisabana.edu.co03"/>
    <s v="Maestrï¿½a en Pedagogï¿½a e Investigaciï¿½n en Aula - Virtual"/>
    <x v="107"/>
    <n v="85"/>
    <x v="0"/>
    <x v="0"/>
    <s v="Completa"/>
    <s v="Posgrado"/>
    <s v="FACULTAD DE EDUCACIÓN"/>
    <s v="https://ProfCatedra2024.sawtoothsoftware.com/cgi-bin/ciwweb.pl?studyname=ProfCatedra2024&amp;Correo=liliana.arias@unisabana.edu.co03"/>
  </r>
  <r>
    <s v="liliana.arias@unisabana.edu.co"/>
    <s v="liliana.arias@unisabana.edu.co04"/>
    <s v="MAESTRï¿½A EN PEDAGOGIA E INVESTIGACIï¿½N EN EL AULA"/>
    <x v="107"/>
    <n v="85"/>
    <x v="0"/>
    <x v="0"/>
    <s v="Completa"/>
    <s v="Posgrado"/>
    <s v="FACULTAD DE EDUCACIÓN"/>
    <s v="https://ProfCatedra2024.sawtoothsoftware.com/cgi-bin/ciwweb.pl?studyname=ProfCatedra2024&amp;Correo=liliana.arias@unisabana.edu.co04"/>
  </r>
  <r>
    <s v="liliana.garcia@clinicaunisabana.edu.co"/>
    <s v="liliana.garcia@clinicaunisabana.edu.co01"/>
    <s v="Especializaciï¿½n en Medicina Fï¿½sica y Rehabilitaciï¿½n"/>
    <x v="129"/>
    <n v="9"/>
    <x v="0"/>
    <x v="0"/>
    <s v="Completa"/>
    <s v="Posgrado"/>
    <s v="FACULTAD DE MEDICINA"/>
    <s v="https://ProfCatedra2024.sawtoothsoftware.com/cgi-bin/ciwweb.pl?studyname=ProfCatedra2024&amp;Correo=liliana.garcia@clinicaunisabana.edu.co01"/>
  </r>
  <r>
    <s v="liliana.rojas@unisabana.edu.co"/>
    <s v="liliana.rojas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liliana.rojas@unisabana.edu.co1"/>
  </r>
  <r>
    <s v="liliana.triana@unisabana.edu.co"/>
    <s v="liliana.triana@unisabana.edu.co01"/>
    <s v="Maestrï¿½a en Lingï¿½ï¿½stica Panhispï¿½nica - Chï¿½a"/>
    <x v="63"/>
    <n v="68"/>
    <x v="0"/>
    <x v="0"/>
    <s v="Completa"/>
    <s v="Posgrado"/>
    <s v="FACULTAD DE FILOSOFÍA Y CIENCIAS HUMANAS"/>
    <s v="https://ProfCatedra2024.sawtoothsoftware.com/cgi-bin/ciwweb.pl?studyname=ProfCatedra2024&amp;Correo=liliana.triana@unisabana.edu.co01"/>
  </r>
  <r>
    <s v="lilianapinillat@gmail.com"/>
    <s v="lilianapinillat@gmail.com1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lilianapinillat@gmail.com1"/>
  </r>
  <r>
    <s v="lilianapo@unisabana.edu.co"/>
    <s v="Lilianapo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Lilianapo@unisabana.edu.co1"/>
  </r>
  <r>
    <s v="lina.avella@unisabana.edu.co"/>
    <s v="lina.avell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lina.avella@unisabana.edu.co1"/>
  </r>
  <r>
    <s v="lina.gomez5@unisabana.edu.co"/>
    <s v="lina.gomez5@unisabana.edu.co01"/>
    <s v="Maestrï¿½a en Diseï¿½o y Gestiï¿½n de Procesos - Chï¿½a"/>
    <x v="97"/>
    <n v="73"/>
    <x v="0"/>
    <x v="0"/>
    <s v="Completa"/>
    <s v="Posgrado"/>
    <s v="FACULTAD DE INGENIERÍA"/>
    <s v="https://ProfCatedra2024.sawtoothsoftware.com/cgi-bin/ciwweb.pl?studyname=ProfCatedra2024&amp;Correo=lina.gomez5@unisabana.edu.co01"/>
  </r>
  <r>
    <s v="lina.guio1@unisabana.edu.co"/>
    <s v="lina.guio1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lina.guio1@unisabana.edu.co1"/>
  </r>
  <r>
    <s v="lina.ramirez1@unisabana.edu.co"/>
    <s v="lina.ramirez1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lina.ramirez1@unisabana.edu.co1"/>
  </r>
  <r>
    <s v="lina.rojas4@unisabana.edu.co"/>
    <s v="lina.rojas4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lina.rojas4@unisabana.edu.co1"/>
  </r>
  <r>
    <s v="lina.tellez@unisabana.edu.co"/>
    <s v="LINA.TELLEZ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1"/>
  </r>
  <r>
    <s v="lina.tellez@unisabana.edu.co"/>
    <s v="LINA.TELLEZ@UNISABANA.edu.co02"/>
    <s v="Maestrï¿½a en Gerencia de Operaciones"/>
    <x v="86"/>
    <n v="46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2"/>
  </r>
  <r>
    <s v="lina.tellez@unisabana.edu.co"/>
    <s v="LINA.TELLEZ@UNISABANA.edu.co03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LINA.TELLEZ@UNISABANA.edu.co03"/>
  </r>
  <r>
    <s v="lina.tellez@unisabana.edu.co"/>
    <s v="lina.tellez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lina.tellez@unisabana.edu.co1"/>
  </r>
  <r>
    <s v="lina.virviescas@unisabana.edu.co"/>
    <s v="lina.virviescas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lina.virviescas@unisabana.edu.co1"/>
  </r>
  <r>
    <s v="linaesve@unisabana.edu.co"/>
    <s v="linaesve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linaesve@unisabana.edu.co07"/>
  </r>
  <r>
    <s v="lindamarto@unisabana.edu.co"/>
    <s v="lindamart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lindamarto@unisabana.edu.co1"/>
  </r>
  <r>
    <s v="lisethesvi@unisabana.edu.co"/>
    <s v="lisethesvi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lisethesvi@unisabana.edu.co1"/>
  </r>
  <r>
    <s v="lucia.barbosa@unisabana.edu.co"/>
    <s v="lucia.barbosa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lucia.barbosa@unisabana.edu.co01"/>
  </r>
  <r>
    <s v="luis.baquero2@unisabana.edu.co"/>
    <s v="luis.baquero2@unisabana.edu.co01"/>
    <s v="MAESTRï¿½A EN EDUCACIï¿½N"/>
    <x v="130"/>
    <n v="61"/>
    <x v="0"/>
    <x v="0"/>
    <s v="Completa"/>
    <s v="Posgrado"/>
    <s v="FACULTAD DE EDUCACIÓN"/>
    <s v="https://ProfCatedra2024.sawtoothsoftware.com/cgi-bin/ciwweb.pl?studyname=ProfCatedra2024&amp;Correo=luis.baquero2@unisabana.edu.co01"/>
  </r>
  <r>
    <s v="luis.barrientos@unisabana.edu.co"/>
    <s v="luis.barrientos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luis.barrientos@unisabana.edu.co01"/>
  </r>
  <r>
    <s v="luis.caballero@unisabana.edu.co"/>
    <s v="luis.caballero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luis.caballero@unisabana.edu.co1"/>
  </r>
  <r>
    <s v="luis.camacho@unisabana.edu.co"/>
    <s v="luis.camacho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luis.camacho@unisabana.edu.co1"/>
  </r>
  <r>
    <s v="luis.garcia1@unisabana.edu.co"/>
    <s v="luis.garcia1@unisabana.edu.co1"/>
    <s v="CIENCIA DE DATOS"/>
    <x v="44"/>
    <n v="200"/>
    <x v="0"/>
    <x v="0"/>
    <s v="Completa"/>
    <s v="Pregrado"/>
    <s v="FACULTAD DE INGENIERÍA"/>
    <s v="https://ProfCatedra2024.sawtoothsoftware.com/cgi-bin/ciwweb.pl?studyname=ProfCatedra2024&amp;Correo=luis.garcia1@unisabana.edu.co1"/>
  </r>
  <r>
    <s v="luis.gomez@unisabana.edu.co"/>
    <s v="luis.gomez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luis.gomez@unisabana.edu.co1"/>
  </r>
  <r>
    <s v="luis.gutierrez3@unisabana.edu.co"/>
    <s v="luis.gutierrez3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luis.gutierrez3@unisabana.edu.co01"/>
  </r>
  <r>
    <s v="luis.gutierrez3@unisabana.edu.co"/>
    <s v="luis.gutierrez3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luis.gutierrez3@unisabana.edu.co1"/>
  </r>
  <r>
    <s v="luis.jaimes@unisabana.edu.co"/>
    <s v="luis.jaimes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luis.jaimes@unisabana.edu.co1"/>
  </r>
  <r>
    <s v="luis.lopez10@unisabana.edu.co"/>
    <s v="luis.lopez10@unisabana.edu.co01"/>
    <s v="Especializaciï¿½n en Gerencia Estratï¿½gica - Barranquilla"/>
    <x v="126"/>
    <n v="139"/>
    <x v="0"/>
    <x v="0"/>
    <s v="Completa"/>
    <s v="Posgrado"/>
    <s v="INSTITUTO FORUM"/>
    <s v="https://ProfCatedra2024.sawtoothsoftware.com/cgi-bin/ciwweb.pl?studyname=ProfCatedra2024&amp;Correo=luis.lopez10@unisabana.edu.co01"/>
  </r>
  <r>
    <s v="luis.maria@unisabana.edu.co"/>
    <s v="luis.maria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luis.maria@unisabana.edu.co01"/>
  </r>
  <r>
    <s v="luis.parra2@unisabana.edu.co"/>
    <s v="luis.parra2@unisabana.edu.co2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luis.parra2@unisabana.edu.co2"/>
  </r>
  <r>
    <s v="luis.rodriguez2@unisabana.edu.co"/>
    <s v="luis.rodriguez2@unisabana.edu.co1"/>
    <s v="GESTIï¿½N DE OPERACIONES"/>
    <x v="96"/>
    <n v="154"/>
    <x v="0"/>
    <x v="0"/>
    <s v="Completa"/>
    <s v="Pregrado"/>
    <s v="ESCUELA INTERNACIONAL DE CIENCIAS ECONÓMICAS Y ADMINISTRATIVAS"/>
    <s v="https://ProfCatedra2024.sawtoothsoftware.com/cgi-bin/ciwweb.pl?studyname=ProfCatedra2024&amp;Correo=luis.rodriguez2@unisabana.edu.co1"/>
  </r>
  <r>
    <s v="luis.silva2@unisabana.edu.co"/>
    <s v="luis.silva2@unisabana.edu.co03"/>
    <s v="Especializaciï¿½n en Gerencia de Proyectos con Enfoque en Habilidades Directivas - Bogotï¿½"/>
    <x v="93"/>
    <n v="208"/>
    <x v="0"/>
    <x v="0"/>
    <s v="Incompleta"/>
    <s v="Posgrado"/>
    <s v="INSTITUTO FORUM"/>
    <s v="https://ProfCatedra2024.sawtoothsoftware.com/cgi-bin/ciwweb.pl?studyname=ProfCatedra2024&amp;Correo=luis.silva2@unisabana.edu.co03"/>
  </r>
  <r>
    <s v="luis.uribe@unisabana.edu.co"/>
    <s v="luis.uribe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luis.uribe@unisabana.edu.co1"/>
  </r>
  <r>
    <s v="luisa.cuellar1@unisabana.edu.co"/>
    <s v="luisa.cuellar1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luisa.cuellar1@unisabana.edu.co1"/>
  </r>
  <r>
    <s v="luisa.garcia1@unisabana.edu.co"/>
    <s v="luisa.garcia1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luisa.garcia1@unisabana.edu.co1"/>
  </r>
  <r>
    <s v="luisa.villamil@unisabana.edu.co"/>
    <s v="luisa.villamil@unisabana.edu.co01"/>
    <s v="Doctorado en Biociencias"/>
    <x v="131"/>
    <n v="70"/>
    <x v="0"/>
    <x v="0"/>
    <s v="Completa"/>
    <s v="Posgrado"/>
    <s v="FACULTAD DE INGENIERÍA"/>
    <s v="https://ProfCatedra2024.sawtoothsoftware.com/cgi-bin/ciwweb.pl?studyname=ProfCatedra2024&amp;Correo=luisa.villamil@unisabana.edu.co01"/>
  </r>
  <r>
    <s v="luisa.zapata1@unisabana.edu.co"/>
    <s v="luisa.zapata1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luisa.zapata1@unisabana.edu.co01"/>
  </r>
  <r>
    <s v="luisaaa@unisabana.edu.co"/>
    <s v="Luisaaa@unisabana.edu.co02"/>
    <s v="MAESTRï¿½A EN DESARROLLO INFANTIL - RIOHACHA"/>
    <x v="42"/>
    <n v="88"/>
    <x v="0"/>
    <x v="0"/>
    <s v="Completa"/>
    <s v="Posgrado"/>
    <s v="FACULTAD DE EDUCACIÓN"/>
    <s v="https://ProfCatedra2024.sawtoothsoftware.com/cgi-bin/ciwweb.pl?studyname=ProfCatedra2024&amp;Correo=Luisaaa@unisabana.edu.co02"/>
  </r>
  <r>
    <s v="luisaaa@unisabana.edu.co"/>
    <s v="Luisaaa@unisabana.edu.co03"/>
    <s v="MAESTRï¿½A EN PROYECTOS EDUCATIVOS MEDIADOS POR TIC"/>
    <x v="124"/>
    <n v="84"/>
    <x v="0"/>
    <x v="0"/>
    <s v="Completa"/>
    <s v="Posgrado"/>
    <s v="FACULTAD DE EDUCACIÓN"/>
    <s v="https://ProfCatedra2024.sawtoothsoftware.com/cgi-bin/ciwweb.pl?studyname=ProfCatedra2024&amp;Correo=Luisaaa@unisabana.edu.co03"/>
  </r>
  <r>
    <s v="luissv@unisabana.edu.co"/>
    <s v="LuisSV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LuisSV@unisabana.edu.co1"/>
  </r>
  <r>
    <s v="luz.diaz2@unisabana.edu.co"/>
    <s v="luz.diaz2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luz.diaz2@unisabana.edu.co1"/>
  </r>
  <r>
    <s v="luz.sandoval@unisabana.edu.co"/>
    <s v="luz.sandoval@unisabana.edu.co01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luz.sandoval@unisabana.edu.co01"/>
  </r>
  <r>
    <s v="luzma@unisabana.edu.co"/>
    <s v="luzma@unisabana.edu.co01"/>
    <s v="Especializaciï¿½n En Gerencia Estratï¿½gica - Virtual"/>
    <x v="125"/>
    <n v="124"/>
    <x v="0"/>
    <x v="0"/>
    <s v="Completa"/>
    <s v="Posgrado"/>
    <s v="INSTITUTO FORUM"/>
    <s v="https://ProfCatedra2024.sawtoothsoftware.com/cgi-bin/ciwweb.pl?studyname=ProfCatedra2024&amp;Correo=luzma@unisabana.edu.co01"/>
  </r>
  <r>
    <s v="manuel.gonzalez2@unisabana.edu.co"/>
    <s v="manuel.gonzalez2@unisabana.edu.co01"/>
    <s v="Especializaciï¿½n en Gerencia Comercial Medellï¿½n - Antioquia"/>
    <x v="132"/>
    <n v="129"/>
    <x v="0"/>
    <x v="0"/>
    <s v="Completa"/>
    <s v="Posgrado"/>
    <s v="INSTITUTO FORUM"/>
    <s v="https://ProfCatedra2024.sawtoothsoftware.com/cgi-bin/ciwweb.pl?studyname=ProfCatedra2024&amp;Correo=manuel.gonzalez2@unisabana.edu.co01"/>
  </r>
  <r>
    <s v="manuel.plazas@unisabana.edu.co"/>
    <s v="manuel.plazas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manuel.plazas@unisabana.edu.co1"/>
  </r>
  <r>
    <s v="manuel.prada3@unisabana.edu.co"/>
    <s v="manuel.prada3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manuel.prada3@unisabana.edu.co01"/>
  </r>
  <r>
    <s v="manuel.prada3@unisabana.edu.co"/>
    <s v="manuel.prada3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manuel.prada3@unisabana.edu.co1"/>
  </r>
  <r>
    <s v="manuel.rodriguez3@unisabana.edu.co"/>
    <s v="manuel.rodriguez3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nuel.rodriguez3@unisabana.edu.co1"/>
  </r>
  <r>
    <s v="manuelhg@unisabana.edu.co"/>
    <s v="ManuelHG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ManuelHG@unisabana.edu.co1"/>
  </r>
  <r>
    <s v="manuelnuto@unisabana.edu.co"/>
    <s v="manuelnuto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manuelnuto@unisabana.edu.co1"/>
  </r>
  <r>
    <s v="marcela.chavez@unisabana.edu.co"/>
    <s v="marcela.chavez@unisabana.edu.co01"/>
    <s v="MAESTRï¿½A EN GERENCIA Y DESARROLLO DE PERSONAS"/>
    <x v="65"/>
    <n v="81"/>
    <x v="0"/>
    <x v="0"/>
    <s v="Completa"/>
    <s v="Posgrado"/>
    <s v="FACULTAD DE PSICOLOGÍA"/>
    <s v="https://ProfCatedra2024.sawtoothsoftware.com/cgi-bin/ciwweb.pl?studyname=ProfCatedra2024&amp;Correo=marcela.chavez@unisabana.edu.co01"/>
  </r>
  <r>
    <s v="marcela.chavez@unisabana.edu.co"/>
    <s v="marcela.chavez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marcela.chavez@unisabana.edu.co1"/>
  </r>
  <r>
    <s v="marcia.costa@unisabana.edu.co"/>
    <s v="marcia.costa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marcia.costa@unisabana.edu.co1"/>
  </r>
  <r>
    <s v="marco.correa@unisabana.edu.co"/>
    <s v="marco.correa@unisabana.edu.co1"/>
    <s v="MERCADEO"/>
    <x v="24"/>
    <n v="156"/>
    <x v="0"/>
    <x v="0"/>
    <s v="Completa"/>
    <s v="Pregrado"/>
    <s v="ESCUELA INTERNACIONAL DE CIENCIAS ECONÓMICAS Y ADMINISTRATIVAS"/>
    <s v="https://ProfCatedra2024.sawtoothsoftware.com/cgi-bin/ciwweb.pl?studyname=ProfCatedra2024&amp;Correo=marco.correa@unisabana.edu.co1"/>
  </r>
  <r>
    <s v="margarita.cadavid@unisabana.edu.co"/>
    <s v="margarita.cadavid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margarita.cadavid@unisabana.edu.co1"/>
  </r>
  <r>
    <s v="margaritaad@unisabana.edu.co"/>
    <s v="MargaritaAD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MargaritaAD@unisabana.edu.co1"/>
  </r>
  <r>
    <s v="maria.barrera4@unisabana.edu.co"/>
    <s v="maria.barrera4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ria.barrera4@unisabana.edu.co1"/>
  </r>
  <r>
    <s v="maria.bernal1@unisabana.edu.co"/>
    <s v="maria.bernal1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maria.bernal1@unisabana.edu.co1"/>
  </r>
  <r>
    <s v="maria.castillo2@unisabana.edu.co"/>
    <s v="maria.castillo2@unisabana.edu.co01"/>
    <s v="MAESTRï¿½A EN PEDAGOGï¿½A"/>
    <x v="30"/>
    <n v="65"/>
    <x v="0"/>
    <x v="0"/>
    <s v="Completa"/>
    <s v="Posgrado"/>
    <s v="FACULTAD DE EDUCACIÓN"/>
    <s v="https://ProfCatedra2024.sawtoothsoftware.com/cgi-bin/ciwweb.pl?studyname=ProfCatedra2024&amp;Correo=maria.castillo2@unisabana.edu.co01"/>
  </r>
  <r>
    <s v="maria.castillo2@unisabana.edu.co"/>
    <s v="maria.castillo2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maria.castillo2@unisabana.edu.co1"/>
  </r>
  <r>
    <s v="maria.charria1@unisabana.edu.co"/>
    <s v="maria.charria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charria1@unisabana.edu.co1"/>
  </r>
  <r>
    <s v="maria.diaz11@unisabana.edu.co"/>
    <s v="maria.diaz11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maria.diaz11@unisabana.edu.co1"/>
  </r>
  <r>
    <s v="maria.duran1@unisabana.edu.co"/>
    <s v="maria.duran1@unisabana.edu.co01"/>
    <s v="Doctorado en Enfermerï¿½a"/>
    <x v="133"/>
    <n v="66"/>
    <x v="0"/>
    <x v="0"/>
    <s v="Completa"/>
    <s v="Posgrado"/>
    <s v="FACULTAD DE ENFERMERÍA Y REHABILITACIÓN"/>
    <s v="https://ProfCatedra2024.sawtoothsoftware.com/cgi-bin/ciwweb.pl?studyname=ProfCatedra2024&amp;Correo=maria.duran1@unisabana.edu.co01"/>
  </r>
  <r>
    <s v="maria.duran1@unisabana.edu.co"/>
    <s v="maria.duran1@unisabana.edu.co02"/>
    <s v="Maestrï¿½a en Enfermerï¿½a"/>
    <x v="12"/>
    <n v="67"/>
    <x v="0"/>
    <x v="0"/>
    <s v="Completa"/>
    <s v="Posgrado"/>
    <s v="FACULTAD DE ENFERMERÍA Y REHABILITACIÓN"/>
    <s v="https://ProfCatedra2024.sawtoothsoftware.com/cgi-bin/ciwweb.pl?studyname=ProfCatedra2024&amp;Correo=maria.duran1@unisabana.edu.co02"/>
  </r>
  <r>
    <s v="maria.duran1@unisabana.edu.co"/>
    <s v="maria.duran1@unisabana.edu.co03"/>
    <s v="Maestrï¿½a en Enfermerï¿½a - Virtual"/>
    <x v="13"/>
    <n v="94"/>
    <x v="0"/>
    <x v="0"/>
    <s v="Completa"/>
    <s v="Posgrado"/>
    <s v="FACULTAD DE ENFERMERÍA Y REHABILITACIÓN"/>
    <s v="https://ProfCatedra2024.sawtoothsoftware.com/cgi-bin/ciwweb.pl?studyname=ProfCatedra2024&amp;Correo=maria.duran1@unisabana.edu.co03"/>
  </r>
  <r>
    <s v="maria.escobar2@unisabana.edu.co"/>
    <s v="maria.escobar2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maria.escobar2@unisabana.edu.co1"/>
  </r>
  <r>
    <s v="maria.fernandez1@unisabana.edu.co"/>
    <s v="maria.fernandez1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maria.fernandez1@unisabana.edu.co1"/>
  </r>
  <r>
    <s v="maria.fino@unisabana.edu.co"/>
    <s v="maria.fino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maria.fino@unisabana.edu.co1"/>
  </r>
  <r>
    <s v="maria.gamboa1@unisabana.edu.co"/>
    <s v="maria.gamboa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gamboa1@unisabana.edu.co1"/>
  </r>
  <r>
    <s v="maria.guerrero2@unisabana.edu.co"/>
    <s v="maria.guerrero2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maria.guerrero2@unisabana.edu.co1"/>
  </r>
  <r>
    <s v="maria.hernandez8@unisabana.edu.co"/>
    <s v="maria.hernandez8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maria.hernandez8@unisabana.edu.co1"/>
  </r>
  <r>
    <s v="maria.jaramillo12@unisabana.edu.co"/>
    <s v="maria.jaramillo12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maria.jaramillo12@unisabana.edu.co1"/>
  </r>
  <r>
    <s v="maria.leon@unisabana.edu.co"/>
    <s v="maria.leon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maria.leon@unisabana.edu.co1"/>
  </r>
  <r>
    <s v="maria.martinez12@unisabana.edu.co"/>
    <s v="maria.martinez12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martinez12@unisabana.edu.co1"/>
  </r>
  <r>
    <s v="maria.moreno3@unisabana.edu.co"/>
    <s v="maria.moreno3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moreno3@unisabana.edu.co1"/>
  </r>
  <r>
    <s v="maria.munoz1@unisabana.edu.co"/>
    <s v="maria.munoz1@unisabana.edu.co01"/>
    <s v="MAESTRIA EN PSICOLOGIA"/>
    <x v="123"/>
    <n v="80"/>
    <x v="0"/>
    <x v="0"/>
    <s v="Completa"/>
    <s v="Posgrado"/>
    <s v="FACULTAD DE PSICOLOGÍA"/>
    <s v="https://ProfCatedra2024.sawtoothsoftware.com/cgi-bin/ciwweb.pl?studyname=ProfCatedra2024&amp;Correo=maria.munoz1@unisabana.edu.co01"/>
  </r>
  <r>
    <s v="maria.obregon@unisabana.edu.co"/>
    <s v="maria.obregon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maria.obregon@unisabana.edu.co1"/>
  </r>
  <r>
    <s v="maria.ocampo@unisabana.edu.co"/>
    <s v="MARIA.OCAMPO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MARIA.OCAMPO@UNISABANA.EDU.CO1"/>
  </r>
  <r>
    <s v="maria.paredes@unisabana.edu.co"/>
    <s v="maria.paredes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paredes@unisabana.edu.co1"/>
  </r>
  <r>
    <s v="maria.pareles@unisabana.edu.co"/>
    <s v="maria.parele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ria.pareles@unisabana.edu.co1"/>
  </r>
  <r>
    <s v="maria.restrepo7@unisabana.edu.co"/>
    <s v="maria.restrepo7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maria.restrepo7@unisabana.edu.co1"/>
  </r>
  <r>
    <s v="maria.sarmiento7@unisabana.edu.co"/>
    <s v="maria.sarmiento7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ria.sarmiento7@unisabana.edu.co1"/>
  </r>
  <r>
    <s v="maria.serrato@unisabana.edu.co"/>
    <s v="maria.serrato@unisabana.edu.co1"/>
    <s v="FISIOTERAPIA"/>
    <x v="51"/>
    <n v="34"/>
    <x v="0"/>
    <x v="0"/>
    <s v="Completa"/>
    <s v="Pregrado"/>
    <s v="FACULTAD DE ENFERMERÍA Y REHABILITACIÓN"/>
    <s v="https://ProfCatedra2024.sawtoothsoftware.com/cgi-bin/ciwweb.pl?studyname=ProfCatedra2024&amp;Correo=maria.serrato@unisabana.edu.co1"/>
  </r>
  <r>
    <s v="maria.urbina2@unisabana.edu.co"/>
    <s v="maria.urbina2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maria.urbina2@unisabana.edu.co01"/>
  </r>
  <r>
    <s v="maria.villar2@unisabana.edu.co"/>
    <s v="maria.villar2@unisabana.edu.co02"/>
    <s v="Especializaciï¿½n en Gestiï¿½n para el Desarrollo Humano en la Organizaciï¿½n - Chï¿½a"/>
    <x v="39"/>
    <n v="141"/>
    <x v="0"/>
    <x v="0"/>
    <s v="Completa"/>
    <s v="Posgrado"/>
    <s v="INSTITUTO FORUM"/>
    <s v="https://ProfCatedra2024.sawtoothsoftware.com/cgi-bin/ciwweb.pl?studyname=ProfCatedra2024&amp;Correo=maria.villar2@unisabana.edu.co02"/>
  </r>
  <r>
    <s v="marielys.flores1@unisabana.edu.co"/>
    <s v="marielys.flores1@unisabana.edu.co01"/>
    <s v="Especializaciï¿½n en Gerencia de la Comunicaciï¿½n Organizacional"/>
    <x v="115"/>
    <n v="96"/>
    <x v="0"/>
    <x v="0"/>
    <s v="Completa"/>
    <s v="Posgrado"/>
    <s v="FACULTAD DE COMUNICACIÓN"/>
    <s v="https://ProfCatedra2024.sawtoothsoftware.com/cgi-bin/ciwweb.pl?studyname=ProfCatedra2024&amp;Correo=marielys.flores1@unisabana.edu.co01"/>
  </r>
  <r>
    <s v="marielys.flores1@unisabana.edu.co"/>
    <s v="marielys.flores1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marielys.flores1@unisabana.edu.co1"/>
  </r>
  <r>
    <s v="mario.alvarez2@unisabana.edu.co"/>
    <s v="mario.alvarez2@unisabana.edu.co01"/>
    <s v="Maestrï¿½a en Gerencia de la Innovaciï¿½n"/>
    <x v="67"/>
    <n v="49"/>
    <x v="0"/>
    <x v="0"/>
    <s v="Completa"/>
    <s v="Posgrado"/>
    <s v="ESCUELA INTERNACIONAL DE CIENCIAS ECONÓMICAS Y ADMINISTRATIVAS"/>
    <s v="https://ProfCatedra2024.sawtoothsoftware.com/cgi-bin/ciwweb.pl?studyname=ProfCatedra2024&amp;Correo=mario.alvarez2@unisabana.edu.co01"/>
  </r>
  <r>
    <s v="mario.castro1@unisabana.edu.co"/>
    <s v="mario.castro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rio.castro1@unisabana.edu.co1"/>
  </r>
  <r>
    <s v="mario.valderrama@unisabana.edu.co"/>
    <s v="mario.valderrama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mario.valderrama@unisabana.edu.co01"/>
  </r>
  <r>
    <s v="mario.valderrama@unisabana.edu.co"/>
    <s v="mario.valderrama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mario.valderrama@unisabana.edu.co1"/>
  </r>
  <r>
    <s v="mariosg@unisabana.edu.co"/>
    <s v="mariosg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mariosg@unisabana.edu.co1"/>
  </r>
  <r>
    <s v="marisol.sandoval@unisabana.edu.co"/>
    <s v="marisol.sandoval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marisol.sandoval@unisabana.edu.co1"/>
  </r>
  <r>
    <s v="martha.caicedo1@unisabana.edu.co"/>
    <s v="martha.caicedo1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martha.caicedo1@unisabana.edu.co1"/>
  </r>
  <r>
    <s v="martha.cuevas@unisabana.edu.co"/>
    <s v="martha.cuevas@unisabana.edu.co01"/>
    <s v="Maestrï¿½a en Teologï¿½a - Chï¿½a"/>
    <x v="45"/>
    <n v="69"/>
    <x v="0"/>
    <x v="0"/>
    <s v="Completa"/>
    <s v="Posgrado"/>
    <s v="FACULTAD DE FILOSOFÍA Y CIENCIAS HUMANAS"/>
    <s v="https://ProfCatedra2024.sawtoothsoftware.com/cgi-bin/ciwweb.pl?studyname=ProfCatedra2024&amp;Correo=martha.cuevas@unisabana.edu.co01"/>
  </r>
  <r>
    <s v="martha.striedinger@unisabana.edu.co"/>
    <s v="martha.striedinger@unisabana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martha.striedinger@unisabana.edu.co01"/>
  </r>
  <r>
    <s v="martha.striedinger@unisabana.edu.co"/>
    <s v="martha.striedinger@unisabana.edu.co07"/>
    <s v="MAESTRÃA EN GERENCIA DE INGENIERÃA"/>
    <x v="1"/>
    <n v="74"/>
    <x v="0"/>
    <x v="0"/>
    <s v="Completa"/>
    <s v="Posgrado"/>
    <s v="FACULTAD DE INGENIERÍA"/>
    <s v="https://ProfCatedra2024.sawtoothsoftware.com/cgi-bin/ciwweb.pl?studyname=ProfCatedra2024&amp;Correo=martha.striedinger@unisabana.edu.co07"/>
  </r>
  <r>
    <s v="martha.striedinger@unisabana.edu.co"/>
    <s v="martha.striedinger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martha.striedinger@unisabana.edu.co1"/>
  </r>
  <r>
    <s v="martinez.mauricio@unisabana.edu.co"/>
    <s v="martinez.mauricio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martinez.mauricio@unisabana.edu.co1"/>
  </r>
  <r>
    <s v="mauricio.cuervo@unisabana.edu.co"/>
    <s v="mauricio.cuerv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uricio.cuervo@unisabana.edu.co1"/>
  </r>
  <r>
    <s v="mauricio.diaz1@unisabana.edu.co"/>
    <s v="mauricio.diaz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uricio.diaz1@unisabana.edu.co1"/>
  </r>
  <r>
    <s v="mauricio.diaz1@unisabana.edu.co"/>
    <s v="mauricio.diaz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mauricio.diaz1@unisabana.edu.co2"/>
  </r>
  <r>
    <s v="mauricio.diaz1@unisabana.edu.co"/>
    <s v="mauricio.diaz1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mauricio.diaz1@unisabana.edu.co3"/>
  </r>
  <r>
    <s v="mauricio.escobar1@unisabana.edu.co"/>
    <s v="mauricio.escobar1@unisabana.edu.co01"/>
    <s v="Especializaciï¿½n en Gerencia Estratï¿½gica - Barranquilla"/>
    <x v="126"/>
    <n v="139"/>
    <x v="0"/>
    <x v="0"/>
    <s v="Completa"/>
    <s v="Posgrado"/>
    <s v="INSTITUTO FORUM"/>
    <s v="https://ProfCatedra2024.sawtoothsoftware.com/cgi-bin/ciwweb.pl?studyname=ProfCatedra2024&amp;Correo=mauricio.escobar1@unisabana.edu.co01"/>
  </r>
  <r>
    <s v="mauricio.gomez3@unisabana.edu.co"/>
    <s v="mauricio.gomez3@unisabana.edu.co01"/>
    <s v="ESPECIALIZACION EN PSICOLOGIA EDUCATIVA"/>
    <x v="71"/>
    <n v="108"/>
    <x v="0"/>
    <x v="0"/>
    <s v="Completa"/>
    <s v="Posgrado"/>
    <s v="FACULTAD DE PSICOLOGÍA"/>
    <s v="https://ProfCatedra2024.sawtoothsoftware.com/cgi-bin/ciwweb.pl?studyname=ProfCatedra2024&amp;Correo=mauricio.gomez3@unisabana.edu.co01"/>
  </r>
  <r>
    <s v="mauricio.gomez3@unisabana.edu.co"/>
    <s v="mauricio.gomez3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mauricio.gomez3@unisabana.edu.co1"/>
  </r>
  <r>
    <s v="mauricio.montes@unisabana.edu.co"/>
    <s v="mauricio.monte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mauricio.montes@unisabana.edu.co1"/>
  </r>
  <r>
    <s v="mauricio.romero1@unisabana.edu.co"/>
    <s v="mauricio.romero1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mauricio.romero1@unisabana.edu.co1"/>
  </r>
  <r>
    <s v="mayra.borda@unisabana.edu.co"/>
    <s v="mayra.bord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ayra.borda@unisabana.edu.co1"/>
  </r>
  <r>
    <s v="mayra.nunez@unisabana.edu.co"/>
    <s v="mayra.nunez@unisabana.edu.co01"/>
    <s v="Especializaciï¿½n en Enfermerï¿½a en Cuidado Crï¿½tico - Chï¿½a"/>
    <x v="10"/>
    <n v="104"/>
    <x v="0"/>
    <x v="0"/>
    <s v="Completa"/>
    <s v="Posgrado"/>
    <s v="FACULTAD DE ENFERMERÍA Y REHABILITACIÓN"/>
    <s v="https://ProfCatedra2024.sawtoothsoftware.com/cgi-bin/ciwweb.pl?studyname=ProfCatedra2024&amp;Correo=mayra.nunez@unisabana.edu.co01"/>
  </r>
  <r>
    <s v="mbettinj@gmail.com"/>
    <s v="MBETTINJ@GMAIL.COM1"/>
    <s v="MAESTRIA EN CONTRATACION ESTATAL"/>
    <x v="59"/>
    <n v="57"/>
    <x v="0"/>
    <x v="0"/>
    <s v="Completa"/>
    <s v="Posgrado"/>
    <s v="FACULTAD DE DERECHO Y CIENCIAS POLÍTICAS"/>
    <s v="https://ProfCatedra2024.sawtoothsoftware.com/cgi-bin/ciwweb.pl?studyname=ProfCatedra2024&amp;Correo=MBETTINJ@GMAIL.COM1"/>
  </r>
  <r>
    <s v="melissa.reyes@unisabana.edu.co"/>
    <s v="melissa.reyes@unisabana.edu.co01"/>
    <s v="Especializaciï¿½n en Medicina del Dolor y Cuidados Paliativos"/>
    <x v="134"/>
    <n v="18"/>
    <x v="0"/>
    <x v="0"/>
    <s v="Completa"/>
    <s v="Posgrado"/>
    <s v="FACULTAD DE MEDICINA"/>
    <s v="https://ProfCatedra2024.sawtoothsoftware.com/cgi-bin/ciwweb.pl?studyname=ProfCatedra2024&amp;Correo=melissa.reyes@unisabana.edu.co01"/>
  </r>
  <r>
    <s v="miguel.medina@unisabana.edu.co"/>
    <s v="miguel.medina@unisabana.edu.co1"/>
    <s v="INGENIERï¿½A MECï¿½NICA"/>
    <x v="2"/>
    <n v="40"/>
    <x v="0"/>
    <x v="0"/>
    <s v="Completa"/>
    <s v="Pregrado"/>
    <s v="FACULTAD DE INGENIERÍA"/>
    <s v="https://ProfCatedra2024.sawtoothsoftware.com/cgi-bin/ciwweb.pl?studyname=ProfCatedra2024&amp;Correo=miguel.medina@unisabana.edu.co1"/>
  </r>
  <r>
    <s v="miguel.pineros@unisabana.edu.co"/>
    <s v="miguel.pineros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miguel.pineros@unisabana.edu.co1"/>
  </r>
  <r>
    <s v="miguel.varela1@unisabana.edu.co"/>
    <s v="miguel.varela1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miguel.varela1@unisabana.edu.co1"/>
  </r>
  <r>
    <s v="miguelcarto@unisabana.edu.co"/>
    <s v="miguelcarto@unisabana.edu.co1"/>
    <s v="CENTRO DE TECNOLOGï¿½AS PARA LA ACADEMIA"/>
    <x v="87"/>
    <n v="212"/>
    <x v="0"/>
    <x v="0"/>
    <s v="Completa"/>
    <s v="Pregrado"/>
    <s v="CENTRO DE TECNOLOGÍAS PARA LA ACADEMIA"/>
    <s v="https://ProfCatedra2024.sawtoothsoftware.com/cgi-bin/ciwweb.pl?studyname=ProfCatedra2024&amp;Correo=miguelcarto@unisabana.edu.co1"/>
  </r>
  <r>
    <s v="mikel.ibarra@unisabana.edu.co"/>
    <s v="mikel.ibarra@unisabana.edu.co01"/>
    <s v="Especializaciï¿½n En Gerencia Estratï¿½gica - Ibaguï¿½"/>
    <x v="82"/>
    <n v="132"/>
    <x v="0"/>
    <x v="0"/>
    <s v="Completa"/>
    <s v="Posgrado"/>
    <s v="INSTITUTO FORUM"/>
    <s v="https://ProfCatedra2024.sawtoothsoftware.com/cgi-bin/ciwweb.pl?studyname=ProfCatedra2024&amp;Correo=mikel.ibarra@unisabana.edu.co01"/>
  </r>
  <r>
    <s v="mikel.ibarra@unisabana.edu.co"/>
    <s v="mikel.ibarra@unisabana.edu.co02"/>
    <s v="Especializaciï¿½n en Gerencia de Proyectos con Enfoque en Habilidades Directivas - Bogotï¿½"/>
    <x v="93"/>
    <n v="208"/>
    <x v="0"/>
    <x v="0"/>
    <s v="Completa"/>
    <s v="Posgrado"/>
    <s v="INSTITUTO FORUM"/>
    <s v="https://ProfCatedra2024.sawtoothsoftware.com/cgi-bin/ciwweb.pl?studyname=ProfCatedra2024&amp;Correo=mikel.ibarra@unisabana.edu.co02"/>
  </r>
  <r>
    <s v="milciades.ibanez@unisabana.edu.co"/>
    <s v="milciades.ibanez@unisabana.edu.co01"/>
    <s v="Doctorado en Enfermerï¿½a"/>
    <x v="133"/>
    <n v="66"/>
    <x v="0"/>
    <x v="0"/>
    <s v="Completa"/>
    <s v="Posgrado"/>
    <s v="FACULTAD DE ENFERMERÍA Y REHABILITACIÓN"/>
    <s v="https://ProfCatedra2024.sawtoothsoftware.com/cgi-bin/ciwweb.pl?studyname=ProfCatedra2024&amp;Correo=milciades.ibanez@unisabana.edu.co01"/>
  </r>
  <r>
    <s v="milton.bautista@unisabana.edu.co"/>
    <s v="milton.bautista@unisabana.edu.co01"/>
    <s v="Especializaciï¿½n en Gestiï¿½n para el Desarrollo Humano en la Organizaciï¿½n - Bucaramanga"/>
    <x v="17"/>
    <n v="136"/>
    <x v="0"/>
    <x v="0"/>
    <s v="Completa"/>
    <s v="Posgrado"/>
    <s v="INSTITUTO FORUM"/>
    <s v="https://ProfCatedra2024.sawtoothsoftware.com/cgi-bin/ciwweb.pl?studyname=ProfCatedra2024&amp;Correo=milton.bautista@unisabana.edu.co01"/>
  </r>
  <r>
    <s v="mochoat@dian.gov.co"/>
    <s v="MOCHOAT@DIAN.GOV.CO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MOCHOAT@DIAN.GOV.CO1"/>
  </r>
  <r>
    <s v="monica.parrado1@unisabana.edu.co"/>
    <s v="monica.parrado1@unisabana.edu.co01"/>
    <s v="Especializaciï¿½n en Cirugï¿½a General"/>
    <x v="80"/>
    <n v="2"/>
    <x v="0"/>
    <x v="0"/>
    <s v="Completa"/>
    <s v="Posgrado"/>
    <s v="FACULTAD DE MEDICINA"/>
    <s v="https://ProfCatedra2024.sawtoothsoftware.com/cgi-bin/ciwweb.pl?studyname=ProfCatedra2024&amp;Correo=monica.parrado1@unisabana.edu.co01"/>
  </r>
  <r>
    <s v="monica.parrado1@unisabana.edu.co"/>
    <s v="monica.parrado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monica.parrado1@unisabana.edu.co1"/>
  </r>
  <r>
    <s v="monica.peralta@unisabana.edu.co"/>
    <s v="monica.peralta@unisabana.edu.co1"/>
    <s v="ENFERMERï¿½A"/>
    <x v="57"/>
    <n v="33"/>
    <x v="0"/>
    <x v="0"/>
    <s v="Completa"/>
    <s v="Pregrado"/>
    <s v="FACULTAD DE ENFERMERÍA Y REHABILITACIÓN"/>
    <s v="https://ProfCatedra2024.sawtoothsoftware.com/cgi-bin/ciwweb.pl?studyname=ProfCatedra2024&amp;Correo=monica.peralta@unisabana.edu.co1"/>
  </r>
  <r>
    <s v="monica.rios1@unisabana.edu.co"/>
    <s v="monica.rios1@unisabana.edu.co1"/>
    <s v="ENFERMERï¿½A"/>
    <x v="57"/>
    <n v="33"/>
    <x v="0"/>
    <x v="0"/>
    <s v="Completa"/>
    <s v="Pregrado"/>
    <s v="FACULTAD DE ENFERMERÍA Y REHABILITACIÓN"/>
    <s v="https://ProfCatedra2024.sawtoothsoftware.com/cgi-bin/ciwweb.pl?studyname=ProfCatedra2024&amp;Correo=monica.rios1@unisabana.edu.co1"/>
  </r>
  <r>
    <s v="monica.sanchez@unisabana.edu.co"/>
    <s v="monica.sanchez@unisabana.edu.co01"/>
    <s v="DOCTORADO EN INNOVACIï¿½N EDUCATIVA CON USO DE TIC"/>
    <x v="128"/>
    <n v="59"/>
    <x v="0"/>
    <x v="0"/>
    <s v="Completa"/>
    <s v="Posgrado"/>
    <s v="FACULTAD DE EDUCACIÓN"/>
    <s v="https://ProfCatedra2024.sawtoothsoftware.com/cgi-bin/ciwweb.pl?studyname=ProfCatedra2024&amp;Correo=monica.sanchez@unisabana.edu.co01"/>
  </r>
  <r>
    <s v="monica.tovar1@unisabana.edu.co"/>
    <s v="monica.tovar1@unisabana.edu.co01"/>
    <s v="Especializaciï¿½n en Enfermerï¿½a en Cuidado Crï¿½tico - Chï¿½a"/>
    <x v="10"/>
    <n v="104"/>
    <x v="0"/>
    <x v="0"/>
    <s v="Completa"/>
    <s v="Posgrado"/>
    <s v="FACULTAD DE ENFERMERÍA Y REHABILITACIÓN"/>
    <s v="https://ProfCatedra2024.sawtoothsoftware.com/cgi-bin/ciwweb.pl?studyname=ProfCatedra2024&amp;Correo=monica.tovar1@unisabana.edu.co01"/>
  </r>
  <r>
    <s v="monicamarcela.riosgutierrez@gmail.com"/>
    <s v="monicamarcela.riosgutierrez@gmail.com1"/>
    <s v="Especializaciï¿½n en Enfermerï¿½a en Cuidado Crï¿½tico - Chï¿½a"/>
    <x v="10"/>
    <n v="104"/>
    <x v="0"/>
    <x v="0"/>
    <s v="Completa"/>
    <s v="Posgrado"/>
    <s v="FACULTAD DE ENFERMERÍA Y REHABILITACIÓN"/>
    <s v="https://ProfCatedra2024.sawtoothsoftware.com/cgi-bin/ciwweb.pl?studyname=ProfCatedra2024&amp;Correo=monicamarcela.riosgutierrez@gmail.com1"/>
  </r>
  <r>
    <s v="myriam.vargas@unisabana.edu.co"/>
    <s v="myriam.vargas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myriam.vargas@unisabana.edu.co1"/>
  </r>
  <r>
    <s v="nancy.almanza@unisabana.edu.co"/>
    <s v="nancy.almanz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nancy.almanza@unisabana.edu.co1"/>
  </r>
  <r>
    <s v="nancy.grande@unisabana.edu.co"/>
    <s v="nancy.grande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nancy.grande@unisabana.edu.co1"/>
  </r>
  <r>
    <s v="nancy.rivera1@unisabana.edu.co"/>
    <s v="nancy.rivera1@unisabana.edu.co01"/>
    <s v="Especializaciï¿½n en Gerencia de Riesgos - Chï¿½a"/>
    <x v="38"/>
    <n v="120"/>
    <x v="0"/>
    <x v="0"/>
    <s v="Completa"/>
    <s v="Posgrado"/>
    <s v="INSTITUTO FORUM"/>
    <s v="https://ProfCatedra2024.sawtoothsoftware.com/cgi-bin/ciwweb.pl?studyname=ProfCatedra2024&amp;Correo=nancy.rivera1@unisabana.edu.co01"/>
  </r>
  <r>
    <s v="nestor.valderrama@inalde.edu.co"/>
    <s v="nestor.valderrama@inalde.edu.co01"/>
    <s v="Maestrï¿½a en Analï¿½tica Aplicada - Chï¿½a"/>
    <x v="18"/>
    <n v="75"/>
    <x v="0"/>
    <x v="0"/>
    <s v="Completa"/>
    <s v="Posgrado"/>
    <s v="FACULTAD DE INGENIERÍA"/>
    <s v="https://ProfCatedra2024.sawtoothsoftware.com/cgi-bin/ciwweb.pl?studyname=ProfCatedra2024&amp;Correo=nestor.valderrama@inalde.edu.co01"/>
  </r>
  <r>
    <s v="nestor.valderrama@inalde.edu.co"/>
    <s v="nestor.valderrama@inalde.edu.co02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nestor.valderrama@inalde.edu.co02"/>
  </r>
  <r>
    <s v="nestor.zambrano@unisabana.edu.co"/>
    <s v="nestor.zambrano@unisabana.edu.co01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nestor.zambrano@unisabana.edu.co01"/>
  </r>
  <r>
    <s v="nestor.zambrano@unisabana.edu.co"/>
    <s v="nestor.zambrano@unisabana.edu.co02"/>
    <s v="MAESTRï¿½A EN PEDAGOGIA E INVESTIGACIï¿½N EN EL AULA"/>
    <x v="107"/>
    <n v="85"/>
    <x v="0"/>
    <x v="0"/>
    <s v="Completa"/>
    <s v="Posgrado"/>
    <s v="FACULTAD DE EDUCACIÓN"/>
    <s v="https://ProfCatedra2024.sawtoothsoftware.com/cgi-bin/ciwweb.pl?studyname=ProfCatedra2024&amp;Correo=nestor.zambrano@unisabana.edu.co02"/>
  </r>
  <r>
    <s v="nicolas.herran@unisabana.edu.co"/>
    <s v="nicolas.herran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nicolas.herran@unisabana.edu.co1"/>
  </r>
  <r>
    <s v="nicolas.lozada@unisabana.edu.co"/>
    <s v="nicolas.lozada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nicolas.lozada@unisabana.edu.co1"/>
  </r>
  <r>
    <s v="nicolas.mayorga@unisabana.edu.co"/>
    <s v="nicolas.mayorga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nicolas.mayorga@unisabana.edu.co1"/>
  </r>
  <r>
    <s v="nicolas.saiz@unisabana.edu.co"/>
    <s v="nicolas.saiz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nicolas.saiz@unisabana.edu.co1"/>
  </r>
  <r>
    <s v="nicolasgiela@unisabana.edu.co"/>
    <s v="nicolasgiela@unisabana.edu.co1"/>
    <s v="GESTIï¿½N DE OPERACIONES"/>
    <x v="96"/>
    <n v="154"/>
    <x v="0"/>
    <x v="0"/>
    <s v="Completa"/>
    <s v="Pregrado"/>
    <s v="ESCUELA INTERNACIONAL DE CIENCIAS ECONÓMICAS Y ADMINISTRATIVAS"/>
    <s v="https://ProfCatedra2024.sawtoothsoftware.com/cgi-bin/ciwweb.pl?studyname=ProfCatedra2024&amp;Correo=nicolasgiela@unisabana.edu.co1"/>
  </r>
  <r>
    <s v="nidia.garcia3@unisabana.edu.co"/>
    <s v="nidia.garcia3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nidia.garcia3@unisabana.edu.co1"/>
  </r>
  <r>
    <s v="nidia.pineda1@unisabana.edu.co"/>
    <s v="Nidia.Pineda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Nidia.Pineda1@unisabana.edu.co2"/>
  </r>
  <r>
    <s v="nsacipa@scolalegal.com"/>
    <s v="NSACIPA@SCOLALEGAL.COM1"/>
    <s v="ESPECIALIZACION EN CONTRATACION ESTATAL NEIVA"/>
    <x v="33"/>
    <n v="122"/>
    <x v="0"/>
    <x v="0"/>
    <s v="Completa"/>
    <s v="Posgrado"/>
    <s v="FACULTAD DE DERECHO Y CIENCIAS POLÍTICAS"/>
    <s v="https://ProfCatedra2024.sawtoothsoftware.com/cgi-bin/ciwweb.pl?studyname=ProfCatedra2024&amp;Correo=NSACIPA@SCOLALEGAL.COM1"/>
  </r>
  <r>
    <s v="nubia.amado@unisabana.edu.co"/>
    <s v="nubia.amado@unisabana.edu.co1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nubia.amado@unisabana.edu.co1"/>
  </r>
  <r>
    <s v="nubia.amado@unisabana.edu.co"/>
    <s v="nubia.amado@unisabana.edu.co2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nubia.amado@unisabana.edu.co2"/>
  </r>
  <r>
    <s v="omar.caceres1@unisabana.edu.co"/>
    <s v="omar.caceres1@unisabana.edu.co01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omar.caceres1@unisabana.edu.co01"/>
  </r>
  <r>
    <s v="omar.silva@unisabana.edu.co"/>
    <s v="omar.silva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omar.silva@unisabana.edu.co1"/>
  </r>
  <r>
    <s v="oscar.ayala@unisabana.edu.co"/>
    <s v="oscar.ayala@unisabana.edu.co01"/>
    <s v="Especializaciï¿½n en Gerencia de Riesgos - Chï¿½a"/>
    <x v="38"/>
    <n v="120"/>
    <x v="0"/>
    <x v="0"/>
    <s v="Incompleta"/>
    <s v="Posgrado"/>
    <s v="INSTITUTO FORUM"/>
    <s v="https://ProfCatedra2024.sawtoothsoftware.com/cgi-bin/ciwweb.pl?studyname=ProfCatedra2024&amp;Correo=oscar.ayala@unisabana.edu.co01"/>
  </r>
  <r>
    <s v="oscar.coy1@unisabana.edu.co"/>
    <s v="oscar.coy1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oscar.coy1@unisabana.edu.co1"/>
  </r>
  <r>
    <s v="oscar.suarez@unisabana.edu.co"/>
    <s v="oscar.suarez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oscar.suarez@unisabana.edu.co1"/>
  </r>
  <r>
    <s v="oscarjpv@yahoo.es1"/>
    <s v="OSCARJPV@YAHOO.ES1"/>
    <s v="MAESTRIA EN DERECHO INTERNACIONAL"/>
    <x v="61"/>
    <n v="56"/>
    <x v="0"/>
    <x v="0"/>
    <s v="Completa"/>
    <s v="Posgrado"/>
    <s v="FACULTAD DE DERECHO Y CIENCIAS POLÍTICAS"/>
    <s v="https://ProfCatedra2024.sawtoothsoftware.com/cgi-bin/ciwweb.pl?studyname=ProfCatedra2024&amp;Correo=OSCARJPV@YAHOO.ES1"/>
  </r>
  <r>
    <s v="oscarmega@unisabana.edu.co"/>
    <s v="OSCARMEGA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OSCARMEGA@UNISABANA.EDU.CO1"/>
  </r>
  <r>
    <s v="pablo.gutierrez@unisabana.edu.co"/>
    <s v="pablo.gutierrez@unisabana.edu.co07"/>
    <s v="Doctorado en PsicologÃ­a"/>
    <x v="119"/>
    <n v="201"/>
    <x v="0"/>
    <x v="0"/>
    <s v="Completa"/>
    <s v="Posgrado"/>
    <s v="FACULTAD DE PSICOLOGÍA"/>
    <s v="https://ProfCatedra2024.sawtoothsoftware.com/cgi-bin/ciwweb.pl?studyname=ProfCatedra2024&amp;Correo=pablo.gutierrez@unisabana.edu.co07"/>
  </r>
  <r>
    <s v="pablo.paez@unisabana.edu.co"/>
    <s v="pablo.paez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pablo.paez@unisabana.edu.co1"/>
  </r>
  <r>
    <s v="paola.hartmann@unisabana.edu.co"/>
    <s v="paola.hartmann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paola.hartmann@unisabana.edu.co1"/>
  </r>
  <r>
    <s v="paola.ordonez@unisabana.edu.co"/>
    <s v="paola.ordonez@unisabana.edu.co01"/>
    <s v="Maestrï¿½a en Epidemiologï¿½a"/>
    <x v="83"/>
    <n v="77"/>
    <x v="0"/>
    <x v="0"/>
    <s v="Completa"/>
    <s v="Posgrado"/>
    <s v="FACULTAD DE MEDICINA"/>
    <s v="https://ProfCatedra2024.sawtoothsoftware.com/cgi-bin/ciwweb.pl?studyname=ProfCatedra2024&amp;Correo=paola.ordonez@unisabana.edu.co01"/>
  </r>
  <r>
    <s v="paola.ordonez@unisabana.edu.co"/>
    <s v="paola.ordonez@unisabana.edu.co1"/>
    <s v="INGENIERï¿½A DE BIOPRODUCCIï¿½N"/>
    <x v="90"/>
    <n v="37"/>
    <x v="0"/>
    <x v="0"/>
    <s v="Completa"/>
    <s v="Pregrado"/>
    <s v="FACULTAD DE INGENIERÍA"/>
    <s v="https://ProfCatedra2024.sawtoothsoftware.com/cgi-bin/ciwweb.pl?studyname=ProfCatedra2024&amp;Correo=paola.ordonez@unisabana.edu.co1"/>
  </r>
  <r>
    <s v="patricia.otero@unisabana.edu.co"/>
    <s v="patricia.otero@unisabana.edu.co01"/>
    <s v="Especializaciï¿½n en Terapia Manual Ortopï¿½dica - Chï¿½a"/>
    <x v="11"/>
    <n v="105"/>
    <x v="0"/>
    <x v="0"/>
    <s v="Completa"/>
    <s v="Posgrado"/>
    <s v="FACULTAD DE ENFERMERÍA Y REHABILITACIÓN"/>
    <s v="https://ProfCatedra2024.sawtoothsoftware.com/cgi-bin/ciwweb.pl?studyname=ProfCatedra2024&amp;Correo=patricia.otero@unisabana.edu.co01"/>
  </r>
  <r>
    <s v="paula.acevedo1@unisabana.edu.co"/>
    <s v="paula.acevedo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paula.acevedo1@unisabana.edu.co1"/>
  </r>
  <r>
    <s v="paula.lopez5@unisabana.edu.co"/>
    <s v="paula.lopez5@unisabana.edu.co1"/>
    <s v="SERVICIO, HOSPITALIDAD Y CALIDAD"/>
    <x v="53"/>
    <n v="158"/>
    <x v="0"/>
    <x v="0"/>
    <s v="Completa"/>
    <s v="Pregrado"/>
    <s v="ESCUELA INTERNACIONAL DE CIENCIAS ECONÓMICAS Y ADMINISTRATIVAS"/>
    <s v="https://ProfCatedra2024.sawtoothsoftware.com/cgi-bin/ciwweb.pl?studyname=ProfCatedra2024&amp;Correo=paula.lopez5@unisabana.edu.co1"/>
  </r>
  <r>
    <s v="paulacacr@unisabana.edu.co"/>
    <s v="paulacacr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paulacacr@unisabana.edu.co1"/>
  </r>
  <r>
    <s v="pcallejascastro@gmail.com"/>
    <s v="PCALLEJASCASTRO@GMAIL.COM1"/>
    <s v="Especializaciï¿½n en Seguros y Seguridad Social - Chï¿½a"/>
    <x v="89"/>
    <n v="102"/>
    <x v="0"/>
    <x v="0"/>
    <s v="Completa"/>
    <s v="Posgrado"/>
    <s v="FACULTAD DE DERECHO Y CIENCIAS POLÍTICAS"/>
    <s v="https://ProfCatedra2024.sawtoothsoftware.com/cgi-bin/ciwweb.pl?studyname=ProfCatedra2024&amp;Correo=PCALLEJASCASTRO@GMAIL.COM1"/>
  </r>
  <r>
    <s v="pedro.casas@unisabana.edu.co"/>
    <s v="pedro.casas@unisabana.edu.co01"/>
    <s v="Maestrï¿½a en Lingï¿½ï¿½stica Panhispï¿½nica - Chï¿½a"/>
    <x v="63"/>
    <n v="68"/>
    <x v="0"/>
    <x v="0"/>
    <s v="Completa"/>
    <s v="Posgrado"/>
    <s v="FACULTAD DE FILOSOFÍA Y CIENCIAS HUMANAS"/>
    <s v="https://ProfCatedra2024.sawtoothsoftware.com/cgi-bin/ciwweb.pl?studyname=ProfCatedra2024&amp;Correo=pedro.casas@unisabana.edu.co01"/>
  </r>
  <r>
    <s v="pedro.contreras1@unisabana.edu.co"/>
    <s v="pedro.contreras1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pedro.contreras1@unisabana.edu.co1"/>
  </r>
  <r>
    <s v="pedro.dussan@unisabana.edu.co"/>
    <s v="pedro.dussan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pedro.dussan@unisabana.edu.co1"/>
  </r>
  <r>
    <s v="pedro.garcia@unisabana.edu.co"/>
    <s v="pedro.garcia@unisabana.edu.co01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pedro.garcia@unisabana.edu.co01"/>
  </r>
  <r>
    <s v="rafael.gonzalez2@unisabana.edu.co"/>
    <s v="rafael.gonzalez2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2@unisabana.edu.co1"/>
  </r>
  <r>
    <s v="rafael.gonzalez3@unisabana.edu.co"/>
    <s v="rafael.gonzalez3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rafael.gonzalez3@unisabana.edu.co1"/>
  </r>
  <r>
    <s v="rafael.meza1@unisabana.edu.co"/>
    <s v="rafael.meza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rafael.meza1@unisabana.edu.co1"/>
  </r>
  <r>
    <s v="rafael.mora2@unisabana.edu.co"/>
    <s v="rafael.mora2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rafael.mora2@unisabana.edu.co1"/>
  </r>
  <r>
    <s v="rafael.tordecilla@unisabana.edu.co"/>
    <s v="rafael.tordecilla@unisabana.edu.co01"/>
    <s v="Maestrï¿½a en Gerencia de Ingenierï¿½a - Chï¿½a"/>
    <x v="1"/>
    <n v="74"/>
    <x v="0"/>
    <x v="0"/>
    <s v="Completa"/>
    <s v="Posgrado"/>
    <s v="FACULTAD DE INGENIERÍA"/>
    <s v="https://ProfCatedra2024.sawtoothsoftware.com/cgi-bin/ciwweb.pl?studyname=ProfCatedra2024&amp;Correo=rafael.tordecilla@unisabana.edu.co01"/>
  </r>
  <r>
    <s v="rafael.tordecilla1@unisabana.edu.co"/>
    <s v="rafael.tordecilla1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rafael.tordecilla1@unisabana.edu.co1"/>
  </r>
  <r>
    <s v="ramirohernandez@hym-co.com"/>
    <s v="RAMIROHERNANDEZ@HYM-CO.COM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RAMIROHERNANDEZ@HYM-CO.COM1"/>
  </r>
  <r>
    <s v="rbordaridao@hotmail.com"/>
    <s v="RBORDARIDAO@HOTMAIL.COM1"/>
    <s v="MAESTRIA EN DERECHO DE LA EMPRESA Y DE LOS NEGOCIOS"/>
    <x v="9"/>
    <n v="55"/>
    <x v="0"/>
    <x v="0"/>
    <s v="Completa"/>
    <s v="Posgrado"/>
    <s v="FACULTAD DE DERECHO Y CIENCIAS POLÍTICAS"/>
    <s v="https://ProfCatedra2024.sawtoothsoftware.com/cgi-bin/ciwweb.pl?studyname=ProfCatedra2024&amp;Correo=RBORDARIDAO@HOTMAIL.COM1"/>
  </r>
  <r>
    <s v="ricardo.angelp@hotmail.com"/>
    <s v="RICARDO.ANGELP@HOTMAIL.COM1"/>
    <s v="Especializaciï¿½n en Seguros y Seguridad Social - Chï¿½a"/>
    <x v="89"/>
    <n v="102"/>
    <x v="0"/>
    <x v="0"/>
    <s v="Completa"/>
    <s v="Posgrado"/>
    <s v="FACULTAD DE DERECHO Y CIENCIAS POLÍTICAS"/>
    <s v="https://ProfCatedra2024.sawtoothsoftware.com/cgi-bin/ciwweb.pl?studyname=ProfCatedra2024&amp;Correo=RICARDO.ANGELP@HOTMAIL.COM1"/>
  </r>
  <r>
    <s v="ricardo.pena1@unisabana.edu.co"/>
    <s v="ricardo.pena1@unisabana.edu.co01"/>
    <s v="Especializaciï¿½n en Gerencia Comercial - Barranquilla"/>
    <x v="122"/>
    <n v="138"/>
    <x v="0"/>
    <x v="0"/>
    <s v="Completa"/>
    <s v="Posgrado"/>
    <s v="INSTITUTO FORUM"/>
    <s v="https://ProfCatedra2024.sawtoothsoftware.com/cgi-bin/ciwweb.pl?studyname=ProfCatedra2024&amp;Correo=ricardo.pena1@unisabana.edu.co01"/>
  </r>
  <r>
    <s v="riveros_jonathan@hotmail.com"/>
    <s v="RIVEROS_JONATHAN@HOTMAIL.COM1"/>
    <s v="MAESTRIA EN DERECHO INTERNACIONAL"/>
    <x v="61"/>
    <n v="56"/>
    <x v="0"/>
    <x v="0"/>
    <s v="Completa"/>
    <s v="Posgrado"/>
    <s v="FACULTAD DE DERECHO Y CIENCIAS POLÍTICAS"/>
    <s v="https://ProfCatedra2024.sawtoothsoftware.com/cgi-bin/ciwweb.pl?studyname=ProfCatedra2024&amp;Correo=RIVEROS_JONATHAN@HOTMAIL.COM1"/>
  </r>
  <r>
    <s v="rocio.prieto@unisabana.edu.co"/>
    <s v="rocio.priet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rocio.prieto@unisabana.edu.co1"/>
  </r>
  <r>
    <s v="rodrigo.diaz2@unisabana.edu.co"/>
    <s v="rodrigo.diaz2@unisabana.edu.co01"/>
    <s v="Especializaciï¿½n en Gerencia Comercial Medellï¿½n - Antioquia"/>
    <x v="132"/>
    <n v="129"/>
    <x v="0"/>
    <x v="0"/>
    <s v="Completa"/>
    <s v="Posgrado"/>
    <s v="INSTITUTO FORUM"/>
    <s v="https://ProfCatedra2024.sawtoothsoftware.com/cgi-bin/ciwweb.pl?studyname=ProfCatedra2024&amp;Correo=rodrigo.diaz2@unisabana.edu.co01"/>
  </r>
  <r>
    <s v="rodrigo.granados@unisabana.edu.co"/>
    <s v="rodrigo.granados@unisabana.edu.co01"/>
    <s v="Especializaciï¿½n en Gerencia Comercial Medellï¿½n - Antioquia"/>
    <x v="132"/>
    <n v="129"/>
    <x v="0"/>
    <x v="0"/>
    <s v="Completa"/>
    <s v="Posgrado"/>
    <s v="INSTITUTO FORUM"/>
    <s v="https://ProfCatedra2024.sawtoothsoftware.com/cgi-bin/ciwweb.pl?studyname=ProfCatedra2024&amp;Correo=rodrigo.granados@unisabana.edu.co01"/>
  </r>
  <r>
    <s v="rodrigo.granados@unisabana.edu.co"/>
    <s v="rodrigo.granados@unisabana.edu.co02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rodrigo.granados@unisabana.edu.co02"/>
  </r>
  <r>
    <s v="rodrigomarin-abogado@hotmail.com"/>
    <s v="RODRIGOMARIN-ABOGADO@HOTMAIL.COM1"/>
    <s v="ESPECIALIZACION EN CONTRATACION ESTATAL NEIVA"/>
    <x v="33"/>
    <n v="122"/>
    <x v="0"/>
    <x v="0"/>
    <s v="Completa"/>
    <s v="Posgrado"/>
    <s v="FACULTAD DE DERECHO Y CIENCIAS POLÍTICAS"/>
    <s v="https://ProfCatedra2024.sawtoothsoftware.com/cgi-bin/ciwweb.pl?studyname=ProfCatedra2024&amp;Correo=RODRIGOMARIN-ABOGADO@HOTMAIL.COM1"/>
  </r>
  <r>
    <s v="ronal.rodriguez@unisabana.edu.co"/>
    <s v="ronal.rodriguez@unisabana.edu.co1"/>
    <s v="CIENCIAS POLï¿½TICAS"/>
    <x v="68"/>
    <n v="29"/>
    <x v="0"/>
    <x v="0"/>
    <s v="Completa"/>
    <s v="Pregrado"/>
    <s v="FACULTAD DE DERECHO Y CIENCIAS POLÍTICAS"/>
    <s v="https://ProfCatedra2024.sawtoothsoftware.com/cgi-bin/ciwweb.pl?studyname=ProfCatedra2024&amp;Correo=ronal.rodriguez@unisabana.edu.co1"/>
  </r>
  <r>
    <s v="rosario.bernal@unisabana.edu.co"/>
    <s v="rosario.bernal@unisabana.edu.co1"/>
    <s v="LICENCIATURA EN CIENCIAS NATURALES"/>
    <x v="3"/>
    <n v="31"/>
    <x v="0"/>
    <x v="0"/>
    <s v="Completa"/>
    <s v="Pregrado"/>
    <s v="FACULTAD DE EDUCACIÓN"/>
    <s v="https://ProfCatedra2024.sawtoothsoftware.com/cgi-bin/ciwweb.pl?studyname=ProfCatedra2024&amp;Correo=rosario.bernal@unisabana.edu.co1"/>
  </r>
  <r>
    <s v="rosario.bernal@unisabana.edu.co"/>
    <s v="rosario.bernal@unisabana.edu.co2"/>
    <s v="LICENCIATURA EN EDUCACIï¿½N INFANTIL"/>
    <x v="34"/>
    <n v="32"/>
    <x v="0"/>
    <x v="0"/>
    <s v="Completa"/>
    <s v="Pregrado"/>
    <s v="FACULTAD DE EDUCACIÓN"/>
    <s v="https://ProfCatedra2024.sawtoothsoftware.com/cgi-bin/ciwweb.pl?studyname=ProfCatedra2024&amp;Correo=rosario.bernal@unisabana.edu.co2"/>
  </r>
  <r>
    <s v="samuel.barbosa@unisabana.edu.co"/>
    <s v="samuel.barbosa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samuel.barbosa@unisabana.edu.co1"/>
  </r>
  <r>
    <s v="samueledortiz@hotmail.com"/>
    <s v="SAMUELEDORTIZ@HOTMAIL.COM1"/>
    <s v="Especializaciï¿½n en Derecho Tributario - Chï¿½a"/>
    <x v="25"/>
    <n v="99"/>
    <x v="0"/>
    <x v="0"/>
    <s v="Completa"/>
    <s v="Posgrado"/>
    <s v="FACULTAD DE DERECHO Y CIENCIAS POLÍTICAS"/>
    <s v="https://ProfCatedra2024.sawtoothsoftware.com/cgi-bin/ciwweb.pl?studyname=ProfCatedra2024&amp;Correo=SAMUELEDORTIZ@HOTMAIL.COM1"/>
  </r>
  <r>
    <s v="sandra.barragan@unisabana.edu.co"/>
    <s v="sandra.barragan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sandra.barragan@unisabana.edu.co1"/>
  </r>
  <r>
    <s v="sandra.jarro@unisabana.edu.co"/>
    <s v="sandra.jarro@unisabana.edu.co1"/>
    <s v="INGENIERï¿½A CIVIL"/>
    <x v="49"/>
    <n v="36"/>
    <x v="0"/>
    <x v="0"/>
    <s v="Completa"/>
    <s v="Pregrado"/>
    <s v="FACULTAD DE INGENIERÍA"/>
    <s v="https://ProfCatedra2024.sawtoothsoftware.com/cgi-bin/ciwweb.pl?studyname=ProfCatedra2024&amp;Correo=sandra.jarro@unisabana.edu.co1"/>
  </r>
  <r>
    <s v="sandra.molina@unisabana.edu.co"/>
    <s v="sandra.molin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sandra.molina@unisabana.edu.co1"/>
  </r>
  <r>
    <s v="sandra.saavedra1@unisabana.edu.co"/>
    <s v="sandra.saavedra1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sandra.saavedra1@unisabana.edu.co1"/>
  </r>
  <r>
    <s v="sandra.vanegas4@unisabana.edu.co"/>
    <s v="sandra.vanegas4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sandra.vanegas4@unisabana.edu.co1"/>
  </r>
  <r>
    <s v="sandy.ortiz@unisabana.edu.co"/>
    <s v="sandy.ortiz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sandy.ortiz@unisabana.edu.co1"/>
  </r>
  <r>
    <s v="santiago.espinosa@unisabana.edu.co"/>
    <s v="santiago.espinosa@unisabana.edu.co1"/>
    <s v="FINANZAS"/>
    <x v="20"/>
    <n v="153"/>
    <x v="0"/>
    <x v="0"/>
    <s v="Completa"/>
    <s v="Pregrado"/>
    <s v="ESCUELA INTERNACIONAL DE CIENCIAS ECONÓMICAS Y ADMINISTRATIVAS"/>
    <s v="https://ProfCatedra2024.sawtoothsoftware.com/cgi-bin/ciwweb.pl?studyname=ProfCatedra2024&amp;Correo=santiago.espinosa@unisabana.edu.co1"/>
  </r>
  <r>
    <s v="santiago.gutierrez@unisabana.edu.co"/>
    <s v="santiago.gutierrez@unisabana.edu.co1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santiago.gutierrez@unisabana.edu.co1"/>
  </r>
  <r>
    <s v="santiago.osorio1@unisabana.edu.co"/>
    <s v="santiago.osorio1@unisabana.edu.co1"/>
    <s v="GESTIï¿½N DE OPERACIONES"/>
    <x v="96"/>
    <n v="154"/>
    <x v="0"/>
    <x v="0"/>
    <s v="Completa"/>
    <s v="Pregrado"/>
    <s v="ESCUELA INTERNACIONAL DE CIENCIAS ECONÓMICAS Y ADMINISTRATIVAS"/>
    <s v="https://ProfCatedra2024.sawtoothsoftware.com/cgi-bin/ciwweb.pl?studyname=ProfCatedra2024&amp;Correo=santiago.osorio1@unisabana.edu.co1"/>
  </r>
  <r>
    <s v="santiago.ramirez@unisabana.edu.co"/>
    <s v="santiago.ramirez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santiago.ramirez@unisabana.edu.co1"/>
  </r>
  <r>
    <s v="santiago.wills@unisabana.edu.co"/>
    <s v="santiago.wills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santiago.wills@unisabana.edu.co1"/>
  </r>
  <r>
    <s v="santiago.wills@unisabana.edu.co"/>
    <s v="santiago.wills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santiago.wills@unisabana.edu.co3"/>
  </r>
  <r>
    <s v="santiagomv@unisabana.edu.co"/>
    <s v="santiagomv@unisabana.edu.co01"/>
    <s v="Especializaciï¿½n en Gerencia Comercial Bucaramanga - Santander"/>
    <x v="116"/>
    <n v="127"/>
    <x v="0"/>
    <x v="0"/>
    <s v="Completa"/>
    <s v="Posgrado"/>
    <s v="INSTITUTO FORUM"/>
    <s v="https://ProfCatedra2024.sawtoothsoftware.com/cgi-bin/ciwweb.pl?studyname=ProfCatedra2024&amp;Correo=santiagomv@unisabana.edu.co01"/>
  </r>
  <r>
    <s v="santiagomv@unisabana.edu.co"/>
    <s v="santiagomv@unisabana.edu.co02"/>
    <s v="Especializaciï¿½n en Gerencia del Servicio - Chï¿½a"/>
    <x v="7"/>
    <n v="118"/>
    <x v="0"/>
    <x v="0"/>
    <s v="Completa"/>
    <s v="Posgrado"/>
    <s v="INSTITUTO FORUM"/>
    <s v="https://ProfCatedra2024.sawtoothsoftware.com/cgi-bin/ciwweb.pl?studyname=ProfCatedra2024&amp;Correo=santiagomv@unisabana.edu.co02"/>
  </r>
  <r>
    <s v="santiagoreve@unisabana.edu.co"/>
    <s v="santiagoreve@unisabana.edu.co07"/>
    <s v="MaestrÃ­a en AsesorÃ­a Familiar y GestiÃ³n de Programas para la Familia"/>
    <x v="14"/>
    <n v="95"/>
    <x v="0"/>
    <x v="0"/>
    <s v="Completa"/>
    <s v="Posgrado"/>
    <s v="INSTITUTO DE LA FAMILIA: ILFARUS"/>
    <s v="https://ProfCatedra2024.sawtoothsoftware.com/cgi-bin/ciwweb.pl?studyname=ProfCatedra2024&amp;Correo=santiagoreve@unisabana.edu.co07"/>
  </r>
  <r>
    <s v="sebastian.jaramillo@unisabana.edu.co"/>
    <s v="sebastian.jaramill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sebastian.jaramillo@unisabana.edu.co1"/>
  </r>
  <r>
    <s v="sergio.arrieta@unisabana.edu.co"/>
    <s v="sergio.arrieta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sergio.arrieta@unisabana.edu.co1"/>
  </r>
  <r>
    <s v="sergio.rubiano@unisabana.edu.co"/>
    <s v="sergio.rubian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sergio.rubiano@unisabana.edu.co1"/>
  </r>
  <r>
    <s v="sergio.torres_cont@unisabana.edu.co"/>
    <s v="sergio.torres_cont@unisabana.edu.co02"/>
    <s v="Maestrï¿½a en Gerencia Estratï¿½gica"/>
    <x v="35"/>
    <n v="47"/>
    <x v="0"/>
    <x v="0"/>
    <s v="Completa"/>
    <s v="Posgrado"/>
    <s v="ESCUELA INTERNACIONAL DE CIENCIAS ECONÓMICAS Y ADMINISTRATIVAS"/>
    <s v="https://ProfCatedra2024.sawtoothsoftware.com/cgi-bin/ciwweb.pl?studyname=ProfCatedra2024&amp;Correo=sergio.torres_cont@unisabana.edu.co02"/>
  </r>
  <r>
    <s v="sergio.torres2@unisabana.edu.co"/>
    <s v="sergio.torres2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sergio.torres2@unisabana.edu.co1"/>
  </r>
  <r>
    <s v="silvana.ahumada@unisabana.edu.co"/>
    <s v="silvana.ahumada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silvana.ahumada@unisabana.edu.co1"/>
  </r>
  <r>
    <s v="simon.granja@unisabana.edu.co"/>
    <s v="simon.granja@unisabana.edu.co1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simon.granja@unisabana.edu.co1"/>
  </r>
  <r>
    <s v="simon.ramon@unisabana.edu.co"/>
    <s v="simon.ramon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simon.ramon@unisabana.edu.co1"/>
  </r>
  <r>
    <s v="sneyder.garcia@unisabana.edu.co"/>
    <s v="sneyder.garcia@unisabana.edu.co1"/>
    <s v="ADMINISTRACIï¿½N Y ORGANIZACIONES"/>
    <x v="21"/>
    <n v="150"/>
    <x v="0"/>
    <x v="0"/>
    <s v="Completa"/>
    <s v="Pregrado"/>
    <s v="ESCUELA INTERNACIONAL DE CIENCIAS ECONÓMICAS Y ADMINISTRATIVAS"/>
    <s v="https://ProfCatedra2024.sawtoothsoftware.com/cgi-bin/ciwweb.pl?studyname=ProfCatedra2024&amp;Correo=sneyder.garcia@unisabana.edu.co1"/>
  </r>
  <r>
    <s v="solange.monsalve1@unisabana.edu.co"/>
    <s v="solange.monsalve1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solange.monsalve1@unisabana.edu.co1"/>
  </r>
  <r>
    <s v="stella.venegas@unisabana.edu.co"/>
    <s v="stella.venegas@unisabana.edu.co1"/>
    <s v="ECONOMï¿½A"/>
    <x v="40"/>
    <n v="152"/>
    <x v="0"/>
    <x v="0"/>
    <s v="Completa"/>
    <s v="Pregrado"/>
    <s v="ESCUELA INTERNACIONAL DE CIENCIAS ECONÓMICAS Y ADMINISTRATIVAS"/>
    <s v="https://ProfCatedra2024.sawtoothsoftware.com/cgi-bin/ciwweb.pl?studyname=ProfCatedra2024&amp;Correo=stella.venegas@unisabana.edu.co1"/>
  </r>
  <r>
    <s v="suanny.pinzon@unisabana.edu.co"/>
    <s v="suanny.pinzon@unisabana.edu.co1"/>
    <s v="CENTRO DE TECNOLOGï¿½AS PARA LA ACADEMIA"/>
    <x v="87"/>
    <n v="212"/>
    <x v="0"/>
    <x v="0"/>
    <s v="Completa"/>
    <s v="Pregrado"/>
    <s v="CENTRO DE TECNOLOGÍAS PARA LA ACADEMIA"/>
    <s v="https://ProfCatedra2024.sawtoothsoftware.com/cgi-bin/ciwweb.pl?studyname=ProfCatedra2024&amp;Correo=suanny.pinzon@unisabana.edu.co1"/>
  </r>
  <r>
    <s v="sulma.vera@unisabana.edu.co"/>
    <s v="sulma.ver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sulma.vera@unisabana.edu.co1"/>
  </r>
  <r>
    <s v="tabata.cuervo1@unisabana.edu.co"/>
    <s v="tabata.cuervo1@unisabana.edu.co01"/>
    <s v="ESPECIALIZACION EN PSICOLOGIA CLINICA DE LA NIï¿½EZ Y LA ADOLESCENCIA"/>
    <x v="72"/>
    <n v="107"/>
    <x v="0"/>
    <x v="0"/>
    <s v="Completa"/>
    <s v="Posgrado"/>
    <s v="FACULTAD DE PSICOLOGÍA"/>
    <s v="https://ProfCatedra2024.sawtoothsoftware.com/cgi-bin/ciwweb.pl?studyname=ProfCatedra2024&amp;Correo=tabata.cuervo1@unisabana.edu.co01"/>
  </r>
  <r>
    <s v="tabata.cuervo1@unisabana.edu.co"/>
    <s v="tabata.cuervo1@unisabana.edu.co1"/>
    <s v="PSICOLOGï¿½A"/>
    <x v="29"/>
    <n v="43"/>
    <x v="0"/>
    <x v="0"/>
    <s v="Completa"/>
    <s v="Pregrado"/>
    <s v="FACULTAD DE PSICOLOGÍA"/>
    <s v="https://ProfCatedra2024.sawtoothsoftware.com/cgi-bin/ciwweb.pl?studyname=ProfCatedra2024&amp;Correo=tabata.cuervo1@unisabana.edu.co1"/>
  </r>
  <r>
    <s v="tarek.manzur@unisabana.edu.co"/>
    <s v="tarek.manzur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tarek.manzur@unisabana.edu.co1"/>
  </r>
  <r>
    <s v="teadira.perez@unisabana.edu.co"/>
    <s v="teadira.perez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teadira.perez@unisabana.edu.co1"/>
  </r>
  <r>
    <s v="tomas.londono@unisabana.edu.co"/>
    <s v="tomas.londono@unisabana.edu.co1"/>
    <s v="ARTES CULINARIAS Y CIENCIAS DE LA ALIMENTACIï¿½N"/>
    <x v="32"/>
    <n v="151"/>
    <x v="0"/>
    <x v="0"/>
    <s v="Completa"/>
    <s v="Pregrado"/>
    <s v="ESCUELA INTERNACIONAL DE CIENCIAS ECONÓMICAS Y ADMINISTRATIVAS"/>
    <s v="https://ProfCatedra2024.sawtoothsoftware.com/cgi-bin/ciwweb.pl?studyname=ProfCatedra2024&amp;Correo=tomas.londono@unisabana.edu.co1"/>
  </r>
  <r>
    <s v="tyrone.vargas1@unisabana.edu.co"/>
    <s v="tyrone.vargas1@unisabana.edu.co01"/>
    <s v="MAESTRï¿½A EN DIRECCIï¿½N Y GESTIï¿½N DE INSTITUCIONES EDUCATIVAS"/>
    <x v="62"/>
    <n v="64"/>
    <x v="0"/>
    <x v="0"/>
    <s v="Completa"/>
    <s v="Posgrado"/>
    <s v="FACULTAD DE EDUCACIÓN"/>
    <s v="https://ProfCatedra2024.sawtoothsoftware.com/cgi-bin/ciwweb.pl?studyname=ProfCatedra2024&amp;Correo=tyrone.vargas1@unisabana.edu.co01"/>
  </r>
  <r>
    <s v="tyrone.vargas1@unisabana.edu.co"/>
    <s v="tyrone.vargas1@unisabana.edu.co02"/>
    <s v="Maestrï¿½a en Direcciï¿½n y Gestiï¿½n de Instituciones Educativas - Riohacha"/>
    <x v="92"/>
    <n v="89"/>
    <x v="0"/>
    <x v="0"/>
    <s v="Completa"/>
    <s v="Posgrado"/>
    <s v="FACULTAD DE EDUCACIÓN"/>
    <s v="https://ProfCatedra2024.sawtoothsoftware.com/cgi-bin/ciwweb.pl?studyname=ProfCatedra2024&amp;Correo=tyrone.vargas1@unisabana.edu.co02"/>
  </r>
  <r>
    <s v="vera.nunez@unisabana.edu.co"/>
    <s v="vera.nunez@unisabana.edu.co01"/>
    <s v="Especializaciï¿½n en Enfermerï¿½a en Cuidado Crï¿½tico - Chï¿½a"/>
    <x v="10"/>
    <n v="104"/>
    <x v="0"/>
    <x v="0"/>
    <s v="Completa"/>
    <s v="Posgrado"/>
    <s v="FACULTAD DE ENFERMERÍA Y REHABILITACIÓN"/>
    <s v="https://ProfCatedra2024.sawtoothsoftware.com/cgi-bin/ciwweb.pl?studyname=ProfCatedra2024&amp;Correo=vera.nunez@unisabana.edu.co01"/>
  </r>
  <r>
    <s v="veronica.zas@unisabana.edu.co"/>
    <s v="veronica.zas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veronica.zas@unisabana.edu.co1"/>
  </r>
  <r>
    <s v="victor.parra@unisabana.edu.co"/>
    <s v="victor.parra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victor.parra@unisabana.edu.co1"/>
  </r>
  <r>
    <s v="viktoriya.andreeva@unisabana.edu.co"/>
    <s v="viktoriya.andreeva@unisabana.edu.co1"/>
    <s v="NEGOCIACIï¿½N Y COMERCIO INTERNACIONAL"/>
    <x v="91"/>
    <n v="157"/>
    <x v="0"/>
    <x v="0"/>
    <s v="Completa"/>
    <s v="Pregrado"/>
    <s v="ESCUELA INTERNACIONAL DE CIENCIAS ECONÓMICAS Y ADMINISTRATIVAS"/>
    <s v="https://ProfCatedra2024.sawtoothsoftware.com/cgi-bin/ciwweb.pl?studyname=ProfCatedra2024&amp;Correo=viktoriya.andreeva@unisabana.edu.co1"/>
  </r>
  <r>
    <s v="virgilio.ramon_cont@unisabana.edu.co"/>
    <s v="virgilio.ramon_cont@unisabana.edu.co07"/>
    <s v="ESPECIALIZACIÃ“N EN GERENCIA ESTRATÃ‰GICA CHÃA"/>
    <x v="54"/>
    <n v="114"/>
    <x v="0"/>
    <x v="0"/>
    <s v="Completa"/>
    <s v="Posgrado"/>
    <s v="INSTITUTO FORUM"/>
    <s v="https://ProfCatedra2024.sawtoothsoftware.com/cgi-bin/ciwweb.pl?studyname=ProfCatedra2024&amp;Correo=virgilio.ramon_cont@unisabana.edu.co07"/>
  </r>
  <r>
    <s v="viviana.mendez1@unisabana.edu.co"/>
    <s v="viviana.mendez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viviana.mendez1@unisabana.edu.co1"/>
  </r>
  <r>
    <s v="wbeimar.vera@unisabana.edu.co"/>
    <s v="wbeimar.vera@unisabana.edu.co1"/>
    <s v="INGENIERï¿½A DE BIOPRODUCCIï¿½N"/>
    <x v="90"/>
    <n v="37"/>
    <x v="0"/>
    <x v="0"/>
    <s v="Completa"/>
    <s v="Pregrado"/>
    <s v="FACULTAD DE INGENIERÍA"/>
    <s v="https://ProfCatedra2024.sawtoothsoftware.com/cgi-bin/ciwweb.pl?studyname=ProfCatedra2024&amp;Correo=wbeimar.vera@unisabana.edu.co1"/>
  </r>
  <r>
    <s v="wilber.garcia@unisabana.edu.co"/>
    <s v="wilber.garcia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wilber.garcia@unisabana.edu.co1"/>
  </r>
  <r>
    <s v="william.espitia@unisabana.edu.co"/>
    <s v="william.espiti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william.espitia@unisabana.edu.co1"/>
  </r>
  <r>
    <s v="william.moscoso@unisabana.edu.co"/>
    <s v="william.moscoso@unisabana.edu.co01"/>
    <s v="Maestrï¿½a en Diseï¿½o y Gestiï¿½n de Procesos - Chï¿½a"/>
    <x v="97"/>
    <n v="73"/>
    <x v="0"/>
    <x v="0"/>
    <s v="Completa"/>
    <s v="Posgrado"/>
    <s v="FACULTAD DE INGENIERÍA"/>
    <s v="https://ProfCatedra2024.sawtoothsoftware.com/cgi-bin/ciwweb.pl?studyname=ProfCatedra2024&amp;Correo=william.moscoso@unisabana.edu.co01"/>
  </r>
  <r>
    <s v="wilmer.beltran@unisabana.edu.co"/>
    <s v="wilmer.beltran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wilmer.beltran@unisabana.edu.co1"/>
  </r>
  <r>
    <s v="wilmer.triana@unisabana.edu.co"/>
    <s v="wilmer.triana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wilmer.triana@unisabana.edu.co1"/>
  </r>
  <r>
    <s v="wilson.castro1@unisabana.edu.co"/>
    <s v="wilson.castro1@unisabana.edu.co01"/>
    <s v="Especializaciï¿½n en Finanzas Corporativas - Chï¿½a"/>
    <x v="74"/>
    <n v="117"/>
    <x v="0"/>
    <x v="0"/>
    <s v="Completa"/>
    <s v="Posgrado"/>
    <s v="INSTITUTO FORUM"/>
    <s v="https://ProfCatedra2024.sawtoothsoftware.com/cgi-bin/ciwweb.pl?studyname=ProfCatedra2024&amp;Correo=wilson.castro1@unisabana.edu.co01"/>
  </r>
  <r>
    <s v="wilson.castro1@unisabana.edu.co"/>
    <s v="wilson.castro1@unisabana.edu.co03"/>
    <s v="Maestrï¿½a en Diseï¿½o y Gestiï¿½n de Procesos - Chï¿½a"/>
    <x v="97"/>
    <n v="73"/>
    <x v="0"/>
    <x v="0"/>
    <s v="Completa"/>
    <s v="Posgrado"/>
    <s v="FACULTAD DE INGENIERÍA"/>
    <s v="https://ProfCatedra2024.sawtoothsoftware.com/cgi-bin/ciwweb.pl?studyname=ProfCatedra2024&amp;Correo=wilson.castro1@unisabana.edu.co03"/>
  </r>
  <r>
    <s v="yaddy.nino@unisabana.edu.co"/>
    <s v="yaddy.nino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yaddy.nino@unisabana.edu.co1"/>
  </r>
  <r>
    <s v="yaddy.nino@unisabana.edu.co"/>
    <s v="yaddy.nino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yaddy.nino@unisabana.edu.co2"/>
  </r>
  <r>
    <s v="yaddy.nino@unisabana.edu.co"/>
    <s v="yaddy.nino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yaddy.nino@unisabana.edu.co3"/>
  </r>
  <r>
    <s v="yadira.carrion1@unisabana.edu.co"/>
    <s v="yadira.carrion1@unisabana.edu.co01"/>
    <s v="Especializaciï¿½n en Gerencia de Riesgos - Chï¿½a"/>
    <x v="38"/>
    <n v="120"/>
    <x v="0"/>
    <x v="0"/>
    <s v="Completa"/>
    <s v="Posgrado"/>
    <s v="INSTITUTO FORUM"/>
    <s v="https://ProfCatedra2024.sawtoothsoftware.com/cgi-bin/ciwweb.pl?studyname=ProfCatedra2024&amp;Correo=yadira.carrion1@unisabana.edu.co01"/>
  </r>
  <r>
    <s v="yaolavem@unal.edu.co"/>
    <s v="yaolavem@unal.edu.co1"/>
    <s v="FILOSOFï¿½A"/>
    <x v="60"/>
    <n v="35"/>
    <x v="0"/>
    <x v="0"/>
    <s v="Completa"/>
    <s v="Pregrado"/>
    <s v="FACULTAD DE FILOSOFÍA Y CIENCIAS HUMANAS"/>
    <s v="https://ProfCatedra2024.sawtoothsoftware.com/cgi-bin/ciwweb.pl?studyname=ProfCatedra2024&amp;Correo=yaolavem@unal.edu.co1"/>
  </r>
  <r>
    <s v="yeimmy.contreras@unisabana.edu.co"/>
    <s v="yeimmy.contreras@unisabana.edu.co1"/>
    <s v="INGENIERï¿½A INFORMï¿½TICA"/>
    <x v="31"/>
    <n v="39"/>
    <x v="0"/>
    <x v="0"/>
    <s v="Completa"/>
    <s v="Pregrado"/>
    <s v="FACULTAD DE INGENIERÍA"/>
    <s v="https://ProfCatedra2024.sawtoothsoftware.com/cgi-bin/ciwweb.pl?studyname=ProfCatedra2024&amp;Correo=yeimmy.contreras@unisabana.edu.co1"/>
  </r>
  <r>
    <s v="yeison.patarroyo@unisabana.edu.co"/>
    <s v="yeison.patarroyo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yeison.patarroyo@unisabana.edu.co1"/>
  </r>
  <r>
    <s v="yenny.duran@unisabana.edu.co"/>
    <s v="yenny.duran@unisabana.edu.co1"/>
    <s v="MEDICINA"/>
    <x v="4"/>
    <n v="42"/>
    <x v="0"/>
    <x v="0"/>
    <s v="Completa"/>
    <s v="Pregrado"/>
    <s v="FACULTAD DE MEDICINA"/>
    <s v="https://ProfCatedra2024.sawtoothsoftware.com/cgi-bin/ciwweb.pl?studyname=ProfCatedra2024&amp;Correo=yenny.duran@unisabana.edu.co1"/>
  </r>
  <r>
    <s v="yenymr@unisabana.edu.co"/>
    <s v="yenyMR@unisabana.edu.co1"/>
    <s v="CENTRO INTERNACIONAL DE LENGUAS Y CULTURAS EXTRANJERAS"/>
    <x v="19"/>
    <n v="210"/>
    <x v="0"/>
    <x v="0"/>
    <s v="Completa"/>
    <s v="Pregrado"/>
    <s v="CENTRO INTERNACIONAL DE LENGUAS Y CULTURAS EXTRANJERAS"/>
    <s v="https://ProfCatedra2024.sawtoothsoftware.com/cgi-bin/ciwweb.pl?studyname=ProfCatedra2024&amp;Correo=yenyMR@unisabana.edu.co1"/>
  </r>
  <r>
    <s v="yomaira.uscategui1@unisabana.edu.co"/>
    <s v="yomaira.uscategui1@unisabana.edu.co1"/>
    <s v="INGENIERï¿½A INDUSTRIAL"/>
    <x v="28"/>
    <n v="38"/>
    <x v="0"/>
    <x v="0"/>
    <s v="Completa"/>
    <s v="Pregrado"/>
    <s v="FACULTAD DE INGENIERÍA"/>
    <s v="https://ProfCatedra2024.sawtoothsoftware.com/cgi-bin/ciwweb.pl?studyname=ProfCatedra2024&amp;Correo=yomaira.uscategui1@unisabana.edu.co1"/>
  </r>
  <r>
    <s v="yomairausma@unisabana.edu.co"/>
    <s v="yomairausma@unisabana.edu.co1"/>
    <s v="INGENIERï¿½A QUï¿½MICA"/>
    <x v="16"/>
    <n v="41"/>
    <x v="0"/>
    <x v="0"/>
    <s v="Completa"/>
    <s v="Pregrado"/>
    <s v="FACULTAD DE INGENIERÍA"/>
    <s v="https://ProfCatedra2024.sawtoothsoftware.com/cgi-bin/ciwweb.pl?studyname=ProfCatedra2024&amp;Correo=yomairausma@unisabana.edu.co1"/>
  </r>
  <r>
    <s v="yuli.contreras@unisabana.edu.co"/>
    <s v="yuli.contreras@unisabana.edu.co1"/>
    <s v="DERECHO"/>
    <x v="22"/>
    <n v="30"/>
    <x v="0"/>
    <x v="0"/>
    <s v="Completa"/>
    <s v="Pregrado"/>
    <s v="FACULTAD DE DERECHO Y CIENCIAS POLÍTICAS"/>
    <s v="https://ProfCatedra2024.sawtoothsoftware.com/cgi-bin/ciwweb.pl?studyname=ProfCatedra2024&amp;Correo=yuli.contreras@unisabana.edu.co1"/>
  </r>
  <r>
    <s v="yulycudu@unisabana.edu.co"/>
    <s v="yulycudu@unisabana.edu.co1"/>
    <s v="CORE CURRICULUM PERSONA Y CULTURA"/>
    <x v="36"/>
    <n v="211"/>
    <x v="0"/>
    <x v="0"/>
    <s v="Completa"/>
    <s v="Pregrado"/>
    <s v="CORE CURRICULUM PERSONA Y CULTURA"/>
    <s v="https://ProfCatedra2024.sawtoothsoftware.com/cgi-bin/ciwweb.pl?studyname=ProfCatedra2024&amp;Correo=yulycudu@unisabana.edu.co1"/>
  </r>
  <r>
    <s v="yury.ricaurte@unisabana.edu.co"/>
    <s v="yury.ricaurte@unisabana.edu.co1"/>
    <s v="ENFERMERï¿½A"/>
    <x v="57"/>
    <n v="33"/>
    <x v="0"/>
    <x v="0"/>
    <s v="Completa"/>
    <s v="Pregrado"/>
    <s v="FACULTAD DE ENFERMERÍA Y REHABILITACIÓN"/>
    <s v="https://ProfCatedra2024.sawtoothsoftware.com/cgi-bin/ciwweb.pl?studyname=ProfCatedra2024&amp;Correo=yury.ricaurte@unisabana.edu.co1"/>
  </r>
  <r>
    <s v="zamir.hamad@unisabana.edu.co"/>
    <s v="Zamir.Hamad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Zamir.Hamad@unisabana.edu.co1"/>
  </r>
  <r>
    <s v="zulma.velandia1@unisabana.edu.co"/>
    <s v="zulma.velandia1@unisabana.edu.co1"/>
    <s v="COMUNICACIï¿½N AUDIOVISUAL Y MULTIMEDIOS"/>
    <x v="23"/>
    <n v="27"/>
    <x v="0"/>
    <x v="0"/>
    <s v="Completa"/>
    <s v="Pregrado"/>
    <s v="FACULTAD DE COMUNICACIÓN"/>
    <s v="https://ProfCatedra2024.sawtoothsoftware.com/cgi-bin/ciwweb.pl?studyname=ProfCatedra2024&amp;Correo=zulma.velandia1@unisabana.edu.co1"/>
  </r>
  <r>
    <s v="zulma.velandia1@unisabana.edu.co"/>
    <s v="zulma.velandia1@unisabana.edu.co2"/>
    <s v="COMUNICACIï¿½N SOCIAL Y PERIODISMO"/>
    <x v="15"/>
    <n v="28"/>
    <x v="0"/>
    <x v="0"/>
    <s v="Completa"/>
    <s v="Pregrado"/>
    <s v="FACULTAD DE COMUNICACIÓN"/>
    <s v="https://ProfCatedra2024.sawtoothsoftware.com/cgi-bin/ciwweb.pl?studyname=ProfCatedra2024&amp;Correo=zulma.velandia1@unisabana.edu.co2"/>
  </r>
  <r>
    <s v="zulma.velandia1@unisabana.edu.co"/>
    <s v="zulma.velandia1@unisabana.edu.co3"/>
    <s v="COMUNICACIï¿½N CORPORATIVA"/>
    <x v="43"/>
    <n v="26"/>
    <x v="0"/>
    <x v="0"/>
    <s v="Completa"/>
    <s v="Pregrado"/>
    <s v="FACULTAD DE COMUNICACIÓN"/>
    <s v="https://ProfCatedra2024.sawtoothsoftware.com/cgi-bin/ciwweb.pl?studyname=ProfCatedra2024&amp;Correo=zulma.velandia1@unisabana.edu.co3"/>
  </r>
  <r>
    <s v="adner.capachero@unisabana.edu.co"/>
    <s v="adner.capachero@unisabana.edu.co01"/>
    <s v="ESPECIALIZACIï¿½N EN GERENCIA DE PRODUCCIï¿½N Y OPERACIONES  - CHIA"/>
    <x v="112"/>
    <n v="112"/>
    <x v="1"/>
    <x v="0"/>
    <s v="Completa"/>
    <s v="Posgrado"/>
    <s v="INSTITUTO FORUM"/>
    <s v="https://ProfPlanta2024.sawtoothsoftware.com/cgi-bin/ciwweb.pl?studyname=ProfPlanta2024&amp;Correo=adner.capachero@unisabana.edu.co01"/>
  </r>
  <r>
    <s v="adrian.santana@unisabana.edu.co"/>
    <s v="adrian.santan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adrian.santana@unisabana.edu.co01"/>
  </r>
  <r>
    <s v="adriana.castellanos@unisabana.edu.co"/>
    <s v="adriana.castellanos@unisabana.edu.co03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adriana.castellanos@unisabana.edu.co03"/>
  </r>
  <r>
    <s v="adriana.castellanos@unisabana.edu.co"/>
    <s v="adriana.castellanos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adriana.castellanos@unisabana.edu.co1"/>
  </r>
  <r>
    <s v="adriana.cavanzo1@unisabana.edu.co"/>
    <s v="adriana.cavanzo1@unisabana.edu.co01"/>
    <s v="ESPECIALIZACIï¿½N EN MEDICINA FAMILIAR Y COMUNITARIA"/>
    <x v="69"/>
    <n v="8"/>
    <x v="1"/>
    <x v="0"/>
    <s v="Completa"/>
    <s v="Posgrado"/>
    <s v="FACULTAD DE MEDICINA"/>
    <s v="https://ProfPlanta2024.sawtoothsoftware.com/cgi-bin/ciwweb.pl?studyname=ProfPlanta2024&amp;Correo=adriana.cavanzo1@unisabana.edu.co01"/>
  </r>
  <r>
    <s v="adriana.cavanzo1@unisabana.edu.co"/>
    <s v="adriana.cavanzo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adriana.cavanzo1@unisabana.edu.co1"/>
  </r>
  <r>
    <s v="adriana.guzman@unisabana.edu.co"/>
    <s v="adriana.guzman@unisabana.edu.co1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adriana.guzman@unisabana.edu.co1"/>
  </r>
  <r>
    <s v="aida.casadiego@unisabana.edu.co"/>
    <s v="aida.casadiego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aida.casadiego@unisabana.edu.co1"/>
  </r>
  <r>
    <s v="alba.siabatto@unisabana.edu.co"/>
    <s v="alba.siabatto@unisabana.edu.co1"/>
    <s v="NEGOCIACIï¿½N Y COMERCIO INTERNACIONAL"/>
    <x v="91"/>
    <n v="157"/>
    <x v="1"/>
    <x v="0"/>
    <s v="Completa"/>
    <s v="Pregrado"/>
    <s v="ESCUELA INTERNACIONAL DE CIENCIAS ECONÓMICAS Y ADMINISTRATIVAS"/>
    <s v="https://ProfPlanta2024.sawtoothsoftware.com/cgi-bin/ciwweb.pl?studyname=ProfPlanta2024&amp;Correo=alba.siabatto@unisabana.edu.co1"/>
  </r>
  <r>
    <s v="albedro.cadena@unisabana.edu.co"/>
    <s v="albedro.caden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albedro.cadena@unisabana.edu.co1"/>
  </r>
  <r>
    <s v="alejandra.fuentes@unisabana.edu.co"/>
    <s v="alejandra.fuentes@unisabana.edu.co01"/>
    <s v="DOCTORADO EN ENFERMERï¿½A"/>
    <x v="133"/>
    <n v="66"/>
    <x v="1"/>
    <x v="0"/>
    <s v="Completa"/>
    <s v="Posgrado"/>
    <s v="FACULTAD DE ENFERMERÍA Y REHABILITACIÓN"/>
    <s v="https://ProfPlanta2024.sawtoothsoftware.com/cgi-bin/ciwweb.pl?studyname=ProfPlanta2024&amp;Correo=alejandra.fuentes@unisabana.edu.co01"/>
  </r>
  <r>
    <s v="alejandro.acosta1@unisabana.edu.co"/>
    <s v="Alejandro.acosta1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Alejandro.acosta1@unisabana.edu.co01"/>
  </r>
  <r>
    <s v="alejandro.acosta1@unisabana.edu.co"/>
    <s v="Alejandro.acosta1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Alejandro.acosta1@unisabana.edu.co1"/>
  </r>
  <r>
    <s v="alejandro.acosta1@unisabana.edu.co"/>
    <s v="Alejandro.acosta1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Alejandro.acosta1@unisabana.edu.co2"/>
  </r>
  <r>
    <s v="alejandro.aponte@unisabana.edu.co"/>
    <s v="alejandro.aponte@unisabana.edu.co01"/>
    <s v="MAESTRIA EN DERECHO INTERNACIONAL"/>
    <x v="61"/>
    <n v="56"/>
    <x v="1"/>
    <x v="0"/>
    <s v="Completa"/>
    <s v="Posgrado"/>
    <s v="FACULTAD DE DERECHO Y CIENCIAS POLÍTICAS"/>
    <s v="https://ProfPlanta2024.sawtoothsoftware.com/cgi-bin/ciwweb.pl?studyname=ProfPlanta2024&amp;Correo=alejandro.aponte@unisabana.edu.co01"/>
  </r>
  <r>
    <s v="alejandro.aponte@unisabana.edu.co"/>
    <s v="alejandro.aponte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lejandro.aponte@unisabana.edu.co1"/>
  </r>
  <r>
    <s v="alexandra.pedraza@unisabana.edu.co"/>
    <s v="alexandra.pedraza@unisabana.edu.co01"/>
    <s v="ESPECIALIZACIï¿½N EN GERENCIA EDUCATIVA"/>
    <x v="98"/>
    <n v="103"/>
    <x v="1"/>
    <x v="1"/>
    <s v="Incompleta"/>
    <s v="Posgrado"/>
    <s v="FACULTAD DE EDUCACIÓN"/>
    <s v="https://ProfPlanta2024.sawtoothsoftware.com/cgi-bin/ciwweb.pl?studyname=ProfPlanta2024&amp;Correo=alexandra.pedraza@unisabana.edu.co01"/>
  </r>
  <r>
    <s v="alexandra.pedraza@unisabana.edu.co"/>
    <s v="alexandra.pedraza@unisabana.edu.co02"/>
    <s v="MAESTRï¿½A EN DIRECCIï¿½N Y GESTIï¿½N DE INSTITUCIONES EDUCATIVAS"/>
    <x v="62"/>
    <n v="64"/>
    <x v="1"/>
    <x v="1"/>
    <s v="Incompleta"/>
    <s v="Posgrado"/>
    <s v="FACULTAD DE EDUCACIÓN"/>
    <s v="https://ProfPlanta2024.sawtoothsoftware.com/cgi-bin/ciwweb.pl?studyname=ProfPlanta2024&amp;Correo=alexandra.pedraza@unisabana.edu.co02"/>
  </r>
  <r>
    <s v="alexandra.pedraza@unisabana.edu.co"/>
    <s v="alexandra.pedraza@unisabana.edu.co03"/>
    <s v="MAESTRï¿½A EN DIRECCIï¿½N Y GESTIï¿½N DE INSTITUCIONES EDUCATIVAS - GUAJIRA"/>
    <x v="92"/>
    <n v="89"/>
    <x v="1"/>
    <x v="1"/>
    <s v="Incompleta"/>
    <s v="Posgrado"/>
    <s v="FACULTAD DE EDUCACIÓN"/>
    <s v="https://ProfPlanta2024.sawtoothsoftware.com/cgi-bin/ciwweb.pl?studyname=ProfPlanta2024&amp;Correo=alexandra.pedraza@unisabana.edu.co03"/>
  </r>
  <r>
    <s v="alexandra.pedraza@unisabana.edu.co"/>
    <s v="alexandra.pedraza@unisabana.edu.co1"/>
    <s v="LICENCIATURA EN CIENCIAS NATURALES"/>
    <x v="3"/>
    <n v="31"/>
    <x v="1"/>
    <x v="1"/>
    <s v="Incompleta"/>
    <s v="Pregrado"/>
    <s v="FACULTAD DE EDUCACIÓN"/>
    <s v="https://ProfPlanta2024.sawtoothsoftware.com/cgi-bin/ciwweb.pl?studyname=ProfPlanta2024&amp;Correo=alexandra.pedraza@unisabana.edu.co1"/>
  </r>
  <r>
    <s v="alexandra.pedraza@unisabana.edu.co"/>
    <s v="alexandra.pedraza@unisabana.edu.co2"/>
    <s v="LICENCIATURA EN EDUCACIï¿½N INFANTIL"/>
    <x v="34"/>
    <n v="32"/>
    <x v="1"/>
    <x v="1"/>
    <s v="Incompleta"/>
    <s v="Pregrado"/>
    <s v="FACULTAD DE EDUCACIÓN"/>
    <s v="https://ProfPlanta2024.sawtoothsoftware.com/cgi-bin/ciwweb.pl?studyname=ProfPlanta2024&amp;Correo=alexandra.pedraza@unisabana.edu.co2"/>
  </r>
  <r>
    <s v="alfonso.sarmiento@unisabana.edu.co"/>
    <s v="alfonso.sarmiento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alfonso.sarmiento@unisabana.edu.co01"/>
  </r>
  <r>
    <s v="alfonso.sarmiento@unisabana.edu.co"/>
    <s v="alfonso.sarmiento@unisabana.edu.co02"/>
    <s v="MAESTRï¿½A EN GERENCIA DE INGENIERï¿½A - CHï¿½A"/>
    <x v="1"/>
    <n v="74"/>
    <x v="1"/>
    <x v="0"/>
    <s v="Completa"/>
    <s v="Posgrado"/>
    <s v="FACULTAD DE INGENIERÍA"/>
    <s v="https://ProfPlanta2024.sawtoothsoftware.com/cgi-bin/ciwweb.pl?studyname=ProfPlanta2024&amp;Correo=alfonso.sarmiento@unisabana.edu.co02"/>
  </r>
  <r>
    <s v="alfonsosava@unisabana.edu.co"/>
    <s v="alfonsosava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alfonsosava@unisabana.edu.co1"/>
  </r>
  <r>
    <s v="alirio.bastidas@unisabana.edu.co"/>
    <s v="alirio.bastidas@unisabana.edu.co01"/>
    <s v="ESPECIALIZACIï¿½N EN MEDICINA INTERNA"/>
    <x v="135"/>
    <n v="10"/>
    <x v="1"/>
    <x v="0"/>
    <s v="Completa"/>
    <s v="Posgrado"/>
    <s v="FACULTAD DE MEDICINA"/>
    <s v="https://ProfPlanta2024.sawtoothsoftware.com/cgi-bin/ciwweb.pl?studyname=ProfPlanta2024&amp;Correo=alirio.bastidas@unisabana.edu.co01"/>
  </r>
  <r>
    <s v="alirio.bastidas@unisabana.edu.co"/>
    <s v="alirio.bastidas@unisabana.edu.co02"/>
    <s v="MAESTRï¿½A EN EPIDEMIOLOGï¿½A"/>
    <x v="83"/>
    <n v="77"/>
    <x v="1"/>
    <x v="0"/>
    <s v="Completa"/>
    <s v="Posgrado"/>
    <s v="FACULTAD DE MEDICINA"/>
    <s v="https://ProfPlanta2024.sawtoothsoftware.com/cgi-bin/ciwweb.pl?studyname=ProfPlanta2024&amp;Correo=alirio.bastidas@unisabana.edu.co02"/>
  </r>
  <r>
    <s v="alirio.bastidas@unisabana.edu.co"/>
    <s v="alirio.bastida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alirio.bastidas@unisabana.edu.co1"/>
  </r>
  <r>
    <s v="alvaro.mendoza@unisabana.edu.co"/>
    <s v="alvaro.mendoz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lvaro.mendoza@unisabana.edu.co1"/>
  </r>
  <r>
    <s v="amanda.rodriguez1@unisabana.edu.co"/>
    <s v="amanda.rodriguez1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amanda.rodriguez1@unisabana.edu.co01"/>
  </r>
  <r>
    <s v="ana.idarraga@unisabana.edu.co"/>
    <s v="ana.idarraga@unisabana.edu.co01"/>
    <s v="MAESTRIA EN DERECHO INTERNACIONAL"/>
    <x v="61"/>
    <n v="56"/>
    <x v="1"/>
    <x v="0"/>
    <s v="Completa"/>
    <s v="Posgrado"/>
    <s v="FACULTAD DE DERECHO Y CIENCIAS POLÍTICAS"/>
    <s v="https://ProfPlanta2024.sawtoothsoftware.com/cgi-bin/ciwweb.pl?studyname=ProfPlanta2024&amp;Correo=ana.idarraga@unisabana.edu.co01"/>
  </r>
  <r>
    <s v="ana.idarraga@unisabana.edu.co"/>
    <s v="ana.idarrag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na.idarraga@unisabana.edu.co1"/>
  </r>
  <r>
    <s v="ana.olaya@unisabana.edu.co"/>
    <s v="ana.olaya@unisabana.edu.co01"/>
    <s v="MAESTRï¿½A EN GERENCIA DE INVERSIï¿½N"/>
    <x v="26"/>
    <n v="45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1"/>
  </r>
  <r>
    <s v="ana.olaya@unisabana.edu.co"/>
    <s v="ana.olaya@unisabana.edu.co02"/>
    <s v="MAESTRï¿½A EN GERENCIA DE INVERSIï¿½N - VIRTUAL"/>
    <x v="27"/>
    <n v="207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2"/>
  </r>
  <r>
    <s v="ana.olaya@unisabana.edu.co"/>
    <s v="ana.olaya@unisabana.edu.co03"/>
    <s v="MAESTRï¿½A EN GERENCIA INTERNACIONAL"/>
    <x v="37"/>
    <n v="48"/>
    <x v="1"/>
    <x v="0"/>
    <s v="Completa"/>
    <s v="Posgrado"/>
    <s v="ESCUELA INTERNACIONAL DE CIENCIAS ECONÓMICAS Y ADMINISTRATIVAS"/>
    <s v="https://ProfPlanta2024.sawtoothsoftware.com/cgi-bin/ciwweb.pl?studyname=ProfPlanta2024&amp;Correo=ana.olaya@unisabana.edu.co03"/>
  </r>
  <r>
    <s v="ana.santos@unisabana.edu.co"/>
    <s v="ana.santos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ana.santos@unisabana.edu.co01"/>
  </r>
  <r>
    <s v="ana.santos@unisabana.edu.co"/>
    <s v="ana.santos@unisabana.edu.co02"/>
    <s v="ESPECIALIZACIï¿½N EN REUMATOLOGï¿½A"/>
    <x v="136"/>
    <n v="16"/>
    <x v="1"/>
    <x v="0"/>
    <s v="Completa"/>
    <s v="Posgrado"/>
    <s v="FACULTAD DE INGENIERÍA"/>
    <s v="https://ProfPlanta2024.sawtoothsoftware.com/cgi-bin/ciwweb.pl?studyname=ProfPlanta2024&amp;Correo=ana.santos@unisabana.edu.co02"/>
  </r>
  <r>
    <s v="ana.santos@unisabana.edu.co"/>
    <s v="ana.santo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ana.santos@unisabana.edu.co1"/>
  </r>
  <r>
    <s v="ana.silva3@unisabana.edu.co"/>
    <s v="ana.silva3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ana.silva3@unisabana.edu.co1"/>
  </r>
  <r>
    <s v="ana.ternent@unisabana.edu.co"/>
    <s v="ana.ternent@unisabana.edu.co01"/>
    <s v="MAESTRï¿½A EN DIDï¿½CTICA DEL INGLï¿½S PARA EL APRENDIZAJE AUTODIRIGIDO"/>
    <x v="137"/>
    <n v="86"/>
    <x v="1"/>
    <x v="0"/>
    <s v="Completa"/>
    <s v="Posgrado"/>
    <s v="FACULTAD DE EDUCACIÓN"/>
    <s v="https://ProfPlanta2024.sawtoothsoftware.com/cgi-bin/ciwweb.pl?studyname=ProfPlanta2024&amp;Correo=ana.ternent@unisabana.edu.co01"/>
  </r>
  <r>
    <s v="ana.ternent@unisabana.edu.co"/>
    <s v="ana.ternent@unisabana.edu.co02"/>
    <s v="MAESTRï¿½A EN PEDAGOGï¿½A"/>
    <x v="30"/>
    <n v="65"/>
    <x v="1"/>
    <x v="0"/>
    <s v="Completa"/>
    <s v="Posgrado"/>
    <s v="FACULTAD DE EDUCACIÓN"/>
    <s v="https://ProfPlanta2024.sawtoothsoftware.com/cgi-bin/ciwweb.pl?studyname=ProfPlanta2024&amp;Correo=ana.ternent@unisabana.edu.co02"/>
  </r>
  <r>
    <s v="ana.ternent@unisabana.edu.co"/>
    <s v="ana.ternent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ana.ternent@unisabana.edu.co1"/>
  </r>
  <r>
    <s v="ana.vargas@unisabana.edu.co"/>
    <s v="ana.vargas@unisabana.edu.co01"/>
    <s v="DOCTORADO EN EDUCACIï¿½N"/>
    <x v="138"/>
    <n v="58"/>
    <x v="1"/>
    <x v="0"/>
    <s v="Completa"/>
    <s v="Posgrado"/>
    <s v="FACULTAD DE EDUCACIÓN"/>
    <s v="https://ProfPlanta2024.sawtoothsoftware.com/cgi-bin/ciwweb.pl?studyname=ProfPlanta2024&amp;Correo=ana.vargas@unisabana.edu.co01"/>
  </r>
  <r>
    <s v="ana.vargas@unisabana.edu.co"/>
    <s v="ana.vargas@unisabana.edu.co02"/>
    <s v="DOCTORADO EN INNOVACIï¿½N EDUCATIVA CON USO DE TIC"/>
    <x v="128"/>
    <n v="59"/>
    <x v="1"/>
    <x v="0"/>
    <s v="Completa"/>
    <s v="Posgrado"/>
    <s v="FACULTAD DE EDUCACIÓN"/>
    <s v="https://ProfPlanta2024.sawtoothsoftware.com/cgi-bin/ciwweb.pl?studyname=ProfPlanta2024&amp;Correo=ana.vargas@unisabana.edu.co02"/>
  </r>
  <r>
    <s v="ana.vargas@unisabana.edu.co"/>
    <s v="ana.vargas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ana.vargas@unisabana.edu.co1"/>
  </r>
  <r>
    <s v="ana.vargas@unisabana.edu.co"/>
    <s v="ana.vargas@unisabana.edu.co2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ana.vargas@unisabana.edu.co2"/>
  </r>
  <r>
    <s v="anagr@unisabana.edu.co"/>
    <s v="AnaGR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naGR@unisabana.edu.co1"/>
  </r>
  <r>
    <s v="anasam@unisabana.edu.co"/>
    <s v="Anasam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Anasam@unisabana.edu.co1"/>
  </r>
  <r>
    <s v="andrea.garcia2@unisabana.edu.co"/>
    <s v="andrea.garcia2@unisabana.edu.co07"/>
    <s v="Doctorado en PsicologÃ­a"/>
    <x v="119"/>
    <n v="201"/>
    <x v="1"/>
    <x v="0"/>
    <s v="Completa"/>
    <s v="Posgrado"/>
    <s v="FACULTAD DE PSICOLOGÍA"/>
    <s v="https://ProfPlanta2024.sawtoothsoftware.com/cgi-bin/ciwweb.pl?studyname=ProfPlanta2024&amp;Correo=andrea.garcia2@unisabana.edu.co07"/>
  </r>
  <r>
    <s v="andres.agudelo@unisabana.edu.co"/>
    <s v="andres.agudelo@unisabana.edu.co01"/>
    <s v="DOCTORADO EN DERECHO"/>
    <x v="113"/>
    <n v="53"/>
    <x v="1"/>
    <x v="0"/>
    <s v="Completa"/>
    <s v="Posgrado"/>
    <s v="FACULTAD DE DERECHO Y CIENCIAS POLÍTICAS"/>
    <s v="https://ProfPlanta2024.sawtoothsoftware.com/cgi-bin/ciwweb.pl?studyname=ProfPlanta2024&amp;Correo=andres.agudelo@unisabana.edu.co01"/>
  </r>
  <r>
    <s v="andres.agudelo@unisabana.edu.co"/>
    <s v="andres.agudelo@unisabana.edu.co02"/>
    <s v="MAESTRIA EN DERECHO INTERNACIONAL"/>
    <x v="61"/>
    <n v="56"/>
    <x v="1"/>
    <x v="0"/>
    <s v="Completa"/>
    <s v="Posgrado"/>
    <s v="FACULTAD DE DERECHO Y CIENCIAS POLÍTICAS"/>
    <s v="https://ProfPlanta2024.sawtoothsoftware.com/cgi-bin/ciwweb.pl?studyname=ProfPlanta2024&amp;Correo=andres.agudelo@unisabana.edu.co02"/>
  </r>
  <r>
    <s v="andres.agudelo@unisabana.edu.co"/>
    <s v="andres.agudelo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andres.agudelo@unisabana.edu.co1"/>
  </r>
  <r>
    <s v="andres.chiappe@unisabana.edu.co"/>
    <s v="andres.chiappe@unisabana.edu.co01"/>
    <s v="DOCTORADO EN INNOVACIï¿½N EDUCATIVA CON USO DE TIC"/>
    <x v="128"/>
    <n v="59"/>
    <x v="1"/>
    <x v="0"/>
    <s v="Completa"/>
    <s v="Posgrado"/>
    <s v="FACULTAD DE EDUCACIÓN"/>
    <s v="https://ProfPlanta2024.sawtoothsoftware.com/cgi-bin/ciwweb.pl?studyname=ProfPlanta2024&amp;Correo=andres.chiappe@unisabana.edu.co01"/>
  </r>
  <r>
    <s v="andres.chiappe@unisabana.edu.co"/>
    <s v="andres.chiappe@unisabana.edu.co02"/>
    <s v="MAESTRï¿½A EN INNOVACIï¿½N EDUCATIVA MEDIADA POR TIC"/>
    <x v="124"/>
    <n v="84"/>
    <x v="1"/>
    <x v="0"/>
    <s v="Completa"/>
    <s v="Posgrado"/>
    <s v="FACULTAD DE EDUCACIÓN"/>
    <s v="https://ProfPlanta2024.sawtoothsoftware.com/cgi-bin/ciwweb.pl?studyname=ProfPlanta2024&amp;Correo=andres.chiappe@unisabana.edu.co02"/>
  </r>
  <r>
    <s v="andres.forero1@unisabana.edu.co"/>
    <s v="andres.forero1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andres.forero1@unisabana.edu.co1"/>
  </r>
  <r>
    <s v="andres.lopez4@unisabana.edu.co"/>
    <s v="andres.lopez4@unisabana.edu.co01"/>
    <s v="MAESTRIA EN DERECHO INTERNACIONAL"/>
    <x v="61"/>
    <n v="56"/>
    <x v="1"/>
    <x v="0"/>
    <s v="Completa"/>
    <s v="Posgrado"/>
    <s v="FACULTAD DE DERECHO Y CIENCIAS POLÍTICAS"/>
    <s v="https://ProfPlanta2024.sawtoothsoftware.com/cgi-bin/ciwweb.pl?studyname=ProfPlanta2024&amp;Correo=andres.lopez4@unisabana.edu.co01"/>
  </r>
  <r>
    <s v="andres.lopez4@unisabana.edu.co"/>
    <s v="andres.lopez4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andres.lopez4@unisabana.edu.co1"/>
  </r>
  <r>
    <s v="andres.lopez4@unisabana.edu.co"/>
    <s v="andres.lopez4@unisabana.edu.co2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ndres.lopez4@unisabana.edu.co2"/>
  </r>
  <r>
    <s v="andres.martinez8@unisabana.edu.co"/>
    <s v="andres.martinez8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andres.martinez8@unisabana.edu.co1"/>
  </r>
  <r>
    <s v="andres.mejia@unisabana.edu.co"/>
    <s v="andres.mejia@unisabana.edu.co04"/>
    <s v="MAESTRï¿½A EN GERENCIA ESTRATï¿½GICA"/>
    <x v="35"/>
    <n v="47"/>
    <x v="1"/>
    <x v="0"/>
    <s v="Completa"/>
    <s v="Posgrado"/>
    <s v="ESCUELA INTERNACIONAL DE CIENCIAS ECONÓMICAS Y ADMINISTRATIVAS"/>
    <s v="https://ProfPlanta2024.sawtoothsoftware.com/cgi-bin/ciwweb.pl?studyname=ProfPlanta2024&amp;Correo=andres.mejia@unisabana.edu.co04"/>
  </r>
  <r>
    <s v="andres.munoz1@unisabana.edu.co"/>
    <s v="andres.munoz1@unisabana.edu.co1"/>
    <s v="MERCADEO"/>
    <x v="24"/>
    <n v="156"/>
    <x v="1"/>
    <x v="0"/>
    <s v="Completa"/>
    <s v="Pregrado"/>
    <s v="ESCUELA INTERNACIONAL DE CIENCIAS ECONÓMICAS Y ADMINISTRATIVAS"/>
    <s v="https://ProfPlanta2024.sawtoothsoftware.com/cgi-bin/ciwweb.pl?studyname=ProfPlanta2024&amp;Correo=andres.munoz1@unisabana.edu.co1"/>
  </r>
  <r>
    <s v="andres.salazar@unisabana.edu.co"/>
    <s v="andres.salazar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andres.salazar@unisabana.edu.co1"/>
  </r>
  <r>
    <s v="andres.villegas@unisabana.edu.co"/>
    <s v="andres.villegas@unisabana.edu.co1"/>
    <s v="SERVICIO, HOSPITALIDAD Y CALIDAD"/>
    <x v="53"/>
    <n v="158"/>
    <x v="1"/>
    <x v="0"/>
    <s v="Completa"/>
    <s v="Pregrado"/>
    <s v="ESCUELA INTERNACIONAL DE CIENCIAS ECONÓMICAS Y ADMINISTRATIVAS"/>
    <s v="https://ProfPlanta2024.sawtoothsoftware.com/cgi-bin/ciwweb.pl?studyname=ProfPlanta2024&amp;Correo=andres.villegas@unisabana.edu.co1"/>
  </r>
  <r>
    <s v="angela.acero@unisabana.edu.co"/>
    <s v="angela.acer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angela.acero@unisabana.edu.co1"/>
  </r>
  <r>
    <s v="angela.delgado@unisabana.edu.co"/>
    <s v="angela.delgado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angela.delgado@unisabana.edu.co1"/>
  </r>
  <r>
    <s v="angela.gamba@unisabana.edu.co"/>
    <s v="angela.gamb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angela.gamba@unisabana.edu.co1"/>
  </r>
  <r>
    <s v="angela.moncaleano@unisabana.edu.co"/>
    <s v="angela.moncaleano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angela.moncaleano@unisabana.edu.co1"/>
  </r>
  <r>
    <s v="angela.preciado@unisabana.edu.co"/>
    <s v="angela.preciado@unisabana.edu.co01"/>
    <s v="DOCTORADO EN COMUNICACIï¿½N"/>
    <x v="139"/>
    <n v="50"/>
    <x v="1"/>
    <x v="1"/>
    <s v="Incompleta"/>
    <s v="Posgrado"/>
    <s v="FACULTAD DE COMUNICACIÓN"/>
    <s v="https://ProfPlanta2024.sawtoothsoftware.com/cgi-bin/ciwweb.pl?studyname=ProfPlanta2024&amp;Correo=angela.preciado@unisabana.edu.co01"/>
  </r>
  <r>
    <s v="angela.preciado@unisabana.edu.co"/>
    <s v="angela.preciado@unisabana.edu.co1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angela.preciado@unisabana.edu.co1"/>
  </r>
  <r>
    <s v="angela.rubiano@unisabana.edu.co"/>
    <s v="angela.rubiano@unisabana.edu.co01"/>
    <s v="ESPECIALIZACIï¿½N EN GERENCIA EDUCATIVA"/>
    <x v="98"/>
    <n v="103"/>
    <x v="1"/>
    <x v="0"/>
    <s v="Completa"/>
    <s v="Posgrado"/>
    <s v="FACULTAD DE EDUCACIÓN"/>
    <s v="https://ProfPlanta2024.sawtoothsoftware.com/cgi-bin/ciwweb.pl?studyname=ProfPlanta2024&amp;Correo=angela.rubiano@unisabana.edu.co01"/>
  </r>
  <r>
    <s v="angela.rubiano@unisabana.edu.co"/>
    <s v="angela.rubiano@unisabana.edu.co02"/>
    <s v="MAESTRï¿½A EN DIRECCIï¿½N Y GESTIï¿½N DE INSTITUCIONES EDUCATIVAS"/>
    <x v="62"/>
    <n v="64"/>
    <x v="1"/>
    <x v="0"/>
    <s v="Completa"/>
    <s v="Posgrado"/>
    <s v="FACULTAD DE EDUCACIÓN"/>
    <s v="https://ProfPlanta2024.sawtoothsoftware.com/cgi-bin/ciwweb.pl?studyname=ProfPlanta2024&amp;Correo=angela.rubiano@unisabana.edu.co02"/>
  </r>
  <r>
    <s v="angela.rubiano@unisabana.edu.co"/>
    <s v="angela.rubiano@unisabana.edu.co03"/>
    <s v="MAESTRï¿½A EN DIRECCIï¿½N Y GESTIï¿½N DE INSTITUCIONES EDUCATIVAS - GUAJIRA"/>
    <x v="92"/>
    <n v="89"/>
    <x v="1"/>
    <x v="0"/>
    <s v="Completa"/>
    <s v="Posgrado"/>
    <s v="FACULTAD DE EDUCACIÓN"/>
    <s v="https://ProfPlanta2024.sawtoothsoftware.com/cgi-bin/ciwweb.pl?studyname=ProfPlanta2024&amp;Correo=angela.rubiano@unisabana.edu.co03"/>
  </r>
  <r>
    <s v="angela.rubiano@unisabana.edu.co"/>
    <s v="angela.rubiano@unisabana.edu.co1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angela.rubiano@unisabana.edu.co1"/>
  </r>
  <r>
    <s v="angela.trujillo@unisabana.edu.co"/>
    <s v="angela.trujillo@unisabana.edu.co02"/>
    <s v="MAESTRIA EN PSICOLOGIA DE LA SALUD Y DISCAPACIDAD"/>
    <x v="46"/>
    <n v="82"/>
    <x v="1"/>
    <x v="0"/>
    <s v="Completa"/>
    <s v="Posgrado"/>
    <s v="FACULTAD DE PSICOLOGÍA"/>
    <s v="https://ProfPlanta2024.sawtoothsoftware.com/cgi-bin/ciwweb.pl?studyname=ProfPlanta2024&amp;Correo=angela.trujillo@unisabana.edu.co02"/>
  </r>
  <r>
    <s v="angela.trujillo@unisabana.edu.co"/>
    <s v="angela.trujillo@unisabana.edu.co07"/>
    <s v="Doctorado en PsicologÃ­a"/>
    <x v="119"/>
    <n v="201"/>
    <x v="1"/>
    <x v="1"/>
    <s v="Incompleta"/>
    <s v="Posgrado"/>
    <s v="FACULTAD DE PSICOLOGÍA"/>
    <s v="https://ProfPlanta2024.sawtoothsoftware.com/cgi-bin/ciwweb.pl?studyname=ProfPlanta2024&amp;Correo=angela.trujillo@unisabana.edu.co07"/>
  </r>
  <r>
    <s v="angelica.ospina@unisabana.edu.co"/>
    <s v="angelica.ospina@unisabana.edu.co01"/>
    <s v="DOCTORADO EN ENFERMERï¿½A"/>
    <x v="133"/>
    <n v="66"/>
    <x v="1"/>
    <x v="0"/>
    <s v="Completa"/>
    <s v="Posgrado"/>
    <s v="FACULTAD DE ENFERMERÍA Y REHABILITACIÓN"/>
    <s v="https://ProfPlanta2024.sawtoothsoftware.com/cgi-bin/ciwweb.pl?studyname=ProfPlanta2024&amp;Correo=angelica.ospina@unisabana.edu.co01"/>
  </r>
  <r>
    <s v="angelica.ospina@unisabana.edu.co"/>
    <s v="angelica.ospina@unisabana.edu.co02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angelica.ospina@unisabana.edu.co02"/>
  </r>
  <r>
    <s v="angelica.ospina@unisabana.edu.co"/>
    <s v="angelica.ospina@unisabana.edu.co03"/>
    <s v="MAESTRï¿½A EN ENFERMERï¿½A - VIRTUAL"/>
    <x v="13"/>
    <n v="94"/>
    <x v="1"/>
    <x v="0"/>
    <s v="Completa"/>
    <s v="Posgrado"/>
    <s v="FACULTAD DE ENFERMERÍA Y REHABILITACIÓN"/>
    <s v="https://ProfPlanta2024.sawtoothsoftware.com/cgi-bin/ciwweb.pl?studyname=ProfPlanta2024&amp;Correo=angelica.ospina@unisabana.edu.co03"/>
  </r>
  <r>
    <s v="angelica.ospina@unisabana.edu.co"/>
    <s v="angelica.ospina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angelica.ospina@unisabana.edu.co1"/>
  </r>
  <r>
    <s v="angelica.ramirez2@unisabana.edu.co"/>
    <s v="angelica.ramirez2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angelica.ramirez2@unisabana.edu.co1"/>
  </r>
  <r>
    <s v="anna.filomena@unisabana.edu.co"/>
    <s v="anna.filomena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anna.filomena@unisabana.edu.co1"/>
  </r>
  <r>
    <s v="astrid.robayo@unisabana.edu.co"/>
    <s v="astrid.robayo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astrid.robayo@unisabana.edu.co01"/>
  </r>
  <r>
    <s v="astrid.robayo@unisabana.edu.co"/>
    <s v="astrid.robayo@unisabana.edu.co02"/>
    <s v="ESPECIALIZACIï¿½N EN TERAPIA MANUAL ORTOPï¿½DICA - CHï¿½A"/>
    <x v="11"/>
    <n v="105"/>
    <x v="1"/>
    <x v="0"/>
    <s v="Completa"/>
    <s v="Posgrado"/>
    <s v="FACULTAD DE ENFERMERÍA Y REHABILITACIÓN"/>
    <s v="https://ProfPlanta2024.sawtoothsoftware.com/cgi-bin/ciwweb.pl?studyname=ProfPlanta2024&amp;Correo=astrid.robayo@unisabana.edu.co02"/>
  </r>
  <r>
    <s v="astrid.robayo@unisabana.edu.co"/>
    <s v="astrid.robayo@unisabana.edu.co03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astrid.robayo@unisabana.edu.co03"/>
  </r>
  <r>
    <s v="astrid.robayo@unisabana.edu.co"/>
    <s v="astrid.robayo@unisabana.edu.co04"/>
    <s v="MAESTRï¿½A EN ENFERMERï¿½A - VIRTUAL"/>
    <x v="13"/>
    <n v="94"/>
    <x v="1"/>
    <x v="0"/>
    <s v="Completa"/>
    <s v="Posgrado"/>
    <s v="FACULTAD DE ENFERMERÍA Y REHABILITACIÓN"/>
    <s v="https://ProfPlanta2024.sawtoothsoftware.com/cgi-bin/ciwweb.pl?studyname=ProfPlanta2024&amp;Correo=astrid.robayo@unisabana.edu.co04"/>
  </r>
  <r>
    <s v="astrid.robayo@unisabana.edu.co"/>
    <s v="astrid.robay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astrid.robayo@unisabana.edu.co1"/>
  </r>
  <r>
    <s v="astrid.robayo@unisabana.edu.co"/>
    <s v="astrid.robayo@unisabana.edu.co2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astrid.robayo@unisabana.edu.co2"/>
  </r>
  <r>
    <s v="bernardo.estrada@unisabana.edu.co"/>
    <s v="bernardo.estrada@unisabana.edu.co01"/>
    <s v="MAESTRï¿½A EN TEOLOGï¿½A - CHï¿½A"/>
    <x v="45"/>
    <n v="69"/>
    <x v="1"/>
    <x v="0"/>
    <s v="Completa"/>
    <s v="Posgrado"/>
    <s v="FACULTAD DE FILOSOFÍA Y CIENCIAS HUMANAS"/>
    <s v="https://ProfPlanta2024.sawtoothsoftware.com/cgi-bin/ciwweb.pl?studyname=ProfPlanta2024&amp;Correo=bernardo.estrada@unisabana.edu.co01"/>
  </r>
  <r>
    <s v="bibiana.zapata@unisabana.edu.co"/>
    <s v="bibiana.zapat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bibiana.zapata@unisabana.edu.co1"/>
  </r>
  <r>
    <s v="camila.figueroa1@unisabana.edu.co"/>
    <s v="camila.figueroa1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camila.figueroa1@unisabana.edu.co1"/>
  </r>
  <r>
    <s v="camila.herrera@unisabana.edu.co"/>
    <s v="camila.herrera@unisabana.edu.co01"/>
    <s v="MAESTRIA EN DERECHO CONSTITUCIONAL"/>
    <x v="56"/>
    <n v="54"/>
    <x v="1"/>
    <x v="1"/>
    <s v="Incompleta"/>
    <s v="Posgrado"/>
    <s v="FACULTAD DE DERECHO Y CIENCIAS POLÍTICAS"/>
    <s v="https://ProfPlanta2024.sawtoothsoftware.com/cgi-bin/ciwweb.pl?studyname=ProfPlanta2024&amp;Correo=camila.herrera@unisabana.edu.co01"/>
  </r>
  <r>
    <s v="camila.herrera@unisabana.edu.co"/>
    <s v="camila.herrer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camila.herrera@unisabana.edu.co1"/>
  </r>
  <r>
    <s v="camilo.arias@unisabana.edu.co"/>
    <s v="camilo.arias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camilo.arias@unisabana.edu.co1"/>
  </r>
  <r>
    <s v="camilo.botero@unisabana.edu.co"/>
    <s v="camilo.botero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camilo.botero@unisabana.edu.co1"/>
  </r>
  <r>
    <s v="camilo.co0rreal@unisabana.edu.co"/>
    <s v="camilo.co0rreal@unisabana.edu.co01"/>
    <s v="MAESTRï¿½A EN SALUD Pï¿½BLICA"/>
    <x v="70"/>
    <n v="79"/>
    <x v="1"/>
    <x v="0"/>
    <s v="Completa"/>
    <s v="Posgrado"/>
    <s v="FACULTAD DE MEDICINA"/>
    <s v="https://ProfPlanta2024.sawtoothsoftware.com/cgi-bin/ciwweb.pl?studyname=ProfPlanta2024&amp;Correo=camilo.co0rreal@unisabana.edu.co01"/>
  </r>
  <r>
    <s v="camilo.correal@unisabana.edu.co"/>
    <s v="camilo.correal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camilo.correal@unisabana.edu.co1"/>
  </r>
  <r>
    <s v="camilo.posada@unisabana.edu.co"/>
    <s v="camilo.posad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camilo.posada@unisabana.edu.co1"/>
  </r>
  <r>
    <s v="camilo.rengifo@unisabana.edu.co"/>
    <s v="camilo.rengifo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camilo.rengifo@unisabana.edu.co01"/>
  </r>
  <r>
    <s v="camilo.rengifo@unisabana.edu.co"/>
    <s v="camilo.rengifo@unisabana.edu.co02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camilo.rengifo@unisabana.edu.co02"/>
  </r>
  <r>
    <s v="camilo.rengifo@unisabana.edu.co"/>
    <s v="camilo.rengifo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camilo.rengifo@unisabana.edu.co1"/>
  </r>
  <r>
    <s v="camilo.rincon2@unisabana.edu.co"/>
    <s v="camilo.rincon2@unisabana.edu.co1"/>
    <s v="PSICOLOGï¿½A"/>
    <x v="29"/>
    <n v="43"/>
    <x v="1"/>
    <x v="1"/>
    <s v="Incompleta"/>
    <s v="Pregrado"/>
    <s v="FACULTAD DE PSICOLOGÍA"/>
    <s v="https://ProfPlanta2024.sawtoothsoftware.com/cgi-bin/ciwweb.pl?studyname=ProfPlanta2024&amp;Correo=camilo.rincon2@unisabana.edu.co1"/>
  </r>
  <r>
    <s v="carlos.bernal7@unisabana.edu.co"/>
    <s v="carlos.bernal7@unisabana.edu.co01"/>
    <s v="DOCTORADO EN DERECHO"/>
    <x v="113"/>
    <n v="53"/>
    <x v="1"/>
    <x v="0"/>
    <s v="Completa"/>
    <s v="Posgrado"/>
    <s v="FACULTAD DE DERECHO Y CIENCIAS POLÍTICAS"/>
    <s v="https://ProfPlanta2024.sawtoothsoftware.com/cgi-bin/ciwweb.pl?studyname=ProfPlanta2024&amp;Correo=carlos.bernal7@unisabana.edu.co01"/>
  </r>
  <r>
    <s v="carlos.bernal7@unisabana.edu.co"/>
    <s v="carlos.bernal7@unisabana.edu.co02"/>
    <s v="MAESTRIA EN DERECHO CONSTITUCIONAL"/>
    <x v="56"/>
    <n v="54"/>
    <x v="1"/>
    <x v="0"/>
    <s v="Completa"/>
    <s v="Posgrado"/>
    <s v="FACULTAD DE DERECHO Y CIENCIAS POLÍTICAS"/>
    <s v="https://ProfPlanta2024.sawtoothsoftware.com/cgi-bin/ciwweb.pl?studyname=ProfPlanta2024&amp;Correo=carlos.bernal7@unisabana.edu.co02"/>
  </r>
  <r>
    <s v="carlos.bernal7@unisabana.edu.co"/>
    <s v="carlos.bernal7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carlos.bernal7@unisabana.edu.co1"/>
  </r>
  <r>
    <s v="carlos.castro@unisabana.edu.co"/>
    <s v="carlos.castro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carlos.castro@unisabana.edu.co1"/>
  </r>
  <r>
    <s v="carlos.dominguez@unisabana.edu.co"/>
    <s v="carlos.dominguez@unisabana.edu.co01"/>
    <s v="ESPECIALIZACIï¿½N EN CIRUGï¿½A GENERAL"/>
    <x v="80"/>
    <n v="2"/>
    <x v="1"/>
    <x v="0"/>
    <s v="Completa"/>
    <s v="Posgrado"/>
    <s v="FACULTAD DE MEDICINA"/>
    <s v="https://ProfPlanta2024.sawtoothsoftware.com/cgi-bin/ciwweb.pl?studyname=ProfPlanta2024&amp;Correo=carlos.dominguez@unisabana.edu.co01"/>
  </r>
  <r>
    <s v="carlos.dominguez@unisabana.edu.co"/>
    <s v="carlos.dominguez@unisabana.edu.co02"/>
    <s v="MAESTRï¿½A EN EDUCACIï¿½N Mï¿½DICA"/>
    <x v="109"/>
    <n v="78"/>
    <x v="1"/>
    <x v="0"/>
    <s v="Completa"/>
    <s v="Posgrado"/>
    <s v="FACULTAD DE MEDICINA"/>
    <s v="https://ProfPlanta2024.sawtoothsoftware.com/cgi-bin/ciwweb.pl?studyname=ProfPlanta2024&amp;Correo=carlos.dominguez@unisabana.edu.co02"/>
  </r>
  <r>
    <s v="carlos.dominguez@unisabana.edu.co"/>
    <s v="carlos.dominguez@unisabana.edu.co1"/>
    <s v="MEDICINA"/>
    <x v="4"/>
    <n v="42"/>
    <x v="1"/>
    <x v="1"/>
    <s v="Incompleta"/>
    <s v="Pregrado"/>
    <s v="FACULTAD DE MEDICINA"/>
    <s v="https://ProfPlanta2024.sawtoothsoftware.com/cgi-bin/ciwweb.pl?studyname=ProfPlanta2024&amp;Correo=carlos.dominguez@unisabana.edu.co1"/>
  </r>
  <r>
    <s v="carlos.dominguez2@unisabana.edu.co"/>
    <s v="carlos.dominguez2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carlos.dominguez2@unisabana.edu.co1"/>
  </r>
  <r>
    <s v="carlos.gutierrez6@unisabana.edu.co"/>
    <s v="carlos.gutierrez6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carlos.gutierrez6@unisabana.edu.co1"/>
  </r>
  <r>
    <s v="carlos.jimenez@unisabana.edu.co"/>
    <s v="carlos.jimenez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carlos.jimenez@unisabana.edu.co01"/>
  </r>
  <r>
    <s v="carlos.jimenez@unisabana.edu.co"/>
    <s v="carlos.jimenez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carlos.jimenez@unisabana.edu.co1"/>
  </r>
  <r>
    <s v="carlos.jimenez@unisabana.edu.co"/>
    <s v="carlos.jimenez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carlos.jimenez@unisabana.edu.co2"/>
  </r>
  <r>
    <s v="carlos.jimenez3@unisabana.edu.co"/>
    <s v="carlos.jimenez3@unisabana.edu.co1"/>
    <s v="NEGOCIACIï¿½N Y COMERCIO INTERNACIONAL"/>
    <x v="91"/>
    <n v="157"/>
    <x v="1"/>
    <x v="0"/>
    <s v="Completa"/>
    <s v="Pregrado"/>
    <s v="ESCUELA INTERNACIONAL DE CIENCIAS ECONÓMICAS Y ADMINISTRATIVAS"/>
    <s v="https://ProfPlanta2024.sawtoothsoftware.com/cgi-bin/ciwweb.pl?studyname=ProfPlanta2024&amp;Correo=carlos.jimenez3@unisabana.edu.co1"/>
  </r>
  <r>
    <s v="carlos.mera@unisabana.edu.co"/>
    <s v="carlos.mera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carlos.mera@unisabana.edu.co1"/>
  </r>
  <r>
    <s v="carlos.monroy@unisabana.edu.co"/>
    <s v="carlos.monroy@unisabana.edu.co02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carlos.monroy@unisabana.edu.co02"/>
  </r>
  <r>
    <s v="carlos.monroy@unisabana.edu.co"/>
    <s v="carlos.monroy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carlos.monroy@unisabana.edu.co1"/>
  </r>
  <r>
    <s v="carlos.montes1@unisabana.edu.co"/>
    <s v="carlos.montes1@unisabana.edu.co01"/>
    <s v="DOCTORADO EN INGENIERï¿½A"/>
    <x v="140"/>
    <n v="72"/>
    <x v="1"/>
    <x v="0"/>
    <s v="Completa"/>
    <s v="Posgrado"/>
    <s v="FACULTAD DE INGENIERÍA"/>
    <s v="https://ProfPlanta2024.sawtoothsoftware.com/cgi-bin/ciwweb.pl?studyname=ProfPlanta2024&amp;Correo=carlos.montes1@unisabana.edu.co01"/>
  </r>
  <r>
    <s v="carlos.montes1@unisabana.edu.co"/>
    <s v="carlos.montes1@unisabana.edu.co1"/>
    <s v="INGENIERï¿½A CIVIL"/>
    <x v="49"/>
    <n v="36"/>
    <x v="1"/>
    <x v="0"/>
    <s v="Completa"/>
    <s v="Pregrado"/>
    <s v="FACULTAD DE INGENIERÍA"/>
    <s v="https://ProfPlanta2024.sawtoothsoftware.com/cgi-bin/ciwweb.pl?studyname=ProfPlanta2024&amp;Correo=carlos.montes1@unisabana.edu.co1"/>
  </r>
  <r>
    <s v="carlos.quintero5@unisabana.edu.co"/>
    <s v="Carlos.Quintero5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Carlos.Quintero5@unisabana.edu.co01"/>
  </r>
  <r>
    <s v="carlos.rodriguez13@unisabana.edu.co"/>
    <s v="carlos.rodriguez13@unisabana.edu.co01"/>
    <s v="MAESTRï¿½A EN COMUNICACIï¿½N ESTRï¿½TEGICA"/>
    <x v="114"/>
    <n v="51"/>
    <x v="1"/>
    <x v="1"/>
    <s v="Incompleta"/>
    <s v="Posgrado"/>
    <s v="FACULTAD DE COMUNICACIÓN"/>
    <s v="https://ProfPlanta2024.sawtoothsoftware.com/cgi-bin/ciwweb.pl?studyname=ProfPlanta2024&amp;Correo=carlos.rodriguez13@unisabana.edu.co01"/>
  </r>
  <r>
    <s v="carlos.rodriguez13@unisabana.edu.co"/>
    <s v="carlos.rodriguez13@unisabana.edu.co1"/>
    <s v="COMUNICACIï¿½N CORPORATIVA"/>
    <x v="43"/>
    <n v="26"/>
    <x v="1"/>
    <x v="1"/>
    <s v="Incompleta"/>
    <s v="Pregrado"/>
    <s v="FACULTAD DE COMUNICACIÓN"/>
    <s v="https://ProfPlanta2024.sawtoothsoftware.com/cgi-bin/ciwweb.pl?studyname=ProfPlanta2024&amp;Correo=carlos.rodriguez13@unisabana.edu.co1"/>
  </r>
  <r>
    <s v="carlos.salgado2@unisabana.edu.co"/>
    <s v="carlos.salgado2@unisabana.edu.co01"/>
    <s v="MAESTRï¿½A EN GERENCIA DE LA INNOVACIï¿½N"/>
    <x v="67"/>
    <n v="49"/>
    <x v="1"/>
    <x v="0"/>
    <s v="Completa"/>
    <s v="Posgrado"/>
    <s v="ESCUELA INTERNACIONAL DE CIENCIAS ECONÓMICAS Y ADMINISTRATIVAS"/>
    <s v="https://ProfPlanta2024.sawtoothsoftware.com/cgi-bin/ciwweb.pl?studyname=ProfPlanta2024&amp;Correo=carlos.salgado2@unisabana.edu.co01"/>
  </r>
  <r>
    <s v="carlos.salgado2@unisabana.edu.co"/>
    <s v="carlos.salgado2@unisabana.edu.co1"/>
    <s v="MERCADEO"/>
    <x v="24"/>
    <n v="156"/>
    <x v="1"/>
    <x v="0"/>
    <s v="Completa"/>
    <s v="Pregrado"/>
    <s v="ESCUELA INTERNACIONAL DE CIENCIAS ECONÓMICAS Y ADMINISTRATIVAS"/>
    <s v="https://ProfPlanta2024.sawtoothsoftware.com/cgi-bin/ciwweb.pl?studyname=ProfPlanta2024&amp;Correo=carlos.salgado2@unisabana.edu.co1"/>
  </r>
  <r>
    <s v="carloscp@unisabana.edu.co"/>
    <s v="carloscp@unisabana.edu.co01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carloscp@unisabana.edu.co01"/>
  </r>
  <r>
    <s v="carloscp@unisabana.edu.co"/>
    <s v="carloscp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carloscp@unisabana.edu.co1"/>
  </r>
  <r>
    <s v="carlosveme@unisabana.edu.co"/>
    <s v="carlosveme@unisabana.edu.co01"/>
    <s v="MAESTRï¿½A EN GERENCIA DE OPERACIONES"/>
    <x v="86"/>
    <n v="46"/>
    <x v="1"/>
    <x v="0"/>
    <s v="Completa"/>
    <s v="Posgrado"/>
    <s v="ESCUELA INTERNACIONAL DE CIENCIAS ECONÓMICAS Y ADMINISTRATIVAS"/>
    <s v="https://ProfPlanta2024.sawtoothsoftware.com/cgi-bin/ciwweb.pl?studyname=ProfPlanta2024&amp;Correo=carlosveme@unisabana.edu.co01"/>
  </r>
  <r>
    <s v="carol.vanegas@unisabana.edu.co"/>
    <s v="carol.vanegas@unisabana.edu.co01"/>
    <s v="ESPECIALIZACIï¿½N EN GERENCIA COMERCIAL - CHIA"/>
    <x v="95"/>
    <n v="111"/>
    <x v="1"/>
    <x v="0"/>
    <s v="Incompleta"/>
    <s v="Posgrado"/>
    <s v="INSTITUTO FORUM"/>
    <s v="https://ProfPlanta2024.sawtoothsoftware.com/cgi-bin/ciwweb.pl?studyname=ProfPlanta2024&amp;Correo=carol.vanegas@unisabana.edu.co01"/>
  </r>
  <r>
    <s v="carol.vanegas@unisabana.edu.co"/>
    <s v="carol.vanegas@unisabana.edu.co02"/>
    <s v="ESPECIALIZACIï¿½N EN GERENCIA COMERCIAL VIRTUAL"/>
    <x v="6"/>
    <n v="126"/>
    <x v="1"/>
    <x v="1"/>
    <s v="Incompleta"/>
    <s v="Posgrado"/>
    <s v="INSTITUTO FORUM"/>
    <s v="https://ProfPlanta2024.sawtoothsoftware.com/cgi-bin/ciwweb.pl?studyname=ProfPlanta2024&amp;Correo=carol.vanegas@unisabana.edu.co02"/>
  </r>
  <r>
    <s v="carol.vanegas@unisabana.edu.co"/>
    <s v="carol.vanegas@unisabana.edu.co03"/>
    <s v="ESPECIALIZACIï¿½N EN GERENCIA ESTRATï¿½GICA DE MARCA  - CHIA"/>
    <x v="118"/>
    <n v="113"/>
    <x v="1"/>
    <x v="0"/>
    <s v="Incompleta"/>
    <s v="Posgrado"/>
    <s v="INSTITUTO FORUM"/>
    <s v="https://ProfPlanta2024.sawtoothsoftware.com/cgi-bin/ciwweb.pl?studyname=ProfPlanta2024&amp;Correo=carol.vanegas@unisabana.edu.co03"/>
  </r>
  <r>
    <s v="carolina.plat1@unisabana.edu.co"/>
    <s v="carolina.plat1@unisabana.edu.co07"/>
    <s v="MAESTRÃA EN PSICOLOGÃA CLINICA DE LA NIÃ‘EZ Y LA ADOLESCENCIA"/>
    <x v="120"/>
    <n v="205"/>
    <x v="1"/>
    <x v="1"/>
    <s v="Incompleta"/>
    <s v="Posgrado"/>
    <s v="FACULTAD DE PSICOLOGÍA"/>
    <s v="https://ProfPlanta2024.sawtoothsoftware.com/cgi-bin/ciwweb.pl?studyname=ProfPlanta2024&amp;Correo=carolina.plat1@unisabana.edu.co07"/>
  </r>
  <r>
    <s v="carolina.plata1@unisabana.edu.co"/>
    <s v="carolina.plata1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carolina.plata1@unisabana.edu.co1"/>
  </r>
  <r>
    <s v="catalina.bermudez2@unisabana.edu.co"/>
    <s v="catalina.bermudez2@unisabana.edu.co01"/>
    <s v="MAESTRï¿½A EN TEOLOGï¿½A - CHï¿½A"/>
    <x v="45"/>
    <n v="69"/>
    <x v="1"/>
    <x v="0"/>
    <s v="Completa"/>
    <s v="Posgrado"/>
    <s v="FACULTAD DE FILOSOFÍA Y CIENCIAS HUMANAS"/>
    <s v="https://ProfPlanta2024.sawtoothsoftware.com/cgi-bin/ciwweb.pl?studyname=ProfPlanta2024&amp;Correo=catalina.bermudez2@unisabana.edu.co01"/>
  </r>
  <r>
    <s v="cesar.bernal@unisabana.edu.co"/>
    <s v="cesar.bernal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1"/>
  </r>
  <r>
    <s v="cesar.bernal@unisabana.edu.co"/>
    <s v="cesar.bernal@unisabana.edu.co02"/>
    <s v="MAESTRï¿½A EN GERENCIA DE OPERACIONES"/>
    <x v="86"/>
    <n v="46"/>
    <x v="1"/>
    <x v="0"/>
    <s v="Completa"/>
    <s v="Posgrado"/>
    <s v="ESCUELA INTERNACIONAL DE CIENCIAS ECONÓMICAS Y ADMINISTRATIVAS"/>
    <s v="https://ProfPlanta2024.sawtoothsoftware.com/cgi-bin/ciwweb.pl?studyname=ProfPlanta2024&amp;Correo=cesar.bernal@unisabana.edu.co02"/>
  </r>
  <r>
    <s v="cesar.bernal@unisabana.edu.co"/>
    <s v="cesar.bernal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cesar.bernal@unisabana.edu.co1"/>
  </r>
  <r>
    <s v="cesar.nino@unisabana.edu.co"/>
    <s v="cesar.nin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cesar.nino@unisabana.edu.co1"/>
  </r>
  <r>
    <s v="christian.morales@unisabana.edu.co"/>
    <s v="christian.morales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christian.morales@unisabana.edu.co1"/>
  </r>
  <r>
    <s v="ciro.parra@unisabana.edu.co"/>
    <s v="ciro.parra@unisabana.edu.co02"/>
    <s v="MAESTRï¿½A EN EDUCACIï¿½N"/>
    <x v="130"/>
    <n v="61"/>
    <x v="1"/>
    <x v="1"/>
    <s v="Incompleta"/>
    <s v="Posgrado"/>
    <s v="FACULTAD DE EDUCACIÓN"/>
    <s v="https://ProfPlanta2024.sawtoothsoftware.com/cgi-bin/ciwweb.pl?studyname=ProfPlanta2024&amp;Correo=ciro.parra@unisabana.edu.co02"/>
  </r>
  <r>
    <s v="claudia.acero@unisabana.edu.co"/>
    <s v="claudia.acero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claudia.acero@unisabana.edu.co1"/>
  </r>
  <r>
    <s v="claudia.garzon@unisabana.edu.co"/>
    <s v="claudia.garzon@unisabana.edu.co01"/>
    <s v="DOCTORADO EN BIOCIENCIAS"/>
    <x v="131"/>
    <n v="70"/>
    <x v="1"/>
    <x v="1"/>
    <s v="Incompleta"/>
    <s v="Posgrado"/>
    <s v="FACULTAD DE INGENIERÍA"/>
    <s v="https://ProfPlanta2024.sawtoothsoftware.com/cgi-bin/ciwweb.pl?studyname=ProfPlanta2024&amp;Correo=claudia.garzon@unisabana.edu.co01"/>
  </r>
  <r>
    <s v="claudia.garzon@unisabana.edu.co"/>
    <s v="claudia.garzon@unisabana.edu.co02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claudia.garzon@unisabana.edu.co02"/>
  </r>
  <r>
    <s v="claudia.garzon@unisabana.edu.co"/>
    <s v="claudia.garzon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claudia.garzon@unisabana.edu.co1"/>
  </r>
  <r>
    <s v="claudia.jaimes2@unisabana.edu.co"/>
    <s v="claudia.jaimes2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claudia.jaimes2@unisabana.edu.co1"/>
  </r>
  <r>
    <s v="claudia.mora@unisabana.edu.co"/>
    <s v="claudia.mora@unisabana.edu.co01"/>
    <s v="ESPECIALIZACIï¿½N EN MEDICINA INTERNA"/>
    <x v="135"/>
    <n v="10"/>
    <x v="1"/>
    <x v="0"/>
    <s v="Completa"/>
    <s v="Posgrado"/>
    <s v="FACULTAD DE MEDICINA"/>
    <s v="https://ProfPlanta2024.sawtoothsoftware.com/cgi-bin/ciwweb.pl?studyname=ProfPlanta2024&amp;Correo=claudia.mora@unisabana.edu.co01"/>
  </r>
  <r>
    <s v="claudia.mora@unisabana.edu.co"/>
    <s v="claudia.mor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claudia.mora@unisabana.edu.co1"/>
  </r>
  <r>
    <s v="clelia.pineda@unisabana.edu.co"/>
    <s v="clelia.pineda@unisabana.edu.co01"/>
    <s v="DOCTORADO EN EDUCACIï¿½N"/>
    <x v="138"/>
    <n v="58"/>
    <x v="1"/>
    <x v="0"/>
    <s v="Completa"/>
    <s v="Posgrado"/>
    <s v="FACULTAD DE EDUCACIÓN"/>
    <s v="https://ProfPlanta2024.sawtoothsoftware.com/cgi-bin/ciwweb.pl?studyname=ProfPlanta2024&amp;Correo=clelia.pineda@unisabana.edu.co01"/>
  </r>
  <r>
    <s v="cristhian.matusan@unisabana.edu.co"/>
    <s v="cristhian.matusan@unisabana.edu.co01"/>
    <s v="ESPECIALIZACIï¿½N EN RESPONSABILIDAD CIVIL Y DEL ESTADO - CHï¿½A"/>
    <x v="5"/>
    <n v="101"/>
    <x v="1"/>
    <x v="1"/>
    <s v="Incompleta"/>
    <s v="Posgrado"/>
    <s v="FACULTAD DE DERECHO Y CIENCIAS POLÍTICAS"/>
    <s v="https://ProfPlanta2024.sawtoothsoftware.com/cgi-bin/ciwweb.pl?studyname=ProfPlanta2024&amp;Correo=cristhian.matusan@unisabana.edu.co01"/>
  </r>
  <r>
    <s v="cristhian.matusan@unisabana.edu.co"/>
    <s v="cristhian.matusan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cristhian.matusan@unisabana.edu.co1"/>
  </r>
  <r>
    <s v="cristian.conen@unisabana.edu.co"/>
    <s v="cristian.conen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cristian.conen@unisabana.edu.co1"/>
  </r>
  <r>
    <s v="cristian.penagos@unisabana.edu.co"/>
    <s v="cristian.penagos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cristian.penagos@unisabana.edu.co1"/>
  </r>
  <r>
    <s v="cristian.rojas@unisabana.edu.co"/>
    <s v="cristian.rojas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cristian.rojas@unisabana.edu.co1"/>
  </r>
  <r>
    <s v="cristina.bohorquez1@unisabana.edu.co"/>
    <s v="cristina.bohorquez1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cristina.bohorquez1@unisabana.edu.co01"/>
  </r>
  <r>
    <s v="cristina.bohorquez1@unisabana.edu.co"/>
    <s v="cristina.bohorquez1@unisabana.edu.co02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cristina.bohorquez1@unisabana.edu.co02"/>
  </r>
  <r>
    <s v="cristina.bohorquez1@unisabana.edu.co"/>
    <s v="cristina.bohorquez1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cristina.bohorquez1@unisabana.edu.co1"/>
  </r>
  <r>
    <s v="cristinarp@unisabana.edu.co"/>
    <s v="CristinaRP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CristinaRP@unisabana.edu.co1"/>
  </r>
  <r>
    <s v="daniel.botero@unisabana.edu.co"/>
    <s v="daniel.botero@unisabana.edu.co01"/>
    <s v="DOCTORADO EN BIOCIENCIAS"/>
    <x v="131"/>
    <n v="70"/>
    <x v="1"/>
    <x v="1"/>
    <s v="Incompleta"/>
    <s v="Posgrado"/>
    <s v="FACULTAD DE INGENIERÍA"/>
    <s v="https://ProfPlanta2024.sawtoothsoftware.com/cgi-bin/ciwweb.pl?studyname=ProfPlanta2024&amp;Correo=daniel.botero@unisabana.edu.co01"/>
  </r>
  <r>
    <s v="daniel.botero@unisabana.edu.co"/>
    <s v="daniel.boter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daniel.botero@unisabana.edu.co1"/>
  </r>
  <r>
    <s v="daniel.gomez4@unisabana.edu.co"/>
    <s v="daniel.gomez4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daniel.gomez4@unisabana.edu.co1"/>
  </r>
  <r>
    <s v="daniel.morales@unisabana.edu.co"/>
    <s v="daniel.morales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daniel.morales@unisabana.edu.co1"/>
  </r>
  <r>
    <s v="daniel.rodriguez1@unisabana.edu.co"/>
    <s v="daniel.rodriguez1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daniel.rodriguez1@unisabana.edu.co01"/>
  </r>
  <r>
    <s v="daniel.rodriguez1@unisabana.edu.co"/>
    <s v="daniel.rodriguez1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daniel.rodriguez1@unisabana.edu.co1"/>
  </r>
  <r>
    <s v="daniela.henao1@unisabana.edu.co"/>
    <s v="daniela.henao1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daniela.henao1@unisabana.edu.co1"/>
  </r>
  <r>
    <s v="danny.illera@unisabana.edu.co"/>
    <s v="danny.illera@unisabana.edu.co01"/>
    <s v="DOCTORADO EN INGENIERï¿½A"/>
    <x v="140"/>
    <n v="72"/>
    <x v="1"/>
    <x v="0"/>
    <s v="Completa"/>
    <s v="Posgrado"/>
    <s v="FACULTAD DE INGENIERÍA"/>
    <s v="https://ProfPlanta2024.sawtoothsoftware.com/cgi-bin/ciwweb.pl?studyname=ProfPlanta2024&amp;Correo=danny.illera@unisabana.edu.co01"/>
  </r>
  <r>
    <s v="danny.illera@unisabana.edu.co"/>
    <s v="danny.illera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danny.illera@unisabana.edu.co1"/>
  </r>
  <r>
    <s v="david.celeita@unisabana.edu.co"/>
    <s v="david.celeita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david.celeita@unisabana.edu.co1"/>
  </r>
  <r>
    <s v="diana.bedoya1@unisabana.edu.co"/>
    <s v="diana.bedoya1@unisabana.edu.co01"/>
    <s v="ESPECIALIZACION EN PSICOLOGIA CLINICA DE LA NIï¿½EZ Y LA ADOLESCENCIA"/>
    <x v="72"/>
    <n v="107"/>
    <x v="1"/>
    <x v="0"/>
    <s v="Completa"/>
    <s v="Posgrado"/>
    <s v="FACULTAD DE PSICOLOGÍA"/>
    <s v="https://ProfPlanta2024.sawtoothsoftware.com/cgi-bin/ciwweb.pl?studyname=ProfPlanta2024&amp;Correo=diana.bedoya1@unisabana.edu.co01"/>
  </r>
  <r>
    <s v="diana.duran2@unisabana.edu.co"/>
    <s v="diana.duran2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diana.duran2@unisabana.edu.co1"/>
  </r>
  <r>
    <s v="diana.gallego@unisabana.edu.co"/>
    <s v="diana.gallego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diana.gallego@unisabana.edu.co01"/>
  </r>
  <r>
    <s v="diana.gallego@unisabana.edu.co"/>
    <s v="diana.galleg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diana.gallego@unisabana.edu.co1"/>
  </r>
  <r>
    <s v="diana.gomez21@unisabana.edu.co"/>
    <s v="diana.gomez21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diana.gomez21@unisabana.edu.co1"/>
  </r>
  <r>
    <s v="diana.munoz5@unisabana.edu.co"/>
    <s v="diana.munoz5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diana.munoz5@unisabana.edu.co01"/>
  </r>
  <r>
    <s v="diana.obando@unisabana.edu.co"/>
    <s v="diana.obando@unisabana.edu.co01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diana.obando@unisabana.edu.co01"/>
  </r>
  <r>
    <s v="diana.obando1@unisabana.edu.co"/>
    <s v="diana.obando1@unisabana.edu.co07"/>
    <s v="Doctorado en PsicologÃ­a"/>
    <x v="119"/>
    <n v="201"/>
    <x v="1"/>
    <x v="0"/>
    <s v="Completa"/>
    <s v="Posgrado"/>
    <s v="FACULTAD DE PSICOLOGÍA"/>
    <s v="https://ProfPlanta2024.sawtoothsoftware.com/cgi-bin/ciwweb.pl?studyname=ProfPlanta2024&amp;Correo=diana.obando1@unisabana.edu.co07"/>
  </r>
  <r>
    <s v="dianaar@unisabana.edu.co"/>
    <s v="dianaar@unisabana.edu.co01"/>
    <s v="MAESTRï¿½A EN FISIOTERAPIA"/>
    <x v="121"/>
    <n v="206"/>
    <x v="1"/>
    <x v="0"/>
    <s v="Completa"/>
    <s v="Posgrado"/>
    <s v="FACULTAD DE ENFERMERÍA Y REHABILITACIÓN"/>
    <s v="https://ProfPlanta2024.sawtoothsoftware.com/cgi-bin/ciwweb.pl?studyname=ProfPlanta2024&amp;Correo=dianaar@unisabana.edu.co01"/>
  </r>
  <r>
    <s v="dianaar@unisabana.edu.co"/>
    <s v="dianaar@unisabana.edu.co02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dianaar@unisabana.edu.co02"/>
  </r>
  <r>
    <s v="dianaar@unisabana.edu.co"/>
    <s v="dianaar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dianaar@unisabana.edu.co1"/>
  </r>
  <r>
    <s v="diego.aldana@unisabana.edu.co"/>
    <s v="diego.aldan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diego.aldana@unisabana.edu.co1"/>
  </r>
  <r>
    <s v="diego.becerra2@unisabana.edu.co"/>
    <s v="diego.becerra2@unisabana.edu.co01"/>
    <s v="DOCTORADO EN INNOVACIï¿½N EDUCATIVA CON USO DE TIC"/>
    <x v="128"/>
    <n v="59"/>
    <x v="1"/>
    <x v="0"/>
    <s v="Completa"/>
    <s v="Posgrado"/>
    <s v="FACULTAD DE EDUCACIÓN"/>
    <s v="https://ProfPlanta2024.sawtoothsoftware.com/cgi-bin/ciwweb.pl?studyname=ProfPlanta2024&amp;Correo=diego.becerra2@unisabana.edu.co01"/>
  </r>
  <r>
    <s v="diego.becerra2@unisabana.edu.co"/>
    <s v="diego.becerra2@unisabana.edu.co02"/>
    <s v="MAESTRï¿½A EN INNOVACIï¿½N EDUCATIVA MEDIADA POR TIC"/>
    <x v="124"/>
    <n v="84"/>
    <x v="1"/>
    <x v="0"/>
    <s v="Completa"/>
    <s v="Posgrado"/>
    <s v="FACULTAD DE EDUCACIÓN"/>
    <s v="https://ProfPlanta2024.sawtoothsoftware.com/cgi-bin/ciwweb.pl?studyname=ProfPlanta2024&amp;Correo=diego.becerra2@unisabana.edu.co02"/>
  </r>
  <r>
    <s v="diego.becerra2@unisabana.edu.co"/>
    <s v="diego.becerra2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diego.becerra2@unisabana.edu.co1"/>
  </r>
  <r>
    <s v="diego.carvajal1@unisabana.edu.co"/>
    <s v="diego.carvajal1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diego.carvajal1@unisabana.edu.co1"/>
  </r>
  <r>
    <s v="diego.duarte1@unisabana.edu.co"/>
    <s v="diego.duarte1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diego.duarte1@unisabana.edu.co1"/>
  </r>
  <r>
    <s v="diego.josa1@unisabana.edu.co"/>
    <s v="diego.josa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diego.josa1@unisabana.edu.co1"/>
  </r>
  <r>
    <s v="diego.rodriguez3@unisabana.edu.co"/>
    <s v="diego.rodriguez3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diego.rodriguez3@unisabana.edu.co1"/>
  </r>
  <r>
    <s v="diego.rodriguez3@unisabana.edu.co"/>
    <s v="diego.rodriguez3@unisabana.edu.co2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diego.rodriguez3@unisabana.edu.co2"/>
  </r>
  <r>
    <s v="diego.sandoval@unisabana.edu.co"/>
    <s v="diego.sandoval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diego.sandoval@unisabana.edu.co1"/>
  </r>
  <r>
    <s v="diego.sierra1@clinicaunisabana.edu.co"/>
    <s v="diego.sierra1@clinicaunisabana.edu.co01"/>
    <s v="ESPECIALIZACIï¿½N EN CIRUGï¿½A GENERAL"/>
    <x v="80"/>
    <n v="2"/>
    <x v="1"/>
    <x v="0"/>
    <s v="Completa"/>
    <s v="Posgrado"/>
    <s v="FACULTAD DE MEDICINA"/>
    <s v="https://ProfPlanta2024.sawtoothsoftware.com/cgi-bin/ciwweb.pl?studyname=ProfPlanta2024&amp;Correo=diego.sierra1@clinicaunisabana.edu.co01"/>
  </r>
  <r>
    <s v="diego.sierra1@clinicaunisabana.edu.co"/>
    <s v="diego.sierra1@clinicaunisabana.edu.co1"/>
    <s v="MEDICINA"/>
    <x v="4"/>
    <n v="42"/>
    <x v="1"/>
    <x v="1"/>
    <s v="Incompleta"/>
    <s v="Pregrado"/>
    <s v="FACULTAD DE MEDICINA"/>
    <s v="https://ProfPlanta2024.sawtoothsoftware.com/cgi-bin/ciwweb.pl?studyname=ProfPlanta2024&amp;Correo=diego.sierra1@clinicaunisabana.edu.co1"/>
  </r>
  <r>
    <s v="edgar.lizcano@unisabana.edu.co"/>
    <s v="edgar.lizcano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edgar.lizcano@unisabana.edu.co1"/>
  </r>
  <r>
    <s v="edgar.mayorga@unisabana.edu.co"/>
    <s v="edgar.mayorg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edgar.mayorga@unisabana.edu.co01"/>
  </r>
  <r>
    <s v="edgar.mayorga@unisabana.edu.co"/>
    <s v="edgar.mayorga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edgar.mayorga@unisabana.edu.co1"/>
  </r>
  <r>
    <s v="edgar.riveros@unisabana.edu.co"/>
    <s v="edgar.riveros@unisabana.edu.co07"/>
    <s v="MAESTRÃA EN PSICOLOGÃA CLINICA DE LA NIÃ‘EZ Y LA ADOLESCENCIA"/>
    <x v="120"/>
    <n v="205"/>
    <x v="1"/>
    <x v="0"/>
    <s v="Completa"/>
    <s v="Posgrado"/>
    <s v="FACULTAD DE PSICOLOGÍA"/>
    <s v="https://ProfPlanta2024.sawtoothsoftware.com/cgi-bin/ciwweb.pl?studyname=ProfPlanta2024&amp;Correo=edgar.riveros@unisabana.edu.co07"/>
  </r>
  <r>
    <s v="edgar.riveros@unisabana.edu.co"/>
    <s v="edgar.riveros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edgar.riveros@unisabana.edu.co1"/>
  </r>
  <r>
    <s v="edilberto.garcia1@unisabana.edu.co"/>
    <s v="edilberto.garcia1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edilberto.garcia1@unisabana.edu.co1"/>
  </r>
  <r>
    <s v="edward.acero@unisabana.edu.co"/>
    <s v="edward.acer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edward.acero@unisabana.edu.co1"/>
  </r>
  <r>
    <s v="edward.goyeneche@unisabana.edu.co"/>
    <s v="edward.goyeneche@unisabana.edu.co01"/>
    <s v="DOCTORADO EN COMUNICACIï¿½N"/>
    <x v="139"/>
    <n v="50"/>
    <x v="1"/>
    <x v="0"/>
    <s v="Completa"/>
    <s v="Posgrado"/>
    <s v="FACULTAD DE COMUNICACIÓN"/>
    <s v="https://ProfPlanta2024.sawtoothsoftware.com/cgi-bin/ciwweb.pl?studyname=ProfPlanta2024&amp;Correo=edward.goyeneche@unisabana.edu.co01"/>
  </r>
  <r>
    <s v="edward.goyeneche@unisabana.edu.co"/>
    <s v="edward.goyeneche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edward.goyeneche@unisabana.edu.co1"/>
  </r>
  <r>
    <s v="edwinchp@unisabana.edu.co"/>
    <s v="edwinchp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edwinchp@unisabana.edu.co1"/>
  </r>
  <r>
    <s v="elga.vargas@unisabana.edu.co"/>
    <s v="elga.varga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elga.vargas@unisabana.edu.co1"/>
  </r>
  <r>
    <s v="erick.vilaro@unisabana.edu.co"/>
    <s v="erick.vilaro@unisabana.edu.co1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erick.vilaro@unisabana.edu.co1"/>
  </r>
  <r>
    <s v="erika.duque@unisabana.edu.co"/>
    <s v="erika.duque@unisabana.edu.co1"/>
    <s v="CENTRO DE TECNOLOGï¿½AS PARA LA ACADEMIA"/>
    <x v="87"/>
    <n v="212"/>
    <x v="1"/>
    <x v="0"/>
    <s v="Completa"/>
    <s v="Pregrado"/>
    <s v="CENTRO DE TECNOLOGÍAS PARA LA ACADEMIA"/>
    <s v="https://ProfPlanta2024.sawtoothsoftware.com/cgi-bin/ciwweb.pl?studyname=ProfPlanta2024&amp;Correo=erika.duque@unisabana.edu.co1"/>
  </r>
  <r>
    <s v="erlyn.solano@unisabana.edu.co"/>
    <s v="erlyn.solano@unisabana.edu.co1"/>
    <s v="GESTIï¿½N DE OPERACIONES"/>
    <x v="96"/>
    <n v="154"/>
    <x v="1"/>
    <x v="0"/>
    <s v="Completa"/>
    <s v="Pregrado"/>
    <s v="ESCUELA INTERNACIONAL DE CIENCIAS ECONÓMICAS Y ADMINISTRATIVAS"/>
    <s v="https://ProfPlanta2024.sawtoothsoftware.com/cgi-bin/ciwweb.pl?studyname=ProfPlanta2024&amp;Correo=erlyn.solano@unisabana.edu.co1"/>
  </r>
  <r>
    <s v="erwin.hernandez1@unisabana.edu.co"/>
    <s v="erwin.hernandez1@unisabana.edu.co01"/>
    <s v="MAESTRï¿½A EN SALUD Pï¿½BLICA"/>
    <x v="70"/>
    <n v="79"/>
    <x v="1"/>
    <x v="0"/>
    <s v="Completa"/>
    <s v="Posgrado"/>
    <s v="FACULTAD DE MEDICINA"/>
    <s v="https://ProfPlanta2024.sawtoothsoftware.com/cgi-bin/ciwweb.pl?studyname=ProfPlanta2024&amp;Correo=erwin.hernandez1@unisabana.edu.co01"/>
  </r>
  <r>
    <s v="erwin.hernandez1@unisabana.edu.co"/>
    <s v="erwin.hernandez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erwin.hernandez1@unisabana.edu.co1"/>
  </r>
  <r>
    <s v="esteban.lopez1@unisabana.edu.co"/>
    <s v="esteban.lopez1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esteban.lopez1@unisabana.edu.co01"/>
  </r>
  <r>
    <s v="esteban.lopez1@unisabana.edu.co"/>
    <s v="esteban.lopez1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esteban.lopez1@unisabana.edu.co1"/>
  </r>
  <r>
    <s v="estefania.losada@unisabana.edu.co"/>
    <s v="estefania.losada@unisabana.edu.co1"/>
    <s v="FILOSOFï¿½A"/>
    <x v="60"/>
    <n v="35"/>
    <x v="1"/>
    <x v="0"/>
    <s v="Completa"/>
    <s v="Pregrado"/>
    <s v="FACULTAD DE FILOSOFÍA Y CIENCIAS HUMANAS"/>
    <s v="https://ProfPlanta2024.sawtoothsoftware.com/cgi-bin/ciwweb.pl?studyname=ProfPlanta2024&amp;Correo=estefania.losada@unisabana.edu.co1"/>
  </r>
  <r>
    <s v="fabio.victorino1@unisabana.edu.co"/>
    <s v="fabio.victorino1@unisabana.edu.co01"/>
    <s v="ESPECIALIZACIï¿½N EN FINANZAS CORPORATIVAS - CHï¿½A"/>
    <x v="74"/>
    <n v="117"/>
    <x v="1"/>
    <x v="0"/>
    <s v="Completa"/>
    <s v="Posgrado"/>
    <s v="INSTITUTO FORUM"/>
    <s v="https://ProfPlanta2024.sawtoothsoftware.com/cgi-bin/ciwweb.pl?studyname=ProfPlanta2024&amp;Correo=fabio.victorino1@unisabana.edu.co01"/>
  </r>
  <r>
    <s v="fabio.victorino1@unisabana.edu.co"/>
    <s v="fabio.victorino1@unisabana.edu.co02"/>
    <s v="ESPECIALIZACIï¿½N EN GERENCIA FINANCIERA INTERNACIONAL - CHIA"/>
    <x v="75"/>
    <n v="110"/>
    <x v="1"/>
    <x v="0"/>
    <s v="Completa"/>
    <s v="Posgrado"/>
    <s v="INSTITUTO FORUM"/>
    <s v="https://ProfPlanta2024.sawtoothsoftware.com/cgi-bin/ciwweb.pl?studyname=ProfPlanta2024&amp;Correo=fabio.victorino1@unisabana.edu.co02"/>
  </r>
  <r>
    <s v="fanny.almenarez@unisabana.edu.co"/>
    <s v="fanny.almenarez@unisabana.edu.co1"/>
    <s v="CENTRO DE TECNOLOGï¿½AS PARA LA ACADEMIA"/>
    <x v="87"/>
    <n v="212"/>
    <x v="1"/>
    <x v="1"/>
    <s v="Incompleta"/>
    <s v="Pregrado"/>
    <s v="CENTRO DE TECNOLOGÍAS PARA LA ACADEMIA"/>
    <s v="https://ProfPlanta2024.sawtoothsoftware.com/cgi-bin/ciwweb.pl?studyname=ProfPlanta2024&amp;Correo=fanny.almenarez@unisabana.edu.co1"/>
  </r>
  <r>
    <s v="felipe.cardenas@unisabana.edu.co"/>
    <s v="felipe.cardenas@unisabana.edu.co01"/>
    <s v="DOCTORADO EN EDUCACIï¿½N"/>
    <x v="138"/>
    <n v="58"/>
    <x v="1"/>
    <x v="0"/>
    <s v="Completa"/>
    <s v="Posgrado"/>
    <s v="FACULTAD DE EDUCACIÓN"/>
    <s v="https://ProfPlanta2024.sawtoothsoftware.com/cgi-bin/ciwweb.pl?studyname=ProfPlanta2024&amp;Correo=felipe.cardenas@unisabana.edu.co01"/>
  </r>
  <r>
    <s v="felipe.cardenas@unisabana.edu.co"/>
    <s v="felipe.cardenas@unisabana.edu.co02"/>
    <s v="MAESTRï¿½A EN EDUCACIï¿½N"/>
    <x v="130"/>
    <n v="61"/>
    <x v="1"/>
    <x v="1"/>
    <s v="Incompleta"/>
    <s v="Posgrado"/>
    <s v="FACULTAD DE EDUCACIÓN"/>
    <s v="https://ProfPlanta2024.sawtoothsoftware.com/cgi-bin/ciwweb.pl?studyname=ProfPlanta2024&amp;Correo=felipe.cardenas@unisabana.edu.co02"/>
  </r>
  <r>
    <s v="felipe.cardenas@unisabana.edu.co"/>
    <s v="felipe.cardenas@unisabana.edu.co03"/>
    <s v="MAESTRï¿½A EN INNOVACIï¿½N EDUCATIVA MEDIADA POR TIC"/>
    <x v="124"/>
    <n v="84"/>
    <x v="1"/>
    <x v="1"/>
    <s v="Incompleta"/>
    <s v="Posgrado"/>
    <s v="FACULTAD DE EDUCACIÓN"/>
    <s v="https://ProfPlanta2024.sawtoothsoftware.com/cgi-bin/ciwweb.pl?studyname=ProfPlanta2024&amp;Correo=felipe.cardenas@unisabana.edu.co03"/>
  </r>
  <r>
    <s v="felipe.cardenas@unisabana.edu.co"/>
    <s v="felipe.cardenas@unisabana.edu.co04"/>
    <s v="MAESTRï¿½A EN PEDAGOGï¿½A"/>
    <x v="30"/>
    <n v="65"/>
    <x v="1"/>
    <x v="1"/>
    <s v="Incompleta"/>
    <s v="Posgrado"/>
    <s v="FACULTAD DE EDUCACIÓN"/>
    <s v="https://ProfPlanta2024.sawtoothsoftware.com/cgi-bin/ciwweb.pl?studyname=ProfPlanta2024&amp;Correo=felipe.cardenas@unisabana.edu.co04"/>
  </r>
  <r>
    <s v="felipe.cardenas@unisabana.edu.co"/>
    <s v="felipe.cardenas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felipe.cardenas@unisabana.edu.co1"/>
  </r>
  <r>
    <s v="felipe.castilla1@unisabana.edu.co"/>
    <s v="felipe.castilla1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felipe.castilla1@unisabana.edu.co1"/>
  </r>
  <r>
    <s v="felix.mohr@unisabana.edu.co"/>
    <s v="felix.mohr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felix.mohr@unisabana.edu.co01"/>
  </r>
  <r>
    <s v="felix.mohr@unisabana.edu.co"/>
    <s v="felix.mohr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felix.mohr@unisabana.edu.co1"/>
  </r>
  <r>
    <s v="fernando.cvitanic@unisabana.edu.co"/>
    <s v="fernando.cvitanic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fernando.cvitanic@unisabana.edu.co1"/>
  </r>
  <r>
    <s v="fernando.cvitanic@unisabana.edu.co"/>
    <s v="fernando.cvitanic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fernando.cvitanic@unisabana.edu.co2"/>
  </r>
  <r>
    <s v="fernando.cvitanic@unisabana.edu.co"/>
    <s v="fernando.cvitanic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fernando.cvitanic@unisabana.edu.co3"/>
  </r>
  <r>
    <s v="fernando.lizcano@unisabana.edu.co"/>
    <s v="fernando.lizcano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fernando.lizcano@unisabana.edu.co01"/>
  </r>
  <r>
    <s v="fernando.lizcano@unisabana.edu.co"/>
    <s v="fernando.lizcan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fernando.lizcano@unisabana.edu.co1"/>
  </r>
  <r>
    <s v="fernando.rios@unisabana.edu.co"/>
    <s v="fernando.rios@unisabana.edu.co01"/>
    <s v="ESPECIALIZACIï¿½N EN ANESTESIOLOGï¿½A Y MEDICINA PERIOPERATORIA"/>
    <x v="142"/>
    <n v="1"/>
    <x v="1"/>
    <x v="0"/>
    <s v="Completa"/>
    <s v="Posgrado"/>
    <s v="FACULTAD DE MEDICINA"/>
    <s v="https://ProfPlanta2024.sawtoothsoftware.com/cgi-bin/ciwweb.pl?studyname=ProfPlanta2024&amp;Correo=fernando.rios@unisabana.edu.co01"/>
  </r>
  <r>
    <s v="fernando.rios@unisabana.edu.co"/>
    <s v="fernando.rio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fernando.rios@unisabana.edu.co1"/>
  </r>
  <r>
    <s v="flor.baracaldo@unisabana.edu.co"/>
    <s v="flor.baracaldo@unisabana.edu.co02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flor.baracaldo@unisabana.edu.co02"/>
  </r>
  <r>
    <s v="flor.baracaldo@unisabana.edu.co"/>
    <s v="flor.baracaldo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flor.baracaldo@unisabana.edu.co1"/>
  </r>
  <r>
    <s v="francisco.lamus@unisabana.edu.co"/>
    <s v="francisco.lamus@unisabana.edu.co01"/>
    <s v="MAESTRï¿½A EN SALUD Pï¿½BLICA"/>
    <x v="70"/>
    <n v="79"/>
    <x v="1"/>
    <x v="1"/>
    <s v="Incompleta"/>
    <s v="Posgrado"/>
    <s v="FACULTAD DE MEDICINA"/>
    <s v="https://ProfPlanta2024.sawtoothsoftware.com/cgi-bin/ciwweb.pl?studyname=ProfPlanta2024&amp;Correo=francisco.lamus@unisabana.edu.co01"/>
  </r>
  <r>
    <s v="gabriel.soche@unisabana.edu.co"/>
    <s v="gabriel.soche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gabriel.soche@unisabana.edu.co01"/>
  </r>
  <r>
    <s v="gabriel.soche@unisabana.edu.co"/>
    <s v="gabriel.soche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gabriel.soche@unisabana.edu.co1"/>
  </r>
  <r>
    <s v="gabriela.caez@unisabana.edu.co"/>
    <s v="gabriela.caez@unisabana.edu.co01"/>
    <s v="DOCTORADO EN BIOCIENCIAS"/>
    <x v="131"/>
    <n v="70"/>
    <x v="1"/>
    <x v="1"/>
    <s v="Incompleta"/>
    <s v="Posgrado"/>
    <s v="FACULTAD DE INGENIERÍA"/>
    <s v="https://ProfPlanta2024.sawtoothsoftware.com/cgi-bin/ciwweb.pl?studyname=ProfPlanta2024&amp;Correo=gabriela.caez@unisabana.edu.co01"/>
  </r>
  <r>
    <s v="gabriela.caez@unisabana.edu.co"/>
    <s v="gabriela.caez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gabriela.caez@unisabana.edu.co1"/>
  </r>
  <r>
    <s v="gabriela.caez@unisabana.edu.co"/>
    <s v="gabriela.caez@unisabana.edu.co2"/>
    <s v="INGENIERï¿½A QUï¿½MICA"/>
    <x v="16"/>
    <n v="41"/>
    <x v="1"/>
    <x v="1"/>
    <s v="Incompleta"/>
    <s v="Pregrado"/>
    <s v="FACULTAD DE INGENIERÍA"/>
    <s v="https://ProfPlanta2024.sawtoothsoftware.com/cgi-bin/ciwweb.pl?studyname=ProfPlanta2024&amp;Correo=gabriela.caez@unisabana.edu.co2"/>
  </r>
  <r>
    <s v="gilberto.gamboa@unisabana.edu.co"/>
    <s v="gilberto.gamboa@unisabana.edu.co01"/>
    <s v="MAESTRï¿½A EN BIOï¿½TICA"/>
    <x v="143"/>
    <n v="76"/>
    <x v="1"/>
    <x v="0"/>
    <s v="Completa"/>
    <s v="Posgrado"/>
    <s v="FACULTAD DE MEDICINA"/>
    <s v="https://ProfPlanta2024.sawtoothsoftware.com/cgi-bin/ciwweb.pl?studyname=ProfPlanta2024&amp;Correo=gilberto.gamboa@unisabana.edu.co01"/>
  </r>
  <r>
    <s v="gilberto.gamboa@unisabana.edu.co"/>
    <s v="gilberto.gambo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gilberto.gamboa@unisabana.edu.co1"/>
  </r>
  <r>
    <s v="gina.velasco@unisabana.edu.co"/>
    <s v="gina.velasc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gina.velasco@unisabana.edu.co1"/>
  </r>
  <r>
    <s v="ginnagl@unisabana.edu.co"/>
    <s v="Ginnagl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Ginnagl@unisabana.edu.co01"/>
  </r>
  <r>
    <s v="ginnagl@unisabana.edu.co"/>
    <s v="Ginnagl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Ginnagl@unisabana.edu.co1"/>
  </r>
  <r>
    <s v="giovana.rojas@unisabana.edu.co"/>
    <s v="giovana.rojas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giovana.rojas@unisabana.edu.co1"/>
  </r>
  <r>
    <s v="giovanni.hernandez@unisabana.edu.co"/>
    <s v="giovanni.hernandez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1"/>
  </r>
  <r>
    <s v="giovanni.hernandez@unisabana.edu.co"/>
    <s v="giovanni.hernandez@unisabana.edu.co02"/>
    <s v="MAESTRï¿½A EN GERENCIA DE INVERSIï¿½N"/>
    <x v="26"/>
    <n v="45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2"/>
  </r>
  <r>
    <s v="giovanni.hernandez@unisabana.edu.co"/>
    <s v="giovanni.hernandez@unisabana.edu.co03"/>
    <s v="MAESTRï¿½A EN GERENCIA DE INVERSIï¿½N - VIRTUAL"/>
    <x v="27"/>
    <n v="207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3"/>
  </r>
  <r>
    <s v="giovanni.hernandez@unisabana.edu.co"/>
    <s v="giovanni.hernandez@unisabana.edu.co04"/>
    <s v="MAESTRï¿½A EN GERENCIA INTERNACIONAL"/>
    <x v="37"/>
    <n v="48"/>
    <x v="1"/>
    <x v="0"/>
    <s v="Completa"/>
    <s v="Posgrado"/>
    <s v="ESCUELA INTERNACIONAL DE CIENCIAS ECONÓMICAS Y ADMINISTRATIVAS"/>
    <s v="https://ProfPlanta2024.sawtoothsoftware.com/cgi-bin/ciwweb.pl?studyname=ProfPlanta2024&amp;Correo=giovanni.hernandez@unisabana.edu.co04"/>
  </r>
  <r>
    <s v="gloria.carvajal@unisabana.edu.co"/>
    <s v="gloria.carvajal@unisabana.edu.co01"/>
    <s v="DOCTORADO EN ENFERMERï¿½A"/>
    <x v="133"/>
    <n v="66"/>
    <x v="1"/>
    <x v="0"/>
    <s v="Completa"/>
    <s v="Posgrado"/>
    <s v="FACULTAD DE ENFERMERÍA Y REHABILITACIÓN"/>
    <s v="https://ProfPlanta2024.sawtoothsoftware.com/cgi-bin/ciwweb.pl?studyname=ProfPlanta2024&amp;Correo=gloria.carvajal@unisabana.edu.co01"/>
  </r>
  <r>
    <s v="gloria.carvajal@unisabana.edu.co"/>
    <s v="gloria.carvajal@unisabana.edu.co02"/>
    <s v="MAESTRï¿½A EN ENFERMERï¿½A"/>
    <x v="12"/>
    <n v="67"/>
    <x v="1"/>
    <x v="1"/>
    <s v="Incompleta"/>
    <s v="Posgrado"/>
    <s v="FACULTAD DE ENFERMERÍA Y REHABILITACIÓN"/>
    <s v="https://ProfPlanta2024.sawtoothsoftware.com/cgi-bin/ciwweb.pl?studyname=ProfPlanta2024&amp;Correo=gloria.carvajal@unisabana.edu.co02"/>
  </r>
  <r>
    <s v="gloria.carvajal@unisabana.edu.co"/>
    <s v="gloria.carvajal@unisabana.edu.co03"/>
    <s v="MAESTRï¿½A EN ENFERMERï¿½A - VIRTUAL"/>
    <x v="13"/>
    <n v="94"/>
    <x v="1"/>
    <x v="1"/>
    <s v="Incompleta"/>
    <s v="Posgrado"/>
    <s v="FACULTAD DE ENFERMERÍA Y REHABILITACIÓN"/>
    <s v="https://ProfPlanta2024.sawtoothsoftware.com/cgi-bin/ciwweb.pl?studyname=ProfPlanta2024&amp;Correo=gloria.carvajal@unisabana.edu.co03"/>
  </r>
  <r>
    <s v="gonzalo.mejia@unisabana.edu.co"/>
    <s v="gonzalo.mejia@unisabana.edu.co01"/>
    <s v="DOCTORADO EN LOGï¿½STICA Y GESTIï¿½N DE CADENAS DE SUMINISTROS"/>
    <x v="144"/>
    <n v="71"/>
    <x v="1"/>
    <x v="0"/>
    <s v="Completa"/>
    <s v="Posgrado"/>
    <s v="FACULTAD DE INGENIERÍA"/>
    <s v="https://ProfPlanta2024.sawtoothsoftware.com/cgi-bin/ciwweb.pl?studyname=ProfPlanta2024&amp;Correo=gonzalo.mejia@unisabana.edu.co01"/>
  </r>
  <r>
    <s v="gonzalo.mejia@unisabana.edu.co"/>
    <s v="gonzalo.mejia@unisabana.edu.co02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gonzalo.mejia@unisabana.edu.co02"/>
  </r>
  <r>
    <s v="gonzalo.mejia@unisabana.edu.co"/>
    <s v="gonzalo.mejia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gonzalo.mejia@unisabana.edu.co1"/>
  </r>
  <r>
    <s v="guido.castro@unisabana.edu.co"/>
    <s v="guido.castro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guido.castro@unisabana.edu.co01"/>
  </r>
  <r>
    <s v="guido.castro@unisabana.edu.co"/>
    <s v="guido.castro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guido.castro@unisabana.edu.co1"/>
  </r>
  <r>
    <s v="gustavo.riveros1@unisabana.edu.co"/>
    <s v="gustavo.riveros1@unisabana.edu.co01"/>
    <s v="ESPECIALIZACIï¿½N EN GERENCIA ESTRATï¿½GICA - MEDELLï¿½N"/>
    <x v="52"/>
    <n v="131"/>
    <x v="1"/>
    <x v="0"/>
    <s v="Completa"/>
    <s v="Posgrado"/>
    <s v="INSTITUTO FORUM"/>
    <s v="https://ProfPlanta2024.sawtoothsoftware.com/cgi-bin/ciwweb.pl?studyname=ProfPlanta2024&amp;Correo=gustavo.riveros1@unisabana.edu.co01"/>
  </r>
  <r>
    <s v="gustavo.riveros1@unisabana.edu.co"/>
    <s v="gustavo.riveros1@unisabana.edu.co02"/>
    <s v="ESPECIALIZACIï¿½N EN GESTIï¿½N PARA EL DESARROLLO HUMANO EN LA ORGANIZACIï¿½N - BUCARAMANGA"/>
    <x v="17"/>
    <n v="136"/>
    <x v="1"/>
    <x v="0"/>
    <s v="Completa"/>
    <s v="Posgrado"/>
    <s v="INSTITUTO FORUM"/>
    <s v="https://ProfPlanta2024.sawtoothsoftware.com/cgi-bin/ciwweb.pl?studyname=ProfPlanta2024&amp;Correo=gustavo.riveros1@unisabana.edu.co02"/>
  </r>
  <r>
    <s v="hanier.fajardo@unisabana.edu.co"/>
    <s v="hanier.fajardo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hanier.fajardo@unisabana.edu.co01"/>
  </r>
  <r>
    <s v="hanier.fajardo@unisabana.edu.co"/>
    <s v="hanier.fajardo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hanier.fajardo@unisabana.edu.co1"/>
  </r>
  <r>
    <s v="henry.leon@clinicaunisabana.edu.co"/>
    <s v="henry.leon@clinica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henry.leon@clinicaunisabana.edu.co1"/>
  </r>
  <r>
    <s v="henry.oliveros@unisabana.edu.co"/>
    <s v="henry.oliveros@unisabana.edu.co01"/>
    <s v="MAESTRï¿½A EN EPIDEMIOLOGï¿½A"/>
    <x v="83"/>
    <n v="77"/>
    <x v="1"/>
    <x v="1"/>
    <s v="Incompleta"/>
    <s v="Posgrado"/>
    <s v="FACULTAD DE MEDICINA"/>
    <s v="https://ProfPlanta2024.sawtoothsoftware.com/cgi-bin/ciwweb.pl?studyname=ProfPlanta2024&amp;Correo=henry.oliveros@unisabana.edu.co01"/>
  </r>
  <r>
    <s v="hilba.guzman1@unisabana.edu.co"/>
    <s v="hilba.guzman1@unisabana.edu.co1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hilba.guzman1@unisabana.edu.co1"/>
  </r>
  <r>
    <s v="ignacio.briceno@unisabana.edu.co"/>
    <s v="ignacio.briceno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ignacio.briceno@unisabana.edu.co01"/>
  </r>
  <r>
    <s v="ignacio.briceno@unisabana.edu.co"/>
    <s v="ignacio.bricen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ignacio.briceno@unisabana.edu.co1"/>
  </r>
  <r>
    <s v="indira.rodriguez@unisabana.edu.co"/>
    <s v="indira.rodriguez@unisabana.edu.co01"/>
    <s v="MAESTRï¿½A EN FISIOTERAPIA"/>
    <x v="121"/>
    <n v="206"/>
    <x v="1"/>
    <x v="1"/>
    <s v="Incompleta"/>
    <s v="Posgrado"/>
    <s v="FACULTAD DE ENFERMERÍA Y REHABILITACIÓN"/>
    <s v="https://ProfPlanta2024.sawtoothsoftware.com/cgi-bin/ciwweb.pl?studyname=ProfPlanta2024&amp;Correo=indira.rodriguez@unisabana.edu.co01"/>
  </r>
  <r>
    <s v="indira.rodriguez@unisabana.edu.co"/>
    <s v="indira.rodriguez@unisabana.edu.co02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indira.rodriguez@unisabana.edu.co02"/>
  </r>
  <r>
    <s v="indira.rodriguez@unisabana.edu.co"/>
    <s v="indira.rodriguez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indira.rodriguez@unisabana.edu.co1"/>
  </r>
  <r>
    <s v="indira.sotelo@unisabana.edu.co"/>
    <s v="indira.sotelo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indira.sotelo@unisabana.edu.co01"/>
  </r>
  <r>
    <s v="ingrid.ruiz@unisabana.edu.co"/>
    <s v="ingrid.ruiz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ingrid.ruiz@unisabana.edu.co1"/>
  </r>
  <r>
    <s v="ivan.cabeza@unisabana.edu.co"/>
    <s v="ivan.cabez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ivan.cabeza@unisabana.edu.co01"/>
  </r>
  <r>
    <s v="ivan.cabeza@unisabana.edu.co"/>
    <s v="ivan.cabeza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ivan.cabeza@unisabana.edu.co2"/>
  </r>
  <r>
    <s v="ivan.serrano@unisabana.edu.co"/>
    <s v="ivan.serrano@unisabana.edu.co01"/>
    <s v="MAESTRï¿½A EN DISEï¿½O Y GESTIï¿½N DE PROCESOS - CHï¿½A"/>
    <x v="97"/>
    <n v="73"/>
    <x v="1"/>
    <x v="1"/>
    <s v="Incompleta"/>
    <s v="Posgrado"/>
    <s v="FACULTAD DE INGENIERÍA"/>
    <s v="https://ProfPlanta2024.sawtoothsoftware.com/cgi-bin/ciwweb.pl?studyname=ProfPlanta2024&amp;Correo=ivan.serrano@unisabana.edu.co01"/>
  </r>
  <r>
    <s v="ivan.serrano@unisabana.edu.co"/>
    <s v="ivan.serrano@unisabana.edu.co1"/>
    <s v="INGENIERï¿½A CIVIL"/>
    <x v="49"/>
    <n v="36"/>
    <x v="1"/>
    <x v="0"/>
    <s v="Completa"/>
    <s v="Pregrado"/>
    <s v="FACULTAD DE INGENIERÍA"/>
    <s v="https://ProfPlanta2024.sawtoothsoftware.com/cgi-bin/ciwweb.pl?studyname=ProfPlanta2024&amp;Correo=ivan.serrano@unisabana.edu.co1"/>
  </r>
  <r>
    <s v="ivanma@unisabana.edu.co"/>
    <s v="IvanMA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IvanMA@unisabana.edu.co01"/>
  </r>
  <r>
    <s v="ivon.guevara@unisabana.edu.co"/>
    <s v="ivon.guevara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ivon.guevara@unisabana.edu.co1"/>
  </r>
  <r>
    <s v="ivonpaca@unisabana.edu.co"/>
    <s v="IVONPAC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IVONPACA@UNISABANA.EDU.CO1"/>
  </r>
  <r>
    <s v="jaime.rodriguez3@unisabana.edu.co"/>
    <s v="Jaime.Rodriguez3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1"/>
  </r>
  <r>
    <s v="jaime.rodriguez3@unisabana.edu.co"/>
    <s v="Jaime.Rodriguez3@unisabana.edu.co02"/>
    <s v="MAESTRï¿½A EN GERENCIA DE LA INNOVACIï¿½N"/>
    <x v="67"/>
    <n v="49"/>
    <x v="1"/>
    <x v="0"/>
    <s v="Completa"/>
    <s v="Posgrado"/>
    <s v="ESCUELA INTERNACIONAL DE CIENCIAS ECONÓMICAS Y ADMINISTRATIVAS"/>
    <s v="https://ProfPlanta2024.sawtoothsoftware.com/cgi-bin/ciwweb.pl?studyname=ProfPlanta2024&amp;Correo=Jaime.Rodriguez3@unisabana.edu.co02"/>
  </r>
  <r>
    <s v="jaime.rodriguez3@unisabana.edu.co"/>
    <s v="Jaime.Rodriguez3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Jaime.Rodriguez3@unisabana.edu.co1"/>
  </r>
  <r>
    <s v="jaimefe@unisabana.edu.co"/>
    <s v="JaimeFe@unisabana.edu.co01"/>
    <s v="ESPECIALIZACIï¿½N EN CUIDADO INTENSIVO PEDIï¿½TRICO"/>
    <x v="84"/>
    <n v="3"/>
    <x v="1"/>
    <x v="0"/>
    <s v="Completa"/>
    <s v="Posgrado"/>
    <s v="FACULTAD DE MEDICINA"/>
    <s v="https://ProfPlanta2024.sawtoothsoftware.com/cgi-bin/ciwweb.pl?studyname=ProfPlanta2024&amp;Correo=JaimeFe@unisabana.edu.co01"/>
  </r>
  <r>
    <s v="jaimefe@unisabana.edu.co"/>
    <s v="JaimeFe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aimeFe@unisabana.edu.co1"/>
  </r>
  <r>
    <s v="jairo.jimenez2@unisabana.edu.co"/>
    <s v="Jairo.Jimenez2@unisabana.edu.co01"/>
    <s v="DOCTORADO EN EDUCACIï¿½N"/>
    <x v="138"/>
    <n v="58"/>
    <x v="1"/>
    <x v="0"/>
    <s v="Completa"/>
    <s v="Posgrado"/>
    <s v="FACULTAD DE EDUCACIÓN"/>
    <s v="https://ProfPlanta2024.sawtoothsoftware.com/cgi-bin/ciwweb.pl?studyname=ProfPlanta2024&amp;Correo=Jairo.Jimenez2@unisabana.edu.co01"/>
  </r>
  <r>
    <s v="jairo.jimenez2@unisabana.edu.co"/>
    <s v="Jairo.Jimenez2@unisabana.edu.co02"/>
    <s v="MAESTRï¿½A EN EDUCACIï¿½N"/>
    <x v="130"/>
    <n v="61"/>
    <x v="1"/>
    <x v="0"/>
    <s v="Completa"/>
    <s v="Posgrado"/>
    <s v="FACULTAD DE EDUCACIÓN"/>
    <s v="https://ProfPlanta2024.sawtoothsoftware.com/cgi-bin/ciwweb.pl?studyname=ProfPlanta2024&amp;Correo=Jairo.Jimenez2@unisabana.edu.co02"/>
  </r>
  <r>
    <s v="jairo.montoya@unisabana.edu.co"/>
    <s v="jairo.montoya@unisabana.edu.co01"/>
    <s v="DOCTORADO EN LOGï¿½STICA Y GESTIï¿½N DE CADENAS DE SUMINISTROS"/>
    <x v="144"/>
    <n v="71"/>
    <x v="1"/>
    <x v="0"/>
    <s v="Completa"/>
    <s v="Posgrado"/>
    <s v="FACULTAD DE INGENIERÍA"/>
    <s v="https://ProfPlanta2024.sawtoothsoftware.com/cgi-bin/ciwweb.pl?studyname=ProfPlanta2024&amp;Correo=jairo.montoya@unisabana.edu.co01"/>
  </r>
  <r>
    <s v="jairo.montoya@unisabana.edu.co"/>
    <s v="jairo.montoya@unisabana.edu.co02"/>
    <s v="MAESTRï¿½A EN GERENCIA DE INGENIERï¿½A - CHï¿½A"/>
    <x v="1"/>
    <n v="74"/>
    <x v="1"/>
    <x v="0"/>
    <s v="Completa"/>
    <s v="Posgrado"/>
    <s v="FACULTAD DE INGENIERÍA"/>
    <s v="https://ProfPlanta2024.sawtoothsoftware.com/cgi-bin/ciwweb.pl?studyname=ProfPlanta2024&amp;Correo=jairo.montoya@unisabana.edu.co02"/>
  </r>
  <r>
    <s v="janeth.lizcano@unisabana.edu.co"/>
    <s v="janeth.lizcano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aneth.lizcano@unisabana.edu.co1"/>
  </r>
  <r>
    <s v="javier.mayorga@unisabana.edu.co"/>
    <s v="javier.mayorga@unisabana.edu.co01"/>
    <s v="MAESTRï¿½A EN COMUNICACIï¿½N ESTRï¿½TEGICA"/>
    <x v="114"/>
    <n v="51"/>
    <x v="1"/>
    <x v="0"/>
    <s v="Completa"/>
    <s v="Posgrado"/>
    <s v="FACULTAD DE COMUNICACIÓN"/>
    <s v="https://ProfPlanta2024.sawtoothsoftware.com/cgi-bin/ciwweb.pl?studyname=ProfPlanta2024&amp;Correo=javier.mayorga@unisabana.edu.co01"/>
  </r>
  <r>
    <s v="javierpc@unisabana.edu.co"/>
    <s v="Javierpc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avierpc@unisabana.edu.co1"/>
  </r>
  <r>
    <s v="javierpc@unisabana.edu.co"/>
    <s v="Javierpc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Javierpc@unisabana.edu.co2"/>
  </r>
  <r>
    <s v="javierpc@unisabana.edu.co"/>
    <s v="Javierpc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Javierpc@unisabana.edu.co3"/>
  </r>
  <r>
    <s v="jenny.rodriguez11@unisabana.edu.co"/>
    <s v="jenny.rodriguez11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enny.rodriguez11@unisabana.edu.co1"/>
  </r>
  <r>
    <s v="jennyfer.camargo@unisabana.edu.co"/>
    <s v="jennyfer.camargo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jennyfer.camargo@unisabana.edu.co1"/>
  </r>
  <r>
    <s v="jeronimo.rivera@unisabana.edu.co"/>
    <s v="jeronimo.rivera@unisabana.edu.co01"/>
    <s v="DOCTORADO EN COMUNICACIï¿½N"/>
    <x v="139"/>
    <n v="50"/>
    <x v="1"/>
    <x v="0"/>
    <s v="Completa"/>
    <s v="Posgrado"/>
    <s v="FACULTAD DE COMUNICACIÓN"/>
    <s v="https://ProfPlanta2024.sawtoothsoftware.com/cgi-bin/ciwweb.pl?studyname=ProfPlanta2024&amp;Correo=jeronimo.rivera@unisabana.edu.co01"/>
  </r>
  <r>
    <s v="jesus.girado@unisabana.edu.co"/>
    <s v="jesus.girado@unisabana.edu.co01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jesus.girado@unisabana.edu.co01"/>
  </r>
  <r>
    <s v="jimmy.mendieta@unisabana.edu.co"/>
    <s v="jimmy.mendieta@unisabana.edu.co01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jimmy.mendieta@unisabana.edu.co01"/>
  </r>
  <r>
    <s v="jimmy.mendieta@unisabana.edu.co"/>
    <s v="jimmy.mendieta@unisabana.edu.co02"/>
    <s v="MAESTRï¿½A EN ENFERMERï¿½A - VIRTUAL"/>
    <x v="13"/>
    <n v="94"/>
    <x v="1"/>
    <x v="0"/>
    <s v="Completa"/>
    <s v="Posgrado"/>
    <s v="FACULTAD DE ENFERMERÍA Y REHABILITACIÓN"/>
    <s v="https://ProfPlanta2024.sawtoothsoftware.com/cgi-bin/ciwweb.pl?studyname=ProfPlanta2024&amp;Correo=jimmy.mendieta@unisabana.edu.co02"/>
  </r>
  <r>
    <s v="jimmy.mendieta@unisabana.edu.co"/>
    <s v="jimmy.mendieta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jimmy.mendieta@unisabana.edu.co1"/>
  </r>
  <r>
    <s v="jimmy.mendieta@unisabana.edu.co"/>
    <s v="jimmy.mendieta@unisabana.edu.co2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jimmy.mendieta@unisabana.edu.co2"/>
  </r>
  <r>
    <s v="joaquin.erazo@unisabana.edu.co"/>
    <s v="joaquin.erazo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oaquin.erazo@unisabana.edu.co1"/>
  </r>
  <r>
    <s v="johanna.camargo1@unisabana.edu.co"/>
    <s v="johanna.camargo1@unisabana.edu.co01"/>
    <s v="ESPECIALIZACIï¿½N EN GERENCIA COMERCIAL BUCARAMANGA - SANTANDER"/>
    <x v="116"/>
    <n v="127"/>
    <x v="1"/>
    <x v="0"/>
    <s v="Incompleta"/>
    <s v="Posgrado"/>
    <s v="INSTITUTO FORUM"/>
    <s v="https://ProfPlanta2024.sawtoothsoftware.com/cgi-bin/ciwweb.pl?studyname=ProfPlanta2024&amp;Correo=johanna.camargo1@unisabana.edu.co01"/>
  </r>
  <r>
    <s v="johanna.camargo1@unisabana.edu.co"/>
    <s v="johanna.camargo1@unisabana.edu.co02"/>
    <s v="ESPECIALIZACIï¿½N EN GERENCIA ESTRATï¿½GICA DE MARCA  - CHIA"/>
    <x v="118"/>
    <n v="113"/>
    <x v="1"/>
    <x v="0"/>
    <s v="Incompleta"/>
    <s v="Posgrado"/>
    <s v="INSTITUTO FORUM"/>
    <s v="https://ProfPlanta2024.sawtoothsoftware.com/cgi-bin/ciwweb.pl?studyname=ProfPlanta2024&amp;Correo=johanna.camargo1@unisabana.edu.co02"/>
  </r>
  <r>
    <s v="johanna.choconta1@unisabana.edu.co"/>
    <s v="johanna.choconta1@unisabana.edu.co01"/>
    <s v="MAESTRï¿½A EN DESARROLLO INFANTIL - CHIA"/>
    <x v="41"/>
    <n v="60"/>
    <x v="1"/>
    <x v="0"/>
    <s v="Completa"/>
    <s v="Posgrado"/>
    <s v="FACULTAD DE EDUCACIÓN"/>
    <s v="https://ProfPlanta2024.sawtoothsoftware.com/cgi-bin/ciwweb.pl?studyname=ProfPlanta2024&amp;Correo=johanna.choconta1@unisabana.edu.co01"/>
  </r>
  <r>
    <s v="johanna.choconta1@unisabana.edu.co"/>
    <s v="johanna.choconta1@unisabana.edu.co1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johanna.choconta1@unisabana.edu.co1"/>
  </r>
  <r>
    <s v="johanna.jimenez1@unisabana.edu.co"/>
    <s v="johanna.jimenez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ohanna.jimenez1@unisabana.edu.co1"/>
  </r>
  <r>
    <s v="john.londono@unisabana.edu.co"/>
    <s v="john.londono@unisabana.edu.co01"/>
    <s v="ESPECIALIZACIï¿½N EN REUMATOLOGï¿½A"/>
    <x v="136"/>
    <n v="16"/>
    <x v="1"/>
    <x v="0"/>
    <s v="Completa"/>
    <s v="Posgrado"/>
    <s v="FACULTAD DE MEDICINA"/>
    <s v="https://ProfPlanta2024.sawtoothsoftware.com/cgi-bin/ciwweb.pl?studyname=ProfPlanta2024&amp;Correo=john.londono@unisabana.edu.co01"/>
  </r>
  <r>
    <s v="john.londono@unisabana.edu.co"/>
    <s v="john.london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ohn.londono@unisabana.edu.co1"/>
  </r>
  <r>
    <s v="jorge.arbelaez@unisabana.edu.co"/>
    <s v="jorge.arbelaez@unisabana.edu.co1"/>
    <s v="FILOSOFï¿½A"/>
    <x v="60"/>
    <n v="35"/>
    <x v="1"/>
    <x v="0"/>
    <s v="Completa"/>
    <s v="Pregrado"/>
    <s v="FACULTAD DE FILOSOFÍA Y CIENCIAS HUMANAS"/>
    <s v="https://ProfPlanta2024.sawtoothsoftware.com/cgi-bin/ciwweb.pl?studyname=ProfPlanta2024&amp;Correo=jorge.arbelaez@unisabana.edu.co1"/>
  </r>
  <r>
    <s v="jorge.castellanos@unisabana.edu.co"/>
    <s v="jorge.castellanos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jorge.castellanos@unisabana.edu.co1"/>
  </r>
  <r>
    <s v="jorge.gaitan@unisabana.edu.co"/>
    <s v="jorge.gaitan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jorge.gaitan@unisabana.edu.co1"/>
  </r>
  <r>
    <s v="jorge.restrepo1@unisabana.edu.co"/>
    <s v="jorge.restrepo1@unisabana.edu.co01"/>
    <s v="MAESTRï¿½A EN EDUCACIï¿½N Mï¿½DICA"/>
    <x v="109"/>
    <n v="78"/>
    <x v="1"/>
    <x v="1"/>
    <s v="Incompleta"/>
    <s v="Posgrado"/>
    <s v="FACULTAD DE MEDICINA"/>
    <s v="https://ProfPlanta2024.sawtoothsoftware.com/cgi-bin/ciwweb.pl?studyname=ProfPlanta2024&amp;Correo=jorge.restrepo1@unisabana.edu.co01"/>
  </r>
  <r>
    <s v="jose.guanipa@unisabana.edu.co"/>
    <s v="jose.guanip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ose.guanipa@unisabana.edu.co1"/>
  </r>
  <r>
    <s v="jose.rodriguez3@unisabana.edu.co"/>
    <s v="jose.rodriguez3@unisabana.edu.co01"/>
    <s v="MAESTRIA EN DERECHO INTERNACIONAL"/>
    <x v="61"/>
    <n v="56"/>
    <x v="1"/>
    <x v="1"/>
    <s v="Incompleta"/>
    <s v="Posgrado"/>
    <s v="FACULTAD DE DERECHO Y CIENCIAS POLÍTICAS"/>
    <s v="https://ProfPlanta2024.sawtoothsoftware.com/cgi-bin/ciwweb.pl?studyname=ProfPlanta2024&amp;Correo=jose.rodriguez3@unisabana.edu.co01"/>
  </r>
  <r>
    <s v="jose.rodriguez3@unisabana.edu.co"/>
    <s v="jose.rodriguez3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jose.rodriguez3@unisabana.edu.co1"/>
  </r>
  <r>
    <s v="jose.suarez1@unisabana.edu.co"/>
    <s v="jose.suarez1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jose.suarez1@unisabana.edu.co1"/>
  </r>
  <r>
    <s v="juan.aranda@unisabana.edu.co"/>
    <s v="juan.arand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juan.aranda@unisabana.edu.co01"/>
  </r>
  <r>
    <s v="juan.aranda@unisabana.edu.co"/>
    <s v="juan.aranda@unisabana.edu.co1"/>
    <s v="INGENIERï¿½A INDFORMATICA"/>
    <x v="31"/>
    <n v="39"/>
    <x v="1"/>
    <x v="0"/>
    <s v="Completa"/>
    <s v="Pregrado"/>
    <s v="FACULTAD DE INGENIERÍA"/>
    <s v="https://ProfPlanta2024.sawtoothsoftware.com/cgi-bin/ciwweb.pl?studyname=ProfPlanta2024&amp;Correo=juan.aranda@unisabana.edu.co1"/>
  </r>
  <r>
    <s v="juan.cardenas4@unisabana.edu.co"/>
    <s v="juan.cardenas4@unisabana.edu.co01"/>
    <s v="MAESTRï¿½A EN COMUNICACIï¿½N ESTRï¿½TEGICA"/>
    <x v="114"/>
    <n v="51"/>
    <x v="1"/>
    <x v="1"/>
    <s v="Incompleta"/>
    <s v="Posgrado"/>
    <s v="FACULTAD DE COMUNICACIÓN"/>
    <s v="https://ProfPlanta2024.sawtoothsoftware.com/cgi-bin/ciwweb.pl?studyname=ProfPlanta2024&amp;Correo=juan.cardenas4@unisabana.edu.co01"/>
  </r>
  <r>
    <s v="juan.cardenas4@unisabana.edu.co"/>
    <s v="juan.cardenas4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uan.cardenas4@unisabana.edu.co1"/>
  </r>
  <r>
    <s v="juan.castro2@unisabana.edu.co"/>
    <s v="juan.castro2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uan.castro2@unisabana.edu.co1"/>
  </r>
  <r>
    <s v="juan.castro2@unisabana.edu.co"/>
    <s v="juan.castro2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juan.castro2@unisabana.edu.co2"/>
  </r>
  <r>
    <s v="juan.castro2@unisabana.edu.co"/>
    <s v="juan.castro2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juan.castro2@unisabana.edu.co3"/>
  </r>
  <r>
    <s v="juan.de@unisabana.edu.co"/>
    <s v="juan.de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juan.de@unisabana.edu.co1"/>
  </r>
  <r>
    <s v="juan.espejo1@unisabana.edu.co"/>
    <s v="juan.espejo1@unisabana.edu.co1"/>
    <s v="FILOSOFï¿½A"/>
    <x v="60"/>
    <n v="35"/>
    <x v="1"/>
    <x v="0"/>
    <s v="Completa"/>
    <s v="Pregrado"/>
    <s v="FACULTAD DE FILOSOFÍA Y CIENCIAS HUMANAS"/>
    <s v="https://ProfPlanta2024.sawtoothsoftware.com/cgi-bin/ciwweb.pl?studyname=ProfPlanta2024&amp;Correo=juan.espejo1@unisabana.edu.co1"/>
  </r>
  <r>
    <s v="juan.garcia@unisabana.edu.co"/>
    <s v="juan.garcia@unisabana.edu.co01"/>
    <s v="ESPECIALIZACIï¿½N EN MEDICINA FAMILIAR Y COMUNITARIA"/>
    <x v="69"/>
    <n v="8"/>
    <x v="1"/>
    <x v="0"/>
    <s v="Completa"/>
    <s v="Posgrado"/>
    <s v="FACULTAD DE MEDICINA"/>
    <s v="https://ProfPlanta2024.sawtoothsoftware.com/cgi-bin/ciwweb.pl?studyname=ProfPlanta2024&amp;Correo=juan.garcia@unisabana.edu.co01"/>
  </r>
  <r>
    <s v="juan.garcia@unisabana.edu.co"/>
    <s v="juan.garci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uan.garcia@unisabana.edu.co1"/>
  </r>
  <r>
    <s v="juan.garzon@unisabana.edu.co"/>
    <s v="juan.garzon@unisabana.edu.co01"/>
    <s v="MAESTRIA EN CONTRATACION ESTATAL"/>
    <x v="59"/>
    <n v="57"/>
    <x v="1"/>
    <x v="0"/>
    <s v="Completa"/>
    <s v="Posgrado"/>
    <s v="FACULTAD DE DERECHO Y CIENCIAS POLÍTICAS"/>
    <s v="https://ProfPlanta2024.sawtoothsoftware.com/cgi-bin/ciwweb.pl?studyname=ProfPlanta2024&amp;Correo=juan.garzon@unisabana.edu.co01"/>
  </r>
  <r>
    <s v="juan.garzon@unisabana.edu.co"/>
    <s v="juan.garzon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juan.garzon@unisabana.edu.co1"/>
  </r>
  <r>
    <s v="juan.garzon@unisabana.edu.co"/>
    <s v="juan.garzon@unisabana.edu.co2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uan.garzon@unisabana.edu.co2"/>
  </r>
  <r>
    <s v="juan.giraldo9@unisabana.edu.co"/>
    <s v="juan.giraldo9@unisabana.edu.co07"/>
    <s v="Doctorado en PsicologÃ­a"/>
    <x v="119"/>
    <n v="201"/>
    <x v="1"/>
    <x v="0"/>
    <s v="Completa"/>
    <s v="Posgrado"/>
    <s v="FACULTAD DE PSICOLOGÍA"/>
    <s v="https://ProfPlanta2024.sawtoothsoftware.com/cgi-bin/ciwweb.pl?studyname=ProfPlanta2024&amp;Correo=juan.giraldo9@unisabana.edu.co07"/>
  </r>
  <r>
    <s v="juan.giraldo9@unisabana.edu.co"/>
    <s v="juan.giraldo9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juan.giraldo9@unisabana.edu.co1"/>
  </r>
  <r>
    <s v="juan.gonzalez14@unisabana.edu.co"/>
    <s v="juan.gonzalez14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uan.gonzalez14@unisabana.edu.co1"/>
  </r>
  <r>
    <s v="juan.herrera2@unisabana.edu.co"/>
    <s v="juan.herrera2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juan.herrera2@unisabana.edu.co1"/>
  </r>
  <r>
    <s v="juan.martinez15@unisabana.edu.co"/>
    <s v="juan.martinez15@unisabana.edu.co01"/>
    <s v="ESPECIALIZACIï¿½N EN DERECHO Y EMPRESA - CHï¿½A"/>
    <x v="77"/>
    <n v="100"/>
    <x v="1"/>
    <x v="1"/>
    <s v="Incompleta"/>
    <s v="Posgrado"/>
    <s v="FACULTAD DE DERECHO Y CIENCIAS POLÍTICAS"/>
    <s v="https://ProfPlanta2024.sawtoothsoftware.com/cgi-bin/ciwweb.pl?studyname=ProfPlanta2024&amp;Correo=juan.martinez15@unisabana.edu.co01"/>
  </r>
  <r>
    <s v="juan.martinez15@unisabana.edu.co"/>
    <s v="juan.martinez15@unisabana.edu.co02"/>
    <s v="MAESTRIA EN DERECHO DE LA EMPRESA Y DE LOS NEGOCIOS"/>
    <x v="9"/>
    <n v="55"/>
    <x v="1"/>
    <x v="1"/>
    <s v="Incompleta"/>
    <s v="Posgrado"/>
    <s v="FACULTAD DE DERECHO Y CIENCIAS POLÍTICAS"/>
    <s v="https://ProfPlanta2024.sawtoothsoftware.com/cgi-bin/ciwweb.pl?studyname=ProfPlanta2024&amp;Correo=juan.martinez15@unisabana.edu.co02"/>
  </r>
  <r>
    <s v="juan.martinez15@unisabana.edu.co"/>
    <s v="juan.martinez15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uan.martinez15@unisabana.edu.co1"/>
  </r>
  <r>
    <s v="juan.mojica2@unisabana.edu.co"/>
    <s v="juan.mojica2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juan.mojica2@unisabana.edu.co01"/>
  </r>
  <r>
    <s v="juan.mojica2@unisabana.edu.co"/>
    <s v="juan.mojica2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juan.mojica2@unisabana.edu.co1"/>
  </r>
  <r>
    <s v="juan.ortiz7@unisabana.edu.co"/>
    <s v="juan.ortiz7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uan.ortiz7@unisabana.edu.co1"/>
  </r>
  <r>
    <s v="juan.sandoval1@unisabana.edu.co"/>
    <s v="juan.sandoval1@unisabana.edu.co01"/>
    <s v="MAESTRï¿½A EN GERENCIA Y DESARROLLO DE PERSONAS"/>
    <x v="65"/>
    <n v="81"/>
    <x v="1"/>
    <x v="0"/>
    <s v="Completa"/>
    <s v="Posgrado"/>
    <s v="FACULTAD DE PSICOLOGÍA"/>
    <s v="https://ProfPlanta2024.sawtoothsoftware.com/cgi-bin/ciwweb.pl?studyname=ProfPlanta2024&amp;Correo=juan.sandoval1@unisabana.edu.co01"/>
  </r>
  <r>
    <s v="juan.sandoval1@unisabana.edu.co"/>
    <s v="juan.sandoval1@unisabana.edu.co02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juan.sandoval1@unisabana.edu.co02"/>
  </r>
  <r>
    <s v="juan.sandoval1@unisabana.edu.co"/>
    <s v="juan.sandoval1@unisabana.edu.co07"/>
    <s v="Doctorado en PsicologÃ­a"/>
    <x v="119"/>
    <n v="201"/>
    <x v="1"/>
    <x v="1"/>
    <s v="Incompleta"/>
    <s v="Posgrado"/>
    <s v="FACULTAD DE PSICOLOGÍA"/>
    <s v="https://ProfPlanta2024.sawtoothsoftware.com/cgi-bin/ciwweb.pl?studyname=ProfPlanta2024&amp;Correo=juan.sandoval1@unisabana.edu.co07"/>
  </r>
  <r>
    <s v="juan.sarmiento3@unisabana.edu.co"/>
    <s v="juan.sarmiento3@unisabana.edu.co01"/>
    <s v="ESPECIALIZACIï¿½N EN CONTRATACIï¿½N ESTATAL - CHï¿½A"/>
    <x v="64"/>
    <n v="97"/>
    <x v="1"/>
    <x v="0"/>
    <s v="Completa"/>
    <s v="Posgrado"/>
    <s v="FACULTAD DE DERECHO Y CIENCIAS POLÍTICAS"/>
    <s v="https://ProfPlanta2024.sawtoothsoftware.com/cgi-bin/ciwweb.pl?studyname=ProfPlanta2024&amp;Correo=juan.sarmiento3@unisabana.edu.co01"/>
  </r>
  <r>
    <s v="juan.sarmiento3@unisabana.edu.co"/>
    <s v="juan.sarmiento3@unisabana.edu.co02"/>
    <s v="MAESTRIA EN CONTRATACION ESTATAL"/>
    <x v="59"/>
    <n v="57"/>
    <x v="1"/>
    <x v="0"/>
    <s v="Completa"/>
    <s v="Posgrado"/>
    <s v="FACULTAD DE DERECHO Y CIENCIAS POLÍTICAS"/>
    <s v="https://ProfPlanta2024.sawtoothsoftware.com/cgi-bin/ciwweb.pl?studyname=ProfPlanta2024&amp;Correo=juan.sarmiento3@unisabana.edu.co02"/>
  </r>
  <r>
    <s v="juan.sarmiento3@unisabana.edu.co"/>
    <s v="juan.sarmiento3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uan.sarmiento3@unisabana.edu.co1"/>
  </r>
  <r>
    <s v="juana.jaramillo@unisabana.edu.co"/>
    <s v="juana.jaramillo@unisabana.edu.co01"/>
    <s v="MAESTRï¿½A EN BIOï¿½TICA"/>
    <x v="143"/>
    <n v="76"/>
    <x v="1"/>
    <x v="0"/>
    <s v="Completa"/>
    <s v="Posgrado"/>
    <s v="FACULTAD DE MEDICINA"/>
    <s v="https://ProfPlanta2024.sawtoothsoftware.com/cgi-bin/ciwweb.pl?studyname=ProfPlanta2024&amp;Correo=juana.jaramillo@unisabana.edu.co01"/>
  </r>
  <r>
    <s v="juana.jaramillo@unisabana.edu.co"/>
    <s v="juana.jaramillo@unisabana.edu.co07"/>
    <s v="MAESTRÃA EN PSICOLOGÃA CLINICA DE LA NIÃ‘EZ Y LA ADOLESCENCIA"/>
    <x v="120"/>
    <n v="205"/>
    <x v="1"/>
    <x v="0"/>
    <s v="Completa"/>
    <s v="Posgrado"/>
    <s v="FACULTAD DE PSICOLOGÍA"/>
    <s v="https://ProfPlanta2024.sawtoothsoftware.com/cgi-bin/ciwweb.pl?studyname=ProfPlanta2024&amp;Correo=juana.jaramillo@unisabana.edu.co07"/>
  </r>
  <r>
    <s v="juana.jaramillo@unisabana.edu.co"/>
    <s v="juana.jaramill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uana.jaramillo@unisabana.edu.co1"/>
  </r>
  <r>
    <s v="juanreca@unisabana.edu.co"/>
    <s v="juanreca@unisabana.edu.co07"/>
    <s v="Doctorado en PsicologÃ­a"/>
    <x v="119"/>
    <n v="201"/>
    <x v="1"/>
    <x v="1"/>
    <s v="Incompleta"/>
    <s v="Posgrado"/>
    <s v="FACULTAD DE PSICOLOGÍA"/>
    <s v="https://ProfPlanta2024.sawtoothsoftware.com/cgi-bin/ciwweb.pl?studyname=ProfPlanta2024&amp;Correo=juanreca@unisabana.edu.co07"/>
  </r>
  <r>
    <s v="juanreca@unisabana.edu.co"/>
    <s v="juanreca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juanreca@unisabana.edu.co1"/>
  </r>
  <r>
    <s v="julian.carreno@unisabana.edu.co"/>
    <s v="Julian.Carreno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Julian.Carreno@unisabana.edu.co1"/>
  </r>
  <r>
    <s v="julian.huertas1@unisabana.edu.co"/>
    <s v="julian.huertas1@unisabana.edu.co01"/>
    <s v="MAESTRIA EN DERECHO INTERNACIONAL"/>
    <x v="61"/>
    <n v="56"/>
    <x v="1"/>
    <x v="0"/>
    <s v="Completa"/>
    <s v="Posgrado"/>
    <s v="FACULTAD DE DERECHO Y CIENCIAS POLÍTICAS"/>
    <s v="https://ProfPlanta2024.sawtoothsoftware.com/cgi-bin/ciwweb.pl?studyname=ProfPlanta2024&amp;Correo=julian.huertas1@unisabana.edu.co01"/>
  </r>
  <r>
    <s v="julian.huertas1@unisabana.edu.co"/>
    <s v="julian.huertas1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julian.huertas1@unisabana.edu.co1"/>
  </r>
  <r>
    <s v="juliana.llanes@unisabana.edu.co"/>
    <s v="juliana.llanes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juliana.llanes@unisabana.edu.co1"/>
  </r>
  <r>
    <s v="julie.cedeno@unisabana.edu.co"/>
    <s v="julie.cedeno@unisabana.edu.co01"/>
    <s v="MAESTRï¿½A EN GERENCIA Y DESARROLLO DE PERSONAS"/>
    <x v="65"/>
    <n v="81"/>
    <x v="1"/>
    <x v="1"/>
    <s v="Incompleta"/>
    <s v="Posgrado"/>
    <s v="FACULTAD DE PSICOLOGÍA"/>
    <s v="https://ProfPlanta2024.sawtoothsoftware.com/cgi-bin/ciwweb.pl?studyname=ProfPlanta2024&amp;Correo=julie.cedeno@unisabana.edu.co01"/>
  </r>
  <r>
    <s v="julie.cedeno@unisabana.edu.co"/>
    <s v="julie.cedeno@unisabana.edu.co02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julie.cedeno@unisabana.edu.co02"/>
  </r>
  <r>
    <s v="julie.cedeno@unisabana.edu.co"/>
    <s v="julie.cedeno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julie.cedeno@unisabana.edu.co1"/>
  </r>
  <r>
    <s v="julio.martinez@unisabana.edu.co"/>
    <s v="julio.martinez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julio.martinez@unisabana.edu.co1"/>
  </r>
  <r>
    <s v="juliocc@unisabana.edu.co"/>
    <s v="Juliocc@unisabana.edu.co01"/>
    <s v="ESPECIALIZACIï¿½N EN GERENCIA COMERCIAL BUCARAMANGA - SANTANDER"/>
    <x v="116"/>
    <n v="127"/>
    <x v="1"/>
    <x v="0"/>
    <s v="Completa"/>
    <s v="Posgrado"/>
    <s v="INSTITUTO FORUM"/>
    <s v="https://ProfPlanta2024.sawtoothsoftware.com/cgi-bin/ciwweb.pl?studyname=ProfPlanta2024&amp;Correo=Juliocc@unisabana.edu.co01"/>
  </r>
  <r>
    <s v="jullyorjve@unisabana.edu.co"/>
    <s v="jullyorjve@unisabana.edu.co01"/>
    <s v="ESPECIALIZACIï¿½N EN TERAPIA MANUAL ORTOPï¿½DICA - CHï¿½A"/>
    <x v="11"/>
    <n v="105"/>
    <x v="1"/>
    <x v="0"/>
    <s v="Completa"/>
    <s v="Posgrado"/>
    <s v="FACULTAD DE ENFERMERÍA Y REHABILITACIÓN"/>
    <s v="https://ProfPlanta2024.sawtoothsoftware.com/cgi-bin/ciwweb.pl?studyname=ProfPlanta2024&amp;Correo=jullyorjve@unisabana.edu.co01"/>
  </r>
  <r>
    <s v="jullyorjve@unisabana.edu.co"/>
    <s v="jullyorjve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jullyorjve@unisabana.edu.co1"/>
  </r>
  <r>
    <s v="kemel.ghotme@unisabana.edu.co"/>
    <s v="kemel.ghotme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kemel.ghotme@unisabana.edu.co1"/>
  </r>
  <r>
    <s v="lady.duque@unisabana.edu.co"/>
    <s v="lady.duque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lady.duque@unisabana.edu.co1"/>
  </r>
  <r>
    <s v="laura.carreno@unisabana.edu.co"/>
    <s v="laura.carreno@unisabana.edu.co01"/>
    <s v="MAESTRï¿½A EN DESARROLLO INFANTIL - RIOHACHA"/>
    <x v="42"/>
    <n v="88"/>
    <x v="1"/>
    <x v="1"/>
    <s v="Incompleta"/>
    <s v="Posgrado"/>
    <s v="FACULTAD DE EDUCACIÓN"/>
    <s v="https://ProfPlanta2024.sawtoothsoftware.com/cgi-bin/ciwweb.pl?studyname=ProfPlanta2024&amp;Correo=laura.carreno@unisabana.edu.co01"/>
  </r>
  <r>
    <s v="laura.carreno@unisabana.edu.co"/>
    <s v="laura.carreno@unisabana.edu.co03"/>
    <s v="MAESTRï¿½A EN DIDï¿½CTICA DEL INGLï¿½S PARA EL APRENDIZAJE AUTODIRIGIDO - VIRTUAL"/>
    <x v="137"/>
    <n v="86"/>
    <x v="1"/>
    <x v="0"/>
    <s v="Incompleta"/>
    <s v="Posgrado"/>
    <s v="FACULTAD DE EDUCACIÓN"/>
    <s v="https://ProfPlanta2024.sawtoothsoftware.com/cgi-bin/ciwweb.pl?studyname=ProfPlanta2024&amp;Correo=laura.carreno@unisabana.edu.co03"/>
  </r>
  <r>
    <s v="laura.carreno@unisabana.edu.co"/>
    <s v="laura.carreno@unisabana.edu.co2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laura.carreno@unisabana.edu.co2"/>
  </r>
  <r>
    <s v="laura.fonseca@unisabana.edu.co"/>
    <s v="laura.fonseca@unisabana.edu.co07"/>
    <s v="Doctorado en PsicologÃ­a"/>
    <x v="119"/>
    <n v="201"/>
    <x v="1"/>
    <x v="1"/>
    <s v="Incompleta"/>
    <s v="Posgrado"/>
    <s v="FACULTAD DE PSICOLOGÍA"/>
    <s v="https://ProfPlanta2024.sawtoothsoftware.com/cgi-bin/ciwweb.pl?studyname=ProfPlanta2024&amp;Correo=laura.fonseca@unisabana.edu.co07"/>
  </r>
  <r>
    <s v="laura.fonseca2@unisabana.edu.co"/>
    <s v="laura.fonseca2@unisabana.edu.co01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laura.fonseca2@unisabana.edu.co01"/>
  </r>
  <r>
    <s v="laura.fonseca2@unisabana.edu.co"/>
    <s v="laura.fonseca2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laura.fonseca2@unisabana.edu.co1"/>
  </r>
  <r>
    <s v="laura.fuerte1@unisabana.edu.co"/>
    <s v="laura.fuerte1@unisabana.edu.co01"/>
    <s v="MAESTRï¿½A EN GERENCIA DE INVERSIï¿½N"/>
    <x v="26"/>
    <n v="45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1"/>
  </r>
  <r>
    <s v="laura.fuerte1@unisabana.edu.co"/>
    <s v="laura.fuerte1@unisabana.edu.co02"/>
    <s v="MAESTRï¿½A EN GERENCIA DE INVERSIï¿½N - VIRTUAL"/>
    <x v="27"/>
    <n v="207"/>
    <x v="1"/>
    <x v="0"/>
    <s v="Completa"/>
    <s v="Posgrado"/>
    <s v="ESCUELA INTERNACIONAL DE CIENCIAS ECONÓMICAS Y ADMINISTRATIVAS"/>
    <s v="https://ProfPlanta2024.sawtoothsoftware.com/cgi-bin/ciwweb.pl?studyname=ProfPlanta2024&amp;Correo=laura.fuerte1@unisabana.edu.co02"/>
  </r>
  <r>
    <s v="laura.fuerte1@unisabana.edu.co"/>
    <s v="laura.fuerte1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laura.fuerte1@unisabana.edu.co1"/>
  </r>
  <r>
    <s v="laura.lopez7@unisabana.edu.co"/>
    <s v="laura.lopez7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laura.lopez7@unisabana.edu.co1"/>
  </r>
  <r>
    <s v="laura.lopez7@unisabana.edu.co"/>
    <s v="laura.lopez7@unisabana.edu.co2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laura.lopez7@unisabana.edu.co2"/>
  </r>
  <r>
    <s v="laura.rodriguez23@unisabana.edu.co"/>
    <s v="laura.rodriguez23@unisabana.edu.co1"/>
    <s v="CENTRO INTERNACIONAL DE LENGUAS Y CULTURAS EXTRANJERAS"/>
    <x v="19"/>
    <n v="210"/>
    <x v="1"/>
    <x v="1"/>
    <s v="Incompleta"/>
    <s v="Pregrado"/>
    <s v="CENTRO INTERNACIONAL DE LENGUAS Y CULTURAS EXTRANJERAS"/>
    <s v="https://ProfPlanta2024.sawtoothsoftware.com/cgi-bin/ciwweb.pl?studyname=ProfPlanta2024&amp;Correo=laura.rodriguez23@unisabana.edu.co1"/>
  </r>
  <r>
    <s v="ledy.armirola@unisabana.edu.co"/>
    <s v="ledy.armirola@unisabana.edu.co01"/>
    <s v="MAESTRï¿½A EN COMUNICACIï¿½N ESTRï¿½TEGICA"/>
    <x v="114"/>
    <n v="51"/>
    <x v="1"/>
    <x v="0"/>
    <s v="Completa"/>
    <s v="Posgrado"/>
    <s v="FACULTAD DE COMUNICACIÓN"/>
    <s v="https://ProfPlanta2024.sawtoothsoftware.com/cgi-bin/ciwweb.pl?studyname=ProfPlanta2024&amp;Correo=ledy.armirola@unisabana.edu.co01"/>
  </r>
  <r>
    <s v="ledy.armirola@unisabana.edu.co"/>
    <s v="ledy.armirola@unisabana.edu.co1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ledy.armirola@unisabana.edu.co1"/>
  </r>
  <r>
    <s v="ledy.armirola@unisabana.edu.co"/>
    <s v="ledy.armirola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ledy.armirola@unisabana.edu.co2"/>
  </r>
  <r>
    <s v="leidy.diaz3@unisabana.edu.co"/>
    <s v="leidy.diaz3@unisabana.edu.co01"/>
    <s v="ESPECIALIZACION EN PSICOLOGIA EDUCATIVA"/>
    <x v="71"/>
    <n v="108"/>
    <x v="1"/>
    <x v="0"/>
    <s v="Completa"/>
    <s v="Posgrado"/>
    <s v="FACULTAD DE PSICOLOGÍA"/>
    <s v="https://ProfPlanta2024.sawtoothsoftware.com/cgi-bin/ciwweb.pl?studyname=ProfPlanta2024&amp;Correo=leidy.diaz3@unisabana.edu.co01"/>
  </r>
  <r>
    <s v="leidy.diaz3@unisabana.edu.co"/>
    <s v="leidy.diaz3@unisabana.edu.co02"/>
    <s v="MAESTRIA EN PSICOLOGIA DE LA SALUD Y DISCAPACIDAD"/>
    <x v="46"/>
    <n v="82"/>
    <x v="1"/>
    <x v="0"/>
    <s v="Completa"/>
    <s v="Posgrado"/>
    <s v="FACULTAD DE PSICOLOGÍA"/>
    <s v="https://ProfPlanta2024.sawtoothsoftware.com/cgi-bin/ciwweb.pl?studyname=ProfPlanta2024&amp;Correo=leidy.diaz3@unisabana.edu.co02"/>
  </r>
  <r>
    <s v="leidy.leon@unisabana.edu.co"/>
    <s v="leidy.leon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leidy.leon@unisabana.edu.co01"/>
  </r>
  <r>
    <s v="leidy.leon@unisabana.edu.co"/>
    <s v="leidy.leon@unisabana.edu.co1"/>
    <s v="CIENCIA DE DATOS"/>
    <x v="44"/>
    <n v="200"/>
    <x v="1"/>
    <x v="0"/>
    <s v="Completa"/>
    <s v="Pregrado"/>
    <s v="FACULTAD DE INGENIERÍA"/>
    <s v="https://ProfPlanta2024.sawtoothsoftware.com/cgi-bin/ciwweb.pl?studyname=ProfPlanta2024&amp;Correo=leidy.leon@unisabana.edu.co1"/>
  </r>
  <r>
    <s v="leonardo.moreno@unisabana.edu.co"/>
    <s v="leonardo.moreno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leonardo.moreno@unisabana.edu.co1"/>
  </r>
  <r>
    <s v="leonardo.moreno@unisabana.edu.co"/>
    <s v="leonardo.moreno@unisabana.edu.co2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leonardo.moreno@unisabana.edu.co2"/>
  </r>
  <r>
    <s v="lesly.velandia@unisabana.edu.co"/>
    <s v="lesly.velandi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lesly.velandia@unisabana.edu.co1"/>
  </r>
  <r>
    <s v="liliana.cuesta@unisabana.edu.co"/>
    <s v="liliana.cuesta@unisabana.edu.co01"/>
    <s v="MAESTRï¿½A EN PERIODISMO Y COMUNICACIï¿½N DIGITAL"/>
    <x v="47"/>
    <n v="52"/>
    <x v="1"/>
    <x v="1"/>
    <s v="Incompleta"/>
    <s v="Posgrado"/>
    <s v="FACULTAD DE COMUNICACIÓN"/>
    <s v="https://ProfPlanta2024.sawtoothsoftware.com/cgi-bin/ciwweb.pl?studyname=ProfPlanta2024&amp;Correo=liliana.cuesta@unisabana.edu.co01"/>
  </r>
  <r>
    <s v="liliana.gutierrez1@unisabana.edu.co"/>
    <s v="liliana.gutierrez1@unisabana.edu.co01"/>
    <s v="DOCTORADO EN COMUNICACIï¿½N"/>
    <x v="139"/>
    <n v="50"/>
    <x v="1"/>
    <x v="0"/>
    <s v="Completa"/>
    <s v="Posgrado"/>
    <s v="FACULTAD DE COMUNICACIÓN"/>
    <s v="https://ProfPlanta2024.sawtoothsoftware.com/cgi-bin/ciwweb.pl?studyname=ProfPlanta2024&amp;Correo=liliana.gutierrez1@unisabana.edu.co01"/>
  </r>
  <r>
    <s v="liliana.gutierrez1@unisabana.edu.co"/>
    <s v="liliana.gutierrez1@unisabana.edu.co02"/>
    <s v="MAESTRï¿½A EN PERIODISMO Y COMUNICACIï¿½N DIGITAL"/>
    <x v="47"/>
    <n v="52"/>
    <x v="1"/>
    <x v="1"/>
    <s v="Incompleta"/>
    <s v="Posgrado"/>
    <s v="FACULTAD DE COMUNICACIÓN"/>
    <s v="https://ProfPlanta2024.sawtoothsoftware.com/cgi-bin/ciwweb.pl?studyname=ProfPlanta2024&amp;Correo=liliana.gutierrez1@unisabana.edu.co02"/>
  </r>
  <r>
    <s v="liliana.gutierrez1@unisabana.edu.co"/>
    <s v="liliana.gutierrez1@unisabana.edu.co1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liliana.gutierrez1@unisabana.edu.co1"/>
  </r>
  <r>
    <s v="liliana.paredes@unisabana.edu.co"/>
    <s v="liliana.paredes@unisabana.edu.co01"/>
    <s v="MAESTRï¿½A EN COMUNICACIï¿½N ESTRï¿½TEGICA"/>
    <x v="114"/>
    <n v="51"/>
    <x v="1"/>
    <x v="1"/>
    <s v="Incompleta"/>
    <s v="Posgrado"/>
    <s v="FACULTAD DE COMUNICACIÓN"/>
    <s v="https://ProfPlanta2024.sawtoothsoftware.com/cgi-bin/ciwweb.pl?studyname=ProfPlanta2024&amp;Correo=liliana.paredes@unisabana.edu.co01"/>
  </r>
  <r>
    <s v="liliana.paredes@unisabana.edu.co"/>
    <s v="liliana.paredes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liliana.paredes@unisabana.edu.co1"/>
  </r>
  <r>
    <s v="liliana.paredes@unisabana.edu.co"/>
    <s v="liliana.paredes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liliana.paredes@unisabana.edu.co3"/>
  </r>
  <r>
    <s v="lilianaoa@unisabana.edu.co"/>
    <s v="lilianaoa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lilianaoa@unisabana.edu.co1"/>
  </r>
  <r>
    <s v="lina.gomez3@unisabana.edu.co"/>
    <s v="lina.gomez3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lina.gomez3@unisabana.edu.co1"/>
  </r>
  <r>
    <s v="lina.grimaldos@unisabana.edu.co"/>
    <s v="lina.grimaldos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lina.grimaldos@unisabana.edu.co1"/>
  </r>
  <r>
    <s v="lina.grimaldos@unisabana.edu.co"/>
    <s v="lina.grimaldos@unisabana.edu.co2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lina.grimaldos@unisabana.edu.co2"/>
  </r>
  <r>
    <s v="lina.ruiz1@unisabana.edu.co"/>
    <s v="LINA.RUIZ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LINA.RUIZ1@UNISABANA.EDU.CO1"/>
  </r>
  <r>
    <s v="lina.sorza@unisabana.edu.co"/>
    <s v="lina.sorza@unisabana.edu.co1"/>
    <s v="CENTRO DE TECNOLOGï¿½AS PARA LA ACADEMIA"/>
    <x v="87"/>
    <n v="212"/>
    <x v="1"/>
    <x v="0"/>
    <s v="Completa"/>
    <s v="Pregrado"/>
    <s v="CENTRO DE TECNOLOGÍAS PARA LA ACADEMIA"/>
    <s v="https://ProfPlanta2024.sawtoothsoftware.com/cgi-bin/ciwweb.pl?studyname=ProfPlanta2024&amp;Correo=lina.sorza@unisabana.edu.co1"/>
  </r>
  <r>
    <s v="liza.pinzon@unisabana.edu.co"/>
    <s v="liza.pinzon@unisabana.edu.co01"/>
    <s v="MAESTRï¿½A EN GERENCIA DE LA INNOVACIï¿½N"/>
    <x v="67"/>
    <n v="49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1"/>
  </r>
  <r>
    <s v="liza.pinzon@unisabana.edu.co"/>
    <s v="liza.pinzon@unisabana.edu.co02"/>
    <s v="MAESTRï¿½A EN GERENCIA ESTRATï¿½GICA"/>
    <x v="35"/>
    <n v="47"/>
    <x v="1"/>
    <x v="0"/>
    <s v="Completa"/>
    <s v="Posgrado"/>
    <s v="ESCUELA INTERNACIONAL DE CIENCIAS ECONÓMICAS Y ADMINISTRATIVAS"/>
    <s v="https://ProfPlanta2024.sawtoothsoftware.com/cgi-bin/ciwweb.pl?studyname=ProfPlanta2024&amp;Correo=liza.pinzon@unisabana.edu.co02"/>
  </r>
  <r>
    <s v="lizeth.pedraza@unisabana.edu.co"/>
    <s v="Lizeth.pedraza@unisabana.edu.co07"/>
    <s v="Doctorado en PsicologÃ­a"/>
    <x v="119"/>
    <n v="201"/>
    <x v="1"/>
    <x v="0"/>
    <s v="Completa"/>
    <s v="Posgrado"/>
    <s v="FACULTAD DE PSICOLOGÍA"/>
    <s v="https://ProfPlanta2024.sawtoothsoftware.com/cgi-bin/ciwweb.pl?studyname=ProfPlanta2024&amp;Correo=Lizeth.pedraza@unisabana.edu.co07"/>
  </r>
  <r>
    <s v="loyda.gomez@unisabana.edu.co"/>
    <s v="loyda.gomez@unisabana.edu.co1"/>
    <s v="INNOVACIï¿½N Y EMPRENDIMIENTO"/>
    <x v="58"/>
    <n v="155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1"/>
  </r>
  <r>
    <s v="loyda.gomez@unisabana.edu.co"/>
    <s v="loyda.gomez@unisabana.edu.co2"/>
    <s v="NEGOCIACIï¿½N Y COMERCIO INTERNACIONAL"/>
    <x v="91"/>
    <n v="157"/>
    <x v="1"/>
    <x v="0"/>
    <s v="Completa"/>
    <s v="Pregrado"/>
    <s v="ESCUELA INTERNACIONAL DE CIENCIAS ECONÓMICAS Y ADMINISTRATIVAS"/>
    <s v="https://ProfPlanta2024.sawtoothsoftware.com/cgi-bin/ciwweb.pl?studyname=ProfPlanta2024&amp;Correo=loyda.gomez@unisabana.edu.co2"/>
  </r>
  <r>
    <s v="lucia.barbosa@unisabana.edu.co"/>
    <s v="lucia.barbosa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lucia.barbosa@unisabana.edu.co1"/>
  </r>
  <r>
    <s v="luis.celis@unisabana.edu.co"/>
    <s v="luis.celi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luis.celis@unisabana.edu.co1"/>
  </r>
  <r>
    <s v="luis.diaz1@unisabana.edu.co"/>
    <s v="luis.diaz1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luis.diaz1@unisabana.edu.co01"/>
  </r>
  <r>
    <s v="luis.diaz1@unisabana.edu.co"/>
    <s v="luis.diaz1@unisabana.edu.co02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luis.diaz1@unisabana.edu.co02"/>
  </r>
  <r>
    <s v="luis.diaz1@unisabana.edu.co"/>
    <s v="luis.diaz1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luis.diaz1@unisabana.edu.co1"/>
  </r>
  <r>
    <s v="luis.gomez10@unisabana.edu.co"/>
    <s v="luis.gomez10@unisabana.edu.co01"/>
    <s v="ESPECIALIZACIï¿½N EN GERENCIA LOGï¿½STICA - CHï¿½A"/>
    <x v="108"/>
    <n v="115"/>
    <x v="1"/>
    <x v="1"/>
    <s v="Incompleta"/>
    <s v="Posgrado"/>
    <s v="INSTITUTO FORUM"/>
    <s v="https://ProfPlanta2024.sawtoothsoftware.com/cgi-bin/ciwweb.pl?studyname=ProfPlanta2024&amp;Correo=luis.gomez10@unisabana.edu.co01"/>
  </r>
  <r>
    <s v="luis.paipa@unisabana.edu.co"/>
    <s v="luis.paip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luis.paipa@unisabana.edu.co01"/>
  </r>
  <r>
    <s v="luis.paipa@unisabana.edu.co"/>
    <s v="luis.paipa@unisabana.edu.co1"/>
    <s v="INGENIERï¿½A INDUSTRIAL"/>
    <x v="28"/>
    <n v="38"/>
    <x v="1"/>
    <x v="1"/>
    <s v="Incompleta"/>
    <s v="Pregrado"/>
    <s v="FACULTAD DE INGENIERÍA"/>
    <s v="https://ProfPlanta2024.sawtoothsoftware.com/cgi-bin/ciwweb.pl?studyname=ProfPlanta2024&amp;Correo=luis.paipa@unisabana.edu.co1"/>
  </r>
  <r>
    <s v="luis.pineda@unisabana.edu.co"/>
    <s v="luis.pineda@unisabana.edu.co01"/>
    <s v="MAESTRï¿½A EN LINGï¿½ï¿½STICA PANHISPï¿½NICA - CHï¿½A"/>
    <x v="63"/>
    <n v="68"/>
    <x v="1"/>
    <x v="0"/>
    <s v="Completa"/>
    <s v="Posgrado"/>
    <s v="FACULTAD DE FILOSOFÍA Y CIENCIAS HUMANAS"/>
    <s v="https://ProfPlanta2024.sawtoothsoftware.com/cgi-bin/ciwweb.pl?studyname=ProfPlanta2024&amp;Correo=luis.pineda@unisabana.edu.co01"/>
  </r>
  <r>
    <s v="luis.prieto@unisabana.edu.co"/>
    <s v="luis.prieto@unisabana.edu.co01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luis.prieto@unisabana.edu.co01"/>
  </r>
  <r>
    <s v="luis.prieto@unisabana.edu.co"/>
    <s v="luis.prieto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luis.prieto@unisabana.edu.co1"/>
  </r>
  <r>
    <s v="luis.reyes5@unisabana.edu.co"/>
    <s v="luis.reyes5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luis.reyes5@unisabana.edu.co1"/>
  </r>
  <r>
    <s v="luisa.zapata1@unisabana.edu.co"/>
    <s v="luisa.zapata1@unisabana.edu.co1"/>
    <s v="SERVICIO, HOSPITALIDAD Y CALIDAD"/>
    <x v="53"/>
    <n v="158"/>
    <x v="1"/>
    <x v="0"/>
    <s v="Completa"/>
    <s v="Pregrado"/>
    <s v="ESCUELA INTERNACIONAL DE CIENCIAS ECONÓMICAS Y ADMINISTRATIVAS"/>
    <s v="https://ProfPlanta2024.sawtoothsoftware.com/cgi-bin/ciwweb.pl?studyname=ProfPlanta2024&amp;Correo=luisa.zapata1@unisabana.edu.co1"/>
  </r>
  <r>
    <s v="luisbc@unisabana.edu.co"/>
    <s v="LuisBC@unisabana.edu.co01"/>
    <s v="MAESTRï¿½A EN GERENCIA ESTRATï¿½GICA"/>
    <x v="35"/>
    <n v="47"/>
    <x v="1"/>
    <x v="0"/>
    <s v="Completa"/>
    <s v="Posgrado"/>
    <s v="ESCUELA INTERNACIONAL DE CIENCIAS ECONÓMICAS Y ADMINISTRATIVAS"/>
    <s v="https://ProfPlanta2024.sawtoothsoftware.com/cgi-bin/ciwweb.pl?studyname=ProfPlanta2024&amp;Correo=LuisBC@unisabana.edu.co01"/>
  </r>
  <r>
    <s v="luisbc@unisabana.edu.co"/>
    <s v="LuisBC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LuisBC@unisabana.edu.co1"/>
  </r>
  <r>
    <s v="luisf.giraldo@unisabana.edu.co"/>
    <s v="luisf.giraldo@unisabana.edu.co01"/>
    <s v="DOCTORADO EN BIOCIENCIAS"/>
    <x v="131"/>
    <n v="70"/>
    <x v="1"/>
    <x v="1"/>
    <s v="Incompleta"/>
    <s v="Posgrado"/>
    <s v="FACULTAD DE INGENIERÍA"/>
    <s v="https://ProfPlanta2024.sawtoothsoftware.com/cgi-bin/ciwweb.pl?studyname=ProfPlanta2024&amp;Correo=luisf.giraldo@unisabana.edu.co01"/>
  </r>
  <r>
    <s v="luisf.giraldo@unisabana.edu.co"/>
    <s v="luisf.giraldo@unisabana.edu.co02"/>
    <s v="MAESTRï¿½A EN EPIDEMIOLOGï¿½A"/>
    <x v="83"/>
    <n v="77"/>
    <x v="1"/>
    <x v="1"/>
    <s v="Incompleta"/>
    <s v="Posgrado"/>
    <s v="FACULTAD DE INGENIERÍA"/>
    <s v="https://ProfPlanta2024.sawtoothsoftware.com/cgi-bin/ciwweb.pl?studyname=ProfPlanta2024&amp;Correo=luisf.giraldo@unisabana.edu.co02"/>
  </r>
  <r>
    <s v="luisf.giraldo@unisabana.edu.co"/>
    <s v="luisf.giraldo@unisabana.edu.co03"/>
    <s v="ESPECIALIZACIÃ“N EN NEUMOLOGÃA"/>
    <x v="48"/>
    <n v="11"/>
    <x v="1"/>
    <x v="0"/>
    <s v="Completa"/>
    <s v="Posgrado"/>
    <s v="FACULTAD DE MEDICINA"/>
    <s v="https://ProfPlanta2024.sawtoothsoftware.com/cgi-bin/ciwweb.pl?studyname=ProfPlanta2024&amp;Correo=luisf.giraldo@unisabana.edu.co03"/>
  </r>
  <r>
    <s v="luz.alejo@unisabana.edu.co"/>
    <s v="luz.alejo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luz.alejo@unisabana.edu.co01"/>
  </r>
  <r>
    <s v="luz.alejo@unisabana.edu.co"/>
    <s v="luz.alej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luz.alejo@unisabana.edu.co1"/>
  </r>
  <r>
    <s v="luz.mancera2@unisabana.edu.co"/>
    <s v="luz.mancera2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luz.mancera2@unisabana.edu.co1"/>
  </r>
  <r>
    <s v="luz.torres3@unisabana.edu.co"/>
    <s v="luz.torres3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1"/>
  </r>
  <r>
    <s v="luz.torres3@unisabana.edu.co"/>
    <s v="luz.torres3@unisabana.edu.co02"/>
    <s v="MAESTRï¿½A EN GERENCIA DE LA INNOVACIï¿½N"/>
    <x v="67"/>
    <n v="49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2"/>
  </r>
  <r>
    <s v="luz.torres3@unisabana.edu.co"/>
    <s v="luz.torres3@unisabana.edu.co03"/>
    <s v="MAESTRï¿½A EN GERENCIA DE OPERACIONES"/>
    <x v="86"/>
    <n v="46"/>
    <x v="1"/>
    <x v="0"/>
    <s v="Completa"/>
    <s v="Posgrado"/>
    <s v="ESCUELA INTERNACIONAL DE CIENCIAS ECONÓMICAS Y ADMINISTRATIVAS"/>
    <s v="https://ProfPlanta2024.sawtoothsoftware.com/cgi-bin/ciwweb.pl?studyname=ProfPlanta2024&amp;Correo=luz.torres3@unisabana.edu.co03"/>
  </r>
  <r>
    <s v="luz.torres3@unisabana.edu.co"/>
    <s v="luz.torres3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luz.torres3@unisabana.edu.co1"/>
  </r>
  <r>
    <s v="luz.villalba@unisabana.edu.co"/>
    <s v="luz.villalba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luz.villalba@unisabana.edu.co2"/>
  </r>
  <r>
    <s v="luz.villegas1@unisabana.edu.co"/>
    <s v="luz.villegas1@unisabana.edu.co01"/>
    <s v="ESPECIALIZACIï¿½N EN GERENCIA ESTRATï¿½GICA - BARRANQUILLA"/>
    <x v="126"/>
    <n v="139"/>
    <x v="1"/>
    <x v="0"/>
    <s v="Completa"/>
    <s v="Posgrado"/>
    <s v="INSTITUTO FORUM"/>
    <s v="https://ProfPlanta2024.sawtoothsoftware.com/cgi-bin/ciwweb.pl?studyname=ProfPlanta2024&amp;Correo=luz.villegas1@unisabana.edu.co01"/>
  </r>
  <r>
    <s v="luz.villegas1@unisabana.edu.co"/>
    <s v="luz.villegas1@unisabana.edu.co02"/>
    <s v="ESPECIALIZACIï¿½N EN GESTIï¿½N PARA EL DESARROLLO HUMANO EN LA ORGANIZACIï¿½N - BOGOTï¿½"/>
    <x v="101"/>
    <n v="209"/>
    <x v="1"/>
    <x v="0"/>
    <s v="Completa"/>
    <s v="Posgrado"/>
    <s v="INSTITUTO FORUM"/>
    <s v="https://ProfPlanta2024.sawtoothsoftware.com/cgi-bin/ciwweb.pl?studyname=ProfPlanta2024&amp;Correo=luz.villegas1@unisabana.edu.co02"/>
  </r>
  <r>
    <s v="luz.villegas1@unisabana.edu.co"/>
    <s v="luz.villegas1@unisabana.edu.co03"/>
    <s v="ESPECIALIZACIï¿½N EN GERENCIA DE PROYECTOS CON ENFOQUE EN HABILIDADES DIRECTIVAS - CHï¿½A"/>
    <x v="88"/>
    <n v="119"/>
    <x v="1"/>
    <x v="0"/>
    <s v="Completa"/>
    <s v="Posgrado"/>
    <s v="INSTITUTO FORUM"/>
    <s v="https://ProfPlanta2024.sawtoothsoftware.com/cgi-bin/ciwweb.pl?studyname=ProfPlanta2024&amp;Correo=luz.villegas1@unisabana.edu.co03"/>
  </r>
  <r>
    <s v="manuel.figueredo@unisabana.edu.co"/>
    <s v="manuel.figueredo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manuel.figueredo@unisabana.edu.co01"/>
  </r>
  <r>
    <s v="manuel.figueredo@unisabana.edu.co"/>
    <s v="manuel.figueredo@unisabana.edu.co02"/>
    <s v="MAESTRï¿½A EN GERENCIA DE INGENIERï¿½A - CHï¿½A"/>
    <x v="1"/>
    <n v="74"/>
    <x v="1"/>
    <x v="0"/>
    <s v="Completa"/>
    <s v="Posgrado"/>
    <s v="FACULTAD DE INGENIERÍA"/>
    <s v="https://ProfPlanta2024.sawtoothsoftware.com/cgi-bin/ciwweb.pl?studyname=ProfPlanta2024&amp;Correo=manuel.figueredo@unisabana.edu.co02"/>
  </r>
  <r>
    <s v="manuel.figueredo@unisabana.edu.co"/>
    <s v="manuel.figueredo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manuel.figueredo@unisabana.edu.co1"/>
  </r>
  <r>
    <s v="manuel.gonzalez@unisabana.edu.co"/>
    <s v="manuel.gonzalez@unisabana.edu.co01"/>
    <s v="MAESTRï¿½A EN PERIODISMO Y COMUNICACIï¿½N DIGITAL"/>
    <x v="47"/>
    <n v="52"/>
    <x v="1"/>
    <x v="0"/>
    <s v="Completa"/>
    <s v="Posgrado"/>
    <s v="FACULTAD DE COMUNICACIÓN"/>
    <s v="https://ProfPlanta2024.sawtoothsoftware.com/cgi-bin/ciwweb.pl?studyname=ProfPlanta2024&amp;Correo=manuel.gonzalez@unisabana.edu.co01"/>
  </r>
  <r>
    <s v="manuel.pareja@unisabana.edu.co"/>
    <s v="manuel.pareja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manuel.pareja@unisabana.edu.co1"/>
  </r>
  <r>
    <s v="manuel.prada3@unisabana.edu.co"/>
    <s v="manuel.prada3@unisabana.edu.co07"/>
    <s v="MAESTRÃA EN PSICOLOGÃA CLINICA DE LA NIÃ‘EZ Y LA ADOLESCENCIA"/>
    <x v="120"/>
    <n v="205"/>
    <x v="1"/>
    <x v="1"/>
    <s v="Incompleta"/>
    <s v="Posgrado"/>
    <s v="FACULTAD DE PSICOLOGÍA"/>
    <s v="https://ProfPlanta2024.sawtoothsoftware.com/cgi-bin/ciwweb.pl?studyname=ProfPlanta2024&amp;Correo=manuel.prada3@unisabana.edu.co07"/>
  </r>
  <r>
    <s v="manuel.valero@unisabana.edu.co"/>
    <s v="manuel.valero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manuel.valero@unisabana.edu.co01"/>
  </r>
  <r>
    <s v="manuel.valero@unisabana.edu.co"/>
    <s v="manuel.valero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manuel.valero@unisabana.edu.co1"/>
  </r>
  <r>
    <s v="marcela.duran1@unisabana.edu.co"/>
    <s v="marcela.duran1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marcela.duran1@unisabana.edu.co1"/>
  </r>
  <r>
    <s v="marcela.duran1@unisabana.edu.co"/>
    <s v="marcela.duran1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marcela.duran1@unisabana.edu.co2"/>
  </r>
  <r>
    <s v="marcela.duran1@unisabana.edu.co"/>
    <s v="marcela.duran1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marcela.duran1@unisabana.edu.co3"/>
  </r>
  <r>
    <s v="marcos.ferreira@unisabana.edu.co"/>
    <s v="marcos.ferreira@unisabana.edu.co1"/>
    <s v="MERCADEO"/>
    <x v="24"/>
    <n v="156"/>
    <x v="1"/>
    <x v="0"/>
    <s v="Completa"/>
    <s v="Pregrado"/>
    <s v="ESCUELA INTERNACIONAL DE CIENCIAS ECONÓMICAS Y ADMINISTRATIVAS"/>
    <s v="https://ProfPlanta2024.sawtoothsoftware.com/cgi-bin/ciwweb.pl?studyname=ProfPlanta2024&amp;Correo=marcos.ferreira@unisabana.edu.co1"/>
  </r>
  <r>
    <s v="marcoscz@unisabana.edu.co"/>
    <s v="marcoscz@unisabana.edu.co01"/>
    <s v="ESPECIALIZACIï¿½N EN GINECOLOGï¿½A Y OBSTETRICIA"/>
    <x v="145"/>
    <n v="6"/>
    <x v="1"/>
    <x v="0"/>
    <s v="Completa"/>
    <s v="Posgrado"/>
    <s v="FACULTAD DE MEDICINA"/>
    <s v="https://ProfPlanta2024.sawtoothsoftware.com/cgi-bin/ciwweb.pl?studyname=ProfPlanta2024&amp;Correo=marcoscz@unisabana.edu.co01"/>
  </r>
  <r>
    <s v="marcoscz@unisabana.edu.co"/>
    <s v="marcoscz@unisabana.edu.co1"/>
    <s v="MEDICINA"/>
    <x v="4"/>
    <n v="42"/>
    <x v="1"/>
    <x v="1"/>
    <s v="Incompleta"/>
    <s v="Pregrado"/>
    <s v="FACULTAD DE MEDICINA"/>
    <s v="https://ProfPlanta2024.sawtoothsoftware.com/cgi-bin/ciwweb.pl?studyname=ProfPlanta2024&amp;Correo=marcoscz@unisabana.edu.co1"/>
  </r>
  <r>
    <s v="margarethalmo@unisabana.edu.co"/>
    <s v="margarethalmo@unisabana.edu.co01"/>
    <s v="MAESTRï¿½A EN FISIOTERAPIA"/>
    <x v="121"/>
    <n v="206"/>
    <x v="1"/>
    <x v="0"/>
    <s v="Completa"/>
    <s v="Posgrado"/>
    <s v="FACULTAD DE ENFERMERÍA Y REHABILITACIÓN"/>
    <s v="https://ProfPlanta2024.sawtoothsoftware.com/cgi-bin/ciwweb.pl?studyname=ProfPlanta2024&amp;Correo=margarethalmo@unisabana.edu.co01"/>
  </r>
  <r>
    <s v="margarethalmo@unisabana.edu.co"/>
    <s v="margarethalmo@unisabana.edu.co02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margarethalmo@unisabana.edu.co02"/>
  </r>
  <r>
    <s v="margarethalmo@unisabana.edu.co"/>
    <s v="margarethalm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argarethalmo@unisabana.edu.co1"/>
  </r>
  <r>
    <s v="margarita.cardenas@unisabana.edu.co"/>
    <s v="margarita.cardenas@unisabana.edu.co01"/>
    <s v="ESPECIALIZACIï¿½N EN CONTRATACIï¿½N ESTATAL - CHï¿½A"/>
    <x v="64"/>
    <n v="97"/>
    <x v="1"/>
    <x v="1"/>
    <s v="Incompleta"/>
    <s v="Posgrado"/>
    <s v="FACULTAD DE DERECHO Y CIENCIAS POLÍTICAS"/>
    <s v="https://ProfPlanta2024.sawtoothsoftware.com/cgi-bin/ciwweb.pl?studyname=ProfPlanta2024&amp;Correo=margarita.cardenas@unisabana.edu.co01"/>
  </r>
  <r>
    <s v="margarita.cardenas@unisabana.edu.co"/>
    <s v="margarita.cardenas@unisabana.edu.co02"/>
    <s v="MAESTRIA EN CONTRATACION ESTATAL"/>
    <x v="59"/>
    <n v="57"/>
    <x v="1"/>
    <x v="1"/>
    <s v="Incompleta"/>
    <s v="Posgrado"/>
    <s v="FACULTAD DE DERECHO Y CIENCIAS POLÍTICAS"/>
    <s v="https://ProfPlanta2024.sawtoothsoftware.com/cgi-bin/ciwweb.pl?studyname=ProfPlanta2024&amp;Correo=margarita.cardenas@unisabana.edu.co02"/>
  </r>
  <r>
    <s v="margarita.pomar@unisabana.edu.co"/>
    <s v="margarita.pomar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margarita.pomar@unisabana.edu.co01"/>
  </r>
  <r>
    <s v="margarita.pomar@unisabana.edu.co"/>
    <s v="margarita.pomar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margarita.pomar@unisabana.edu.co1"/>
  </r>
  <r>
    <s v="maria.abaunza@unisabana.edu.co"/>
    <s v="maria.abaunz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maria.abaunza@unisabana.edu.co1"/>
  </r>
  <r>
    <s v="maria.aguilar1@unisabana.edu.co"/>
    <s v="maria.aguilar1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maria.aguilar1@unisabana.edu.co1"/>
  </r>
  <r>
    <s v="maria.angel6@unisabana.edu.co"/>
    <s v="maria.angel6@unisabana.edu.co01"/>
    <s v="ESPECIALIZACIï¿½N EN TERAPIA MANUAL ORTOPï¿½DICA - CHï¿½A"/>
    <x v="11"/>
    <n v="105"/>
    <x v="1"/>
    <x v="0"/>
    <s v="Completa"/>
    <s v="Posgrado"/>
    <s v="FACULTAD DE ENFERMERÍA Y REHABILITACIÓN"/>
    <s v="https://ProfPlanta2024.sawtoothsoftware.com/cgi-bin/ciwweb.pl?studyname=ProfPlanta2024&amp;Correo=maria.angel6@unisabana.edu.co01"/>
  </r>
  <r>
    <s v="maria.angel6@unisabana.edu.co"/>
    <s v="maria.angel6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aria.angel6@unisabana.edu.co1"/>
  </r>
  <r>
    <s v="maria.arbelaez4@unisabana.edu.co"/>
    <s v="maria.arbelaez4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maria.arbelaez4@unisabana.edu.co2"/>
  </r>
  <r>
    <s v="maria.barrios1@unisabana.edu.co"/>
    <s v="maria.barrios1@unisabana.edu.co01"/>
    <s v="ESPECIALIZACIï¿½N EN MEDICINA FAMILIAR Y COMUNITARIA"/>
    <x v="69"/>
    <n v="8"/>
    <x v="1"/>
    <x v="0"/>
    <s v="Completa"/>
    <s v="Posgrado"/>
    <s v="FACULTAD DE MEDICINA"/>
    <s v="https://ProfPlanta2024.sawtoothsoftware.com/cgi-bin/ciwweb.pl?studyname=ProfPlanta2024&amp;Correo=maria.barrios1@unisabana.edu.co01"/>
  </r>
  <r>
    <s v="maria.correa3@unisabana.edu.co"/>
    <s v="maria.correa3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maria.correa3@unisabana.edu.co1"/>
  </r>
  <r>
    <s v="maria.deaza@unisabana.edu.co"/>
    <s v="maria.deaza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maria.deaza@unisabana.edu.co1"/>
  </r>
  <r>
    <s v="maria.docal@unisabana.edu.co"/>
    <s v="maria.docal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maria.docal@unisabana.edu.co01"/>
  </r>
  <r>
    <s v="maria.gonzalez2@unisabana.edu.co"/>
    <s v="Maria.Gonzalez2@unisabana.edu.co1"/>
    <s v="SERVICIO, HOSPITALIDAD Y CALIDAD"/>
    <x v="53"/>
    <n v="158"/>
    <x v="1"/>
    <x v="0"/>
    <s v="Completa"/>
    <s v="Pregrado"/>
    <s v="ESCUELA INTERNACIONAL DE CIENCIAS ECONÓMICAS Y ADMINISTRATIVAS"/>
    <s v="https://ProfPlanta2024.sawtoothsoftware.com/cgi-bin/ciwweb.pl?studyname=ProfPlanta2024&amp;Correo=Maria.Gonzalez2@unisabana.edu.co1"/>
  </r>
  <r>
    <s v="maria.jaramillo10@unisabana.edu.co"/>
    <s v="maria.jaramillo10@unisabana.edu.co1"/>
    <s v="FILOSOFï¿½A"/>
    <x v="60"/>
    <n v="35"/>
    <x v="1"/>
    <x v="0"/>
    <s v="Completa"/>
    <s v="Pregrado"/>
    <s v="FACULTAD DE FILOSOFÍA Y CIENCIAS HUMANAS"/>
    <s v="https://ProfPlanta2024.sawtoothsoftware.com/cgi-bin/ciwweb.pl?studyname=ProfPlanta2024&amp;Correo=maria.jaramillo10@unisabana.edu.co1"/>
  </r>
  <r>
    <s v="maria.macias1@unisabana.edu.co"/>
    <s v="maria.macias1@unisabana.edu.co01"/>
    <s v="MAESTRï¿½A EN GERENCIA ESTRATï¿½GICA"/>
    <x v="35"/>
    <n v="47"/>
    <x v="1"/>
    <x v="0"/>
    <s v="Completa"/>
    <s v="Posgrado"/>
    <s v="ESCUELA INTERNACIONAL DE CIENCIAS ECONÓMICAS Y ADMINISTRATIVAS"/>
    <s v="https://ProfPlanta2024.sawtoothsoftware.com/cgi-bin/ciwweb.pl?studyname=ProfPlanta2024&amp;Correo=maria.macias1@unisabana.edu.co01"/>
  </r>
  <r>
    <s v="maria.macias1@unisabana.edu.co"/>
    <s v="maria.macias1@unisabana.edu.co1"/>
    <s v="FINANZAS"/>
    <x v="20"/>
    <n v="153"/>
    <x v="1"/>
    <x v="0"/>
    <s v="Completa"/>
    <s v="Pregrado"/>
    <s v="ESCUELA INTERNACIONAL DE CIENCIAS ECONÓMICAS Y ADMINISTRATIVAS"/>
    <s v="https://ProfPlanta2024.sawtoothsoftware.com/cgi-bin/ciwweb.pl?studyname=ProfPlanta2024&amp;Correo=maria.macias1@unisabana.edu.co1"/>
  </r>
  <r>
    <s v="maria.maldonado@unisabana.edu.co"/>
    <s v="maria.maldonad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maria.maldonado@unisabana.edu.co1"/>
  </r>
  <r>
    <s v="maria.maldonado5@unisabana.edu.co"/>
    <s v="maria.maldonado5@unisabana.edu.co01"/>
    <s v="ESPECIALIZACIï¿½N EN PEDIATRï¿½A"/>
    <x v="79"/>
    <n v="14"/>
    <x v="1"/>
    <x v="1"/>
    <s v="Incompleta"/>
    <s v="Posgrado"/>
    <s v="FACULTAD DE MEDICINA"/>
    <s v="https://ProfPlanta2024.sawtoothsoftware.com/cgi-bin/ciwweb.pl?studyname=ProfPlanta2024&amp;Correo=maria.maldonado5@unisabana.edu.co01"/>
  </r>
  <r>
    <s v="maria.mazzanti@unisabana.edu.co"/>
    <s v="maria.mazzanti@unisabana.edu.co01"/>
    <s v="DOCTORADO EN BIOCIENCIAS"/>
    <x v="131"/>
    <n v="70"/>
    <x v="1"/>
    <x v="0"/>
    <s v="Completa"/>
    <s v="Posgrado"/>
    <s v="FACULTAD DE INGENIERÍA"/>
    <s v="https://ProfPlanta2024.sawtoothsoftware.com/cgi-bin/ciwweb.pl?studyname=ProfPlanta2024&amp;Correo=maria.mazzanti@unisabana.edu.co01"/>
  </r>
  <r>
    <s v="maria.mejia2@unisabana.edu.co"/>
    <s v="maria.mejia2@unisabana.edu.co01"/>
    <s v="ESPECIALIZACION EN PSICOLOGIA CLINICA DE LA NIï¿½EZ Y LA ADOLESCENCIA"/>
    <x v="72"/>
    <n v="107"/>
    <x v="1"/>
    <x v="0"/>
    <s v="Completa"/>
    <s v="Posgrado"/>
    <s v="FACULTAD DE PSICOLOGÍA"/>
    <s v="https://ProfPlanta2024.sawtoothsoftware.com/cgi-bin/ciwweb.pl?studyname=ProfPlanta2024&amp;Correo=maria.mejia2@unisabana.edu.co01"/>
  </r>
  <r>
    <s v="maria.mejia2@unisabana.edu.co"/>
    <s v="maria.mejia2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maria.mejia2@unisabana.edu.co1"/>
  </r>
  <r>
    <s v="maria.quintanilla1@unisabana.edu.co"/>
    <s v="maria.quintanilla1@unisabana.edu.co01"/>
    <s v="DOCTORADO EN BIOCIENCIAS"/>
    <x v="131"/>
    <n v="70"/>
    <x v="1"/>
    <x v="1"/>
    <s v="Incompleta"/>
    <s v="Posgrado"/>
    <s v="FACULTAD DE INGENIERÍA"/>
    <s v="https://ProfPlanta2024.sawtoothsoftware.com/cgi-bin/ciwweb.pl?studyname=ProfPlanta2024&amp;Correo=maria.quintanilla1@unisabana.edu.co01"/>
  </r>
  <r>
    <s v="maria.quintanilla1@unisabana.edu.co"/>
    <s v="maria.quintanilla1@unisabana.edu.co02"/>
    <s v="MAESTRï¿½A EN DISEï¿½O Y GESTIï¿½N DE PROCESOS - CHï¿½A"/>
    <x v="97"/>
    <n v="73"/>
    <x v="1"/>
    <x v="1"/>
    <s v="Incompleta"/>
    <s v="Posgrado"/>
    <s v="FACULTAD DE INGENIERÍA"/>
    <s v="https://ProfPlanta2024.sawtoothsoftware.com/cgi-bin/ciwweb.pl?studyname=ProfPlanta2024&amp;Correo=maria.quintanilla1@unisabana.edu.co02"/>
  </r>
  <r>
    <s v="maria.quintanilla1@unisabana.edu.co"/>
    <s v="maria.quintanilla1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maria.quintanilla1@unisabana.edu.co1"/>
  </r>
  <r>
    <s v="maria.quiroz@unisabana.edu.co"/>
    <s v="maria.quiroz@unisabana.edu.co01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maria.quiroz@unisabana.edu.co01"/>
  </r>
  <r>
    <s v="maria.quiroz@unisabana.edu.co"/>
    <s v="maria.quiroz@unisabana.edu.co07"/>
    <s v="Doctorado en PsicologÃ­a"/>
    <x v="119"/>
    <n v="201"/>
    <x v="1"/>
    <x v="1"/>
    <s v="Incompleta"/>
    <s v="Posgrado"/>
    <s v="FACULTAD DE PSICOLOGÍA"/>
    <s v="https://ProfPlanta2024.sawtoothsoftware.com/cgi-bin/ciwweb.pl?studyname=ProfPlanta2024&amp;Correo=maria.quiroz@unisabana.edu.co07"/>
  </r>
  <r>
    <s v="maria.quiroz@unisabana.edu.co"/>
    <s v="maria.quiroz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maria.quiroz@unisabana.edu.co1"/>
  </r>
  <r>
    <s v="maria.rojas22@unisabana.edu.co"/>
    <s v="maria.rojas22@unisabana.edu.co01"/>
    <s v="ESPECIALIZACIï¿½N EN ENFERMERï¿½A EN CUIDADO CRï¿½TICO - CHï¿½A"/>
    <x v="10"/>
    <n v="104"/>
    <x v="1"/>
    <x v="1"/>
    <s v="Incompleta"/>
    <s v="Posgrado"/>
    <s v="FACULTAD DE ENFERMERÍA Y REHABILITACIÓN"/>
    <s v="https://ProfPlanta2024.sawtoothsoftware.com/cgi-bin/ciwweb.pl?studyname=ProfPlanta2024&amp;Correo=maria.rojas22@unisabana.edu.co01"/>
  </r>
  <r>
    <s v="maria.rojas22@unisabana.edu.co"/>
    <s v="maria.rojas22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maria.rojas22@unisabana.edu.co1"/>
  </r>
  <r>
    <s v="maria.sanchez2@unisabana.edu.co"/>
    <s v="maria.sanchez2@unisabana.edu.co01"/>
    <s v="ESPECIALIZACIï¿½N EN TERAPIA MANUAL ORTOPï¿½DICA - CHï¿½A"/>
    <x v="11"/>
    <n v="105"/>
    <x v="1"/>
    <x v="0"/>
    <s v="Completa"/>
    <s v="Posgrado"/>
    <s v="FACULTAD DE ENFERMERÍA Y REHABILITACIÓN"/>
    <s v="https://ProfPlanta2024.sawtoothsoftware.com/cgi-bin/ciwweb.pl?studyname=ProfPlanta2024&amp;Correo=maria.sanchez2@unisabana.edu.co01"/>
  </r>
  <r>
    <s v="maria.sanchez2@unisabana.edu.co"/>
    <s v="maria.sanchez2@unisabana.edu.co02"/>
    <s v="MAESTRï¿½A EN FISIOTERAPIA"/>
    <x v="121"/>
    <n v="206"/>
    <x v="1"/>
    <x v="1"/>
    <s v="Incompleta"/>
    <s v="Posgrado"/>
    <s v="FACULTAD DE ENFERMERÍA Y REHABILITACIÓN"/>
    <s v="https://ProfPlanta2024.sawtoothsoftware.com/cgi-bin/ciwweb.pl?studyname=ProfPlanta2024&amp;Correo=maria.sanchez2@unisabana.edu.co02"/>
  </r>
  <r>
    <s v="maria.sanchez2@unisabana.edu.co"/>
    <s v="maria.sanchez2@unisabana.edu.co03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maria.sanchez2@unisabana.edu.co03"/>
  </r>
  <r>
    <s v="maria.sanchez2@unisabana.edu.co"/>
    <s v="maria.sanchez2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aria.sanchez2@unisabana.edu.co1"/>
  </r>
  <r>
    <s v="maria.tovar5@unisabana.edu.co"/>
    <s v="maria.tovar5@unisabana.edu.co01"/>
    <s v="ESPECIALIZACIï¿½N EN PEDIATRï¿½A"/>
    <x v="79"/>
    <n v="14"/>
    <x v="1"/>
    <x v="0"/>
    <s v="Completa"/>
    <s v="Posgrado"/>
    <s v="FACULTAD DE MEDICINA"/>
    <s v="https://ProfPlanta2024.sawtoothsoftware.com/cgi-bin/ciwweb.pl?studyname=ProfPlanta2024&amp;Correo=maria.tovar5@unisabana.edu.co01"/>
  </r>
  <r>
    <s v="maria.umbacia@unisabana.edu.co"/>
    <s v="maria.umbacia@unisabana.edu.co01"/>
    <s v="ESPECIALIZACIï¿½N EN MEDICINA DEL DOLOR Y CUIDADOS PALIATIVOS"/>
    <x v="134"/>
    <n v="18"/>
    <x v="1"/>
    <x v="0"/>
    <s v="Completa"/>
    <s v="Posgrado"/>
    <s v="FACULTAD DE MEDICINA"/>
    <s v="https://ProfPlanta2024.sawtoothsoftware.com/cgi-bin/ciwweb.pl?studyname=ProfPlanta2024&amp;Correo=maria.umbacia@unisabana.edu.co01"/>
  </r>
  <r>
    <s v="maria.umbacia@unisabana.edu.co"/>
    <s v="maria.umbaci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maria.umbacia@unisabana.edu.co1"/>
  </r>
  <r>
    <s v="maria.uribe3@unisabana.edu.co"/>
    <s v="maria.uribe3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aria.uribe3@unisabana.edu.co1"/>
  </r>
  <r>
    <s v="maria.velasco2@unisabana.edu.co"/>
    <s v="maria.velasco2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maria.velasco2@unisabana.edu.co1"/>
  </r>
  <r>
    <s v="mariae.moreno@unisabana.edu.co"/>
    <s v="mariae.moreno@unisabana.edu.co01"/>
    <s v="DOCTORADO EN ENFERMERï¿½A"/>
    <x v="133"/>
    <n v="66"/>
    <x v="1"/>
    <x v="0"/>
    <s v="Completa"/>
    <s v="Posgrado"/>
    <s v="FACULTAD DE ENFERMERÍA Y REHABILITACIÓN"/>
    <s v="https://ProfPlanta2024.sawtoothsoftware.com/cgi-bin/ciwweb.pl?studyname=ProfPlanta2024&amp;Correo=mariae.moreno@unisabana.edu.co01"/>
  </r>
  <r>
    <s v="mariae.moreno@unisabana.edu.co"/>
    <s v="mariae.moreno@unisabana.edu.co02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mariae.moreno@unisabana.edu.co02"/>
  </r>
  <r>
    <s v="mariae.moreno@unisabana.edu.co"/>
    <s v="mariae.moreno@unisabana.edu.co03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mariae.moreno@unisabana.edu.co03"/>
  </r>
  <r>
    <s v="mariae.moreno@unisabana.edu.co"/>
    <s v="mariae.moreno@unisabana.edu.co04"/>
    <s v="MAESTRï¿½A EN ENFERMERï¿½A - VIRTUAL"/>
    <x v="13"/>
    <n v="94"/>
    <x v="1"/>
    <x v="0"/>
    <s v="Completa"/>
    <s v="Posgrado"/>
    <s v="FACULTAD DE ENFERMERÍA Y REHABILITACIÓN"/>
    <s v="https://ProfPlanta2024.sawtoothsoftware.com/cgi-bin/ciwweb.pl?studyname=ProfPlanta2024&amp;Correo=mariae.moreno@unisabana.edu.co04"/>
  </r>
  <r>
    <s v="mariasc@unisabana.edu.co"/>
    <s v="mariasc@unisabana.edu.co1"/>
    <s v="INNOVACIï¿½N Y EMPRENDIMIENTO"/>
    <x v="58"/>
    <n v="155"/>
    <x v="1"/>
    <x v="0"/>
    <s v="Completa"/>
    <s v="Pregrado"/>
    <s v="ESCUELA INTERNACIONAL DE CIENCIAS ECONÓMICAS Y ADMINISTRATIVAS"/>
    <s v="https://ProfPlanta2024.sawtoothsoftware.com/cgi-bin/ciwweb.pl?studyname=ProfPlanta2024&amp;Correo=mariasc@unisabana.edu.co1"/>
  </r>
  <r>
    <s v="maricela.montes@unisabana.edu.co"/>
    <s v="maricela.montes@unisabana.edu.co01"/>
    <s v="DOCTORADO EN ADMINISTRACIï¿½N DE ORGANIZACIONES"/>
    <x v="141"/>
    <n v="44"/>
    <x v="1"/>
    <x v="0"/>
    <s v="Completa"/>
    <s v="Posgrado"/>
    <s v="ESCUELA INTERNACIONAL DE CIENCIAS ECONÓMICAS Y ADMINISTRATIVAS"/>
    <s v="https://ProfPlanta2024.sawtoothsoftware.com/cgi-bin/ciwweb.pl?studyname=ProfPlanta2024&amp;Correo=maricela.montes@unisabana.edu.co01"/>
  </r>
  <r>
    <s v="maricela.montes@unisabana.edu.co"/>
    <s v="maricela.montes@unisabana.edu.co1"/>
    <s v="SERVICIO, HOSPITALIDAD Y CALIDAD"/>
    <x v="53"/>
    <n v="158"/>
    <x v="1"/>
    <x v="0"/>
    <s v="Completa"/>
    <s v="Pregrado"/>
    <s v="ESCUELA INTERNACIONAL DE CIENCIAS ECONÓMICAS Y ADMINISTRATIVAS"/>
    <s v="https://ProfPlanta2024.sawtoothsoftware.com/cgi-bin/ciwweb.pl?studyname=ProfPlanta2024&amp;Correo=maricela.montes@unisabana.edu.co1"/>
  </r>
  <r>
    <s v="mario.juha@unisabana.edu.co"/>
    <s v="mario.juha@unisabana.edu.co01"/>
    <s v="DOCTORADO EN INGENIERï¿½A"/>
    <x v="140"/>
    <n v="72"/>
    <x v="1"/>
    <x v="0"/>
    <s v="Completa"/>
    <s v="Posgrado"/>
    <s v="FACULTAD DE INGENIERÍA"/>
    <s v="https://ProfPlanta2024.sawtoothsoftware.com/cgi-bin/ciwweb.pl?studyname=ProfPlanta2024&amp;Correo=mario.juha@unisabana.edu.co01"/>
  </r>
  <r>
    <s v="mario.juha@unisabana.edu.co"/>
    <s v="mario.juha@unisabana.edu.co02"/>
    <s v="MAESTRï¿½A EN GERENCIA DE INGENIERï¿½A - CHï¿½A"/>
    <x v="1"/>
    <n v="74"/>
    <x v="1"/>
    <x v="1"/>
    <s v="Incompleta"/>
    <s v="Posgrado"/>
    <s v="FACULTAD DE INGENIERÍA"/>
    <s v="https://ProfPlanta2024.sawtoothsoftware.com/cgi-bin/ciwweb.pl?studyname=ProfPlanta2024&amp;Correo=mario.juha@unisabana.edu.co02"/>
  </r>
  <r>
    <s v="mario.juha@unisabana.edu.co"/>
    <s v="mario.juha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mario.juha@unisabana.edu.co1"/>
  </r>
  <r>
    <s v="mario.martinez@unisabana.edu.co"/>
    <s v="mario.martinez@unisabana.edu.co1"/>
    <s v="ADMINISTRACIï¿½N Y ORGANIZACIONES"/>
    <x v="21"/>
    <n v="150"/>
    <x v="1"/>
    <x v="0"/>
    <s v="Completa"/>
    <s v="Pregrado"/>
    <s v="ESCUELA INTERNACIONAL DE CIENCIAS ECONÓMICAS Y ADMINISTRATIVAS"/>
    <s v="https://ProfPlanta2024.sawtoothsoftware.com/cgi-bin/ciwweb.pl?studyname=ProfPlanta2024&amp;Correo=mario.martinez@unisabana.edu.co1"/>
  </r>
  <r>
    <s v="maritzarp@unisabana.edu.co"/>
    <s v="MaritzaRP@unisabana.edu.co01"/>
    <s v="MAESTRIA EN PSICOLOGIA"/>
    <x v="123"/>
    <n v="80"/>
    <x v="1"/>
    <x v="0"/>
    <s v="Completa"/>
    <s v="Posgrado"/>
    <s v="FACULTAD DE PSICOLOGÍA"/>
    <s v="https://ProfPlanta2024.sawtoothsoftware.com/cgi-bin/ciwweb.pl?studyname=ProfPlanta2024&amp;Correo=MaritzaRP@unisabana.edu.co01"/>
  </r>
  <r>
    <s v="maritzarp@unisabana.edu.co"/>
    <s v="MaritzaRP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MaritzaRP@unisabana.edu.co1"/>
  </r>
  <r>
    <s v="martha.acosta@unisabana.edu.co"/>
    <s v="martha.acosta@unisabana.edu.co01"/>
    <s v="MAESTRï¿½A EN FISIOTERAPIA"/>
    <x v="121"/>
    <n v="206"/>
    <x v="1"/>
    <x v="1"/>
    <s v="Incompleta"/>
    <s v="Posgrado"/>
    <s v="FACULTAD DE ENFERMERÍA Y REHABILITACIÓN"/>
    <s v="https://ProfPlanta2024.sawtoothsoftware.com/cgi-bin/ciwweb.pl?studyname=ProfPlanta2024&amp;Correo=martha.acosta@unisabana.edu.co01"/>
  </r>
  <r>
    <s v="martha.acosta@unisabana.edu.co"/>
    <s v="martha.acosta@unisabana.edu.co02"/>
    <s v="MAESTRï¿½A EN FISIOTERAPIA  - VIRTUAL"/>
    <x v="121"/>
    <n v="206"/>
    <x v="1"/>
    <x v="1"/>
    <s v="Incompleta"/>
    <s v="Posgrado"/>
    <s v="FACULTAD DE ENFERMERÍA Y REHABILITACIÓN"/>
    <s v="https://ProfPlanta2024.sawtoothsoftware.com/cgi-bin/ciwweb.pl?studyname=ProfPlanta2024&amp;Correo=martha.acosta@unisabana.edu.co02"/>
  </r>
  <r>
    <s v="martha.acosta@unisabana.edu.co"/>
    <s v="martha.acosta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artha.acosta@unisabana.edu.co1"/>
  </r>
  <r>
    <s v="martha.co0bo@unisabana.edu.co"/>
    <s v="martha.co0bo@unisabana.edu.co01"/>
    <s v="DOCTORADO EN INGENIERï¿½A"/>
    <x v="140"/>
    <n v="72"/>
    <x v="1"/>
    <x v="0"/>
    <s v="Completa"/>
    <s v="Posgrado"/>
    <s v="FACULTAD DE INGENIERÍA"/>
    <s v="https://ProfPlanta2024.sawtoothsoftware.com/cgi-bin/ciwweb.pl?studyname=ProfPlanta2024&amp;Correo=martha.co0bo@unisabana.edu.co01"/>
  </r>
  <r>
    <s v="martha.co0bo@unisabana.edu.co"/>
    <s v="martha.co0bo@unisabana.edu.co02"/>
    <s v="MAESTRï¿½A EN DISEï¿½O Y GESTIï¿½N DE PROCESOS - CHï¿½A"/>
    <x v="97"/>
    <n v="73"/>
    <x v="1"/>
    <x v="1"/>
    <s v="Incompleta"/>
    <s v="Posgrado"/>
    <s v="FACULTAD DE INGENIERÍA"/>
    <s v="https://ProfPlanta2024.sawtoothsoftware.com/cgi-bin/ciwweb.pl?studyname=ProfPlanta2024&amp;Correo=martha.co0bo@unisabana.edu.co02"/>
  </r>
  <r>
    <s v="martha.gonzalez@unisabana.edu.co"/>
    <s v="martha.gonzalez@unisabana.edu.co07"/>
    <s v="Doctorado en PsicologÃ­a"/>
    <x v="119"/>
    <n v="201"/>
    <x v="1"/>
    <x v="0"/>
    <s v="Completa"/>
    <s v="Posgrado"/>
    <s v="FACULTAD DE PSICOLOGÍA"/>
    <s v="https://ProfPlanta2024.sawtoothsoftware.com/cgi-bin/ciwweb.pl?studyname=ProfPlanta2024&amp;Correo=martha.gonzalez@unisabana.edu.co07"/>
  </r>
  <r>
    <s v="martha.leon@unisabana.edu.co"/>
    <s v="martha.leon@unisabana.edu.co01"/>
    <s v="ESPECIALIZACIï¿½N EN MEDICINA DEL DOLOR Y CUIDADOS PALIATIVOS"/>
    <x v="134"/>
    <n v="18"/>
    <x v="1"/>
    <x v="0"/>
    <s v="Completa"/>
    <s v="Posgrado"/>
    <s v="FACULTAD DE MEDICINA"/>
    <s v="https://ProfPlanta2024.sawtoothsoftware.com/cgi-bin/ciwweb.pl?studyname=ProfPlanta2024&amp;Correo=martha.leon@unisabana.edu.co01"/>
  </r>
  <r>
    <s v="martha.leon@unisabana.edu.co"/>
    <s v="martha.leon@unisabana.edu.co1"/>
    <s v="MEDICINA"/>
    <x v="4"/>
    <n v="42"/>
    <x v="1"/>
    <x v="1"/>
    <s v="Incompleta"/>
    <s v="Pregrado"/>
    <s v="FACULTAD DE MEDICINA"/>
    <s v="https://ProfPlanta2024.sawtoothsoftware.com/cgi-bin/ciwweb.pl?studyname=ProfPlanta2024&amp;Correo=martha.leon@unisabana.edu.co1"/>
  </r>
  <r>
    <s v="martha.miranda@unisabana.edu.co"/>
    <s v="martha.mirand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martha.miranda@unisabana.edu.co1"/>
  </r>
  <r>
    <s v="martha.misas@unisabana.edu.co"/>
    <s v="martha.misas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martha.misas@unisabana.edu.co1"/>
  </r>
  <r>
    <s v="martha.roa@unisabana.edu.co"/>
    <s v="martha.ro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martha.roa@unisabana.edu.co1"/>
  </r>
  <r>
    <s v="maryorygl@unisabana.edu.co"/>
    <s v="Maryorygl@unisabana.edu.co01"/>
    <s v="MAESTRï¿½A EN ENFERMERï¿½A"/>
    <x v="12"/>
    <n v="67"/>
    <x v="1"/>
    <x v="0"/>
    <s v="Completa"/>
    <s v="Posgrado"/>
    <s v="FACULTAD DE ENFERMERÍA Y REHABILITACIÓN"/>
    <s v="https://ProfPlanta2024.sawtoothsoftware.com/cgi-bin/ciwweb.pl?studyname=ProfPlanta2024&amp;Correo=Maryorygl@unisabana.edu.co01"/>
  </r>
  <r>
    <s v="mauricio.agudelo@unisabana.edu.co"/>
    <s v="mauricio.agudelo@unisabana.edu.co01"/>
    <s v="MAESTRï¿½A EN DISEï¿½O Y GESTIï¿½N DE PROCESOS - CHï¿½A"/>
    <x v="97"/>
    <n v="73"/>
    <x v="1"/>
    <x v="1"/>
    <s v="Incompleta"/>
    <s v="Posgrado"/>
    <s v="FACULTAD DE INGENIERÍA"/>
    <s v="https://ProfPlanta2024.sawtoothsoftware.com/cgi-bin/ciwweb.pl?studyname=ProfPlanta2024&amp;Correo=mauricio.agudelo@unisabana.edu.co01"/>
  </r>
  <r>
    <s v="mauricio.agudelo@unisabana.edu.co"/>
    <s v="mauricio.agudelo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mauricio.agudelo@unisabana.edu.co1"/>
  </r>
  <r>
    <s v="mauricio.agudelo@unisabana.edu.co"/>
    <s v="mauricio.agudelo@unisabana.edu.co2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mauricio.agudelo@unisabana.edu.co2"/>
  </r>
  <r>
    <s v="mauricio.sanchez2@unisabana.edu.co"/>
    <s v="mauricio.sanchez2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mauricio.sanchez2@unisabana.edu.co1"/>
  </r>
  <r>
    <s v="mauricio.ulloa@unisabana.edu.co"/>
    <s v="mauricio.ulloa@unisabana.edu.co01"/>
    <s v="ESPECIALIZACIï¿½N EN MEDICINA FAMILIAR Y COMUNITARIA"/>
    <x v="69"/>
    <n v="8"/>
    <x v="1"/>
    <x v="0"/>
    <s v="Completa"/>
    <s v="Posgrado"/>
    <s v="FACULTAD DE MEDICINA"/>
    <s v="https://ProfPlanta2024.sawtoothsoftware.com/cgi-bin/ciwweb.pl?studyname=ProfPlanta2024&amp;Correo=mauricio.ulloa@unisabana.edu.co01"/>
  </r>
  <r>
    <s v="mauricio.ulloa@unisabana.edu.co"/>
    <s v="mauricio.ullo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mauricio.ulloa@unisabana.edu.co1"/>
  </r>
  <r>
    <s v="miguel.sarmiento@unisabana.edu.co"/>
    <s v="miguel.sarmiento@unisabana.edu.co1"/>
    <s v="INGENIERï¿½A CIVIL"/>
    <x v="49"/>
    <n v="36"/>
    <x v="1"/>
    <x v="0"/>
    <s v="Completa"/>
    <s v="Pregrado"/>
    <s v="FACULTAD DE INGENIERÍA"/>
    <s v="https://ProfPlanta2024.sawtoothsoftware.com/cgi-bin/ciwweb.pl?studyname=ProfPlanta2024&amp;Correo=miguel.sarmiento@unisabana.edu.co1"/>
  </r>
  <r>
    <s v="miguel.uribe1@unisabana.edu.co"/>
    <s v="miguel.uribe1@unisabana.edu.co1"/>
    <s v="INGENIERï¿½A INDUSTRIAL"/>
    <x v="28"/>
    <n v="38"/>
    <x v="1"/>
    <x v="1"/>
    <s v="Incompleta"/>
    <s v="Pregrado"/>
    <s v="FACULTAD DE INGENIERÍA"/>
    <s v="https://ProfPlanta2024.sawtoothsoftware.com/cgi-bin/ciwweb.pl?studyname=ProfPlanta2024&amp;Correo=miguel.uribe1@unisabana.edu.co1"/>
  </r>
  <r>
    <s v="milena.saavedra@unisabana.edu.co"/>
    <s v="milena.saavedra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milena.saavedra@unisabana.edu.co1"/>
  </r>
  <r>
    <s v="monica.diaz1@unisabana.edu.co"/>
    <s v="MONICA.DIAZ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MONICA.DIAZ1@UNISABANA.EDU.CO1"/>
  </r>
  <r>
    <s v="monica.hurtado@unisabana.edu.co"/>
    <s v="monica.hurtado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monica.hurtado@unisabana.edu.co1"/>
  </r>
  <r>
    <s v="nadia.proanos1@unisabana.edu.co"/>
    <s v="nadia.proanos1@unisabana.edu.co01"/>
    <s v="MAESTRï¿½A EN EPIDEMIOLOGï¿½A"/>
    <x v="83"/>
    <n v="77"/>
    <x v="1"/>
    <x v="0"/>
    <s v="Completa"/>
    <s v="Posgrado"/>
    <s v="FACULTAD DE MEDICINA"/>
    <s v="https://ProfPlanta2024.sawtoothsoftware.com/cgi-bin/ciwweb.pl?studyname=ProfPlanta2024&amp;Correo=nadia.proanos1@unisabana.edu.co01"/>
  </r>
  <r>
    <s v="nadia.proanos1@unisabana.edu.co"/>
    <s v="nadia.proanos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nadia.proanos1@unisabana.edu.co1"/>
  </r>
  <r>
    <s v="nancy.munoz@unisabana.edu.co"/>
    <s v="nancy.munoz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nancy.munoz@unisabana.edu.co1"/>
  </r>
  <r>
    <s v="natalia.arango1@unisabana.edu.co"/>
    <s v="natalia.arango1@unisabana.edu.co1"/>
    <s v="INGENIERï¿½A CIVIL"/>
    <x v="49"/>
    <n v="36"/>
    <x v="1"/>
    <x v="0"/>
    <s v="Completa"/>
    <s v="Pregrado"/>
    <s v="FACULTAD DE INGENIERÍA"/>
    <s v="https://ProfPlanta2024.sawtoothsoftware.com/cgi-bin/ciwweb.pl?studyname=ProfPlanta2024&amp;Correo=natalia.arango1@unisabana.edu.co1"/>
  </r>
  <r>
    <s v="natalia.arango1@unisabana.edu.co"/>
    <s v="natalia.arango1@unisabana.edu.co2"/>
    <s v="INGENIERï¿½A CIVIL"/>
    <x v="49"/>
    <n v="36"/>
    <x v="1"/>
    <x v="0"/>
    <s v="Completa"/>
    <s v="Pregrado"/>
    <s v="FACULTAD DE INGENIERÍA"/>
    <s v="https://ProfPlanta2024.sawtoothsoftware.com/cgi-bin/ciwweb.pl?studyname=ProfPlanta2024&amp;Correo=natalia.arango1@unisabana.edu.co2"/>
  </r>
  <r>
    <s v="natalia.co0nde@unisabana.edu.co"/>
    <s v="natalia.co0nde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natalia.co0nde@unisabana.edu.co01"/>
  </r>
  <r>
    <s v="natalia.conde@unisabana.edu.co"/>
    <s v="natalia.conde@unisabana.edu.co1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natalia.conde@unisabana.edu.co1"/>
  </r>
  <r>
    <s v="natalia.conde@unisabana.edu.co"/>
    <s v="natalia.conde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natalia.conde@unisabana.edu.co2"/>
  </r>
  <r>
    <s v="neil.valentin@unisabana.edu.co"/>
    <s v="neil.valentin@unisabana.edu.co01"/>
    <s v="ESPECIALIZACIï¿½N EN CIRUGï¿½A GENERAL"/>
    <x v="80"/>
    <n v="2"/>
    <x v="1"/>
    <x v="0"/>
    <s v="Completa"/>
    <s v="Posgrado"/>
    <s v="FACULTAD DE MEDICINA"/>
    <s v="https://ProfPlanta2024.sawtoothsoftware.com/cgi-bin/ciwweb.pl?studyname=ProfPlanta2024&amp;Correo=neil.valentin@unisabana.edu.co01"/>
  </r>
  <r>
    <s v="neil.valentin@unisabana.edu.co"/>
    <s v="neil.valentin@unisabana.edu.co1"/>
    <s v="MEDICINA"/>
    <x v="4"/>
    <n v="42"/>
    <x v="1"/>
    <x v="1"/>
    <s v="Incompleta"/>
    <s v="Pregrado"/>
    <s v="FACULTAD DE MEDICINA"/>
    <s v="https://ProfPlanta2024.sawtoothsoftware.com/cgi-bin/ciwweb.pl?studyname=ProfPlanta2024&amp;Correo=neil.valentin@unisabana.edu.co1"/>
  </r>
  <r>
    <s v="neila.diaz@unisabana.edu.co"/>
    <s v="neila.diaz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neila.diaz@unisabana.edu.co1"/>
  </r>
  <r>
    <s v="nelly.ojeda@unisabana.edu.co"/>
    <s v="nelly.ojeda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nelly.ojeda@unisabana.edu.co1"/>
  </r>
  <r>
    <s v="nestor.sanchez1@unisabana.edu.co"/>
    <s v="nestor.sanchez1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nestor.sanchez1@unisabana.edu.co01"/>
  </r>
  <r>
    <s v="nestor.sanchez1@unisabana.edu.co"/>
    <s v="nestor.sanchez1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nestor.sanchez1@unisabana.edu.co1"/>
  </r>
  <r>
    <s v="nicolas.garzon@unisabana.edu.co"/>
    <s v="nicolas.garzon@unisabana.edu.co01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nicolas.garzon@unisabana.edu.co01"/>
  </r>
  <r>
    <s v="nicolas.garzon@unisabana.edu.co"/>
    <s v="nicolas.garzon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nicolas.garzon@unisabana.edu.co1"/>
  </r>
  <r>
    <s v="nicolas.rodriguez5@unisabana.edu.co"/>
    <s v="nicolas.rodriguez5@unisabana.edu.co01"/>
    <s v="ESPECIALIZACION EN PSICOLOGIA CLINICA DE LA NIï¿½EZ Y LA ADOLESCENCIA"/>
    <x v="72"/>
    <n v="107"/>
    <x v="1"/>
    <x v="0"/>
    <s v="Completa"/>
    <s v="Posgrado"/>
    <s v="FACULTAD DE PSICOLOGÍA"/>
    <s v="https://ProfPlanta2024.sawtoothsoftware.com/cgi-bin/ciwweb.pl?studyname=ProfPlanta2024&amp;Correo=nicolas.rodriguez5@unisabana.edu.co01"/>
  </r>
  <r>
    <s v="nohora.angulo@unisabana.edu.co"/>
    <s v="nohora.angul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nohora.angulo@unisabana.edu.co1"/>
  </r>
  <r>
    <s v="olga.restrepo@unisabana.edu.co"/>
    <s v="olga.restrep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olga.restrepo@unisabana.edu.co1"/>
  </r>
  <r>
    <s v="olga.reyes1@unisabana.edu.co"/>
    <s v="olga.reyes1@unisabana.edu.co01"/>
    <s v="DOCTORADO EN EDUCACIï¿½N"/>
    <x v="138"/>
    <n v="58"/>
    <x v="1"/>
    <x v="1"/>
    <s v="Incompleta"/>
    <s v="Posgrado"/>
    <s v="FACULTAD DE EDUCACIÓN"/>
    <s v="https://ProfPlanta2024.sawtoothsoftware.com/cgi-bin/ciwweb.pl?studyname=ProfPlanta2024&amp;Correo=olga.reyes1@unisabana.edu.co01"/>
  </r>
  <r>
    <s v="olga.reyes1@unisabana.edu.co"/>
    <s v="olga.reyes1@unisabana.edu.co02"/>
    <s v="ESPECIALIZACIï¿½N EN PEDAGOGï¿½A E INVESTIGACIï¿½N EN EL AULA"/>
    <x v="94"/>
    <n v="123"/>
    <x v="1"/>
    <x v="1"/>
    <s v="Incompleta"/>
    <s v="Posgrado"/>
    <s v="FACULTAD DE EDUCACIÓN"/>
    <s v="https://ProfPlanta2024.sawtoothsoftware.com/cgi-bin/ciwweb.pl?studyname=ProfPlanta2024&amp;Correo=olga.reyes1@unisabana.edu.co02"/>
  </r>
  <r>
    <s v="olga.reyes1@unisabana.edu.co"/>
    <s v="olga.reyes1@unisabana.edu.co03"/>
    <s v="MAESTRï¿½A EN PEDAGOGï¿½A E INVESTIGACIï¿½N EN AULA - VIRTUAL"/>
    <x v="107"/>
    <n v="85"/>
    <x v="1"/>
    <x v="0"/>
    <s v="Incompleta"/>
    <s v="Posgrado"/>
    <s v="FACULTAD DE EDUCACIÓN"/>
    <s v="https://ProfPlanta2024.sawtoothsoftware.com/cgi-bin/ciwweb.pl?studyname=ProfPlanta2024&amp;Correo=olga.reyes1@unisabana.edu.co03"/>
  </r>
  <r>
    <s v="olga.reyes1@unisabana.edu.co"/>
    <s v="olga.reyes1@unisabana.edu.co04"/>
    <s v="MAESTRï¿½A EN PEDAGOGIA E INVESTIGACIï¿½N EN EL AULA"/>
    <x v="107"/>
    <n v="85"/>
    <x v="1"/>
    <x v="1"/>
    <s v="Incompleta"/>
    <s v="Posgrado"/>
    <s v="FACULTAD DE EDUCACIÓN"/>
    <s v="https://ProfPlanta2024.sawtoothsoftware.com/cgi-bin/ciwweb.pl?studyname=ProfPlanta2024&amp;Correo=olga.reyes1@unisabana.edu.co04"/>
  </r>
  <r>
    <s v="olga.reyes1@unisabana.edu.co"/>
    <s v="olga.reyes1@unisabana.edu.co1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olga.reyes1@unisabana.edu.co1"/>
  </r>
  <r>
    <s v="omar.arias1@unisabana.edu.co"/>
    <s v="omar.arias1@unisabana.edu.co1"/>
    <s v="ECONOMï¿½A"/>
    <x v="40"/>
    <n v="152"/>
    <x v="1"/>
    <x v="0"/>
    <s v="Completa"/>
    <s v="Pregrado"/>
    <s v="ESCUELA INTERNACIONAL DE CIENCIAS ECONÓMICAS Y ADMINISTRATIVAS"/>
    <s v="https://ProfPlanta2024.sawtoothsoftware.com/cgi-bin/ciwweb.pl?studyname=ProfPlanta2024&amp;Correo=omar.arias1@unisabana.edu.co1"/>
  </r>
  <r>
    <s v="oscar.boude@unisabana.edu.co"/>
    <s v="oscar.boude@unisabana.edu.co01"/>
    <s v="DOCTORADO EN EDUCACIï¿½N"/>
    <x v="138"/>
    <n v="58"/>
    <x v="1"/>
    <x v="0"/>
    <s v="Completa"/>
    <s v="Posgrado"/>
    <s v="FACULTAD DE EDUCACIÓN"/>
    <s v="https://ProfPlanta2024.sawtoothsoftware.com/cgi-bin/ciwweb.pl?studyname=ProfPlanta2024&amp;Correo=oscar.boude@unisabana.edu.co01"/>
  </r>
  <r>
    <s v="oscar.boude@unisabana.edu.co"/>
    <s v="oscar.boude@unisabana.edu.co02"/>
    <s v="DOCTORADO EN INNOVACIï¿½N EDUCATIVA CON USO DE TIC"/>
    <x v="128"/>
    <n v="59"/>
    <x v="1"/>
    <x v="0"/>
    <s v="Completa"/>
    <s v="Posgrado"/>
    <s v="FACULTAD DE EDUCACIÓN"/>
    <s v="https://ProfPlanta2024.sawtoothsoftware.com/cgi-bin/ciwweb.pl?studyname=ProfPlanta2024&amp;Correo=oscar.boude@unisabana.edu.co02"/>
  </r>
  <r>
    <s v="oscar.boude@unisabana.edu.co"/>
    <s v="oscar.boude@unisabana.edu.co03"/>
    <s v="MAESTRï¿½A EN INNOVACIï¿½N EDUCATIVA MEDIADA POR TIC"/>
    <x v="124"/>
    <n v="84"/>
    <x v="1"/>
    <x v="0"/>
    <s v="Completa"/>
    <s v="Posgrado"/>
    <s v="FACULTAD DE EDUCACIÓN"/>
    <s v="https://ProfPlanta2024.sawtoothsoftware.com/cgi-bin/ciwweb.pl?studyname=ProfPlanta2024&amp;Correo=oscar.boude@unisabana.edu.co03"/>
  </r>
  <r>
    <s v="pablo.gutierrez@unisabana.edu.co"/>
    <s v="pablo.gutierrez@unisabana.edu.co01"/>
    <s v="MAESTRIA EN PSICOLOGIA"/>
    <x v="123"/>
    <n v="80"/>
    <x v="1"/>
    <x v="1"/>
    <s v="Incompleta"/>
    <s v="Posgrado"/>
    <s v="FACULTAD DE PSICOLOGÍA"/>
    <s v="https://ProfPlanta2024.sawtoothsoftware.com/cgi-bin/ciwweb.pl?studyname=ProfPlanta2024&amp;Correo=pablo.gutierrez@unisabana.edu.co01"/>
  </r>
  <r>
    <s v="pamela.leyva1@unisabana.edu.co"/>
    <s v="pamela.leyva1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pamela.leyva1@unisabana.edu.co01"/>
  </r>
  <r>
    <s v="paola.arbelaez@unisabana.edu.co"/>
    <s v="paola.arbelaez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paola.arbelaez@unisabana.edu.co1"/>
  </r>
  <r>
    <s v="paola.sarmiento1@unisabana.edu.co"/>
    <s v="paola.sarmiento1@unisabana.edu.co01"/>
    <s v="MAESTRï¿½A EN ENFERMERï¿½A - VIRTUAL"/>
    <x v="13"/>
    <n v="94"/>
    <x v="1"/>
    <x v="1"/>
    <s v="Incompleta"/>
    <s v="Posgrado"/>
    <s v="FACULTAD DE ENFERMERÍA Y REHABILITACIÓN"/>
    <s v="https://ProfPlanta2024.sawtoothsoftware.com/cgi-bin/ciwweb.pl?studyname=ProfPlanta2024&amp;Correo=paola.sarmiento1@unisabana.edu.co01"/>
  </r>
  <r>
    <s v="paola.sarmiento1@unisabana.edu.co"/>
    <s v="paola.sarmiento1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paola.sarmiento1@unisabana.edu.co1"/>
  </r>
  <r>
    <s v="paola.uribe@unisabana.edu.co"/>
    <s v="paola.uribe@unisabana.edu.co1"/>
    <s v="CORE CURRICULUM PERSONA Y CULTURA"/>
    <x v="36"/>
    <n v="211"/>
    <x v="1"/>
    <x v="0"/>
    <s v="Completa"/>
    <s v="Pregrado"/>
    <s v="CORE CURRICULUM PERSONA Y CULTURA"/>
    <s v="https://ProfPlanta2024.sawtoothsoftware.com/cgi-bin/ciwweb.pl?studyname=ProfPlanta2024&amp;Correo=paola.uribe@unisabana.edu.co1"/>
  </r>
  <r>
    <s v="paolaalbde@unisabana.edu.co"/>
    <s v="paolaalbde@unisabana.edu.co01"/>
    <s v="MAESTRï¿½A EN PERIODISMO Y COMUNICACIï¿½N DIGITAL"/>
    <x v="47"/>
    <n v="52"/>
    <x v="1"/>
    <x v="0"/>
    <s v="Completa"/>
    <s v="Posgrado"/>
    <s v="FACULTAD DE COMUNICACIÓN"/>
    <s v="https://ProfPlanta2024.sawtoothsoftware.com/cgi-bin/ciwweb.pl?studyname=ProfPlanta2024&amp;Correo=paolaalbde@unisabana.edu.co01"/>
  </r>
  <r>
    <s v="paolaalbde@unisabana.edu.co"/>
    <s v="paolaalbde@unisabana.edu.co1"/>
    <s v="COMUNICACIï¿½N AUDIOVISUAL Y MULTIMEDIOS"/>
    <x v="23"/>
    <n v="27"/>
    <x v="1"/>
    <x v="0"/>
    <s v="Completa"/>
    <s v="Pregrado"/>
    <s v="FACULTAD DE COMUNICACIÓN"/>
    <s v="https://ProfPlanta2024.sawtoothsoftware.com/cgi-bin/ciwweb.pl?studyname=ProfPlanta2024&amp;Correo=paolaalbde@unisabana.edu.co1"/>
  </r>
  <r>
    <s v="paolaalbde@unisabana.edu.co"/>
    <s v="paolaalbde@unisabana.edu.co2"/>
    <s v="COMUNICACIï¿½N SOCIAL Y PERIODISMO"/>
    <x v="15"/>
    <n v="28"/>
    <x v="1"/>
    <x v="0"/>
    <s v="Completa"/>
    <s v="Pregrado"/>
    <s v="FACULTAD DE COMUNICACIÓN"/>
    <s v="https://ProfPlanta2024.sawtoothsoftware.com/cgi-bin/ciwweb.pl?studyname=ProfPlanta2024&amp;Correo=paolaalbde@unisabana.edu.co2"/>
  </r>
  <r>
    <s v="paolaalbde@unisabana.edu.co"/>
    <s v="paolaalbde@unisabana.edu.co3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paolaalbde@unisabana.edu.co3"/>
  </r>
  <r>
    <s v="paula.bonilla3@unisabana.edu.co"/>
    <s v="paula.bonilla3@unisabana.edu.co01"/>
    <s v="ESPECIALIZACIï¿½N EN TERAPIA MANUAL ORTOPï¿½DICA - CHï¿½A"/>
    <x v="11"/>
    <n v="105"/>
    <x v="1"/>
    <x v="0"/>
    <s v="Completa"/>
    <s v="Posgrado"/>
    <s v="FACULTAD DE ENFERMERÍA Y REHABILITACIÓN"/>
    <s v="https://ProfPlanta2024.sawtoothsoftware.com/cgi-bin/ciwweb.pl?studyname=ProfPlanta2024&amp;Correo=paula.bonilla3@unisabana.edu.co01"/>
  </r>
  <r>
    <s v="paula.bonilla3@unisabana.edu.co"/>
    <s v="paula.bonilla3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paula.bonilla3@unisabana.edu.co1"/>
  </r>
  <r>
    <s v="paula.gonzalez4@unisabana.edu.co"/>
    <s v="paula.gonzalez4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paula.gonzalez4@unisabana.edu.co1"/>
  </r>
  <r>
    <s v="pedro.sarmiento@unisabana.edu.co"/>
    <s v="pedro.sarmiento@unisabana.edu.co01"/>
    <s v="MAESTRï¿½A EN BIOï¿½TICA"/>
    <x v="143"/>
    <n v="76"/>
    <x v="1"/>
    <x v="1"/>
    <s v="Incompleta"/>
    <s v="Posgrado"/>
    <s v="FACULTAD DE MEDICINA"/>
    <s v="https://ProfPlanta2024.sawtoothsoftware.com/cgi-bin/ciwweb.pl?studyname=ProfPlanta2024&amp;Correo=pedro.sarmiento@unisabana.edu.co01"/>
  </r>
  <r>
    <s v="rafael.alvarez@unisabana.edu.co"/>
    <s v="rafael.alvarez@unisabana.edu.co1"/>
    <s v="INGENIERï¿½A MECï¿½NICA"/>
    <x v="2"/>
    <n v="40"/>
    <x v="1"/>
    <x v="0"/>
    <s v="Completa"/>
    <s v="Pregrado"/>
    <s v="FACULTAD DE INGENIERÍA"/>
    <s v="https://ProfPlanta2024.sawtoothsoftware.com/cgi-bin/ciwweb.pl?studyname=ProfPlanta2024&amp;Correo=rafael.alvarez@unisabana.edu.co1"/>
  </r>
  <r>
    <s v="rafael.henriquez@unisabana.edu.co"/>
    <s v="rafael.henriquez@unisabana.edu.co1"/>
    <s v="GESTIï¿½N DE OPERACIONES"/>
    <x v="96"/>
    <n v="154"/>
    <x v="1"/>
    <x v="0"/>
    <s v="Completa"/>
    <s v="Pregrado"/>
    <s v="ESCUELA INTERNACIONAL DE CIENCIAS ECONÓMICAS Y ADMINISTRATIVAS"/>
    <s v="https://ProfPlanta2024.sawtoothsoftware.com/cgi-bin/ciwweb.pl?studyname=ProfPlanta2024&amp;Correo=rafael.henriquez@unisabana.edu.co1"/>
  </r>
  <r>
    <s v="ricardo.aldana@unisabana.edu.co"/>
    <s v="ricardo.aldana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ricardo.aldana@unisabana.edu.co1"/>
  </r>
  <r>
    <s v="ricardo.cano@unisabana.edu.co"/>
    <s v="ricardo.cano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ricardo.cano@unisabana.edu.co1"/>
  </r>
  <r>
    <s v="ricardo.sotaquira@unisabana.edu.co"/>
    <s v="ricardo.sotaquira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ricardo.sotaquira@unisabana.edu.co01"/>
  </r>
  <r>
    <s v="ricardo.sotaquira@unisabana.edu.co"/>
    <s v="ricardo.sotaquira@unisabana.edu.co1"/>
    <s v="INGENIERï¿½A INFORMï¿½TICA"/>
    <x v="31"/>
    <n v="39"/>
    <x v="1"/>
    <x v="0"/>
    <s v="Completa"/>
    <s v="Pregrado"/>
    <s v="FACULTAD DE INGENIERÍA"/>
    <s v="https://ProfPlanta2024.sawtoothsoftware.com/cgi-bin/ciwweb.pl?studyname=ProfPlanta2024&amp;Correo=ricardo.sotaquira@unisabana.edu.co1"/>
  </r>
  <r>
    <s v="roberto.garcia@unisabana.edu.co"/>
    <s v="roberto.garcia@unisabana.edu.co1"/>
    <s v="CIENCIAS POLï¿½TICAS"/>
    <x v="68"/>
    <n v="29"/>
    <x v="1"/>
    <x v="0"/>
    <s v="Completa"/>
    <s v="Pregrado"/>
    <s v="FACULTAD DE DERECHO Y CIENCIAS POLÍTICAS"/>
    <s v="https://ProfPlanta2024.sawtoothsoftware.com/cgi-bin/ciwweb.pl?studyname=ProfPlanta2024&amp;Correo=roberto.garcia@unisabana.edu.co1"/>
  </r>
  <r>
    <s v="rociohp@unisabana.edu.co"/>
    <s v="RocioHP@unisabana.edu.co03"/>
    <s v="ESPECIALIZACIï¿½N EN LIDERAZGO Y COACHING- CHï¿½A"/>
    <x v="8"/>
    <n v="203"/>
    <x v="1"/>
    <x v="0"/>
    <s v="Completa"/>
    <s v="Posgrado"/>
    <s v="INSTITUTO FORUM"/>
    <s v="https://ProfPlanta2024.sawtoothsoftware.com/cgi-bin/ciwweb.pl?studyname=ProfPlanta2024&amp;Correo=RocioHP@unisabana.edu.co03"/>
  </r>
  <r>
    <s v="rodrigo.cuevas@clinicaunisabana.edu.co"/>
    <s v="Rodrigo.Cuevas@clinica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Rodrigo.Cuevas@clinicaunisabana.edu.co1"/>
  </r>
  <r>
    <s v="ronal.forero@unisabana.edu.co"/>
    <s v="ronal.forero@unisabana.edu.co01"/>
    <s v="MAESTRï¿½A EN LINGï¿½ï¿½STICA PANHISPï¿½NICA - CHï¿½A"/>
    <x v="63"/>
    <n v="68"/>
    <x v="1"/>
    <x v="0"/>
    <s v="Completa"/>
    <s v="Posgrado"/>
    <s v="FACULTAD DE FILOSOFÍA Y CIENCIAS HUMANAS"/>
    <s v="https://ProfPlanta2024.sawtoothsoftware.com/cgi-bin/ciwweb.pl?studyname=ProfPlanta2024&amp;Correo=ronal.forero@unisabana.edu.co01"/>
  </r>
  <r>
    <s v="rosa.duran@unisabana.edu.co"/>
    <s v="rosa.duran@unisabana.edu.co01"/>
    <s v="MAESTRï¿½A EN SALUD Pï¿½BLICA"/>
    <x v="70"/>
    <n v="79"/>
    <x v="1"/>
    <x v="1"/>
    <s v="Incompleta"/>
    <s v="Posgrado"/>
    <s v="FACULTAD DE MEDICINA"/>
    <s v="https://ProfPlanta2024.sawtoothsoftware.com/cgi-bin/ciwweb.pl?studyname=ProfPlanta2024&amp;Correo=rosa.duran@unisabana.edu.co01"/>
  </r>
  <r>
    <s v="rosabucr@unisabana.edu.co"/>
    <s v="rosabucr@unisabana.edu.co01"/>
    <s v="ESPECIALIZACIï¿½N EN FARMACOLOGï¿½A CLï¿½NICA"/>
    <x v="50"/>
    <n v="5"/>
    <x v="1"/>
    <x v="1"/>
    <s v="Incompleta"/>
    <s v="Posgrado"/>
    <s v="FACULTAD DE MEDICINA"/>
    <s v="https://ProfPlanta2024.sawtoothsoftware.com/cgi-bin/ciwweb.pl?studyname=ProfPlanta2024&amp;Correo=rosabucr@unisabana.edu.co01"/>
  </r>
  <r>
    <s v="rosabucr@unisabana.edu.co"/>
    <s v="rosabucr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rosabucr@unisabana.edu.co1"/>
  </r>
  <r>
    <s v="ruth.ruiz@unisabana.edu.co"/>
    <s v="ruth.ruiz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ruth.ruiz@unisabana.edu.co01"/>
  </r>
  <r>
    <s v="ruth.ruiz@unisabana.edu.co"/>
    <s v="ruth.ruiz@unisabana.edu.co2"/>
    <s v="INGENIERï¿½A DE BIOPRODUCCIï¿½N"/>
    <x v="90"/>
    <n v="37"/>
    <x v="1"/>
    <x v="0"/>
    <s v="Completa"/>
    <s v="Pregrado"/>
    <s v="FACULTAD DE INGENIERÍA"/>
    <s v="https://ProfPlanta2024.sawtoothsoftware.com/cgi-bin/ciwweb.pl?studyname=ProfPlanta2024&amp;Correo=ruth.ruiz@unisabana.edu.co2"/>
  </r>
  <r>
    <s v="sandra.rodriguez11@unisabana.edu.co"/>
    <s v="sandra.rodriguez11@unisabana.edu.co1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sandra.rodriguez11@unisabana.edu.co1"/>
  </r>
  <r>
    <s v="sandra.toro@unisabana.edu.co"/>
    <s v="sandra.tor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sandra.toro@unisabana.edu.co1"/>
  </r>
  <r>
    <s v="santiago.co0rtes1@unisabana.edu.co"/>
    <s v="santiago.co0rtes1@unisabana.edu.co01"/>
    <s v="MAESTRï¿½A EN ANALï¿½TICA APLICADA - CHï¿½A"/>
    <x v="18"/>
    <n v="75"/>
    <x v="1"/>
    <x v="0"/>
    <s v="Completa"/>
    <s v="Posgrado"/>
    <s v="FACULTAD DE INGENIERÍA"/>
    <s v="https://ProfPlanta2024.sawtoothsoftware.com/cgi-bin/ciwweb.pl?studyname=ProfPlanta2024&amp;Correo=santiago.co0rtes1@unisabana.edu.co01"/>
  </r>
  <r>
    <s v="santiago.cortes1@unisabana.edu.co"/>
    <s v="santiago.cortes1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santiago.cortes1@unisabana.edu.co1"/>
  </r>
  <r>
    <s v="sara.arias@unisabana.edu.co"/>
    <s v="sara.arias@unisabana.edu.co01"/>
    <s v="ESPECIALIZACIï¿½N EN FARMACOLOGï¿½A CLï¿½NICA"/>
    <x v="50"/>
    <n v="5"/>
    <x v="1"/>
    <x v="0"/>
    <s v="Completa"/>
    <s v="Posgrado"/>
    <s v="FACULTAD DE MEDICINA"/>
    <s v="https://ProfPlanta2024.sawtoothsoftware.com/cgi-bin/ciwweb.pl?studyname=ProfPlanta2024&amp;Correo=sara.arias@unisabana.edu.co01"/>
  </r>
  <r>
    <s v="sara.arias@unisabana.edu.co"/>
    <s v="sara.aria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sara.arias@unisabana.edu.co1"/>
  </r>
  <r>
    <s v="sarah.romero@unisabana.edu.co"/>
    <s v="sarah.romero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sarah.romero@unisabana.edu.co1"/>
  </r>
  <r>
    <s v="sergio.agudelo1@unisabana.edu.co"/>
    <s v="sergio.agudelo1@unisabana.edu.co01"/>
    <s v="ESPECIALIZACIï¿½N EN PEDIATRï¿½A"/>
    <x v="79"/>
    <n v="14"/>
    <x v="1"/>
    <x v="0"/>
    <s v="Completa"/>
    <s v="Posgrado"/>
    <s v="FACULTAD DE MEDICINA"/>
    <s v="https://ProfPlanta2024.sawtoothsoftware.com/cgi-bin/ciwweb.pl?studyname=ProfPlanta2024&amp;Correo=sergio.agudelo1@unisabana.edu.co01"/>
  </r>
  <r>
    <s v="sergio.agudelo1@unisabana.edu.co"/>
    <s v="sergio.agudelo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sergio.agudelo1@unisabana.edu.co1"/>
  </r>
  <r>
    <s v="sergio.arciniegas@unisabana.edu.co"/>
    <s v="sergio.arciniegas@unisabana.edu.co1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sergio.arciniegas@unisabana.edu.co1"/>
  </r>
  <r>
    <s v="sergio.lozano@unisabana.edu.co"/>
    <s v="sergio.lozano@unisabana.edu.co1"/>
    <s v="CENTRO INTERNACIONAL DE LENGUAS Y CULTURAS EXTRANJERAS"/>
    <x v="19"/>
    <n v="210"/>
    <x v="1"/>
    <x v="1"/>
    <s v="Incompleta"/>
    <s v="Pregrado"/>
    <s v="CENTRO INTERNACIONAL DE LENGUAS Y CULTURAS EXTRANJERAS"/>
    <s v="https://ProfPlanta2024.sawtoothsoftware.com/cgi-bin/ciwweb.pl?studyname=ProfPlanta2024&amp;Correo=sergio.lozano@unisabana.edu.co1"/>
  </r>
  <r>
    <s v="silvia.gast@unisabana.edu.co"/>
    <s v="silvia.gast@unisabana.edu.co1"/>
    <s v="ARTES CULINARIAS Y CIENCIAS DE LA ALIMENTACIï¿½N"/>
    <x v="32"/>
    <n v="151"/>
    <x v="1"/>
    <x v="0"/>
    <s v="Completa"/>
    <s v="Pregrado"/>
    <s v="ESCUELA INTERNACIONAL DE CIENCIAS ECONÓMICAS Y ADMINISTRATIVAS"/>
    <s v="https://ProfPlanta2024.sawtoothsoftware.com/cgi-bin/ciwweb.pl?studyname=ProfPlanta2024&amp;Correo=silvia.gast@unisabana.edu.co1"/>
  </r>
  <r>
    <s v="sonia.cardenas2@unisabana.edu.co"/>
    <s v="sonia.cardenas2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sonia.cardenas2@unisabana.edu.co1"/>
  </r>
  <r>
    <s v="tatiana.avila@unisabana.edu.co"/>
    <s v="tatiana.avila@unisabana.edu.co1"/>
    <s v="COMUNICACIï¿½N CORPORATIVA"/>
    <x v="43"/>
    <n v="26"/>
    <x v="1"/>
    <x v="0"/>
    <s v="Completa"/>
    <s v="Pregrado"/>
    <s v="FACULTAD DE COMUNICACIÓN"/>
    <s v="https://ProfPlanta2024.sawtoothsoftware.com/cgi-bin/ciwweb.pl?studyname=ProfPlanta2024&amp;Correo=tatiana.avila@unisabana.edu.co1"/>
  </r>
  <r>
    <s v="tatiana.osorio@unisabana.edu.co"/>
    <s v="tatiana.osorio@unisabana.edu.co1"/>
    <s v="FINANZAS"/>
    <x v="20"/>
    <n v="153"/>
    <x v="1"/>
    <x v="0"/>
    <s v="Completa"/>
    <s v="Pregrado"/>
    <s v="ESCUELA INTERNACIONAL DE CIENCIAS ECONÓMICAS Y ADMINISTRATIVAS"/>
    <s v="https://ProfPlanta2024.sawtoothsoftware.com/cgi-bin/ciwweb.pl?studyname=ProfPlanta2024&amp;Correo=tatiana.osorio@unisabana.edu.co1"/>
  </r>
  <r>
    <s v="tatianaghija@unisabana.edu.co"/>
    <s v="tatianaghija@unisabana.edu.co01"/>
    <s v="MAESTRï¿½A EN PROYECTOS EDUCATIVOS MEDIADOS POR TIC"/>
    <x v="124"/>
    <n v="84"/>
    <x v="1"/>
    <x v="0"/>
    <s v="Completa"/>
    <s v="Posgrado"/>
    <s v="FACULTAD DE EDUCACIÓN"/>
    <s v="https://ProfPlanta2024.sawtoothsoftware.com/cgi-bin/ciwweb.pl?studyname=ProfPlanta2024&amp;Correo=tatianaghija@unisabana.edu.co01"/>
  </r>
  <r>
    <s v="tatianaghija@unisabana.edu.co"/>
    <s v="tatianaghija@unisabana.edu.co1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tatianaghija@unisabana.edu.co1"/>
  </r>
  <r>
    <s v="tebbie.chacon1@unisabana.edu.co"/>
    <s v="tebbie.chacon1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tebbie.chacon1@unisabana.edu.co2"/>
  </r>
  <r>
    <s v="ulf.thoene@unisabana.edu.co"/>
    <s v="ulf.thoene@unisabana.edu.co1"/>
    <s v="NEGOCIACIï¿½N Y COMERCIO INTERNACIONAL"/>
    <x v="91"/>
    <n v="157"/>
    <x v="1"/>
    <x v="0"/>
    <s v="Completa"/>
    <s v="Pregrado"/>
    <s v="ESCUELA INTERNACIONAL DE CIENCIAS ECONÓMICAS Y ADMINISTRATIVAS"/>
    <s v="https://ProfPlanta2024.sawtoothsoftware.com/cgi-bin/ciwweb.pl?studyname=ProfPlanta2024&amp;Correo=ulf.thoene@unisabana.edu.co1"/>
  </r>
  <r>
    <s v="victor.gamboa@unisabana.edu.co"/>
    <s v="victor.gamboa@unisabana.edu.co1"/>
    <s v="PSICOLOGï¿½A"/>
    <x v="29"/>
    <n v="43"/>
    <x v="1"/>
    <x v="0"/>
    <s v="Completa"/>
    <s v="Pregrado"/>
    <s v="FACULTAD DE PSICOLOGÍA"/>
    <s v="https://ProfPlanta2024.sawtoothsoftware.com/cgi-bin/ciwweb.pl?studyname=ProfPlanta2024&amp;Correo=victor.gamboa@unisabana.edu.co1"/>
  </r>
  <r>
    <s v="victor.garcia2@unisabana.edu.co"/>
    <s v="victor.garcia2@unisabana.edu.co01"/>
    <s v="DOCTORADO EN COMUNICACIï¿½N"/>
    <x v="139"/>
    <n v="50"/>
    <x v="1"/>
    <x v="0"/>
    <s v="Completa"/>
    <s v="Posgrado"/>
    <s v="FACULTAD DE COMUNICACIÓN"/>
    <s v="https://ProfPlanta2024.sawtoothsoftware.com/cgi-bin/ciwweb.pl?studyname=ProfPlanta2024&amp;Correo=victor.garcia2@unisabana.edu.co01"/>
  </r>
  <r>
    <s v="victoria.cabrera@unisabana.edu.co"/>
    <s v="victoria.cabrera@unisabana.edu.co01"/>
    <s v="MAESTRï¿½A EN ASESORï¿½A FAMILIAR Y GESTIï¿½N DE PROGRAMAS PARA LA FAMILIA - VIRTUAL"/>
    <x v="14"/>
    <n v="95"/>
    <x v="1"/>
    <x v="0"/>
    <s v="Completa"/>
    <s v="Posgrado"/>
    <s v="INSTITUTO DE LA FAMILIA: ILFARUS"/>
    <s v="https://ProfPlanta2024.sawtoothsoftware.com/cgi-bin/ciwweb.pl?studyname=ProfPlanta2024&amp;Correo=victoria.cabrera@unisabana.edu.co01"/>
  </r>
  <r>
    <s v="wilder.villamil@unisabana.edu.co"/>
    <s v="wilder.villamil@unisabana.edu.co01"/>
    <s v="MAESTRï¿½A EN FISIOTERAPIA  - VIRTUAL"/>
    <x v="121"/>
    <n v="206"/>
    <x v="1"/>
    <x v="0"/>
    <s v="Completa"/>
    <s v="Posgrado"/>
    <s v="FACULTAD DE ENFERMERÍA Y REHABILITACIÓN"/>
    <s v="https://ProfPlanta2024.sawtoothsoftware.com/cgi-bin/ciwweb.pl?studyname=ProfPlanta2024&amp;Correo=wilder.villamil@unisabana.edu.co01"/>
  </r>
  <r>
    <s v="william.guerrero1@unisabana.edu.co"/>
    <s v="william.guerrero1@unisabana.edu.co01"/>
    <s v="DOCTORADO EN INGENIERï¿½A"/>
    <x v="140"/>
    <n v="72"/>
    <x v="1"/>
    <x v="0"/>
    <s v="Completa"/>
    <s v="Posgrado"/>
    <s v="FACULTAD DE INGENIERÍA"/>
    <s v="https://ProfPlanta2024.sawtoothsoftware.com/cgi-bin/ciwweb.pl?studyname=ProfPlanta2024&amp;Correo=william.guerrero1@unisabana.edu.co01"/>
  </r>
  <r>
    <s v="william.guerrero1@unisabana.edu.co"/>
    <s v="william.guerrero1@unisabana.edu.co02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william.guerrero1@unisabana.edu.co02"/>
  </r>
  <r>
    <s v="william.hernandez2@unisabana.edu.co"/>
    <s v="william.hernandez2@unisabana.edu.co01"/>
    <s v="DOCTORADO EN DERECHO"/>
    <x v="113"/>
    <n v="53"/>
    <x v="1"/>
    <x v="0"/>
    <s v="Completa"/>
    <s v="Posgrado"/>
    <s v="FACULTAD DE DERECHO Y CIENCIAS POLÍTICAS"/>
    <s v="https://ProfPlanta2024.sawtoothsoftware.com/cgi-bin/ciwweb.pl?studyname=ProfPlanta2024&amp;Correo=william.hernandez2@unisabana.edu.co01"/>
  </r>
  <r>
    <s v="william.hernandez2@unisabana.edu.co"/>
    <s v="william.hernandez2@unisabana.edu.co02"/>
    <s v="MAESTRIA EN DERECHO DE LA EMPRESA Y DE LOS NEGOCIOS"/>
    <x v="9"/>
    <n v="55"/>
    <x v="1"/>
    <x v="0"/>
    <s v="Completa"/>
    <s v="Posgrado"/>
    <s v="FACULTAD DE DERECHO Y CIENCIAS POLÍTICAS"/>
    <s v="https://ProfPlanta2024.sawtoothsoftware.com/cgi-bin/ciwweb.pl?studyname=ProfPlanta2024&amp;Correo=william.hernandez2@unisabana.edu.co02"/>
  </r>
  <r>
    <s v="william.hernandez2@unisabana.edu.co"/>
    <s v="william.hernandez2@unisabana.edu.co1"/>
    <s v="DERECHO"/>
    <x v="22"/>
    <n v="30"/>
    <x v="1"/>
    <x v="0"/>
    <s v="Completa"/>
    <s v="Pregrado"/>
    <s v="FACULTAD DE DERECHO Y CIENCIAS POLÍTICAS"/>
    <s v="https://ProfPlanta2024.sawtoothsoftware.com/cgi-bin/ciwweb.pl?studyname=ProfPlanta2024&amp;Correo=william.hernandez2@unisabana.edu.co1"/>
  </r>
  <r>
    <s v="wilmar.segura@unisabana.edu.co"/>
    <s v="wilmar.segura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wilmar.segura@unisabana.edu.co1"/>
  </r>
  <r>
    <s v="wilson.betancur@unisabana.edu.co"/>
    <s v="wilson.betancur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wilson.betancur@unisabana.edu.co1"/>
  </r>
  <r>
    <s v="wilson.betancur@unisabana.edu.co"/>
    <s v="wilson.betancur@unisabana.edu.co2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wilson.betancur@unisabana.edu.co2"/>
  </r>
  <r>
    <s v="wilson.briceno@unisabana.edu.co"/>
    <s v="wilson.briceno@unisabana.edu.co01"/>
    <s v="ESPECIALIZACIï¿½N EN FARMACOLOGï¿½A CLï¿½NICA"/>
    <x v="50"/>
    <n v="5"/>
    <x v="1"/>
    <x v="0"/>
    <s v="Completa"/>
    <s v="Posgrado"/>
    <s v="FACULTAD DE MEDICINA"/>
    <s v="https://ProfPlanta2024.sawtoothsoftware.com/cgi-bin/ciwweb.pl?studyname=ProfPlanta2024&amp;Correo=wilson.briceno@unisabana.edu.co01"/>
  </r>
  <r>
    <s v="wilson.briceno@unisabana.edu.co"/>
    <s v="wilson.briceno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wilson.briceno@unisabana.edu.co1"/>
  </r>
  <r>
    <s v="wilson.parra1@unisabana.edu.co"/>
    <s v="wilson.parra1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wilson.parra1@unisabana.edu.co1"/>
  </r>
  <r>
    <s v="wilson.rodriguez1@unisabana.edu.co"/>
    <s v="wilson.rodriguez1@unisabana.edu.co1"/>
    <s v="FINANZAS"/>
    <x v="20"/>
    <n v="153"/>
    <x v="1"/>
    <x v="0"/>
    <s v="Completa"/>
    <s v="Pregrado"/>
    <s v="ESCUELA INTERNACIONAL DE CIENCIAS ECONÓMICAS Y ADMINISTRATIVAS"/>
    <s v="https://ProfPlanta2024.sawtoothsoftware.com/cgi-bin/ciwweb.pl?studyname=ProfPlanta2024&amp;Correo=wilson.rodriguez1@unisabana.edu.co1"/>
  </r>
  <r>
    <s v="yady.gonzalez@unisabana.edu.co"/>
    <s v="yady.gonzalez@unisabana.edu.co1"/>
    <s v="LICENCIATURA EN CIENCIAS NATURALES"/>
    <x v="3"/>
    <n v="31"/>
    <x v="1"/>
    <x v="0"/>
    <s v="Completa"/>
    <s v="Pregrado"/>
    <s v="FACULTAD DE EDUCACIÓN"/>
    <s v="https://ProfPlanta2024.sawtoothsoftware.com/cgi-bin/ciwweb.pl?studyname=ProfPlanta2024&amp;Correo=yady.gonzalez@unisabana.edu.co1"/>
  </r>
  <r>
    <s v="yady.gonzalez@unisabana.edu.co"/>
    <s v="yady.gonzalez@unisabana.edu.co2"/>
    <s v="LICENCIATURA EN EDUCACIï¿½N INFANTIL"/>
    <x v="34"/>
    <n v="32"/>
    <x v="1"/>
    <x v="0"/>
    <s v="Completa"/>
    <s v="Pregrado"/>
    <s v="FACULTAD DE EDUCACIÓN"/>
    <s v="https://ProfPlanta2024.sawtoothsoftware.com/cgi-bin/ciwweb.pl?studyname=ProfPlanta2024&amp;Correo=yady.gonzalez@unisabana.edu.co2"/>
  </r>
  <r>
    <s v="yeimysd@unisabana.edu.co"/>
    <s v="yeimysd@unisabana.edu.co1"/>
    <s v="CENTRO INTERNACIONAL DE LENGUAS Y CULTURAS EXTRANJERAS"/>
    <x v="19"/>
    <n v="210"/>
    <x v="1"/>
    <x v="0"/>
    <s v="Completa"/>
    <s v="Pregrado"/>
    <s v="CENTRO INTERNACIONAL DE LENGUAS Y CULTURAS EXTRANJERAS"/>
    <s v="https://ProfPlanta2024.sawtoothsoftware.com/cgi-bin/ciwweb.pl?studyname=ProfPlanta2024&amp;Correo=yeimysd@unisabana.edu.co1"/>
  </r>
  <r>
    <s v="yili.espitia@unisabana.edu.co"/>
    <s v="yili.espitia@unisabana.edu.co1"/>
    <s v="INGENIERï¿½A DE BIOPRODUCCIï¿½N"/>
    <x v="90"/>
    <n v="37"/>
    <x v="1"/>
    <x v="1"/>
    <s v="Incompleta"/>
    <s v="Pregrado"/>
    <s v="FACULTAD DE INGENIERÍA"/>
    <s v="https://ProfPlanta2024.sawtoothsoftware.com/cgi-bin/ciwweb.pl?studyname=ProfPlanta2024&amp;Correo=yili.espitia@unisabana.edu.co1"/>
  </r>
  <r>
    <s v="yili.espitia@unisabana.edu.co"/>
    <s v="yili.espitia@unisabana.edu.co2"/>
    <s v="INGENIERï¿½A QUï¿½MICA"/>
    <x v="16"/>
    <n v="41"/>
    <x v="1"/>
    <x v="0"/>
    <s v="Completa"/>
    <s v="Pregrado"/>
    <s v="FACULTAD DE INGENIERÍA"/>
    <s v="https://ProfPlanta2024.sawtoothsoftware.com/cgi-bin/ciwweb.pl?studyname=ProfPlanta2024&amp;Correo=yili.espitia@unisabana.edu.co2"/>
  </r>
  <r>
    <s v="yosimar.diaz1@unisabana.edu.co"/>
    <s v="yosimar.diaz1@unisabana.edu.co01"/>
    <s v="MAESTRï¿½A EN DISEï¿½O Y GESTIï¿½N DE PROCESOS - CHï¿½A"/>
    <x v="97"/>
    <n v="73"/>
    <x v="1"/>
    <x v="0"/>
    <s v="Completa"/>
    <s v="Posgrado"/>
    <s v="FACULTAD DE INGENIERÍA"/>
    <s v="https://ProfPlanta2024.sawtoothsoftware.com/cgi-bin/ciwweb.pl?studyname=ProfPlanta2024&amp;Correo=yosimar.diaz1@unisabana.edu.co01"/>
  </r>
  <r>
    <s v="yosimar.diaz1@unisabana.edu.co"/>
    <s v="yosimar.diaz1@unisabana.edu.co1"/>
    <s v="INGENIERï¿½A DE BIOPRODUCCIï¿½N"/>
    <x v="90"/>
    <n v="37"/>
    <x v="1"/>
    <x v="1"/>
    <s v="Incompleta"/>
    <s v="Pregrado"/>
    <s v="FACULTAD DE INGENIERÍA"/>
    <s v="https://ProfPlanta2024.sawtoothsoftware.com/cgi-bin/ciwweb.pl?studyname=ProfPlanta2024&amp;Correo=yosimar.diaz1@unisabana.edu.co1"/>
  </r>
  <r>
    <s v="yosimar.diaz1@unisabana.edu.co"/>
    <s v="yosimar.diaz1@unisabana.edu.co2"/>
    <s v="INGENIERï¿½A INDUSTRIAL"/>
    <x v="28"/>
    <n v="38"/>
    <x v="1"/>
    <x v="0"/>
    <s v="Completa"/>
    <s v="Pregrado"/>
    <s v="FACULTAD DE INGENIERÍA"/>
    <s v="https://ProfPlanta2024.sawtoothsoftware.com/cgi-bin/ciwweb.pl?studyname=ProfPlanta2024&amp;Correo=yosimar.diaz1@unisabana.edu.co2"/>
  </r>
  <r>
    <s v="yuli.fuentes@unisabana.edu.co"/>
    <s v="yuli.fuentes@unisabana.edu.co01"/>
    <s v="MAESTRï¿½A EN EPIDEMIOLOGï¿½A"/>
    <x v="83"/>
    <n v="77"/>
    <x v="1"/>
    <x v="1"/>
    <s v="Incompleta"/>
    <s v="Posgrado"/>
    <s v="FACULTAD DE MEDICINA"/>
    <s v="https://ProfPlanta2024.sawtoothsoftware.com/cgi-bin/ciwweb.pl?studyname=ProfPlanta2024&amp;Correo=yuli.fuentes@unisabana.edu.co01"/>
  </r>
  <r>
    <s v="yuli.fuentes@unisabana.edu.co"/>
    <s v="yuli.fuentes@unisabana.edu.co1"/>
    <s v="MEDICINA"/>
    <x v="4"/>
    <n v="42"/>
    <x v="1"/>
    <x v="0"/>
    <s v="Completa"/>
    <s v="Pregrado"/>
    <s v="FACULTAD DE MEDICINA"/>
    <s v="https://ProfPlanta2024.sawtoothsoftware.com/cgi-bin/ciwweb.pl?studyname=ProfPlanta2024&amp;Correo=yuli.fuentes@unisabana.edu.co1"/>
  </r>
  <r>
    <s v="yulieth.zabaleta1@unisabana.edu.co"/>
    <s v="yulieth.zabaleta1@unisabana.edu.co01"/>
    <s v="ESPECIALIZACIï¿½N EN ENFERMERï¿½A EN CUIDADO CRï¿½TICO - CHï¿½A"/>
    <x v="10"/>
    <n v="104"/>
    <x v="1"/>
    <x v="0"/>
    <s v="Completa"/>
    <s v="Posgrado"/>
    <s v="FACULTAD DE ENFERMERÍA Y REHABILITACIÓN"/>
    <s v="https://ProfPlanta2024.sawtoothsoftware.com/cgi-bin/ciwweb.pl?studyname=ProfPlanta2024&amp;Correo=yulieth.zabaleta1@unisabana.edu.co01"/>
  </r>
  <r>
    <s v="yulieth.zabaleta1@unisabana.edu.co"/>
    <s v="yulieth.zabaleta1@unisabana.edu.co02"/>
    <s v="MAESTRï¿½A EN ENFERMERï¿½A - VIRTUAL"/>
    <x v="13"/>
    <n v="94"/>
    <x v="1"/>
    <x v="0"/>
    <s v="Completa"/>
    <s v="Posgrado"/>
    <s v="FACULTAD DE ENFERMERÍA Y REHABILITACIÓN"/>
    <s v="https://ProfPlanta2024.sawtoothsoftware.com/cgi-bin/ciwweb.pl?studyname=ProfPlanta2024&amp;Correo=yulieth.zabaleta1@unisabana.edu.co02"/>
  </r>
  <r>
    <s v="yulieth.zabaleta1@unisabana.edu.co"/>
    <s v="yulieth.zabaleta1@unisabana.edu.co1"/>
    <s v="ENFERMERï¿½A"/>
    <x v="57"/>
    <n v="33"/>
    <x v="1"/>
    <x v="0"/>
    <s v="Completa"/>
    <s v="Pregrado"/>
    <s v="FACULTAD DE ENFERMERÍA Y REHABILITACIÓN"/>
    <s v="https://ProfPlanta2024.sawtoothsoftware.com/cgi-bin/ciwweb.pl?studyname=ProfPlanta2024&amp;Correo=yulieth.zabaleta1@unisabana.edu.co1"/>
  </r>
  <r>
    <s v="yustinne.cardenas@unisabana.edu.co"/>
    <s v="yustinne.cardenas@unisabana.edu.co1"/>
    <s v="FILOSOFï¿½A"/>
    <x v="60"/>
    <n v="35"/>
    <x v="1"/>
    <x v="0"/>
    <s v="Completa"/>
    <s v="Pregrado"/>
    <s v="FACULTAD DE FILOSOFÍA Y CIENCIAS HUMANAS"/>
    <s v="https://ProfPlanta2024.sawtoothsoftware.com/cgi-bin/ciwweb.pl?studyname=ProfPlanta2024&amp;Correo=yustinne.cardenas@unisabana.edu.co1"/>
  </r>
  <r>
    <s v="zulanye.figueredo@unisabana.edu.co"/>
    <s v="zulanye.figueredo@unisabana.edu.co1"/>
    <s v="FISIOTERAPIA"/>
    <x v="51"/>
    <n v="34"/>
    <x v="1"/>
    <x v="0"/>
    <s v="Completa"/>
    <s v="Pregrado"/>
    <s v="FACULTAD DE ENFERMERÍA Y REHABILITACIÓN"/>
    <s v="https://ProfPlanta2024.sawtoothsoftware.com/cgi-bin/ciwweb.pl?studyname=ProfPlanta2024&amp;Correo=zulanye.figueredo@unisabana.edu.co1"/>
  </r>
  <r>
    <s v="camilo.rincon2@unisabana.edu.co"/>
    <s v="camilo.rincon2@unisabana.edu.co02"/>
    <s v="MAESTRÍA EN GERENCIA Y DESARROLLO DE PERSONAS"/>
    <x v="65"/>
    <n v="81"/>
    <x v="0"/>
    <x v="0"/>
    <m/>
    <s v="Posgrado"/>
    <s v="FACULTAD DE PSICOLOGÍA"/>
    <s v="https://ProfCatedra2024.sawtoothsoftware.com/cgi-bin/ciwweb.pl?studyname=ProfCatedra2024&amp;Correo=camilo.rincon2@unisabana.edu.co02"/>
  </r>
  <r>
    <s v="jorge.martinez_cont@unisabana.edu.co"/>
    <m/>
    <m/>
    <x v="82"/>
    <n v="132"/>
    <x v="0"/>
    <x v="2"/>
    <m/>
    <s v="Posgrado"/>
    <s v="INSTITUTO FORUM"/>
    <m/>
  </r>
  <r>
    <s v="jorge.martinez_cont@unisabana.edu.co"/>
    <m/>
    <m/>
    <x v="127"/>
    <n v="140"/>
    <x v="0"/>
    <x v="2"/>
    <m/>
    <s v="Posgrado"/>
    <s v="INSTITUTO FORUM"/>
    <m/>
  </r>
  <r>
    <s v="mauricio.escobar1@unisabana.edu.co"/>
    <m/>
    <m/>
    <x v="125"/>
    <n v="124"/>
    <x v="0"/>
    <x v="2"/>
    <m/>
    <s v="Posgrado"/>
    <s v="INSTITUTO FORUM"/>
    <m/>
  </r>
  <r>
    <s v="mauricio.escobar1@unisabana.edu.co"/>
    <m/>
    <m/>
    <x v="52"/>
    <n v="131"/>
    <x v="0"/>
    <x v="2"/>
    <m/>
    <s v="Posgrado"/>
    <s v="INSTITUTO FORUM"/>
    <m/>
  </r>
  <r>
    <s v="mauricio.escobar1@unisabana.edu.co"/>
    <m/>
    <m/>
    <x v="55"/>
    <n v="134"/>
    <x v="0"/>
    <x v="2"/>
    <m/>
    <s v="Posgrado"/>
    <s v="INSTITUTO FORUM"/>
    <m/>
  </r>
  <r>
    <s v="mauricio.escobar1@unisabana.edu.co"/>
    <m/>
    <m/>
    <x v="54"/>
    <n v="114"/>
    <x v="0"/>
    <x v="2"/>
    <m/>
    <s v="Posgrado"/>
    <s v="INSTITUTO FORUM"/>
    <m/>
  </r>
  <r>
    <s v="mauricio.escobar1@unisabana.edu.co"/>
    <m/>
    <m/>
    <x v="82"/>
    <n v="132"/>
    <x v="0"/>
    <x v="2"/>
    <m/>
    <s v="Posgrado"/>
    <s v="INSTITUTO FORUM"/>
    <m/>
  </r>
  <r>
    <s v="mauricio.escobar1@unisabana.edu.co"/>
    <m/>
    <m/>
    <x v="78"/>
    <n v="133"/>
    <x v="0"/>
    <x v="2"/>
    <m/>
    <s v="Posgrado"/>
    <s v="INSTITUTO FORUM"/>
    <m/>
  </r>
  <r>
    <s v="mauricio.escobar1@unisabana.edu.co"/>
    <m/>
    <m/>
    <x v="127"/>
    <n v="140"/>
    <x v="0"/>
    <x v="2"/>
    <m/>
    <s v="Posgrado"/>
    <s v="INSTITUTO FORUM"/>
    <m/>
  </r>
  <r>
    <s v="jorge.bolivar@unisabana.edu.co"/>
    <m/>
    <m/>
    <x v="125"/>
    <n v="124"/>
    <x v="0"/>
    <x v="2"/>
    <m/>
    <s v="Posgrado"/>
    <s v="INSTITUTO FORUM"/>
    <m/>
  </r>
  <r>
    <s v="jorge.bolivar@unisabana.edu.co"/>
    <m/>
    <m/>
    <x v="126"/>
    <n v="139"/>
    <x v="0"/>
    <x v="2"/>
    <m/>
    <s v="Posgrado"/>
    <s v="INSTITUTO FORUM"/>
    <m/>
  </r>
  <r>
    <s v="jorge.bolivar@unisabana.edu.co"/>
    <m/>
    <m/>
    <x v="55"/>
    <n v="134"/>
    <x v="0"/>
    <x v="2"/>
    <m/>
    <s v="Posgrado"/>
    <s v="INSTITUTO FORUM"/>
    <m/>
  </r>
  <r>
    <s v="jorge.bolivar@unisabana.edu.co"/>
    <m/>
    <m/>
    <x v="54"/>
    <n v="114"/>
    <x v="0"/>
    <x v="2"/>
    <m/>
    <s v="Posgrado"/>
    <s v="INSTITUTO FORUM"/>
    <m/>
  </r>
  <r>
    <s v="jorge.bolivar@unisabana.edu.co"/>
    <m/>
    <m/>
    <x v="52"/>
    <n v="131"/>
    <x v="0"/>
    <x v="2"/>
    <m/>
    <s v="Posgrado"/>
    <s v="INSTITUTO FORUM"/>
    <m/>
  </r>
  <r>
    <s v="jorge.bolivar@unisabana.edu.co"/>
    <m/>
    <m/>
    <x v="78"/>
    <n v="133"/>
    <x v="0"/>
    <x v="2"/>
    <m/>
    <s v="Posgrado"/>
    <s v="INSTITUTO FORUM"/>
    <m/>
  </r>
  <r>
    <s v="jorge.bolivar@unisabana.edu.co"/>
    <m/>
    <m/>
    <x v="127"/>
    <n v="140"/>
    <x v="0"/>
    <x v="2"/>
    <m/>
    <s v="Posgrado"/>
    <s v="INSTITUTO FORUM"/>
    <m/>
  </r>
  <r>
    <s v="carlos.rojas@unisabana.edu.co"/>
    <m/>
    <m/>
    <x v="125"/>
    <n v="124"/>
    <x v="0"/>
    <x v="2"/>
    <m/>
    <s v="Posgrado"/>
    <s v="INSTITUTO FORUM"/>
    <m/>
  </r>
  <r>
    <s v="carlos.rojas@unisabana.edu.co"/>
    <m/>
    <m/>
    <x v="126"/>
    <n v="139"/>
    <x v="0"/>
    <x v="2"/>
    <m/>
    <s v="Posgrado"/>
    <s v="INSTITUTO FORUM"/>
    <m/>
  </r>
  <r>
    <s v="carlos.rojas@unisabana.edu.co"/>
    <m/>
    <m/>
    <x v="52"/>
    <n v="131"/>
    <x v="0"/>
    <x v="2"/>
    <m/>
    <s v="Posgrado"/>
    <s v="INSTITUTO FORUM"/>
    <m/>
  </r>
  <r>
    <s v="carlos.rojas@unisabana.edu.co"/>
    <m/>
    <m/>
    <x v="78"/>
    <n v="133"/>
    <x v="0"/>
    <x v="2"/>
    <m/>
    <s v="Posgrado"/>
    <s v="INSTITUTO FORUM"/>
    <m/>
  </r>
  <r>
    <s v="carlos.rojas@unisabana.edu.co"/>
    <m/>
    <m/>
    <x v="127"/>
    <n v="140"/>
    <x v="0"/>
    <x v="2"/>
    <m/>
    <s v="Posgrado"/>
    <s v="INSTITUTO FORUM"/>
    <m/>
  </r>
  <r>
    <s v="carlos.rojas@unisabana.edu.co"/>
    <m/>
    <m/>
    <x v="82"/>
    <n v="132"/>
    <x v="0"/>
    <x v="2"/>
    <m/>
    <s v="Posgrado"/>
    <s v="INSTITUTO FORUM"/>
    <m/>
  </r>
  <r>
    <s v="milton.bautista@unisabana.edu.co"/>
    <m/>
    <m/>
    <x v="146"/>
    <n v="125"/>
    <x v="0"/>
    <x v="2"/>
    <m/>
    <s v="Posgrado"/>
    <s v="INSTITUTO FORUM"/>
    <m/>
  </r>
  <r>
    <s v="maria.villar2@unisabana.edu.co"/>
    <m/>
    <m/>
    <x v="146"/>
    <n v="125"/>
    <x v="0"/>
    <x v="2"/>
    <m/>
    <s v="Posgrado"/>
    <s v="INSTITUTO FORUM"/>
    <m/>
  </r>
  <r>
    <s v="gustavo.riveros1@unisabana.edu.co"/>
    <m/>
    <m/>
    <x v="125"/>
    <n v="124"/>
    <x v="1"/>
    <x v="2"/>
    <m/>
    <s v="Posgrado"/>
    <s v="INSTITUTO FORUM"/>
    <m/>
  </r>
  <r>
    <s v="gustavo.riveros1@unisabana.edu.co"/>
    <m/>
    <m/>
    <x v="126"/>
    <n v="139"/>
    <x v="1"/>
    <x v="2"/>
    <m/>
    <s v="Posgrado"/>
    <s v="INSTITUTO FORUM"/>
    <m/>
  </r>
  <r>
    <s v="gustavo.riveros1@unisabana.edu.co"/>
    <m/>
    <m/>
    <x v="55"/>
    <n v="134"/>
    <x v="1"/>
    <x v="2"/>
    <m/>
    <s v="Posgrado"/>
    <s v="INSTITUTO FORUM"/>
    <m/>
  </r>
  <r>
    <s v="gustavo.riveros1@unisabana.edu.co"/>
    <m/>
    <m/>
    <x v="54"/>
    <n v="114"/>
    <x v="1"/>
    <x v="2"/>
    <m/>
    <s v="Posgrado"/>
    <s v="INSTITUTO FORUM"/>
    <m/>
  </r>
  <r>
    <s v="gustavo.riveros1@unisabana.edu.co"/>
    <m/>
    <m/>
    <x v="82"/>
    <n v="132"/>
    <x v="1"/>
    <x v="2"/>
    <m/>
    <s v="Posgrado"/>
    <s v="INSTITUTO FORUM"/>
    <m/>
  </r>
  <r>
    <s v="gustavo.riveros1@unisabana.edu.co"/>
    <m/>
    <m/>
    <x v="78"/>
    <n v="133"/>
    <x v="1"/>
    <x v="2"/>
    <m/>
    <s v="Posgrado"/>
    <s v="INSTITUTO FORUM"/>
    <m/>
  </r>
  <r>
    <s v="gustavo.riveros1@unisabana.edu.co"/>
    <m/>
    <m/>
    <x v="127"/>
    <n v="140"/>
    <x v="1"/>
    <x v="2"/>
    <m/>
    <s v="Posgrado"/>
    <s v="INSTITUTO FORUM"/>
    <m/>
  </r>
  <r>
    <s v="luz.villegas1@unisabana.edu.co"/>
    <m/>
    <m/>
    <x v="125"/>
    <n v="124"/>
    <x v="1"/>
    <x v="2"/>
    <m/>
    <s v="Posgrado"/>
    <s v="INSTITUTO FORUM"/>
    <m/>
  </r>
  <r>
    <s v="luz.villegas1@unisabana.edu.co"/>
    <m/>
    <m/>
    <x v="52"/>
    <n v="131"/>
    <x v="1"/>
    <x v="2"/>
    <m/>
    <s v="Posgrado"/>
    <s v="INSTITUTO FORUM"/>
    <m/>
  </r>
  <r>
    <s v="luz.villegas1@unisabana.edu.co"/>
    <m/>
    <m/>
    <x v="55"/>
    <n v="134"/>
    <x v="1"/>
    <x v="2"/>
    <m/>
    <s v="Posgrado"/>
    <s v="INSTITUTO FORUM"/>
    <m/>
  </r>
  <r>
    <s v="luz.villegas1@unisabana.edu.co"/>
    <m/>
    <m/>
    <x v="54"/>
    <n v="114"/>
    <x v="1"/>
    <x v="2"/>
    <m/>
    <s v="Posgrado"/>
    <s v="INSTITUTO FORUM"/>
    <m/>
  </r>
  <r>
    <s v="luz.villegas1@unisabana.edu.co"/>
    <m/>
    <m/>
    <x v="82"/>
    <n v="132"/>
    <x v="1"/>
    <x v="2"/>
    <m/>
    <s v="Posgrado"/>
    <s v="INSTITUTO FORUM"/>
    <m/>
  </r>
  <r>
    <s v="luz.villegas1@unisabana.edu.co"/>
    <m/>
    <m/>
    <x v="78"/>
    <n v="133"/>
    <x v="1"/>
    <x v="2"/>
    <m/>
    <s v="Posgrado"/>
    <s v="INSTITUTO FORUM"/>
    <m/>
  </r>
  <r>
    <s v="luz.villegas1@unisabana.edu.co"/>
    <m/>
    <m/>
    <x v="127"/>
    <n v="140"/>
    <x v="1"/>
    <x v="2"/>
    <m/>
    <s v="Posgrado"/>
    <s v="INSTITUTO FORUM"/>
    <m/>
  </r>
  <r>
    <s v="steve.martinez1@unisabana.edu.co"/>
    <m/>
    <m/>
    <x v="118"/>
    <n v="113"/>
    <x v="0"/>
    <x v="2"/>
    <s v="Incompleta"/>
    <s v="Posgrado"/>
    <s v="INSTITUTO FORUM"/>
    <m/>
  </r>
  <r>
    <s v="gilberto.gamboa@unisabana.edu.co"/>
    <m/>
    <m/>
    <x v="147"/>
    <m/>
    <x v="1"/>
    <x v="2"/>
    <m/>
    <m/>
    <m/>
    <m/>
  </r>
  <r>
    <s v="juana.jaramillo@unisabana.edu.co"/>
    <m/>
    <m/>
    <x v="147"/>
    <m/>
    <x v="1"/>
    <x v="2"/>
    <m/>
    <m/>
    <m/>
    <m/>
  </r>
  <r>
    <s v="pedro.sarmiento@unisabana.edu.co"/>
    <m/>
    <m/>
    <x v="147"/>
    <m/>
    <x v="1"/>
    <x v="1"/>
    <m/>
    <m/>
    <m/>
    <m/>
  </r>
  <r>
    <m/>
    <s v="david.tovar@unisabana.edu.co1"/>
    <m/>
    <x v="3"/>
    <m/>
    <x v="0"/>
    <x v="0"/>
    <m/>
    <m/>
    <m/>
    <m/>
  </r>
  <r>
    <m/>
    <s v="pedro.angel@unisabana.edu.co01"/>
    <m/>
    <x v="116"/>
    <m/>
    <x v="0"/>
    <x v="0"/>
    <m/>
    <m/>
    <m/>
    <m/>
  </r>
  <r>
    <m/>
    <s v="manuel.barrero@unisabana.edu.co01"/>
    <m/>
    <x v="95"/>
    <m/>
    <x v="0"/>
    <x v="0"/>
    <m/>
    <m/>
    <m/>
    <m/>
  </r>
  <r>
    <m/>
    <s v="luis.torres8@unisabana.edu.co01"/>
    <m/>
    <x v="38"/>
    <m/>
    <x v="0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760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>
  <location ref="E1:P29" firstHeaderRow="1" firstDataRow="2" firstDataCol="1"/>
  <pivotFields count="3">
    <pivotField showAll="0"/>
    <pivotField axis="axisCol" showAll="0">
      <items count="12">
        <item x="4"/>
        <item x="5"/>
        <item x="6"/>
        <item x="2"/>
        <item x="0"/>
        <item x="1"/>
        <item x="3"/>
        <item x="7"/>
        <item h="1" x="10"/>
        <item x="8"/>
        <item x="9"/>
        <item t="default"/>
      </items>
    </pivotField>
    <pivotField axis="axisRow" dataField="1" showAll="0">
      <items count="28">
        <item x="5"/>
        <item x="6"/>
        <item x="9"/>
        <item x="8"/>
        <item x="16"/>
        <item x="17"/>
        <item x="14"/>
        <item x="12"/>
        <item x="15"/>
        <item x="11"/>
        <item x="7"/>
        <item x="10"/>
        <item x="0"/>
        <item x="2"/>
        <item x="18"/>
        <item x="4"/>
        <item x="3"/>
        <item x="13"/>
        <item x="1"/>
        <item x="26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colItems>
  <dataFields count="1">
    <dataField name="Cuenta de Nombre de Programa" fld="2" subtotal="count" baseField="0" baseItem="0"/>
  </dataFields>
  <formats count="1"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5CF0E-940B-4049-A74D-5A5EE4C3D5D2}" name="TablaDinámica1" cacheId="17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D42" firstHeaderRow="1" firstDataRow="2" firstDataCol="1" rowPageCount="1" colPageCount="1"/>
  <pivotFields count="10">
    <pivotField showAll="0"/>
    <pivotField showAll="0"/>
    <pivotField showAll="0"/>
    <pivotField axis="axisRow" dataField="1" showAll="0">
      <items count="148">
        <item x="21"/>
        <item x="32"/>
        <item x="87"/>
        <item x="44"/>
        <item x="68"/>
        <item x="23"/>
        <item x="43"/>
        <item x="15"/>
        <item x="36"/>
        <item x="19"/>
        <item x="22"/>
        <item x="141"/>
        <item x="131"/>
        <item x="139"/>
        <item x="114"/>
        <item x="138"/>
        <item x="133"/>
        <item x="140"/>
        <item x="128"/>
        <item x="144"/>
        <item x="119"/>
        <item x="40"/>
        <item x="57"/>
        <item x="142"/>
        <item x="80"/>
        <item x="64"/>
        <item x="66"/>
        <item x="33"/>
        <item x="84"/>
        <item x="106"/>
        <item x="25"/>
        <item x="77"/>
        <item x="102"/>
        <item x="0"/>
        <item x="10"/>
        <item x="50"/>
        <item x="74"/>
        <item x="100"/>
        <item x="76"/>
        <item x="122"/>
        <item x="104"/>
        <item x="95"/>
        <item x="112"/>
        <item x="132"/>
        <item x="6"/>
        <item x="116"/>
        <item x="113"/>
        <item x="93"/>
        <item x="88"/>
        <item x="38"/>
        <item x="7"/>
        <item x="98"/>
        <item x="127"/>
        <item x="125"/>
        <item x="126"/>
        <item x="55"/>
        <item x="54"/>
        <item x="118"/>
        <item x="82"/>
        <item x="52"/>
        <item x="78"/>
        <item x="73"/>
        <item x="75"/>
        <item x="85"/>
        <item x="117"/>
        <item x="109"/>
        <item x="101"/>
        <item x="146"/>
        <item x="17"/>
        <item x="39"/>
        <item x="145"/>
        <item x="8"/>
        <item x="103"/>
        <item x="134"/>
        <item x="69"/>
        <item x="129"/>
        <item x="135"/>
        <item x="48"/>
        <item x="105"/>
        <item x="99"/>
        <item x="107"/>
        <item x="94"/>
        <item x="79"/>
        <item x="72"/>
        <item x="71"/>
        <item x="111"/>
        <item x="5"/>
        <item x="136"/>
        <item x="89"/>
        <item x="11"/>
        <item x="60"/>
        <item x="20"/>
        <item x="51"/>
        <item x="96"/>
        <item x="49"/>
        <item x="90"/>
        <item x="28"/>
        <item x="31"/>
        <item x="2"/>
        <item x="16"/>
        <item x="58"/>
        <item x="3"/>
        <item x="34"/>
        <item x="18"/>
        <item x="14"/>
        <item x="143"/>
        <item x="115"/>
        <item x="59"/>
        <item x="56"/>
        <item x="9"/>
        <item x="61"/>
        <item x="41"/>
        <item x="42"/>
        <item x="137"/>
        <item x="62"/>
        <item x="92"/>
        <item x="97"/>
        <item x="130"/>
        <item x="110"/>
        <item x="12"/>
        <item x="13"/>
        <item x="83"/>
        <item x="121"/>
        <item x="1"/>
        <item x="26"/>
        <item x="27"/>
        <item x="67"/>
        <item x="86"/>
        <item x="35"/>
        <item x="37"/>
        <item x="65"/>
        <item x="124"/>
        <item x="63"/>
        <item x="30"/>
        <item x="81"/>
        <item x="108"/>
        <item x="47"/>
        <item x="123"/>
        <item x="120"/>
        <item x="46"/>
        <item x="70"/>
        <item x="45"/>
        <item x="4"/>
        <item x="24"/>
        <item x="91"/>
        <item x="29"/>
        <item x="53"/>
        <item t="default"/>
      </items>
    </pivotField>
    <pivotField axis="axisCol" showAll="0">
      <items count="3">
        <item x="0"/>
        <item x="1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8">
    <i>
      <x v="4"/>
    </i>
    <i>
      <x v="5"/>
    </i>
    <i>
      <x v="6"/>
    </i>
    <i>
      <x v="7"/>
    </i>
    <i>
      <x v="10"/>
    </i>
    <i>
      <x v="3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3"/>
    </i>
    <i>
      <x v="65"/>
    </i>
    <i>
      <x v="67"/>
    </i>
    <i>
      <x v="69"/>
    </i>
    <i>
      <x v="84"/>
    </i>
    <i>
      <x v="88"/>
    </i>
    <i>
      <x v="101"/>
    </i>
    <i>
      <x v="102"/>
    </i>
    <i>
      <x v="103"/>
    </i>
    <i>
      <x v="111"/>
    </i>
    <i>
      <x v="114"/>
    </i>
    <i>
      <x v="116"/>
    </i>
    <i>
      <x v="119"/>
    </i>
    <i>
      <x v="120"/>
    </i>
    <i>
      <x v="122"/>
    </i>
    <i>
      <x v="129"/>
    </i>
    <i>
      <x v="130"/>
    </i>
    <i>
      <x v="131"/>
    </i>
    <i>
      <x v="134"/>
    </i>
    <i>
      <x v="137"/>
    </i>
    <i>
      <x v="138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5" hier="-1"/>
  </pageFields>
  <dataFields count="1">
    <dataField name="Cuenta de PROGRAM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17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53:D189" firstHeaderRow="1" firstDataRow="2" firstDataCol="1" rowPageCount="1" colPageCount="1"/>
  <pivotFields count="10">
    <pivotField showAll="0"/>
    <pivotField showAll="0"/>
    <pivotField showAll="0"/>
    <pivotField axis="axisRow" dataField="1" showAll="0">
      <items count="149">
        <item x="21"/>
        <item x="32"/>
        <item x="87"/>
        <item x="44"/>
        <item x="68"/>
        <item x="23"/>
        <item x="43"/>
        <item x="15"/>
        <item x="36"/>
        <item x="19"/>
        <item x="22"/>
        <item x="141"/>
        <item x="131"/>
        <item x="139"/>
        <item x="114"/>
        <item x="138"/>
        <item x="133"/>
        <item x="140"/>
        <item x="128"/>
        <item x="144"/>
        <item x="119"/>
        <item x="40"/>
        <item x="57"/>
        <item x="142"/>
        <item x="80"/>
        <item x="64"/>
        <item x="66"/>
        <item x="33"/>
        <item x="84"/>
        <item x="106"/>
        <item x="25"/>
        <item x="77"/>
        <item x="102"/>
        <item x="0"/>
        <item x="10"/>
        <item x="50"/>
        <item x="74"/>
        <item x="100"/>
        <item x="76"/>
        <item x="122"/>
        <item x="104"/>
        <item x="95"/>
        <item x="112"/>
        <item x="132"/>
        <item x="6"/>
        <item x="116"/>
        <item x="113"/>
        <item x="93"/>
        <item x="88"/>
        <item x="38"/>
        <item x="7"/>
        <item x="98"/>
        <item x="127"/>
        <item x="125"/>
        <item x="126"/>
        <item x="55"/>
        <item x="54"/>
        <item x="118"/>
        <item x="82"/>
        <item x="52"/>
        <item x="78"/>
        <item x="73"/>
        <item x="75"/>
        <item x="85"/>
        <item x="117"/>
        <item x="109"/>
        <item x="101"/>
        <item x="146"/>
        <item x="17"/>
        <item x="39"/>
        <item x="145"/>
        <item x="8"/>
        <item x="103"/>
        <item x="134"/>
        <item x="69"/>
        <item x="129"/>
        <item x="135"/>
        <item x="48"/>
        <item x="105"/>
        <item x="99"/>
        <item x="107"/>
        <item x="94"/>
        <item x="79"/>
        <item x="72"/>
        <item x="71"/>
        <item x="111"/>
        <item x="5"/>
        <item x="136"/>
        <item x="89"/>
        <item x="11"/>
        <item x="60"/>
        <item x="20"/>
        <item x="51"/>
        <item x="96"/>
        <item x="49"/>
        <item x="90"/>
        <item x="28"/>
        <item x="31"/>
        <item x="2"/>
        <item x="16"/>
        <item x="58"/>
        <item x="3"/>
        <item x="34"/>
        <item x="18"/>
        <item x="14"/>
        <item x="143"/>
        <item x="115"/>
        <item x="59"/>
        <item x="56"/>
        <item x="9"/>
        <item x="61"/>
        <item x="41"/>
        <item x="42"/>
        <item x="137"/>
        <item x="62"/>
        <item x="92"/>
        <item x="97"/>
        <item x="130"/>
        <item x="110"/>
        <item x="12"/>
        <item x="13"/>
        <item x="83"/>
        <item x="121"/>
        <item x="1"/>
        <item x="26"/>
        <item x="27"/>
        <item x="67"/>
        <item x="86"/>
        <item x="35"/>
        <item x="37"/>
        <item x="65"/>
        <item x="124"/>
        <item x="63"/>
        <item x="30"/>
        <item x="81"/>
        <item x="108"/>
        <item x="47"/>
        <item m="1" x="147"/>
        <item x="123"/>
        <item x="120"/>
        <item x="46"/>
        <item x="70"/>
        <item x="45"/>
        <item x="4"/>
        <item x="24"/>
        <item x="91"/>
        <item x="29"/>
        <item x="53"/>
        <item t="default"/>
      </items>
    </pivotField>
    <pivotField axis="axisCol" showAll="0">
      <items count="4">
        <item x="0"/>
        <item x="1"/>
        <item m="1" x="2"/>
        <item t="default"/>
      </items>
    </pivotField>
    <pivotField axis="axisPage" multipleItemSelectionAllowed="1" showAll="0">
      <items count="7">
        <item x="0"/>
        <item h="1" m="1" x="5"/>
        <item h="1" x="1"/>
        <item h="1" x="2"/>
        <item h="1" x="3"/>
        <item h="1" m="1"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6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5" hier="-1"/>
  </pageFields>
  <dataFields count="1">
    <dataField name="Cuenta de PROGRAM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3" cacheId="17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4:O10" firstHeaderRow="1" firstDataRow="2" firstDataCol="1"/>
  <pivotFields count="10"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axis="axisRow" dataField="1" multipleItemSelectionAllowed="1" showAll="0">
      <items count="7">
        <item x="0"/>
        <item m="1" x="5"/>
        <item x="1"/>
        <item x="2"/>
        <item x="3"/>
        <item m="1"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uenta de E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CEA7F-E8A3-4679-BA26-AAF681EB2788}" name="TablaDinámica1" cacheId="17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D143" firstHeaderRow="1" firstDataRow="2" firstDataCol="1" rowPageCount="1" colPageCount="1"/>
  <pivotFields count="11">
    <pivotField showAll="0"/>
    <pivotField showAll="0"/>
    <pivotField showAll="0"/>
    <pivotField axis="axisRow" dataField="1" showAll="0">
      <items count="149">
        <item x="21"/>
        <item x="32"/>
        <item x="44"/>
        <item x="68"/>
        <item x="23"/>
        <item x="43"/>
        <item x="15"/>
        <item x="36"/>
        <item x="22"/>
        <item x="141"/>
        <item x="131"/>
        <item x="139"/>
        <item x="113"/>
        <item x="138"/>
        <item x="133"/>
        <item x="140"/>
        <item x="128"/>
        <item x="144"/>
        <item x="119"/>
        <item x="40"/>
        <item x="57"/>
        <item x="142"/>
        <item x="80"/>
        <item x="64"/>
        <item x="66"/>
        <item x="33"/>
        <item x="84"/>
        <item x="105"/>
        <item x="25"/>
        <item x="77"/>
        <item x="102"/>
        <item x="0"/>
        <item x="10"/>
        <item x="50"/>
        <item x="74"/>
        <item x="100"/>
        <item x="76"/>
        <item x="122"/>
        <item x="116"/>
        <item x="95"/>
        <item x="111"/>
        <item x="132"/>
        <item x="6"/>
        <item x="115"/>
        <item x="112"/>
        <item x="93"/>
        <item x="88"/>
        <item x="38"/>
        <item x="7"/>
        <item x="98"/>
        <item x="125"/>
        <item x="126"/>
        <item x="55"/>
        <item x="54"/>
        <item x="118"/>
        <item x="82"/>
        <item x="52"/>
        <item x="78"/>
        <item x="73"/>
        <item x="75"/>
        <item x="85"/>
        <item x="117"/>
        <item x="108"/>
        <item x="101"/>
        <item x="17"/>
        <item x="39"/>
        <item x="145"/>
        <item x="8"/>
        <item x="103"/>
        <item x="134"/>
        <item x="69"/>
        <item x="129"/>
        <item x="135"/>
        <item x="48"/>
        <item x="104"/>
        <item x="99"/>
        <item x="106"/>
        <item x="94"/>
        <item x="79"/>
        <item x="72"/>
        <item x="71"/>
        <item x="110"/>
        <item x="5"/>
        <item x="136"/>
        <item x="89"/>
        <item x="11"/>
        <item x="60"/>
        <item x="20"/>
        <item x="51"/>
        <item x="96"/>
        <item x="49"/>
        <item x="90"/>
        <item x="28"/>
        <item x="31"/>
        <item x="2"/>
        <item x="16"/>
        <item x="58"/>
        <item x="3"/>
        <item x="34"/>
        <item x="18"/>
        <item x="14"/>
        <item x="143"/>
        <item x="114"/>
        <item x="59"/>
        <item x="56"/>
        <item x="9"/>
        <item x="61"/>
        <item x="41"/>
        <item x="42"/>
        <item x="137"/>
        <item x="62"/>
        <item x="92"/>
        <item x="97"/>
        <item x="130"/>
        <item x="109"/>
        <item x="12"/>
        <item x="13"/>
        <item x="83"/>
        <item x="121"/>
        <item x="1"/>
        <item x="26"/>
        <item x="27"/>
        <item x="67"/>
        <item x="86"/>
        <item x="35"/>
        <item x="37"/>
        <item x="65"/>
        <item x="124"/>
        <item x="63"/>
        <item x="30"/>
        <item x="81"/>
        <item x="107"/>
        <item x="47"/>
        <item x="123"/>
        <item x="120"/>
        <item x="46"/>
        <item x="70"/>
        <item x="45"/>
        <item x="4"/>
        <item x="24"/>
        <item x="91"/>
        <item x="29"/>
        <item x="53"/>
        <item x="127"/>
        <item x="146"/>
        <item x="19"/>
        <item x="87"/>
        <item x="14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Page" multipleItemSelectionAllowed="1" showAll="0">
      <items count="7">
        <item x="0"/>
        <item h="1" x="1"/>
        <item x="2"/>
        <item h="1" m="1" x="3"/>
        <item h="1" m="1" x="4"/>
        <item h="1" m="1" x="5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7"/>
    </i>
    <i>
      <x v="78"/>
    </i>
    <i>
      <x v="79"/>
    </i>
    <i>
      <x v="80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uenta de PROGRAMA" fld="3" subtotal="count" baseField="0" baseItem="0"/>
  </dataFields>
  <formats count="5">
    <format dxfId="43">
      <pivotArea type="origin" dataOnly="0" labelOnly="1" outline="0" fieldPosition="0"/>
    </format>
    <format dxfId="44">
      <pivotArea field="5" type="button" dataOnly="0" labelOnly="1" outline="0" axis="axisCol" fieldPosition="0"/>
    </format>
    <format dxfId="45">
      <pivotArea type="topRight" dataOnly="0" labelOnly="1" outline="0" fieldPosition="0"/>
    </format>
    <format dxfId="46">
      <pivotArea dataOnly="0" labelOnly="1" fieldPosition="0">
        <references count="1">
          <reference field="5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TablaDinámica1" cacheId="17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71" firstHeaderRow="1" firstDataRow="1" firstDataCol="1"/>
  <pivotFields count="8">
    <pivotField showAll="0"/>
    <pivotField axis="axisRow" showAll="0">
      <items count="154">
        <item x="7"/>
        <item x="13"/>
        <item x="27"/>
        <item x="5"/>
        <item x="20"/>
        <item x="26"/>
        <item x="10"/>
        <item x="19"/>
        <item x="2"/>
        <item x="17"/>
        <item x="8"/>
        <item x="142"/>
        <item x="113"/>
        <item x="140"/>
        <item x="121"/>
        <item x="139"/>
        <item x="116"/>
        <item x="141"/>
        <item x="109"/>
        <item x="146"/>
        <item x="18"/>
        <item x="24"/>
        <item x="144"/>
        <item x="89"/>
        <item x="72"/>
        <item x="94"/>
        <item x="90"/>
        <item x="34"/>
        <item x="84"/>
        <item x="70"/>
        <item x="33"/>
        <item x="41"/>
        <item x="67"/>
        <item x="83"/>
        <item x="53"/>
        <item x="42"/>
        <item x="44"/>
        <item x="105"/>
        <item x="78"/>
        <item x="106"/>
        <item x="115"/>
        <item x="39"/>
        <item x="118"/>
        <item x="107"/>
        <item x="82"/>
        <item x="131"/>
        <item x="59"/>
        <item x="60"/>
        <item x="100"/>
        <item x="48"/>
        <item x="112"/>
        <item x="126"/>
        <item x="69"/>
        <item x="101"/>
        <item x="68"/>
        <item x="45"/>
        <item x="114"/>
        <item x="130"/>
        <item x="81"/>
        <item x="127"/>
        <item x="95"/>
        <item x="129"/>
        <item x="97"/>
        <item x="61"/>
        <item x="120"/>
        <item x="55"/>
        <item x="148"/>
        <item x="98"/>
        <item x="76"/>
        <item x="119"/>
        <item x="52"/>
        <item x="110"/>
        <item x="136"/>
        <item x="66"/>
        <item x="86"/>
        <item x="49"/>
        <item x="93"/>
        <item x="104"/>
        <item x="108"/>
        <item x="88"/>
        <item x="103"/>
        <item x="38"/>
        <item x="147"/>
        <item x="32"/>
        <item x="91"/>
        <item x="51"/>
        <item x="54"/>
        <item x="80"/>
        <item x="79"/>
        <item x="25"/>
        <item x="6"/>
        <item x="22"/>
        <item x="30"/>
        <item x="21"/>
        <item x="28"/>
        <item x="31"/>
        <item x="11"/>
        <item x="4"/>
        <item x="0"/>
        <item x="3"/>
        <item x="14"/>
        <item x="1"/>
        <item x="16"/>
        <item x="43"/>
        <item x="137"/>
        <item x="145"/>
        <item x="122"/>
        <item x="62"/>
        <item x="125"/>
        <item x="37"/>
        <item x="138"/>
        <item x="152"/>
        <item x="74"/>
        <item x="151"/>
        <item x="102"/>
        <item x="36"/>
        <item x="111"/>
        <item x="99"/>
        <item x="132"/>
        <item x="135"/>
        <item x="92"/>
        <item x="143"/>
        <item x="149"/>
        <item x="35"/>
        <item x="47"/>
        <item x="123"/>
        <item x="56"/>
        <item x="87"/>
        <item x="57"/>
        <item x="58"/>
        <item x="77"/>
        <item x="150"/>
        <item x="75"/>
        <item x="50"/>
        <item x="128"/>
        <item x="124"/>
        <item x="134"/>
        <item x="96"/>
        <item x="65"/>
        <item x="133"/>
        <item x="85"/>
        <item x="63"/>
        <item x="46"/>
        <item x="71"/>
        <item x="40"/>
        <item x="73"/>
        <item x="117"/>
        <item x="64"/>
        <item x="15"/>
        <item x="9"/>
        <item x="29"/>
        <item x="12"/>
        <item x="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11"/>
        <item x="3"/>
        <item x="8"/>
        <item x="4"/>
        <item x="2"/>
        <item x="5"/>
        <item x="1"/>
        <item x="9"/>
        <item x="10"/>
        <item x="0"/>
        <item x="7"/>
        <item x="6"/>
        <item x="13"/>
        <item x="12"/>
        <item t="default"/>
      </items>
    </pivotField>
  </pivotFields>
  <rowFields count="2">
    <field x="7"/>
    <field x="1"/>
  </rowFields>
  <rowItems count="168">
    <i>
      <x/>
    </i>
    <i r="1">
      <x v="2"/>
    </i>
    <i>
      <x v="1"/>
    </i>
    <i r="1">
      <x v="3"/>
    </i>
    <i>
      <x v="2"/>
    </i>
    <i r="1">
      <x v="9"/>
    </i>
    <i>
      <x v="3"/>
    </i>
    <i r="1">
      <x/>
    </i>
    <i r="1">
      <x v="1"/>
    </i>
    <i r="1">
      <x v="11"/>
    </i>
    <i r="1">
      <x v="20"/>
    </i>
    <i r="1">
      <x v="90"/>
    </i>
    <i r="1">
      <x v="92"/>
    </i>
    <i r="1">
      <x v="100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49"/>
    </i>
    <i r="1">
      <x v="150"/>
    </i>
    <i r="1">
      <x v="152"/>
    </i>
    <i>
      <x v="4"/>
    </i>
    <i r="1">
      <x v="6"/>
    </i>
    <i r="1">
      <x v="7"/>
    </i>
    <i r="1">
      <x v="8"/>
    </i>
    <i r="1">
      <x v="13"/>
    </i>
    <i r="1">
      <x v="42"/>
    </i>
    <i r="1">
      <x v="106"/>
    </i>
    <i r="1">
      <x v="138"/>
    </i>
    <i>
      <x v="5"/>
    </i>
    <i r="1">
      <x v="5"/>
    </i>
    <i r="1">
      <x v="10"/>
    </i>
    <i r="1">
      <x v="14"/>
    </i>
    <i r="1">
      <x v="24"/>
    </i>
    <i r="1">
      <x v="26"/>
    </i>
    <i r="1">
      <x v="27"/>
    </i>
    <i r="1">
      <x v="28"/>
    </i>
    <i r="1">
      <x v="81"/>
    </i>
    <i r="1">
      <x v="83"/>
    </i>
    <i r="1">
      <x v="85"/>
    </i>
    <i r="1">
      <x v="86"/>
    </i>
    <i r="1">
      <x v="142"/>
    </i>
    <i r="1">
      <x v="143"/>
    </i>
    <i r="1">
      <x v="144"/>
    </i>
    <i r="1">
      <x v="145"/>
    </i>
    <i>
      <x v="6"/>
    </i>
    <i r="1">
      <x v="15"/>
    </i>
    <i r="1">
      <x v="18"/>
    </i>
    <i r="1">
      <x v="48"/>
    </i>
    <i r="1">
      <x v="49"/>
    </i>
    <i r="1">
      <x v="77"/>
    </i>
    <i r="1">
      <x v="78"/>
    </i>
    <i r="1">
      <x v="101"/>
    </i>
    <i r="1">
      <x v="102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6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39"/>
    </i>
    <i>
      <x v="7"/>
    </i>
    <i r="1">
      <x v="16"/>
    </i>
    <i r="1">
      <x v="21"/>
    </i>
    <i r="1">
      <x v="31"/>
    </i>
    <i r="1">
      <x v="84"/>
    </i>
    <i r="1">
      <x v="91"/>
    </i>
    <i r="1">
      <x v="118"/>
    </i>
    <i r="1">
      <x v="119"/>
    </i>
    <i r="1">
      <x v="121"/>
    </i>
    <i r="1">
      <x v="122"/>
    </i>
    <i>
      <x v="8"/>
    </i>
    <i r="1">
      <x v="89"/>
    </i>
    <i r="1">
      <x v="132"/>
    </i>
    <i r="1">
      <x v="141"/>
    </i>
    <i>
      <x v="9"/>
    </i>
    <i r="1">
      <x v="4"/>
    </i>
    <i r="1">
      <x v="12"/>
    </i>
    <i r="1">
      <x v="17"/>
    </i>
    <i r="1">
      <x v="19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3"/>
    </i>
    <i r="1">
      <x v="115"/>
    </i>
    <i r="1">
      <x v="123"/>
    </i>
    <i>
      <x v="10"/>
    </i>
    <i r="1">
      <x v="22"/>
    </i>
    <i r="1">
      <x v="23"/>
    </i>
    <i r="1">
      <x v="25"/>
    </i>
    <i r="1">
      <x v="29"/>
    </i>
    <i r="1">
      <x v="32"/>
    </i>
    <i r="1">
      <x v="34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105"/>
    </i>
    <i r="1">
      <x v="117"/>
    </i>
    <i r="1">
      <x v="120"/>
    </i>
    <i r="1">
      <x v="140"/>
    </i>
    <i r="1">
      <x v="148"/>
    </i>
    <i>
      <x v="11"/>
    </i>
    <i r="1">
      <x v="87"/>
    </i>
    <i r="1">
      <x v="88"/>
    </i>
    <i r="1">
      <x v="130"/>
    </i>
    <i r="1">
      <x v="146"/>
    </i>
    <i r="1">
      <x v="147"/>
    </i>
    <i r="1">
      <x v="151"/>
    </i>
    <i>
      <x v="12"/>
    </i>
    <i r="1">
      <x v="104"/>
    </i>
    <i>
      <x v="13"/>
    </i>
    <i r="1">
      <x v="30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t="grand">
      <x/>
    </i>
  </rowItems>
  <colItems count="1">
    <i/>
  </colItems>
  <formats count="3">
    <format dxfId="40">
      <pivotArea dataOnly="0" labelOnly="1" fieldPosition="0">
        <references count="2">
          <reference field="1" count="1">
            <x v="82"/>
          </reference>
          <reference field="7" count="1" selected="0">
            <x v="9"/>
          </reference>
        </references>
      </pivotArea>
    </format>
    <format dxfId="41">
      <pivotArea dataOnly="0" labelOnly="1" fieldPosition="0">
        <references count="2">
          <reference field="1" count="1">
            <x v="120"/>
          </reference>
          <reference field="7" count="1" selected="0">
            <x v="9"/>
          </reference>
        </references>
      </pivotArea>
    </format>
    <format dxfId="42">
      <pivotArea dataOnly="0" labelOnly="1" fieldPosition="0">
        <references count="2">
          <reference field="1" count="1">
            <x v="115"/>
          </reference>
          <reference field="7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6000000}" name="TablaDinámica3" cacheId="1759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G3:H40" firstHeaderRow="1" firstDataRow="1" firstDataCol="1" rowPageCount="1" colPageCount="1"/>
  <pivotFields count="3">
    <pivotField showAll="0"/>
    <pivotField axis="axisRow" dataField="1" showAll="0">
      <items count="38">
        <item x="23"/>
        <item x="24"/>
        <item x="27"/>
        <item x="30"/>
        <item x="7"/>
        <item x="5"/>
        <item x="18"/>
        <item x="21"/>
        <item x="3"/>
        <item x="4"/>
        <item x="10"/>
        <item x="9"/>
        <item x="2"/>
        <item x="20"/>
        <item x="19"/>
        <item x="29"/>
        <item x="25"/>
        <item x="14"/>
        <item x="28"/>
        <item x="1"/>
        <item x="16"/>
        <item x="8"/>
        <item x="11"/>
        <item x="15"/>
        <item x="0"/>
        <item x="17"/>
        <item x="32"/>
        <item x="13"/>
        <item x="22"/>
        <item x="6"/>
        <item x="34"/>
        <item x="33"/>
        <item x="12"/>
        <item x="35"/>
        <item x="36"/>
        <item x="26"/>
        <item x="31"/>
        <item t="default"/>
      </items>
    </pivotField>
    <pivotField axis="axisPage" showAll="0">
      <items count="4">
        <item x="0"/>
        <item m="1" x="2"/>
        <item x="1"/>
        <item t="default"/>
      </items>
    </pivotField>
  </pivotFields>
  <rowFields count="1">
    <field x="1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1">
    <pageField fld="2" item="0" hier="-1"/>
  </pageFields>
  <dataFields count="1">
    <dataField name="Cuenta de Establecimien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67" totalsRowShown="0">
  <autoFilter ref="A1:C67" xr:uid="{00000000-0009-0000-0100-000001000000}"/>
  <tableColumns count="3">
    <tableColumn id="1" xr3:uid="{00000000-0010-0000-0000-000001000000}" name="F3"/>
    <tableColumn id="2" xr3:uid="{00000000-0010-0000-0000-000002000000}" name="Semestre"/>
    <tableColumn id="3" xr3:uid="{00000000-0010-0000-0000-000003000000}" name="Nombre de Progr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santiago.wills@unisabana.edu.co" TargetMode="External"/><Relationship Id="rId3" Type="http://schemas.openxmlformats.org/officeDocument/2006/relationships/hyperlink" Target="mailto:camilo.rincon2@unisabana.edu.co02" TargetMode="External"/><Relationship Id="rId7" Type="http://schemas.openxmlformats.org/officeDocument/2006/relationships/hyperlink" Target="mailto:alexandra.jimenez1@unisabana.edu.co" TargetMode="External"/><Relationship Id="rId2" Type="http://schemas.openxmlformats.org/officeDocument/2006/relationships/hyperlink" Target="mailto:maria.castillo2@unisabana.edu.co02" TargetMode="External"/><Relationship Id="rId1" Type="http://schemas.openxmlformats.org/officeDocument/2006/relationships/hyperlink" Target="https://profcatedra2024.sawtoothsoftware.com/cgi-bin/ciwweb.pl?studyname=ProfCatedra2024&amp;Correo=" TargetMode="External"/><Relationship Id="rId6" Type="http://schemas.openxmlformats.org/officeDocument/2006/relationships/hyperlink" Target="mailto:steve.martinez1@unisabana.edu.co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mailto:alvaro.salcedo@unisabana.edu.co02" TargetMode="External"/><Relationship Id="rId10" Type="http://schemas.openxmlformats.org/officeDocument/2006/relationships/hyperlink" Target="mailto:jaime.rodriguez3@unisabana.edu.co" TargetMode="External"/><Relationship Id="rId4" Type="http://schemas.openxmlformats.org/officeDocument/2006/relationships/hyperlink" Target="https://profcatedra2024.sawtoothsoftware.com/cgi-bin/ciwweb.pl?studyname=ProfCatedra2024&amp;Correo=camilo.rincon2@unisabana.edu.co02" TargetMode="External"/><Relationship Id="rId9" Type="http://schemas.openxmlformats.org/officeDocument/2006/relationships/hyperlink" Target="mailto:jose.rodriguez3@unisabana.edu.co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luis.torres8@unisabana.edu.co" TargetMode="External"/><Relationship Id="rId2" Type="http://schemas.openxmlformats.org/officeDocument/2006/relationships/hyperlink" Target="mailto:andresrohe@unisabana.edu.co01" TargetMode="External"/><Relationship Id="rId1" Type="http://schemas.openxmlformats.org/officeDocument/2006/relationships/hyperlink" Target="mailto:luisf.lopez@unisabana.edu.co1" TargetMode="Externa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irectivos2024.sawtoothsoftware.com/cgi-bin/ciwweb.pl?studyname=Directivos2024&amp;Correo=luisf.lopez@unisabana.edu.co2" TargetMode="External"/><Relationship Id="rId2" Type="http://schemas.openxmlformats.org/officeDocument/2006/relationships/hyperlink" Target="https://directivos2024.sawtoothsoftware.com/cgi-bin/ciwweb.pl?studyname=Directivos2024&amp;Correo=leidyleca@unisabana.edu.co1" TargetMode="External"/><Relationship Id="rId1" Type="http://schemas.openxmlformats.org/officeDocument/2006/relationships/hyperlink" Target="mailto:leidyleca@unisabana.edu.co1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directivos2024.sawtoothsoftware.com/cgi-bin/ciwweb.pl?studyname=Directivos2024&amp;Correo=luisf.lopez@unisabana.edu.co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juanrojme@unisabana.edu.co" TargetMode="External"/><Relationship Id="rId2" Type="http://schemas.openxmlformats.org/officeDocument/2006/relationships/hyperlink" Target="mailto:danielapeor@unisabana.edu.co" TargetMode="External"/><Relationship Id="rId1" Type="http://schemas.openxmlformats.org/officeDocument/2006/relationships/hyperlink" Target="mailto:anavarro@unisabana.edu.co" TargetMode="External"/><Relationship Id="rId4" Type="http://schemas.openxmlformats.org/officeDocument/2006/relationships/hyperlink" Target="https://estud2024.sawtoothsoftware.com/cgi-bin/ciwweb.pl?studyname=Estud2024&amp;ID=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43"/>
  <sheetViews>
    <sheetView showGridLines="0" topLeftCell="A5" zoomScale="80" zoomScaleNormal="80" workbookViewId="0">
      <selection activeCell="H73" sqref="H73"/>
    </sheetView>
  </sheetViews>
  <sheetFormatPr defaultColWidth="11.42578125" defaultRowHeight="15"/>
  <cols>
    <col min="1" max="1" width="57.42578125" bestFit="1" customWidth="1"/>
    <col min="2" max="12" width="8.28515625" customWidth="1"/>
    <col min="13" max="13" width="11.85546875" customWidth="1"/>
  </cols>
  <sheetData>
    <row r="2" spans="1:28" ht="15.75">
      <c r="A2" s="238" t="s">
        <v>0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</row>
    <row r="3" spans="1:28" ht="30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</row>
    <row r="4" spans="1:28">
      <c r="A4" s="15" t="s">
        <v>17</v>
      </c>
      <c r="B4" s="13">
        <v>10</v>
      </c>
      <c r="C4" s="13">
        <v>9</v>
      </c>
      <c r="D4" s="13">
        <v>7</v>
      </c>
      <c r="E4" s="13">
        <v>9</v>
      </c>
      <c r="F4" s="13">
        <v>12</v>
      </c>
      <c r="G4" s="13">
        <v>12</v>
      </c>
      <c r="H4" s="13">
        <v>12</v>
      </c>
      <c r="I4" s="9"/>
      <c r="J4" s="9"/>
      <c r="K4" s="9"/>
      <c r="L4" s="9"/>
      <c r="M4" s="10">
        <v>84</v>
      </c>
      <c r="N4" s="47">
        <f>SUM(B4:L4)</f>
        <v>71</v>
      </c>
      <c r="O4" s="17">
        <f>N4/M4</f>
        <v>0.84523809523809523</v>
      </c>
      <c r="P4" s="18">
        <f>IFERROR((((1.96^2*0.5*0.5*($M4-N4))/(N4*($M4-1)))^0.5),"")</f>
        <v>4.6028787132258775E-2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>
      <c r="A5" s="15" t="s">
        <v>18</v>
      </c>
      <c r="B5" s="13">
        <v>24</v>
      </c>
      <c r="C5" s="13">
        <v>24</v>
      </c>
      <c r="D5" s="13">
        <v>21</v>
      </c>
      <c r="E5" s="13">
        <v>22</v>
      </c>
      <c r="F5" s="13">
        <v>19</v>
      </c>
      <c r="G5" s="13">
        <v>23</v>
      </c>
      <c r="H5" s="13">
        <v>29</v>
      </c>
      <c r="I5" s="9"/>
      <c r="J5" s="9"/>
      <c r="K5" s="9"/>
      <c r="L5" s="9"/>
      <c r="M5" s="10">
        <v>253</v>
      </c>
      <c r="N5" s="47">
        <f t="shared" ref="N5:N28" si="0">SUM(B5:L5)</f>
        <v>162</v>
      </c>
      <c r="O5" s="17">
        <f t="shared" ref="O5:O28" si="1">N5/M5</f>
        <v>0.64031620553359681</v>
      </c>
      <c r="P5" s="18">
        <f t="shared" ref="P5:P28" si="2">IFERROR((((1.96^2*0.5*0.5*($M5-N5))/(N5*($M5-1)))^0.5),"")</f>
        <v>4.6268880771490085E-2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>
      <c r="A6" s="15" t="s">
        <v>19</v>
      </c>
      <c r="B6" s="13">
        <v>34</v>
      </c>
      <c r="C6" s="13">
        <v>22</v>
      </c>
      <c r="D6" s="13">
        <v>37</v>
      </c>
      <c r="E6" s="13">
        <v>28</v>
      </c>
      <c r="F6" s="13">
        <v>29</v>
      </c>
      <c r="G6" s="13">
        <v>20</v>
      </c>
      <c r="H6" s="13">
        <v>25</v>
      </c>
      <c r="I6" s="12"/>
      <c r="J6" s="12"/>
      <c r="K6" s="12"/>
      <c r="L6" s="12"/>
      <c r="M6" s="10">
        <v>344</v>
      </c>
      <c r="N6" s="47">
        <f t="shared" si="0"/>
        <v>195</v>
      </c>
      <c r="O6" s="17">
        <f t="shared" si="1"/>
        <v>0.56686046511627908</v>
      </c>
      <c r="P6" s="18">
        <f t="shared" si="2"/>
        <v>4.6254590901738384E-2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>
      <c r="A7" s="15" t="s">
        <v>20</v>
      </c>
      <c r="B7" s="13">
        <v>47</v>
      </c>
      <c r="C7" s="13">
        <v>36</v>
      </c>
      <c r="D7" s="13">
        <v>37</v>
      </c>
      <c r="E7" s="13">
        <v>34</v>
      </c>
      <c r="F7" s="13">
        <v>39</v>
      </c>
      <c r="G7" s="13">
        <v>28</v>
      </c>
      <c r="H7" s="13">
        <v>33</v>
      </c>
      <c r="I7" s="12"/>
      <c r="J7" s="12"/>
      <c r="K7" s="12"/>
      <c r="L7" s="12"/>
      <c r="M7" s="10">
        <v>580</v>
      </c>
      <c r="N7" s="47">
        <f t="shared" si="0"/>
        <v>254</v>
      </c>
      <c r="O7" s="17">
        <f t="shared" si="1"/>
        <v>0.43793103448275861</v>
      </c>
      <c r="P7" s="18">
        <f t="shared" si="2"/>
        <v>4.6140121685486889E-2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>
      <c r="A8" s="15" t="s">
        <v>21</v>
      </c>
      <c r="B8" s="13">
        <v>32</v>
      </c>
      <c r="C8" s="13">
        <v>26</v>
      </c>
      <c r="D8" s="13">
        <v>21</v>
      </c>
      <c r="E8" s="13">
        <v>13</v>
      </c>
      <c r="F8" s="13">
        <v>18</v>
      </c>
      <c r="G8" s="13">
        <v>11</v>
      </c>
      <c r="H8" s="13">
        <v>25</v>
      </c>
      <c r="I8" s="12"/>
      <c r="J8" s="12"/>
      <c r="K8" s="12"/>
      <c r="L8" s="12"/>
      <c r="M8" s="13">
        <v>215</v>
      </c>
      <c r="N8" s="47">
        <f t="shared" si="0"/>
        <v>146</v>
      </c>
      <c r="O8" s="17">
        <f t="shared" si="1"/>
        <v>0.67906976744186043</v>
      </c>
      <c r="P8" s="18">
        <f t="shared" si="2"/>
        <v>4.6053994683652073E-2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>
      <c r="A9" s="15" t="s">
        <v>22</v>
      </c>
      <c r="B9" s="13">
        <v>41</v>
      </c>
      <c r="C9" s="13">
        <v>16</v>
      </c>
      <c r="D9" s="13">
        <v>27</v>
      </c>
      <c r="E9" s="13">
        <v>22</v>
      </c>
      <c r="F9" s="13">
        <v>19</v>
      </c>
      <c r="G9" s="13">
        <v>15</v>
      </c>
      <c r="H9" s="13">
        <v>18</v>
      </c>
      <c r="I9" s="9"/>
      <c r="J9" s="9"/>
      <c r="K9" s="9"/>
      <c r="L9" s="9"/>
      <c r="M9" s="13">
        <v>240</v>
      </c>
      <c r="N9" s="47">
        <f t="shared" si="0"/>
        <v>158</v>
      </c>
      <c r="O9" s="17">
        <f t="shared" si="1"/>
        <v>0.65833333333333333</v>
      </c>
      <c r="P9" s="18">
        <f t="shared" si="2"/>
        <v>4.5667318136338862E-2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>
      <c r="A10" s="15" t="s">
        <v>23</v>
      </c>
      <c r="B10" s="13">
        <v>19</v>
      </c>
      <c r="C10" s="13">
        <v>25</v>
      </c>
      <c r="D10" s="13">
        <v>21</v>
      </c>
      <c r="E10" s="13">
        <v>19</v>
      </c>
      <c r="F10" s="13">
        <v>24</v>
      </c>
      <c r="G10" s="13">
        <v>13</v>
      </c>
      <c r="H10" s="13">
        <v>21</v>
      </c>
      <c r="I10" s="9"/>
      <c r="J10" s="9"/>
      <c r="K10" s="9"/>
      <c r="L10" s="9"/>
      <c r="M10" s="13">
        <v>206</v>
      </c>
      <c r="N10" s="47">
        <f t="shared" si="0"/>
        <v>142</v>
      </c>
      <c r="O10" s="17">
        <f t="shared" si="1"/>
        <v>0.68932038834951459</v>
      </c>
      <c r="P10" s="18">
        <f t="shared" si="2"/>
        <v>4.5950999247510678E-2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>
      <c r="A11" s="15" t="s">
        <v>24</v>
      </c>
      <c r="B11" s="13">
        <v>39</v>
      </c>
      <c r="C11" s="13">
        <v>49</v>
      </c>
      <c r="D11" s="13">
        <v>37</v>
      </c>
      <c r="E11" s="13">
        <v>38</v>
      </c>
      <c r="F11" s="13">
        <v>30</v>
      </c>
      <c r="G11" s="13">
        <v>34</v>
      </c>
      <c r="H11" s="13">
        <v>32</v>
      </c>
      <c r="I11" s="12"/>
      <c r="J11" s="12"/>
      <c r="K11" s="12"/>
      <c r="L11" s="12"/>
      <c r="M11" s="13">
        <v>606</v>
      </c>
      <c r="N11" s="47">
        <f t="shared" si="0"/>
        <v>259</v>
      </c>
      <c r="O11" s="17">
        <f t="shared" si="1"/>
        <v>0.4273927392739274</v>
      </c>
      <c r="P11" s="18">
        <f t="shared" si="2"/>
        <v>4.6117233176873315E-2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>
      <c r="A12" s="15" t="s">
        <v>25</v>
      </c>
      <c r="B12" s="13">
        <v>27</v>
      </c>
      <c r="C12" s="13">
        <v>23</v>
      </c>
      <c r="D12" s="13">
        <v>32</v>
      </c>
      <c r="E12" s="13">
        <v>24</v>
      </c>
      <c r="F12" s="13">
        <v>33</v>
      </c>
      <c r="G12" s="13">
        <v>30</v>
      </c>
      <c r="H12" s="13">
        <v>31</v>
      </c>
      <c r="I12" s="9"/>
      <c r="J12" s="9"/>
      <c r="K12" s="9"/>
      <c r="L12" s="9"/>
      <c r="M12" s="13">
        <v>360</v>
      </c>
      <c r="N12" s="47">
        <f t="shared" si="0"/>
        <v>200</v>
      </c>
      <c r="O12" s="17">
        <f t="shared" si="1"/>
        <v>0.55555555555555558</v>
      </c>
      <c r="P12" s="18">
        <f t="shared" si="2"/>
        <v>4.6261940414548328E-2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>
      <c r="A13" s="15" t="s">
        <v>26</v>
      </c>
      <c r="B13" s="13">
        <v>11</v>
      </c>
      <c r="C13" s="13">
        <v>10</v>
      </c>
      <c r="D13" s="13">
        <v>6</v>
      </c>
      <c r="E13" s="13">
        <v>17</v>
      </c>
      <c r="F13" s="13">
        <v>8</v>
      </c>
      <c r="G13" s="13">
        <v>9</v>
      </c>
      <c r="H13" s="13">
        <v>10</v>
      </c>
      <c r="I13" s="9"/>
      <c r="J13" s="9"/>
      <c r="K13" s="9"/>
      <c r="L13" s="9"/>
      <c r="M13" s="13">
        <v>85</v>
      </c>
      <c r="N13" s="47">
        <f t="shared" si="0"/>
        <v>71</v>
      </c>
      <c r="O13" s="17">
        <f t="shared" si="1"/>
        <v>0.83529411764705885</v>
      </c>
      <c r="P13" s="18">
        <f t="shared" si="2"/>
        <v>4.7481155144927907E-2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>
      <c r="A14" s="15" t="s">
        <v>27</v>
      </c>
      <c r="B14" s="13">
        <v>34</v>
      </c>
      <c r="C14" s="13">
        <v>16</v>
      </c>
      <c r="D14" s="13">
        <v>21</v>
      </c>
      <c r="E14" s="13">
        <v>20</v>
      </c>
      <c r="F14" s="13">
        <v>23</v>
      </c>
      <c r="G14" s="13">
        <v>20</v>
      </c>
      <c r="H14" s="13">
        <v>30</v>
      </c>
      <c r="I14" s="13">
        <v>19</v>
      </c>
      <c r="J14" s="9"/>
      <c r="K14" s="9"/>
      <c r="L14" s="9"/>
      <c r="M14" s="13">
        <v>306</v>
      </c>
      <c r="N14" s="47">
        <f t="shared" si="0"/>
        <v>183</v>
      </c>
      <c r="O14" s="17">
        <f t="shared" si="1"/>
        <v>0.59803921568627449</v>
      </c>
      <c r="P14" s="18">
        <f t="shared" si="2"/>
        <v>4.6004802104953522E-2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>
      <c r="A15" s="15" t="s">
        <v>28</v>
      </c>
      <c r="B15" s="13">
        <v>15</v>
      </c>
      <c r="C15" s="13">
        <v>5</v>
      </c>
      <c r="D15" s="13">
        <v>5</v>
      </c>
      <c r="E15" s="13">
        <v>9</v>
      </c>
      <c r="F15" s="13">
        <v>12</v>
      </c>
      <c r="G15" s="13">
        <v>6</v>
      </c>
      <c r="H15" s="13">
        <v>8</v>
      </c>
      <c r="I15" s="13">
        <v>1</v>
      </c>
      <c r="J15" s="13">
        <v>0</v>
      </c>
      <c r="K15" s="9"/>
      <c r="L15" s="9"/>
      <c r="M15" s="13">
        <v>70</v>
      </c>
      <c r="N15" s="47">
        <f t="shared" si="0"/>
        <v>61</v>
      </c>
      <c r="O15" s="17">
        <f t="shared" si="1"/>
        <v>0.87142857142857144</v>
      </c>
      <c r="P15" s="18">
        <f t="shared" si="2"/>
        <v>4.5316657310455942E-2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>
      <c r="A16" s="15" t="s">
        <v>29</v>
      </c>
      <c r="B16" s="13">
        <v>24</v>
      </c>
      <c r="C16" s="13">
        <v>16</v>
      </c>
      <c r="D16" s="13">
        <v>21</v>
      </c>
      <c r="E16" s="13">
        <v>14</v>
      </c>
      <c r="F16" s="13">
        <v>10</v>
      </c>
      <c r="G16" s="13">
        <v>14</v>
      </c>
      <c r="H16" s="13">
        <v>15</v>
      </c>
      <c r="I16" s="9"/>
      <c r="J16" s="9"/>
      <c r="K16" s="9"/>
      <c r="L16" s="9"/>
      <c r="M16" s="13">
        <v>150</v>
      </c>
      <c r="N16" s="47">
        <f t="shared" si="0"/>
        <v>114</v>
      </c>
      <c r="O16" s="17">
        <f t="shared" si="1"/>
        <v>0.76</v>
      </c>
      <c r="P16" s="18">
        <f t="shared" si="2"/>
        <v>4.5116122397393772E-2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>
      <c r="A17" s="15" t="s">
        <v>30</v>
      </c>
      <c r="B17" s="13">
        <v>20</v>
      </c>
      <c r="C17" s="13">
        <v>22</v>
      </c>
      <c r="D17" s="13">
        <v>33</v>
      </c>
      <c r="E17" s="13">
        <v>21</v>
      </c>
      <c r="F17" s="13">
        <v>18</v>
      </c>
      <c r="G17" s="13">
        <v>25</v>
      </c>
      <c r="H17" s="13">
        <v>11</v>
      </c>
      <c r="I17" s="9"/>
      <c r="J17" s="9"/>
      <c r="K17" s="9"/>
      <c r="L17" s="9"/>
      <c r="M17" s="13">
        <v>224</v>
      </c>
      <c r="N17" s="47">
        <f t="shared" si="0"/>
        <v>150</v>
      </c>
      <c r="O17" s="17">
        <f t="shared" si="1"/>
        <v>0.6696428571428571</v>
      </c>
      <c r="P17" s="18">
        <f t="shared" si="2"/>
        <v>4.6093944493648592E-2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>
      <c r="A18" s="19" t="s">
        <v>31</v>
      </c>
      <c r="B18" s="13">
        <v>4</v>
      </c>
      <c r="C18" s="13">
        <v>3</v>
      </c>
      <c r="D18" s="13">
        <v>7</v>
      </c>
      <c r="E18" s="13">
        <v>6</v>
      </c>
      <c r="F18" s="13">
        <v>5</v>
      </c>
      <c r="G18" s="13">
        <v>1</v>
      </c>
      <c r="H18" s="13">
        <v>3</v>
      </c>
      <c r="I18" s="13">
        <v>5</v>
      </c>
      <c r="J18" s="9"/>
      <c r="K18" s="9"/>
      <c r="L18" s="9"/>
      <c r="M18" s="13">
        <v>34</v>
      </c>
      <c r="N18" s="47">
        <f t="shared" si="0"/>
        <v>34</v>
      </c>
      <c r="O18" s="17">
        <f t="shared" si="1"/>
        <v>1</v>
      </c>
      <c r="P18" s="18">
        <f t="shared" si="2"/>
        <v>0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>
      <c r="A19" s="8" t="s">
        <v>32</v>
      </c>
      <c r="B19" s="13">
        <v>14</v>
      </c>
      <c r="C19" s="13">
        <v>8</v>
      </c>
      <c r="D19" s="13">
        <v>8</v>
      </c>
      <c r="E19" s="13">
        <v>14</v>
      </c>
      <c r="F19" s="13">
        <v>20</v>
      </c>
      <c r="G19" s="13">
        <v>8</v>
      </c>
      <c r="H19" s="13">
        <v>19</v>
      </c>
      <c r="I19" s="9"/>
      <c r="J19" s="9"/>
      <c r="K19" s="9"/>
      <c r="L19" s="9"/>
      <c r="M19" s="13">
        <v>114</v>
      </c>
      <c r="N19" s="47">
        <f t="shared" si="0"/>
        <v>91</v>
      </c>
      <c r="O19" s="17">
        <f t="shared" si="1"/>
        <v>0.79824561403508776</v>
      </c>
      <c r="P19" s="18">
        <f t="shared" si="2"/>
        <v>4.634790155138066E-2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>
      <c r="A20" s="8" t="s">
        <v>33</v>
      </c>
      <c r="B20" s="13">
        <v>30</v>
      </c>
      <c r="C20" s="13">
        <v>19</v>
      </c>
      <c r="D20" s="13">
        <v>30</v>
      </c>
      <c r="E20" s="13">
        <v>12</v>
      </c>
      <c r="F20" s="13">
        <v>40</v>
      </c>
      <c r="G20" s="13">
        <v>20</v>
      </c>
      <c r="H20" s="13">
        <v>23</v>
      </c>
      <c r="I20" s="14"/>
      <c r="J20" s="14"/>
      <c r="K20" s="14"/>
      <c r="L20" s="14"/>
      <c r="M20" s="13">
        <v>287</v>
      </c>
      <c r="N20" s="47">
        <f t="shared" si="0"/>
        <v>174</v>
      </c>
      <c r="O20" s="17">
        <f t="shared" si="1"/>
        <v>0.60627177700348434</v>
      </c>
      <c r="P20" s="18">
        <f t="shared" si="2"/>
        <v>4.6699008164585082E-2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>
      <c r="A21" s="8" t="s">
        <v>34</v>
      </c>
      <c r="B21" s="13">
        <v>39</v>
      </c>
      <c r="C21" s="13">
        <v>28</v>
      </c>
      <c r="D21" s="13">
        <v>37</v>
      </c>
      <c r="E21" s="13">
        <v>35</v>
      </c>
      <c r="F21" s="13">
        <v>16</v>
      </c>
      <c r="G21" s="13">
        <v>12</v>
      </c>
      <c r="H21" s="13">
        <v>22</v>
      </c>
      <c r="I21" s="9"/>
      <c r="J21" s="9"/>
      <c r="K21" s="9"/>
      <c r="L21" s="9"/>
      <c r="M21" s="13">
        <v>322</v>
      </c>
      <c r="N21" s="47">
        <f t="shared" si="0"/>
        <v>189</v>
      </c>
      <c r="O21" s="17">
        <f t="shared" si="1"/>
        <v>0.58695652173913049</v>
      </c>
      <c r="P21" s="18">
        <f t="shared" si="2"/>
        <v>4.5884761417418839E-2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>
      <c r="A22" s="8" t="s">
        <v>35</v>
      </c>
      <c r="B22" s="13">
        <v>23</v>
      </c>
      <c r="C22" s="13">
        <v>19</v>
      </c>
      <c r="D22" s="13">
        <v>13</v>
      </c>
      <c r="E22" s="13">
        <v>9</v>
      </c>
      <c r="F22" s="13">
        <v>22</v>
      </c>
      <c r="G22" s="13">
        <v>15</v>
      </c>
      <c r="H22" s="13">
        <v>25</v>
      </c>
      <c r="I22" s="9"/>
      <c r="J22" s="9"/>
      <c r="K22" s="9"/>
      <c r="L22" s="9"/>
      <c r="M22" s="13">
        <v>175</v>
      </c>
      <c r="N22" s="47">
        <f t="shared" si="0"/>
        <v>126</v>
      </c>
      <c r="O22" s="17">
        <f t="shared" si="1"/>
        <v>0.72</v>
      </c>
      <c r="P22" s="18">
        <f t="shared" si="2"/>
        <v>4.6330204696045998E-2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>
      <c r="A23" s="8" t="s">
        <v>36</v>
      </c>
      <c r="B23" s="13">
        <v>6</v>
      </c>
      <c r="C23" s="13">
        <v>2</v>
      </c>
      <c r="D23" s="13">
        <v>2</v>
      </c>
      <c r="E23" s="13">
        <v>6</v>
      </c>
      <c r="F23" s="13">
        <v>3</v>
      </c>
      <c r="G23" s="13">
        <v>1</v>
      </c>
      <c r="H23" s="13">
        <v>9</v>
      </c>
      <c r="I23" s="13">
        <v>4</v>
      </c>
      <c r="J23" s="14"/>
      <c r="K23" s="14"/>
      <c r="L23" s="14"/>
      <c r="M23" s="13">
        <v>47</v>
      </c>
      <c r="N23" s="47">
        <f t="shared" si="0"/>
        <v>33</v>
      </c>
      <c r="O23" s="17">
        <f t="shared" si="1"/>
        <v>0.7021276595744681</v>
      </c>
      <c r="P23" s="18">
        <f t="shared" si="2"/>
        <v>9.4113994736543249E-2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>
      <c r="A24" s="15" t="s">
        <v>37</v>
      </c>
      <c r="B24" s="13">
        <v>15</v>
      </c>
      <c r="C24" s="13">
        <v>17</v>
      </c>
      <c r="D24" s="13">
        <v>19</v>
      </c>
      <c r="E24" s="13">
        <v>24</v>
      </c>
      <c r="F24" s="13">
        <v>18</v>
      </c>
      <c r="G24" s="13">
        <v>24</v>
      </c>
      <c r="H24" s="13">
        <v>20</v>
      </c>
      <c r="I24" s="14"/>
      <c r="J24" s="14"/>
      <c r="K24" s="14"/>
      <c r="L24" s="14"/>
      <c r="M24" s="13">
        <v>197</v>
      </c>
      <c r="N24" s="47">
        <f t="shared" si="0"/>
        <v>137</v>
      </c>
      <c r="O24" s="17">
        <f t="shared" si="1"/>
        <v>0.69543147208121825</v>
      </c>
      <c r="P24" s="18">
        <f t="shared" si="2"/>
        <v>4.632478172058508E-2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>
      <c r="A25" s="15" t="s">
        <v>38</v>
      </c>
      <c r="B25" s="13">
        <v>43</v>
      </c>
      <c r="C25" s="13">
        <v>26</v>
      </c>
      <c r="D25" s="13">
        <v>23</v>
      </c>
      <c r="E25" s="13">
        <v>37</v>
      </c>
      <c r="F25" s="13">
        <v>31</v>
      </c>
      <c r="G25" s="13">
        <v>30</v>
      </c>
      <c r="H25" s="13">
        <v>33</v>
      </c>
      <c r="I25" s="13">
        <v>30</v>
      </c>
      <c r="J25" s="13">
        <v>22</v>
      </c>
      <c r="K25" s="13">
        <v>31</v>
      </c>
      <c r="L25" s="14"/>
      <c r="M25" s="13">
        <v>972</v>
      </c>
      <c r="N25" s="47">
        <f>SUM(B25:K25)</f>
        <v>306</v>
      </c>
      <c r="O25" s="17">
        <f t="shared" si="1"/>
        <v>0.31481481481481483</v>
      </c>
      <c r="P25" s="18">
        <f t="shared" si="2"/>
        <v>4.6397316421353169E-2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>
      <c r="A26" s="15" t="s">
        <v>39</v>
      </c>
      <c r="B26" s="13">
        <v>33</v>
      </c>
      <c r="C26" s="13">
        <v>22</v>
      </c>
      <c r="D26" s="13">
        <v>31</v>
      </c>
      <c r="E26" s="13">
        <v>29</v>
      </c>
      <c r="F26" s="13">
        <v>19</v>
      </c>
      <c r="G26" s="13">
        <v>30</v>
      </c>
      <c r="H26" s="13">
        <v>31</v>
      </c>
      <c r="I26" s="14"/>
      <c r="J26" s="14"/>
      <c r="K26" s="14"/>
      <c r="L26" s="14"/>
      <c r="M26" s="13">
        <v>340</v>
      </c>
      <c r="N26" s="47">
        <f t="shared" si="0"/>
        <v>195</v>
      </c>
      <c r="O26" s="17">
        <f t="shared" si="1"/>
        <v>0.57352941176470584</v>
      </c>
      <c r="P26" s="18">
        <f t="shared" si="2"/>
        <v>4.5897911268712961E-2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>
      <c r="A27" s="15" t="s">
        <v>40</v>
      </c>
      <c r="B27" s="13">
        <v>21</v>
      </c>
      <c r="C27" s="13">
        <v>1</v>
      </c>
      <c r="D27" s="13">
        <v>1</v>
      </c>
      <c r="E27" s="13">
        <v>2</v>
      </c>
      <c r="F27" s="13">
        <v>0</v>
      </c>
      <c r="G27" s="13">
        <v>0</v>
      </c>
      <c r="H27" s="13">
        <v>0</v>
      </c>
      <c r="I27" s="9"/>
      <c r="J27" s="9"/>
      <c r="K27" s="14"/>
      <c r="L27" s="14"/>
      <c r="M27" s="13">
        <v>26</v>
      </c>
      <c r="N27" s="47">
        <f t="shared" si="0"/>
        <v>25</v>
      </c>
      <c r="O27" s="17">
        <f t="shared" si="1"/>
        <v>0.96153846153846156</v>
      </c>
      <c r="P27" s="18">
        <f t="shared" si="2"/>
        <v>3.9199999999999999E-2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>
      <c r="A28" s="15" t="s">
        <v>41</v>
      </c>
      <c r="B28" s="13">
        <v>0</v>
      </c>
      <c r="C28" s="13">
        <v>3</v>
      </c>
      <c r="D28" s="13">
        <v>1</v>
      </c>
      <c r="E28" s="13">
        <v>3</v>
      </c>
      <c r="F28" s="13">
        <v>4</v>
      </c>
      <c r="G28" s="13">
        <v>0</v>
      </c>
      <c r="H28" s="13">
        <v>11</v>
      </c>
      <c r="I28" s="13">
        <v>6</v>
      </c>
      <c r="J28" s="14"/>
      <c r="K28" s="14"/>
      <c r="L28" s="14"/>
      <c r="M28" s="13">
        <v>27</v>
      </c>
      <c r="N28" s="47">
        <f t="shared" si="0"/>
        <v>28</v>
      </c>
      <c r="O28" s="17">
        <f t="shared" si="1"/>
        <v>1.037037037037037</v>
      </c>
      <c r="P28" s="18" t="str">
        <f t="shared" si="2"/>
        <v/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>
      <c r="M29" s="21">
        <f>SUM(M4:M28)</f>
        <v>6264</v>
      </c>
      <c r="N29" s="42">
        <f>SUM(N4:N28)</f>
        <v>3504</v>
      </c>
    </row>
    <row r="30" spans="1:28">
      <c r="M30" s="11"/>
      <c r="N30" s="21"/>
    </row>
    <row r="31" spans="1:28" ht="25.5" hidden="1">
      <c r="A31" s="22" t="s">
        <v>1</v>
      </c>
      <c r="B31" s="22" t="s">
        <v>2</v>
      </c>
      <c r="C31" s="22" t="s">
        <v>3</v>
      </c>
      <c r="D31" s="22" t="s">
        <v>4</v>
      </c>
      <c r="E31" s="22" t="s">
        <v>5</v>
      </c>
      <c r="F31" s="22" t="s">
        <v>6</v>
      </c>
      <c r="G31" s="22" t="s">
        <v>7</v>
      </c>
      <c r="H31" s="22" t="s">
        <v>8</v>
      </c>
      <c r="I31" s="22" t="s">
        <v>9</v>
      </c>
      <c r="J31" s="22" t="s">
        <v>10</v>
      </c>
      <c r="K31" s="22" t="s">
        <v>11</v>
      </c>
      <c r="L31" s="22" t="s">
        <v>12</v>
      </c>
      <c r="M31" s="22" t="s">
        <v>13</v>
      </c>
      <c r="N31" s="22"/>
      <c r="O31" s="22"/>
      <c r="P31" s="22"/>
    </row>
    <row r="32" spans="1:28" hidden="1">
      <c r="A32" s="23" t="s">
        <v>17</v>
      </c>
      <c r="B32" s="21">
        <f>VLOOKUP($A32,'BDD Esudiantes'!$E$3:$P$30,2,0)</f>
        <v>9</v>
      </c>
      <c r="C32" s="21">
        <f>VLOOKUP($A32,'BDD Esudiantes'!$E$3:$P$30,3,0)</f>
        <v>11</v>
      </c>
      <c r="D32" s="21">
        <f>VLOOKUP($A32,'BDD Esudiantes'!$E$3:$P$30,4,0)</f>
        <v>3</v>
      </c>
      <c r="E32" s="21">
        <f>VLOOKUP($A32,'BDD Esudiantes'!$E$3:$P$30,5,0)</f>
        <v>7</v>
      </c>
      <c r="F32" s="21">
        <f>VLOOKUP($A32,'BDD Esudiantes'!$E$3:$P$30,6,0)</f>
        <v>12</v>
      </c>
      <c r="G32" s="21">
        <f>VLOOKUP($A32,'BDD Esudiantes'!$E$3:$P$30,7,0)</f>
        <v>12</v>
      </c>
      <c r="H32" s="21">
        <f>VLOOKUP($A32,'BDD Esudiantes'!$E$3:$P$30,8,0)</f>
        <v>12</v>
      </c>
      <c r="I32" s="24"/>
      <c r="J32" s="24"/>
      <c r="K32" s="24"/>
      <c r="L32" s="24"/>
      <c r="M32" s="16">
        <v>82</v>
      </c>
      <c r="N32" s="42">
        <f>SUM(B32:L32)</f>
        <v>66</v>
      </c>
      <c r="O32" s="21">
        <f>VLOOKUP($A32,'BDD Esudiantes'!$E$3:$P$30,12,0)</f>
        <v>66</v>
      </c>
      <c r="P32" s="16">
        <f>O32-N32</f>
        <v>0</v>
      </c>
      <c r="Q32">
        <f>VLOOKUP(A32,'Resumen Estudiantes y Profesore'!$B$3:$F$27,5,0)</f>
        <v>66</v>
      </c>
      <c r="R32" s="11">
        <f>Q32-O32</f>
        <v>0</v>
      </c>
    </row>
    <row r="33" spans="1:18" hidden="1">
      <c r="A33" s="23" t="s">
        <v>18</v>
      </c>
      <c r="B33" s="21">
        <f>VLOOKUP($A33,'BDD Esudiantes'!$E$3:$P$30,2,0)</f>
        <v>23</v>
      </c>
      <c r="C33" s="21">
        <f>VLOOKUP($A33,'BDD Esudiantes'!$E$3:$P$30,3,0)</f>
        <v>12</v>
      </c>
      <c r="D33" s="21">
        <f>VLOOKUP($A33,'BDD Esudiantes'!$E$3:$P$30,4,0)</f>
        <v>22</v>
      </c>
      <c r="E33" s="21">
        <f>VLOOKUP($A33,'BDD Esudiantes'!$E$3:$P$30,5,0)</f>
        <v>18</v>
      </c>
      <c r="F33" s="21">
        <f>VLOOKUP($A33,'BDD Esudiantes'!$E$3:$P$30,6,0)</f>
        <v>23</v>
      </c>
      <c r="G33" s="21">
        <f>VLOOKUP($A33,'BDD Esudiantes'!$E$3:$P$30,7,0)</f>
        <v>19</v>
      </c>
      <c r="H33" s="21">
        <f>VLOOKUP($A33,'BDD Esudiantes'!$E$3:$P$30,8,0)</f>
        <v>30</v>
      </c>
      <c r="I33" s="24"/>
      <c r="J33" s="24"/>
      <c r="K33" s="24"/>
      <c r="L33" s="24"/>
      <c r="M33" s="16">
        <v>253</v>
      </c>
      <c r="N33" s="42">
        <f t="shared" ref="N33:N58" si="3">SUM(B33:L33)</f>
        <v>147</v>
      </c>
      <c r="O33" s="21">
        <f>VLOOKUP($A33,'BDD Esudiantes'!$E$3:$P$30,12,0)</f>
        <v>147</v>
      </c>
      <c r="P33" s="16">
        <f t="shared" ref="P33:P58" si="4">O33-N33</f>
        <v>0</v>
      </c>
      <c r="Q33">
        <f>VLOOKUP(A33,'Resumen Estudiantes y Profesore'!$B$3:$F$27,5,0)</f>
        <v>147</v>
      </c>
      <c r="R33" s="11">
        <f t="shared" ref="R33:R58" si="5">Q33-O33</f>
        <v>0</v>
      </c>
    </row>
    <row r="34" spans="1:18" hidden="1">
      <c r="A34" s="23" t="s">
        <v>19</v>
      </c>
      <c r="B34" s="21">
        <f>VLOOKUP($A34,'BDD Esudiantes'!$E$3:$P$30,2,0)</f>
        <v>2</v>
      </c>
      <c r="C34" s="21">
        <f>VLOOKUP($A34,'BDD Esudiantes'!$E$3:$P$30,3,0)</f>
        <v>29</v>
      </c>
      <c r="D34" s="21">
        <f>VLOOKUP($A34,'BDD Esudiantes'!$E$3:$P$30,4,0)</f>
        <v>47</v>
      </c>
      <c r="E34" s="21">
        <f>VLOOKUP($A34,'BDD Esudiantes'!$E$3:$P$30,5,0)</f>
        <v>35</v>
      </c>
      <c r="F34" s="21">
        <f>VLOOKUP($A34,'BDD Esudiantes'!$E$3:$P$30,6,0)</f>
        <v>53</v>
      </c>
      <c r="G34" s="21">
        <f>VLOOKUP($A34,'BDD Esudiantes'!$E$3:$P$30,7,0)</f>
        <v>29</v>
      </c>
      <c r="H34" s="21">
        <f>VLOOKUP($A34,'BDD Esudiantes'!$E$3:$P$30,8,0)</f>
        <v>28</v>
      </c>
      <c r="I34" s="25"/>
      <c r="J34" s="25"/>
      <c r="K34" s="25"/>
      <c r="L34" s="25"/>
      <c r="M34" s="16">
        <v>356</v>
      </c>
      <c r="N34" s="42">
        <f t="shared" si="3"/>
        <v>223</v>
      </c>
      <c r="O34" s="21">
        <f>VLOOKUP($A34,'BDD Esudiantes'!$E$3:$P$30,12,0)</f>
        <v>223</v>
      </c>
      <c r="P34" s="16">
        <f t="shared" si="4"/>
        <v>0</v>
      </c>
      <c r="Q34">
        <f>VLOOKUP(A34,'Resumen Estudiantes y Profesore'!$B$3:$F$27,5,0)</f>
        <v>223</v>
      </c>
      <c r="R34" s="11">
        <f t="shared" si="5"/>
        <v>0</v>
      </c>
    </row>
    <row r="35" spans="1:18" hidden="1">
      <c r="A35" s="23" t="s">
        <v>20</v>
      </c>
      <c r="B35" s="21">
        <f>VLOOKUP($A35,'BDD Esudiantes'!$E$3:$P$30,2,0)</f>
        <v>48</v>
      </c>
      <c r="C35" s="21">
        <f>VLOOKUP($A35,'BDD Esudiantes'!$E$3:$P$30,3,0)</f>
        <v>50</v>
      </c>
      <c r="D35" s="21">
        <f>VLOOKUP($A35,'BDD Esudiantes'!$E$3:$P$30,4,0)</f>
        <v>65</v>
      </c>
      <c r="E35" s="21">
        <f>VLOOKUP($A35,'BDD Esudiantes'!$E$3:$P$30,5,0)</f>
        <v>48</v>
      </c>
      <c r="F35" s="21">
        <f>VLOOKUP($A35,'BDD Esudiantes'!$E$3:$P$30,6,0)</f>
        <v>28</v>
      </c>
      <c r="G35" s="21">
        <f>VLOOKUP($A35,'BDD Esudiantes'!$E$3:$P$30,7,0)</f>
        <v>29</v>
      </c>
      <c r="H35" s="21">
        <f>VLOOKUP($A35,'BDD Esudiantes'!$E$3:$P$30,8,0)</f>
        <v>31</v>
      </c>
      <c r="I35" s="25"/>
      <c r="J35" s="25"/>
      <c r="K35" s="25"/>
      <c r="L35" s="25"/>
      <c r="M35" s="16">
        <v>582</v>
      </c>
      <c r="N35" s="42">
        <f t="shared" si="3"/>
        <v>299</v>
      </c>
      <c r="O35" s="21">
        <f>VLOOKUP($A35,'BDD Esudiantes'!$E$3:$P$30,12,0)</f>
        <v>299</v>
      </c>
      <c r="P35" s="16">
        <f t="shared" si="4"/>
        <v>0</v>
      </c>
      <c r="Q35">
        <f>VLOOKUP(A35,'Resumen Estudiantes y Profesore'!$B$3:$F$27,5,0)</f>
        <v>299</v>
      </c>
      <c r="R35" s="11">
        <f t="shared" si="5"/>
        <v>0</v>
      </c>
    </row>
    <row r="36" spans="1:18" hidden="1">
      <c r="A36" s="23" t="s">
        <v>21</v>
      </c>
      <c r="B36" s="21">
        <f>VLOOKUP($A36,'BDD Esudiantes'!$E$3:$P$30,2,0)</f>
        <v>27</v>
      </c>
      <c r="C36" s="21">
        <f>VLOOKUP($A36,'BDD Esudiantes'!$E$3:$P$30,3,0)</f>
        <v>17</v>
      </c>
      <c r="D36" s="21">
        <f>VLOOKUP($A36,'BDD Esudiantes'!$E$3:$P$30,4,0)</f>
        <v>34</v>
      </c>
      <c r="E36" s="21">
        <f>VLOOKUP($A36,'BDD Esudiantes'!$E$3:$P$30,5,0)</f>
        <v>14</v>
      </c>
      <c r="F36" s="21">
        <f>VLOOKUP($A36,'BDD Esudiantes'!$E$3:$P$30,6,0)</f>
        <v>23</v>
      </c>
      <c r="G36" s="21">
        <f>VLOOKUP($A36,'BDD Esudiantes'!$E$3:$P$30,7,0)</f>
        <v>13</v>
      </c>
      <c r="H36" s="21">
        <f>VLOOKUP($A36,'BDD Esudiantes'!$E$3:$P$30,8,0)</f>
        <v>13</v>
      </c>
      <c r="I36" s="25"/>
      <c r="J36" s="25"/>
      <c r="K36" s="25"/>
      <c r="L36" s="25"/>
      <c r="M36" s="21">
        <v>209</v>
      </c>
      <c r="N36" s="42">
        <f t="shared" si="3"/>
        <v>141</v>
      </c>
      <c r="O36" s="21">
        <f>VLOOKUP($A36,'BDD Esudiantes'!$E$3:$P$30,12,0)</f>
        <v>141</v>
      </c>
      <c r="P36" s="16">
        <f t="shared" si="4"/>
        <v>0</v>
      </c>
      <c r="Q36">
        <f>VLOOKUP(A36,'Resumen Estudiantes y Profesore'!$B$3:$F$27,5,0)</f>
        <v>141</v>
      </c>
      <c r="R36" s="11">
        <f t="shared" si="5"/>
        <v>0</v>
      </c>
    </row>
    <row r="37" spans="1:18" hidden="1">
      <c r="A37" s="23" t="s">
        <v>22</v>
      </c>
      <c r="B37" s="21">
        <f>VLOOKUP($A37,'BDD Esudiantes'!$E$3:$P$30,2,0)</f>
        <v>31</v>
      </c>
      <c r="C37" s="21">
        <f>VLOOKUP($A37,'BDD Esudiantes'!$E$3:$P$30,3,0)</f>
        <v>17</v>
      </c>
      <c r="D37" s="21">
        <f>VLOOKUP($A37,'BDD Esudiantes'!$E$3:$P$30,4,0)</f>
        <v>25</v>
      </c>
      <c r="E37" s="21">
        <f>VLOOKUP($A37,'BDD Esudiantes'!$E$3:$P$30,5,0)</f>
        <v>16</v>
      </c>
      <c r="F37" s="21">
        <f>VLOOKUP($A37,'BDD Esudiantes'!$E$3:$P$30,6,0)</f>
        <v>23</v>
      </c>
      <c r="G37" s="21">
        <f>VLOOKUP($A37,'BDD Esudiantes'!$E$3:$P$30,7,0)</f>
        <v>12</v>
      </c>
      <c r="H37" s="21">
        <f>VLOOKUP($A37,'BDD Esudiantes'!$E$3:$P$30,8,0)</f>
        <v>7</v>
      </c>
      <c r="I37" s="24"/>
      <c r="J37" s="24"/>
      <c r="K37" s="24"/>
      <c r="L37" s="24"/>
      <c r="M37" s="21">
        <v>234</v>
      </c>
      <c r="N37" s="42">
        <f t="shared" si="3"/>
        <v>131</v>
      </c>
      <c r="O37" s="21">
        <f>VLOOKUP($A37,'BDD Esudiantes'!$E$3:$P$30,12,0)</f>
        <v>131</v>
      </c>
      <c r="P37" s="16">
        <f t="shared" si="4"/>
        <v>0</v>
      </c>
      <c r="Q37">
        <f>VLOOKUP(A37,'Resumen Estudiantes y Profesore'!$B$3:$F$27,5,0)</f>
        <v>131</v>
      </c>
      <c r="R37" s="11">
        <f t="shared" si="5"/>
        <v>0</v>
      </c>
    </row>
    <row r="38" spans="1:18" hidden="1">
      <c r="A38" s="23" t="s">
        <v>23</v>
      </c>
      <c r="B38" s="21">
        <f>VLOOKUP($A38,'BDD Esudiantes'!$E$3:$P$30,2,0)</f>
        <v>12</v>
      </c>
      <c r="C38" s="21">
        <f>VLOOKUP($A38,'BDD Esudiantes'!$E$3:$P$30,3,0)</f>
        <v>26</v>
      </c>
      <c r="D38" s="21">
        <f>VLOOKUP($A38,'BDD Esudiantes'!$E$3:$P$30,4,0)</f>
        <v>7</v>
      </c>
      <c r="E38" s="21">
        <f>VLOOKUP($A38,'BDD Esudiantes'!$E$3:$P$30,5,0)</f>
        <v>16</v>
      </c>
      <c r="F38" s="21">
        <f>VLOOKUP($A38,'BDD Esudiantes'!$E$3:$P$30,6,0)</f>
        <v>22</v>
      </c>
      <c r="G38" s="21">
        <f>VLOOKUP($A38,'BDD Esudiantes'!$E$3:$P$30,7,0)</f>
        <v>15</v>
      </c>
      <c r="H38" s="21">
        <f>VLOOKUP($A38,'BDD Esudiantes'!$E$3:$P$30,8,0)</f>
        <v>14</v>
      </c>
      <c r="I38" s="24"/>
      <c r="J38" s="24"/>
      <c r="K38" s="24"/>
      <c r="L38" s="24"/>
      <c r="M38" s="21">
        <v>195</v>
      </c>
      <c r="N38" s="42">
        <f t="shared" si="3"/>
        <v>112</v>
      </c>
      <c r="O38" s="21">
        <f>VLOOKUP($A38,'BDD Esudiantes'!$E$3:$P$30,12,0)</f>
        <v>112</v>
      </c>
      <c r="P38" s="16">
        <f t="shared" si="4"/>
        <v>0</v>
      </c>
      <c r="Q38">
        <f>VLOOKUP(A38,'Resumen Estudiantes y Profesore'!$B$3:$F$27,5,0)</f>
        <v>112</v>
      </c>
      <c r="R38" s="11">
        <f t="shared" si="5"/>
        <v>0</v>
      </c>
    </row>
    <row r="39" spans="1:18" hidden="1">
      <c r="A39" s="23" t="s">
        <v>24</v>
      </c>
      <c r="B39" s="21">
        <f>VLOOKUP($A39,'BDD Esudiantes'!$E$3:$P$30,2,0)</f>
        <v>56</v>
      </c>
      <c r="C39" s="21">
        <f>VLOOKUP($A39,'BDD Esudiantes'!$E$3:$P$30,3,0)</f>
        <v>35</v>
      </c>
      <c r="D39" s="21">
        <f>VLOOKUP($A39,'BDD Esudiantes'!$E$3:$P$30,4,0)</f>
        <v>69</v>
      </c>
      <c r="E39" s="21">
        <f>VLOOKUP($A39,'BDD Esudiantes'!$E$3:$P$30,5,0)</f>
        <v>35</v>
      </c>
      <c r="F39" s="21">
        <f>VLOOKUP($A39,'BDD Esudiantes'!$E$3:$P$30,6,0)</f>
        <v>21</v>
      </c>
      <c r="G39" s="21">
        <f>VLOOKUP($A39,'BDD Esudiantes'!$E$3:$P$30,7,0)</f>
        <v>18</v>
      </c>
      <c r="H39" s="21">
        <f>VLOOKUP($A39,'BDD Esudiantes'!$E$3:$P$30,8,0)</f>
        <v>33</v>
      </c>
      <c r="I39" s="25"/>
      <c r="J39" s="25"/>
      <c r="K39" s="25"/>
      <c r="L39" s="25"/>
      <c r="M39" s="21">
        <v>606</v>
      </c>
      <c r="N39" s="42">
        <f t="shared" si="3"/>
        <v>267</v>
      </c>
      <c r="O39" s="21">
        <f>VLOOKUP($A39,'BDD Esudiantes'!$E$3:$P$30,12,0)</f>
        <v>267</v>
      </c>
      <c r="P39" s="16">
        <f t="shared" si="4"/>
        <v>0</v>
      </c>
      <c r="Q39">
        <f>VLOOKUP(A39,'Resumen Estudiantes y Profesore'!$B$3:$F$27,5,0)</f>
        <v>267</v>
      </c>
      <c r="R39" s="11">
        <f t="shared" si="5"/>
        <v>0</v>
      </c>
    </row>
    <row r="40" spans="1:18" hidden="1">
      <c r="A40" s="23" t="s">
        <v>25</v>
      </c>
      <c r="B40" s="21">
        <f>VLOOKUP($A40,'BDD Esudiantes'!$E$3:$P$30,2,0)</f>
        <v>30</v>
      </c>
      <c r="C40" s="21">
        <f>VLOOKUP($A40,'BDD Esudiantes'!$E$3:$P$30,3,0)</f>
        <v>31</v>
      </c>
      <c r="D40" s="21">
        <f>VLOOKUP($A40,'BDD Esudiantes'!$E$3:$P$30,4,0)</f>
        <v>45</v>
      </c>
      <c r="E40" s="21">
        <f>VLOOKUP($A40,'BDD Esudiantes'!$E$3:$P$30,5,0)</f>
        <v>25</v>
      </c>
      <c r="F40" s="21">
        <f>VLOOKUP($A40,'BDD Esudiantes'!$E$3:$P$30,6,0)</f>
        <v>34</v>
      </c>
      <c r="G40" s="21">
        <f>VLOOKUP($A40,'BDD Esudiantes'!$E$3:$P$30,7,0)</f>
        <v>17</v>
      </c>
      <c r="H40" s="21">
        <f>VLOOKUP($A40,'BDD Esudiantes'!$E$3:$P$30,8,0)</f>
        <v>14</v>
      </c>
      <c r="I40" s="24"/>
      <c r="J40" s="24"/>
      <c r="K40" s="24"/>
      <c r="L40" s="24"/>
      <c r="M40" s="21">
        <v>375</v>
      </c>
      <c r="N40" s="42">
        <f t="shared" si="3"/>
        <v>196</v>
      </c>
      <c r="O40" s="21">
        <f>VLOOKUP($A40,'BDD Esudiantes'!$E$3:$P$30,12,0)</f>
        <v>196</v>
      </c>
      <c r="P40" s="16">
        <f t="shared" si="4"/>
        <v>0</v>
      </c>
      <c r="Q40">
        <f>VLOOKUP(A40,'Resumen Estudiantes y Profesore'!$B$3:$F$27,5,0)</f>
        <v>196</v>
      </c>
      <c r="R40" s="11">
        <f t="shared" si="5"/>
        <v>0</v>
      </c>
    </row>
    <row r="41" spans="1:18" hidden="1">
      <c r="A41" s="23" t="s">
        <v>26</v>
      </c>
      <c r="B41" s="21">
        <f>VLOOKUP($A41,'BDD Esudiantes'!$E$3:$P$30,2,0)</f>
        <v>7</v>
      </c>
      <c r="C41" s="21">
        <f>VLOOKUP($A41,'BDD Esudiantes'!$E$3:$P$30,3,0)</f>
        <v>12</v>
      </c>
      <c r="D41" s="21">
        <f>VLOOKUP($A41,'BDD Esudiantes'!$E$3:$P$30,4,0)</f>
        <v>11</v>
      </c>
      <c r="E41" s="21">
        <f>VLOOKUP($A41,'BDD Esudiantes'!$E$3:$P$30,5,0)</f>
        <v>6</v>
      </c>
      <c r="F41" s="21">
        <f>VLOOKUP($A41,'BDD Esudiantes'!$E$3:$P$30,6,0)</f>
        <v>13</v>
      </c>
      <c r="G41" s="21">
        <f>VLOOKUP($A41,'BDD Esudiantes'!$E$3:$P$30,7,0)</f>
        <v>8</v>
      </c>
      <c r="H41" s="21">
        <f>VLOOKUP($A41,'BDD Esudiantes'!$E$3:$P$30,8,0)</f>
        <v>11</v>
      </c>
      <c r="I41" s="24"/>
      <c r="J41" s="24"/>
      <c r="K41" s="24"/>
      <c r="L41" s="24"/>
      <c r="M41" s="21">
        <v>85</v>
      </c>
      <c r="N41" s="42">
        <f t="shared" si="3"/>
        <v>68</v>
      </c>
      <c r="O41" s="21">
        <f>VLOOKUP($A41,'BDD Esudiantes'!$E$3:$P$30,12,0)</f>
        <v>68</v>
      </c>
      <c r="P41" s="16">
        <f t="shared" si="4"/>
        <v>0</v>
      </c>
      <c r="Q41">
        <f>VLOOKUP(A41,'Resumen Estudiantes y Profesore'!$B$3:$F$27,5,0)</f>
        <v>68</v>
      </c>
      <c r="R41" s="11">
        <f t="shared" si="5"/>
        <v>0</v>
      </c>
    </row>
    <row r="42" spans="1:18" hidden="1">
      <c r="A42" s="23" t="s">
        <v>27</v>
      </c>
      <c r="B42" s="21">
        <f>VLOOKUP($A42,'BDD Esudiantes'!$E$3:$P$30,2,0)</f>
        <v>49</v>
      </c>
      <c r="C42" s="21">
        <f>VLOOKUP($A42,'BDD Esudiantes'!$E$3:$P$30,3,0)</f>
        <v>14</v>
      </c>
      <c r="D42" s="21">
        <f>VLOOKUP($A42,'BDD Esudiantes'!$E$3:$P$30,4,0)</f>
        <v>23</v>
      </c>
      <c r="E42" s="21">
        <f>VLOOKUP($A42,'BDD Esudiantes'!$E$3:$P$30,5,0)</f>
        <v>16</v>
      </c>
      <c r="F42" s="21">
        <f>VLOOKUP($A42,'BDD Esudiantes'!$E$3:$P$30,6,0)</f>
        <v>32</v>
      </c>
      <c r="G42" s="21">
        <f>VLOOKUP($A42,'BDD Esudiantes'!$E$3:$P$30,7,0)</f>
        <v>21</v>
      </c>
      <c r="H42" s="21">
        <f>VLOOKUP($A42,'BDD Esudiantes'!$E$3:$P$30,8,0)</f>
        <v>19</v>
      </c>
      <c r="I42" s="21">
        <f>VLOOKUP($A42,'BDD Esudiantes'!$E$3:$P$30,9,0)</f>
        <v>16</v>
      </c>
      <c r="J42" s="24"/>
      <c r="K42" s="24"/>
      <c r="L42" s="24"/>
      <c r="M42" s="21">
        <v>247</v>
      </c>
      <c r="N42" s="42">
        <f t="shared" si="3"/>
        <v>190</v>
      </c>
      <c r="O42" s="21">
        <f>VLOOKUP($A42,'BDD Esudiantes'!$E$3:$P$30,12,0)</f>
        <v>190</v>
      </c>
      <c r="P42" s="16">
        <f t="shared" si="4"/>
        <v>0</v>
      </c>
      <c r="Q42">
        <f>VLOOKUP(A42,'Resumen Estudiantes y Profesore'!$B$3:$F$27,5,0)</f>
        <v>190</v>
      </c>
      <c r="R42" s="11">
        <f t="shared" si="5"/>
        <v>0</v>
      </c>
    </row>
    <row r="43" spans="1:18" hidden="1">
      <c r="A43" s="23" t="s">
        <v>28</v>
      </c>
      <c r="B43" s="21">
        <f>VLOOKUP($A43,'BDD Esudiantes'!$E$3:$P$30,2,0)</f>
        <v>14</v>
      </c>
      <c r="C43" s="21">
        <f>VLOOKUP($A43,'BDD Esudiantes'!$E$3:$P$30,3,0)</f>
        <v>5</v>
      </c>
      <c r="D43" s="21">
        <f>VLOOKUP($A43,'BDD Esudiantes'!$E$3:$P$30,4,0)</f>
        <v>6</v>
      </c>
      <c r="E43" s="21">
        <f>VLOOKUP($A43,'BDD Esudiantes'!$E$3:$P$30,5,0)</f>
        <v>9</v>
      </c>
      <c r="F43" s="21">
        <f>VLOOKUP($A43,'BDD Esudiantes'!$E$3:$P$30,6,0)</f>
        <v>2</v>
      </c>
      <c r="G43" s="21">
        <f>VLOOKUP($A43,'BDD Esudiantes'!$E$3:$P$30,7,0)</f>
        <v>4</v>
      </c>
      <c r="H43" s="21">
        <f>VLOOKUP($A43,'BDD Esudiantes'!$E$3:$P$30,8,0)</f>
        <v>9</v>
      </c>
      <c r="I43" s="21">
        <f>VLOOKUP($A43,'BDD Esudiantes'!$E$3:$P$30,9,0)</f>
        <v>2</v>
      </c>
      <c r="J43" s="21">
        <f>VLOOKUP($A43,'BDD Esudiantes'!$E$3:$P$30,10,0)</f>
        <v>3</v>
      </c>
      <c r="K43" s="24"/>
      <c r="L43" s="24"/>
      <c r="M43" s="21">
        <v>54</v>
      </c>
      <c r="N43" s="42">
        <f t="shared" si="3"/>
        <v>54</v>
      </c>
      <c r="O43" s="21">
        <f>VLOOKUP($A43,'BDD Esudiantes'!$E$3:$P$30,12,0)</f>
        <v>54</v>
      </c>
      <c r="P43" s="16">
        <f t="shared" si="4"/>
        <v>0</v>
      </c>
      <c r="Q43">
        <f>VLOOKUP(A43,'Resumen Estudiantes y Profesore'!$B$3:$F$27,5,0)</f>
        <v>54</v>
      </c>
      <c r="R43" s="11">
        <f t="shared" si="5"/>
        <v>0</v>
      </c>
    </row>
    <row r="44" spans="1:18" hidden="1">
      <c r="A44" s="23" t="s">
        <v>29</v>
      </c>
      <c r="B44" s="21">
        <f>VLOOKUP($A44,'BDD Esudiantes'!$E$3:$P$30,2,0)</f>
        <v>27</v>
      </c>
      <c r="C44" s="21">
        <f>VLOOKUP($A44,'BDD Esudiantes'!$E$3:$P$30,3,0)</f>
        <v>19</v>
      </c>
      <c r="D44" s="21">
        <f>VLOOKUP($A44,'BDD Esudiantes'!$E$3:$P$30,4,0)</f>
        <v>25</v>
      </c>
      <c r="E44" s="21">
        <f>VLOOKUP($A44,'BDD Esudiantes'!$E$3:$P$30,5,0)</f>
        <v>14</v>
      </c>
      <c r="F44" s="21">
        <f>VLOOKUP($A44,'BDD Esudiantes'!$E$3:$P$30,6,0)</f>
        <v>16</v>
      </c>
      <c r="G44" s="21">
        <f>VLOOKUP($A44,'BDD Esudiantes'!$E$3:$P$30,7,0)</f>
        <v>12</v>
      </c>
      <c r="H44" s="21">
        <f>VLOOKUP($A44,'BDD Esudiantes'!$E$3:$P$30,8,0)</f>
        <v>19</v>
      </c>
      <c r="I44" s="26"/>
      <c r="J44" s="24"/>
      <c r="K44" s="24"/>
      <c r="L44" s="24"/>
      <c r="M44" s="21">
        <v>132</v>
      </c>
      <c r="N44" s="42">
        <f t="shared" si="3"/>
        <v>132</v>
      </c>
      <c r="O44" s="21">
        <f>VLOOKUP($A44,'BDD Esudiantes'!$E$3:$P$30,12,0)</f>
        <v>132</v>
      </c>
      <c r="P44" s="16">
        <f t="shared" si="4"/>
        <v>0</v>
      </c>
      <c r="Q44">
        <f>VLOOKUP(A44,'Resumen Estudiantes y Profesore'!$B$3:$F$27,5,0)</f>
        <v>132</v>
      </c>
      <c r="R44" s="11">
        <f t="shared" si="5"/>
        <v>0</v>
      </c>
    </row>
    <row r="45" spans="1:18" hidden="1">
      <c r="A45" s="23" t="s">
        <v>30</v>
      </c>
      <c r="B45" s="21">
        <f>VLOOKUP($A45,'BDD Esudiantes'!$E$3:$P$30,2,0)</f>
        <v>21</v>
      </c>
      <c r="C45" s="21">
        <f>VLOOKUP($A45,'BDD Esudiantes'!$E$3:$P$30,3,0)</f>
        <v>1</v>
      </c>
      <c r="D45" s="21">
        <f>VLOOKUP($A45,'BDD Esudiantes'!$E$3:$P$30,4,0)</f>
        <v>37</v>
      </c>
      <c r="E45" s="21">
        <f>VLOOKUP($A45,'BDD Esudiantes'!$E$3:$P$30,5,0)</f>
        <v>43</v>
      </c>
      <c r="F45" s="21">
        <f>VLOOKUP($A45,'BDD Esudiantes'!$E$3:$P$30,6,0)</f>
        <v>28</v>
      </c>
      <c r="G45" s="21">
        <f>VLOOKUP($A45,'BDD Esudiantes'!$E$3:$P$30,7,0)</f>
        <v>19</v>
      </c>
      <c r="H45" s="21">
        <f>VLOOKUP($A45,'BDD Esudiantes'!$E$3:$P$30,8,0)</f>
        <v>33</v>
      </c>
      <c r="I45" s="24"/>
      <c r="J45" s="24"/>
      <c r="K45" s="24"/>
      <c r="L45" s="24"/>
      <c r="M45" s="21">
        <v>224</v>
      </c>
      <c r="N45" s="42">
        <f t="shared" si="3"/>
        <v>182</v>
      </c>
      <c r="O45" s="21">
        <f>VLOOKUP($A45,'BDD Esudiantes'!$E$3:$P$30,12,0)</f>
        <v>182</v>
      </c>
      <c r="P45" s="16">
        <f t="shared" si="4"/>
        <v>0</v>
      </c>
      <c r="Q45">
        <f>VLOOKUP(A45,'Resumen Estudiantes y Profesore'!$B$3:$F$27,5,0)</f>
        <v>182</v>
      </c>
      <c r="R45" s="11">
        <f t="shared" si="5"/>
        <v>0</v>
      </c>
    </row>
    <row r="46" spans="1:18" hidden="1">
      <c r="A46" s="27" t="s">
        <v>31</v>
      </c>
      <c r="B46" s="21">
        <f>VLOOKUP($A46,'BDD Esudiantes'!$E$3:$P$30,2,0)</f>
        <v>5</v>
      </c>
      <c r="C46" s="21">
        <f>VLOOKUP($A46,'BDD Esudiantes'!$E$3:$P$30,3,0)</f>
        <v>1</v>
      </c>
      <c r="D46" s="21">
        <f>VLOOKUP($A46,'BDD Esudiantes'!$E$3:$P$30,4,0)</f>
        <v>6</v>
      </c>
      <c r="E46" s="21">
        <f>VLOOKUP($A46,'BDD Esudiantes'!$E$3:$P$30,5,0)</f>
        <v>5</v>
      </c>
      <c r="F46" s="21">
        <f>VLOOKUP($A46,'BDD Esudiantes'!$E$3:$P$30,6,0)</f>
        <v>7</v>
      </c>
      <c r="G46" s="21">
        <f>VLOOKUP($A46,'BDD Esudiantes'!$E$3:$P$30,7,0)</f>
        <v>1</v>
      </c>
      <c r="H46" s="21">
        <f>VLOOKUP($A46,'BDD Esudiantes'!$E$3:$P$30,8,0)</f>
        <v>2</v>
      </c>
      <c r="I46" s="21">
        <f>VLOOKUP($A46,'BDD Esudiantes'!$E$3:$P$30,9,0)</f>
        <v>4</v>
      </c>
      <c r="J46" s="24"/>
      <c r="K46" s="24"/>
      <c r="L46" s="24"/>
      <c r="M46" s="21">
        <v>28</v>
      </c>
      <c r="N46" s="42">
        <f t="shared" si="3"/>
        <v>31</v>
      </c>
      <c r="O46" s="21">
        <f>VLOOKUP($A46,'BDD Esudiantes'!$E$3:$P$30,12,0)</f>
        <v>31</v>
      </c>
      <c r="P46" s="16">
        <f t="shared" si="4"/>
        <v>0</v>
      </c>
      <c r="Q46">
        <f>VLOOKUP(A46,'Resumen Estudiantes y Profesore'!$B$3:$F$27,5,0)</f>
        <v>31</v>
      </c>
      <c r="R46" s="11">
        <f t="shared" si="5"/>
        <v>0</v>
      </c>
    </row>
    <row r="47" spans="1:18" hidden="1">
      <c r="A47" s="28" t="s">
        <v>32</v>
      </c>
      <c r="B47" s="21">
        <f>VLOOKUP($A47,'BDD Esudiantes'!$E$3:$P$30,2,0)</f>
        <v>17</v>
      </c>
      <c r="C47" s="21">
        <f>VLOOKUP($A47,'BDD Esudiantes'!$E$3:$P$30,3,0)</f>
        <v>9</v>
      </c>
      <c r="D47" s="21">
        <f>VLOOKUP($A47,'BDD Esudiantes'!$E$3:$P$30,4,0)</f>
        <v>12</v>
      </c>
      <c r="E47" s="21">
        <f>VLOOKUP($A47,'BDD Esudiantes'!$E$3:$P$30,5,0)</f>
        <v>11</v>
      </c>
      <c r="F47" s="21">
        <f>VLOOKUP($A47,'BDD Esudiantes'!$E$3:$P$30,6,0)</f>
        <v>21</v>
      </c>
      <c r="G47" s="21">
        <f>VLOOKUP($A47,'BDD Esudiantes'!$E$3:$P$30,7,0)</f>
        <v>8</v>
      </c>
      <c r="H47" s="21">
        <f>VLOOKUP($A47,'BDD Esudiantes'!$E$3:$P$30,8,0)</f>
        <v>23</v>
      </c>
      <c r="I47" s="24"/>
      <c r="J47" s="24"/>
      <c r="K47" s="24"/>
      <c r="L47" s="24"/>
      <c r="M47" s="21">
        <v>112</v>
      </c>
      <c r="N47" s="42">
        <f t="shared" si="3"/>
        <v>101</v>
      </c>
      <c r="O47" s="21">
        <f>VLOOKUP($A47,'BDD Esudiantes'!$E$3:$P$30,12,0)</f>
        <v>101</v>
      </c>
      <c r="P47" s="16">
        <f t="shared" si="4"/>
        <v>0</v>
      </c>
      <c r="Q47">
        <f>VLOOKUP(A47,'Resumen Estudiantes y Profesore'!$B$3:$F$27,5,0)</f>
        <v>101</v>
      </c>
      <c r="R47" s="11">
        <f t="shared" si="5"/>
        <v>0</v>
      </c>
    </row>
    <row r="48" spans="1:18" hidden="1">
      <c r="A48" s="29" t="s">
        <v>42</v>
      </c>
      <c r="B48" s="21">
        <f>VLOOKUP($A48,'BDD Esudiantes'!$E$3:$P$30,2,0)</f>
        <v>2</v>
      </c>
      <c r="C48" s="21">
        <f>VLOOKUP($A48,'BDD Esudiantes'!$E$3:$P$30,3,0)</f>
        <v>0</v>
      </c>
      <c r="D48" s="21">
        <f>VLOOKUP($A48,'BDD Esudiantes'!$E$3:$P$30,4,0)</f>
        <v>0</v>
      </c>
      <c r="E48" s="21">
        <f>VLOOKUP($A48,'BDD Esudiantes'!$E$3:$P$30,5,0)</f>
        <v>0</v>
      </c>
      <c r="F48" s="21">
        <f>VLOOKUP($A48,'BDD Esudiantes'!$E$3:$P$30,6,0)</f>
        <v>0</v>
      </c>
      <c r="G48" s="21">
        <f>VLOOKUP($A48,'BDD Esudiantes'!$E$3:$P$30,7,0)</f>
        <v>1</v>
      </c>
      <c r="H48" s="21">
        <f>VLOOKUP($A48,'BDD Esudiantes'!$E$3:$P$30,8,0)</f>
        <v>10</v>
      </c>
      <c r="I48" s="21">
        <f>VLOOKUP($A48,'BDD Esudiantes'!$E$3:$P$30,9,0)</f>
        <v>0</v>
      </c>
      <c r="J48" s="24"/>
      <c r="K48" s="24"/>
      <c r="L48" s="24"/>
      <c r="M48" s="21">
        <v>22</v>
      </c>
      <c r="N48" s="42"/>
      <c r="O48" s="21">
        <f>VLOOKUP($A48,'BDD Esudiantes'!$E$3:$P$30,12,0)</f>
        <v>13</v>
      </c>
      <c r="P48" s="16"/>
      <c r="R48" s="11">
        <f t="shared" si="5"/>
        <v>-13</v>
      </c>
    </row>
    <row r="49" spans="1:20" hidden="1">
      <c r="A49" s="28" t="s">
        <v>33</v>
      </c>
      <c r="B49" s="21">
        <f>VLOOKUP($A49,'BDD Esudiantes'!$E$3:$P$30,2,0)</f>
        <v>34</v>
      </c>
      <c r="C49" s="21">
        <f>VLOOKUP($A49,'BDD Esudiantes'!$E$3:$P$30,3,0)</f>
        <v>22</v>
      </c>
      <c r="D49" s="21">
        <f>VLOOKUP($A49,'BDD Esudiantes'!$E$3:$P$30,4,0)</f>
        <v>28</v>
      </c>
      <c r="E49" s="21">
        <f>VLOOKUP($A49,'BDD Esudiantes'!$E$3:$P$30,5,0)</f>
        <v>9</v>
      </c>
      <c r="F49" s="21">
        <f>VLOOKUP($A49,'BDD Esudiantes'!$E$3:$P$30,6,0)</f>
        <v>49</v>
      </c>
      <c r="G49" s="21">
        <f>VLOOKUP($A49,'BDD Esudiantes'!$E$3:$P$30,7,0)</f>
        <v>23</v>
      </c>
      <c r="H49" s="21">
        <f>VLOOKUP($A49,'BDD Esudiantes'!$E$3:$P$30,8,0)</f>
        <v>20</v>
      </c>
      <c r="I49" s="30"/>
      <c r="J49" s="30"/>
      <c r="K49" s="30"/>
      <c r="L49" s="30"/>
      <c r="M49" s="21">
        <v>254</v>
      </c>
      <c r="N49" s="42">
        <f t="shared" si="3"/>
        <v>185</v>
      </c>
      <c r="O49" s="21">
        <f>VLOOKUP($A49,'BDD Esudiantes'!$E$3:$P$30,12,0)</f>
        <v>185</v>
      </c>
      <c r="P49" s="16">
        <f t="shared" si="4"/>
        <v>0</v>
      </c>
      <c r="Q49">
        <f>VLOOKUP(A49,'Resumen Estudiantes y Profesore'!$B$3:$F$27,5,0)</f>
        <v>185</v>
      </c>
      <c r="R49" s="11">
        <f t="shared" si="5"/>
        <v>0</v>
      </c>
    </row>
    <row r="50" spans="1:20" hidden="1">
      <c r="A50" s="28" t="s">
        <v>34</v>
      </c>
      <c r="B50" s="21">
        <f>VLOOKUP($A50,'BDD Esudiantes'!$E$3:$P$30,2,0)</f>
        <v>26</v>
      </c>
      <c r="C50" s="21">
        <f>VLOOKUP($A50,'BDD Esudiantes'!$E$3:$P$30,3,0)</f>
        <v>25</v>
      </c>
      <c r="D50" s="21">
        <f>VLOOKUP($A50,'BDD Esudiantes'!$E$3:$P$30,4,0)</f>
        <v>31</v>
      </c>
      <c r="E50" s="21">
        <f>VLOOKUP($A50,'BDD Esudiantes'!$E$3:$P$30,5,0)</f>
        <v>36</v>
      </c>
      <c r="F50" s="21">
        <f>VLOOKUP($A50,'BDD Esudiantes'!$E$3:$P$30,6,0)</f>
        <v>38</v>
      </c>
      <c r="G50" s="21">
        <f>VLOOKUP($A50,'BDD Esudiantes'!$E$3:$P$30,7,0)</f>
        <v>19</v>
      </c>
      <c r="H50" s="21">
        <f>VLOOKUP($A50,'BDD Esudiantes'!$E$3:$P$30,8,0)</f>
        <v>34</v>
      </c>
      <c r="I50" s="24"/>
      <c r="J50" s="24"/>
      <c r="K50" s="24"/>
      <c r="L50" s="24"/>
      <c r="M50" s="21">
        <v>275</v>
      </c>
      <c r="N50" s="42">
        <f t="shared" si="3"/>
        <v>209</v>
      </c>
      <c r="O50" s="21">
        <f>VLOOKUP($A50,'BDD Esudiantes'!$E$3:$P$30,12,0)</f>
        <v>209</v>
      </c>
      <c r="P50" s="16">
        <f t="shared" si="4"/>
        <v>0</v>
      </c>
      <c r="Q50">
        <f>VLOOKUP(A50,'Resumen Estudiantes y Profesore'!$B$3:$F$27,5,0)</f>
        <v>209</v>
      </c>
      <c r="R50" s="11">
        <f t="shared" si="5"/>
        <v>0</v>
      </c>
    </row>
    <row r="51" spans="1:20" hidden="1">
      <c r="A51" s="28" t="s">
        <v>35</v>
      </c>
      <c r="B51" s="21">
        <f>VLOOKUP($A51,'BDD Esudiantes'!$E$3:$P$30,2,0)</f>
        <v>19</v>
      </c>
      <c r="C51" s="21">
        <f>VLOOKUP($A51,'BDD Esudiantes'!$E$3:$P$30,3,0)</f>
        <v>21</v>
      </c>
      <c r="D51" s="21">
        <f>VLOOKUP($A51,'BDD Esudiantes'!$E$3:$P$30,4,0)</f>
        <v>20</v>
      </c>
      <c r="E51" s="21">
        <f>VLOOKUP($A51,'BDD Esudiantes'!$E$3:$P$30,5,0)</f>
        <v>14</v>
      </c>
      <c r="F51" s="21">
        <f>VLOOKUP($A51,'BDD Esudiantes'!$E$3:$P$30,6,0)</f>
        <v>26</v>
      </c>
      <c r="G51" s="21">
        <f>VLOOKUP($A51,'BDD Esudiantes'!$E$3:$P$30,7,0)</f>
        <v>11</v>
      </c>
      <c r="H51" s="21">
        <f>VLOOKUP($A51,'BDD Esudiantes'!$E$3:$P$30,8,0)</f>
        <v>25</v>
      </c>
      <c r="I51" s="24"/>
      <c r="J51" s="24"/>
      <c r="K51" s="24"/>
      <c r="L51" s="24"/>
      <c r="M51" s="21">
        <v>176</v>
      </c>
      <c r="N51" s="42">
        <f t="shared" si="3"/>
        <v>136</v>
      </c>
      <c r="O51" s="21">
        <f>VLOOKUP($A51,'BDD Esudiantes'!$E$3:$P$30,12,0)</f>
        <v>136</v>
      </c>
      <c r="P51" s="16">
        <f t="shared" si="4"/>
        <v>0</v>
      </c>
      <c r="Q51">
        <f>VLOOKUP(A51,'Resumen Estudiantes y Profesore'!$B$3:$F$27,5,0)</f>
        <v>136</v>
      </c>
      <c r="R51" s="11">
        <f t="shared" si="5"/>
        <v>0</v>
      </c>
    </row>
    <row r="52" spans="1:20" hidden="1">
      <c r="A52" s="29" t="s">
        <v>43</v>
      </c>
      <c r="B52" s="21">
        <f>VLOOKUP($A52,'BDD Esudiantes'!$E$3:$P$30,2,0)</f>
        <v>5</v>
      </c>
      <c r="C52" s="21">
        <f>VLOOKUP($A52,'BDD Esudiantes'!$E$3:$P$30,3,0)</f>
        <v>0</v>
      </c>
      <c r="D52" s="21">
        <f>VLOOKUP($A52,'BDD Esudiantes'!$E$3:$P$30,4,0)</f>
        <v>3</v>
      </c>
      <c r="E52" s="21">
        <f>VLOOKUP($A52,'BDD Esudiantes'!$E$3:$P$30,5,0)</f>
        <v>7</v>
      </c>
      <c r="F52" s="21">
        <f>VLOOKUP($A52,'BDD Esudiantes'!$E$3:$P$30,6,0)</f>
        <v>2</v>
      </c>
      <c r="G52" s="21">
        <f>VLOOKUP($A52,'BDD Esudiantes'!$E$3:$P$30,7,0)</f>
        <v>2</v>
      </c>
      <c r="H52" s="21">
        <f>VLOOKUP($A52,'BDD Esudiantes'!$E$3:$P$30,8,0)</f>
        <v>3</v>
      </c>
      <c r="I52" s="21">
        <f>VLOOKUP($A52,'BDD Esudiantes'!$E$3:$P$30,9,0)</f>
        <v>0</v>
      </c>
      <c r="J52" s="30"/>
      <c r="K52" s="30"/>
      <c r="L52" s="30"/>
      <c r="M52" s="21">
        <v>24</v>
      </c>
      <c r="N52" s="42"/>
      <c r="O52" s="21">
        <f>VLOOKUP($A52,'BDD Esudiantes'!$E$3:$P$30,12,0)</f>
        <v>22</v>
      </c>
      <c r="P52" s="16"/>
      <c r="R52" s="11">
        <f t="shared" si="5"/>
        <v>-22</v>
      </c>
    </row>
    <row r="53" spans="1:20" hidden="1">
      <c r="A53" s="29" t="s">
        <v>36</v>
      </c>
      <c r="B53" s="21">
        <f>B48+B52</f>
        <v>7</v>
      </c>
      <c r="C53" s="21">
        <f t="shared" ref="C53:I53" si="6">C48+C52</f>
        <v>0</v>
      </c>
      <c r="D53" s="21">
        <f t="shared" si="6"/>
        <v>3</v>
      </c>
      <c r="E53" s="21">
        <f t="shared" si="6"/>
        <v>7</v>
      </c>
      <c r="F53" s="21">
        <f t="shared" si="6"/>
        <v>2</v>
      </c>
      <c r="G53" s="21">
        <f t="shared" si="6"/>
        <v>3</v>
      </c>
      <c r="H53" s="21">
        <f>H48+H52</f>
        <v>13</v>
      </c>
      <c r="I53" s="21">
        <f t="shared" si="6"/>
        <v>0</v>
      </c>
      <c r="J53" s="30"/>
      <c r="K53" s="30"/>
      <c r="L53" s="30"/>
      <c r="M53" s="21"/>
      <c r="N53" s="42">
        <f t="shared" si="3"/>
        <v>35</v>
      </c>
      <c r="O53" s="21">
        <f>O52+O48</f>
        <v>35</v>
      </c>
      <c r="P53" s="16">
        <f t="shared" si="4"/>
        <v>0</v>
      </c>
      <c r="Q53">
        <f>VLOOKUP(A53,'Resumen Estudiantes y Profesore'!$B$3:$F$27,5,0)</f>
        <v>35</v>
      </c>
      <c r="R53" s="11">
        <f t="shared" si="5"/>
        <v>0</v>
      </c>
    </row>
    <row r="54" spans="1:20" hidden="1">
      <c r="A54" s="23" t="s">
        <v>37</v>
      </c>
      <c r="B54" s="21">
        <f>VLOOKUP($A54,'BDD Esudiantes'!$E$3:$P$30,2,0)</f>
        <v>24</v>
      </c>
      <c r="C54" s="21">
        <f>VLOOKUP($A54,'BDD Esudiantes'!$E$3:$P$30,3,0)</f>
        <v>17</v>
      </c>
      <c r="D54" s="21">
        <f>VLOOKUP($A54,'BDD Esudiantes'!$E$3:$P$30,4,0)</f>
        <v>19</v>
      </c>
      <c r="E54" s="21">
        <f>VLOOKUP($A54,'BDD Esudiantes'!$E$3:$P$30,5,0)</f>
        <v>18</v>
      </c>
      <c r="F54" s="21">
        <f>VLOOKUP($A54,'BDD Esudiantes'!$E$3:$P$30,6,0)</f>
        <v>17</v>
      </c>
      <c r="G54" s="21">
        <f>VLOOKUP($A54,'BDD Esudiantes'!$E$3:$P$30,7,0)</f>
        <v>20</v>
      </c>
      <c r="H54" s="21">
        <f>VLOOKUP($A54,'BDD Esudiantes'!$E$3:$P$30,8,0)</f>
        <v>24</v>
      </c>
      <c r="I54" s="30"/>
      <c r="J54" s="30"/>
      <c r="K54" s="30"/>
      <c r="L54" s="30"/>
      <c r="M54" s="21">
        <v>197</v>
      </c>
      <c r="N54" s="42">
        <f t="shared" si="3"/>
        <v>139</v>
      </c>
      <c r="O54" s="21">
        <f>VLOOKUP($A54,'BDD Esudiantes'!$E$3:$P$30,12,0)</f>
        <v>139</v>
      </c>
      <c r="P54" s="16">
        <f t="shared" si="4"/>
        <v>0</v>
      </c>
      <c r="Q54">
        <f>VLOOKUP(A54,'Resumen Estudiantes y Profesore'!$B$3:$F$27,5,0)</f>
        <v>139</v>
      </c>
      <c r="R54" s="11">
        <f t="shared" si="5"/>
        <v>0</v>
      </c>
    </row>
    <row r="55" spans="1:20" hidden="1">
      <c r="A55" s="23" t="s">
        <v>38</v>
      </c>
      <c r="B55" s="21">
        <f>VLOOKUP($A55,'BDD Esudiantes'!$E$3:$P$30,2,0)</f>
        <v>82</v>
      </c>
      <c r="C55" s="21">
        <f>VLOOKUP($A55,'BDD Esudiantes'!$E$3:$P$30,3,0)</f>
        <v>69</v>
      </c>
      <c r="D55" s="21">
        <f>VLOOKUP($A55,'BDD Esudiantes'!$E$3:$P$30,4,0)</f>
        <v>62</v>
      </c>
      <c r="E55" s="21">
        <f>VLOOKUP($A55,'BDD Esudiantes'!$E$3:$P$30,5,0)</f>
        <v>108</v>
      </c>
      <c r="F55" s="21">
        <f>VLOOKUP($A55,'BDD Esudiantes'!$E$3:$P$30,6,0)</f>
        <v>58</v>
      </c>
      <c r="G55" s="21">
        <f>VLOOKUP($A55,'BDD Esudiantes'!$E$3:$P$30,7,0)</f>
        <v>54</v>
      </c>
      <c r="H55" s="21">
        <f>VLOOKUP($A55,'BDD Esudiantes'!$E$3:$P$30,8,0)</f>
        <v>55</v>
      </c>
      <c r="I55" s="21">
        <f>VLOOKUP($A55,'BDD Esudiantes'!$E$3:$P$30,9,0)</f>
        <v>54</v>
      </c>
      <c r="J55" s="21">
        <f>VLOOKUP($A55,'BDD Esudiantes'!$E$3:$P$30,10,0)</f>
        <v>49</v>
      </c>
      <c r="K55" s="21">
        <f>VLOOKUP($A55,'BDD Esudiantes'!$E$3:$P$30,11,0)</f>
        <v>88</v>
      </c>
      <c r="L55" s="31"/>
      <c r="M55" s="21">
        <v>1046</v>
      </c>
      <c r="N55" s="42">
        <f t="shared" si="3"/>
        <v>679</v>
      </c>
      <c r="O55" s="21">
        <f>VLOOKUP($A55,'BDD Esudiantes'!$E$3:$P$30,12,0)</f>
        <v>679</v>
      </c>
      <c r="P55" s="16">
        <f t="shared" si="4"/>
        <v>0</v>
      </c>
      <c r="Q55">
        <f>VLOOKUP(A55,'Resumen Estudiantes y Profesore'!$B$3:$F$27,5,0)</f>
        <v>679</v>
      </c>
      <c r="R55" s="11">
        <f t="shared" si="5"/>
        <v>0</v>
      </c>
    </row>
    <row r="56" spans="1:20" hidden="1">
      <c r="A56" s="23" t="s">
        <v>39</v>
      </c>
      <c r="B56" s="21">
        <f>VLOOKUP($A56,'BDD Esudiantes'!$E$3:$P$30,2,0)</f>
        <v>49</v>
      </c>
      <c r="C56" s="21">
        <f>VLOOKUP($A56,'BDD Esudiantes'!$E$3:$P$30,3,0)</f>
        <v>26</v>
      </c>
      <c r="D56" s="21">
        <f>VLOOKUP($A56,'BDD Esudiantes'!$E$3:$P$30,4,0)</f>
        <v>37</v>
      </c>
      <c r="E56" s="21">
        <f>VLOOKUP($A56,'BDD Esudiantes'!$E$3:$P$30,5,0)</f>
        <v>27</v>
      </c>
      <c r="F56" s="21">
        <f>VLOOKUP($A56,'BDD Esudiantes'!$E$3:$P$30,6,0)</f>
        <v>18</v>
      </c>
      <c r="G56" s="21">
        <f>VLOOKUP($A56,'BDD Esudiantes'!$E$3:$P$30,7,0)</f>
        <v>14</v>
      </c>
      <c r="H56" s="21">
        <f>VLOOKUP($A56,'BDD Esudiantes'!$E$3:$P$30,8,0)</f>
        <v>32</v>
      </c>
      <c r="I56" s="30"/>
      <c r="J56" s="30"/>
      <c r="K56" s="30"/>
      <c r="L56" s="30"/>
      <c r="M56" s="21">
        <v>340</v>
      </c>
      <c r="N56" s="42">
        <f t="shared" si="3"/>
        <v>203</v>
      </c>
      <c r="O56" s="21">
        <f>VLOOKUP($A56,'BDD Esudiantes'!$E$3:$P$30,12,0)</f>
        <v>203</v>
      </c>
      <c r="P56" s="16">
        <f t="shared" si="4"/>
        <v>0</v>
      </c>
      <c r="Q56">
        <f>VLOOKUP(A56,'Resumen Estudiantes y Profesore'!$B$3:$F$27,5,0)</f>
        <v>205</v>
      </c>
      <c r="R56" s="11">
        <f t="shared" si="5"/>
        <v>2</v>
      </c>
    </row>
    <row r="57" spans="1:20" hidden="1">
      <c r="A57" s="23" t="s">
        <v>40</v>
      </c>
      <c r="B57" s="21">
        <f>VLOOKUP($A57,'BDD Esudiantes'!$E$3:$P$30,2,0)</f>
        <v>19</v>
      </c>
      <c r="C57" s="21">
        <f>VLOOKUP($A57,'BDD Esudiantes'!$E$3:$P$30,3,0)</f>
        <v>3</v>
      </c>
      <c r="D57" s="21">
        <f>VLOOKUP($A57,'BDD Esudiantes'!$E$3:$P$30,4,0)</f>
        <v>0</v>
      </c>
      <c r="E57" s="21">
        <f>VLOOKUP($A57,'BDD Esudiantes'!$E$3:$P$30,5,0)</f>
        <v>2</v>
      </c>
      <c r="F57" s="21">
        <f>VLOOKUP($A57,'BDD Esudiantes'!$E$3:$P$30,6,0)</f>
        <v>0</v>
      </c>
      <c r="G57" s="21">
        <f>VLOOKUP($A57,'BDD Esudiantes'!$E$3:$P$30,7,0)</f>
        <v>0</v>
      </c>
      <c r="H57" s="21">
        <f>VLOOKUP($A57,'BDD Esudiantes'!$E$3:$P$30,8,0)</f>
        <v>0</v>
      </c>
      <c r="I57" s="30"/>
      <c r="J57" s="30"/>
      <c r="K57" s="30"/>
      <c r="L57" s="30"/>
      <c r="M57" s="21"/>
      <c r="N57" s="42">
        <f t="shared" si="3"/>
        <v>24</v>
      </c>
      <c r="O57" s="21">
        <f>VLOOKUP($A57,'BDD Esudiantes'!$E$3:$P$30,12,0)</f>
        <v>24</v>
      </c>
      <c r="P57" s="16">
        <f t="shared" si="4"/>
        <v>0</v>
      </c>
      <c r="Q57">
        <f>VLOOKUP(A57,'Resumen Estudiantes y Profesore'!$B$3:$F$27,5,0)</f>
        <v>24</v>
      </c>
      <c r="R57" s="11">
        <f t="shared" si="5"/>
        <v>0</v>
      </c>
    </row>
    <row r="58" spans="1:20" hidden="1">
      <c r="A58" s="23" t="s">
        <v>41</v>
      </c>
      <c r="B58" s="21">
        <f>VLOOKUP($A58,'BDD Esudiantes'!$E$3:$P$30,2,0)</f>
        <v>0</v>
      </c>
      <c r="C58" s="21">
        <f>VLOOKUP($A58,'BDD Esudiantes'!$E$3:$P$30,3,0)</f>
        <v>0</v>
      </c>
      <c r="D58" s="21">
        <f>VLOOKUP($A58,'BDD Esudiantes'!$E$3:$P$30,4,0)</f>
        <v>2</v>
      </c>
      <c r="E58" s="21">
        <f>VLOOKUP($A58,'BDD Esudiantes'!$E$3:$P$30,5,0)</f>
        <v>1</v>
      </c>
      <c r="F58" s="21">
        <f>VLOOKUP($A58,'BDD Esudiantes'!$E$3:$P$30,6,0)</f>
        <v>1</v>
      </c>
      <c r="G58" s="21">
        <f>VLOOKUP($A58,'BDD Esudiantes'!$E$3:$P$30,7,0)</f>
        <v>0</v>
      </c>
      <c r="H58" s="21">
        <f>VLOOKUP($A58,'BDD Esudiantes'!$E$3:$P$30,8,0)</f>
        <v>5</v>
      </c>
      <c r="I58" s="21">
        <f>VLOOKUP($A58,'BDD Esudiantes'!$E$3:$P$30,9,0)</f>
        <v>2</v>
      </c>
      <c r="J58" s="30"/>
      <c r="K58" s="30"/>
      <c r="L58" s="30"/>
      <c r="M58" s="21"/>
      <c r="N58" s="42">
        <f t="shared" si="3"/>
        <v>11</v>
      </c>
      <c r="O58" s="21">
        <f>VLOOKUP($A58,'BDD Esudiantes'!$E$3:$P$30,12,0)</f>
        <v>11</v>
      </c>
      <c r="P58" s="16">
        <f t="shared" si="4"/>
        <v>0</v>
      </c>
      <c r="Q58">
        <f>VLOOKUP(A58,'Resumen Estudiantes y Profesore'!$B$3:$F$27,5,0)</f>
        <v>11</v>
      </c>
      <c r="R58" s="11">
        <f t="shared" si="5"/>
        <v>0</v>
      </c>
    </row>
    <row r="59" spans="1:20" ht="15.75">
      <c r="A59" s="238" t="s">
        <v>44</v>
      </c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</row>
    <row r="60" spans="1:20" ht="45" customHeight="1">
      <c r="A60" s="32" t="s">
        <v>1</v>
      </c>
      <c r="B60" s="46" t="s">
        <v>2</v>
      </c>
      <c r="C60" s="46" t="s">
        <v>3</v>
      </c>
      <c r="D60" s="46" t="s">
        <v>4</v>
      </c>
      <c r="E60" s="46" t="s">
        <v>5</v>
      </c>
      <c r="F60" s="46" t="s">
        <v>6</v>
      </c>
      <c r="G60" s="46" t="s">
        <v>7</v>
      </c>
      <c r="H60" s="46" t="s">
        <v>8</v>
      </c>
      <c r="I60" s="46" t="s">
        <v>9</v>
      </c>
      <c r="J60" s="46" t="s">
        <v>10</v>
      </c>
      <c r="K60" s="46" t="s">
        <v>11</v>
      </c>
      <c r="L60" s="46" t="s">
        <v>12</v>
      </c>
      <c r="M60" s="32" t="s">
        <v>13</v>
      </c>
      <c r="N60" s="32" t="s">
        <v>45</v>
      </c>
      <c r="O60" s="32" t="s">
        <v>46</v>
      </c>
      <c r="P60" s="32" t="s">
        <v>47</v>
      </c>
    </row>
    <row r="61" spans="1:20">
      <c r="A61" s="34" t="s">
        <v>17</v>
      </c>
      <c r="B61" s="13">
        <f t="shared" ref="B61:J76" si="7">IFERROR(B32,0)</f>
        <v>9</v>
      </c>
      <c r="C61" s="13">
        <f t="shared" si="7"/>
        <v>11</v>
      </c>
      <c r="D61" s="13">
        <f t="shared" si="7"/>
        <v>3</v>
      </c>
      <c r="E61" s="13">
        <f t="shared" si="7"/>
        <v>7</v>
      </c>
      <c r="F61" s="13">
        <f t="shared" si="7"/>
        <v>12</v>
      </c>
      <c r="G61" s="13">
        <f t="shared" si="7"/>
        <v>12</v>
      </c>
      <c r="H61" s="13">
        <f t="shared" si="7"/>
        <v>12</v>
      </c>
      <c r="I61" s="9"/>
      <c r="J61" s="9"/>
      <c r="K61" s="9"/>
      <c r="L61" s="9"/>
      <c r="M61" s="10">
        <v>84</v>
      </c>
      <c r="N61" s="47">
        <f>SUM(B61:L61)</f>
        <v>66</v>
      </c>
      <c r="O61" s="17">
        <f t="shared" ref="O61:O86" si="8">N61/M61</f>
        <v>0.7857142857142857</v>
      </c>
      <c r="P61" s="18">
        <f>IFERROR((((1.96^2*0.5*0.5*($M61-N61))/(N61*($M61-1)))^0.5),"")</f>
        <v>5.6176064954948229E-2</v>
      </c>
      <c r="Q61">
        <f>VLOOKUP(A61,'Resumen Estudiantes y Profesore'!$B$3:$F$27,5,0)</f>
        <v>66</v>
      </c>
      <c r="R61" s="34"/>
      <c r="S61" t="s">
        <v>48</v>
      </c>
      <c r="T61" s="11">
        <f>Q61-N61</f>
        <v>0</v>
      </c>
    </row>
    <row r="62" spans="1:20">
      <c r="A62" s="34" t="s">
        <v>18</v>
      </c>
      <c r="B62" s="13">
        <f t="shared" si="7"/>
        <v>23</v>
      </c>
      <c r="C62" s="13">
        <f t="shared" si="7"/>
        <v>12</v>
      </c>
      <c r="D62" s="13">
        <f t="shared" si="7"/>
        <v>22</v>
      </c>
      <c r="E62" s="13">
        <f t="shared" si="7"/>
        <v>18</v>
      </c>
      <c r="F62" s="13">
        <f t="shared" si="7"/>
        <v>23</v>
      </c>
      <c r="G62" s="13">
        <f t="shared" si="7"/>
        <v>19</v>
      </c>
      <c r="H62" s="13">
        <f t="shared" si="7"/>
        <v>30</v>
      </c>
      <c r="I62" s="9"/>
      <c r="J62" s="9"/>
      <c r="K62" s="9"/>
      <c r="L62" s="9"/>
      <c r="M62" s="10">
        <v>253</v>
      </c>
      <c r="N62" s="47">
        <f t="shared" ref="N62:N85" si="9">SUM(B62:L62)</f>
        <v>147</v>
      </c>
      <c r="O62" s="17">
        <f t="shared" si="8"/>
        <v>0.5810276679841897</v>
      </c>
      <c r="P62" s="18">
        <f t="shared" ref="P62:P86" si="10">IFERROR((((1.96^2*0.5*0.5*($M62-N62))/(N62*($M62-1)))^0.5),"")</f>
        <v>5.2422782720379771E-2</v>
      </c>
      <c r="Q62">
        <f>VLOOKUP(A62,'Resumen Estudiantes y Profesore'!$B$3:$F$27,5,0)</f>
        <v>147</v>
      </c>
      <c r="R62" s="35"/>
      <c r="S62" t="s">
        <v>49</v>
      </c>
      <c r="T62" s="11">
        <f t="shared" ref="T62:T85" si="11">Q62-N62</f>
        <v>0</v>
      </c>
    </row>
    <row r="63" spans="1:20">
      <c r="A63" s="34" t="s">
        <v>19</v>
      </c>
      <c r="B63" s="13">
        <f t="shared" si="7"/>
        <v>2</v>
      </c>
      <c r="C63" s="13">
        <f t="shared" si="7"/>
        <v>29</v>
      </c>
      <c r="D63" s="13">
        <f t="shared" si="7"/>
        <v>47</v>
      </c>
      <c r="E63" s="13">
        <f t="shared" si="7"/>
        <v>35</v>
      </c>
      <c r="F63" s="13">
        <f t="shared" si="7"/>
        <v>53</v>
      </c>
      <c r="G63" s="13">
        <f t="shared" si="7"/>
        <v>29</v>
      </c>
      <c r="H63" s="13">
        <f t="shared" si="7"/>
        <v>28</v>
      </c>
      <c r="I63" s="12"/>
      <c r="J63" s="12"/>
      <c r="K63" s="12"/>
      <c r="L63" s="12"/>
      <c r="M63" s="10">
        <v>344</v>
      </c>
      <c r="N63" s="47">
        <f t="shared" si="9"/>
        <v>223</v>
      </c>
      <c r="O63" s="17">
        <f t="shared" si="8"/>
        <v>0.64825581395348841</v>
      </c>
      <c r="P63" s="18">
        <f t="shared" si="10"/>
        <v>3.8977974693546635E-2</v>
      </c>
      <c r="Q63">
        <f>VLOOKUP(A63,'Resumen Estudiantes y Profesore'!$B$3:$F$27,5,0)</f>
        <v>223</v>
      </c>
      <c r="R63" s="20"/>
      <c r="S63" t="s">
        <v>50</v>
      </c>
      <c r="T63" s="11">
        <f t="shared" si="11"/>
        <v>0</v>
      </c>
    </row>
    <row r="64" spans="1:20">
      <c r="A64" s="34" t="s">
        <v>20</v>
      </c>
      <c r="B64" s="13">
        <f t="shared" si="7"/>
        <v>48</v>
      </c>
      <c r="C64" s="13">
        <f t="shared" si="7"/>
        <v>50</v>
      </c>
      <c r="D64" s="13">
        <f t="shared" si="7"/>
        <v>65</v>
      </c>
      <c r="E64" s="13">
        <f t="shared" si="7"/>
        <v>48</v>
      </c>
      <c r="F64" s="13">
        <f t="shared" si="7"/>
        <v>28</v>
      </c>
      <c r="G64" s="13">
        <f t="shared" si="7"/>
        <v>29</v>
      </c>
      <c r="H64" s="13">
        <f t="shared" si="7"/>
        <v>31</v>
      </c>
      <c r="I64" s="12"/>
      <c r="J64" s="12"/>
      <c r="K64" s="12"/>
      <c r="L64" s="12"/>
      <c r="M64" s="10">
        <v>580</v>
      </c>
      <c r="N64" s="47">
        <f t="shared" si="9"/>
        <v>299</v>
      </c>
      <c r="O64" s="17">
        <f t="shared" si="8"/>
        <v>0.51551724137931032</v>
      </c>
      <c r="P64" s="18">
        <f t="shared" si="10"/>
        <v>3.9482474142428725E-2</v>
      </c>
      <c r="Q64">
        <f>VLOOKUP(A64,'Resumen Estudiantes y Profesore'!$B$3:$F$27,5,0)</f>
        <v>299</v>
      </c>
      <c r="R64" s="33"/>
      <c r="S64" t="s">
        <v>51</v>
      </c>
      <c r="T64" s="11">
        <f t="shared" si="11"/>
        <v>0</v>
      </c>
    </row>
    <row r="65" spans="1:20">
      <c r="A65" s="34" t="s">
        <v>21</v>
      </c>
      <c r="B65" s="13">
        <f t="shared" si="7"/>
        <v>27</v>
      </c>
      <c r="C65" s="13">
        <f t="shared" si="7"/>
        <v>17</v>
      </c>
      <c r="D65" s="13">
        <f t="shared" si="7"/>
        <v>34</v>
      </c>
      <c r="E65" s="13">
        <f t="shared" si="7"/>
        <v>14</v>
      </c>
      <c r="F65" s="13">
        <f t="shared" si="7"/>
        <v>23</v>
      </c>
      <c r="G65" s="13">
        <f t="shared" si="7"/>
        <v>13</v>
      </c>
      <c r="H65" s="13">
        <f t="shared" si="7"/>
        <v>13</v>
      </c>
      <c r="I65" s="12"/>
      <c r="J65" s="12"/>
      <c r="K65" s="12"/>
      <c r="L65" s="12"/>
      <c r="M65" s="13">
        <v>215</v>
      </c>
      <c r="N65" s="47">
        <f t="shared" si="9"/>
        <v>141</v>
      </c>
      <c r="O65" s="17">
        <f t="shared" si="8"/>
        <v>0.65581395348837213</v>
      </c>
      <c r="P65" s="18">
        <f t="shared" si="10"/>
        <v>4.853169868404715E-2</v>
      </c>
      <c r="Q65">
        <f>VLOOKUP(A65,'Resumen Estudiantes y Profesore'!$B$3:$F$27,5,0)</f>
        <v>141</v>
      </c>
      <c r="R65" s="36"/>
      <c r="S65" t="s">
        <v>52</v>
      </c>
      <c r="T65" s="11">
        <f t="shared" si="11"/>
        <v>0</v>
      </c>
    </row>
    <row r="66" spans="1:20">
      <c r="A66" s="34" t="s">
        <v>22</v>
      </c>
      <c r="B66" s="13">
        <f t="shared" si="7"/>
        <v>31</v>
      </c>
      <c r="C66" s="13">
        <f t="shared" si="7"/>
        <v>17</v>
      </c>
      <c r="D66" s="13">
        <f t="shared" si="7"/>
        <v>25</v>
      </c>
      <c r="E66" s="13">
        <f t="shared" si="7"/>
        <v>16</v>
      </c>
      <c r="F66" s="13">
        <f t="shared" si="7"/>
        <v>23</v>
      </c>
      <c r="G66" s="13">
        <f t="shared" si="7"/>
        <v>12</v>
      </c>
      <c r="H66" s="13">
        <f t="shared" si="7"/>
        <v>7</v>
      </c>
      <c r="I66" s="9"/>
      <c r="J66" s="9"/>
      <c r="K66" s="9"/>
      <c r="L66" s="9"/>
      <c r="M66" s="13">
        <v>240</v>
      </c>
      <c r="N66" s="47">
        <f t="shared" si="9"/>
        <v>131</v>
      </c>
      <c r="O66" s="17">
        <f t="shared" si="8"/>
        <v>0.54583333333333328</v>
      </c>
      <c r="P66" s="18">
        <f t="shared" si="10"/>
        <v>5.7823546708051725E-2</v>
      </c>
      <c r="Q66">
        <f>VLOOKUP(A66,'Resumen Estudiantes y Profesore'!$B$3:$F$27,5,0)</f>
        <v>131</v>
      </c>
      <c r="T66" s="11">
        <f t="shared" si="11"/>
        <v>0</v>
      </c>
    </row>
    <row r="67" spans="1:20">
      <c r="A67" s="34" t="s">
        <v>23</v>
      </c>
      <c r="B67" s="13">
        <f t="shared" si="7"/>
        <v>12</v>
      </c>
      <c r="C67" s="13">
        <f t="shared" si="7"/>
        <v>26</v>
      </c>
      <c r="D67" s="13">
        <f t="shared" si="7"/>
        <v>7</v>
      </c>
      <c r="E67" s="13">
        <f t="shared" si="7"/>
        <v>16</v>
      </c>
      <c r="F67" s="13">
        <f t="shared" si="7"/>
        <v>22</v>
      </c>
      <c r="G67" s="13">
        <f t="shared" si="7"/>
        <v>15</v>
      </c>
      <c r="H67" s="13">
        <f t="shared" si="7"/>
        <v>14</v>
      </c>
      <c r="I67" s="37"/>
      <c r="J67" s="9"/>
      <c r="K67" s="9"/>
      <c r="L67" s="9"/>
      <c r="M67" s="13">
        <v>206</v>
      </c>
      <c r="N67" s="47">
        <f t="shared" si="9"/>
        <v>112</v>
      </c>
      <c r="O67" s="17">
        <f t="shared" si="8"/>
        <v>0.5436893203883495</v>
      </c>
      <c r="P67" s="18">
        <f t="shared" si="10"/>
        <v>6.270527266117415E-2</v>
      </c>
      <c r="Q67">
        <f>VLOOKUP(A67,'Resumen Estudiantes y Profesore'!$B$3:$F$27,5,0)</f>
        <v>112</v>
      </c>
      <c r="T67" s="11">
        <f t="shared" si="11"/>
        <v>0</v>
      </c>
    </row>
    <row r="68" spans="1:20">
      <c r="A68" s="34" t="s">
        <v>24</v>
      </c>
      <c r="B68" s="13">
        <f t="shared" si="7"/>
        <v>56</v>
      </c>
      <c r="C68" s="13">
        <f t="shared" si="7"/>
        <v>35</v>
      </c>
      <c r="D68" s="13">
        <f t="shared" si="7"/>
        <v>69</v>
      </c>
      <c r="E68" s="13">
        <f t="shared" si="7"/>
        <v>35</v>
      </c>
      <c r="F68" s="13">
        <f t="shared" si="7"/>
        <v>21</v>
      </c>
      <c r="G68" s="13">
        <f t="shared" si="7"/>
        <v>18</v>
      </c>
      <c r="H68" s="13">
        <f t="shared" si="7"/>
        <v>33</v>
      </c>
      <c r="I68" s="12"/>
      <c r="J68" s="12"/>
      <c r="K68" s="12"/>
      <c r="L68" s="12"/>
      <c r="M68" s="13">
        <v>606</v>
      </c>
      <c r="N68" s="47">
        <f t="shared" si="9"/>
        <v>267</v>
      </c>
      <c r="O68" s="17">
        <f t="shared" si="8"/>
        <v>0.4405940594059406</v>
      </c>
      <c r="P68" s="18">
        <f t="shared" si="10"/>
        <v>4.4894444974022008E-2</v>
      </c>
      <c r="Q68">
        <f>VLOOKUP(A68,'Resumen Estudiantes y Profesore'!$B$3:$F$27,5,0)</f>
        <v>267</v>
      </c>
      <c r="T68" s="11">
        <f t="shared" si="11"/>
        <v>0</v>
      </c>
    </row>
    <row r="69" spans="1:20">
      <c r="A69" s="34" t="s">
        <v>25</v>
      </c>
      <c r="B69" s="13">
        <f t="shared" si="7"/>
        <v>30</v>
      </c>
      <c r="C69" s="13">
        <f t="shared" si="7"/>
        <v>31</v>
      </c>
      <c r="D69" s="13">
        <f t="shared" si="7"/>
        <v>45</v>
      </c>
      <c r="E69" s="13">
        <f t="shared" si="7"/>
        <v>25</v>
      </c>
      <c r="F69" s="13">
        <f t="shared" si="7"/>
        <v>34</v>
      </c>
      <c r="G69" s="13">
        <f t="shared" si="7"/>
        <v>17</v>
      </c>
      <c r="H69" s="13">
        <f t="shared" si="7"/>
        <v>14</v>
      </c>
      <c r="I69" s="9"/>
      <c r="J69" s="9"/>
      <c r="K69" s="9"/>
      <c r="L69" s="9"/>
      <c r="M69" s="13">
        <v>360</v>
      </c>
      <c r="N69" s="47">
        <f t="shared" si="9"/>
        <v>196</v>
      </c>
      <c r="O69" s="17">
        <f t="shared" si="8"/>
        <v>0.5444444444444444</v>
      </c>
      <c r="P69" s="18">
        <f t="shared" si="10"/>
        <v>4.7312156063961115E-2</v>
      </c>
      <c r="Q69">
        <f>VLOOKUP(A69,'Resumen Estudiantes y Profesore'!$B$3:$F$27,5,0)</f>
        <v>196</v>
      </c>
      <c r="T69" s="11">
        <f t="shared" si="11"/>
        <v>0</v>
      </c>
    </row>
    <row r="70" spans="1:20">
      <c r="A70" s="34" t="s">
        <v>26</v>
      </c>
      <c r="B70" s="13">
        <f t="shared" si="7"/>
        <v>7</v>
      </c>
      <c r="C70" s="13">
        <f t="shared" si="7"/>
        <v>12</v>
      </c>
      <c r="D70" s="13">
        <f t="shared" si="7"/>
        <v>11</v>
      </c>
      <c r="E70" s="13">
        <f t="shared" si="7"/>
        <v>6</v>
      </c>
      <c r="F70" s="13">
        <f t="shared" si="7"/>
        <v>13</v>
      </c>
      <c r="G70" s="13">
        <f t="shared" si="7"/>
        <v>8</v>
      </c>
      <c r="H70" s="13">
        <f t="shared" si="7"/>
        <v>11</v>
      </c>
      <c r="I70" s="9"/>
      <c r="J70" s="9"/>
      <c r="K70" s="9"/>
      <c r="L70" s="9"/>
      <c r="M70" s="13">
        <v>85</v>
      </c>
      <c r="N70" s="47">
        <f t="shared" si="9"/>
        <v>68</v>
      </c>
      <c r="O70" s="17">
        <f t="shared" si="8"/>
        <v>0.8</v>
      </c>
      <c r="P70" s="18">
        <f t="shared" si="10"/>
        <v>5.3463383107818133E-2</v>
      </c>
      <c r="Q70">
        <f>VLOOKUP(A70,'Resumen Estudiantes y Profesore'!$B$3:$F$27,5,0)</f>
        <v>68</v>
      </c>
      <c r="T70" s="11">
        <f t="shared" si="11"/>
        <v>0</v>
      </c>
    </row>
    <row r="71" spans="1:20">
      <c r="A71" s="34" t="s">
        <v>27</v>
      </c>
      <c r="B71" s="13">
        <f t="shared" si="7"/>
        <v>49</v>
      </c>
      <c r="C71" s="13">
        <f t="shared" si="7"/>
        <v>14</v>
      </c>
      <c r="D71" s="13">
        <f t="shared" si="7"/>
        <v>23</v>
      </c>
      <c r="E71" s="13">
        <f t="shared" si="7"/>
        <v>16</v>
      </c>
      <c r="F71" s="13">
        <f t="shared" si="7"/>
        <v>32</v>
      </c>
      <c r="G71" s="13">
        <f t="shared" si="7"/>
        <v>21</v>
      </c>
      <c r="H71" s="13">
        <f t="shared" si="7"/>
        <v>19</v>
      </c>
      <c r="I71" s="13">
        <f>IFERROR(I42,0)</f>
        <v>16</v>
      </c>
      <c r="J71" s="9"/>
      <c r="K71" s="9"/>
      <c r="L71" s="9"/>
      <c r="M71" s="13">
        <v>306</v>
      </c>
      <c r="N71" s="47">
        <f t="shared" si="9"/>
        <v>190</v>
      </c>
      <c r="O71" s="17">
        <f t="shared" si="8"/>
        <v>0.62091503267973858</v>
      </c>
      <c r="P71" s="18">
        <f t="shared" si="10"/>
        <v>4.3845835500853476E-2</v>
      </c>
      <c r="Q71">
        <f>VLOOKUP(A71,'Resumen Estudiantes y Profesore'!$B$3:$F$27,5,0)</f>
        <v>190</v>
      </c>
      <c r="T71" s="11">
        <f t="shared" si="11"/>
        <v>0</v>
      </c>
    </row>
    <row r="72" spans="1:20">
      <c r="A72" s="34" t="s">
        <v>28</v>
      </c>
      <c r="B72" s="13">
        <f t="shared" si="7"/>
        <v>14</v>
      </c>
      <c r="C72" s="13">
        <f t="shared" si="7"/>
        <v>5</v>
      </c>
      <c r="D72" s="13">
        <f t="shared" si="7"/>
        <v>6</v>
      </c>
      <c r="E72" s="13">
        <f t="shared" si="7"/>
        <v>9</v>
      </c>
      <c r="F72" s="13">
        <f t="shared" si="7"/>
        <v>2</v>
      </c>
      <c r="G72" s="13">
        <f t="shared" si="7"/>
        <v>4</v>
      </c>
      <c r="H72" s="13">
        <f t="shared" si="7"/>
        <v>9</v>
      </c>
      <c r="I72" s="13">
        <f t="shared" si="7"/>
        <v>2</v>
      </c>
      <c r="J72" s="13">
        <f t="shared" si="7"/>
        <v>3</v>
      </c>
      <c r="K72" s="9"/>
      <c r="L72" s="9"/>
      <c r="M72" s="13">
        <v>70</v>
      </c>
      <c r="N72" s="47">
        <f t="shared" si="9"/>
        <v>54</v>
      </c>
      <c r="O72" s="17">
        <f t="shared" si="8"/>
        <v>0.77142857142857146</v>
      </c>
      <c r="P72" s="18">
        <f t="shared" si="10"/>
        <v>6.4219163125244089E-2</v>
      </c>
      <c r="Q72">
        <f>VLOOKUP(A72,'Resumen Estudiantes y Profesore'!$B$3:$F$27,5,0)</f>
        <v>54</v>
      </c>
      <c r="T72" s="11">
        <f t="shared" si="11"/>
        <v>0</v>
      </c>
    </row>
    <row r="73" spans="1:20">
      <c r="A73" s="34" t="s">
        <v>29</v>
      </c>
      <c r="B73" s="13">
        <f t="shared" si="7"/>
        <v>27</v>
      </c>
      <c r="C73" s="13">
        <f t="shared" si="7"/>
        <v>19</v>
      </c>
      <c r="D73" s="13">
        <f t="shared" si="7"/>
        <v>25</v>
      </c>
      <c r="E73" s="13">
        <f t="shared" si="7"/>
        <v>14</v>
      </c>
      <c r="F73" s="13">
        <f t="shared" si="7"/>
        <v>16</v>
      </c>
      <c r="G73" s="13">
        <f t="shared" si="7"/>
        <v>12</v>
      </c>
      <c r="H73" s="13">
        <f t="shared" si="7"/>
        <v>19</v>
      </c>
      <c r="I73" s="37"/>
      <c r="J73" s="9"/>
      <c r="K73" s="9"/>
      <c r="L73" s="9"/>
      <c r="M73" s="13">
        <v>150</v>
      </c>
      <c r="N73" s="47">
        <f t="shared" si="9"/>
        <v>132</v>
      </c>
      <c r="O73" s="17">
        <f t="shared" si="8"/>
        <v>0.88</v>
      </c>
      <c r="P73" s="18">
        <f t="shared" si="10"/>
        <v>2.9647100695037964E-2</v>
      </c>
      <c r="Q73">
        <f>VLOOKUP(A73,'Resumen Estudiantes y Profesore'!$B$3:$F$27,5,0)</f>
        <v>132</v>
      </c>
      <c r="T73" s="11">
        <f t="shared" si="11"/>
        <v>0</v>
      </c>
    </row>
    <row r="74" spans="1:20">
      <c r="A74" s="34" t="s">
        <v>30</v>
      </c>
      <c r="B74" s="13">
        <f t="shared" si="7"/>
        <v>21</v>
      </c>
      <c r="C74" s="13">
        <f t="shared" si="7"/>
        <v>1</v>
      </c>
      <c r="D74" s="13">
        <f t="shared" si="7"/>
        <v>37</v>
      </c>
      <c r="E74" s="13">
        <f t="shared" si="7"/>
        <v>43</v>
      </c>
      <c r="F74" s="13">
        <f t="shared" si="7"/>
        <v>28</v>
      </c>
      <c r="G74" s="13">
        <f t="shared" si="7"/>
        <v>19</v>
      </c>
      <c r="H74" s="13">
        <f t="shared" si="7"/>
        <v>33</v>
      </c>
      <c r="I74" s="9"/>
      <c r="J74" s="9"/>
      <c r="K74" s="9"/>
      <c r="L74" s="9"/>
      <c r="M74" s="13">
        <v>224</v>
      </c>
      <c r="N74" s="47">
        <f t="shared" si="9"/>
        <v>182</v>
      </c>
      <c r="O74" s="17">
        <f t="shared" si="8"/>
        <v>0.8125</v>
      </c>
      <c r="P74" s="18">
        <f t="shared" si="10"/>
        <v>3.1525544431579372E-2</v>
      </c>
      <c r="Q74">
        <f>VLOOKUP(A74,'Resumen Estudiantes y Profesore'!$B$3:$F$27,5,0)</f>
        <v>182</v>
      </c>
      <c r="T74" s="11">
        <f t="shared" si="11"/>
        <v>0</v>
      </c>
    </row>
    <row r="75" spans="1:20">
      <c r="A75" s="34" t="s">
        <v>31</v>
      </c>
      <c r="B75" s="13">
        <f t="shared" si="7"/>
        <v>5</v>
      </c>
      <c r="C75" s="13">
        <f t="shared" si="7"/>
        <v>1</v>
      </c>
      <c r="D75" s="13">
        <f t="shared" si="7"/>
        <v>6</v>
      </c>
      <c r="E75" s="13">
        <f t="shared" si="7"/>
        <v>5</v>
      </c>
      <c r="F75" s="13">
        <f t="shared" si="7"/>
        <v>7</v>
      </c>
      <c r="G75" s="13">
        <f t="shared" si="7"/>
        <v>1</v>
      </c>
      <c r="H75" s="13">
        <f t="shared" si="7"/>
        <v>2</v>
      </c>
      <c r="I75" s="13">
        <f>IFERROR(I46,0)</f>
        <v>4</v>
      </c>
      <c r="J75" s="9"/>
      <c r="K75" s="9"/>
      <c r="L75" s="9"/>
      <c r="M75" s="13">
        <v>34</v>
      </c>
      <c r="N75" s="47">
        <f t="shared" si="9"/>
        <v>31</v>
      </c>
      <c r="O75" s="17">
        <f t="shared" si="8"/>
        <v>0.91176470588235292</v>
      </c>
      <c r="P75" s="18">
        <f t="shared" si="10"/>
        <v>5.306997538524047E-2</v>
      </c>
      <c r="Q75">
        <f>VLOOKUP(A75,'Resumen Estudiantes y Profesore'!$B$3:$F$27,5,0)</f>
        <v>31</v>
      </c>
      <c r="T75" s="11">
        <f t="shared" si="11"/>
        <v>0</v>
      </c>
    </row>
    <row r="76" spans="1:20">
      <c r="A76" s="40" t="s">
        <v>32</v>
      </c>
      <c r="B76" s="13">
        <f t="shared" si="7"/>
        <v>17</v>
      </c>
      <c r="C76" s="13">
        <f t="shared" si="7"/>
        <v>9</v>
      </c>
      <c r="D76" s="13">
        <f t="shared" si="7"/>
        <v>12</v>
      </c>
      <c r="E76" s="13">
        <f t="shared" si="7"/>
        <v>11</v>
      </c>
      <c r="F76" s="13">
        <f t="shared" si="7"/>
        <v>21</v>
      </c>
      <c r="G76" s="13">
        <f t="shared" si="7"/>
        <v>8</v>
      </c>
      <c r="H76" s="13">
        <f t="shared" si="7"/>
        <v>23</v>
      </c>
      <c r="I76" s="9"/>
      <c r="J76" s="9"/>
      <c r="K76" s="9"/>
      <c r="L76" s="9"/>
      <c r="M76" s="13">
        <v>114</v>
      </c>
      <c r="N76" s="47">
        <f t="shared" si="9"/>
        <v>101</v>
      </c>
      <c r="O76" s="17">
        <f t="shared" si="8"/>
        <v>0.88596491228070173</v>
      </c>
      <c r="P76" s="18">
        <f t="shared" si="10"/>
        <v>3.3074846949680124E-2</v>
      </c>
      <c r="Q76">
        <f>VLOOKUP(A76,'Resumen Estudiantes y Profesore'!$B$3:$F$27,5,0)</f>
        <v>101</v>
      </c>
      <c r="T76" s="11">
        <f t="shared" si="11"/>
        <v>0</v>
      </c>
    </row>
    <row r="77" spans="1:20">
      <c r="A77" s="40" t="s">
        <v>33</v>
      </c>
      <c r="B77" s="13">
        <f t="shared" ref="B77:H79" si="12">IFERROR(B49,0)</f>
        <v>34</v>
      </c>
      <c r="C77" s="13">
        <f t="shared" si="12"/>
        <v>22</v>
      </c>
      <c r="D77" s="13">
        <f t="shared" si="12"/>
        <v>28</v>
      </c>
      <c r="E77" s="13">
        <f t="shared" si="12"/>
        <v>9</v>
      </c>
      <c r="F77" s="13">
        <f t="shared" si="12"/>
        <v>49</v>
      </c>
      <c r="G77" s="13">
        <f t="shared" si="12"/>
        <v>23</v>
      </c>
      <c r="H77" s="13">
        <f t="shared" si="12"/>
        <v>20</v>
      </c>
      <c r="I77" s="14"/>
      <c r="J77" s="14"/>
      <c r="K77" s="14"/>
      <c r="L77" s="14"/>
      <c r="M77" s="13">
        <v>287</v>
      </c>
      <c r="N77" s="47">
        <f t="shared" si="9"/>
        <v>185</v>
      </c>
      <c r="O77" s="17">
        <f t="shared" si="8"/>
        <v>0.64459930313588854</v>
      </c>
      <c r="P77" s="18">
        <f t="shared" si="10"/>
        <v>4.3028606431779443E-2</v>
      </c>
      <c r="Q77">
        <f>VLOOKUP(A77,'Resumen Estudiantes y Profesore'!$B$3:$F$27,5,0)</f>
        <v>185</v>
      </c>
      <c r="T77" s="11">
        <f t="shared" si="11"/>
        <v>0</v>
      </c>
    </row>
    <row r="78" spans="1:20">
      <c r="A78" s="40" t="s">
        <v>34</v>
      </c>
      <c r="B78" s="13">
        <f t="shared" si="12"/>
        <v>26</v>
      </c>
      <c r="C78" s="13">
        <f t="shared" si="12"/>
        <v>25</v>
      </c>
      <c r="D78" s="13">
        <f t="shared" si="12"/>
        <v>31</v>
      </c>
      <c r="E78" s="13">
        <f t="shared" si="12"/>
        <v>36</v>
      </c>
      <c r="F78" s="13">
        <f t="shared" si="12"/>
        <v>38</v>
      </c>
      <c r="G78" s="13">
        <f t="shared" si="12"/>
        <v>19</v>
      </c>
      <c r="H78" s="13">
        <f t="shared" si="12"/>
        <v>34</v>
      </c>
      <c r="I78" s="9"/>
      <c r="J78" s="9"/>
      <c r="K78" s="9"/>
      <c r="L78" s="9"/>
      <c r="M78" s="13">
        <v>322</v>
      </c>
      <c r="N78" s="47">
        <f t="shared" si="9"/>
        <v>209</v>
      </c>
      <c r="O78" s="17">
        <f t="shared" si="8"/>
        <v>0.64906832298136641</v>
      </c>
      <c r="P78" s="18">
        <f t="shared" si="10"/>
        <v>4.0219775135791683E-2</v>
      </c>
      <c r="Q78">
        <f>VLOOKUP(A78,'Resumen Estudiantes y Profesore'!$B$3:$F$27,5,0)</f>
        <v>209</v>
      </c>
      <c r="T78" s="11">
        <f t="shared" si="11"/>
        <v>0</v>
      </c>
    </row>
    <row r="79" spans="1:20">
      <c r="A79" s="40" t="s">
        <v>35</v>
      </c>
      <c r="B79" s="13">
        <f t="shared" si="12"/>
        <v>19</v>
      </c>
      <c r="C79" s="13">
        <f t="shared" si="12"/>
        <v>21</v>
      </c>
      <c r="D79" s="13">
        <f t="shared" si="12"/>
        <v>20</v>
      </c>
      <c r="E79" s="13">
        <f t="shared" si="12"/>
        <v>14</v>
      </c>
      <c r="F79" s="13">
        <f t="shared" si="12"/>
        <v>26</v>
      </c>
      <c r="G79" s="13">
        <f t="shared" si="12"/>
        <v>11</v>
      </c>
      <c r="H79" s="13">
        <f t="shared" si="12"/>
        <v>25</v>
      </c>
      <c r="I79" s="9"/>
      <c r="J79" s="9"/>
      <c r="K79" s="9"/>
      <c r="L79" s="9"/>
      <c r="M79" s="13">
        <v>175</v>
      </c>
      <c r="N79" s="47">
        <f t="shared" si="9"/>
        <v>136</v>
      </c>
      <c r="O79" s="17">
        <f t="shared" si="8"/>
        <v>0.77714285714285714</v>
      </c>
      <c r="P79" s="18">
        <f t="shared" si="10"/>
        <v>3.9784536325421754E-2</v>
      </c>
      <c r="Q79">
        <f>VLOOKUP(A79,'Resumen Estudiantes y Profesore'!$B$3:$F$27,5,0)</f>
        <v>136</v>
      </c>
      <c r="T79" s="11">
        <f t="shared" si="11"/>
        <v>0</v>
      </c>
    </row>
    <row r="80" spans="1:20">
      <c r="A80" s="40" t="s">
        <v>36</v>
      </c>
      <c r="B80" s="13">
        <f t="shared" ref="B80:I80" si="13">IFERROR(B53,0)</f>
        <v>7</v>
      </c>
      <c r="C80" s="13">
        <f t="shared" si="13"/>
        <v>0</v>
      </c>
      <c r="D80" s="13">
        <f t="shared" si="13"/>
        <v>3</v>
      </c>
      <c r="E80" s="13">
        <f t="shared" si="13"/>
        <v>7</v>
      </c>
      <c r="F80" s="13">
        <f t="shared" si="13"/>
        <v>2</v>
      </c>
      <c r="G80" s="13">
        <f t="shared" si="13"/>
        <v>3</v>
      </c>
      <c r="H80" s="13">
        <f t="shared" si="13"/>
        <v>13</v>
      </c>
      <c r="I80" s="13">
        <f t="shared" si="13"/>
        <v>0</v>
      </c>
      <c r="J80" s="14"/>
      <c r="K80" s="14"/>
      <c r="L80" s="14"/>
      <c r="M80" s="13">
        <v>47</v>
      </c>
      <c r="N80" s="47">
        <f t="shared" si="9"/>
        <v>35</v>
      </c>
      <c r="O80" s="17">
        <f t="shared" si="8"/>
        <v>0.74468085106382975</v>
      </c>
      <c r="P80" s="18">
        <f t="shared" si="10"/>
        <v>8.4606506071136262E-2</v>
      </c>
      <c r="Q80">
        <f>VLOOKUP(A80,'Resumen Estudiantes y Profesore'!$B$3:$F$27,5,0)</f>
        <v>35</v>
      </c>
      <c r="T80" s="11">
        <f t="shared" si="11"/>
        <v>0</v>
      </c>
    </row>
    <row r="81" spans="1:20">
      <c r="A81" s="34" t="s">
        <v>37</v>
      </c>
      <c r="B81" s="13">
        <f t="shared" ref="B81:H85" si="14">IFERROR(B54,0)</f>
        <v>24</v>
      </c>
      <c r="C81" s="13">
        <f t="shared" si="14"/>
        <v>17</v>
      </c>
      <c r="D81" s="13">
        <f t="shared" si="14"/>
        <v>19</v>
      </c>
      <c r="E81" s="13">
        <f t="shared" si="14"/>
        <v>18</v>
      </c>
      <c r="F81" s="13">
        <f t="shared" si="14"/>
        <v>17</v>
      </c>
      <c r="G81" s="13">
        <f t="shared" si="14"/>
        <v>20</v>
      </c>
      <c r="H81" s="13">
        <f t="shared" si="14"/>
        <v>24</v>
      </c>
      <c r="I81" s="14"/>
      <c r="J81" s="14"/>
      <c r="K81" s="14"/>
      <c r="L81" s="14"/>
      <c r="M81" s="13">
        <v>197</v>
      </c>
      <c r="N81" s="47">
        <f t="shared" si="9"/>
        <v>139</v>
      </c>
      <c r="O81" s="17">
        <f t="shared" si="8"/>
        <v>0.70558375634517767</v>
      </c>
      <c r="P81" s="18">
        <f t="shared" si="10"/>
        <v>4.5217301075437512E-2</v>
      </c>
      <c r="Q81">
        <f>VLOOKUP(A81,'Resumen Estudiantes y Profesore'!$B$3:$F$27,5,0)</f>
        <v>139</v>
      </c>
      <c r="T81" s="11">
        <f t="shared" si="11"/>
        <v>0</v>
      </c>
    </row>
    <row r="82" spans="1:20">
      <c r="A82" s="40" t="s">
        <v>38</v>
      </c>
      <c r="B82" s="13">
        <f t="shared" si="14"/>
        <v>82</v>
      </c>
      <c r="C82" s="13">
        <f t="shared" si="14"/>
        <v>69</v>
      </c>
      <c r="D82" s="13">
        <f t="shared" si="14"/>
        <v>62</v>
      </c>
      <c r="E82" s="13">
        <f t="shared" si="14"/>
        <v>108</v>
      </c>
      <c r="F82" s="13">
        <f t="shared" si="14"/>
        <v>58</v>
      </c>
      <c r="G82" s="13">
        <f t="shared" si="14"/>
        <v>54</v>
      </c>
      <c r="H82" s="13">
        <f t="shared" si="14"/>
        <v>55</v>
      </c>
      <c r="I82" s="13">
        <f>IFERROR(I55,0)</f>
        <v>54</v>
      </c>
      <c r="J82" s="13">
        <f>IFERROR(J55,0)</f>
        <v>49</v>
      </c>
      <c r="K82" s="13">
        <f>IFERROR(K55,0)</f>
        <v>88</v>
      </c>
      <c r="L82" s="14"/>
      <c r="M82" s="13">
        <v>972</v>
      </c>
      <c r="N82" s="47">
        <f t="shared" si="9"/>
        <v>679</v>
      </c>
      <c r="O82" s="17">
        <f t="shared" si="8"/>
        <v>0.69855967078189296</v>
      </c>
      <c r="P82" s="18">
        <f t="shared" si="10"/>
        <v>2.0659289608953978E-2</v>
      </c>
      <c r="Q82">
        <f>VLOOKUP(A82,'Resumen Estudiantes y Profesore'!$B$3:$F$27,5,0)</f>
        <v>679</v>
      </c>
      <c r="T82" s="11">
        <f t="shared" si="11"/>
        <v>0</v>
      </c>
    </row>
    <row r="83" spans="1:20">
      <c r="A83" s="34" t="s">
        <v>39</v>
      </c>
      <c r="B83" s="13">
        <f t="shared" si="14"/>
        <v>49</v>
      </c>
      <c r="C83" s="13">
        <f t="shared" si="14"/>
        <v>26</v>
      </c>
      <c r="D83" s="13">
        <f t="shared" si="14"/>
        <v>37</v>
      </c>
      <c r="E83" s="13">
        <f t="shared" si="14"/>
        <v>27</v>
      </c>
      <c r="F83" s="13">
        <f t="shared" si="14"/>
        <v>18</v>
      </c>
      <c r="G83" s="13">
        <f t="shared" si="14"/>
        <v>14</v>
      </c>
      <c r="H83" s="13">
        <f t="shared" si="14"/>
        <v>32</v>
      </c>
      <c r="I83" s="14"/>
      <c r="J83" s="14"/>
      <c r="K83" s="14"/>
      <c r="L83" s="14"/>
      <c r="M83" s="13">
        <v>340</v>
      </c>
      <c r="N83" s="47">
        <f t="shared" si="9"/>
        <v>203</v>
      </c>
      <c r="O83" s="17">
        <f t="shared" si="8"/>
        <v>0.59705882352941175</v>
      </c>
      <c r="P83" s="18">
        <f t="shared" si="10"/>
        <v>4.3725873217209346E-2</v>
      </c>
      <c r="Q83">
        <f>VLOOKUP(A83,'Resumen Estudiantes y Profesore'!$B$3:$F$27,5,0)</f>
        <v>205</v>
      </c>
      <c r="T83" s="11">
        <f t="shared" si="11"/>
        <v>2</v>
      </c>
    </row>
    <row r="84" spans="1:20">
      <c r="A84" s="34" t="s">
        <v>40</v>
      </c>
      <c r="B84" s="13">
        <f t="shared" si="14"/>
        <v>19</v>
      </c>
      <c r="C84" s="13">
        <f t="shared" si="14"/>
        <v>3</v>
      </c>
      <c r="D84" s="13">
        <f t="shared" si="14"/>
        <v>0</v>
      </c>
      <c r="E84" s="13">
        <f t="shared" si="14"/>
        <v>2</v>
      </c>
      <c r="F84" s="13">
        <f t="shared" si="14"/>
        <v>0</v>
      </c>
      <c r="G84" s="13">
        <f t="shared" si="14"/>
        <v>0</v>
      </c>
      <c r="H84" s="13">
        <f t="shared" si="14"/>
        <v>0</v>
      </c>
      <c r="I84" s="14"/>
      <c r="J84" s="14"/>
      <c r="K84" s="14"/>
      <c r="L84" s="14"/>
      <c r="M84" s="13">
        <v>26</v>
      </c>
      <c r="N84" s="47">
        <f t="shared" si="9"/>
        <v>24</v>
      </c>
      <c r="O84" s="17">
        <f t="shared" si="8"/>
        <v>0.92307692307692313</v>
      </c>
      <c r="P84" s="18">
        <f t="shared" si="10"/>
        <v>5.6580326380583322E-2</v>
      </c>
      <c r="Q84">
        <f>VLOOKUP(A84,'Resumen Estudiantes y Profesore'!$B$3:$F$27,5,0)</f>
        <v>24</v>
      </c>
      <c r="T84" s="11">
        <f t="shared" si="11"/>
        <v>0</v>
      </c>
    </row>
    <row r="85" spans="1:20">
      <c r="A85" s="34" t="s">
        <v>41</v>
      </c>
      <c r="B85" s="13">
        <f t="shared" si="14"/>
        <v>0</v>
      </c>
      <c r="C85" s="13">
        <f t="shared" si="14"/>
        <v>0</v>
      </c>
      <c r="D85" s="13">
        <f t="shared" si="14"/>
        <v>2</v>
      </c>
      <c r="E85" s="13">
        <f t="shared" si="14"/>
        <v>1</v>
      </c>
      <c r="F85" s="13">
        <f t="shared" si="14"/>
        <v>1</v>
      </c>
      <c r="G85" s="13">
        <f t="shared" si="14"/>
        <v>0</v>
      </c>
      <c r="H85" s="13">
        <f t="shared" si="14"/>
        <v>5</v>
      </c>
      <c r="I85" s="13">
        <f>IFERROR(I58,0)</f>
        <v>2</v>
      </c>
      <c r="J85" s="14"/>
      <c r="K85" s="14"/>
      <c r="L85" s="14"/>
      <c r="M85" s="13">
        <v>27</v>
      </c>
      <c r="N85" s="47">
        <f t="shared" si="9"/>
        <v>11</v>
      </c>
      <c r="O85" s="17">
        <f t="shared" si="8"/>
        <v>0.40740740740740738</v>
      </c>
      <c r="P85" s="18">
        <f t="shared" si="10"/>
        <v>0.23179445922772038</v>
      </c>
      <c r="Q85">
        <f>VLOOKUP(A85,'Resumen Estudiantes y Profesore'!$B$3:$F$27,5,0)</f>
        <v>11</v>
      </c>
      <c r="T85" s="11">
        <f t="shared" si="11"/>
        <v>0</v>
      </c>
    </row>
    <row r="86" spans="1:20">
      <c r="L86" s="45" t="s">
        <v>53</v>
      </c>
      <c r="M86" s="44">
        <f>SUM(M61:M85)</f>
        <v>6264</v>
      </c>
      <c r="N86" s="47">
        <f>SUM(N61:N85)</f>
        <v>3961</v>
      </c>
      <c r="O86" s="17">
        <f t="shared" si="8"/>
        <v>0.63234355044699875</v>
      </c>
      <c r="P86" s="18">
        <f t="shared" si="10"/>
        <v>9.4423352854923811E-3</v>
      </c>
    </row>
    <row r="87" spans="1:20">
      <c r="N87" s="42"/>
    </row>
    <row r="88" spans="1:20" ht="15.75" hidden="1">
      <c r="A88" s="239" t="s">
        <v>54</v>
      </c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</row>
    <row r="89" spans="1:20" ht="25.5" hidden="1">
      <c r="A89" s="7" t="s">
        <v>1</v>
      </c>
      <c r="B89" s="7" t="s">
        <v>2</v>
      </c>
      <c r="C89" s="7" t="s">
        <v>3</v>
      </c>
      <c r="D89" s="7" t="s">
        <v>4</v>
      </c>
      <c r="E89" s="7" t="s">
        <v>5</v>
      </c>
      <c r="F89" s="7" t="s">
        <v>6</v>
      </c>
      <c r="G89" s="7" t="s">
        <v>7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55</v>
      </c>
      <c r="O89" s="7" t="s">
        <v>15</v>
      </c>
    </row>
    <row r="90" spans="1:20" hidden="1">
      <c r="A90" s="33" t="s">
        <v>17</v>
      </c>
      <c r="B90" s="13">
        <f t="shared" ref="B90:H99" si="15">B4-B61</f>
        <v>1</v>
      </c>
      <c r="C90" s="13">
        <f t="shared" si="15"/>
        <v>-2</v>
      </c>
      <c r="D90" s="13">
        <f t="shared" si="15"/>
        <v>4</v>
      </c>
      <c r="E90" s="13">
        <f t="shared" si="15"/>
        <v>2</v>
      </c>
      <c r="F90" s="13">
        <f t="shared" si="15"/>
        <v>0</v>
      </c>
      <c r="G90" s="13">
        <f t="shared" si="15"/>
        <v>0</v>
      </c>
      <c r="H90" s="13">
        <f t="shared" si="15"/>
        <v>0</v>
      </c>
      <c r="I90" s="9"/>
      <c r="J90" s="9"/>
      <c r="K90" s="9"/>
      <c r="L90" s="9"/>
      <c r="M90" s="10">
        <v>84</v>
      </c>
      <c r="N90" s="47">
        <f t="shared" ref="N90:N114" si="16">N4-N61</f>
        <v>5</v>
      </c>
      <c r="O90" s="17">
        <f t="shared" ref="O90:O114" si="17">N90/M90</f>
        <v>5.9523809523809521E-2</v>
      </c>
    </row>
    <row r="91" spans="1:20" hidden="1">
      <c r="A91" s="33" t="s">
        <v>18</v>
      </c>
      <c r="B91" s="13">
        <f t="shared" si="15"/>
        <v>1</v>
      </c>
      <c r="C91" s="13">
        <f t="shared" si="15"/>
        <v>12</v>
      </c>
      <c r="D91" s="13">
        <f t="shared" si="15"/>
        <v>-1</v>
      </c>
      <c r="E91" s="13">
        <f t="shared" si="15"/>
        <v>4</v>
      </c>
      <c r="F91" s="13">
        <f t="shared" si="15"/>
        <v>-4</v>
      </c>
      <c r="G91" s="13">
        <f t="shared" si="15"/>
        <v>4</v>
      </c>
      <c r="H91" s="13">
        <f t="shared" si="15"/>
        <v>-1</v>
      </c>
      <c r="I91" s="9"/>
      <c r="J91" s="9"/>
      <c r="K91" s="9"/>
      <c r="L91" s="9"/>
      <c r="M91" s="10">
        <v>253</v>
      </c>
      <c r="N91" s="47">
        <f t="shared" si="16"/>
        <v>15</v>
      </c>
      <c r="O91" s="17">
        <f t="shared" si="17"/>
        <v>5.9288537549407112E-2</v>
      </c>
    </row>
    <row r="92" spans="1:20" hidden="1">
      <c r="A92" s="34" t="s">
        <v>19</v>
      </c>
      <c r="B92" s="13">
        <f t="shared" si="15"/>
        <v>32</v>
      </c>
      <c r="C92" s="13">
        <f t="shared" si="15"/>
        <v>-7</v>
      </c>
      <c r="D92" s="13">
        <f t="shared" si="15"/>
        <v>-10</v>
      </c>
      <c r="E92" s="13">
        <f t="shared" si="15"/>
        <v>-7</v>
      </c>
      <c r="F92" s="13">
        <f t="shared" si="15"/>
        <v>-24</v>
      </c>
      <c r="G92" s="13">
        <f t="shared" si="15"/>
        <v>-9</v>
      </c>
      <c r="H92" s="13">
        <f t="shared" si="15"/>
        <v>-3</v>
      </c>
      <c r="I92" s="12"/>
      <c r="J92" s="12"/>
      <c r="K92" s="12"/>
      <c r="L92" s="12"/>
      <c r="M92" s="10">
        <v>344</v>
      </c>
      <c r="N92" s="47">
        <f t="shared" si="16"/>
        <v>-28</v>
      </c>
      <c r="O92" s="17">
        <f t="shared" si="17"/>
        <v>-8.1395348837209308E-2</v>
      </c>
    </row>
    <row r="93" spans="1:20" hidden="1">
      <c r="A93" s="34" t="s">
        <v>20</v>
      </c>
      <c r="B93" s="13">
        <f t="shared" si="15"/>
        <v>-1</v>
      </c>
      <c r="C93" s="13">
        <f t="shared" si="15"/>
        <v>-14</v>
      </c>
      <c r="D93" s="13">
        <f t="shared" si="15"/>
        <v>-28</v>
      </c>
      <c r="E93" s="13">
        <f t="shared" si="15"/>
        <v>-14</v>
      </c>
      <c r="F93" s="13">
        <f t="shared" si="15"/>
        <v>11</v>
      </c>
      <c r="G93" s="13">
        <f t="shared" si="15"/>
        <v>-1</v>
      </c>
      <c r="H93" s="13">
        <f t="shared" si="15"/>
        <v>2</v>
      </c>
      <c r="I93" s="12"/>
      <c r="J93" s="12"/>
      <c r="K93" s="12"/>
      <c r="L93" s="12"/>
      <c r="M93" s="10">
        <v>580</v>
      </c>
      <c r="N93" s="47">
        <f t="shared" si="16"/>
        <v>-45</v>
      </c>
      <c r="O93" s="17">
        <f t="shared" si="17"/>
        <v>-7.7586206896551727E-2</v>
      </c>
    </row>
    <row r="94" spans="1:20" hidden="1">
      <c r="A94" s="36" t="s">
        <v>21</v>
      </c>
      <c r="B94" s="13">
        <f t="shared" si="15"/>
        <v>5</v>
      </c>
      <c r="C94" s="13">
        <f t="shared" si="15"/>
        <v>9</v>
      </c>
      <c r="D94" s="13">
        <f t="shared" si="15"/>
        <v>-13</v>
      </c>
      <c r="E94" s="13">
        <f t="shared" si="15"/>
        <v>-1</v>
      </c>
      <c r="F94" s="13">
        <f t="shared" si="15"/>
        <v>-5</v>
      </c>
      <c r="G94" s="13">
        <f t="shared" si="15"/>
        <v>-2</v>
      </c>
      <c r="H94" s="13">
        <f t="shared" si="15"/>
        <v>12</v>
      </c>
      <c r="I94" s="12"/>
      <c r="J94" s="12"/>
      <c r="K94" s="12"/>
      <c r="L94" s="12"/>
      <c r="M94" s="13">
        <v>215</v>
      </c>
      <c r="N94" s="47">
        <f t="shared" si="16"/>
        <v>5</v>
      </c>
      <c r="O94" s="17">
        <f t="shared" si="17"/>
        <v>2.3255813953488372E-2</v>
      </c>
    </row>
    <row r="95" spans="1:20" hidden="1">
      <c r="A95" s="33" t="s">
        <v>22</v>
      </c>
      <c r="B95" s="13">
        <f t="shared" si="15"/>
        <v>10</v>
      </c>
      <c r="C95" s="13">
        <f t="shared" si="15"/>
        <v>-1</v>
      </c>
      <c r="D95" s="13">
        <f t="shared" si="15"/>
        <v>2</v>
      </c>
      <c r="E95" s="13">
        <f t="shared" si="15"/>
        <v>6</v>
      </c>
      <c r="F95" s="13">
        <f t="shared" si="15"/>
        <v>-4</v>
      </c>
      <c r="G95" s="13">
        <f t="shared" si="15"/>
        <v>3</v>
      </c>
      <c r="H95" s="13">
        <f t="shared" si="15"/>
        <v>11</v>
      </c>
      <c r="I95" s="9"/>
      <c r="J95" s="9"/>
      <c r="K95" s="9"/>
      <c r="L95" s="9"/>
      <c r="M95" s="13">
        <v>240</v>
      </c>
      <c r="N95" s="47">
        <f t="shared" si="16"/>
        <v>27</v>
      </c>
      <c r="O95" s="17">
        <f t="shared" si="17"/>
        <v>0.1125</v>
      </c>
    </row>
    <row r="96" spans="1:20" hidden="1">
      <c r="A96" s="33" t="s">
        <v>23</v>
      </c>
      <c r="B96" s="13">
        <f t="shared" si="15"/>
        <v>7</v>
      </c>
      <c r="C96" s="13">
        <f t="shared" si="15"/>
        <v>-1</v>
      </c>
      <c r="D96" s="13">
        <f t="shared" si="15"/>
        <v>14</v>
      </c>
      <c r="E96" s="13">
        <f t="shared" si="15"/>
        <v>3</v>
      </c>
      <c r="F96" s="13">
        <f t="shared" si="15"/>
        <v>2</v>
      </c>
      <c r="G96" s="13">
        <f t="shared" si="15"/>
        <v>-2</v>
      </c>
      <c r="H96" s="13">
        <f t="shared" si="15"/>
        <v>7</v>
      </c>
      <c r="I96" s="9"/>
      <c r="J96" s="9"/>
      <c r="K96" s="9"/>
      <c r="L96" s="9"/>
      <c r="M96" s="13">
        <v>206</v>
      </c>
      <c r="N96" s="47">
        <f t="shared" si="16"/>
        <v>30</v>
      </c>
      <c r="O96" s="17">
        <f t="shared" si="17"/>
        <v>0.14563106796116504</v>
      </c>
    </row>
    <row r="97" spans="1:15" hidden="1">
      <c r="A97" s="33" t="s">
        <v>24</v>
      </c>
      <c r="B97" s="13">
        <f t="shared" si="15"/>
        <v>-17</v>
      </c>
      <c r="C97" s="13">
        <f t="shared" si="15"/>
        <v>14</v>
      </c>
      <c r="D97" s="13">
        <f t="shared" si="15"/>
        <v>-32</v>
      </c>
      <c r="E97" s="13">
        <f t="shared" si="15"/>
        <v>3</v>
      </c>
      <c r="F97" s="13">
        <f t="shared" si="15"/>
        <v>9</v>
      </c>
      <c r="G97" s="13">
        <f t="shared" si="15"/>
        <v>16</v>
      </c>
      <c r="H97" s="13">
        <f t="shared" si="15"/>
        <v>-1</v>
      </c>
      <c r="I97" s="12"/>
      <c r="J97" s="12"/>
      <c r="K97" s="12"/>
      <c r="L97" s="12"/>
      <c r="M97" s="13">
        <v>606</v>
      </c>
      <c r="N97" s="47">
        <f t="shared" si="16"/>
        <v>-8</v>
      </c>
      <c r="O97" s="17">
        <f t="shared" si="17"/>
        <v>-1.3201320132013201E-2</v>
      </c>
    </row>
    <row r="98" spans="1:15" hidden="1">
      <c r="A98" s="33" t="s">
        <v>25</v>
      </c>
      <c r="B98" s="13">
        <f t="shared" si="15"/>
        <v>-3</v>
      </c>
      <c r="C98" s="13">
        <f t="shared" si="15"/>
        <v>-8</v>
      </c>
      <c r="D98" s="13">
        <f t="shared" si="15"/>
        <v>-13</v>
      </c>
      <c r="E98" s="13">
        <f t="shared" si="15"/>
        <v>-1</v>
      </c>
      <c r="F98" s="13">
        <f t="shared" si="15"/>
        <v>-1</v>
      </c>
      <c r="G98" s="13">
        <f t="shared" si="15"/>
        <v>13</v>
      </c>
      <c r="H98" s="13">
        <f t="shared" si="15"/>
        <v>17</v>
      </c>
      <c r="I98" s="9"/>
      <c r="J98" s="9"/>
      <c r="K98" s="9"/>
      <c r="L98" s="9"/>
      <c r="M98" s="13">
        <v>360</v>
      </c>
      <c r="N98" s="47">
        <f t="shared" si="16"/>
        <v>4</v>
      </c>
      <c r="O98" s="17">
        <f t="shared" si="17"/>
        <v>1.1111111111111112E-2</v>
      </c>
    </row>
    <row r="99" spans="1:15" hidden="1">
      <c r="A99" s="33" t="s">
        <v>26</v>
      </c>
      <c r="B99" s="13">
        <f t="shared" si="15"/>
        <v>4</v>
      </c>
      <c r="C99" s="13">
        <f t="shared" si="15"/>
        <v>-2</v>
      </c>
      <c r="D99" s="13">
        <f t="shared" si="15"/>
        <v>-5</v>
      </c>
      <c r="E99" s="13">
        <f t="shared" si="15"/>
        <v>11</v>
      </c>
      <c r="F99" s="13">
        <f t="shared" si="15"/>
        <v>-5</v>
      </c>
      <c r="G99" s="13">
        <f t="shared" si="15"/>
        <v>1</v>
      </c>
      <c r="H99" s="13">
        <f t="shared" si="15"/>
        <v>-1</v>
      </c>
      <c r="I99" s="9"/>
      <c r="J99" s="9"/>
      <c r="K99" s="9"/>
      <c r="L99" s="9"/>
      <c r="M99" s="13">
        <v>85</v>
      </c>
      <c r="N99" s="47">
        <f t="shared" si="16"/>
        <v>3</v>
      </c>
      <c r="O99" s="17">
        <f t="shared" si="17"/>
        <v>3.5294117647058823E-2</v>
      </c>
    </row>
    <row r="100" spans="1:15" hidden="1">
      <c r="A100" s="33" t="s">
        <v>27</v>
      </c>
      <c r="B100" s="13">
        <f t="shared" ref="B100:H109" si="18">B14-B71</f>
        <v>-15</v>
      </c>
      <c r="C100" s="13">
        <f t="shared" si="18"/>
        <v>2</v>
      </c>
      <c r="D100" s="13">
        <f t="shared" si="18"/>
        <v>-2</v>
      </c>
      <c r="E100" s="13">
        <f t="shared" si="18"/>
        <v>4</v>
      </c>
      <c r="F100" s="13">
        <f t="shared" si="18"/>
        <v>-9</v>
      </c>
      <c r="G100" s="13">
        <f t="shared" si="18"/>
        <v>-1</v>
      </c>
      <c r="H100" s="13">
        <f t="shared" si="18"/>
        <v>11</v>
      </c>
      <c r="I100" s="13">
        <f>I14-I71</f>
        <v>3</v>
      </c>
      <c r="J100" s="9"/>
      <c r="K100" s="9"/>
      <c r="L100" s="9"/>
      <c r="M100" s="13">
        <v>306</v>
      </c>
      <c r="N100" s="47">
        <f t="shared" si="16"/>
        <v>-7</v>
      </c>
      <c r="O100" s="17">
        <f t="shared" si="17"/>
        <v>-2.2875816993464051E-2</v>
      </c>
    </row>
    <row r="101" spans="1:15" hidden="1">
      <c r="A101" s="34" t="s">
        <v>28</v>
      </c>
      <c r="B101" s="13">
        <f t="shared" si="18"/>
        <v>1</v>
      </c>
      <c r="C101" s="13">
        <f t="shared" si="18"/>
        <v>0</v>
      </c>
      <c r="D101" s="13">
        <f t="shared" si="18"/>
        <v>-1</v>
      </c>
      <c r="E101" s="13">
        <f t="shared" si="18"/>
        <v>0</v>
      </c>
      <c r="F101" s="13">
        <f t="shared" si="18"/>
        <v>10</v>
      </c>
      <c r="G101" s="13">
        <f t="shared" si="18"/>
        <v>2</v>
      </c>
      <c r="H101" s="13">
        <f t="shared" si="18"/>
        <v>-1</v>
      </c>
      <c r="I101" s="13">
        <f>I15-I72</f>
        <v>-1</v>
      </c>
      <c r="J101" s="13">
        <f>J15-J72</f>
        <v>-3</v>
      </c>
      <c r="K101" s="9"/>
      <c r="L101" s="9"/>
      <c r="M101" s="13">
        <v>70</v>
      </c>
      <c r="N101" s="47">
        <f t="shared" si="16"/>
        <v>7</v>
      </c>
      <c r="O101" s="17">
        <f t="shared" si="17"/>
        <v>0.1</v>
      </c>
    </row>
    <row r="102" spans="1:15" hidden="1">
      <c r="A102" s="34" t="s">
        <v>29</v>
      </c>
      <c r="B102" s="13">
        <f t="shared" si="18"/>
        <v>-3</v>
      </c>
      <c r="C102" s="13">
        <f t="shared" si="18"/>
        <v>-3</v>
      </c>
      <c r="D102" s="13">
        <f t="shared" si="18"/>
        <v>-4</v>
      </c>
      <c r="E102" s="13">
        <f t="shared" si="18"/>
        <v>0</v>
      </c>
      <c r="F102" s="13">
        <f t="shared" si="18"/>
        <v>-6</v>
      </c>
      <c r="G102" s="13">
        <f t="shared" si="18"/>
        <v>2</v>
      </c>
      <c r="H102" s="13">
        <f t="shared" si="18"/>
        <v>-4</v>
      </c>
      <c r="I102" s="37"/>
      <c r="J102" s="9"/>
      <c r="K102" s="9"/>
      <c r="L102" s="9"/>
      <c r="M102" s="13">
        <v>150</v>
      </c>
      <c r="N102" s="47">
        <f t="shared" si="16"/>
        <v>-18</v>
      </c>
      <c r="O102" s="17">
        <f t="shared" si="17"/>
        <v>-0.12</v>
      </c>
    </row>
    <row r="103" spans="1:15" hidden="1">
      <c r="A103" s="34" t="s">
        <v>30</v>
      </c>
      <c r="B103" s="13">
        <f t="shared" si="18"/>
        <v>-1</v>
      </c>
      <c r="C103" s="13">
        <f t="shared" si="18"/>
        <v>21</v>
      </c>
      <c r="D103" s="13">
        <f t="shared" si="18"/>
        <v>-4</v>
      </c>
      <c r="E103" s="13">
        <f t="shared" si="18"/>
        <v>-22</v>
      </c>
      <c r="F103" s="13">
        <f t="shared" si="18"/>
        <v>-10</v>
      </c>
      <c r="G103" s="13">
        <f t="shared" si="18"/>
        <v>6</v>
      </c>
      <c r="H103" s="13">
        <f t="shared" si="18"/>
        <v>-22</v>
      </c>
      <c r="I103" s="9"/>
      <c r="J103" s="9"/>
      <c r="K103" s="9"/>
      <c r="L103" s="9"/>
      <c r="M103" s="13">
        <v>224</v>
      </c>
      <c r="N103" s="47">
        <f t="shared" si="16"/>
        <v>-32</v>
      </c>
      <c r="O103" s="17">
        <f t="shared" si="17"/>
        <v>-0.14285714285714285</v>
      </c>
    </row>
    <row r="104" spans="1:15" hidden="1">
      <c r="A104" s="34" t="s">
        <v>31</v>
      </c>
      <c r="B104" s="13">
        <f t="shared" si="18"/>
        <v>-1</v>
      </c>
      <c r="C104" s="13">
        <f t="shared" si="18"/>
        <v>2</v>
      </c>
      <c r="D104" s="13">
        <f t="shared" si="18"/>
        <v>1</v>
      </c>
      <c r="E104" s="13">
        <f t="shared" si="18"/>
        <v>1</v>
      </c>
      <c r="F104" s="13">
        <f t="shared" si="18"/>
        <v>-2</v>
      </c>
      <c r="G104" s="13">
        <f t="shared" si="18"/>
        <v>0</v>
      </c>
      <c r="H104" s="13">
        <f t="shared" si="18"/>
        <v>1</v>
      </c>
      <c r="I104" s="13">
        <f>I18-I75</f>
        <v>1</v>
      </c>
      <c r="J104" s="9"/>
      <c r="K104" s="9"/>
      <c r="L104" s="9"/>
      <c r="M104" s="13">
        <v>34</v>
      </c>
      <c r="N104" s="47">
        <f t="shared" si="16"/>
        <v>3</v>
      </c>
      <c r="O104" s="17">
        <f t="shared" si="17"/>
        <v>8.8235294117647065E-2</v>
      </c>
    </row>
    <row r="105" spans="1:15" hidden="1">
      <c r="A105" s="38" t="s">
        <v>32</v>
      </c>
      <c r="B105" s="13">
        <f t="shared" si="18"/>
        <v>-3</v>
      </c>
      <c r="C105" s="13">
        <f t="shared" si="18"/>
        <v>-1</v>
      </c>
      <c r="D105" s="13">
        <f t="shared" si="18"/>
        <v>-4</v>
      </c>
      <c r="E105" s="13">
        <f t="shared" si="18"/>
        <v>3</v>
      </c>
      <c r="F105" s="13">
        <f t="shared" si="18"/>
        <v>-1</v>
      </c>
      <c r="G105" s="13">
        <f t="shared" si="18"/>
        <v>0</v>
      </c>
      <c r="H105" s="13">
        <f t="shared" si="18"/>
        <v>-4</v>
      </c>
      <c r="I105" s="9"/>
      <c r="J105" s="9"/>
      <c r="K105" s="9"/>
      <c r="L105" s="9"/>
      <c r="M105" s="13">
        <v>114</v>
      </c>
      <c r="N105" s="47">
        <f t="shared" si="16"/>
        <v>-10</v>
      </c>
      <c r="O105" s="17">
        <f t="shared" si="17"/>
        <v>-8.771929824561403E-2</v>
      </c>
    </row>
    <row r="106" spans="1:15" hidden="1">
      <c r="A106" s="39" t="s">
        <v>33</v>
      </c>
      <c r="B106" s="13">
        <f t="shared" si="18"/>
        <v>-4</v>
      </c>
      <c r="C106" s="13">
        <f t="shared" si="18"/>
        <v>-3</v>
      </c>
      <c r="D106" s="13">
        <f t="shared" si="18"/>
        <v>2</v>
      </c>
      <c r="E106" s="13">
        <f t="shared" si="18"/>
        <v>3</v>
      </c>
      <c r="F106" s="13">
        <f t="shared" si="18"/>
        <v>-9</v>
      </c>
      <c r="G106" s="13">
        <f t="shared" si="18"/>
        <v>-3</v>
      </c>
      <c r="H106" s="13">
        <f t="shared" si="18"/>
        <v>3</v>
      </c>
      <c r="I106" s="14"/>
      <c r="J106" s="14"/>
      <c r="K106" s="14"/>
      <c r="L106" s="14"/>
      <c r="M106" s="13">
        <v>287</v>
      </c>
      <c r="N106" s="47">
        <f t="shared" si="16"/>
        <v>-11</v>
      </c>
      <c r="O106" s="17">
        <f t="shared" si="17"/>
        <v>-3.8327526132404179E-2</v>
      </c>
    </row>
    <row r="107" spans="1:15" hidden="1">
      <c r="A107" s="40" t="s">
        <v>34</v>
      </c>
      <c r="B107" s="13">
        <f t="shared" si="18"/>
        <v>13</v>
      </c>
      <c r="C107" s="13">
        <f t="shared" si="18"/>
        <v>3</v>
      </c>
      <c r="D107" s="13">
        <f t="shared" si="18"/>
        <v>6</v>
      </c>
      <c r="E107" s="13">
        <f t="shared" si="18"/>
        <v>-1</v>
      </c>
      <c r="F107" s="13">
        <f t="shared" si="18"/>
        <v>-22</v>
      </c>
      <c r="G107" s="13">
        <f t="shared" si="18"/>
        <v>-7</v>
      </c>
      <c r="H107" s="13">
        <f t="shared" si="18"/>
        <v>-12</v>
      </c>
      <c r="I107" s="9"/>
      <c r="J107" s="9"/>
      <c r="K107" s="9"/>
      <c r="L107" s="9"/>
      <c r="M107" s="13">
        <v>322</v>
      </c>
      <c r="N107" s="47">
        <f t="shared" si="16"/>
        <v>-20</v>
      </c>
      <c r="O107" s="17">
        <f t="shared" si="17"/>
        <v>-6.2111801242236024E-2</v>
      </c>
    </row>
    <row r="108" spans="1:15" hidden="1">
      <c r="A108" s="20" t="s">
        <v>35</v>
      </c>
      <c r="B108" s="13">
        <f t="shared" si="18"/>
        <v>4</v>
      </c>
      <c r="C108" s="13">
        <f t="shared" si="18"/>
        <v>-2</v>
      </c>
      <c r="D108" s="13">
        <f t="shared" si="18"/>
        <v>-7</v>
      </c>
      <c r="E108" s="13">
        <f t="shared" si="18"/>
        <v>-5</v>
      </c>
      <c r="F108" s="13">
        <f t="shared" si="18"/>
        <v>-4</v>
      </c>
      <c r="G108" s="13">
        <f t="shared" si="18"/>
        <v>4</v>
      </c>
      <c r="H108" s="13">
        <f t="shared" si="18"/>
        <v>0</v>
      </c>
      <c r="I108" s="9"/>
      <c r="J108" s="9"/>
      <c r="K108" s="9"/>
      <c r="L108" s="9"/>
      <c r="M108" s="13">
        <v>175</v>
      </c>
      <c r="N108" s="47">
        <f t="shared" si="16"/>
        <v>-10</v>
      </c>
      <c r="O108" s="17">
        <f t="shared" si="17"/>
        <v>-5.7142857142857141E-2</v>
      </c>
    </row>
    <row r="109" spans="1:15" hidden="1">
      <c r="A109" s="35" t="s">
        <v>43</v>
      </c>
      <c r="B109" s="13">
        <f t="shared" si="18"/>
        <v>-1</v>
      </c>
      <c r="C109" s="13">
        <f t="shared" si="18"/>
        <v>2</v>
      </c>
      <c r="D109" s="13">
        <f t="shared" si="18"/>
        <v>-1</v>
      </c>
      <c r="E109" s="13">
        <f t="shared" si="18"/>
        <v>-1</v>
      </c>
      <c r="F109" s="13">
        <f t="shared" si="18"/>
        <v>1</v>
      </c>
      <c r="G109" s="13">
        <f t="shared" si="18"/>
        <v>-2</v>
      </c>
      <c r="H109" s="13">
        <f t="shared" si="18"/>
        <v>-4</v>
      </c>
      <c r="I109" s="13">
        <f>I23-I80</f>
        <v>4</v>
      </c>
      <c r="J109" s="14"/>
      <c r="K109" s="14"/>
      <c r="L109" s="14"/>
      <c r="M109" s="13">
        <v>28</v>
      </c>
      <c r="N109" s="47">
        <f t="shared" si="16"/>
        <v>-2</v>
      </c>
      <c r="O109" s="17">
        <f t="shared" si="17"/>
        <v>-7.1428571428571425E-2</v>
      </c>
    </row>
    <row r="110" spans="1:15" hidden="1">
      <c r="A110" s="43" t="s">
        <v>37</v>
      </c>
      <c r="B110" s="13">
        <f t="shared" ref="B110:H114" si="19">B24-B81</f>
        <v>-9</v>
      </c>
      <c r="C110" s="13">
        <f t="shared" si="19"/>
        <v>0</v>
      </c>
      <c r="D110" s="13">
        <f t="shared" si="19"/>
        <v>0</v>
      </c>
      <c r="E110" s="13">
        <f t="shared" si="19"/>
        <v>6</v>
      </c>
      <c r="F110" s="13">
        <f t="shared" si="19"/>
        <v>1</v>
      </c>
      <c r="G110" s="13">
        <f t="shared" si="19"/>
        <v>4</v>
      </c>
      <c r="H110" s="13">
        <f t="shared" si="19"/>
        <v>-4</v>
      </c>
      <c r="I110" s="14"/>
      <c r="J110" s="14"/>
      <c r="K110" s="14"/>
      <c r="L110" s="14"/>
      <c r="M110" s="13">
        <v>197</v>
      </c>
      <c r="N110" s="47">
        <f t="shared" si="16"/>
        <v>-2</v>
      </c>
      <c r="O110" s="17">
        <f t="shared" si="17"/>
        <v>-1.015228426395939E-2</v>
      </c>
    </row>
    <row r="111" spans="1:15" hidden="1">
      <c r="A111" s="36" t="s">
        <v>38</v>
      </c>
      <c r="B111" s="13">
        <f t="shared" si="19"/>
        <v>-39</v>
      </c>
      <c r="C111" s="13">
        <f t="shared" si="19"/>
        <v>-43</v>
      </c>
      <c r="D111" s="13">
        <f t="shared" si="19"/>
        <v>-39</v>
      </c>
      <c r="E111" s="13">
        <f t="shared" si="19"/>
        <v>-71</v>
      </c>
      <c r="F111" s="13">
        <f t="shared" si="19"/>
        <v>-27</v>
      </c>
      <c r="G111" s="13">
        <f t="shared" si="19"/>
        <v>-24</v>
      </c>
      <c r="H111" s="13">
        <f t="shared" si="19"/>
        <v>-22</v>
      </c>
      <c r="I111" s="13">
        <f>I25-I82</f>
        <v>-24</v>
      </c>
      <c r="J111" s="13">
        <f>J25-J82</f>
        <v>-27</v>
      </c>
      <c r="K111" s="13">
        <f>K25-K82</f>
        <v>-57</v>
      </c>
      <c r="L111" s="13">
        <f>L25-L82</f>
        <v>0</v>
      </c>
      <c r="M111" s="13">
        <v>972</v>
      </c>
      <c r="N111" s="47">
        <f t="shared" si="16"/>
        <v>-373</v>
      </c>
      <c r="O111" s="17">
        <f t="shared" si="17"/>
        <v>-0.38374485596707819</v>
      </c>
    </row>
    <row r="112" spans="1:15" hidden="1">
      <c r="A112" s="33" t="s">
        <v>39</v>
      </c>
      <c r="B112" s="13">
        <f t="shared" si="19"/>
        <v>-16</v>
      </c>
      <c r="C112" s="13">
        <f t="shared" si="19"/>
        <v>-4</v>
      </c>
      <c r="D112" s="13">
        <f t="shared" si="19"/>
        <v>-6</v>
      </c>
      <c r="E112" s="13">
        <f t="shared" si="19"/>
        <v>2</v>
      </c>
      <c r="F112" s="13">
        <f t="shared" si="19"/>
        <v>1</v>
      </c>
      <c r="G112" s="13">
        <f t="shared" si="19"/>
        <v>16</v>
      </c>
      <c r="H112" s="13">
        <f t="shared" si="19"/>
        <v>-1</v>
      </c>
      <c r="I112" s="14"/>
      <c r="J112" s="14"/>
      <c r="K112" s="14"/>
      <c r="L112" s="14"/>
      <c r="M112" s="13">
        <v>340</v>
      </c>
      <c r="N112" s="47">
        <f t="shared" si="16"/>
        <v>-8</v>
      </c>
      <c r="O112" s="17">
        <f t="shared" si="17"/>
        <v>-2.3529411764705882E-2</v>
      </c>
    </row>
    <row r="113" spans="1:15" hidden="1">
      <c r="A113" s="41" t="s">
        <v>40</v>
      </c>
      <c r="B113" s="13">
        <f t="shared" si="19"/>
        <v>2</v>
      </c>
      <c r="C113" s="13">
        <f t="shared" si="19"/>
        <v>-2</v>
      </c>
      <c r="D113" s="13">
        <f t="shared" si="19"/>
        <v>1</v>
      </c>
      <c r="E113" s="13">
        <f t="shared" si="19"/>
        <v>0</v>
      </c>
      <c r="F113" s="13">
        <f t="shared" si="19"/>
        <v>0</v>
      </c>
      <c r="G113" s="13">
        <f t="shared" si="19"/>
        <v>0</v>
      </c>
      <c r="H113" s="13">
        <f t="shared" si="19"/>
        <v>0</v>
      </c>
      <c r="I113" s="14"/>
      <c r="J113" s="14"/>
      <c r="K113" s="14"/>
      <c r="L113" s="14"/>
      <c r="M113" s="13">
        <v>26</v>
      </c>
      <c r="N113" s="47">
        <f t="shared" si="16"/>
        <v>1</v>
      </c>
      <c r="O113" s="17">
        <f t="shared" si="17"/>
        <v>3.8461538461538464E-2</v>
      </c>
    </row>
    <row r="114" spans="1:15" hidden="1">
      <c r="A114" s="36" t="s">
        <v>41</v>
      </c>
      <c r="B114" s="13">
        <f t="shared" si="19"/>
        <v>0</v>
      </c>
      <c r="C114" s="13">
        <f t="shared" si="19"/>
        <v>3</v>
      </c>
      <c r="D114" s="13">
        <f t="shared" si="19"/>
        <v>-1</v>
      </c>
      <c r="E114" s="13">
        <f t="shared" si="19"/>
        <v>2</v>
      </c>
      <c r="F114" s="13">
        <f t="shared" si="19"/>
        <v>3</v>
      </c>
      <c r="G114" s="13">
        <f t="shared" si="19"/>
        <v>0</v>
      </c>
      <c r="H114" s="13">
        <f t="shared" si="19"/>
        <v>6</v>
      </c>
      <c r="I114" s="13">
        <f>I28-I85</f>
        <v>4</v>
      </c>
      <c r="J114" s="14"/>
      <c r="K114" s="14"/>
      <c r="L114" s="14"/>
      <c r="M114" s="13">
        <v>27</v>
      </c>
      <c r="N114" s="47">
        <f t="shared" si="16"/>
        <v>17</v>
      </c>
      <c r="O114" s="17">
        <f t="shared" si="17"/>
        <v>0.62962962962962965</v>
      </c>
    </row>
    <row r="116" spans="1:15" ht="15.75">
      <c r="A116" s="239" t="s">
        <v>54</v>
      </c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</row>
    <row r="117" spans="1:15" ht="25.5">
      <c r="A117" s="7" t="s">
        <v>1</v>
      </c>
      <c r="B117" s="7" t="s">
        <v>2</v>
      </c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55</v>
      </c>
    </row>
    <row r="118" spans="1:15">
      <c r="A118" s="34" t="s">
        <v>17</v>
      </c>
      <c r="B118" s="13">
        <f t="shared" ref="B118:H127" si="20">IF(B90&lt;0,0,B90)</f>
        <v>1</v>
      </c>
      <c r="C118" s="13">
        <f t="shared" si="20"/>
        <v>0</v>
      </c>
      <c r="D118" s="13">
        <f t="shared" si="20"/>
        <v>4</v>
      </c>
      <c r="E118" s="13">
        <f t="shared" si="20"/>
        <v>2</v>
      </c>
      <c r="F118" s="13">
        <f t="shared" si="20"/>
        <v>0</v>
      </c>
      <c r="G118" s="13">
        <f t="shared" si="20"/>
        <v>0</v>
      </c>
      <c r="H118" s="13">
        <f t="shared" si="20"/>
        <v>0</v>
      </c>
      <c r="I118" s="9"/>
      <c r="J118" s="9"/>
      <c r="K118" s="9"/>
      <c r="L118" s="9"/>
      <c r="M118" s="47">
        <f>SUM(B118:L118)</f>
        <v>7</v>
      </c>
    </row>
    <row r="119" spans="1:15">
      <c r="A119" s="34" t="s">
        <v>18</v>
      </c>
      <c r="B119" s="13">
        <f t="shared" si="20"/>
        <v>1</v>
      </c>
      <c r="C119" s="13">
        <f t="shared" si="20"/>
        <v>12</v>
      </c>
      <c r="D119" s="13">
        <f t="shared" si="20"/>
        <v>0</v>
      </c>
      <c r="E119" s="13">
        <f t="shared" si="20"/>
        <v>4</v>
      </c>
      <c r="F119" s="13">
        <f t="shared" si="20"/>
        <v>0</v>
      </c>
      <c r="G119" s="13">
        <f t="shared" si="20"/>
        <v>4</v>
      </c>
      <c r="H119" s="13">
        <f t="shared" si="20"/>
        <v>0</v>
      </c>
      <c r="I119" s="9"/>
      <c r="J119" s="9"/>
      <c r="K119" s="9"/>
      <c r="L119" s="9"/>
      <c r="M119" s="47">
        <f t="shared" ref="M119:M142" si="21">SUM(B119:L119)</f>
        <v>21</v>
      </c>
    </row>
    <row r="120" spans="1:15">
      <c r="A120" s="34" t="s">
        <v>19</v>
      </c>
      <c r="B120" s="13">
        <f t="shared" si="20"/>
        <v>32</v>
      </c>
      <c r="C120" s="13">
        <f t="shared" si="20"/>
        <v>0</v>
      </c>
      <c r="D120" s="13">
        <f t="shared" si="20"/>
        <v>0</v>
      </c>
      <c r="E120" s="13">
        <f t="shared" si="20"/>
        <v>0</v>
      </c>
      <c r="F120" s="13">
        <f t="shared" si="20"/>
        <v>0</v>
      </c>
      <c r="G120" s="13">
        <f t="shared" si="20"/>
        <v>0</v>
      </c>
      <c r="H120" s="13">
        <f t="shared" si="20"/>
        <v>0</v>
      </c>
      <c r="I120" s="12"/>
      <c r="J120" s="12"/>
      <c r="K120" s="12"/>
      <c r="L120" s="12"/>
      <c r="M120" s="47">
        <f t="shared" si="21"/>
        <v>32</v>
      </c>
    </row>
    <row r="121" spans="1:15">
      <c r="A121" s="34" t="s">
        <v>20</v>
      </c>
      <c r="B121" s="13">
        <f t="shared" si="20"/>
        <v>0</v>
      </c>
      <c r="C121" s="13">
        <f t="shared" si="20"/>
        <v>0</v>
      </c>
      <c r="D121" s="13">
        <f t="shared" si="20"/>
        <v>0</v>
      </c>
      <c r="E121" s="13">
        <f t="shared" si="20"/>
        <v>0</v>
      </c>
      <c r="F121" s="13">
        <f t="shared" si="20"/>
        <v>11</v>
      </c>
      <c r="G121" s="13">
        <f t="shared" si="20"/>
        <v>0</v>
      </c>
      <c r="H121" s="13">
        <f t="shared" si="20"/>
        <v>2</v>
      </c>
      <c r="I121" s="12"/>
      <c r="J121" s="12"/>
      <c r="K121" s="12"/>
      <c r="L121" s="12"/>
      <c r="M121" s="47">
        <f t="shared" si="21"/>
        <v>13</v>
      </c>
    </row>
    <row r="122" spans="1:15">
      <c r="A122" s="34" t="s">
        <v>21</v>
      </c>
      <c r="B122" s="13">
        <f t="shared" si="20"/>
        <v>5</v>
      </c>
      <c r="C122" s="13">
        <f t="shared" si="20"/>
        <v>9</v>
      </c>
      <c r="D122" s="13">
        <f t="shared" si="20"/>
        <v>0</v>
      </c>
      <c r="E122" s="13">
        <f t="shared" si="20"/>
        <v>0</v>
      </c>
      <c r="F122" s="13">
        <f t="shared" si="20"/>
        <v>0</v>
      </c>
      <c r="G122" s="13">
        <f t="shared" si="20"/>
        <v>0</v>
      </c>
      <c r="H122" s="13">
        <f t="shared" si="20"/>
        <v>12</v>
      </c>
      <c r="I122" s="12"/>
      <c r="J122" s="12"/>
      <c r="K122" s="12"/>
      <c r="L122" s="12"/>
      <c r="M122" s="47">
        <f t="shared" si="21"/>
        <v>26</v>
      </c>
    </row>
    <row r="123" spans="1:15">
      <c r="A123" s="34" t="s">
        <v>22</v>
      </c>
      <c r="B123" s="13">
        <f t="shared" si="20"/>
        <v>10</v>
      </c>
      <c r="C123" s="13">
        <f t="shared" si="20"/>
        <v>0</v>
      </c>
      <c r="D123" s="13">
        <f t="shared" si="20"/>
        <v>2</v>
      </c>
      <c r="E123" s="13">
        <f t="shared" si="20"/>
        <v>6</v>
      </c>
      <c r="F123" s="13">
        <f t="shared" si="20"/>
        <v>0</v>
      </c>
      <c r="G123" s="13">
        <f t="shared" si="20"/>
        <v>3</v>
      </c>
      <c r="H123" s="13">
        <f t="shared" si="20"/>
        <v>11</v>
      </c>
      <c r="I123" s="9"/>
      <c r="J123" s="9"/>
      <c r="K123" s="9"/>
      <c r="L123" s="9"/>
      <c r="M123" s="47">
        <f t="shared" si="21"/>
        <v>32</v>
      </c>
    </row>
    <row r="124" spans="1:15">
      <c r="A124" s="34" t="s">
        <v>23</v>
      </c>
      <c r="B124" s="13">
        <f t="shared" si="20"/>
        <v>7</v>
      </c>
      <c r="C124" s="13">
        <f t="shared" si="20"/>
        <v>0</v>
      </c>
      <c r="D124" s="13">
        <f t="shared" si="20"/>
        <v>14</v>
      </c>
      <c r="E124" s="13">
        <f t="shared" si="20"/>
        <v>3</v>
      </c>
      <c r="F124" s="13">
        <f t="shared" si="20"/>
        <v>2</v>
      </c>
      <c r="G124" s="13">
        <f t="shared" si="20"/>
        <v>0</v>
      </c>
      <c r="H124" s="13">
        <f t="shared" si="20"/>
        <v>7</v>
      </c>
      <c r="I124" s="9"/>
      <c r="J124" s="9"/>
      <c r="K124" s="9"/>
      <c r="L124" s="9"/>
      <c r="M124" s="47">
        <f t="shared" si="21"/>
        <v>33</v>
      </c>
    </row>
    <row r="125" spans="1:15">
      <c r="A125" s="34" t="s">
        <v>24</v>
      </c>
      <c r="B125" s="13">
        <f t="shared" si="20"/>
        <v>0</v>
      </c>
      <c r="C125" s="13">
        <f t="shared" si="20"/>
        <v>14</v>
      </c>
      <c r="D125" s="13">
        <f t="shared" si="20"/>
        <v>0</v>
      </c>
      <c r="E125" s="13">
        <f t="shared" si="20"/>
        <v>3</v>
      </c>
      <c r="F125" s="13">
        <f t="shared" si="20"/>
        <v>9</v>
      </c>
      <c r="G125" s="13">
        <f t="shared" si="20"/>
        <v>16</v>
      </c>
      <c r="H125" s="13">
        <f t="shared" si="20"/>
        <v>0</v>
      </c>
      <c r="I125" s="12"/>
      <c r="J125" s="12"/>
      <c r="K125" s="12"/>
      <c r="L125" s="12"/>
      <c r="M125" s="47">
        <f t="shared" si="21"/>
        <v>42</v>
      </c>
    </row>
    <row r="126" spans="1:15">
      <c r="A126" s="34" t="s">
        <v>25</v>
      </c>
      <c r="B126" s="13">
        <f t="shared" si="20"/>
        <v>0</v>
      </c>
      <c r="C126" s="13">
        <f t="shared" si="20"/>
        <v>0</v>
      </c>
      <c r="D126" s="13">
        <f t="shared" si="20"/>
        <v>0</v>
      </c>
      <c r="E126" s="13">
        <f t="shared" si="20"/>
        <v>0</v>
      </c>
      <c r="F126" s="13">
        <f t="shared" si="20"/>
        <v>0</v>
      </c>
      <c r="G126" s="13">
        <f t="shared" si="20"/>
        <v>13</v>
      </c>
      <c r="H126" s="13">
        <f t="shared" si="20"/>
        <v>17</v>
      </c>
      <c r="I126" s="9"/>
      <c r="J126" s="9"/>
      <c r="K126" s="9"/>
      <c r="L126" s="9"/>
      <c r="M126" s="47">
        <f t="shared" si="21"/>
        <v>30</v>
      </c>
    </row>
    <row r="127" spans="1:15">
      <c r="A127" s="34" t="s">
        <v>26</v>
      </c>
      <c r="B127" s="13">
        <f t="shared" si="20"/>
        <v>4</v>
      </c>
      <c r="C127" s="13">
        <f t="shared" si="20"/>
        <v>0</v>
      </c>
      <c r="D127" s="13">
        <f t="shared" si="20"/>
        <v>0</v>
      </c>
      <c r="E127" s="13">
        <f t="shared" si="20"/>
        <v>11</v>
      </c>
      <c r="F127" s="13">
        <f t="shared" si="20"/>
        <v>0</v>
      </c>
      <c r="G127" s="13">
        <f t="shared" si="20"/>
        <v>1</v>
      </c>
      <c r="H127" s="13">
        <f t="shared" si="20"/>
        <v>0</v>
      </c>
      <c r="I127" s="9"/>
      <c r="J127" s="9"/>
      <c r="K127" s="9"/>
      <c r="L127" s="9"/>
      <c r="M127" s="47">
        <f t="shared" si="21"/>
        <v>16</v>
      </c>
    </row>
    <row r="128" spans="1:15">
      <c r="A128" s="34" t="s">
        <v>27</v>
      </c>
      <c r="B128" s="13">
        <f t="shared" ref="B128:H137" si="22">IF(B100&lt;0,0,B100)</f>
        <v>0</v>
      </c>
      <c r="C128" s="13">
        <f t="shared" si="22"/>
        <v>2</v>
      </c>
      <c r="D128" s="13">
        <f t="shared" si="22"/>
        <v>0</v>
      </c>
      <c r="E128" s="13">
        <f t="shared" si="22"/>
        <v>4</v>
      </c>
      <c r="F128" s="13">
        <f t="shared" si="22"/>
        <v>0</v>
      </c>
      <c r="G128" s="13">
        <f t="shared" si="22"/>
        <v>0</v>
      </c>
      <c r="H128" s="13">
        <f t="shared" si="22"/>
        <v>11</v>
      </c>
      <c r="I128" s="13">
        <f>IF(I100&lt;0,0,I100)</f>
        <v>3</v>
      </c>
      <c r="J128" s="9"/>
      <c r="K128" s="9"/>
      <c r="L128" s="9"/>
      <c r="M128" s="47">
        <f t="shared" si="21"/>
        <v>20</v>
      </c>
    </row>
    <row r="129" spans="1:13">
      <c r="A129" s="34" t="s">
        <v>28</v>
      </c>
      <c r="B129" s="13">
        <f t="shared" si="22"/>
        <v>1</v>
      </c>
      <c r="C129" s="13">
        <f t="shared" si="22"/>
        <v>0</v>
      </c>
      <c r="D129" s="13">
        <f t="shared" si="22"/>
        <v>0</v>
      </c>
      <c r="E129" s="13">
        <f t="shared" si="22"/>
        <v>0</v>
      </c>
      <c r="F129" s="13">
        <f t="shared" si="22"/>
        <v>10</v>
      </c>
      <c r="G129" s="13">
        <f t="shared" si="22"/>
        <v>2</v>
      </c>
      <c r="H129" s="13">
        <f t="shared" si="22"/>
        <v>0</v>
      </c>
      <c r="I129" s="13">
        <f>IF(I101&lt;0,0,I101)</f>
        <v>0</v>
      </c>
      <c r="J129" s="13">
        <f>IF(J101&lt;0,0,J101)</f>
        <v>0</v>
      </c>
      <c r="K129" s="9"/>
      <c r="L129" s="9"/>
      <c r="M129" s="47">
        <f t="shared" si="21"/>
        <v>13</v>
      </c>
    </row>
    <row r="130" spans="1:13">
      <c r="A130" s="34" t="s">
        <v>29</v>
      </c>
      <c r="B130" s="13">
        <f t="shared" si="22"/>
        <v>0</v>
      </c>
      <c r="C130" s="13">
        <f t="shared" si="22"/>
        <v>0</v>
      </c>
      <c r="D130" s="13">
        <f t="shared" si="22"/>
        <v>0</v>
      </c>
      <c r="E130" s="13">
        <f t="shared" si="22"/>
        <v>0</v>
      </c>
      <c r="F130" s="13">
        <f t="shared" si="22"/>
        <v>0</v>
      </c>
      <c r="G130" s="13">
        <f t="shared" si="22"/>
        <v>2</v>
      </c>
      <c r="H130" s="13">
        <f t="shared" si="22"/>
        <v>0</v>
      </c>
      <c r="I130" s="37"/>
      <c r="J130" s="9"/>
      <c r="K130" s="9"/>
      <c r="L130" s="9"/>
      <c r="M130" s="47">
        <f t="shared" si="21"/>
        <v>2</v>
      </c>
    </row>
    <row r="131" spans="1:13">
      <c r="A131" s="34" t="s">
        <v>30</v>
      </c>
      <c r="B131" s="13">
        <f t="shared" si="22"/>
        <v>0</v>
      </c>
      <c r="C131" s="13">
        <f t="shared" si="22"/>
        <v>21</v>
      </c>
      <c r="D131" s="13">
        <f t="shared" si="22"/>
        <v>0</v>
      </c>
      <c r="E131" s="13">
        <f t="shared" si="22"/>
        <v>0</v>
      </c>
      <c r="F131" s="13">
        <f t="shared" si="22"/>
        <v>0</v>
      </c>
      <c r="G131" s="13">
        <f t="shared" si="22"/>
        <v>6</v>
      </c>
      <c r="H131" s="13">
        <f t="shared" si="22"/>
        <v>0</v>
      </c>
      <c r="I131" s="9"/>
      <c r="J131" s="9"/>
      <c r="K131" s="9"/>
      <c r="L131" s="9"/>
      <c r="M131" s="47">
        <f t="shared" si="21"/>
        <v>27</v>
      </c>
    </row>
    <row r="132" spans="1:13">
      <c r="A132" s="34" t="s">
        <v>31</v>
      </c>
      <c r="B132" s="13">
        <f t="shared" si="22"/>
        <v>0</v>
      </c>
      <c r="C132" s="13">
        <f t="shared" si="22"/>
        <v>2</v>
      </c>
      <c r="D132" s="13">
        <f t="shared" si="22"/>
        <v>1</v>
      </c>
      <c r="E132" s="13">
        <f t="shared" si="22"/>
        <v>1</v>
      </c>
      <c r="F132" s="13">
        <f t="shared" si="22"/>
        <v>0</v>
      </c>
      <c r="G132" s="13">
        <f t="shared" si="22"/>
        <v>0</v>
      </c>
      <c r="H132" s="13">
        <f t="shared" si="22"/>
        <v>1</v>
      </c>
      <c r="I132" s="13">
        <f>IF(I104&lt;0,0,I104)</f>
        <v>1</v>
      </c>
      <c r="J132" s="9"/>
      <c r="K132" s="37"/>
      <c r="L132" s="9"/>
      <c r="M132" s="47">
        <f t="shared" si="21"/>
        <v>6</v>
      </c>
    </row>
    <row r="133" spans="1:13">
      <c r="A133" s="40" t="s">
        <v>32</v>
      </c>
      <c r="B133" s="13">
        <f t="shared" si="22"/>
        <v>0</v>
      </c>
      <c r="C133" s="13">
        <f t="shared" si="22"/>
        <v>0</v>
      </c>
      <c r="D133" s="13">
        <f t="shared" si="22"/>
        <v>0</v>
      </c>
      <c r="E133" s="13">
        <f t="shared" si="22"/>
        <v>3</v>
      </c>
      <c r="F133" s="13">
        <f t="shared" si="22"/>
        <v>0</v>
      </c>
      <c r="G133" s="13">
        <f t="shared" si="22"/>
        <v>0</v>
      </c>
      <c r="H133" s="13">
        <f t="shared" si="22"/>
        <v>0</v>
      </c>
      <c r="I133" s="9"/>
      <c r="J133" s="9"/>
      <c r="K133" s="9"/>
      <c r="L133" s="9"/>
      <c r="M133" s="47">
        <f t="shared" si="21"/>
        <v>3</v>
      </c>
    </row>
    <row r="134" spans="1:13">
      <c r="A134" s="40" t="s">
        <v>33</v>
      </c>
      <c r="B134" s="13">
        <f t="shared" si="22"/>
        <v>0</v>
      </c>
      <c r="C134" s="13">
        <f t="shared" si="22"/>
        <v>0</v>
      </c>
      <c r="D134" s="13">
        <f t="shared" si="22"/>
        <v>2</v>
      </c>
      <c r="E134" s="13">
        <f t="shared" si="22"/>
        <v>3</v>
      </c>
      <c r="F134" s="13">
        <f t="shared" si="22"/>
        <v>0</v>
      </c>
      <c r="G134" s="13">
        <f t="shared" si="22"/>
        <v>0</v>
      </c>
      <c r="H134" s="13">
        <f t="shared" si="22"/>
        <v>3</v>
      </c>
      <c r="I134" s="14"/>
      <c r="J134" s="14"/>
      <c r="K134" s="14"/>
      <c r="L134" s="14"/>
      <c r="M134" s="47">
        <f t="shared" si="21"/>
        <v>8</v>
      </c>
    </row>
    <row r="135" spans="1:13">
      <c r="A135" s="40" t="s">
        <v>34</v>
      </c>
      <c r="B135" s="13">
        <f t="shared" si="22"/>
        <v>13</v>
      </c>
      <c r="C135" s="13">
        <f t="shared" si="22"/>
        <v>3</v>
      </c>
      <c r="D135" s="13">
        <f t="shared" si="22"/>
        <v>6</v>
      </c>
      <c r="E135" s="13">
        <f t="shared" si="22"/>
        <v>0</v>
      </c>
      <c r="F135" s="13">
        <f t="shared" si="22"/>
        <v>0</v>
      </c>
      <c r="G135" s="13">
        <f t="shared" si="22"/>
        <v>0</v>
      </c>
      <c r="H135" s="13">
        <f t="shared" si="22"/>
        <v>0</v>
      </c>
      <c r="I135" s="9"/>
      <c r="J135" s="9"/>
      <c r="K135" s="9"/>
      <c r="L135" s="9"/>
      <c r="M135" s="47">
        <f t="shared" si="21"/>
        <v>22</v>
      </c>
    </row>
    <row r="136" spans="1:13">
      <c r="A136" s="40" t="s">
        <v>35</v>
      </c>
      <c r="B136" s="13">
        <f t="shared" si="22"/>
        <v>4</v>
      </c>
      <c r="C136" s="13">
        <f t="shared" si="22"/>
        <v>0</v>
      </c>
      <c r="D136" s="13">
        <f t="shared" si="22"/>
        <v>0</v>
      </c>
      <c r="E136" s="13">
        <f t="shared" si="22"/>
        <v>0</v>
      </c>
      <c r="F136" s="13">
        <f t="shared" si="22"/>
        <v>0</v>
      </c>
      <c r="G136" s="13">
        <f t="shared" si="22"/>
        <v>4</v>
      </c>
      <c r="H136" s="13">
        <f t="shared" si="22"/>
        <v>0</v>
      </c>
      <c r="I136" s="9"/>
      <c r="J136" s="9"/>
      <c r="K136" s="9"/>
      <c r="L136" s="9"/>
      <c r="M136" s="47">
        <f t="shared" si="21"/>
        <v>8</v>
      </c>
    </row>
    <row r="137" spans="1:13">
      <c r="A137" s="40" t="s">
        <v>36</v>
      </c>
      <c r="B137" s="13">
        <f t="shared" si="22"/>
        <v>0</v>
      </c>
      <c r="C137" s="13">
        <f t="shared" si="22"/>
        <v>2</v>
      </c>
      <c r="D137" s="13">
        <f t="shared" si="22"/>
        <v>0</v>
      </c>
      <c r="E137" s="13">
        <f t="shared" si="22"/>
        <v>0</v>
      </c>
      <c r="F137" s="13">
        <f t="shared" si="22"/>
        <v>1</v>
      </c>
      <c r="G137" s="13">
        <f t="shared" si="22"/>
        <v>0</v>
      </c>
      <c r="H137" s="13">
        <f t="shared" si="22"/>
        <v>0</v>
      </c>
      <c r="I137" s="13">
        <f>IF(I109&lt;0,0,I109)</f>
        <v>4</v>
      </c>
      <c r="J137" s="14"/>
      <c r="K137" s="14"/>
      <c r="L137" s="14"/>
      <c r="M137" s="47">
        <f t="shared" si="21"/>
        <v>7</v>
      </c>
    </row>
    <row r="138" spans="1:13">
      <c r="A138" s="34" t="s">
        <v>37</v>
      </c>
      <c r="B138" s="13">
        <f t="shared" ref="B138:H142" si="23">IF(B110&lt;0,0,B110)</f>
        <v>0</v>
      </c>
      <c r="C138" s="13">
        <f t="shared" si="23"/>
        <v>0</v>
      </c>
      <c r="D138" s="13">
        <f t="shared" si="23"/>
        <v>0</v>
      </c>
      <c r="E138" s="13">
        <f t="shared" si="23"/>
        <v>6</v>
      </c>
      <c r="F138" s="13">
        <f t="shared" si="23"/>
        <v>1</v>
      </c>
      <c r="G138" s="13">
        <f t="shared" si="23"/>
        <v>4</v>
      </c>
      <c r="H138" s="13">
        <f t="shared" si="23"/>
        <v>0</v>
      </c>
      <c r="I138" s="14"/>
      <c r="J138" s="14"/>
      <c r="K138" s="14"/>
      <c r="L138" s="14"/>
      <c r="M138" s="47">
        <f t="shared" si="21"/>
        <v>11</v>
      </c>
    </row>
    <row r="139" spans="1:13">
      <c r="A139" s="40" t="s">
        <v>38</v>
      </c>
      <c r="B139" s="13">
        <f t="shared" si="23"/>
        <v>0</v>
      </c>
      <c r="C139" s="13">
        <f t="shared" si="23"/>
        <v>0</v>
      </c>
      <c r="D139" s="13">
        <f t="shared" si="23"/>
        <v>0</v>
      </c>
      <c r="E139" s="13">
        <f t="shared" si="23"/>
        <v>0</v>
      </c>
      <c r="F139" s="13">
        <f t="shared" si="23"/>
        <v>0</v>
      </c>
      <c r="G139" s="13">
        <f t="shared" si="23"/>
        <v>0</v>
      </c>
      <c r="H139" s="13">
        <f t="shared" si="23"/>
        <v>0</v>
      </c>
      <c r="I139" s="13">
        <f>IF(I111&lt;0,0,I111)</f>
        <v>0</v>
      </c>
      <c r="J139" s="13">
        <f>IF(J111&lt;0,0,J111)</f>
        <v>0</v>
      </c>
      <c r="K139" s="13">
        <f>IF(K111&lt;0,0,K111)</f>
        <v>0</v>
      </c>
      <c r="L139" s="14"/>
      <c r="M139" s="47">
        <f t="shared" si="21"/>
        <v>0</v>
      </c>
    </row>
    <row r="140" spans="1:13">
      <c r="A140" s="34" t="s">
        <v>39</v>
      </c>
      <c r="B140" s="13">
        <f t="shared" si="23"/>
        <v>0</v>
      </c>
      <c r="C140" s="13">
        <f t="shared" si="23"/>
        <v>0</v>
      </c>
      <c r="D140" s="13">
        <f t="shared" si="23"/>
        <v>0</v>
      </c>
      <c r="E140" s="13">
        <f t="shared" si="23"/>
        <v>2</v>
      </c>
      <c r="F140" s="13">
        <f t="shared" si="23"/>
        <v>1</v>
      </c>
      <c r="G140" s="13">
        <f t="shared" si="23"/>
        <v>16</v>
      </c>
      <c r="H140" s="13">
        <f t="shared" si="23"/>
        <v>0</v>
      </c>
      <c r="I140" s="14"/>
      <c r="J140" s="14"/>
      <c r="K140" s="14"/>
      <c r="L140" s="14"/>
      <c r="M140" s="47">
        <f t="shared" si="21"/>
        <v>19</v>
      </c>
    </row>
    <row r="141" spans="1:13">
      <c r="A141" s="34" t="s">
        <v>40</v>
      </c>
      <c r="B141" s="13">
        <f t="shared" si="23"/>
        <v>2</v>
      </c>
      <c r="C141" s="13">
        <f t="shared" si="23"/>
        <v>0</v>
      </c>
      <c r="D141" s="13">
        <f t="shared" si="23"/>
        <v>1</v>
      </c>
      <c r="E141" s="13">
        <f t="shared" si="23"/>
        <v>0</v>
      </c>
      <c r="F141" s="13">
        <f t="shared" si="23"/>
        <v>0</v>
      </c>
      <c r="G141" s="13">
        <f t="shared" si="23"/>
        <v>0</v>
      </c>
      <c r="H141" s="13">
        <f t="shared" si="23"/>
        <v>0</v>
      </c>
      <c r="I141" s="14"/>
      <c r="J141" s="14"/>
      <c r="K141" s="14"/>
      <c r="L141" s="14"/>
      <c r="M141" s="47">
        <f t="shared" si="21"/>
        <v>3</v>
      </c>
    </row>
    <row r="142" spans="1:13">
      <c r="A142" s="34" t="s">
        <v>41</v>
      </c>
      <c r="B142" s="13">
        <f t="shared" si="23"/>
        <v>0</v>
      </c>
      <c r="C142" s="13">
        <f t="shared" si="23"/>
        <v>3</v>
      </c>
      <c r="D142" s="13">
        <f t="shared" si="23"/>
        <v>0</v>
      </c>
      <c r="E142" s="13">
        <f t="shared" si="23"/>
        <v>2</v>
      </c>
      <c r="F142" s="13">
        <f t="shared" si="23"/>
        <v>3</v>
      </c>
      <c r="G142" s="13">
        <f t="shared" si="23"/>
        <v>0</v>
      </c>
      <c r="H142" s="13">
        <f t="shared" si="23"/>
        <v>6</v>
      </c>
      <c r="I142" s="13">
        <f>IF(I114&lt;0,0,I114)</f>
        <v>4</v>
      </c>
      <c r="J142" s="14"/>
      <c r="K142" s="14"/>
      <c r="L142" s="14"/>
      <c r="M142" s="47">
        <f t="shared" si="21"/>
        <v>18</v>
      </c>
    </row>
    <row r="143" spans="1:13">
      <c r="L143" s="45" t="s">
        <v>53</v>
      </c>
      <c r="M143" s="47">
        <f>SUM(M118:M142)</f>
        <v>419</v>
      </c>
    </row>
  </sheetData>
  <mergeCells count="4">
    <mergeCell ref="A2:P2"/>
    <mergeCell ref="A59:P59"/>
    <mergeCell ref="A88:M88"/>
    <mergeCell ref="A116:M116"/>
  </mergeCells>
  <conditionalFormatting sqref="A117:L117">
    <cfRule type="duplicateValues" dxfId="39" priority="17"/>
  </conditionalFormatting>
  <conditionalFormatting sqref="A89:M89 O89">
    <cfRule type="duplicateValues" dxfId="38" priority="16"/>
  </conditionalFormatting>
  <conditionalFormatting sqref="A3:P3">
    <cfRule type="duplicateValues" dxfId="37" priority="15"/>
  </conditionalFormatting>
  <conditionalFormatting sqref="A31:P31">
    <cfRule type="duplicateValues" dxfId="36" priority="14"/>
  </conditionalFormatting>
  <conditionalFormatting sqref="A60:P60">
    <cfRule type="duplicateValues" dxfId="35" priority="13"/>
  </conditionalFormatting>
  <conditionalFormatting sqref="B61:H70 B71:I71 B72:J72 B73:H74 B75:I75 B76:H79 B80:I80 B81:H81 B82:K82 B83:H85">
    <cfRule type="cellIs" dxfId="34" priority="6" operator="equal">
      <formula>0</formula>
    </cfRule>
  </conditionalFormatting>
  <conditionalFormatting sqref="B90:H114 N90:N114 I100 I101:J101 I104 I109 I111:L111 I114 B118:H142 M118:M142">
    <cfRule type="cellIs" dxfId="33" priority="11" operator="lessThan">
      <formula>1</formula>
    </cfRule>
    <cfRule type="cellIs" dxfId="32" priority="12" operator="greaterThan">
      <formula>0</formula>
    </cfRule>
  </conditionalFormatting>
  <conditionalFormatting sqref="I85">
    <cfRule type="cellIs" dxfId="31" priority="3" operator="equal">
      <formula>0</formula>
    </cfRule>
  </conditionalFormatting>
  <conditionalFormatting sqref="I128 I129:J129 I132 I139:K139">
    <cfRule type="cellIs" dxfId="30" priority="7" operator="lessThan">
      <formula>1</formula>
    </cfRule>
    <cfRule type="cellIs" dxfId="29" priority="8" operator="greaterThan">
      <formula>0</formula>
    </cfRule>
  </conditionalFormatting>
  <conditionalFormatting sqref="I137">
    <cfRule type="cellIs" dxfId="28" priority="4" operator="lessThan">
      <formula>1</formula>
    </cfRule>
    <cfRule type="cellIs" dxfId="27" priority="5" operator="greaterThan">
      <formula>0</formula>
    </cfRule>
  </conditionalFormatting>
  <conditionalFormatting sqref="I142">
    <cfRule type="cellIs" dxfId="26" priority="1" operator="lessThan">
      <formula>1</formula>
    </cfRule>
    <cfRule type="cellIs" dxfId="25" priority="2" operator="greaterThan">
      <formula>0</formula>
    </cfRule>
  </conditionalFormatting>
  <conditionalFormatting sqref="M117">
    <cfRule type="duplicateValues" dxfId="24" priority="9"/>
  </conditionalFormatting>
  <conditionalFormatting sqref="N89">
    <cfRule type="duplicateValues" dxfId="23" priority="10"/>
  </conditionalFormatting>
  <pageMargins left="0.7" right="0.7" top="0.75" bottom="0.75" header="0.3" footer="0.3"/>
  <pageSetup orientation="portrait" r:id="rId1"/>
  <ignoredErrors>
    <ignoredError sqref="N4:N24 N26:N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24"/>
  <sheetViews>
    <sheetView zoomScale="80" zoomScaleNormal="80" workbookViewId="0">
      <selection activeCell="E16" sqref="E16"/>
    </sheetView>
  </sheetViews>
  <sheetFormatPr defaultColWidth="11.42578125" defaultRowHeight="15"/>
  <cols>
    <col min="3" max="3" width="45.85546875" bestFit="1" customWidth="1"/>
    <col min="5" max="5" width="51.5703125" bestFit="1" customWidth="1"/>
    <col min="6" max="15" width="7.140625" customWidth="1"/>
    <col min="16" max="16" width="11.42578125" customWidth="1"/>
  </cols>
  <sheetData>
    <row r="1" spans="1:16">
      <c r="A1" t="s">
        <v>56</v>
      </c>
      <c r="B1" t="s">
        <v>57</v>
      </c>
      <c r="C1" t="s">
        <v>58</v>
      </c>
      <c r="E1" s="48" t="s">
        <v>59</v>
      </c>
      <c r="F1" s="48" t="s">
        <v>60</v>
      </c>
    </row>
    <row r="2" spans="1:16" ht="30">
      <c r="A2">
        <v>39</v>
      </c>
      <c r="B2">
        <v>6</v>
      </c>
      <c r="C2" t="str">
        <f>VLOOKUP(A2,'Programas y Unidades'!$A:$B,2,0)</f>
        <v>Ingeniería Informática</v>
      </c>
      <c r="E2" s="48" t="s">
        <v>61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 s="63" t="s">
        <v>62</v>
      </c>
    </row>
    <row r="3" spans="1:16">
      <c r="A3">
        <v>39</v>
      </c>
      <c r="B3">
        <v>6</v>
      </c>
      <c r="C3" t="str">
        <f>VLOOKUP(A3,'Programas y Unidades'!$A:$B,2,0)</f>
        <v>Ingeniería Informática</v>
      </c>
      <c r="E3" s="5" t="s">
        <v>17</v>
      </c>
      <c r="F3">
        <v>9</v>
      </c>
      <c r="G3">
        <v>11</v>
      </c>
      <c r="H3">
        <v>3</v>
      </c>
      <c r="I3">
        <v>7</v>
      </c>
      <c r="J3">
        <v>12</v>
      </c>
      <c r="K3">
        <v>12</v>
      </c>
      <c r="L3">
        <v>12</v>
      </c>
      <c r="P3">
        <v>66</v>
      </c>
    </row>
    <row r="4" spans="1:16">
      <c r="A4">
        <v>39</v>
      </c>
      <c r="B4">
        <v>7</v>
      </c>
      <c r="C4" t="str">
        <f>VLOOKUP(A4,'Programas y Unidades'!$A:$B,2,0)</f>
        <v>Ingeniería Informática</v>
      </c>
      <c r="E4" s="5" t="s">
        <v>18</v>
      </c>
      <c r="F4">
        <v>23</v>
      </c>
      <c r="G4">
        <v>12</v>
      </c>
      <c r="H4">
        <v>22</v>
      </c>
      <c r="I4">
        <v>18</v>
      </c>
      <c r="J4">
        <v>23</v>
      </c>
      <c r="K4">
        <v>19</v>
      </c>
      <c r="L4">
        <v>30</v>
      </c>
      <c r="P4">
        <v>147</v>
      </c>
    </row>
    <row r="5" spans="1:16">
      <c r="A5">
        <v>39</v>
      </c>
      <c r="B5">
        <v>6</v>
      </c>
      <c r="C5" t="str">
        <f>VLOOKUP(A5,'Programas y Unidades'!$A:$B,2,0)</f>
        <v>Ingeniería Informática</v>
      </c>
      <c r="E5" s="5" t="s">
        <v>19</v>
      </c>
      <c r="F5">
        <v>2</v>
      </c>
      <c r="G5">
        <v>29</v>
      </c>
      <c r="H5">
        <v>47</v>
      </c>
      <c r="I5">
        <v>35</v>
      </c>
      <c r="J5">
        <v>53</v>
      </c>
      <c r="K5">
        <v>29</v>
      </c>
      <c r="L5">
        <v>28</v>
      </c>
      <c r="P5">
        <v>223</v>
      </c>
    </row>
    <row r="6" spans="1:16">
      <c r="A6">
        <v>39</v>
      </c>
      <c r="B6">
        <v>6</v>
      </c>
      <c r="C6" t="str">
        <f>VLOOKUP(A6,'Programas y Unidades'!$A:$B,2,0)</f>
        <v>Ingeniería Informática</v>
      </c>
      <c r="E6" s="5" t="s">
        <v>20</v>
      </c>
      <c r="F6">
        <v>48</v>
      </c>
      <c r="G6">
        <v>50</v>
      </c>
      <c r="H6">
        <v>65</v>
      </c>
      <c r="I6">
        <v>48</v>
      </c>
      <c r="J6">
        <v>28</v>
      </c>
      <c r="K6">
        <v>29</v>
      </c>
      <c r="L6">
        <v>31</v>
      </c>
      <c r="P6">
        <v>299</v>
      </c>
    </row>
    <row r="7" spans="1:16">
      <c r="A7">
        <v>39</v>
      </c>
      <c r="B7">
        <v>6</v>
      </c>
      <c r="C7" t="str">
        <f>VLOOKUP(A7,'Programas y Unidades'!$A:$B,2,0)</f>
        <v>Ingeniería Informática</v>
      </c>
      <c r="E7" s="5" t="s">
        <v>24</v>
      </c>
      <c r="F7">
        <v>56</v>
      </c>
      <c r="G7">
        <v>35</v>
      </c>
      <c r="H7">
        <v>69</v>
      </c>
      <c r="I7">
        <v>35</v>
      </c>
      <c r="J7">
        <v>21</v>
      </c>
      <c r="K7">
        <v>18</v>
      </c>
      <c r="L7">
        <v>33</v>
      </c>
      <c r="P7">
        <v>267</v>
      </c>
    </row>
    <row r="8" spans="1:16">
      <c r="A8">
        <v>39</v>
      </c>
      <c r="B8">
        <v>7</v>
      </c>
      <c r="C8" t="str">
        <f>VLOOKUP(A8,'Programas y Unidades'!$A:$B,2,0)</f>
        <v>Ingeniería Informática</v>
      </c>
      <c r="E8" s="5" t="s">
        <v>23</v>
      </c>
      <c r="F8">
        <v>12</v>
      </c>
      <c r="G8">
        <v>26</v>
      </c>
      <c r="H8">
        <v>7</v>
      </c>
      <c r="I8">
        <v>16</v>
      </c>
      <c r="J8">
        <v>22</v>
      </c>
      <c r="K8">
        <v>15</v>
      </c>
      <c r="L8">
        <v>14</v>
      </c>
      <c r="P8">
        <v>112</v>
      </c>
    </row>
    <row r="9" spans="1:16">
      <c r="A9">
        <v>39</v>
      </c>
      <c r="B9">
        <v>5</v>
      </c>
      <c r="C9" t="str">
        <f>VLOOKUP(A9,'Programas y Unidades'!$A:$B,2,0)</f>
        <v>Ingeniería Informática</v>
      </c>
      <c r="E9" s="5" t="s">
        <v>25</v>
      </c>
      <c r="F9">
        <v>30</v>
      </c>
      <c r="G9">
        <v>31</v>
      </c>
      <c r="H9">
        <v>45</v>
      </c>
      <c r="I9">
        <v>25</v>
      </c>
      <c r="J9">
        <v>34</v>
      </c>
      <c r="K9">
        <v>17</v>
      </c>
      <c r="L9">
        <v>14</v>
      </c>
      <c r="P9">
        <v>196</v>
      </c>
    </row>
    <row r="10" spans="1:16">
      <c r="A10">
        <v>39</v>
      </c>
      <c r="B10">
        <v>5</v>
      </c>
      <c r="C10" t="str">
        <f>VLOOKUP(A10,'Programas y Unidades'!$A:$B,2,0)</f>
        <v>Ingeniería Informática</v>
      </c>
      <c r="E10" s="5" t="s">
        <v>21</v>
      </c>
      <c r="F10">
        <v>27</v>
      </c>
      <c r="G10">
        <v>17</v>
      </c>
      <c r="H10">
        <v>34</v>
      </c>
      <c r="I10">
        <v>14</v>
      </c>
      <c r="J10">
        <v>23</v>
      </c>
      <c r="K10">
        <v>13</v>
      </c>
      <c r="L10">
        <v>13</v>
      </c>
      <c r="P10">
        <v>141</v>
      </c>
    </row>
    <row r="11" spans="1:16">
      <c r="A11">
        <v>39</v>
      </c>
      <c r="B11">
        <v>5</v>
      </c>
      <c r="C11" t="str">
        <f>VLOOKUP(A11,'Programas y Unidades'!$A:$B,2,0)</f>
        <v>Ingeniería Informática</v>
      </c>
      <c r="E11" s="5" t="s">
        <v>30</v>
      </c>
      <c r="F11">
        <v>21</v>
      </c>
      <c r="G11">
        <v>1</v>
      </c>
      <c r="H11">
        <v>37</v>
      </c>
      <c r="I11">
        <v>43</v>
      </c>
      <c r="J11">
        <v>28</v>
      </c>
      <c r="K11">
        <v>19</v>
      </c>
      <c r="L11">
        <v>33</v>
      </c>
      <c r="P11">
        <v>182</v>
      </c>
    </row>
    <row r="12" spans="1:16">
      <c r="A12">
        <v>39</v>
      </c>
      <c r="B12">
        <v>6</v>
      </c>
      <c r="C12" t="str">
        <f>VLOOKUP(A12,'Programas y Unidades'!$A:$B,2,0)</f>
        <v>Ingeniería Informática</v>
      </c>
      <c r="E12" s="5" t="s">
        <v>22</v>
      </c>
      <c r="F12">
        <v>31</v>
      </c>
      <c r="G12">
        <v>17</v>
      </c>
      <c r="H12">
        <v>25</v>
      </c>
      <c r="I12">
        <v>16</v>
      </c>
      <c r="J12">
        <v>23</v>
      </c>
      <c r="K12">
        <v>12</v>
      </c>
      <c r="L12">
        <v>7</v>
      </c>
      <c r="P12">
        <v>131</v>
      </c>
    </row>
    <row r="13" spans="1:16">
      <c r="A13">
        <v>39</v>
      </c>
      <c r="B13">
        <v>7</v>
      </c>
      <c r="C13" t="str">
        <f>VLOOKUP(A13,'Programas y Unidades'!$A:$B,2,0)</f>
        <v>Ingeniería Informática</v>
      </c>
      <c r="E13" s="5" t="s">
        <v>32</v>
      </c>
      <c r="F13">
        <v>17</v>
      </c>
      <c r="G13">
        <v>9</v>
      </c>
      <c r="H13">
        <v>12</v>
      </c>
      <c r="I13">
        <v>11</v>
      </c>
      <c r="J13">
        <v>21</v>
      </c>
      <c r="K13">
        <v>8</v>
      </c>
      <c r="L13">
        <v>23</v>
      </c>
      <c r="P13">
        <v>101</v>
      </c>
    </row>
    <row r="14" spans="1:16">
      <c r="A14">
        <v>39</v>
      </c>
      <c r="B14">
        <v>7</v>
      </c>
      <c r="C14" t="str">
        <f>VLOOKUP(A14,'Programas y Unidades'!$A:$B,2,0)</f>
        <v>Ingeniería Informática</v>
      </c>
      <c r="E14" s="5" t="s">
        <v>33</v>
      </c>
      <c r="F14">
        <v>34</v>
      </c>
      <c r="G14">
        <v>22</v>
      </c>
      <c r="H14">
        <v>28</v>
      </c>
      <c r="I14">
        <v>9</v>
      </c>
      <c r="J14">
        <v>49</v>
      </c>
      <c r="K14">
        <v>23</v>
      </c>
      <c r="L14">
        <v>20</v>
      </c>
      <c r="P14">
        <v>185</v>
      </c>
    </row>
    <row r="15" spans="1:16">
      <c r="A15">
        <v>39</v>
      </c>
      <c r="B15">
        <v>5</v>
      </c>
      <c r="C15" t="str">
        <f>VLOOKUP(A15,'Programas y Unidades'!$A:$B,2,0)</f>
        <v>Ingeniería Informática</v>
      </c>
      <c r="E15" s="5" t="s">
        <v>34</v>
      </c>
      <c r="F15">
        <v>26</v>
      </c>
      <c r="G15">
        <v>25</v>
      </c>
      <c r="H15">
        <v>31</v>
      </c>
      <c r="I15">
        <v>36</v>
      </c>
      <c r="J15">
        <v>38</v>
      </c>
      <c r="K15">
        <v>19</v>
      </c>
      <c r="L15">
        <v>34</v>
      </c>
      <c r="P15">
        <v>209</v>
      </c>
    </row>
    <row r="16" spans="1:16">
      <c r="A16">
        <v>39</v>
      </c>
      <c r="B16">
        <v>5</v>
      </c>
      <c r="C16" t="str">
        <f>VLOOKUP(A16,'Programas y Unidades'!$A:$B,2,0)</f>
        <v>Ingeniería Informática</v>
      </c>
      <c r="E16" s="5" t="s">
        <v>35</v>
      </c>
      <c r="F16">
        <v>19</v>
      </c>
      <c r="G16">
        <v>21</v>
      </c>
      <c r="H16">
        <v>20</v>
      </c>
      <c r="I16">
        <v>14</v>
      </c>
      <c r="J16">
        <v>26</v>
      </c>
      <c r="K16">
        <v>11</v>
      </c>
      <c r="L16">
        <v>25</v>
      </c>
      <c r="P16">
        <v>136</v>
      </c>
    </row>
    <row r="17" spans="1:16">
      <c r="A17">
        <v>39</v>
      </c>
      <c r="B17">
        <v>6</v>
      </c>
      <c r="C17" t="str">
        <f>VLOOKUP(A17,'Programas y Unidades'!$A:$B,2,0)</f>
        <v>Ingeniería Informática</v>
      </c>
      <c r="E17" s="5" t="s">
        <v>37</v>
      </c>
      <c r="F17">
        <v>24</v>
      </c>
      <c r="G17">
        <v>17</v>
      </c>
      <c r="H17">
        <v>19</v>
      </c>
      <c r="I17">
        <v>18</v>
      </c>
      <c r="J17">
        <v>17</v>
      </c>
      <c r="K17">
        <v>20</v>
      </c>
      <c r="L17">
        <v>24</v>
      </c>
      <c r="P17">
        <v>139</v>
      </c>
    </row>
    <row r="18" spans="1:16">
      <c r="A18">
        <v>39</v>
      </c>
      <c r="B18">
        <v>5</v>
      </c>
      <c r="C18" t="str">
        <f>VLOOKUP(A18,'Programas y Unidades'!$A:$B,2,0)</f>
        <v>Ingeniería Informática</v>
      </c>
      <c r="E18" s="5" t="s">
        <v>41</v>
      </c>
      <c r="H18">
        <v>2</v>
      </c>
      <c r="I18">
        <v>1</v>
      </c>
      <c r="J18">
        <v>1</v>
      </c>
      <c r="L18">
        <v>5</v>
      </c>
      <c r="M18">
        <v>2</v>
      </c>
      <c r="P18">
        <v>11</v>
      </c>
    </row>
    <row r="19" spans="1:16">
      <c r="A19">
        <v>39</v>
      </c>
      <c r="B19">
        <v>7</v>
      </c>
      <c r="C19" t="str">
        <f>VLOOKUP(A19,'Programas y Unidades'!$A:$B,2,0)</f>
        <v>Ingeniería Informática</v>
      </c>
      <c r="E19" s="5" t="s">
        <v>28</v>
      </c>
      <c r="F19">
        <v>14</v>
      </c>
      <c r="G19">
        <v>5</v>
      </c>
      <c r="H19">
        <v>6</v>
      </c>
      <c r="I19">
        <v>9</v>
      </c>
      <c r="J19">
        <v>2</v>
      </c>
      <c r="K19">
        <v>4</v>
      </c>
      <c r="L19">
        <v>9</v>
      </c>
      <c r="M19">
        <v>2</v>
      </c>
      <c r="N19">
        <v>3</v>
      </c>
      <c r="P19">
        <v>54</v>
      </c>
    </row>
    <row r="20" spans="1:16">
      <c r="A20">
        <v>39</v>
      </c>
      <c r="B20">
        <v>5</v>
      </c>
      <c r="C20" t="str">
        <f>VLOOKUP(A20,'Programas y Unidades'!$A:$B,2,0)</f>
        <v>Ingeniería Informática</v>
      </c>
      <c r="E20" s="5" t="s">
        <v>39</v>
      </c>
      <c r="F20">
        <v>49</v>
      </c>
      <c r="G20">
        <v>26</v>
      </c>
      <c r="H20">
        <v>37</v>
      </c>
      <c r="I20">
        <v>27</v>
      </c>
      <c r="J20">
        <v>18</v>
      </c>
      <c r="K20">
        <v>14</v>
      </c>
      <c r="L20">
        <v>32</v>
      </c>
      <c r="P20">
        <v>203</v>
      </c>
    </row>
    <row r="21" spans="1:16">
      <c r="A21">
        <v>39</v>
      </c>
      <c r="B21">
        <v>6</v>
      </c>
      <c r="C21" t="str">
        <f>VLOOKUP(A21,'Programas y Unidades'!$A:$B,2,0)</f>
        <v>Ingeniería Informática</v>
      </c>
      <c r="E21" s="5" t="s">
        <v>40</v>
      </c>
      <c r="F21">
        <v>19</v>
      </c>
      <c r="G21">
        <v>3</v>
      </c>
      <c r="I21">
        <v>2</v>
      </c>
      <c r="P21">
        <v>24</v>
      </c>
    </row>
    <row r="22" spans="1:16">
      <c r="A22">
        <v>39</v>
      </c>
      <c r="B22">
        <v>6</v>
      </c>
      <c r="C22" t="str">
        <f>VLOOKUP(A22,'Programas y Unidades'!$A:$B,2,0)</f>
        <v>Ingeniería Informática</v>
      </c>
      <c r="E22" s="5" t="s">
        <v>27</v>
      </c>
      <c r="F22">
        <v>49</v>
      </c>
      <c r="G22">
        <v>14</v>
      </c>
      <c r="H22">
        <v>23</v>
      </c>
      <c r="I22">
        <v>16</v>
      </c>
      <c r="J22">
        <v>32</v>
      </c>
      <c r="K22">
        <v>21</v>
      </c>
      <c r="L22">
        <v>19</v>
      </c>
      <c r="M22">
        <v>16</v>
      </c>
      <c r="P22">
        <v>190</v>
      </c>
    </row>
    <row r="23" spans="1:16">
      <c r="A23">
        <v>39</v>
      </c>
      <c r="B23">
        <v>5</v>
      </c>
      <c r="C23" t="str">
        <f>VLOOKUP(A23,'Programas y Unidades'!$A:$B,2,0)</f>
        <v>Ingeniería Informática</v>
      </c>
      <c r="E23" s="5" t="s">
        <v>29</v>
      </c>
      <c r="F23">
        <v>27</v>
      </c>
      <c r="G23">
        <v>19</v>
      </c>
      <c r="H23">
        <v>25</v>
      </c>
      <c r="I23">
        <v>14</v>
      </c>
      <c r="J23">
        <v>16</v>
      </c>
      <c r="K23">
        <v>12</v>
      </c>
      <c r="L23">
        <v>19</v>
      </c>
      <c r="P23">
        <v>132</v>
      </c>
    </row>
    <row r="24" spans="1:16">
      <c r="A24">
        <v>39</v>
      </c>
      <c r="B24">
        <v>6</v>
      </c>
      <c r="C24" t="str">
        <f>VLOOKUP(A24,'Programas y Unidades'!$A:$B,2,0)</f>
        <v>Ingeniería Informática</v>
      </c>
      <c r="E24" s="5" t="s">
        <v>42</v>
      </c>
      <c r="F24">
        <v>2</v>
      </c>
      <c r="K24">
        <v>1</v>
      </c>
      <c r="L24">
        <v>10</v>
      </c>
      <c r="P24">
        <v>13</v>
      </c>
    </row>
    <row r="25" spans="1:16">
      <c r="A25">
        <v>39</v>
      </c>
      <c r="B25">
        <v>5</v>
      </c>
      <c r="C25" t="str">
        <f>VLOOKUP(A25,'Programas y Unidades'!$A:$B,2,0)</f>
        <v>Ingeniería Informática</v>
      </c>
      <c r="E25" s="5" t="s">
        <v>43</v>
      </c>
      <c r="F25">
        <v>5</v>
      </c>
      <c r="H25">
        <v>3</v>
      </c>
      <c r="I25">
        <v>7</v>
      </c>
      <c r="J25">
        <v>2</v>
      </c>
      <c r="K25">
        <v>2</v>
      </c>
      <c r="L25">
        <v>3</v>
      </c>
      <c r="P25">
        <v>22</v>
      </c>
    </row>
    <row r="26" spans="1:16">
      <c r="A26">
        <v>39</v>
      </c>
      <c r="B26">
        <v>6</v>
      </c>
      <c r="C26" t="str">
        <f>VLOOKUP(A26,'Programas y Unidades'!$A:$B,2,0)</f>
        <v>Ingeniería Informática</v>
      </c>
      <c r="E26" s="5" t="s">
        <v>26</v>
      </c>
      <c r="F26">
        <v>7</v>
      </c>
      <c r="G26">
        <v>12</v>
      </c>
      <c r="H26">
        <v>11</v>
      </c>
      <c r="I26">
        <v>6</v>
      </c>
      <c r="J26">
        <v>13</v>
      </c>
      <c r="K26">
        <v>8</v>
      </c>
      <c r="L26">
        <v>11</v>
      </c>
      <c r="P26">
        <v>68</v>
      </c>
    </row>
    <row r="27" spans="1:16">
      <c r="A27">
        <v>39</v>
      </c>
      <c r="B27">
        <v>5</v>
      </c>
      <c r="C27" t="str">
        <f>VLOOKUP(A27,'Programas y Unidades'!$A:$B,2,0)</f>
        <v>Ingeniería Informática</v>
      </c>
      <c r="E27" s="5" t="s">
        <v>31</v>
      </c>
      <c r="F27">
        <v>5</v>
      </c>
      <c r="G27">
        <v>1</v>
      </c>
      <c r="H27">
        <v>6</v>
      </c>
      <c r="I27">
        <v>5</v>
      </c>
      <c r="J27">
        <v>7</v>
      </c>
      <c r="K27">
        <v>1</v>
      </c>
      <c r="L27">
        <v>2</v>
      </c>
      <c r="M27">
        <v>4</v>
      </c>
      <c r="P27">
        <v>31</v>
      </c>
    </row>
    <row r="28" spans="1:16">
      <c r="A28">
        <v>39</v>
      </c>
      <c r="B28">
        <v>5</v>
      </c>
      <c r="C28" t="str">
        <f>VLOOKUP(A28,'Programas y Unidades'!$A:$B,2,0)</f>
        <v>Ingeniería Informática</v>
      </c>
      <c r="E28" s="5" t="s">
        <v>38</v>
      </c>
      <c r="F28">
        <v>82</v>
      </c>
      <c r="G28">
        <v>69</v>
      </c>
      <c r="H28">
        <v>62</v>
      </c>
      <c r="I28">
        <v>108</v>
      </c>
      <c r="J28">
        <v>58</v>
      </c>
      <c r="K28">
        <v>54</v>
      </c>
      <c r="L28">
        <v>55</v>
      </c>
      <c r="M28">
        <v>54</v>
      </c>
      <c r="N28">
        <v>49</v>
      </c>
      <c r="O28">
        <v>88</v>
      </c>
      <c r="P28">
        <v>679</v>
      </c>
    </row>
    <row r="29" spans="1:16">
      <c r="A29">
        <v>39</v>
      </c>
      <c r="B29">
        <v>6</v>
      </c>
      <c r="C29" t="str">
        <f>VLOOKUP(A29,'Programas y Unidades'!$A:$B,2,0)</f>
        <v>Ingeniería Informática</v>
      </c>
      <c r="E29" s="5" t="s">
        <v>62</v>
      </c>
      <c r="F29">
        <v>638</v>
      </c>
      <c r="G29">
        <v>472</v>
      </c>
      <c r="H29">
        <v>639</v>
      </c>
      <c r="I29">
        <v>540</v>
      </c>
      <c r="J29">
        <v>567</v>
      </c>
      <c r="K29">
        <v>381</v>
      </c>
      <c r="L29">
        <v>506</v>
      </c>
      <c r="M29">
        <v>78</v>
      </c>
      <c r="N29">
        <v>52</v>
      </c>
      <c r="O29">
        <v>88</v>
      </c>
      <c r="P29">
        <v>3961</v>
      </c>
    </row>
    <row r="30" spans="1:16">
      <c r="A30">
        <v>39</v>
      </c>
      <c r="B30">
        <v>5</v>
      </c>
      <c r="C30" t="str">
        <f>VLOOKUP(A30,'Programas y Unidades'!$A:$B,2,0)</f>
        <v>Ingeniería Informática</v>
      </c>
    </row>
    <row r="31" spans="1:16">
      <c r="A31">
        <v>39</v>
      </c>
      <c r="B31">
        <v>8</v>
      </c>
      <c r="C31" t="str">
        <f>VLOOKUP(A31,'Programas y Unidades'!$A:$B,2,0)</f>
        <v>Ingeniería Informática</v>
      </c>
    </row>
    <row r="32" spans="1:16">
      <c r="A32">
        <v>148</v>
      </c>
      <c r="B32">
        <v>2</v>
      </c>
      <c r="C32" t="str">
        <f>VLOOKUP(A32,'Programas y Unidades'!$A:$B,2,0)</f>
        <v>Ciencia de Datos</v>
      </c>
    </row>
    <row r="33" spans="1:3">
      <c r="A33">
        <v>39</v>
      </c>
      <c r="B33">
        <v>7</v>
      </c>
      <c r="C33" t="str">
        <f>VLOOKUP(A33,'Programas y Unidades'!$A:$B,2,0)</f>
        <v>Ingeniería Informática</v>
      </c>
    </row>
    <row r="34" spans="1:3">
      <c r="A34">
        <v>40</v>
      </c>
      <c r="B34">
        <v>5</v>
      </c>
      <c r="C34" t="str">
        <f>VLOOKUP(A34,'Programas y Unidades'!$A:$B,2,0)</f>
        <v>Ingeniería Mecánica</v>
      </c>
    </row>
    <row r="35" spans="1:3">
      <c r="A35">
        <v>39</v>
      </c>
      <c r="B35">
        <v>6</v>
      </c>
      <c r="C35" t="str">
        <f>VLOOKUP(A35,'Programas y Unidades'!$A:$B,2,0)</f>
        <v>Ingeniería Informática</v>
      </c>
    </row>
    <row r="36" spans="1:3">
      <c r="A36">
        <v>148</v>
      </c>
      <c r="B36">
        <v>3</v>
      </c>
      <c r="C36" t="str">
        <f>VLOOKUP(A36,'Programas y Unidades'!$A:$B,2,0)</f>
        <v>Ciencia de Datos</v>
      </c>
    </row>
    <row r="37" spans="1:3">
      <c r="A37">
        <v>148</v>
      </c>
      <c r="B37">
        <v>2</v>
      </c>
      <c r="C37" t="str">
        <f>VLOOKUP(A37,'Programas y Unidades'!$A:$B,2,0)</f>
        <v>Ciencia de Datos</v>
      </c>
    </row>
    <row r="38" spans="1:3">
      <c r="A38">
        <v>148</v>
      </c>
      <c r="B38">
        <v>5</v>
      </c>
      <c r="C38" t="str">
        <f>VLOOKUP(A38,'Programas y Unidades'!$A:$B,2,0)</f>
        <v>Ciencia de Datos</v>
      </c>
    </row>
    <row r="39" spans="1:3">
      <c r="A39">
        <v>148</v>
      </c>
      <c r="B39">
        <v>5</v>
      </c>
      <c r="C39" t="str">
        <f>VLOOKUP(A39,'Programas y Unidades'!$A:$B,2,0)</f>
        <v>Ciencia de Datos</v>
      </c>
    </row>
    <row r="40" spans="1:3">
      <c r="A40">
        <v>32</v>
      </c>
      <c r="B40">
        <v>8</v>
      </c>
      <c r="C40" t="str">
        <f>VLOOKUP(A40,'Programas y Unidades'!$A:$B,2,0)</f>
        <v>Licenciatura en Educación Infantil</v>
      </c>
    </row>
    <row r="41" spans="1:3">
      <c r="A41">
        <v>32</v>
      </c>
      <c r="B41">
        <v>8</v>
      </c>
      <c r="C41" t="str">
        <f>VLOOKUP(A41,'Programas y Unidades'!$A:$B,2,0)</f>
        <v>Licenciatura en Educación Infantil</v>
      </c>
    </row>
    <row r="42" spans="1:3">
      <c r="A42">
        <v>32</v>
      </c>
      <c r="B42">
        <v>8</v>
      </c>
      <c r="C42" t="str">
        <f>VLOOKUP(A42,'Programas y Unidades'!$A:$B,2,0)</f>
        <v>Licenciatura en Educación Infantil</v>
      </c>
    </row>
    <row r="43" spans="1:3">
      <c r="A43">
        <v>32</v>
      </c>
      <c r="B43">
        <v>8</v>
      </c>
      <c r="C43" t="str">
        <f>VLOOKUP(A43,'Programas y Unidades'!$A:$B,2,0)</f>
        <v>Licenciatura en Educación Infantil</v>
      </c>
    </row>
    <row r="44" spans="1:3">
      <c r="A44">
        <v>31</v>
      </c>
      <c r="B44">
        <v>8</v>
      </c>
      <c r="C44" t="str">
        <f>VLOOKUP(A44,'Programas y Unidades'!$A:$B,2,0)</f>
        <v>Licenciatura en Ciencias Naturales</v>
      </c>
    </row>
    <row r="45" spans="1:3">
      <c r="A45">
        <v>32</v>
      </c>
      <c r="B45">
        <v>8</v>
      </c>
      <c r="C45" t="str">
        <f>VLOOKUP(A45,'Programas y Unidades'!$A:$B,2,0)</f>
        <v>Licenciatura en Educación Infantil</v>
      </c>
    </row>
    <row r="46" spans="1:3">
      <c r="A46">
        <v>32</v>
      </c>
      <c r="B46">
        <v>7</v>
      </c>
      <c r="C46" t="str">
        <f>VLOOKUP(A46,'Programas y Unidades'!$A:$B,2,0)</f>
        <v>Licenciatura en Educación Infantil</v>
      </c>
    </row>
    <row r="47" spans="1:3">
      <c r="A47">
        <v>32</v>
      </c>
      <c r="B47">
        <v>8</v>
      </c>
      <c r="C47" t="str">
        <f>VLOOKUP(A47,'Programas y Unidades'!$A:$B,2,0)</f>
        <v>Licenciatura en Educación Infantil</v>
      </c>
    </row>
    <row r="48" spans="1:3">
      <c r="A48">
        <v>32</v>
      </c>
      <c r="B48">
        <v>8</v>
      </c>
      <c r="C48" t="str">
        <f>VLOOKUP(A48,'Programas y Unidades'!$A:$B,2,0)</f>
        <v>Licenciatura en Educación Infantil</v>
      </c>
    </row>
    <row r="49" spans="1:3">
      <c r="A49">
        <v>32</v>
      </c>
      <c r="B49">
        <v>8</v>
      </c>
      <c r="C49" t="str">
        <f>VLOOKUP(A49,'Programas y Unidades'!$A:$B,2,0)</f>
        <v>Licenciatura en Educación Infantil</v>
      </c>
    </row>
    <row r="50" spans="1:3">
      <c r="A50">
        <v>20</v>
      </c>
      <c r="B50">
        <v>3</v>
      </c>
      <c r="C50" t="str">
        <f>VLOOKUP(A50,'Programas y Unidades'!$A:$B,2,0)</f>
        <v>Administración &amp; Servicio</v>
      </c>
    </row>
    <row r="51" spans="1:3">
      <c r="A51">
        <v>20</v>
      </c>
      <c r="B51">
        <v>3</v>
      </c>
      <c r="C51" t="str">
        <f>VLOOKUP(A51,'Programas y Unidades'!$A:$B,2,0)</f>
        <v>Administración &amp; Servicio</v>
      </c>
    </row>
    <row r="52" spans="1:3">
      <c r="A52">
        <v>20</v>
      </c>
      <c r="B52">
        <v>3</v>
      </c>
      <c r="C52" t="str">
        <f>VLOOKUP(A52,'Programas y Unidades'!$A:$B,2,0)</f>
        <v>Administración &amp; Servicio</v>
      </c>
    </row>
    <row r="53" spans="1:3">
      <c r="A53">
        <v>20</v>
      </c>
      <c r="B53">
        <v>3</v>
      </c>
      <c r="C53" t="str">
        <f>VLOOKUP(A53,'Programas y Unidades'!$A:$B,2,0)</f>
        <v>Administración &amp; Servicio</v>
      </c>
    </row>
    <row r="54" spans="1:3">
      <c r="A54">
        <v>20</v>
      </c>
      <c r="B54">
        <v>6</v>
      </c>
      <c r="C54" t="str">
        <f>VLOOKUP(A54,'Programas y Unidades'!$A:$B,2,0)</f>
        <v>Administración &amp; Servicio</v>
      </c>
    </row>
    <row r="55" spans="1:3">
      <c r="A55">
        <v>20</v>
      </c>
      <c r="B55">
        <v>5</v>
      </c>
      <c r="C55" t="str">
        <f>VLOOKUP(A55,'Programas y Unidades'!$A:$B,2,0)</f>
        <v>Administración &amp; Servicio</v>
      </c>
    </row>
    <row r="56" spans="1:3">
      <c r="A56">
        <v>20</v>
      </c>
      <c r="B56">
        <v>5</v>
      </c>
      <c r="C56" t="str">
        <f>VLOOKUP(A56,'Programas y Unidades'!$A:$B,2,0)</f>
        <v>Administración &amp; Servicio</v>
      </c>
    </row>
    <row r="57" spans="1:3">
      <c r="A57">
        <v>20</v>
      </c>
      <c r="B57">
        <v>3</v>
      </c>
      <c r="C57" t="str">
        <f>VLOOKUP(A57,'Programas y Unidades'!$A:$B,2,0)</f>
        <v>Administración &amp; Servicio</v>
      </c>
    </row>
    <row r="58" spans="1:3">
      <c r="A58">
        <v>20</v>
      </c>
      <c r="B58">
        <v>7</v>
      </c>
      <c r="C58" t="str">
        <f>VLOOKUP(A58,'Programas y Unidades'!$A:$B,2,0)</f>
        <v>Administración &amp; Servicio</v>
      </c>
    </row>
    <row r="59" spans="1:3">
      <c r="A59">
        <v>21</v>
      </c>
      <c r="B59">
        <v>8</v>
      </c>
      <c r="C59" t="str">
        <f>VLOOKUP(A59,'Programas y Unidades'!$A:$B,2,0)</f>
        <v>Administración de Empresas</v>
      </c>
    </row>
    <row r="60" spans="1:3">
      <c r="A60">
        <v>21</v>
      </c>
      <c r="B60">
        <v>8</v>
      </c>
      <c r="C60" t="str">
        <f>VLOOKUP(A60,'Programas y Unidades'!$A:$B,2,0)</f>
        <v>Administración de Empresas</v>
      </c>
    </row>
    <row r="61" spans="1:3">
      <c r="A61">
        <v>21</v>
      </c>
      <c r="B61">
        <v>8</v>
      </c>
      <c r="C61" t="str">
        <f>VLOOKUP(A61,'Programas y Unidades'!$A:$B,2,0)</f>
        <v>Administración de Empresas</v>
      </c>
    </row>
    <row r="62" spans="1:3">
      <c r="A62">
        <v>21</v>
      </c>
      <c r="B62">
        <v>8</v>
      </c>
      <c r="C62" t="str">
        <f>VLOOKUP(A62,'Programas y Unidades'!$A:$B,2,0)</f>
        <v>Administración de Empresas</v>
      </c>
    </row>
    <row r="63" spans="1:3">
      <c r="A63">
        <v>21</v>
      </c>
      <c r="B63">
        <v>8</v>
      </c>
      <c r="C63" t="str">
        <f>VLOOKUP(A63,'Programas y Unidades'!$A:$B,2,0)</f>
        <v>Administración de Empresas</v>
      </c>
    </row>
    <row r="64" spans="1:3">
      <c r="A64">
        <v>21</v>
      </c>
      <c r="B64">
        <v>8</v>
      </c>
      <c r="C64" t="str">
        <f>VLOOKUP(A64,'Programas y Unidades'!$A:$B,2,0)</f>
        <v>Administración de Empresas</v>
      </c>
    </row>
    <row r="65" spans="1:3">
      <c r="A65">
        <v>21</v>
      </c>
      <c r="B65">
        <v>8</v>
      </c>
      <c r="C65" t="str">
        <f>VLOOKUP(A65,'Programas y Unidades'!$A:$B,2,0)</f>
        <v>Administración de Empresas</v>
      </c>
    </row>
    <row r="66" spans="1:3">
      <c r="A66">
        <v>21</v>
      </c>
      <c r="B66">
        <v>8</v>
      </c>
      <c r="C66" t="str">
        <f>VLOOKUP(A66,'Programas y Unidades'!$A:$B,2,0)</f>
        <v>Administración de Empresas</v>
      </c>
    </row>
    <row r="67" spans="1:3">
      <c r="A67">
        <v>21</v>
      </c>
      <c r="B67">
        <v>8</v>
      </c>
      <c r="C67" t="str">
        <f>VLOOKUP(A67,'Programas y Unidades'!$A:$B,2,0)</f>
        <v>Administración de Empresas</v>
      </c>
    </row>
    <row r="68" spans="1:3">
      <c r="A68">
        <v>21</v>
      </c>
      <c r="B68">
        <v>8</v>
      </c>
      <c r="C68" t="str">
        <f>VLOOKUP(A68,'Programas y Unidades'!$A:$B,2,0)</f>
        <v>Administración de Empresas</v>
      </c>
    </row>
    <row r="69" spans="1:3">
      <c r="A69">
        <v>21</v>
      </c>
      <c r="B69">
        <v>8</v>
      </c>
      <c r="C69" t="str">
        <f>VLOOKUP(A69,'Programas y Unidades'!$A:$B,2,0)</f>
        <v>Administración de Empresas</v>
      </c>
    </row>
    <row r="70" spans="1:3">
      <c r="A70">
        <v>21</v>
      </c>
      <c r="B70">
        <v>8</v>
      </c>
      <c r="C70" t="str">
        <f>VLOOKUP(A70,'Programas y Unidades'!$A:$B,2,0)</f>
        <v>Administración de Empresas</v>
      </c>
    </row>
    <row r="71" spans="1:3">
      <c r="A71">
        <v>21</v>
      </c>
      <c r="B71">
        <v>8</v>
      </c>
      <c r="C71" t="str">
        <f>VLOOKUP(A71,'Programas y Unidades'!$A:$B,2,0)</f>
        <v>Administración de Empresas</v>
      </c>
    </row>
    <row r="72" spans="1:3">
      <c r="A72">
        <v>21</v>
      </c>
      <c r="B72">
        <v>8</v>
      </c>
      <c r="C72" t="str">
        <f>VLOOKUP(A72,'Programas y Unidades'!$A:$B,2,0)</f>
        <v>Administración de Empresas</v>
      </c>
    </row>
    <row r="73" spans="1:3">
      <c r="A73">
        <v>21</v>
      </c>
      <c r="B73">
        <v>8</v>
      </c>
      <c r="C73" t="str">
        <f>VLOOKUP(A73,'Programas y Unidades'!$A:$B,2,0)</f>
        <v>Administración de Empresas</v>
      </c>
    </row>
    <row r="74" spans="1:3">
      <c r="A74">
        <v>21</v>
      </c>
      <c r="B74">
        <v>8</v>
      </c>
      <c r="C74" t="str">
        <f>VLOOKUP(A74,'Programas y Unidades'!$A:$B,2,0)</f>
        <v>Administración de Empresas</v>
      </c>
    </row>
    <row r="75" spans="1:3">
      <c r="A75">
        <v>21</v>
      </c>
      <c r="B75">
        <v>8</v>
      </c>
      <c r="C75" t="str">
        <f>VLOOKUP(A75,'Programas y Unidades'!$A:$B,2,0)</f>
        <v>Administración de Empresas</v>
      </c>
    </row>
    <row r="76" spans="1:3">
      <c r="A76">
        <v>21</v>
      </c>
      <c r="B76">
        <v>8</v>
      </c>
      <c r="C76" t="str">
        <f>VLOOKUP(A76,'Programas y Unidades'!$A:$B,2,0)</f>
        <v>Administración de Empresas</v>
      </c>
    </row>
    <row r="77" spans="1:3">
      <c r="A77">
        <v>21</v>
      </c>
      <c r="B77">
        <v>8</v>
      </c>
      <c r="C77" t="str">
        <f>VLOOKUP(A77,'Programas y Unidades'!$A:$B,2,0)</f>
        <v>Administración de Empresas</v>
      </c>
    </row>
    <row r="78" spans="1:3">
      <c r="A78">
        <v>21</v>
      </c>
      <c r="B78">
        <v>8</v>
      </c>
      <c r="C78" t="str">
        <f>VLOOKUP(A78,'Programas y Unidades'!$A:$B,2,0)</f>
        <v>Administración de Empresas</v>
      </c>
    </row>
    <row r="79" spans="1:3">
      <c r="A79">
        <v>21</v>
      </c>
      <c r="B79">
        <v>8</v>
      </c>
      <c r="C79" t="str">
        <f>VLOOKUP(A79,'Programas y Unidades'!$A:$B,2,0)</f>
        <v>Administración de Empresas</v>
      </c>
    </row>
    <row r="80" spans="1:3">
      <c r="A80">
        <v>21</v>
      </c>
      <c r="B80">
        <v>8</v>
      </c>
      <c r="C80" t="str">
        <f>VLOOKUP(A80,'Programas y Unidades'!$A:$B,2,0)</f>
        <v>Administración de Empresas</v>
      </c>
    </row>
    <row r="81" spans="1:3">
      <c r="A81">
        <v>40</v>
      </c>
      <c r="B81">
        <v>4</v>
      </c>
      <c r="C81" t="str">
        <f>VLOOKUP(A81,'Programas y Unidades'!$A:$B,2,0)</f>
        <v>Ingeniería Mecánica</v>
      </c>
    </row>
    <row r="82" spans="1:3">
      <c r="A82">
        <v>40</v>
      </c>
      <c r="B82">
        <v>3</v>
      </c>
      <c r="C82" t="str">
        <f>VLOOKUP(A82,'Programas y Unidades'!$A:$B,2,0)</f>
        <v>Ingeniería Mecánica</v>
      </c>
    </row>
    <row r="83" spans="1:3">
      <c r="A83">
        <v>36</v>
      </c>
      <c r="B83">
        <v>3</v>
      </c>
      <c r="C83" t="str">
        <f>VLOOKUP(A83,'Programas y Unidades'!$A:$B,2,0)</f>
        <v>Ingeniería Civil</v>
      </c>
    </row>
    <row r="84" spans="1:3">
      <c r="A84">
        <v>36</v>
      </c>
      <c r="B84">
        <v>5</v>
      </c>
      <c r="C84" t="str">
        <f>VLOOKUP(A84,'Programas y Unidades'!$A:$B,2,0)</f>
        <v>Ingeniería Civil</v>
      </c>
    </row>
    <row r="85" spans="1:3">
      <c r="A85">
        <v>21</v>
      </c>
      <c r="B85">
        <v>8</v>
      </c>
      <c r="C85" t="str">
        <f>VLOOKUP(A85,'Programas y Unidades'!$A:$B,2,0)</f>
        <v>Administración de Empresas</v>
      </c>
    </row>
    <row r="86" spans="1:3">
      <c r="A86">
        <v>23</v>
      </c>
      <c r="B86">
        <v>2</v>
      </c>
      <c r="C86" t="str">
        <f>VLOOKUP(A86,'Programas y Unidades'!$A:$B,2,0)</f>
        <v>Administración de Negocios Internacionales</v>
      </c>
    </row>
    <row r="87" spans="1:3">
      <c r="A87">
        <v>23</v>
      </c>
      <c r="B87">
        <v>4</v>
      </c>
      <c r="C87" t="str">
        <f>VLOOKUP(A87,'Programas y Unidades'!$A:$B,2,0)</f>
        <v>Administración de Negocios Internacionales</v>
      </c>
    </row>
    <row r="88" spans="1:3">
      <c r="A88">
        <v>40</v>
      </c>
      <c r="B88">
        <v>3</v>
      </c>
      <c r="C88" t="str">
        <f>VLOOKUP(A88,'Programas y Unidades'!$A:$B,2,0)</f>
        <v>Ingeniería Mecánica</v>
      </c>
    </row>
    <row r="89" spans="1:3">
      <c r="A89">
        <v>40</v>
      </c>
      <c r="B89">
        <v>3</v>
      </c>
      <c r="C89" t="str">
        <f>VLOOKUP(A89,'Programas y Unidades'!$A:$B,2,0)</f>
        <v>Ingeniería Mecánica</v>
      </c>
    </row>
    <row r="90" spans="1:3">
      <c r="A90">
        <v>40</v>
      </c>
      <c r="B90">
        <v>3</v>
      </c>
      <c r="C90" t="str">
        <f>VLOOKUP(A90,'Programas y Unidades'!$A:$B,2,0)</f>
        <v>Ingeniería Mecánica</v>
      </c>
    </row>
    <row r="91" spans="1:3">
      <c r="A91">
        <v>40</v>
      </c>
      <c r="B91">
        <v>3</v>
      </c>
      <c r="C91" t="str">
        <f>VLOOKUP(A91,'Programas y Unidades'!$A:$B,2,0)</f>
        <v>Ingeniería Mecánica</v>
      </c>
    </row>
    <row r="92" spans="1:3">
      <c r="A92">
        <v>40</v>
      </c>
      <c r="B92">
        <v>3</v>
      </c>
      <c r="C92" t="str">
        <f>VLOOKUP(A92,'Programas y Unidades'!$A:$B,2,0)</f>
        <v>Ingeniería Mecánica</v>
      </c>
    </row>
    <row r="93" spans="1:3">
      <c r="A93">
        <v>22</v>
      </c>
      <c r="B93">
        <v>8</v>
      </c>
      <c r="C93" t="str">
        <f>VLOOKUP(A93,'Programas y Unidades'!$A:$B,2,0)</f>
        <v>Administración de Mercadeo y Logística Internacionales</v>
      </c>
    </row>
    <row r="94" spans="1:3">
      <c r="A94">
        <v>23</v>
      </c>
      <c r="B94">
        <v>4</v>
      </c>
      <c r="C94" t="str">
        <f>VLOOKUP(A94,'Programas y Unidades'!$A:$B,2,0)</f>
        <v>Administración de Negocios Internacionales</v>
      </c>
    </row>
    <row r="95" spans="1:3">
      <c r="A95">
        <v>23</v>
      </c>
      <c r="B95">
        <v>2</v>
      </c>
      <c r="C95" t="str">
        <f>VLOOKUP(A95,'Programas y Unidades'!$A:$B,2,0)</f>
        <v>Administración de Negocios Internacionales</v>
      </c>
    </row>
    <row r="96" spans="1:3">
      <c r="A96">
        <v>36</v>
      </c>
      <c r="B96">
        <v>3</v>
      </c>
      <c r="C96" t="str">
        <f>VLOOKUP(A96,'Programas y Unidades'!$A:$B,2,0)</f>
        <v>Ingeniería Civil</v>
      </c>
    </row>
    <row r="97" spans="1:3">
      <c r="A97">
        <v>23</v>
      </c>
      <c r="B97">
        <v>4</v>
      </c>
      <c r="C97" t="str">
        <f>VLOOKUP(A97,'Programas y Unidades'!$A:$B,2,0)</f>
        <v>Administración de Negocios Internacionales</v>
      </c>
    </row>
    <row r="98" spans="1:3">
      <c r="A98">
        <v>23</v>
      </c>
      <c r="B98">
        <v>4</v>
      </c>
      <c r="C98" t="str">
        <f>VLOOKUP(A98,'Programas y Unidades'!$A:$B,2,0)</f>
        <v>Administración de Negocios Internacionales</v>
      </c>
    </row>
    <row r="99" spans="1:3">
      <c r="A99">
        <v>40</v>
      </c>
      <c r="B99">
        <v>3</v>
      </c>
      <c r="C99" t="str">
        <f>VLOOKUP(A99,'Programas y Unidades'!$A:$B,2,0)</f>
        <v>Ingeniería Mecánica</v>
      </c>
    </row>
    <row r="100" spans="1:3">
      <c r="A100">
        <v>36</v>
      </c>
      <c r="B100">
        <v>4</v>
      </c>
      <c r="C100" t="str">
        <f>VLOOKUP(A100,'Programas y Unidades'!$A:$B,2,0)</f>
        <v>Ingeniería Civil</v>
      </c>
    </row>
    <row r="101" spans="1:3">
      <c r="A101">
        <v>23</v>
      </c>
      <c r="B101">
        <v>5</v>
      </c>
      <c r="C101" t="str">
        <f>VLOOKUP(A101,'Programas y Unidades'!$A:$B,2,0)</f>
        <v>Administración de Negocios Internacionales</v>
      </c>
    </row>
    <row r="102" spans="1:3">
      <c r="A102">
        <v>40</v>
      </c>
      <c r="B102">
        <v>3</v>
      </c>
      <c r="C102" t="str">
        <f>VLOOKUP(A102,'Programas y Unidades'!$A:$B,2,0)</f>
        <v>Ingeniería Mecánica</v>
      </c>
    </row>
    <row r="103" spans="1:3">
      <c r="A103">
        <v>40</v>
      </c>
      <c r="B103">
        <v>3</v>
      </c>
      <c r="C103" t="str">
        <f>VLOOKUP(A103,'Programas y Unidades'!$A:$B,2,0)</f>
        <v>Ingeniería Mecánica</v>
      </c>
    </row>
    <row r="104" spans="1:3">
      <c r="A104">
        <v>23</v>
      </c>
      <c r="B104">
        <v>4</v>
      </c>
      <c r="C104" t="str">
        <f>VLOOKUP(A104,'Programas y Unidades'!$A:$B,2,0)</f>
        <v>Administración de Negocios Internacionales</v>
      </c>
    </row>
    <row r="105" spans="1:3">
      <c r="A105">
        <v>22</v>
      </c>
      <c r="B105">
        <v>7</v>
      </c>
      <c r="C105" t="str">
        <f>VLOOKUP(A105,'Programas y Unidades'!$A:$B,2,0)</f>
        <v>Administración de Mercadeo y Logística Internacionales</v>
      </c>
    </row>
    <row r="106" spans="1:3">
      <c r="A106">
        <v>23</v>
      </c>
      <c r="B106">
        <v>4</v>
      </c>
      <c r="C106" t="str">
        <f>VLOOKUP(A106,'Programas y Unidades'!$A:$B,2,0)</f>
        <v>Administración de Negocios Internacionales</v>
      </c>
    </row>
    <row r="107" spans="1:3">
      <c r="A107">
        <v>40</v>
      </c>
      <c r="B107">
        <v>3</v>
      </c>
      <c r="C107" t="str">
        <f>VLOOKUP(A107,'Programas y Unidades'!$A:$B,2,0)</f>
        <v>Ingeniería Mecánica</v>
      </c>
    </row>
    <row r="108" spans="1:3">
      <c r="A108">
        <v>21</v>
      </c>
      <c r="B108">
        <v>8</v>
      </c>
      <c r="C108" t="str">
        <f>VLOOKUP(A108,'Programas y Unidades'!$A:$B,2,0)</f>
        <v>Administración de Empresas</v>
      </c>
    </row>
    <row r="109" spans="1:3">
      <c r="A109">
        <v>23</v>
      </c>
      <c r="B109">
        <v>4</v>
      </c>
      <c r="C109" t="str">
        <f>VLOOKUP(A109,'Programas y Unidades'!$A:$B,2,0)</f>
        <v>Administración de Negocios Internacionales</v>
      </c>
    </row>
    <row r="110" spans="1:3">
      <c r="A110">
        <v>36</v>
      </c>
      <c r="B110">
        <v>3</v>
      </c>
      <c r="C110" t="str">
        <f>VLOOKUP(A110,'Programas y Unidades'!$A:$B,2,0)</f>
        <v>Ingeniería Civil</v>
      </c>
    </row>
    <row r="111" spans="1:3">
      <c r="A111">
        <v>22</v>
      </c>
      <c r="B111">
        <v>8</v>
      </c>
      <c r="C111" t="str">
        <f>VLOOKUP(A111,'Programas y Unidades'!$A:$B,2,0)</f>
        <v>Administración de Mercadeo y Logística Internacionales</v>
      </c>
    </row>
    <row r="112" spans="1:3">
      <c r="A112">
        <v>21</v>
      </c>
      <c r="B112">
        <v>8</v>
      </c>
      <c r="C112" t="str">
        <f>VLOOKUP(A112,'Programas y Unidades'!$A:$B,2,0)</f>
        <v>Administración de Empresas</v>
      </c>
    </row>
    <row r="113" spans="1:3">
      <c r="A113">
        <v>23</v>
      </c>
      <c r="B113">
        <v>7</v>
      </c>
      <c r="C113" t="str">
        <f>VLOOKUP(A113,'Programas y Unidades'!$A:$B,2,0)</f>
        <v>Administración de Negocios Internacionales</v>
      </c>
    </row>
    <row r="114" spans="1:3">
      <c r="A114">
        <v>22</v>
      </c>
      <c r="B114">
        <v>8</v>
      </c>
      <c r="C114" t="str">
        <f>VLOOKUP(A114,'Programas y Unidades'!$A:$B,2,0)</f>
        <v>Administración de Mercadeo y Logística Internacionales</v>
      </c>
    </row>
    <row r="115" spans="1:3">
      <c r="A115">
        <v>22</v>
      </c>
      <c r="B115">
        <v>5</v>
      </c>
      <c r="C115" t="str">
        <f>VLOOKUP(A115,'Programas y Unidades'!$A:$B,2,0)</f>
        <v>Administración de Mercadeo y Logística Internacionales</v>
      </c>
    </row>
    <row r="116" spans="1:3">
      <c r="A116">
        <v>40</v>
      </c>
      <c r="B116">
        <v>3</v>
      </c>
      <c r="C116" t="str">
        <f>VLOOKUP(A116,'Programas y Unidades'!$A:$B,2,0)</f>
        <v>Ingeniería Mecánica</v>
      </c>
    </row>
    <row r="117" spans="1:3">
      <c r="A117">
        <v>23</v>
      </c>
      <c r="B117">
        <v>3</v>
      </c>
      <c r="C117" t="str">
        <f>VLOOKUP(A117,'Programas y Unidades'!$A:$B,2,0)</f>
        <v>Administración de Negocios Internacionales</v>
      </c>
    </row>
    <row r="118" spans="1:3">
      <c r="A118">
        <v>22</v>
      </c>
      <c r="B118">
        <v>8</v>
      </c>
      <c r="C118" t="str">
        <f>VLOOKUP(A118,'Programas y Unidades'!$A:$B,2,0)</f>
        <v>Administración de Mercadeo y Logística Internacionales</v>
      </c>
    </row>
    <row r="119" spans="1:3">
      <c r="A119">
        <v>23</v>
      </c>
      <c r="B119">
        <v>4</v>
      </c>
      <c r="C119" t="str">
        <f>VLOOKUP(A119,'Programas y Unidades'!$A:$B,2,0)</f>
        <v>Administración de Negocios Internacionales</v>
      </c>
    </row>
    <row r="120" spans="1:3">
      <c r="A120">
        <v>21</v>
      </c>
      <c r="B120">
        <v>8</v>
      </c>
      <c r="C120" t="str">
        <f>VLOOKUP(A120,'Programas y Unidades'!$A:$B,2,0)</f>
        <v>Administración de Empresas</v>
      </c>
    </row>
    <row r="121" spans="1:3">
      <c r="A121">
        <v>23</v>
      </c>
      <c r="B121">
        <v>3</v>
      </c>
      <c r="C121" t="str">
        <f>VLOOKUP(A121,'Programas y Unidades'!$A:$B,2,0)</f>
        <v>Administración de Negocios Internacionales</v>
      </c>
    </row>
    <row r="122" spans="1:3">
      <c r="A122">
        <v>23</v>
      </c>
      <c r="B122">
        <v>6</v>
      </c>
      <c r="C122" t="str">
        <f>VLOOKUP(A122,'Programas y Unidades'!$A:$B,2,0)</f>
        <v>Administración de Negocios Internacionales</v>
      </c>
    </row>
    <row r="123" spans="1:3">
      <c r="A123">
        <v>23</v>
      </c>
      <c r="B123">
        <v>3</v>
      </c>
      <c r="C123" t="str">
        <f>VLOOKUP(A123,'Programas y Unidades'!$A:$B,2,0)</f>
        <v>Administración de Negocios Internacionales</v>
      </c>
    </row>
    <row r="124" spans="1:3">
      <c r="A124">
        <v>38</v>
      </c>
      <c r="B124">
        <v>5</v>
      </c>
      <c r="C124" t="str">
        <f>VLOOKUP(A124,'Programas y Unidades'!$A:$B,2,0)</f>
        <v>Ingeniería Industrial</v>
      </c>
    </row>
    <row r="125" spans="1:3">
      <c r="A125">
        <v>38</v>
      </c>
      <c r="B125">
        <v>6</v>
      </c>
      <c r="C125" t="str">
        <f>VLOOKUP(A125,'Programas y Unidades'!$A:$B,2,0)</f>
        <v>Ingeniería Industrial</v>
      </c>
    </row>
    <row r="126" spans="1:3">
      <c r="A126">
        <v>38</v>
      </c>
      <c r="B126">
        <v>4</v>
      </c>
      <c r="C126" t="str">
        <f>VLOOKUP(A126,'Programas y Unidades'!$A:$B,2,0)</f>
        <v>Ingeniería Industrial</v>
      </c>
    </row>
    <row r="127" spans="1:3">
      <c r="A127">
        <v>38</v>
      </c>
      <c r="B127">
        <v>4</v>
      </c>
      <c r="C127" t="str">
        <f>VLOOKUP(A127,'Programas y Unidades'!$A:$B,2,0)</f>
        <v>Ingeniería Industrial</v>
      </c>
    </row>
    <row r="128" spans="1:3">
      <c r="A128">
        <v>38</v>
      </c>
      <c r="B128">
        <v>5</v>
      </c>
      <c r="C128" t="str">
        <f>VLOOKUP(A128,'Programas y Unidades'!$A:$B,2,0)</f>
        <v>Ingeniería Industrial</v>
      </c>
    </row>
    <row r="129" spans="1:3">
      <c r="A129">
        <v>38</v>
      </c>
      <c r="B129">
        <v>6</v>
      </c>
      <c r="C129" t="str">
        <f>VLOOKUP(A129,'Programas y Unidades'!$A:$B,2,0)</f>
        <v>Ingeniería Industrial</v>
      </c>
    </row>
    <row r="130" spans="1:3">
      <c r="A130">
        <v>38</v>
      </c>
      <c r="B130">
        <v>4</v>
      </c>
      <c r="C130" t="str">
        <f>VLOOKUP(A130,'Programas y Unidades'!$A:$B,2,0)</f>
        <v>Ingeniería Industrial</v>
      </c>
    </row>
    <row r="131" spans="1:3">
      <c r="A131">
        <v>38</v>
      </c>
      <c r="B131">
        <v>4</v>
      </c>
      <c r="C131" t="str">
        <f>VLOOKUP(A131,'Programas y Unidades'!$A:$B,2,0)</f>
        <v>Ingeniería Industrial</v>
      </c>
    </row>
    <row r="132" spans="1:3">
      <c r="A132">
        <v>38</v>
      </c>
      <c r="B132">
        <v>4</v>
      </c>
      <c r="C132" t="str">
        <f>VLOOKUP(A132,'Programas y Unidades'!$A:$B,2,0)</f>
        <v>Ingeniería Industrial</v>
      </c>
    </row>
    <row r="133" spans="1:3">
      <c r="A133">
        <v>38</v>
      </c>
      <c r="B133">
        <v>4</v>
      </c>
      <c r="C133" t="str">
        <f>VLOOKUP(A133,'Programas y Unidades'!$A:$B,2,0)</f>
        <v>Ingeniería Industrial</v>
      </c>
    </row>
    <row r="134" spans="1:3">
      <c r="A134">
        <v>38</v>
      </c>
      <c r="B134">
        <v>4</v>
      </c>
      <c r="C134" t="str">
        <f>VLOOKUP(A134,'Programas y Unidades'!$A:$B,2,0)</f>
        <v>Ingeniería Industrial</v>
      </c>
    </row>
    <row r="135" spans="1:3">
      <c r="A135">
        <v>38</v>
      </c>
      <c r="B135">
        <v>4</v>
      </c>
      <c r="C135" t="str">
        <f>VLOOKUP(A135,'Programas y Unidades'!$A:$B,2,0)</f>
        <v>Ingeniería Industrial</v>
      </c>
    </row>
    <row r="136" spans="1:3">
      <c r="A136">
        <v>38</v>
      </c>
      <c r="B136">
        <v>4</v>
      </c>
      <c r="C136" t="str">
        <f>VLOOKUP(A136,'Programas y Unidades'!$A:$B,2,0)</f>
        <v>Ingeniería Industrial</v>
      </c>
    </row>
    <row r="137" spans="1:3">
      <c r="A137">
        <v>38</v>
      </c>
      <c r="B137">
        <v>4</v>
      </c>
      <c r="C137" t="str">
        <f>VLOOKUP(A137,'Programas y Unidades'!$A:$B,2,0)</f>
        <v>Ingeniería Industrial</v>
      </c>
    </row>
    <row r="138" spans="1:3">
      <c r="A138">
        <v>38</v>
      </c>
      <c r="B138">
        <v>4</v>
      </c>
      <c r="C138" t="str">
        <f>VLOOKUP(A138,'Programas y Unidades'!$A:$B,2,0)</f>
        <v>Ingeniería Industrial</v>
      </c>
    </row>
    <row r="139" spans="1:3">
      <c r="A139">
        <v>38</v>
      </c>
      <c r="B139">
        <v>4</v>
      </c>
      <c r="C139" t="str">
        <f>VLOOKUP(A139,'Programas y Unidades'!$A:$B,2,0)</f>
        <v>Ingeniería Industrial</v>
      </c>
    </row>
    <row r="140" spans="1:3">
      <c r="A140">
        <v>38</v>
      </c>
      <c r="B140">
        <v>4</v>
      </c>
      <c r="C140" t="str">
        <f>VLOOKUP(A140,'Programas y Unidades'!$A:$B,2,0)</f>
        <v>Ingeniería Industrial</v>
      </c>
    </row>
    <row r="141" spans="1:3">
      <c r="A141">
        <v>38</v>
      </c>
      <c r="B141">
        <v>4</v>
      </c>
      <c r="C141" t="str">
        <f>VLOOKUP(A141,'Programas y Unidades'!$A:$B,2,0)</f>
        <v>Ingeniería Industrial</v>
      </c>
    </row>
    <row r="142" spans="1:3">
      <c r="A142">
        <v>38</v>
      </c>
      <c r="B142">
        <v>4</v>
      </c>
      <c r="C142" t="str">
        <f>VLOOKUP(A142,'Programas y Unidades'!$A:$B,2,0)</f>
        <v>Ingeniería Industrial</v>
      </c>
    </row>
    <row r="143" spans="1:3">
      <c r="A143">
        <v>38</v>
      </c>
      <c r="B143">
        <v>4</v>
      </c>
      <c r="C143" t="str">
        <f>VLOOKUP(A143,'Programas y Unidades'!$A:$B,2,0)</f>
        <v>Ingeniería Industrial</v>
      </c>
    </row>
    <row r="144" spans="1:3">
      <c r="A144">
        <v>23</v>
      </c>
      <c r="B144">
        <v>4</v>
      </c>
      <c r="C144" t="str">
        <f>VLOOKUP(A144,'Programas y Unidades'!$A:$B,2,0)</f>
        <v>Administración de Negocios Internacionales</v>
      </c>
    </row>
    <row r="145" spans="1:3">
      <c r="A145">
        <v>23</v>
      </c>
      <c r="B145">
        <v>4</v>
      </c>
      <c r="C145" t="str">
        <f>VLOOKUP(A145,'Programas y Unidades'!$A:$B,2,0)</f>
        <v>Administración de Negocios Internacionales</v>
      </c>
    </row>
    <row r="146" spans="1:3">
      <c r="A146">
        <v>23</v>
      </c>
      <c r="B146">
        <v>4</v>
      </c>
      <c r="C146" t="str">
        <f>VLOOKUP(A146,'Programas y Unidades'!$A:$B,2,0)</f>
        <v>Administración de Negocios Internacionales</v>
      </c>
    </row>
    <row r="147" spans="1:3">
      <c r="A147">
        <v>20</v>
      </c>
      <c r="B147">
        <v>6</v>
      </c>
      <c r="C147" t="str">
        <f>VLOOKUP(A147,'Programas y Unidades'!$A:$B,2,0)</f>
        <v>Administración &amp; Servicio</v>
      </c>
    </row>
    <row r="148" spans="1:3">
      <c r="A148">
        <v>23</v>
      </c>
      <c r="B148">
        <v>4</v>
      </c>
      <c r="C148" t="str">
        <f>VLOOKUP(A148,'Programas y Unidades'!$A:$B,2,0)</f>
        <v>Administración de Negocios Internacionales</v>
      </c>
    </row>
    <row r="149" spans="1:3">
      <c r="A149">
        <v>23</v>
      </c>
      <c r="B149">
        <v>3</v>
      </c>
      <c r="C149" t="str">
        <f>VLOOKUP(A149,'Programas y Unidades'!$A:$B,2,0)</f>
        <v>Administración de Negocios Internacionales</v>
      </c>
    </row>
    <row r="150" spans="1:3">
      <c r="A150">
        <v>22</v>
      </c>
      <c r="B150">
        <v>5</v>
      </c>
      <c r="C150" t="str">
        <f>VLOOKUP(A150,'Programas y Unidades'!$A:$B,2,0)</f>
        <v>Administración de Mercadeo y Logística Internacionales</v>
      </c>
    </row>
    <row r="151" spans="1:3">
      <c r="A151">
        <v>23</v>
      </c>
      <c r="B151">
        <v>3</v>
      </c>
      <c r="C151" t="str">
        <f>VLOOKUP(A151,'Programas y Unidades'!$A:$B,2,0)</f>
        <v>Administración de Negocios Internacionales</v>
      </c>
    </row>
    <row r="152" spans="1:3">
      <c r="A152">
        <v>20</v>
      </c>
      <c r="B152">
        <v>6</v>
      </c>
      <c r="C152" t="str">
        <f>VLOOKUP(A152,'Programas y Unidades'!$A:$B,2,0)</f>
        <v>Administración &amp; Servicio</v>
      </c>
    </row>
    <row r="153" spans="1:3">
      <c r="A153">
        <v>23</v>
      </c>
      <c r="B153">
        <v>3</v>
      </c>
      <c r="C153" t="str">
        <f>VLOOKUP(A153,'Programas y Unidades'!$A:$B,2,0)</f>
        <v>Administración de Negocios Internacionales</v>
      </c>
    </row>
    <row r="154" spans="1:3">
      <c r="A154">
        <v>20</v>
      </c>
      <c r="B154">
        <v>6</v>
      </c>
      <c r="C154" t="str">
        <f>VLOOKUP(A154,'Programas y Unidades'!$A:$B,2,0)</f>
        <v>Administración &amp; Servicio</v>
      </c>
    </row>
    <row r="155" spans="1:3">
      <c r="A155">
        <v>25</v>
      </c>
      <c r="B155">
        <v>7</v>
      </c>
      <c r="C155" t="str">
        <f>VLOOKUP(A155,'Programas y Unidades'!$A:$B,2,0)</f>
        <v>Gastronomía</v>
      </c>
    </row>
    <row r="156" spans="1:3">
      <c r="A156">
        <v>22</v>
      </c>
      <c r="B156">
        <v>7</v>
      </c>
      <c r="C156" t="str">
        <f>VLOOKUP(A156,'Programas y Unidades'!$A:$B,2,0)</f>
        <v>Administración de Mercadeo y Logística Internacionales</v>
      </c>
    </row>
    <row r="157" spans="1:3">
      <c r="A157">
        <v>22</v>
      </c>
      <c r="B157">
        <v>8</v>
      </c>
      <c r="C157" t="str">
        <f>VLOOKUP(A157,'Programas y Unidades'!$A:$B,2,0)</f>
        <v>Administración de Mercadeo y Logística Internacionales</v>
      </c>
    </row>
    <row r="158" spans="1:3">
      <c r="A158">
        <v>23</v>
      </c>
      <c r="B158">
        <v>4</v>
      </c>
      <c r="C158" t="str">
        <f>VLOOKUP(A158,'Programas y Unidades'!$A:$B,2,0)</f>
        <v>Administración de Negocios Internacionales</v>
      </c>
    </row>
    <row r="159" spans="1:3">
      <c r="A159">
        <v>23</v>
      </c>
      <c r="B159">
        <v>4</v>
      </c>
      <c r="C159" t="str">
        <f>VLOOKUP(A159,'Programas y Unidades'!$A:$B,2,0)</f>
        <v>Administración de Negocios Internacionales</v>
      </c>
    </row>
    <row r="160" spans="1:3">
      <c r="A160">
        <v>23</v>
      </c>
      <c r="B160">
        <v>2</v>
      </c>
      <c r="C160" t="str">
        <f>VLOOKUP(A160,'Programas y Unidades'!$A:$B,2,0)</f>
        <v>Administración de Negocios Internacionales</v>
      </c>
    </row>
    <row r="161" spans="1:3">
      <c r="A161">
        <v>23</v>
      </c>
      <c r="B161">
        <v>5</v>
      </c>
      <c r="C161" t="str">
        <f>VLOOKUP(A161,'Programas y Unidades'!$A:$B,2,0)</f>
        <v>Administración de Negocios Internacionales</v>
      </c>
    </row>
    <row r="162" spans="1:3">
      <c r="A162">
        <v>22</v>
      </c>
      <c r="B162">
        <v>7</v>
      </c>
      <c r="C162" t="str">
        <f>VLOOKUP(A162,'Programas y Unidades'!$A:$B,2,0)</f>
        <v>Administración de Mercadeo y Logística Internacionales</v>
      </c>
    </row>
    <row r="163" spans="1:3">
      <c r="A163">
        <v>23</v>
      </c>
      <c r="B163">
        <v>3</v>
      </c>
      <c r="C163" t="str">
        <f>VLOOKUP(A163,'Programas y Unidades'!$A:$B,2,0)</f>
        <v>Administración de Negocios Internacionales</v>
      </c>
    </row>
    <row r="164" spans="1:3">
      <c r="A164">
        <v>23</v>
      </c>
      <c r="B164">
        <v>4</v>
      </c>
      <c r="C164" t="str">
        <f>VLOOKUP(A164,'Programas y Unidades'!$A:$B,2,0)</f>
        <v>Administración de Negocios Internacionales</v>
      </c>
    </row>
    <row r="165" spans="1:3">
      <c r="A165">
        <v>23</v>
      </c>
      <c r="B165">
        <v>4</v>
      </c>
      <c r="C165" t="str">
        <f>VLOOKUP(A165,'Programas y Unidades'!$A:$B,2,0)</f>
        <v>Administración de Negocios Internacionales</v>
      </c>
    </row>
    <row r="166" spans="1:3">
      <c r="A166">
        <v>23</v>
      </c>
      <c r="B166">
        <v>4</v>
      </c>
      <c r="C166" t="str">
        <f>VLOOKUP(A166,'Programas y Unidades'!$A:$B,2,0)</f>
        <v>Administración de Negocios Internacionales</v>
      </c>
    </row>
    <row r="167" spans="1:3">
      <c r="A167">
        <v>24</v>
      </c>
      <c r="B167">
        <v>2</v>
      </c>
      <c r="C167" t="str">
        <f>VLOOKUP(A167,'Programas y Unidades'!$A:$B,2,0)</f>
        <v>Economía y Finanzas Internacionales</v>
      </c>
    </row>
    <row r="168" spans="1:3">
      <c r="A168">
        <v>23</v>
      </c>
      <c r="B168">
        <v>3</v>
      </c>
      <c r="C168" t="str">
        <f>VLOOKUP(A168,'Programas y Unidades'!$A:$B,2,0)</f>
        <v>Administración de Negocios Internacionales</v>
      </c>
    </row>
    <row r="169" spans="1:3">
      <c r="A169">
        <v>20</v>
      </c>
      <c r="B169">
        <v>7</v>
      </c>
      <c r="C169" t="str">
        <f>VLOOKUP(A169,'Programas y Unidades'!$A:$B,2,0)</f>
        <v>Administración &amp; Servicio</v>
      </c>
    </row>
    <row r="170" spans="1:3">
      <c r="A170">
        <v>23</v>
      </c>
      <c r="B170">
        <v>2</v>
      </c>
      <c r="C170" t="str">
        <f>VLOOKUP(A170,'Programas y Unidades'!$A:$B,2,0)</f>
        <v>Administración de Negocios Internacionales</v>
      </c>
    </row>
    <row r="171" spans="1:3">
      <c r="A171">
        <v>23</v>
      </c>
      <c r="B171">
        <v>2</v>
      </c>
      <c r="C171" t="str">
        <f>VLOOKUP(A171,'Programas y Unidades'!$A:$B,2,0)</f>
        <v>Administración de Negocios Internacionales</v>
      </c>
    </row>
    <row r="172" spans="1:3">
      <c r="A172">
        <v>20</v>
      </c>
      <c r="B172">
        <v>6</v>
      </c>
      <c r="C172" t="str">
        <f>VLOOKUP(A172,'Programas y Unidades'!$A:$B,2,0)</f>
        <v>Administración &amp; Servicio</v>
      </c>
    </row>
    <row r="173" spans="1:3">
      <c r="A173">
        <v>23</v>
      </c>
      <c r="B173">
        <v>3</v>
      </c>
      <c r="C173" t="str">
        <f>VLOOKUP(A173,'Programas y Unidades'!$A:$B,2,0)</f>
        <v>Administración de Negocios Internacionales</v>
      </c>
    </row>
    <row r="174" spans="1:3">
      <c r="A174">
        <v>20</v>
      </c>
      <c r="B174">
        <v>7</v>
      </c>
      <c r="C174" t="str">
        <f>VLOOKUP(A174,'Programas y Unidades'!$A:$B,2,0)</f>
        <v>Administración &amp; Servicio</v>
      </c>
    </row>
    <row r="175" spans="1:3">
      <c r="A175">
        <v>23</v>
      </c>
      <c r="B175">
        <v>4</v>
      </c>
      <c r="C175" t="str">
        <f>VLOOKUP(A175,'Programas y Unidades'!$A:$B,2,0)</f>
        <v>Administración de Negocios Internacionales</v>
      </c>
    </row>
    <row r="176" spans="1:3">
      <c r="A176">
        <v>23</v>
      </c>
      <c r="B176">
        <v>4</v>
      </c>
      <c r="C176" t="str">
        <f>VLOOKUP(A176,'Programas y Unidades'!$A:$B,2,0)</f>
        <v>Administración de Negocios Internacionales</v>
      </c>
    </row>
    <row r="177" spans="1:3">
      <c r="A177">
        <v>43</v>
      </c>
      <c r="B177">
        <v>2</v>
      </c>
      <c r="C177" t="str">
        <f>VLOOKUP(A177,'Programas y Unidades'!$A:$B,2,0)</f>
        <v>Psicología</v>
      </c>
    </row>
    <row r="178" spans="1:3">
      <c r="A178">
        <v>43</v>
      </c>
      <c r="B178">
        <v>2</v>
      </c>
      <c r="C178" t="str">
        <f>VLOOKUP(A178,'Programas y Unidades'!$A:$B,2,0)</f>
        <v>Psicología</v>
      </c>
    </row>
    <row r="179" spans="1:3">
      <c r="A179">
        <v>43</v>
      </c>
      <c r="B179">
        <v>2</v>
      </c>
      <c r="C179" t="str">
        <f>VLOOKUP(A179,'Programas y Unidades'!$A:$B,2,0)</f>
        <v>Psicología</v>
      </c>
    </row>
    <row r="180" spans="1:3">
      <c r="A180">
        <v>43</v>
      </c>
      <c r="B180">
        <v>2</v>
      </c>
      <c r="C180" t="str">
        <f>VLOOKUP(A180,'Programas y Unidades'!$A:$B,2,0)</f>
        <v>Psicología</v>
      </c>
    </row>
    <row r="181" spans="1:3">
      <c r="A181">
        <v>43</v>
      </c>
      <c r="B181">
        <v>2</v>
      </c>
      <c r="C181" t="str">
        <f>VLOOKUP(A181,'Programas y Unidades'!$A:$B,2,0)</f>
        <v>Psicología</v>
      </c>
    </row>
    <row r="182" spans="1:3">
      <c r="A182">
        <v>43</v>
      </c>
      <c r="B182">
        <v>2</v>
      </c>
      <c r="C182" t="str">
        <f>VLOOKUP(A182,'Programas y Unidades'!$A:$B,2,0)</f>
        <v>Psicología</v>
      </c>
    </row>
    <row r="183" spans="1:3">
      <c r="A183">
        <v>43</v>
      </c>
      <c r="B183">
        <v>2</v>
      </c>
      <c r="C183" t="str">
        <f>VLOOKUP(A183,'Programas y Unidades'!$A:$B,2,0)</f>
        <v>Psicología</v>
      </c>
    </row>
    <row r="184" spans="1:3">
      <c r="A184">
        <v>43</v>
      </c>
      <c r="B184">
        <v>2</v>
      </c>
      <c r="C184" t="str">
        <f>VLOOKUP(A184,'Programas y Unidades'!$A:$B,2,0)</f>
        <v>Psicología</v>
      </c>
    </row>
    <row r="185" spans="1:3">
      <c r="A185">
        <v>43</v>
      </c>
      <c r="B185">
        <v>2</v>
      </c>
      <c r="C185" t="str">
        <f>VLOOKUP(A185,'Programas y Unidades'!$A:$B,2,0)</f>
        <v>Psicología</v>
      </c>
    </row>
    <row r="186" spans="1:3">
      <c r="A186">
        <v>43</v>
      </c>
      <c r="B186">
        <v>2</v>
      </c>
      <c r="C186" t="str">
        <f>VLOOKUP(A186,'Programas y Unidades'!$A:$B,2,0)</f>
        <v>Psicología</v>
      </c>
    </row>
    <row r="187" spans="1:3">
      <c r="A187">
        <v>43</v>
      </c>
      <c r="B187">
        <v>2</v>
      </c>
      <c r="C187" t="str">
        <f>VLOOKUP(A187,'Programas y Unidades'!$A:$B,2,0)</f>
        <v>Psicología</v>
      </c>
    </row>
    <row r="188" spans="1:3">
      <c r="A188">
        <v>43</v>
      </c>
      <c r="B188">
        <v>2</v>
      </c>
      <c r="C188" t="str">
        <f>VLOOKUP(A188,'Programas y Unidades'!$A:$B,2,0)</f>
        <v>Psicología</v>
      </c>
    </row>
    <row r="189" spans="1:3">
      <c r="A189">
        <v>32</v>
      </c>
      <c r="B189">
        <v>8</v>
      </c>
      <c r="C189" t="str">
        <f>VLOOKUP(A189,'Programas y Unidades'!$A:$B,2,0)</f>
        <v>Licenciatura en Educación Infantil</v>
      </c>
    </row>
    <row r="190" spans="1:3">
      <c r="A190">
        <v>43</v>
      </c>
      <c r="B190">
        <v>2</v>
      </c>
      <c r="C190" t="str">
        <f>VLOOKUP(A190,'Programas y Unidades'!$A:$B,2,0)</f>
        <v>Psicología</v>
      </c>
    </row>
    <row r="191" spans="1:3">
      <c r="A191">
        <v>43</v>
      </c>
      <c r="B191">
        <v>2</v>
      </c>
      <c r="C191" t="str">
        <f>VLOOKUP(A191,'Programas y Unidades'!$A:$B,2,0)</f>
        <v>Psicología</v>
      </c>
    </row>
    <row r="192" spans="1:3">
      <c r="A192">
        <v>43</v>
      </c>
      <c r="B192">
        <v>2</v>
      </c>
      <c r="C192" t="str">
        <f>VLOOKUP(A192,'Programas y Unidades'!$A:$B,2,0)</f>
        <v>Psicología</v>
      </c>
    </row>
    <row r="193" spans="1:3">
      <c r="A193">
        <v>43</v>
      </c>
      <c r="B193">
        <v>2</v>
      </c>
      <c r="C193" t="str">
        <f>VLOOKUP(A193,'Programas y Unidades'!$A:$B,2,0)</f>
        <v>Psicología</v>
      </c>
    </row>
    <row r="194" spans="1:3">
      <c r="A194">
        <v>43</v>
      </c>
      <c r="B194">
        <v>4</v>
      </c>
      <c r="C194" t="str">
        <f>VLOOKUP(A194,'Programas y Unidades'!$A:$B,2,0)</f>
        <v>Psicología</v>
      </c>
    </row>
    <row r="195" spans="1:3">
      <c r="A195">
        <v>43</v>
      </c>
      <c r="B195">
        <v>3</v>
      </c>
      <c r="C195" t="str">
        <f>VLOOKUP(A195,'Programas y Unidades'!$A:$B,2,0)</f>
        <v>Psicología</v>
      </c>
    </row>
    <row r="196" spans="1:3">
      <c r="A196">
        <v>43</v>
      </c>
      <c r="B196">
        <v>2</v>
      </c>
      <c r="C196" t="str">
        <f>VLOOKUP(A196,'Programas y Unidades'!$A:$B,2,0)</f>
        <v>Psicología</v>
      </c>
    </row>
    <row r="197" spans="1:3">
      <c r="A197">
        <v>43</v>
      </c>
      <c r="B197">
        <v>2</v>
      </c>
      <c r="C197" t="str">
        <f>VLOOKUP(A197,'Programas y Unidades'!$A:$B,2,0)</f>
        <v>Psicología</v>
      </c>
    </row>
    <row r="198" spans="1:3">
      <c r="A198">
        <v>43</v>
      </c>
      <c r="B198">
        <v>2</v>
      </c>
      <c r="C198" t="str">
        <f>VLOOKUP(A198,'Programas y Unidades'!$A:$B,2,0)</f>
        <v>Psicología</v>
      </c>
    </row>
    <row r="199" spans="1:3">
      <c r="A199">
        <v>43</v>
      </c>
      <c r="B199">
        <v>2</v>
      </c>
      <c r="C199" t="str">
        <f>VLOOKUP(A199,'Programas y Unidades'!$A:$B,2,0)</f>
        <v>Psicología</v>
      </c>
    </row>
    <row r="200" spans="1:3">
      <c r="A200">
        <v>43</v>
      </c>
      <c r="B200">
        <v>2</v>
      </c>
      <c r="C200" t="str">
        <f>VLOOKUP(A200,'Programas y Unidades'!$A:$B,2,0)</f>
        <v>Psicología</v>
      </c>
    </row>
    <row r="201" spans="1:3">
      <c r="A201">
        <v>28</v>
      </c>
      <c r="B201">
        <v>6</v>
      </c>
      <c r="C201" t="str">
        <f>VLOOKUP(A201,'Programas y Unidades'!$A:$B,2,0)</f>
        <v>Comunicación Social y Periodismo</v>
      </c>
    </row>
    <row r="202" spans="1:3">
      <c r="A202">
        <v>28</v>
      </c>
      <c r="B202">
        <v>6</v>
      </c>
      <c r="C202" t="str">
        <f>VLOOKUP(A202,'Programas y Unidades'!$A:$B,2,0)</f>
        <v>Comunicación Social y Periodismo</v>
      </c>
    </row>
    <row r="203" spans="1:3">
      <c r="A203">
        <v>28</v>
      </c>
      <c r="B203">
        <v>6</v>
      </c>
      <c r="C203" t="str">
        <f>VLOOKUP(A203,'Programas y Unidades'!$A:$B,2,0)</f>
        <v>Comunicación Social y Periodismo</v>
      </c>
    </row>
    <row r="204" spans="1:3">
      <c r="A204">
        <v>28</v>
      </c>
      <c r="B204">
        <v>6</v>
      </c>
      <c r="C204" t="str">
        <f>VLOOKUP(A204,'Programas y Unidades'!$A:$B,2,0)</f>
        <v>Comunicación Social y Periodismo</v>
      </c>
    </row>
    <row r="205" spans="1:3">
      <c r="A205">
        <v>28</v>
      </c>
      <c r="B205">
        <v>6</v>
      </c>
      <c r="C205" t="str">
        <f>VLOOKUP(A205,'Programas y Unidades'!$A:$B,2,0)</f>
        <v>Comunicación Social y Periodismo</v>
      </c>
    </row>
    <row r="206" spans="1:3">
      <c r="A206">
        <v>28</v>
      </c>
      <c r="B206">
        <v>6</v>
      </c>
      <c r="C206" t="str">
        <f>VLOOKUP(A206,'Programas y Unidades'!$A:$B,2,0)</f>
        <v>Comunicación Social y Periodismo</v>
      </c>
    </row>
    <row r="207" spans="1:3">
      <c r="A207">
        <v>28</v>
      </c>
      <c r="B207">
        <v>6</v>
      </c>
      <c r="C207" t="str">
        <f>VLOOKUP(A207,'Programas y Unidades'!$A:$B,2,0)</f>
        <v>Comunicación Social y Periodismo</v>
      </c>
    </row>
    <row r="208" spans="1:3">
      <c r="A208">
        <v>28</v>
      </c>
      <c r="B208">
        <v>6</v>
      </c>
      <c r="C208" t="str">
        <f>VLOOKUP(A208,'Programas y Unidades'!$A:$B,2,0)</f>
        <v>Comunicación Social y Periodismo</v>
      </c>
    </row>
    <row r="209" spans="1:3">
      <c r="A209">
        <v>28</v>
      </c>
      <c r="B209">
        <v>6</v>
      </c>
      <c r="C209" t="str">
        <f>VLOOKUP(A209,'Programas y Unidades'!$A:$B,2,0)</f>
        <v>Comunicación Social y Periodismo</v>
      </c>
    </row>
    <row r="210" spans="1:3">
      <c r="A210">
        <v>28</v>
      </c>
      <c r="B210">
        <v>8</v>
      </c>
      <c r="C210" t="str">
        <f>VLOOKUP(A210,'Programas y Unidades'!$A:$B,2,0)</f>
        <v>Comunicación Social y Periodismo</v>
      </c>
    </row>
    <row r="211" spans="1:3">
      <c r="A211">
        <v>28</v>
      </c>
      <c r="B211">
        <v>5</v>
      </c>
      <c r="C211" t="str">
        <f>VLOOKUP(A211,'Programas y Unidades'!$A:$B,2,0)</f>
        <v>Comunicación Social y Periodismo</v>
      </c>
    </row>
    <row r="212" spans="1:3">
      <c r="A212">
        <v>28</v>
      </c>
      <c r="B212">
        <v>6</v>
      </c>
      <c r="C212" t="str">
        <f>VLOOKUP(A212,'Programas y Unidades'!$A:$B,2,0)</f>
        <v>Comunicación Social y Periodismo</v>
      </c>
    </row>
    <row r="213" spans="1:3">
      <c r="A213">
        <v>28</v>
      </c>
      <c r="B213">
        <v>7</v>
      </c>
      <c r="C213" t="str">
        <f>VLOOKUP(A213,'Programas y Unidades'!$A:$B,2,0)</f>
        <v>Comunicación Social y Periodismo</v>
      </c>
    </row>
    <row r="214" spans="1:3">
      <c r="A214">
        <v>28</v>
      </c>
      <c r="B214">
        <v>6</v>
      </c>
      <c r="C214" t="str">
        <f>VLOOKUP(A214,'Programas y Unidades'!$A:$B,2,0)</f>
        <v>Comunicación Social y Periodismo</v>
      </c>
    </row>
    <row r="215" spans="1:3">
      <c r="A215">
        <v>28</v>
      </c>
      <c r="B215">
        <v>6</v>
      </c>
      <c r="C215" t="str">
        <f>VLOOKUP(A215,'Programas y Unidades'!$A:$B,2,0)</f>
        <v>Comunicación Social y Periodismo</v>
      </c>
    </row>
    <row r="216" spans="1:3">
      <c r="A216">
        <v>28</v>
      </c>
      <c r="B216">
        <v>7</v>
      </c>
      <c r="C216" t="str">
        <f>VLOOKUP(A216,'Programas y Unidades'!$A:$B,2,0)</f>
        <v>Comunicación Social y Periodismo</v>
      </c>
    </row>
    <row r="217" spans="1:3">
      <c r="A217">
        <v>28</v>
      </c>
      <c r="B217">
        <v>6</v>
      </c>
      <c r="C217" t="str">
        <f>VLOOKUP(A217,'Programas y Unidades'!$A:$B,2,0)</f>
        <v>Comunicación Social y Periodismo</v>
      </c>
    </row>
    <row r="218" spans="1:3">
      <c r="A218">
        <v>21</v>
      </c>
      <c r="B218">
        <v>6</v>
      </c>
      <c r="C218" t="str">
        <f>VLOOKUP(A218,'Programas y Unidades'!$A:$B,2,0)</f>
        <v>Administración de Empresas</v>
      </c>
    </row>
    <row r="219" spans="1:3">
      <c r="A219">
        <v>21</v>
      </c>
      <c r="B219">
        <v>5</v>
      </c>
      <c r="C219" t="str">
        <f>VLOOKUP(A219,'Programas y Unidades'!$A:$B,2,0)</f>
        <v>Administración de Empresas</v>
      </c>
    </row>
    <row r="220" spans="1:3">
      <c r="A220">
        <v>21</v>
      </c>
      <c r="B220">
        <v>5</v>
      </c>
      <c r="C220" t="str">
        <f>VLOOKUP(A220,'Programas y Unidades'!$A:$B,2,0)</f>
        <v>Administración de Empresas</v>
      </c>
    </row>
    <row r="221" spans="1:3">
      <c r="A221">
        <v>21</v>
      </c>
      <c r="B221">
        <v>6</v>
      </c>
      <c r="C221" t="str">
        <f>VLOOKUP(A221,'Programas y Unidades'!$A:$B,2,0)</f>
        <v>Administración de Empresas</v>
      </c>
    </row>
    <row r="222" spans="1:3">
      <c r="A222">
        <v>21</v>
      </c>
      <c r="B222">
        <v>5</v>
      </c>
      <c r="C222" t="str">
        <f>VLOOKUP(A222,'Programas y Unidades'!$A:$B,2,0)</f>
        <v>Administración de Empresas</v>
      </c>
    </row>
    <row r="223" spans="1:3">
      <c r="A223">
        <v>21</v>
      </c>
      <c r="B223">
        <v>5</v>
      </c>
      <c r="C223" t="str">
        <f>VLOOKUP(A223,'Programas y Unidades'!$A:$B,2,0)</f>
        <v>Administración de Empresas</v>
      </c>
    </row>
    <row r="224" spans="1:3">
      <c r="A224">
        <v>21</v>
      </c>
      <c r="B224">
        <v>5</v>
      </c>
      <c r="C224" t="str">
        <f>VLOOKUP(A224,'Programas y Unidades'!$A:$B,2,0)</f>
        <v>Administración de Empresas</v>
      </c>
    </row>
    <row r="225" spans="1:3">
      <c r="A225">
        <v>21</v>
      </c>
      <c r="B225">
        <v>7</v>
      </c>
      <c r="C225" t="str">
        <f>VLOOKUP(A225,'Programas y Unidades'!$A:$B,2,0)</f>
        <v>Administración de Empresas</v>
      </c>
    </row>
    <row r="226" spans="1:3">
      <c r="A226">
        <v>21</v>
      </c>
      <c r="B226">
        <v>6</v>
      </c>
      <c r="C226" t="str">
        <f>VLOOKUP(A226,'Programas y Unidades'!$A:$B,2,0)</f>
        <v>Administración de Empresas</v>
      </c>
    </row>
    <row r="227" spans="1:3">
      <c r="A227">
        <v>21</v>
      </c>
      <c r="B227">
        <v>5</v>
      </c>
      <c r="C227" t="str">
        <f>VLOOKUP(A227,'Programas y Unidades'!$A:$B,2,0)</f>
        <v>Administración de Empresas</v>
      </c>
    </row>
    <row r="228" spans="1:3">
      <c r="A228">
        <v>21</v>
      </c>
      <c r="B228">
        <v>5</v>
      </c>
      <c r="C228" t="str">
        <f>VLOOKUP(A228,'Programas y Unidades'!$A:$B,2,0)</f>
        <v>Administración de Empresas</v>
      </c>
    </row>
    <row r="229" spans="1:3">
      <c r="A229">
        <v>21</v>
      </c>
      <c r="B229">
        <v>8</v>
      </c>
      <c r="C229" t="str">
        <f>VLOOKUP(A229,'Programas y Unidades'!$A:$B,2,0)</f>
        <v>Administración de Empresas</v>
      </c>
    </row>
    <row r="230" spans="1:3">
      <c r="A230">
        <v>21</v>
      </c>
      <c r="B230">
        <v>5</v>
      </c>
      <c r="C230" t="str">
        <f>VLOOKUP(A230,'Programas y Unidades'!$A:$B,2,0)</f>
        <v>Administración de Empresas</v>
      </c>
    </row>
    <row r="231" spans="1:3">
      <c r="A231">
        <v>21</v>
      </c>
      <c r="B231">
        <v>5</v>
      </c>
      <c r="C231" t="str">
        <f>VLOOKUP(A231,'Programas y Unidades'!$A:$B,2,0)</f>
        <v>Administración de Empresas</v>
      </c>
    </row>
    <row r="232" spans="1:3">
      <c r="A232">
        <v>21</v>
      </c>
      <c r="B232">
        <v>5</v>
      </c>
      <c r="C232" t="str">
        <f>VLOOKUP(A232,'Programas y Unidades'!$A:$B,2,0)</f>
        <v>Administración de Empresas</v>
      </c>
    </row>
    <row r="233" spans="1:3">
      <c r="A233">
        <v>21</v>
      </c>
      <c r="B233">
        <v>6</v>
      </c>
      <c r="C233" t="str">
        <f>VLOOKUP(A233,'Programas y Unidades'!$A:$B,2,0)</f>
        <v>Administración de Empresas</v>
      </c>
    </row>
    <row r="234" spans="1:3">
      <c r="A234">
        <v>21</v>
      </c>
      <c r="B234">
        <v>5</v>
      </c>
      <c r="C234" t="str">
        <f>VLOOKUP(A234,'Programas y Unidades'!$A:$B,2,0)</f>
        <v>Administración de Empresas</v>
      </c>
    </row>
    <row r="235" spans="1:3">
      <c r="A235">
        <v>21</v>
      </c>
      <c r="B235">
        <v>6</v>
      </c>
      <c r="C235" t="str">
        <f>VLOOKUP(A235,'Programas y Unidades'!$A:$B,2,0)</f>
        <v>Administración de Empresas</v>
      </c>
    </row>
    <row r="236" spans="1:3">
      <c r="A236">
        <v>34</v>
      </c>
      <c r="B236">
        <v>4</v>
      </c>
      <c r="C236" t="str">
        <f>VLOOKUP(A236,'Programas y Unidades'!$A:$B,2,0)</f>
        <v>Fisioterapia</v>
      </c>
    </row>
    <row r="237" spans="1:3">
      <c r="A237">
        <v>34</v>
      </c>
      <c r="B237">
        <v>4</v>
      </c>
      <c r="C237" t="str">
        <f>VLOOKUP(A237,'Programas y Unidades'!$A:$B,2,0)</f>
        <v>Fisioterapia</v>
      </c>
    </row>
    <row r="238" spans="1:3">
      <c r="A238">
        <v>34</v>
      </c>
      <c r="B238">
        <v>4</v>
      </c>
      <c r="C238" t="str">
        <f>VLOOKUP(A238,'Programas y Unidades'!$A:$B,2,0)</f>
        <v>Fisioterapia</v>
      </c>
    </row>
    <row r="239" spans="1:3">
      <c r="A239">
        <v>34</v>
      </c>
      <c r="B239">
        <v>4</v>
      </c>
      <c r="C239" t="str">
        <f>VLOOKUP(A239,'Programas y Unidades'!$A:$B,2,0)</f>
        <v>Fisioterapia</v>
      </c>
    </row>
    <row r="240" spans="1:3">
      <c r="A240">
        <v>34</v>
      </c>
      <c r="B240">
        <v>4</v>
      </c>
      <c r="C240" t="str">
        <f>VLOOKUP(A240,'Programas y Unidades'!$A:$B,2,0)</f>
        <v>Fisioterapia</v>
      </c>
    </row>
    <row r="241" spans="1:3">
      <c r="A241">
        <v>34</v>
      </c>
      <c r="B241">
        <v>4</v>
      </c>
      <c r="C241" t="str">
        <f>VLOOKUP(A241,'Programas y Unidades'!$A:$B,2,0)</f>
        <v>Fisioterapia</v>
      </c>
    </row>
    <row r="242" spans="1:3">
      <c r="A242">
        <v>34</v>
      </c>
      <c r="B242">
        <v>4</v>
      </c>
      <c r="C242" t="str">
        <f>VLOOKUP(A242,'Programas y Unidades'!$A:$B,2,0)</f>
        <v>Fisioterapia</v>
      </c>
    </row>
    <row r="243" spans="1:3">
      <c r="A243">
        <v>34</v>
      </c>
      <c r="B243">
        <v>4</v>
      </c>
      <c r="C243" t="str">
        <f>VLOOKUP(A243,'Programas y Unidades'!$A:$B,2,0)</f>
        <v>Fisioterapia</v>
      </c>
    </row>
    <row r="244" spans="1:3">
      <c r="A244">
        <v>34</v>
      </c>
      <c r="B244">
        <v>4</v>
      </c>
      <c r="C244" t="str">
        <f>VLOOKUP(A244,'Programas y Unidades'!$A:$B,2,0)</f>
        <v>Fisioterapia</v>
      </c>
    </row>
    <row r="245" spans="1:3">
      <c r="A245">
        <v>34</v>
      </c>
      <c r="B245">
        <v>4</v>
      </c>
      <c r="C245" t="str">
        <f>VLOOKUP(A245,'Programas y Unidades'!$A:$B,2,0)</f>
        <v>Fisioterapia</v>
      </c>
    </row>
    <row r="246" spans="1:3">
      <c r="A246">
        <v>34</v>
      </c>
      <c r="B246">
        <v>4</v>
      </c>
      <c r="C246" t="str">
        <f>VLOOKUP(A246,'Programas y Unidades'!$A:$B,2,0)</f>
        <v>Fisioterapia</v>
      </c>
    </row>
    <row r="247" spans="1:3">
      <c r="A247">
        <v>34</v>
      </c>
      <c r="B247">
        <v>4</v>
      </c>
      <c r="C247" t="str">
        <f>VLOOKUP(A247,'Programas y Unidades'!$A:$B,2,0)</f>
        <v>Fisioterapia</v>
      </c>
    </row>
    <row r="248" spans="1:3">
      <c r="A248">
        <v>34</v>
      </c>
      <c r="B248">
        <v>4</v>
      </c>
      <c r="C248" t="str">
        <f>VLOOKUP(A248,'Programas y Unidades'!$A:$B,2,0)</f>
        <v>Fisioterapia</v>
      </c>
    </row>
    <row r="249" spans="1:3">
      <c r="A249">
        <v>34</v>
      </c>
      <c r="B249">
        <v>4</v>
      </c>
      <c r="C249" t="str">
        <f>VLOOKUP(A249,'Programas y Unidades'!$A:$B,2,0)</f>
        <v>Fisioterapia</v>
      </c>
    </row>
    <row r="250" spans="1:3">
      <c r="A250">
        <v>34</v>
      </c>
      <c r="B250">
        <v>4</v>
      </c>
      <c r="C250" t="str">
        <f>VLOOKUP(A250,'Programas y Unidades'!$A:$B,2,0)</f>
        <v>Fisioterapia</v>
      </c>
    </row>
    <row r="251" spans="1:3">
      <c r="A251">
        <v>34</v>
      </c>
      <c r="B251">
        <v>4</v>
      </c>
      <c r="C251" t="str">
        <f>VLOOKUP(A251,'Programas y Unidades'!$A:$B,2,0)</f>
        <v>Fisioterapia</v>
      </c>
    </row>
    <row r="252" spans="1:3">
      <c r="A252">
        <v>21</v>
      </c>
      <c r="B252">
        <v>6</v>
      </c>
      <c r="C252" t="str">
        <f>VLOOKUP(A252,'Programas y Unidades'!$A:$B,2,0)</f>
        <v>Administración de Empresas</v>
      </c>
    </row>
    <row r="253" spans="1:3">
      <c r="A253">
        <v>148</v>
      </c>
      <c r="B253">
        <v>2</v>
      </c>
      <c r="C253" t="str">
        <f>VLOOKUP(A253,'Programas y Unidades'!$A:$B,2,0)</f>
        <v>Ciencia de Datos</v>
      </c>
    </row>
    <row r="254" spans="1:3">
      <c r="A254">
        <v>148</v>
      </c>
      <c r="B254">
        <v>2</v>
      </c>
      <c r="C254" t="str">
        <f>VLOOKUP(A254,'Programas y Unidades'!$A:$B,2,0)</f>
        <v>Ciencia de Datos</v>
      </c>
    </row>
    <row r="255" spans="1:3">
      <c r="A255">
        <v>148</v>
      </c>
      <c r="B255">
        <v>2</v>
      </c>
      <c r="C255" t="str">
        <f>VLOOKUP(A255,'Programas y Unidades'!$A:$B,2,0)</f>
        <v>Ciencia de Datos</v>
      </c>
    </row>
    <row r="256" spans="1:3">
      <c r="A256">
        <v>148</v>
      </c>
      <c r="B256">
        <v>2</v>
      </c>
      <c r="C256" t="str">
        <f>VLOOKUP(A256,'Programas y Unidades'!$A:$B,2,0)</f>
        <v>Ciencia de Datos</v>
      </c>
    </row>
    <row r="257" spans="1:3">
      <c r="A257">
        <v>148</v>
      </c>
      <c r="B257">
        <v>2</v>
      </c>
      <c r="C257" t="str">
        <f>VLOOKUP(A257,'Programas y Unidades'!$A:$B,2,0)</f>
        <v>Ciencia de Datos</v>
      </c>
    </row>
    <row r="258" spans="1:3">
      <c r="A258">
        <v>148</v>
      </c>
      <c r="B258">
        <v>2</v>
      </c>
      <c r="C258" t="str">
        <f>VLOOKUP(A258,'Programas y Unidades'!$A:$B,2,0)</f>
        <v>Ciencia de Datos</v>
      </c>
    </row>
    <row r="259" spans="1:3">
      <c r="A259">
        <v>148</v>
      </c>
      <c r="B259">
        <v>2</v>
      </c>
      <c r="C259" t="str">
        <f>VLOOKUP(A259,'Programas y Unidades'!$A:$B,2,0)</f>
        <v>Ciencia de Datos</v>
      </c>
    </row>
    <row r="260" spans="1:3">
      <c r="A260">
        <v>148</v>
      </c>
      <c r="B260">
        <v>2</v>
      </c>
      <c r="C260" t="str">
        <f>VLOOKUP(A260,'Programas y Unidades'!$A:$B,2,0)</f>
        <v>Ciencia de Datos</v>
      </c>
    </row>
    <row r="261" spans="1:3">
      <c r="A261">
        <v>148</v>
      </c>
      <c r="B261">
        <v>3</v>
      </c>
      <c r="C261" t="str">
        <f>VLOOKUP(A261,'Programas y Unidades'!$A:$B,2,0)</f>
        <v>Ciencia de Datos</v>
      </c>
    </row>
    <row r="262" spans="1:3">
      <c r="A262">
        <v>148</v>
      </c>
      <c r="B262">
        <v>2</v>
      </c>
      <c r="C262" t="str">
        <f>VLOOKUP(A262,'Programas y Unidades'!$A:$B,2,0)</f>
        <v>Ciencia de Datos</v>
      </c>
    </row>
    <row r="263" spans="1:3">
      <c r="A263">
        <v>148</v>
      </c>
      <c r="B263">
        <v>2</v>
      </c>
      <c r="C263" t="str">
        <f>VLOOKUP(A263,'Programas y Unidades'!$A:$B,2,0)</f>
        <v>Ciencia de Datos</v>
      </c>
    </row>
    <row r="264" spans="1:3">
      <c r="A264">
        <v>148</v>
      </c>
      <c r="B264">
        <v>2</v>
      </c>
      <c r="C264" t="str">
        <f>VLOOKUP(A264,'Programas y Unidades'!$A:$B,2,0)</f>
        <v>Ciencia de Datos</v>
      </c>
    </row>
    <row r="265" spans="1:3">
      <c r="A265">
        <v>148</v>
      </c>
      <c r="B265">
        <v>2</v>
      </c>
      <c r="C265" t="str">
        <f>VLOOKUP(A265,'Programas y Unidades'!$A:$B,2,0)</f>
        <v>Ciencia de Datos</v>
      </c>
    </row>
    <row r="266" spans="1:3">
      <c r="A266">
        <v>148</v>
      </c>
      <c r="B266">
        <v>2</v>
      </c>
      <c r="C266" t="str">
        <f>VLOOKUP(A266,'Programas y Unidades'!$A:$B,2,0)</f>
        <v>Ciencia de Datos</v>
      </c>
    </row>
    <row r="267" spans="1:3">
      <c r="A267">
        <v>148</v>
      </c>
      <c r="B267">
        <v>2</v>
      </c>
      <c r="C267" t="str">
        <f>VLOOKUP(A267,'Programas y Unidades'!$A:$B,2,0)</f>
        <v>Ciencia de Datos</v>
      </c>
    </row>
    <row r="268" spans="1:3">
      <c r="A268">
        <v>148</v>
      </c>
      <c r="B268">
        <v>2</v>
      </c>
      <c r="C268" t="str">
        <f>VLOOKUP(A268,'Programas y Unidades'!$A:$B,2,0)</f>
        <v>Ciencia de Datos</v>
      </c>
    </row>
    <row r="269" spans="1:3">
      <c r="A269">
        <v>148</v>
      </c>
      <c r="B269">
        <v>2</v>
      </c>
      <c r="C269" t="str">
        <f>VLOOKUP(A269,'Programas y Unidades'!$A:$B,2,0)</f>
        <v>Ciencia de Datos</v>
      </c>
    </row>
    <row r="270" spans="1:3">
      <c r="A270">
        <v>148</v>
      </c>
      <c r="B270">
        <v>3</v>
      </c>
      <c r="C270" t="str">
        <f>VLOOKUP(A270,'Programas y Unidades'!$A:$B,2,0)</f>
        <v>Ciencia de Datos</v>
      </c>
    </row>
    <row r="271" spans="1:3">
      <c r="A271">
        <v>38</v>
      </c>
      <c r="B271">
        <v>8</v>
      </c>
      <c r="C271" t="str">
        <f>VLOOKUP(A271,'Programas y Unidades'!$A:$B,2,0)</f>
        <v>Ingeniería Industrial</v>
      </c>
    </row>
    <row r="272" spans="1:3">
      <c r="A272">
        <v>148</v>
      </c>
      <c r="B272">
        <v>2</v>
      </c>
      <c r="C272" t="str">
        <f>VLOOKUP(A272,'Programas y Unidades'!$A:$B,2,0)</f>
        <v>Ciencia de Datos</v>
      </c>
    </row>
    <row r="273" spans="1:3">
      <c r="A273">
        <v>39</v>
      </c>
      <c r="B273">
        <v>5</v>
      </c>
      <c r="C273" t="str">
        <f>VLOOKUP(A273,'Programas y Unidades'!$A:$B,2,0)</f>
        <v>Ingeniería Informática</v>
      </c>
    </row>
    <row r="274" spans="1:3">
      <c r="A274">
        <v>39</v>
      </c>
      <c r="B274">
        <v>5</v>
      </c>
      <c r="C274" t="str">
        <f>VLOOKUP(A274,'Programas y Unidades'!$A:$B,2,0)</f>
        <v>Ingeniería Informática</v>
      </c>
    </row>
    <row r="275" spans="1:3">
      <c r="A275">
        <v>39</v>
      </c>
      <c r="B275">
        <v>5</v>
      </c>
      <c r="C275" t="str">
        <f>VLOOKUP(A275,'Programas y Unidades'!$A:$B,2,0)</f>
        <v>Ingeniería Informática</v>
      </c>
    </row>
    <row r="276" spans="1:3">
      <c r="A276">
        <v>39</v>
      </c>
      <c r="B276">
        <v>5</v>
      </c>
      <c r="C276" t="str">
        <f>VLOOKUP(A276,'Programas y Unidades'!$A:$B,2,0)</f>
        <v>Ingeniería Informática</v>
      </c>
    </row>
    <row r="277" spans="1:3">
      <c r="A277">
        <v>39</v>
      </c>
      <c r="B277">
        <v>3</v>
      </c>
      <c r="C277" t="str">
        <f>VLOOKUP(A277,'Programas y Unidades'!$A:$B,2,0)</f>
        <v>Ingeniería Informática</v>
      </c>
    </row>
    <row r="278" spans="1:3">
      <c r="A278">
        <v>39</v>
      </c>
      <c r="B278">
        <v>5</v>
      </c>
      <c r="C278" t="str">
        <f>VLOOKUP(A278,'Programas y Unidades'!$A:$B,2,0)</f>
        <v>Ingeniería Informática</v>
      </c>
    </row>
    <row r="279" spans="1:3">
      <c r="A279">
        <v>39</v>
      </c>
      <c r="B279">
        <v>2</v>
      </c>
      <c r="C279" t="str">
        <f>VLOOKUP(A279,'Programas y Unidades'!$A:$B,2,0)</f>
        <v>Ingeniería Informática</v>
      </c>
    </row>
    <row r="280" spans="1:3">
      <c r="A280">
        <v>39</v>
      </c>
      <c r="B280">
        <v>2</v>
      </c>
      <c r="C280" t="str">
        <f>VLOOKUP(A280,'Programas y Unidades'!$A:$B,2,0)</f>
        <v>Ingeniería Informática</v>
      </c>
    </row>
    <row r="281" spans="1:3">
      <c r="A281">
        <v>39</v>
      </c>
      <c r="B281">
        <v>2</v>
      </c>
      <c r="C281" t="str">
        <f>VLOOKUP(A281,'Programas y Unidades'!$A:$B,2,0)</f>
        <v>Ingeniería Informática</v>
      </c>
    </row>
    <row r="282" spans="1:3">
      <c r="A282">
        <v>39</v>
      </c>
      <c r="B282">
        <v>2</v>
      </c>
      <c r="C282" t="str">
        <f>VLOOKUP(A282,'Programas y Unidades'!$A:$B,2,0)</f>
        <v>Ingeniería Informática</v>
      </c>
    </row>
    <row r="283" spans="1:3">
      <c r="A283">
        <v>39</v>
      </c>
      <c r="B283">
        <v>2</v>
      </c>
      <c r="C283" t="str">
        <f>VLOOKUP(A283,'Programas y Unidades'!$A:$B,2,0)</f>
        <v>Ingeniería Informática</v>
      </c>
    </row>
    <row r="284" spans="1:3">
      <c r="A284">
        <v>39</v>
      </c>
      <c r="B284">
        <v>2</v>
      </c>
      <c r="C284" t="str">
        <f>VLOOKUP(A284,'Programas y Unidades'!$A:$B,2,0)</f>
        <v>Ingeniería Informática</v>
      </c>
    </row>
    <row r="285" spans="1:3">
      <c r="A285">
        <v>39</v>
      </c>
      <c r="B285">
        <v>2</v>
      </c>
      <c r="C285" t="str">
        <f>VLOOKUP(A285,'Programas y Unidades'!$A:$B,2,0)</f>
        <v>Ingeniería Informática</v>
      </c>
    </row>
    <row r="286" spans="1:3">
      <c r="A286">
        <v>39</v>
      </c>
      <c r="B286">
        <v>2</v>
      </c>
      <c r="C286" t="str">
        <f>VLOOKUP(A286,'Programas y Unidades'!$A:$B,2,0)</f>
        <v>Ingeniería Informática</v>
      </c>
    </row>
    <row r="287" spans="1:3">
      <c r="A287">
        <v>39</v>
      </c>
      <c r="B287">
        <v>2</v>
      </c>
      <c r="C287" t="str">
        <f>VLOOKUP(A287,'Programas y Unidades'!$A:$B,2,0)</f>
        <v>Ingeniería Informática</v>
      </c>
    </row>
    <row r="288" spans="1:3">
      <c r="A288">
        <v>39</v>
      </c>
      <c r="B288">
        <v>2</v>
      </c>
      <c r="C288" t="str">
        <f>VLOOKUP(A288,'Programas y Unidades'!$A:$B,2,0)</f>
        <v>Ingeniería Informática</v>
      </c>
    </row>
    <row r="289" spans="1:3">
      <c r="A289">
        <v>39</v>
      </c>
      <c r="B289">
        <v>2</v>
      </c>
      <c r="C289" t="str">
        <f>VLOOKUP(A289,'Programas y Unidades'!$A:$B,2,0)</f>
        <v>Ingeniería Informática</v>
      </c>
    </row>
    <row r="290" spans="1:3">
      <c r="A290">
        <v>39</v>
      </c>
      <c r="B290">
        <v>2</v>
      </c>
      <c r="C290" t="str">
        <f>VLOOKUP(A290,'Programas y Unidades'!$A:$B,2,0)</f>
        <v>Ingeniería Informática</v>
      </c>
    </row>
    <row r="291" spans="1:3">
      <c r="A291">
        <v>39</v>
      </c>
      <c r="B291">
        <v>2</v>
      </c>
      <c r="C291" t="str">
        <f>VLOOKUP(A291,'Programas y Unidades'!$A:$B,2,0)</f>
        <v>Ingeniería Informática</v>
      </c>
    </row>
    <row r="292" spans="1:3">
      <c r="A292">
        <v>39</v>
      </c>
      <c r="B292">
        <v>2</v>
      </c>
      <c r="C292" t="str">
        <f>VLOOKUP(A292,'Programas y Unidades'!$A:$B,2,0)</f>
        <v>Ingeniería Informática</v>
      </c>
    </row>
    <row r="293" spans="1:3">
      <c r="A293">
        <v>39</v>
      </c>
      <c r="B293">
        <v>2</v>
      </c>
      <c r="C293" t="str">
        <f>VLOOKUP(A293,'Programas y Unidades'!$A:$B,2,0)</f>
        <v>Ingeniería Informática</v>
      </c>
    </row>
    <row r="294" spans="1:3">
      <c r="A294">
        <v>32</v>
      </c>
      <c r="B294">
        <v>5</v>
      </c>
      <c r="C294" t="str">
        <f>VLOOKUP(A294,'Programas y Unidades'!$A:$B,2,0)</f>
        <v>Licenciatura en Educación Infantil</v>
      </c>
    </row>
    <row r="295" spans="1:3">
      <c r="A295">
        <v>32</v>
      </c>
      <c r="B295">
        <v>5</v>
      </c>
      <c r="C295" t="str">
        <f>VLOOKUP(A295,'Programas y Unidades'!$A:$B,2,0)</f>
        <v>Licenciatura en Educación Infantil</v>
      </c>
    </row>
    <row r="296" spans="1:3">
      <c r="A296">
        <v>32</v>
      </c>
      <c r="B296">
        <v>5</v>
      </c>
      <c r="C296" t="str">
        <f>VLOOKUP(A296,'Programas y Unidades'!$A:$B,2,0)</f>
        <v>Licenciatura en Educación Infantil</v>
      </c>
    </row>
    <row r="297" spans="1:3">
      <c r="A297">
        <v>32</v>
      </c>
      <c r="B297">
        <v>5</v>
      </c>
      <c r="C297" t="str">
        <f>VLOOKUP(A297,'Programas y Unidades'!$A:$B,2,0)</f>
        <v>Licenciatura en Educación Infantil</v>
      </c>
    </row>
    <row r="298" spans="1:3">
      <c r="A298">
        <v>32</v>
      </c>
      <c r="B298">
        <v>5</v>
      </c>
      <c r="C298" t="str">
        <f>VLOOKUP(A298,'Programas y Unidades'!$A:$B,2,0)</f>
        <v>Licenciatura en Educación Infantil</v>
      </c>
    </row>
    <row r="299" spans="1:3">
      <c r="A299">
        <v>32</v>
      </c>
      <c r="B299">
        <v>5</v>
      </c>
      <c r="C299" t="str">
        <f>VLOOKUP(A299,'Programas y Unidades'!$A:$B,2,0)</f>
        <v>Licenciatura en Educación Infantil</v>
      </c>
    </row>
    <row r="300" spans="1:3">
      <c r="A300">
        <v>32</v>
      </c>
      <c r="B300">
        <v>5</v>
      </c>
      <c r="C300" t="str">
        <f>VLOOKUP(A300,'Programas y Unidades'!$A:$B,2,0)</f>
        <v>Licenciatura en Educación Infantil</v>
      </c>
    </row>
    <row r="301" spans="1:3">
      <c r="A301">
        <v>39</v>
      </c>
      <c r="B301">
        <v>6</v>
      </c>
      <c r="C301" t="str">
        <f>VLOOKUP(A301,'Programas y Unidades'!$A:$B,2,0)</f>
        <v>Ingeniería Informática</v>
      </c>
    </row>
    <row r="302" spans="1:3">
      <c r="A302">
        <v>39</v>
      </c>
      <c r="B302">
        <v>5</v>
      </c>
      <c r="C302" t="str">
        <f>VLOOKUP(A302,'Programas y Unidades'!$A:$B,2,0)</f>
        <v>Ingeniería Informática</v>
      </c>
    </row>
    <row r="303" spans="1:3">
      <c r="A303">
        <v>39</v>
      </c>
      <c r="B303">
        <v>6</v>
      </c>
      <c r="C303" t="str">
        <f>VLOOKUP(A303,'Programas y Unidades'!$A:$B,2,0)</f>
        <v>Ingeniería Informática</v>
      </c>
    </row>
    <row r="304" spans="1:3">
      <c r="A304">
        <v>39</v>
      </c>
      <c r="B304">
        <v>6</v>
      </c>
      <c r="C304" t="str">
        <f>VLOOKUP(A304,'Programas y Unidades'!$A:$B,2,0)</f>
        <v>Ingeniería Informática</v>
      </c>
    </row>
    <row r="305" spans="1:3">
      <c r="A305">
        <v>39</v>
      </c>
      <c r="B305">
        <v>8</v>
      </c>
      <c r="C305" t="str">
        <f>VLOOKUP(A305,'Programas y Unidades'!$A:$B,2,0)</f>
        <v>Ingeniería Informática</v>
      </c>
    </row>
    <row r="306" spans="1:3">
      <c r="A306">
        <v>39</v>
      </c>
      <c r="B306">
        <v>5</v>
      </c>
      <c r="C306" t="str">
        <f>VLOOKUP(A306,'Programas y Unidades'!$A:$B,2,0)</f>
        <v>Ingeniería Informática</v>
      </c>
    </row>
    <row r="307" spans="1:3">
      <c r="A307">
        <v>39</v>
      </c>
      <c r="B307">
        <v>6</v>
      </c>
      <c r="C307" t="str">
        <f>VLOOKUP(A307,'Programas y Unidades'!$A:$B,2,0)</f>
        <v>Ingeniería Informática</v>
      </c>
    </row>
    <row r="308" spans="1:3">
      <c r="A308">
        <v>39</v>
      </c>
      <c r="B308">
        <v>6</v>
      </c>
      <c r="C308" t="str">
        <f>VLOOKUP(A308,'Programas y Unidades'!$A:$B,2,0)</f>
        <v>Ingeniería Informática</v>
      </c>
    </row>
    <row r="309" spans="1:3">
      <c r="A309">
        <v>39</v>
      </c>
      <c r="B309">
        <v>6</v>
      </c>
      <c r="C309" t="str">
        <f>VLOOKUP(A309,'Programas y Unidades'!$A:$B,2,0)</f>
        <v>Ingeniería Informática</v>
      </c>
    </row>
    <row r="310" spans="1:3">
      <c r="A310">
        <v>39</v>
      </c>
      <c r="B310">
        <v>6</v>
      </c>
      <c r="C310" t="str">
        <f>VLOOKUP(A310,'Programas y Unidades'!$A:$B,2,0)</f>
        <v>Ingeniería Informática</v>
      </c>
    </row>
    <row r="311" spans="1:3">
      <c r="A311">
        <v>39</v>
      </c>
      <c r="B311">
        <v>5</v>
      </c>
      <c r="C311" t="str">
        <f>VLOOKUP(A311,'Programas y Unidades'!$A:$B,2,0)</f>
        <v>Ingeniería Informática</v>
      </c>
    </row>
    <row r="312" spans="1:3">
      <c r="A312">
        <v>39</v>
      </c>
      <c r="B312">
        <v>5</v>
      </c>
      <c r="C312" t="str">
        <f>VLOOKUP(A312,'Programas y Unidades'!$A:$B,2,0)</f>
        <v>Ingeniería Informática</v>
      </c>
    </row>
    <row r="313" spans="1:3">
      <c r="A313">
        <v>39</v>
      </c>
      <c r="B313">
        <v>6</v>
      </c>
      <c r="C313" t="str">
        <f>VLOOKUP(A313,'Programas y Unidades'!$A:$B,2,0)</f>
        <v>Ingeniería Informática</v>
      </c>
    </row>
    <row r="314" spans="1:3">
      <c r="A314">
        <v>39</v>
      </c>
      <c r="B314">
        <v>5</v>
      </c>
      <c r="C314" t="str">
        <f>VLOOKUP(A314,'Programas y Unidades'!$A:$B,2,0)</f>
        <v>Ingeniería Informática</v>
      </c>
    </row>
    <row r="315" spans="1:3">
      <c r="A315">
        <v>39</v>
      </c>
      <c r="B315">
        <v>5</v>
      </c>
      <c r="C315" t="str">
        <f>VLOOKUP(A315,'Programas y Unidades'!$A:$B,2,0)</f>
        <v>Ingeniería Informática</v>
      </c>
    </row>
    <row r="316" spans="1:3">
      <c r="A316">
        <v>39</v>
      </c>
      <c r="B316">
        <v>6</v>
      </c>
      <c r="C316" t="str">
        <f>VLOOKUP(A316,'Programas y Unidades'!$A:$B,2,0)</f>
        <v>Ingeniería Informática</v>
      </c>
    </row>
    <row r="317" spans="1:3">
      <c r="A317">
        <v>39</v>
      </c>
      <c r="B317">
        <v>6</v>
      </c>
      <c r="C317" t="str">
        <f>VLOOKUP(A317,'Programas y Unidades'!$A:$B,2,0)</f>
        <v>Ingeniería Informática</v>
      </c>
    </row>
    <row r="318" spans="1:3">
      <c r="A318">
        <v>39</v>
      </c>
      <c r="B318">
        <v>6</v>
      </c>
      <c r="C318" t="str">
        <f>VLOOKUP(A318,'Programas y Unidades'!$A:$B,2,0)</f>
        <v>Ingeniería Informática</v>
      </c>
    </row>
    <row r="319" spans="1:3">
      <c r="A319">
        <v>39</v>
      </c>
      <c r="B319">
        <v>7</v>
      </c>
      <c r="C319" t="str">
        <f>VLOOKUP(A319,'Programas y Unidades'!$A:$B,2,0)</f>
        <v>Ingeniería Informática</v>
      </c>
    </row>
    <row r="320" spans="1:3">
      <c r="A320">
        <v>40</v>
      </c>
      <c r="B320">
        <v>6</v>
      </c>
      <c r="C320" t="str">
        <f>VLOOKUP(A320,'Programas y Unidades'!$A:$B,2,0)</f>
        <v>Ingeniería Mecánica</v>
      </c>
    </row>
    <row r="321" spans="1:3">
      <c r="A321">
        <v>40</v>
      </c>
      <c r="B321">
        <v>6</v>
      </c>
      <c r="C321" t="str">
        <f>VLOOKUP(A321,'Programas y Unidades'!$A:$B,2,0)</f>
        <v>Ingeniería Mecánica</v>
      </c>
    </row>
    <row r="322" spans="1:3">
      <c r="A322">
        <v>40</v>
      </c>
      <c r="B322">
        <v>6</v>
      </c>
      <c r="C322" t="str">
        <f>VLOOKUP(A322,'Programas y Unidades'!$A:$B,2,0)</f>
        <v>Ingeniería Mecánica</v>
      </c>
    </row>
    <row r="323" spans="1:3">
      <c r="A323">
        <v>40</v>
      </c>
      <c r="B323">
        <v>6</v>
      </c>
      <c r="C323" t="str">
        <f>VLOOKUP(A323,'Programas y Unidades'!$A:$B,2,0)</f>
        <v>Ingeniería Mecánica</v>
      </c>
    </row>
    <row r="324" spans="1:3">
      <c r="A324">
        <v>40</v>
      </c>
      <c r="B324">
        <v>6</v>
      </c>
      <c r="C324" t="str">
        <f>VLOOKUP(A324,'Programas y Unidades'!$A:$B,2,0)</f>
        <v>Ingeniería Mecánica</v>
      </c>
    </row>
    <row r="325" spans="1:3">
      <c r="A325">
        <v>40</v>
      </c>
      <c r="B325">
        <v>6</v>
      </c>
      <c r="C325" t="str">
        <f>VLOOKUP(A325,'Programas y Unidades'!$A:$B,2,0)</f>
        <v>Ingeniería Mecánica</v>
      </c>
    </row>
    <row r="326" spans="1:3">
      <c r="A326">
        <v>40</v>
      </c>
      <c r="B326">
        <v>6</v>
      </c>
      <c r="C326" t="str">
        <f>VLOOKUP(A326,'Programas y Unidades'!$A:$B,2,0)</f>
        <v>Ingeniería Mecánica</v>
      </c>
    </row>
    <row r="327" spans="1:3">
      <c r="A327">
        <v>40</v>
      </c>
      <c r="B327">
        <v>6</v>
      </c>
      <c r="C327" t="str">
        <f>VLOOKUP(A327,'Programas y Unidades'!$A:$B,2,0)</f>
        <v>Ingeniería Mecánica</v>
      </c>
    </row>
    <row r="328" spans="1:3">
      <c r="A328">
        <v>40</v>
      </c>
      <c r="B328">
        <v>6</v>
      </c>
      <c r="C328" t="str">
        <f>VLOOKUP(A328,'Programas y Unidades'!$A:$B,2,0)</f>
        <v>Ingeniería Mecánica</v>
      </c>
    </row>
    <row r="329" spans="1:3">
      <c r="A329">
        <v>40</v>
      </c>
      <c r="B329">
        <v>6</v>
      </c>
      <c r="C329" t="str">
        <f>VLOOKUP(A329,'Programas y Unidades'!$A:$B,2,0)</f>
        <v>Ingeniería Mecánica</v>
      </c>
    </row>
    <row r="330" spans="1:3">
      <c r="A330">
        <v>40</v>
      </c>
      <c r="B330">
        <v>6</v>
      </c>
      <c r="C330" t="str">
        <f>VLOOKUP(A330,'Programas y Unidades'!$A:$B,2,0)</f>
        <v>Ingeniería Mecánica</v>
      </c>
    </row>
    <row r="331" spans="1:3">
      <c r="A331">
        <v>40</v>
      </c>
      <c r="B331">
        <v>6</v>
      </c>
      <c r="C331" t="str">
        <f>VLOOKUP(A331,'Programas y Unidades'!$A:$B,2,0)</f>
        <v>Ingeniería Mecánica</v>
      </c>
    </row>
    <row r="332" spans="1:3">
      <c r="A332">
        <v>40</v>
      </c>
      <c r="B332">
        <v>6</v>
      </c>
      <c r="C332" t="str">
        <f>VLOOKUP(A332,'Programas y Unidades'!$A:$B,2,0)</f>
        <v>Ingeniería Mecánica</v>
      </c>
    </row>
    <row r="333" spans="1:3">
      <c r="A333">
        <v>40</v>
      </c>
      <c r="B333">
        <v>6</v>
      </c>
      <c r="C333" t="str">
        <f>VLOOKUP(A333,'Programas y Unidades'!$A:$B,2,0)</f>
        <v>Ingeniería Mecánica</v>
      </c>
    </row>
    <row r="334" spans="1:3">
      <c r="A334">
        <v>40</v>
      </c>
      <c r="B334">
        <v>8</v>
      </c>
      <c r="C334" t="str">
        <f>VLOOKUP(A334,'Programas y Unidades'!$A:$B,2,0)</f>
        <v>Ingeniería Mecánica</v>
      </c>
    </row>
    <row r="335" spans="1:3">
      <c r="A335">
        <v>40</v>
      </c>
      <c r="B335">
        <v>6</v>
      </c>
      <c r="C335" t="str">
        <f>VLOOKUP(A335,'Programas y Unidades'!$A:$B,2,0)</f>
        <v>Ingeniería Mecánica</v>
      </c>
    </row>
    <row r="336" spans="1:3">
      <c r="A336">
        <v>40</v>
      </c>
      <c r="B336">
        <v>6</v>
      </c>
      <c r="C336" t="str">
        <f>VLOOKUP(A336,'Programas y Unidades'!$A:$B,2,0)</f>
        <v>Ingeniería Mecánica</v>
      </c>
    </row>
    <row r="337" spans="1:3">
      <c r="A337">
        <v>40</v>
      </c>
      <c r="B337">
        <v>8</v>
      </c>
      <c r="C337" t="str">
        <f>VLOOKUP(A337,'Programas y Unidades'!$A:$B,2,0)</f>
        <v>Ingeniería Mecánica</v>
      </c>
    </row>
    <row r="338" spans="1:3">
      <c r="A338">
        <v>40</v>
      </c>
      <c r="B338">
        <v>8</v>
      </c>
      <c r="C338" t="str">
        <f>VLOOKUP(A338,'Programas y Unidades'!$A:$B,2,0)</f>
        <v>Ingeniería Mecánica</v>
      </c>
    </row>
    <row r="339" spans="1:3">
      <c r="A339">
        <v>40</v>
      </c>
      <c r="B339">
        <v>6</v>
      </c>
      <c r="C339" t="str">
        <f>VLOOKUP(A339,'Programas y Unidades'!$A:$B,2,0)</f>
        <v>Ingeniería Mecánica</v>
      </c>
    </row>
    <row r="340" spans="1:3">
      <c r="A340">
        <v>40</v>
      </c>
      <c r="B340">
        <v>6</v>
      </c>
      <c r="C340" t="str">
        <f>VLOOKUP(A340,'Programas y Unidades'!$A:$B,2,0)</f>
        <v>Ingeniería Mecánica</v>
      </c>
    </row>
    <row r="341" spans="1:3">
      <c r="A341">
        <v>23</v>
      </c>
      <c r="B341">
        <v>7</v>
      </c>
      <c r="C341" t="str">
        <f>VLOOKUP(A341,'Programas y Unidades'!$A:$B,2,0)</f>
        <v>Administración de Negocios Internacionales</v>
      </c>
    </row>
    <row r="342" spans="1:3">
      <c r="A342">
        <v>23</v>
      </c>
      <c r="B342">
        <v>7</v>
      </c>
      <c r="C342" t="str">
        <f>VLOOKUP(A342,'Programas y Unidades'!$A:$B,2,0)</f>
        <v>Administración de Negocios Internacionales</v>
      </c>
    </row>
    <row r="343" spans="1:3">
      <c r="A343">
        <v>24</v>
      </c>
      <c r="B343">
        <v>5</v>
      </c>
      <c r="C343" t="str">
        <f>VLOOKUP(A343,'Programas y Unidades'!$A:$B,2,0)</f>
        <v>Economía y Finanzas Internacionales</v>
      </c>
    </row>
    <row r="344" spans="1:3">
      <c r="A344">
        <v>23</v>
      </c>
      <c r="B344">
        <v>7</v>
      </c>
      <c r="C344" t="str">
        <f>VLOOKUP(A344,'Programas y Unidades'!$A:$B,2,0)</f>
        <v>Administración de Negocios Internacionales</v>
      </c>
    </row>
    <row r="345" spans="1:3">
      <c r="A345">
        <v>23</v>
      </c>
      <c r="B345">
        <v>8</v>
      </c>
      <c r="C345" t="str">
        <f>VLOOKUP(A345,'Programas y Unidades'!$A:$B,2,0)</f>
        <v>Administración de Negocios Internacionales</v>
      </c>
    </row>
    <row r="346" spans="1:3">
      <c r="A346">
        <v>23</v>
      </c>
      <c r="B346">
        <v>7</v>
      </c>
      <c r="C346" t="str">
        <f>VLOOKUP(A346,'Programas y Unidades'!$A:$B,2,0)</f>
        <v>Administración de Negocios Internacionales</v>
      </c>
    </row>
    <row r="347" spans="1:3">
      <c r="A347">
        <v>20</v>
      </c>
      <c r="B347">
        <v>7</v>
      </c>
      <c r="C347" t="str">
        <f>VLOOKUP(A347,'Programas y Unidades'!$A:$B,2,0)</f>
        <v>Administración &amp; Servicio</v>
      </c>
    </row>
    <row r="348" spans="1:3">
      <c r="A348">
        <v>23</v>
      </c>
      <c r="B348">
        <v>8</v>
      </c>
      <c r="C348" t="str">
        <f>VLOOKUP(A348,'Programas y Unidades'!$A:$B,2,0)</f>
        <v>Administración de Negocios Internacionales</v>
      </c>
    </row>
    <row r="349" spans="1:3">
      <c r="A349">
        <v>20</v>
      </c>
      <c r="B349">
        <v>7</v>
      </c>
      <c r="C349" t="str">
        <f>VLOOKUP(A349,'Programas y Unidades'!$A:$B,2,0)</f>
        <v>Administración &amp; Servicio</v>
      </c>
    </row>
    <row r="350" spans="1:3">
      <c r="A350">
        <v>20</v>
      </c>
      <c r="B350">
        <v>7</v>
      </c>
      <c r="C350" t="str">
        <f>VLOOKUP(A350,'Programas y Unidades'!$A:$B,2,0)</f>
        <v>Administración &amp; Servicio</v>
      </c>
    </row>
    <row r="351" spans="1:3">
      <c r="A351">
        <v>23</v>
      </c>
      <c r="B351">
        <v>8</v>
      </c>
      <c r="C351" t="str">
        <f>VLOOKUP(A351,'Programas y Unidades'!$A:$B,2,0)</f>
        <v>Administración de Negocios Internacionales</v>
      </c>
    </row>
    <row r="352" spans="1:3">
      <c r="A352">
        <v>20</v>
      </c>
      <c r="B352">
        <v>7</v>
      </c>
      <c r="C352" t="str">
        <f>VLOOKUP(A352,'Programas y Unidades'!$A:$B,2,0)</f>
        <v>Administración &amp; Servicio</v>
      </c>
    </row>
    <row r="353" spans="1:3">
      <c r="A353">
        <v>20</v>
      </c>
      <c r="B353">
        <v>7</v>
      </c>
      <c r="C353" t="str">
        <f>VLOOKUP(A353,'Programas y Unidades'!$A:$B,2,0)</f>
        <v>Administración &amp; Servicio</v>
      </c>
    </row>
    <row r="354" spans="1:3">
      <c r="A354">
        <v>23</v>
      </c>
      <c r="B354">
        <v>8</v>
      </c>
      <c r="C354" t="str">
        <f>VLOOKUP(A354,'Programas y Unidades'!$A:$B,2,0)</f>
        <v>Administración de Negocios Internacionales</v>
      </c>
    </row>
    <row r="355" spans="1:3">
      <c r="A355">
        <v>23</v>
      </c>
      <c r="B355">
        <v>7</v>
      </c>
      <c r="C355" t="str">
        <f>VLOOKUP(A355,'Programas y Unidades'!$A:$B,2,0)</f>
        <v>Administración de Negocios Internacionales</v>
      </c>
    </row>
    <row r="356" spans="1:3">
      <c r="A356">
        <v>20</v>
      </c>
      <c r="B356">
        <v>7</v>
      </c>
      <c r="C356" t="str">
        <f>VLOOKUP(A356,'Programas y Unidades'!$A:$B,2,0)</f>
        <v>Administración &amp; Servicio</v>
      </c>
    </row>
    <row r="357" spans="1:3">
      <c r="A357">
        <v>23</v>
      </c>
      <c r="B357">
        <v>8</v>
      </c>
      <c r="C357" t="str">
        <f>VLOOKUP(A357,'Programas y Unidades'!$A:$B,2,0)</f>
        <v>Administración de Negocios Internacionales</v>
      </c>
    </row>
    <row r="358" spans="1:3">
      <c r="A358">
        <v>20</v>
      </c>
      <c r="B358">
        <v>7</v>
      </c>
      <c r="C358" t="str">
        <f>VLOOKUP(A358,'Programas y Unidades'!$A:$B,2,0)</f>
        <v>Administración &amp; Servicio</v>
      </c>
    </row>
    <row r="359" spans="1:3">
      <c r="A359">
        <v>23</v>
      </c>
      <c r="B359">
        <v>8</v>
      </c>
      <c r="C359" t="str">
        <f>VLOOKUP(A359,'Programas y Unidades'!$A:$B,2,0)</f>
        <v>Administración de Negocios Internacionales</v>
      </c>
    </row>
    <row r="360" spans="1:3">
      <c r="A360">
        <v>23</v>
      </c>
      <c r="B360">
        <v>7</v>
      </c>
      <c r="C360" t="str">
        <f>VLOOKUP(A360,'Programas y Unidades'!$A:$B,2,0)</f>
        <v>Administración de Negocios Internacionales</v>
      </c>
    </row>
    <row r="361" spans="1:3">
      <c r="A361">
        <v>23</v>
      </c>
      <c r="B361">
        <v>7</v>
      </c>
      <c r="C361" t="str">
        <f>VLOOKUP(A361,'Programas y Unidades'!$A:$B,2,0)</f>
        <v>Administración de Negocios Internacionales</v>
      </c>
    </row>
    <row r="362" spans="1:3">
      <c r="A362">
        <v>43</v>
      </c>
      <c r="B362">
        <v>5</v>
      </c>
      <c r="C362" t="str">
        <f>VLOOKUP(A362,'Programas y Unidades'!$A:$B,2,0)</f>
        <v>Psicología</v>
      </c>
    </row>
    <row r="363" spans="1:3">
      <c r="A363">
        <v>43</v>
      </c>
      <c r="B363">
        <v>5</v>
      </c>
      <c r="C363" t="str">
        <f>VLOOKUP(A363,'Programas y Unidades'!$A:$B,2,0)</f>
        <v>Psicología</v>
      </c>
    </row>
    <row r="364" spans="1:3">
      <c r="A364">
        <v>43</v>
      </c>
      <c r="B364">
        <v>5</v>
      </c>
      <c r="C364" t="str">
        <f>VLOOKUP(A364,'Programas y Unidades'!$A:$B,2,0)</f>
        <v>Psicología</v>
      </c>
    </row>
    <row r="365" spans="1:3">
      <c r="A365">
        <v>43</v>
      </c>
      <c r="B365">
        <v>5</v>
      </c>
      <c r="C365" t="str">
        <f>VLOOKUP(A365,'Programas y Unidades'!$A:$B,2,0)</f>
        <v>Psicología</v>
      </c>
    </row>
    <row r="366" spans="1:3">
      <c r="A366">
        <v>43</v>
      </c>
      <c r="B366">
        <v>5</v>
      </c>
      <c r="C366" t="str">
        <f>VLOOKUP(A366,'Programas y Unidades'!$A:$B,2,0)</f>
        <v>Psicología</v>
      </c>
    </row>
    <row r="367" spans="1:3">
      <c r="A367">
        <v>43</v>
      </c>
      <c r="B367">
        <v>5</v>
      </c>
      <c r="C367" t="str">
        <f>VLOOKUP(A367,'Programas y Unidades'!$A:$B,2,0)</f>
        <v>Psicología</v>
      </c>
    </row>
    <row r="368" spans="1:3">
      <c r="A368">
        <v>43</v>
      </c>
      <c r="B368">
        <v>5</v>
      </c>
      <c r="C368" t="str">
        <f>VLOOKUP(A368,'Programas y Unidades'!$A:$B,2,0)</f>
        <v>Psicología</v>
      </c>
    </row>
    <row r="369" spans="1:3">
      <c r="A369">
        <v>43</v>
      </c>
      <c r="B369">
        <v>6</v>
      </c>
      <c r="C369" t="str">
        <f>VLOOKUP(A369,'Programas y Unidades'!$A:$B,2,0)</f>
        <v>Psicología</v>
      </c>
    </row>
    <row r="370" spans="1:3">
      <c r="A370">
        <v>43</v>
      </c>
      <c r="B370">
        <v>5</v>
      </c>
      <c r="C370" t="str">
        <f>VLOOKUP(A370,'Programas y Unidades'!$A:$B,2,0)</f>
        <v>Psicología</v>
      </c>
    </row>
    <row r="371" spans="1:3">
      <c r="A371">
        <v>39</v>
      </c>
      <c r="B371">
        <v>6</v>
      </c>
      <c r="C371" t="str">
        <f>VLOOKUP(A371,'Programas y Unidades'!$A:$B,2,0)</f>
        <v>Ingeniería Informática</v>
      </c>
    </row>
    <row r="372" spans="1:3">
      <c r="A372">
        <v>39</v>
      </c>
      <c r="B372">
        <v>6</v>
      </c>
      <c r="C372" t="str">
        <f>VLOOKUP(A372,'Programas y Unidades'!$A:$B,2,0)</f>
        <v>Ingeniería Informática</v>
      </c>
    </row>
    <row r="373" spans="1:3">
      <c r="A373">
        <v>39</v>
      </c>
      <c r="B373">
        <v>6</v>
      </c>
      <c r="C373" t="str">
        <f>VLOOKUP(A373,'Programas y Unidades'!$A:$B,2,0)</f>
        <v>Ingeniería Informática</v>
      </c>
    </row>
    <row r="374" spans="1:3">
      <c r="A374">
        <v>39</v>
      </c>
      <c r="B374">
        <v>5</v>
      </c>
      <c r="C374" t="str">
        <f>VLOOKUP(A374,'Programas y Unidades'!$A:$B,2,0)</f>
        <v>Ingeniería Informática</v>
      </c>
    </row>
    <row r="375" spans="1:3">
      <c r="A375">
        <v>39</v>
      </c>
      <c r="B375">
        <v>6</v>
      </c>
      <c r="C375" t="str">
        <f>VLOOKUP(A375,'Programas y Unidades'!$A:$B,2,0)</f>
        <v>Ingeniería Informática</v>
      </c>
    </row>
    <row r="376" spans="1:3">
      <c r="A376">
        <v>39</v>
      </c>
      <c r="B376">
        <v>6</v>
      </c>
      <c r="C376" t="str">
        <f>VLOOKUP(A376,'Programas y Unidades'!$A:$B,2,0)</f>
        <v>Ingeniería Informática</v>
      </c>
    </row>
    <row r="377" spans="1:3">
      <c r="A377">
        <v>39</v>
      </c>
      <c r="B377">
        <v>6</v>
      </c>
      <c r="C377" t="str">
        <f>VLOOKUP(A377,'Programas y Unidades'!$A:$B,2,0)</f>
        <v>Ingeniería Informática</v>
      </c>
    </row>
    <row r="378" spans="1:3">
      <c r="A378">
        <v>39</v>
      </c>
      <c r="B378">
        <v>5</v>
      </c>
      <c r="C378" t="str">
        <f>VLOOKUP(A378,'Programas y Unidades'!$A:$B,2,0)</f>
        <v>Ingeniería Informática</v>
      </c>
    </row>
    <row r="379" spans="1:3">
      <c r="A379">
        <v>39</v>
      </c>
      <c r="B379">
        <v>5</v>
      </c>
      <c r="C379" t="str">
        <f>VLOOKUP(A379,'Programas y Unidades'!$A:$B,2,0)</f>
        <v>Ingeniería Informática</v>
      </c>
    </row>
    <row r="380" spans="1:3">
      <c r="A380">
        <v>39</v>
      </c>
      <c r="B380">
        <v>5</v>
      </c>
      <c r="C380" t="str">
        <f>VLOOKUP(A380,'Programas y Unidades'!$A:$B,2,0)</f>
        <v>Ingeniería Informática</v>
      </c>
    </row>
    <row r="381" spans="1:3">
      <c r="A381">
        <v>39</v>
      </c>
      <c r="B381">
        <v>5</v>
      </c>
      <c r="C381" t="str">
        <f>VLOOKUP(A381,'Programas y Unidades'!$A:$B,2,0)</f>
        <v>Ingeniería Informática</v>
      </c>
    </row>
    <row r="382" spans="1:3">
      <c r="A382">
        <v>39</v>
      </c>
      <c r="B382">
        <v>6</v>
      </c>
      <c r="C382" t="str">
        <f>VLOOKUP(A382,'Programas y Unidades'!$A:$B,2,0)</f>
        <v>Ingeniería Informática</v>
      </c>
    </row>
    <row r="383" spans="1:3">
      <c r="A383">
        <v>39</v>
      </c>
      <c r="B383">
        <v>6</v>
      </c>
      <c r="C383" t="str">
        <f>VLOOKUP(A383,'Programas y Unidades'!$A:$B,2,0)</f>
        <v>Ingeniería Informática</v>
      </c>
    </row>
    <row r="384" spans="1:3">
      <c r="A384">
        <v>39</v>
      </c>
      <c r="B384">
        <v>4</v>
      </c>
      <c r="C384" t="str">
        <f>VLOOKUP(A384,'Programas y Unidades'!$A:$B,2,0)</f>
        <v>Ingeniería Informática</v>
      </c>
    </row>
    <row r="385" spans="1:3">
      <c r="A385">
        <v>39</v>
      </c>
      <c r="B385">
        <v>6</v>
      </c>
      <c r="C385" t="str">
        <f>VLOOKUP(A385,'Programas y Unidades'!$A:$B,2,0)</f>
        <v>Ingeniería Informática</v>
      </c>
    </row>
    <row r="386" spans="1:3">
      <c r="A386">
        <v>39</v>
      </c>
      <c r="B386">
        <v>5</v>
      </c>
      <c r="C386" t="str">
        <f>VLOOKUP(A386,'Programas y Unidades'!$A:$B,2,0)</f>
        <v>Ingeniería Informática</v>
      </c>
    </row>
    <row r="387" spans="1:3">
      <c r="A387">
        <v>39</v>
      </c>
      <c r="B387">
        <v>5</v>
      </c>
      <c r="C387" t="str">
        <f>VLOOKUP(A387,'Programas y Unidades'!$A:$B,2,0)</f>
        <v>Ingeniería Informática</v>
      </c>
    </row>
    <row r="388" spans="1:3">
      <c r="A388">
        <v>39</v>
      </c>
      <c r="B388">
        <v>6</v>
      </c>
      <c r="C388" t="str">
        <f>VLOOKUP(A388,'Programas y Unidades'!$A:$B,2,0)</f>
        <v>Ingeniería Informática</v>
      </c>
    </row>
    <row r="389" spans="1:3">
      <c r="A389">
        <v>39</v>
      </c>
      <c r="B389">
        <v>6</v>
      </c>
      <c r="C389" t="str">
        <f>VLOOKUP(A389,'Programas y Unidades'!$A:$B,2,0)</f>
        <v>Ingeniería Informática</v>
      </c>
    </row>
    <row r="390" spans="1:3">
      <c r="A390">
        <v>39</v>
      </c>
      <c r="B390">
        <v>5</v>
      </c>
      <c r="C390" t="str">
        <f>VLOOKUP(A390,'Programas y Unidades'!$A:$B,2,0)</f>
        <v>Ingeniería Informática</v>
      </c>
    </row>
    <row r="391" spans="1:3">
      <c r="A391">
        <v>39</v>
      </c>
      <c r="B391">
        <v>5</v>
      </c>
      <c r="C391" t="str">
        <f>VLOOKUP(A391,'Programas y Unidades'!$A:$B,2,0)</f>
        <v>Ingeniería Informática</v>
      </c>
    </row>
    <row r="392" spans="1:3">
      <c r="A392">
        <v>39</v>
      </c>
      <c r="B392">
        <v>5</v>
      </c>
      <c r="C392" t="str">
        <f>VLOOKUP(A392,'Programas y Unidades'!$A:$B,2,0)</f>
        <v>Ingeniería Informática</v>
      </c>
    </row>
    <row r="393" spans="1:3">
      <c r="A393">
        <v>39</v>
      </c>
      <c r="B393">
        <v>6</v>
      </c>
      <c r="C393" t="str">
        <f>VLOOKUP(A393,'Programas y Unidades'!$A:$B,2,0)</f>
        <v>Ingeniería Informática</v>
      </c>
    </row>
    <row r="394" spans="1:3">
      <c r="A394">
        <v>28</v>
      </c>
      <c r="B394">
        <v>2</v>
      </c>
      <c r="C394" t="str">
        <f>VLOOKUP(A394,'Programas y Unidades'!$A:$B,2,0)</f>
        <v>Comunicación Social y Periodismo</v>
      </c>
    </row>
    <row r="395" spans="1:3">
      <c r="A395">
        <v>27</v>
      </c>
      <c r="B395">
        <v>6</v>
      </c>
      <c r="C395" t="str">
        <f>VLOOKUP(A395,'Programas y Unidades'!$A:$B,2,0)</f>
        <v>Comunicación Audiovisual y Multimedios</v>
      </c>
    </row>
    <row r="396" spans="1:3">
      <c r="A396">
        <v>27</v>
      </c>
      <c r="B396">
        <v>7</v>
      </c>
      <c r="C396" t="str">
        <f>VLOOKUP(A396,'Programas y Unidades'!$A:$B,2,0)</f>
        <v>Comunicación Audiovisual y Multimedios</v>
      </c>
    </row>
    <row r="397" spans="1:3">
      <c r="A397">
        <v>28</v>
      </c>
      <c r="B397">
        <v>2</v>
      </c>
      <c r="C397" t="str">
        <f>VLOOKUP(A397,'Programas y Unidades'!$A:$B,2,0)</f>
        <v>Comunicación Social y Periodismo</v>
      </c>
    </row>
    <row r="398" spans="1:3">
      <c r="A398">
        <v>27</v>
      </c>
      <c r="B398">
        <v>7</v>
      </c>
      <c r="C398" t="str">
        <f>VLOOKUP(A398,'Programas y Unidades'!$A:$B,2,0)</f>
        <v>Comunicación Audiovisual y Multimedios</v>
      </c>
    </row>
    <row r="399" spans="1:3">
      <c r="A399">
        <v>28</v>
      </c>
      <c r="B399">
        <v>2</v>
      </c>
      <c r="C399" t="str">
        <f>VLOOKUP(A399,'Programas y Unidades'!$A:$B,2,0)</f>
        <v>Comunicación Social y Periodismo</v>
      </c>
    </row>
    <row r="400" spans="1:3">
      <c r="A400">
        <v>27</v>
      </c>
      <c r="B400">
        <v>8</v>
      </c>
      <c r="C400" t="str">
        <f>VLOOKUP(A400,'Programas y Unidades'!$A:$B,2,0)</f>
        <v>Comunicación Audiovisual y Multimedios</v>
      </c>
    </row>
    <row r="401" spans="1:3">
      <c r="A401">
        <v>27</v>
      </c>
      <c r="B401">
        <v>8</v>
      </c>
      <c r="C401" t="str">
        <f>VLOOKUP(A401,'Programas y Unidades'!$A:$B,2,0)</f>
        <v>Comunicación Audiovisual y Multimedios</v>
      </c>
    </row>
    <row r="402" spans="1:3">
      <c r="A402">
        <v>27</v>
      </c>
      <c r="B402">
        <v>4</v>
      </c>
      <c r="C402" t="str">
        <f>VLOOKUP(A402,'Programas y Unidades'!$A:$B,2,0)</f>
        <v>Comunicación Audiovisual y Multimedios</v>
      </c>
    </row>
    <row r="403" spans="1:3">
      <c r="A403">
        <v>27</v>
      </c>
      <c r="B403">
        <v>7</v>
      </c>
      <c r="C403" t="str">
        <f>VLOOKUP(A403,'Programas y Unidades'!$A:$B,2,0)</f>
        <v>Comunicación Audiovisual y Multimedios</v>
      </c>
    </row>
    <row r="404" spans="1:3">
      <c r="A404">
        <v>27</v>
      </c>
      <c r="B404">
        <v>4</v>
      </c>
      <c r="C404" t="str">
        <f>VLOOKUP(A404,'Programas y Unidades'!$A:$B,2,0)</f>
        <v>Comunicación Audiovisual y Multimedios</v>
      </c>
    </row>
    <row r="405" spans="1:3">
      <c r="A405">
        <v>28</v>
      </c>
      <c r="B405">
        <v>2</v>
      </c>
      <c r="C405" t="str">
        <f>VLOOKUP(A405,'Programas y Unidades'!$A:$B,2,0)</f>
        <v>Comunicación Social y Periodismo</v>
      </c>
    </row>
    <row r="406" spans="1:3">
      <c r="A406">
        <v>27</v>
      </c>
      <c r="B406">
        <v>3</v>
      </c>
      <c r="C406" t="str">
        <f>VLOOKUP(A406,'Programas y Unidades'!$A:$B,2,0)</f>
        <v>Comunicación Audiovisual y Multimedios</v>
      </c>
    </row>
    <row r="407" spans="1:3">
      <c r="A407">
        <v>27</v>
      </c>
      <c r="B407">
        <v>8</v>
      </c>
      <c r="C407" t="str">
        <f>VLOOKUP(A407,'Programas y Unidades'!$A:$B,2,0)</f>
        <v>Comunicación Audiovisual y Multimedios</v>
      </c>
    </row>
    <row r="408" spans="1:3">
      <c r="A408">
        <v>27</v>
      </c>
      <c r="B408">
        <v>7</v>
      </c>
      <c r="C408" t="str">
        <f>VLOOKUP(A408,'Programas y Unidades'!$A:$B,2,0)</f>
        <v>Comunicación Audiovisual y Multimedios</v>
      </c>
    </row>
    <row r="409" spans="1:3">
      <c r="A409">
        <v>27</v>
      </c>
      <c r="B409">
        <v>3</v>
      </c>
      <c r="C409" t="str">
        <f>VLOOKUP(A409,'Programas y Unidades'!$A:$B,2,0)</f>
        <v>Comunicación Audiovisual y Multimedios</v>
      </c>
    </row>
    <row r="410" spans="1:3">
      <c r="A410">
        <v>27</v>
      </c>
      <c r="B410">
        <v>8</v>
      </c>
      <c r="C410" t="str">
        <f>VLOOKUP(A410,'Programas y Unidades'!$A:$B,2,0)</f>
        <v>Comunicación Audiovisual y Multimedios</v>
      </c>
    </row>
    <row r="411" spans="1:3">
      <c r="A411">
        <v>28</v>
      </c>
      <c r="B411">
        <v>2</v>
      </c>
      <c r="C411" t="str">
        <f>VLOOKUP(A411,'Programas y Unidades'!$A:$B,2,0)</f>
        <v>Comunicación Social y Periodismo</v>
      </c>
    </row>
    <row r="412" spans="1:3">
      <c r="A412">
        <v>27</v>
      </c>
      <c r="B412">
        <v>8</v>
      </c>
      <c r="C412" t="str">
        <f>VLOOKUP(A412,'Programas y Unidades'!$A:$B,2,0)</f>
        <v>Comunicación Audiovisual y Multimedios</v>
      </c>
    </row>
    <row r="413" spans="1:3">
      <c r="A413">
        <v>27</v>
      </c>
      <c r="B413">
        <v>3</v>
      </c>
      <c r="C413" t="str">
        <f>VLOOKUP(A413,'Programas y Unidades'!$A:$B,2,0)</f>
        <v>Comunicación Audiovisual y Multimedios</v>
      </c>
    </row>
    <row r="414" spans="1:3">
      <c r="A414">
        <v>27</v>
      </c>
      <c r="B414">
        <v>8</v>
      </c>
      <c r="C414" t="str">
        <f>VLOOKUP(A414,'Programas y Unidades'!$A:$B,2,0)</f>
        <v>Comunicación Audiovisual y Multimedios</v>
      </c>
    </row>
    <row r="415" spans="1:3">
      <c r="A415">
        <v>28</v>
      </c>
      <c r="B415">
        <v>2</v>
      </c>
      <c r="C415" t="str">
        <f>VLOOKUP(A415,'Programas y Unidades'!$A:$B,2,0)</f>
        <v>Comunicación Social y Periodismo</v>
      </c>
    </row>
    <row r="416" spans="1:3">
      <c r="A416">
        <v>27</v>
      </c>
      <c r="B416">
        <v>8</v>
      </c>
      <c r="C416" t="str">
        <f>VLOOKUP(A416,'Programas y Unidades'!$A:$B,2,0)</f>
        <v>Comunicación Audiovisual y Multimedios</v>
      </c>
    </row>
    <row r="417" spans="1:3">
      <c r="A417">
        <v>28</v>
      </c>
      <c r="B417">
        <v>2</v>
      </c>
      <c r="C417" t="str">
        <f>VLOOKUP(A417,'Programas y Unidades'!$A:$B,2,0)</f>
        <v>Comunicación Social y Periodismo</v>
      </c>
    </row>
    <row r="418" spans="1:3">
      <c r="A418">
        <v>28</v>
      </c>
      <c r="B418">
        <v>2</v>
      </c>
      <c r="C418" t="str">
        <f>VLOOKUP(A418,'Programas y Unidades'!$A:$B,2,0)</f>
        <v>Comunicación Social y Periodismo</v>
      </c>
    </row>
    <row r="419" spans="1:3">
      <c r="A419">
        <v>26</v>
      </c>
      <c r="B419">
        <v>8</v>
      </c>
      <c r="C419" t="str">
        <f>VLOOKUP(A419,'Programas y Unidades'!$A:$B,2,0)</f>
        <v>Comunicación Corporativa</v>
      </c>
    </row>
    <row r="420" spans="1:3">
      <c r="A420">
        <v>27</v>
      </c>
      <c r="B420">
        <v>6</v>
      </c>
      <c r="C420" t="str">
        <f>VLOOKUP(A420,'Programas y Unidades'!$A:$B,2,0)</f>
        <v>Comunicación Audiovisual y Multimedios</v>
      </c>
    </row>
    <row r="421" spans="1:3">
      <c r="A421">
        <v>28</v>
      </c>
      <c r="B421">
        <v>2</v>
      </c>
      <c r="C421" t="str">
        <f>VLOOKUP(A421,'Programas y Unidades'!$A:$B,2,0)</f>
        <v>Comunicación Social y Periodismo</v>
      </c>
    </row>
    <row r="422" spans="1:3">
      <c r="A422">
        <v>28</v>
      </c>
      <c r="B422">
        <v>2</v>
      </c>
      <c r="C422" t="str">
        <f>VLOOKUP(A422,'Programas y Unidades'!$A:$B,2,0)</f>
        <v>Comunicación Social y Periodismo</v>
      </c>
    </row>
    <row r="423" spans="1:3">
      <c r="A423">
        <v>39</v>
      </c>
      <c r="B423">
        <v>5</v>
      </c>
      <c r="C423" t="str">
        <f>VLOOKUP(A423,'Programas y Unidades'!$A:$B,2,0)</f>
        <v>Ingeniería Informática</v>
      </c>
    </row>
    <row r="424" spans="1:3">
      <c r="A424">
        <v>39</v>
      </c>
      <c r="B424">
        <v>6</v>
      </c>
      <c r="C424" t="str">
        <f>VLOOKUP(A424,'Programas y Unidades'!$A:$B,2,0)</f>
        <v>Ingeniería Informática</v>
      </c>
    </row>
    <row r="425" spans="1:3">
      <c r="A425">
        <v>38</v>
      </c>
      <c r="B425">
        <v>3</v>
      </c>
      <c r="C425" t="str">
        <f>VLOOKUP(A425,'Programas y Unidades'!$A:$B,2,0)</f>
        <v>Ingeniería Industrial</v>
      </c>
    </row>
    <row r="426" spans="1:3">
      <c r="A426">
        <v>38</v>
      </c>
      <c r="B426">
        <v>3</v>
      </c>
      <c r="C426" t="str">
        <f>VLOOKUP(A426,'Programas y Unidades'!$A:$B,2,0)</f>
        <v>Ingeniería Industrial</v>
      </c>
    </row>
    <row r="427" spans="1:3">
      <c r="A427">
        <v>38</v>
      </c>
      <c r="B427">
        <v>3</v>
      </c>
      <c r="C427" t="str">
        <f>VLOOKUP(A427,'Programas y Unidades'!$A:$B,2,0)</f>
        <v>Ingeniería Industrial</v>
      </c>
    </row>
    <row r="428" spans="1:3">
      <c r="A428">
        <v>38</v>
      </c>
      <c r="B428">
        <v>7</v>
      </c>
      <c r="C428" t="str">
        <f>VLOOKUP(A428,'Programas y Unidades'!$A:$B,2,0)</f>
        <v>Ingeniería Industrial</v>
      </c>
    </row>
    <row r="429" spans="1:3">
      <c r="A429">
        <v>38</v>
      </c>
      <c r="B429">
        <v>3</v>
      </c>
      <c r="C429" t="str">
        <f>VLOOKUP(A429,'Programas y Unidades'!$A:$B,2,0)</f>
        <v>Ingeniería Industrial</v>
      </c>
    </row>
    <row r="430" spans="1:3">
      <c r="A430">
        <v>38</v>
      </c>
      <c r="B430">
        <v>3</v>
      </c>
      <c r="C430" t="str">
        <f>VLOOKUP(A430,'Programas y Unidades'!$A:$B,2,0)</f>
        <v>Ingeniería Industrial</v>
      </c>
    </row>
    <row r="431" spans="1:3">
      <c r="A431">
        <v>38</v>
      </c>
      <c r="B431">
        <v>3</v>
      </c>
      <c r="C431" t="str">
        <f>VLOOKUP(A431,'Programas y Unidades'!$A:$B,2,0)</f>
        <v>Ingeniería Industrial</v>
      </c>
    </row>
    <row r="432" spans="1:3">
      <c r="A432">
        <v>38</v>
      </c>
      <c r="B432">
        <v>3</v>
      </c>
      <c r="C432" t="str">
        <f>VLOOKUP(A432,'Programas y Unidades'!$A:$B,2,0)</f>
        <v>Ingeniería Industrial</v>
      </c>
    </row>
    <row r="433" spans="1:3">
      <c r="A433">
        <v>38</v>
      </c>
      <c r="B433">
        <v>3</v>
      </c>
      <c r="C433" t="str">
        <f>VLOOKUP(A433,'Programas y Unidades'!$A:$B,2,0)</f>
        <v>Ingeniería Industrial</v>
      </c>
    </row>
    <row r="434" spans="1:3">
      <c r="A434">
        <v>38</v>
      </c>
      <c r="B434">
        <v>3</v>
      </c>
      <c r="C434" t="str">
        <f>VLOOKUP(A434,'Programas y Unidades'!$A:$B,2,0)</f>
        <v>Ingeniería Industrial</v>
      </c>
    </row>
    <row r="435" spans="1:3">
      <c r="A435">
        <v>38</v>
      </c>
      <c r="B435">
        <v>3</v>
      </c>
      <c r="C435" t="str">
        <f>VLOOKUP(A435,'Programas y Unidades'!$A:$B,2,0)</f>
        <v>Ingeniería Industrial</v>
      </c>
    </row>
    <row r="436" spans="1:3">
      <c r="A436">
        <v>38</v>
      </c>
      <c r="B436">
        <v>3</v>
      </c>
      <c r="C436" t="str">
        <f>VLOOKUP(A436,'Programas y Unidades'!$A:$B,2,0)</f>
        <v>Ingeniería Industrial</v>
      </c>
    </row>
    <row r="437" spans="1:3">
      <c r="A437">
        <v>38</v>
      </c>
      <c r="B437">
        <v>3</v>
      </c>
      <c r="C437" t="str">
        <f>VLOOKUP(A437,'Programas y Unidades'!$A:$B,2,0)</f>
        <v>Ingeniería Industrial</v>
      </c>
    </row>
    <row r="438" spans="1:3">
      <c r="A438">
        <v>38</v>
      </c>
      <c r="B438">
        <v>3</v>
      </c>
      <c r="C438" t="str">
        <f>VLOOKUP(A438,'Programas y Unidades'!$A:$B,2,0)</f>
        <v>Ingeniería Industrial</v>
      </c>
    </row>
    <row r="439" spans="1:3">
      <c r="A439">
        <v>38</v>
      </c>
      <c r="B439">
        <v>3</v>
      </c>
      <c r="C439" t="str">
        <f>VLOOKUP(A439,'Programas y Unidades'!$A:$B,2,0)</f>
        <v>Ingeniería Industrial</v>
      </c>
    </row>
    <row r="440" spans="1:3">
      <c r="A440">
        <v>38</v>
      </c>
      <c r="B440">
        <v>3</v>
      </c>
      <c r="C440" t="str">
        <f>VLOOKUP(A440,'Programas y Unidades'!$A:$B,2,0)</f>
        <v>Ingeniería Industrial</v>
      </c>
    </row>
    <row r="441" spans="1:3">
      <c r="A441">
        <v>38</v>
      </c>
      <c r="B441">
        <v>3</v>
      </c>
      <c r="C441" t="str">
        <f>VLOOKUP(A441,'Programas y Unidades'!$A:$B,2,0)</f>
        <v>Ingeniería Industrial</v>
      </c>
    </row>
    <row r="442" spans="1:3">
      <c r="A442">
        <v>38</v>
      </c>
      <c r="B442">
        <v>3</v>
      </c>
      <c r="C442" t="str">
        <f>VLOOKUP(A442,'Programas y Unidades'!$A:$B,2,0)</f>
        <v>Ingeniería Industrial</v>
      </c>
    </row>
    <row r="443" spans="1:3">
      <c r="A443">
        <v>38</v>
      </c>
      <c r="B443">
        <v>3</v>
      </c>
      <c r="C443" t="str">
        <f>VLOOKUP(A443,'Programas y Unidades'!$A:$B,2,0)</f>
        <v>Ingeniería Industrial</v>
      </c>
    </row>
    <row r="444" spans="1:3">
      <c r="A444">
        <v>38</v>
      </c>
      <c r="B444">
        <v>5</v>
      </c>
      <c r="C444" t="str">
        <f>VLOOKUP(A444,'Programas y Unidades'!$A:$B,2,0)</f>
        <v>Ingeniería Industrial</v>
      </c>
    </row>
    <row r="445" spans="1:3">
      <c r="A445">
        <v>38</v>
      </c>
      <c r="B445">
        <v>3</v>
      </c>
      <c r="C445" t="str">
        <f>VLOOKUP(A445,'Programas y Unidades'!$A:$B,2,0)</f>
        <v>Ingeniería Industrial</v>
      </c>
    </row>
    <row r="446" spans="1:3">
      <c r="A446">
        <v>38</v>
      </c>
      <c r="B446">
        <v>3</v>
      </c>
      <c r="C446" t="str">
        <f>VLOOKUP(A446,'Programas y Unidades'!$A:$B,2,0)</f>
        <v>Ingeniería Industrial</v>
      </c>
    </row>
    <row r="447" spans="1:3">
      <c r="A447">
        <v>38</v>
      </c>
      <c r="B447">
        <v>3</v>
      </c>
      <c r="C447" t="str">
        <f>VLOOKUP(A447,'Programas y Unidades'!$A:$B,2,0)</f>
        <v>Ingeniería Industrial</v>
      </c>
    </row>
    <row r="448" spans="1:3">
      <c r="A448">
        <v>39</v>
      </c>
      <c r="B448">
        <v>6</v>
      </c>
      <c r="C448" t="str">
        <f>VLOOKUP(A448,'Programas y Unidades'!$A:$B,2,0)</f>
        <v>Ingeniería Informática</v>
      </c>
    </row>
    <row r="449" spans="1:3">
      <c r="A449">
        <v>39</v>
      </c>
      <c r="B449">
        <v>7</v>
      </c>
      <c r="C449" t="str">
        <f>VLOOKUP(A449,'Programas y Unidades'!$A:$B,2,0)</f>
        <v>Ingeniería Informática</v>
      </c>
    </row>
    <row r="450" spans="1:3">
      <c r="A450">
        <v>39</v>
      </c>
      <c r="B450">
        <v>7</v>
      </c>
      <c r="C450" t="str">
        <f>VLOOKUP(A450,'Programas y Unidades'!$A:$B,2,0)</f>
        <v>Ingeniería Informática</v>
      </c>
    </row>
    <row r="451" spans="1:3">
      <c r="A451">
        <v>39</v>
      </c>
      <c r="B451">
        <v>8</v>
      </c>
      <c r="C451" t="str">
        <f>VLOOKUP(A451,'Programas y Unidades'!$A:$B,2,0)</f>
        <v>Ingeniería Informática</v>
      </c>
    </row>
    <row r="452" spans="1:3">
      <c r="A452">
        <v>39</v>
      </c>
      <c r="B452">
        <v>8</v>
      </c>
      <c r="C452" t="str">
        <f>VLOOKUP(A452,'Programas y Unidades'!$A:$B,2,0)</f>
        <v>Ingeniería Informática</v>
      </c>
    </row>
    <row r="453" spans="1:3">
      <c r="A453">
        <v>39</v>
      </c>
      <c r="B453">
        <v>8</v>
      </c>
      <c r="C453" t="str">
        <f>VLOOKUP(A453,'Programas y Unidades'!$A:$B,2,0)</f>
        <v>Ingeniería Informática</v>
      </c>
    </row>
    <row r="454" spans="1:3">
      <c r="A454">
        <v>39</v>
      </c>
      <c r="B454">
        <v>8</v>
      </c>
      <c r="C454" t="str">
        <f>VLOOKUP(A454,'Programas y Unidades'!$A:$B,2,0)</f>
        <v>Ingeniería Informática</v>
      </c>
    </row>
    <row r="455" spans="1:3">
      <c r="A455">
        <v>39</v>
      </c>
      <c r="B455">
        <v>8</v>
      </c>
      <c r="C455" t="str">
        <f>VLOOKUP(A455,'Programas y Unidades'!$A:$B,2,0)</f>
        <v>Ingeniería Informática</v>
      </c>
    </row>
    <row r="456" spans="1:3">
      <c r="A456">
        <v>39</v>
      </c>
      <c r="B456">
        <v>8</v>
      </c>
      <c r="C456" t="str">
        <f>VLOOKUP(A456,'Programas y Unidades'!$A:$B,2,0)</f>
        <v>Ingeniería Informática</v>
      </c>
    </row>
    <row r="457" spans="1:3">
      <c r="A457">
        <v>39</v>
      </c>
      <c r="B457">
        <v>7</v>
      </c>
      <c r="C457" t="str">
        <f>VLOOKUP(A457,'Programas y Unidades'!$A:$B,2,0)</f>
        <v>Ingeniería Informática</v>
      </c>
    </row>
    <row r="458" spans="1:3">
      <c r="A458">
        <v>39</v>
      </c>
      <c r="B458">
        <v>8</v>
      </c>
      <c r="C458" t="str">
        <f>VLOOKUP(A458,'Programas y Unidades'!$A:$B,2,0)</f>
        <v>Ingeniería Informática</v>
      </c>
    </row>
    <row r="459" spans="1:3">
      <c r="A459">
        <v>39</v>
      </c>
      <c r="B459">
        <v>8</v>
      </c>
      <c r="C459" t="str">
        <f>VLOOKUP(A459,'Programas y Unidades'!$A:$B,2,0)</f>
        <v>Ingeniería Informática</v>
      </c>
    </row>
    <row r="460" spans="1:3">
      <c r="A460">
        <v>39</v>
      </c>
      <c r="B460">
        <v>8</v>
      </c>
      <c r="C460" t="str">
        <f>VLOOKUP(A460,'Programas y Unidades'!$A:$B,2,0)</f>
        <v>Ingeniería Informática</v>
      </c>
    </row>
    <row r="461" spans="1:3">
      <c r="A461">
        <v>39</v>
      </c>
      <c r="B461">
        <v>8</v>
      </c>
      <c r="C461" t="str">
        <f>VLOOKUP(A461,'Programas y Unidades'!$A:$B,2,0)</f>
        <v>Ingeniería Informática</v>
      </c>
    </row>
    <row r="462" spans="1:3">
      <c r="A462">
        <v>39</v>
      </c>
      <c r="B462">
        <v>8</v>
      </c>
      <c r="C462" t="str">
        <f>VLOOKUP(A462,'Programas y Unidades'!$A:$B,2,0)</f>
        <v>Ingeniería Informática</v>
      </c>
    </row>
    <row r="463" spans="1:3">
      <c r="A463">
        <v>39</v>
      </c>
      <c r="B463">
        <v>8</v>
      </c>
      <c r="C463" t="str">
        <f>VLOOKUP(A463,'Programas y Unidades'!$A:$B,2,0)</f>
        <v>Ingeniería Informática</v>
      </c>
    </row>
    <row r="464" spans="1:3">
      <c r="A464">
        <v>32</v>
      </c>
      <c r="B464">
        <v>3</v>
      </c>
      <c r="C464" t="str">
        <f>VLOOKUP(A464,'Programas y Unidades'!$A:$B,2,0)</f>
        <v>Licenciatura en Educación Infantil</v>
      </c>
    </row>
    <row r="465" spans="1:3">
      <c r="A465">
        <v>32</v>
      </c>
      <c r="B465">
        <v>3</v>
      </c>
      <c r="C465" t="str">
        <f>VLOOKUP(A465,'Programas y Unidades'!$A:$B,2,0)</f>
        <v>Licenciatura en Educación Infantil</v>
      </c>
    </row>
    <row r="466" spans="1:3">
      <c r="A466">
        <v>32</v>
      </c>
      <c r="B466">
        <v>3</v>
      </c>
      <c r="C466" t="str">
        <f>VLOOKUP(A466,'Programas y Unidades'!$A:$B,2,0)</f>
        <v>Licenciatura en Educación Infantil</v>
      </c>
    </row>
    <row r="467" spans="1:3">
      <c r="A467">
        <v>32</v>
      </c>
      <c r="B467">
        <v>3</v>
      </c>
      <c r="C467" t="str">
        <f>VLOOKUP(A467,'Programas y Unidades'!$A:$B,2,0)</f>
        <v>Licenciatura en Educación Infantil</v>
      </c>
    </row>
    <row r="468" spans="1:3">
      <c r="A468">
        <v>32</v>
      </c>
      <c r="B468">
        <v>5</v>
      </c>
      <c r="C468" t="str">
        <f>VLOOKUP(A468,'Programas y Unidades'!$A:$B,2,0)</f>
        <v>Licenciatura en Educación Infantil</v>
      </c>
    </row>
    <row r="469" spans="1:3">
      <c r="A469">
        <v>32</v>
      </c>
      <c r="B469">
        <v>3</v>
      </c>
      <c r="C469" t="str">
        <f>VLOOKUP(A469,'Programas y Unidades'!$A:$B,2,0)</f>
        <v>Licenciatura en Educación Infantil</v>
      </c>
    </row>
    <row r="470" spans="1:3">
      <c r="A470">
        <v>39</v>
      </c>
      <c r="B470">
        <v>8</v>
      </c>
      <c r="C470" t="str">
        <f>VLOOKUP(A470,'Programas y Unidades'!$A:$B,2,0)</f>
        <v>Ingeniería Informática</v>
      </c>
    </row>
    <row r="471" spans="1:3">
      <c r="A471">
        <v>39</v>
      </c>
      <c r="B471">
        <v>2</v>
      </c>
      <c r="C471" t="str">
        <f>VLOOKUP(A471,'Programas y Unidades'!$A:$B,2,0)</f>
        <v>Ingeniería Informática</v>
      </c>
    </row>
    <row r="472" spans="1:3">
      <c r="A472">
        <v>36</v>
      </c>
      <c r="B472">
        <v>5</v>
      </c>
      <c r="C472" t="str">
        <f>VLOOKUP(A472,'Programas y Unidades'!$A:$B,2,0)</f>
        <v>Ingeniería Civil</v>
      </c>
    </row>
    <row r="473" spans="1:3">
      <c r="A473">
        <v>36</v>
      </c>
      <c r="B473">
        <v>6</v>
      </c>
      <c r="C473" t="str">
        <f>VLOOKUP(A473,'Programas y Unidades'!$A:$B,2,0)</f>
        <v>Ingeniería Civil</v>
      </c>
    </row>
    <row r="474" spans="1:3">
      <c r="A474">
        <v>36</v>
      </c>
      <c r="B474">
        <v>7</v>
      </c>
      <c r="C474" t="str">
        <f>VLOOKUP(A474,'Programas y Unidades'!$A:$B,2,0)</f>
        <v>Ingeniería Civil</v>
      </c>
    </row>
    <row r="475" spans="1:3">
      <c r="A475">
        <v>36</v>
      </c>
      <c r="B475">
        <v>6</v>
      </c>
      <c r="C475" t="str">
        <f>VLOOKUP(A475,'Programas y Unidades'!$A:$B,2,0)</f>
        <v>Ingeniería Civil</v>
      </c>
    </row>
    <row r="476" spans="1:3">
      <c r="A476">
        <v>36</v>
      </c>
      <c r="B476">
        <v>6</v>
      </c>
      <c r="C476" t="str">
        <f>VLOOKUP(A476,'Programas y Unidades'!$A:$B,2,0)</f>
        <v>Ingeniería Civil</v>
      </c>
    </row>
    <row r="477" spans="1:3">
      <c r="A477">
        <v>36</v>
      </c>
      <c r="B477">
        <v>5</v>
      </c>
      <c r="C477" t="str">
        <f>VLOOKUP(A477,'Programas y Unidades'!$A:$B,2,0)</f>
        <v>Ingeniería Civil</v>
      </c>
    </row>
    <row r="478" spans="1:3">
      <c r="A478">
        <v>36</v>
      </c>
      <c r="B478">
        <v>6</v>
      </c>
      <c r="C478" t="str">
        <f>VLOOKUP(A478,'Programas y Unidades'!$A:$B,2,0)</f>
        <v>Ingeniería Civil</v>
      </c>
    </row>
    <row r="479" spans="1:3">
      <c r="A479">
        <v>36</v>
      </c>
      <c r="B479">
        <v>6</v>
      </c>
      <c r="C479" t="str">
        <f>VLOOKUP(A479,'Programas y Unidades'!$A:$B,2,0)</f>
        <v>Ingeniería Civil</v>
      </c>
    </row>
    <row r="480" spans="1:3">
      <c r="A480">
        <v>36</v>
      </c>
      <c r="B480">
        <v>6</v>
      </c>
      <c r="C480" t="str">
        <f>VLOOKUP(A480,'Programas y Unidades'!$A:$B,2,0)</f>
        <v>Ingeniería Civil</v>
      </c>
    </row>
    <row r="481" spans="1:3">
      <c r="A481">
        <v>40</v>
      </c>
      <c r="B481">
        <v>6</v>
      </c>
      <c r="C481" t="str">
        <f>VLOOKUP(A481,'Programas y Unidades'!$A:$B,2,0)</f>
        <v>Ingeniería Mecánica</v>
      </c>
    </row>
    <row r="482" spans="1:3">
      <c r="A482">
        <v>36</v>
      </c>
      <c r="B482">
        <v>6</v>
      </c>
      <c r="C482" t="str">
        <f>VLOOKUP(A482,'Programas y Unidades'!$A:$B,2,0)</f>
        <v>Ingeniería Civil</v>
      </c>
    </row>
    <row r="483" spans="1:3">
      <c r="A483">
        <v>36</v>
      </c>
      <c r="B483">
        <v>6</v>
      </c>
      <c r="C483" t="str">
        <f>VLOOKUP(A483,'Programas y Unidades'!$A:$B,2,0)</f>
        <v>Ingeniería Civil</v>
      </c>
    </row>
    <row r="484" spans="1:3">
      <c r="A484">
        <v>36</v>
      </c>
      <c r="B484">
        <v>6</v>
      </c>
      <c r="C484" t="str">
        <f>VLOOKUP(A484,'Programas y Unidades'!$A:$B,2,0)</f>
        <v>Ingeniería Civil</v>
      </c>
    </row>
    <row r="485" spans="1:3">
      <c r="A485">
        <v>36</v>
      </c>
      <c r="B485">
        <v>6</v>
      </c>
      <c r="C485" t="str">
        <f>VLOOKUP(A485,'Programas y Unidades'!$A:$B,2,0)</f>
        <v>Ingeniería Civil</v>
      </c>
    </row>
    <row r="486" spans="1:3">
      <c r="A486">
        <v>40</v>
      </c>
      <c r="B486">
        <v>6</v>
      </c>
      <c r="C486" t="str">
        <f>VLOOKUP(A486,'Programas y Unidades'!$A:$B,2,0)</f>
        <v>Ingeniería Mecánica</v>
      </c>
    </row>
    <row r="487" spans="1:3">
      <c r="A487">
        <v>36</v>
      </c>
      <c r="B487">
        <v>6</v>
      </c>
      <c r="C487" t="str">
        <f>VLOOKUP(A487,'Programas y Unidades'!$A:$B,2,0)</f>
        <v>Ingeniería Civil</v>
      </c>
    </row>
    <row r="488" spans="1:3">
      <c r="A488">
        <v>40</v>
      </c>
      <c r="B488">
        <v>5</v>
      </c>
      <c r="C488" t="str">
        <f>VLOOKUP(A488,'Programas y Unidades'!$A:$B,2,0)</f>
        <v>Ingeniería Mecánica</v>
      </c>
    </row>
    <row r="489" spans="1:3">
      <c r="A489">
        <v>36</v>
      </c>
      <c r="B489">
        <v>6</v>
      </c>
      <c r="C489" t="str">
        <f>VLOOKUP(A489,'Programas y Unidades'!$A:$B,2,0)</f>
        <v>Ingeniería Civil</v>
      </c>
    </row>
    <row r="490" spans="1:3">
      <c r="A490">
        <v>36</v>
      </c>
      <c r="B490">
        <v>6</v>
      </c>
      <c r="C490" t="str">
        <f>VLOOKUP(A490,'Programas y Unidades'!$A:$B,2,0)</f>
        <v>Ingeniería Civil</v>
      </c>
    </row>
    <row r="491" spans="1:3">
      <c r="A491">
        <v>36</v>
      </c>
      <c r="B491">
        <v>6</v>
      </c>
      <c r="C491" t="str">
        <f>VLOOKUP(A491,'Programas y Unidades'!$A:$B,2,0)</f>
        <v>Ingeniería Civil</v>
      </c>
    </row>
    <row r="492" spans="1:3">
      <c r="A492">
        <v>40</v>
      </c>
      <c r="B492">
        <v>6</v>
      </c>
      <c r="C492" t="str">
        <f>VLOOKUP(A492,'Programas y Unidades'!$A:$B,2,0)</f>
        <v>Ingeniería Mecánica</v>
      </c>
    </row>
    <row r="493" spans="1:3">
      <c r="A493">
        <v>36</v>
      </c>
      <c r="B493">
        <v>6</v>
      </c>
      <c r="C493" t="str">
        <f>VLOOKUP(A493,'Programas y Unidades'!$A:$B,2,0)</f>
        <v>Ingeniería Civil</v>
      </c>
    </row>
    <row r="494" spans="1:3">
      <c r="A494">
        <v>36</v>
      </c>
      <c r="B494">
        <v>4</v>
      </c>
      <c r="C494" t="str">
        <f>VLOOKUP(A494,'Programas y Unidades'!$A:$B,2,0)</f>
        <v>Ingeniería Civil</v>
      </c>
    </row>
    <row r="495" spans="1:3">
      <c r="A495">
        <v>36</v>
      </c>
      <c r="B495">
        <v>6</v>
      </c>
      <c r="C495" t="str">
        <f>VLOOKUP(A495,'Programas y Unidades'!$A:$B,2,0)</f>
        <v>Ingeniería Civil</v>
      </c>
    </row>
    <row r="496" spans="1:3">
      <c r="A496">
        <v>36</v>
      </c>
      <c r="B496">
        <v>5</v>
      </c>
      <c r="C496" t="str">
        <f>VLOOKUP(A496,'Programas y Unidades'!$A:$B,2,0)</f>
        <v>Ingeniería Civil</v>
      </c>
    </row>
    <row r="497" spans="1:3">
      <c r="A497">
        <v>36</v>
      </c>
      <c r="B497">
        <v>5</v>
      </c>
      <c r="C497" t="str">
        <f>VLOOKUP(A497,'Programas y Unidades'!$A:$B,2,0)</f>
        <v>Ingeniería Civil</v>
      </c>
    </row>
    <row r="498" spans="1:3">
      <c r="A498">
        <v>36</v>
      </c>
      <c r="B498">
        <v>6</v>
      </c>
      <c r="C498" t="str">
        <f>VLOOKUP(A498,'Programas y Unidades'!$A:$B,2,0)</f>
        <v>Ingeniería Civil</v>
      </c>
    </row>
    <row r="499" spans="1:3">
      <c r="A499">
        <v>36</v>
      </c>
      <c r="B499">
        <v>6</v>
      </c>
      <c r="C499" t="str">
        <f>VLOOKUP(A499,'Programas y Unidades'!$A:$B,2,0)</f>
        <v>Ingeniería Civil</v>
      </c>
    </row>
    <row r="500" spans="1:3">
      <c r="A500">
        <v>36</v>
      </c>
      <c r="B500">
        <v>7</v>
      </c>
      <c r="C500" t="str">
        <f>VLOOKUP(A500,'Programas y Unidades'!$A:$B,2,0)</f>
        <v>Ingeniería Civil</v>
      </c>
    </row>
    <row r="501" spans="1:3">
      <c r="A501">
        <v>40</v>
      </c>
      <c r="B501">
        <v>6</v>
      </c>
      <c r="C501" t="str">
        <f>VLOOKUP(A501,'Programas y Unidades'!$A:$B,2,0)</f>
        <v>Ingeniería Mecánica</v>
      </c>
    </row>
    <row r="502" spans="1:3">
      <c r="A502">
        <v>36</v>
      </c>
      <c r="B502">
        <v>6</v>
      </c>
      <c r="C502" t="str">
        <f>VLOOKUP(A502,'Programas y Unidades'!$A:$B,2,0)</f>
        <v>Ingeniería Civil</v>
      </c>
    </row>
    <row r="503" spans="1:3">
      <c r="A503">
        <v>36</v>
      </c>
      <c r="B503">
        <v>6</v>
      </c>
      <c r="C503" t="str">
        <f>VLOOKUP(A503,'Programas y Unidades'!$A:$B,2,0)</f>
        <v>Ingeniería Civil</v>
      </c>
    </row>
    <row r="504" spans="1:3">
      <c r="A504">
        <v>32</v>
      </c>
      <c r="B504">
        <v>2</v>
      </c>
      <c r="C504" t="str">
        <f>VLOOKUP(A504,'Programas y Unidades'!$A:$B,2,0)</f>
        <v>Licenciatura en Educación Infantil</v>
      </c>
    </row>
    <row r="505" spans="1:3">
      <c r="A505">
        <v>32</v>
      </c>
      <c r="B505">
        <v>2</v>
      </c>
      <c r="C505" t="str">
        <f>VLOOKUP(A505,'Programas y Unidades'!$A:$B,2,0)</f>
        <v>Licenciatura en Educación Infantil</v>
      </c>
    </row>
    <row r="506" spans="1:3">
      <c r="A506">
        <v>32</v>
      </c>
      <c r="B506">
        <v>2</v>
      </c>
      <c r="C506" t="str">
        <f>VLOOKUP(A506,'Programas y Unidades'!$A:$B,2,0)</f>
        <v>Licenciatura en Educación Infantil</v>
      </c>
    </row>
    <row r="507" spans="1:3">
      <c r="A507">
        <v>32</v>
      </c>
      <c r="B507">
        <v>2</v>
      </c>
      <c r="C507" t="str">
        <f>VLOOKUP(A507,'Programas y Unidades'!$A:$B,2,0)</f>
        <v>Licenciatura en Educación Infantil</v>
      </c>
    </row>
    <row r="508" spans="1:3">
      <c r="A508">
        <v>32</v>
      </c>
      <c r="B508">
        <v>2</v>
      </c>
      <c r="C508" t="str">
        <f>VLOOKUP(A508,'Programas y Unidades'!$A:$B,2,0)</f>
        <v>Licenciatura en Educación Infantil</v>
      </c>
    </row>
    <row r="509" spans="1:3">
      <c r="A509">
        <v>32</v>
      </c>
      <c r="B509">
        <v>2</v>
      </c>
      <c r="C509" t="str">
        <f>VLOOKUP(A509,'Programas y Unidades'!$A:$B,2,0)</f>
        <v>Licenciatura en Educación Infantil</v>
      </c>
    </row>
    <row r="510" spans="1:3">
      <c r="A510">
        <v>32</v>
      </c>
      <c r="B510">
        <v>2</v>
      </c>
      <c r="C510" t="str">
        <f>VLOOKUP(A510,'Programas y Unidades'!$A:$B,2,0)</f>
        <v>Licenciatura en Educación Infantil</v>
      </c>
    </row>
    <row r="511" spans="1:3">
      <c r="A511">
        <v>32</v>
      </c>
      <c r="B511">
        <v>6</v>
      </c>
      <c r="C511" t="str">
        <f>VLOOKUP(A511,'Programas y Unidades'!$A:$B,2,0)</f>
        <v>Licenciatura en Educación Infantil</v>
      </c>
    </row>
    <row r="512" spans="1:3">
      <c r="A512">
        <v>32</v>
      </c>
      <c r="B512">
        <v>2</v>
      </c>
      <c r="C512" t="str">
        <f>VLOOKUP(A512,'Programas y Unidades'!$A:$B,2,0)</f>
        <v>Licenciatura en Educación Infantil</v>
      </c>
    </row>
    <row r="513" spans="1:3">
      <c r="A513">
        <v>32</v>
      </c>
      <c r="B513">
        <v>2</v>
      </c>
      <c r="C513" t="str">
        <f>VLOOKUP(A513,'Programas y Unidades'!$A:$B,2,0)</f>
        <v>Licenciatura en Educación Infantil</v>
      </c>
    </row>
    <row r="514" spans="1:3">
      <c r="A514">
        <v>32</v>
      </c>
      <c r="B514">
        <v>2</v>
      </c>
      <c r="C514" t="str">
        <f>VLOOKUP(A514,'Programas y Unidades'!$A:$B,2,0)</f>
        <v>Licenciatura en Educación Infantil</v>
      </c>
    </row>
    <row r="515" spans="1:3">
      <c r="A515">
        <v>32</v>
      </c>
      <c r="B515">
        <v>2</v>
      </c>
      <c r="C515" t="str">
        <f>VLOOKUP(A515,'Programas y Unidades'!$A:$B,2,0)</f>
        <v>Licenciatura en Educación Infantil</v>
      </c>
    </row>
    <row r="516" spans="1:3">
      <c r="A516">
        <v>32</v>
      </c>
      <c r="B516">
        <v>6</v>
      </c>
      <c r="C516" t="str">
        <f>VLOOKUP(A516,'Programas y Unidades'!$A:$B,2,0)</f>
        <v>Licenciatura en Educación Infantil</v>
      </c>
    </row>
    <row r="517" spans="1:3">
      <c r="A517">
        <v>32</v>
      </c>
      <c r="B517">
        <v>2</v>
      </c>
      <c r="C517" t="str">
        <f>VLOOKUP(A517,'Programas y Unidades'!$A:$B,2,0)</f>
        <v>Licenciatura en Educación Infantil</v>
      </c>
    </row>
    <row r="518" spans="1:3">
      <c r="A518">
        <v>32</v>
      </c>
      <c r="B518">
        <v>2</v>
      </c>
      <c r="C518" t="str">
        <f>VLOOKUP(A518,'Programas y Unidades'!$A:$B,2,0)</f>
        <v>Licenciatura en Educación Infantil</v>
      </c>
    </row>
    <row r="519" spans="1:3">
      <c r="A519">
        <v>32</v>
      </c>
      <c r="B519">
        <v>2</v>
      </c>
      <c r="C519" t="str">
        <f>VLOOKUP(A519,'Programas y Unidades'!$A:$B,2,0)</f>
        <v>Licenciatura en Educación Infantil</v>
      </c>
    </row>
    <row r="520" spans="1:3">
      <c r="A520">
        <v>36</v>
      </c>
      <c r="B520">
        <v>8</v>
      </c>
      <c r="C520" t="str">
        <f>VLOOKUP(A520,'Programas y Unidades'!$A:$B,2,0)</f>
        <v>Ingeniería Civil</v>
      </c>
    </row>
    <row r="521" spans="1:3">
      <c r="A521">
        <v>36</v>
      </c>
      <c r="B521">
        <v>8</v>
      </c>
      <c r="C521" t="str">
        <f>VLOOKUP(A521,'Programas y Unidades'!$A:$B,2,0)</f>
        <v>Ingeniería Civil</v>
      </c>
    </row>
    <row r="522" spans="1:3">
      <c r="A522">
        <v>36</v>
      </c>
      <c r="B522">
        <v>8</v>
      </c>
      <c r="C522" t="str">
        <f>VLOOKUP(A522,'Programas y Unidades'!$A:$B,2,0)</f>
        <v>Ingeniería Civil</v>
      </c>
    </row>
    <row r="523" spans="1:3">
      <c r="A523">
        <v>36</v>
      </c>
      <c r="B523">
        <v>8</v>
      </c>
      <c r="C523" t="str">
        <f>VLOOKUP(A523,'Programas y Unidades'!$A:$B,2,0)</f>
        <v>Ingeniería Civil</v>
      </c>
    </row>
    <row r="524" spans="1:3">
      <c r="A524">
        <v>36</v>
      </c>
      <c r="B524">
        <v>8</v>
      </c>
      <c r="C524" t="str">
        <f>VLOOKUP(A524,'Programas y Unidades'!$A:$B,2,0)</f>
        <v>Ingeniería Civil</v>
      </c>
    </row>
    <row r="525" spans="1:3">
      <c r="A525">
        <v>27</v>
      </c>
      <c r="B525">
        <v>2</v>
      </c>
      <c r="C525" t="str">
        <f>VLOOKUP(A525,'Programas y Unidades'!$A:$B,2,0)</f>
        <v>Comunicación Audiovisual y Multimedios</v>
      </c>
    </row>
    <row r="526" spans="1:3">
      <c r="A526">
        <v>27</v>
      </c>
      <c r="B526">
        <v>5</v>
      </c>
      <c r="C526" t="str">
        <f>VLOOKUP(A526,'Programas y Unidades'!$A:$B,2,0)</f>
        <v>Comunicación Audiovisual y Multimedios</v>
      </c>
    </row>
    <row r="527" spans="1:3">
      <c r="A527">
        <v>27</v>
      </c>
      <c r="B527">
        <v>2</v>
      </c>
      <c r="C527" t="str">
        <f>VLOOKUP(A527,'Programas y Unidades'!$A:$B,2,0)</f>
        <v>Comunicación Audiovisual y Multimedios</v>
      </c>
    </row>
    <row r="528" spans="1:3">
      <c r="A528">
        <v>27</v>
      </c>
      <c r="B528">
        <v>2</v>
      </c>
      <c r="C528" t="str">
        <f>VLOOKUP(A528,'Programas y Unidades'!$A:$B,2,0)</f>
        <v>Comunicación Audiovisual y Multimedios</v>
      </c>
    </row>
    <row r="529" spans="1:3">
      <c r="A529">
        <v>27</v>
      </c>
      <c r="B529">
        <v>2</v>
      </c>
      <c r="C529" t="str">
        <f>VLOOKUP(A529,'Programas y Unidades'!$A:$B,2,0)</f>
        <v>Comunicación Audiovisual y Multimedios</v>
      </c>
    </row>
    <row r="530" spans="1:3">
      <c r="A530">
        <v>27</v>
      </c>
      <c r="B530">
        <v>2</v>
      </c>
      <c r="C530" t="str">
        <f>VLOOKUP(A530,'Programas y Unidades'!$A:$B,2,0)</f>
        <v>Comunicación Audiovisual y Multimedios</v>
      </c>
    </row>
    <row r="531" spans="1:3">
      <c r="A531">
        <v>27</v>
      </c>
      <c r="B531">
        <v>2</v>
      </c>
      <c r="C531" t="str">
        <f>VLOOKUP(A531,'Programas y Unidades'!$A:$B,2,0)</f>
        <v>Comunicación Audiovisual y Multimedios</v>
      </c>
    </row>
    <row r="532" spans="1:3">
      <c r="A532">
        <v>27</v>
      </c>
      <c r="B532">
        <v>2</v>
      </c>
      <c r="C532" t="str">
        <f>VLOOKUP(A532,'Programas y Unidades'!$A:$B,2,0)</f>
        <v>Comunicación Audiovisual y Multimedios</v>
      </c>
    </row>
    <row r="533" spans="1:3">
      <c r="A533">
        <v>27</v>
      </c>
      <c r="B533">
        <v>2</v>
      </c>
      <c r="C533" t="str">
        <f>VLOOKUP(A533,'Programas y Unidades'!$A:$B,2,0)</f>
        <v>Comunicación Audiovisual y Multimedios</v>
      </c>
    </row>
    <row r="534" spans="1:3">
      <c r="A534">
        <v>27</v>
      </c>
      <c r="B534">
        <v>2</v>
      </c>
      <c r="C534" t="str">
        <f>VLOOKUP(A534,'Programas y Unidades'!$A:$B,2,0)</f>
        <v>Comunicación Audiovisual y Multimedios</v>
      </c>
    </row>
    <row r="535" spans="1:3">
      <c r="A535">
        <v>27</v>
      </c>
      <c r="B535">
        <v>2</v>
      </c>
      <c r="C535" t="str">
        <f>VLOOKUP(A535,'Programas y Unidades'!$A:$B,2,0)</f>
        <v>Comunicación Audiovisual y Multimedios</v>
      </c>
    </row>
    <row r="536" spans="1:3">
      <c r="A536">
        <v>27</v>
      </c>
      <c r="B536">
        <v>2</v>
      </c>
      <c r="C536" t="str">
        <f>VLOOKUP(A536,'Programas y Unidades'!$A:$B,2,0)</f>
        <v>Comunicación Audiovisual y Multimedios</v>
      </c>
    </row>
    <row r="537" spans="1:3">
      <c r="A537">
        <v>27</v>
      </c>
      <c r="B537">
        <v>2</v>
      </c>
      <c r="C537" t="str">
        <f>VLOOKUP(A537,'Programas y Unidades'!$A:$B,2,0)</f>
        <v>Comunicación Audiovisual y Multimedios</v>
      </c>
    </row>
    <row r="538" spans="1:3">
      <c r="A538">
        <v>27</v>
      </c>
      <c r="B538">
        <v>2</v>
      </c>
      <c r="C538" t="str">
        <f>VLOOKUP(A538,'Programas y Unidades'!$A:$B,2,0)</f>
        <v>Comunicación Audiovisual y Multimedios</v>
      </c>
    </row>
    <row r="539" spans="1:3">
      <c r="A539">
        <v>27</v>
      </c>
      <c r="B539">
        <v>2</v>
      </c>
      <c r="C539" t="str">
        <f>VLOOKUP(A539,'Programas y Unidades'!$A:$B,2,0)</f>
        <v>Comunicación Audiovisual y Multimedios</v>
      </c>
    </row>
    <row r="540" spans="1:3">
      <c r="A540">
        <v>27</v>
      </c>
      <c r="B540">
        <v>2</v>
      </c>
      <c r="C540" t="str">
        <f>VLOOKUP(A540,'Programas y Unidades'!$A:$B,2,0)</f>
        <v>Comunicación Audiovisual y Multimedios</v>
      </c>
    </row>
    <row r="541" spans="1:3">
      <c r="A541">
        <v>27</v>
      </c>
      <c r="B541">
        <v>4</v>
      </c>
      <c r="C541" t="str">
        <f>VLOOKUP(A541,'Programas y Unidades'!$A:$B,2,0)</f>
        <v>Comunicación Audiovisual y Multimedios</v>
      </c>
    </row>
    <row r="542" spans="1:3">
      <c r="A542">
        <v>27</v>
      </c>
      <c r="B542">
        <v>2</v>
      </c>
      <c r="C542" t="str">
        <f>VLOOKUP(A542,'Programas y Unidades'!$A:$B,2,0)</f>
        <v>Comunicación Audiovisual y Multimedios</v>
      </c>
    </row>
    <row r="543" spans="1:3">
      <c r="A543">
        <v>27</v>
      </c>
      <c r="B543">
        <v>2</v>
      </c>
      <c r="C543" t="str">
        <f>VLOOKUP(A543,'Programas y Unidades'!$A:$B,2,0)</f>
        <v>Comunicación Audiovisual y Multimedios</v>
      </c>
    </row>
    <row r="544" spans="1:3">
      <c r="A544">
        <v>27</v>
      </c>
      <c r="B544">
        <v>2</v>
      </c>
      <c r="C544" t="str">
        <f>VLOOKUP(A544,'Programas y Unidades'!$A:$B,2,0)</f>
        <v>Comunicación Audiovisual y Multimedios</v>
      </c>
    </row>
    <row r="545" spans="1:3">
      <c r="A545">
        <v>27</v>
      </c>
      <c r="B545">
        <v>2</v>
      </c>
      <c r="C545" t="str">
        <f>VLOOKUP(A545,'Programas y Unidades'!$A:$B,2,0)</f>
        <v>Comunicación Audiovisual y Multimedios</v>
      </c>
    </row>
    <row r="546" spans="1:3">
      <c r="A546">
        <v>27</v>
      </c>
      <c r="B546">
        <v>2</v>
      </c>
      <c r="C546" t="str">
        <f>VLOOKUP(A546,'Programas y Unidades'!$A:$B,2,0)</f>
        <v>Comunicación Audiovisual y Multimedios</v>
      </c>
    </row>
    <row r="547" spans="1:3">
      <c r="A547">
        <v>40</v>
      </c>
      <c r="B547">
        <v>5</v>
      </c>
      <c r="C547" t="str">
        <f>VLOOKUP(A547,'Programas y Unidades'!$A:$B,2,0)</f>
        <v>Ingeniería Mecánica</v>
      </c>
    </row>
    <row r="548" spans="1:3">
      <c r="A548">
        <v>40</v>
      </c>
      <c r="B548">
        <v>5</v>
      </c>
      <c r="C548" t="str">
        <f>VLOOKUP(A548,'Programas y Unidades'!$A:$B,2,0)</f>
        <v>Ingeniería Mecánica</v>
      </c>
    </row>
    <row r="549" spans="1:3">
      <c r="A549">
        <v>40</v>
      </c>
      <c r="B549">
        <v>5</v>
      </c>
      <c r="C549" t="str">
        <f>VLOOKUP(A549,'Programas y Unidades'!$A:$B,2,0)</f>
        <v>Ingeniería Mecánica</v>
      </c>
    </row>
    <row r="550" spans="1:3">
      <c r="A550">
        <v>40</v>
      </c>
      <c r="B550">
        <v>5</v>
      </c>
      <c r="C550" t="str">
        <f>VLOOKUP(A550,'Programas y Unidades'!$A:$B,2,0)</f>
        <v>Ingeniería Mecánica</v>
      </c>
    </row>
    <row r="551" spans="1:3">
      <c r="A551">
        <v>40</v>
      </c>
      <c r="B551">
        <v>5</v>
      </c>
      <c r="C551" t="str">
        <f>VLOOKUP(A551,'Programas y Unidades'!$A:$B,2,0)</f>
        <v>Ingeniería Mecánica</v>
      </c>
    </row>
    <row r="552" spans="1:3">
      <c r="A552">
        <v>40</v>
      </c>
      <c r="B552">
        <v>5</v>
      </c>
      <c r="C552" t="str">
        <f>VLOOKUP(A552,'Programas y Unidades'!$A:$B,2,0)</f>
        <v>Ingeniería Mecánica</v>
      </c>
    </row>
    <row r="553" spans="1:3">
      <c r="A553">
        <v>36</v>
      </c>
      <c r="B553">
        <v>8</v>
      </c>
      <c r="C553" t="str">
        <f>VLOOKUP(A553,'Programas y Unidades'!$A:$B,2,0)</f>
        <v>Ingeniería Civil</v>
      </c>
    </row>
    <row r="554" spans="1:3">
      <c r="A554">
        <v>36</v>
      </c>
      <c r="B554">
        <v>8</v>
      </c>
      <c r="C554" t="str">
        <f>VLOOKUP(A554,'Programas y Unidades'!$A:$B,2,0)</f>
        <v>Ingeniería Civil</v>
      </c>
    </row>
    <row r="555" spans="1:3">
      <c r="A555">
        <v>36</v>
      </c>
      <c r="B555">
        <v>8</v>
      </c>
      <c r="C555" t="str">
        <f>VLOOKUP(A555,'Programas y Unidades'!$A:$B,2,0)</f>
        <v>Ingeniería Civil</v>
      </c>
    </row>
    <row r="556" spans="1:3">
      <c r="A556">
        <v>36</v>
      </c>
      <c r="B556">
        <v>8</v>
      </c>
      <c r="C556" t="str">
        <f>VLOOKUP(A556,'Programas y Unidades'!$A:$B,2,0)</f>
        <v>Ingeniería Civil</v>
      </c>
    </row>
    <row r="557" spans="1:3">
      <c r="A557">
        <v>36</v>
      </c>
      <c r="B557">
        <v>8</v>
      </c>
      <c r="C557" t="str">
        <f>VLOOKUP(A557,'Programas y Unidades'!$A:$B,2,0)</f>
        <v>Ingeniería Civil</v>
      </c>
    </row>
    <row r="558" spans="1:3">
      <c r="A558">
        <v>36</v>
      </c>
      <c r="B558">
        <v>8</v>
      </c>
      <c r="C558" t="str">
        <f>VLOOKUP(A558,'Programas y Unidades'!$A:$B,2,0)</f>
        <v>Ingeniería Civil</v>
      </c>
    </row>
    <row r="559" spans="1:3">
      <c r="A559">
        <v>36</v>
      </c>
      <c r="B559">
        <v>8</v>
      </c>
      <c r="C559" t="str">
        <f>VLOOKUP(A559,'Programas y Unidades'!$A:$B,2,0)</f>
        <v>Ingeniería Civil</v>
      </c>
    </row>
    <row r="560" spans="1:3">
      <c r="A560">
        <v>36</v>
      </c>
      <c r="B560">
        <v>8</v>
      </c>
      <c r="C560" t="str">
        <f>VLOOKUP(A560,'Programas y Unidades'!$A:$B,2,0)</f>
        <v>Ingeniería Civil</v>
      </c>
    </row>
    <row r="561" spans="1:3">
      <c r="A561">
        <v>36</v>
      </c>
      <c r="B561">
        <v>8</v>
      </c>
      <c r="C561" t="str">
        <f>VLOOKUP(A561,'Programas y Unidades'!$A:$B,2,0)</f>
        <v>Ingeniería Civil</v>
      </c>
    </row>
    <row r="562" spans="1:3">
      <c r="A562">
        <v>36</v>
      </c>
      <c r="B562">
        <v>8</v>
      </c>
      <c r="C562" t="str">
        <f>VLOOKUP(A562,'Programas y Unidades'!$A:$B,2,0)</f>
        <v>Ingeniería Civil</v>
      </c>
    </row>
    <row r="563" spans="1:3">
      <c r="A563">
        <v>36</v>
      </c>
      <c r="B563">
        <v>8</v>
      </c>
      <c r="C563" t="str">
        <f>VLOOKUP(A563,'Programas y Unidades'!$A:$B,2,0)</f>
        <v>Ingeniería Civil</v>
      </c>
    </row>
    <row r="564" spans="1:3">
      <c r="A564">
        <v>36</v>
      </c>
      <c r="B564">
        <v>8</v>
      </c>
      <c r="C564" t="str">
        <f>VLOOKUP(A564,'Programas y Unidades'!$A:$B,2,0)</f>
        <v>Ingeniería Civil</v>
      </c>
    </row>
    <row r="565" spans="1:3">
      <c r="A565">
        <v>36</v>
      </c>
      <c r="B565">
        <v>8</v>
      </c>
      <c r="C565" t="str">
        <f>VLOOKUP(A565,'Programas y Unidades'!$A:$B,2,0)</f>
        <v>Ingeniería Civil</v>
      </c>
    </row>
    <row r="566" spans="1:3">
      <c r="A566">
        <v>36</v>
      </c>
      <c r="B566">
        <v>8</v>
      </c>
      <c r="C566" t="str">
        <f>VLOOKUP(A566,'Programas y Unidades'!$A:$B,2,0)</f>
        <v>Ingeniería Civil</v>
      </c>
    </row>
    <row r="567" spans="1:3">
      <c r="A567">
        <v>22</v>
      </c>
      <c r="B567">
        <v>6</v>
      </c>
      <c r="C567" t="str">
        <f>VLOOKUP(A567,'Programas y Unidades'!$A:$B,2,0)</f>
        <v>Administración de Mercadeo y Logística Internacionales</v>
      </c>
    </row>
    <row r="568" spans="1:3">
      <c r="A568">
        <v>21</v>
      </c>
      <c r="B568">
        <v>5</v>
      </c>
      <c r="C568" t="str">
        <f>VLOOKUP(A568,'Programas y Unidades'!$A:$B,2,0)</f>
        <v>Administración de Empresas</v>
      </c>
    </row>
    <row r="569" spans="1:3">
      <c r="A569">
        <v>22</v>
      </c>
      <c r="B569">
        <v>5</v>
      </c>
      <c r="C569" t="str">
        <f>VLOOKUP(A569,'Programas y Unidades'!$A:$B,2,0)</f>
        <v>Administración de Mercadeo y Logística Internacionales</v>
      </c>
    </row>
    <row r="570" spans="1:3">
      <c r="A570">
        <v>22</v>
      </c>
      <c r="B570">
        <v>5</v>
      </c>
      <c r="C570" t="str">
        <f>VLOOKUP(A570,'Programas y Unidades'!$A:$B,2,0)</f>
        <v>Administración de Mercadeo y Logística Internacionales</v>
      </c>
    </row>
    <row r="571" spans="1:3">
      <c r="A571">
        <v>22</v>
      </c>
      <c r="B571">
        <v>5</v>
      </c>
      <c r="C571" t="str">
        <f>VLOOKUP(A571,'Programas y Unidades'!$A:$B,2,0)</f>
        <v>Administración de Mercadeo y Logística Internacionales</v>
      </c>
    </row>
    <row r="572" spans="1:3">
      <c r="A572">
        <v>22</v>
      </c>
      <c r="B572">
        <v>5</v>
      </c>
      <c r="C572" t="str">
        <f>VLOOKUP(A572,'Programas y Unidades'!$A:$B,2,0)</f>
        <v>Administración de Mercadeo y Logística Internacionales</v>
      </c>
    </row>
    <row r="573" spans="1:3">
      <c r="A573">
        <v>22</v>
      </c>
      <c r="B573">
        <v>5</v>
      </c>
      <c r="C573" t="str">
        <f>VLOOKUP(A573,'Programas y Unidades'!$A:$B,2,0)</f>
        <v>Administración de Mercadeo y Logística Internacionales</v>
      </c>
    </row>
    <row r="574" spans="1:3">
      <c r="A574">
        <v>22</v>
      </c>
      <c r="B574">
        <v>5</v>
      </c>
      <c r="C574" t="str">
        <f>VLOOKUP(A574,'Programas y Unidades'!$A:$B,2,0)</f>
        <v>Administración de Mercadeo y Logística Internacionales</v>
      </c>
    </row>
    <row r="575" spans="1:3">
      <c r="A575">
        <v>22</v>
      </c>
      <c r="B575">
        <v>8</v>
      </c>
      <c r="C575" t="str">
        <f>VLOOKUP(A575,'Programas y Unidades'!$A:$B,2,0)</f>
        <v>Administración de Mercadeo y Logística Internacionales</v>
      </c>
    </row>
    <row r="576" spans="1:3">
      <c r="A576">
        <v>22</v>
      </c>
      <c r="B576">
        <v>5</v>
      </c>
      <c r="C576" t="str">
        <f>VLOOKUP(A576,'Programas y Unidades'!$A:$B,2,0)</f>
        <v>Administración de Mercadeo y Logística Internacionales</v>
      </c>
    </row>
    <row r="577" spans="1:3">
      <c r="A577">
        <v>22</v>
      </c>
      <c r="B577">
        <v>6</v>
      </c>
      <c r="C577" t="str">
        <f>VLOOKUP(A577,'Programas y Unidades'!$A:$B,2,0)</f>
        <v>Administración de Mercadeo y Logística Internacionales</v>
      </c>
    </row>
    <row r="578" spans="1:3">
      <c r="A578">
        <v>22</v>
      </c>
      <c r="B578">
        <v>5</v>
      </c>
      <c r="C578" t="str">
        <f>VLOOKUP(A578,'Programas y Unidades'!$A:$B,2,0)</f>
        <v>Administración de Mercadeo y Logística Internacionales</v>
      </c>
    </row>
    <row r="579" spans="1:3">
      <c r="A579">
        <v>22</v>
      </c>
      <c r="B579">
        <v>5</v>
      </c>
      <c r="C579" t="str">
        <f>VLOOKUP(A579,'Programas y Unidades'!$A:$B,2,0)</f>
        <v>Administración de Mercadeo y Logística Internacionales</v>
      </c>
    </row>
    <row r="580" spans="1:3">
      <c r="A580">
        <v>22</v>
      </c>
      <c r="B580">
        <v>6</v>
      </c>
      <c r="C580" t="str">
        <f>VLOOKUP(A580,'Programas y Unidades'!$A:$B,2,0)</f>
        <v>Administración de Mercadeo y Logística Internacionales</v>
      </c>
    </row>
    <row r="581" spans="1:3">
      <c r="A581">
        <v>22</v>
      </c>
      <c r="B581">
        <v>5</v>
      </c>
      <c r="C581" t="str">
        <f>VLOOKUP(A581,'Programas y Unidades'!$A:$B,2,0)</f>
        <v>Administración de Mercadeo y Logística Internacionales</v>
      </c>
    </row>
    <row r="582" spans="1:3">
      <c r="A582">
        <v>22</v>
      </c>
      <c r="B582">
        <v>5</v>
      </c>
      <c r="C582" t="str">
        <f>VLOOKUP(A582,'Programas y Unidades'!$A:$B,2,0)</f>
        <v>Administración de Mercadeo y Logística Internacionales</v>
      </c>
    </row>
    <row r="583" spans="1:3">
      <c r="A583">
        <v>22</v>
      </c>
      <c r="B583">
        <v>6</v>
      </c>
      <c r="C583" t="str">
        <f>VLOOKUP(A583,'Programas y Unidades'!$A:$B,2,0)</f>
        <v>Administración de Mercadeo y Logística Internacionales</v>
      </c>
    </row>
    <row r="584" spans="1:3">
      <c r="A584">
        <v>22</v>
      </c>
      <c r="B584">
        <v>5</v>
      </c>
      <c r="C584" t="str">
        <f>VLOOKUP(A584,'Programas y Unidades'!$A:$B,2,0)</f>
        <v>Administración de Mercadeo y Logística Internacionales</v>
      </c>
    </row>
    <row r="585" spans="1:3">
      <c r="A585">
        <v>22</v>
      </c>
      <c r="B585">
        <v>5</v>
      </c>
      <c r="C585" t="str">
        <f>VLOOKUP(A585,'Programas y Unidades'!$A:$B,2,0)</f>
        <v>Administración de Mercadeo y Logística Internacionales</v>
      </c>
    </row>
    <row r="586" spans="1:3">
      <c r="A586">
        <v>22</v>
      </c>
      <c r="B586">
        <v>5</v>
      </c>
      <c r="C586" t="str">
        <f>VLOOKUP(A586,'Programas y Unidades'!$A:$B,2,0)</f>
        <v>Administración de Mercadeo y Logística Internacionales</v>
      </c>
    </row>
    <row r="587" spans="1:3">
      <c r="A587">
        <v>22</v>
      </c>
      <c r="B587">
        <v>6</v>
      </c>
      <c r="C587" t="str">
        <f>VLOOKUP(A587,'Programas y Unidades'!$A:$B,2,0)</f>
        <v>Administración de Mercadeo y Logística Internacionales</v>
      </c>
    </row>
    <row r="588" spans="1:3">
      <c r="A588">
        <v>22</v>
      </c>
      <c r="B588">
        <v>5</v>
      </c>
      <c r="C588" t="str">
        <f>VLOOKUP(A588,'Programas y Unidades'!$A:$B,2,0)</f>
        <v>Administración de Mercadeo y Logística Internacionales</v>
      </c>
    </row>
    <row r="589" spans="1:3">
      <c r="A589">
        <v>22</v>
      </c>
      <c r="B589">
        <v>6</v>
      </c>
      <c r="C589" t="str">
        <f>VLOOKUP(A589,'Programas y Unidades'!$A:$B,2,0)</f>
        <v>Administración de Mercadeo y Logística Internacionales</v>
      </c>
    </row>
    <row r="590" spans="1:3">
      <c r="A590">
        <v>22</v>
      </c>
      <c r="B590">
        <v>5</v>
      </c>
      <c r="C590" t="str">
        <f>VLOOKUP(A590,'Programas y Unidades'!$A:$B,2,0)</f>
        <v>Administración de Mercadeo y Logística Internacionales</v>
      </c>
    </row>
    <row r="591" spans="1:3">
      <c r="A591">
        <v>22</v>
      </c>
      <c r="B591">
        <v>5</v>
      </c>
      <c r="C591" t="str">
        <f>VLOOKUP(A591,'Programas y Unidades'!$A:$B,2,0)</f>
        <v>Administración de Mercadeo y Logística Internacionales</v>
      </c>
    </row>
    <row r="592" spans="1:3">
      <c r="A592">
        <v>22</v>
      </c>
      <c r="B592">
        <v>5</v>
      </c>
      <c r="C592" t="str">
        <f>VLOOKUP(A592,'Programas y Unidades'!$A:$B,2,0)</f>
        <v>Administración de Mercadeo y Logística Internacionales</v>
      </c>
    </row>
    <row r="593" spans="1:3">
      <c r="A593">
        <v>22</v>
      </c>
      <c r="B593">
        <v>6</v>
      </c>
      <c r="C593" t="str">
        <f>VLOOKUP(A593,'Programas y Unidades'!$A:$B,2,0)</f>
        <v>Administración de Mercadeo y Logística Internacionales</v>
      </c>
    </row>
    <row r="594" spans="1:3">
      <c r="A594">
        <v>22</v>
      </c>
      <c r="B594">
        <v>6</v>
      </c>
      <c r="C594" t="str">
        <f>VLOOKUP(A594,'Programas y Unidades'!$A:$B,2,0)</f>
        <v>Administración de Mercadeo y Logística Internacionales</v>
      </c>
    </row>
    <row r="595" spans="1:3">
      <c r="A595">
        <v>22</v>
      </c>
      <c r="B595">
        <v>5</v>
      </c>
      <c r="C595" t="str">
        <f>VLOOKUP(A595,'Programas y Unidades'!$A:$B,2,0)</f>
        <v>Administración de Mercadeo y Logística Internacionales</v>
      </c>
    </row>
    <row r="596" spans="1:3">
      <c r="A596">
        <v>22</v>
      </c>
      <c r="B596">
        <v>7</v>
      </c>
      <c r="C596" t="str">
        <f>VLOOKUP(A596,'Programas y Unidades'!$A:$B,2,0)</f>
        <v>Administración de Mercadeo y Logística Internacionales</v>
      </c>
    </row>
    <row r="597" spans="1:3">
      <c r="A597">
        <v>22</v>
      </c>
      <c r="B597">
        <v>8</v>
      </c>
      <c r="C597" t="str">
        <f>VLOOKUP(A597,'Programas y Unidades'!$A:$B,2,0)</f>
        <v>Administración de Mercadeo y Logística Internacionales</v>
      </c>
    </row>
    <row r="598" spans="1:3">
      <c r="A598">
        <v>22</v>
      </c>
      <c r="B598">
        <v>5</v>
      </c>
      <c r="C598" t="str">
        <f>VLOOKUP(A598,'Programas y Unidades'!$A:$B,2,0)</f>
        <v>Administración de Mercadeo y Logística Internacionales</v>
      </c>
    </row>
    <row r="599" spans="1:3">
      <c r="A599">
        <v>36</v>
      </c>
      <c r="B599">
        <v>8</v>
      </c>
      <c r="C599" t="str">
        <f>VLOOKUP(A599,'Programas y Unidades'!$A:$B,2,0)</f>
        <v>Ingeniería Civil</v>
      </c>
    </row>
    <row r="600" spans="1:3">
      <c r="A600">
        <v>21</v>
      </c>
      <c r="B600">
        <v>8</v>
      </c>
      <c r="C600" t="str">
        <f>VLOOKUP(A600,'Programas y Unidades'!$A:$B,2,0)</f>
        <v>Administración de Empresas</v>
      </c>
    </row>
    <row r="601" spans="1:3">
      <c r="A601">
        <v>36</v>
      </c>
      <c r="B601">
        <v>8</v>
      </c>
      <c r="C601" t="str">
        <f>VLOOKUP(A601,'Programas y Unidades'!$A:$B,2,0)</f>
        <v>Ingeniería Civil</v>
      </c>
    </row>
    <row r="602" spans="1:3">
      <c r="A602">
        <v>41</v>
      </c>
      <c r="B602">
        <v>6</v>
      </c>
      <c r="C602" t="str">
        <f>VLOOKUP(A602,'Programas y Unidades'!$A:$B,2,0)</f>
        <v>Ingeniería Química</v>
      </c>
    </row>
    <row r="603" spans="1:3">
      <c r="A603">
        <v>41</v>
      </c>
      <c r="B603">
        <v>7</v>
      </c>
      <c r="C603" t="str">
        <f>VLOOKUP(A603,'Programas y Unidades'!$A:$B,2,0)</f>
        <v>Ingeniería Química</v>
      </c>
    </row>
    <row r="604" spans="1:3">
      <c r="A604">
        <v>41</v>
      </c>
      <c r="B604">
        <v>7</v>
      </c>
      <c r="C604" t="str">
        <f>VLOOKUP(A604,'Programas y Unidades'!$A:$B,2,0)</f>
        <v>Ingeniería Química</v>
      </c>
    </row>
    <row r="605" spans="1:3">
      <c r="A605">
        <v>41</v>
      </c>
      <c r="B605">
        <v>7</v>
      </c>
      <c r="C605" t="str">
        <f>VLOOKUP(A605,'Programas y Unidades'!$A:$B,2,0)</f>
        <v>Ingeniería Química</v>
      </c>
    </row>
    <row r="606" spans="1:3">
      <c r="A606">
        <v>41</v>
      </c>
      <c r="B606">
        <v>7</v>
      </c>
      <c r="C606" t="str">
        <f>VLOOKUP(A606,'Programas y Unidades'!$A:$B,2,0)</f>
        <v>Ingeniería Química</v>
      </c>
    </row>
    <row r="607" spans="1:3">
      <c r="A607">
        <v>41</v>
      </c>
      <c r="B607">
        <v>7</v>
      </c>
      <c r="C607" t="str">
        <f>VLOOKUP(A607,'Programas y Unidades'!$A:$B,2,0)</f>
        <v>Ingeniería Química</v>
      </c>
    </row>
    <row r="608" spans="1:3">
      <c r="A608">
        <v>41</v>
      </c>
      <c r="B608">
        <v>8</v>
      </c>
      <c r="C608" t="str">
        <f>VLOOKUP(A608,'Programas y Unidades'!$A:$B,2,0)</f>
        <v>Ingeniería Química</v>
      </c>
    </row>
    <row r="609" spans="1:3">
      <c r="A609">
        <v>41</v>
      </c>
      <c r="B609">
        <v>7</v>
      </c>
      <c r="C609" t="str">
        <f>VLOOKUP(A609,'Programas y Unidades'!$A:$B,2,0)</f>
        <v>Ingeniería Química</v>
      </c>
    </row>
    <row r="610" spans="1:3">
      <c r="A610">
        <v>41</v>
      </c>
      <c r="B610">
        <v>7</v>
      </c>
      <c r="C610" t="str">
        <f>VLOOKUP(A610,'Programas y Unidades'!$A:$B,2,0)</f>
        <v>Ingeniería Química</v>
      </c>
    </row>
    <row r="611" spans="1:3">
      <c r="A611">
        <v>41</v>
      </c>
      <c r="B611">
        <v>8</v>
      </c>
      <c r="C611" t="str">
        <f>VLOOKUP(A611,'Programas y Unidades'!$A:$B,2,0)</f>
        <v>Ingeniería Química</v>
      </c>
    </row>
    <row r="612" spans="1:3">
      <c r="A612">
        <v>41</v>
      </c>
      <c r="B612">
        <v>7</v>
      </c>
      <c r="C612" t="str">
        <f>VLOOKUP(A612,'Programas y Unidades'!$A:$B,2,0)</f>
        <v>Ingeniería Química</v>
      </c>
    </row>
    <row r="613" spans="1:3">
      <c r="A613">
        <v>41</v>
      </c>
      <c r="B613">
        <v>7</v>
      </c>
      <c r="C613" t="str">
        <f>VLOOKUP(A613,'Programas y Unidades'!$A:$B,2,0)</f>
        <v>Ingeniería Química</v>
      </c>
    </row>
    <row r="614" spans="1:3">
      <c r="A614">
        <v>41</v>
      </c>
      <c r="B614">
        <v>7</v>
      </c>
      <c r="C614" t="str">
        <f>VLOOKUP(A614,'Programas y Unidades'!$A:$B,2,0)</f>
        <v>Ingeniería Química</v>
      </c>
    </row>
    <row r="615" spans="1:3">
      <c r="A615">
        <v>40</v>
      </c>
      <c r="B615">
        <v>5</v>
      </c>
      <c r="C615" t="str">
        <f>VLOOKUP(A615,'Programas y Unidades'!$A:$B,2,0)</f>
        <v>Ingeniería Mecánica</v>
      </c>
    </row>
    <row r="616" spans="1:3">
      <c r="A616">
        <v>40</v>
      </c>
      <c r="B616">
        <v>5</v>
      </c>
      <c r="C616" t="str">
        <f>VLOOKUP(A616,'Programas y Unidades'!$A:$B,2,0)</f>
        <v>Ingeniería Mecánica</v>
      </c>
    </row>
    <row r="617" spans="1:3">
      <c r="A617">
        <v>40</v>
      </c>
      <c r="B617">
        <v>7</v>
      </c>
      <c r="C617" t="str">
        <f>VLOOKUP(A617,'Programas y Unidades'!$A:$B,2,0)</f>
        <v>Ingeniería Mecánica</v>
      </c>
    </row>
    <row r="618" spans="1:3">
      <c r="A618">
        <v>21</v>
      </c>
      <c r="B618">
        <v>3</v>
      </c>
      <c r="C618" t="str">
        <f>VLOOKUP(A618,'Programas y Unidades'!$A:$B,2,0)</f>
        <v>Administración de Empresas</v>
      </c>
    </row>
    <row r="619" spans="1:3">
      <c r="A619">
        <v>21</v>
      </c>
      <c r="B619">
        <v>6</v>
      </c>
      <c r="C619" t="str">
        <f>VLOOKUP(A619,'Programas y Unidades'!$A:$B,2,0)</f>
        <v>Administración de Empresas</v>
      </c>
    </row>
    <row r="620" spans="1:3">
      <c r="A620">
        <v>22</v>
      </c>
      <c r="B620">
        <v>4</v>
      </c>
      <c r="C620" t="str">
        <f>VLOOKUP(A620,'Programas y Unidades'!$A:$B,2,0)</f>
        <v>Administración de Mercadeo y Logística Internacionales</v>
      </c>
    </row>
    <row r="621" spans="1:3">
      <c r="A621">
        <v>22</v>
      </c>
      <c r="B621">
        <v>3</v>
      </c>
      <c r="C621" t="str">
        <f>VLOOKUP(A621,'Programas y Unidades'!$A:$B,2,0)</f>
        <v>Administración de Mercadeo y Logística Internacionales</v>
      </c>
    </row>
    <row r="622" spans="1:3">
      <c r="A622">
        <v>22</v>
      </c>
      <c r="B622">
        <v>3</v>
      </c>
      <c r="C622" t="str">
        <f>VLOOKUP(A622,'Programas y Unidades'!$A:$B,2,0)</f>
        <v>Administración de Mercadeo y Logística Internacionales</v>
      </c>
    </row>
    <row r="623" spans="1:3">
      <c r="A623">
        <v>22</v>
      </c>
      <c r="B623">
        <v>3</v>
      </c>
      <c r="C623" t="str">
        <f>VLOOKUP(A623,'Programas y Unidades'!$A:$B,2,0)</f>
        <v>Administración de Mercadeo y Logística Internacionales</v>
      </c>
    </row>
    <row r="624" spans="1:3">
      <c r="A624">
        <v>22</v>
      </c>
      <c r="B624">
        <v>2</v>
      </c>
      <c r="C624" t="str">
        <f>VLOOKUP(A624,'Programas y Unidades'!$A:$B,2,0)</f>
        <v>Administración de Mercadeo y Logística Internacionales</v>
      </c>
    </row>
    <row r="625" spans="1:3">
      <c r="A625">
        <v>22</v>
      </c>
      <c r="B625">
        <v>3</v>
      </c>
      <c r="C625" t="str">
        <f>VLOOKUP(A625,'Programas y Unidades'!$A:$B,2,0)</f>
        <v>Administración de Mercadeo y Logística Internacionales</v>
      </c>
    </row>
    <row r="626" spans="1:3">
      <c r="A626">
        <v>22</v>
      </c>
      <c r="B626">
        <v>4</v>
      </c>
      <c r="C626" t="str">
        <f>VLOOKUP(A626,'Programas y Unidades'!$A:$B,2,0)</f>
        <v>Administración de Mercadeo y Logística Internacionales</v>
      </c>
    </row>
    <row r="627" spans="1:3">
      <c r="A627">
        <v>22</v>
      </c>
      <c r="B627">
        <v>4</v>
      </c>
      <c r="C627" t="str">
        <f>VLOOKUP(A627,'Programas y Unidades'!$A:$B,2,0)</f>
        <v>Administración de Mercadeo y Logística Internacionales</v>
      </c>
    </row>
    <row r="628" spans="1:3">
      <c r="A628">
        <v>22</v>
      </c>
      <c r="B628">
        <v>4</v>
      </c>
      <c r="C628" t="str">
        <f>VLOOKUP(A628,'Programas y Unidades'!$A:$B,2,0)</f>
        <v>Administración de Mercadeo y Logística Internacionales</v>
      </c>
    </row>
    <row r="629" spans="1:3">
      <c r="A629">
        <v>22</v>
      </c>
      <c r="B629">
        <v>3</v>
      </c>
      <c r="C629" t="str">
        <f>VLOOKUP(A629,'Programas y Unidades'!$A:$B,2,0)</f>
        <v>Administración de Mercadeo y Logística Internacionales</v>
      </c>
    </row>
    <row r="630" spans="1:3">
      <c r="A630">
        <v>23</v>
      </c>
      <c r="B630">
        <v>2</v>
      </c>
      <c r="C630" t="str">
        <f>VLOOKUP(A630,'Programas y Unidades'!$A:$B,2,0)</f>
        <v>Administración de Negocios Internacionales</v>
      </c>
    </row>
    <row r="631" spans="1:3">
      <c r="A631">
        <v>22</v>
      </c>
      <c r="B631">
        <v>4</v>
      </c>
      <c r="C631" t="str">
        <f>VLOOKUP(A631,'Programas y Unidades'!$A:$B,2,0)</f>
        <v>Administración de Mercadeo y Logística Internacionales</v>
      </c>
    </row>
    <row r="632" spans="1:3">
      <c r="A632">
        <v>23</v>
      </c>
      <c r="B632">
        <v>4</v>
      </c>
      <c r="C632" t="str">
        <f>VLOOKUP(A632,'Programas y Unidades'!$A:$B,2,0)</f>
        <v>Administración de Negocios Internacionales</v>
      </c>
    </row>
    <row r="633" spans="1:3">
      <c r="A633">
        <v>22</v>
      </c>
      <c r="B633">
        <v>3</v>
      </c>
      <c r="C633" t="str">
        <f>VLOOKUP(A633,'Programas y Unidades'!$A:$B,2,0)</f>
        <v>Administración de Mercadeo y Logística Internacionales</v>
      </c>
    </row>
    <row r="634" spans="1:3">
      <c r="A634">
        <v>22</v>
      </c>
      <c r="B634">
        <v>3</v>
      </c>
      <c r="C634" t="str">
        <f>VLOOKUP(A634,'Programas y Unidades'!$A:$B,2,0)</f>
        <v>Administración de Mercadeo y Logística Internacionales</v>
      </c>
    </row>
    <row r="635" spans="1:3">
      <c r="A635">
        <v>22</v>
      </c>
      <c r="B635">
        <v>3</v>
      </c>
      <c r="C635" t="str">
        <f>VLOOKUP(A635,'Programas y Unidades'!$A:$B,2,0)</f>
        <v>Administración de Mercadeo y Logística Internacionales</v>
      </c>
    </row>
    <row r="636" spans="1:3">
      <c r="A636">
        <v>22</v>
      </c>
      <c r="B636">
        <v>3</v>
      </c>
      <c r="C636" t="str">
        <f>VLOOKUP(A636,'Programas y Unidades'!$A:$B,2,0)</f>
        <v>Administración de Mercadeo y Logística Internacionales</v>
      </c>
    </row>
    <row r="637" spans="1:3">
      <c r="A637">
        <v>22</v>
      </c>
      <c r="B637">
        <v>3</v>
      </c>
      <c r="C637" t="str">
        <f>VLOOKUP(A637,'Programas y Unidades'!$A:$B,2,0)</f>
        <v>Administración de Mercadeo y Logística Internacionales</v>
      </c>
    </row>
    <row r="638" spans="1:3">
      <c r="A638">
        <v>22</v>
      </c>
      <c r="B638">
        <v>3</v>
      </c>
      <c r="C638" t="str">
        <f>VLOOKUP(A638,'Programas y Unidades'!$A:$B,2,0)</f>
        <v>Administración de Mercadeo y Logística Internacionales</v>
      </c>
    </row>
    <row r="639" spans="1:3">
      <c r="A639">
        <v>22</v>
      </c>
      <c r="B639">
        <v>3</v>
      </c>
      <c r="C639" t="str">
        <f>VLOOKUP(A639,'Programas y Unidades'!$A:$B,2,0)</f>
        <v>Administración de Mercadeo y Logística Internacionales</v>
      </c>
    </row>
    <row r="640" spans="1:3">
      <c r="A640">
        <v>22</v>
      </c>
      <c r="B640">
        <v>5</v>
      </c>
      <c r="C640" t="str">
        <f>VLOOKUP(A640,'Programas y Unidades'!$A:$B,2,0)</f>
        <v>Administración de Mercadeo y Logística Internacionales</v>
      </c>
    </row>
    <row r="641" spans="1:3">
      <c r="A641">
        <v>22</v>
      </c>
      <c r="B641">
        <v>3</v>
      </c>
      <c r="C641" t="str">
        <f>VLOOKUP(A641,'Programas y Unidades'!$A:$B,2,0)</f>
        <v>Administración de Mercadeo y Logística Internacionales</v>
      </c>
    </row>
    <row r="642" spans="1:3">
      <c r="A642">
        <v>27</v>
      </c>
      <c r="B642">
        <v>5</v>
      </c>
      <c r="C642" t="str">
        <f>VLOOKUP(A642,'Programas y Unidades'!$A:$B,2,0)</f>
        <v>Comunicación Audiovisual y Multimedios</v>
      </c>
    </row>
    <row r="643" spans="1:3">
      <c r="A643">
        <v>27</v>
      </c>
      <c r="B643">
        <v>6</v>
      </c>
      <c r="C643" t="str">
        <f>VLOOKUP(A643,'Programas y Unidades'!$A:$B,2,0)</f>
        <v>Comunicación Audiovisual y Multimedios</v>
      </c>
    </row>
    <row r="644" spans="1:3">
      <c r="A644">
        <v>27</v>
      </c>
      <c r="B644">
        <v>5</v>
      </c>
      <c r="C644" t="str">
        <f>VLOOKUP(A644,'Programas y Unidades'!$A:$B,2,0)</f>
        <v>Comunicación Audiovisual y Multimedios</v>
      </c>
    </row>
    <row r="645" spans="1:3">
      <c r="A645">
        <v>27</v>
      </c>
      <c r="B645">
        <v>5</v>
      </c>
      <c r="C645" t="str">
        <f>VLOOKUP(A645,'Programas y Unidades'!$A:$B,2,0)</f>
        <v>Comunicación Audiovisual y Multimedios</v>
      </c>
    </row>
    <row r="646" spans="1:3">
      <c r="A646">
        <v>27</v>
      </c>
      <c r="B646">
        <v>5</v>
      </c>
      <c r="C646" t="str">
        <f>VLOOKUP(A646,'Programas y Unidades'!$A:$B,2,0)</f>
        <v>Comunicación Audiovisual y Multimedios</v>
      </c>
    </row>
    <row r="647" spans="1:3">
      <c r="A647">
        <v>27</v>
      </c>
      <c r="B647">
        <v>5</v>
      </c>
      <c r="C647" t="str">
        <f>VLOOKUP(A647,'Programas y Unidades'!$A:$B,2,0)</f>
        <v>Comunicación Audiovisual y Multimedios</v>
      </c>
    </row>
    <row r="648" spans="1:3">
      <c r="A648">
        <v>27</v>
      </c>
      <c r="B648">
        <v>5</v>
      </c>
      <c r="C648" t="str">
        <f>VLOOKUP(A648,'Programas y Unidades'!$A:$B,2,0)</f>
        <v>Comunicación Audiovisual y Multimedios</v>
      </c>
    </row>
    <row r="649" spans="1:3">
      <c r="A649">
        <v>27</v>
      </c>
      <c r="B649">
        <v>5</v>
      </c>
      <c r="C649" t="str">
        <f>VLOOKUP(A649,'Programas y Unidades'!$A:$B,2,0)</f>
        <v>Comunicación Audiovisual y Multimedios</v>
      </c>
    </row>
    <row r="650" spans="1:3">
      <c r="A650">
        <v>27</v>
      </c>
      <c r="B650">
        <v>5</v>
      </c>
      <c r="C650" t="str">
        <f>VLOOKUP(A650,'Programas y Unidades'!$A:$B,2,0)</f>
        <v>Comunicación Audiovisual y Multimedios</v>
      </c>
    </row>
    <row r="651" spans="1:3">
      <c r="A651">
        <v>27</v>
      </c>
      <c r="B651">
        <v>5</v>
      </c>
      <c r="C651" t="str">
        <f>VLOOKUP(A651,'Programas y Unidades'!$A:$B,2,0)</f>
        <v>Comunicación Audiovisual y Multimedios</v>
      </c>
    </row>
    <row r="652" spans="1:3">
      <c r="A652">
        <v>27</v>
      </c>
      <c r="B652">
        <v>5</v>
      </c>
      <c r="C652" t="str">
        <f>VLOOKUP(A652,'Programas y Unidades'!$A:$B,2,0)</f>
        <v>Comunicación Audiovisual y Multimedios</v>
      </c>
    </row>
    <row r="653" spans="1:3">
      <c r="A653">
        <v>27</v>
      </c>
      <c r="B653">
        <v>5</v>
      </c>
      <c r="C653" t="str">
        <f>VLOOKUP(A653,'Programas y Unidades'!$A:$B,2,0)</f>
        <v>Comunicación Audiovisual y Multimedios</v>
      </c>
    </row>
    <row r="654" spans="1:3">
      <c r="A654">
        <v>27</v>
      </c>
      <c r="B654">
        <v>5</v>
      </c>
      <c r="C654" t="str">
        <f>VLOOKUP(A654,'Programas y Unidades'!$A:$B,2,0)</f>
        <v>Comunicación Audiovisual y Multimedios</v>
      </c>
    </row>
    <row r="655" spans="1:3">
      <c r="A655">
        <v>27</v>
      </c>
      <c r="B655">
        <v>5</v>
      </c>
      <c r="C655" t="str">
        <f>VLOOKUP(A655,'Programas y Unidades'!$A:$B,2,0)</f>
        <v>Comunicación Audiovisual y Multimedios</v>
      </c>
    </row>
    <row r="656" spans="1:3">
      <c r="A656">
        <v>27</v>
      </c>
      <c r="B656">
        <v>5</v>
      </c>
      <c r="C656" t="str">
        <f>VLOOKUP(A656,'Programas y Unidades'!$A:$B,2,0)</f>
        <v>Comunicación Audiovisual y Multimedios</v>
      </c>
    </row>
    <row r="657" spans="1:3">
      <c r="A657">
        <v>27</v>
      </c>
      <c r="B657">
        <v>5</v>
      </c>
      <c r="C657" t="str">
        <f>VLOOKUP(A657,'Programas y Unidades'!$A:$B,2,0)</f>
        <v>Comunicación Audiovisual y Multimedios</v>
      </c>
    </row>
    <row r="658" spans="1:3">
      <c r="A658">
        <v>27</v>
      </c>
      <c r="B658">
        <v>5</v>
      </c>
      <c r="C658" t="str">
        <f>VLOOKUP(A658,'Programas y Unidades'!$A:$B,2,0)</f>
        <v>Comunicación Audiovisual y Multimedios</v>
      </c>
    </row>
    <row r="659" spans="1:3">
      <c r="A659">
        <v>27</v>
      </c>
      <c r="B659">
        <v>5</v>
      </c>
      <c r="C659" t="str">
        <f>VLOOKUP(A659,'Programas y Unidades'!$A:$B,2,0)</f>
        <v>Comunicación Audiovisual y Multimedios</v>
      </c>
    </row>
    <row r="660" spans="1:3">
      <c r="A660">
        <v>27</v>
      </c>
      <c r="B660">
        <v>5</v>
      </c>
      <c r="C660" t="str">
        <f>VLOOKUP(A660,'Programas y Unidades'!$A:$B,2,0)</f>
        <v>Comunicación Audiovisual y Multimedios</v>
      </c>
    </row>
    <row r="661" spans="1:3">
      <c r="A661">
        <v>27</v>
      </c>
      <c r="B661">
        <v>5</v>
      </c>
      <c r="C661" t="str">
        <f>VLOOKUP(A661,'Programas y Unidades'!$A:$B,2,0)</f>
        <v>Comunicación Audiovisual y Multimedios</v>
      </c>
    </row>
    <row r="662" spans="1:3">
      <c r="A662">
        <v>32</v>
      </c>
      <c r="B662">
        <v>7</v>
      </c>
      <c r="C662" t="str">
        <f>VLOOKUP(A662,'Programas y Unidades'!$A:$B,2,0)</f>
        <v>Licenciatura en Educación Infantil</v>
      </c>
    </row>
    <row r="663" spans="1:3">
      <c r="A663">
        <v>32</v>
      </c>
      <c r="B663">
        <v>7</v>
      </c>
      <c r="C663" t="str">
        <f>VLOOKUP(A663,'Programas y Unidades'!$A:$B,2,0)</f>
        <v>Licenciatura en Educación Infantil</v>
      </c>
    </row>
    <row r="664" spans="1:3">
      <c r="A664">
        <v>32</v>
      </c>
      <c r="B664">
        <v>7</v>
      </c>
      <c r="C664" t="str">
        <f>VLOOKUP(A664,'Programas y Unidades'!$A:$B,2,0)</f>
        <v>Licenciatura en Educación Infantil</v>
      </c>
    </row>
    <row r="665" spans="1:3">
      <c r="A665">
        <v>22</v>
      </c>
      <c r="B665">
        <v>3</v>
      </c>
      <c r="C665" t="str">
        <f>VLOOKUP(A665,'Programas y Unidades'!$A:$B,2,0)</f>
        <v>Administración de Mercadeo y Logística Internacionales</v>
      </c>
    </row>
    <row r="666" spans="1:3">
      <c r="A666">
        <v>22</v>
      </c>
      <c r="B666">
        <v>3</v>
      </c>
      <c r="C666" t="str">
        <f>VLOOKUP(A666,'Programas y Unidades'!$A:$B,2,0)</f>
        <v>Administración de Mercadeo y Logística Internacionales</v>
      </c>
    </row>
    <row r="667" spans="1:3">
      <c r="A667">
        <v>21</v>
      </c>
      <c r="B667">
        <v>7</v>
      </c>
      <c r="C667" t="str">
        <f>VLOOKUP(A667,'Programas y Unidades'!$A:$B,2,0)</f>
        <v>Administración de Empresas</v>
      </c>
    </row>
    <row r="668" spans="1:3">
      <c r="A668">
        <v>22</v>
      </c>
      <c r="B668">
        <v>4</v>
      </c>
      <c r="C668" t="str">
        <f>VLOOKUP(A668,'Programas y Unidades'!$A:$B,2,0)</f>
        <v>Administración de Mercadeo y Logística Internacionales</v>
      </c>
    </row>
    <row r="669" spans="1:3">
      <c r="A669">
        <v>21</v>
      </c>
      <c r="B669">
        <v>5</v>
      </c>
      <c r="C669" t="str">
        <f>VLOOKUP(A669,'Programas y Unidades'!$A:$B,2,0)</f>
        <v>Administración de Empresas</v>
      </c>
    </row>
    <row r="670" spans="1:3">
      <c r="A670">
        <v>21</v>
      </c>
      <c r="B670">
        <v>4</v>
      </c>
      <c r="C670" t="str">
        <f>VLOOKUP(A670,'Programas y Unidades'!$A:$B,2,0)</f>
        <v>Administración de Empresas</v>
      </c>
    </row>
    <row r="671" spans="1:3">
      <c r="A671">
        <v>22</v>
      </c>
      <c r="B671">
        <v>4</v>
      </c>
      <c r="C671" t="str">
        <f>VLOOKUP(A671,'Programas y Unidades'!$A:$B,2,0)</f>
        <v>Administración de Mercadeo y Logística Internacionales</v>
      </c>
    </row>
    <row r="672" spans="1:3">
      <c r="A672">
        <v>21</v>
      </c>
      <c r="B672">
        <v>6</v>
      </c>
      <c r="C672" t="str">
        <f>VLOOKUP(A672,'Programas y Unidades'!$A:$B,2,0)</f>
        <v>Administración de Empresas</v>
      </c>
    </row>
    <row r="673" spans="1:3">
      <c r="A673">
        <v>21</v>
      </c>
      <c r="B673">
        <v>7</v>
      </c>
      <c r="C673" t="str">
        <f>VLOOKUP(A673,'Programas y Unidades'!$A:$B,2,0)</f>
        <v>Administración de Empresas</v>
      </c>
    </row>
    <row r="674" spans="1:3">
      <c r="A674">
        <v>21</v>
      </c>
      <c r="B674">
        <v>7</v>
      </c>
      <c r="C674" t="str">
        <f>VLOOKUP(A674,'Programas y Unidades'!$A:$B,2,0)</f>
        <v>Administración de Empresas</v>
      </c>
    </row>
    <row r="675" spans="1:3">
      <c r="A675">
        <v>21</v>
      </c>
      <c r="B675">
        <v>6</v>
      </c>
      <c r="C675" t="str">
        <f>VLOOKUP(A675,'Programas y Unidades'!$A:$B,2,0)</f>
        <v>Administración de Empresas</v>
      </c>
    </row>
    <row r="676" spans="1:3">
      <c r="A676">
        <v>21</v>
      </c>
      <c r="B676">
        <v>6</v>
      </c>
      <c r="C676" t="str">
        <f>VLOOKUP(A676,'Programas y Unidades'!$A:$B,2,0)</f>
        <v>Administración de Empresas</v>
      </c>
    </row>
    <row r="677" spans="1:3">
      <c r="A677">
        <v>21</v>
      </c>
      <c r="B677">
        <v>6</v>
      </c>
      <c r="C677" t="str">
        <f>VLOOKUP(A677,'Programas y Unidades'!$A:$B,2,0)</f>
        <v>Administración de Empresas</v>
      </c>
    </row>
    <row r="678" spans="1:3">
      <c r="A678">
        <v>22</v>
      </c>
      <c r="B678">
        <v>4</v>
      </c>
      <c r="C678" t="str">
        <f>VLOOKUP(A678,'Programas y Unidades'!$A:$B,2,0)</f>
        <v>Administración de Mercadeo y Logística Internacionales</v>
      </c>
    </row>
    <row r="679" spans="1:3">
      <c r="A679">
        <v>21</v>
      </c>
      <c r="B679">
        <v>6</v>
      </c>
      <c r="C679" t="str">
        <f>VLOOKUP(A679,'Programas y Unidades'!$A:$B,2,0)</f>
        <v>Administración de Empresas</v>
      </c>
    </row>
    <row r="680" spans="1:3">
      <c r="A680">
        <v>21</v>
      </c>
      <c r="B680">
        <v>7</v>
      </c>
      <c r="C680" t="str">
        <f>VLOOKUP(A680,'Programas y Unidades'!$A:$B,2,0)</f>
        <v>Administración de Empresas</v>
      </c>
    </row>
    <row r="681" spans="1:3">
      <c r="A681">
        <v>21</v>
      </c>
      <c r="B681">
        <v>6</v>
      </c>
      <c r="C681" t="str">
        <f>VLOOKUP(A681,'Programas y Unidades'!$A:$B,2,0)</f>
        <v>Administración de Empresas</v>
      </c>
    </row>
    <row r="682" spans="1:3">
      <c r="A682">
        <v>22</v>
      </c>
      <c r="B682">
        <v>4</v>
      </c>
      <c r="C682" t="str">
        <f>VLOOKUP(A682,'Programas y Unidades'!$A:$B,2,0)</f>
        <v>Administración de Mercadeo y Logística Internacionales</v>
      </c>
    </row>
    <row r="683" spans="1:3">
      <c r="A683">
        <v>21</v>
      </c>
      <c r="B683">
        <v>4</v>
      </c>
      <c r="C683" t="str">
        <f>VLOOKUP(A683,'Programas y Unidades'!$A:$B,2,0)</f>
        <v>Administración de Empresas</v>
      </c>
    </row>
    <row r="684" spans="1:3">
      <c r="A684">
        <v>21</v>
      </c>
      <c r="B684">
        <v>6</v>
      </c>
      <c r="C684" t="str">
        <f>VLOOKUP(A684,'Programas y Unidades'!$A:$B,2,0)</f>
        <v>Administración de Empresas</v>
      </c>
    </row>
    <row r="685" spans="1:3">
      <c r="A685">
        <v>22</v>
      </c>
      <c r="B685">
        <v>5</v>
      </c>
      <c r="C685" t="str">
        <f>VLOOKUP(A685,'Programas y Unidades'!$A:$B,2,0)</f>
        <v>Administración de Mercadeo y Logística Internacionales</v>
      </c>
    </row>
    <row r="686" spans="1:3">
      <c r="A686">
        <v>21</v>
      </c>
      <c r="B686">
        <v>6</v>
      </c>
      <c r="C686" t="str">
        <f>VLOOKUP(A686,'Programas y Unidades'!$A:$B,2,0)</f>
        <v>Administración de Empresas</v>
      </c>
    </row>
    <row r="687" spans="1:3">
      <c r="A687">
        <v>21</v>
      </c>
      <c r="B687">
        <v>4</v>
      </c>
      <c r="C687" t="str">
        <f>VLOOKUP(A687,'Programas y Unidades'!$A:$B,2,0)</f>
        <v>Administración de Empresas</v>
      </c>
    </row>
    <row r="688" spans="1:3">
      <c r="A688">
        <v>21</v>
      </c>
      <c r="B688">
        <v>6</v>
      </c>
      <c r="C688" t="str">
        <f>VLOOKUP(A688,'Programas y Unidades'!$A:$B,2,0)</f>
        <v>Administración de Empresas</v>
      </c>
    </row>
    <row r="689" spans="1:3">
      <c r="A689">
        <v>40</v>
      </c>
      <c r="B689">
        <v>5</v>
      </c>
      <c r="C689" t="str">
        <f>VLOOKUP(A689,'Programas y Unidades'!$A:$B,2,0)</f>
        <v>Ingeniería Mecánica</v>
      </c>
    </row>
    <row r="690" spans="1:3">
      <c r="A690">
        <v>40</v>
      </c>
      <c r="B690">
        <v>5</v>
      </c>
      <c r="C690" t="str">
        <f>VLOOKUP(A690,'Programas y Unidades'!$A:$B,2,0)</f>
        <v>Ingeniería Mecánica</v>
      </c>
    </row>
    <row r="691" spans="1:3">
      <c r="A691">
        <v>40</v>
      </c>
      <c r="B691">
        <v>5</v>
      </c>
      <c r="C691" t="str">
        <f>VLOOKUP(A691,'Programas y Unidades'!$A:$B,2,0)</f>
        <v>Ingeniería Mecánica</v>
      </c>
    </row>
    <row r="692" spans="1:3">
      <c r="A692">
        <v>40</v>
      </c>
      <c r="B692">
        <v>5</v>
      </c>
      <c r="C692" t="str">
        <f>VLOOKUP(A692,'Programas y Unidades'!$A:$B,2,0)</f>
        <v>Ingeniería Mecánica</v>
      </c>
    </row>
    <row r="693" spans="1:3">
      <c r="A693">
        <v>40</v>
      </c>
      <c r="B693">
        <v>7</v>
      </c>
      <c r="C693" t="str">
        <f>VLOOKUP(A693,'Programas y Unidades'!$A:$B,2,0)</f>
        <v>Ingeniería Mecánica</v>
      </c>
    </row>
    <row r="694" spans="1:3">
      <c r="A694">
        <v>40</v>
      </c>
      <c r="B694">
        <v>7</v>
      </c>
      <c r="C694" t="str">
        <f>VLOOKUP(A694,'Programas y Unidades'!$A:$B,2,0)</f>
        <v>Ingeniería Mecánica</v>
      </c>
    </row>
    <row r="695" spans="1:3">
      <c r="A695">
        <v>41</v>
      </c>
      <c r="B695">
        <v>8</v>
      </c>
      <c r="C695" t="str">
        <f>VLOOKUP(A695,'Programas y Unidades'!$A:$B,2,0)</f>
        <v>Ingeniería Química</v>
      </c>
    </row>
    <row r="696" spans="1:3">
      <c r="A696">
        <v>40</v>
      </c>
      <c r="B696">
        <v>7</v>
      </c>
      <c r="C696" t="str">
        <f>VLOOKUP(A696,'Programas y Unidades'!$A:$B,2,0)</f>
        <v>Ingeniería Mecánica</v>
      </c>
    </row>
    <row r="697" spans="1:3">
      <c r="A697">
        <v>40</v>
      </c>
      <c r="B697">
        <v>8</v>
      </c>
      <c r="C697" t="str">
        <f>VLOOKUP(A697,'Programas y Unidades'!$A:$B,2,0)</f>
        <v>Ingeniería Mecánica</v>
      </c>
    </row>
    <row r="698" spans="1:3">
      <c r="A698">
        <v>40</v>
      </c>
      <c r="B698">
        <v>7</v>
      </c>
      <c r="C698" t="str">
        <f>VLOOKUP(A698,'Programas y Unidades'!$A:$B,2,0)</f>
        <v>Ingeniería Mecánica</v>
      </c>
    </row>
    <row r="699" spans="1:3">
      <c r="A699">
        <v>41</v>
      </c>
      <c r="B699">
        <v>7</v>
      </c>
      <c r="C699" t="str">
        <f>VLOOKUP(A699,'Programas y Unidades'!$A:$B,2,0)</f>
        <v>Ingeniería Química</v>
      </c>
    </row>
    <row r="700" spans="1:3">
      <c r="A700">
        <v>40</v>
      </c>
      <c r="B700">
        <v>7</v>
      </c>
      <c r="C700" t="str">
        <f>VLOOKUP(A700,'Programas y Unidades'!$A:$B,2,0)</f>
        <v>Ingeniería Mecánica</v>
      </c>
    </row>
    <row r="701" spans="1:3">
      <c r="A701">
        <v>40</v>
      </c>
      <c r="B701">
        <v>7</v>
      </c>
      <c r="C701" t="str">
        <f>VLOOKUP(A701,'Programas y Unidades'!$A:$B,2,0)</f>
        <v>Ingeniería Mecánica</v>
      </c>
    </row>
    <row r="702" spans="1:3">
      <c r="A702">
        <v>40</v>
      </c>
      <c r="B702">
        <v>8</v>
      </c>
      <c r="C702" t="str">
        <f>VLOOKUP(A702,'Programas y Unidades'!$A:$B,2,0)</f>
        <v>Ingeniería Mecánica</v>
      </c>
    </row>
    <row r="703" spans="1:3">
      <c r="A703">
        <v>40</v>
      </c>
      <c r="B703">
        <v>7</v>
      </c>
      <c r="C703" t="str">
        <f>VLOOKUP(A703,'Programas y Unidades'!$A:$B,2,0)</f>
        <v>Ingeniería Mecánica</v>
      </c>
    </row>
    <row r="704" spans="1:3">
      <c r="A704">
        <v>40</v>
      </c>
      <c r="B704">
        <v>7</v>
      </c>
      <c r="C704" t="str">
        <f>VLOOKUP(A704,'Programas y Unidades'!$A:$B,2,0)</f>
        <v>Ingeniería Mecánica</v>
      </c>
    </row>
    <row r="705" spans="1:3">
      <c r="A705">
        <v>41</v>
      </c>
      <c r="B705">
        <v>8</v>
      </c>
      <c r="C705" t="str">
        <f>VLOOKUP(A705,'Programas y Unidades'!$A:$B,2,0)</f>
        <v>Ingeniería Química</v>
      </c>
    </row>
    <row r="706" spans="1:3">
      <c r="A706">
        <v>40</v>
      </c>
      <c r="B706">
        <v>7</v>
      </c>
      <c r="C706" t="str">
        <f>VLOOKUP(A706,'Programas y Unidades'!$A:$B,2,0)</f>
        <v>Ingeniería Mecánica</v>
      </c>
    </row>
    <row r="707" spans="1:3">
      <c r="A707">
        <v>40</v>
      </c>
      <c r="B707">
        <v>7</v>
      </c>
      <c r="C707" t="str">
        <f>VLOOKUP(A707,'Programas y Unidades'!$A:$B,2,0)</f>
        <v>Ingeniería Mecánica</v>
      </c>
    </row>
    <row r="708" spans="1:3">
      <c r="A708">
        <v>41</v>
      </c>
      <c r="B708">
        <v>8</v>
      </c>
      <c r="C708" t="str">
        <f>VLOOKUP(A708,'Programas y Unidades'!$A:$B,2,0)</f>
        <v>Ingeniería Química</v>
      </c>
    </row>
    <row r="709" spans="1:3">
      <c r="A709">
        <v>41</v>
      </c>
      <c r="B709">
        <v>8</v>
      </c>
      <c r="C709" t="str">
        <f>VLOOKUP(A709,'Programas y Unidades'!$A:$B,2,0)</f>
        <v>Ingeniería Química</v>
      </c>
    </row>
    <row r="710" spans="1:3">
      <c r="A710">
        <v>21</v>
      </c>
      <c r="B710">
        <v>6</v>
      </c>
      <c r="C710" t="str">
        <f>VLOOKUP(A710,'Programas y Unidades'!$A:$B,2,0)</f>
        <v>Administración de Empresas</v>
      </c>
    </row>
    <row r="711" spans="1:3">
      <c r="A711">
        <v>21</v>
      </c>
      <c r="B711">
        <v>6</v>
      </c>
      <c r="C711" t="str">
        <f>VLOOKUP(A711,'Programas y Unidades'!$A:$B,2,0)</f>
        <v>Administración de Empresas</v>
      </c>
    </row>
    <row r="712" spans="1:3">
      <c r="A712">
        <v>22</v>
      </c>
      <c r="B712">
        <v>4</v>
      </c>
      <c r="C712" t="str">
        <f>VLOOKUP(A712,'Programas y Unidades'!$A:$B,2,0)</f>
        <v>Administración de Mercadeo y Logística Internacionales</v>
      </c>
    </row>
    <row r="713" spans="1:3">
      <c r="A713">
        <v>21</v>
      </c>
      <c r="B713">
        <v>6</v>
      </c>
      <c r="C713" t="str">
        <f>VLOOKUP(A713,'Programas y Unidades'!$A:$B,2,0)</f>
        <v>Administración de Empresas</v>
      </c>
    </row>
    <row r="714" spans="1:3">
      <c r="A714">
        <v>22</v>
      </c>
      <c r="B714">
        <v>3</v>
      </c>
      <c r="C714" t="str">
        <f>VLOOKUP(A714,'Programas y Unidades'!$A:$B,2,0)</f>
        <v>Administración de Mercadeo y Logística Internacionales</v>
      </c>
    </row>
    <row r="715" spans="1:3">
      <c r="A715">
        <v>21</v>
      </c>
      <c r="B715">
        <v>5</v>
      </c>
      <c r="C715" t="str">
        <f>VLOOKUP(A715,'Programas y Unidades'!$A:$B,2,0)</f>
        <v>Administración de Empresas</v>
      </c>
    </row>
    <row r="716" spans="1:3">
      <c r="A716">
        <v>21</v>
      </c>
      <c r="B716">
        <v>6</v>
      </c>
      <c r="C716" t="str">
        <f>VLOOKUP(A716,'Programas y Unidades'!$A:$B,2,0)</f>
        <v>Administración de Empresas</v>
      </c>
    </row>
    <row r="717" spans="1:3">
      <c r="A717">
        <v>21</v>
      </c>
      <c r="B717">
        <v>6</v>
      </c>
      <c r="C717" t="str">
        <f>VLOOKUP(A717,'Programas y Unidades'!$A:$B,2,0)</f>
        <v>Administración de Empresas</v>
      </c>
    </row>
    <row r="718" spans="1:3">
      <c r="A718">
        <v>22</v>
      </c>
      <c r="B718">
        <v>3</v>
      </c>
      <c r="C718" t="str">
        <f>VLOOKUP(A718,'Programas y Unidades'!$A:$B,2,0)</f>
        <v>Administración de Mercadeo y Logística Internacionales</v>
      </c>
    </row>
    <row r="719" spans="1:3">
      <c r="A719">
        <v>22</v>
      </c>
      <c r="B719">
        <v>3</v>
      </c>
      <c r="C719" t="str">
        <f>VLOOKUP(A719,'Programas y Unidades'!$A:$B,2,0)</f>
        <v>Administración de Mercadeo y Logística Internacionales</v>
      </c>
    </row>
    <row r="720" spans="1:3">
      <c r="A720">
        <v>22</v>
      </c>
      <c r="B720">
        <v>3</v>
      </c>
      <c r="C720" t="str">
        <f>VLOOKUP(A720,'Programas y Unidades'!$A:$B,2,0)</f>
        <v>Administración de Mercadeo y Logística Internacionales</v>
      </c>
    </row>
    <row r="721" spans="1:3">
      <c r="A721">
        <v>22</v>
      </c>
      <c r="B721">
        <v>4</v>
      </c>
      <c r="C721" t="str">
        <f>VLOOKUP(A721,'Programas y Unidades'!$A:$B,2,0)</f>
        <v>Administración de Mercadeo y Logística Internacionales</v>
      </c>
    </row>
    <row r="722" spans="1:3">
      <c r="A722">
        <v>21</v>
      </c>
      <c r="B722">
        <v>6</v>
      </c>
      <c r="C722" t="str">
        <f>VLOOKUP(A722,'Programas y Unidades'!$A:$B,2,0)</f>
        <v>Administración de Empresas</v>
      </c>
    </row>
    <row r="723" spans="1:3">
      <c r="A723">
        <v>22</v>
      </c>
      <c r="B723">
        <v>3</v>
      </c>
      <c r="C723" t="str">
        <f>VLOOKUP(A723,'Programas y Unidades'!$A:$B,2,0)</f>
        <v>Administración de Mercadeo y Logística Internacionales</v>
      </c>
    </row>
    <row r="724" spans="1:3">
      <c r="A724">
        <v>22</v>
      </c>
      <c r="B724">
        <v>3</v>
      </c>
      <c r="C724" t="str">
        <f>VLOOKUP(A724,'Programas y Unidades'!$A:$B,2,0)</f>
        <v>Administración de Mercadeo y Logística Internacionales</v>
      </c>
    </row>
    <row r="725" spans="1:3">
      <c r="A725">
        <v>22</v>
      </c>
      <c r="B725">
        <v>3</v>
      </c>
      <c r="C725" t="str">
        <f>VLOOKUP(A725,'Programas y Unidades'!$A:$B,2,0)</f>
        <v>Administración de Mercadeo y Logística Internacionales</v>
      </c>
    </row>
    <row r="726" spans="1:3">
      <c r="A726">
        <v>22</v>
      </c>
      <c r="B726">
        <v>3</v>
      </c>
      <c r="C726" t="str">
        <f>VLOOKUP(A726,'Programas y Unidades'!$A:$B,2,0)</f>
        <v>Administración de Mercadeo y Logística Internacionales</v>
      </c>
    </row>
    <row r="727" spans="1:3">
      <c r="A727">
        <v>22</v>
      </c>
      <c r="B727">
        <v>3</v>
      </c>
      <c r="C727" t="str">
        <f>VLOOKUP(A727,'Programas y Unidades'!$A:$B,2,0)</f>
        <v>Administración de Mercadeo y Logística Internacionales</v>
      </c>
    </row>
    <row r="728" spans="1:3">
      <c r="A728">
        <v>22</v>
      </c>
      <c r="B728">
        <v>3</v>
      </c>
      <c r="C728" t="str">
        <f>VLOOKUP(A728,'Programas y Unidades'!$A:$B,2,0)</f>
        <v>Administración de Mercadeo y Logística Internacionales</v>
      </c>
    </row>
    <row r="729" spans="1:3">
      <c r="A729">
        <v>22</v>
      </c>
      <c r="B729">
        <v>3</v>
      </c>
      <c r="C729" t="str">
        <f>VLOOKUP(A729,'Programas y Unidades'!$A:$B,2,0)</f>
        <v>Administración de Mercadeo y Logística Internacionales</v>
      </c>
    </row>
    <row r="730" spans="1:3">
      <c r="A730">
        <v>22</v>
      </c>
      <c r="B730">
        <v>3</v>
      </c>
      <c r="C730" t="str">
        <f>VLOOKUP(A730,'Programas y Unidades'!$A:$B,2,0)</f>
        <v>Administración de Mercadeo y Logística Internacionales</v>
      </c>
    </row>
    <row r="731" spans="1:3">
      <c r="A731">
        <v>21</v>
      </c>
      <c r="B731">
        <v>5</v>
      </c>
      <c r="C731" t="str">
        <f>VLOOKUP(A731,'Programas y Unidades'!$A:$B,2,0)</f>
        <v>Administración de Empresas</v>
      </c>
    </row>
    <row r="732" spans="1:3">
      <c r="A732">
        <v>40</v>
      </c>
      <c r="B732">
        <v>8</v>
      </c>
      <c r="C732" t="str">
        <f>VLOOKUP(A732,'Programas y Unidades'!$A:$B,2,0)</f>
        <v>Ingeniería Mecánica</v>
      </c>
    </row>
    <row r="733" spans="1:3">
      <c r="A733">
        <v>34</v>
      </c>
      <c r="B733">
        <v>2</v>
      </c>
      <c r="C733" t="str">
        <f>VLOOKUP(A733,'Programas y Unidades'!$A:$B,2,0)</f>
        <v>Fisioterapia</v>
      </c>
    </row>
    <row r="734" spans="1:3">
      <c r="A734">
        <v>34</v>
      </c>
      <c r="B734">
        <v>2</v>
      </c>
      <c r="C734" t="str">
        <f>VLOOKUP(A734,'Programas y Unidades'!$A:$B,2,0)</f>
        <v>Fisioterapia</v>
      </c>
    </row>
    <row r="735" spans="1:3">
      <c r="A735">
        <v>34</v>
      </c>
      <c r="B735">
        <v>2</v>
      </c>
      <c r="C735" t="str">
        <f>VLOOKUP(A735,'Programas y Unidades'!$A:$B,2,0)</f>
        <v>Fisioterapia</v>
      </c>
    </row>
    <row r="736" spans="1:3">
      <c r="A736">
        <v>34</v>
      </c>
      <c r="B736">
        <v>2</v>
      </c>
      <c r="C736" t="str">
        <f>VLOOKUP(A736,'Programas y Unidades'!$A:$B,2,0)</f>
        <v>Fisioterapia</v>
      </c>
    </row>
    <row r="737" spans="1:3">
      <c r="A737">
        <v>34</v>
      </c>
      <c r="B737">
        <v>2</v>
      </c>
      <c r="C737" t="str">
        <f>VLOOKUP(A737,'Programas y Unidades'!$A:$B,2,0)</f>
        <v>Fisioterapia</v>
      </c>
    </row>
    <row r="738" spans="1:3">
      <c r="A738">
        <v>34</v>
      </c>
      <c r="B738">
        <v>2</v>
      </c>
      <c r="C738" t="str">
        <f>VLOOKUP(A738,'Programas y Unidades'!$A:$B,2,0)</f>
        <v>Fisioterapia</v>
      </c>
    </row>
    <row r="739" spans="1:3">
      <c r="A739">
        <v>34</v>
      </c>
      <c r="B739">
        <v>2</v>
      </c>
      <c r="C739" t="str">
        <f>VLOOKUP(A739,'Programas y Unidades'!$A:$B,2,0)</f>
        <v>Fisioterapia</v>
      </c>
    </row>
    <row r="740" spans="1:3">
      <c r="A740">
        <v>34</v>
      </c>
      <c r="B740">
        <v>2</v>
      </c>
      <c r="C740" t="str">
        <f>VLOOKUP(A740,'Programas y Unidades'!$A:$B,2,0)</f>
        <v>Fisioterapia</v>
      </c>
    </row>
    <row r="741" spans="1:3">
      <c r="A741">
        <v>34</v>
      </c>
      <c r="B741">
        <v>2</v>
      </c>
      <c r="C741" t="str">
        <f>VLOOKUP(A741,'Programas y Unidades'!$A:$B,2,0)</f>
        <v>Fisioterapia</v>
      </c>
    </row>
    <row r="742" spans="1:3">
      <c r="A742">
        <v>34</v>
      </c>
      <c r="B742">
        <v>2</v>
      </c>
      <c r="C742" t="str">
        <f>VLOOKUP(A742,'Programas y Unidades'!$A:$B,2,0)</f>
        <v>Fisioterapia</v>
      </c>
    </row>
    <row r="743" spans="1:3">
      <c r="A743">
        <v>34</v>
      </c>
      <c r="B743">
        <v>2</v>
      </c>
      <c r="C743" t="str">
        <f>VLOOKUP(A743,'Programas y Unidades'!$A:$B,2,0)</f>
        <v>Fisioterapia</v>
      </c>
    </row>
    <row r="744" spans="1:3">
      <c r="A744">
        <v>34</v>
      </c>
      <c r="B744">
        <v>2</v>
      </c>
      <c r="C744" t="str">
        <f>VLOOKUP(A744,'Programas y Unidades'!$A:$B,2,0)</f>
        <v>Fisioterapia</v>
      </c>
    </row>
    <row r="745" spans="1:3">
      <c r="A745">
        <v>34</v>
      </c>
      <c r="B745">
        <v>2</v>
      </c>
      <c r="C745" t="str">
        <f>VLOOKUP(A745,'Programas y Unidades'!$A:$B,2,0)</f>
        <v>Fisioterapia</v>
      </c>
    </row>
    <row r="746" spans="1:3">
      <c r="A746">
        <v>34</v>
      </c>
      <c r="B746">
        <v>2</v>
      </c>
      <c r="C746" t="str">
        <f>VLOOKUP(A746,'Programas y Unidades'!$A:$B,2,0)</f>
        <v>Fisioterapia</v>
      </c>
    </row>
    <row r="747" spans="1:3">
      <c r="A747">
        <v>34</v>
      </c>
      <c r="B747">
        <v>2</v>
      </c>
      <c r="C747" t="str">
        <f>VLOOKUP(A747,'Programas y Unidades'!$A:$B,2,0)</f>
        <v>Fisioterapia</v>
      </c>
    </row>
    <row r="748" spans="1:3">
      <c r="A748">
        <v>34</v>
      </c>
      <c r="B748">
        <v>2</v>
      </c>
      <c r="C748" t="str">
        <f>VLOOKUP(A748,'Programas y Unidades'!$A:$B,2,0)</f>
        <v>Fisioterapia</v>
      </c>
    </row>
    <row r="749" spans="1:3">
      <c r="A749">
        <v>34</v>
      </c>
      <c r="B749">
        <v>2</v>
      </c>
      <c r="C749" t="str">
        <f>VLOOKUP(A749,'Programas y Unidades'!$A:$B,2,0)</f>
        <v>Fisioterapia</v>
      </c>
    </row>
    <row r="750" spans="1:3">
      <c r="A750">
        <v>34</v>
      </c>
      <c r="B750">
        <v>2</v>
      </c>
      <c r="C750" t="str">
        <f>VLOOKUP(A750,'Programas y Unidades'!$A:$B,2,0)</f>
        <v>Fisioterapia</v>
      </c>
    </row>
    <row r="751" spans="1:3">
      <c r="A751">
        <v>34</v>
      </c>
      <c r="B751">
        <v>2</v>
      </c>
      <c r="C751" t="str">
        <f>VLOOKUP(A751,'Programas y Unidades'!$A:$B,2,0)</f>
        <v>Fisioterapia</v>
      </c>
    </row>
    <row r="752" spans="1:3">
      <c r="A752">
        <v>34</v>
      </c>
      <c r="B752">
        <v>2</v>
      </c>
      <c r="C752" t="str">
        <f>VLOOKUP(A752,'Programas y Unidades'!$A:$B,2,0)</f>
        <v>Fisioterapia</v>
      </c>
    </row>
    <row r="753" spans="1:3">
      <c r="A753">
        <v>20</v>
      </c>
      <c r="B753">
        <v>3</v>
      </c>
      <c r="C753" t="str">
        <f>VLOOKUP(A753,'Programas y Unidades'!$A:$B,2,0)</f>
        <v>Administración &amp; Servicio</v>
      </c>
    </row>
    <row r="754" spans="1:3">
      <c r="A754">
        <v>20</v>
      </c>
      <c r="B754">
        <v>3</v>
      </c>
      <c r="C754" t="str">
        <f>VLOOKUP(A754,'Programas y Unidades'!$A:$B,2,0)</f>
        <v>Administración &amp; Servicio</v>
      </c>
    </row>
    <row r="755" spans="1:3">
      <c r="A755">
        <v>20</v>
      </c>
      <c r="B755">
        <v>3</v>
      </c>
      <c r="C755" t="str">
        <f>VLOOKUP(A755,'Programas y Unidades'!$A:$B,2,0)</f>
        <v>Administración &amp; Servicio</v>
      </c>
    </row>
    <row r="756" spans="1:3">
      <c r="A756">
        <v>20</v>
      </c>
      <c r="B756">
        <v>3</v>
      </c>
      <c r="C756" t="str">
        <f>VLOOKUP(A756,'Programas y Unidades'!$A:$B,2,0)</f>
        <v>Administración &amp; Servicio</v>
      </c>
    </row>
    <row r="757" spans="1:3">
      <c r="A757">
        <v>20</v>
      </c>
      <c r="B757">
        <v>3</v>
      </c>
      <c r="C757" t="str">
        <f>VLOOKUP(A757,'Programas y Unidades'!$A:$B,2,0)</f>
        <v>Administración &amp; Servicio</v>
      </c>
    </row>
    <row r="758" spans="1:3">
      <c r="A758">
        <v>20</v>
      </c>
      <c r="B758">
        <v>2</v>
      </c>
      <c r="C758" t="str">
        <f>VLOOKUP(A758,'Programas y Unidades'!$A:$B,2,0)</f>
        <v>Administración &amp; Servicio</v>
      </c>
    </row>
    <row r="759" spans="1:3">
      <c r="A759">
        <v>41</v>
      </c>
      <c r="B759">
        <v>4</v>
      </c>
      <c r="C759" t="str">
        <f>VLOOKUP(A759,'Programas y Unidades'!$A:$B,2,0)</f>
        <v>Ingeniería Química</v>
      </c>
    </row>
    <row r="760" spans="1:3">
      <c r="A760">
        <v>20</v>
      </c>
      <c r="B760">
        <v>2</v>
      </c>
      <c r="C760" t="str">
        <f>VLOOKUP(A760,'Programas y Unidades'!$A:$B,2,0)</f>
        <v>Administración &amp; Servicio</v>
      </c>
    </row>
    <row r="761" spans="1:3">
      <c r="A761">
        <v>20</v>
      </c>
      <c r="B761">
        <v>3</v>
      </c>
      <c r="C761" t="str">
        <f>VLOOKUP(A761,'Programas y Unidades'!$A:$B,2,0)</f>
        <v>Administración &amp; Servicio</v>
      </c>
    </row>
    <row r="762" spans="1:3">
      <c r="A762">
        <v>39</v>
      </c>
      <c r="B762">
        <v>8</v>
      </c>
      <c r="C762" t="str">
        <f>VLOOKUP(A762,'Programas y Unidades'!$A:$B,2,0)</f>
        <v>Ingeniería Informática</v>
      </c>
    </row>
    <row r="763" spans="1:3">
      <c r="A763">
        <v>39</v>
      </c>
      <c r="B763">
        <v>8</v>
      </c>
      <c r="C763" t="str">
        <f>VLOOKUP(A763,'Programas y Unidades'!$A:$B,2,0)</f>
        <v>Ingeniería Informática</v>
      </c>
    </row>
    <row r="764" spans="1:3">
      <c r="A764">
        <v>39</v>
      </c>
      <c r="B764">
        <v>7</v>
      </c>
      <c r="C764" t="str">
        <f>VLOOKUP(A764,'Programas y Unidades'!$A:$B,2,0)</f>
        <v>Ingeniería Informática</v>
      </c>
    </row>
    <row r="765" spans="1:3">
      <c r="A765">
        <v>39</v>
      </c>
      <c r="B765">
        <v>8</v>
      </c>
      <c r="C765" t="str">
        <f>VLOOKUP(A765,'Programas y Unidades'!$A:$B,2,0)</f>
        <v>Ingeniería Informática</v>
      </c>
    </row>
    <row r="766" spans="1:3">
      <c r="A766">
        <v>39</v>
      </c>
      <c r="B766">
        <v>7</v>
      </c>
      <c r="C766" t="str">
        <f>VLOOKUP(A766,'Programas y Unidades'!$A:$B,2,0)</f>
        <v>Ingeniería Informática</v>
      </c>
    </row>
    <row r="767" spans="1:3">
      <c r="A767">
        <v>39</v>
      </c>
      <c r="B767">
        <v>8</v>
      </c>
      <c r="C767" t="str">
        <f>VLOOKUP(A767,'Programas y Unidades'!$A:$B,2,0)</f>
        <v>Ingeniería Informática</v>
      </c>
    </row>
    <row r="768" spans="1:3">
      <c r="A768">
        <v>39</v>
      </c>
      <c r="B768">
        <v>8</v>
      </c>
      <c r="C768" t="str">
        <f>VLOOKUP(A768,'Programas y Unidades'!$A:$B,2,0)</f>
        <v>Ingeniería Informática</v>
      </c>
    </row>
    <row r="769" spans="1:3">
      <c r="A769">
        <v>39</v>
      </c>
      <c r="B769">
        <v>8</v>
      </c>
      <c r="C769" t="str">
        <f>VLOOKUP(A769,'Programas y Unidades'!$A:$B,2,0)</f>
        <v>Ingeniería Informática</v>
      </c>
    </row>
    <row r="770" spans="1:3">
      <c r="A770">
        <v>39</v>
      </c>
      <c r="B770">
        <v>8</v>
      </c>
      <c r="C770" t="str">
        <f>VLOOKUP(A770,'Programas y Unidades'!$A:$B,2,0)</f>
        <v>Ingeniería Informática</v>
      </c>
    </row>
    <row r="771" spans="1:3">
      <c r="A771">
        <v>39</v>
      </c>
      <c r="B771">
        <v>7</v>
      </c>
      <c r="C771" t="str">
        <f>VLOOKUP(A771,'Programas y Unidades'!$A:$B,2,0)</f>
        <v>Ingeniería Informática</v>
      </c>
    </row>
    <row r="772" spans="1:3">
      <c r="A772">
        <v>39</v>
      </c>
      <c r="B772">
        <v>8</v>
      </c>
      <c r="C772" t="str">
        <f>VLOOKUP(A772,'Programas y Unidades'!$A:$B,2,0)</f>
        <v>Ingeniería Informática</v>
      </c>
    </row>
    <row r="773" spans="1:3">
      <c r="A773">
        <v>39</v>
      </c>
      <c r="B773">
        <v>7</v>
      </c>
      <c r="C773" t="str">
        <f>VLOOKUP(A773,'Programas y Unidades'!$A:$B,2,0)</f>
        <v>Ingeniería Informática</v>
      </c>
    </row>
    <row r="774" spans="1:3">
      <c r="A774">
        <v>39</v>
      </c>
      <c r="B774">
        <v>8</v>
      </c>
      <c r="C774" t="str">
        <f>VLOOKUP(A774,'Programas y Unidades'!$A:$B,2,0)</f>
        <v>Ingeniería Informática</v>
      </c>
    </row>
    <row r="775" spans="1:3">
      <c r="A775">
        <v>39</v>
      </c>
      <c r="B775">
        <v>8</v>
      </c>
      <c r="C775" t="str">
        <f>VLOOKUP(A775,'Programas y Unidades'!$A:$B,2,0)</f>
        <v>Ingeniería Informática</v>
      </c>
    </row>
    <row r="776" spans="1:3">
      <c r="A776">
        <v>39</v>
      </c>
      <c r="B776">
        <v>8</v>
      </c>
      <c r="C776" t="str">
        <f>VLOOKUP(A776,'Programas y Unidades'!$A:$B,2,0)</f>
        <v>Ingeniería Informática</v>
      </c>
    </row>
    <row r="777" spans="1:3">
      <c r="A777">
        <v>39</v>
      </c>
      <c r="B777">
        <v>7</v>
      </c>
      <c r="C777" t="str">
        <f>VLOOKUP(A777,'Programas y Unidades'!$A:$B,2,0)</f>
        <v>Ingeniería Informática</v>
      </c>
    </row>
    <row r="778" spans="1:3">
      <c r="A778">
        <v>39</v>
      </c>
      <c r="B778">
        <v>8</v>
      </c>
      <c r="C778" t="str">
        <f>VLOOKUP(A778,'Programas y Unidades'!$A:$B,2,0)</f>
        <v>Ingeniería Informática</v>
      </c>
    </row>
    <row r="779" spans="1:3">
      <c r="A779">
        <v>39</v>
      </c>
      <c r="B779">
        <v>8</v>
      </c>
      <c r="C779" t="str">
        <f>VLOOKUP(A779,'Programas y Unidades'!$A:$B,2,0)</f>
        <v>Ingeniería Informática</v>
      </c>
    </row>
    <row r="780" spans="1:3">
      <c r="A780">
        <v>39</v>
      </c>
      <c r="B780">
        <v>8</v>
      </c>
      <c r="C780" t="str">
        <f>VLOOKUP(A780,'Programas y Unidades'!$A:$B,2,0)</f>
        <v>Ingeniería Informática</v>
      </c>
    </row>
    <row r="781" spans="1:3">
      <c r="A781">
        <v>39</v>
      </c>
      <c r="B781">
        <v>7</v>
      </c>
      <c r="C781" t="str">
        <f>VLOOKUP(A781,'Programas y Unidades'!$A:$B,2,0)</f>
        <v>Ingeniería Informática</v>
      </c>
    </row>
    <row r="782" spans="1:3">
      <c r="A782">
        <v>39</v>
      </c>
      <c r="B782">
        <v>8</v>
      </c>
      <c r="C782" t="str">
        <f>VLOOKUP(A782,'Programas y Unidades'!$A:$B,2,0)</f>
        <v>Ingeniería Informática</v>
      </c>
    </row>
    <row r="783" spans="1:3">
      <c r="A783">
        <v>27</v>
      </c>
      <c r="B783">
        <v>2</v>
      </c>
      <c r="C783" t="str">
        <f>VLOOKUP(A783,'Programas y Unidades'!$A:$B,2,0)</f>
        <v>Comunicación Audiovisual y Multimedios</v>
      </c>
    </row>
    <row r="784" spans="1:3">
      <c r="A784">
        <v>26</v>
      </c>
      <c r="B784">
        <v>2</v>
      </c>
      <c r="C784" t="str">
        <f>VLOOKUP(A784,'Programas y Unidades'!$A:$B,2,0)</f>
        <v>Comunicación Corporativa</v>
      </c>
    </row>
    <row r="785" spans="1:3">
      <c r="A785">
        <v>27</v>
      </c>
      <c r="B785">
        <v>2</v>
      </c>
      <c r="C785" t="str">
        <f>VLOOKUP(A785,'Programas y Unidades'!$A:$B,2,0)</f>
        <v>Comunicación Audiovisual y Multimedios</v>
      </c>
    </row>
    <row r="786" spans="1:3">
      <c r="A786">
        <v>27</v>
      </c>
      <c r="B786">
        <v>2</v>
      </c>
      <c r="C786" t="str">
        <f>VLOOKUP(A786,'Programas y Unidades'!$A:$B,2,0)</f>
        <v>Comunicación Audiovisual y Multimedios</v>
      </c>
    </row>
    <row r="787" spans="1:3">
      <c r="A787">
        <v>27</v>
      </c>
      <c r="B787">
        <v>2</v>
      </c>
      <c r="C787" t="str">
        <f>VLOOKUP(A787,'Programas y Unidades'!$A:$B,2,0)</f>
        <v>Comunicación Audiovisual y Multimedios</v>
      </c>
    </row>
    <row r="788" spans="1:3">
      <c r="A788">
        <v>27</v>
      </c>
      <c r="B788">
        <v>2</v>
      </c>
      <c r="C788" t="str">
        <f>VLOOKUP(A788,'Programas y Unidades'!$A:$B,2,0)</f>
        <v>Comunicación Audiovisual y Multimedios</v>
      </c>
    </row>
    <row r="789" spans="1:3">
      <c r="A789">
        <v>28</v>
      </c>
      <c r="B789">
        <v>2</v>
      </c>
      <c r="C789" t="str">
        <f>VLOOKUP(A789,'Programas y Unidades'!$A:$B,2,0)</f>
        <v>Comunicación Social y Periodismo</v>
      </c>
    </row>
    <row r="790" spans="1:3">
      <c r="A790">
        <v>28</v>
      </c>
      <c r="B790">
        <v>2</v>
      </c>
      <c r="C790" t="str">
        <f>VLOOKUP(A790,'Programas y Unidades'!$A:$B,2,0)</f>
        <v>Comunicación Social y Periodismo</v>
      </c>
    </row>
    <row r="791" spans="1:3">
      <c r="A791">
        <v>28</v>
      </c>
      <c r="B791">
        <v>2</v>
      </c>
      <c r="C791" t="str">
        <f>VLOOKUP(A791,'Programas y Unidades'!$A:$B,2,0)</f>
        <v>Comunicación Social y Periodismo</v>
      </c>
    </row>
    <row r="792" spans="1:3">
      <c r="A792">
        <v>30</v>
      </c>
      <c r="B792">
        <v>7</v>
      </c>
      <c r="C792" t="str">
        <f>VLOOKUP(A792,'Programas y Unidades'!$A:$B,2,0)</f>
        <v>Derecho</v>
      </c>
    </row>
    <row r="793" spans="1:3">
      <c r="A793">
        <v>27</v>
      </c>
      <c r="B793">
        <v>2</v>
      </c>
      <c r="C793" t="str">
        <f>VLOOKUP(A793,'Programas y Unidades'!$A:$B,2,0)</f>
        <v>Comunicación Audiovisual y Multimedios</v>
      </c>
    </row>
    <row r="794" spans="1:3">
      <c r="A794">
        <v>27</v>
      </c>
      <c r="B794">
        <v>2</v>
      </c>
      <c r="C794" t="str">
        <f>VLOOKUP(A794,'Programas y Unidades'!$A:$B,2,0)</f>
        <v>Comunicación Audiovisual y Multimedios</v>
      </c>
    </row>
    <row r="795" spans="1:3">
      <c r="A795">
        <v>27</v>
      </c>
      <c r="B795">
        <v>2</v>
      </c>
      <c r="C795" t="str">
        <f>VLOOKUP(A795,'Programas y Unidades'!$A:$B,2,0)</f>
        <v>Comunicación Audiovisual y Multimedios</v>
      </c>
    </row>
    <row r="796" spans="1:3">
      <c r="A796">
        <v>32</v>
      </c>
      <c r="B796">
        <v>4</v>
      </c>
      <c r="C796" t="str">
        <f>VLOOKUP(A796,'Programas y Unidades'!$A:$B,2,0)</f>
        <v>Licenciatura en Educación Infantil</v>
      </c>
    </row>
    <row r="797" spans="1:3">
      <c r="A797">
        <v>32</v>
      </c>
      <c r="B797">
        <v>5</v>
      </c>
      <c r="C797" t="str">
        <f>VLOOKUP(A797,'Programas y Unidades'!$A:$B,2,0)</f>
        <v>Licenciatura en Educación Infantil</v>
      </c>
    </row>
    <row r="798" spans="1:3">
      <c r="A798">
        <v>32</v>
      </c>
      <c r="B798">
        <v>4</v>
      </c>
      <c r="C798" t="str">
        <f>VLOOKUP(A798,'Programas y Unidades'!$A:$B,2,0)</f>
        <v>Licenciatura en Educación Infantil</v>
      </c>
    </row>
    <row r="799" spans="1:3">
      <c r="A799">
        <v>32</v>
      </c>
      <c r="B799">
        <v>4</v>
      </c>
      <c r="C799" t="str">
        <f>VLOOKUP(A799,'Programas y Unidades'!$A:$B,2,0)</f>
        <v>Licenciatura en Educación Infantil</v>
      </c>
    </row>
    <row r="800" spans="1:3">
      <c r="A800">
        <v>32</v>
      </c>
      <c r="B800">
        <v>4</v>
      </c>
      <c r="C800" t="str">
        <f>VLOOKUP(A800,'Programas y Unidades'!$A:$B,2,0)</f>
        <v>Licenciatura en Educación Infantil</v>
      </c>
    </row>
    <row r="801" spans="1:3">
      <c r="A801">
        <v>32</v>
      </c>
      <c r="B801">
        <v>4</v>
      </c>
      <c r="C801" t="str">
        <f>VLOOKUP(A801,'Programas y Unidades'!$A:$B,2,0)</f>
        <v>Licenciatura en Educación Infantil</v>
      </c>
    </row>
    <row r="802" spans="1:3">
      <c r="A802">
        <v>32</v>
      </c>
      <c r="B802">
        <v>4</v>
      </c>
      <c r="C802" t="str">
        <f>VLOOKUP(A802,'Programas y Unidades'!$A:$B,2,0)</f>
        <v>Licenciatura en Educación Infantil</v>
      </c>
    </row>
    <row r="803" spans="1:3">
      <c r="A803">
        <v>40</v>
      </c>
      <c r="B803">
        <v>3</v>
      </c>
      <c r="C803" t="str">
        <f>VLOOKUP(A803,'Programas y Unidades'!$A:$B,2,0)</f>
        <v>Ingeniería Mecánica</v>
      </c>
    </row>
    <row r="804" spans="1:3">
      <c r="A804">
        <v>36</v>
      </c>
      <c r="B804">
        <v>4</v>
      </c>
      <c r="C804" t="str">
        <f>VLOOKUP(A804,'Programas y Unidades'!$A:$B,2,0)</f>
        <v>Ingeniería Civil</v>
      </c>
    </row>
    <row r="805" spans="1:3">
      <c r="A805">
        <v>40</v>
      </c>
      <c r="B805">
        <v>3</v>
      </c>
      <c r="C805" t="str">
        <f>VLOOKUP(A805,'Programas y Unidades'!$A:$B,2,0)</f>
        <v>Ingeniería Mecánica</v>
      </c>
    </row>
    <row r="806" spans="1:3">
      <c r="A806">
        <v>40</v>
      </c>
      <c r="B806">
        <v>3</v>
      </c>
      <c r="C806" t="str">
        <f>VLOOKUP(A806,'Programas y Unidades'!$A:$B,2,0)</f>
        <v>Ingeniería Mecánica</v>
      </c>
    </row>
    <row r="807" spans="1:3">
      <c r="A807">
        <v>40</v>
      </c>
      <c r="B807">
        <v>4</v>
      </c>
      <c r="C807" t="str">
        <f>VLOOKUP(A807,'Programas y Unidades'!$A:$B,2,0)</f>
        <v>Ingeniería Mecánica</v>
      </c>
    </row>
    <row r="808" spans="1:3">
      <c r="A808">
        <v>41</v>
      </c>
      <c r="B808">
        <v>6</v>
      </c>
      <c r="C808" t="str">
        <f>VLOOKUP(A808,'Programas y Unidades'!$A:$B,2,0)</f>
        <v>Ingeniería Química</v>
      </c>
    </row>
    <row r="809" spans="1:3">
      <c r="A809">
        <v>40</v>
      </c>
      <c r="B809">
        <v>3</v>
      </c>
      <c r="C809" t="str">
        <f>VLOOKUP(A809,'Programas y Unidades'!$A:$B,2,0)</f>
        <v>Ingeniería Mecánica</v>
      </c>
    </row>
    <row r="810" spans="1:3">
      <c r="A810">
        <v>40</v>
      </c>
      <c r="B810">
        <v>3</v>
      </c>
      <c r="C810" t="str">
        <f>VLOOKUP(A810,'Programas y Unidades'!$A:$B,2,0)</f>
        <v>Ingeniería Mecánica</v>
      </c>
    </row>
    <row r="811" spans="1:3">
      <c r="A811">
        <v>36</v>
      </c>
      <c r="B811">
        <v>4</v>
      </c>
      <c r="C811" t="str">
        <f>VLOOKUP(A811,'Programas y Unidades'!$A:$B,2,0)</f>
        <v>Ingeniería Civil</v>
      </c>
    </row>
    <row r="812" spans="1:3">
      <c r="A812">
        <v>40</v>
      </c>
      <c r="B812">
        <v>4</v>
      </c>
      <c r="C812" t="str">
        <f>VLOOKUP(A812,'Programas y Unidades'!$A:$B,2,0)</f>
        <v>Ingeniería Mecánica</v>
      </c>
    </row>
    <row r="813" spans="1:3">
      <c r="A813">
        <v>36</v>
      </c>
      <c r="B813">
        <v>3</v>
      </c>
      <c r="C813" t="str">
        <f>VLOOKUP(A813,'Programas y Unidades'!$A:$B,2,0)</f>
        <v>Ingeniería Civil</v>
      </c>
    </row>
    <row r="814" spans="1:3">
      <c r="A814">
        <v>40</v>
      </c>
      <c r="B814">
        <v>3</v>
      </c>
      <c r="C814" t="str">
        <f>VLOOKUP(A814,'Programas y Unidades'!$A:$B,2,0)</f>
        <v>Ingeniería Mecánica</v>
      </c>
    </row>
    <row r="815" spans="1:3">
      <c r="A815">
        <v>40</v>
      </c>
      <c r="B815">
        <v>6</v>
      </c>
      <c r="C815" t="str">
        <f>VLOOKUP(A815,'Programas y Unidades'!$A:$B,2,0)</f>
        <v>Ingeniería Mecánica</v>
      </c>
    </row>
    <row r="816" spans="1:3">
      <c r="A816">
        <v>34</v>
      </c>
      <c r="B816">
        <v>5</v>
      </c>
      <c r="C816" t="str">
        <f>VLOOKUP(A816,'Programas y Unidades'!$A:$B,2,0)</f>
        <v>Fisioterapia</v>
      </c>
    </row>
    <row r="817" spans="1:3">
      <c r="A817">
        <v>34</v>
      </c>
      <c r="B817">
        <v>5</v>
      </c>
      <c r="C817" t="str">
        <f>VLOOKUP(A817,'Programas y Unidades'!$A:$B,2,0)</f>
        <v>Fisioterapia</v>
      </c>
    </row>
    <row r="818" spans="1:3">
      <c r="A818">
        <v>34</v>
      </c>
      <c r="B818">
        <v>5</v>
      </c>
      <c r="C818" t="str">
        <f>VLOOKUP(A818,'Programas y Unidades'!$A:$B,2,0)</f>
        <v>Fisioterapia</v>
      </c>
    </row>
    <row r="819" spans="1:3">
      <c r="A819">
        <v>34</v>
      </c>
      <c r="B819">
        <v>5</v>
      </c>
      <c r="C819" t="str">
        <f>VLOOKUP(A819,'Programas y Unidades'!$A:$B,2,0)</f>
        <v>Fisioterapia</v>
      </c>
    </row>
    <row r="820" spans="1:3">
      <c r="A820">
        <v>34</v>
      </c>
      <c r="B820">
        <v>5</v>
      </c>
      <c r="C820" t="str">
        <f>VLOOKUP(A820,'Programas y Unidades'!$A:$B,2,0)</f>
        <v>Fisioterapia</v>
      </c>
    </row>
    <row r="821" spans="1:3">
      <c r="A821">
        <v>34</v>
      </c>
      <c r="B821">
        <v>5</v>
      </c>
      <c r="C821" t="str">
        <f>VLOOKUP(A821,'Programas y Unidades'!$A:$B,2,0)</f>
        <v>Fisioterapia</v>
      </c>
    </row>
    <row r="822" spans="1:3">
      <c r="A822">
        <v>34</v>
      </c>
      <c r="B822">
        <v>5</v>
      </c>
      <c r="C822" t="str">
        <f>VLOOKUP(A822,'Programas y Unidades'!$A:$B,2,0)</f>
        <v>Fisioterapia</v>
      </c>
    </row>
    <row r="823" spans="1:3">
      <c r="A823">
        <v>34</v>
      </c>
      <c r="B823">
        <v>5</v>
      </c>
      <c r="C823" t="str">
        <f>VLOOKUP(A823,'Programas y Unidades'!$A:$B,2,0)</f>
        <v>Fisioterapia</v>
      </c>
    </row>
    <row r="824" spans="1:3">
      <c r="A824">
        <v>34</v>
      </c>
      <c r="B824">
        <v>5</v>
      </c>
      <c r="C824" t="str">
        <f>VLOOKUP(A824,'Programas y Unidades'!$A:$B,2,0)</f>
        <v>Fisioterapia</v>
      </c>
    </row>
    <row r="825" spans="1:3">
      <c r="A825">
        <v>34</v>
      </c>
      <c r="B825">
        <v>5</v>
      </c>
      <c r="C825" t="str">
        <f>VLOOKUP(A825,'Programas y Unidades'!$A:$B,2,0)</f>
        <v>Fisioterapia</v>
      </c>
    </row>
    <row r="826" spans="1:3">
      <c r="A826">
        <v>34</v>
      </c>
      <c r="B826">
        <v>5</v>
      </c>
      <c r="C826" t="str">
        <f>VLOOKUP(A826,'Programas y Unidades'!$A:$B,2,0)</f>
        <v>Fisioterapia</v>
      </c>
    </row>
    <row r="827" spans="1:3">
      <c r="A827">
        <v>34</v>
      </c>
      <c r="B827">
        <v>5</v>
      </c>
      <c r="C827" t="str">
        <f>VLOOKUP(A827,'Programas y Unidades'!$A:$B,2,0)</f>
        <v>Fisioterapia</v>
      </c>
    </row>
    <row r="828" spans="1:3">
      <c r="A828">
        <v>34</v>
      </c>
      <c r="B828">
        <v>5</v>
      </c>
      <c r="C828" t="str">
        <f>VLOOKUP(A828,'Programas y Unidades'!$A:$B,2,0)</f>
        <v>Fisioterapia</v>
      </c>
    </row>
    <row r="829" spans="1:3">
      <c r="A829">
        <v>34</v>
      </c>
      <c r="B829">
        <v>5</v>
      </c>
      <c r="C829" t="str">
        <f>VLOOKUP(A829,'Programas y Unidades'!$A:$B,2,0)</f>
        <v>Fisioterapia</v>
      </c>
    </row>
    <row r="830" spans="1:3">
      <c r="A830">
        <v>34</v>
      </c>
      <c r="B830">
        <v>5</v>
      </c>
      <c r="C830" t="str">
        <f>VLOOKUP(A830,'Programas y Unidades'!$A:$B,2,0)</f>
        <v>Fisioterapia</v>
      </c>
    </row>
    <row r="831" spans="1:3">
      <c r="A831">
        <v>34</v>
      </c>
      <c r="B831">
        <v>5</v>
      </c>
      <c r="C831" t="str">
        <f>VLOOKUP(A831,'Programas y Unidades'!$A:$B,2,0)</f>
        <v>Fisioterapia</v>
      </c>
    </row>
    <row r="832" spans="1:3">
      <c r="A832">
        <v>34</v>
      </c>
      <c r="B832">
        <v>5</v>
      </c>
      <c r="C832" t="str">
        <f>VLOOKUP(A832,'Programas y Unidades'!$A:$B,2,0)</f>
        <v>Fisioterapia</v>
      </c>
    </row>
    <row r="833" spans="1:3">
      <c r="A833">
        <v>34</v>
      </c>
      <c r="B833">
        <v>5</v>
      </c>
      <c r="C833" t="str">
        <f>VLOOKUP(A833,'Programas y Unidades'!$A:$B,2,0)</f>
        <v>Fisioterapia</v>
      </c>
    </row>
    <row r="834" spans="1:3">
      <c r="A834">
        <v>34</v>
      </c>
      <c r="B834">
        <v>5</v>
      </c>
      <c r="C834" t="str">
        <f>VLOOKUP(A834,'Programas y Unidades'!$A:$B,2,0)</f>
        <v>Fisioterapia</v>
      </c>
    </row>
    <row r="835" spans="1:3">
      <c r="A835">
        <v>34</v>
      </c>
      <c r="B835">
        <v>5</v>
      </c>
      <c r="C835" t="str">
        <f>VLOOKUP(A835,'Programas y Unidades'!$A:$B,2,0)</f>
        <v>Fisioterapia</v>
      </c>
    </row>
    <row r="836" spans="1:3">
      <c r="A836">
        <v>34</v>
      </c>
      <c r="B836">
        <v>5</v>
      </c>
      <c r="C836" t="str">
        <f>VLOOKUP(A836,'Programas y Unidades'!$A:$B,2,0)</f>
        <v>Fisioterapia</v>
      </c>
    </row>
    <row r="837" spans="1:3">
      <c r="A837">
        <v>34</v>
      </c>
      <c r="B837">
        <v>5</v>
      </c>
      <c r="C837" t="str">
        <f>VLOOKUP(A837,'Programas y Unidades'!$A:$B,2,0)</f>
        <v>Fisioterapia</v>
      </c>
    </row>
    <row r="838" spans="1:3">
      <c r="A838">
        <v>34</v>
      </c>
      <c r="B838">
        <v>5</v>
      </c>
      <c r="C838" t="str">
        <f>VLOOKUP(A838,'Programas y Unidades'!$A:$B,2,0)</f>
        <v>Fisioterapia</v>
      </c>
    </row>
    <row r="839" spans="1:3">
      <c r="A839">
        <v>34</v>
      </c>
      <c r="B839">
        <v>5</v>
      </c>
      <c r="C839" t="str">
        <f>VLOOKUP(A839,'Programas y Unidades'!$A:$B,2,0)</f>
        <v>Fisioterapia</v>
      </c>
    </row>
    <row r="840" spans="1:3">
      <c r="A840">
        <v>34</v>
      </c>
      <c r="B840">
        <v>5</v>
      </c>
      <c r="C840" t="str">
        <f>VLOOKUP(A840,'Programas y Unidades'!$A:$B,2,0)</f>
        <v>Fisioterapia</v>
      </c>
    </row>
    <row r="841" spans="1:3">
      <c r="A841">
        <v>34</v>
      </c>
      <c r="B841">
        <v>5</v>
      </c>
      <c r="C841" t="str">
        <f>VLOOKUP(A841,'Programas y Unidades'!$A:$B,2,0)</f>
        <v>Fisioterapia</v>
      </c>
    </row>
    <row r="842" spans="1:3">
      <c r="A842">
        <v>34</v>
      </c>
      <c r="B842">
        <v>5</v>
      </c>
      <c r="C842" t="str">
        <f>VLOOKUP(A842,'Programas y Unidades'!$A:$B,2,0)</f>
        <v>Fisioterapia</v>
      </c>
    </row>
    <row r="843" spans="1:3">
      <c r="A843">
        <v>34</v>
      </c>
      <c r="B843">
        <v>5</v>
      </c>
      <c r="C843" t="str">
        <f>VLOOKUP(A843,'Programas y Unidades'!$A:$B,2,0)</f>
        <v>Fisioterapia</v>
      </c>
    </row>
    <row r="844" spans="1:3">
      <c r="A844">
        <v>34</v>
      </c>
      <c r="B844">
        <v>5</v>
      </c>
      <c r="C844" t="str">
        <f>VLOOKUP(A844,'Programas y Unidades'!$A:$B,2,0)</f>
        <v>Fisioterapia</v>
      </c>
    </row>
    <row r="845" spans="1:3">
      <c r="A845">
        <v>34</v>
      </c>
      <c r="B845">
        <v>5</v>
      </c>
      <c r="C845" t="str">
        <f>VLOOKUP(A845,'Programas y Unidades'!$A:$B,2,0)</f>
        <v>Fisioterapia</v>
      </c>
    </row>
    <row r="846" spans="1:3">
      <c r="A846">
        <v>34</v>
      </c>
      <c r="B846">
        <v>5</v>
      </c>
      <c r="C846" t="str">
        <f>VLOOKUP(A846,'Programas y Unidades'!$A:$B,2,0)</f>
        <v>Fisioterapia</v>
      </c>
    </row>
    <row r="847" spans="1:3">
      <c r="A847">
        <v>34</v>
      </c>
      <c r="B847">
        <v>5</v>
      </c>
      <c r="C847" t="str">
        <f>VLOOKUP(A847,'Programas y Unidades'!$A:$B,2,0)</f>
        <v>Fisioterapia</v>
      </c>
    </row>
    <row r="848" spans="1:3">
      <c r="A848">
        <v>34</v>
      </c>
      <c r="B848">
        <v>5</v>
      </c>
      <c r="C848" t="str">
        <f>VLOOKUP(A848,'Programas y Unidades'!$A:$B,2,0)</f>
        <v>Fisioterapia</v>
      </c>
    </row>
    <row r="849" spans="1:3">
      <c r="A849">
        <v>34</v>
      </c>
      <c r="B849">
        <v>5</v>
      </c>
      <c r="C849" t="str">
        <f>VLOOKUP(A849,'Programas y Unidades'!$A:$B,2,0)</f>
        <v>Fisioterapia</v>
      </c>
    </row>
    <row r="850" spans="1:3">
      <c r="A850">
        <v>34</v>
      </c>
      <c r="B850">
        <v>5</v>
      </c>
      <c r="C850" t="str">
        <f>VLOOKUP(A850,'Programas y Unidades'!$A:$B,2,0)</f>
        <v>Fisioterapia</v>
      </c>
    </row>
    <row r="851" spans="1:3">
      <c r="A851">
        <v>34</v>
      </c>
      <c r="B851">
        <v>5</v>
      </c>
      <c r="C851" t="str">
        <f>VLOOKUP(A851,'Programas y Unidades'!$A:$B,2,0)</f>
        <v>Fisioterapia</v>
      </c>
    </row>
    <row r="852" spans="1:3">
      <c r="A852">
        <v>34</v>
      </c>
      <c r="B852">
        <v>5</v>
      </c>
      <c r="C852" t="str">
        <f>VLOOKUP(A852,'Programas y Unidades'!$A:$B,2,0)</f>
        <v>Fisioterapia</v>
      </c>
    </row>
    <row r="853" spans="1:3">
      <c r="A853">
        <v>34</v>
      </c>
      <c r="B853">
        <v>5</v>
      </c>
      <c r="C853" t="str">
        <f>VLOOKUP(A853,'Programas y Unidades'!$A:$B,2,0)</f>
        <v>Fisioterapia</v>
      </c>
    </row>
    <row r="854" spans="1:3">
      <c r="A854">
        <v>34</v>
      </c>
      <c r="B854">
        <v>5</v>
      </c>
      <c r="C854" t="str">
        <f>VLOOKUP(A854,'Programas y Unidades'!$A:$B,2,0)</f>
        <v>Fisioterapia</v>
      </c>
    </row>
    <row r="855" spans="1:3">
      <c r="A855">
        <v>34</v>
      </c>
      <c r="B855">
        <v>5</v>
      </c>
      <c r="C855" t="str">
        <f>VLOOKUP(A855,'Programas y Unidades'!$A:$B,2,0)</f>
        <v>Fisioterapia</v>
      </c>
    </row>
    <row r="856" spans="1:3">
      <c r="A856">
        <v>34</v>
      </c>
      <c r="B856">
        <v>5</v>
      </c>
      <c r="C856" t="str">
        <f>VLOOKUP(A856,'Programas y Unidades'!$A:$B,2,0)</f>
        <v>Fisioterapia</v>
      </c>
    </row>
    <row r="857" spans="1:3">
      <c r="A857">
        <v>34</v>
      </c>
      <c r="B857">
        <v>6</v>
      </c>
      <c r="C857" t="str">
        <f>VLOOKUP(A857,'Programas y Unidades'!$A:$B,2,0)</f>
        <v>Fisioterapia</v>
      </c>
    </row>
    <row r="858" spans="1:3">
      <c r="A858">
        <v>34</v>
      </c>
      <c r="B858">
        <v>5</v>
      </c>
      <c r="C858" t="str">
        <f>VLOOKUP(A858,'Programas y Unidades'!$A:$B,2,0)</f>
        <v>Fisioterapia</v>
      </c>
    </row>
    <row r="859" spans="1:3">
      <c r="A859">
        <v>34</v>
      </c>
      <c r="B859">
        <v>5</v>
      </c>
      <c r="C859" t="str">
        <f>VLOOKUP(A859,'Programas y Unidades'!$A:$B,2,0)</f>
        <v>Fisioterapia</v>
      </c>
    </row>
    <row r="860" spans="1:3">
      <c r="A860">
        <v>40</v>
      </c>
      <c r="B860">
        <v>4</v>
      </c>
      <c r="C860" t="str">
        <f>VLOOKUP(A860,'Programas y Unidades'!$A:$B,2,0)</f>
        <v>Ingeniería Mecánica</v>
      </c>
    </row>
    <row r="861" spans="1:3">
      <c r="A861">
        <v>40</v>
      </c>
      <c r="B861">
        <v>4</v>
      </c>
      <c r="C861" t="str">
        <f>VLOOKUP(A861,'Programas y Unidades'!$A:$B,2,0)</f>
        <v>Ingeniería Mecánica</v>
      </c>
    </row>
    <row r="862" spans="1:3">
      <c r="A862">
        <v>40</v>
      </c>
      <c r="B862">
        <v>4</v>
      </c>
      <c r="C862" t="str">
        <f>VLOOKUP(A862,'Programas y Unidades'!$A:$B,2,0)</f>
        <v>Ingeniería Mecánica</v>
      </c>
    </row>
    <row r="863" spans="1:3">
      <c r="A863">
        <v>40</v>
      </c>
      <c r="B863">
        <v>3</v>
      </c>
      <c r="C863" t="str">
        <f>VLOOKUP(A863,'Programas y Unidades'!$A:$B,2,0)</f>
        <v>Ingeniería Mecánica</v>
      </c>
    </row>
    <row r="864" spans="1:3">
      <c r="A864">
        <v>40</v>
      </c>
      <c r="B864">
        <v>4</v>
      </c>
      <c r="C864" t="str">
        <f>VLOOKUP(A864,'Programas y Unidades'!$A:$B,2,0)</f>
        <v>Ingeniería Mecánica</v>
      </c>
    </row>
    <row r="865" spans="1:3">
      <c r="A865">
        <v>40</v>
      </c>
      <c r="B865">
        <v>4</v>
      </c>
      <c r="C865" t="str">
        <f>VLOOKUP(A865,'Programas y Unidades'!$A:$B,2,0)</f>
        <v>Ingeniería Mecánica</v>
      </c>
    </row>
    <row r="866" spans="1:3">
      <c r="A866">
        <v>40</v>
      </c>
      <c r="B866">
        <v>4</v>
      </c>
      <c r="C866" t="str">
        <f>VLOOKUP(A866,'Programas y Unidades'!$A:$B,2,0)</f>
        <v>Ingeniería Mecánica</v>
      </c>
    </row>
    <row r="867" spans="1:3">
      <c r="A867">
        <v>40</v>
      </c>
      <c r="B867">
        <v>4</v>
      </c>
      <c r="C867" t="str">
        <f>VLOOKUP(A867,'Programas y Unidades'!$A:$B,2,0)</f>
        <v>Ingeniería Mecánica</v>
      </c>
    </row>
    <row r="868" spans="1:3">
      <c r="A868">
        <v>40</v>
      </c>
      <c r="B868">
        <v>4</v>
      </c>
      <c r="C868" t="str">
        <f>VLOOKUP(A868,'Programas y Unidades'!$A:$B,2,0)</f>
        <v>Ingeniería Mecánica</v>
      </c>
    </row>
    <row r="869" spans="1:3">
      <c r="A869">
        <v>40</v>
      </c>
      <c r="B869">
        <v>4</v>
      </c>
      <c r="C869" t="str">
        <f>VLOOKUP(A869,'Programas y Unidades'!$A:$B,2,0)</f>
        <v>Ingeniería Mecánica</v>
      </c>
    </row>
    <row r="870" spans="1:3">
      <c r="A870">
        <v>40</v>
      </c>
      <c r="B870">
        <v>4</v>
      </c>
      <c r="C870" t="str">
        <f>VLOOKUP(A870,'Programas y Unidades'!$A:$B,2,0)</f>
        <v>Ingeniería Mecánica</v>
      </c>
    </row>
    <row r="871" spans="1:3">
      <c r="A871">
        <v>40</v>
      </c>
      <c r="B871">
        <v>4</v>
      </c>
      <c r="C871" t="str">
        <f>VLOOKUP(A871,'Programas y Unidades'!$A:$B,2,0)</f>
        <v>Ingeniería Mecánica</v>
      </c>
    </row>
    <row r="872" spans="1:3">
      <c r="A872">
        <v>40</v>
      </c>
      <c r="B872">
        <v>4</v>
      </c>
      <c r="C872" t="str">
        <f>VLOOKUP(A872,'Programas y Unidades'!$A:$B,2,0)</f>
        <v>Ingeniería Mecánica</v>
      </c>
    </row>
    <row r="873" spans="1:3">
      <c r="A873">
        <v>40</v>
      </c>
      <c r="B873">
        <v>4</v>
      </c>
      <c r="C873" t="str">
        <f>VLOOKUP(A873,'Programas y Unidades'!$A:$B,2,0)</f>
        <v>Ingeniería Mecánica</v>
      </c>
    </row>
    <row r="874" spans="1:3">
      <c r="A874">
        <v>40</v>
      </c>
      <c r="B874">
        <v>4</v>
      </c>
      <c r="C874" t="str">
        <f>VLOOKUP(A874,'Programas y Unidades'!$A:$B,2,0)</f>
        <v>Ingeniería Mecánica</v>
      </c>
    </row>
    <row r="875" spans="1:3">
      <c r="A875">
        <v>30</v>
      </c>
      <c r="B875">
        <v>2</v>
      </c>
      <c r="C875" t="str">
        <f>VLOOKUP(A875,'Programas y Unidades'!$A:$B,2,0)</f>
        <v>Derecho</v>
      </c>
    </row>
    <row r="876" spans="1:3">
      <c r="A876">
        <v>27</v>
      </c>
      <c r="B876">
        <v>5</v>
      </c>
      <c r="C876" t="str">
        <f>VLOOKUP(A876,'Programas y Unidades'!$A:$B,2,0)</f>
        <v>Comunicación Audiovisual y Multimedios</v>
      </c>
    </row>
    <row r="877" spans="1:3">
      <c r="A877">
        <v>26</v>
      </c>
      <c r="B877">
        <v>6</v>
      </c>
      <c r="C877" t="str">
        <f>VLOOKUP(A877,'Programas y Unidades'!$A:$B,2,0)</f>
        <v>Comunicación Corporativa</v>
      </c>
    </row>
    <row r="878" spans="1:3">
      <c r="A878">
        <v>26</v>
      </c>
      <c r="B878">
        <v>6</v>
      </c>
      <c r="C878" t="str">
        <f>VLOOKUP(A878,'Programas y Unidades'!$A:$B,2,0)</f>
        <v>Comunicación Corporativa</v>
      </c>
    </row>
    <row r="879" spans="1:3">
      <c r="A879">
        <v>26</v>
      </c>
      <c r="B879">
        <v>6</v>
      </c>
      <c r="C879" t="str">
        <f>VLOOKUP(A879,'Programas y Unidades'!$A:$B,2,0)</f>
        <v>Comunicación Corporativa</v>
      </c>
    </row>
    <row r="880" spans="1:3">
      <c r="A880">
        <v>26</v>
      </c>
      <c r="B880">
        <v>6</v>
      </c>
      <c r="C880" t="str">
        <f>VLOOKUP(A880,'Programas y Unidades'!$A:$B,2,0)</f>
        <v>Comunicación Corporativa</v>
      </c>
    </row>
    <row r="881" spans="1:3">
      <c r="A881">
        <v>26</v>
      </c>
      <c r="B881">
        <v>6</v>
      </c>
      <c r="C881" t="str">
        <f>VLOOKUP(A881,'Programas y Unidades'!$A:$B,2,0)</f>
        <v>Comunicación Corporativa</v>
      </c>
    </row>
    <row r="882" spans="1:3">
      <c r="A882">
        <v>27</v>
      </c>
      <c r="B882">
        <v>5</v>
      </c>
      <c r="C882" t="str">
        <f>VLOOKUP(A882,'Programas y Unidades'!$A:$B,2,0)</f>
        <v>Comunicación Audiovisual y Multimedios</v>
      </c>
    </row>
    <row r="883" spans="1:3">
      <c r="A883">
        <v>26</v>
      </c>
      <c r="B883">
        <v>6</v>
      </c>
      <c r="C883" t="str">
        <f>VLOOKUP(A883,'Programas y Unidades'!$A:$B,2,0)</f>
        <v>Comunicación Corporativa</v>
      </c>
    </row>
    <row r="884" spans="1:3">
      <c r="A884">
        <v>26</v>
      </c>
      <c r="B884">
        <v>7</v>
      </c>
      <c r="C884" t="str">
        <f>VLOOKUP(A884,'Programas y Unidades'!$A:$B,2,0)</f>
        <v>Comunicación Corporativa</v>
      </c>
    </row>
    <row r="885" spans="1:3">
      <c r="A885">
        <v>26</v>
      </c>
      <c r="B885">
        <v>6</v>
      </c>
      <c r="C885" t="str">
        <f>VLOOKUP(A885,'Programas y Unidades'!$A:$B,2,0)</f>
        <v>Comunicación Corporativa</v>
      </c>
    </row>
    <row r="886" spans="1:3">
      <c r="A886">
        <v>26</v>
      </c>
      <c r="B886">
        <v>6</v>
      </c>
      <c r="C886" t="str">
        <f>VLOOKUP(A886,'Programas y Unidades'!$A:$B,2,0)</f>
        <v>Comunicación Corporativa</v>
      </c>
    </row>
    <row r="887" spans="1:3">
      <c r="A887">
        <v>26</v>
      </c>
      <c r="B887">
        <v>6</v>
      </c>
      <c r="C887" t="str">
        <f>VLOOKUP(A887,'Programas y Unidades'!$A:$B,2,0)</f>
        <v>Comunicación Corporativa</v>
      </c>
    </row>
    <row r="888" spans="1:3">
      <c r="A888">
        <v>26</v>
      </c>
      <c r="B888">
        <v>6</v>
      </c>
      <c r="C888" t="str">
        <f>VLOOKUP(A888,'Programas y Unidades'!$A:$B,2,0)</f>
        <v>Comunicación Corporativa</v>
      </c>
    </row>
    <row r="889" spans="1:3">
      <c r="A889">
        <v>28</v>
      </c>
      <c r="B889">
        <v>8</v>
      </c>
      <c r="C889" t="str">
        <f>VLOOKUP(A889,'Programas y Unidades'!$A:$B,2,0)</f>
        <v>Comunicación Social y Periodismo</v>
      </c>
    </row>
    <row r="890" spans="1:3">
      <c r="A890">
        <v>26</v>
      </c>
      <c r="B890">
        <v>6</v>
      </c>
      <c r="C890" t="str">
        <f>VLOOKUP(A890,'Programas y Unidades'!$A:$B,2,0)</f>
        <v>Comunicación Corporativa</v>
      </c>
    </row>
    <row r="891" spans="1:3">
      <c r="A891">
        <v>26</v>
      </c>
      <c r="B891">
        <v>6</v>
      </c>
      <c r="C891" t="str">
        <f>VLOOKUP(A891,'Programas y Unidades'!$A:$B,2,0)</f>
        <v>Comunicación Corporativa</v>
      </c>
    </row>
    <row r="892" spans="1:3">
      <c r="A892">
        <v>26</v>
      </c>
      <c r="B892">
        <v>7</v>
      </c>
      <c r="C892" t="str">
        <f>VLOOKUP(A892,'Programas y Unidades'!$A:$B,2,0)</f>
        <v>Comunicación Corporativa</v>
      </c>
    </row>
    <row r="893" spans="1:3">
      <c r="A893">
        <v>27</v>
      </c>
      <c r="B893">
        <v>6</v>
      </c>
      <c r="C893" t="str">
        <f>VLOOKUP(A893,'Programas y Unidades'!$A:$B,2,0)</f>
        <v>Comunicación Audiovisual y Multimedios</v>
      </c>
    </row>
    <row r="894" spans="1:3">
      <c r="A894">
        <v>27</v>
      </c>
      <c r="B894">
        <v>8</v>
      </c>
      <c r="C894" t="str">
        <f>VLOOKUP(A894,'Programas y Unidades'!$A:$B,2,0)</f>
        <v>Comunicación Audiovisual y Multimedios</v>
      </c>
    </row>
    <row r="895" spans="1:3">
      <c r="A895">
        <v>27</v>
      </c>
      <c r="B895">
        <v>8</v>
      </c>
      <c r="C895" t="str">
        <f>VLOOKUP(A895,'Programas y Unidades'!$A:$B,2,0)</f>
        <v>Comunicación Audiovisual y Multimedios</v>
      </c>
    </row>
    <row r="896" spans="1:3">
      <c r="A896">
        <v>26</v>
      </c>
      <c r="B896">
        <v>6</v>
      </c>
      <c r="C896" t="str">
        <f>VLOOKUP(A896,'Programas y Unidades'!$A:$B,2,0)</f>
        <v>Comunicación Corporativa</v>
      </c>
    </row>
    <row r="897" spans="1:3">
      <c r="A897">
        <v>26</v>
      </c>
      <c r="B897">
        <v>6</v>
      </c>
      <c r="C897" t="str">
        <f>VLOOKUP(A897,'Programas y Unidades'!$A:$B,2,0)</f>
        <v>Comunicación Corporativa</v>
      </c>
    </row>
    <row r="898" spans="1:3">
      <c r="A898">
        <v>27</v>
      </c>
      <c r="B898">
        <v>8</v>
      </c>
      <c r="C898" t="str">
        <f>VLOOKUP(A898,'Programas y Unidades'!$A:$B,2,0)</f>
        <v>Comunicación Audiovisual y Multimedios</v>
      </c>
    </row>
    <row r="899" spans="1:3">
      <c r="A899">
        <v>26</v>
      </c>
      <c r="B899">
        <v>7</v>
      </c>
      <c r="C899" t="str">
        <f>VLOOKUP(A899,'Programas y Unidades'!$A:$B,2,0)</f>
        <v>Comunicación Corporativa</v>
      </c>
    </row>
    <row r="900" spans="1:3">
      <c r="A900">
        <v>27</v>
      </c>
      <c r="B900">
        <v>2</v>
      </c>
      <c r="C900" t="str">
        <f>VLOOKUP(A900,'Programas y Unidades'!$A:$B,2,0)</f>
        <v>Comunicación Audiovisual y Multimedios</v>
      </c>
    </row>
    <row r="901" spans="1:3">
      <c r="A901">
        <v>38</v>
      </c>
      <c r="B901">
        <v>2</v>
      </c>
      <c r="C901" t="str">
        <f>VLOOKUP(A901,'Programas y Unidades'!$A:$B,2,0)</f>
        <v>Ingeniería Industrial</v>
      </c>
    </row>
    <row r="902" spans="1:3">
      <c r="A902">
        <v>38</v>
      </c>
      <c r="B902">
        <v>2</v>
      </c>
      <c r="C902" t="str">
        <f>VLOOKUP(A902,'Programas y Unidades'!$A:$B,2,0)</f>
        <v>Ingeniería Industrial</v>
      </c>
    </row>
    <row r="903" spans="1:3">
      <c r="A903">
        <v>38</v>
      </c>
      <c r="B903">
        <v>2</v>
      </c>
      <c r="C903" t="str">
        <f>VLOOKUP(A903,'Programas y Unidades'!$A:$B,2,0)</f>
        <v>Ingeniería Industrial</v>
      </c>
    </row>
    <row r="904" spans="1:3">
      <c r="A904">
        <v>38</v>
      </c>
      <c r="B904">
        <v>2</v>
      </c>
      <c r="C904" t="str">
        <f>VLOOKUP(A904,'Programas y Unidades'!$A:$B,2,0)</f>
        <v>Ingeniería Industrial</v>
      </c>
    </row>
    <row r="905" spans="1:3">
      <c r="A905">
        <v>38</v>
      </c>
      <c r="B905">
        <v>2</v>
      </c>
      <c r="C905" t="str">
        <f>VLOOKUP(A905,'Programas y Unidades'!$A:$B,2,0)</f>
        <v>Ingeniería Industrial</v>
      </c>
    </row>
    <row r="906" spans="1:3">
      <c r="A906">
        <v>38</v>
      </c>
      <c r="B906">
        <v>2</v>
      </c>
      <c r="C906" t="str">
        <f>VLOOKUP(A906,'Programas y Unidades'!$A:$B,2,0)</f>
        <v>Ingeniería Industrial</v>
      </c>
    </row>
    <row r="907" spans="1:3">
      <c r="A907">
        <v>38</v>
      </c>
      <c r="B907">
        <v>2</v>
      </c>
      <c r="C907" t="str">
        <f>VLOOKUP(A907,'Programas y Unidades'!$A:$B,2,0)</f>
        <v>Ingeniería Industrial</v>
      </c>
    </row>
    <row r="908" spans="1:3">
      <c r="A908">
        <v>38</v>
      </c>
      <c r="B908">
        <v>2</v>
      </c>
      <c r="C908" t="str">
        <f>VLOOKUP(A908,'Programas y Unidades'!$A:$B,2,0)</f>
        <v>Ingeniería Industrial</v>
      </c>
    </row>
    <row r="909" spans="1:3">
      <c r="A909">
        <v>38</v>
      </c>
      <c r="B909">
        <v>2</v>
      </c>
      <c r="C909" t="str">
        <f>VLOOKUP(A909,'Programas y Unidades'!$A:$B,2,0)</f>
        <v>Ingeniería Industrial</v>
      </c>
    </row>
    <row r="910" spans="1:3">
      <c r="A910">
        <v>38</v>
      </c>
      <c r="B910">
        <v>2</v>
      </c>
      <c r="C910" t="str">
        <f>VLOOKUP(A910,'Programas y Unidades'!$A:$B,2,0)</f>
        <v>Ingeniería Industrial</v>
      </c>
    </row>
    <row r="911" spans="1:3">
      <c r="A911">
        <v>38</v>
      </c>
      <c r="B911">
        <v>2</v>
      </c>
      <c r="C911" t="str">
        <f>VLOOKUP(A911,'Programas y Unidades'!$A:$B,2,0)</f>
        <v>Ingeniería Industrial</v>
      </c>
    </row>
    <row r="912" spans="1:3">
      <c r="A912">
        <v>38</v>
      </c>
      <c r="B912">
        <v>2</v>
      </c>
      <c r="C912" t="str">
        <f>VLOOKUP(A912,'Programas y Unidades'!$A:$B,2,0)</f>
        <v>Ingeniería Industrial</v>
      </c>
    </row>
    <row r="913" spans="1:3">
      <c r="A913">
        <v>38</v>
      </c>
      <c r="B913">
        <v>2</v>
      </c>
      <c r="C913" t="str">
        <f>VLOOKUP(A913,'Programas y Unidades'!$A:$B,2,0)</f>
        <v>Ingeniería Industrial</v>
      </c>
    </row>
    <row r="914" spans="1:3">
      <c r="A914">
        <v>38</v>
      </c>
      <c r="B914">
        <v>2</v>
      </c>
      <c r="C914" t="str">
        <f>VLOOKUP(A914,'Programas y Unidades'!$A:$B,2,0)</f>
        <v>Ingeniería Industrial</v>
      </c>
    </row>
    <row r="915" spans="1:3">
      <c r="A915">
        <v>24</v>
      </c>
      <c r="B915">
        <v>7</v>
      </c>
      <c r="C915" t="str">
        <f>VLOOKUP(A915,'Programas y Unidades'!$A:$B,2,0)</f>
        <v>Economía y Finanzas Internacionales</v>
      </c>
    </row>
    <row r="916" spans="1:3">
      <c r="A916">
        <v>38</v>
      </c>
      <c r="B916">
        <v>2</v>
      </c>
      <c r="C916" t="str">
        <f>VLOOKUP(A916,'Programas y Unidades'!$A:$B,2,0)</f>
        <v>Ingeniería Industrial</v>
      </c>
    </row>
    <row r="917" spans="1:3">
      <c r="A917">
        <v>38</v>
      </c>
      <c r="B917">
        <v>2</v>
      </c>
      <c r="C917" t="str">
        <f>VLOOKUP(A917,'Programas y Unidades'!$A:$B,2,0)</f>
        <v>Ingeniería Industrial</v>
      </c>
    </row>
    <row r="918" spans="1:3">
      <c r="A918">
        <v>38</v>
      </c>
      <c r="B918">
        <v>2</v>
      </c>
      <c r="C918" t="str">
        <f>VLOOKUP(A918,'Programas y Unidades'!$A:$B,2,0)</f>
        <v>Ingeniería Industrial</v>
      </c>
    </row>
    <row r="919" spans="1:3">
      <c r="A919">
        <v>38</v>
      </c>
      <c r="B919">
        <v>2</v>
      </c>
      <c r="C919" t="str">
        <f>VLOOKUP(A919,'Programas y Unidades'!$A:$B,2,0)</f>
        <v>Ingeniería Industrial</v>
      </c>
    </row>
    <row r="920" spans="1:3">
      <c r="A920">
        <v>38</v>
      </c>
      <c r="B920">
        <v>2</v>
      </c>
      <c r="C920" t="str">
        <f>VLOOKUP(A920,'Programas y Unidades'!$A:$B,2,0)</f>
        <v>Ingeniería Industrial</v>
      </c>
    </row>
    <row r="921" spans="1:3">
      <c r="A921">
        <v>38</v>
      </c>
      <c r="B921">
        <v>2</v>
      </c>
      <c r="C921" t="str">
        <f>VLOOKUP(A921,'Programas y Unidades'!$A:$B,2,0)</f>
        <v>Ingeniería Industrial</v>
      </c>
    </row>
    <row r="922" spans="1:3">
      <c r="A922">
        <v>22</v>
      </c>
      <c r="B922">
        <v>4</v>
      </c>
      <c r="C922" t="str">
        <f>VLOOKUP(A922,'Programas y Unidades'!$A:$B,2,0)</f>
        <v>Administración de Mercadeo y Logística Internacionales</v>
      </c>
    </row>
    <row r="923" spans="1:3">
      <c r="A923">
        <v>22</v>
      </c>
      <c r="B923">
        <v>4</v>
      </c>
      <c r="C923" t="str">
        <f>VLOOKUP(A923,'Programas y Unidades'!$A:$B,2,0)</f>
        <v>Administración de Mercadeo y Logística Internacionales</v>
      </c>
    </row>
    <row r="924" spans="1:3">
      <c r="A924">
        <v>22</v>
      </c>
      <c r="B924">
        <v>4</v>
      </c>
      <c r="C924" t="str">
        <f>VLOOKUP(A924,'Programas y Unidades'!$A:$B,2,0)</f>
        <v>Administración de Mercadeo y Logística Internacionales</v>
      </c>
    </row>
    <row r="925" spans="1:3">
      <c r="A925">
        <v>22</v>
      </c>
      <c r="B925">
        <v>6</v>
      </c>
      <c r="C925" t="str">
        <f>VLOOKUP(A925,'Programas y Unidades'!$A:$B,2,0)</f>
        <v>Administración de Mercadeo y Logística Internacionales</v>
      </c>
    </row>
    <row r="926" spans="1:3">
      <c r="A926">
        <v>22</v>
      </c>
      <c r="B926">
        <v>4</v>
      </c>
      <c r="C926" t="str">
        <f>VLOOKUP(A926,'Programas y Unidades'!$A:$B,2,0)</f>
        <v>Administración de Mercadeo y Logística Internacionales</v>
      </c>
    </row>
    <row r="927" spans="1:3">
      <c r="A927">
        <v>22</v>
      </c>
      <c r="B927">
        <v>4</v>
      </c>
      <c r="C927" t="str">
        <f>VLOOKUP(A927,'Programas y Unidades'!$A:$B,2,0)</f>
        <v>Administración de Mercadeo y Logística Internacionales</v>
      </c>
    </row>
    <row r="928" spans="1:3">
      <c r="A928">
        <v>22</v>
      </c>
      <c r="B928">
        <v>4</v>
      </c>
      <c r="C928" t="str">
        <f>VLOOKUP(A928,'Programas y Unidades'!$A:$B,2,0)</f>
        <v>Administración de Mercadeo y Logística Internacionales</v>
      </c>
    </row>
    <row r="929" spans="1:3">
      <c r="A929">
        <v>22</v>
      </c>
      <c r="B929">
        <v>5</v>
      </c>
      <c r="C929" t="str">
        <f>VLOOKUP(A929,'Programas y Unidades'!$A:$B,2,0)</f>
        <v>Administración de Mercadeo y Logística Internacionales</v>
      </c>
    </row>
    <row r="930" spans="1:3">
      <c r="A930">
        <v>22</v>
      </c>
      <c r="B930">
        <v>4</v>
      </c>
      <c r="C930" t="str">
        <f>VLOOKUP(A930,'Programas y Unidades'!$A:$B,2,0)</f>
        <v>Administración de Mercadeo y Logística Internacionales</v>
      </c>
    </row>
    <row r="931" spans="1:3">
      <c r="A931">
        <v>22</v>
      </c>
      <c r="B931">
        <v>4</v>
      </c>
      <c r="C931" t="str">
        <f>VLOOKUP(A931,'Programas y Unidades'!$A:$B,2,0)</f>
        <v>Administración de Mercadeo y Logística Internacionales</v>
      </c>
    </row>
    <row r="932" spans="1:3">
      <c r="A932">
        <v>22</v>
      </c>
      <c r="B932">
        <v>4</v>
      </c>
      <c r="C932" t="str">
        <f>VLOOKUP(A932,'Programas y Unidades'!$A:$B,2,0)</f>
        <v>Administración de Mercadeo y Logística Internacionales</v>
      </c>
    </row>
    <row r="933" spans="1:3">
      <c r="A933">
        <v>22</v>
      </c>
      <c r="B933">
        <v>4</v>
      </c>
      <c r="C933" t="str">
        <f>VLOOKUP(A933,'Programas y Unidades'!$A:$B,2,0)</f>
        <v>Administración de Mercadeo y Logística Internacionales</v>
      </c>
    </row>
    <row r="934" spans="1:3">
      <c r="A934">
        <v>22</v>
      </c>
      <c r="B934">
        <v>4</v>
      </c>
      <c r="C934" t="str">
        <f>VLOOKUP(A934,'Programas y Unidades'!$A:$B,2,0)</f>
        <v>Administración de Mercadeo y Logística Internacionales</v>
      </c>
    </row>
    <row r="935" spans="1:3">
      <c r="A935">
        <v>22</v>
      </c>
      <c r="B935">
        <v>4</v>
      </c>
      <c r="C935" t="str">
        <f>VLOOKUP(A935,'Programas y Unidades'!$A:$B,2,0)</f>
        <v>Administración de Mercadeo y Logística Internacionales</v>
      </c>
    </row>
    <row r="936" spans="1:3">
      <c r="A936">
        <v>22</v>
      </c>
      <c r="B936">
        <v>4</v>
      </c>
      <c r="C936" t="str">
        <f>VLOOKUP(A936,'Programas y Unidades'!$A:$B,2,0)</f>
        <v>Administración de Mercadeo y Logística Internacionales</v>
      </c>
    </row>
    <row r="937" spans="1:3">
      <c r="A937">
        <v>22</v>
      </c>
      <c r="B937">
        <v>5</v>
      </c>
      <c r="C937" t="str">
        <f>VLOOKUP(A937,'Programas y Unidades'!$A:$B,2,0)</f>
        <v>Administración de Mercadeo y Logística Internacionales</v>
      </c>
    </row>
    <row r="938" spans="1:3">
      <c r="A938">
        <v>27</v>
      </c>
      <c r="B938">
        <v>8</v>
      </c>
      <c r="C938" t="str">
        <f>VLOOKUP(A938,'Programas y Unidades'!$A:$B,2,0)</f>
        <v>Comunicación Audiovisual y Multimedios</v>
      </c>
    </row>
    <row r="939" spans="1:3">
      <c r="A939">
        <v>22</v>
      </c>
      <c r="B939">
        <v>4</v>
      </c>
      <c r="C939" t="str">
        <f>VLOOKUP(A939,'Programas y Unidades'!$A:$B,2,0)</f>
        <v>Administración de Mercadeo y Logística Internacionales</v>
      </c>
    </row>
    <row r="940" spans="1:3">
      <c r="A940">
        <v>22</v>
      </c>
      <c r="B940">
        <v>4</v>
      </c>
      <c r="C940" t="str">
        <f>VLOOKUP(A940,'Programas y Unidades'!$A:$B,2,0)</f>
        <v>Administración de Mercadeo y Logística Internacionales</v>
      </c>
    </row>
    <row r="941" spans="1:3">
      <c r="A941">
        <v>22</v>
      </c>
      <c r="B941">
        <v>5</v>
      </c>
      <c r="C941" t="str">
        <f>VLOOKUP(A941,'Programas y Unidades'!$A:$B,2,0)</f>
        <v>Administración de Mercadeo y Logística Internacionales</v>
      </c>
    </row>
    <row r="942" spans="1:3">
      <c r="A942">
        <v>22</v>
      </c>
      <c r="B942">
        <v>4</v>
      </c>
      <c r="C942" t="str">
        <f>VLOOKUP(A942,'Programas y Unidades'!$A:$B,2,0)</f>
        <v>Administración de Mercadeo y Logística Internacionales</v>
      </c>
    </row>
    <row r="943" spans="1:3">
      <c r="A943">
        <v>22</v>
      </c>
      <c r="B943">
        <v>4</v>
      </c>
      <c r="C943" t="str">
        <f>VLOOKUP(A943,'Programas y Unidades'!$A:$B,2,0)</f>
        <v>Administración de Mercadeo y Logística Internacionales</v>
      </c>
    </row>
    <row r="944" spans="1:3">
      <c r="A944">
        <v>22</v>
      </c>
      <c r="B944">
        <v>4</v>
      </c>
      <c r="C944" t="str">
        <f>VLOOKUP(A944,'Programas y Unidades'!$A:$B,2,0)</f>
        <v>Administración de Mercadeo y Logística Internacionales</v>
      </c>
    </row>
    <row r="945" spans="1:3">
      <c r="A945">
        <v>22</v>
      </c>
      <c r="B945">
        <v>4</v>
      </c>
      <c r="C945" t="str">
        <f>VLOOKUP(A945,'Programas y Unidades'!$A:$B,2,0)</f>
        <v>Administración de Mercadeo y Logística Internacionales</v>
      </c>
    </row>
    <row r="946" spans="1:3">
      <c r="A946">
        <v>22</v>
      </c>
      <c r="B946">
        <v>4</v>
      </c>
      <c r="C946" t="str">
        <f>VLOOKUP(A946,'Programas y Unidades'!$A:$B,2,0)</f>
        <v>Administración de Mercadeo y Logística Internacionales</v>
      </c>
    </row>
    <row r="947" spans="1:3">
      <c r="A947">
        <v>22</v>
      </c>
      <c r="B947">
        <v>4</v>
      </c>
      <c r="C947" t="str">
        <f>VLOOKUP(A947,'Programas y Unidades'!$A:$B,2,0)</f>
        <v>Administración de Mercadeo y Logística Internacionales</v>
      </c>
    </row>
    <row r="948" spans="1:3">
      <c r="A948">
        <v>22</v>
      </c>
      <c r="B948">
        <v>4</v>
      </c>
      <c r="C948" t="str">
        <f>VLOOKUP(A948,'Programas y Unidades'!$A:$B,2,0)</f>
        <v>Administración de Mercadeo y Logística Internacionales</v>
      </c>
    </row>
    <row r="949" spans="1:3">
      <c r="A949">
        <v>22</v>
      </c>
      <c r="B949">
        <v>4</v>
      </c>
      <c r="C949" t="str">
        <f>VLOOKUP(A949,'Programas y Unidades'!$A:$B,2,0)</f>
        <v>Administración de Mercadeo y Logística Internacionales</v>
      </c>
    </row>
    <row r="950" spans="1:3">
      <c r="A950">
        <v>22</v>
      </c>
      <c r="B950">
        <v>4</v>
      </c>
      <c r="C950" t="str">
        <f>VLOOKUP(A950,'Programas y Unidades'!$A:$B,2,0)</f>
        <v>Administración de Mercadeo y Logística Internacionales</v>
      </c>
    </row>
    <row r="951" spans="1:3">
      <c r="A951">
        <v>22</v>
      </c>
      <c r="B951">
        <v>4</v>
      </c>
      <c r="C951" t="str">
        <f>VLOOKUP(A951,'Programas y Unidades'!$A:$B,2,0)</f>
        <v>Administración de Mercadeo y Logística Internacionales</v>
      </c>
    </row>
    <row r="952" spans="1:3">
      <c r="A952">
        <v>22</v>
      </c>
      <c r="B952">
        <v>4</v>
      </c>
      <c r="C952" t="str">
        <f>VLOOKUP(A952,'Programas y Unidades'!$A:$B,2,0)</f>
        <v>Administración de Mercadeo y Logística Internacionales</v>
      </c>
    </row>
    <row r="953" spans="1:3">
      <c r="A953">
        <v>22</v>
      </c>
      <c r="B953">
        <v>5</v>
      </c>
      <c r="C953" t="str">
        <f>VLOOKUP(A953,'Programas y Unidades'!$A:$B,2,0)</f>
        <v>Administración de Mercadeo y Logística Internacionales</v>
      </c>
    </row>
    <row r="954" spans="1:3">
      <c r="A954">
        <v>22</v>
      </c>
      <c r="B954">
        <v>5</v>
      </c>
      <c r="C954" t="str">
        <f>VLOOKUP(A954,'Programas y Unidades'!$A:$B,2,0)</f>
        <v>Administración de Mercadeo y Logística Internacionales</v>
      </c>
    </row>
    <row r="955" spans="1:3">
      <c r="A955">
        <v>22</v>
      </c>
      <c r="B955">
        <v>4</v>
      </c>
      <c r="C955" t="str">
        <f>VLOOKUP(A955,'Programas y Unidades'!$A:$B,2,0)</f>
        <v>Administración de Mercadeo y Logística Internacionales</v>
      </c>
    </row>
    <row r="956" spans="1:3">
      <c r="A956">
        <v>22</v>
      </c>
      <c r="B956">
        <v>6</v>
      </c>
      <c r="C956" t="str">
        <f>VLOOKUP(A956,'Programas y Unidades'!$A:$B,2,0)</f>
        <v>Administración de Mercadeo y Logística Internacionales</v>
      </c>
    </row>
    <row r="957" spans="1:3">
      <c r="A957">
        <v>22</v>
      </c>
      <c r="B957">
        <v>6</v>
      </c>
      <c r="C957" t="str">
        <f>VLOOKUP(A957,'Programas y Unidades'!$A:$B,2,0)</f>
        <v>Administración de Mercadeo y Logística Internacionales</v>
      </c>
    </row>
    <row r="958" spans="1:3">
      <c r="A958">
        <v>34</v>
      </c>
      <c r="B958">
        <v>3</v>
      </c>
      <c r="C958" t="str">
        <f>VLOOKUP(A958,'Programas y Unidades'!$A:$B,2,0)</f>
        <v>Fisioterapia</v>
      </c>
    </row>
    <row r="959" spans="1:3">
      <c r="A959">
        <v>22</v>
      </c>
      <c r="B959">
        <v>4</v>
      </c>
      <c r="C959" t="str">
        <f>VLOOKUP(A959,'Programas y Unidades'!$A:$B,2,0)</f>
        <v>Administración de Mercadeo y Logística Internacionales</v>
      </c>
    </row>
    <row r="960" spans="1:3">
      <c r="A960">
        <v>38</v>
      </c>
      <c r="B960">
        <v>6</v>
      </c>
      <c r="C960" t="str">
        <f>VLOOKUP(A960,'Programas y Unidades'!$A:$B,2,0)</f>
        <v>Ingeniería Industrial</v>
      </c>
    </row>
    <row r="961" spans="1:3">
      <c r="A961">
        <v>38</v>
      </c>
      <c r="B961">
        <v>6</v>
      </c>
      <c r="C961" t="str">
        <f>VLOOKUP(A961,'Programas y Unidades'!$A:$B,2,0)</f>
        <v>Ingeniería Industrial</v>
      </c>
    </row>
    <row r="962" spans="1:3">
      <c r="A962">
        <v>38</v>
      </c>
      <c r="B962">
        <v>6</v>
      </c>
      <c r="C962" t="str">
        <f>VLOOKUP(A962,'Programas y Unidades'!$A:$B,2,0)</f>
        <v>Ingeniería Industrial</v>
      </c>
    </row>
    <row r="963" spans="1:3">
      <c r="A963">
        <v>38</v>
      </c>
      <c r="B963">
        <v>6</v>
      </c>
      <c r="C963" t="str">
        <f>VLOOKUP(A963,'Programas y Unidades'!$A:$B,2,0)</f>
        <v>Ingeniería Industrial</v>
      </c>
    </row>
    <row r="964" spans="1:3">
      <c r="A964">
        <v>38</v>
      </c>
      <c r="B964">
        <v>6</v>
      </c>
      <c r="C964" t="str">
        <f>VLOOKUP(A964,'Programas y Unidades'!$A:$B,2,0)</f>
        <v>Ingeniería Industrial</v>
      </c>
    </row>
    <row r="965" spans="1:3">
      <c r="A965">
        <v>38</v>
      </c>
      <c r="B965">
        <v>6</v>
      </c>
      <c r="C965" t="str">
        <f>VLOOKUP(A965,'Programas y Unidades'!$A:$B,2,0)</f>
        <v>Ingeniería Industrial</v>
      </c>
    </row>
    <row r="966" spans="1:3">
      <c r="A966">
        <v>38</v>
      </c>
      <c r="B966">
        <v>6</v>
      </c>
      <c r="C966" t="str">
        <f>VLOOKUP(A966,'Programas y Unidades'!$A:$B,2,0)</f>
        <v>Ingeniería Industrial</v>
      </c>
    </row>
    <row r="967" spans="1:3">
      <c r="A967">
        <v>38</v>
      </c>
      <c r="B967">
        <v>6</v>
      </c>
      <c r="C967" t="str">
        <f>VLOOKUP(A967,'Programas y Unidades'!$A:$B,2,0)</f>
        <v>Ingeniería Industrial</v>
      </c>
    </row>
    <row r="968" spans="1:3">
      <c r="A968">
        <v>38</v>
      </c>
      <c r="B968">
        <v>6</v>
      </c>
      <c r="C968" t="str">
        <f>VLOOKUP(A968,'Programas y Unidades'!$A:$B,2,0)</f>
        <v>Ingeniería Industrial</v>
      </c>
    </row>
    <row r="969" spans="1:3">
      <c r="A969">
        <v>38</v>
      </c>
      <c r="B969">
        <v>6</v>
      </c>
      <c r="C969" t="str">
        <f>VLOOKUP(A969,'Programas y Unidades'!$A:$B,2,0)</f>
        <v>Ingeniería Industrial</v>
      </c>
    </row>
    <row r="970" spans="1:3">
      <c r="A970">
        <v>38</v>
      </c>
      <c r="B970">
        <v>6</v>
      </c>
      <c r="C970" t="str">
        <f>VLOOKUP(A970,'Programas y Unidades'!$A:$B,2,0)</f>
        <v>Ingeniería Industrial</v>
      </c>
    </row>
    <row r="971" spans="1:3">
      <c r="A971">
        <v>38</v>
      </c>
      <c r="B971">
        <v>6</v>
      </c>
      <c r="C971" t="str">
        <f>VLOOKUP(A971,'Programas y Unidades'!$A:$B,2,0)</f>
        <v>Ingeniería Industrial</v>
      </c>
    </row>
    <row r="972" spans="1:3">
      <c r="A972">
        <v>38</v>
      </c>
      <c r="B972">
        <v>6</v>
      </c>
      <c r="C972" t="str">
        <f>VLOOKUP(A972,'Programas y Unidades'!$A:$B,2,0)</f>
        <v>Ingeniería Industrial</v>
      </c>
    </row>
    <row r="973" spans="1:3">
      <c r="A973">
        <v>38</v>
      </c>
      <c r="B973">
        <v>6</v>
      </c>
      <c r="C973" t="str">
        <f>VLOOKUP(A973,'Programas y Unidades'!$A:$B,2,0)</f>
        <v>Ingeniería Industrial</v>
      </c>
    </row>
    <row r="974" spans="1:3">
      <c r="A974">
        <v>38</v>
      </c>
      <c r="B974">
        <v>6</v>
      </c>
      <c r="C974" t="str">
        <f>VLOOKUP(A974,'Programas y Unidades'!$A:$B,2,0)</f>
        <v>Ingeniería Industrial</v>
      </c>
    </row>
    <row r="975" spans="1:3">
      <c r="A975">
        <v>38</v>
      </c>
      <c r="B975">
        <v>6</v>
      </c>
      <c r="C975" t="str">
        <f>VLOOKUP(A975,'Programas y Unidades'!$A:$B,2,0)</f>
        <v>Ingeniería Industrial</v>
      </c>
    </row>
    <row r="976" spans="1:3">
      <c r="A976">
        <v>38</v>
      </c>
      <c r="B976">
        <v>6</v>
      </c>
      <c r="C976" t="str">
        <f>VLOOKUP(A976,'Programas y Unidades'!$A:$B,2,0)</f>
        <v>Ingeniería Industrial</v>
      </c>
    </row>
    <row r="977" spans="1:3">
      <c r="A977">
        <v>38</v>
      </c>
      <c r="B977">
        <v>6</v>
      </c>
      <c r="C977" t="str">
        <f>VLOOKUP(A977,'Programas y Unidades'!$A:$B,2,0)</f>
        <v>Ingeniería Industrial</v>
      </c>
    </row>
    <row r="978" spans="1:3">
      <c r="A978">
        <v>38</v>
      </c>
      <c r="B978">
        <v>6</v>
      </c>
      <c r="C978" t="str">
        <f>VLOOKUP(A978,'Programas y Unidades'!$A:$B,2,0)</f>
        <v>Ingeniería Industrial</v>
      </c>
    </row>
    <row r="979" spans="1:3">
      <c r="A979">
        <v>38</v>
      </c>
      <c r="B979">
        <v>6</v>
      </c>
      <c r="C979" t="str">
        <f>VLOOKUP(A979,'Programas y Unidades'!$A:$B,2,0)</f>
        <v>Ingeniería Industrial</v>
      </c>
    </row>
    <row r="980" spans="1:3">
      <c r="A980">
        <v>38</v>
      </c>
      <c r="B980">
        <v>8</v>
      </c>
      <c r="C980" t="str">
        <f>VLOOKUP(A980,'Programas y Unidades'!$A:$B,2,0)</f>
        <v>Ingeniería Industrial</v>
      </c>
    </row>
    <row r="981" spans="1:3">
      <c r="A981">
        <v>38</v>
      </c>
      <c r="B981">
        <v>6</v>
      </c>
      <c r="C981" t="str">
        <f>VLOOKUP(A981,'Programas y Unidades'!$A:$B,2,0)</f>
        <v>Ingeniería Industrial</v>
      </c>
    </row>
    <row r="982" spans="1:3">
      <c r="A982">
        <v>38</v>
      </c>
      <c r="B982">
        <v>6</v>
      </c>
      <c r="C982" t="str">
        <f>VLOOKUP(A982,'Programas y Unidades'!$A:$B,2,0)</f>
        <v>Ingeniería Industrial</v>
      </c>
    </row>
    <row r="983" spans="1:3">
      <c r="A983">
        <v>38</v>
      </c>
      <c r="B983">
        <v>7</v>
      </c>
      <c r="C983" t="str">
        <f>VLOOKUP(A983,'Programas y Unidades'!$A:$B,2,0)</f>
        <v>Ingeniería Industrial</v>
      </c>
    </row>
    <row r="984" spans="1:3">
      <c r="A984">
        <v>38</v>
      </c>
      <c r="B984">
        <v>7</v>
      </c>
      <c r="C984" t="str">
        <f>VLOOKUP(A984,'Programas y Unidades'!$A:$B,2,0)</f>
        <v>Ingeniería Industrial</v>
      </c>
    </row>
    <row r="985" spans="1:3">
      <c r="A985">
        <v>38</v>
      </c>
      <c r="B985">
        <v>6</v>
      </c>
      <c r="C985" t="str">
        <f>VLOOKUP(A985,'Programas y Unidades'!$A:$B,2,0)</f>
        <v>Ingeniería Industrial</v>
      </c>
    </row>
    <row r="986" spans="1:3">
      <c r="A986">
        <v>38</v>
      </c>
      <c r="B986">
        <v>6</v>
      </c>
      <c r="C986" t="str">
        <f>VLOOKUP(A986,'Programas y Unidades'!$A:$B,2,0)</f>
        <v>Ingeniería Industrial</v>
      </c>
    </row>
    <row r="987" spans="1:3">
      <c r="A987">
        <v>38</v>
      </c>
      <c r="B987">
        <v>6</v>
      </c>
      <c r="C987" t="str">
        <f>VLOOKUP(A987,'Programas y Unidades'!$A:$B,2,0)</f>
        <v>Ingeniería Industrial</v>
      </c>
    </row>
    <row r="988" spans="1:3">
      <c r="A988">
        <v>38</v>
      </c>
      <c r="B988">
        <v>6</v>
      </c>
      <c r="C988" t="str">
        <f>VLOOKUP(A988,'Programas y Unidades'!$A:$B,2,0)</f>
        <v>Ingeniería Industrial</v>
      </c>
    </row>
    <row r="989" spans="1:3">
      <c r="A989">
        <v>27</v>
      </c>
      <c r="B989">
        <v>3</v>
      </c>
      <c r="C989" t="str">
        <f>VLOOKUP(A989,'Programas y Unidades'!$A:$B,2,0)</f>
        <v>Comunicación Audiovisual y Multimedios</v>
      </c>
    </row>
    <row r="990" spans="1:3">
      <c r="A990">
        <v>27</v>
      </c>
      <c r="B990">
        <v>3</v>
      </c>
      <c r="C990" t="str">
        <f>VLOOKUP(A990,'Programas y Unidades'!$A:$B,2,0)</f>
        <v>Comunicación Audiovisual y Multimedios</v>
      </c>
    </row>
    <row r="991" spans="1:3">
      <c r="A991">
        <v>28</v>
      </c>
      <c r="B991">
        <v>4</v>
      </c>
      <c r="C991" t="str">
        <f>VLOOKUP(A991,'Programas y Unidades'!$A:$B,2,0)</f>
        <v>Comunicación Social y Periodismo</v>
      </c>
    </row>
    <row r="992" spans="1:3">
      <c r="A992">
        <v>27</v>
      </c>
      <c r="B992">
        <v>3</v>
      </c>
      <c r="C992" t="str">
        <f>VLOOKUP(A992,'Programas y Unidades'!$A:$B,2,0)</f>
        <v>Comunicación Audiovisual y Multimedios</v>
      </c>
    </row>
    <row r="993" spans="1:3">
      <c r="A993">
        <v>27</v>
      </c>
      <c r="B993">
        <v>3</v>
      </c>
      <c r="C993" t="str">
        <f>VLOOKUP(A993,'Programas y Unidades'!$A:$B,2,0)</f>
        <v>Comunicación Audiovisual y Multimedios</v>
      </c>
    </row>
    <row r="994" spans="1:3">
      <c r="A994">
        <v>27</v>
      </c>
      <c r="B994">
        <v>3</v>
      </c>
      <c r="C994" t="str">
        <f>VLOOKUP(A994,'Programas y Unidades'!$A:$B,2,0)</f>
        <v>Comunicación Audiovisual y Multimedios</v>
      </c>
    </row>
    <row r="995" spans="1:3">
      <c r="A995">
        <v>27</v>
      </c>
      <c r="B995">
        <v>3</v>
      </c>
      <c r="C995" t="str">
        <f>VLOOKUP(A995,'Programas y Unidades'!$A:$B,2,0)</f>
        <v>Comunicación Audiovisual y Multimedios</v>
      </c>
    </row>
    <row r="996" spans="1:3">
      <c r="A996">
        <v>27</v>
      </c>
      <c r="B996">
        <v>3</v>
      </c>
      <c r="C996" t="str">
        <f>VLOOKUP(A996,'Programas y Unidades'!$A:$B,2,0)</f>
        <v>Comunicación Audiovisual y Multimedios</v>
      </c>
    </row>
    <row r="997" spans="1:3">
      <c r="A997">
        <v>27</v>
      </c>
      <c r="B997">
        <v>4</v>
      </c>
      <c r="C997" t="str">
        <f>VLOOKUP(A997,'Programas y Unidades'!$A:$B,2,0)</f>
        <v>Comunicación Audiovisual y Multimedios</v>
      </c>
    </row>
    <row r="998" spans="1:3">
      <c r="A998">
        <v>27</v>
      </c>
      <c r="B998">
        <v>3</v>
      </c>
      <c r="C998" t="str">
        <f>VLOOKUP(A998,'Programas y Unidades'!$A:$B,2,0)</f>
        <v>Comunicación Audiovisual y Multimedios</v>
      </c>
    </row>
    <row r="999" spans="1:3">
      <c r="A999">
        <v>27</v>
      </c>
      <c r="B999">
        <v>3</v>
      </c>
      <c r="C999" t="str">
        <f>VLOOKUP(A999,'Programas y Unidades'!$A:$B,2,0)</f>
        <v>Comunicación Audiovisual y Multimedios</v>
      </c>
    </row>
    <row r="1000" spans="1:3">
      <c r="A1000">
        <v>27</v>
      </c>
      <c r="B1000">
        <v>3</v>
      </c>
      <c r="C1000" t="str">
        <f>VLOOKUP(A1000,'Programas y Unidades'!$A:$B,2,0)</f>
        <v>Comunicación Audiovisual y Multimedios</v>
      </c>
    </row>
    <row r="1001" spans="1:3">
      <c r="A1001">
        <v>40</v>
      </c>
      <c r="B1001">
        <v>8</v>
      </c>
      <c r="C1001" t="str">
        <f>VLOOKUP(A1001,'Programas y Unidades'!$A:$B,2,0)</f>
        <v>Ingeniería Mecánica</v>
      </c>
    </row>
    <row r="1002" spans="1:3">
      <c r="A1002">
        <v>40</v>
      </c>
      <c r="B1002">
        <v>8</v>
      </c>
      <c r="C1002" t="str">
        <f>VLOOKUP(A1002,'Programas y Unidades'!$A:$B,2,0)</f>
        <v>Ingeniería Mecánica</v>
      </c>
    </row>
    <row r="1003" spans="1:3">
      <c r="A1003">
        <v>40</v>
      </c>
      <c r="B1003">
        <v>8</v>
      </c>
      <c r="C1003" t="str">
        <f>VLOOKUP(A1003,'Programas y Unidades'!$A:$B,2,0)</f>
        <v>Ingeniería Mecánica</v>
      </c>
    </row>
    <row r="1004" spans="1:3">
      <c r="A1004">
        <v>40</v>
      </c>
      <c r="B1004">
        <v>8</v>
      </c>
      <c r="C1004" t="str">
        <f>VLOOKUP(A1004,'Programas y Unidades'!$A:$B,2,0)</f>
        <v>Ingeniería Mecánica</v>
      </c>
    </row>
    <row r="1005" spans="1:3">
      <c r="A1005">
        <v>40</v>
      </c>
      <c r="B1005">
        <v>8</v>
      </c>
      <c r="C1005" t="str">
        <f>VLOOKUP(A1005,'Programas y Unidades'!$A:$B,2,0)</f>
        <v>Ingeniería Mecánica</v>
      </c>
    </row>
    <row r="1006" spans="1:3">
      <c r="A1006">
        <v>40</v>
      </c>
      <c r="B1006">
        <v>8</v>
      </c>
      <c r="C1006" t="str">
        <f>VLOOKUP(A1006,'Programas y Unidades'!$A:$B,2,0)</f>
        <v>Ingeniería Mecánica</v>
      </c>
    </row>
    <row r="1007" spans="1:3">
      <c r="A1007">
        <v>40</v>
      </c>
      <c r="B1007">
        <v>8</v>
      </c>
      <c r="C1007" t="str">
        <f>VLOOKUP(A1007,'Programas y Unidades'!$A:$B,2,0)</f>
        <v>Ingeniería Mecánica</v>
      </c>
    </row>
    <row r="1008" spans="1:3">
      <c r="A1008">
        <v>40</v>
      </c>
      <c r="B1008">
        <v>8</v>
      </c>
      <c r="C1008" t="str">
        <f>VLOOKUP(A1008,'Programas y Unidades'!$A:$B,2,0)</f>
        <v>Ingeniería Mecánica</v>
      </c>
    </row>
    <row r="1009" spans="1:3">
      <c r="A1009">
        <v>40</v>
      </c>
      <c r="B1009">
        <v>8</v>
      </c>
      <c r="C1009" t="str">
        <f>VLOOKUP(A1009,'Programas y Unidades'!$A:$B,2,0)</f>
        <v>Ingeniería Mecánica</v>
      </c>
    </row>
    <row r="1010" spans="1:3">
      <c r="A1010">
        <v>40</v>
      </c>
      <c r="B1010">
        <v>8</v>
      </c>
      <c r="C1010" t="str">
        <f>VLOOKUP(A1010,'Programas y Unidades'!$A:$B,2,0)</f>
        <v>Ingeniería Mecánica</v>
      </c>
    </row>
    <row r="1011" spans="1:3">
      <c r="A1011">
        <v>40</v>
      </c>
      <c r="B1011">
        <v>8</v>
      </c>
      <c r="C1011" t="str">
        <f>VLOOKUP(A1011,'Programas y Unidades'!$A:$B,2,0)</f>
        <v>Ingeniería Mecánica</v>
      </c>
    </row>
    <row r="1012" spans="1:3">
      <c r="A1012">
        <v>40</v>
      </c>
      <c r="B1012">
        <v>8</v>
      </c>
      <c r="C1012" t="str">
        <f>VLOOKUP(A1012,'Programas y Unidades'!$A:$B,2,0)</f>
        <v>Ingeniería Mecánica</v>
      </c>
    </row>
    <row r="1013" spans="1:3">
      <c r="A1013">
        <v>40</v>
      </c>
      <c r="B1013">
        <v>8</v>
      </c>
      <c r="C1013" t="str">
        <f>VLOOKUP(A1013,'Programas y Unidades'!$A:$B,2,0)</f>
        <v>Ingeniería Mecánica</v>
      </c>
    </row>
    <row r="1014" spans="1:3">
      <c r="A1014">
        <v>40</v>
      </c>
      <c r="B1014">
        <v>6</v>
      </c>
      <c r="C1014" t="str">
        <f>VLOOKUP(A1014,'Programas y Unidades'!$A:$B,2,0)</f>
        <v>Ingeniería Mecánica</v>
      </c>
    </row>
    <row r="1015" spans="1:3">
      <c r="A1015">
        <v>40</v>
      </c>
      <c r="B1015">
        <v>8</v>
      </c>
      <c r="C1015" t="str">
        <f>VLOOKUP(A1015,'Programas y Unidades'!$A:$B,2,0)</f>
        <v>Ingeniería Mecánica</v>
      </c>
    </row>
    <row r="1016" spans="1:3">
      <c r="A1016">
        <v>23</v>
      </c>
      <c r="B1016">
        <v>2</v>
      </c>
      <c r="C1016" t="str">
        <f>VLOOKUP(A1016,'Programas y Unidades'!$A:$B,2,0)</f>
        <v>Administración de Negocios Internacionales</v>
      </c>
    </row>
    <row r="1017" spans="1:3">
      <c r="A1017">
        <v>22</v>
      </c>
      <c r="B1017">
        <v>8</v>
      </c>
      <c r="C1017" t="str">
        <f>VLOOKUP(A1017,'Programas y Unidades'!$A:$B,2,0)</f>
        <v>Administración de Mercadeo y Logística Internacionales</v>
      </c>
    </row>
    <row r="1018" spans="1:3">
      <c r="A1018">
        <v>23</v>
      </c>
      <c r="B1018">
        <v>2</v>
      </c>
      <c r="C1018" t="str">
        <f>VLOOKUP(A1018,'Programas y Unidades'!$A:$B,2,0)</f>
        <v>Administración de Negocios Internacionales</v>
      </c>
    </row>
    <row r="1019" spans="1:3">
      <c r="A1019">
        <v>23</v>
      </c>
      <c r="B1019">
        <v>2</v>
      </c>
      <c r="C1019" t="str">
        <f>VLOOKUP(A1019,'Programas y Unidades'!$A:$B,2,0)</f>
        <v>Administración de Negocios Internacionales</v>
      </c>
    </row>
    <row r="1020" spans="1:3">
      <c r="A1020">
        <v>23</v>
      </c>
      <c r="B1020">
        <v>2</v>
      </c>
      <c r="C1020" t="str">
        <f>VLOOKUP(A1020,'Programas y Unidades'!$A:$B,2,0)</f>
        <v>Administración de Negocios Internacionales</v>
      </c>
    </row>
    <row r="1021" spans="1:3">
      <c r="A1021">
        <v>23</v>
      </c>
      <c r="B1021">
        <v>2</v>
      </c>
      <c r="C1021" t="str">
        <f>VLOOKUP(A1021,'Programas y Unidades'!$A:$B,2,0)</f>
        <v>Administración de Negocios Internacionales</v>
      </c>
    </row>
    <row r="1022" spans="1:3">
      <c r="A1022">
        <v>23</v>
      </c>
      <c r="B1022">
        <v>3</v>
      </c>
      <c r="C1022" t="str">
        <f>VLOOKUP(A1022,'Programas y Unidades'!$A:$B,2,0)</f>
        <v>Administración de Negocios Internacionales</v>
      </c>
    </row>
    <row r="1023" spans="1:3">
      <c r="A1023">
        <v>23</v>
      </c>
      <c r="B1023">
        <v>2</v>
      </c>
      <c r="C1023" t="str">
        <f>VLOOKUP(A1023,'Programas y Unidades'!$A:$B,2,0)</f>
        <v>Administración de Negocios Internacionales</v>
      </c>
    </row>
    <row r="1024" spans="1:3">
      <c r="A1024">
        <v>23</v>
      </c>
      <c r="B1024">
        <v>2</v>
      </c>
      <c r="C1024" t="str">
        <f>VLOOKUP(A1024,'Programas y Unidades'!$A:$B,2,0)</f>
        <v>Administración de Negocios Internacionales</v>
      </c>
    </row>
    <row r="1025" spans="1:3">
      <c r="A1025">
        <v>23</v>
      </c>
      <c r="B1025">
        <v>2</v>
      </c>
      <c r="C1025" t="str">
        <f>VLOOKUP(A1025,'Programas y Unidades'!$A:$B,2,0)</f>
        <v>Administración de Negocios Internacionales</v>
      </c>
    </row>
    <row r="1026" spans="1:3">
      <c r="A1026">
        <v>23</v>
      </c>
      <c r="B1026">
        <v>2</v>
      </c>
      <c r="C1026" t="str">
        <f>VLOOKUP(A1026,'Programas y Unidades'!$A:$B,2,0)</f>
        <v>Administración de Negocios Internacionales</v>
      </c>
    </row>
    <row r="1027" spans="1:3">
      <c r="A1027">
        <v>23</v>
      </c>
      <c r="B1027">
        <v>2</v>
      </c>
      <c r="C1027" t="str">
        <f>VLOOKUP(A1027,'Programas y Unidades'!$A:$B,2,0)</f>
        <v>Administración de Negocios Internacionales</v>
      </c>
    </row>
    <row r="1028" spans="1:3">
      <c r="A1028">
        <v>23</v>
      </c>
      <c r="B1028">
        <v>2</v>
      </c>
      <c r="C1028" t="str">
        <f>VLOOKUP(A1028,'Programas y Unidades'!$A:$B,2,0)</f>
        <v>Administración de Negocios Internacionales</v>
      </c>
    </row>
    <row r="1029" spans="1:3">
      <c r="A1029">
        <v>23</v>
      </c>
      <c r="B1029">
        <v>2</v>
      </c>
      <c r="C1029" t="str">
        <f>VLOOKUP(A1029,'Programas y Unidades'!$A:$B,2,0)</f>
        <v>Administración de Negocios Internacionales</v>
      </c>
    </row>
    <row r="1030" spans="1:3">
      <c r="A1030">
        <v>23</v>
      </c>
      <c r="B1030">
        <v>2</v>
      </c>
      <c r="C1030" t="str">
        <f>VLOOKUP(A1030,'Programas y Unidades'!$A:$B,2,0)</f>
        <v>Administración de Negocios Internacionales</v>
      </c>
    </row>
    <row r="1031" spans="1:3">
      <c r="A1031">
        <v>40</v>
      </c>
      <c r="B1031">
        <v>8</v>
      </c>
      <c r="C1031" t="str">
        <f>VLOOKUP(A1031,'Programas y Unidades'!$A:$B,2,0)</f>
        <v>Ingeniería Mecánica</v>
      </c>
    </row>
    <row r="1032" spans="1:3">
      <c r="A1032">
        <v>40</v>
      </c>
      <c r="B1032">
        <v>8</v>
      </c>
      <c r="C1032" t="str">
        <f>VLOOKUP(A1032,'Programas y Unidades'!$A:$B,2,0)</f>
        <v>Ingeniería Mecánica</v>
      </c>
    </row>
    <row r="1033" spans="1:3">
      <c r="A1033">
        <v>23</v>
      </c>
      <c r="B1033">
        <v>2</v>
      </c>
      <c r="C1033" t="str">
        <f>VLOOKUP(A1033,'Programas y Unidades'!$A:$B,2,0)</f>
        <v>Administración de Negocios Internacionales</v>
      </c>
    </row>
    <row r="1034" spans="1:3">
      <c r="A1034">
        <v>23</v>
      </c>
      <c r="B1034">
        <v>2</v>
      </c>
      <c r="C1034" t="str">
        <f>VLOOKUP(A1034,'Programas y Unidades'!$A:$B,2,0)</f>
        <v>Administración de Negocios Internacionales</v>
      </c>
    </row>
    <row r="1035" spans="1:3">
      <c r="A1035">
        <v>23</v>
      </c>
      <c r="B1035">
        <v>2</v>
      </c>
      <c r="C1035" t="str">
        <f>VLOOKUP(A1035,'Programas y Unidades'!$A:$B,2,0)</f>
        <v>Administración de Negocios Internacionales</v>
      </c>
    </row>
    <row r="1036" spans="1:3">
      <c r="A1036">
        <v>23</v>
      </c>
      <c r="B1036">
        <v>2</v>
      </c>
      <c r="C1036" t="str">
        <f>VLOOKUP(A1036,'Programas y Unidades'!$A:$B,2,0)</f>
        <v>Administración de Negocios Internacionales</v>
      </c>
    </row>
    <row r="1037" spans="1:3">
      <c r="A1037">
        <v>23</v>
      </c>
      <c r="B1037">
        <v>2</v>
      </c>
      <c r="C1037" t="str">
        <f>VLOOKUP(A1037,'Programas y Unidades'!$A:$B,2,0)</f>
        <v>Administración de Negocios Internacionales</v>
      </c>
    </row>
    <row r="1038" spans="1:3">
      <c r="A1038">
        <v>23</v>
      </c>
      <c r="B1038">
        <v>2</v>
      </c>
      <c r="C1038" t="str">
        <f>VLOOKUP(A1038,'Programas y Unidades'!$A:$B,2,0)</f>
        <v>Administración de Negocios Internacionales</v>
      </c>
    </row>
    <row r="1039" spans="1:3">
      <c r="A1039">
        <v>23</v>
      </c>
      <c r="B1039">
        <v>2</v>
      </c>
      <c r="C1039" t="str">
        <f>VLOOKUP(A1039,'Programas y Unidades'!$A:$B,2,0)</f>
        <v>Administración de Negocios Internacionales</v>
      </c>
    </row>
    <row r="1040" spans="1:3">
      <c r="A1040">
        <v>23</v>
      </c>
      <c r="B1040">
        <v>2</v>
      </c>
      <c r="C1040" t="str">
        <f>VLOOKUP(A1040,'Programas y Unidades'!$A:$B,2,0)</f>
        <v>Administración de Negocios Internacionales</v>
      </c>
    </row>
    <row r="1041" spans="1:3">
      <c r="A1041">
        <v>23</v>
      </c>
      <c r="B1041">
        <v>3</v>
      </c>
      <c r="C1041" t="str">
        <f>VLOOKUP(A1041,'Programas y Unidades'!$A:$B,2,0)</f>
        <v>Administración de Negocios Internacionales</v>
      </c>
    </row>
    <row r="1042" spans="1:3">
      <c r="A1042">
        <v>40</v>
      </c>
      <c r="B1042">
        <v>8</v>
      </c>
      <c r="C1042" t="str">
        <f>VLOOKUP(A1042,'Programas y Unidades'!$A:$B,2,0)</f>
        <v>Ingeniería Mecánica</v>
      </c>
    </row>
    <row r="1043" spans="1:3">
      <c r="A1043">
        <v>22</v>
      </c>
      <c r="B1043">
        <v>5</v>
      </c>
      <c r="C1043" t="str">
        <f>VLOOKUP(A1043,'Programas y Unidades'!$A:$B,2,0)</f>
        <v>Administración de Mercadeo y Logística Internacionales</v>
      </c>
    </row>
    <row r="1044" spans="1:3">
      <c r="A1044">
        <v>22</v>
      </c>
      <c r="B1044">
        <v>5</v>
      </c>
      <c r="C1044" t="str">
        <f>VLOOKUP(A1044,'Programas y Unidades'!$A:$B,2,0)</f>
        <v>Administración de Mercadeo y Logística Internacionales</v>
      </c>
    </row>
    <row r="1045" spans="1:3">
      <c r="A1045">
        <v>22</v>
      </c>
      <c r="B1045">
        <v>4</v>
      </c>
      <c r="C1045" t="str">
        <f>VLOOKUP(A1045,'Programas y Unidades'!$A:$B,2,0)</f>
        <v>Administración de Mercadeo y Logística Internacionales</v>
      </c>
    </row>
    <row r="1046" spans="1:3">
      <c r="A1046">
        <v>22</v>
      </c>
      <c r="B1046">
        <v>4</v>
      </c>
      <c r="C1046" t="str">
        <f>VLOOKUP(A1046,'Programas y Unidades'!$A:$B,2,0)</f>
        <v>Administración de Mercadeo y Logística Internacionales</v>
      </c>
    </row>
    <row r="1047" spans="1:3">
      <c r="A1047">
        <v>22</v>
      </c>
      <c r="B1047">
        <v>4</v>
      </c>
      <c r="C1047" t="str">
        <f>VLOOKUP(A1047,'Programas y Unidades'!$A:$B,2,0)</f>
        <v>Administración de Mercadeo y Logística Internacionales</v>
      </c>
    </row>
    <row r="1048" spans="1:3">
      <c r="A1048">
        <v>22</v>
      </c>
      <c r="B1048">
        <v>5</v>
      </c>
      <c r="C1048" t="str">
        <f>VLOOKUP(A1048,'Programas y Unidades'!$A:$B,2,0)</f>
        <v>Administración de Mercadeo y Logística Internacionales</v>
      </c>
    </row>
    <row r="1049" spans="1:3">
      <c r="A1049">
        <v>22</v>
      </c>
      <c r="B1049">
        <v>5</v>
      </c>
      <c r="C1049" t="str">
        <f>VLOOKUP(A1049,'Programas y Unidades'!$A:$B,2,0)</f>
        <v>Administración de Mercadeo y Logística Internacionales</v>
      </c>
    </row>
    <row r="1050" spans="1:3">
      <c r="A1050">
        <v>22</v>
      </c>
      <c r="B1050">
        <v>4</v>
      </c>
      <c r="C1050" t="str">
        <f>VLOOKUP(A1050,'Programas y Unidades'!$A:$B,2,0)</f>
        <v>Administración de Mercadeo y Logística Internacionales</v>
      </c>
    </row>
    <row r="1051" spans="1:3">
      <c r="A1051">
        <v>22</v>
      </c>
      <c r="B1051">
        <v>4</v>
      </c>
      <c r="C1051" t="str">
        <f>VLOOKUP(A1051,'Programas y Unidades'!$A:$B,2,0)</f>
        <v>Administración de Mercadeo y Logística Internacionales</v>
      </c>
    </row>
    <row r="1052" spans="1:3">
      <c r="A1052">
        <v>22</v>
      </c>
      <c r="B1052">
        <v>4</v>
      </c>
      <c r="C1052" t="str">
        <f>VLOOKUP(A1052,'Programas y Unidades'!$A:$B,2,0)</f>
        <v>Administración de Mercadeo y Logística Internacionales</v>
      </c>
    </row>
    <row r="1053" spans="1:3">
      <c r="A1053">
        <v>22</v>
      </c>
      <c r="B1053">
        <v>5</v>
      </c>
      <c r="C1053" t="str">
        <f>VLOOKUP(A1053,'Programas y Unidades'!$A:$B,2,0)</f>
        <v>Administración de Mercadeo y Logística Internacionales</v>
      </c>
    </row>
    <row r="1054" spans="1:3">
      <c r="A1054">
        <v>22</v>
      </c>
      <c r="B1054">
        <v>6</v>
      </c>
      <c r="C1054" t="str">
        <f>VLOOKUP(A1054,'Programas y Unidades'!$A:$B,2,0)</f>
        <v>Administración de Mercadeo y Logística Internacionales</v>
      </c>
    </row>
    <row r="1055" spans="1:3">
      <c r="A1055">
        <v>28</v>
      </c>
      <c r="B1055">
        <v>3</v>
      </c>
      <c r="C1055" t="str">
        <f>VLOOKUP(A1055,'Programas y Unidades'!$A:$B,2,0)</f>
        <v>Comunicación Social y Periodismo</v>
      </c>
    </row>
    <row r="1056" spans="1:3">
      <c r="A1056">
        <v>22</v>
      </c>
      <c r="B1056">
        <v>4</v>
      </c>
      <c r="C1056" t="str">
        <f>VLOOKUP(A1056,'Programas y Unidades'!$A:$B,2,0)</f>
        <v>Administración de Mercadeo y Logística Internacionales</v>
      </c>
    </row>
    <row r="1057" spans="1:3">
      <c r="A1057">
        <v>26</v>
      </c>
      <c r="B1057">
        <v>2</v>
      </c>
      <c r="C1057" t="str">
        <f>VLOOKUP(A1057,'Programas y Unidades'!$A:$B,2,0)</f>
        <v>Comunicación Corporativa</v>
      </c>
    </row>
    <row r="1058" spans="1:3">
      <c r="A1058">
        <v>26</v>
      </c>
      <c r="B1058">
        <v>2</v>
      </c>
      <c r="C1058" t="str">
        <f>VLOOKUP(A1058,'Programas y Unidades'!$A:$B,2,0)</f>
        <v>Comunicación Corporativa</v>
      </c>
    </row>
    <row r="1059" spans="1:3">
      <c r="A1059">
        <v>27</v>
      </c>
      <c r="B1059">
        <v>2</v>
      </c>
      <c r="C1059" t="str">
        <f>VLOOKUP(A1059,'Programas y Unidades'!$A:$B,2,0)</f>
        <v>Comunicación Audiovisual y Multimedios</v>
      </c>
    </row>
    <row r="1060" spans="1:3">
      <c r="A1060">
        <v>28</v>
      </c>
      <c r="B1060">
        <v>3</v>
      </c>
      <c r="C1060" t="str">
        <f>VLOOKUP(A1060,'Programas y Unidades'!$A:$B,2,0)</f>
        <v>Comunicación Social y Periodismo</v>
      </c>
    </row>
    <row r="1061" spans="1:3">
      <c r="A1061">
        <v>26</v>
      </c>
      <c r="B1061">
        <v>5</v>
      </c>
      <c r="C1061" t="str">
        <f>VLOOKUP(A1061,'Programas y Unidades'!$A:$B,2,0)</f>
        <v>Comunicación Corporativa</v>
      </c>
    </row>
    <row r="1062" spans="1:3">
      <c r="A1062">
        <v>43</v>
      </c>
      <c r="B1062">
        <v>4</v>
      </c>
      <c r="C1062" t="str">
        <f>VLOOKUP(A1062,'Programas y Unidades'!$A:$B,2,0)</f>
        <v>Psicología</v>
      </c>
    </row>
    <row r="1063" spans="1:3">
      <c r="A1063">
        <v>40</v>
      </c>
      <c r="B1063">
        <v>6</v>
      </c>
      <c r="C1063" t="str">
        <f>VLOOKUP(A1063,'Programas y Unidades'!$A:$B,2,0)</f>
        <v>Ingeniería Mecánica</v>
      </c>
    </row>
    <row r="1064" spans="1:3">
      <c r="A1064">
        <v>41</v>
      </c>
      <c r="B1064">
        <v>6</v>
      </c>
      <c r="C1064" t="str">
        <f>VLOOKUP(A1064,'Programas y Unidades'!$A:$B,2,0)</f>
        <v>Ingeniería Química</v>
      </c>
    </row>
    <row r="1065" spans="1:3">
      <c r="A1065">
        <v>41</v>
      </c>
      <c r="B1065">
        <v>6</v>
      </c>
      <c r="C1065" t="str">
        <f>VLOOKUP(A1065,'Programas y Unidades'!$A:$B,2,0)</f>
        <v>Ingeniería Química</v>
      </c>
    </row>
    <row r="1066" spans="1:3">
      <c r="A1066">
        <v>41</v>
      </c>
      <c r="B1066">
        <v>6</v>
      </c>
      <c r="C1066" t="str">
        <f>VLOOKUP(A1066,'Programas y Unidades'!$A:$B,2,0)</f>
        <v>Ingeniería Química</v>
      </c>
    </row>
    <row r="1067" spans="1:3">
      <c r="A1067">
        <v>41</v>
      </c>
      <c r="B1067">
        <v>6</v>
      </c>
      <c r="C1067" t="str">
        <f>VLOOKUP(A1067,'Programas y Unidades'!$A:$B,2,0)</f>
        <v>Ingeniería Química</v>
      </c>
    </row>
    <row r="1068" spans="1:3">
      <c r="A1068">
        <v>41</v>
      </c>
      <c r="B1068">
        <v>6</v>
      </c>
      <c r="C1068" t="str">
        <f>VLOOKUP(A1068,'Programas y Unidades'!$A:$B,2,0)</f>
        <v>Ingeniería Química</v>
      </c>
    </row>
    <row r="1069" spans="1:3">
      <c r="A1069">
        <v>41</v>
      </c>
      <c r="B1069">
        <v>6</v>
      </c>
      <c r="C1069" t="str">
        <f>VLOOKUP(A1069,'Programas y Unidades'!$A:$B,2,0)</f>
        <v>Ingeniería Química</v>
      </c>
    </row>
    <row r="1070" spans="1:3">
      <c r="A1070">
        <v>41</v>
      </c>
      <c r="B1070">
        <v>6</v>
      </c>
      <c r="C1070" t="str">
        <f>VLOOKUP(A1070,'Programas y Unidades'!$A:$B,2,0)</f>
        <v>Ingeniería Química</v>
      </c>
    </row>
    <row r="1071" spans="1:3">
      <c r="A1071">
        <v>41</v>
      </c>
      <c r="B1071">
        <v>6</v>
      </c>
      <c r="C1071" t="str">
        <f>VLOOKUP(A1071,'Programas y Unidades'!$A:$B,2,0)</f>
        <v>Ingeniería Química</v>
      </c>
    </row>
    <row r="1072" spans="1:3">
      <c r="A1072">
        <v>41</v>
      </c>
      <c r="B1072">
        <v>6</v>
      </c>
      <c r="C1072" t="str">
        <f>VLOOKUP(A1072,'Programas y Unidades'!$A:$B,2,0)</f>
        <v>Ingeniería Química</v>
      </c>
    </row>
    <row r="1073" spans="1:3">
      <c r="A1073">
        <v>41</v>
      </c>
      <c r="B1073">
        <v>2</v>
      </c>
      <c r="C1073" t="str">
        <f>VLOOKUP(A1073,'Programas y Unidades'!$A:$B,2,0)</f>
        <v>Ingeniería Química</v>
      </c>
    </row>
    <row r="1074" spans="1:3">
      <c r="A1074">
        <v>33</v>
      </c>
      <c r="B1074">
        <v>8</v>
      </c>
      <c r="C1074" t="str">
        <f>VLOOKUP(A1074,'Programas y Unidades'!$A:$B,2,0)</f>
        <v>Enfermería</v>
      </c>
    </row>
    <row r="1075" spans="1:3">
      <c r="A1075">
        <v>33</v>
      </c>
      <c r="B1075">
        <v>8</v>
      </c>
      <c r="C1075" t="str">
        <f>VLOOKUP(A1075,'Programas y Unidades'!$A:$B,2,0)</f>
        <v>Enfermería</v>
      </c>
    </row>
    <row r="1076" spans="1:3">
      <c r="A1076">
        <v>33</v>
      </c>
      <c r="B1076">
        <v>8</v>
      </c>
      <c r="C1076" t="str">
        <f>VLOOKUP(A1076,'Programas y Unidades'!$A:$B,2,0)</f>
        <v>Enfermería</v>
      </c>
    </row>
    <row r="1077" spans="1:3">
      <c r="A1077">
        <v>33</v>
      </c>
      <c r="B1077">
        <v>8</v>
      </c>
      <c r="C1077" t="str">
        <f>VLOOKUP(A1077,'Programas y Unidades'!$A:$B,2,0)</f>
        <v>Enfermería</v>
      </c>
    </row>
    <row r="1078" spans="1:3">
      <c r="A1078">
        <v>33</v>
      </c>
      <c r="B1078">
        <v>8</v>
      </c>
      <c r="C1078" t="str">
        <f>VLOOKUP(A1078,'Programas y Unidades'!$A:$B,2,0)</f>
        <v>Enfermería</v>
      </c>
    </row>
    <row r="1079" spans="1:3">
      <c r="A1079">
        <v>33</v>
      </c>
      <c r="B1079">
        <v>8</v>
      </c>
      <c r="C1079" t="str">
        <f>VLOOKUP(A1079,'Programas y Unidades'!$A:$B,2,0)</f>
        <v>Enfermería</v>
      </c>
    </row>
    <row r="1080" spans="1:3">
      <c r="A1080">
        <v>33</v>
      </c>
      <c r="B1080">
        <v>8</v>
      </c>
      <c r="C1080" t="str">
        <f>VLOOKUP(A1080,'Programas y Unidades'!$A:$B,2,0)</f>
        <v>Enfermería</v>
      </c>
    </row>
    <row r="1081" spans="1:3">
      <c r="A1081">
        <v>33</v>
      </c>
      <c r="B1081">
        <v>8</v>
      </c>
      <c r="C1081" t="str">
        <f>VLOOKUP(A1081,'Programas y Unidades'!$A:$B,2,0)</f>
        <v>Enfermería</v>
      </c>
    </row>
    <row r="1082" spans="1:3">
      <c r="A1082">
        <v>33</v>
      </c>
      <c r="B1082">
        <v>8</v>
      </c>
      <c r="C1082" t="str">
        <f>VLOOKUP(A1082,'Programas y Unidades'!$A:$B,2,0)</f>
        <v>Enfermería</v>
      </c>
    </row>
    <row r="1083" spans="1:3">
      <c r="A1083">
        <v>33</v>
      </c>
      <c r="B1083">
        <v>8</v>
      </c>
      <c r="C1083" t="str">
        <f>VLOOKUP(A1083,'Programas y Unidades'!$A:$B,2,0)</f>
        <v>Enfermería</v>
      </c>
    </row>
    <row r="1084" spans="1:3">
      <c r="A1084">
        <v>33</v>
      </c>
      <c r="B1084">
        <v>8</v>
      </c>
      <c r="C1084" t="str">
        <f>VLOOKUP(A1084,'Programas y Unidades'!$A:$B,2,0)</f>
        <v>Enfermería</v>
      </c>
    </row>
    <row r="1085" spans="1:3">
      <c r="A1085">
        <v>33</v>
      </c>
      <c r="B1085">
        <v>8</v>
      </c>
      <c r="C1085" t="str">
        <f>VLOOKUP(A1085,'Programas y Unidades'!$A:$B,2,0)</f>
        <v>Enfermería</v>
      </c>
    </row>
    <row r="1086" spans="1:3">
      <c r="A1086">
        <v>33</v>
      </c>
      <c r="B1086">
        <v>8</v>
      </c>
      <c r="C1086" t="str">
        <f>VLOOKUP(A1086,'Programas y Unidades'!$A:$B,2,0)</f>
        <v>Enfermería</v>
      </c>
    </row>
    <row r="1087" spans="1:3">
      <c r="A1087">
        <v>33</v>
      </c>
      <c r="B1087">
        <v>8</v>
      </c>
      <c r="C1087" t="str">
        <f>VLOOKUP(A1087,'Programas y Unidades'!$A:$B,2,0)</f>
        <v>Enfermería</v>
      </c>
    </row>
    <row r="1088" spans="1:3">
      <c r="A1088">
        <v>33</v>
      </c>
      <c r="B1088">
        <v>8</v>
      </c>
      <c r="C1088" t="str">
        <f>VLOOKUP(A1088,'Programas y Unidades'!$A:$B,2,0)</f>
        <v>Enfermería</v>
      </c>
    </row>
    <row r="1089" spans="1:3">
      <c r="A1089">
        <v>33</v>
      </c>
      <c r="B1089">
        <v>8</v>
      </c>
      <c r="C1089" t="str">
        <f>VLOOKUP(A1089,'Programas y Unidades'!$A:$B,2,0)</f>
        <v>Enfermería</v>
      </c>
    </row>
    <row r="1090" spans="1:3">
      <c r="A1090">
        <v>33</v>
      </c>
      <c r="B1090">
        <v>8</v>
      </c>
      <c r="C1090" t="str">
        <f>VLOOKUP(A1090,'Programas y Unidades'!$A:$B,2,0)</f>
        <v>Enfermería</v>
      </c>
    </row>
    <row r="1091" spans="1:3">
      <c r="A1091">
        <v>33</v>
      </c>
      <c r="B1091">
        <v>8</v>
      </c>
      <c r="C1091" t="str">
        <f>VLOOKUP(A1091,'Programas y Unidades'!$A:$B,2,0)</f>
        <v>Enfermería</v>
      </c>
    </row>
    <row r="1092" spans="1:3">
      <c r="A1092">
        <v>33</v>
      </c>
      <c r="B1092">
        <v>8</v>
      </c>
      <c r="C1092" t="str">
        <f>VLOOKUP(A1092,'Programas y Unidades'!$A:$B,2,0)</f>
        <v>Enfermería</v>
      </c>
    </row>
    <row r="1093" spans="1:3">
      <c r="A1093">
        <v>33</v>
      </c>
      <c r="B1093">
        <v>6</v>
      </c>
      <c r="C1093" t="str">
        <f>VLOOKUP(A1093,'Programas y Unidades'!$A:$B,2,0)</f>
        <v>Enfermería</v>
      </c>
    </row>
    <row r="1094" spans="1:3">
      <c r="A1094">
        <v>33</v>
      </c>
      <c r="B1094">
        <v>6</v>
      </c>
      <c r="C1094" t="str">
        <f>VLOOKUP(A1094,'Programas y Unidades'!$A:$B,2,0)</f>
        <v>Enfermería</v>
      </c>
    </row>
    <row r="1095" spans="1:3">
      <c r="A1095">
        <v>33</v>
      </c>
      <c r="B1095">
        <v>6</v>
      </c>
      <c r="C1095" t="str">
        <f>VLOOKUP(A1095,'Programas y Unidades'!$A:$B,2,0)</f>
        <v>Enfermería</v>
      </c>
    </row>
    <row r="1096" spans="1:3">
      <c r="A1096">
        <v>33</v>
      </c>
      <c r="B1096">
        <v>6</v>
      </c>
      <c r="C1096" t="str">
        <f>VLOOKUP(A1096,'Programas y Unidades'!$A:$B,2,0)</f>
        <v>Enfermería</v>
      </c>
    </row>
    <row r="1097" spans="1:3">
      <c r="A1097">
        <v>33</v>
      </c>
      <c r="B1097">
        <v>6</v>
      </c>
      <c r="C1097" t="str">
        <f>VLOOKUP(A1097,'Programas y Unidades'!$A:$B,2,0)</f>
        <v>Enfermería</v>
      </c>
    </row>
    <row r="1098" spans="1:3">
      <c r="A1098">
        <v>33</v>
      </c>
      <c r="B1098">
        <v>6</v>
      </c>
      <c r="C1098" t="str">
        <f>VLOOKUP(A1098,'Programas y Unidades'!$A:$B,2,0)</f>
        <v>Enfermería</v>
      </c>
    </row>
    <row r="1099" spans="1:3">
      <c r="A1099">
        <v>33</v>
      </c>
      <c r="B1099">
        <v>6</v>
      </c>
      <c r="C1099" t="str">
        <f>VLOOKUP(A1099,'Programas y Unidades'!$A:$B,2,0)</f>
        <v>Enfermería</v>
      </c>
    </row>
    <row r="1100" spans="1:3">
      <c r="A1100">
        <v>33</v>
      </c>
      <c r="B1100">
        <v>6</v>
      </c>
      <c r="C1100" t="str">
        <f>VLOOKUP(A1100,'Programas y Unidades'!$A:$B,2,0)</f>
        <v>Enfermería</v>
      </c>
    </row>
    <row r="1101" spans="1:3">
      <c r="A1101">
        <v>33</v>
      </c>
      <c r="B1101">
        <v>6</v>
      </c>
      <c r="C1101" t="str">
        <f>VLOOKUP(A1101,'Programas y Unidades'!$A:$B,2,0)</f>
        <v>Enfermería</v>
      </c>
    </row>
    <row r="1102" spans="1:3">
      <c r="A1102">
        <v>33</v>
      </c>
      <c r="B1102">
        <v>6</v>
      </c>
      <c r="C1102" t="str">
        <f>VLOOKUP(A1102,'Programas y Unidades'!$A:$B,2,0)</f>
        <v>Enfermería</v>
      </c>
    </row>
    <row r="1103" spans="1:3">
      <c r="A1103">
        <v>33</v>
      </c>
      <c r="B1103">
        <v>6</v>
      </c>
      <c r="C1103" t="str">
        <f>VLOOKUP(A1103,'Programas y Unidades'!$A:$B,2,0)</f>
        <v>Enfermería</v>
      </c>
    </row>
    <row r="1104" spans="1:3">
      <c r="A1104">
        <v>33</v>
      </c>
      <c r="B1104">
        <v>6</v>
      </c>
      <c r="C1104" t="str">
        <f>VLOOKUP(A1104,'Programas y Unidades'!$A:$B,2,0)</f>
        <v>Enfermería</v>
      </c>
    </row>
    <row r="1105" spans="1:3">
      <c r="A1105">
        <v>33</v>
      </c>
      <c r="B1105">
        <v>6</v>
      </c>
      <c r="C1105" t="str">
        <f>VLOOKUP(A1105,'Programas y Unidades'!$A:$B,2,0)</f>
        <v>Enfermería</v>
      </c>
    </row>
    <row r="1106" spans="1:3">
      <c r="A1106">
        <v>33</v>
      </c>
      <c r="B1106">
        <v>6</v>
      </c>
      <c r="C1106" t="str">
        <f>VLOOKUP(A1106,'Programas y Unidades'!$A:$B,2,0)</f>
        <v>Enfermería</v>
      </c>
    </row>
    <row r="1107" spans="1:3">
      <c r="A1107">
        <v>33</v>
      </c>
      <c r="B1107">
        <v>6</v>
      </c>
      <c r="C1107" t="str">
        <f>VLOOKUP(A1107,'Programas y Unidades'!$A:$B,2,0)</f>
        <v>Enfermería</v>
      </c>
    </row>
    <row r="1108" spans="1:3">
      <c r="A1108">
        <v>33</v>
      </c>
      <c r="B1108">
        <v>6</v>
      </c>
      <c r="C1108" t="str">
        <f>VLOOKUP(A1108,'Programas y Unidades'!$A:$B,2,0)</f>
        <v>Enfermería</v>
      </c>
    </row>
    <row r="1109" spans="1:3">
      <c r="A1109">
        <v>33</v>
      </c>
      <c r="B1109">
        <v>2</v>
      </c>
      <c r="C1109" t="str">
        <f>VLOOKUP(A1109,'Programas y Unidades'!$A:$B,2,0)</f>
        <v>Enfermería</v>
      </c>
    </row>
    <row r="1110" spans="1:3">
      <c r="A1110">
        <v>33</v>
      </c>
      <c r="B1110">
        <v>7</v>
      </c>
      <c r="C1110" t="str">
        <f>VLOOKUP(A1110,'Programas y Unidades'!$A:$B,2,0)</f>
        <v>Enfermería</v>
      </c>
    </row>
    <row r="1111" spans="1:3">
      <c r="A1111">
        <v>33</v>
      </c>
      <c r="B1111">
        <v>7</v>
      </c>
      <c r="C1111" t="str">
        <f>VLOOKUP(A1111,'Programas y Unidades'!$A:$B,2,0)</f>
        <v>Enfermería</v>
      </c>
    </row>
    <row r="1112" spans="1:3">
      <c r="A1112">
        <v>33</v>
      </c>
      <c r="B1112">
        <v>7</v>
      </c>
      <c r="C1112" t="str">
        <f>VLOOKUP(A1112,'Programas y Unidades'!$A:$B,2,0)</f>
        <v>Enfermería</v>
      </c>
    </row>
    <row r="1113" spans="1:3">
      <c r="A1113">
        <v>33</v>
      </c>
      <c r="B1113">
        <v>7</v>
      </c>
      <c r="C1113" t="str">
        <f>VLOOKUP(A1113,'Programas y Unidades'!$A:$B,2,0)</f>
        <v>Enfermería</v>
      </c>
    </row>
    <row r="1114" spans="1:3">
      <c r="A1114">
        <v>33</v>
      </c>
      <c r="B1114">
        <v>7</v>
      </c>
      <c r="C1114" t="str">
        <f>VLOOKUP(A1114,'Programas y Unidades'!$A:$B,2,0)</f>
        <v>Enfermería</v>
      </c>
    </row>
    <row r="1115" spans="1:3">
      <c r="A1115">
        <v>33</v>
      </c>
      <c r="B1115">
        <v>7</v>
      </c>
      <c r="C1115" t="str">
        <f>VLOOKUP(A1115,'Programas y Unidades'!$A:$B,2,0)</f>
        <v>Enfermería</v>
      </c>
    </row>
    <row r="1116" spans="1:3">
      <c r="A1116">
        <v>33</v>
      </c>
      <c r="B1116">
        <v>7</v>
      </c>
      <c r="C1116" t="str">
        <f>VLOOKUP(A1116,'Programas y Unidades'!$A:$B,2,0)</f>
        <v>Enfermería</v>
      </c>
    </row>
    <row r="1117" spans="1:3">
      <c r="A1117">
        <v>33</v>
      </c>
      <c r="B1117">
        <v>7</v>
      </c>
      <c r="C1117" t="str">
        <f>VLOOKUP(A1117,'Programas y Unidades'!$A:$B,2,0)</f>
        <v>Enfermería</v>
      </c>
    </row>
    <row r="1118" spans="1:3">
      <c r="A1118">
        <v>33</v>
      </c>
      <c r="B1118">
        <v>7</v>
      </c>
      <c r="C1118" t="str">
        <f>VLOOKUP(A1118,'Programas y Unidades'!$A:$B,2,0)</f>
        <v>Enfermería</v>
      </c>
    </row>
    <row r="1119" spans="1:3">
      <c r="A1119">
        <v>33</v>
      </c>
      <c r="B1119">
        <v>7</v>
      </c>
      <c r="C1119" t="str">
        <f>VLOOKUP(A1119,'Programas y Unidades'!$A:$B,2,0)</f>
        <v>Enfermería</v>
      </c>
    </row>
    <row r="1120" spans="1:3">
      <c r="A1120">
        <v>33</v>
      </c>
      <c r="B1120">
        <v>7</v>
      </c>
      <c r="C1120" t="str">
        <f>VLOOKUP(A1120,'Programas y Unidades'!$A:$B,2,0)</f>
        <v>Enfermería</v>
      </c>
    </row>
    <row r="1121" spans="1:3">
      <c r="A1121">
        <v>33</v>
      </c>
      <c r="B1121">
        <v>7</v>
      </c>
      <c r="C1121" t="str">
        <f>VLOOKUP(A1121,'Programas y Unidades'!$A:$B,2,0)</f>
        <v>Enfermería</v>
      </c>
    </row>
    <row r="1122" spans="1:3">
      <c r="A1122">
        <v>22</v>
      </c>
      <c r="B1122">
        <v>8</v>
      </c>
      <c r="C1122" t="str">
        <f>VLOOKUP(A1122,'Programas y Unidades'!$A:$B,2,0)</f>
        <v>Administración de Mercadeo y Logística Internacionales</v>
      </c>
    </row>
    <row r="1123" spans="1:3">
      <c r="A1123">
        <v>20</v>
      </c>
      <c r="B1123">
        <v>6</v>
      </c>
      <c r="C1123" t="str">
        <f>VLOOKUP(A1123,'Programas y Unidades'!$A:$B,2,0)</f>
        <v>Administración &amp; Servicio</v>
      </c>
    </row>
    <row r="1124" spans="1:3">
      <c r="A1124">
        <v>23</v>
      </c>
      <c r="B1124">
        <v>4</v>
      </c>
      <c r="C1124" t="str">
        <f>VLOOKUP(A1124,'Programas y Unidades'!$A:$B,2,0)</f>
        <v>Administración de Negocios Internacionales</v>
      </c>
    </row>
    <row r="1125" spans="1:3">
      <c r="A1125">
        <v>22</v>
      </c>
      <c r="B1125">
        <v>7</v>
      </c>
      <c r="C1125" t="str">
        <f>VLOOKUP(A1125,'Programas y Unidades'!$A:$B,2,0)</f>
        <v>Administración de Mercadeo y Logística Internacionales</v>
      </c>
    </row>
    <row r="1126" spans="1:3">
      <c r="A1126">
        <v>22</v>
      </c>
      <c r="B1126">
        <v>7</v>
      </c>
      <c r="C1126" t="str">
        <f>VLOOKUP(A1126,'Programas y Unidades'!$A:$B,2,0)</f>
        <v>Administración de Mercadeo y Logística Internacionales</v>
      </c>
    </row>
    <row r="1127" spans="1:3">
      <c r="A1127">
        <v>23</v>
      </c>
      <c r="B1127">
        <v>4</v>
      </c>
      <c r="C1127" t="str">
        <f>VLOOKUP(A1127,'Programas y Unidades'!$A:$B,2,0)</f>
        <v>Administración de Negocios Internacionales</v>
      </c>
    </row>
    <row r="1128" spans="1:3">
      <c r="A1128">
        <v>23</v>
      </c>
      <c r="B1128">
        <v>4</v>
      </c>
      <c r="C1128" t="str">
        <f>VLOOKUP(A1128,'Programas y Unidades'!$A:$B,2,0)</f>
        <v>Administración de Negocios Internacionales</v>
      </c>
    </row>
    <row r="1129" spans="1:3">
      <c r="A1129">
        <v>23</v>
      </c>
      <c r="B1129">
        <v>2</v>
      </c>
      <c r="C1129" t="str">
        <f>VLOOKUP(A1129,'Programas y Unidades'!$A:$B,2,0)</f>
        <v>Administración de Negocios Internacionales</v>
      </c>
    </row>
    <row r="1130" spans="1:3">
      <c r="A1130">
        <v>23</v>
      </c>
      <c r="B1130">
        <v>4</v>
      </c>
      <c r="C1130" t="str">
        <f>VLOOKUP(A1130,'Programas y Unidades'!$A:$B,2,0)</f>
        <v>Administración de Negocios Internacionales</v>
      </c>
    </row>
    <row r="1131" spans="1:3">
      <c r="A1131">
        <v>22</v>
      </c>
      <c r="B1131">
        <v>8</v>
      </c>
      <c r="C1131" t="str">
        <f>VLOOKUP(A1131,'Programas y Unidades'!$A:$B,2,0)</f>
        <v>Administración de Mercadeo y Logística Internacionales</v>
      </c>
    </row>
    <row r="1132" spans="1:3">
      <c r="A1132">
        <v>22</v>
      </c>
      <c r="B1132">
        <v>7</v>
      </c>
      <c r="C1132" t="str">
        <f>VLOOKUP(A1132,'Programas y Unidades'!$A:$B,2,0)</f>
        <v>Administración de Mercadeo y Logística Internacionales</v>
      </c>
    </row>
    <row r="1133" spans="1:3">
      <c r="A1133">
        <v>23</v>
      </c>
      <c r="B1133">
        <v>4</v>
      </c>
      <c r="C1133" t="str">
        <f>VLOOKUP(A1133,'Programas y Unidades'!$A:$B,2,0)</f>
        <v>Administración de Negocios Internacionales</v>
      </c>
    </row>
    <row r="1134" spans="1:3">
      <c r="A1134">
        <v>22</v>
      </c>
      <c r="B1134">
        <v>8</v>
      </c>
      <c r="C1134" t="str">
        <f>VLOOKUP(A1134,'Programas y Unidades'!$A:$B,2,0)</f>
        <v>Administración de Mercadeo y Logística Internacionales</v>
      </c>
    </row>
    <row r="1135" spans="1:3">
      <c r="A1135">
        <v>23</v>
      </c>
      <c r="B1135">
        <v>4</v>
      </c>
      <c r="C1135" t="str">
        <f>VLOOKUP(A1135,'Programas y Unidades'!$A:$B,2,0)</f>
        <v>Administración de Negocios Internacionales</v>
      </c>
    </row>
    <row r="1136" spans="1:3">
      <c r="A1136">
        <v>22</v>
      </c>
      <c r="B1136">
        <v>8</v>
      </c>
      <c r="C1136" t="str">
        <f>VLOOKUP(A1136,'Programas y Unidades'!$A:$B,2,0)</f>
        <v>Administración de Mercadeo y Logística Internacionales</v>
      </c>
    </row>
    <row r="1137" spans="1:3">
      <c r="A1137">
        <v>22</v>
      </c>
      <c r="B1137">
        <v>7</v>
      </c>
      <c r="C1137" t="str">
        <f>VLOOKUP(A1137,'Programas y Unidades'!$A:$B,2,0)</f>
        <v>Administración de Mercadeo y Logística Internacionales</v>
      </c>
    </row>
    <row r="1138" spans="1:3">
      <c r="A1138">
        <v>22</v>
      </c>
      <c r="B1138">
        <v>8</v>
      </c>
      <c r="C1138" t="str">
        <f>VLOOKUP(A1138,'Programas y Unidades'!$A:$B,2,0)</f>
        <v>Administración de Mercadeo y Logística Internacionales</v>
      </c>
    </row>
    <row r="1139" spans="1:3">
      <c r="A1139">
        <v>23</v>
      </c>
      <c r="B1139">
        <v>4</v>
      </c>
      <c r="C1139" t="str">
        <f>VLOOKUP(A1139,'Programas y Unidades'!$A:$B,2,0)</f>
        <v>Administración de Negocios Internacionales</v>
      </c>
    </row>
    <row r="1140" spans="1:3">
      <c r="A1140">
        <v>22</v>
      </c>
      <c r="B1140">
        <v>8</v>
      </c>
      <c r="C1140" t="str">
        <f>VLOOKUP(A1140,'Programas y Unidades'!$A:$B,2,0)</f>
        <v>Administración de Mercadeo y Logística Internacionales</v>
      </c>
    </row>
    <row r="1141" spans="1:3">
      <c r="A1141">
        <v>22</v>
      </c>
      <c r="B1141">
        <v>8</v>
      </c>
      <c r="C1141" t="str">
        <f>VLOOKUP(A1141,'Programas y Unidades'!$A:$B,2,0)</f>
        <v>Administración de Mercadeo y Logística Internacionales</v>
      </c>
    </row>
    <row r="1142" spans="1:3">
      <c r="A1142">
        <v>23</v>
      </c>
      <c r="B1142">
        <v>4</v>
      </c>
      <c r="C1142" t="str">
        <f>VLOOKUP(A1142,'Programas y Unidades'!$A:$B,2,0)</f>
        <v>Administración de Negocios Internacionales</v>
      </c>
    </row>
    <row r="1143" spans="1:3">
      <c r="A1143">
        <v>22</v>
      </c>
      <c r="B1143">
        <v>8</v>
      </c>
      <c r="C1143" t="str">
        <f>VLOOKUP(A1143,'Programas y Unidades'!$A:$B,2,0)</f>
        <v>Administración de Mercadeo y Logística Internacionales</v>
      </c>
    </row>
    <row r="1144" spans="1:3">
      <c r="A1144">
        <v>20</v>
      </c>
      <c r="B1144">
        <v>6</v>
      </c>
      <c r="C1144" t="str">
        <f>VLOOKUP(A1144,'Programas y Unidades'!$A:$B,2,0)</f>
        <v>Administración &amp; Servicio</v>
      </c>
    </row>
    <row r="1145" spans="1:3">
      <c r="A1145">
        <v>23</v>
      </c>
      <c r="B1145">
        <v>4</v>
      </c>
      <c r="C1145" t="str">
        <f>VLOOKUP(A1145,'Programas y Unidades'!$A:$B,2,0)</f>
        <v>Administración de Negocios Internacionales</v>
      </c>
    </row>
    <row r="1146" spans="1:3">
      <c r="A1146">
        <v>20</v>
      </c>
      <c r="B1146">
        <v>6</v>
      </c>
      <c r="C1146" t="str">
        <f>VLOOKUP(A1146,'Programas y Unidades'!$A:$B,2,0)</f>
        <v>Administración &amp; Servicio</v>
      </c>
    </row>
    <row r="1147" spans="1:3">
      <c r="A1147">
        <v>22</v>
      </c>
      <c r="B1147">
        <v>7</v>
      </c>
      <c r="C1147" t="str">
        <f>VLOOKUP(A1147,'Programas y Unidades'!$A:$B,2,0)</f>
        <v>Administración de Mercadeo y Logística Internacionales</v>
      </c>
    </row>
    <row r="1148" spans="1:3">
      <c r="A1148">
        <v>23</v>
      </c>
      <c r="B1148">
        <v>2</v>
      </c>
      <c r="C1148" t="str">
        <f>VLOOKUP(A1148,'Programas y Unidades'!$A:$B,2,0)</f>
        <v>Administración de Negocios Internacionales</v>
      </c>
    </row>
    <row r="1149" spans="1:3">
      <c r="A1149">
        <v>22</v>
      </c>
      <c r="B1149">
        <v>8</v>
      </c>
      <c r="C1149" t="str">
        <f>VLOOKUP(A1149,'Programas y Unidades'!$A:$B,2,0)</f>
        <v>Administración de Mercadeo y Logística Internacionales</v>
      </c>
    </row>
    <row r="1150" spans="1:3">
      <c r="A1150">
        <v>22</v>
      </c>
      <c r="B1150">
        <v>8</v>
      </c>
      <c r="C1150" t="str">
        <f>VLOOKUP(A1150,'Programas y Unidades'!$A:$B,2,0)</f>
        <v>Administración de Mercadeo y Logística Internacionales</v>
      </c>
    </row>
    <row r="1151" spans="1:3">
      <c r="A1151">
        <v>23</v>
      </c>
      <c r="B1151">
        <v>4</v>
      </c>
      <c r="C1151" t="str">
        <f>VLOOKUP(A1151,'Programas y Unidades'!$A:$B,2,0)</f>
        <v>Administración de Negocios Internacionales</v>
      </c>
    </row>
    <row r="1152" spans="1:3">
      <c r="A1152">
        <v>23</v>
      </c>
      <c r="B1152">
        <v>3</v>
      </c>
      <c r="C1152" t="str">
        <f>VLOOKUP(A1152,'Programas y Unidades'!$A:$B,2,0)</f>
        <v>Administración de Negocios Internacionales</v>
      </c>
    </row>
    <row r="1153" spans="1:3">
      <c r="A1153">
        <v>20</v>
      </c>
      <c r="B1153">
        <v>6</v>
      </c>
      <c r="C1153" t="str">
        <f>VLOOKUP(A1153,'Programas y Unidades'!$A:$B,2,0)</f>
        <v>Administración &amp; Servicio</v>
      </c>
    </row>
    <row r="1154" spans="1:3">
      <c r="A1154">
        <v>23</v>
      </c>
      <c r="B1154">
        <v>4</v>
      </c>
      <c r="C1154" t="str">
        <f>VLOOKUP(A1154,'Programas y Unidades'!$A:$B,2,0)</f>
        <v>Administración de Negocios Internacionales</v>
      </c>
    </row>
    <row r="1155" spans="1:3">
      <c r="A1155">
        <v>22</v>
      </c>
      <c r="B1155">
        <v>7</v>
      </c>
      <c r="C1155" t="str">
        <f>VLOOKUP(A1155,'Programas y Unidades'!$A:$B,2,0)</f>
        <v>Administración de Mercadeo y Logística Internacionales</v>
      </c>
    </row>
    <row r="1156" spans="1:3">
      <c r="A1156">
        <v>22</v>
      </c>
      <c r="B1156">
        <v>8</v>
      </c>
      <c r="C1156" t="str">
        <f>VLOOKUP(A1156,'Programas y Unidades'!$A:$B,2,0)</f>
        <v>Administración de Mercadeo y Logística Internacionales</v>
      </c>
    </row>
    <row r="1157" spans="1:3">
      <c r="A1157">
        <v>22</v>
      </c>
      <c r="B1157">
        <v>8</v>
      </c>
      <c r="C1157" t="str">
        <f>VLOOKUP(A1157,'Programas y Unidades'!$A:$B,2,0)</f>
        <v>Administración de Mercadeo y Logística Internacionales</v>
      </c>
    </row>
    <row r="1158" spans="1:3">
      <c r="A1158">
        <v>27</v>
      </c>
      <c r="B1158">
        <v>5</v>
      </c>
      <c r="C1158" t="str">
        <f>VLOOKUP(A1158,'Programas y Unidades'!$A:$B,2,0)</f>
        <v>Comunicación Audiovisual y Multimedios</v>
      </c>
    </row>
    <row r="1159" spans="1:3">
      <c r="A1159">
        <v>23</v>
      </c>
      <c r="B1159">
        <v>4</v>
      </c>
      <c r="C1159" t="str">
        <f>VLOOKUP(A1159,'Programas y Unidades'!$A:$B,2,0)</f>
        <v>Administración de Negocios Internacionales</v>
      </c>
    </row>
    <row r="1160" spans="1:3">
      <c r="A1160">
        <v>23</v>
      </c>
      <c r="B1160">
        <v>4</v>
      </c>
      <c r="C1160" t="str">
        <f>VLOOKUP(A1160,'Programas y Unidades'!$A:$B,2,0)</f>
        <v>Administración de Negocios Internacionales</v>
      </c>
    </row>
    <row r="1161" spans="1:3">
      <c r="A1161">
        <v>43</v>
      </c>
      <c r="B1161">
        <v>5</v>
      </c>
      <c r="C1161" t="str">
        <f>VLOOKUP(A1161,'Programas y Unidades'!$A:$B,2,0)</f>
        <v>Psicología</v>
      </c>
    </row>
    <row r="1162" spans="1:3">
      <c r="A1162">
        <v>43</v>
      </c>
      <c r="B1162">
        <v>8</v>
      </c>
      <c r="C1162" t="str">
        <f>VLOOKUP(A1162,'Programas y Unidades'!$A:$B,2,0)</f>
        <v>Psicología</v>
      </c>
    </row>
    <row r="1163" spans="1:3">
      <c r="A1163">
        <v>43</v>
      </c>
      <c r="B1163">
        <v>5</v>
      </c>
      <c r="C1163" t="str">
        <f>VLOOKUP(A1163,'Programas y Unidades'!$A:$B,2,0)</f>
        <v>Psicología</v>
      </c>
    </row>
    <row r="1164" spans="1:3">
      <c r="A1164">
        <v>43</v>
      </c>
      <c r="B1164">
        <v>4</v>
      </c>
      <c r="C1164" t="str">
        <f>VLOOKUP(A1164,'Programas y Unidades'!$A:$B,2,0)</f>
        <v>Psicología</v>
      </c>
    </row>
    <row r="1165" spans="1:3">
      <c r="A1165">
        <v>43</v>
      </c>
      <c r="B1165">
        <v>4</v>
      </c>
      <c r="C1165" t="str">
        <f>VLOOKUP(A1165,'Programas y Unidades'!$A:$B,2,0)</f>
        <v>Psicología</v>
      </c>
    </row>
    <row r="1166" spans="1:3">
      <c r="A1166">
        <v>43</v>
      </c>
      <c r="B1166">
        <v>5</v>
      </c>
      <c r="C1166" t="str">
        <f>VLOOKUP(A1166,'Programas y Unidades'!$A:$B,2,0)</f>
        <v>Psicología</v>
      </c>
    </row>
    <row r="1167" spans="1:3">
      <c r="A1167">
        <v>43</v>
      </c>
      <c r="B1167">
        <v>6</v>
      </c>
      <c r="C1167" t="str">
        <f>VLOOKUP(A1167,'Programas y Unidades'!$A:$B,2,0)</f>
        <v>Psicología</v>
      </c>
    </row>
    <row r="1168" spans="1:3">
      <c r="A1168">
        <v>43</v>
      </c>
      <c r="B1168">
        <v>5</v>
      </c>
      <c r="C1168" t="str">
        <f>VLOOKUP(A1168,'Programas y Unidades'!$A:$B,2,0)</f>
        <v>Psicología</v>
      </c>
    </row>
    <row r="1169" spans="1:3">
      <c r="A1169">
        <v>43</v>
      </c>
      <c r="B1169">
        <v>6</v>
      </c>
      <c r="C1169" t="str">
        <f>VLOOKUP(A1169,'Programas y Unidades'!$A:$B,2,0)</f>
        <v>Psicología</v>
      </c>
    </row>
    <row r="1170" spans="1:3">
      <c r="A1170">
        <v>43</v>
      </c>
      <c r="B1170">
        <v>4</v>
      </c>
      <c r="C1170" t="str">
        <f>VLOOKUP(A1170,'Programas y Unidades'!$A:$B,2,0)</f>
        <v>Psicología</v>
      </c>
    </row>
    <row r="1171" spans="1:3">
      <c r="A1171">
        <v>43</v>
      </c>
      <c r="B1171">
        <v>7</v>
      </c>
      <c r="C1171" t="str">
        <f>VLOOKUP(A1171,'Programas y Unidades'!$A:$B,2,0)</f>
        <v>Psicología</v>
      </c>
    </row>
    <row r="1172" spans="1:3">
      <c r="A1172">
        <v>43</v>
      </c>
      <c r="B1172">
        <v>4</v>
      </c>
      <c r="C1172" t="str">
        <f>VLOOKUP(A1172,'Programas y Unidades'!$A:$B,2,0)</f>
        <v>Psicología</v>
      </c>
    </row>
    <row r="1173" spans="1:3">
      <c r="A1173">
        <v>43</v>
      </c>
      <c r="B1173">
        <v>6</v>
      </c>
      <c r="C1173" t="str">
        <f>VLOOKUP(A1173,'Programas y Unidades'!$A:$B,2,0)</f>
        <v>Psicología</v>
      </c>
    </row>
    <row r="1174" spans="1:3">
      <c r="A1174">
        <v>43</v>
      </c>
      <c r="B1174">
        <v>5</v>
      </c>
      <c r="C1174" t="str">
        <f>VLOOKUP(A1174,'Programas y Unidades'!$A:$B,2,0)</f>
        <v>Psicología</v>
      </c>
    </row>
    <row r="1175" spans="1:3">
      <c r="A1175">
        <v>43</v>
      </c>
      <c r="B1175">
        <v>3</v>
      </c>
      <c r="C1175" t="str">
        <f>VLOOKUP(A1175,'Programas y Unidades'!$A:$B,2,0)</f>
        <v>Psicología</v>
      </c>
    </row>
    <row r="1176" spans="1:3">
      <c r="A1176">
        <v>43</v>
      </c>
      <c r="B1176">
        <v>6</v>
      </c>
      <c r="C1176" t="str">
        <f>VLOOKUP(A1176,'Programas y Unidades'!$A:$B,2,0)</f>
        <v>Psicología</v>
      </c>
    </row>
    <row r="1177" spans="1:3">
      <c r="A1177">
        <v>43</v>
      </c>
      <c r="B1177">
        <v>6</v>
      </c>
      <c r="C1177" t="str">
        <f>VLOOKUP(A1177,'Programas y Unidades'!$A:$B,2,0)</f>
        <v>Psicología</v>
      </c>
    </row>
    <row r="1178" spans="1:3">
      <c r="A1178">
        <v>43</v>
      </c>
      <c r="B1178">
        <v>6</v>
      </c>
      <c r="C1178" t="str">
        <f>VLOOKUP(A1178,'Programas y Unidades'!$A:$B,2,0)</f>
        <v>Psicología</v>
      </c>
    </row>
    <row r="1179" spans="1:3">
      <c r="A1179">
        <v>43</v>
      </c>
      <c r="B1179">
        <v>6</v>
      </c>
      <c r="C1179" t="str">
        <f>VLOOKUP(A1179,'Programas y Unidades'!$A:$B,2,0)</f>
        <v>Psicología</v>
      </c>
    </row>
    <row r="1180" spans="1:3">
      <c r="A1180">
        <v>43</v>
      </c>
      <c r="B1180">
        <v>6</v>
      </c>
      <c r="C1180" t="str">
        <f>VLOOKUP(A1180,'Programas y Unidades'!$A:$B,2,0)</f>
        <v>Psicología</v>
      </c>
    </row>
    <row r="1181" spans="1:3">
      <c r="A1181">
        <v>41</v>
      </c>
      <c r="B1181">
        <v>4</v>
      </c>
      <c r="C1181" t="str">
        <f>VLOOKUP(A1181,'Programas y Unidades'!$A:$B,2,0)</f>
        <v>Ingeniería Química</v>
      </c>
    </row>
    <row r="1182" spans="1:3">
      <c r="A1182">
        <v>41</v>
      </c>
      <c r="B1182">
        <v>5</v>
      </c>
      <c r="C1182" t="str">
        <f>VLOOKUP(A1182,'Programas y Unidades'!$A:$B,2,0)</f>
        <v>Ingeniería Química</v>
      </c>
    </row>
    <row r="1183" spans="1:3">
      <c r="A1183">
        <v>41</v>
      </c>
      <c r="B1183">
        <v>5</v>
      </c>
      <c r="C1183" t="str">
        <f>VLOOKUP(A1183,'Programas y Unidades'!$A:$B,2,0)</f>
        <v>Ingeniería Química</v>
      </c>
    </row>
    <row r="1184" spans="1:3">
      <c r="A1184">
        <v>41</v>
      </c>
      <c r="B1184">
        <v>5</v>
      </c>
      <c r="C1184" t="str">
        <f>VLOOKUP(A1184,'Programas y Unidades'!$A:$B,2,0)</f>
        <v>Ingeniería Química</v>
      </c>
    </row>
    <row r="1185" spans="1:3">
      <c r="A1185">
        <v>41</v>
      </c>
      <c r="B1185">
        <v>4</v>
      </c>
      <c r="C1185" t="str">
        <f>VLOOKUP(A1185,'Programas y Unidades'!$A:$B,2,0)</f>
        <v>Ingeniería Química</v>
      </c>
    </row>
    <row r="1186" spans="1:3">
      <c r="A1186">
        <v>41</v>
      </c>
      <c r="B1186">
        <v>5</v>
      </c>
      <c r="C1186" t="str">
        <f>VLOOKUP(A1186,'Programas y Unidades'!$A:$B,2,0)</f>
        <v>Ingeniería Química</v>
      </c>
    </row>
    <row r="1187" spans="1:3">
      <c r="A1187">
        <v>41</v>
      </c>
      <c r="B1187">
        <v>6</v>
      </c>
      <c r="C1187" t="str">
        <f>VLOOKUP(A1187,'Programas y Unidades'!$A:$B,2,0)</f>
        <v>Ingeniería Química</v>
      </c>
    </row>
    <row r="1188" spans="1:3">
      <c r="A1188">
        <v>41</v>
      </c>
      <c r="B1188">
        <v>5</v>
      </c>
      <c r="C1188" t="str">
        <f>VLOOKUP(A1188,'Programas y Unidades'!$A:$B,2,0)</f>
        <v>Ingeniería Química</v>
      </c>
    </row>
    <row r="1189" spans="1:3">
      <c r="A1189">
        <v>41</v>
      </c>
      <c r="B1189">
        <v>5</v>
      </c>
      <c r="C1189" t="str">
        <f>VLOOKUP(A1189,'Programas y Unidades'!$A:$B,2,0)</f>
        <v>Ingeniería Química</v>
      </c>
    </row>
    <row r="1190" spans="1:3">
      <c r="A1190">
        <v>41</v>
      </c>
      <c r="B1190">
        <v>5</v>
      </c>
      <c r="C1190" t="str">
        <f>VLOOKUP(A1190,'Programas y Unidades'!$A:$B,2,0)</f>
        <v>Ingeniería Química</v>
      </c>
    </row>
    <row r="1191" spans="1:3">
      <c r="A1191">
        <v>41</v>
      </c>
      <c r="B1191">
        <v>7</v>
      </c>
      <c r="C1191" t="str">
        <f>VLOOKUP(A1191,'Programas y Unidades'!$A:$B,2,0)</f>
        <v>Ingeniería Química</v>
      </c>
    </row>
    <row r="1192" spans="1:3">
      <c r="A1192">
        <v>41</v>
      </c>
      <c r="B1192">
        <v>5</v>
      </c>
      <c r="C1192" t="str">
        <f>VLOOKUP(A1192,'Programas y Unidades'!$A:$B,2,0)</f>
        <v>Ingeniería Química</v>
      </c>
    </row>
    <row r="1193" spans="1:3">
      <c r="A1193">
        <v>41</v>
      </c>
      <c r="B1193">
        <v>5</v>
      </c>
      <c r="C1193" t="str">
        <f>VLOOKUP(A1193,'Programas y Unidades'!$A:$B,2,0)</f>
        <v>Ingeniería Química</v>
      </c>
    </row>
    <row r="1194" spans="1:3">
      <c r="A1194">
        <v>41</v>
      </c>
      <c r="B1194">
        <v>5</v>
      </c>
      <c r="C1194" t="str">
        <f>VLOOKUP(A1194,'Programas y Unidades'!$A:$B,2,0)</f>
        <v>Ingeniería Química</v>
      </c>
    </row>
    <row r="1195" spans="1:3">
      <c r="A1195">
        <v>41</v>
      </c>
      <c r="B1195">
        <v>5</v>
      </c>
      <c r="C1195" t="str">
        <f>VLOOKUP(A1195,'Programas y Unidades'!$A:$B,2,0)</f>
        <v>Ingeniería Química</v>
      </c>
    </row>
    <row r="1196" spans="1:3">
      <c r="A1196">
        <v>33</v>
      </c>
      <c r="B1196">
        <v>3</v>
      </c>
      <c r="C1196" t="str">
        <f>VLOOKUP(A1196,'Programas y Unidades'!$A:$B,2,0)</f>
        <v>Enfermería</v>
      </c>
    </row>
    <row r="1197" spans="1:3">
      <c r="A1197">
        <v>33</v>
      </c>
      <c r="B1197">
        <v>3</v>
      </c>
      <c r="C1197" t="str">
        <f>VLOOKUP(A1197,'Programas y Unidades'!$A:$B,2,0)</f>
        <v>Enfermería</v>
      </c>
    </row>
    <row r="1198" spans="1:3">
      <c r="A1198">
        <v>33</v>
      </c>
      <c r="B1198">
        <v>3</v>
      </c>
      <c r="C1198" t="str">
        <f>VLOOKUP(A1198,'Programas y Unidades'!$A:$B,2,0)</f>
        <v>Enfermería</v>
      </c>
    </row>
    <row r="1199" spans="1:3">
      <c r="A1199">
        <v>33</v>
      </c>
      <c r="B1199">
        <v>4</v>
      </c>
      <c r="C1199" t="str">
        <f>VLOOKUP(A1199,'Programas y Unidades'!$A:$B,2,0)</f>
        <v>Enfermería</v>
      </c>
    </row>
    <row r="1200" spans="1:3">
      <c r="A1200">
        <v>33</v>
      </c>
      <c r="B1200">
        <v>3</v>
      </c>
      <c r="C1200" t="str">
        <f>VLOOKUP(A1200,'Programas y Unidades'!$A:$B,2,0)</f>
        <v>Enfermería</v>
      </c>
    </row>
    <row r="1201" spans="1:3">
      <c r="A1201">
        <v>33</v>
      </c>
      <c r="B1201">
        <v>3</v>
      </c>
      <c r="C1201" t="str">
        <f>VLOOKUP(A1201,'Programas y Unidades'!$A:$B,2,0)</f>
        <v>Enfermería</v>
      </c>
    </row>
    <row r="1202" spans="1:3">
      <c r="A1202">
        <v>33</v>
      </c>
      <c r="B1202">
        <v>3</v>
      </c>
      <c r="C1202" t="str">
        <f>VLOOKUP(A1202,'Programas y Unidades'!$A:$B,2,0)</f>
        <v>Enfermería</v>
      </c>
    </row>
    <row r="1203" spans="1:3">
      <c r="A1203">
        <v>33</v>
      </c>
      <c r="B1203">
        <v>3</v>
      </c>
      <c r="C1203" t="str">
        <f>VLOOKUP(A1203,'Programas y Unidades'!$A:$B,2,0)</f>
        <v>Enfermería</v>
      </c>
    </row>
    <row r="1204" spans="1:3">
      <c r="A1204">
        <v>23</v>
      </c>
      <c r="B1204">
        <v>8</v>
      </c>
      <c r="C1204" t="str">
        <f>VLOOKUP(A1204,'Programas y Unidades'!$A:$B,2,0)</f>
        <v>Administración de Negocios Internacionales</v>
      </c>
    </row>
    <row r="1205" spans="1:3">
      <c r="A1205">
        <v>23</v>
      </c>
      <c r="B1205">
        <v>8</v>
      </c>
      <c r="C1205" t="str">
        <f>VLOOKUP(A1205,'Programas y Unidades'!$A:$B,2,0)</f>
        <v>Administración de Negocios Internacionales</v>
      </c>
    </row>
    <row r="1206" spans="1:3">
      <c r="A1206">
        <v>23</v>
      </c>
      <c r="B1206">
        <v>8</v>
      </c>
      <c r="C1206" t="str">
        <f>VLOOKUP(A1206,'Programas y Unidades'!$A:$B,2,0)</f>
        <v>Administración de Negocios Internacionales</v>
      </c>
    </row>
    <row r="1207" spans="1:3">
      <c r="A1207">
        <v>33</v>
      </c>
      <c r="B1207">
        <v>3</v>
      </c>
      <c r="C1207" t="str">
        <f>VLOOKUP(A1207,'Programas y Unidades'!$A:$B,2,0)</f>
        <v>Enfermería</v>
      </c>
    </row>
    <row r="1208" spans="1:3">
      <c r="A1208">
        <v>33</v>
      </c>
      <c r="B1208">
        <v>3</v>
      </c>
      <c r="C1208" t="str">
        <f>VLOOKUP(A1208,'Programas y Unidades'!$A:$B,2,0)</f>
        <v>Enfermería</v>
      </c>
    </row>
    <row r="1209" spans="1:3">
      <c r="A1209">
        <v>33</v>
      </c>
      <c r="B1209">
        <v>3</v>
      </c>
      <c r="C1209" t="str">
        <f>VLOOKUP(A1209,'Programas y Unidades'!$A:$B,2,0)</f>
        <v>Enfermería</v>
      </c>
    </row>
    <row r="1210" spans="1:3">
      <c r="A1210">
        <v>33</v>
      </c>
      <c r="B1210">
        <v>3</v>
      </c>
      <c r="C1210" t="str">
        <f>VLOOKUP(A1210,'Programas y Unidades'!$A:$B,2,0)</f>
        <v>Enfermería</v>
      </c>
    </row>
    <row r="1211" spans="1:3">
      <c r="A1211">
        <v>33</v>
      </c>
      <c r="B1211">
        <v>3</v>
      </c>
      <c r="C1211" t="str">
        <f>VLOOKUP(A1211,'Programas y Unidades'!$A:$B,2,0)</f>
        <v>Enfermería</v>
      </c>
    </row>
    <row r="1212" spans="1:3">
      <c r="A1212">
        <v>33</v>
      </c>
      <c r="B1212">
        <v>3</v>
      </c>
      <c r="C1212" t="str">
        <f>VLOOKUP(A1212,'Programas y Unidades'!$A:$B,2,0)</f>
        <v>Enfermería</v>
      </c>
    </row>
    <row r="1213" spans="1:3">
      <c r="A1213">
        <v>23</v>
      </c>
      <c r="B1213">
        <v>8</v>
      </c>
      <c r="C1213" t="str">
        <f>VLOOKUP(A1213,'Programas y Unidades'!$A:$B,2,0)</f>
        <v>Administración de Negocios Internacionales</v>
      </c>
    </row>
    <row r="1214" spans="1:3">
      <c r="A1214">
        <v>33</v>
      </c>
      <c r="B1214">
        <v>3</v>
      </c>
      <c r="C1214" t="str">
        <f>VLOOKUP(A1214,'Programas y Unidades'!$A:$B,2,0)</f>
        <v>Enfermería</v>
      </c>
    </row>
    <row r="1215" spans="1:3">
      <c r="A1215">
        <v>33</v>
      </c>
      <c r="B1215">
        <v>3</v>
      </c>
      <c r="C1215" t="str">
        <f>VLOOKUP(A1215,'Programas y Unidades'!$A:$B,2,0)</f>
        <v>Enfermería</v>
      </c>
    </row>
    <row r="1216" spans="1:3">
      <c r="A1216">
        <v>33</v>
      </c>
      <c r="B1216">
        <v>3</v>
      </c>
      <c r="C1216" t="str">
        <f>VLOOKUP(A1216,'Programas y Unidades'!$A:$B,2,0)</f>
        <v>Enfermería</v>
      </c>
    </row>
    <row r="1217" spans="1:3">
      <c r="A1217">
        <v>23</v>
      </c>
      <c r="B1217">
        <v>8</v>
      </c>
      <c r="C1217" t="str">
        <f>VLOOKUP(A1217,'Programas y Unidades'!$A:$B,2,0)</f>
        <v>Administración de Negocios Internacionales</v>
      </c>
    </row>
    <row r="1218" spans="1:3">
      <c r="A1218">
        <v>23</v>
      </c>
      <c r="B1218">
        <v>8</v>
      </c>
      <c r="C1218" t="str">
        <f>VLOOKUP(A1218,'Programas y Unidades'!$A:$B,2,0)</f>
        <v>Administración de Negocios Internacionales</v>
      </c>
    </row>
    <row r="1219" spans="1:3">
      <c r="A1219">
        <v>23</v>
      </c>
      <c r="B1219">
        <v>8</v>
      </c>
      <c r="C1219" t="str">
        <f>VLOOKUP(A1219,'Programas y Unidades'!$A:$B,2,0)</f>
        <v>Administración de Negocios Internacionales</v>
      </c>
    </row>
    <row r="1220" spans="1:3">
      <c r="A1220">
        <v>23</v>
      </c>
      <c r="B1220">
        <v>8</v>
      </c>
      <c r="C1220" t="str">
        <f>VLOOKUP(A1220,'Programas y Unidades'!$A:$B,2,0)</f>
        <v>Administración de Negocios Internacionales</v>
      </c>
    </row>
    <row r="1221" spans="1:3">
      <c r="A1221">
        <v>33</v>
      </c>
      <c r="B1221">
        <v>3</v>
      </c>
      <c r="C1221" t="str">
        <f>VLOOKUP(A1221,'Programas y Unidades'!$A:$B,2,0)</f>
        <v>Enfermería</v>
      </c>
    </row>
    <row r="1222" spans="1:3">
      <c r="A1222">
        <v>33</v>
      </c>
      <c r="B1222">
        <v>3</v>
      </c>
      <c r="C1222" t="str">
        <f>VLOOKUP(A1222,'Programas y Unidades'!$A:$B,2,0)</f>
        <v>Enfermería</v>
      </c>
    </row>
    <row r="1223" spans="1:3">
      <c r="A1223">
        <v>23</v>
      </c>
      <c r="B1223">
        <v>8</v>
      </c>
      <c r="C1223" t="str">
        <f>VLOOKUP(A1223,'Programas y Unidades'!$A:$B,2,0)</f>
        <v>Administración de Negocios Internacionales</v>
      </c>
    </row>
    <row r="1224" spans="1:3">
      <c r="A1224">
        <v>23</v>
      </c>
      <c r="B1224">
        <v>8</v>
      </c>
      <c r="C1224" t="str">
        <f>VLOOKUP(A1224,'Programas y Unidades'!$A:$B,2,0)</f>
        <v>Administración de Negocios Internacionales</v>
      </c>
    </row>
    <row r="1225" spans="1:3">
      <c r="A1225">
        <v>27</v>
      </c>
      <c r="B1225">
        <v>2</v>
      </c>
      <c r="C1225" t="str">
        <f>VLOOKUP(A1225,'Programas y Unidades'!$A:$B,2,0)</f>
        <v>Comunicación Audiovisual y Multimedios</v>
      </c>
    </row>
    <row r="1226" spans="1:3">
      <c r="A1226">
        <v>38</v>
      </c>
      <c r="B1226">
        <v>7</v>
      </c>
      <c r="C1226" t="str">
        <f>VLOOKUP(A1226,'Programas y Unidades'!$A:$B,2,0)</f>
        <v>Ingeniería Industrial</v>
      </c>
    </row>
    <row r="1227" spans="1:3">
      <c r="A1227">
        <v>39</v>
      </c>
      <c r="B1227">
        <v>7</v>
      </c>
      <c r="C1227" t="str">
        <f>VLOOKUP(A1227,'Programas y Unidades'!$A:$B,2,0)</f>
        <v>Ingeniería Informática</v>
      </c>
    </row>
    <row r="1228" spans="1:3">
      <c r="A1228">
        <v>39</v>
      </c>
      <c r="B1228">
        <v>8</v>
      </c>
      <c r="C1228" t="str">
        <f>VLOOKUP(A1228,'Programas y Unidades'!$A:$B,2,0)</f>
        <v>Ingeniería Informática</v>
      </c>
    </row>
    <row r="1229" spans="1:3">
      <c r="A1229">
        <v>39</v>
      </c>
      <c r="B1229">
        <v>8</v>
      </c>
      <c r="C1229" t="str">
        <f>VLOOKUP(A1229,'Programas y Unidades'!$A:$B,2,0)</f>
        <v>Ingeniería Informática</v>
      </c>
    </row>
    <row r="1230" spans="1:3">
      <c r="A1230">
        <v>39</v>
      </c>
      <c r="B1230">
        <v>7</v>
      </c>
      <c r="C1230" t="str">
        <f>VLOOKUP(A1230,'Programas y Unidades'!$A:$B,2,0)</f>
        <v>Ingeniería Informática</v>
      </c>
    </row>
    <row r="1231" spans="1:3">
      <c r="A1231">
        <v>39</v>
      </c>
      <c r="B1231">
        <v>8</v>
      </c>
      <c r="C1231" t="str">
        <f>VLOOKUP(A1231,'Programas y Unidades'!$A:$B,2,0)</f>
        <v>Ingeniería Informática</v>
      </c>
    </row>
    <row r="1232" spans="1:3">
      <c r="A1232">
        <v>39</v>
      </c>
      <c r="B1232">
        <v>8</v>
      </c>
      <c r="C1232" t="str">
        <f>VLOOKUP(A1232,'Programas y Unidades'!$A:$B,2,0)</f>
        <v>Ingeniería Informática</v>
      </c>
    </row>
    <row r="1233" spans="1:3">
      <c r="A1233">
        <v>39</v>
      </c>
      <c r="B1233">
        <v>7</v>
      </c>
      <c r="C1233" t="str">
        <f>VLOOKUP(A1233,'Programas y Unidades'!$A:$B,2,0)</f>
        <v>Ingeniería Informática</v>
      </c>
    </row>
    <row r="1234" spans="1:3">
      <c r="A1234">
        <v>33</v>
      </c>
      <c r="B1234">
        <v>2</v>
      </c>
      <c r="C1234" t="str">
        <f>VLOOKUP(A1234,'Programas y Unidades'!$A:$B,2,0)</f>
        <v>Enfermería</v>
      </c>
    </row>
    <row r="1235" spans="1:3">
      <c r="A1235">
        <v>33</v>
      </c>
      <c r="B1235">
        <v>2</v>
      </c>
      <c r="C1235" t="str">
        <f>VLOOKUP(A1235,'Programas y Unidades'!$A:$B,2,0)</f>
        <v>Enfermería</v>
      </c>
    </row>
    <row r="1236" spans="1:3">
      <c r="A1236">
        <v>33</v>
      </c>
      <c r="B1236">
        <v>2</v>
      </c>
      <c r="C1236" t="str">
        <f>VLOOKUP(A1236,'Programas y Unidades'!$A:$B,2,0)</f>
        <v>Enfermería</v>
      </c>
    </row>
    <row r="1237" spans="1:3">
      <c r="A1237">
        <v>33</v>
      </c>
      <c r="B1237">
        <v>2</v>
      </c>
      <c r="C1237" t="str">
        <f>VLOOKUP(A1237,'Programas y Unidades'!$A:$B,2,0)</f>
        <v>Enfermería</v>
      </c>
    </row>
    <row r="1238" spans="1:3">
      <c r="A1238">
        <v>33</v>
      </c>
      <c r="B1238">
        <v>2</v>
      </c>
      <c r="C1238" t="str">
        <f>VLOOKUP(A1238,'Programas y Unidades'!$A:$B,2,0)</f>
        <v>Enfermería</v>
      </c>
    </row>
    <row r="1239" spans="1:3">
      <c r="A1239">
        <v>33</v>
      </c>
      <c r="B1239">
        <v>2</v>
      </c>
      <c r="C1239" t="str">
        <f>VLOOKUP(A1239,'Programas y Unidades'!$A:$B,2,0)</f>
        <v>Enfermería</v>
      </c>
    </row>
    <row r="1240" spans="1:3">
      <c r="A1240">
        <v>33</v>
      </c>
      <c r="B1240">
        <v>2</v>
      </c>
      <c r="C1240" t="str">
        <f>VLOOKUP(A1240,'Programas y Unidades'!$A:$B,2,0)</f>
        <v>Enfermería</v>
      </c>
    </row>
    <row r="1241" spans="1:3">
      <c r="A1241">
        <v>33</v>
      </c>
      <c r="B1241">
        <v>2</v>
      </c>
      <c r="C1241" t="str">
        <f>VLOOKUP(A1241,'Programas y Unidades'!$A:$B,2,0)</f>
        <v>Enfermería</v>
      </c>
    </row>
    <row r="1242" spans="1:3">
      <c r="A1242">
        <v>33</v>
      </c>
      <c r="B1242">
        <v>2</v>
      </c>
      <c r="C1242" t="str">
        <f>VLOOKUP(A1242,'Programas y Unidades'!$A:$B,2,0)</f>
        <v>Enfermería</v>
      </c>
    </row>
    <row r="1243" spans="1:3">
      <c r="A1243">
        <v>33</v>
      </c>
      <c r="B1243">
        <v>2</v>
      </c>
      <c r="C1243" t="str">
        <f>VLOOKUP(A1243,'Programas y Unidades'!$A:$B,2,0)</f>
        <v>Enfermería</v>
      </c>
    </row>
    <row r="1244" spans="1:3">
      <c r="A1244">
        <v>33</v>
      </c>
      <c r="B1244">
        <v>2</v>
      </c>
      <c r="C1244" t="str">
        <f>VLOOKUP(A1244,'Programas y Unidades'!$A:$B,2,0)</f>
        <v>Enfermería</v>
      </c>
    </row>
    <row r="1245" spans="1:3">
      <c r="A1245">
        <v>33</v>
      </c>
      <c r="B1245">
        <v>2</v>
      </c>
      <c r="C1245" t="str">
        <f>VLOOKUP(A1245,'Programas y Unidades'!$A:$B,2,0)</f>
        <v>Enfermería</v>
      </c>
    </row>
    <row r="1246" spans="1:3">
      <c r="A1246">
        <v>33</v>
      </c>
      <c r="B1246">
        <v>2</v>
      </c>
      <c r="C1246" t="str">
        <f>VLOOKUP(A1246,'Programas y Unidades'!$A:$B,2,0)</f>
        <v>Enfermería</v>
      </c>
    </row>
    <row r="1247" spans="1:3">
      <c r="A1247">
        <v>33</v>
      </c>
      <c r="B1247">
        <v>2</v>
      </c>
      <c r="C1247" t="str">
        <f>VLOOKUP(A1247,'Programas y Unidades'!$A:$B,2,0)</f>
        <v>Enfermería</v>
      </c>
    </row>
    <row r="1248" spans="1:3">
      <c r="A1248">
        <v>33</v>
      </c>
      <c r="B1248">
        <v>2</v>
      </c>
      <c r="C1248" t="str">
        <f>VLOOKUP(A1248,'Programas y Unidades'!$A:$B,2,0)</f>
        <v>Enfermería</v>
      </c>
    </row>
    <row r="1249" spans="1:3">
      <c r="A1249">
        <v>33</v>
      </c>
      <c r="B1249">
        <v>2</v>
      </c>
      <c r="C1249" t="str">
        <f>VLOOKUP(A1249,'Programas y Unidades'!$A:$B,2,0)</f>
        <v>Enfermería</v>
      </c>
    </row>
    <row r="1250" spans="1:3">
      <c r="A1250">
        <v>33</v>
      </c>
      <c r="B1250">
        <v>3</v>
      </c>
      <c r="C1250" t="str">
        <f>VLOOKUP(A1250,'Programas y Unidades'!$A:$B,2,0)</f>
        <v>Enfermería</v>
      </c>
    </row>
    <row r="1251" spans="1:3">
      <c r="A1251">
        <v>33</v>
      </c>
      <c r="B1251">
        <v>2</v>
      </c>
      <c r="C1251" t="str">
        <f>VLOOKUP(A1251,'Programas y Unidades'!$A:$B,2,0)</f>
        <v>Enfermería</v>
      </c>
    </row>
    <row r="1252" spans="1:3">
      <c r="A1252">
        <v>33</v>
      </c>
      <c r="B1252">
        <v>2</v>
      </c>
      <c r="C1252" t="str">
        <f>VLOOKUP(A1252,'Programas y Unidades'!$A:$B,2,0)</f>
        <v>Enfermería</v>
      </c>
    </row>
    <row r="1253" spans="1:3">
      <c r="A1253">
        <v>33</v>
      </c>
      <c r="B1253">
        <v>2</v>
      </c>
      <c r="C1253" t="str">
        <f>VLOOKUP(A1253,'Programas y Unidades'!$A:$B,2,0)</f>
        <v>Enfermería</v>
      </c>
    </row>
    <row r="1254" spans="1:3">
      <c r="A1254">
        <v>33</v>
      </c>
      <c r="B1254">
        <v>2</v>
      </c>
      <c r="C1254" t="str">
        <f>VLOOKUP(A1254,'Programas y Unidades'!$A:$B,2,0)</f>
        <v>Enfermería</v>
      </c>
    </row>
    <row r="1255" spans="1:3">
      <c r="A1255">
        <v>33</v>
      </c>
      <c r="B1255">
        <v>2</v>
      </c>
      <c r="C1255" t="str">
        <f>VLOOKUP(A1255,'Programas y Unidades'!$A:$B,2,0)</f>
        <v>Enfermería</v>
      </c>
    </row>
    <row r="1256" spans="1:3">
      <c r="A1256">
        <v>33</v>
      </c>
      <c r="B1256">
        <v>2</v>
      </c>
      <c r="C1256" t="str">
        <f>VLOOKUP(A1256,'Programas y Unidades'!$A:$B,2,0)</f>
        <v>Enfermería</v>
      </c>
    </row>
    <row r="1257" spans="1:3">
      <c r="A1257">
        <v>33</v>
      </c>
      <c r="B1257">
        <v>2</v>
      </c>
      <c r="C1257" t="str">
        <f>VLOOKUP(A1257,'Programas y Unidades'!$A:$B,2,0)</f>
        <v>Enfermería</v>
      </c>
    </row>
    <row r="1258" spans="1:3">
      <c r="A1258">
        <v>33</v>
      </c>
      <c r="B1258">
        <v>2</v>
      </c>
      <c r="C1258" t="str">
        <f>VLOOKUP(A1258,'Programas y Unidades'!$A:$B,2,0)</f>
        <v>Enfermería</v>
      </c>
    </row>
    <row r="1259" spans="1:3">
      <c r="A1259">
        <v>33</v>
      </c>
      <c r="B1259">
        <v>2</v>
      </c>
      <c r="C1259" t="str">
        <f>VLOOKUP(A1259,'Programas y Unidades'!$A:$B,2,0)</f>
        <v>Enfermería</v>
      </c>
    </row>
    <row r="1260" spans="1:3">
      <c r="A1260">
        <v>33</v>
      </c>
      <c r="B1260">
        <v>2</v>
      </c>
      <c r="C1260" t="str">
        <f>VLOOKUP(A1260,'Programas y Unidades'!$A:$B,2,0)</f>
        <v>Enfermería</v>
      </c>
    </row>
    <row r="1261" spans="1:3">
      <c r="A1261">
        <v>41</v>
      </c>
      <c r="B1261">
        <v>2</v>
      </c>
      <c r="C1261" t="str">
        <f>VLOOKUP(A1261,'Programas y Unidades'!$A:$B,2,0)</f>
        <v>Ingeniería Química</v>
      </c>
    </row>
    <row r="1262" spans="1:3">
      <c r="A1262">
        <v>41</v>
      </c>
      <c r="B1262">
        <v>2</v>
      </c>
      <c r="C1262" t="str">
        <f>VLOOKUP(A1262,'Programas y Unidades'!$A:$B,2,0)</f>
        <v>Ingeniería Química</v>
      </c>
    </row>
    <row r="1263" spans="1:3">
      <c r="A1263">
        <v>41</v>
      </c>
      <c r="B1263">
        <v>2</v>
      </c>
      <c r="C1263" t="str">
        <f>VLOOKUP(A1263,'Programas y Unidades'!$A:$B,2,0)</f>
        <v>Ingeniería Química</v>
      </c>
    </row>
    <row r="1264" spans="1:3">
      <c r="A1264">
        <v>31</v>
      </c>
      <c r="B1264">
        <v>6</v>
      </c>
      <c r="C1264" t="str">
        <f>VLOOKUP(A1264,'Programas y Unidades'!$A:$B,2,0)</f>
        <v>Licenciatura en Ciencias Naturales</v>
      </c>
    </row>
    <row r="1265" spans="1:3">
      <c r="A1265">
        <v>41</v>
      </c>
      <c r="B1265">
        <v>2</v>
      </c>
      <c r="C1265" t="str">
        <f>VLOOKUP(A1265,'Programas y Unidades'!$A:$B,2,0)</f>
        <v>Ingeniería Química</v>
      </c>
    </row>
    <row r="1266" spans="1:3">
      <c r="A1266">
        <v>41</v>
      </c>
      <c r="B1266">
        <v>2</v>
      </c>
      <c r="C1266" t="str">
        <f>VLOOKUP(A1266,'Programas y Unidades'!$A:$B,2,0)</f>
        <v>Ingeniería Química</v>
      </c>
    </row>
    <row r="1267" spans="1:3">
      <c r="A1267">
        <v>41</v>
      </c>
      <c r="B1267">
        <v>2</v>
      </c>
      <c r="C1267" t="str">
        <f>VLOOKUP(A1267,'Programas y Unidades'!$A:$B,2,0)</f>
        <v>Ingeniería Química</v>
      </c>
    </row>
    <row r="1268" spans="1:3">
      <c r="A1268">
        <v>41</v>
      </c>
      <c r="B1268">
        <v>2</v>
      </c>
      <c r="C1268" t="str">
        <f>VLOOKUP(A1268,'Programas y Unidades'!$A:$B,2,0)</f>
        <v>Ingeniería Química</v>
      </c>
    </row>
    <row r="1269" spans="1:3">
      <c r="A1269">
        <v>41</v>
      </c>
      <c r="B1269">
        <v>2</v>
      </c>
      <c r="C1269" t="str">
        <f>VLOOKUP(A1269,'Programas y Unidades'!$A:$B,2,0)</f>
        <v>Ingeniería Química</v>
      </c>
    </row>
    <row r="1270" spans="1:3">
      <c r="A1270">
        <v>41</v>
      </c>
      <c r="B1270">
        <v>2</v>
      </c>
      <c r="C1270" t="str">
        <f>VLOOKUP(A1270,'Programas y Unidades'!$A:$B,2,0)</f>
        <v>Ingeniería Química</v>
      </c>
    </row>
    <row r="1271" spans="1:3">
      <c r="A1271">
        <v>41</v>
      </c>
      <c r="B1271">
        <v>2</v>
      </c>
      <c r="C1271" t="str">
        <f>VLOOKUP(A1271,'Programas y Unidades'!$A:$B,2,0)</f>
        <v>Ingeniería Química</v>
      </c>
    </row>
    <row r="1272" spans="1:3">
      <c r="A1272">
        <v>41</v>
      </c>
      <c r="B1272">
        <v>2</v>
      </c>
      <c r="C1272" t="str">
        <f>VLOOKUP(A1272,'Programas y Unidades'!$A:$B,2,0)</f>
        <v>Ingeniería Química</v>
      </c>
    </row>
    <row r="1273" spans="1:3">
      <c r="A1273">
        <v>41</v>
      </c>
      <c r="B1273">
        <v>2</v>
      </c>
      <c r="C1273" t="str">
        <f>VLOOKUP(A1273,'Programas y Unidades'!$A:$B,2,0)</f>
        <v>Ingeniería Química</v>
      </c>
    </row>
    <row r="1274" spans="1:3">
      <c r="A1274">
        <v>41</v>
      </c>
      <c r="B1274">
        <v>2</v>
      </c>
      <c r="C1274" t="str">
        <f>VLOOKUP(A1274,'Programas y Unidades'!$A:$B,2,0)</f>
        <v>Ingeniería Química</v>
      </c>
    </row>
    <row r="1275" spans="1:3">
      <c r="A1275">
        <v>34</v>
      </c>
      <c r="B1275">
        <v>7</v>
      </c>
      <c r="C1275" t="str">
        <f>VLOOKUP(A1275,'Programas y Unidades'!$A:$B,2,0)</f>
        <v>Fisioterapia</v>
      </c>
    </row>
    <row r="1276" spans="1:3">
      <c r="A1276">
        <v>34</v>
      </c>
      <c r="B1276">
        <v>7</v>
      </c>
      <c r="C1276" t="str">
        <f>VLOOKUP(A1276,'Programas y Unidades'!$A:$B,2,0)</f>
        <v>Fisioterapia</v>
      </c>
    </row>
    <row r="1277" spans="1:3">
      <c r="A1277">
        <v>34</v>
      </c>
      <c r="B1277">
        <v>7</v>
      </c>
      <c r="C1277" t="str">
        <f>VLOOKUP(A1277,'Programas y Unidades'!$A:$B,2,0)</f>
        <v>Fisioterapia</v>
      </c>
    </row>
    <row r="1278" spans="1:3">
      <c r="A1278">
        <v>34</v>
      </c>
      <c r="B1278">
        <v>7</v>
      </c>
      <c r="C1278" t="str">
        <f>VLOOKUP(A1278,'Programas y Unidades'!$A:$B,2,0)</f>
        <v>Fisioterapia</v>
      </c>
    </row>
    <row r="1279" spans="1:3">
      <c r="A1279">
        <v>34</v>
      </c>
      <c r="B1279">
        <v>7</v>
      </c>
      <c r="C1279" t="str">
        <f>VLOOKUP(A1279,'Programas y Unidades'!$A:$B,2,0)</f>
        <v>Fisioterapia</v>
      </c>
    </row>
    <row r="1280" spans="1:3">
      <c r="A1280">
        <v>34</v>
      </c>
      <c r="B1280">
        <v>7</v>
      </c>
      <c r="C1280" t="str">
        <f>VLOOKUP(A1280,'Programas y Unidades'!$A:$B,2,0)</f>
        <v>Fisioterapia</v>
      </c>
    </row>
    <row r="1281" spans="1:3">
      <c r="A1281">
        <v>34</v>
      </c>
      <c r="B1281">
        <v>8</v>
      </c>
      <c r="C1281" t="str">
        <f>VLOOKUP(A1281,'Programas y Unidades'!$A:$B,2,0)</f>
        <v>Fisioterapia</v>
      </c>
    </row>
    <row r="1282" spans="1:3">
      <c r="A1282">
        <v>34</v>
      </c>
      <c r="B1282">
        <v>7</v>
      </c>
      <c r="C1282" t="str">
        <f>VLOOKUP(A1282,'Programas y Unidades'!$A:$B,2,0)</f>
        <v>Fisioterapia</v>
      </c>
    </row>
    <row r="1283" spans="1:3">
      <c r="A1283">
        <v>34</v>
      </c>
      <c r="B1283">
        <v>7</v>
      </c>
      <c r="C1283" t="str">
        <f>VLOOKUP(A1283,'Programas y Unidades'!$A:$B,2,0)</f>
        <v>Fisioterapia</v>
      </c>
    </row>
    <row r="1284" spans="1:3">
      <c r="A1284">
        <v>34</v>
      </c>
      <c r="B1284">
        <v>7</v>
      </c>
      <c r="C1284" t="str">
        <f>VLOOKUP(A1284,'Programas y Unidades'!$A:$B,2,0)</f>
        <v>Fisioterapia</v>
      </c>
    </row>
    <row r="1285" spans="1:3">
      <c r="A1285">
        <v>34</v>
      </c>
      <c r="B1285">
        <v>7</v>
      </c>
      <c r="C1285" t="str">
        <f>VLOOKUP(A1285,'Programas y Unidades'!$A:$B,2,0)</f>
        <v>Fisioterapia</v>
      </c>
    </row>
    <row r="1286" spans="1:3">
      <c r="A1286">
        <v>34</v>
      </c>
      <c r="B1286">
        <v>7</v>
      </c>
      <c r="C1286" t="str">
        <f>VLOOKUP(A1286,'Programas y Unidades'!$A:$B,2,0)</f>
        <v>Fisioterapia</v>
      </c>
    </row>
    <row r="1287" spans="1:3">
      <c r="A1287">
        <v>34</v>
      </c>
      <c r="B1287">
        <v>7</v>
      </c>
      <c r="C1287" t="str">
        <f>VLOOKUP(A1287,'Programas y Unidades'!$A:$B,2,0)</f>
        <v>Fisioterapia</v>
      </c>
    </row>
    <row r="1288" spans="1:3">
      <c r="A1288">
        <v>34</v>
      </c>
      <c r="B1288">
        <v>7</v>
      </c>
      <c r="C1288" t="str">
        <f>VLOOKUP(A1288,'Programas y Unidades'!$A:$B,2,0)</f>
        <v>Fisioterapia</v>
      </c>
    </row>
    <row r="1289" spans="1:3">
      <c r="A1289">
        <v>34</v>
      </c>
      <c r="B1289">
        <v>7</v>
      </c>
      <c r="C1289" t="str">
        <f>VLOOKUP(A1289,'Programas y Unidades'!$A:$B,2,0)</f>
        <v>Fisioterapia</v>
      </c>
    </row>
    <row r="1290" spans="1:3">
      <c r="A1290">
        <v>34</v>
      </c>
      <c r="B1290">
        <v>7</v>
      </c>
      <c r="C1290" t="str">
        <f>VLOOKUP(A1290,'Programas y Unidades'!$A:$B,2,0)</f>
        <v>Fisioterapia</v>
      </c>
    </row>
    <row r="1291" spans="1:3">
      <c r="A1291">
        <v>34</v>
      </c>
      <c r="B1291">
        <v>6</v>
      </c>
      <c r="C1291" t="str">
        <f>VLOOKUP(A1291,'Programas y Unidades'!$A:$B,2,0)</f>
        <v>Fisioterapia</v>
      </c>
    </row>
    <row r="1292" spans="1:3">
      <c r="A1292">
        <v>34</v>
      </c>
      <c r="B1292">
        <v>7</v>
      </c>
      <c r="C1292" t="str">
        <f>VLOOKUP(A1292,'Programas y Unidades'!$A:$B,2,0)</f>
        <v>Fisioterapia</v>
      </c>
    </row>
    <row r="1293" spans="1:3">
      <c r="A1293">
        <v>39</v>
      </c>
      <c r="B1293">
        <v>3</v>
      </c>
      <c r="C1293" t="str">
        <f>VLOOKUP(A1293,'Programas y Unidades'!$A:$B,2,0)</f>
        <v>Ingeniería Informática</v>
      </c>
    </row>
    <row r="1294" spans="1:3">
      <c r="A1294">
        <v>39</v>
      </c>
      <c r="B1294">
        <v>4</v>
      </c>
      <c r="C1294" t="str">
        <f>VLOOKUP(A1294,'Programas y Unidades'!$A:$B,2,0)</f>
        <v>Ingeniería Informática</v>
      </c>
    </row>
    <row r="1295" spans="1:3">
      <c r="A1295">
        <v>34</v>
      </c>
      <c r="B1295">
        <v>7</v>
      </c>
      <c r="C1295" t="str">
        <f>VLOOKUP(A1295,'Programas y Unidades'!$A:$B,2,0)</f>
        <v>Fisioterapia</v>
      </c>
    </row>
    <row r="1296" spans="1:3">
      <c r="A1296">
        <v>39</v>
      </c>
      <c r="B1296">
        <v>4</v>
      </c>
      <c r="C1296" t="str">
        <f>VLOOKUP(A1296,'Programas y Unidades'!$A:$B,2,0)</f>
        <v>Ingeniería Informática</v>
      </c>
    </row>
    <row r="1297" spans="1:3">
      <c r="A1297">
        <v>39</v>
      </c>
      <c r="B1297">
        <v>4</v>
      </c>
      <c r="C1297" t="str">
        <f>VLOOKUP(A1297,'Programas y Unidades'!$A:$B,2,0)</f>
        <v>Ingeniería Informática</v>
      </c>
    </row>
    <row r="1298" spans="1:3">
      <c r="A1298">
        <v>39</v>
      </c>
      <c r="B1298">
        <v>4</v>
      </c>
      <c r="C1298" t="str">
        <f>VLOOKUP(A1298,'Programas y Unidades'!$A:$B,2,0)</f>
        <v>Ingeniería Informática</v>
      </c>
    </row>
    <row r="1299" spans="1:3">
      <c r="A1299">
        <v>39</v>
      </c>
      <c r="B1299">
        <v>4</v>
      </c>
      <c r="C1299" t="str">
        <f>VLOOKUP(A1299,'Programas y Unidades'!$A:$B,2,0)</f>
        <v>Ingeniería Informática</v>
      </c>
    </row>
    <row r="1300" spans="1:3">
      <c r="A1300">
        <v>38</v>
      </c>
      <c r="B1300">
        <v>5</v>
      </c>
      <c r="C1300" t="str">
        <f>VLOOKUP(A1300,'Programas y Unidades'!$A:$B,2,0)</f>
        <v>Ingeniería Industrial</v>
      </c>
    </row>
    <row r="1301" spans="1:3">
      <c r="A1301">
        <v>39</v>
      </c>
      <c r="B1301">
        <v>3</v>
      </c>
      <c r="C1301" t="str">
        <f>VLOOKUP(A1301,'Programas y Unidades'!$A:$B,2,0)</f>
        <v>Ingeniería Informática</v>
      </c>
    </row>
    <row r="1302" spans="1:3">
      <c r="A1302">
        <v>39</v>
      </c>
      <c r="B1302">
        <v>4</v>
      </c>
      <c r="C1302" t="str">
        <f>VLOOKUP(A1302,'Programas y Unidades'!$A:$B,2,0)</f>
        <v>Ingeniería Informática</v>
      </c>
    </row>
    <row r="1303" spans="1:3">
      <c r="A1303">
        <v>39</v>
      </c>
      <c r="B1303">
        <v>4</v>
      </c>
      <c r="C1303" t="str">
        <f>VLOOKUP(A1303,'Programas y Unidades'!$A:$B,2,0)</f>
        <v>Ingeniería Informática</v>
      </c>
    </row>
    <row r="1304" spans="1:3">
      <c r="A1304">
        <v>39</v>
      </c>
      <c r="B1304">
        <v>4</v>
      </c>
      <c r="C1304" t="str">
        <f>VLOOKUP(A1304,'Programas y Unidades'!$A:$B,2,0)</f>
        <v>Ingeniería Informática</v>
      </c>
    </row>
    <row r="1305" spans="1:3">
      <c r="A1305">
        <v>39</v>
      </c>
      <c r="B1305">
        <v>3</v>
      </c>
      <c r="C1305" t="str">
        <f>VLOOKUP(A1305,'Programas y Unidades'!$A:$B,2,0)</f>
        <v>Ingeniería Informática</v>
      </c>
    </row>
    <row r="1306" spans="1:3">
      <c r="A1306">
        <v>39</v>
      </c>
      <c r="B1306">
        <v>3</v>
      </c>
      <c r="C1306" t="str">
        <f>VLOOKUP(A1306,'Programas y Unidades'!$A:$B,2,0)</f>
        <v>Ingeniería Informática</v>
      </c>
    </row>
    <row r="1307" spans="1:3">
      <c r="A1307">
        <v>39</v>
      </c>
      <c r="B1307">
        <v>4</v>
      </c>
      <c r="C1307" t="str">
        <f>VLOOKUP(A1307,'Programas y Unidades'!$A:$B,2,0)</f>
        <v>Ingeniería Informática</v>
      </c>
    </row>
    <row r="1308" spans="1:3">
      <c r="A1308">
        <v>39</v>
      </c>
      <c r="B1308">
        <v>4</v>
      </c>
      <c r="C1308" t="str">
        <f>VLOOKUP(A1308,'Programas y Unidades'!$A:$B,2,0)</f>
        <v>Ingeniería Informática</v>
      </c>
    </row>
    <row r="1309" spans="1:3">
      <c r="A1309">
        <v>39</v>
      </c>
      <c r="B1309">
        <v>4</v>
      </c>
      <c r="C1309" t="str">
        <f>VLOOKUP(A1309,'Programas y Unidades'!$A:$B,2,0)</f>
        <v>Ingeniería Informática</v>
      </c>
    </row>
    <row r="1310" spans="1:3">
      <c r="A1310">
        <v>39</v>
      </c>
      <c r="B1310">
        <v>3</v>
      </c>
      <c r="C1310" t="str">
        <f>VLOOKUP(A1310,'Programas y Unidades'!$A:$B,2,0)</f>
        <v>Ingeniería Informática</v>
      </c>
    </row>
    <row r="1311" spans="1:3">
      <c r="A1311">
        <v>39</v>
      </c>
      <c r="B1311">
        <v>4</v>
      </c>
      <c r="C1311" t="str">
        <f>VLOOKUP(A1311,'Programas y Unidades'!$A:$B,2,0)</f>
        <v>Ingeniería Informática</v>
      </c>
    </row>
    <row r="1312" spans="1:3">
      <c r="A1312">
        <v>39</v>
      </c>
      <c r="B1312">
        <v>4</v>
      </c>
      <c r="C1312" t="str">
        <f>VLOOKUP(A1312,'Programas y Unidades'!$A:$B,2,0)</f>
        <v>Ingeniería Informática</v>
      </c>
    </row>
    <row r="1313" spans="1:3">
      <c r="A1313">
        <v>39</v>
      </c>
      <c r="B1313">
        <v>3</v>
      </c>
      <c r="C1313" t="str">
        <f>VLOOKUP(A1313,'Programas y Unidades'!$A:$B,2,0)</f>
        <v>Ingeniería Informática</v>
      </c>
    </row>
    <row r="1314" spans="1:3">
      <c r="A1314">
        <v>39</v>
      </c>
      <c r="B1314">
        <v>4</v>
      </c>
      <c r="C1314" t="str">
        <f>VLOOKUP(A1314,'Programas y Unidades'!$A:$B,2,0)</f>
        <v>Ingeniería Informática</v>
      </c>
    </row>
    <row r="1315" spans="1:3">
      <c r="A1315">
        <v>39</v>
      </c>
      <c r="B1315">
        <v>2</v>
      </c>
      <c r="C1315" t="str">
        <f>VLOOKUP(A1315,'Programas y Unidades'!$A:$B,2,0)</f>
        <v>Ingeniería Informática</v>
      </c>
    </row>
    <row r="1316" spans="1:3">
      <c r="A1316">
        <v>39</v>
      </c>
      <c r="B1316">
        <v>3</v>
      </c>
      <c r="C1316" t="str">
        <f>VLOOKUP(A1316,'Programas y Unidades'!$A:$B,2,0)</f>
        <v>Ingeniería Informática</v>
      </c>
    </row>
    <row r="1317" spans="1:3">
      <c r="A1317">
        <v>39</v>
      </c>
      <c r="B1317">
        <v>3</v>
      </c>
      <c r="C1317" t="str">
        <f>VLOOKUP(A1317,'Programas y Unidades'!$A:$B,2,0)</f>
        <v>Ingeniería Informática</v>
      </c>
    </row>
    <row r="1318" spans="1:3">
      <c r="A1318">
        <v>39</v>
      </c>
      <c r="B1318">
        <v>4</v>
      </c>
      <c r="C1318" t="str">
        <f>VLOOKUP(A1318,'Programas y Unidades'!$A:$B,2,0)</f>
        <v>Ingeniería Informática</v>
      </c>
    </row>
    <row r="1319" spans="1:3">
      <c r="A1319">
        <v>39</v>
      </c>
      <c r="B1319">
        <v>3</v>
      </c>
      <c r="C1319" t="str">
        <f>VLOOKUP(A1319,'Programas y Unidades'!$A:$B,2,0)</f>
        <v>Ingeniería Informática</v>
      </c>
    </row>
    <row r="1320" spans="1:3">
      <c r="A1320">
        <v>39</v>
      </c>
      <c r="B1320">
        <v>4</v>
      </c>
      <c r="C1320" t="str">
        <f>VLOOKUP(A1320,'Programas y Unidades'!$A:$B,2,0)</f>
        <v>Ingeniería Informática</v>
      </c>
    </row>
    <row r="1321" spans="1:3">
      <c r="A1321">
        <v>39</v>
      </c>
      <c r="B1321">
        <v>3</v>
      </c>
      <c r="C1321" t="str">
        <f>VLOOKUP(A1321,'Programas y Unidades'!$A:$B,2,0)</f>
        <v>Ingeniería Informática</v>
      </c>
    </row>
    <row r="1322" spans="1:3">
      <c r="A1322">
        <v>39</v>
      </c>
      <c r="B1322">
        <v>3</v>
      </c>
      <c r="C1322" t="str">
        <f>VLOOKUP(A1322,'Programas y Unidades'!$A:$B,2,0)</f>
        <v>Ingeniería Informática</v>
      </c>
    </row>
    <row r="1323" spans="1:3">
      <c r="A1323">
        <v>39</v>
      </c>
      <c r="B1323">
        <v>4</v>
      </c>
      <c r="C1323" t="str">
        <f>VLOOKUP(A1323,'Programas y Unidades'!$A:$B,2,0)</f>
        <v>Ingeniería Informática</v>
      </c>
    </row>
    <row r="1324" spans="1:3">
      <c r="A1324">
        <v>39</v>
      </c>
      <c r="B1324">
        <v>3</v>
      </c>
      <c r="C1324" t="str">
        <f>VLOOKUP(A1324,'Programas y Unidades'!$A:$B,2,0)</f>
        <v>Ingeniería Informática</v>
      </c>
    </row>
    <row r="1325" spans="1:3">
      <c r="A1325">
        <v>34</v>
      </c>
      <c r="B1325">
        <v>7</v>
      </c>
      <c r="C1325" t="str">
        <f>VLOOKUP(A1325,'Programas y Unidades'!$A:$B,2,0)</f>
        <v>Fisioterapia</v>
      </c>
    </row>
    <row r="1326" spans="1:3">
      <c r="A1326">
        <v>39</v>
      </c>
      <c r="B1326">
        <v>3</v>
      </c>
      <c r="C1326" t="str">
        <f>VLOOKUP(A1326,'Programas y Unidades'!$A:$B,2,0)</f>
        <v>Ingeniería Informática</v>
      </c>
    </row>
    <row r="1327" spans="1:3">
      <c r="A1327">
        <v>39</v>
      </c>
      <c r="B1327">
        <v>4</v>
      </c>
      <c r="C1327" t="str">
        <f>VLOOKUP(A1327,'Programas y Unidades'!$A:$B,2,0)</f>
        <v>Ingeniería Informática</v>
      </c>
    </row>
    <row r="1328" spans="1:3">
      <c r="A1328">
        <v>39</v>
      </c>
      <c r="B1328">
        <v>3</v>
      </c>
      <c r="C1328" t="str">
        <f>VLOOKUP(A1328,'Programas y Unidades'!$A:$B,2,0)</f>
        <v>Ingeniería Informática</v>
      </c>
    </row>
    <row r="1329" spans="1:3">
      <c r="A1329">
        <v>39</v>
      </c>
      <c r="B1329">
        <v>3</v>
      </c>
      <c r="C1329" t="str">
        <f>VLOOKUP(A1329,'Programas y Unidades'!$A:$B,2,0)</f>
        <v>Ingeniería Informática</v>
      </c>
    </row>
    <row r="1330" spans="1:3">
      <c r="A1330">
        <v>39</v>
      </c>
      <c r="B1330">
        <v>3</v>
      </c>
      <c r="C1330" t="str">
        <f>VLOOKUP(A1330,'Programas y Unidades'!$A:$B,2,0)</f>
        <v>Ingeniería Informática</v>
      </c>
    </row>
    <row r="1331" spans="1:3">
      <c r="A1331">
        <v>39</v>
      </c>
      <c r="B1331">
        <v>3</v>
      </c>
      <c r="C1331" t="str">
        <f>VLOOKUP(A1331,'Programas y Unidades'!$A:$B,2,0)</f>
        <v>Ingeniería Informática</v>
      </c>
    </row>
    <row r="1332" spans="1:3">
      <c r="A1332">
        <v>39</v>
      </c>
      <c r="B1332">
        <v>3</v>
      </c>
      <c r="C1332" t="str">
        <f>VLOOKUP(A1332,'Programas y Unidades'!$A:$B,2,0)</f>
        <v>Ingeniería Informática</v>
      </c>
    </row>
    <row r="1333" spans="1:3">
      <c r="A1333">
        <v>39</v>
      </c>
      <c r="B1333">
        <v>3</v>
      </c>
      <c r="C1333" t="str">
        <f>VLOOKUP(A1333,'Programas y Unidades'!$A:$B,2,0)</f>
        <v>Ingeniería Informática</v>
      </c>
    </row>
    <row r="1334" spans="1:3">
      <c r="A1334">
        <v>39</v>
      </c>
      <c r="B1334">
        <v>4</v>
      </c>
      <c r="C1334" t="str">
        <f>VLOOKUP(A1334,'Programas y Unidades'!$A:$B,2,0)</f>
        <v>Ingeniería Informática</v>
      </c>
    </row>
    <row r="1335" spans="1:3">
      <c r="A1335">
        <v>39</v>
      </c>
      <c r="B1335">
        <v>3</v>
      </c>
      <c r="C1335" t="str">
        <f>VLOOKUP(A1335,'Programas y Unidades'!$A:$B,2,0)</f>
        <v>Ingeniería Informática</v>
      </c>
    </row>
    <row r="1336" spans="1:3">
      <c r="A1336">
        <v>39</v>
      </c>
      <c r="B1336">
        <v>3</v>
      </c>
      <c r="C1336" t="str">
        <f>VLOOKUP(A1336,'Programas y Unidades'!$A:$B,2,0)</f>
        <v>Ingeniería Informática</v>
      </c>
    </row>
    <row r="1337" spans="1:3">
      <c r="A1337">
        <v>41</v>
      </c>
      <c r="B1337">
        <v>2</v>
      </c>
      <c r="C1337" t="str">
        <f>VLOOKUP(A1337,'Programas y Unidades'!$A:$B,2,0)</f>
        <v>Ingeniería Química</v>
      </c>
    </row>
    <row r="1338" spans="1:3">
      <c r="A1338">
        <v>41</v>
      </c>
      <c r="B1338">
        <v>2</v>
      </c>
      <c r="C1338" t="str">
        <f>VLOOKUP(A1338,'Programas y Unidades'!$A:$B,2,0)</f>
        <v>Ingeniería Química</v>
      </c>
    </row>
    <row r="1339" spans="1:3">
      <c r="A1339">
        <v>41</v>
      </c>
      <c r="B1339">
        <v>2</v>
      </c>
      <c r="C1339" t="str">
        <f>VLOOKUP(A1339,'Programas y Unidades'!$A:$B,2,0)</f>
        <v>Ingeniería Química</v>
      </c>
    </row>
    <row r="1340" spans="1:3">
      <c r="A1340">
        <v>147</v>
      </c>
      <c r="B1340">
        <v>2</v>
      </c>
      <c r="C1340" t="str">
        <f>VLOOKUP(A1340,'Programas y Unidades'!$A:$B,2,0)</f>
        <v>Ingeniería de Producción Agroindustrial</v>
      </c>
    </row>
    <row r="1341" spans="1:3">
      <c r="A1341">
        <v>31</v>
      </c>
      <c r="B1341">
        <v>4</v>
      </c>
      <c r="C1341" t="str">
        <f>VLOOKUP(A1341,'Programas y Unidades'!$A:$B,2,0)</f>
        <v>Licenciatura en Ciencias Naturales</v>
      </c>
    </row>
    <row r="1342" spans="1:3">
      <c r="A1342">
        <v>146</v>
      </c>
      <c r="B1342">
        <v>2</v>
      </c>
      <c r="C1342" t="str">
        <f>VLOOKUP(A1342,'Programas y Unidades'!$A:$B,2,0)</f>
        <v>Ingeniería de Bioproducción</v>
      </c>
    </row>
    <row r="1343" spans="1:3">
      <c r="A1343">
        <v>147</v>
      </c>
      <c r="B1343">
        <v>2</v>
      </c>
      <c r="C1343" t="str">
        <f>VLOOKUP(A1343,'Programas y Unidades'!$A:$B,2,0)</f>
        <v>Ingeniería de Producción Agroindustrial</v>
      </c>
    </row>
    <row r="1344" spans="1:3">
      <c r="A1344">
        <v>41</v>
      </c>
      <c r="B1344">
        <v>3</v>
      </c>
      <c r="C1344" t="str">
        <f>VLOOKUP(A1344,'Programas y Unidades'!$A:$B,2,0)</f>
        <v>Ingeniería Química</v>
      </c>
    </row>
    <row r="1345" spans="1:3">
      <c r="A1345">
        <v>41</v>
      </c>
      <c r="B1345">
        <v>2</v>
      </c>
      <c r="C1345" t="str">
        <f>VLOOKUP(A1345,'Programas y Unidades'!$A:$B,2,0)</f>
        <v>Ingeniería Química</v>
      </c>
    </row>
    <row r="1346" spans="1:3">
      <c r="A1346">
        <v>41</v>
      </c>
      <c r="B1346">
        <v>3</v>
      </c>
      <c r="C1346" t="str">
        <f>VLOOKUP(A1346,'Programas y Unidades'!$A:$B,2,0)</f>
        <v>Ingeniería Química</v>
      </c>
    </row>
    <row r="1347" spans="1:3">
      <c r="A1347">
        <v>41</v>
      </c>
      <c r="B1347">
        <v>2</v>
      </c>
      <c r="C1347" t="str">
        <f>VLOOKUP(A1347,'Programas y Unidades'!$A:$B,2,0)</f>
        <v>Ingeniería Química</v>
      </c>
    </row>
    <row r="1348" spans="1:3">
      <c r="A1348">
        <v>41</v>
      </c>
      <c r="B1348">
        <v>2</v>
      </c>
      <c r="C1348" t="str">
        <f>VLOOKUP(A1348,'Programas y Unidades'!$A:$B,2,0)</f>
        <v>Ingeniería Química</v>
      </c>
    </row>
    <row r="1349" spans="1:3">
      <c r="A1349">
        <v>41</v>
      </c>
      <c r="B1349">
        <v>2</v>
      </c>
      <c r="C1349" t="str">
        <f>VLOOKUP(A1349,'Programas y Unidades'!$A:$B,2,0)</f>
        <v>Ingeniería Química</v>
      </c>
    </row>
    <row r="1350" spans="1:3">
      <c r="A1350">
        <v>146</v>
      </c>
      <c r="B1350">
        <v>2</v>
      </c>
      <c r="C1350" t="str">
        <f>VLOOKUP(A1350,'Programas y Unidades'!$A:$B,2,0)</f>
        <v>Ingeniería de Bioproducción</v>
      </c>
    </row>
    <row r="1351" spans="1:3">
      <c r="A1351">
        <v>41</v>
      </c>
      <c r="B1351">
        <v>2</v>
      </c>
      <c r="C1351" t="str">
        <f>VLOOKUP(A1351,'Programas y Unidades'!$A:$B,2,0)</f>
        <v>Ingeniería Química</v>
      </c>
    </row>
    <row r="1352" spans="1:3">
      <c r="A1352">
        <v>41</v>
      </c>
      <c r="B1352">
        <v>4</v>
      </c>
      <c r="C1352" t="str">
        <f>VLOOKUP(A1352,'Programas y Unidades'!$A:$B,2,0)</f>
        <v>Ingeniería Química</v>
      </c>
    </row>
    <row r="1353" spans="1:3">
      <c r="A1353">
        <v>146</v>
      </c>
      <c r="B1353">
        <v>5</v>
      </c>
      <c r="C1353" t="str">
        <f>VLOOKUP(A1353,'Programas y Unidades'!$A:$B,2,0)</f>
        <v>Ingeniería de Bioproducción</v>
      </c>
    </row>
    <row r="1354" spans="1:3">
      <c r="A1354">
        <v>146</v>
      </c>
      <c r="B1354">
        <v>2</v>
      </c>
      <c r="C1354" t="str">
        <f>VLOOKUP(A1354,'Programas y Unidades'!$A:$B,2,0)</f>
        <v>Ingeniería de Bioproducción</v>
      </c>
    </row>
    <row r="1355" spans="1:3">
      <c r="A1355">
        <v>41</v>
      </c>
      <c r="B1355">
        <v>4</v>
      </c>
      <c r="C1355" t="str">
        <f>VLOOKUP(A1355,'Programas y Unidades'!$A:$B,2,0)</f>
        <v>Ingeniería Química</v>
      </c>
    </row>
    <row r="1356" spans="1:3">
      <c r="A1356">
        <v>41</v>
      </c>
      <c r="B1356">
        <v>8</v>
      </c>
      <c r="C1356" t="str">
        <f>VLOOKUP(A1356,'Programas y Unidades'!$A:$B,2,0)</f>
        <v>Ingeniería Química</v>
      </c>
    </row>
    <row r="1357" spans="1:3">
      <c r="A1357">
        <v>41</v>
      </c>
      <c r="B1357">
        <v>4</v>
      </c>
      <c r="C1357" t="str">
        <f>VLOOKUP(A1357,'Programas y Unidades'!$A:$B,2,0)</f>
        <v>Ingeniería Química</v>
      </c>
    </row>
    <row r="1358" spans="1:3">
      <c r="A1358">
        <v>41</v>
      </c>
      <c r="B1358">
        <v>2</v>
      </c>
      <c r="C1358" t="str">
        <f>VLOOKUP(A1358,'Programas y Unidades'!$A:$B,2,0)</f>
        <v>Ingeniería Química</v>
      </c>
    </row>
    <row r="1359" spans="1:3">
      <c r="A1359">
        <v>146</v>
      </c>
      <c r="B1359">
        <v>6</v>
      </c>
      <c r="C1359" t="str">
        <f>VLOOKUP(A1359,'Programas y Unidades'!$A:$B,2,0)</f>
        <v>Ingeniería de Bioproducción</v>
      </c>
    </row>
    <row r="1360" spans="1:3">
      <c r="A1360">
        <v>41</v>
      </c>
      <c r="B1360">
        <v>5</v>
      </c>
      <c r="C1360" t="str">
        <f>VLOOKUP(A1360,'Programas y Unidades'!$A:$B,2,0)</f>
        <v>Ingeniería Química</v>
      </c>
    </row>
    <row r="1361" spans="1:3">
      <c r="A1361">
        <v>41</v>
      </c>
      <c r="B1361">
        <v>4</v>
      </c>
      <c r="C1361" t="str">
        <f>VLOOKUP(A1361,'Programas y Unidades'!$A:$B,2,0)</f>
        <v>Ingeniería Química</v>
      </c>
    </row>
    <row r="1362" spans="1:3">
      <c r="A1362">
        <v>41</v>
      </c>
      <c r="B1362">
        <v>4</v>
      </c>
      <c r="C1362" t="str">
        <f>VLOOKUP(A1362,'Programas y Unidades'!$A:$B,2,0)</f>
        <v>Ingeniería Química</v>
      </c>
    </row>
    <row r="1363" spans="1:3">
      <c r="A1363">
        <v>146</v>
      </c>
      <c r="B1363">
        <v>2</v>
      </c>
      <c r="C1363" t="str">
        <f>VLOOKUP(A1363,'Programas y Unidades'!$A:$B,2,0)</f>
        <v>Ingeniería de Bioproducción</v>
      </c>
    </row>
    <row r="1364" spans="1:3">
      <c r="A1364">
        <v>41</v>
      </c>
      <c r="B1364">
        <v>5</v>
      </c>
      <c r="C1364" t="str">
        <f>VLOOKUP(A1364,'Programas y Unidades'!$A:$B,2,0)</f>
        <v>Ingeniería Química</v>
      </c>
    </row>
    <row r="1365" spans="1:3">
      <c r="A1365">
        <v>146</v>
      </c>
      <c r="B1365">
        <v>2</v>
      </c>
      <c r="C1365" t="str">
        <f>VLOOKUP(A1365,'Programas y Unidades'!$A:$B,2,0)</f>
        <v>Ingeniería de Bioproducción</v>
      </c>
    </row>
    <row r="1366" spans="1:3">
      <c r="A1366">
        <v>41</v>
      </c>
      <c r="B1366">
        <v>5</v>
      </c>
      <c r="C1366" t="str">
        <f>VLOOKUP(A1366,'Programas y Unidades'!$A:$B,2,0)</f>
        <v>Ingeniería Química</v>
      </c>
    </row>
    <row r="1367" spans="1:3">
      <c r="A1367">
        <v>41</v>
      </c>
      <c r="B1367">
        <v>3</v>
      </c>
      <c r="C1367" t="str">
        <f>VLOOKUP(A1367,'Programas y Unidades'!$A:$B,2,0)</f>
        <v>Ingeniería Química</v>
      </c>
    </row>
    <row r="1368" spans="1:3">
      <c r="A1368">
        <v>41</v>
      </c>
      <c r="B1368">
        <v>6</v>
      </c>
      <c r="C1368" t="str">
        <f>VLOOKUP(A1368,'Programas y Unidades'!$A:$B,2,0)</f>
        <v>Ingeniería Química</v>
      </c>
    </row>
    <row r="1369" spans="1:3">
      <c r="A1369">
        <v>32</v>
      </c>
      <c r="B1369">
        <v>9</v>
      </c>
      <c r="C1369" t="str">
        <f>VLOOKUP(A1369,'Programas y Unidades'!$A:$B,2,0)</f>
        <v>Licenciatura en Educación Infantil</v>
      </c>
    </row>
    <row r="1370" spans="1:3">
      <c r="A1370">
        <v>32</v>
      </c>
      <c r="B1370">
        <v>9</v>
      </c>
      <c r="C1370" t="str">
        <f>VLOOKUP(A1370,'Programas y Unidades'!$A:$B,2,0)</f>
        <v>Licenciatura en Educación Infantil</v>
      </c>
    </row>
    <row r="1371" spans="1:3">
      <c r="A1371">
        <v>22</v>
      </c>
      <c r="B1371">
        <v>7</v>
      </c>
      <c r="C1371" t="str">
        <f>VLOOKUP(A1371,'Programas y Unidades'!$A:$B,2,0)</f>
        <v>Administración de Mercadeo y Logística Internacionales</v>
      </c>
    </row>
    <row r="1372" spans="1:3">
      <c r="A1372">
        <v>38</v>
      </c>
      <c r="B1372">
        <v>7</v>
      </c>
      <c r="C1372" t="str">
        <f>VLOOKUP(A1372,'Programas y Unidades'!$A:$B,2,0)</f>
        <v>Ingeniería Industrial</v>
      </c>
    </row>
    <row r="1373" spans="1:3">
      <c r="A1373">
        <v>38</v>
      </c>
      <c r="B1373">
        <v>7</v>
      </c>
      <c r="C1373" t="str">
        <f>VLOOKUP(A1373,'Programas y Unidades'!$A:$B,2,0)</f>
        <v>Ingeniería Industrial</v>
      </c>
    </row>
    <row r="1374" spans="1:3">
      <c r="A1374">
        <v>38</v>
      </c>
      <c r="B1374">
        <v>8</v>
      </c>
      <c r="C1374" t="str">
        <f>VLOOKUP(A1374,'Programas y Unidades'!$A:$B,2,0)</f>
        <v>Ingeniería Industrial</v>
      </c>
    </row>
    <row r="1375" spans="1:3">
      <c r="A1375">
        <v>38</v>
      </c>
      <c r="B1375">
        <v>7</v>
      </c>
      <c r="C1375" t="str">
        <f>VLOOKUP(A1375,'Programas y Unidades'!$A:$B,2,0)</f>
        <v>Ingeniería Industrial</v>
      </c>
    </row>
    <row r="1376" spans="1:3">
      <c r="A1376">
        <v>38</v>
      </c>
      <c r="B1376">
        <v>7</v>
      </c>
      <c r="C1376" t="str">
        <f>VLOOKUP(A1376,'Programas y Unidades'!$A:$B,2,0)</f>
        <v>Ingeniería Industrial</v>
      </c>
    </row>
    <row r="1377" spans="1:3">
      <c r="A1377">
        <v>38</v>
      </c>
      <c r="B1377">
        <v>7</v>
      </c>
      <c r="C1377" t="str">
        <f>VLOOKUP(A1377,'Programas y Unidades'!$A:$B,2,0)</f>
        <v>Ingeniería Industrial</v>
      </c>
    </row>
    <row r="1378" spans="1:3">
      <c r="A1378">
        <v>38</v>
      </c>
      <c r="B1378">
        <v>7</v>
      </c>
      <c r="C1378" t="str">
        <f>VLOOKUP(A1378,'Programas y Unidades'!$A:$B,2,0)</f>
        <v>Ingeniería Industrial</v>
      </c>
    </row>
    <row r="1379" spans="1:3">
      <c r="A1379">
        <v>38</v>
      </c>
      <c r="B1379">
        <v>7</v>
      </c>
      <c r="C1379" t="str">
        <f>VLOOKUP(A1379,'Programas y Unidades'!$A:$B,2,0)</f>
        <v>Ingeniería Industrial</v>
      </c>
    </row>
    <row r="1380" spans="1:3">
      <c r="A1380">
        <v>38</v>
      </c>
      <c r="B1380">
        <v>7</v>
      </c>
      <c r="C1380" t="str">
        <f>VLOOKUP(A1380,'Programas y Unidades'!$A:$B,2,0)</f>
        <v>Ingeniería Industrial</v>
      </c>
    </row>
    <row r="1381" spans="1:3">
      <c r="A1381">
        <v>38</v>
      </c>
      <c r="B1381">
        <v>7</v>
      </c>
      <c r="C1381" t="str">
        <f>VLOOKUP(A1381,'Programas y Unidades'!$A:$B,2,0)</f>
        <v>Ingeniería Industrial</v>
      </c>
    </row>
    <row r="1382" spans="1:3">
      <c r="A1382">
        <v>38</v>
      </c>
      <c r="B1382">
        <v>7</v>
      </c>
      <c r="C1382" t="str">
        <f>VLOOKUP(A1382,'Programas y Unidades'!$A:$B,2,0)</f>
        <v>Ingeniería Industrial</v>
      </c>
    </row>
    <row r="1383" spans="1:3">
      <c r="A1383">
        <v>38</v>
      </c>
      <c r="B1383">
        <v>7</v>
      </c>
      <c r="C1383" t="str">
        <f>VLOOKUP(A1383,'Programas y Unidades'!$A:$B,2,0)</f>
        <v>Ingeniería Industrial</v>
      </c>
    </row>
    <row r="1384" spans="1:3">
      <c r="A1384">
        <v>38</v>
      </c>
      <c r="B1384">
        <v>7</v>
      </c>
      <c r="C1384" t="str">
        <f>VLOOKUP(A1384,'Programas y Unidades'!$A:$B,2,0)</f>
        <v>Ingeniería Industrial</v>
      </c>
    </row>
    <row r="1385" spans="1:3">
      <c r="A1385">
        <v>38</v>
      </c>
      <c r="B1385">
        <v>7</v>
      </c>
      <c r="C1385" t="str">
        <f>VLOOKUP(A1385,'Programas y Unidades'!$A:$B,2,0)</f>
        <v>Ingeniería Industrial</v>
      </c>
    </row>
    <row r="1386" spans="1:3">
      <c r="A1386">
        <v>38</v>
      </c>
      <c r="B1386">
        <v>7</v>
      </c>
      <c r="C1386" t="str">
        <f>VLOOKUP(A1386,'Programas y Unidades'!$A:$B,2,0)</f>
        <v>Ingeniería Industrial</v>
      </c>
    </row>
    <row r="1387" spans="1:3">
      <c r="A1387">
        <v>38</v>
      </c>
      <c r="B1387">
        <v>7</v>
      </c>
      <c r="C1387" t="str">
        <f>VLOOKUP(A1387,'Programas y Unidades'!$A:$B,2,0)</f>
        <v>Ingeniería Industrial</v>
      </c>
    </row>
    <row r="1388" spans="1:3">
      <c r="A1388">
        <v>38</v>
      </c>
      <c r="B1388">
        <v>7</v>
      </c>
      <c r="C1388" t="str">
        <f>VLOOKUP(A1388,'Programas y Unidades'!$A:$B,2,0)</f>
        <v>Ingeniería Industrial</v>
      </c>
    </row>
    <row r="1389" spans="1:3">
      <c r="A1389">
        <v>41</v>
      </c>
      <c r="B1389">
        <v>3</v>
      </c>
      <c r="C1389" t="str">
        <f>VLOOKUP(A1389,'Programas y Unidades'!$A:$B,2,0)</f>
        <v>Ingeniería Química</v>
      </c>
    </row>
    <row r="1390" spans="1:3">
      <c r="A1390">
        <v>41</v>
      </c>
      <c r="B1390">
        <v>4</v>
      </c>
      <c r="C1390" t="str">
        <f>VLOOKUP(A1390,'Programas y Unidades'!$A:$B,2,0)</f>
        <v>Ingeniería Química</v>
      </c>
    </row>
    <row r="1391" spans="1:3">
      <c r="A1391">
        <v>41</v>
      </c>
      <c r="B1391">
        <v>3</v>
      </c>
      <c r="C1391" t="str">
        <f>VLOOKUP(A1391,'Programas y Unidades'!$A:$B,2,0)</f>
        <v>Ingeniería Química</v>
      </c>
    </row>
    <row r="1392" spans="1:3">
      <c r="A1392">
        <v>41</v>
      </c>
      <c r="B1392">
        <v>4</v>
      </c>
      <c r="C1392" t="str">
        <f>VLOOKUP(A1392,'Programas y Unidades'!$A:$B,2,0)</f>
        <v>Ingeniería Química</v>
      </c>
    </row>
    <row r="1393" spans="1:3">
      <c r="A1393">
        <v>41</v>
      </c>
      <c r="B1393">
        <v>3</v>
      </c>
      <c r="C1393" t="str">
        <f>VLOOKUP(A1393,'Programas y Unidades'!$A:$B,2,0)</f>
        <v>Ingeniería Química</v>
      </c>
    </row>
    <row r="1394" spans="1:3">
      <c r="A1394">
        <v>41</v>
      </c>
      <c r="B1394">
        <v>3</v>
      </c>
      <c r="C1394" t="str">
        <f>VLOOKUP(A1394,'Programas y Unidades'!$A:$B,2,0)</f>
        <v>Ingeniería Química</v>
      </c>
    </row>
    <row r="1395" spans="1:3">
      <c r="A1395">
        <v>31</v>
      </c>
      <c r="B1395">
        <v>5</v>
      </c>
      <c r="C1395" t="str">
        <f>VLOOKUP(A1395,'Programas y Unidades'!$A:$B,2,0)</f>
        <v>Licenciatura en Ciencias Naturales</v>
      </c>
    </row>
    <row r="1396" spans="1:3">
      <c r="A1396">
        <v>146</v>
      </c>
      <c r="B1396">
        <v>4</v>
      </c>
      <c r="C1396" t="str">
        <f>VLOOKUP(A1396,'Programas y Unidades'!$A:$B,2,0)</f>
        <v>Ingeniería de Bioproducción</v>
      </c>
    </row>
    <row r="1397" spans="1:3">
      <c r="A1397">
        <v>41</v>
      </c>
      <c r="B1397">
        <v>3</v>
      </c>
      <c r="C1397" t="str">
        <f>VLOOKUP(A1397,'Programas y Unidades'!$A:$B,2,0)</f>
        <v>Ingeniería Química</v>
      </c>
    </row>
    <row r="1398" spans="1:3">
      <c r="A1398">
        <v>41</v>
      </c>
      <c r="B1398">
        <v>3</v>
      </c>
      <c r="C1398" t="str">
        <f>VLOOKUP(A1398,'Programas y Unidades'!$A:$B,2,0)</f>
        <v>Ingeniería Química</v>
      </c>
    </row>
    <row r="1399" spans="1:3">
      <c r="A1399">
        <v>41</v>
      </c>
      <c r="B1399">
        <v>3</v>
      </c>
      <c r="C1399" t="str">
        <f>VLOOKUP(A1399,'Programas y Unidades'!$A:$B,2,0)</f>
        <v>Ingeniería Química</v>
      </c>
    </row>
    <row r="1400" spans="1:3">
      <c r="A1400">
        <v>146</v>
      </c>
      <c r="B1400">
        <v>4</v>
      </c>
      <c r="C1400" t="str">
        <f>VLOOKUP(A1400,'Programas y Unidades'!$A:$B,2,0)</f>
        <v>Ingeniería de Bioproducción</v>
      </c>
    </row>
    <row r="1401" spans="1:3">
      <c r="A1401">
        <v>41</v>
      </c>
      <c r="B1401">
        <v>3</v>
      </c>
      <c r="C1401" t="str">
        <f>VLOOKUP(A1401,'Programas y Unidades'!$A:$B,2,0)</f>
        <v>Ingeniería Química</v>
      </c>
    </row>
    <row r="1402" spans="1:3">
      <c r="A1402">
        <v>41</v>
      </c>
      <c r="B1402">
        <v>3</v>
      </c>
      <c r="C1402" t="str">
        <f>VLOOKUP(A1402,'Programas y Unidades'!$A:$B,2,0)</f>
        <v>Ingeniería Química</v>
      </c>
    </row>
    <row r="1403" spans="1:3">
      <c r="A1403">
        <v>41</v>
      </c>
      <c r="B1403">
        <v>3</v>
      </c>
      <c r="C1403" t="str">
        <f>VLOOKUP(A1403,'Programas y Unidades'!$A:$B,2,0)</f>
        <v>Ingeniería Química</v>
      </c>
    </row>
    <row r="1404" spans="1:3">
      <c r="A1404">
        <v>41</v>
      </c>
      <c r="B1404">
        <v>3</v>
      </c>
      <c r="C1404" t="str">
        <f>VLOOKUP(A1404,'Programas y Unidades'!$A:$B,2,0)</f>
        <v>Ingeniería Química</v>
      </c>
    </row>
    <row r="1405" spans="1:3">
      <c r="A1405">
        <v>41</v>
      </c>
      <c r="B1405">
        <v>3</v>
      </c>
      <c r="C1405" t="str">
        <f>VLOOKUP(A1405,'Programas y Unidades'!$A:$B,2,0)</f>
        <v>Ingeniería Química</v>
      </c>
    </row>
    <row r="1406" spans="1:3">
      <c r="A1406">
        <v>146</v>
      </c>
      <c r="B1406">
        <v>5</v>
      </c>
      <c r="C1406" t="str">
        <f>VLOOKUP(A1406,'Programas y Unidades'!$A:$B,2,0)</f>
        <v>Ingeniería de Bioproducción</v>
      </c>
    </row>
    <row r="1407" spans="1:3">
      <c r="A1407">
        <v>41</v>
      </c>
      <c r="B1407">
        <v>3</v>
      </c>
      <c r="C1407" t="str">
        <f>VLOOKUP(A1407,'Programas y Unidades'!$A:$B,2,0)</f>
        <v>Ingeniería Química</v>
      </c>
    </row>
    <row r="1408" spans="1:3">
      <c r="A1408">
        <v>41</v>
      </c>
      <c r="B1408">
        <v>5</v>
      </c>
      <c r="C1408" t="str">
        <f>VLOOKUP(A1408,'Programas y Unidades'!$A:$B,2,0)</f>
        <v>Ingeniería Química</v>
      </c>
    </row>
    <row r="1409" spans="1:3">
      <c r="A1409">
        <v>41</v>
      </c>
      <c r="B1409">
        <v>3</v>
      </c>
      <c r="C1409" t="str">
        <f>VLOOKUP(A1409,'Programas y Unidades'!$A:$B,2,0)</f>
        <v>Ingeniería Química</v>
      </c>
    </row>
    <row r="1410" spans="1:3">
      <c r="A1410">
        <v>22</v>
      </c>
      <c r="B1410">
        <v>6</v>
      </c>
      <c r="C1410" t="str">
        <f>VLOOKUP(A1410,'Programas y Unidades'!$A:$B,2,0)</f>
        <v>Administración de Mercadeo y Logística Internacionales</v>
      </c>
    </row>
    <row r="1411" spans="1:3">
      <c r="A1411">
        <v>22</v>
      </c>
      <c r="B1411">
        <v>6</v>
      </c>
      <c r="C1411" t="str">
        <f>VLOOKUP(A1411,'Programas y Unidades'!$A:$B,2,0)</f>
        <v>Administración de Mercadeo y Logística Internacionales</v>
      </c>
    </row>
    <row r="1412" spans="1:3">
      <c r="A1412">
        <v>22</v>
      </c>
      <c r="B1412">
        <v>6</v>
      </c>
      <c r="C1412" t="str">
        <f>VLOOKUP(A1412,'Programas y Unidades'!$A:$B,2,0)</f>
        <v>Administración de Mercadeo y Logística Internacionales</v>
      </c>
    </row>
    <row r="1413" spans="1:3">
      <c r="A1413">
        <v>22</v>
      </c>
      <c r="B1413">
        <v>6</v>
      </c>
      <c r="C1413" t="str">
        <f>VLOOKUP(A1413,'Programas y Unidades'!$A:$B,2,0)</f>
        <v>Administración de Mercadeo y Logística Internacionales</v>
      </c>
    </row>
    <row r="1414" spans="1:3">
      <c r="A1414">
        <v>22</v>
      </c>
      <c r="B1414">
        <v>6</v>
      </c>
      <c r="C1414" t="str">
        <f>VLOOKUP(A1414,'Programas y Unidades'!$A:$B,2,0)</f>
        <v>Administración de Mercadeo y Logística Internacionales</v>
      </c>
    </row>
    <row r="1415" spans="1:3">
      <c r="A1415">
        <v>22</v>
      </c>
      <c r="B1415">
        <v>8</v>
      </c>
      <c r="C1415" t="str">
        <f>VLOOKUP(A1415,'Programas y Unidades'!$A:$B,2,0)</f>
        <v>Administración de Mercadeo y Logística Internacionales</v>
      </c>
    </row>
    <row r="1416" spans="1:3">
      <c r="A1416">
        <v>22</v>
      </c>
      <c r="B1416">
        <v>6</v>
      </c>
      <c r="C1416" t="str">
        <f>VLOOKUP(A1416,'Programas y Unidades'!$A:$B,2,0)</f>
        <v>Administración de Mercadeo y Logística Internacionales</v>
      </c>
    </row>
    <row r="1417" spans="1:3">
      <c r="A1417">
        <v>22</v>
      </c>
      <c r="B1417">
        <v>8</v>
      </c>
      <c r="C1417" t="str">
        <f>VLOOKUP(A1417,'Programas y Unidades'!$A:$B,2,0)</f>
        <v>Administración de Mercadeo y Logística Internacionales</v>
      </c>
    </row>
    <row r="1418" spans="1:3">
      <c r="A1418">
        <v>22</v>
      </c>
      <c r="B1418">
        <v>6</v>
      </c>
      <c r="C1418" t="str">
        <f>VLOOKUP(A1418,'Programas y Unidades'!$A:$B,2,0)</f>
        <v>Administración de Mercadeo y Logística Internacionales</v>
      </c>
    </row>
    <row r="1419" spans="1:3">
      <c r="A1419">
        <v>22</v>
      </c>
      <c r="B1419">
        <v>6</v>
      </c>
      <c r="C1419" t="str">
        <f>VLOOKUP(A1419,'Programas y Unidades'!$A:$B,2,0)</f>
        <v>Administración de Mercadeo y Logística Internacionales</v>
      </c>
    </row>
    <row r="1420" spans="1:3">
      <c r="A1420">
        <v>22</v>
      </c>
      <c r="B1420">
        <v>6</v>
      </c>
      <c r="C1420" t="str">
        <f>VLOOKUP(A1420,'Programas y Unidades'!$A:$B,2,0)</f>
        <v>Administración de Mercadeo y Logística Internacionales</v>
      </c>
    </row>
    <row r="1421" spans="1:3">
      <c r="A1421">
        <v>22</v>
      </c>
      <c r="B1421">
        <v>6</v>
      </c>
      <c r="C1421" t="str">
        <f>VLOOKUP(A1421,'Programas y Unidades'!$A:$B,2,0)</f>
        <v>Administración de Mercadeo y Logística Internacionales</v>
      </c>
    </row>
    <row r="1422" spans="1:3">
      <c r="A1422">
        <v>22</v>
      </c>
      <c r="B1422">
        <v>6</v>
      </c>
      <c r="C1422" t="str">
        <f>VLOOKUP(A1422,'Programas y Unidades'!$A:$B,2,0)</f>
        <v>Administración de Mercadeo y Logística Internacionales</v>
      </c>
    </row>
    <row r="1423" spans="1:3">
      <c r="A1423">
        <v>22</v>
      </c>
      <c r="B1423">
        <v>6</v>
      </c>
      <c r="C1423" t="str">
        <f>VLOOKUP(A1423,'Programas y Unidades'!$A:$B,2,0)</f>
        <v>Administración de Mercadeo y Logística Internacionales</v>
      </c>
    </row>
    <row r="1424" spans="1:3">
      <c r="A1424">
        <v>22</v>
      </c>
      <c r="B1424">
        <v>6</v>
      </c>
      <c r="C1424" t="str">
        <f>VLOOKUP(A1424,'Programas y Unidades'!$A:$B,2,0)</f>
        <v>Administración de Mercadeo y Logística Internacionales</v>
      </c>
    </row>
    <row r="1425" spans="1:3">
      <c r="A1425">
        <v>22</v>
      </c>
      <c r="B1425">
        <v>6</v>
      </c>
      <c r="C1425" t="str">
        <f>VLOOKUP(A1425,'Programas y Unidades'!$A:$B,2,0)</f>
        <v>Administración de Mercadeo y Logística Internacionales</v>
      </c>
    </row>
    <row r="1426" spans="1:3">
      <c r="A1426">
        <v>22</v>
      </c>
      <c r="B1426">
        <v>6</v>
      </c>
      <c r="C1426" t="str">
        <f>VLOOKUP(A1426,'Programas y Unidades'!$A:$B,2,0)</f>
        <v>Administración de Mercadeo y Logística Internacionales</v>
      </c>
    </row>
    <row r="1427" spans="1:3">
      <c r="A1427">
        <v>22</v>
      </c>
      <c r="B1427">
        <v>6</v>
      </c>
      <c r="C1427" t="str">
        <f>VLOOKUP(A1427,'Programas y Unidades'!$A:$B,2,0)</f>
        <v>Administración de Mercadeo y Logística Internacionales</v>
      </c>
    </row>
    <row r="1428" spans="1:3">
      <c r="A1428">
        <v>22</v>
      </c>
      <c r="B1428">
        <v>6</v>
      </c>
      <c r="C1428" t="str">
        <f>VLOOKUP(A1428,'Programas y Unidades'!$A:$B,2,0)</f>
        <v>Administración de Mercadeo y Logística Internacionales</v>
      </c>
    </row>
    <row r="1429" spans="1:3">
      <c r="A1429">
        <v>22</v>
      </c>
      <c r="B1429">
        <v>6</v>
      </c>
      <c r="C1429" t="str">
        <f>VLOOKUP(A1429,'Programas y Unidades'!$A:$B,2,0)</f>
        <v>Administración de Mercadeo y Logística Internacionales</v>
      </c>
    </row>
    <row r="1430" spans="1:3">
      <c r="A1430">
        <v>22</v>
      </c>
      <c r="B1430">
        <v>6</v>
      </c>
      <c r="C1430" t="str">
        <f>VLOOKUP(A1430,'Programas y Unidades'!$A:$B,2,0)</f>
        <v>Administración de Mercadeo y Logística Internacionales</v>
      </c>
    </row>
    <row r="1431" spans="1:3">
      <c r="A1431">
        <v>22</v>
      </c>
      <c r="B1431">
        <v>6</v>
      </c>
      <c r="C1431" t="str">
        <f>VLOOKUP(A1431,'Programas y Unidades'!$A:$B,2,0)</f>
        <v>Administración de Mercadeo y Logística Internacionales</v>
      </c>
    </row>
    <row r="1432" spans="1:3">
      <c r="A1432">
        <v>22</v>
      </c>
      <c r="B1432">
        <v>6</v>
      </c>
      <c r="C1432" t="str">
        <f>VLOOKUP(A1432,'Programas y Unidades'!$A:$B,2,0)</f>
        <v>Administración de Mercadeo y Logística Internacionales</v>
      </c>
    </row>
    <row r="1433" spans="1:3">
      <c r="A1433">
        <v>22</v>
      </c>
      <c r="B1433">
        <v>8</v>
      </c>
      <c r="C1433" t="str">
        <f>VLOOKUP(A1433,'Programas y Unidades'!$A:$B,2,0)</f>
        <v>Administración de Mercadeo y Logística Internacionales</v>
      </c>
    </row>
    <row r="1434" spans="1:3">
      <c r="A1434">
        <v>22</v>
      </c>
      <c r="B1434">
        <v>6</v>
      </c>
      <c r="C1434" t="str">
        <f>VLOOKUP(A1434,'Programas y Unidades'!$A:$B,2,0)</f>
        <v>Administración de Mercadeo y Logística Internacionales</v>
      </c>
    </row>
    <row r="1435" spans="1:3">
      <c r="A1435">
        <v>22</v>
      </c>
      <c r="B1435">
        <v>6</v>
      </c>
      <c r="C1435" t="str">
        <f>VLOOKUP(A1435,'Programas y Unidades'!$A:$B,2,0)</f>
        <v>Administración de Mercadeo y Logística Internacionales</v>
      </c>
    </row>
    <row r="1436" spans="1:3">
      <c r="A1436">
        <v>22</v>
      </c>
      <c r="B1436">
        <v>6</v>
      </c>
      <c r="C1436" t="str">
        <f>VLOOKUP(A1436,'Programas y Unidades'!$A:$B,2,0)</f>
        <v>Administración de Mercadeo y Logística Internacionales</v>
      </c>
    </row>
    <row r="1437" spans="1:3">
      <c r="A1437">
        <v>22</v>
      </c>
      <c r="B1437">
        <v>6</v>
      </c>
      <c r="C1437" t="str">
        <f>VLOOKUP(A1437,'Programas y Unidades'!$A:$B,2,0)</f>
        <v>Administración de Mercadeo y Logística Internacionales</v>
      </c>
    </row>
    <row r="1438" spans="1:3">
      <c r="A1438">
        <v>40</v>
      </c>
      <c r="B1438">
        <v>8</v>
      </c>
      <c r="C1438" t="str">
        <f>VLOOKUP(A1438,'Programas y Unidades'!$A:$B,2,0)</f>
        <v>Ingeniería Mecánica</v>
      </c>
    </row>
    <row r="1439" spans="1:3">
      <c r="A1439">
        <v>23</v>
      </c>
      <c r="B1439">
        <v>3</v>
      </c>
      <c r="C1439" t="str">
        <f>VLOOKUP(A1439,'Programas y Unidades'!$A:$B,2,0)</f>
        <v>Administración de Negocios Internacionales</v>
      </c>
    </row>
    <row r="1440" spans="1:3">
      <c r="A1440">
        <v>23</v>
      </c>
      <c r="B1440">
        <v>4</v>
      </c>
      <c r="C1440" t="str">
        <f>VLOOKUP(A1440,'Programas y Unidades'!$A:$B,2,0)</f>
        <v>Administración de Negocios Internacionales</v>
      </c>
    </row>
    <row r="1441" spans="1:3">
      <c r="A1441">
        <v>23</v>
      </c>
      <c r="B1441">
        <v>5</v>
      </c>
      <c r="C1441" t="str">
        <f>VLOOKUP(A1441,'Programas y Unidades'!$A:$B,2,0)</f>
        <v>Administración de Negocios Internacionales</v>
      </c>
    </row>
    <row r="1442" spans="1:3">
      <c r="A1442">
        <v>23</v>
      </c>
      <c r="B1442">
        <v>4</v>
      </c>
      <c r="C1442" t="str">
        <f>VLOOKUP(A1442,'Programas y Unidades'!$A:$B,2,0)</f>
        <v>Administración de Negocios Internacionales</v>
      </c>
    </row>
    <row r="1443" spans="1:3">
      <c r="A1443">
        <v>22</v>
      </c>
      <c r="B1443">
        <v>7</v>
      </c>
      <c r="C1443" t="str">
        <f>VLOOKUP(A1443,'Programas y Unidades'!$A:$B,2,0)</f>
        <v>Administración de Mercadeo y Logística Internacionales</v>
      </c>
    </row>
    <row r="1444" spans="1:3">
      <c r="A1444">
        <v>23</v>
      </c>
      <c r="B1444">
        <v>4</v>
      </c>
      <c r="C1444" t="str">
        <f>VLOOKUP(A1444,'Programas y Unidades'!$A:$B,2,0)</f>
        <v>Administración de Negocios Internacionales</v>
      </c>
    </row>
    <row r="1445" spans="1:3">
      <c r="A1445">
        <v>23</v>
      </c>
      <c r="B1445">
        <v>3</v>
      </c>
      <c r="C1445" t="str">
        <f>VLOOKUP(A1445,'Programas y Unidades'!$A:$B,2,0)</f>
        <v>Administración de Negocios Internacionales</v>
      </c>
    </row>
    <row r="1446" spans="1:3">
      <c r="A1446">
        <v>23</v>
      </c>
      <c r="B1446">
        <v>3</v>
      </c>
      <c r="C1446" t="str">
        <f>VLOOKUP(A1446,'Programas y Unidades'!$A:$B,2,0)</f>
        <v>Administración de Negocios Internacionales</v>
      </c>
    </row>
    <row r="1447" spans="1:3">
      <c r="A1447">
        <v>23</v>
      </c>
      <c r="B1447">
        <v>5</v>
      </c>
      <c r="C1447" t="str">
        <f>VLOOKUP(A1447,'Programas y Unidades'!$A:$B,2,0)</f>
        <v>Administración de Negocios Internacionales</v>
      </c>
    </row>
    <row r="1448" spans="1:3">
      <c r="A1448">
        <v>23</v>
      </c>
      <c r="B1448">
        <v>5</v>
      </c>
      <c r="C1448" t="str">
        <f>VLOOKUP(A1448,'Programas y Unidades'!$A:$B,2,0)</f>
        <v>Administración de Negocios Internacionales</v>
      </c>
    </row>
    <row r="1449" spans="1:3">
      <c r="A1449">
        <v>23</v>
      </c>
      <c r="B1449">
        <v>3</v>
      </c>
      <c r="C1449" t="str">
        <f>VLOOKUP(A1449,'Programas y Unidades'!$A:$B,2,0)</f>
        <v>Administración de Negocios Internacionales</v>
      </c>
    </row>
    <row r="1450" spans="1:3">
      <c r="A1450">
        <v>20</v>
      </c>
      <c r="B1450">
        <v>6</v>
      </c>
      <c r="C1450" t="str">
        <f>VLOOKUP(A1450,'Programas y Unidades'!$A:$B,2,0)</f>
        <v>Administración &amp; Servicio</v>
      </c>
    </row>
    <row r="1451" spans="1:3">
      <c r="A1451">
        <v>23</v>
      </c>
      <c r="B1451">
        <v>4</v>
      </c>
      <c r="C1451" t="str">
        <f>VLOOKUP(A1451,'Programas y Unidades'!$A:$B,2,0)</f>
        <v>Administración de Negocios Internacionales</v>
      </c>
    </row>
    <row r="1452" spans="1:3">
      <c r="A1452">
        <v>23</v>
      </c>
      <c r="B1452">
        <v>4</v>
      </c>
      <c r="C1452" t="str">
        <f>VLOOKUP(A1452,'Programas y Unidades'!$A:$B,2,0)</f>
        <v>Administración de Negocios Internacionales</v>
      </c>
    </row>
    <row r="1453" spans="1:3">
      <c r="A1453">
        <v>23</v>
      </c>
      <c r="B1453">
        <v>5</v>
      </c>
      <c r="C1453" t="str">
        <f>VLOOKUP(A1453,'Programas y Unidades'!$A:$B,2,0)</f>
        <v>Administración de Negocios Internacionales</v>
      </c>
    </row>
    <row r="1454" spans="1:3">
      <c r="A1454">
        <v>23</v>
      </c>
      <c r="B1454">
        <v>3</v>
      </c>
      <c r="C1454" t="str">
        <f>VLOOKUP(A1454,'Programas y Unidades'!$A:$B,2,0)</f>
        <v>Administración de Negocios Internacionales</v>
      </c>
    </row>
    <row r="1455" spans="1:3">
      <c r="A1455">
        <v>23</v>
      </c>
      <c r="B1455">
        <v>4</v>
      </c>
      <c r="C1455" t="str">
        <f>VLOOKUP(A1455,'Programas y Unidades'!$A:$B,2,0)</f>
        <v>Administración de Negocios Internacionales</v>
      </c>
    </row>
    <row r="1456" spans="1:3">
      <c r="A1456">
        <v>23</v>
      </c>
      <c r="B1456">
        <v>4</v>
      </c>
      <c r="C1456" t="str">
        <f>VLOOKUP(A1456,'Programas y Unidades'!$A:$B,2,0)</f>
        <v>Administración de Negocios Internacionales</v>
      </c>
    </row>
    <row r="1457" spans="1:3">
      <c r="A1457">
        <v>23</v>
      </c>
      <c r="B1457">
        <v>4</v>
      </c>
      <c r="C1457" t="str">
        <f>VLOOKUP(A1457,'Programas y Unidades'!$A:$B,2,0)</f>
        <v>Administración de Negocios Internacionales</v>
      </c>
    </row>
    <row r="1458" spans="1:3">
      <c r="A1458">
        <v>23</v>
      </c>
      <c r="B1458">
        <v>4</v>
      </c>
      <c r="C1458" t="str">
        <f>VLOOKUP(A1458,'Programas y Unidades'!$A:$B,2,0)</f>
        <v>Administración de Negocios Internacionales</v>
      </c>
    </row>
    <row r="1459" spans="1:3">
      <c r="A1459">
        <v>23</v>
      </c>
      <c r="B1459">
        <v>4</v>
      </c>
      <c r="C1459" t="str">
        <f>VLOOKUP(A1459,'Programas y Unidades'!$A:$B,2,0)</f>
        <v>Administración de Negocios Internacionales</v>
      </c>
    </row>
    <row r="1460" spans="1:3">
      <c r="A1460">
        <v>23</v>
      </c>
      <c r="B1460">
        <v>4</v>
      </c>
      <c r="C1460" t="str">
        <f>VLOOKUP(A1460,'Programas y Unidades'!$A:$B,2,0)</f>
        <v>Administración de Negocios Internacionales</v>
      </c>
    </row>
    <row r="1461" spans="1:3">
      <c r="A1461">
        <v>23</v>
      </c>
      <c r="B1461">
        <v>4</v>
      </c>
      <c r="C1461" t="str">
        <f>VLOOKUP(A1461,'Programas y Unidades'!$A:$B,2,0)</f>
        <v>Administración de Negocios Internacionales</v>
      </c>
    </row>
    <row r="1462" spans="1:3">
      <c r="A1462">
        <v>23</v>
      </c>
      <c r="B1462">
        <v>3</v>
      </c>
      <c r="C1462" t="str">
        <f>VLOOKUP(A1462,'Programas y Unidades'!$A:$B,2,0)</f>
        <v>Administración de Negocios Internacionales</v>
      </c>
    </row>
    <row r="1463" spans="1:3">
      <c r="A1463">
        <v>23</v>
      </c>
      <c r="B1463">
        <v>3</v>
      </c>
      <c r="C1463" t="str">
        <f>VLOOKUP(A1463,'Programas y Unidades'!$A:$B,2,0)</f>
        <v>Administración de Negocios Internacionales</v>
      </c>
    </row>
    <row r="1464" spans="1:3">
      <c r="A1464">
        <v>21</v>
      </c>
      <c r="B1464">
        <v>8</v>
      </c>
      <c r="C1464" t="str">
        <f>VLOOKUP(A1464,'Programas y Unidades'!$A:$B,2,0)</f>
        <v>Administración de Empresas</v>
      </c>
    </row>
    <row r="1465" spans="1:3">
      <c r="A1465">
        <v>23</v>
      </c>
      <c r="B1465">
        <v>4</v>
      </c>
      <c r="C1465" t="str">
        <f>VLOOKUP(A1465,'Programas y Unidades'!$A:$B,2,0)</f>
        <v>Administración de Negocios Internacionales</v>
      </c>
    </row>
    <row r="1466" spans="1:3">
      <c r="A1466">
        <v>23</v>
      </c>
      <c r="B1466">
        <v>4</v>
      </c>
      <c r="C1466" t="str">
        <f>VLOOKUP(A1466,'Programas y Unidades'!$A:$B,2,0)</f>
        <v>Administración de Negocios Internacionales</v>
      </c>
    </row>
    <row r="1467" spans="1:3">
      <c r="A1467">
        <v>23</v>
      </c>
      <c r="B1467">
        <v>2</v>
      </c>
      <c r="C1467" t="str">
        <f>VLOOKUP(A1467,'Programas y Unidades'!$A:$B,2,0)</f>
        <v>Administración de Negocios Internacionales</v>
      </c>
    </row>
    <row r="1468" spans="1:3">
      <c r="A1468">
        <v>23</v>
      </c>
      <c r="B1468">
        <v>5</v>
      </c>
      <c r="C1468" t="str">
        <f>VLOOKUP(A1468,'Programas y Unidades'!$A:$B,2,0)</f>
        <v>Administración de Negocios Internacionales</v>
      </c>
    </row>
    <row r="1469" spans="1:3">
      <c r="A1469">
        <v>41</v>
      </c>
      <c r="B1469">
        <v>7</v>
      </c>
      <c r="C1469" t="str">
        <f>VLOOKUP(A1469,'Programas y Unidades'!$A:$B,2,0)</f>
        <v>Ingeniería Química</v>
      </c>
    </row>
    <row r="1470" spans="1:3">
      <c r="A1470">
        <v>41</v>
      </c>
      <c r="B1470">
        <v>5</v>
      </c>
      <c r="C1470" t="str">
        <f>VLOOKUP(A1470,'Programas y Unidades'!$A:$B,2,0)</f>
        <v>Ingeniería Química</v>
      </c>
    </row>
    <row r="1471" spans="1:3">
      <c r="A1471">
        <v>41</v>
      </c>
      <c r="B1471">
        <v>4</v>
      </c>
      <c r="C1471" t="str">
        <f>VLOOKUP(A1471,'Programas y Unidades'!$A:$B,2,0)</f>
        <v>Ingeniería Química</v>
      </c>
    </row>
    <row r="1472" spans="1:3">
      <c r="A1472">
        <v>41</v>
      </c>
      <c r="B1472">
        <v>4</v>
      </c>
      <c r="C1472" t="str">
        <f>VLOOKUP(A1472,'Programas y Unidades'!$A:$B,2,0)</f>
        <v>Ingeniería Química</v>
      </c>
    </row>
    <row r="1473" spans="1:3">
      <c r="A1473">
        <v>146</v>
      </c>
      <c r="B1473">
        <v>4</v>
      </c>
      <c r="C1473" t="str">
        <f>VLOOKUP(A1473,'Programas y Unidades'!$A:$B,2,0)</f>
        <v>Ingeniería de Bioproducción</v>
      </c>
    </row>
    <row r="1474" spans="1:3">
      <c r="A1474">
        <v>41</v>
      </c>
      <c r="B1474">
        <v>5</v>
      </c>
      <c r="C1474" t="str">
        <f>VLOOKUP(A1474,'Programas y Unidades'!$A:$B,2,0)</f>
        <v>Ingeniería Química</v>
      </c>
    </row>
    <row r="1475" spans="1:3">
      <c r="A1475">
        <v>41</v>
      </c>
      <c r="B1475">
        <v>4</v>
      </c>
      <c r="C1475" t="str">
        <f>VLOOKUP(A1475,'Programas y Unidades'!$A:$B,2,0)</f>
        <v>Ingeniería Química</v>
      </c>
    </row>
    <row r="1476" spans="1:3">
      <c r="A1476">
        <v>41</v>
      </c>
      <c r="B1476">
        <v>4</v>
      </c>
      <c r="C1476" t="str">
        <f>VLOOKUP(A1476,'Programas y Unidades'!$A:$B,2,0)</f>
        <v>Ingeniería Química</v>
      </c>
    </row>
    <row r="1477" spans="1:3">
      <c r="A1477">
        <v>41</v>
      </c>
      <c r="B1477">
        <v>4</v>
      </c>
      <c r="C1477" t="str">
        <f>VLOOKUP(A1477,'Programas y Unidades'!$A:$B,2,0)</f>
        <v>Ingeniería Química</v>
      </c>
    </row>
    <row r="1478" spans="1:3">
      <c r="A1478">
        <v>41</v>
      </c>
      <c r="B1478">
        <v>2</v>
      </c>
      <c r="C1478" t="str">
        <f>VLOOKUP(A1478,'Programas y Unidades'!$A:$B,2,0)</f>
        <v>Ingeniería Química</v>
      </c>
    </row>
    <row r="1479" spans="1:3">
      <c r="A1479">
        <v>41</v>
      </c>
      <c r="B1479">
        <v>4</v>
      </c>
      <c r="C1479" t="str">
        <f>VLOOKUP(A1479,'Programas y Unidades'!$A:$B,2,0)</f>
        <v>Ingeniería Química</v>
      </c>
    </row>
    <row r="1480" spans="1:3">
      <c r="A1480">
        <v>41</v>
      </c>
      <c r="B1480">
        <v>5</v>
      </c>
      <c r="C1480" t="str">
        <f>VLOOKUP(A1480,'Programas y Unidades'!$A:$B,2,0)</f>
        <v>Ingeniería Química</v>
      </c>
    </row>
    <row r="1481" spans="1:3">
      <c r="A1481">
        <v>41</v>
      </c>
      <c r="B1481">
        <v>4</v>
      </c>
      <c r="C1481" t="str">
        <f>VLOOKUP(A1481,'Programas y Unidades'!$A:$B,2,0)</f>
        <v>Ingeniería Química</v>
      </c>
    </row>
    <row r="1482" spans="1:3">
      <c r="A1482">
        <v>41</v>
      </c>
      <c r="B1482">
        <v>4</v>
      </c>
      <c r="C1482" t="str">
        <f>VLOOKUP(A1482,'Programas y Unidades'!$A:$B,2,0)</f>
        <v>Ingeniería Química</v>
      </c>
    </row>
    <row r="1483" spans="1:3">
      <c r="A1483">
        <v>41</v>
      </c>
      <c r="B1483">
        <v>4</v>
      </c>
      <c r="C1483" t="str">
        <f>VLOOKUP(A1483,'Programas y Unidades'!$A:$B,2,0)</f>
        <v>Ingeniería Química</v>
      </c>
    </row>
    <row r="1484" spans="1:3">
      <c r="A1484">
        <v>34</v>
      </c>
      <c r="B1484">
        <v>8</v>
      </c>
      <c r="C1484" t="str">
        <f>VLOOKUP(A1484,'Programas y Unidades'!$A:$B,2,0)</f>
        <v>Fisioterapia</v>
      </c>
    </row>
    <row r="1485" spans="1:3">
      <c r="A1485">
        <v>34</v>
      </c>
      <c r="B1485">
        <v>8</v>
      </c>
      <c r="C1485" t="str">
        <f>VLOOKUP(A1485,'Programas y Unidades'!$A:$B,2,0)</f>
        <v>Fisioterapia</v>
      </c>
    </row>
    <row r="1486" spans="1:3">
      <c r="A1486">
        <v>34</v>
      </c>
      <c r="B1486">
        <v>8</v>
      </c>
      <c r="C1486" t="str">
        <f>VLOOKUP(A1486,'Programas y Unidades'!$A:$B,2,0)</f>
        <v>Fisioterapia</v>
      </c>
    </row>
    <row r="1487" spans="1:3">
      <c r="A1487">
        <v>34</v>
      </c>
      <c r="B1487">
        <v>8</v>
      </c>
      <c r="C1487" t="str">
        <f>VLOOKUP(A1487,'Programas y Unidades'!$A:$B,2,0)</f>
        <v>Fisioterapia</v>
      </c>
    </row>
    <row r="1488" spans="1:3">
      <c r="A1488">
        <v>34</v>
      </c>
      <c r="B1488">
        <v>8</v>
      </c>
      <c r="C1488" t="str">
        <f>VLOOKUP(A1488,'Programas y Unidades'!$A:$B,2,0)</f>
        <v>Fisioterapia</v>
      </c>
    </row>
    <row r="1489" spans="1:3">
      <c r="A1489">
        <v>34</v>
      </c>
      <c r="B1489">
        <v>8</v>
      </c>
      <c r="C1489" t="str">
        <f>VLOOKUP(A1489,'Programas y Unidades'!$A:$B,2,0)</f>
        <v>Fisioterapia</v>
      </c>
    </row>
    <row r="1490" spans="1:3">
      <c r="A1490">
        <v>34</v>
      </c>
      <c r="B1490">
        <v>8</v>
      </c>
      <c r="C1490" t="str">
        <f>VLOOKUP(A1490,'Programas y Unidades'!$A:$B,2,0)</f>
        <v>Fisioterapia</v>
      </c>
    </row>
    <row r="1491" spans="1:3">
      <c r="A1491">
        <v>34</v>
      </c>
      <c r="B1491">
        <v>8</v>
      </c>
      <c r="C1491" t="str">
        <f>VLOOKUP(A1491,'Programas y Unidades'!$A:$B,2,0)</f>
        <v>Fisioterapia</v>
      </c>
    </row>
    <row r="1492" spans="1:3">
      <c r="A1492">
        <v>34</v>
      </c>
      <c r="B1492">
        <v>8</v>
      </c>
      <c r="C1492" t="str">
        <f>VLOOKUP(A1492,'Programas y Unidades'!$A:$B,2,0)</f>
        <v>Fisioterapia</v>
      </c>
    </row>
    <row r="1493" spans="1:3">
      <c r="A1493">
        <v>34</v>
      </c>
      <c r="B1493">
        <v>8</v>
      </c>
      <c r="C1493" t="str">
        <f>VLOOKUP(A1493,'Programas y Unidades'!$A:$B,2,0)</f>
        <v>Fisioterapia</v>
      </c>
    </row>
    <row r="1494" spans="1:3">
      <c r="A1494">
        <v>34</v>
      </c>
      <c r="B1494">
        <v>8</v>
      </c>
      <c r="C1494" t="str">
        <f>VLOOKUP(A1494,'Programas y Unidades'!$A:$B,2,0)</f>
        <v>Fisioterapia</v>
      </c>
    </row>
    <row r="1495" spans="1:3">
      <c r="A1495">
        <v>34</v>
      </c>
      <c r="B1495">
        <v>8</v>
      </c>
      <c r="C1495" t="str">
        <f>VLOOKUP(A1495,'Programas y Unidades'!$A:$B,2,0)</f>
        <v>Fisioterapia</v>
      </c>
    </row>
    <row r="1496" spans="1:3">
      <c r="A1496">
        <v>34</v>
      </c>
      <c r="B1496">
        <v>8</v>
      </c>
      <c r="C1496" t="str">
        <f>VLOOKUP(A1496,'Programas y Unidades'!$A:$B,2,0)</f>
        <v>Fisioterapia</v>
      </c>
    </row>
    <row r="1497" spans="1:3">
      <c r="A1497">
        <v>34</v>
      </c>
      <c r="B1497">
        <v>8</v>
      </c>
      <c r="C1497" t="str">
        <f>VLOOKUP(A1497,'Programas y Unidades'!$A:$B,2,0)</f>
        <v>Fisioterapia</v>
      </c>
    </row>
    <row r="1498" spans="1:3">
      <c r="A1498">
        <v>34</v>
      </c>
      <c r="B1498">
        <v>8</v>
      </c>
      <c r="C1498" t="str">
        <f>VLOOKUP(A1498,'Programas y Unidades'!$A:$B,2,0)</f>
        <v>Fisioterapia</v>
      </c>
    </row>
    <row r="1499" spans="1:3">
      <c r="A1499">
        <v>34</v>
      </c>
      <c r="B1499">
        <v>8</v>
      </c>
      <c r="C1499" t="str">
        <f>VLOOKUP(A1499,'Programas y Unidades'!$A:$B,2,0)</f>
        <v>Fisioterapia</v>
      </c>
    </row>
    <row r="1500" spans="1:3">
      <c r="A1500">
        <v>34</v>
      </c>
      <c r="B1500">
        <v>2</v>
      </c>
      <c r="C1500" t="str">
        <f>VLOOKUP(A1500,'Programas y Unidades'!$A:$B,2,0)</f>
        <v>Fisioterapia</v>
      </c>
    </row>
    <row r="1501" spans="1:3">
      <c r="A1501">
        <v>34</v>
      </c>
      <c r="B1501">
        <v>8</v>
      </c>
      <c r="C1501" t="str">
        <f>VLOOKUP(A1501,'Programas y Unidades'!$A:$B,2,0)</f>
        <v>Fisioterapia</v>
      </c>
    </row>
    <row r="1502" spans="1:3">
      <c r="A1502">
        <v>34</v>
      </c>
      <c r="B1502">
        <v>8</v>
      </c>
      <c r="C1502" t="str">
        <f>VLOOKUP(A1502,'Programas y Unidades'!$A:$B,2,0)</f>
        <v>Fisioterapia</v>
      </c>
    </row>
    <row r="1503" spans="1:3">
      <c r="A1503">
        <v>34</v>
      </c>
      <c r="B1503">
        <v>8</v>
      </c>
      <c r="C1503" t="str">
        <f>VLOOKUP(A1503,'Programas y Unidades'!$A:$B,2,0)</f>
        <v>Fisioterapia</v>
      </c>
    </row>
    <row r="1504" spans="1:3">
      <c r="A1504">
        <v>34</v>
      </c>
      <c r="B1504">
        <v>8</v>
      </c>
      <c r="C1504" t="str">
        <f>VLOOKUP(A1504,'Programas y Unidades'!$A:$B,2,0)</f>
        <v>Fisioterapia</v>
      </c>
    </row>
    <row r="1505" spans="1:3">
      <c r="A1505">
        <v>34</v>
      </c>
      <c r="B1505">
        <v>8</v>
      </c>
      <c r="C1505" t="str">
        <f>VLOOKUP(A1505,'Programas y Unidades'!$A:$B,2,0)</f>
        <v>Fisioterapia</v>
      </c>
    </row>
    <row r="1506" spans="1:3">
      <c r="A1506">
        <v>34</v>
      </c>
      <c r="B1506">
        <v>8</v>
      </c>
      <c r="C1506" t="str">
        <f>VLOOKUP(A1506,'Programas y Unidades'!$A:$B,2,0)</f>
        <v>Fisioterapia</v>
      </c>
    </row>
    <row r="1507" spans="1:3">
      <c r="A1507">
        <v>34</v>
      </c>
      <c r="B1507">
        <v>8</v>
      </c>
      <c r="C1507" t="str">
        <f>VLOOKUP(A1507,'Programas y Unidades'!$A:$B,2,0)</f>
        <v>Fisioterapia</v>
      </c>
    </row>
    <row r="1508" spans="1:3">
      <c r="A1508">
        <v>34</v>
      </c>
      <c r="B1508">
        <v>8</v>
      </c>
      <c r="C1508" t="str">
        <f>VLOOKUP(A1508,'Programas y Unidades'!$A:$B,2,0)</f>
        <v>Fisioterapia</v>
      </c>
    </row>
    <row r="1509" spans="1:3">
      <c r="A1509">
        <v>34</v>
      </c>
      <c r="B1509">
        <v>8</v>
      </c>
      <c r="C1509" t="str">
        <f>VLOOKUP(A1509,'Programas y Unidades'!$A:$B,2,0)</f>
        <v>Fisioterapia</v>
      </c>
    </row>
    <row r="1510" spans="1:3">
      <c r="A1510">
        <v>34</v>
      </c>
      <c r="B1510">
        <v>8</v>
      </c>
      <c r="C1510" t="str">
        <f>VLOOKUP(A1510,'Programas y Unidades'!$A:$B,2,0)</f>
        <v>Fisioterapia</v>
      </c>
    </row>
    <row r="1511" spans="1:3">
      <c r="A1511">
        <v>34</v>
      </c>
      <c r="B1511">
        <v>8</v>
      </c>
      <c r="C1511" t="str">
        <f>VLOOKUP(A1511,'Programas y Unidades'!$A:$B,2,0)</f>
        <v>Fisioterapia</v>
      </c>
    </row>
    <row r="1512" spans="1:3">
      <c r="A1512">
        <v>34</v>
      </c>
      <c r="B1512">
        <v>8</v>
      </c>
      <c r="C1512" t="str">
        <f>VLOOKUP(A1512,'Programas y Unidades'!$A:$B,2,0)</f>
        <v>Fisioterapia</v>
      </c>
    </row>
    <row r="1513" spans="1:3">
      <c r="A1513">
        <v>34</v>
      </c>
      <c r="B1513">
        <v>8</v>
      </c>
      <c r="C1513" t="str">
        <f>VLOOKUP(A1513,'Programas y Unidades'!$A:$B,2,0)</f>
        <v>Fisioterapia</v>
      </c>
    </row>
    <row r="1514" spans="1:3">
      <c r="A1514">
        <v>34</v>
      </c>
      <c r="B1514">
        <v>8</v>
      </c>
      <c r="C1514" t="str">
        <f>VLOOKUP(A1514,'Programas y Unidades'!$A:$B,2,0)</f>
        <v>Fisioterapia</v>
      </c>
    </row>
    <row r="1515" spans="1:3">
      <c r="A1515">
        <v>34</v>
      </c>
      <c r="B1515">
        <v>8</v>
      </c>
      <c r="C1515" t="str">
        <f>VLOOKUP(A1515,'Programas y Unidades'!$A:$B,2,0)</f>
        <v>Fisioterapia</v>
      </c>
    </row>
    <row r="1516" spans="1:3">
      <c r="A1516">
        <v>34</v>
      </c>
      <c r="B1516">
        <v>8</v>
      </c>
      <c r="C1516" t="str">
        <f>VLOOKUP(A1516,'Programas y Unidades'!$A:$B,2,0)</f>
        <v>Fisioterapia</v>
      </c>
    </row>
    <row r="1517" spans="1:3">
      <c r="A1517">
        <v>23</v>
      </c>
      <c r="B1517">
        <v>7</v>
      </c>
      <c r="C1517" t="str">
        <f>VLOOKUP(A1517,'Programas y Unidades'!$A:$B,2,0)</f>
        <v>Administración de Negocios Internacionales</v>
      </c>
    </row>
    <row r="1518" spans="1:3">
      <c r="A1518">
        <v>20</v>
      </c>
      <c r="B1518">
        <v>7</v>
      </c>
      <c r="C1518" t="str">
        <f>VLOOKUP(A1518,'Programas y Unidades'!$A:$B,2,0)</f>
        <v>Administración &amp; Servicio</v>
      </c>
    </row>
    <row r="1519" spans="1:3">
      <c r="A1519">
        <v>20</v>
      </c>
      <c r="B1519">
        <v>7</v>
      </c>
      <c r="C1519" t="str">
        <f>VLOOKUP(A1519,'Programas y Unidades'!$A:$B,2,0)</f>
        <v>Administración &amp; Servicio</v>
      </c>
    </row>
    <row r="1520" spans="1:3">
      <c r="A1520">
        <v>20</v>
      </c>
      <c r="B1520">
        <v>4</v>
      </c>
      <c r="C1520" t="str">
        <f>VLOOKUP(A1520,'Programas y Unidades'!$A:$B,2,0)</f>
        <v>Administración &amp; Servicio</v>
      </c>
    </row>
    <row r="1521" spans="1:3">
      <c r="A1521">
        <v>24</v>
      </c>
      <c r="B1521">
        <v>2</v>
      </c>
      <c r="C1521" t="str">
        <f>VLOOKUP(A1521,'Programas y Unidades'!$A:$B,2,0)</f>
        <v>Economía y Finanzas Internacionales</v>
      </c>
    </row>
    <row r="1522" spans="1:3">
      <c r="A1522">
        <v>20</v>
      </c>
      <c r="B1522">
        <v>4</v>
      </c>
      <c r="C1522" t="str">
        <f>VLOOKUP(A1522,'Programas y Unidades'!$A:$B,2,0)</f>
        <v>Administración &amp; Servicio</v>
      </c>
    </row>
    <row r="1523" spans="1:3">
      <c r="A1523">
        <v>23</v>
      </c>
      <c r="B1523">
        <v>4</v>
      </c>
      <c r="C1523" t="str">
        <f>VLOOKUP(A1523,'Programas y Unidades'!$A:$B,2,0)</f>
        <v>Administración de Negocios Internacionales</v>
      </c>
    </row>
    <row r="1524" spans="1:3">
      <c r="A1524">
        <v>23</v>
      </c>
      <c r="B1524">
        <v>5</v>
      </c>
      <c r="C1524" t="str">
        <f>VLOOKUP(A1524,'Programas y Unidades'!$A:$B,2,0)</f>
        <v>Administración de Negocios Internacionales</v>
      </c>
    </row>
    <row r="1525" spans="1:3">
      <c r="A1525">
        <v>23</v>
      </c>
      <c r="B1525">
        <v>7</v>
      </c>
      <c r="C1525" t="str">
        <f>VLOOKUP(A1525,'Programas y Unidades'!$A:$B,2,0)</f>
        <v>Administración de Negocios Internacionales</v>
      </c>
    </row>
    <row r="1526" spans="1:3">
      <c r="A1526">
        <v>23</v>
      </c>
      <c r="B1526">
        <v>5</v>
      </c>
      <c r="C1526" t="str">
        <f>VLOOKUP(A1526,'Programas y Unidades'!$A:$B,2,0)</f>
        <v>Administración de Negocios Internacionales</v>
      </c>
    </row>
    <row r="1527" spans="1:3">
      <c r="A1527">
        <v>23</v>
      </c>
      <c r="B1527">
        <v>5</v>
      </c>
      <c r="C1527" t="str">
        <f>VLOOKUP(A1527,'Programas y Unidades'!$A:$B,2,0)</f>
        <v>Administración de Negocios Internacionales</v>
      </c>
    </row>
    <row r="1528" spans="1:3">
      <c r="A1528">
        <v>23</v>
      </c>
      <c r="B1528">
        <v>5</v>
      </c>
      <c r="C1528" t="str">
        <f>VLOOKUP(A1528,'Programas y Unidades'!$A:$B,2,0)</f>
        <v>Administración de Negocios Internacionales</v>
      </c>
    </row>
    <row r="1529" spans="1:3">
      <c r="A1529">
        <v>23</v>
      </c>
      <c r="B1529">
        <v>5</v>
      </c>
      <c r="C1529" t="str">
        <f>VLOOKUP(A1529,'Programas y Unidades'!$A:$B,2,0)</f>
        <v>Administración de Negocios Internacionales</v>
      </c>
    </row>
    <row r="1530" spans="1:3">
      <c r="A1530">
        <v>23</v>
      </c>
      <c r="B1530">
        <v>5</v>
      </c>
      <c r="C1530" t="str">
        <f>VLOOKUP(A1530,'Programas y Unidades'!$A:$B,2,0)</f>
        <v>Administración de Negocios Internacionales</v>
      </c>
    </row>
    <row r="1531" spans="1:3">
      <c r="A1531">
        <v>23</v>
      </c>
      <c r="B1531">
        <v>5</v>
      </c>
      <c r="C1531" t="str">
        <f>VLOOKUP(A1531,'Programas y Unidades'!$A:$B,2,0)</f>
        <v>Administración de Negocios Internacionales</v>
      </c>
    </row>
    <row r="1532" spans="1:3">
      <c r="A1532">
        <v>23</v>
      </c>
      <c r="B1532">
        <v>5</v>
      </c>
      <c r="C1532" t="str">
        <f>VLOOKUP(A1532,'Programas y Unidades'!$A:$B,2,0)</f>
        <v>Administración de Negocios Internacionales</v>
      </c>
    </row>
    <row r="1533" spans="1:3">
      <c r="A1533">
        <v>23</v>
      </c>
      <c r="B1533">
        <v>3</v>
      </c>
      <c r="C1533" t="str">
        <f>VLOOKUP(A1533,'Programas y Unidades'!$A:$B,2,0)</f>
        <v>Administración de Negocios Internacionales</v>
      </c>
    </row>
    <row r="1534" spans="1:3">
      <c r="A1534">
        <v>23</v>
      </c>
      <c r="B1534">
        <v>6</v>
      </c>
      <c r="C1534" t="str">
        <f>VLOOKUP(A1534,'Programas y Unidades'!$A:$B,2,0)</f>
        <v>Administración de Negocios Internacionales</v>
      </c>
    </row>
    <row r="1535" spans="1:3">
      <c r="A1535">
        <v>23</v>
      </c>
      <c r="B1535">
        <v>5</v>
      </c>
      <c r="C1535" t="str">
        <f>VLOOKUP(A1535,'Programas y Unidades'!$A:$B,2,0)</f>
        <v>Administración de Negocios Internacionales</v>
      </c>
    </row>
    <row r="1536" spans="1:3">
      <c r="A1536">
        <v>23</v>
      </c>
      <c r="B1536">
        <v>5</v>
      </c>
      <c r="C1536" t="str">
        <f>VLOOKUP(A1536,'Programas y Unidades'!$A:$B,2,0)</f>
        <v>Administración de Negocios Internacionales</v>
      </c>
    </row>
    <row r="1537" spans="1:3">
      <c r="A1537">
        <v>23</v>
      </c>
      <c r="B1537">
        <v>5</v>
      </c>
      <c r="C1537" t="str">
        <f>VLOOKUP(A1537,'Programas y Unidades'!$A:$B,2,0)</f>
        <v>Administración de Negocios Internacionales</v>
      </c>
    </row>
    <row r="1538" spans="1:3">
      <c r="A1538">
        <v>23</v>
      </c>
      <c r="B1538">
        <v>5</v>
      </c>
      <c r="C1538" t="str">
        <f>VLOOKUP(A1538,'Programas y Unidades'!$A:$B,2,0)</f>
        <v>Administración de Negocios Internacionales</v>
      </c>
    </row>
    <row r="1539" spans="1:3">
      <c r="A1539">
        <v>23</v>
      </c>
      <c r="B1539">
        <v>5</v>
      </c>
      <c r="C1539" t="str">
        <f>VLOOKUP(A1539,'Programas y Unidades'!$A:$B,2,0)</f>
        <v>Administración de Negocios Internacionales</v>
      </c>
    </row>
    <row r="1540" spans="1:3">
      <c r="A1540">
        <v>23</v>
      </c>
      <c r="B1540">
        <v>5</v>
      </c>
      <c r="C1540" t="str">
        <f>VLOOKUP(A1540,'Programas y Unidades'!$A:$B,2,0)</f>
        <v>Administración de Negocios Internacionales</v>
      </c>
    </row>
    <row r="1541" spans="1:3">
      <c r="A1541">
        <v>23</v>
      </c>
      <c r="B1541">
        <v>5</v>
      </c>
      <c r="C1541" t="str">
        <f>VLOOKUP(A1541,'Programas y Unidades'!$A:$B,2,0)</f>
        <v>Administración de Negocios Internacionales</v>
      </c>
    </row>
    <row r="1542" spans="1:3">
      <c r="A1542">
        <v>23</v>
      </c>
      <c r="B1542">
        <v>5</v>
      </c>
      <c r="C1542" t="str">
        <f>VLOOKUP(A1542,'Programas y Unidades'!$A:$B,2,0)</f>
        <v>Administración de Negocios Internacionales</v>
      </c>
    </row>
    <row r="1543" spans="1:3">
      <c r="A1543">
        <v>22</v>
      </c>
      <c r="B1543">
        <v>7</v>
      </c>
      <c r="C1543" t="str">
        <f>VLOOKUP(A1543,'Programas y Unidades'!$A:$B,2,0)</f>
        <v>Administración de Mercadeo y Logística Internacionales</v>
      </c>
    </row>
    <row r="1544" spans="1:3">
      <c r="A1544">
        <v>22</v>
      </c>
      <c r="B1544">
        <v>8</v>
      </c>
      <c r="C1544" t="str">
        <f>VLOOKUP(A1544,'Programas y Unidades'!$A:$B,2,0)</f>
        <v>Administración de Mercadeo y Logística Internacionales</v>
      </c>
    </row>
    <row r="1545" spans="1:3">
      <c r="A1545">
        <v>23</v>
      </c>
      <c r="B1545">
        <v>5</v>
      </c>
      <c r="C1545" t="str">
        <f>VLOOKUP(A1545,'Programas y Unidades'!$A:$B,2,0)</f>
        <v>Administración de Negocios Internacionales</v>
      </c>
    </row>
    <row r="1546" spans="1:3">
      <c r="A1546">
        <v>23</v>
      </c>
      <c r="B1546">
        <v>6</v>
      </c>
      <c r="C1546" t="str">
        <f>VLOOKUP(A1546,'Programas y Unidades'!$A:$B,2,0)</f>
        <v>Administración de Negocios Internacionales</v>
      </c>
    </row>
    <row r="1547" spans="1:3">
      <c r="A1547">
        <v>23</v>
      </c>
      <c r="B1547">
        <v>5</v>
      </c>
      <c r="C1547" t="str">
        <f>VLOOKUP(A1547,'Programas y Unidades'!$A:$B,2,0)</f>
        <v>Administración de Negocios Internacionales</v>
      </c>
    </row>
    <row r="1548" spans="1:3">
      <c r="A1548">
        <v>22</v>
      </c>
      <c r="B1548">
        <v>7</v>
      </c>
      <c r="C1548" t="str">
        <f>VLOOKUP(A1548,'Programas y Unidades'!$A:$B,2,0)</f>
        <v>Administración de Mercadeo y Logística Internacionales</v>
      </c>
    </row>
    <row r="1549" spans="1:3">
      <c r="A1549">
        <v>23</v>
      </c>
      <c r="B1549">
        <v>4</v>
      </c>
      <c r="C1549" t="str">
        <f>VLOOKUP(A1549,'Programas y Unidades'!$A:$B,2,0)</f>
        <v>Administración de Negocios Internacionales</v>
      </c>
    </row>
    <row r="1550" spans="1:3">
      <c r="A1550">
        <v>22</v>
      </c>
      <c r="B1550">
        <v>7</v>
      </c>
      <c r="C1550" t="str">
        <f>VLOOKUP(A1550,'Programas y Unidades'!$A:$B,2,0)</f>
        <v>Administración de Mercadeo y Logística Internacionales</v>
      </c>
    </row>
    <row r="1551" spans="1:3">
      <c r="A1551">
        <v>22</v>
      </c>
      <c r="B1551">
        <v>7</v>
      </c>
      <c r="C1551" t="str">
        <f>VLOOKUP(A1551,'Programas y Unidades'!$A:$B,2,0)</f>
        <v>Administración de Mercadeo y Logística Internacionales</v>
      </c>
    </row>
    <row r="1552" spans="1:3">
      <c r="A1552">
        <v>23</v>
      </c>
      <c r="B1552">
        <v>6</v>
      </c>
      <c r="C1552" t="str">
        <f>VLOOKUP(A1552,'Programas y Unidades'!$A:$B,2,0)</f>
        <v>Administración de Negocios Internacionales</v>
      </c>
    </row>
    <row r="1553" spans="1:3">
      <c r="A1553">
        <v>29</v>
      </c>
      <c r="B1553">
        <v>6</v>
      </c>
      <c r="C1553" t="str">
        <f>VLOOKUP(A1553,'Programas y Unidades'!$A:$B,2,0)</f>
        <v>Ciencias Políticas</v>
      </c>
    </row>
    <row r="1554" spans="1:3">
      <c r="A1554">
        <v>29</v>
      </c>
      <c r="B1554">
        <v>4</v>
      </c>
      <c r="C1554" t="str">
        <f>VLOOKUP(A1554,'Programas y Unidades'!$A:$B,2,0)</f>
        <v>Ciencias Políticas</v>
      </c>
    </row>
    <row r="1555" spans="1:3">
      <c r="A1555">
        <v>29</v>
      </c>
      <c r="B1555">
        <v>6</v>
      </c>
      <c r="C1555" t="str">
        <f>VLOOKUP(A1555,'Programas y Unidades'!$A:$B,2,0)</f>
        <v>Ciencias Políticas</v>
      </c>
    </row>
    <row r="1556" spans="1:3">
      <c r="A1556">
        <v>29</v>
      </c>
      <c r="B1556">
        <v>6</v>
      </c>
      <c r="C1556" t="str">
        <f>VLOOKUP(A1556,'Programas y Unidades'!$A:$B,2,0)</f>
        <v>Ciencias Políticas</v>
      </c>
    </row>
    <row r="1557" spans="1:3">
      <c r="A1557">
        <v>29</v>
      </c>
      <c r="B1557">
        <v>6</v>
      </c>
      <c r="C1557" t="str">
        <f>VLOOKUP(A1557,'Programas y Unidades'!$A:$B,2,0)</f>
        <v>Ciencias Políticas</v>
      </c>
    </row>
    <row r="1558" spans="1:3">
      <c r="A1558">
        <v>29</v>
      </c>
      <c r="B1558">
        <v>6</v>
      </c>
      <c r="C1558" t="str">
        <f>VLOOKUP(A1558,'Programas y Unidades'!$A:$B,2,0)</f>
        <v>Ciencias Políticas</v>
      </c>
    </row>
    <row r="1559" spans="1:3">
      <c r="A1559">
        <v>29</v>
      </c>
      <c r="B1559">
        <v>7</v>
      </c>
      <c r="C1559" t="str">
        <f>VLOOKUP(A1559,'Programas y Unidades'!$A:$B,2,0)</f>
        <v>Ciencias Políticas</v>
      </c>
    </row>
    <row r="1560" spans="1:3">
      <c r="A1560">
        <v>29</v>
      </c>
      <c r="B1560">
        <v>6</v>
      </c>
      <c r="C1560" t="str">
        <f>VLOOKUP(A1560,'Programas y Unidades'!$A:$B,2,0)</f>
        <v>Ciencias Políticas</v>
      </c>
    </row>
    <row r="1561" spans="1:3">
      <c r="A1561">
        <v>29</v>
      </c>
      <c r="B1561">
        <v>6</v>
      </c>
      <c r="C1561" t="str">
        <f>VLOOKUP(A1561,'Programas y Unidades'!$A:$B,2,0)</f>
        <v>Ciencias Políticas</v>
      </c>
    </row>
    <row r="1562" spans="1:3">
      <c r="A1562">
        <v>29</v>
      </c>
      <c r="B1562">
        <v>7</v>
      </c>
      <c r="C1562" t="str">
        <f>VLOOKUP(A1562,'Programas y Unidades'!$A:$B,2,0)</f>
        <v>Ciencias Políticas</v>
      </c>
    </row>
    <row r="1563" spans="1:3">
      <c r="A1563">
        <v>29</v>
      </c>
      <c r="B1563">
        <v>6</v>
      </c>
      <c r="C1563" t="str">
        <f>VLOOKUP(A1563,'Programas y Unidades'!$A:$B,2,0)</f>
        <v>Ciencias Políticas</v>
      </c>
    </row>
    <row r="1564" spans="1:3">
      <c r="A1564">
        <v>30</v>
      </c>
      <c r="B1564">
        <v>6</v>
      </c>
      <c r="C1564" t="str">
        <f>VLOOKUP(A1564,'Programas y Unidades'!$A:$B,2,0)</f>
        <v>Derecho</v>
      </c>
    </row>
    <row r="1565" spans="1:3">
      <c r="A1565">
        <v>30</v>
      </c>
      <c r="B1565">
        <v>7</v>
      </c>
      <c r="C1565" t="str">
        <f>VLOOKUP(A1565,'Programas y Unidades'!$A:$B,2,0)</f>
        <v>Derecho</v>
      </c>
    </row>
    <row r="1566" spans="1:3">
      <c r="A1566">
        <v>30</v>
      </c>
      <c r="B1566">
        <v>6</v>
      </c>
      <c r="C1566" t="str">
        <f>VLOOKUP(A1566,'Programas y Unidades'!$A:$B,2,0)</f>
        <v>Derecho</v>
      </c>
    </row>
    <row r="1567" spans="1:3">
      <c r="A1567">
        <v>30</v>
      </c>
      <c r="B1567">
        <v>6</v>
      </c>
      <c r="C1567" t="str">
        <f>VLOOKUP(A1567,'Programas y Unidades'!$A:$B,2,0)</f>
        <v>Derecho</v>
      </c>
    </row>
    <row r="1568" spans="1:3">
      <c r="A1568">
        <v>30</v>
      </c>
      <c r="B1568">
        <v>6</v>
      </c>
      <c r="C1568" t="str">
        <f>VLOOKUP(A1568,'Programas y Unidades'!$A:$B,2,0)</f>
        <v>Derecho</v>
      </c>
    </row>
    <row r="1569" spans="1:3">
      <c r="A1569">
        <v>30</v>
      </c>
      <c r="B1569">
        <v>7</v>
      </c>
      <c r="C1569" t="str">
        <f>VLOOKUP(A1569,'Programas y Unidades'!$A:$B,2,0)</f>
        <v>Derecho</v>
      </c>
    </row>
    <row r="1570" spans="1:3">
      <c r="A1570">
        <v>30</v>
      </c>
      <c r="B1570">
        <v>6</v>
      </c>
      <c r="C1570" t="str">
        <f>VLOOKUP(A1570,'Programas y Unidades'!$A:$B,2,0)</f>
        <v>Derecho</v>
      </c>
    </row>
    <row r="1571" spans="1:3">
      <c r="A1571">
        <v>30</v>
      </c>
      <c r="B1571">
        <v>6</v>
      </c>
      <c r="C1571" t="str">
        <f>VLOOKUP(A1571,'Programas y Unidades'!$A:$B,2,0)</f>
        <v>Derecho</v>
      </c>
    </row>
    <row r="1572" spans="1:3">
      <c r="A1572">
        <v>30</v>
      </c>
      <c r="B1572">
        <v>7</v>
      </c>
      <c r="C1572" t="str">
        <f>VLOOKUP(A1572,'Programas y Unidades'!$A:$B,2,0)</f>
        <v>Derecho</v>
      </c>
    </row>
    <row r="1573" spans="1:3">
      <c r="A1573">
        <v>30</v>
      </c>
      <c r="B1573">
        <v>7</v>
      </c>
      <c r="C1573" t="str">
        <f>VLOOKUP(A1573,'Programas y Unidades'!$A:$B,2,0)</f>
        <v>Derecho</v>
      </c>
    </row>
    <row r="1574" spans="1:3">
      <c r="A1574">
        <v>30</v>
      </c>
      <c r="B1574">
        <v>7</v>
      </c>
      <c r="C1574" t="str">
        <f>VLOOKUP(A1574,'Programas y Unidades'!$A:$B,2,0)</f>
        <v>Derecho</v>
      </c>
    </row>
    <row r="1575" spans="1:3">
      <c r="A1575">
        <v>30</v>
      </c>
      <c r="B1575">
        <v>6</v>
      </c>
      <c r="C1575" t="str">
        <f>VLOOKUP(A1575,'Programas y Unidades'!$A:$B,2,0)</f>
        <v>Derecho</v>
      </c>
    </row>
    <row r="1576" spans="1:3">
      <c r="A1576">
        <v>30</v>
      </c>
      <c r="B1576">
        <v>6</v>
      </c>
      <c r="C1576" t="str">
        <f>VLOOKUP(A1576,'Programas y Unidades'!$A:$B,2,0)</f>
        <v>Derecho</v>
      </c>
    </row>
    <row r="1577" spans="1:3">
      <c r="A1577">
        <v>30</v>
      </c>
      <c r="B1577">
        <v>8</v>
      </c>
      <c r="C1577" t="str">
        <f>VLOOKUP(A1577,'Programas y Unidades'!$A:$B,2,0)</f>
        <v>Derecho</v>
      </c>
    </row>
    <row r="1578" spans="1:3">
      <c r="A1578">
        <v>30</v>
      </c>
      <c r="B1578">
        <v>6</v>
      </c>
      <c r="C1578" t="str">
        <f>VLOOKUP(A1578,'Programas y Unidades'!$A:$B,2,0)</f>
        <v>Derecho</v>
      </c>
    </row>
    <row r="1579" spans="1:3">
      <c r="A1579">
        <v>30</v>
      </c>
      <c r="B1579">
        <v>6</v>
      </c>
      <c r="C1579" t="str">
        <f>VLOOKUP(A1579,'Programas y Unidades'!$A:$B,2,0)</f>
        <v>Derecho</v>
      </c>
    </row>
    <row r="1580" spans="1:3">
      <c r="A1580">
        <v>30</v>
      </c>
      <c r="B1580">
        <v>6</v>
      </c>
      <c r="C1580" t="str">
        <f>VLOOKUP(A1580,'Programas y Unidades'!$A:$B,2,0)</f>
        <v>Derecho</v>
      </c>
    </row>
    <row r="1581" spans="1:3">
      <c r="A1581">
        <v>30</v>
      </c>
      <c r="B1581">
        <v>6</v>
      </c>
      <c r="C1581" t="str">
        <f>VLOOKUP(A1581,'Programas y Unidades'!$A:$B,2,0)</f>
        <v>Derecho</v>
      </c>
    </row>
    <row r="1582" spans="1:3">
      <c r="A1582">
        <v>30</v>
      </c>
      <c r="B1582">
        <v>6</v>
      </c>
      <c r="C1582" t="str">
        <f>VLOOKUP(A1582,'Programas y Unidades'!$A:$B,2,0)</f>
        <v>Derecho</v>
      </c>
    </row>
    <row r="1583" spans="1:3">
      <c r="A1583">
        <v>30</v>
      </c>
      <c r="B1583">
        <v>6</v>
      </c>
      <c r="C1583" t="str">
        <f>VLOOKUP(A1583,'Programas y Unidades'!$A:$B,2,0)</f>
        <v>Derecho</v>
      </c>
    </row>
    <row r="1584" spans="1:3">
      <c r="A1584">
        <v>30</v>
      </c>
      <c r="B1584">
        <v>6</v>
      </c>
      <c r="C1584" t="str">
        <f>VLOOKUP(A1584,'Programas y Unidades'!$A:$B,2,0)</f>
        <v>Derecho</v>
      </c>
    </row>
    <row r="1585" spans="1:3">
      <c r="A1585">
        <v>30</v>
      </c>
      <c r="B1585">
        <v>6</v>
      </c>
      <c r="C1585" t="str">
        <f>VLOOKUP(A1585,'Programas y Unidades'!$A:$B,2,0)</f>
        <v>Derecho</v>
      </c>
    </row>
    <row r="1586" spans="1:3">
      <c r="A1586">
        <v>30</v>
      </c>
      <c r="B1586">
        <v>6</v>
      </c>
      <c r="C1586" t="str">
        <f>VLOOKUP(A1586,'Programas y Unidades'!$A:$B,2,0)</f>
        <v>Derecho</v>
      </c>
    </row>
    <row r="1587" spans="1:3">
      <c r="A1587">
        <v>30</v>
      </c>
      <c r="B1587">
        <v>6</v>
      </c>
      <c r="C1587" t="str">
        <f>VLOOKUP(A1587,'Programas y Unidades'!$A:$B,2,0)</f>
        <v>Derecho</v>
      </c>
    </row>
    <row r="1588" spans="1:3">
      <c r="A1588">
        <v>30</v>
      </c>
      <c r="B1588">
        <v>6</v>
      </c>
      <c r="C1588" t="str">
        <f>VLOOKUP(A1588,'Programas y Unidades'!$A:$B,2,0)</f>
        <v>Derecho</v>
      </c>
    </row>
    <row r="1589" spans="1:3">
      <c r="A1589">
        <v>30</v>
      </c>
      <c r="B1589">
        <v>6</v>
      </c>
      <c r="C1589" t="str">
        <f>VLOOKUP(A1589,'Programas y Unidades'!$A:$B,2,0)</f>
        <v>Derecho</v>
      </c>
    </row>
    <row r="1590" spans="1:3">
      <c r="A1590">
        <v>30</v>
      </c>
      <c r="B1590">
        <v>7</v>
      </c>
      <c r="C1590" t="str">
        <f>VLOOKUP(A1590,'Programas y Unidades'!$A:$B,2,0)</f>
        <v>Derecho</v>
      </c>
    </row>
    <row r="1591" spans="1:3">
      <c r="A1591">
        <v>30</v>
      </c>
      <c r="B1591">
        <v>6</v>
      </c>
      <c r="C1591" t="str">
        <f>VLOOKUP(A1591,'Programas y Unidades'!$A:$B,2,0)</f>
        <v>Derecho</v>
      </c>
    </row>
    <row r="1592" spans="1:3">
      <c r="A1592">
        <v>30</v>
      </c>
      <c r="B1592">
        <v>6</v>
      </c>
      <c r="C1592" t="str">
        <f>VLOOKUP(A1592,'Programas y Unidades'!$A:$B,2,0)</f>
        <v>Derecho</v>
      </c>
    </row>
    <row r="1593" spans="1:3">
      <c r="A1593">
        <v>30</v>
      </c>
      <c r="B1593">
        <v>5</v>
      </c>
      <c r="C1593" t="str">
        <f>VLOOKUP(A1593,'Programas y Unidades'!$A:$B,2,0)</f>
        <v>Derecho</v>
      </c>
    </row>
    <row r="1594" spans="1:3">
      <c r="A1594">
        <v>30</v>
      </c>
      <c r="B1594">
        <v>6</v>
      </c>
      <c r="C1594" t="str">
        <f>VLOOKUP(A1594,'Programas y Unidades'!$A:$B,2,0)</f>
        <v>Derecho</v>
      </c>
    </row>
    <row r="1595" spans="1:3">
      <c r="A1595">
        <v>30</v>
      </c>
      <c r="B1595">
        <v>6</v>
      </c>
      <c r="C1595" t="str">
        <f>VLOOKUP(A1595,'Programas y Unidades'!$A:$B,2,0)</f>
        <v>Derecho</v>
      </c>
    </row>
    <row r="1596" spans="1:3">
      <c r="A1596">
        <v>30</v>
      </c>
      <c r="B1596">
        <v>6</v>
      </c>
      <c r="C1596" t="str">
        <f>VLOOKUP(A1596,'Programas y Unidades'!$A:$B,2,0)</f>
        <v>Derecho</v>
      </c>
    </row>
    <row r="1597" spans="1:3">
      <c r="A1597">
        <v>28</v>
      </c>
      <c r="B1597">
        <v>2</v>
      </c>
      <c r="C1597" t="str">
        <f>VLOOKUP(A1597,'Programas y Unidades'!$A:$B,2,0)</f>
        <v>Comunicación Social y Periodismo</v>
      </c>
    </row>
    <row r="1598" spans="1:3">
      <c r="A1598">
        <v>27</v>
      </c>
      <c r="B1598">
        <v>6</v>
      </c>
      <c r="C1598" t="str">
        <f>VLOOKUP(A1598,'Programas y Unidades'!$A:$B,2,0)</f>
        <v>Comunicación Audiovisual y Multimedios</v>
      </c>
    </row>
    <row r="1599" spans="1:3">
      <c r="A1599">
        <v>26</v>
      </c>
      <c r="B1599">
        <v>6</v>
      </c>
      <c r="C1599" t="str">
        <f>VLOOKUP(A1599,'Programas y Unidades'!$A:$B,2,0)</f>
        <v>Comunicación Corporativa</v>
      </c>
    </row>
    <row r="1600" spans="1:3">
      <c r="A1600">
        <v>28</v>
      </c>
      <c r="B1600">
        <v>2</v>
      </c>
      <c r="C1600" t="str">
        <f>VLOOKUP(A1600,'Programas y Unidades'!$A:$B,2,0)</f>
        <v>Comunicación Social y Periodismo</v>
      </c>
    </row>
    <row r="1601" spans="1:3">
      <c r="A1601">
        <v>27</v>
      </c>
      <c r="B1601">
        <v>7</v>
      </c>
      <c r="C1601" t="str">
        <f>VLOOKUP(A1601,'Programas y Unidades'!$A:$B,2,0)</f>
        <v>Comunicación Audiovisual y Multimedios</v>
      </c>
    </row>
    <row r="1602" spans="1:3">
      <c r="A1602">
        <v>28</v>
      </c>
      <c r="B1602">
        <v>2</v>
      </c>
      <c r="C1602" t="str">
        <f>VLOOKUP(A1602,'Programas y Unidades'!$A:$B,2,0)</f>
        <v>Comunicación Social y Periodismo</v>
      </c>
    </row>
    <row r="1603" spans="1:3">
      <c r="A1603">
        <v>27</v>
      </c>
      <c r="B1603">
        <v>8</v>
      </c>
      <c r="C1603" t="str">
        <f>VLOOKUP(A1603,'Programas y Unidades'!$A:$B,2,0)</f>
        <v>Comunicación Audiovisual y Multimedios</v>
      </c>
    </row>
    <row r="1604" spans="1:3">
      <c r="A1604">
        <v>27</v>
      </c>
      <c r="B1604">
        <v>6</v>
      </c>
      <c r="C1604" t="str">
        <f>VLOOKUP(A1604,'Programas y Unidades'!$A:$B,2,0)</f>
        <v>Comunicación Audiovisual y Multimedios</v>
      </c>
    </row>
    <row r="1605" spans="1:3">
      <c r="A1605">
        <v>26</v>
      </c>
      <c r="B1605">
        <v>7</v>
      </c>
      <c r="C1605" t="str">
        <f>VLOOKUP(A1605,'Programas y Unidades'!$A:$B,2,0)</f>
        <v>Comunicación Corporativa</v>
      </c>
    </row>
    <row r="1606" spans="1:3">
      <c r="A1606">
        <v>27</v>
      </c>
      <c r="B1606">
        <v>8</v>
      </c>
      <c r="C1606" t="str">
        <f>VLOOKUP(A1606,'Programas y Unidades'!$A:$B,2,0)</f>
        <v>Comunicación Audiovisual y Multimedios</v>
      </c>
    </row>
    <row r="1607" spans="1:3">
      <c r="A1607">
        <v>28</v>
      </c>
      <c r="B1607">
        <v>2</v>
      </c>
      <c r="C1607" t="str">
        <f>VLOOKUP(A1607,'Programas y Unidades'!$A:$B,2,0)</f>
        <v>Comunicación Social y Periodismo</v>
      </c>
    </row>
    <row r="1608" spans="1:3">
      <c r="A1608">
        <v>27</v>
      </c>
      <c r="B1608">
        <v>8</v>
      </c>
      <c r="C1608" t="str">
        <f>VLOOKUP(A1608,'Programas y Unidades'!$A:$B,2,0)</f>
        <v>Comunicación Audiovisual y Multimedios</v>
      </c>
    </row>
    <row r="1609" spans="1:3">
      <c r="A1609">
        <v>27</v>
      </c>
      <c r="B1609">
        <v>8</v>
      </c>
      <c r="C1609" t="str">
        <f>VLOOKUP(A1609,'Programas y Unidades'!$A:$B,2,0)</f>
        <v>Comunicación Audiovisual y Multimedios</v>
      </c>
    </row>
    <row r="1610" spans="1:3">
      <c r="A1610">
        <v>27</v>
      </c>
      <c r="B1610">
        <v>8</v>
      </c>
      <c r="C1610" t="str">
        <f>VLOOKUP(A1610,'Programas y Unidades'!$A:$B,2,0)</f>
        <v>Comunicación Audiovisual y Multimedios</v>
      </c>
    </row>
    <row r="1611" spans="1:3">
      <c r="A1611">
        <v>26</v>
      </c>
      <c r="B1611">
        <v>8</v>
      </c>
      <c r="C1611" t="str">
        <f>VLOOKUP(A1611,'Programas y Unidades'!$A:$B,2,0)</f>
        <v>Comunicación Corporativa</v>
      </c>
    </row>
    <row r="1612" spans="1:3">
      <c r="A1612">
        <v>27</v>
      </c>
      <c r="B1612">
        <v>7</v>
      </c>
      <c r="C1612" t="str">
        <f>VLOOKUP(A1612,'Programas y Unidades'!$A:$B,2,0)</f>
        <v>Comunicación Audiovisual y Multimedios</v>
      </c>
    </row>
    <row r="1613" spans="1:3">
      <c r="A1613">
        <v>26</v>
      </c>
      <c r="B1613">
        <v>8</v>
      </c>
      <c r="C1613" t="str">
        <f>VLOOKUP(A1613,'Programas y Unidades'!$A:$B,2,0)</f>
        <v>Comunicación Corporativa</v>
      </c>
    </row>
    <row r="1614" spans="1:3">
      <c r="A1614">
        <v>27</v>
      </c>
      <c r="B1614">
        <v>3</v>
      </c>
      <c r="C1614" t="str">
        <f>VLOOKUP(A1614,'Programas y Unidades'!$A:$B,2,0)</f>
        <v>Comunicación Audiovisual y Multimedios</v>
      </c>
    </row>
    <row r="1615" spans="1:3">
      <c r="A1615">
        <v>26</v>
      </c>
      <c r="B1615">
        <v>8</v>
      </c>
      <c r="C1615" t="str">
        <f>VLOOKUP(A1615,'Programas y Unidades'!$A:$B,2,0)</f>
        <v>Comunicación Corporativa</v>
      </c>
    </row>
    <row r="1616" spans="1:3">
      <c r="A1616">
        <v>27</v>
      </c>
      <c r="B1616">
        <v>6</v>
      </c>
      <c r="C1616" t="str">
        <f>VLOOKUP(A1616,'Programas y Unidades'!$A:$B,2,0)</f>
        <v>Comunicación Audiovisual y Multimedios</v>
      </c>
    </row>
    <row r="1617" spans="1:3">
      <c r="A1617">
        <v>28</v>
      </c>
      <c r="B1617">
        <v>2</v>
      </c>
      <c r="C1617" t="str">
        <f>VLOOKUP(A1617,'Programas y Unidades'!$A:$B,2,0)</f>
        <v>Comunicación Social y Periodismo</v>
      </c>
    </row>
    <row r="1618" spans="1:3">
      <c r="A1618">
        <v>26</v>
      </c>
      <c r="B1618">
        <v>7</v>
      </c>
      <c r="C1618" t="str">
        <f>VLOOKUP(A1618,'Programas y Unidades'!$A:$B,2,0)</f>
        <v>Comunicación Corporativa</v>
      </c>
    </row>
    <row r="1619" spans="1:3">
      <c r="A1619">
        <v>27</v>
      </c>
      <c r="B1619">
        <v>6</v>
      </c>
      <c r="C1619" t="str">
        <f>VLOOKUP(A1619,'Programas y Unidades'!$A:$B,2,0)</f>
        <v>Comunicación Audiovisual y Multimedios</v>
      </c>
    </row>
    <row r="1620" spans="1:3">
      <c r="A1620">
        <v>27</v>
      </c>
      <c r="B1620">
        <v>4</v>
      </c>
      <c r="C1620" t="str">
        <f>VLOOKUP(A1620,'Programas y Unidades'!$A:$B,2,0)</f>
        <v>Comunicación Audiovisual y Multimedios</v>
      </c>
    </row>
    <row r="1621" spans="1:3">
      <c r="A1621">
        <v>27</v>
      </c>
      <c r="B1621">
        <v>4</v>
      </c>
      <c r="C1621" t="str">
        <f>VLOOKUP(A1621,'Programas y Unidades'!$A:$B,2,0)</f>
        <v>Comunicación Audiovisual y Multimedios</v>
      </c>
    </row>
    <row r="1622" spans="1:3">
      <c r="A1622">
        <v>27</v>
      </c>
      <c r="B1622">
        <v>7</v>
      </c>
      <c r="C1622" t="str">
        <f>VLOOKUP(A1622,'Programas y Unidades'!$A:$B,2,0)</f>
        <v>Comunicación Audiovisual y Multimedios</v>
      </c>
    </row>
    <row r="1623" spans="1:3">
      <c r="A1623">
        <v>27</v>
      </c>
      <c r="B1623">
        <v>7</v>
      </c>
      <c r="C1623" t="str">
        <f>VLOOKUP(A1623,'Programas y Unidades'!$A:$B,2,0)</f>
        <v>Comunicación Audiovisual y Multimedios</v>
      </c>
    </row>
    <row r="1624" spans="1:3">
      <c r="A1624">
        <v>27</v>
      </c>
      <c r="B1624">
        <v>8</v>
      </c>
      <c r="C1624" t="str">
        <f>VLOOKUP(A1624,'Programas y Unidades'!$A:$B,2,0)</f>
        <v>Comunicación Audiovisual y Multimedios</v>
      </c>
    </row>
    <row r="1625" spans="1:3">
      <c r="A1625">
        <v>40</v>
      </c>
      <c r="B1625">
        <v>6</v>
      </c>
      <c r="C1625" t="str">
        <f>VLOOKUP(A1625,'Programas y Unidades'!$A:$B,2,0)</f>
        <v>Ingeniería Mecánica</v>
      </c>
    </row>
    <row r="1626" spans="1:3">
      <c r="A1626">
        <v>40</v>
      </c>
      <c r="B1626">
        <v>8</v>
      </c>
      <c r="C1626" t="str">
        <f>VLOOKUP(A1626,'Programas y Unidades'!$A:$B,2,0)</f>
        <v>Ingeniería Mecánica</v>
      </c>
    </row>
    <row r="1627" spans="1:3">
      <c r="A1627">
        <v>28</v>
      </c>
      <c r="B1627">
        <v>5</v>
      </c>
      <c r="C1627" t="str">
        <f>VLOOKUP(A1627,'Programas y Unidades'!$A:$B,2,0)</f>
        <v>Comunicación Social y Periodismo</v>
      </c>
    </row>
    <row r="1628" spans="1:3">
      <c r="A1628">
        <v>28</v>
      </c>
      <c r="B1628">
        <v>5</v>
      </c>
      <c r="C1628" t="str">
        <f>VLOOKUP(A1628,'Programas y Unidades'!$A:$B,2,0)</f>
        <v>Comunicación Social y Periodismo</v>
      </c>
    </row>
    <row r="1629" spans="1:3">
      <c r="A1629">
        <v>28</v>
      </c>
      <c r="B1629">
        <v>6</v>
      </c>
      <c r="C1629" t="str">
        <f>VLOOKUP(A1629,'Programas y Unidades'!$A:$B,2,0)</f>
        <v>Comunicación Social y Periodismo</v>
      </c>
    </row>
    <row r="1630" spans="1:3">
      <c r="A1630">
        <v>28</v>
      </c>
      <c r="B1630">
        <v>5</v>
      </c>
      <c r="C1630" t="str">
        <f>VLOOKUP(A1630,'Programas y Unidades'!$A:$B,2,0)</f>
        <v>Comunicación Social y Periodismo</v>
      </c>
    </row>
    <row r="1631" spans="1:3">
      <c r="A1631">
        <v>28</v>
      </c>
      <c r="B1631">
        <v>5</v>
      </c>
      <c r="C1631" t="str">
        <f>VLOOKUP(A1631,'Programas y Unidades'!$A:$B,2,0)</f>
        <v>Comunicación Social y Periodismo</v>
      </c>
    </row>
    <row r="1632" spans="1:3">
      <c r="A1632">
        <v>28</v>
      </c>
      <c r="B1632">
        <v>6</v>
      </c>
      <c r="C1632" t="str">
        <f>VLOOKUP(A1632,'Programas y Unidades'!$A:$B,2,0)</f>
        <v>Comunicación Social y Periodismo</v>
      </c>
    </row>
    <row r="1633" spans="1:3">
      <c r="A1633">
        <v>28</v>
      </c>
      <c r="B1633">
        <v>5</v>
      </c>
      <c r="C1633" t="str">
        <f>VLOOKUP(A1633,'Programas y Unidades'!$A:$B,2,0)</f>
        <v>Comunicación Social y Periodismo</v>
      </c>
    </row>
    <row r="1634" spans="1:3">
      <c r="A1634">
        <v>28</v>
      </c>
      <c r="B1634">
        <v>7</v>
      </c>
      <c r="C1634" t="str">
        <f>VLOOKUP(A1634,'Programas y Unidades'!$A:$B,2,0)</f>
        <v>Comunicación Social y Periodismo</v>
      </c>
    </row>
    <row r="1635" spans="1:3">
      <c r="A1635">
        <v>28</v>
      </c>
      <c r="B1635">
        <v>5</v>
      </c>
      <c r="C1635" t="str">
        <f>VLOOKUP(A1635,'Programas y Unidades'!$A:$B,2,0)</f>
        <v>Comunicación Social y Periodismo</v>
      </c>
    </row>
    <row r="1636" spans="1:3">
      <c r="A1636">
        <v>28</v>
      </c>
      <c r="B1636">
        <v>6</v>
      </c>
      <c r="C1636" t="str">
        <f>VLOOKUP(A1636,'Programas y Unidades'!$A:$B,2,0)</f>
        <v>Comunicación Social y Periodismo</v>
      </c>
    </row>
    <row r="1637" spans="1:3">
      <c r="A1637">
        <v>28</v>
      </c>
      <c r="B1637">
        <v>6</v>
      </c>
      <c r="C1637" t="str">
        <f>VLOOKUP(A1637,'Programas y Unidades'!$A:$B,2,0)</f>
        <v>Comunicación Social y Periodismo</v>
      </c>
    </row>
    <row r="1638" spans="1:3">
      <c r="A1638">
        <v>28</v>
      </c>
      <c r="B1638">
        <v>5</v>
      </c>
      <c r="C1638" t="str">
        <f>VLOOKUP(A1638,'Programas y Unidades'!$A:$B,2,0)</f>
        <v>Comunicación Social y Periodismo</v>
      </c>
    </row>
    <row r="1639" spans="1:3">
      <c r="A1639">
        <v>28</v>
      </c>
      <c r="B1639">
        <v>5</v>
      </c>
      <c r="C1639" t="str">
        <f>VLOOKUP(A1639,'Programas y Unidades'!$A:$B,2,0)</f>
        <v>Comunicación Social y Periodismo</v>
      </c>
    </row>
    <row r="1640" spans="1:3">
      <c r="A1640">
        <v>23</v>
      </c>
      <c r="B1640">
        <v>5</v>
      </c>
      <c r="C1640" t="str">
        <f>VLOOKUP(A1640,'Programas y Unidades'!$A:$B,2,0)</f>
        <v>Administración de Negocios Internacionales</v>
      </c>
    </row>
    <row r="1641" spans="1:3">
      <c r="A1641">
        <v>23</v>
      </c>
      <c r="B1641">
        <v>5</v>
      </c>
      <c r="C1641" t="str">
        <f>VLOOKUP(A1641,'Programas y Unidades'!$A:$B,2,0)</f>
        <v>Administración de Negocios Internacionales</v>
      </c>
    </row>
    <row r="1642" spans="1:3">
      <c r="A1642">
        <v>23</v>
      </c>
      <c r="B1642">
        <v>5</v>
      </c>
      <c r="C1642" t="str">
        <f>VLOOKUP(A1642,'Programas y Unidades'!$A:$B,2,0)</f>
        <v>Administración de Negocios Internacionales</v>
      </c>
    </row>
    <row r="1643" spans="1:3">
      <c r="A1643">
        <v>23</v>
      </c>
      <c r="B1643">
        <v>5</v>
      </c>
      <c r="C1643" t="str">
        <f>VLOOKUP(A1643,'Programas y Unidades'!$A:$B,2,0)</f>
        <v>Administración de Negocios Internacionales</v>
      </c>
    </row>
    <row r="1644" spans="1:3">
      <c r="A1644">
        <v>23</v>
      </c>
      <c r="B1644">
        <v>6</v>
      </c>
      <c r="C1644" t="str">
        <f>VLOOKUP(A1644,'Programas y Unidades'!$A:$B,2,0)</f>
        <v>Administración de Negocios Internacionales</v>
      </c>
    </row>
    <row r="1645" spans="1:3">
      <c r="A1645">
        <v>23</v>
      </c>
      <c r="B1645">
        <v>5</v>
      </c>
      <c r="C1645" t="str">
        <f>VLOOKUP(A1645,'Programas y Unidades'!$A:$B,2,0)</f>
        <v>Administración de Negocios Internacionales</v>
      </c>
    </row>
    <row r="1646" spans="1:3">
      <c r="A1646">
        <v>23</v>
      </c>
      <c r="B1646">
        <v>6</v>
      </c>
      <c r="C1646" t="str">
        <f>VLOOKUP(A1646,'Programas y Unidades'!$A:$B,2,0)</f>
        <v>Administración de Negocios Internacionales</v>
      </c>
    </row>
    <row r="1647" spans="1:3">
      <c r="A1647">
        <v>22</v>
      </c>
      <c r="B1647">
        <v>7</v>
      </c>
      <c r="C1647" t="str">
        <f>VLOOKUP(A1647,'Programas y Unidades'!$A:$B,2,0)</f>
        <v>Administración de Mercadeo y Logística Internacionales</v>
      </c>
    </row>
    <row r="1648" spans="1:3">
      <c r="A1648">
        <v>22</v>
      </c>
      <c r="B1648">
        <v>6</v>
      </c>
      <c r="C1648" t="str">
        <f>VLOOKUP(A1648,'Programas y Unidades'!$A:$B,2,0)</f>
        <v>Administración de Mercadeo y Logística Internacionales</v>
      </c>
    </row>
    <row r="1649" spans="1:3">
      <c r="A1649">
        <v>23</v>
      </c>
      <c r="B1649">
        <v>5</v>
      </c>
      <c r="C1649" t="str">
        <f>VLOOKUP(A1649,'Programas y Unidades'!$A:$B,2,0)</f>
        <v>Administración de Negocios Internacionales</v>
      </c>
    </row>
    <row r="1650" spans="1:3">
      <c r="A1650">
        <v>23</v>
      </c>
      <c r="B1650">
        <v>5</v>
      </c>
      <c r="C1650" t="str">
        <f>VLOOKUP(A1650,'Programas y Unidades'!$A:$B,2,0)</f>
        <v>Administración de Negocios Internacionales</v>
      </c>
    </row>
    <row r="1651" spans="1:3">
      <c r="A1651">
        <v>23</v>
      </c>
      <c r="B1651">
        <v>6</v>
      </c>
      <c r="C1651" t="str">
        <f>VLOOKUP(A1651,'Programas y Unidades'!$A:$B,2,0)</f>
        <v>Administración de Negocios Internacionales</v>
      </c>
    </row>
    <row r="1652" spans="1:3">
      <c r="A1652">
        <v>23</v>
      </c>
      <c r="B1652">
        <v>5</v>
      </c>
      <c r="C1652" t="str">
        <f>VLOOKUP(A1652,'Programas y Unidades'!$A:$B,2,0)</f>
        <v>Administración de Negocios Internacionales</v>
      </c>
    </row>
    <row r="1653" spans="1:3">
      <c r="A1653">
        <v>23</v>
      </c>
      <c r="B1653">
        <v>5</v>
      </c>
      <c r="C1653" t="str">
        <f>VLOOKUP(A1653,'Programas y Unidades'!$A:$B,2,0)</f>
        <v>Administración de Negocios Internacionales</v>
      </c>
    </row>
    <row r="1654" spans="1:3">
      <c r="A1654">
        <v>22</v>
      </c>
      <c r="B1654">
        <v>7</v>
      </c>
      <c r="C1654" t="str">
        <f>VLOOKUP(A1654,'Programas y Unidades'!$A:$B,2,0)</f>
        <v>Administración de Mercadeo y Logística Internacionales</v>
      </c>
    </row>
    <row r="1655" spans="1:3">
      <c r="A1655">
        <v>23</v>
      </c>
      <c r="B1655">
        <v>6</v>
      </c>
      <c r="C1655" t="str">
        <f>VLOOKUP(A1655,'Programas y Unidades'!$A:$B,2,0)</f>
        <v>Administración de Negocios Internacionales</v>
      </c>
    </row>
    <row r="1656" spans="1:3">
      <c r="A1656">
        <v>23</v>
      </c>
      <c r="B1656">
        <v>5</v>
      </c>
      <c r="C1656" t="str">
        <f>VLOOKUP(A1656,'Programas y Unidades'!$A:$B,2,0)</f>
        <v>Administración de Negocios Internacionales</v>
      </c>
    </row>
    <row r="1657" spans="1:3">
      <c r="A1657">
        <v>23</v>
      </c>
      <c r="B1657">
        <v>5</v>
      </c>
      <c r="C1657" t="str">
        <f>VLOOKUP(A1657,'Programas y Unidades'!$A:$B,2,0)</f>
        <v>Administración de Negocios Internacionales</v>
      </c>
    </row>
    <row r="1658" spans="1:3">
      <c r="A1658">
        <v>22</v>
      </c>
      <c r="B1658">
        <v>7</v>
      </c>
      <c r="C1658" t="str">
        <f>VLOOKUP(A1658,'Programas y Unidades'!$A:$B,2,0)</f>
        <v>Administración de Mercadeo y Logística Internacionales</v>
      </c>
    </row>
    <row r="1659" spans="1:3">
      <c r="A1659">
        <v>22</v>
      </c>
      <c r="B1659">
        <v>7</v>
      </c>
      <c r="C1659" t="str">
        <f>VLOOKUP(A1659,'Programas y Unidades'!$A:$B,2,0)</f>
        <v>Administración de Mercadeo y Logística Internacionales</v>
      </c>
    </row>
    <row r="1660" spans="1:3">
      <c r="A1660">
        <v>22</v>
      </c>
      <c r="B1660">
        <v>7</v>
      </c>
      <c r="C1660" t="str">
        <f>VLOOKUP(A1660,'Programas y Unidades'!$A:$B,2,0)</f>
        <v>Administración de Mercadeo y Logística Internacionales</v>
      </c>
    </row>
    <row r="1661" spans="1:3">
      <c r="A1661">
        <v>23</v>
      </c>
      <c r="B1661">
        <v>5</v>
      </c>
      <c r="C1661" t="str">
        <f>VLOOKUP(A1661,'Programas y Unidades'!$A:$B,2,0)</f>
        <v>Administración de Negocios Internacionales</v>
      </c>
    </row>
    <row r="1662" spans="1:3">
      <c r="A1662">
        <v>23</v>
      </c>
      <c r="B1662">
        <v>5</v>
      </c>
      <c r="C1662" t="str">
        <f>VLOOKUP(A1662,'Programas y Unidades'!$A:$B,2,0)</f>
        <v>Administración de Negocios Internacionales</v>
      </c>
    </row>
    <row r="1663" spans="1:3">
      <c r="A1663">
        <v>23</v>
      </c>
      <c r="B1663">
        <v>7</v>
      </c>
      <c r="C1663" t="str">
        <f>VLOOKUP(A1663,'Programas y Unidades'!$A:$B,2,0)</f>
        <v>Administración de Negocios Internacionales</v>
      </c>
    </row>
    <row r="1664" spans="1:3">
      <c r="A1664">
        <v>22</v>
      </c>
      <c r="B1664">
        <v>7</v>
      </c>
      <c r="C1664" t="str">
        <f>VLOOKUP(A1664,'Programas y Unidades'!$A:$B,2,0)</f>
        <v>Administración de Mercadeo y Logística Internacionales</v>
      </c>
    </row>
    <row r="1665" spans="1:3">
      <c r="A1665">
        <v>146</v>
      </c>
      <c r="B1665">
        <v>5</v>
      </c>
      <c r="C1665" t="str">
        <f>VLOOKUP(A1665,'Programas y Unidades'!$A:$B,2,0)</f>
        <v>Ingeniería de Bioproducción</v>
      </c>
    </row>
    <row r="1666" spans="1:3">
      <c r="A1666">
        <v>146</v>
      </c>
      <c r="B1666">
        <v>6</v>
      </c>
      <c r="C1666" t="str">
        <f>VLOOKUP(A1666,'Programas y Unidades'!$A:$B,2,0)</f>
        <v>Ingeniería de Bioproducción</v>
      </c>
    </row>
    <row r="1667" spans="1:3">
      <c r="A1667">
        <v>146</v>
      </c>
      <c r="B1667">
        <v>5</v>
      </c>
      <c r="C1667" t="str">
        <f>VLOOKUP(A1667,'Programas y Unidades'!$A:$B,2,0)</f>
        <v>Ingeniería de Bioproducción</v>
      </c>
    </row>
    <row r="1668" spans="1:3">
      <c r="A1668">
        <v>146</v>
      </c>
      <c r="B1668">
        <v>5</v>
      </c>
      <c r="C1668" t="str">
        <f>VLOOKUP(A1668,'Programas y Unidades'!$A:$B,2,0)</f>
        <v>Ingeniería de Bioproducción</v>
      </c>
    </row>
    <row r="1669" spans="1:3">
      <c r="A1669">
        <v>146</v>
      </c>
      <c r="B1669">
        <v>5</v>
      </c>
      <c r="C1669" t="str">
        <f>VLOOKUP(A1669,'Programas y Unidades'!$A:$B,2,0)</f>
        <v>Ingeniería de Bioproducción</v>
      </c>
    </row>
    <row r="1670" spans="1:3">
      <c r="A1670">
        <v>23</v>
      </c>
      <c r="B1670">
        <v>3</v>
      </c>
      <c r="C1670" t="str">
        <f>VLOOKUP(A1670,'Programas y Unidades'!$A:$B,2,0)</f>
        <v>Administración de Negocios Internacionales</v>
      </c>
    </row>
    <row r="1671" spans="1:3">
      <c r="A1671">
        <v>35</v>
      </c>
      <c r="B1671">
        <v>4</v>
      </c>
      <c r="C1671" t="str">
        <f>VLOOKUP(A1671,'Programas y Unidades'!$A:$B,2,0)</f>
        <v>Filosofía</v>
      </c>
    </row>
    <row r="1672" spans="1:3">
      <c r="A1672">
        <v>35</v>
      </c>
      <c r="B1672">
        <v>4</v>
      </c>
      <c r="C1672" t="str">
        <f>VLOOKUP(A1672,'Programas y Unidades'!$A:$B,2,0)</f>
        <v>Filosofía</v>
      </c>
    </row>
    <row r="1673" spans="1:3">
      <c r="A1673">
        <v>35</v>
      </c>
      <c r="B1673">
        <v>4</v>
      </c>
      <c r="C1673" t="str">
        <f>VLOOKUP(A1673,'Programas y Unidades'!$A:$B,2,0)</f>
        <v>Filosofía</v>
      </c>
    </row>
    <row r="1674" spans="1:3">
      <c r="A1674">
        <v>35</v>
      </c>
      <c r="B1674">
        <v>2</v>
      </c>
      <c r="C1674" t="str">
        <f>VLOOKUP(A1674,'Programas y Unidades'!$A:$B,2,0)</f>
        <v>Filosofía</v>
      </c>
    </row>
    <row r="1675" spans="1:3">
      <c r="A1675">
        <v>35</v>
      </c>
      <c r="B1675">
        <v>4</v>
      </c>
      <c r="C1675" t="str">
        <f>VLOOKUP(A1675,'Programas y Unidades'!$A:$B,2,0)</f>
        <v>Filosofía</v>
      </c>
    </row>
    <row r="1676" spans="1:3">
      <c r="A1676">
        <v>35</v>
      </c>
      <c r="B1676">
        <v>2</v>
      </c>
      <c r="C1676" t="str">
        <f>VLOOKUP(A1676,'Programas y Unidades'!$A:$B,2,0)</f>
        <v>Filosofía</v>
      </c>
    </row>
    <row r="1677" spans="1:3">
      <c r="A1677">
        <v>35</v>
      </c>
      <c r="B1677">
        <v>4</v>
      </c>
      <c r="C1677" t="str">
        <f>VLOOKUP(A1677,'Programas y Unidades'!$A:$B,2,0)</f>
        <v>Filosofía</v>
      </c>
    </row>
    <row r="1678" spans="1:3">
      <c r="A1678">
        <v>35</v>
      </c>
      <c r="B1678">
        <v>3</v>
      </c>
      <c r="C1678" t="str">
        <f>VLOOKUP(A1678,'Programas y Unidades'!$A:$B,2,0)</f>
        <v>Filosofía</v>
      </c>
    </row>
    <row r="1679" spans="1:3">
      <c r="A1679">
        <v>35</v>
      </c>
      <c r="B1679">
        <v>6</v>
      </c>
      <c r="C1679" t="str">
        <f>VLOOKUP(A1679,'Programas y Unidades'!$A:$B,2,0)</f>
        <v>Filosofía</v>
      </c>
    </row>
    <row r="1680" spans="1:3">
      <c r="A1680">
        <v>35</v>
      </c>
      <c r="B1680">
        <v>4</v>
      </c>
      <c r="C1680" t="str">
        <f>VLOOKUP(A1680,'Programas y Unidades'!$A:$B,2,0)</f>
        <v>Filosofía</v>
      </c>
    </row>
    <row r="1681" spans="1:3">
      <c r="A1681">
        <v>35</v>
      </c>
      <c r="B1681">
        <v>5</v>
      </c>
      <c r="C1681" t="str">
        <f>VLOOKUP(A1681,'Programas y Unidades'!$A:$B,2,0)</f>
        <v>Filosofía</v>
      </c>
    </row>
    <row r="1682" spans="1:3">
      <c r="A1682">
        <v>35</v>
      </c>
      <c r="B1682">
        <v>2</v>
      </c>
      <c r="C1682" t="str">
        <f>VLOOKUP(A1682,'Programas y Unidades'!$A:$B,2,0)</f>
        <v>Filosofía</v>
      </c>
    </row>
    <row r="1683" spans="1:3">
      <c r="A1683">
        <v>146</v>
      </c>
      <c r="B1683">
        <v>5</v>
      </c>
      <c r="C1683" t="str">
        <f>VLOOKUP(A1683,'Programas y Unidades'!$A:$B,2,0)</f>
        <v>Ingeniería de Bioproducción</v>
      </c>
    </row>
    <row r="1684" spans="1:3">
      <c r="A1684">
        <v>35</v>
      </c>
      <c r="B1684">
        <v>2</v>
      </c>
      <c r="C1684" t="str">
        <f>VLOOKUP(A1684,'Programas y Unidades'!$A:$B,2,0)</f>
        <v>Filosofía</v>
      </c>
    </row>
    <row r="1685" spans="1:3">
      <c r="A1685">
        <v>28</v>
      </c>
      <c r="B1685">
        <v>5</v>
      </c>
      <c r="C1685" t="str">
        <f>VLOOKUP(A1685,'Programas y Unidades'!$A:$B,2,0)</f>
        <v>Comunicación Social y Periodismo</v>
      </c>
    </row>
    <row r="1686" spans="1:3">
      <c r="A1686">
        <v>28</v>
      </c>
      <c r="B1686">
        <v>5</v>
      </c>
      <c r="C1686" t="str">
        <f>VLOOKUP(A1686,'Programas y Unidades'!$A:$B,2,0)</f>
        <v>Comunicación Social y Periodismo</v>
      </c>
    </row>
    <row r="1687" spans="1:3">
      <c r="A1687">
        <v>28</v>
      </c>
      <c r="B1687">
        <v>5</v>
      </c>
      <c r="C1687" t="str">
        <f>VLOOKUP(A1687,'Programas y Unidades'!$A:$B,2,0)</f>
        <v>Comunicación Social y Periodismo</v>
      </c>
    </row>
    <row r="1688" spans="1:3">
      <c r="A1688">
        <v>28</v>
      </c>
      <c r="B1688">
        <v>5</v>
      </c>
      <c r="C1688" t="str">
        <f>VLOOKUP(A1688,'Programas y Unidades'!$A:$B,2,0)</f>
        <v>Comunicación Social y Periodismo</v>
      </c>
    </row>
    <row r="1689" spans="1:3">
      <c r="A1689">
        <v>28</v>
      </c>
      <c r="B1689">
        <v>6</v>
      </c>
      <c r="C1689" t="str">
        <f>VLOOKUP(A1689,'Programas y Unidades'!$A:$B,2,0)</f>
        <v>Comunicación Social y Periodismo</v>
      </c>
    </row>
    <row r="1690" spans="1:3">
      <c r="A1690">
        <v>28</v>
      </c>
      <c r="B1690">
        <v>5</v>
      </c>
      <c r="C1690" t="str">
        <f>VLOOKUP(A1690,'Programas y Unidades'!$A:$B,2,0)</f>
        <v>Comunicación Social y Periodismo</v>
      </c>
    </row>
    <row r="1691" spans="1:3">
      <c r="A1691">
        <v>28</v>
      </c>
      <c r="B1691">
        <v>5</v>
      </c>
      <c r="C1691" t="str">
        <f>VLOOKUP(A1691,'Programas y Unidades'!$A:$B,2,0)</f>
        <v>Comunicación Social y Periodismo</v>
      </c>
    </row>
    <row r="1692" spans="1:3">
      <c r="A1692">
        <v>28</v>
      </c>
      <c r="B1692">
        <v>5</v>
      </c>
      <c r="C1692" t="str">
        <f>VLOOKUP(A1692,'Programas y Unidades'!$A:$B,2,0)</f>
        <v>Comunicación Social y Periodismo</v>
      </c>
    </row>
    <row r="1693" spans="1:3">
      <c r="A1693">
        <v>28</v>
      </c>
      <c r="B1693">
        <v>6</v>
      </c>
      <c r="C1693" t="str">
        <f>VLOOKUP(A1693,'Programas y Unidades'!$A:$B,2,0)</f>
        <v>Comunicación Social y Periodismo</v>
      </c>
    </row>
    <row r="1694" spans="1:3">
      <c r="A1694">
        <v>28</v>
      </c>
      <c r="B1694">
        <v>5</v>
      </c>
      <c r="C1694" t="str">
        <f>VLOOKUP(A1694,'Programas y Unidades'!$A:$B,2,0)</f>
        <v>Comunicación Social y Periodismo</v>
      </c>
    </row>
    <row r="1695" spans="1:3">
      <c r="A1695">
        <v>28</v>
      </c>
      <c r="B1695">
        <v>6</v>
      </c>
      <c r="C1695" t="str">
        <f>VLOOKUP(A1695,'Programas y Unidades'!$A:$B,2,0)</f>
        <v>Comunicación Social y Periodismo</v>
      </c>
    </row>
    <row r="1696" spans="1:3">
      <c r="A1696">
        <v>28</v>
      </c>
      <c r="B1696">
        <v>5</v>
      </c>
      <c r="C1696" t="str">
        <f>VLOOKUP(A1696,'Programas y Unidades'!$A:$B,2,0)</f>
        <v>Comunicación Social y Periodismo</v>
      </c>
    </row>
    <row r="1697" spans="1:3">
      <c r="A1697">
        <v>28</v>
      </c>
      <c r="B1697">
        <v>5</v>
      </c>
      <c r="C1697" t="str">
        <f>VLOOKUP(A1697,'Programas y Unidades'!$A:$B,2,0)</f>
        <v>Comunicación Social y Periodismo</v>
      </c>
    </row>
    <row r="1698" spans="1:3">
      <c r="A1698">
        <v>28</v>
      </c>
      <c r="B1698">
        <v>5</v>
      </c>
      <c r="C1698" t="str">
        <f>VLOOKUP(A1698,'Programas y Unidades'!$A:$B,2,0)</f>
        <v>Comunicación Social y Periodismo</v>
      </c>
    </row>
    <row r="1699" spans="1:3">
      <c r="A1699">
        <v>28</v>
      </c>
      <c r="B1699">
        <v>5</v>
      </c>
      <c r="C1699" t="str">
        <f>VLOOKUP(A1699,'Programas y Unidades'!$A:$B,2,0)</f>
        <v>Comunicación Social y Periodismo</v>
      </c>
    </row>
    <row r="1700" spans="1:3">
      <c r="A1700">
        <v>28</v>
      </c>
      <c r="B1700">
        <v>5</v>
      </c>
      <c r="C1700" t="str">
        <f>VLOOKUP(A1700,'Programas y Unidades'!$A:$B,2,0)</f>
        <v>Comunicación Social y Periodismo</v>
      </c>
    </row>
    <row r="1701" spans="1:3">
      <c r="A1701">
        <v>28</v>
      </c>
      <c r="B1701">
        <v>5</v>
      </c>
      <c r="C1701" t="str">
        <f>VLOOKUP(A1701,'Programas y Unidades'!$A:$B,2,0)</f>
        <v>Comunicación Social y Periodismo</v>
      </c>
    </row>
    <row r="1702" spans="1:3">
      <c r="A1702">
        <v>27</v>
      </c>
      <c r="B1702">
        <v>2</v>
      </c>
      <c r="C1702" t="str">
        <f>VLOOKUP(A1702,'Programas y Unidades'!$A:$B,2,0)</f>
        <v>Comunicación Audiovisual y Multimedios</v>
      </c>
    </row>
    <row r="1703" spans="1:3">
      <c r="A1703">
        <v>27</v>
      </c>
      <c r="B1703">
        <v>2</v>
      </c>
      <c r="C1703" t="str">
        <f>VLOOKUP(A1703,'Programas y Unidades'!$A:$B,2,0)</f>
        <v>Comunicación Audiovisual y Multimedios</v>
      </c>
    </row>
    <row r="1704" spans="1:3">
      <c r="A1704">
        <v>27</v>
      </c>
      <c r="B1704">
        <v>2</v>
      </c>
      <c r="C1704" t="str">
        <f>VLOOKUP(A1704,'Programas y Unidades'!$A:$B,2,0)</f>
        <v>Comunicación Audiovisual y Multimedios</v>
      </c>
    </row>
    <row r="1705" spans="1:3">
      <c r="A1705">
        <v>28</v>
      </c>
      <c r="B1705">
        <v>2</v>
      </c>
      <c r="C1705" t="str">
        <f>VLOOKUP(A1705,'Programas y Unidades'!$A:$B,2,0)</f>
        <v>Comunicación Social y Periodismo</v>
      </c>
    </row>
    <row r="1706" spans="1:3">
      <c r="A1706">
        <v>28</v>
      </c>
      <c r="B1706">
        <v>3</v>
      </c>
      <c r="C1706" t="str">
        <f>VLOOKUP(A1706,'Programas y Unidades'!$A:$B,2,0)</f>
        <v>Comunicación Social y Periodismo</v>
      </c>
    </row>
    <row r="1707" spans="1:3">
      <c r="A1707">
        <v>27</v>
      </c>
      <c r="B1707">
        <v>2</v>
      </c>
      <c r="C1707" t="str">
        <f>VLOOKUP(A1707,'Programas y Unidades'!$A:$B,2,0)</f>
        <v>Comunicación Audiovisual y Multimedios</v>
      </c>
    </row>
    <row r="1708" spans="1:3">
      <c r="A1708">
        <v>27</v>
      </c>
      <c r="B1708">
        <v>2</v>
      </c>
      <c r="C1708" t="str">
        <f>VLOOKUP(A1708,'Programas y Unidades'!$A:$B,2,0)</f>
        <v>Comunicación Audiovisual y Multimedios</v>
      </c>
    </row>
    <row r="1709" spans="1:3">
      <c r="A1709">
        <v>26</v>
      </c>
      <c r="B1709">
        <v>2</v>
      </c>
      <c r="C1709" t="str">
        <f>VLOOKUP(A1709,'Programas y Unidades'!$A:$B,2,0)</f>
        <v>Comunicación Corporativa</v>
      </c>
    </row>
    <row r="1710" spans="1:3">
      <c r="A1710">
        <v>27</v>
      </c>
      <c r="B1710">
        <v>2</v>
      </c>
      <c r="C1710" t="str">
        <f>VLOOKUP(A1710,'Programas y Unidades'!$A:$B,2,0)</f>
        <v>Comunicación Audiovisual y Multimedios</v>
      </c>
    </row>
    <row r="1711" spans="1:3">
      <c r="A1711">
        <v>28</v>
      </c>
      <c r="B1711">
        <v>2</v>
      </c>
      <c r="C1711" t="str">
        <f>VLOOKUP(A1711,'Programas y Unidades'!$A:$B,2,0)</f>
        <v>Comunicación Social y Periodismo</v>
      </c>
    </row>
    <row r="1712" spans="1:3">
      <c r="A1712">
        <v>27</v>
      </c>
      <c r="B1712">
        <v>2</v>
      </c>
      <c r="C1712" t="str">
        <f>VLOOKUP(A1712,'Programas y Unidades'!$A:$B,2,0)</f>
        <v>Comunicación Audiovisual y Multimedios</v>
      </c>
    </row>
    <row r="1713" spans="1:3">
      <c r="A1713">
        <v>30</v>
      </c>
      <c r="B1713">
        <v>2</v>
      </c>
      <c r="C1713" t="str">
        <f>VLOOKUP(A1713,'Programas y Unidades'!$A:$B,2,0)</f>
        <v>Derecho</v>
      </c>
    </row>
    <row r="1714" spans="1:3">
      <c r="A1714">
        <v>30</v>
      </c>
      <c r="B1714">
        <v>3</v>
      </c>
      <c r="C1714" t="str">
        <f>VLOOKUP(A1714,'Programas y Unidades'!$A:$B,2,0)</f>
        <v>Derecho</v>
      </c>
    </row>
    <row r="1715" spans="1:3">
      <c r="A1715">
        <v>30</v>
      </c>
      <c r="B1715">
        <v>3</v>
      </c>
      <c r="C1715" t="str">
        <f>VLOOKUP(A1715,'Programas y Unidades'!$A:$B,2,0)</f>
        <v>Derecho</v>
      </c>
    </row>
    <row r="1716" spans="1:3">
      <c r="A1716">
        <v>30</v>
      </c>
      <c r="B1716">
        <v>3</v>
      </c>
      <c r="C1716" t="str">
        <f>VLOOKUP(A1716,'Programas y Unidades'!$A:$B,2,0)</f>
        <v>Derecho</v>
      </c>
    </row>
    <row r="1717" spans="1:3">
      <c r="A1717">
        <v>30</v>
      </c>
      <c r="B1717">
        <v>3</v>
      </c>
      <c r="C1717" t="str">
        <f>VLOOKUP(A1717,'Programas y Unidades'!$A:$B,2,0)</f>
        <v>Derecho</v>
      </c>
    </row>
    <row r="1718" spans="1:3">
      <c r="A1718">
        <v>30</v>
      </c>
      <c r="B1718">
        <v>3</v>
      </c>
      <c r="C1718" t="str">
        <f>VLOOKUP(A1718,'Programas y Unidades'!$A:$B,2,0)</f>
        <v>Derecho</v>
      </c>
    </row>
    <row r="1719" spans="1:3">
      <c r="A1719">
        <v>30</v>
      </c>
      <c r="B1719">
        <v>3</v>
      </c>
      <c r="C1719" t="str">
        <f>VLOOKUP(A1719,'Programas y Unidades'!$A:$B,2,0)</f>
        <v>Derecho</v>
      </c>
    </row>
    <row r="1720" spans="1:3">
      <c r="A1720">
        <v>30</v>
      </c>
      <c r="B1720">
        <v>3</v>
      </c>
      <c r="C1720" t="str">
        <f>VLOOKUP(A1720,'Programas y Unidades'!$A:$B,2,0)</f>
        <v>Derecho</v>
      </c>
    </row>
    <row r="1721" spans="1:3">
      <c r="A1721">
        <v>30</v>
      </c>
      <c r="B1721">
        <v>2</v>
      </c>
      <c r="C1721" t="str">
        <f>VLOOKUP(A1721,'Programas y Unidades'!$A:$B,2,0)</f>
        <v>Derecho</v>
      </c>
    </row>
    <row r="1722" spans="1:3">
      <c r="A1722">
        <v>22</v>
      </c>
      <c r="B1722">
        <v>5</v>
      </c>
      <c r="C1722" t="str">
        <f>VLOOKUP(A1722,'Programas y Unidades'!$A:$B,2,0)</f>
        <v>Administración de Mercadeo y Logística Internacionales</v>
      </c>
    </row>
    <row r="1723" spans="1:3">
      <c r="A1723">
        <v>30</v>
      </c>
      <c r="B1723">
        <v>2</v>
      </c>
      <c r="C1723" t="str">
        <f>VLOOKUP(A1723,'Programas y Unidades'!$A:$B,2,0)</f>
        <v>Derecho</v>
      </c>
    </row>
    <row r="1724" spans="1:3">
      <c r="A1724">
        <v>30</v>
      </c>
      <c r="B1724">
        <v>2</v>
      </c>
      <c r="C1724" t="str">
        <f>VLOOKUP(A1724,'Programas y Unidades'!$A:$B,2,0)</f>
        <v>Derecho</v>
      </c>
    </row>
    <row r="1725" spans="1:3">
      <c r="A1725">
        <v>30</v>
      </c>
      <c r="B1725">
        <v>3</v>
      </c>
      <c r="C1725" t="str">
        <f>VLOOKUP(A1725,'Programas y Unidades'!$A:$B,2,0)</f>
        <v>Derecho</v>
      </c>
    </row>
    <row r="1726" spans="1:3">
      <c r="A1726">
        <v>30</v>
      </c>
      <c r="B1726">
        <v>5</v>
      </c>
      <c r="C1726" t="str">
        <f>VLOOKUP(A1726,'Programas y Unidades'!$A:$B,2,0)</f>
        <v>Derecho</v>
      </c>
    </row>
    <row r="1727" spans="1:3">
      <c r="A1727">
        <v>30</v>
      </c>
      <c r="B1727">
        <v>2</v>
      </c>
      <c r="C1727" t="str">
        <f>VLOOKUP(A1727,'Programas y Unidades'!$A:$B,2,0)</f>
        <v>Derecho</v>
      </c>
    </row>
    <row r="1728" spans="1:3">
      <c r="A1728">
        <v>30</v>
      </c>
      <c r="B1728">
        <v>2</v>
      </c>
      <c r="C1728" t="str">
        <f>VLOOKUP(A1728,'Programas y Unidades'!$A:$B,2,0)</f>
        <v>Derecho</v>
      </c>
    </row>
    <row r="1729" spans="1:3">
      <c r="A1729">
        <v>28</v>
      </c>
      <c r="B1729">
        <v>7</v>
      </c>
      <c r="C1729" t="str">
        <f>VLOOKUP(A1729,'Programas y Unidades'!$A:$B,2,0)</f>
        <v>Comunicación Social y Periodismo</v>
      </c>
    </row>
    <row r="1730" spans="1:3">
      <c r="A1730">
        <v>30</v>
      </c>
      <c r="B1730">
        <v>4</v>
      </c>
      <c r="C1730" t="str">
        <f>VLOOKUP(A1730,'Programas y Unidades'!$A:$B,2,0)</f>
        <v>Derecho</v>
      </c>
    </row>
    <row r="1731" spans="1:3">
      <c r="A1731">
        <v>30</v>
      </c>
      <c r="B1731">
        <v>2</v>
      </c>
      <c r="C1731" t="str">
        <f>VLOOKUP(A1731,'Programas y Unidades'!$A:$B,2,0)</f>
        <v>Derecho</v>
      </c>
    </row>
    <row r="1732" spans="1:3">
      <c r="A1732">
        <v>30</v>
      </c>
      <c r="B1732">
        <v>2</v>
      </c>
      <c r="C1732" t="str">
        <f>VLOOKUP(A1732,'Programas y Unidades'!$A:$B,2,0)</f>
        <v>Derecho</v>
      </c>
    </row>
    <row r="1733" spans="1:3">
      <c r="A1733">
        <v>30</v>
      </c>
      <c r="B1733">
        <v>3</v>
      </c>
      <c r="C1733" t="str">
        <f>VLOOKUP(A1733,'Programas y Unidades'!$A:$B,2,0)</f>
        <v>Derecho</v>
      </c>
    </row>
    <row r="1734" spans="1:3">
      <c r="A1734">
        <v>30</v>
      </c>
      <c r="B1734">
        <v>3</v>
      </c>
      <c r="C1734" t="str">
        <f>VLOOKUP(A1734,'Programas y Unidades'!$A:$B,2,0)</f>
        <v>Derecho</v>
      </c>
    </row>
    <row r="1735" spans="1:3">
      <c r="A1735">
        <v>30</v>
      </c>
      <c r="B1735">
        <v>3</v>
      </c>
      <c r="C1735" t="str">
        <f>VLOOKUP(A1735,'Programas y Unidades'!$A:$B,2,0)</f>
        <v>Derecho</v>
      </c>
    </row>
    <row r="1736" spans="1:3">
      <c r="A1736">
        <v>30</v>
      </c>
      <c r="B1736">
        <v>4</v>
      </c>
      <c r="C1736" t="str">
        <f>VLOOKUP(A1736,'Programas y Unidades'!$A:$B,2,0)</f>
        <v>Derecho</v>
      </c>
    </row>
    <row r="1737" spans="1:3">
      <c r="A1737">
        <v>30</v>
      </c>
      <c r="B1737">
        <v>2</v>
      </c>
      <c r="C1737" t="str">
        <f>VLOOKUP(A1737,'Programas y Unidades'!$A:$B,2,0)</f>
        <v>Derecho</v>
      </c>
    </row>
    <row r="1738" spans="1:3">
      <c r="A1738">
        <v>30</v>
      </c>
      <c r="B1738">
        <v>3</v>
      </c>
      <c r="C1738" t="str">
        <f>VLOOKUP(A1738,'Programas y Unidades'!$A:$B,2,0)</f>
        <v>Derecho</v>
      </c>
    </row>
    <row r="1739" spans="1:3">
      <c r="A1739">
        <v>30</v>
      </c>
      <c r="B1739">
        <v>3</v>
      </c>
      <c r="C1739" t="str">
        <f>VLOOKUP(A1739,'Programas y Unidades'!$A:$B,2,0)</f>
        <v>Derecho</v>
      </c>
    </row>
    <row r="1740" spans="1:3">
      <c r="A1740">
        <v>30</v>
      </c>
      <c r="B1740">
        <v>7</v>
      </c>
      <c r="C1740" t="str">
        <f>VLOOKUP(A1740,'Programas y Unidades'!$A:$B,2,0)</f>
        <v>Derecho</v>
      </c>
    </row>
    <row r="1741" spans="1:3">
      <c r="A1741">
        <v>30</v>
      </c>
      <c r="B1741">
        <v>6</v>
      </c>
      <c r="C1741" t="str">
        <f>VLOOKUP(A1741,'Programas y Unidades'!$A:$B,2,0)</f>
        <v>Derecho</v>
      </c>
    </row>
    <row r="1742" spans="1:3">
      <c r="A1742">
        <v>30</v>
      </c>
      <c r="B1742">
        <v>8</v>
      </c>
      <c r="C1742" t="str">
        <f>VLOOKUP(A1742,'Programas y Unidades'!$A:$B,2,0)</f>
        <v>Derecho</v>
      </c>
    </row>
    <row r="1743" spans="1:3">
      <c r="A1743">
        <v>30</v>
      </c>
      <c r="B1743">
        <v>8</v>
      </c>
      <c r="C1743" t="str">
        <f>VLOOKUP(A1743,'Programas y Unidades'!$A:$B,2,0)</f>
        <v>Derecho</v>
      </c>
    </row>
    <row r="1744" spans="1:3">
      <c r="A1744">
        <v>30</v>
      </c>
      <c r="B1744">
        <v>7</v>
      </c>
      <c r="C1744" t="str">
        <f>VLOOKUP(A1744,'Programas y Unidades'!$A:$B,2,0)</f>
        <v>Derecho</v>
      </c>
    </row>
    <row r="1745" spans="1:3">
      <c r="A1745">
        <v>25</v>
      </c>
      <c r="B1745">
        <v>6</v>
      </c>
      <c r="C1745" t="str">
        <f>VLOOKUP(A1745,'Programas y Unidades'!$A:$B,2,0)</f>
        <v>Gastronomía</v>
      </c>
    </row>
    <row r="1746" spans="1:3">
      <c r="A1746">
        <v>25</v>
      </c>
      <c r="B1746">
        <v>6</v>
      </c>
      <c r="C1746" t="str">
        <f>VLOOKUP(A1746,'Programas y Unidades'!$A:$B,2,0)</f>
        <v>Gastronomía</v>
      </c>
    </row>
    <row r="1747" spans="1:3">
      <c r="A1747">
        <v>25</v>
      </c>
      <c r="B1747">
        <v>6</v>
      </c>
      <c r="C1747" t="str">
        <f>VLOOKUP(A1747,'Programas y Unidades'!$A:$B,2,0)</f>
        <v>Gastronomía</v>
      </c>
    </row>
    <row r="1748" spans="1:3">
      <c r="A1748">
        <v>25</v>
      </c>
      <c r="B1748">
        <v>7</v>
      </c>
      <c r="C1748" t="str">
        <f>VLOOKUP(A1748,'Programas y Unidades'!$A:$B,2,0)</f>
        <v>Gastronomía</v>
      </c>
    </row>
    <row r="1749" spans="1:3">
      <c r="A1749">
        <v>25</v>
      </c>
      <c r="B1749">
        <v>6</v>
      </c>
      <c r="C1749" t="str">
        <f>VLOOKUP(A1749,'Programas y Unidades'!$A:$B,2,0)</f>
        <v>Gastronomía</v>
      </c>
    </row>
    <row r="1750" spans="1:3">
      <c r="A1750">
        <v>25</v>
      </c>
      <c r="B1750">
        <v>7</v>
      </c>
      <c r="C1750" t="str">
        <f>VLOOKUP(A1750,'Programas y Unidades'!$A:$B,2,0)</f>
        <v>Gastronomía</v>
      </c>
    </row>
    <row r="1751" spans="1:3">
      <c r="A1751">
        <v>25</v>
      </c>
      <c r="B1751">
        <v>7</v>
      </c>
      <c r="C1751" t="str">
        <f>VLOOKUP(A1751,'Programas y Unidades'!$A:$B,2,0)</f>
        <v>Gastronomía</v>
      </c>
    </row>
    <row r="1752" spans="1:3">
      <c r="A1752">
        <v>25</v>
      </c>
      <c r="B1752">
        <v>3</v>
      </c>
      <c r="C1752" t="str">
        <f>VLOOKUP(A1752,'Programas y Unidades'!$A:$B,2,0)</f>
        <v>Gastronomía</v>
      </c>
    </row>
    <row r="1753" spans="1:3">
      <c r="A1753">
        <v>25</v>
      </c>
      <c r="B1753">
        <v>4</v>
      </c>
      <c r="C1753" t="str">
        <f>VLOOKUP(A1753,'Programas y Unidades'!$A:$B,2,0)</f>
        <v>Gastronomía</v>
      </c>
    </row>
    <row r="1754" spans="1:3">
      <c r="A1754">
        <v>25</v>
      </c>
      <c r="B1754">
        <v>6</v>
      </c>
      <c r="C1754" t="str">
        <f>VLOOKUP(A1754,'Programas y Unidades'!$A:$B,2,0)</f>
        <v>Gastronomía</v>
      </c>
    </row>
    <row r="1755" spans="1:3">
      <c r="A1755">
        <v>25</v>
      </c>
      <c r="B1755">
        <v>6</v>
      </c>
      <c r="C1755" t="str">
        <f>VLOOKUP(A1755,'Programas y Unidades'!$A:$B,2,0)</f>
        <v>Gastronomía</v>
      </c>
    </row>
    <row r="1756" spans="1:3">
      <c r="A1756">
        <v>25</v>
      </c>
      <c r="B1756">
        <v>6</v>
      </c>
      <c r="C1756" t="str">
        <f>VLOOKUP(A1756,'Programas y Unidades'!$A:$B,2,0)</f>
        <v>Gastronomía</v>
      </c>
    </row>
    <row r="1757" spans="1:3">
      <c r="A1757">
        <v>25</v>
      </c>
      <c r="B1757">
        <v>5</v>
      </c>
      <c r="C1757" t="str">
        <f>VLOOKUP(A1757,'Programas y Unidades'!$A:$B,2,0)</f>
        <v>Gastronomía</v>
      </c>
    </row>
    <row r="1758" spans="1:3">
      <c r="A1758">
        <v>25</v>
      </c>
      <c r="B1758">
        <v>7</v>
      </c>
      <c r="C1758" t="str">
        <f>VLOOKUP(A1758,'Programas y Unidades'!$A:$B,2,0)</f>
        <v>Gastronomía</v>
      </c>
    </row>
    <row r="1759" spans="1:3">
      <c r="A1759">
        <v>25</v>
      </c>
      <c r="B1759">
        <v>6</v>
      </c>
      <c r="C1759" t="str">
        <f>VLOOKUP(A1759,'Programas y Unidades'!$A:$B,2,0)</f>
        <v>Gastronomía</v>
      </c>
    </row>
    <row r="1760" spans="1:3">
      <c r="A1760">
        <v>25</v>
      </c>
      <c r="B1760">
        <v>7</v>
      </c>
      <c r="C1760" t="str">
        <f>VLOOKUP(A1760,'Programas y Unidades'!$A:$B,2,0)</f>
        <v>Gastronomía</v>
      </c>
    </row>
    <row r="1761" spans="1:3">
      <c r="A1761">
        <v>25</v>
      </c>
      <c r="B1761">
        <v>6</v>
      </c>
      <c r="C1761" t="str">
        <f>VLOOKUP(A1761,'Programas y Unidades'!$A:$B,2,0)</f>
        <v>Gastronomía</v>
      </c>
    </row>
    <row r="1762" spans="1:3">
      <c r="A1762">
        <v>25</v>
      </c>
      <c r="B1762">
        <v>7</v>
      </c>
      <c r="C1762" t="str">
        <f>VLOOKUP(A1762,'Programas y Unidades'!$A:$B,2,0)</f>
        <v>Gastronomía</v>
      </c>
    </row>
    <row r="1763" spans="1:3">
      <c r="A1763">
        <v>25</v>
      </c>
      <c r="B1763">
        <v>7</v>
      </c>
      <c r="C1763" t="str">
        <f>VLOOKUP(A1763,'Programas y Unidades'!$A:$B,2,0)</f>
        <v>Gastronomía</v>
      </c>
    </row>
    <row r="1764" spans="1:3">
      <c r="A1764">
        <v>25</v>
      </c>
      <c r="B1764">
        <v>6</v>
      </c>
      <c r="C1764" t="str">
        <f>VLOOKUP(A1764,'Programas y Unidades'!$A:$B,2,0)</f>
        <v>Gastronomía</v>
      </c>
    </row>
    <row r="1765" spans="1:3">
      <c r="A1765">
        <v>25</v>
      </c>
      <c r="B1765">
        <v>6</v>
      </c>
      <c r="C1765" t="str">
        <f>VLOOKUP(A1765,'Programas y Unidades'!$A:$B,2,0)</f>
        <v>Gastronomía</v>
      </c>
    </row>
    <row r="1766" spans="1:3">
      <c r="A1766">
        <v>25</v>
      </c>
      <c r="B1766">
        <v>4</v>
      </c>
      <c r="C1766" t="str">
        <f>VLOOKUP(A1766,'Programas y Unidades'!$A:$B,2,0)</f>
        <v>Gastronomía</v>
      </c>
    </row>
    <row r="1767" spans="1:3">
      <c r="A1767">
        <v>25</v>
      </c>
      <c r="B1767">
        <v>7</v>
      </c>
      <c r="C1767" t="str">
        <f>VLOOKUP(A1767,'Programas y Unidades'!$A:$B,2,0)</f>
        <v>Gastronomía</v>
      </c>
    </row>
    <row r="1768" spans="1:3">
      <c r="A1768">
        <v>25</v>
      </c>
      <c r="B1768">
        <v>6</v>
      </c>
      <c r="C1768" t="str">
        <f>VLOOKUP(A1768,'Programas y Unidades'!$A:$B,2,0)</f>
        <v>Gastronomía</v>
      </c>
    </row>
    <row r="1769" spans="1:3">
      <c r="A1769">
        <v>25</v>
      </c>
      <c r="B1769">
        <v>6</v>
      </c>
      <c r="C1769" t="str">
        <f>VLOOKUP(A1769,'Programas y Unidades'!$A:$B,2,0)</f>
        <v>Gastronomía</v>
      </c>
    </row>
    <row r="1770" spans="1:3">
      <c r="A1770">
        <v>25</v>
      </c>
      <c r="B1770">
        <v>7</v>
      </c>
      <c r="C1770" t="str">
        <f>VLOOKUP(A1770,'Programas y Unidades'!$A:$B,2,0)</f>
        <v>Gastronomía</v>
      </c>
    </row>
    <row r="1771" spans="1:3">
      <c r="A1771">
        <v>25</v>
      </c>
      <c r="B1771">
        <v>4</v>
      </c>
      <c r="C1771" t="str">
        <f>VLOOKUP(A1771,'Programas y Unidades'!$A:$B,2,0)</f>
        <v>Gastronomía</v>
      </c>
    </row>
    <row r="1772" spans="1:3">
      <c r="A1772">
        <v>25</v>
      </c>
      <c r="B1772">
        <v>8</v>
      </c>
      <c r="C1772" t="str">
        <f>VLOOKUP(A1772,'Programas y Unidades'!$A:$B,2,0)</f>
        <v>Gastronomía</v>
      </c>
    </row>
    <row r="1773" spans="1:3">
      <c r="A1773">
        <v>25</v>
      </c>
      <c r="B1773">
        <v>6</v>
      </c>
      <c r="C1773" t="str">
        <f>VLOOKUP(A1773,'Programas y Unidades'!$A:$B,2,0)</f>
        <v>Gastronomía</v>
      </c>
    </row>
    <row r="1774" spans="1:3">
      <c r="A1774">
        <v>25</v>
      </c>
      <c r="B1774">
        <v>7</v>
      </c>
      <c r="C1774" t="str">
        <f>VLOOKUP(A1774,'Programas y Unidades'!$A:$B,2,0)</f>
        <v>Gastronomía</v>
      </c>
    </row>
    <row r="1775" spans="1:3">
      <c r="A1775">
        <v>25</v>
      </c>
      <c r="B1775">
        <v>6</v>
      </c>
      <c r="C1775" t="str">
        <f>VLOOKUP(A1775,'Programas y Unidades'!$A:$B,2,0)</f>
        <v>Gastronomía</v>
      </c>
    </row>
    <row r="1776" spans="1:3">
      <c r="A1776">
        <v>25</v>
      </c>
      <c r="B1776">
        <v>7</v>
      </c>
      <c r="C1776" t="str">
        <f>VLOOKUP(A1776,'Programas y Unidades'!$A:$B,2,0)</f>
        <v>Gastronomía</v>
      </c>
    </row>
    <row r="1777" spans="1:3">
      <c r="A1777">
        <v>30</v>
      </c>
      <c r="B1777">
        <v>6</v>
      </c>
      <c r="C1777" t="str">
        <f>VLOOKUP(A1777,'Programas y Unidades'!$A:$B,2,0)</f>
        <v>Derecho</v>
      </c>
    </row>
    <row r="1778" spans="1:3">
      <c r="A1778">
        <v>30</v>
      </c>
      <c r="B1778">
        <v>7</v>
      </c>
      <c r="C1778" t="str">
        <f>VLOOKUP(A1778,'Programas y Unidades'!$A:$B,2,0)</f>
        <v>Derecho</v>
      </c>
    </row>
    <row r="1779" spans="1:3">
      <c r="A1779">
        <v>30</v>
      </c>
      <c r="B1779">
        <v>7</v>
      </c>
      <c r="C1779" t="str">
        <f>VLOOKUP(A1779,'Programas y Unidades'!$A:$B,2,0)</f>
        <v>Derecho</v>
      </c>
    </row>
    <row r="1780" spans="1:3">
      <c r="A1780">
        <v>30</v>
      </c>
      <c r="B1780">
        <v>7</v>
      </c>
      <c r="C1780" t="str">
        <f>VLOOKUP(A1780,'Programas y Unidades'!$A:$B,2,0)</f>
        <v>Derecho</v>
      </c>
    </row>
    <row r="1781" spans="1:3">
      <c r="A1781">
        <v>30</v>
      </c>
      <c r="B1781">
        <v>7</v>
      </c>
      <c r="C1781" t="str">
        <f>VLOOKUP(A1781,'Programas y Unidades'!$A:$B,2,0)</f>
        <v>Derecho</v>
      </c>
    </row>
    <row r="1782" spans="1:3">
      <c r="A1782">
        <v>29</v>
      </c>
      <c r="B1782">
        <v>8</v>
      </c>
      <c r="C1782" t="str">
        <f>VLOOKUP(A1782,'Programas y Unidades'!$A:$B,2,0)</f>
        <v>Ciencias Políticas</v>
      </c>
    </row>
    <row r="1783" spans="1:3">
      <c r="A1783">
        <v>30</v>
      </c>
      <c r="B1783">
        <v>7</v>
      </c>
      <c r="C1783" t="str">
        <f>VLOOKUP(A1783,'Programas y Unidades'!$A:$B,2,0)</f>
        <v>Derecho</v>
      </c>
    </row>
    <row r="1784" spans="1:3">
      <c r="A1784">
        <v>30</v>
      </c>
      <c r="B1784">
        <v>7</v>
      </c>
      <c r="C1784" t="str">
        <f>VLOOKUP(A1784,'Programas y Unidades'!$A:$B,2,0)</f>
        <v>Derecho</v>
      </c>
    </row>
    <row r="1785" spans="1:3">
      <c r="A1785">
        <v>30</v>
      </c>
      <c r="B1785">
        <v>7</v>
      </c>
      <c r="C1785" t="str">
        <f>VLOOKUP(A1785,'Programas y Unidades'!$A:$B,2,0)</f>
        <v>Derecho</v>
      </c>
    </row>
    <row r="1786" spans="1:3">
      <c r="A1786">
        <v>23</v>
      </c>
      <c r="B1786">
        <v>2</v>
      </c>
      <c r="C1786" t="str">
        <f>VLOOKUP(A1786,'Programas y Unidades'!$A:$B,2,0)</f>
        <v>Administración de Negocios Internacionales</v>
      </c>
    </row>
    <row r="1787" spans="1:3">
      <c r="A1787">
        <v>23</v>
      </c>
      <c r="B1787">
        <v>2</v>
      </c>
      <c r="C1787" t="str">
        <f>VLOOKUP(A1787,'Programas y Unidades'!$A:$B,2,0)</f>
        <v>Administración de Negocios Internacionales</v>
      </c>
    </row>
    <row r="1788" spans="1:3">
      <c r="A1788">
        <v>30</v>
      </c>
      <c r="B1788">
        <v>6</v>
      </c>
      <c r="C1788" t="str">
        <f>VLOOKUP(A1788,'Programas y Unidades'!$A:$B,2,0)</f>
        <v>Derecho</v>
      </c>
    </row>
    <row r="1789" spans="1:3">
      <c r="A1789">
        <v>30</v>
      </c>
      <c r="B1789">
        <v>7</v>
      </c>
      <c r="C1789" t="str">
        <f>VLOOKUP(A1789,'Programas y Unidades'!$A:$B,2,0)</f>
        <v>Derecho</v>
      </c>
    </row>
    <row r="1790" spans="1:3">
      <c r="A1790">
        <v>30</v>
      </c>
      <c r="B1790">
        <v>7</v>
      </c>
      <c r="C1790" t="str">
        <f>VLOOKUP(A1790,'Programas y Unidades'!$A:$B,2,0)</f>
        <v>Derecho</v>
      </c>
    </row>
    <row r="1791" spans="1:3">
      <c r="A1791">
        <v>21</v>
      </c>
      <c r="B1791">
        <v>2</v>
      </c>
      <c r="C1791" t="str">
        <f>VLOOKUP(A1791,'Programas y Unidades'!$A:$B,2,0)</f>
        <v>Administración de Empresas</v>
      </c>
    </row>
    <row r="1792" spans="1:3">
      <c r="A1792">
        <v>21</v>
      </c>
      <c r="B1792">
        <v>2</v>
      </c>
      <c r="C1792" t="str">
        <f>VLOOKUP(A1792,'Programas y Unidades'!$A:$B,2,0)</f>
        <v>Administración de Empresas</v>
      </c>
    </row>
    <row r="1793" spans="1:3">
      <c r="A1793">
        <v>21</v>
      </c>
      <c r="B1793">
        <v>2</v>
      </c>
      <c r="C1793" t="str">
        <f>VLOOKUP(A1793,'Programas y Unidades'!$A:$B,2,0)</f>
        <v>Administración de Empresas</v>
      </c>
    </row>
    <row r="1794" spans="1:3">
      <c r="A1794">
        <v>21</v>
      </c>
      <c r="B1794">
        <v>3</v>
      </c>
      <c r="C1794" t="str">
        <f>VLOOKUP(A1794,'Programas y Unidades'!$A:$B,2,0)</f>
        <v>Administración de Empresas</v>
      </c>
    </row>
    <row r="1795" spans="1:3">
      <c r="A1795">
        <v>21</v>
      </c>
      <c r="B1795">
        <v>2</v>
      </c>
      <c r="C1795" t="str">
        <f>VLOOKUP(A1795,'Programas y Unidades'!$A:$B,2,0)</f>
        <v>Administración de Empresas</v>
      </c>
    </row>
    <row r="1796" spans="1:3">
      <c r="A1796">
        <v>21</v>
      </c>
      <c r="B1796">
        <v>2</v>
      </c>
      <c r="C1796" t="str">
        <f>VLOOKUP(A1796,'Programas y Unidades'!$A:$B,2,0)</f>
        <v>Administración de Empresas</v>
      </c>
    </row>
    <row r="1797" spans="1:3">
      <c r="A1797">
        <v>21</v>
      </c>
      <c r="B1797">
        <v>2</v>
      </c>
      <c r="C1797" t="str">
        <f>VLOOKUP(A1797,'Programas y Unidades'!$A:$B,2,0)</f>
        <v>Administración de Empresas</v>
      </c>
    </row>
    <row r="1798" spans="1:3">
      <c r="A1798">
        <v>21</v>
      </c>
      <c r="B1798">
        <v>2</v>
      </c>
      <c r="C1798" t="str">
        <f>VLOOKUP(A1798,'Programas y Unidades'!$A:$B,2,0)</f>
        <v>Administración de Empresas</v>
      </c>
    </row>
    <row r="1799" spans="1:3">
      <c r="A1799">
        <v>21</v>
      </c>
      <c r="B1799">
        <v>2</v>
      </c>
      <c r="C1799" t="str">
        <f>VLOOKUP(A1799,'Programas y Unidades'!$A:$B,2,0)</f>
        <v>Administración de Empresas</v>
      </c>
    </row>
    <row r="1800" spans="1:3">
      <c r="A1800">
        <v>21</v>
      </c>
      <c r="B1800">
        <v>2</v>
      </c>
      <c r="C1800" t="str">
        <f>VLOOKUP(A1800,'Programas y Unidades'!$A:$B,2,0)</f>
        <v>Administración de Empresas</v>
      </c>
    </row>
    <row r="1801" spans="1:3">
      <c r="A1801">
        <v>21</v>
      </c>
      <c r="B1801">
        <v>2</v>
      </c>
      <c r="C1801" t="str">
        <f>VLOOKUP(A1801,'Programas y Unidades'!$A:$B,2,0)</f>
        <v>Administración de Empresas</v>
      </c>
    </row>
    <row r="1802" spans="1:3">
      <c r="A1802">
        <v>21</v>
      </c>
      <c r="B1802">
        <v>2</v>
      </c>
      <c r="C1802" t="str">
        <f>VLOOKUP(A1802,'Programas y Unidades'!$A:$B,2,0)</f>
        <v>Administración de Empresas</v>
      </c>
    </row>
    <row r="1803" spans="1:3">
      <c r="A1803">
        <v>21</v>
      </c>
      <c r="B1803">
        <v>2</v>
      </c>
      <c r="C1803" t="str">
        <f>VLOOKUP(A1803,'Programas y Unidades'!$A:$B,2,0)</f>
        <v>Administración de Empresas</v>
      </c>
    </row>
    <row r="1804" spans="1:3">
      <c r="A1804">
        <v>21</v>
      </c>
      <c r="B1804">
        <v>2</v>
      </c>
      <c r="C1804" t="str">
        <f>VLOOKUP(A1804,'Programas y Unidades'!$A:$B,2,0)</f>
        <v>Administración de Empresas</v>
      </c>
    </row>
    <row r="1805" spans="1:3">
      <c r="A1805">
        <v>21</v>
      </c>
      <c r="B1805">
        <v>2</v>
      </c>
      <c r="C1805" t="str">
        <f>VLOOKUP(A1805,'Programas y Unidades'!$A:$B,2,0)</f>
        <v>Administración de Empresas</v>
      </c>
    </row>
    <row r="1806" spans="1:3">
      <c r="A1806">
        <v>21</v>
      </c>
      <c r="B1806">
        <v>3</v>
      </c>
      <c r="C1806" t="str">
        <f>VLOOKUP(A1806,'Programas y Unidades'!$A:$B,2,0)</f>
        <v>Administración de Empresas</v>
      </c>
    </row>
    <row r="1807" spans="1:3">
      <c r="A1807">
        <v>23</v>
      </c>
      <c r="B1807">
        <v>6</v>
      </c>
      <c r="C1807" t="str">
        <f>VLOOKUP(A1807,'Programas y Unidades'!$A:$B,2,0)</f>
        <v>Administración de Negocios Internacionales</v>
      </c>
    </row>
    <row r="1808" spans="1:3">
      <c r="A1808">
        <v>23</v>
      </c>
      <c r="B1808">
        <v>6</v>
      </c>
      <c r="C1808" t="str">
        <f>VLOOKUP(A1808,'Programas y Unidades'!$A:$B,2,0)</f>
        <v>Administración de Negocios Internacionales</v>
      </c>
    </row>
    <row r="1809" spans="1:3">
      <c r="A1809">
        <v>23</v>
      </c>
      <c r="B1809">
        <v>6</v>
      </c>
      <c r="C1809" t="str">
        <f>VLOOKUP(A1809,'Programas y Unidades'!$A:$B,2,0)</f>
        <v>Administración de Negocios Internacionales</v>
      </c>
    </row>
    <row r="1810" spans="1:3">
      <c r="A1810">
        <v>23</v>
      </c>
      <c r="B1810">
        <v>6</v>
      </c>
      <c r="C1810" t="str">
        <f>VLOOKUP(A1810,'Programas y Unidades'!$A:$B,2,0)</f>
        <v>Administración de Negocios Internacionales</v>
      </c>
    </row>
    <row r="1811" spans="1:3">
      <c r="A1811">
        <v>23</v>
      </c>
      <c r="B1811">
        <v>7</v>
      </c>
      <c r="C1811" t="str">
        <f>VLOOKUP(A1811,'Programas y Unidades'!$A:$B,2,0)</f>
        <v>Administración de Negocios Internacionales</v>
      </c>
    </row>
    <row r="1812" spans="1:3">
      <c r="A1812">
        <v>23</v>
      </c>
      <c r="B1812">
        <v>6</v>
      </c>
      <c r="C1812" t="str">
        <f>VLOOKUP(A1812,'Programas y Unidades'!$A:$B,2,0)</f>
        <v>Administración de Negocios Internacionales</v>
      </c>
    </row>
    <row r="1813" spans="1:3">
      <c r="A1813">
        <v>23</v>
      </c>
      <c r="B1813">
        <v>6</v>
      </c>
      <c r="C1813" t="str">
        <f>VLOOKUP(A1813,'Programas y Unidades'!$A:$B,2,0)</f>
        <v>Administración de Negocios Internacionales</v>
      </c>
    </row>
    <row r="1814" spans="1:3">
      <c r="A1814">
        <v>23</v>
      </c>
      <c r="B1814">
        <v>5</v>
      </c>
      <c r="C1814" t="str">
        <f>VLOOKUP(A1814,'Programas y Unidades'!$A:$B,2,0)</f>
        <v>Administración de Negocios Internacionales</v>
      </c>
    </row>
    <row r="1815" spans="1:3">
      <c r="A1815">
        <v>23</v>
      </c>
      <c r="B1815">
        <v>6</v>
      </c>
      <c r="C1815" t="str">
        <f>VLOOKUP(A1815,'Programas y Unidades'!$A:$B,2,0)</f>
        <v>Administración de Negocios Internacionales</v>
      </c>
    </row>
    <row r="1816" spans="1:3">
      <c r="A1816">
        <v>23</v>
      </c>
      <c r="B1816">
        <v>6</v>
      </c>
      <c r="C1816" t="str">
        <f>VLOOKUP(A1816,'Programas y Unidades'!$A:$B,2,0)</f>
        <v>Administración de Negocios Internacionales</v>
      </c>
    </row>
    <row r="1817" spans="1:3">
      <c r="A1817">
        <v>23</v>
      </c>
      <c r="B1817">
        <v>4</v>
      </c>
      <c r="C1817" t="str">
        <f>VLOOKUP(A1817,'Programas y Unidades'!$A:$B,2,0)</f>
        <v>Administración de Negocios Internacionales</v>
      </c>
    </row>
    <row r="1818" spans="1:3">
      <c r="A1818">
        <v>23</v>
      </c>
      <c r="B1818">
        <v>7</v>
      </c>
      <c r="C1818" t="str">
        <f>VLOOKUP(A1818,'Programas y Unidades'!$A:$B,2,0)</f>
        <v>Administración de Negocios Internacionales</v>
      </c>
    </row>
    <row r="1819" spans="1:3">
      <c r="A1819">
        <v>23</v>
      </c>
      <c r="B1819">
        <v>7</v>
      </c>
      <c r="C1819" t="str">
        <f>VLOOKUP(A1819,'Programas y Unidades'!$A:$B,2,0)</f>
        <v>Administración de Negocios Internacionales</v>
      </c>
    </row>
    <row r="1820" spans="1:3">
      <c r="A1820">
        <v>23</v>
      </c>
      <c r="B1820">
        <v>7</v>
      </c>
      <c r="C1820" t="str">
        <f>VLOOKUP(A1820,'Programas y Unidades'!$A:$B,2,0)</f>
        <v>Administración de Negocios Internacionales</v>
      </c>
    </row>
    <row r="1821" spans="1:3">
      <c r="A1821">
        <v>23</v>
      </c>
      <c r="B1821">
        <v>6</v>
      </c>
      <c r="C1821" t="str">
        <f>VLOOKUP(A1821,'Programas y Unidades'!$A:$B,2,0)</f>
        <v>Administración de Negocios Internacionales</v>
      </c>
    </row>
    <row r="1822" spans="1:3">
      <c r="A1822">
        <v>23</v>
      </c>
      <c r="B1822">
        <v>7</v>
      </c>
      <c r="C1822" t="str">
        <f>VLOOKUP(A1822,'Programas y Unidades'!$A:$B,2,0)</f>
        <v>Administración de Negocios Internacionales</v>
      </c>
    </row>
    <row r="1823" spans="1:3">
      <c r="A1823">
        <v>23</v>
      </c>
      <c r="B1823">
        <v>7</v>
      </c>
      <c r="C1823" t="str">
        <f>VLOOKUP(A1823,'Programas y Unidades'!$A:$B,2,0)</f>
        <v>Administración de Negocios Internacionales</v>
      </c>
    </row>
    <row r="1824" spans="1:3">
      <c r="A1824">
        <v>23</v>
      </c>
      <c r="B1824">
        <v>3</v>
      </c>
      <c r="C1824" t="str">
        <f>VLOOKUP(A1824,'Programas y Unidades'!$A:$B,2,0)</f>
        <v>Administración de Negocios Internacionales</v>
      </c>
    </row>
    <row r="1825" spans="1:3">
      <c r="A1825">
        <v>23</v>
      </c>
      <c r="B1825">
        <v>7</v>
      </c>
      <c r="C1825" t="str">
        <f>VLOOKUP(A1825,'Programas y Unidades'!$A:$B,2,0)</f>
        <v>Administración de Negocios Internacionales</v>
      </c>
    </row>
    <row r="1826" spans="1:3">
      <c r="A1826">
        <v>23</v>
      </c>
      <c r="B1826">
        <v>4</v>
      </c>
      <c r="C1826" t="str">
        <f>VLOOKUP(A1826,'Programas y Unidades'!$A:$B,2,0)</f>
        <v>Administración de Negocios Internacionales</v>
      </c>
    </row>
    <row r="1827" spans="1:3">
      <c r="A1827">
        <v>34</v>
      </c>
      <c r="B1827">
        <v>4</v>
      </c>
      <c r="C1827" t="str">
        <f>VLOOKUP(A1827,'Programas y Unidades'!$A:$B,2,0)</f>
        <v>Fisioterapia</v>
      </c>
    </row>
    <row r="1828" spans="1:3">
      <c r="A1828">
        <v>34</v>
      </c>
      <c r="B1828">
        <v>4</v>
      </c>
      <c r="C1828" t="str">
        <f>VLOOKUP(A1828,'Programas y Unidades'!$A:$B,2,0)</f>
        <v>Fisioterapia</v>
      </c>
    </row>
    <row r="1829" spans="1:3">
      <c r="A1829">
        <v>34</v>
      </c>
      <c r="B1829">
        <v>4</v>
      </c>
      <c r="C1829" t="str">
        <f>VLOOKUP(A1829,'Programas y Unidades'!$A:$B,2,0)</f>
        <v>Fisioterapia</v>
      </c>
    </row>
    <row r="1830" spans="1:3">
      <c r="A1830">
        <v>34</v>
      </c>
      <c r="B1830">
        <v>4</v>
      </c>
      <c r="C1830" t="str">
        <f>VLOOKUP(A1830,'Programas y Unidades'!$A:$B,2,0)</f>
        <v>Fisioterapia</v>
      </c>
    </row>
    <row r="1831" spans="1:3">
      <c r="A1831">
        <v>34</v>
      </c>
      <c r="B1831">
        <v>4</v>
      </c>
      <c r="C1831" t="str">
        <f>VLOOKUP(A1831,'Programas y Unidades'!$A:$B,2,0)</f>
        <v>Fisioterapia</v>
      </c>
    </row>
    <row r="1832" spans="1:3">
      <c r="A1832">
        <v>34</v>
      </c>
      <c r="B1832">
        <v>4</v>
      </c>
      <c r="C1832" t="str">
        <f>VLOOKUP(A1832,'Programas y Unidades'!$A:$B,2,0)</f>
        <v>Fisioterapia</v>
      </c>
    </row>
    <row r="1833" spans="1:3">
      <c r="A1833">
        <v>34</v>
      </c>
      <c r="B1833">
        <v>4</v>
      </c>
      <c r="C1833" t="str">
        <f>VLOOKUP(A1833,'Programas y Unidades'!$A:$B,2,0)</f>
        <v>Fisioterapia</v>
      </c>
    </row>
    <row r="1834" spans="1:3">
      <c r="A1834">
        <v>34</v>
      </c>
      <c r="B1834">
        <v>4</v>
      </c>
      <c r="C1834" t="str">
        <f>VLOOKUP(A1834,'Programas y Unidades'!$A:$B,2,0)</f>
        <v>Fisioterapia</v>
      </c>
    </row>
    <row r="1835" spans="1:3">
      <c r="A1835">
        <v>34</v>
      </c>
      <c r="B1835">
        <v>4</v>
      </c>
      <c r="C1835" t="str">
        <f>VLOOKUP(A1835,'Programas y Unidades'!$A:$B,2,0)</f>
        <v>Fisioterapia</v>
      </c>
    </row>
    <row r="1836" spans="1:3">
      <c r="A1836">
        <v>34</v>
      </c>
      <c r="B1836">
        <v>4</v>
      </c>
      <c r="C1836" t="str">
        <f>VLOOKUP(A1836,'Programas y Unidades'!$A:$B,2,0)</f>
        <v>Fisioterapia</v>
      </c>
    </row>
    <row r="1837" spans="1:3">
      <c r="A1837">
        <v>34</v>
      </c>
      <c r="B1837">
        <v>4</v>
      </c>
      <c r="C1837" t="str">
        <f>VLOOKUP(A1837,'Programas y Unidades'!$A:$B,2,0)</f>
        <v>Fisioterapia</v>
      </c>
    </row>
    <row r="1838" spans="1:3">
      <c r="A1838">
        <v>34</v>
      </c>
      <c r="B1838">
        <v>4</v>
      </c>
      <c r="C1838" t="str">
        <f>VLOOKUP(A1838,'Programas y Unidades'!$A:$B,2,0)</f>
        <v>Fisioterapia</v>
      </c>
    </row>
    <row r="1839" spans="1:3">
      <c r="A1839">
        <v>34</v>
      </c>
      <c r="B1839">
        <v>4</v>
      </c>
      <c r="C1839" t="str">
        <f>VLOOKUP(A1839,'Programas y Unidades'!$A:$B,2,0)</f>
        <v>Fisioterapia</v>
      </c>
    </row>
    <row r="1840" spans="1:3">
      <c r="A1840">
        <v>34</v>
      </c>
      <c r="B1840">
        <v>4</v>
      </c>
      <c r="C1840" t="str">
        <f>VLOOKUP(A1840,'Programas y Unidades'!$A:$B,2,0)</f>
        <v>Fisioterapia</v>
      </c>
    </row>
    <row r="1841" spans="1:3">
      <c r="A1841">
        <v>34</v>
      </c>
      <c r="B1841">
        <v>4</v>
      </c>
      <c r="C1841" t="str">
        <f>VLOOKUP(A1841,'Programas y Unidades'!$A:$B,2,0)</f>
        <v>Fisioterapia</v>
      </c>
    </row>
    <row r="1842" spans="1:3">
      <c r="A1842">
        <v>34</v>
      </c>
      <c r="B1842">
        <v>4</v>
      </c>
      <c r="C1842" t="str">
        <f>VLOOKUP(A1842,'Programas y Unidades'!$A:$B,2,0)</f>
        <v>Fisioterapia</v>
      </c>
    </row>
    <row r="1843" spans="1:3">
      <c r="A1843">
        <v>34</v>
      </c>
      <c r="B1843">
        <v>4</v>
      </c>
      <c r="C1843" t="str">
        <f>VLOOKUP(A1843,'Programas y Unidades'!$A:$B,2,0)</f>
        <v>Fisioterapia</v>
      </c>
    </row>
    <row r="1844" spans="1:3">
      <c r="A1844">
        <v>34</v>
      </c>
      <c r="B1844">
        <v>4</v>
      </c>
      <c r="C1844" t="str">
        <f>VLOOKUP(A1844,'Programas y Unidades'!$A:$B,2,0)</f>
        <v>Fisioterapia</v>
      </c>
    </row>
    <row r="1845" spans="1:3">
      <c r="A1845">
        <v>34</v>
      </c>
      <c r="B1845">
        <v>4</v>
      </c>
      <c r="C1845" t="str">
        <f>VLOOKUP(A1845,'Programas y Unidades'!$A:$B,2,0)</f>
        <v>Fisioterapia</v>
      </c>
    </row>
    <row r="1846" spans="1:3">
      <c r="A1846">
        <v>34</v>
      </c>
      <c r="B1846">
        <v>4</v>
      </c>
      <c r="C1846" t="str">
        <f>VLOOKUP(A1846,'Programas y Unidades'!$A:$B,2,0)</f>
        <v>Fisioterapia</v>
      </c>
    </row>
    <row r="1847" spans="1:3">
      <c r="A1847">
        <v>34</v>
      </c>
      <c r="B1847">
        <v>4</v>
      </c>
      <c r="C1847" t="str">
        <f>VLOOKUP(A1847,'Programas y Unidades'!$A:$B,2,0)</f>
        <v>Fisioterapia</v>
      </c>
    </row>
    <row r="1848" spans="1:3">
      <c r="A1848">
        <v>22</v>
      </c>
      <c r="B1848">
        <v>6</v>
      </c>
      <c r="C1848" t="str">
        <f>VLOOKUP(A1848,'Programas y Unidades'!$A:$B,2,0)</f>
        <v>Administración de Mercadeo y Logística Internacionales</v>
      </c>
    </row>
    <row r="1849" spans="1:3">
      <c r="A1849">
        <v>22</v>
      </c>
      <c r="B1849">
        <v>6</v>
      </c>
      <c r="C1849" t="str">
        <f>VLOOKUP(A1849,'Programas y Unidades'!$A:$B,2,0)</f>
        <v>Administración de Mercadeo y Logística Internacionales</v>
      </c>
    </row>
    <row r="1850" spans="1:3">
      <c r="A1850">
        <v>22</v>
      </c>
      <c r="B1850">
        <v>6</v>
      </c>
      <c r="C1850" t="str">
        <f>VLOOKUP(A1850,'Programas y Unidades'!$A:$B,2,0)</f>
        <v>Administración de Mercadeo y Logística Internacionales</v>
      </c>
    </row>
    <row r="1851" spans="1:3">
      <c r="A1851">
        <v>22</v>
      </c>
      <c r="B1851">
        <v>7</v>
      </c>
      <c r="C1851" t="str">
        <f>VLOOKUP(A1851,'Programas y Unidades'!$A:$B,2,0)</f>
        <v>Administración de Mercadeo y Logística Internacionales</v>
      </c>
    </row>
    <row r="1852" spans="1:3">
      <c r="A1852">
        <v>22</v>
      </c>
      <c r="B1852">
        <v>6</v>
      </c>
      <c r="C1852" t="str">
        <f>VLOOKUP(A1852,'Programas y Unidades'!$A:$B,2,0)</f>
        <v>Administración de Mercadeo y Logística Internacionales</v>
      </c>
    </row>
    <row r="1853" spans="1:3">
      <c r="A1853">
        <v>22</v>
      </c>
      <c r="B1853">
        <v>6</v>
      </c>
      <c r="C1853" t="str">
        <f>VLOOKUP(A1853,'Programas y Unidades'!$A:$B,2,0)</f>
        <v>Administración de Mercadeo y Logística Internacionales</v>
      </c>
    </row>
    <row r="1854" spans="1:3">
      <c r="A1854">
        <v>22</v>
      </c>
      <c r="B1854">
        <v>6</v>
      </c>
      <c r="C1854" t="str">
        <f>VLOOKUP(A1854,'Programas y Unidades'!$A:$B,2,0)</f>
        <v>Administración de Mercadeo y Logística Internacionales</v>
      </c>
    </row>
    <row r="1855" spans="1:3">
      <c r="A1855">
        <v>22</v>
      </c>
      <c r="B1855">
        <v>6</v>
      </c>
      <c r="C1855" t="str">
        <f>VLOOKUP(A1855,'Programas y Unidades'!$A:$B,2,0)</f>
        <v>Administración de Mercadeo y Logística Internacionales</v>
      </c>
    </row>
    <row r="1856" spans="1:3">
      <c r="A1856">
        <v>22</v>
      </c>
      <c r="B1856">
        <v>6</v>
      </c>
      <c r="C1856" t="str">
        <f>VLOOKUP(A1856,'Programas y Unidades'!$A:$B,2,0)</f>
        <v>Administración de Mercadeo y Logística Internacionales</v>
      </c>
    </row>
    <row r="1857" spans="1:3">
      <c r="A1857">
        <v>22</v>
      </c>
      <c r="B1857">
        <v>6</v>
      </c>
      <c r="C1857" t="str">
        <f>VLOOKUP(A1857,'Programas y Unidades'!$A:$B,2,0)</f>
        <v>Administración de Mercadeo y Logística Internacionales</v>
      </c>
    </row>
    <row r="1858" spans="1:3">
      <c r="A1858">
        <v>22</v>
      </c>
      <c r="B1858">
        <v>8</v>
      </c>
      <c r="C1858" t="str">
        <f>VLOOKUP(A1858,'Programas y Unidades'!$A:$B,2,0)</f>
        <v>Administración de Mercadeo y Logística Internacionales</v>
      </c>
    </row>
    <row r="1859" spans="1:3">
      <c r="A1859">
        <v>22</v>
      </c>
      <c r="B1859">
        <v>8</v>
      </c>
      <c r="C1859" t="str">
        <f>VLOOKUP(A1859,'Programas y Unidades'!$A:$B,2,0)</f>
        <v>Administración de Mercadeo y Logística Internacionales</v>
      </c>
    </row>
    <row r="1860" spans="1:3">
      <c r="A1860">
        <v>22</v>
      </c>
      <c r="B1860">
        <v>7</v>
      </c>
      <c r="C1860" t="str">
        <f>VLOOKUP(A1860,'Programas y Unidades'!$A:$B,2,0)</f>
        <v>Administración de Mercadeo y Logística Internacionales</v>
      </c>
    </row>
    <row r="1861" spans="1:3">
      <c r="A1861">
        <v>22</v>
      </c>
      <c r="B1861">
        <v>7</v>
      </c>
      <c r="C1861" t="str">
        <f>VLOOKUP(A1861,'Programas y Unidades'!$A:$B,2,0)</f>
        <v>Administración de Mercadeo y Logística Internacionales</v>
      </c>
    </row>
    <row r="1862" spans="1:3">
      <c r="A1862">
        <v>22</v>
      </c>
      <c r="B1862">
        <v>6</v>
      </c>
      <c r="C1862" t="str">
        <f>VLOOKUP(A1862,'Programas y Unidades'!$A:$B,2,0)</f>
        <v>Administración de Mercadeo y Logística Internacionales</v>
      </c>
    </row>
    <row r="1863" spans="1:3">
      <c r="A1863">
        <v>22</v>
      </c>
      <c r="B1863">
        <v>6</v>
      </c>
      <c r="C1863" t="str">
        <f>VLOOKUP(A1863,'Programas y Unidades'!$A:$B,2,0)</f>
        <v>Administración de Mercadeo y Logística Internacionales</v>
      </c>
    </row>
    <row r="1864" spans="1:3">
      <c r="A1864">
        <v>42</v>
      </c>
      <c r="B1864">
        <v>6</v>
      </c>
      <c r="C1864" t="str">
        <f>VLOOKUP(A1864,'Programas y Unidades'!$A:$B,2,0)</f>
        <v>Medicina</v>
      </c>
    </row>
    <row r="1865" spans="1:3">
      <c r="A1865">
        <v>22</v>
      </c>
      <c r="B1865">
        <v>7</v>
      </c>
      <c r="C1865" t="str">
        <f>VLOOKUP(A1865,'Programas y Unidades'!$A:$B,2,0)</f>
        <v>Administración de Mercadeo y Logística Internacionales</v>
      </c>
    </row>
    <row r="1866" spans="1:3">
      <c r="A1866">
        <v>22</v>
      </c>
      <c r="B1866">
        <v>6</v>
      </c>
      <c r="C1866" t="str">
        <f>VLOOKUP(A1866,'Programas y Unidades'!$A:$B,2,0)</f>
        <v>Administración de Mercadeo y Logística Internacionales</v>
      </c>
    </row>
    <row r="1867" spans="1:3">
      <c r="A1867">
        <v>22</v>
      </c>
      <c r="B1867">
        <v>6</v>
      </c>
      <c r="C1867" t="str">
        <f>VLOOKUP(A1867,'Programas y Unidades'!$A:$B,2,0)</f>
        <v>Administración de Mercadeo y Logística Internacionales</v>
      </c>
    </row>
    <row r="1868" spans="1:3">
      <c r="A1868">
        <v>22</v>
      </c>
      <c r="B1868">
        <v>6</v>
      </c>
      <c r="C1868" t="str">
        <f>VLOOKUP(A1868,'Programas y Unidades'!$A:$B,2,0)</f>
        <v>Administración de Mercadeo y Logística Internacionales</v>
      </c>
    </row>
    <row r="1869" spans="1:3">
      <c r="A1869">
        <v>22</v>
      </c>
      <c r="B1869">
        <v>8</v>
      </c>
      <c r="C1869" t="str">
        <f>VLOOKUP(A1869,'Programas y Unidades'!$A:$B,2,0)</f>
        <v>Administración de Mercadeo y Logística Internacionales</v>
      </c>
    </row>
    <row r="1870" spans="1:3">
      <c r="A1870">
        <v>22</v>
      </c>
      <c r="B1870">
        <v>8</v>
      </c>
      <c r="C1870" t="str">
        <f>VLOOKUP(A1870,'Programas y Unidades'!$A:$B,2,0)</f>
        <v>Administración de Mercadeo y Logística Internacionales</v>
      </c>
    </row>
    <row r="1871" spans="1:3">
      <c r="A1871">
        <v>22</v>
      </c>
      <c r="B1871">
        <v>7</v>
      </c>
      <c r="C1871" t="str">
        <f>VLOOKUP(A1871,'Programas y Unidades'!$A:$B,2,0)</f>
        <v>Administración de Mercadeo y Logística Internacionales</v>
      </c>
    </row>
    <row r="1872" spans="1:3">
      <c r="A1872">
        <v>22</v>
      </c>
      <c r="B1872">
        <v>7</v>
      </c>
      <c r="C1872" t="str">
        <f>VLOOKUP(A1872,'Programas y Unidades'!$A:$B,2,0)</f>
        <v>Administración de Mercadeo y Logística Internacionales</v>
      </c>
    </row>
    <row r="1873" spans="1:3">
      <c r="A1873">
        <v>25</v>
      </c>
      <c r="B1873">
        <v>8</v>
      </c>
      <c r="C1873" t="str">
        <f>VLOOKUP(A1873,'Programas y Unidades'!$A:$B,2,0)</f>
        <v>Gastronomía</v>
      </c>
    </row>
    <row r="1874" spans="1:3">
      <c r="A1874">
        <v>20</v>
      </c>
      <c r="B1874">
        <v>8</v>
      </c>
      <c r="C1874" t="str">
        <f>VLOOKUP(A1874,'Programas y Unidades'!$A:$B,2,0)</f>
        <v>Administración &amp; Servicio</v>
      </c>
    </row>
    <row r="1875" spans="1:3">
      <c r="A1875">
        <v>20</v>
      </c>
      <c r="B1875">
        <v>8</v>
      </c>
      <c r="C1875" t="str">
        <f>VLOOKUP(A1875,'Programas y Unidades'!$A:$B,2,0)</f>
        <v>Administración &amp; Servicio</v>
      </c>
    </row>
    <row r="1876" spans="1:3">
      <c r="A1876">
        <v>20</v>
      </c>
      <c r="B1876">
        <v>8</v>
      </c>
      <c r="C1876" t="str">
        <f>VLOOKUP(A1876,'Programas y Unidades'!$A:$B,2,0)</f>
        <v>Administración &amp; Servicio</v>
      </c>
    </row>
    <row r="1877" spans="1:3">
      <c r="A1877">
        <v>23</v>
      </c>
      <c r="B1877">
        <v>8</v>
      </c>
      <c r="C1877" t="str">
        <f>VLOOKUP(A1877,'Programas y Unidades'!$A:$B,2,0)</f>
        <v>Administración de Negocios Internacionales</v>
      </c>
    </row>
    <row r="1878" spans="1:3">
      <c r="A1878">
        <v>23</v>
      </c>
      <c r="B1878">
        <v>8</v>
      </c>
      <c r="C1878" t="str">
        <f>VLOOKUP(A1878,'Programas y Unidades'!$A:$B,2,0)</f>
        <v>Administración de Negocios Internacionales</v>
      </c>
    </row>
    <row r="1879" spans="1:3">
      <c r="A1879">
        <v>25</v>
      </c>
      <c r="B1879">
        <v>8</v>
      </c>
      <c r="C1879" t="str">
        <f>VLOOKUP(A1879,'Programas y Unidades'!$A:$B,2,0)</f>
        <v>Gastronomía</v>
      </c>
    </row>
    <row r="1880" spans="1:3">
      <c r="A1880">
        <v>23</v>
      </c>
      <c r="B1880">
        <v>8</v>
      </c>
      <c r="C1880" t="str">
        <f>VLOOKUP(A1880,'Programas y Unidades'!$A:$B,2,0)</f>
        <v>Administración de Negocios Internacionales</v>
      </c>
    </row>
    <row r="1881" spans="1:3">
      <c r="A1881">
        <v>23</v>
      </c>
      <c r="B1881">
        <v>8</v>
      </c>
      <c r="C1881" t="str">
        <f>VLOOKUP(A1881,'Programas y Unidades'!$A:$B,2,0)</f>
        <v>Administración de Negocios Internacionales</v>
      </c>
    </row>
    <row r="1882" spans="1:3">
      <c r="A1882">
        <v>23</v>
      </c>
      <c r="B1882">
        <v>8</v>
      </c>
      <c r="C1882" t="str">
        <f>VLOOKUP(A1882,'Programas y Unidades'!$A:$B,2,0)</f>
        <v>Administración de Negocios Internacionales</v>
      </c>
    </row>
    <row r="1883" spans="1:3">
      <c r="A1883">
        <v>23</v>
      </c>
      <c r="B1883">
        <v>8</v>
      </c>
      <c r="C1883" t="str">
        <f>VLOOKUP(A1883,'Programas y Unidades'!$A:$B,2,0)</f>
        <v>Administración de Negocios Internacionales</v>
      </c>
    </row>
    <row r="1884" spans="1:3">
      <c r="A1884">
        <v>23</v>
      </c>
      <c r="B1884">
        <v>8</v>
      </c>
      <c r="C1884" t="str">
        <f>VLOOKUP(A1884,'Programas y Unidades'!$A:$B,2,0)</f>
        <v>Administración de Negocios Internacionales</v>
      </c>
    </row>
    <row r="1885" spans="1:3">
      <c r="A1885">
        <v>20</v>
      </c>
      <c r="B1885">
        <v>8</v>
      </c>
      <c r="C1885" t="str">
        <f>VLOOKUP(A1885,'Programas y Unidades'!$A:$B,2,0)</f>
        <v>Administración &amp; Servicio</v>
      </c>
    </row>
    <row r="1886" spans="1:3">
      <c r="A1886">
        <v>25</v>
      </c>
      <c r="B1886">
        <v>8</v>
      </c>
      <c r="C1886" t="str">
        <f>VLOOKUP(A1886,'Programas y Unidades'!$A:$B,2,0)</f>
        <v>Gastronomía</v>
      </c>
    </row>
    <row r="1887" spans="1:3">
      <c r="A1887">
        <v>23</v>
      </c>
      <c r="B1887">
        <v>8</v>
      </c>
      <c r="C1887" t="str">
        <f>VLOOKUP(A1887,'Programas y Unidades'!$A:$B,2,0)</f>
        <v>Administración de Negocios Internacionales</v>
      </c>
    </row>
    <row r="1888" spans="1:3">
      <c r="A1888">
        <v>23</v>
      </c>
      <c r="B1888">
        <v>8</v>
      </c>
      <c r="C1888" t="str">
        <f>VLOOKUP(A1888,'Programas y Unidades'!$A:$B,2,0)</f>
        <v>Administración de Negocios Internacionales</v>
      </c>
    </row>
    <row r="1889" spans="1:3">
      <c r="A1889">
        <v>23</v>
      </c>
      <c r="B1889">
        <v>8</v>
      </c>
      <c r="C1889" t="str">
        <f>VLOOKUP(A1889,'Programas y Unidades'!$A:$B,2,0)</f>
        <v>Administración de Negocios Internacionales</v>
      </c>
    </row>
    <row r="1890" spans="1:3">
      <c r="A1890">
        <v>23</v>
      </c>
      <c r="B1890">
        <v>8</v>
      </c>
      <c r="C1890" t="str">
        <f>VLOOKUP(A1890,'Programas y Unidades'!$A:$B,2,0)</f>
        <v>Administración de Negocios Internacionales</v>
      </c>
    </row>
    <row r="1891" spans="1:3">
      <c r="A1891">
        <v>23</v>
      </c>
      <c r="B1891">
        <v>8</v>
      </c>
      <c r="C1891" t="str">
        <f>VLOOKUP(A1891,'Programas y Unidades'!$A:$B,2,0)</f>
        <v>Administración de Negocios Internacionales</v>
      </c>
    </row>
    <row r="1892" spans="1:3">
      <c r="A1892">
        <v>23</v>
      </c>
      <c r="B1892">
        <v>8</v>
      </c>
      <c r="C1892" t="str">
        <f>VLOOKUP(A1892,'Programas y Unidades'!$A:$B,2,0)</f>
        <v>Administración de Negocios Internacionales</v>
      </c>
    </row>
    <row r="1893" spans="1:3">
      <c r="A1893">
        <v>23</v>
      </c>
      <c r="B1893">
        <v>8</v>
      </c>
      <c r="C1893" t="str">
        <f>VLOOKUP(A1893,'Programas y Unidades'!$A:$B,2,0)</f>
        <v>Administración de Negocios Internacionales</v>
      </c>
    </row>
    <row r="1894" spans="1:3">
      <c r="A1894">
        <v>35</v>
      </c>
      <c r="B1894">
        <v>6</v>
      </c>
      <c r="C1894" t="str">
        <f>VLOOKUP(A1894,'Programas y Unidades'!$A:$B,2,0)</f>
        <v>Filosofía</v>
      </c>
    </row>
    <row r="1895" spans="1:3">
      <c r="A1895">
        <v>35</v>
      </c>
      <c r="B1895">
        <v>5</v>
      </c>
      <c r="C1895" t="str">
        <f>VLOOKUP(A1895,'Programas y Unidades'!$A:$B,2,0)</f>
        <v>Filosofía</v>
      </c>
    </row>
    <row r="1896" spans="1:3">
      <c r="A1896">
        <v>35</v>
      </c>
      <c r="B1896">
        <v>6</v>
      </c>
      <c r="C1896" t="str">
        <f>VLOOKUP(A1896,'Programas y Unidades'!$A:$B,2,0)</f>
        <v>Filosofía</v>
      </c>
    </row>
    <row r="1897" spans="1:3">
      <c r="A1897">
        <v>35</v>
      </c>
      <c r="B1897">
        <v>6</v>
      </c>
      <c r="C1897" t="str">
        <f>VLOOKUP(A1897,'Programas y Unidades'!$A:$B,2,0)</f>
        <v>Filosofía</v>
      </c>
    </row>
    <row r="1898" spans="1:3">
      <c r="A1898">
        <v>35</v>
      </c>
      <c r="B1898">
        <v>6</v>
      </c>
      <c r="C1898" t="str">
        <f>VLOOKUP(A1898,'Programas y Unidades'!$A:$B,2,0)</f>
        <v>Filosofía</v>
      </c>
    </row>
    <row r="1899" spans="1:3">
      <c r="A1899">
        <v>35</v>
      </c>
      <c r="B1899">
        <v>2</v>
      </c>
      <c r="C1899" t="str">
        <f>VLOOKUP(A1899,'Programas y Unidades'!$A:$B,2,0)</f>
        <v>Filosofía</v>
      </c>
    </row>
    <row r="1900" spans="1:3">
      <c r="A1900">
        <v>35</v>
      </c>
      <c r="B1900">
        <v>6</v>
      </c>
      <c r="C1900" t="str">
        <f>VLOOKUP(A1900,'Programas y Unidades'!$A:$B,2,0)</f>
        <v>Filosofía</v>
      </c>
    </row>
    <row r="1901" spans="1:3">
      <c r="A1901">
        <v>35</v>
      </c>
      <c r="B1901">
        <v>5</v>
      </c>
      <c r="C1901" t="str">
        <f>VLOOKUP(A1901,'Programas y Unidades'!$A:$B,2,0)</f>
        <v>Filosofía</v>
      </c>
    </row>
    <row r="1902" spans="1:3">
      <c r="A1902">
        <v>35</v>
      </c>
      <c r="B1902">
        <v>6</v>
      </c>
      <c r="C1902" t="str">
        <f>VLOOKUP(A1902,'Programas y Unidades'!$A:$B,2,0)</f>
        <v>Filosofía</v>
      </c>
    </row>
    <row r="1903" spans="1:3">
      <c r="A1903">
        <v>35</v>
      </c>
      <c r="B1903">
        <v>5</v>
      </c>
      <c r="C1903" t="str">
        <f>VLOOKUP(A1903,'Programas y Unidades'!$A:$B,2,0)</f>
        <v>Filosofía</v>
      </c>
    </row>
    <row r="1904" spans="1:3">
      <c r="A1904">
        <v>35</v>
      </c>
      <c r="B1904">
        <v>5</v>
      </c>
      <c r="C1904" t="str">
        <f>VLOOKUP(A1904,'Programas y Unidades'!$A:$B,2,0)</f>
        <v>Filosofía</v>
      </c>
    </row>
    <row r="1905" spans="1:3">
      <c r="A1905">
        <v>23</v>
      </c>
      <c r="B1905">
        <v>2</v>
      </c>
      <c r="C1905" t="str">
        <f>VLOOKUP(A1905,'Programas y Unidades'!$A:$B,2,0)</f>
        <v>Administración de Negocios Internacionales</v>
      </c>
    </row>
    <row r="1906" spans="1:3">
      <c r="A1906">
        <v>23</v>
      </c>
      <c r="B1906">
        <v>2</v>
      </c>
      <c r="C1906" t="str">
        <f>VLOOKUP(A1906,'Programas y Unidades'!$A:$B,2,0)</f>
        <v>Administración de Negocios Internacionales</v>
      </c>
    </row>
    <row r="1907" spans="1:3">
      <c r="A1907">
        <v>23</v>
      </c>
      <c r="B1907">
        <v>2</v>
      </c>
      <c r="C1907" t="str">
        <f>VLOOKUP(A1907,'Programas y Unidades'!$A:$B,2,0)</f>
        <v>Administración de Negocios Internacionales</v>
      </c>
    </row>
    <row r="1908" spans="1:3">
      <c r="A1908">
        <v>23</v>
      </c>
      <c r="B1908">
        <v>2</v>
      </c>
      <c r="C1908" t="str">
        <f>VLOOKUP(A1908,'Programas y Unidades'!$A:$B,2,0)</f>
        <v>Administración de Negocios Internacionales</v>
      </c>
    </row>
    <row r="1909" spans="1:3">
      <c r="A1909">
        <v>22</v>
      </c>
      <c r="B1909">
        <v>2</v>
      </c>
      <c r="C1909" t="str">
        <f>VLOOKUP(A1909,'Programas y Unidades'!$A:$B,2,0)</f>
        <v>Administración de Mercadeo y Logística Internacionales</v>
      </c>
    </row>
    <row r="1910" spans="1:3">
      <c r="A1910">
        <v>23</v>
      </c>
      <c r="B1910">
        <v>2</v>
      </c>
      <c r="C1910" t="str">
        <f>VLOOKUP(A1910,'Programas y Unidades'!$A:$B,2,0)</f>
        <v>Administración de Negocios Internacionales</v>
      </c>
    </row>
    <row r="1911" spans="1:3">
      <c r="A1911">
        <v>23</v>
      </c>
      <c r="B1911">
        <v>2</v>
      </c>
      <c r="C1911" t="str">
        <f>VLOOKUP(A1911,'Programas y Unidades'!$A:$B,2,0)</f>
        <v>Administración de Negocios Internacionales</v>
      </c>
    </row>
    <row r="1912" spans="1:3">
      <c r="A1912">
        <v>23</v>
      </c>
      <c r="B1912">
        <v>2</v>
      </c>
      <c r="C1912" t="str">
        <f>VLOOKUP(A1912,'Programas y Unidades'!$A:$B,2,0)</f>
        <v>Administración de Negocios Internacionales</v>
      </c>
    </row>
    <row r="1913" spans="1:3">
      <c r="A1913">
        <v>23</v>
      </c>
      <c r="B1913">
        <v>2</v>
      </c>
      <c r="C1913" t="str">
        <f>VLOOKUP(A1913,'Programas y Unidades'!$A:$B,2,0)</f>
        <v>Administración de Negocios Internacionales</v>
      </c>
    </row>
    <row r="1914" spans="1:3">
      <c r="A1914">
        <v>23</v>
      </c>
      <c r="B1914">
        <v>2</v>
      </c>
      <c r="C1914" t="str">
        <f>VLOOKUP(A1914,'Programas y Unidades'!$A:$B,2,0)</f>
        <v>Administración de Negocios Internacionales</v>
      </c>
    </row>
    <row r="1915" spans="1:3">
      <c r="A1915">
        <v>23</v>
      </c>
      <c r="B1915">
        <v>2</v>
      </c>
      <c r="C1915" t="str">
        <f>VLOOKUP(A1915,'Programas y Unidades'!$A:$B,2,0)</f>
        <v>Administración de Negocios Internacionales</v>
      </c>
    </row>
    <row r="1916" spans="1:3">
      <c r="A1916">
        <v>23</v>
      </c>
      <c r="B1916">
        <v>2</v>
      </c>
      <c r="C1916" t="str">
        <f>VLOOKUP(A1916,'Programas y Unidades'!$A:$B,2,0)</f>
        <v>Administración de Negocios Internacionales</v>
      </c>
    </row>
    <row r="1917" spans="1:3">
      <c r="A1917">
        <v>23</v>
      </c>
      <c r="B1917">
        <v>2</v>
      </c>
      <c r="C1917" t="str">
        <f>VLOOKUP(A1917,'Programas y Unidades'!$A:$B,2,0)</f>
        <v>Administración de Negocios Internacionales</v>
      </c>
    </row>
    <row r="1918" spans="1:3">
      <c r="A1918">
        <v>23</v>
      </c>
      <c r="B1918">
        <v>2</v>
      </c>
      <c r="C1918" t="str">
        <f>VLOOKUP(A1918,'Programas y Unidades'!$A:$B,2,0)</f>
        <v>Administración de Negocios Internacionales</v>
      </c>
    </row>
    <row r="1919" spans="1:3">
      <c r="A1919">
        <v>34</v>
      </c>
      <c r="B1919">
        <v>6</v>
      </c>
      <c r="C1919" t="str">
        <f>VLOOKUP(A1919,'Programas y Unidades'!$A:$B,2,0)</f>
        <v>Fisioterapia</v>
      </c>
    </row>
    <row r="1920" spans="1:3">
      <c r="A1920">
        <v>34</v>
      </c>
      <c r="B1920">
        <v>6</v>
      </c>
      <c r="C1920" t="str">
        <f>VLOOKUP(A1920,'Programas y Unidades'!$A:$B,2,0)</f>
        <v>Fisioterapia</v>
      </c>
    </row>
    <row r="1921" spans="1:3">
      <c r="A1921">
        <v>34</v>
      </c>
      <c r="B1921">
        <v>6</v>
      </c>
      <c r="C1921" t="str">
        <f>VLOOKUP(A1921,'Programas y Unidades'!$A:$B,2,0)</f>
        <v>Fisioterapia</v>
      </c>
    </row>
    <row r="1922" spans="1:3">
      <c r="A1922">
        <v>34</v>
      </c>
      <c r="B1922">
        <v>6</v>
      </c>
      <c r="C1922" t="str">
        <f>VLOOKUP(A1922,'Programas y Unidades'!$A:$B,2,0)</f>
        <v>Fisioterapia</v>
      </c>
    </row>
    <row r="1923" spans="1:3">
      <c r="A1923">
        <v>34</v>
      </c>
      <c r="B1923">
        <v>6</v>
      </c>
      <c r="C1923" t="str">
        <f>VLOOKUP(A1923,'Programas y Unidades'!$A:$B,2,0)</f>
        <v>Fisioterapia</v>
      </c>
    </row>
    <row r="1924" spans="1:3">
      <c r="A1924">
        <v>34</v>
      </c>
      <c r="B1924">
        <v>6</v>
      </c>
      <c r="C1924" t="str">
        <f>VLOOKUP(A1924,'Programas y Unidades'!$A:$B,2,0)</f>
        <v>Fisioterapia</v>
      </c>
    </row>
    <row r="1925" spans="1:3">
      <c r="A1925">
        <v>34</v>
      </c>
      <c r="B1925">
        <v>6</v>
      </c>
      <c r="C1925" t="str">
        <f>VLOOKUP(A1925,'Programas y Unidades'!$A:$B,2,0)</f>
        <v>Fisioterapia</v>
      </c>
    </row>
    <row r="1926" spans="1:3">
      <c r="A1926">
        <v>34</v>
      </c>
      <c r="B1926">
        <v>6</v>
      </c>
      <c r="C1926" t="str">
        <f>VLOOKUP(A1926,'Programas y Unidades'!$A:$B,2,0)</f>
        <v>Fisioterapia</v>
      </c>
    </row>
    <row r="1927" spans="1:3">
      <c r="A1927">
        <v>34</v>
      </c>
      <c r="B1927">
        <v>6</v>
      </c>
      <c r="C1927" t="str">
        <f>VLOOKUP(A1927,'Programas y Unidades'!$A:$B,2,0)</f>
        <v>Fisioterapia</v>
      </c>
    </row>
    <row r="1928" spans="1:3">
      <c r="A1928">
        <v>34</v>
      </c>
      <c r="B1928">
        <v>6</v>
      </c>
      <c r="C1928" t="str">
        <f>VLOOKUP(A1928,'Programas y Unidades'!$A:$B,2,0)</f>
        <v>Fisioterapia</v>
      </c>
    </row>
    <row r="1929" spans="1:3">
      <c r="A1929">
        <v>34</v>
      </c>
      <c r="B1929">
        <v>6</v>
      </c>
      <c r="C1929" t="str">
        <f>VLOOKUP(A1929,'Programas y Unidades'!$A:$B,2,0)</f>
        <v>Fisioterapia</v>
      </c>
    </row>
    <row r="1930" spans="1:3">
      <c r="A1930">
        <v>34</v>
      </c>
      <c r="B1930">
        <v>6</v>
      </c>
      <c r="C1930" t="str">
        <f>VLOOKUP(A1930,'Programas y Unidades'!$A:$B,2,0)</f>
        <v>Fisioterapia</v>
      </c>
    </row>
    <row r="1931" spans="1:3">
      <c r="A1931">
        <v>34</v>
      </c>
      <c r="B1931">
        <v>6</v>
      </c>
      <c r="C1931" t="str">
        <f>VLOOKUP(A1931,'Programas y Unidades'!$A:$B,2,0)</f>
        <v>Fisioterapia</v>
      </c>
    </row>
    <row r="1932" spans="1:3">
      <c r="A1932">
        <v>34</v>
      </c>
      <c r="B1932">
        <v>6</v>
      </c>
      <c r="C1932" t="str">
        <f>VLOOKUP(A1932,'Programas y Unidades'!$A:$B,2,0)</f>
        <v>Fisioterapia</v>
      </c>
    </row>
    <row r="1933" spans="1:3">
      <c r="A1933">
        <v>34</v>
      </c>
      <c r="B1933">
        <v>6</v>
      </c>
      <c r="C1933" t="str">
        <f>VLOOKUP(A1933,'Programas y Unidades'!$A:$B,2,0)</f>
        <v>Fisioterapia</v>
      </c>
    </row>
    <row r="1934" spans="1:3">
      <c r="A1934">
        <v>34</v>
      </c>
      <c r="B1934">
        <v>6</v>
      </c>
      <c r="C1934" t="str">
        <f>VLOOKUP(A1934,'Programas y Unidades'!$A:$B,2,0)</f>
        <v>Fisioterapia</v>
      </c>
    </row>
    <row r="1935" spans="1:3">
      <c r="A1935">
        <v>34</v>
      </c>
      <c r="B1935">
        <v>6</v>
      </c>
      <c r="C1935" t="str">
        <f>VLOOKUP(A1935,'Programas y Unidades'!$A:$B,2,0)</f>
        <v>Fisioterapia</v>
      </c>
    </row>
    <row r="1936" spans="1:3">
      <c r="A1936">
        <v>34</v>
      </c>
      <c r="B1936">
        <v>6</v>
      </c>
      <c r="C1936" t="str">
        <f>VLOOKUP(A1936,'Programas y Unidades'!$A:$B,2,0)</f>
        <v>Fisioterapia</v>
      </c>
    </row>
    <row r="1937" spans="1:3">
      <c r="A1937">
        <v>34</v>
      </c>
      <c r="B1937">
        <v>6</v>
      </c>
      <c r="C1937" t="str">
        <f>VLOOKUP(A1937,'Programas y Unidades'!$A:$B,2,0)</f>
        <v>Fisioterapia</v>
      </c>
    </row>
    <row r="1938" spans="1:3">
      <c r="A1938">
        <v>34</v>
      </c>
      <c r="B1938">
        <v>6</v>
      </c>
      <c r="C1938" t="str">
        <f>VLOOKUP(A1938,'Programas y Unidades'!$A:$B,2,0)</f>
        <v>Fisioterapia</v>
      </c>
    </row>
    <row r="1939" spans="1:3">
      <c r="A1939">
        <v>34</v>
      </c>
      <c r="B1939">
        <v>6</v>
      </c>
      <c r="C1939" t="str">
        <f>VLOOKUP(A1939,'Programas y Unidades'!$A:$B,2,0)</f>
        <v>Fisioterapia</v>
      </c>
    </row>
    <row r="1940" spans="1:3">
      <c r="A1940">
        <v>34</v>
      </c>
      <c r="B1940">
        <v>6</v>
      </c>
      <c r="C1940" t="str">
        <f>VLOOKUP(A1940,'Programas y Unidades'!$A:$B,2,0)</f>
        <v>Fisioterapia</v>
      </c>
    </row>
    <row r="1941" spans="1:3">
      <c r="A1941">
        <v>34</v>
      </c>
      <c r="B1941">
        <v>6</v>
      </c>
      <c r="C1941" t="str">
        <f>VLOOKUP(A1941,'Programas y Unidades'!$A:$B,2,0)</f>
        <v>Fisioterapia</v>
      </c>
    </row>
    <row r="1942" spans="1:3">
      <c r="A1942">
        <v>34</v>
      </c>
      <c r="B1942">
        <v>6</v>
      </c>
      <c r="C1942" t="str">
        <f>VLOOKUP(A1942,'Programas y Unidades'!$A:$B,2,0)</f>
        <v>Fisioterapia</v>
      </c>
    </row>
    <row r="1943" spans="1:3">
      <c r="A1943">
        <v>34</v>
      </c>
      <c r="B1943">
        <v>6</v>
      </c>
      <c r="C1943" t="str">
        <f>VLOOKUP(A1943,'Programas y Unidades'!$A:$B,2,0)</f>
        <v>Fisioterapia</v>
      </c>
    </row>
    <row r="1944" spans="1:3">
      <c r="A1944">
        <v>34</v>
      </c>
      <c r="B1944">
        <v>6</v>
      </c>
      <c r="C1944" t="str">
        <f>VLOOKUP(A1944,'Programas y Unidades'!$A:$B,2,0)</f>
        <v>Fisioterapia</v>
      </c>
    </row>
    <row r="1945" spans="1:3">
      <c r="A1945">
        <v>34</v>
      </c>
      <c r="B1945">
        <v>7</v>
      </c>
      <c r="C1945" t="str">
        <f>VLOOKUP(A1945,'Programas y Unidades'!$A:$B,2,0)</f>
        <v>Fisioterapia</v>
      </c>
    </row>
    <row r="1946" spans="1:3">
      <c r="A1946">
        <v>23</v>
      </c>
      <c r="B1946">
        <v>2</v>
      </c>
      <c r="C1946" t="str">
        <f>VLOOKUP(A1946,'Programas y Unidades'!$A:$B,2,0)</f>
        <v>Administración de Negocios Internacionales</v>
      </c>
    </row>
    <row r="1947" spans="1:3">
      <c r="A1947">
        <v>23</v>
      </c>
      <c r="B1947">
        <v>2</v>
      </c>
      <c r="C1947" t="str">
        <f>VLOOKUP(A1947,'Programas y Unidades'!$A:$B,2,0)</f>
        <v>Administración de Negocios Internacionales</v>
      </c>
    </row>
    <row r="1948" spans="1:3">
      <c r="A1948">
        <v>23</v>
      </c>
      <c r="B1948">
        <v>3</v>
      </c>
      <c r="C1948" t="str">
        <f>VLOOKUP(A1948,'Programas y Unidades'!$A:$B,2,0)</f>
        <v>Administración de Negocios Internacionales</v>
      </c>
    </row>
    <row r="1949" spans="1:3">
      <c r="A1949">
        <v>23</v>
      </c>
      <c r="B1949">
        <v>3</v>
      </c>
      <c r="C1949" t="str">
        <f>VLOOKUP(A1949,'Programas y Unidades'!$A:$B,2,0)</f>
        <v>Administración de Negocios Internacionales</v>
      </c>
    </row>
    <row r="1950" spans="1:3">
      <c r="A1950">
        <v>23</v>
      </c>
      <c r="B1950">
        <v>3</v>
      </c>
      <c r="C1950" t="str">
        <f>VLOOKUP(A1950,'Programas y Unidades'!$A:$B,2,0)</f>
        <v>Administración de Negocios Internacionales</v>
      </c>
    </row>
    <row r="1951" spans="1:3">
      <c r="A1951">
        <v>23</v>
      </c>
      <c r="B1951">
        <v>3</v>
      </c>
      <c r="C1951" t="str">
        <f>VLOOKUP(A1951,'Programas y Unidades'!$A:$B,2,0)</f>
        <v>Administración de Negocios Internacionales</v>
      </c>
    </row>
    <row r="1952" spans="1:3">
      <c r="A1952">
        <v>23</v>
      </c>
      <c r="B1952">
        <v>3</v>
      </c>
      <c r="C1952" t="str">
        <f>VLOOKUP(A1952,'Programas y Unidades'!$A:$B,2,0)</f>
        <v>Administración de Negocios Internacionales</v>
      </c>
    </row>
    <row r="1953" spans="1:3">
      <c r="A1953">
        <v>23</v>
      </c>
      <c r="B1953">
        <v>3</v>
      </c>
      <c r="C1953" t="str">
        <f>VLOOKUP(A1953,'Programas y Unidades'!$A:$B,2,0)</f>
        <v>Administración de Negocios Internacionales</v>
      </c>
    </row>
    <row r="1954" spans="1:3">
      <c r="A1954">
        <v>23</v>
      </c>
      <c r="B1954">
        <v>3</v>
      </c>
      <c r="C1954" t="str">
        <f>VLOOKUP(A1954,'Programas y Unidades'!$A:$B,2,0)</f>
        <v>Administración de Negocios Internacionales</v>
      </c>
    </row>
    <row r="1955" spans="1:3">
      <c r="A1955">
        <v>30</v>
      </c>
      <c r="B1955">
        <v>2</v>
      </c>
      <c r="C1955" t="str">
        <f>VLOOKUP(A1955,'Programas y Unidades'!$A:$B,2,0)</f>
        <v>Derecho</v>
      </c>
    </row>
    <row r="1956" spans="1:3">
      <c r="A1956">
        <v>30</v>
      </c>
      <c r="B1956">
        <v>2</v>
      </c>
      <c r="C1956" t="str">
        <f>VLOOKUP(A1956,'Programas y Unidades'!$A:$B,2,0)</f>
        <v>Derecho</v>
      </c>
    </row>
    <row r="1957" spans="1:3">
      <c r="A1957">
        <v>30</v>
      </c>
      <c r="B1957">
        <v>2</v>
      </c>
      <c r="C1957" t="str">
        <f>VLOOKUP(A1957,'Programas y Unidades'!$A:$B,2,0)</f>
        <v>Derecho</v>
      </c>
    </row>
    <row r="1958" spans="1:3">
      <c r="A1958">
        <v>30</v>
      </c>
      <c r="B1958">
        <v>2</v>
      </c>
      <c r="C1958" t="str">
        <f>VLOOKUP(A1958,'Programas y Unidades'!$A:$B,2,0)</f>
        <v>Derecho</v>
      </c>
    </row>
    <row r="1959" spans="1:3">
      <c r="A1959">
        <v>30</v>
      </c>
      <c r="B1959">
        <v>2</v>
      </c>
      <c r="C1959" t="str">
        <f>VLOOKUP(A1959,'Programas y Unidades'!$A:$B,2,0)</f>
        <v>Derecho</v>
      </c>
    </row>
    <row r="1960" spans="1:3">
      <c r="A1960">
        <v>30</v>
      </c>
      <c r="B1960">
        <v>2</v>
      </c>
      <c r="C1960" t="str">
        <f>VLOOKUP(A1960,'Programas y Unidades'!$A:$B,2,0)</f>
        <v>Derecho</v>
      </c>
    </row>
    <row r="1961" spans="1:3">
      <c r="A1961">
        <v>30</v>
      </c>
      <c r="B1961">
        <v>2</v>
      </c>
      <c r="C1961" t="str">
        <f>VLOOKUP(A1961,'Programas y Unidades'!$A:$B,2,0)</f>
        <v>Derecho</v>
      </c>
    </row>
    <row r="1962" spans="1:3">
      <c r="A1962">
        <v>30</v>
      </c>
      <c r="B1962">
        <v>2</v>
      </c>
      <c r="C1962" t="str">
        <f>VLOOKUP(A1962,'Programas y Unidades'!$A:$B,2,0)</f>
        <v>Derecho</v>
      </c>
    </row>
    <row r="1963" spans="1:3">
      <c r="A1963">
        <v>30</v>
      </c>
      <c r="B1963">
        <v>2</v>
      </c>
      <c r="C1963" t="str">
        <f>VLOOKUP(A1963,'Programas y Unidades'!$A:$B,2,0)</f>
        <v>Derecho</v>
      </c>
    </row>
    <row r="1964" spans="1:3">
      <c r="A1964">
        <v>30</v>
      </c>
      <c r="B1964">
        <v>2</v>
      </c>
      <c r="C1964" t="str">
        <f>VLOOKUP(A1964,'Programas y Unidades'!$A:$B,2,0)</f>
        <v>Derecho</v>
      </c>
    </row>
    <row r="1965" spans="1:3">
      <c r="A1965">
        <v>30</v>
      </c>
      <c r="B1965">
        <v>2</v>
      </c>
      <c r="C1965" t="str">
        <f>VLOOKUP(A1965,'Programas y Unidades'!$A:$B,2,0)</f>
        <v>Derecho</v>
      </c>
    </row>
    <row r="1966" spans="1:3">
      <c r="A1966">
        <v>30</v>
      </c>
      <c r="B1966">
        <v>2</v>
      </c>
      <c r="C1966" t="str">
        <f>VLOOKUP(A1966,'Programas y Unidades'!$A:$B,2,0)</f>
        <v>Derecho</v>
      </c>
    </row>
    <row r="1967" spans="1:3">
      <c r="A1967">
        <v>30</v>
      </c>
      <c r="B1967">
        <v>2</v>
      </c>
      <c r="C1967" t="str">
        <f>VLOOKUP(A1967,'Programas y Unidades'!$A:$B,2,0)</f>
        <v>Derecho</v>
      </c>
    </row>
    <row r="1968" spans="1:3">
      <c r="A1968">
        <v>30</v>
      </c>
      <c r="B1968">
        <v>2</v>
      </c>
      <c r="C1968" t="str">
        <f>VLOOKUP(A1968,'Programas y Unidades'!$A:$B,2,0)</f>
        <v>Derecho</v>
      </c>
    </row>
    <row r="1969" spans="1:3">
      <c r="A1969">
        <v>30</v>
      </c>
      <c r="B1969">
        <v>2</v>
      </c>
      <c r="C1969" t="str">
        <f>VLOOKUP(A1969,'Programas y Unidades'!$A:$B,2,0)</f>
        <v>Derecho</v>
      </c>
    </row>
    <row r="1970" spans="1:3">
      <c r="A1970">
        <v>30</v>
      </c>
      <c r="B1970">
        <v>2</v>
      </c>
      <c r="C1970" t="str">
        <f>VLOOKUP(A1970,'Programas y Unidades'!$A:$B,2,0)</f>
        <v>Derecho</v>
      </c>
    </row>
    <row r="1971" spans="1:3">
      <c r="A1971">
        <v>30</v>
      </c>
      <c r="B1971">
        <v>2</v>
      </c>
      <c r="C1971" t="str">
        <f>VLOOKUP(A1971,'Programas y Unidades'!$A:$B,2,0)</f>
        <v>Derecho</v>
      </c>
    </row>
    <row r="1972" spans="1:3">
      <c r="A1972">
        <v>30</v>
      </c>
      <c r="B1972">
        <v>2</v>
      </c>
      <c r="C1972" t="str">
        <f>VLOOKUP(A1972,'Programas y Unidades'!$A:$B,2,0)</f>
        <v>Derecho</v>
      </c>
    </row>
    <row r="1973" spans="1:3">
      <c r="A1973">
        <v>30</v>
      </c>
      <c r="B1973">
        <v>2</v>
      </c>
      <c r="C1973" t="str">
        <f>VLOOKUP(A1973,'Programas y Unidades'!$A:$B,2,0)</f>
        <v>Derecho</v>
      </c>
    </row>
    <row r="1974" spans="1:3">
      <c r="A1974">
        <v>30</v>
      </c>
      <c r="B1974">
        <v>2</v>
      </c>
      <c r="C1974" t="str">
        <f>VLOOKUP(A1974,'Programas y Unidades'!$A:$B,2,0)</f>
        <v>Derecho</v>
      </c>
    </row>
    <row r="1975" spans="1:3">
      <c r="A1975">
        <v>30</v>
      </c>
      <c r="B1975">
        <v>2</v>
      </c>
      <c r="C1975" t="str">
        <f>VLOOKUP(A1975,'Programas y Unidades'!$A:$B,2,0)</f>
        <v>Derecho</v>
      </c>
    </row>
    <row r="1976" spans="1:3">
      <c r="A1976">
        <v>30</v>
      </c>
      <c r="B1976">
        <v>2</v>
      </c>
      <c r="C1976" t="str">
        <f>VLOOKUP(A1976,'Programas y Unidades'!$A:$B,2,0)</f>
        <v>Derecho</v>
      </c>
    </row>
    <row r="1977" spans="1:3">
      <c r="A1977">
        <v>30</v>
      </c>
      <c r="B1977">
        <v>2</v>
      </c>
      <c r="C1977" t="str">
        <f>VLOOKUP(A1977,'Programas y Unidades'!$A:$B,2,0)</f>
        <v>Derecho</v>
      </c>
    </row>
    <row r="1978" spans="1:3">
      <c r="A1978">
        <v>30</v>
      </c>
      <c r="B1978">
        <v>2</v>
      </c>
      <c r="C1978" t="str">
        <f>VLOOKUP(A1978,'Programas y Unidades'!$A:$B,2,0)</f>
        <v>Derecho</v>
      </c>
    </row>
    <row r="1979" spans="1:3">
      <c r="A1979">
        <v>30</v>
      </c>
      <c r="B1979">
        <v>2</v>
      </c>
      <c r="C1979" t="str">
        <f>VLOOKUP(A1979,'Programas y Unidades'!$A:$B,2,0)</f>
        <v>Derecho</v>
      </c>
    </row>
    <row r="1980" spans="1:3">
      <c r="A1980">
        <v>30</v>
      </c>
      <c r="B1980">
        <v>2</v>
      </c>
      <c r="C1980" t="str">
        <f>VLOOKUP(A1980,'Programas y Unidades'!$A:$B,2,0)</f>
        <v>Derecho</v>
      </c>
    </row>
    <row r="1981" spans="1:3">
      <c r="A1981">
        <v>30</v>
      </c>
      <c r="B1981">
        <v>2</v>
      </c>
      <c r="C1981" t="str">
        <f>VLOOKUP(A1981,'Programas y Unidades'!$A:$B,2,0)</f>
        <v>Derecho</v>
      </c>
    </row>
    <row r="1982" spans="1:3">
      <c r="A1982">
        <v>30</v>
      </c>
      <c r="B1982">
        <v>2</v>
      </c>
      <c r="C1982" t="str">
        <f>VLOOKUP(A1982,'Programas y Unidades'!$A:$B,2,0)</f>
        <v>Derecho</v>
      </c>
    </row>
    <row r="1983" spans="1:3">
      <c r="A1983">
        <v>30</v>
      </c>
      <c r="B1983">
        <v>2</v>
      </c>
      <c r="C1983" t="str">
        <f>VLOOKUP(A1983,'Programas y Unidades'!$A:$B,2,0)</f>
        <v>Derecho</v>
      </c>
    </row>
    <row r="1984" spans="1:3">
      <c r="A1984">
        <v>30</v>
      </c>
      <c r="B1984">
        <v>2</v>
      </c>
      <c r="C1984" t="str">
        <f>VLOOKUP(A1984,'Programas y Unidades'!$A:$B,2,0)</f>
        <v>Derecho</v>
      </c>
    </row>
    <row r="1985" spans="1:3">
      <c r="A1985">
        <v>30</v>
      </c>
      <c r="B1985">
        <v>2</v>
      </c>
      <c r="C1985" t="str">
        <f>VLOOKUP(A1985,'Programas y Unidades'!$A:$B,2,0)</f>
        <v>Derecho</v>
      </c>
    </row>
    <row r="1986" spans="1:3">
      <c r="A1986">
        <v>30</v>
      </c>
      <c r="B1986">
        <v>2</v>
      </c>
      <c r="C1986" t="str">
        <f>VLOOKUP(A1986,'Programas y Unidades'!$A:$B,2,0)</f>
        <v>Derecho</v>
      </c>
    </row>
    <row r="1987" spans="1:3">
      <c r="A1987">
        <v>30</v>
      </c>
      <c r="B1987">
        <v>2</v>
      </c>
      <c r="C1987" t="str">
        <f>VLOOKUP(A1987,'Programas y Unidades'!$A:$B,2,0)</f>
        <v>Derecho</v>
      </c>
    </row>
    <row r="1988" spans="1:3">
      <c r="A1988">
        <v>30</v>
      </c>
      <c r="B1988">
        <v>2</v>
      </c>
      <c r="C1988" t="str">
        <f>VLOOKUP(A1988,'Programas y Unidades'!$A:$B,2,0)</f>
        <v>Derecho</v>
      </c>
    </row>
    <row r="1989" spans="1:3">
      <c r="A1989">
        <v>30</v>
      </c>
      <c r="B1989">
        <v>2</v>
      </c>
      <c r="C1989" t="str">
        <f>VLOOKUP(A1989,'Programas y Unidades'!$A:$B,2,0)</f>
        <v>Derecho</v>
      </c>
    </row>
    <row r="1990" spans="1:3">
      <c r="A1990">
        <v>30</v>
      </c>
      <c r="B1990">
        <v>2</v>
      </c>
      <c r="C1990" t="str">
        <f>VLOOKUP(A1990,'Programas y Unidades'!$A:$B,2,0)</f>
        <v>Derecho</v>
      </c>
    </row>
    <row r="1991" spans="1:3">
      <c r="A1991">
        <v>23</v>
      </c>
      <c r="B1991">
        <v>4</v>
      </c>
      <c r="C1991" t="str">
        <f>VLOOKUP(A1991,'Programas y Unidades'!$A:$B,2,0)</f>
        <v>Administración de Negocios Internacionales</v>
      </c>
    </row>
    <row r="1992" spans="1:3">
      <c r="A1992">
        <v>30</v>
      </c>
      <c r="B1992">
        <v>2</v>
      </c>
      <c r="C1992" t="str">
        <f>VLOOKUP(A1992,'Programas y Unidades'!$A:$B,2,0)</f>
        <v>Derecho</v>
      </c>
    </row>
    <row r="1993" spans="1:3">
      <c r="A1993">
        <v>23</v>
      </c>
      <c r="B1993">
        <v>3</v>
      </c>
      <c r="C1993" t="str">
        <f>VLOOKUP(A1993,'Programas y Unidades'!$A:$B,2,0)</f>
        <v>Administración de Negocios Internacionales</v>
      </c>
    </row>
    <row r="1994" spans="1:3">
      <c r="A1994">
        <v>30</v>
      </c>
      <c r="B1994">
        <v>2</v>
      </c>
      <c r="C1994" t="str">
        <f>VLOOKUP(A1994,'Programas y Unidades'!$A:$B,2,0)</f>
        <v>Derecho</v>
      </c>
    </row>
    <row r="1995" spans="1:3">
      <c r="A1995">
        <v>23</v>
      </c>
      <c r="B1995">
        <v>3</v>
      </c>
      <c r="C1995" t="str">
        <f>VLOOKUP(A1995,'Programas y Unidades'!$A:$B,2,0)</f>
        <v>Administración de Negocios Internacionales</v>
      </c>
    </row>
    <row r="1996" spans="1:3">
      <c r="A1996">
        <v>30</v>
      </c>
      <c r="B1996">
        <v>2</v>
      </c>
      <c r="C1996" t="str">
        <f>VLOOKUP(A1996,'Programas y Unidades'!$A:$B,2,0)</f>
        <v>Derecho</v>
      </c>
    </row>
    <row r="1997" spans="1:3">
      <c r="A1997">
        <v>23</v>
      </c>
      <c r="B1997">
        <v>3</v>
      </c>
      <c r="C1997" t="str">
        <f>VLOOKUP(A1997,'Programas y Unidades'!$A:$B,2,0)</f>
        <v>Administración de Negocios Internacionales</v>
      </c>
    </row>
    <row r="1998" spans="1:3">
      <c r="A1998">
        <v>23</v>
      </c>
      <c r="B1998">
        <v>3</v>
      </c>
      <c r="C1998" t="str">
        <f>VLOOKUP(A1998,'Programas y Unidades'!$A:$B,2,0)</f>
        <v>Administración de Negocios Internacionales</v>
      </c>
    </row>
    <row r="1999" spans="1:3">
      <c r="A1999">
        <v>23</v>
      </c>
      <c r="B1999">
        <v>3</v>
      </c>
      <c r="C1999" t="str">
        <f>VLOOKUP(A1999,'Programas y Unidades'!$A:$B,2,0)</f>
        <v>Administración de Negocios Internacionales</v>
      </c>
    </row>
    <row r="2000" spans="1:3">
      <c r="A2000">
        <v>23</v>
      </c>
      <c r="B2000">
        <v>3</v>
      </c>
      <c r="C2000" t="str">
        <f>VLOOKUP(A2000,'Programas y Unidades'!$A:$B,2,0)</f>
        <v>Administración de Negocios Internacionales</v>
      </c>
    </row>
    <row r="2001" spans="1:3">
      <c r="A2001">
        <v>23</v>
      </c>
      <c r="B2001">
        <v>3</v>
      </c>
      <c r="C2001" t="str">
        <f>VLOOKUP(A2001,'Programas y Unidades'!$A:$B,2,0)</f>
        <v>Administración de Negocios Internacionales</v>
      </c>
    </row>
    <row r="2002" spans="1:3">
      <c r="A2002">
        <v>23</v>
      </c>
      <c r="B2002">
        <v>3</v>
      </c>
      <c r="C2002" t="str">
        <f>VLOOKUP(A2002,'Programas y Unidades'!$A:$B,2,0)</f>
        <v>Administración de Negocios Internacionales</v>
      </c>
    </row>
    <row r="2003" spans="1:3">
      <c r="A2003">
        <v>23</v>
      </c>
      <c r="B2003">
        <v>6</v>
      </c>
      <c r="C2003" t="str">
        <f>VLOOKUP(A2003,'Programas y Unidades'!$A:$B,2,0)</f>
        <v>Administración de Negocios Internacionales</v>
      </c>
    </row>
    <row r="2004" spans="1:3">
      <c r="A2004">
        <v>29</v>
      </c>
      <c r="B2004">
        <v>5</v>
      </c>
      <c r="C2004" t="str">
        <f>VLOOKUP(A2004,'Programas y Unidades'!$A:$B,2,0)</f>
        <v>Ciencias Políticas</v>
      </c>
    </row>
    <row r="2005" spans="1:3">
      <c r="A2005">
        <v>23</v>
      </c>
      <c r="B2005">
        <v>3</v>
      </c>
      <c r="C2005" t="str">
        <f>VLOOKUP(A2005,'Programas y Unidades'!$A:$B,2,0)</f>
        <v>Administración de Negocios Internacionales</v>
      </c>
    </row>
    <row r="2006" spans="1:3">
      <c r="A2006">
        <v>23</v>
      </c>
      <c r="B2006">
        <v>3</v>
      </c>
      <c r="C2006" t="str">
        <f>VLOOKUP(A2006,'Programas y Unidades'!$A:$B,2,0)</f>
        <v>Administración de Negocios Internacionales</v>
      </c>
    </row>
    <row r="2007" spans="1:3">
      <c r="A2007">
        <v>23</v>
      </c>
      <c r="B2007">
        <v>3</v>
      </c>
      <c r="C2007" t="str">
        <f>VLOOKUP(A2007,'Programas y Unidades'!$A:$B,2,0)</f>
        <v>Administración de Negocios Internacionales</v>
      </c>
    </row>
    <row r="2008" spans="1:3">
      <c r="A2008">
        <v>26</v>
      </c>
      <c r="B2008">
        <v>5</v>
      </c>
      <c r="C2008" t="str">
        <f>VLOOKUP(A2008,'Programas y Unidades'!$A:$B,2,0)</f>
        <v>Comunicación Corporativa</v>
      </c>
    </row>
    <row r="2009" spans="1:3">
      <c r="A2009">
        <v>23</v>
      </c>
      <c r="B2009">
        <v>4</v>
      </c>
      <c r="C2009" t="str">
        <f>VLOOKUP(A2009,'Programas y Unidades'!$A:$B,2,0)</f>
        <v>Administración de Negocios Internacionales</v>
      </c>
    </row>
    <row r="2010" spans="1:3">
      <c r="A2010">
        <v>23</v>
      </c>
      <c r="B2010">
        <v>3</v>
      </c>
      <c r="C2010" t="str">
        <f>VLOOKUP(A2010,'Programas y Unidades'!$A:$B,2,0)</f>
        <v>Administración de Negocios Internacionales</v>
      </c>
    </row>
    <row r="2011" spans="1:3">
      <c r="A2011">
        <v>23</v>
      </c>
      <c r="B2011">
        <v>3</v>
      </c>
      <c r="C2011" t="str">
        <f>VLOOKUP(A2011,'Programas y Unidades'!$A:$B,2,0)</f>
        <v>Administración de Negocios Internacionales</v>
      </c>
    </row>
    <row r="2012" spans="1:3">
      <c r="A2012">
        <v>23</v>
      </c>
      <c r="B2012">
        <v>4</v>
      </c>
      <c r="C2012" t="str">
        <f>VLOOKUP(A2012,'Programas y Unidades'!$A:$B,2,0)</f>
        <v>Administración de Negocios Internacionales</v>
      </c>
    </row>
    <row r="2013" spans="1:3">
      <c r="A2013">
        <v>20</v>
      </c>
      <c r="B2013">
        <v>2</v>
      </c>
      <c r="C2013" t="str">
        <f>VLOOKUP(A2013,'Programas y Unidades'!$A:$B,2,0)</f>
        <v>Administración &amp; Servicio</v>
      </c>
    </row>
    <row r="2014" spans="1:3">
      <c r="A2014">
        <v>20</v>
      </c>
      <c r="B2014">
        <v>2</v>
      </c>
      <c r="C2014" t="str">
        <f>VLOOKUP(A2014,'Programas y Unidades'!$A:$B,2,0)</f>
        <v>Administración &amp; Servicio</v>
      </c>
    </row>
    <row r="2015" spans="1:3">
      <c r="A2015">
        <v>23</v>
      </c>
      <c r="B2015">
        <v>3</v>
      </c>
      <c r="C2015" t="str">
        <f>VLOOKUP(A2015,'Programas y Unidades'!$A:$B,2,0)</f>
        <v>Administración de Negocios Internacionales</v>
      </c>
    </row>
    <row r="2016" spans="1:3">
      <c r="A2016">
        <v>20</v>
      </c>
      <c r="B2016">
        <v>2</v>
      </c>
      <c r="C2016" t="str">
        <f>VLOOKUP(A2016,'Programas y Unidades'!$A:$B,2,0)</f>
        <v>Administración &amp; Servicio</v>
      </c>
    </row>
    <row r="2017" spans="1:3">
      <c r="A2017">
        <v>20</v>
      </c>
      <c r="B2017">
        <v>2</v>
      </c>
      <c r="C2017" t="str">
        <f>VLOOKUP(A2017,'Programas y Unidades'!$A:$B,2,0)</f>
        <v>Administración &amp; Servicio</v>
      </c>
    </row>
    <row r="2018" spans="1:3">
      <c r="A2018">
        <v>20</v>
      </c>
      <c r="B2018">
        <v>2</v>
      </c>
      <c r="C2018" t="str">
        <f>VLOOKUP(A2018,'Programas y Unidades'!$A:$B,2,0)</f>
        <v>Administración &amp; Servicio</v>
      </c>
    </row>
    <row r="2019" spans="1:3">
      <c r="A2019">
        <v>20</v>
      </c>
      <c r="B2019">
        <v>2</v>
      </c>
      <c r="C2019" t="str">
        <f>VLOOKUP(A2019,'Programas y Unidades'!$A:$B,2,0)</f>
        <v>Administración &amp; Servicio</v>
      </c>
    </row>
    <row r="2020" spans="1:3">
      <c r="A2020">
        <v>20</v>
      </c>
      <c r="B2020">
        <v>2</v>
      </c>
      <c r="C2020" t="str">
        <f>VLOOKUP(A2020,'Programas y Unidades'!$A:$B,2,0)</f>
        <v>Administración &amp; Servicio</v>
      </c>
    </row>
    <row r="2021" spans="1:3">
      <c r="A2021">
        <v>21</v>
      </c>
      <c r="B2021">
        <v>2</v>
      </c>
      <c r="C2021" t="str">
        <f>VLOOKUP(A2021,'Programas y Unidades'!$A:$B,2,0)</f>
        <v>Administración de Empresas</v>
      </c>
    </row>
    <row r="2022" spans="1:3">
      <c r="A2022">
        <v>23</v>
      </c>
      <c r="B2022">
        <v>5</v>
      </c>
      <c r="C2022" t="str">
        <f>VLOOKUP(A2022,'Programas y Unidades'!$A:$B,2,0)</f>
        <v>Administración de Negocios Internacionales</v>
      </c>
    </row>
    <row r="2023" spans="1:3">
      <c r="A2023">
        <v>23</v>
      </c>
      <c r="B2023">
        <v>4</v>
      </c>
      <c r="C2023" t="str">
        <f>VLOOKUP(A2023,'Programas y Unidades'!$A:$B,2,0)</f>
        <v>Administración de Negocios Internacionales</v>
      </c>
    </row>
    <row r="2024" spans="1:3">
      <c r="A2024">
        <v>23</v>
      </c>
      <c r="B2024">
        <v>4</v>
      </c>
      <c r="C2024" t="str">
        <f>VLOOKUP(A2024,'Programas y Unidades'!$A:$B,2,0)</f>
        <v>Administración de Negocios Internacionales</v>
      </c>
    </row>
    <row r="2025" spans="1:3">
      <c r="A2025">
        <v>23</v>
      </c>
      <c r="B2025">
        <v>6</v>
      </c>
      <c r="C2025" t="str">
        <f>VLOOKUP(A2025,'Programas y Unidades'!$A:$B,2,0)</f>
        <v>Administración de Negocios Internacionales</v>
      </c>
    </row>
    <row r="2026" spans="1:3">
      <c r="A2026">
        <v>23</v>
      </c>
      <c r="B2026">
        <v>6</v>
      </c>
      <c r="C2026" t="str">
        <f>VLOOKUP(A2026,'Programas y Unidades'!$A:$B,2,0)</f>
        <v>Administración de Negocios Internacionales</v>
      </c>
    </row>
    <row r="2027" spans="1:3">
      <c r="A2027">
        <v>23</v>
      </c>
      <c r="B2027">
        <v>6</v>
      </c>
      <c r="C2027" t="str">
        <f>VLOOKUP(A2027,'Programas y Unidades'!$A:$B,2,0)</f>
        <v>Administración de Negocios Internacionales</v>
      </c>
    </row>
    <row r="2028" spans="1:3">
      <c r="A2028">
        <v>23</v>
      </c>
      <c r="B2028">
        <v>4</v>
      </c>
      <c r="C2028" t="str">
        <f>VLOOKUP(A2028,'Programas y Unidades'!$A:$B,2,0)</f>
        <v>Administración de Negocios Internacionales</v>
      </c>
    </row>
    <row r="2029" spans="1:3">
      <c r="A2029">
        <v>23</v>
      </c>
      <c r="B2029">
        <v>4</v>
      </c>
      <c r="C2029" t="str">
        <f>VLOOKUP(A2029,'Programas y Unidades'!$A:$B,2,0)</f>
        <v>Administración de Negocios Internacionales</v>
      </c>
    </row>
    <row r="2030" spans="1:3">
      <c r="A2030">
        <v>23</v>
      </c>
      <c r="B2030">
        <v>4</v>
      </c>
      <c r="C2030" t="str">
        <f>VLOOKUP(A2030,'Programas y Unidades'!$A:$B,2,0)</f>
        <v>Administración de Negocios Internacionales</v>
      </c>
    </row>
    <row r="2031" spans="1:3">
      <c r="A2031">
        <v>23</v>
      </c>
      <c r="B2031">
        <v>3</v>
      </c>
      <c r="C2031" t="str">
        <f>VLOOKUP(A2031,'Programas y Unidades'!$A:$B,2,0)</f>
        <v>Administración de Negocios Internacionales</v>
      </c>
    </row>
    <row r="2032" spans="1:3">
      <c r="A2032">
        <v>23</v>
      </c>
      <c r="B2032">
        <v>6</v>
      </c>
      <c r="C2032" t="str">
        <f>VLOOKUP(A2032,'Programas y Unidades'!$A:$B,2,0)</f>
        <v>Administración de Negocios Internacionales</v>
      </c>
    </row>
    <row r="2033" spans="1:3">
      <c r="A2033">
        <v>23</v>
      </c>
      <c r="B2033">
        <v>5</v>
      </c>
      <c r="C2033" t="str">
        <f>VLOOKUP(A2033,'Programas y Unidades'!$A:$B,2,0)</f>
        <v>Administración de Negocios Internacionales</v>
      </c>
    </row>
    <row r="2034" spans="1:3">
      <c r="A2034">
        <v>25</v>
      </c>
      <c r="B2034">
        <v>6</v>
      </c>
      <c r="C2034" t="str">
        <f>VLOOKUP(A2034,'Programas y Unidades'!$A:$B,2,0)</f>
        <v>Gastronomía</v>
      </c>
    </row>
    <row r="2035" spans="1:3">
      <c r="A2035">
        <v>25</v>
      </c>
      <c r="B2035">
        <v>4</v>
      </c>
      <c r="C2035" t="str">
        <f>VLOOKUP(A2035,'Programas y Unidades'!$A:$B,2,0)</f>
        <v>Gastronomía</v>
      </c>
    </row>
    <row r="2036" spans="1:3">
      <c r="A2036">
        <v>25</v>
      </c>
      <c r="B2036">
        <v>4</v>
      </c>
      <c r="C2036" t="str">
        <f>VLOOKUP(A2036,'Programas y Unidades'!$A:$B,2,0)</f>
        <v>Gastronomía</v>
      </c>
    </row>
    <row r="2037" spans="1:3">
      <c r="A2037">
        <v>25</v>
      </c>
      <c r="B2037">
        <v>4</v>
      </c>
      <c r="C2037" t="str">
        <f>VLOOKUP(A2037,'Programas y Unidades'!$A:$B,2,0)</f>
        <v>Gastronomía</v>
      </c>
    </row>
    <row r="2038" spans="1:3">
      <c r="A2038">
        <v>41</v>
      </c>
      <c r="B2038">
        <v>6</v>
      </c>
      <c r="C2038" t="str">
        <f>VLOOKUP(A2038,'Programas y Unidades'!$A:$B,2,0)</f>
        <v>Ingeniería Química</v>
      </c>
    </row>
    <row r="2039" spans="1:3">
      <c r="A2039">
        <v>25</v>
      </c>
      <c r="B2039">
        <v>4</v>
      </c>
      <c r="C2039" t="str">
        <f>VLOOKUP(A2039,'Programas y Unidades'!$A:$B,2,0)</f>
        <v>Gastronomía</v>
      </c>
    </row>
    <row r="2040" spans="1:3">
      <c r="A2040">
        <v>25</v>
      </c>
      <c r="B2040">
        <v>4</v>
      </c>
      <c r="C2040" t="str">
        <f>VLOOKUP(A2040,'Programas y Unidades'!$A:$B,2,0)</f>
        <v>Gastronomía</v>
      </c>
    </row>
    <row r="2041" spans="1:3">
      <c r="A2041">
        <v>25</v>
      </c>
      <c r="B2041">
        <v>4</v>
      </c>
      <c r="C2041" t="str">
        <f>VLOOKUP(A2041,'Programas y Unidades'!$A:$B,2,0)</f>
        <v>Gastronomía</v>
      </c>
    </row>
    <row r="2042" spans="1:3">
      <c r="A2042">
        <v>25</v>
      </c>
      <c r="B2042">
        <v>5</v>
      </c>
      <c r="C2042" t="str">
        <f>VLOOKUP(A2042,'Programas y Unidades'!$A:$B,2,0)</f>
        <v>Gastronomía</v>
      </c>
    </row>
    <row r="2043" spans="1:3">
      <c r="A2043">
        <v>23</v>
      </c>
      <c r="B2043">
        <v>6</v>
      </c>
      <c r="C2043" t="str">
        <f>VLOOKUP(A2043,'Programas y Unidades'!$A:$B,2,0)</f>
        <v>Administración de Negocios Internacionales</v>
      </c>
    </row>
    <row r="2044" spans="1:3">
      <c r="A2044">
        <v>25</v>
      </c>
      <c r="B2044">
        <v>4</v>
      </c>
      <c r="C2044" t="str">
        <f>VLOOKUP(A2044,'Programas y Unidades'!$A:$B,2,0)</f>
        <v>Gastronomía</v>
      </c>
    </row>
    <row r="2045" spans="1:3">
      <c r="A2045">
        <v>39</v>
      </c>
      <c r="B2045">
        <v>2</v>
      </c>
      <c r="C2045" t="str">
        <f>VLOOKUP(A2045,'Programas y Unidades'!$A:$B,2,0)</f>
        <v>Ingeniería Informática</v>
      </c>
    </row>
    <row r="2046" spans="1:3">
      <c r="A2046">
        <v>39</v>
      </c>
      <c r="B2046">
        <v>2</v>
      </c>
      <c r="C2046" t="str">
        <f>VLOOKUP(A2046,'Programas y Unidades'!$A:$B,2,0)</f>
        <v>Ingeniería Informática</v>
      </c>
    </row>
    <row r="2047" spans="1:3">
      <c r="A2047">
        <v>39</v>
      </c>
      <c r="B2047">
        <v>2</v>
      </c>
      <c r="C2047" t="str">
        <f>VLOOKUP(A2047,'Programas y Unidades'!$A:$B,2,0)</f>
        <v>Ingeniería Informática</v>
      </c>
    </row>
    <row r="2048" spans="1:3">
      <c r="A2048">
        <v>39</v>
      </c>
      <c r="B2048">
        <v>2</v>
      </c>
      <c r="C2048" t="str">
        <f>VLOOKUP(A2048,'Programas y Unidades'!$A:$B,2,0)</f>
        <v>Ingeniería Informática</v>
      </c>
    </row>
    <row r="2049" spans="1:3">
      <c r="A2049">
        <v>39</v>
      </c>
      <c r="B2049">
        <v>2</v>
      </c>
      <c r="C2049" t="str">
        <f>VLOOKUP(A2049,'Programas y Unidades'!$A:$B,2,0)</f>
        <v>Ingeniería Informática</v>
      </c>
    </row>
    <row r="2050" spans="1:3">
      <c r="A2050">
        <v>39</v>
      </c>
      <c r="B2050">
        <v>2</v>
      </c>
      <c r="C2050" t="str">
        <f>VLOOKUP(A2050,'Programas y Unidades'!$A:$B,2,0)</f>
        <v>Ingeniería Informática</v>
      </c>
    </row>
    <row r="2051" spans="1:3">
      <c r="A2051">
        <v>39</v>
      </c>
      <c r="B2051">
        <v>3</v>
      </c>
      <c r="C2051" t="str">
        <f>VLOOKUP(A2051,'Programas y Unidades'!$A:$B,2,0)</f>
        <v>Ingeniería Informática</v>
      </c>
    </row>
    <row r="2052" spans="1:3">
      <c r="A2052">
        <v>39</v>
      </c>
      <c r="B2052">
        <v>2</v>
      </c>
      <c r="C2052" t="str">
        <f>VLOOKUP(A2052,'Programas y Unidades'!$A:$B,2,0)</f>
        <v>Ingeniería Informática</v>
      </c>
    </row>
    <row r="2053" spans="1:3">
      <c r="A2053">
        <v>39</v>
      </c>
      <c r="B2053">
        <v>2</v>
      </c>
      <c r="C2053" t="str">
        <f>VLOOKUP(A2053,'Programas y Unidades'!$A:$B,2,0)</f>
        <v>Ingeniería Informática</v>
      </c>
    </row>
    <row r="2054" spans="1:3">
      <c r="A2054">
        <v>39</v>
      </c>
      <c r="B2054">
        <v>2</v>
      </c>
      <c r="C2054" t="str">
        <f>VLOOKUP(A2054,'Programas y Unidades'!$A:$B,2,0)</f>
        <v>Ingeniería Informática</v>
      </c>
    </row>
    <row r="2055" spans="1:3">
      <c r="A2055">
        <v>30</v>
      </c>
      <c r="B2055">
        <v>8</v>
      </c>
      <c r="C2055" t="str">
        <f>VLOOKUP(A2055,'Programas y Unidades'!$A:$B,2,0)</f>
        <v>Derecho</v>
      </c>
    </row>
    <row r="2056" spans="1:3">
      <c r="A2056">
        <v>29</v>
      </c>
      <c r="B2056">
        <v>8</v>
      </c>
      <c r="C2056" t="str">
        <f>VLOOKUP(A2056,'Programas y Unidades'!$A:$B,2,0)</f>
        <v>Ciencias Políticas</v>
      </c>
    </row>
    <row r="2057" spans="1:3">
      <c r="A2057">
        <v>29</v>
      </c>
      <c r="B2057">
        <v>6</v>
      </c>
      <c r="C2057" t="str">
        <f>VLOOKUP(A2057,'Programas y Unidades'!$A:$B,2,0)</f>
        <v>Ciencias Políticas</v>
      </c>
    </row>
    <row r="2058" spans="1:3">
      <c r="A2058">
        <v>29</v>
      </c>
      <c r="B2058">
        <v>8</v>
      </c>
      <c r="C2058" t="str">
        <f>VLOOKUP(A2058,'Programas y Unidades'!$A:$B,2,0)</f>
        <v>Ciencias Políticas</v>
      </c>
    </row>
    <row r="2059" spans="1:3">
      <c r="A2059">
        <v>29</v>
      </c>
      <c r="B2059">
        <v>8</v>
      </c>
      <c r="C2059" t="str">
        <f>VLOOKUP(A2059,'Programas y Unidades'!$A:$B,2,0)</f>
        <v>Ciencias Políticas</v>
      </c>
    </row>
    <row r="2060" spans="1:3">
      <c r="A2060">
        <v>29</v>
      </c>
      <c r="B2060">
        <v>7</v>
      </c>
      <c r="C2060" t="str">
        <f>VLOOKUP(A2060,'Programas y Unidades'!$A:$B,2,0)</f>
        <v>Ciencias Políticas</v>
      </c>
    </row>
    <row r="2061" spans="1:3">
      <c r="A2061">
        <v>29</v>
      </c>
      <c r="B2061">
        <v>8</v>
      </c>
      <c r="C2061" t="str">
        <f>VLOOKUP(A2061,'Programas y Unidades'!$A:$B,2,0)</f>
        <v>Ciencias Políticas</v>
      </c>
    </row>
    <row r="2062" spans="1:3">
      <c r="A2062">
        <v>30</v>
      </c>
      <c r="B2062">
        <v>9</v>
      </c>
      <c r="C2062" t="str">
        <f>VLOOKUP(A2062,'Programas y Unidades'!$A:$B,2,0)</f>
        <v>Derecho</v>
      </c>
    </row>
    <row r="2063" spans="1:3">
      <c r="A2063">
        <v>29</v>
      </c>
      <c r="B2063">
        <v>6</v>
      </c>
      <c r="C2063" t="str">
        <f>VLOOKUP(A2063,'Programas y Unidades'!$A:$B,2,0)</f>
        <v>Ciencias Políticas</v>
      </c>
    </row>
    <row r="2064" spans="1:3">
      <c r="A2064">
        <v>25</v>
      </c>
      <c r="B2064">
        <v>2</v>
      </c>
      <c r="C2064" t="str">
        <f>VLOOKUP(A2064,'Programas y Unidades'!$A:$B,2,0)</f>
        <v>Gastronomía</v>
      </c>
    </row>
    <row r="2065" spans="1:3">
      <c r="A2065">
        <v>25</v>
      </c>
      <c r="B2065">
        <v>2</v>
      </c>
      <c r="C2065" t="str">
        <f>VLOOKUP(A2065,'Programas y Unidades'!$A:$B,2,0)</f>
        <v>Gastronomía</v>
      </c>
    </row>
    <row r="2066" spans="1:3">
      <c r="A2066">
        <v>25</v>
      </c>
      <c r="B2066">
        <v>2</v>
      </c>
      <c r="C2066" t="str">
        <f>VLOOKUP(A2066,'Programas y Unidades'!$A:$B,2,0)</f>
        <v>Gastronomía</v>
      </c>
    </row>
    <row r="2067" spans="1:3">
      <c r="A2067">
        <v>25</v>
      </c>
      <c r="B2067">
        <v>2</v>
      </c>
      <c r="C2067" t="str">
        <f>VLOOKUP(A2067,'Programas y Unidades'!$A:$B,2,0)</f>
        <v>Gastronomía</v>
      </c>
    </row>
    <row r="2068" spans="1:3">
      <c r="A2068">
        <v>25</v>
      </c>
      <c r="B2068">
        <v>2</v>
      </c>
      <c r="C2068" t="str">
        <f>VLOOKUP(A2068,'Programas y Unidades'!$A:$B,2,0)</f>
        <v>Gastronomía</v>
      </c>
    </row>
    <row r="2069" spans="1:3">
      <c r="A2069">
        <v>25</v>
      </c>
      <c r="B2069">
        <v>2</v>
      </c>
      <c r="C2069" t="str">
        <f>VLOOKUP(A2069,'Programas y Unidades'!$A:$B,2,0)</f>
        <v>Gastronomía</v>
      </c>
    </row>
    <row r="2070" spans="1:3">
      <c r="A2070">
        <v>25</v>
      </c>
      <c r="B2070">
        <v>2</v>
      </c>
      <c r="C2070" t="str">
        <f>VLOOKUP(A2070,'Programas y Unidades'!$A:$B,2,0)</f>
        <v>Gastronomía</v>
      </c>
    </row>
    <row r="2071" spans="1:3">
      <c r="A2071">
        <v>25</v>
      </c>
      <c r="B2071">
        <v>2</v>
      </c>
      <c r="C2071" t="str">
        <f>VLOOKUP(A2071,'Programas y Unidades'!$A:$B,2,0)</f>
        <v>Gastronomía</v>
      </c>
    </row>
    <row r="2072" spans="1:3">
      <c r="A2072">
        <v>25</v>
      </c>
      <c r="B2072">
        <v>2</v>
      </c>
      <c r="C2072" t="str">
        <f>VLOOKUP(A2072,'Programas y Unidades'!$A:$B,2,0)</f>
        <v>Gastronomía</v>
      </c>
    </row>
    <row r="2073" spans="1:3">
      <c r="A2073">
        <v>25</v>
      </c>
      <c r="B2073">
        <v>2</v>
      </c>
      <c r="C2073" t="str">
        <f>VLOOKUP(A2073,'Programas y Unidades'!$A:$B,2,0)</f>
        <v>Gastronomía</v>
      </c>
    </row>
    <row r="2074" spans="1:3">
      <c r="A2074">
        <v>25</v>
      </c>
      <c r="B2074">
        <v>2</v>
      </c>
      <c r="C2074" t="str">
        <f>VLOOKUP(A2074,'Programas y Unidades'!$A:$B,2,0)</f>
        <v>Gastronomía</v>
      </c>
    </row>
    <row r="2075" spans="1:3">
      <c r="A2075">
        <v>25</v>
      </c>
      <c r="B2075">
        <v>2</v>
      </c>
      <c r="C2075" t="str">
        <f>VLOOKUP(A2075,'Programas y Unidades'!$A:$B,2,0)</f>
        <v>Gastronomía</v>
      </c>
    </row>
    <row r="2076" spans="1:3">
      <c r="A2076">
        <v>25</v>
      </c>
      <c r="B2076">
        <v>2</v>
      </c>
      <c r="C2076" t="str">
        <f>VLOOKUP(A2076,'Programas y Unidades'!$A:$B,2,0)</f>
        <v>Gastronomía</v>
      </c>
    </row>
    <row r="2077" spans="1:3">
      <c r="A2077">
        <v>25</v>
      </c>
      <c r="B2077">
        <v>2</v>
      </c>
      <c r="C2077" t="str">
        <f>VLOOKUP(A2077,'Programas y Unidades'!$A:$B,2,0)</f>
        <v>Gastronomía</v>
      </c>
    </row>
    <row r="2078" spans="1:3">
      <c r="A2078">
        <v>25</v>
      </c>
      <c r="B2078">
        <v>2</v>
      </c>
      <c r="C2078" t="str">
        <f>VLOOKUP(A2078,'Programas y Unidades'!$A:$B,2,0)</f>
        <v>Gastronomía</v>
      </c>
    </row>
    <row r="2079" spans="1:3">
      <c r="A2079">
        <v>25</v>
      </c>
      <c r="B2079">
        <v>2</v>
      </c>
      <c r="C2079" t="str">
        <f>VLOOKUP(A2079,'Programas y Unidades'!$A:$B,2,0)</f>
        <v>Gastronomía</v>
      </c>
    </row>
    <row r="2080" spans="1:3">
      <c r="A2080">
        <v>25</v>
      </c>
      <c r="B2080">
        <v>2</v>
      </c>
      <c r="C2080" t="str">
        <f>VLOOKUP(A2080,'Programas y Unidades'!$A:$B,2,0)</f>
        <v>Gastronomía</v>
      </c>
    </row>
    <row r="2081" spans="1:3">
      <c r="A2081">
        <v>25</v>
      </c>
      <c r="B2081">
        <v>2</v>
      </c>
      <c r="C2081" t="str">
        <f>VLOOKUP(A2081,'Programas y Unidades'!$A:$B,2,0)</f>
        <v>Gastronomía</v>
      </c>
    </row>
    <row r="2082" spans="1:3">
      <c r="A2082">
        <v>25</v>
      </c>
      <c r="B2082">
        <v>2</v>
      </c>
      <c r="C2082" t="str">
        <f>VLOOKUP(A2082,'Programas y Unidades'!$A:$B,2,0)</f>
        <v>Gastronomía</v>
      </c>
    </row>
    <row r="2083" spans="1:3">
      <c r="A2083">
        <v>25</v>
      </c>
      <c r="B2083">
        <v>2</v>
      </c>
      <c r="C2083" t="str">
        <f>VLOOKUP(A2083,'Programas y Unidades'!$A:$B,2,0)</f>
        <v>Gastronomía</v>
      </c>
    </row>
    <row r="2084" spans="1:3">
      <c r="A2084">
        <v>25</v>
      </c>
      <c r="B2084">
        <v>2</v>
      </c>
      <c r="C2084" t="str">
        <f>VLOOKUP(A2084,'Programas y Unidades'!$A:$B,2,0)</f>
        <v>Gastronomía</v>
      </c>
    </row>
    <row r="2085" spans="1:3">
      <c r="A2085">
        <v>25</v>
      </c>
      <c r="B2085">
        <v>2</v>
      </c>
      <c r="C2085" t="str">
        <f>VLOOKUP(A2085,'Programas y Unidades'!$A:$B,2,0)</f>
        <v>Gastronomía</v>
      </c>
    </row>
    <row r="2086" spans="1:3">
      <c r="A2086">
        <v>25</v>
      </c>
      <c r="B2086">
        <v>2</v>
      </c>
      <c r="C2086" t="str">
        <f>VLOOKUP(A2086,'Programas y Unidades'!$A:$B,2,0)</f>
        <v>Gastronomía</v>
      </c>
    </row>
    <row r="2087" spans="1:3">
      <c r="A2087">
        <v>25</v>
      </c>
      <c r="B2087">
        <v>2</v>
      </c>
      <c r="C2087" t="str">
        <f>VLOOKUP(A2087,'Programas y Unidades'!$A:$B,2,0)</f>
        <v>Gastronomía</v>
      </c>
    </row>
    <row r="2088" spans="1:3">
      <c r="A2088">
        <v>25</v>
      </c>
      <c r="B2088">
        <v>2</v>
      </c>
      <c r="C2088" t="str">
        <f>VLOOKUP(A2088,'Programas y Unidades'!$A:$B,2,0)</f>
        <v>Gastronomía</v>
      </c>
    </row>
    <row r="2089" spans="1:3">
      <c r="A2089">
        <v>25</v>
      </c>
      <c r="B2089">
        <v>2</v>
      </c>
      <c r="C2089" t="str">
        <f>VLOOKUP(A2089,'Programas y Unidades'!$A:$B,2,0)</f>
        <v>Gastronomía</v>
      </c>
    </row>
    <row r="2090" spans="1:3">
      <c r="A2090">
        <v>25</v>
      </c>
      <c r="B2090">
        <v>2</v>
      </c>
      <c r="C2090" t="str">
        <f>VLOOKUP(A2090,'Programas y Unidades'!$A:$B,2,0)</f>
        <v>Gastronomía</v>
      </c>
    </row>
    <row r="2091" spans="1:3">
      <c r="A2091">
        <v>25</v>
      </c>
      <c r="B2091">
        <v>2</v>
      </c>
      <c r="C2091" t="str">
        <f>VLOOKUP(A2091,'Programas y Unidades'!$A:$B,2,0)</f>
        <v>Gastronomía</v>
      </c>
    </row>
    <row r="2092" spans="1:3">
      <c r="A2092">
        <v>25</v>
      </c>
      <c r="B2092">
        <v>2</v>
      </c>
      <c r="C2092" t="str">
        <f>VLOOKUP(A2092,'Programas y Unidades'!$A:$B,2,0)</f>
        <v>Gastronomía</v>
      </c>
    </row>
    <row r="2093" spans="1:3">
      <c r="A2093">
        <v>25</v>
      </c>
      <c r="B2093">
        <v>2</v>
      </c>
      <c r="C2093" t="str">
        <f>VLOOKUP(A2093,'Programas y Unidades'!$A:$B,2,0)</f>
        <v>Gastronomía</v>
      </c>
    </row>
    <row r="2094" spans="1:3">
      <c r="A2094">
        <v>25</v>
      </c>
      <c r="B2094">
        <v>2</v>
      </c>
      <c r="C2094" t="str">
        <f>VLOOKUP(A2094,'Programas y Unidades'!$A:$B,2,0)</f>
        <v>Gastronomía</v>
      </c>
    </row>
    <row r="2095" spans="1:3">
      <c r="A2095">
        <v>21</v>
      </c>
      <c r="B2095">
        <v>2</v>
      </c>
      <c r="C2095" t="str">
        <f>VLOOKUP(A2095,'Programas y Unidades'!$A:$B,2,0)</f>
        <v>Administración de Empresas</v>
      </c>
    </row>
    <row r="2096" spans="1:3">
      <c r="A2096">
        <v>25</v>
      </c>
      <c r="B2096">
        <v>4</v>
      </c>
      <c r="C2096" t="str">
        <f>VLOOKUP(A2096,'Programas y Unidades'!$A:$B,2,0)</f>
        <v>Gastronomía</v>
      </c>
    </row>
    <row r="2097" spans="1:3">
      <c r="A2097">
        <v>25</v>
      </c>
      <c r="B2097">
        <v>5</v>
      </c>
      <c r="C2097" t="str">
        <f>VLOOKUP(A2097,'Programas y Unidades'!$A:$B,2,0)</f>
        <v>Gastronomía</v>
      </c>
    </row>
    <row r="2098" spans="1:3">
      <c r="A2098">
        <v>25</v>
      </c>
      <c r="B2098">
        <v>5</v>
      </c>
      <c r="C2098" t="str">
        <f>VLOOKUP(A2098,'Programas y Unidades'!$A:$B,2,0)</f>
        <v>Gastronomía</v>
      </c>
    </row>
    <row r="2099" spans="1:3">
      <c r="A2099">
        <v>41</v>
      </c>
      <c r="B2099">
        <v>6</v>
      </c>
      <c r="C2099" t="str">
        <f>VLOOKUP(A2099,'Programas y Unidades'!$A:$B,2,0)</f>
        <v>Ingeniería Química</v>
      </c>
    </row>
    <row r="2100" spans="1:3">
      <c r="A2100">
        <v>25</v>
      </c>
      <c r="B2100">
        <v>6</v>
      </c>
      <c r="C2100" t="str">
        <f>VLOOKUP(A2100,'Programas y Unidades'!$A:$B,2,0)</f>
        <v>Gastronomía</v>
      </c>
    </row>
    <row r="2101" spans="1:3">
      <c r="A2101">
        <v>25</v>
      </c>
      <c r="B2101">
        <v>4</v>
      </c>
      <c r="C2101" t="str">
        <f>VLOOKUP(A2101,'Programas y Unidades'!$A:$B,2,0)</f>
        <v>Gastronomía</v>
      </c>
    </row>
    <row r="2102" spans="1:3">
      <c r="A2102">
        <v>25</v>
      </c>
      <c r="B2102">
        <v>6</v>
      </c>
      <c r="C2102" t="str">
        <f>VLOOKUP(A2102,'Programas y Unidades'!$A:$B,2,0)</f>
        <v>Gastronomía</v>
      </c>
    </row>
    <row r="2103" spans="1:3">
      <c r="A2103">
        <v>25</v>
      </c>
      <c r="B2103">
        <v>5</v>
      </c>
      <c r="C2103" t="str">
        <f>VLOOKUP(A2103,'Programas y Unidades'!$A:$B,2,0)</f>
        <v>Gastronomía</v>
      </c>
    </row>
    <row r="2104" spans="1:3">
      <c r="A2104">
        <v>25</v>
      </c>
      <c r="B2104">
        <v>4</v>
      </c>
      <c r="C2104" t="str">
        <f>VLOOKUP(A2104,'Programas y Unidades'!$A:$B,2,0)</f>
        <v>Gastronomía</v>
      </c>
    </row>
    <row r="2105" spans="1:3">
      <c r="A2105">
        <v>146</v>
      </c>
      <c r="B2105">
        <v>8</v>
      </c>
      <c r="C2105" t="str">
        <f>VLOOKUP(A2105,'Programas y Unidades'!$A:$B,2,0)</f>
        <v>Ingeniería de Bioproducción</v>
      </c>
    </row>
    <row r="2106" spans="1:3">
      <c r="A2106">
        <v>25</v>
      </c>
      <c r="B2106">
        <v>4</v>
      </c>
      <c r="C2106" t="str">
        <f>VLOOKUP(A2106,'Programas y Unidades'!$A:$B,2,0)</f>
        <v>Gastronomía</v>
      </c>
    </row>
    <row r="2107" spans="1:3">
      <c r="A2107">
        <v>35</v>
      </c>
      <c r="B2107">
        <v>8</v>
      </c>
      <c r="C2107" t="str">
        <f>VLOOKUP(A2107,'Programas y Unidades'!$A:$B,2,0)</f>
        <v>Filosofía</v>
      </c>
    </row>
    <row r="2108" spans="1:3">
      <c r="A2108">
        <v>35</v>
      </c>
      <c r="B2108">
        <v>8</v>
      </c>
      <c r="C2108" t="str">
        <f>VLOOKUP(A2108,'Programas y Unidades'!$A:$B,2,0)</f>
        <v>Filosofía</v>
      </c>
    </row>
    <row r="2109" spans="1:3">
      <c r="A2109">
        <v>35</v>
      </c>
      <c r="B2109">
        <v>9</v>
      </c>
      <c r="C2109" t="str">
        <f>VLOOKUP(A2109,'Programas y Unidades'!$A:$B,2,0)</f>
        <v>Filosofía</v>
      </c>
    </row>
    <row r="2110" spans="1:3">
      <c r="A2110">
        <v>35</v>
      </c>
      <c r="B2110">
        <v>9</v>
      </c>
      <c r="C2110" t="str">
        <f>VLOOKUP(A2110,'Programas y Unidades'!$A:$B,2,0)</f>
        <v>Filosofía</v>
      </c>
    </row>
    <row r="2111" spans="1:3">
      <c r="A2111">
        <v>35</v>
      </c>
      <c r="B2111">
        <v>7</v>
      </c>
      <c r="C2111" t="str">
        <f>VLOOKUP(A2111,'Programas y Unidades'!$A:$B,2,0)</f>
        <v>Filosofía</v>
      </c>
    </row>
    <row r="2112" spans="1:3">
      <c r="A2112">
        <v>35</v>
      </c>
      <c r="B2112">
        <v>9</v>
      </c>
      <c r="C2112" t="str">
        <f>VLOOKUP(A2112,'Programas y Unidades'!$A:$B,2,0)</f>
        <v>Filosofía</v>
      </c>
    </row>
    <row r="2113" spans="1:3">
      <c r="A2113">
        <v>35</v>
      </c>
      <c r="B2113">
        <v>9</v>
      </c>
      <c r="C2113" t="str">
        <f>VLOOKUP(A2113,'Programas y Unidades'!$A:$B,2,0)</f>
        <v>Filosofía</v>
      </c>
    </row>
    <row r="2114" spans="1:3">
      <c r="A2114">
        <v>41</v>
      </c>
      <c r="B2114">
        <v>7</v>
      </c>
      <c r="C2114" t="str">
        <f>VLOOKUP(A2114,'Programas y Unidades'!$A:$B,2,0)</f>
        <v>Ingeniería Química</v>
      </c>
    </row>
    <row r="2115" spans="1:3">
      <c r="A2115">
        <v>41</v>
      </c>
      <c r="B2115">
        <v>8</v>
      </c>
      <c r="C2115" t="str">
        <f>VLOOKUP(A2115,'Programas y Unidades'!$A:$B,2,0)</f>
        <v>Ingeniería Química</v>
      </c>
    </row>
    <row r="2116" spans="1:3">
      <c r="A2116">
        <v>147</v>
      </c>
      <c r="B2116">
        <v>7</v>
      </c>
      <c r="C2116" t="str">
        <f>VLOOKUP(A2116,'Programas y Unidades'!$A:$B,2,0)</f>
        <v>Ingeniería de Producción Agroindustrial</v>
      </c>
    </row>
    <row r="2117" spans="1:3">
      <c r="A2117">
        <v>146</v>
      </c>
      <c r="B2117">
        <v>7</v>
      </c>
      <c r="C2117" t="str">
        <f>VLOOKUP(A2117,'Programas y Unidades'!$A:$B,2,0)</f>
        <v>Ingeniería de Bioproducción</v>
      </c>
    </row>
    <row r="2118" spans="1:3">
      <c r="A2118">
        <v>147</v>
      </c>
      <c r="B2118">
        <v>8</v>
      </c>
      <c r="C2118" t="str">
        <f>VLOOKUP(A2118,'Programas y Unidades'!$A:$B,2,0)</f>
        <v>Ingeniería de Producción Agroindustrial</v>
      </c>
    </row>
    <row r="2119" spans="1:3">
      <c r="A2119">
        <v>147</v>
      </c>
      <c r="B2119">
        <v>8</v>
      </c>
      <c r="C2119" t="str">
        <f>VLOOKUP(A2119,'Programas y Unidades'!$A:$B,2,0)</f>
        <v>Ingeniería de Producción Agroindustrial</v>
      </c>
    </row>
    <row r="2120" spans="1:3">
      <c r="A2120">
        <v>147</v>
      </c>
      <c r="B2120">
        <v>8</v>
      </c>
      <c r="C2120" t="str">
        <f>VLOOKUP(A2120,'Programas y Unidades'!$A:$B,2,0)</f>
        <v>Ingeniería de Producción Agroindustrial</v>
      </c>
    </row>
    <row r="2121" spans="1:3">
      <c r="A2121">
        <v>147</v>
      </c>
      <c r="B2121">
        <v>8</v>
      </c>
      <c r="C2121" t="str">
        <f>VLOOKUP(A2121,'Programas y Unidades'!$A:$B,2,0)</f>
        <v>Ingeniería de Producción Agroindustrial</v>
      </c>
    </row>
    <row r="2122" spans="1:3">
      <c r="A2122">
        <v>147</v>
      </c>
      <c r="B2122">
        <v>8</v>
      </c>
      <c r="C2122" t="str">
        <f>VLOOKUP(A2122,'Programas y Unidades'!$A:$B,2,0)</f>
        <v>Ingeniería de Producción Agroindustrial</v>
      </c>
    </row>
    <row r="2123" spans="1:3">
      <c r="A2123">
        <v>147</v>
      </c>
      <c r="B2123">
        <v>8</v>
      </c>
      <c r="C2123" t="str">
        <f>VLOOKUP(A2123,'Programas y Unidades'!$A:$B,2,0)</f>
        <v>Ingeniería de Producción Agroindustrial</v>
      </c>
    </row>
    <row r="2124" spans="1:3">
      <c r="A2124">
        <v>26</v>
      </c>
      <c r="B2124">
        <v>5</v>
      </c>
      <c r="C2124" t="str">
        <f>VLOOKUP(A2124,'Programas y Unidades'!$A:$B,2,0)</f>
        <v>Comunicación Corporativa</v>
      </c>
    </row>
    <row r="2125" spans="1:3">
      <c r="A2125">
        <v>26</v>
      </c>
      <c r="B2125">
        <v>4</v>
      </c>
      <c r="C2125" t="str">
        <f>VLOOKUP(A2125,'Programas y Unidades'!$A:$B,2,0)</f>
        <v>Comunicación Corporativa</v>
      </c>
    </row>
    <row r="2126" spans="1:3">
      <c r="A2126">
        <v>26</v>
      </c>
      <c r="B2126">
        <v>5</v>
      </c>
      <c r="C2126" t="str">
        <f>VLOOKUP(A2126,'Programas y Unidades'!$A:$B,2,0)</f>
        <v>Comunicación Corporativa</v>
      </c>
    </row>
    <row r="2127" spans="1:3">
      <c r="A2127">
        <v>26</v>
      </c>
      <c r="B2127">
        <v>3</v>
      </c>
      <c r="C2127" t="str">
        <f>VLOOKUP(A2127,'Programas y Unidades'!$A:$B,2,0)</f>
        <v>Comunicación Corporativa</v>
      </c>
    </row>
    <row r="2128" spans="1:3">
      <c r="A2128">
        <v>26</v>
      </c>
      <c r="B2128">
        <v>5</v>
      </c>
      <c r="C2128" t="str">
        <f>VLOOKUP(A2128,'Programas y Unidades'!$A:$B,2,0)</f>
        <v>Comunicación Corporativa</v>
      </c>
    </row>
    <row r="2129" spans="1:3">
      <c r="A2129">
        <v>26</v>
      </c>
      <c r="B2129">
        <v>5</v>
      </c>
      <c r="C2129" t="str">
        <f>VLOOKUP(A2129,'Programas y Unidades'!$A:$B,2,0)</f>
        <v>Comunicación Corporativa</v>
      </c>
    </row>
    <row r="2130" spans="1:3">
      <c r="A2130">
        <v>26</v>
      </c>
      <c r="B2130">
        <v>5</v>
      </c>
      <c r="C2130" t="str">
        <f>VLOOKUP(A2130,'Programas y Unidades'!$A:$B,2,0)</f>
        <v>Comunicación Corporativa</v>
      </c>
    </row>
    <row r="2131" spans="1:3">
      <c r="A2131">
        <v>26</v>
      </c>
      <c r="B2131">
        <v>5</v>
      </c>
      <c r="C2131" t="str">
        <f>VLOOKUP(A2131,'Programas y Unidades'!$A:$B,2,0)</f>
        <v>Comunicación Corporativa</v>
      </c>
    </row>
    <row r="2132" spans="1:3">
      <c r="A2132">
        <v>30</v>
      </c>
      <c r="B2132">
        <v>9</v>
      </c>
      <c r="C2132" t="str">
        <f>VLOOKUP(A2132,'Programas y Unidades'!$A:$B,2,0)</f>
        <v>Derecho</v>
      </c>
    </row>
    <row r="2133" spans="1:3">
      <c r="A2133">
        <v>30</v>
      </c>
      <c r="B2133">
        <v>8</v>
      </c>
      <c r="C2133" t="str">
        <f>VLOOKUP(A2133,'Programas y Unidades'!$A:$B,2,0)</f>
        <v>Derecho</v>
      </c>
    </row>
    <row r="2134" spans="1:3">
      <c r="A2134">
        <v>30</v>
      </c>
      <c r="B2134">
        <v>9</v>
      </c>
      <c r="C2134" t="str">
        <f>VLOOKUP(A2134,'Programas y Unidades'!$A:$B,2,0)</f>
        <v>Derecho</v>
      </c>
    </row>
    <row r="2135" spans="1:3">
      <c r="A2135">
        <v>29</v>
      </c>
      <c r="B2135">
        <v>8</v>
      </c>
      <c r="C2135" t="str">
        <f>VLOOKUP(A2135,'Programas y Unidades'!$A:$B,2,0)</f>
        <v>Ciencias Políticas</v>
      </c>
    </row>
    <row r="2136" spans="1:3">
      <c r="A2136">
        <v>29</v>
      </c>
      <c r="B2136">
        <v>7</v>
      </c>
      <c r="C2136" t="str">
        <f>VLOOKUP(A2136,'Programas y Unidades'!$A:$B,2,0)</f>
        <v>Ciencias Políticas</v>
      </c>
    </row>
    <row r="2137" spans="1:3">
      <c r="A2137">
        <v>30</v>
      </c>
      <c r="B2137">
        <v>9</v>
      </c>
      <c r="C2137" t="str">
        <f>VLOOKUP(A2137,'Programas y Unidades'!$A:$B,2,0)</f>
        <v>Derecho</v>
      </c>
    </row>
    <row r="2138" spans="1:3">
      <c r="A2138">
        <v>29</v>
      </c>
      <c r="B2138">
        <v>8</v>
      </c>
      <c r="C2138" t="str">
        <f>VLOOKUP(A2138,'Programas y Unidades'!$A:$B,2,0)</f>
        <v>Ciencias Políticas</v>
      </c>
    </row>
    <row r="2139" spans="1:3">
      <c r="A2139">
        <v>30</v>
      </c>
      <c r="B2139">
        <v>9</v>
      </c>
      <c r="C2139" t="str">
        <f>VLOOKUP(A2139,'Programas y Unidades'!$A:$B,2,0)</f>
        <v>Derecho</v>
      </c>
    </row>
    <row r="2140" spans="1:3">
      <c r="A2140">
        <v>30</v>
      </c>
      <c r="B2140">
        <v>9</v>
      </c>
      <c r="C2140" t="str">
        <f>VLOOKUP(A2140,'Programas y Unidades'!$A:$B,2,0)</f>
        <v>Derecho</v>
      </c>
    </row>
    <row r="2141" spans="1:3">
      <c r="A2141">
        <v>29</v>
      </c>
      <c r="B2141">
        <v>8</v>
      </c>
      <c r="C2141" t="str">
        <f>VLOOKUP(A2141,'Programas y Unidades'!$A:$B,2,0)</f>
        <v>Ciencias Políticas</v>
      </c>
    </row>
    <row r="2142" spans="1:3">
      <c r="A2142">
        <v>30</v>
      </c>
      <c r="B2142">
        <v>9</v>
      </c>
      <c r="C2142" t="str">
        <f>VLOOKUP(A2142,'Programas y Unidades'!$A:$B,2,0)</f>
        <v>Derecho</v>
      </c>
    </row>
    <row r="2143" spans="1:3">
      <c r="A2143">
        <v>29</v>
      </c>
      <c r="B2143">
        <v>7</v>
      </c>
      <c r="C2143" t="str">
        <f>VLOOKUP(A2143,'Programas y Unidades'!$A:$B,2,0)</f>
        <v>Ciencias Políticas</v>
      </c>
    </row>
    <row r="2144" spans="1:3">
      <c r="A2144">
        <v>29</v>
      </c>
      <c r="B2144">
        <v>8</v>
      </c>
      <c r="C2144" t="str">
        <f>VLOOKUP(A2144,'Programas y Unidades'!$A:$B,2,0)</f>
        <v>Ciencias Políticas</v>
      </c>
    </row>
    <row r="2145" spans="1:3">
      <c r="A2145">
        <v>30</v>
      </c>
      <c r="B2145">
        <v>9</v>
      </c>
      <c r="C2145" t="str">
        <f>VLOOKUP(A2145,'Programas y Unidades'!$A:$B,2,0)</f>
        <v>Derecho</v>
      </c>
    </row>
    <row r="2146" spans="1:3">
      <c r="A2146">
        <v>30</v>
      </c>
      <c r="B2146">
        <v>9</v>
      </c>
      <c r="C2146" t="str">
        <f>VLOOKUP(A2146,'Programas y Unidades'!$A:$B,2,0)</f>
        <v>Derecho</v>
      </c>
    </row>
    <row r="2147" spans="1:3">
      <c r="A2147">
        <v>30</v>
      </c>
      <c r="B2147">
        <v>9</v>
      </c>
      <c r="C2147" t="str">
        <f>VLOOKUP(A2147,'Programas y Unidades'!$A:$B,2,0)</f>
        <v>Derecho</v>
      </c>
    </row>
    <row r="2148" spans="1:3">
      <c r="A2148">
        <v>30</v>
      </c>
      <c r="B2148">
        <v>9</v>
      </c>
      <c r="C2148" t="str">
        <f>VLOOKUP(A2148,'Programas y Unidades'!$A:$B,2,0)</f>
        <v>Derecho</v>
      </c>
    </row>
    <row r="2149" spans="1:3">
      <c r="A2149">
        <v>30</v>
      </c>
      <c r="B2149">
        <v>9</v>
      </c>
      <c r="C2149" t="str">
        <f>VLOOKUP(A2149,'Programas y Unidades'!$A:$B,2,0)</f>
        <v>Derecho</v>
      </c>
    </row>
    <row r="2150" spans="1:3">
      <c r="A2150">
        <v>30</v>
      </c>
      <c r="B2150">
        <v>8</v>
      </c>
      <c r="C2150" t="str">
        <f>VLOOKUP(A2150,'Programas y Unidades'!$A:$B,2,0)</f>
        <v>Derecho</v>
      </c>
    </row>
    <row r="2151" spans="1:3">
      <c r="A2151">
        <v>30</v>
      </c>
      <c r="B2151">
        <v>9</v>
      </c>
      <c r="C2151" t="str">
        <f>VLOOKUP(A2151,'Programas y Unidades'!$A:$B,2,0)</f>
        <v>Derecho</v>
      </c>
    </row>
    <row r="2152" spans="1:3">
      <c r="A2152">
        <v>30</v>
      </c>
      <c r="B2152">
        <v>9</v>
      </c>
      <c r="C2152" t="str">
        <f>VLOOKUP(A2152,'Programas y Unidades'!$A:$B,2,0)</f>
        <v>Derecho</v>
      </c>
    </row>
    <row r="2153" spans="1:3">
      <c r="A2153">
        <v>30</v>
      </c>
      <c r="B2153">
        <v>8</v>
      </c>
      <c r="C2153" t="str">
        <f>VLOOKUP(A2153,'Programas y Unidades'!$A:$B,2,0)</f>
        <v>Derecho</v>
      </c>
    </row>
    <row r="2154" spans="1:3">
      <c r="A2154">
        <v>30</v>
      </c>
      <c r="B2154">
        <v>9</v>
      </c>
      <c r="C2154" t="str">
        <f>VLOOKUP(A2154,'Programas y Unidades'!$A:$B,2,0)</f>
        <v>Derecho</v>
      </c>
    </row>
    <row r="2155" spans="1:3">
      <c r="A2155">
        <v>29</v>
      </c>
      <c r="B2155">
        <v>8</v>
      </c>
      <c r="C2155" t="str">
        <f>VLOOKUP(A2155,'Programas y Unidades'!$A:$B,2,0)</f>
        <v>Ciencias Políticas</v>
      </c>
    </row>
    <row r="2156" spans="1:3">
      <c r="A2156">
        <v>30</v>
      </c>
      <c r="B2156">
        <v>9</v>
      </c>
      <c r="C2156" t="str">
        <f>VLOOKUP(A2156,'Programas y Unidades'!$A:$B,2,0)</f>
        <v>Derecho</v>
      </c>
    </row>
    <row r="2157" spans="1:3">
      <c r="A2157">
        <v>21</v>
      </c>
      <c r="B2157">
        <v>2</v>
      </c>
      <c r="C2157" t="str">
        <f>VLOOKUP(A2157,'Programas y Unidades'!$A:$B,2,0)</f>
        <v>Administración de Empresas</v>
      </c>
    </row>
    <row r="2158" spans="1:3">
      <c r="A2158">
        <v>21</v>
      </c>
      <c r="B2158">
        <v>2</v>
      </c>
      <c r="C2158" t="str">
        <f>VLOOKUP(A2158,'Programas y Unidades'!$A:$B,2,0)</f>
        <v>Administración de Empresas</v>
      </c>
    </row>
    <row r="2159" spans="1:3">
      <c r="A2159">
        <v>21</v>
      </c>
      <c r="B2159">
        <v>2</v>
      </c>
      <c r="C2159" t="str">
        <f>VLOOKUP(A2159,'Programas y Unidades'!$A:$B,2,0)</f>
        <v>Administración de Empresas</v>
      </c>
    </row>
    <row r="2160" spans="1:3">
      <c r="A2160">
        <v>30</v>
      </c>
      <c r="B2160">
        <v>7</v>
      </c>
      <c r="C2160" t="str">
        <f>VLOOKUP(A2160,'Programas y Unidades'!$A:$B,2,0)</f>
        <v>Derecho</v>
      </c>
    </row>
    <row r="2161" spans="1:3">
      <c r="A2161">
        <v>147</v>
      </c>
      <c r="B2161">
        <v>8</v>
      </c>
      <c r="C2161" t="str">
        <f>VLOOKUP(A2161,'Programas y Unidades'!$A:$B,2,0)</f>
        <v>Ingeniería de Producción Agroindustrial</v>
      </c>
    </row>
    <row r="2162" spans="1:3">
      <c r="A2162">
        <v>21</v>
      </c>
      <c r="B2162">
        <v>2</v>
      </c>
      <c r="C2162" t="str">
        <f>VLOOKUP(A2162,'Programas y Unidades'!$A:$B,2,0)</f>
        <v>Administración de Empresas</v>
      </c>
    </row>
    <row r="2163" spans="1:3">
      <c r="A2163">
        <v>21</v>
      </c>
      <c r="B2163">
        <v>2</v>
      </c>
      <c r="C2163" t="str">
        <f>VLOOKUP(A2163,'Programas y Unidades'!$A:$B,2,0)</f>
        <v>Administración de Empresas</v>
      </c>
    </row>
    <row r="2164" spans="1:3">
      <c r="A2164">
        <v>33</v>
      </c>
      <c r="B2164">
        <v>4</v>
      </c>
      <c r="C2164" t="str">
        <f>VLOOKUP(A2164,'Programas y Unidades'!$A:$B,2,0)</f>
        <v>Enfermería</v>
      </c>
    </row>
    <row r="2165" spans="1:3">
      <c r="A2165">
        <v>33</v>
      </c>
      <c r="B2165">
        <v>4</v>
      </c>
      <c r="C2165" t="str">
        <f>VLOOKUP(A2165,'Programas y Unidades'!$A:$B,2,0)</f>
        <v>Enfermería</v>
      </c>
    </row>
    <row r="2166" spans="1:3">
      <c r="A2166">
        <v>33</v>
      </c>
      <c r="B2166">
        <v>4</v>
      </c>
      <c r="C2166" t="str">
        <f>VLOOKUP(A2166,'Programas y Unidades'!$A:$B,2,0)</f>
        <v>Enfermería</v>
      </c>
    </row>
    <row r="2167" spans="1:3">
      <c r="A2167">
        <v>33</v>
      </c>
      <c r="B2167">
        <v>4</v>
      </c>
      <c r="C2167" t="str">
        <f>VLOOKUP(A2167,'Programas y Unidades'!$A:$B,2,0)</f>
        <v>Enfermería</v>
      </c>
    </row>
    <row r="2168" spans="1:3">
      <c r="A2168">
        <v>33</v>
      </c>
      <c r="B2168">
        <v>4</v>
      </c>
      <c r="C2168" t="str">
        <f>VLOOKUP(A2168,'Programas y Unidades'!$A:$B,2,0)</f>
        <v>Enfermería</v>
      </c>
    </row>
    <row r="2169" spans="1:3">
      <c r="A2169">
        <v>33</v>
      </c>
      <c r="B2169">
        <v>4</v>
      </c>
      <c r="C2169" t="str">
        <f>VLOOKUP(A2169,'Programas y Unidades'!$A:$B,2,0)</f>
        <v>Enfermería</v>
      </c>
    </row>
    <row r="2170" spans="1:3">
      <c r="A2170">
        <v>33</v>
      </c>
      <c r="B2170">
        <v>4</v>
      </c>
      <c r="C2170" t="str">
        <f>VLOOKUP(A2170,'Programas y Unidades'!$A:$B,2,0)</f>
        <v>Enfermería</v>
      </c>
    </row>
    <row r="2171" spans="1:3">
      <c r="A2171">
        <v>33</v>
      </c>
      <c r="B2171">
        <v>4</v>
      </c>
      <c r="C2171" t="str">
        <f>VLOOKUP(A2171,'Programas y Unidades'!$A:$B,2,0)</f>
        <v>Enfermería</v>
      </c>
    </row>
    <row r="2172" spans="1:3">
      <c r="A2172">
        <v>33</v>
      </c>
      <c r="B2172">
        <v>4</v>
      </c>
      <c r="C2172" t="str">
        <f>VLOOKUP(A2172,'Programas y Unidades'!$A:$B,2,0)</f>
        <v>Enfermería</v>
      </c>
    </row>
    <row r="2173" spans="1:3">
      <c r="A2173">
        <v>33</v>
      </c>
      <c r="B2173">
        <v>4</v>
      </c>
      <c r="C2173" t="str">
        <f>VLOOKUP(A2173,'Programas y Unidades'!$A:$B,2,0)</f>
        <v>Enfermería</v>
      </c>
    </row>
    <row r="2174" spans="1:3">
      <c r="A2174">
        <v>33</v>
      </c>
      <c r="B2174">
        <v>4</v>
      </c>
      <c r="C2174" t="str">
        <f>VLOOKUP(A2174,'Programas y Unidades'!$A:$B,2,0)</f>
        <v>Enfermería</v>
      </c>
    </row>
    <row r="2175" spans="1:3">
      <c r="A2175">
        <v>33</v>
      </c>
      <c r="B2175">
        <v>4</v>
      </c>
      <c r="C2175" t="str">
        <f>VLOOKUP(A2175,'Programas y Unidades'!$A:$B,2,0)</f>
        <v>Enfermería</v>
      </c>
    </row>
    <row r="2176" spans="1:3">
      <c r="A2176">
        <v>33</v>
      </c>
      <c r="B2176">
        <v>4</v>
      </c>
      <c r="C2176" t="str">
        <f>VLOOKUP(A2176,'Programas y Unidades'!$A:$B,2,0)</f>
        <v>Enfermería</v>
      </c>
    </row>
    <row r="2177" spans="1:3">
      <c r="A2177">
        <v>33</v>
      </c>
      <c r="B2177">
        <v>4</v>
      </c>
      <c r="C2177" t="str">
        <f>VLOOKUP(A2177,'Programas y Unidades'!$A:$B,2,0)</f>
        <v>Enfermería</v>
      </c>
    </row>
    <row r="2178" spans="1:3">
      <c r="A2178">
        <v>33</v>
      </c>
      <c r="B2178">
        <v>4</v>
      </c>
      <c r="C2178" t="str">
        <f>VLOOKUP(A2178,'Programas y Unidades'!$A:$B,2,0)</f>
        <v>Enfermería</v>
      </c>
    </row>
    <row r="2179" spans="1:3">
      <c r="A2179">
        <v>33</v>
      </c>
      <c r="B2179">
        <v>4</v>
      </c>
      <c r="C2179" t="str">
        <f>VLOOKUP(A2179,'Programas y Unidades'!$A:$B,2,0)</f>
        <v>Enfermería</v>
      </c>
    </row>
    <row r="2180" spans="1:3">
      <c r="A2180">
        <v>33</v>
      </c>
      <c r="B2180">
        <v>4</v>
      </c>
      <c r="C2180" t="str">
        <f>VLOOKUP(A2180,'Programas y Unidades'!$A:$B,2,0)</f>
        <v>Enfermería</v>
      </c>
    </row>
    <row r="2181" spans="1:3">
      <c r="A2181">
        <v>33</v>
      </c>
      <c r="B2181">
        <v>4</v>
      </c>
      <c r="C2181" t="str">
        <f>VLOOKUP(A2181,'Programas y Unidades'!$A:$B,2,0)</f>
        <v>Enfermería</v>
      </c>
    </row>
    <row r="2182" spans="1:3">
      <c r="A2182">
        <v>33</v>
      </c>
      <c r="B2182">
        <v>4</v>
      </c>
      <c r="C2182" t="str">
        <f>VLOOKUP(A2182,'Programas y Unidades'!$A:$B,2,0)</f>
        <v>Enfermería</v>
      </c>
    </row>
    <row r="2183" spans="1:3">
      <c r="A2183">
        <v>33</v>
      </c>
      <c r="B2183">
        <v>4</v>
      </c>
      <c r="C2183" t="str">
        <f>VLOOKUP(A2183,'Programas y Unidades'!$A:$B,2,0)</f>
        <v>Enfermería</v>
      </c>
    </row>
    <row r="2184" spans="1:3">
      <c r="A2184">
        <v>33</v>
      </c>
      <c r="B2184">
        <v>4</v>
      </c>
      <c r="C2184" t="str">
        <f>VLOOKUP(A2184,'Programas y Unidades'!$A:$B,2,0)</f>
        <v>Enfermería</v>
      </c>
    </row>
    <row r="2185" spans="1:3">
      <c r="A2185">
        <v>33</v>
      </c>
      <c r="B2185">
        <v>4</v>
      </c>
      <c r="C2185" t="str">
        <f>VLOOKUP(A2185,'Programas y Unidades'!$A:$B,2,0)</f>
        <v>Enfermería</v>
      </c>
    </row>
    <row r="2186" spans="1:3">
      <c r="A2186">
        <v>33</v>
      </c>
      <c r="B2186">
        <v>4</v>
      </c>
      <c r="C2186" t="str">
        <f>VLOOKUP(A2186,'Programas y Unidades'!$A:$B,2,0)</f>
        <v>Enfermería</v>
      </c>
    </row>
    <row r="2187" spans="1:3">
      <c r="A2187">
        <v>33</v>
      </c>
      <c r="B2187">
        <v>4</v>
      </c>
      <c r="C2187" t="str">
        <f>VLOOKUP(A2187,'Programas y Unidades'!$A:$B,2,0)</f>
        <v>Enfermería</v>
      </c>
    </row>
    <row r="2188" spans="1:3">
      <c r="A2188">
        <v>21</v>
      </c>
      <c r="B2188">
        <v>2</v>
      </c>
      <c r="C2188" t="str">
        <f>VLOOKUP(A2188,'Programas y Unidades'!$A:$B,2,0)</f>
        <v>Administración de Empresas</v>
      </c>
    </row>
    <row r="2189" spans="1:3">
      <c r="A2189">
        <v>26</v>
      </c>
      <c r="B2189">
        <v>4</v>
      </c>
      <c r="C2189" t="str">
        <f>VLOOKUP(A2189,'Programas y Unidades'!$A:$B,2,0)</f>
        <v>Comunicación Corporativa</v>
      </c>
    </row>
    <row r="2190" spans="1:3">
      <c r="A2190">
        <v>27</v>
      </c>
      <c r="B2190">
        <v>4</v>
      </c>
      <c r="C2190" t="str">
        <f>VLOOKUP(A2190,'Programas y Unidades'!$A:$B,2,0)</f>
        <v>Comunicación Audiovisual y Multimedios</v>
      </c>
    </row>
    <row r="2191" spans="1:3">
      <c r="A2191">
        <v>26</v>
      </c>
      <c r="B2191">
        <v>3</v>
      </c>
      <c r="C2191" t="str">
        <f>VLOOKUP(A2191,'Programas y Unidades'!$A:$B,2,0)</f>
        <v>Comunicación Corporativa</v>
      </c>
    </row>
    <row r="2192" spans="1:3">
      <c r="A2192">
        <v>26</v>
      </c>
      <c r="B2192">
        <v>3</v>
      </c>
      <c r="C2192" t="str">
        <f>VLOOKUP(A2192,'Programas y Unidades'!$A:$B,2,0)</f>
        <v>Comunicación Corporativa</v>
      </c>
    </row>
    <row r="2193" spans="1:3">
      <c r="A2193">
        <v>26</v>
      </c>
      <c r="B2193">
        <v>3</v>
      </c>
      <c r="C2193" t="str">
        <f>VLOOKUP(A2193,'Programas y Unidades'!$A:$B,2,0)</f>
        <v>Comunicación Corporativa</v>
      </c>
    </row>
    <row r="2194" spans="1:3">
      <c r="A2194">
        <v>26</v>
      </c>
      <c r="B2194">
        <v>3</v>
      </c>
      <c r="C2194" t="str">
        <f>VLOOKUP(A2194,'Programas y Unidades'!$A:$B,2,0)</f>
        <v>Comunicación Corporativa</v>
      </c>
    </row>
    <row r="2195" spans="1:3">
      <c r="A2195">
        <v>26</v>
      </c>
      <c r="B2195">
        <v>3</v>
      </c>
      <c r="C2195" t="str">
        <f>VLOOKUP(A2195,'Programas y Unidades'!$A:$B,2,0)</f>
        <v>Comunicación Corporativa</v>
      </c>
    </row>
    <row r="2196" spans="1:3">
      <c r="A2196">
        <v>26</v>
      </c>
      <c r="B2196">
        <v>3</v>
      </c>
      <c r="C2196" t="str">
        <f>VLOOKUP(A2196,'Programas y Unidades'!$A:$B,2,0)</f>
        <v>Comunicación Corporativa</v>
      </c>
    </row>
    <row r="2197" spans="1:3">
      <c r="A2197">
        <v>26</v>
      </c>
      <c r="B2197">
        <v>3</v>
      </c>
      <c r="C2197" t="str">
        <f>VLOOKUP(A2197,'Programas y Unidades'!$A:$B,2,0)</f>
        <v>Comunicación Corporativa</v>
      </c>
    </row>
    <row r="2198" spans="1:3">
      <c r="A2198">
        <v>26</v>
      </c>
      <c r="B2198">
        <v>3</v>
      </c>
      <c r="C2198" t="str">
        <f>VLOOKUP(A2198,'Programas y Unidades'!$A:$B,2,0)</f>
        <v>Comunicación Corporativa</v>
      </c>
    </row>
    <row r="2199" spans="1:3">
      <c r="A2199">
        <v>26</v>
      </c>
      <c r="B2199">
        <v>3</v>
      </c>
      <c r="C2199" t="str">
        <f>VLOOKUP(A2199,'Programas y Unidades'!$A:$B,2,0)</f>
        <v>Comunicación Corporativa</v>
      </c>
    </row>
    <row r="2200" spans="1:3">
      <c r="A2200">
        <v>26</v>
      </c>
      <c r="B2200">
        <v>3</v>
      </c>
      <c r="C2200" t="str">
        <f>VLOOKUP(A2200,'Programas y Unidades'!$A:$B,2,0)</f>
        <v>Comunicación Corporativa</v>
      </c>
    </row>
    <row r="2201" spans="1:3">
      <c r="A2201">
        <v>26</v>
      </c>
      <c r="B2201">
        <v>3</v>
      </c>
      <c r="C2201" t="str">
        <f>VLOOKUP(A2201,'Programas y Unidades'!$A:$B,2,0)</f>
        <v>Comunicación Corporativa</v>
      </c>
    </row>
    <row r="2202" spans="1:3">
      <c r="A2202">
        <v>28</v>
      </c>
      <c r="B2202">
        <v>7</v>
      </c>
      <c r="C2202" t="str">
        <f>VLOOKUP(A2202,'Programas y Unidades'!$A:$B,2,0)</f>
        <v>Comunicación Social y Periodismo</v>
      </c>
    </row>
    <row r="2203" spans="1:3">
      <c r="A2203">
        <v>28</v>
      </c>
      <c r="B2203">
        <v>7</v>
      </c>
      <c r="C2203" t="str">
        <f>VLOOKUP(A2203,'Programas y Unidades'!$A:$B,2,0)</f>
        <v>Comunicación Social y Periodismo</v>
      </c>
    </row>
    <row r="2204" spans="1:3">
      <c r="A2204">
        <v>43</v>
      </c>
      <c r="B2204">
        <v>8</v>
      </c>
      <c r="C2204" t="str">
        <f>VLOOKUP(A2204,'Programas y Unidades'!$A:$B,2,0)</f>
        <v>Psicología</v>
      </c>
    </row>
    <row r="2205" spans="1:3">
      <c r="A2205">
        <v>43</v>
      </c>
      <c r="B2205">
        <v>8</v>
      </c>
      <c r="C2205" t="str">
        <f>VLOOKUP(A2205,'Programas y Unidades'!$A:$B,2,0)</f>
        <v>Psicología</v>
      </c>
    </row>
    <row r="2206" spans="1:3">
      <c r="A2206">
        <v>43</v>
      </c>
      <c r="B2206">
        <v>8</v>
      </c>
      <c r="C2206" t="str">
        <f>VLOOKUP(A2206,'Programas y Unidades'!$A:$B,2,0)</f>
        <v>Psicología</v>
      </c>
    </row>
    <row r="2207" spans="1:3">
      <c r="A2207">
        <v>43</v>
      </c>
      <c r="B2207">
        <v>8</v>
      </c>
      <c r="C2207" t="str">
        <f>VLOOKUP(A2207,'Programas y Unidades'!$A:$B,2,0)</f>
        <v>Psicología</v>
      </c>
    </row>
    <row r="2208" spans="1:3">
      <c r="A2208">
        <v>43</v>
      </c>
      <c r="B2208">
        <v>8</v>
      </c>
      <c r="C2208" t="str">
        <f>VLOOKUP(A2208,'Programas y Unidades'!$A:$B,2,0)</f>
        <v>Psicología</v>
      </c>
    </row>
    <row r="2209" spans="1:3">
      <c r="A2209">
        <v>43</v>
      </c>
      <c r="B2209">
        <v>8</v>
      </c>
      <c r="C2209" t="str">
        <f>VLOOKUP(A2209,'Programas y Unidades'!$A:$B,2,0)</f>
        <v>Psicología</v>
      </c>
    </row>
    <row r="2210" spans="1:3">
      <c r="A2210">
        <v>43</v>
      </c>
      <c r="B2210">
        <v>6</v>
      </c>
      <c r="C2210" t="str">
        <f>VLOOKUP(A2210,'Programas y Unidades'!$A:$B,2,0)</f>
        <v>Psicología</v>
      </c>
    </row>
    <row r="2211" spans="1:3">
      <c r="A2211">
        <v>43</v>
      </c>
      <c r="B2211">
        <v>8</v>
      </c>
      <c r="C2211" t="str">
        <f>VLOOKUP(A2211,'Programas y Unidades'!$A:$B,2,0)</f>
        <v>Psicología</v>
      </c>
    </row>
    <row r="2212" spans="1:3">
      <c r="A2212">
        <v>43</v>
      </c>
      <c r="B2212">
        <v>8</v>
      </c>
      <c r="C2212" t="str">
        <f>VLOOKUP(A2212,'Programas y Unidades'!$A:$B,2,0)</f>
        <v>Psicología</v>
      </c>
    </row>
    <row r="2213" spans="1:3">
      <c r="A2213">
        <v>43</v>
      </c>
      <c r="B2213">
        <v>8</v>
      </c>
      <c r="C2213" t="str">
        <f>VLOOKUP(A2213,'Programas y Unidades'!$A:$B,2,0)</f>
        <v>Psicología</v>
      </c>
    </row>
    <row r="2214" spans="1:3">
      <c r="A2214">
        <v>43</v>
      </c>
      <c r="B2214">
        <v>8</v>
      </c>
      <c r="C2214" t="str">
        <f>VLOOKUP(A2214,'Programas y Unidades'!$A:$B,2,0)</f>
        <v>Psicología</v>
      </c>
    </row>
    <row r="2215" spans="1:3">
      <c r="A2215">
        <v>43</v>
      </c>
      <c r="B2215">
        <v>8</v>
      </c>
      <c r="C2215" t="str">
        <f>VLOOKUP(A2215,'Programas y Unidades'!$A:$B,2,0)</f>
        <v>Psicología</v>
      </c>
    </row>
    <row r="2216" spans="1:3">
      <c r="A2216">
        <v>43</v>
      </c>
      <c r="B2216">
        <v>8</v>
      </c>
      <c r="C2216" t="str">
        <f>VLOOKUP(A2216,'Programas y Unidades'!$A:$B,2,0)</f>
        <v>Psicología</v>
      </c>
    </row>
    <row r="2217" spans="1:3">
      <c r="A2217">
        <v>43</v>
      </c>
      <c r="B2217">
        <v>8</v>
      </c>
      <c r="C2217" t="str">
        <f>VLOOKUP(A2217,'Programas y Unidades'!$A:$B,2,0)</f>
        <v>Psicología</v>
      </c>
    </row>
    <row r="2218" spans="1:3">
      <c r="A2218">
        <v>43</v>
      </c>
      <c r="B2218">
        <v>8</v>
      </c>
      <c r="C2218" t="str">
        <f>VLOOKUP(A2218,'Programas y Unidades'!$A:$B,2,0)</f>
        <v>Psicología</v>
      </c>
    </row>
    <row r="2219" spans="1:3">
      <c r="A2219">
        <v>43</v>
      </c>
      <c r="B2219">
        <v>8</v>
      </c>
      <c r="C2219" t="str">
        <f>VLOOKUP(A2219,'Programas y Unidades'!$A:$B,2,0)</f>
        <v>Psicología</v>
      </c>
    </row>
    <row r="2220" spans="1:3">
      <c r="A2220">
        <v>43</v>
      </c>
      <c r="B2220">
        <v>8</v>
      </c>
      <c r="C2220" t="str">
        <f>VLOOKUP(A2220,'Programas y Unidades'!$A:$B,2,0)</f>
        <v>Psicología</v>
      </c>
    </row>
    <row r="2221" spans="1:3">
      <c r="A2221">
        <v>43</v>
      </c>
      <c r="B2221">
        <v>8</v>
      </c>
      <c r="C2221" t="str">
        <f>VLOOKUP(A2221,'Programas y Unidades'!$A:$B,2,0)</f>
        <v>Psicología</v>
      </c>
    </row>
    <row r="2222" spans="1:3">
      <c r="A2222">
        <v>43</v>
      </c>
      <c r="B2222">
        <v>8</v>
      </c>
      <c r="C2222" t="str">
        <f>VLOOKUP(A2222,'Programas y Unidades'!$A:$B,2,0)</f>
        <v>Psicología</v>
      </c>
    </row>
    <row r="2223" spans="1:3">
      <c r="A2223">
        <v>43</v>
      </c>
      <c r="B2223">
        <v>8</v>
      </c>
      <c r="C2223" t="str">
        <f>VLOOKUP(A2223,'Programas y Unidades'!$A:$B,2,0)</f>
        <v>Psicología</v>
      </c>
    </row>
    <row r="2224" spans="1:3">
      <c r="A2224">
        <v>43</v>
      </c>
      <c r="B2224">
        <v>8</v>
      </c>
      <c r="C2224" t="str">
        <f>VLOOKUP(A2224,'Programas y Unidades'!$A:$B,2,0)</f>
        <v>Psicología</v>
      </c>
    </row>
    <row r="2225" spans="1:3">
      <c r="A2225">
        <v>43</v>
      </c>
      <c r="B2225">
        <v>8</v>
      </c>
      <c r="C2225" t="str">
        <f>VLOOKUP(A2225,'Programas y Unidades'!$A:$B,2,0)</f>
        <v>Psicología</v>
      </c>
    </row>
    <row r="2226" spans="1:3">
      <c r="A2226">
        <v>43</v>
      </c>
      <c r="B2226">
        <v>8</v>
      </c>
      <c r="C2226" t="str">
        <f>VLOOKUP(A2226,'Programas y Unidades'!$A:$B,2,0)</f>
        <v>Psicología</v>
      </c>
    </row>
    <row r="2227" spans="1:3">
      <c r="A2227">
        <v>43</v>
      </c>
      <c r="B2227">
        <v>8</v>
      </c>
      <c r="C2227" t="str">
        <f>VLOOKUP(A2227,'Programas y Unidades'!$A:$B,2,0)</f>
        <v>Psicología</v>
      </c>
    </row>
    <row r="2228" spans="1:3">
      <c r="A2228">
        <v>43</v>
      </c>
      <c r="B2228">
        <v>8</v>
      </c>
      <c r="C2228" t="str">
        <f>VLOOKUP(A2228,'Programas y Unidades'!$A:$B,2,0)</f>
        <v>Psicología</v>
      </c>
    </row>
    <row r="2229" spans="1:3">
      <c r="A2229">
        <v>43</v>
      </c>
      <c r="B2229">
        <v>8</v>
      </c>
      <c r="C2229" t="str">
        <f>VLOOKUP(A2229,'Programas y Unidades'!$A:$B,2,0)</f>
        <v>Psicología</v>
      </c>
    </row>
    <row r="2230" spans="1:3">
      <c r="A2230">
        <v>43</v>
      </c>
      <c r="B2230">
        <v>8</v>
      </c>
      <c r="C2230" t="str">
        <f>VLOOKUP(A2230,'Programas y Unidades'!$A:$B,2,0)</f>
        <v>Psicología</v>
      </c>
    </row>
    <row r="2231" spans="1:3">
      <c r="A2231">
        <v>43</v>
      </c>
      <c r="B2231">
        <v>8</v>
      </c>
      <c r="C2231" t="str">
        <f>VLOOKUP(A2231,'Programas y Unidades'!$A:$B,2,0)</f>
        <v>Psicología</v>
      </c>
    </row>
    <row r="2232" spans="1:3">
      <c r="A2232">
        <v>43</v>
      </c>
      <c r="B2232">
        <v>8</v>
      </c>
      <c r="C2232" t="str">
        <f>VLOOKUP(A2232,'Programas y Unidades'!$A:$B,2,0)</f>
        <v>Psicología</v>
      </c>
    </row>
    <row r="2233" spans="1:3">
      <c r="A2233">
        <v>43</v>
      </c>
      <c r="B2233">
        <v>8</v>
      </c>
      <c r="C2233" t="str">
        <f>VLOOKUP(A2233,'Programas y Unidades'!$A:$B,2,0)</f>
        <v>Psicología</v>
      </c>
    </row>
    <row r="2234" spans="1:3">
      <c r="A2234">
        <v>43</v>
      </c>
      <c r="B2234">
        <v>8</v>
      </c>
      <c r="C2234" t="str">
        <f>VLOOKUP(A2234,'Programas y Unidades'!$A:$B,2,0)</f>
        <v>Psicología</v>
      </c>
    </row>
    <row r="2235" spans="1:3">
      <c r="A2235">
        <v>24</v>
      </c>
      <c r="B2235">
        <v>3</v>
      </c>
      <c r="C2235" t="str">
        <f>VLOOKUP(A2235,'Programas y Unidades'!$A:$B,2,0)</f>
        <v>Economía y Finanzas Internacionales</v>
      </c>
    </row>
    <row r="2236" spans="1:3">
      <c r="A2236">
        <v>21</v>
      </c>
      <c r="B2236">
        <v>3</v>
      </c>
      <c r="C2236" t="str">
        <f>VLOOKUP(A2236,'Programas y Unidades'!$A:$B,2,0)</f>
        <v>Administración de Empresas</v>
      </c>
    </row>
    <row r="2237" spans="1:3">
      <c r="A2237">
        <v>24</v>
      </c>
      <c r="B2237">
        <v>3</v>
      </c>
      <c r="C2237" t="str">
        <f>VLOOKUP(A2237,'Programas y Unidades'!$A:$B,2,0)</f>
        <v>Economía y Finanzas Internacionales</v>
      </c>
    </row>
    <row r="2238" spans="1:3">
      <c r="A2238">
        <v>24</v>
      </c>
      <c r="B2238">
        <v>2</v>
      </c>
      <c r="C2238" t="str">
        <f>VLOOKUP(A2238,'Programas y Unidades'!$A:$B,2,0)</f>
        <v>Economía y Finanzas Internacionales</v>
      </c>
    </row>
    <row r="2239" spans="1:3">
      <c r="A2239">
        <v>23</v>
      </c>
      <c r="B2239">
        <v>4</v>
      </c>
      <c r="C2239" t="str">
        <f>VLOOKUP(A2239,'Programas y Unidades'!$A:$B,2,0)</f>
        <v>Administración de Negocios Internacionales</v>
      </c>
    </row>
    <row r="2240" spans="1:3">
      <c r="A2240">
        <v>24</v>
      </c>
      <c r="B2240">
        <v>3</v>
      </c>
      <c r="C2240" t="str">
        <f>VLOOKUP(A2240,'Programas y Unidades'!$A:$B,2,0)</f>
        <v>Economía y Finanzas Internacionales</v>
      </c>
    </row>
    <row r="2241" spans="1:3">
      <c r="A2241">
        <v>24</v>
      </c>
      <c r="B2241">
        <v>3</v>
      </c>
      <c r="C2241" t="str">
        <f>VLOOKUP(A2241,'Programas y Unidades'!$A:$B,2,0)</f>
        <v>Economía y Finanzas Internacionales</v>
      </c>
    </row>
    <row r="2242" spans="1:3">
      <c r="A2242">
        <v>21</v>
      </c>
      <c r="B2242">
        <v>3</v>
      </c>
      <c r="C2242" t="str">
        <f>VLOOKUP(A2242,'Programas y Unidades'!$A:$B,2,0)</f>
        <v>Administración de Empresas</v>
      </c>
    </row>
    <row r="2243" spans="1:3">
      <c r="A2243">
        <v>24</v>
      </c>
      <c r="B2243">
        <v>3</v>
      </c>
      <c r="C2243" t="str">
        <f>VLOOKUP(A2243,'Programas y Unidades'!$A:$B,2,0)</f>
        <v>Economía y Finanzas Internacionales</v>
      </c>
    </row>
    <row r="2244" spans="1:3">
      <c r="A2244">
        <v>24</v>
      </c>
      <c r="B2244">
        <v>3</v>
      </c>
      <c r="C2244" t="str">
        <f>VLOOKUP(A2244,'Programas y Unidades'!$A:$B,2,0)</f>
        <v>Economía y Finanzas Internacionales</v>
      </c>
    </row>
    <row r="2245" spans="1:3">
      <c r="A2245">
        <v>22</v>
      </c>
      <c r="B2245">
        <v>3</v>
      </c>
      <c r="C2245" t="str">
        <f>VLOOKUP(A2245,'Programas y Unidades'!$A:$B,2,0)</f>
        <v>Administración de Mercadeo y Logística Internacionales</v>
      </c>
    </row>
    <row r="2246" spans="1:3">
      <c r="A2246">
        <v>24</v>
      </c>
      <c r="B2246">
        <v>3</v>
      </c>
      <c r="C2246" t="str">
        <f>VLOOKUP(A2246,'Programas y Unidades'!$A:$B,2,0)</f>
        <v>Economía y Finanzas Internacionales</v>
      </c>
    </row>
    <row r="2247" spans="1:3">
      <c r="A2247">
        <v>22</v>
      </c>
      <c r="B2247">
        <v>3</v>
      </c>
      <c r="C2247" t="str">
        <f>VLOOKUP(A2247,'Programas y Unidades'!$A:$B,2,0)</f>
        <v>Administración de Mercadeo y Logística Internacionales</v>
      </c>
    </row>
    <row r="2248" spans="1:3">
      <c r="A2248">
        <v>25</v>
      </c>
      <c r="B2248">
        <v>5</v>
      </c>
      <c r="C2248" t="str">
        <f>VLOOKUP(A2248,'Programas y Unidades'!$A:$B,2,0)</f>
        <v>Gastronomía</v>
      </c>
    </row>
    <row r="2249" spans="1:3">
      <c r="A2249">
        <v>25</v>
      </c>
      <c r="B2249">
        <v>6</v>
      </c>
      <c r="C2249" t="str">
        <f>VLOOKUP(A2249,'Programas y Unidades'!$A:$B,2,0)</f>
        <v>Gastronomía</v>
      </c>
    </row>
    <row r="2250" spans="1:3">
      <c r="A2250">
        <v>24</v>
      </c>
      <c r="B2250">
        <v>3</v>
      </c>
      <c r="C2250" t="str">
        <f>VLOOKUP(A2250,'Programas y Unidades'!$A:$B,2,0)</f>
        <v>Economía y Finanzas Internacionales</v>
      </c>
    </row>
    <row r="2251" spans="1:3">
      <c r="A2251">
        <v>25</v>
      </c>
      <c r="B2251">
        <v>6</v>
      </c>
      <c r="C2251" t="str">
        <f>VLOOKUP(A2251,'Programas y Unidades'!$A:$B,2,0)</f>
        <v>Gastronomía</v>
      </c>
    </row>
    <row r="2252" spans="1:3">
      <c r="A2252">
        <v>23</v>
      </c>
      <c r="B2252">
        <v>7</v>
      </c>
      <c r="C2252" t="str">
        <f>VLOOKUP(A2252,'Programas y Unidades'!$A:$B,2,0)</f>
        <v>Administración de Negocios Internacionales</v>
      </c>
    </row>
    <row r="2253" spans="1:3">
      <c r="A2253">
        <v>23</v>
      </c>
      <c r="B2253">
        <v>7</v>
      </c>
      <c r="C2253" t="str">
        <f>VLOOKUP(A2253,'Programas y Unidades'!$A:$B,2,0)</f>
        <v>Administración de Negocios Internacionales</v>
      </c>
    </row>
    <row r="2254" spans="1:3">
      <c r="A2254">
        <v>23</v>
      </c>
      <c r="B2254">
        <v>7</v>
      </c>
      <c r="C2254" t="str">
        <f>VLOOKUP(A2254,'Programas y Unidades'!$A:$B,2,0)</f>
        <v>Administración de Negocios Internacionales</v>
      </c>
    </row>
    <row r="2255" spans="1:3">
      <c r="A2255">
        <v>23</v>
      </c>
      <c r="B2255">
        <v>7</v>
      </c>
      <c r="C2255" t="str">
        <f>VLOOKUP(A2255,'Programas y Unidades'!$A:$B,2,0)</f>
        <v>Administración de Negocios Internacionales</v>
      </c>
    </row>
    <row r="2256" spans="1:3">
      <c r="A2256">
        <v>23</v>
      </c>
      <c r="B2256">
        <v>7</v>
      </c>
      <c r="C2256" t="str">
        <f>VLOOKUP(A2256,'Programas y Unidades'!$A:$B,2,0)</f>
        <v>Administración de Negocios Internacionales</v>
      </c>
    </row>
    <row r="2257" spans="1:3">
      <c r="A2257">
        <v>23</v>
      </c>
      <c r="B2257">
        <v>7</v>
      </c>
      <c r="C2257" t="str">
        <f>VLOOKUP(A2257,'Programas y Unidades'!$A:$B,2,0)</f>
        <v>Administración de Negocios Internacionales</v>
      </c>
    </row>
    <row r="2258" spans="1:3">
      <c r="A2258">
        <v>23</v>
      </c>
      <c r="B2258">
        <v>7</v>
      </c>
      <c r="C2258" t="str">
        <f>VLOOKUP(A2258,'Programas y Unidades'!$A:$B,2,0)</f>
        <v>Administración de Negocios Internacionales</v>
      </c>
    </row>
    <row r="2259" spans="1:3">
      <c r="A2259">
        <v>23</v>
      </c>
      <c r="B2259">
        <v>7</v>
      </c>
      <c r="C2259" t="str">
        <f>VLOOKUP(A2259,'Programas y Unidades'!$A:$B,2,0)</f>
        <v>Administración de Negocios Internacionales</v>
      </c>
    </row>
    <row r="2260" spans="1:3">
      <c r="A2260">
        <v>23</v>
      </c>
      <c r="B2260">
        <v>7</v>
      </c>
      <c r="C2260" t="str">
        <f>VLOOKUP(A2260,'Programas y Unidades'!$A:$B,2,0)</f>
        <v>Administración de Negocios Internacionales</v>
      </c>
    </row>
    <row r="2261" spans="1:3">
      <c r="A2261">
        <v>23</v>
      </c>
      <c r="B2261">
        <v>7</v>
      </c>
      <c r="C2261" t="str">
        <f>VLOOKUP(A2261,'Programas y Unidades'!$A:$B,2,0)</f>
        <v>Administración de Negocios Internacionales</v>
      </c>
    </row>
    <row r="2262" spans="1:3">
      <c r="A2262">
        <v>23</v>
      </c>
      <c r="B2262">
        <v>7</v>
      </c>
      <c r="C2262" t="str">
        <f>VLOOKUP(A2262,'Programas y Unidades'!$A:$B,2,0)</f>
        <v>Administración de Negocios Internacionales</v>
      </c>
    </row>
    <row r="2263" spans="1:3">
      <c r="A2263">
        <v>20</v>
      </c>
      <c r="B2263">
        <v>8</v>
      </c>
      <c r="C2263" t="str">
        <f>VLOOKUP(A2263,'Programas y Unidades'!$A:$B,2,0)</f>
        <v>Administración &amp; Servicio</v>
      </c>
    </row>
    <row r="2264" spans="1:3">
      <c r="A2264">
        <v>23</v>
      </c>
      <c r="B2264">
        <v>6</v>
      </c>
      <c r="C2264" t="str">
        <f>VLOOKUP(A2264,'Programas y Unidades'!$A:$B,2,0)</f>
        <v>Administración de Negocios Internacionales</v>
      </c>
    </row>
    <row r="2265" spans="1:3">
      <c r="A2265">
        <v>23</v>
      </c>
      <c r="B2265">
        <v>6</v>
      </c>
      <c r="C2265" t="str">
        <f>VLOOKUP(A2265,'Programas y Unidades'!$A:$B,2,0)</f>
        <v>Administración de Negocios Internacionales</v>
      </c>
    </row>
    <row r="2266" spans="1:3">
      <c r="A2266">
        <v>23</v>
      </c>
      <c r="B2266">
        <v>5</v>
      </c>
      <c r="C2266" t="str">
        <f>VLOOKUP(A2266,'Programas y Unidades'!$A:$B,2,0)</f>
        <v>Administración de Negocios Internacionales</v>
      </c>
    </row>
    <row r="2267" spans="1:3">
      <c r="A2267">
        <v>23</v>
      </c>
      <c r="B2267">
        <v>6</v>
      </c>
      <c r="C2267" t="str">
        <f>VLOOKUP(A2267,'Programas y Unidades'!$A:$B,2,0)</f>
        <v>Administración de Negocios Internacionales</v>
      </c>
    </row>
    <row r="2268" spans="1:3">
      <c r="A2268">
        <v>23</v>
      </c>
      <c r="B2268">
        <v>5</v>
      </c>
      <c r="C2268" t="str">
        <f>VLOOKUP(A2268,'Programas y Unidades'!$A:$B,2,0)</f>
        <v>Administración de Negocios Internacionales</v>
      </c>
    </row>
    <row r="2269" spans="1:3">
      <c r="A2269">
        <v>23</v>
      </c>
      <c r="B2269">
        <v>5</v>
      </c>
      <c r="C2269" t="str">
        <f>VLOOKUP(A2269,'Programas y Unidades'!$A:$B,2,0)</f>
        <v>Administración de Negocios Internacionales</v>
      </c>
    </row>
    <row r="2270" spans="1:3">
      <c r="A2270">
        <v>23</v>
      </c>
      <c r="B2270">
        <v>4</v>
      </c>
      <c r="C2270" t="str">
        <f>VLOOKUP(A2270,'Programas y Unidades'!$A:$B,2,0)</f>
        <v>Administración de Negocios Internacionales</v>
      </c>
    </row>
    <row r="2271" spans="1:3">
      <c r="A2271">
        <v>23</v>
      </c>
      <c r="B2271">
        <v>6</v>
      </c>
      <c r="C2271" t="str">
        <f>VLOOKUP(A2271,'Programas y Unidades'!$A:$B,2,0)</f>
        <v>Administración de Negocios Internacionales</v>
      </c>
    </row>
    <row r="2272" spans="1:3">
      <c r="A2272">
        <v>23</v>
      </c>
      <c r="B2272">
        <v>5</v>
      </c>
      <c r="C2272" t="str">
        <f>VLOOKUP(A2272,'Programas y Unidades'!$A:$B,2,0)</f>
        <v>Administración de Negocios Internacionales</v>
      </c>
    </row>
    <row r="2273" spans="1:3">
      <c r="A2273">
        <v>23</v>
      </c>
      <c r="B2273">
        <v>4</v>
      </c>
      <c r="C2273" t="str">
        <f>VLOOKUP(A2273,'Programas y Unidades'!$A:$B,2,0)</f>
        <v>Administración de Negocios Internacionales</v>
      </c>
    </row>
    <row r="2274" spans="1:3">
      <c r="A2274">
        <v>23</v>
      </c>
      <c r="B2274">
        <v>5</v>
      </c>
      <c r="C2274" t="str">
        <f>VLOOKUP(A2274,'Programas y Unidades'!$A:$B,2,0)</f>
        <v>Administración de Negocios Internacionales</v>
      </c>
    </row>
    <row r="2275" spans="1:3">
      <c r="A2275">
        <v>23</v>
      </c>
      <c r="B2275">
        <v>5</v>
      </c>
      <c r="C2275" t="str">
        <f>VLOOKUP(A2275,'Programas y Unidades'!$A:$B,2,0)</f>
        <v>Administración de Negocios Internacionales</v>
      </c>
    </row>
    <row r="2276" spans="1:3">
      <c r="A2276">
        <v>23</v>
      </c>
      <c r="B2276">
        <v>2</v>
      </c>
      <c r="C2276" t="str">
        <f>VLOOKUP(A2276,'Programas y Unidades'!$A:$B,2,0)</f>
        <v>Administración de Negocios Internacionales</v>
      </c>
    </row>
    <row r="2277" spans="1:3">
      <c r="A2277">
        <v>23</v>
      </c>
      <c r="B2277">
        <v>4</v>
      </c>
      <c r="C2277" t="str">
        <f>VLOOKUP(A2277,'Programas y Unidades'!$A:$B,2,0)</f>
        <v>Administración de Negocios Internacionales</v>
      </c>
    </row>
    <row r="2278" spans="1:3">
      <c r="A2278">
        <v>23</v>
      </c>
      <c r="B2278">
        <v>6</v>
      </c>
      <c r="C2278" t="str">
        <f>VLOOKUP(A2278,'Programas y Unidades'!$A:$B,2,0)</f>
        <v>Administración de Negocios Internacionales</v>
      </c>
    </row>
    <row r="2279" spans="1:3">
      <c r="A2279">
        <v>22</v>
      </c>
      <c r="B2279">
        <v>6</v>
      </c>
      <c r="C2279" t="str">
        <f>VLOOKUP(A2279,'Programas y Unidades'!$A:$B,2,0)</f>
        <v>Administración de Mercadeo y Logística Internacionales</v>
      </c>
    </row>
    <row r="2280" spans="1:3">
      <c r="A2280">
        <v>23</v>
      </c>
      <c r="B2280">
        <v>4</v>
      </c>
      <c r="C2280" t="str">
        <f>VLOOKUP(A2280,'Programas y Unidades'!$A:$B,2,0)</f>
        <v>Administración de Negocios Internacionales</v>
      </c>
    </row>
    <row r="2281" spans="1:3">
      <c r="A2281">
        <v>23</v>
      </c>
      <c r="B2281">
        <v>4</v>
      </c>
      <c r="C2281" t="str">
        <f>VLOOKUP(A2281,'Programas y Unidades'!$A:$B,2,0)</f>
        <v>Administración de Negocios Internacionales</v>
      </c>
    </row>
    <row r="2282" spans="1:3">
      <c r="A2282">
        <v>25</v>
      </c>
      <c r="B2282">
        <v>4</v>
      </c>
      <c r="C2282" t="str">
        <f>VLOOKUP(A2282,'Programas y Unidades'!$A:$B,2,0)</f>
        <v>Gastronomía</v>
      </c>
    </row>
    <row r="2283" spans="1:3">
      <c r="A2283">
        <v>25</v>
      </c>
      <c r="B2283">
        <v>4</v>
      </c>
      <c r="C2283" t="str">
        <f>VLOOKUP(A2283,'Programas y Unidades'!$A:$B,2,0)</f>
        <v>Gastronomía</v>
      </c>
    </row>
    <row r="2284" spans="1:3">
      <c r="A2284">
        <v>25</v>
      </c>
      <c r="B2284">
        <v>4</v>
      </c>
      <c r="C2284" t="str">
        <f>VLOOKUP(A2284,'Programas y Unidades'!$A:$B,2,0)</f>
        <v>Gastronomía</v>
      </c>
    </row>
    <row r="2285" spans="1:3">
      <c r="A2285">
        <v>25</v>
      </c>
      <c r="B2285">
        <v>4</v>
      </c>
      <c r="C2285" t="str">
        <f>VLOOKUP(A2285,'Programas y Unidades'!$A:$B,2,0)</f>
        <v>Gastronomía</v>
      </c>
    </row>
    <row r="2286" spans="1:3">
      <c r="A2286">
        <v>33</v>
      </c>
      <c r="B2286">
        <v>5</v>
      </c>
      <c r="C2286" t="str">
        <f>VLOOKUP(A2286,'Programas y Unidades'!$A:$B,2,0)</f>
        <v>Enfermería</v>
      </c>
    </row>
    <row r="2287" spans="1:3">
      <c r="A2287">
        <v>33</v>
      </c>
      <c r="B2287">
        <v>5</v>
      </c>
      <c r="C2287" t="str">
        <f>VLOOKUP(A2287,'Programas y Unidades'!$A:$B,2,0)</f>
        <v>Enfermería</v>
      </c>
    </row>
    <row r="2288" spans="1:3">
      <c r="A2288">
        <v>33</v>
      </c>
      <c r="B2288">
        <v>5</v>
      </c>
      <c r="C2288" t="str">
        <f>VLOOKUP(A2288,'Programas y Unidades'!$A:$B,2,0)</f>
        <v>Enfermería</v>
      </c>
    </row>
    <row r="2289" spans="1:3">
      <c r="A2289">
        <v>33</v>
      </c>
      <c r="B2289">
        <v>5</v>
      </c>
      <c r="C2289" t="str">
        <f>VLOOKUP(A2289,'Programas y Unidades'!$A:$B,2,0)</f>
        <v>Enfermería</v>
      </c>
    </row>
    <row r="2290" spans="1:3">
      <c r="A2290">
        <v>33</v>
      </c>
      <c r="B2290">
        <v>5</v>
      </c>
      <c r="C2290" t="str">
        <f>VLOOKUP(A2290,'Programas y Unidades'!$A:$B,2,0)</f>
        <v>Enfermería</v>
      </c>
    </row>
    <row r="2291" spans="1:3">
      <c r="A2291">
        <v>33</v>
      </c>
      <c r="B2291">
        <v>5</v>
      </c>
      <c r="C2291" t="str">
        <f>VLOOKUP(A2291,'Programas y Unidades'!$A:$B,2,0)</f>
        <v>Enfermería</v>
      </c>
    </row>
    <row r="2292" spans="1:3">
      <c r="A2292">
        <v>33</v>
      </c>
      <c r="B2292">
        <v>5</v>
      </c>
      <c r="C2292" t="str">
        <f>VLOOKUP(A2292,'Programas y Unidades'!$A:$B,2,0)</f>
        <v>Enfermería</v>
      </c>
    </row>
    <row r="2293" spans="1:3">
      <c r="A2293">
        <v>33</v>
      </c>
      <c r="B2293">
        <v>5</v>
      </c>
      <c r="C2293" t="str">
        <f>VLOOKUP(A2293,'Programas y Unidades'!$A:$B,2,0)</f>
        <v>Enfermería</v>
      </c>
    </row>
    <row r="2294" spans="1:3">
      <c r="A2294">
        <v>33</v>
      </c>
      <c r="B2294">
        <v>5</v>
      </c>
      <c r="C2294" t="str">
        <f>VLOOKUP(A2294,'Programas y Unidades'!$A:$B,2,0)</f>
        <v>Enfermería</v>
      </c>
    </row>
    <row r="2295" spans="1:3">
      <c r="A2295">
        <v>33</v>
      </c>
      <c r="B2295">
        <v>5</v>
      </c>
      <c r="C2295" t="str">
        <f>VLOOKUP(A2295,'Programas y Unidades'!$A:$B,2,0)</f>
        <v>Enfermería</v>
      </c>
    </row>
    <row r="2296" spans="1:3">
      <c r="A2296">
        <v>33</v>
      </c>
      <c r="B2296">
        <v>5</v>
      </c>
      <c r="C2296" t="str">
        <f>VLOOKUP(A2296,'Programas y Unidades'!$A:$B,2,0)</f>
        <v>Enfermería</v>
      </c>
    </row>
    <row r="2297" spans="1:3">
      <c r="A2297">
        <v>33</v>
      </c>
      <c r="B2297">
        <v>5</v>
      </c>
      <c r="C2297" t="str">
        <f>VLOOKUP(A2297,'Programas y Unidades'!$A:$B,2,0)</f>
        <v>Enfermería</v>
      </c>
    </row>
    <row r="2298" spans="1:3">
      <c r="A2298">
        <v>33</v>
      </c>
      <c r="B2298">
        <v>5</v>
      </c>
      <c r="C2298" t="str">
        <f>VLOOKUP(A2298,'Programas y Unidades'!$A:$B,2,0)</f>
        <v>Enfermería</v>
      </c>
    </row>
    <row r="2299" spans="1:3">
      <c r="A2299">
        <v>33</v>
      </c>
      <c r="B2299">
        <v>5</v>
      </c>
      <c r="C2299" t="str">
        <f>VLOOKUP(A2299,'Programas y Unidades'!$A:$B,2,0)</f>
        <v>Enfermería</v>
      </c>
    </row>
    <row r="2300" spans="1:3">
      <c r="A2300">
        <v>30</v>
      </c>
      <c r="B2300">
        <v>7</v>
      </c>
      <c r="C2300" t="str">
        <f>VLOOKUP(A2300,'Programas y Unidades'!$A:$B,2,0)</f>
        <v>Derecho</v>
      </c>
    </row>
    <row r="2301" spans="1:3">
      <c r="A2301">
        <v>36</v>
      </c>
      <c r="B2301">
        <v>6</v>
      </c>
      <c r="C2301" t="str">
        <f>VLOOKUP(A2301,'Programas y Unidades'!$A:$B,2,0)</f>
        <v>Ingeniería Civil</v>
      </c>
    </row>
    <row r="2302" spans="1:3">
      <c r="A2302">
        <v>36</v>
      </c>
      <c r="B2302">
        <v>7</v>
      </c>
      <c r="C2302" t="str">
        <f>VLOOKUP(A2302,'Programas y Unidades'!$A:$B,2,0)</f>
        <v>Ingeniería Civil</v>
      </c>
    </row>
    <row r="2303" spans="1:3">
      <c r="A2303">
        <v>36</v>
      </c>
      <c r="B2303">
        <v>7</v>
      </c>
      <c r="C2303" t="str">
        <f>VLOOKUP(A2303,'Programas y Unidades'!$A:$B,2,0)</f>
        <v>Ingeniería Civil</v>
      </c>
    </row>
    <row r="2304" spans="1:3">
      <c r="A2304">
        <v>36</v>
      </c>
      <c r="B2304">
        <v>7</v>
      </c>
      <c r="C2304" t="str">
        <f>VLOOKUP(A2304,'Programas y Unidades'!$A:$B,2,0)</f>
        <v>Ingeniería Civil</v>
      </c>
    </row>
    <row r="2305" spans="1:3">
      <c r="A2305">
        <v>36</v>
      </c>
      <c r="B2305">
        <v>7</v>
      </c>
      <c r="C2305" t="str">
        <f>VLOOKUP(A2305,'Programas y Unidades'!$A:$B,2,0)</f>
        <v>Ingeniería Civil</v>
      </c>
    </row>
    <row r="2306" spans="1:3">
      <c r="A2306">
        <v>36</v>
      </c>
      <c r="B2306">
        <v>7</v>
      </c>
      <c r="C2306" t="str">
        <f>VLOOKUP(A2306,'Programas y Unidades'!$A:$B,2,0)</f>
        <v>Ingeniería Civil</v>
      </c>
    </row>
    <row r="2307" spans="1:3">
      <c r="A2307">
        <v>36</v>
      </c>
      <c r="B2307">
        <v>8</v>
      </c>
      <c r="C2307" t="str">
        <f>VLOOKUP(A2307,'Programas y Unidades'!$A:$B,2,0)</f>
        <v>Ingeniería Civil</v>
      </c>
    </row>
    <row r="2308" spans="1:3">
      <c r="A2308">
        <v>26</v>
      </c>
      <c r="B2308">
        <v>4</v>
      </c>
      <c r="C2308" t="str">
        <f>VLOOKUP(A2308,'Programas y Unidades'!$A:$B,2,0)</f>
        <v>Comunicación Corporativa</v>
      </c>
    </row>
    <row r="2309" spans="1:3">
      <c r="A2309">
        <v>26</v>
      </c>
      <c r="B2309">
        <v>3</v>
      </c>
      <c r="C2309" t="str">
        <f>VLOOKUP(A2309,'Programas y Unidades'!$A:$B,2,0)</f>
        <v>Comunicación Corporativa</v>
      </c>
    </row>
    <row r="2310" spans="1:3">
      <c r="A2310">
        <v>26</v>
      </c>
      <c r="B2310">
        <v>3</v>
      </c>
      <c r="C2310" t="str">
        <f>VLOOKUP(A2310,'Programas y Unidades'!$A:$B,2,0)</f>
        <v>Comunicación Corporativa</v>
      </c>
    </row>
    <row r="2311" spans="1:3">
      <c r="A2311">
        <v>28</v>
      </c>
      <c r="B2311">
        <v>7</v>
      </c>
      <c r="C2311" t="str">
        <f>VLOOKUP(A2311,'Programas y Unidades'!$A:$B,2,0)</f>
        <v>Comunicación Social y Periodismo</v>
      </c>
    </row>
    <row r="2312" spans="1:3">
      <c r="A2312">
        <v>27</v>
      </c>
      <c r="B2312">
        <v>7</v>
      </c>
      <c r="C2312" t="str">
        <f>VLOOKUP(A2312,'Programas y Unidades'!$A:$B,2,0)</f>
        <v>Comunicación Audiovisual y Multimedios</v>
      </c>
    </row>
    <row r="2313" spans="1:3">
      <c r="A2313">
        <v>26</v>
      </c>
      <c r="B2313">
        <v>3</v>
      </c>
      <c r="C2313" t="str">
        <f>VLOOKUP(A2313,'Programas y Unidades'!$A:$B,2,0)</f>
        <v>Comunicación Corporativa</v>
      </c>
    </row>
    <row r="2314" spans="1:3">
      <c r="A2314">
        <v>26</v>
      </c>
      <c r="B2314">
        <v>3</v>
      </c>
      <c r="C2314" t="str">
        <f>VLOOKUP(A2314,'Programas y Unidades'!$A:$B,2,0)</f>
        <v>Comunicación Corporativa</v>
      </c>
    </row>
    <row r="2315" spans="1:3">
      <c r="A2315">
        <v>26</v>
      </c>
      <c r="B2315">
        <v>3</v>
      </c>
      <c r="C2315" t="str">
        <f>VLOOKUP(A2315,'Programas y Unidades'!$A:$B,2,0)</f>
        <v>Comunicación Corporativa</v>
      </c>
    </row>
    <row r="2316" spans="1:3">
      <c r="A2316">
        <v>28</v>
      </c>
      <c r="B2316">
        <v>4</v>
      </c>
      <c r="C2316" t="str">
        <f>VLOOKUP(A2316,'Programas y Unidades'!$A:$B,2,0)</f>
        <v>Comunicación Social y Periodismo</v>
      </c>
    </row>
    <row r="2317" spans="1:3">
      <c r="A2317">
        <v>26</v>
      </c>
      <c r="B2317">
        <v>3</v>
      </c>
      <c r="C2317" t="str">
        <f>VLOOKUP(A2317,'Programas y Unidades'!$A:$B,2,0)</f>
        <v>Comunicación Corporativa</v>
      </c>
    </row>
    <row r="2318" spans="1:3">
      <c r="A2318">
        <v>32</v>
      </c>
      <c r="B2318">
        <v>10</v>
      </c>
      <c r="C2318" t="str">
        <f>VLOOKUP(A2318,'Programas y Unidades'!$A:$B,2,0)</f>
        <v>Licenciatura en Educación Infantil</v>
      </c>
    </row>
    <row r="2319" spans="1:3">
      <c r="A2319">
        <v>26</v>
      </c>
      <c r="B2319">
        <v>3</v>
      </c>
      <c r="C2319" t="str">
        <f>VLOOKUP(A2319,'Programas y Unidades'!$A:$B,2,0)</f>
        <v>Comunicación Corporativa</v>
      </c>
    </row>
    <row r="2320" spans="1:3">
      <c r="A2320">
        <v>32</v>
      </c>
      <c r="B2320">
        <v>10</v>
      </c>
      <c r="C2320" t="str">
        <f>VLOOKUP(A2320,'Programas y Unidades'!$A:$B,2,0)</f>
        <v>Licenciatura en Educación Infantil</v>
      </c>
    </row>
    <row r="2321" spans="1:3">
      <c r="A2321">
        <v>32</v>
      </c>
      <c r="B2321">
        <v>10</v>
      </c>
      <c r="C2321" t="str">
        <f>VLOOKUP(A2321,'Programas y Unidades'!$A:$B,2,0)</f>
        <v>Licenciatura en Educación Infantil</v>
      </c>
    </row>
    <row r="2322" spans="1:3">
      <c r="A2322">
        <v>26</v>
      </c>
      <c r="B2322">
        <v>3</v>
      </c>
      <c r="C2322" t="str">
        <f>VLOOKUP(A2322,'Programas y Unidades'!$A:$B,2,0)</f>
        <v>Comunicación Corporativa</v>
      </c>
    </row>
    <row r="2323" spans="1:3">
      <c r="A2323">
        <v>26</v>
      </c>
      <c r="B2323">
        <v>3</v>
      </c>
      <c r="C2323" t="str">
        <f>VLOOKUP(A2323,'Programas y Unidades'!$A:$B,2,0)</f>
        <v>Comunicación Corporativa</v>
      </c>
    </row>
    <row r="2324" spans="1:3">
      <c r="A2324">
        <v>26</v>
      </c>
      <c r="B2324">
        <v>3</v>
      </c>
      <c r="C2324" t="str">
        <f>VLOOKUP(A2324,'Programas y Unidades'!$A:$B,2,0)</f>
        <v>Comunicación Corporativa</v>
      </c>
    </row>
    <row r="2325" spans="1:3">
      <c r="A2325">
        <v>26</v>
      </c>
      <c r="B2325">
        <v>3</v>
      </c>
      <c r="C2325" t="str">
        <f>VLOOKUP(A2325,'Programas y Unidades'!$A:$B,2,0)</f>
        <v>Comunicación Corporativa</v>
      </c>
    </row>
    <row r="2326" spans="1:3">
      <c r="A2326">
        <v>26</v>
      </c>
      <c r="B2326">
        <v>3</v>
      </c>
      <c r="C2326" t="str">
        <f>VLOOKUP(A2326,'Programas y Unidades'!$A:$B,2,0)</f>
        <v>Comunicación Corporativa</v>
      </c>
    </row>
    <row r="2327" spans="1:3">
      <c r="A2327">
        <v>26</v>
      </c>
      <c r="B2327">
        <v>3</v>
      </c>
      <c r="C2327" t="str">
        <f>VLOOKUP(A2327,'Programas y Unidades'!$A:$B,2,0)</f>
        <v>Comunicación Corporativa</v>
      </c>
    </row>
    <row r="2328" spans="1:3">
      <c r="A2328">
        <v>28</v>
      </c>
      <c r="B2328">
        <v>7</v>
      </c>
      <c r="C2328" t="str">
        <f>VLOOKUP(A2328,'Programas y Unidades'!$A:$B,2,0)</f>
        <v>Comunicación Social y Periodismo</v>
      </c>
    </row>
    <row r="2329" spans="1:3">
      <c r="A2329">
        <v>28</v>
      </c>
      <c r="B2329">
        <v>4</v>
      </c>
      <c r="C2329" t="str">
        <f>VLOOKUP(A2329,'Programas y Unidades'!$A:$B,2,0)</f>
        <v>Comunicación Social y Periodismo</v>
      </c>
    </row>
    <row r="2330" spans="1:3">
      <c r="A2330">
        <v>28</v>
      </c>
      <c r="B2330">
        <v>7</v>
      </c>
      <c r="C2330" t="str">
        <f>VLOOKUP(A2330,'Programas y Unidades'!$A:$B,2,0)</f>
        <v>Comunicación Social y Periodismo</v>
      </c>
    </row>
    <row r="2331" spans="1:3">
      <c r="A2331">
        <v>28</v>
      </c>
      <c r="B2331">
        <v>7</v>
      </c>
      <c r="C2331" t="str">
        <f>VLOOKUP(A2331,'Programas y Unidades'!$A:$B,2,0)</f>
        <v>Comunicación Social y Periodismo</v>
      </c>
    </row>
    <row r="2332" spans="1:3">
      <c r="A2332">
        <v>28</v>
      </c>
      <c r="B2332">
        <v>6</v>
      </c>
      <c r="C2332" t="str">
        <f>VLOOKUP(A2332,'Programas y Unidades'!$A:$B,2,0)</f>
        <v>Comunicación Social y Periodismo</v>
      </c>
    </row>
    <row r="2333" spans="1:3">
      <c r="A2333">
        <v>28</v>
      </c>
      <c r="B2333">
        <v>7</v>
      </c>
      <c r="C2333" t="str">
        <f>VLOOKUP(A2333,'Programas y Unidades'!$A:$B,2,0)</f>
        <v>Comunicación Social y Periodismo</v>
      </c>
    </row>
    <row r="2334" spans="1:3">
      <c r="A2334">
        <v>28</v>
      </c>
      <c r="B2334">
        <v>5</v>
      </c>
      <c r="C2334" t="str">
        <f>VLOOKUP(A2334,'Programas y Unidades'!$A:$B,2,0)</f>
        <v>Comunicación Social y Periodismo</v>
      </c>
    </row>
    <row r="2335" spans="1:3">
      <c r="A2335">
        <v>28</v>
      </c>
      <c r="B2335">
        <v>7</v>
      </c>
      <c r="C2335" t="str">
        <f>VLOOKUP(A2335,'Programas y Unidades'!$A:$B,2,0)</f>
        <v>Comunicación Social y Periodismo</v>
      </c>
    </row>
    <row r="2336" spans="1:3">
      <c r="A2336">
        <v>28</v>
      </c>
      <c r="B2336">
        <v>6</v>
      </c>
      <c r="C2336" t="str">
        <f>VLOOKUP(A2336,'Programas y Unidades'!$A:$B,2,0)</f>
        <v>Comunicación Social y Periodismo</v>
      </c>
    </row>
    <row r="2337" spans="1:3">
      <c r="A2337">
        <v>29</v>
      </c>
      <c r="B2337">
        <v>5</v>
      </c>
      <c r="C2337" t="str">
        <f>VLOOKUP(A2337,'Programas y Unidades'!$A:$B,2,0)</f>
        <v>Ciencias Políticas</v>
      </c>
    </row>
    <row r="2338" spans="1:3">
      <c r="A2338">
        <v>30</v>
      </c>
      <c r="B2338">
        <v>6</v>
      </c>
      <c r="C2338" t="str">
        <f>VLOOKUP(A2338,'Programas y Unidades'!$A:$B,2,0)</f>
        <v>Derecho</v>
      </c>
    </row>
    <row r="2339" spans="1:3">
      <c r="A2339">
        <v>29</v>
      </c>
      <c r="B2339">
        <v>5</v>
      </c>
      <c r="C2339" t="str">
        <f>VLOOKUP(A2339,'Programas y Unidades'!$A:$B,2,0)</f>
        <v>Ciencias Políticas</v>
      </c>
    </row>
    <row r="2340" spans="1:3">
      <c r="A2340">
        <v>29</v>
      </c>
      <c r="B2340">
        <v>5</v>
      </c>
      <c r="C2340" t="str">
        <f>VLOOKUP(A2340,'Programas y Unidades'!$A:$B,2,0)</f>
        <v>Ciencias Políticas</v>
      </c>
    </row>
    <row r="2341" spans="1:3">
      <c r="A2341">
        <v>30</v>
      </c>
      <c r="B2341">
        <v>6</v>
      </c>
      <c r="C2341" t="str">
        <f>VLOOKUP(A2341,'Programas y Unidades'!$A:$B,2,0)</f>
        <v>Derecho</v>
      </c>
    </row>
    <row r="2342" spans="1:3">
      <c r="A2342">
        <v>29</v>
      </c>
      <c r="B2342">
        <v>6</v>
      </c>
      <c r="C2342" t="str">
        <f>VLOOKUP(A2342,'Programas y Unidades'!$A:$B,2,0)</f>
        <v>Ciencias Políticas</v>
      </c>
    </row>
    <row r="2343" spans="1:3">
      <c r="A2343">
        <v>30</v>
      </c>
      <c r="B2343">
        <v>8</v>
      </c>
      <c r="C2343" t="str">
        <f>VLOOKUP(A2343,'Programas y Unidades'!$A:$B,2,0)</f>
        <v>Derecho</v>
      </c>
    </row>
    <row r="2344" spans="1:3">
      <c r="A2344">
        <v>29</v>
      </c>
      <c r="B2344">
        <v>5</v>
      </c>
      <c r="C2344" t="str">
        <f>VLOOKUP(A2344,'Programas y Unidades'!$A:$B,2,0)</f>
        <v>Ciencias Políticas</v>
      </c>
    </row>
    <row r="2345" spans="1:3">
      <c r="A2345">
        <v>26</v>
      </c>
      <c r="B2345">
        <v>6</v>
      </c>
      <c r="C2345" t="str">
        <f>VLOOKUP(A2345,'Programas y Unidades'!$A:$B,2,0)</f>
        <v>Comunicación Corporativa</v>
      </c>
    </row>
    <row r="2346" spans="1:3">
      <c r="A2346">
        <v>26</v>
      </c>
      <c r="B2346">
        <v>5</v>
      </c>
      <c r="C2346" t="str">
        <f>VLOOKUP(A2346,'Programas y Unidades'!$A:$B,2,0)</f>
        <v>Comunicación Corporativa</v>
      </c>
    </row>
    <row r="2347" spans="1:3">
      <c r="A2347">
        <v>26</v>
      </c>
      <c r="B2347">
        <v>4</v>
      </c>
      <c r="C2347" t="str">
        <f>VLOOKUP(A2347,'Programas y Unidades'!$A:$B,2,0)</f>
        <v>Comunicación Corporativa</v>
      </c>
    </row>
    <row r="2348" spans="1:3">
      <c r="A2348">
        <v>26</v>
      </c>
      <c r="B2348">
        <v>5</v>
      </c>
      <c r="C2348" t="str">
        <f>VLOOKUP(A2348,'Programas y Unidades'!$A:$B,2,0)</f>
        <v>Comunicación Corporativa</v>
      </c>
    </row>
    <row r="2349" spans="1:3">
      <c r="A2349">
        <v>26</v>
      </c>
      <c r="B2349">
        <v>4</v>
      </c>
      <c r="C2349" t="str">
        <f>VLOOKUP(A2349,'Programas y Unidades'!$A:$B,2,0)</f>
        <v>Comunicación Corporativa</v>
      </c>
    </row>
    <row r="2350" spans="1:3">
      <c r="A2350">
        <v>39</v>
      </c>
      <c r="B2350">
        <v>4</v>
      </c>
      <c r="C2350" t="str">
        <f>VLOOKUP(A2350,'Programas y Unidades'!$A:$B,2,0)</f>
        <v>Ingeniería Informática</v>
      </c>
    </row>
    <row r="2351" spans="1:3">
      <c r="A2351">
        <v>39</v>
      </c>
      <c r="B2351">
        <v>4</v>
      </c>
      <c r="C2351" t="str">
        <f>VLOOKUP(A2351,'Programas y Unidades'!$A:$B,2,0)</f>
        <v>Ingeniería Informática</v>
      </c>
    </row>
    <row r="2352" spans="1:3">
      <c r="A2352">
        <v>39</v>
      </c>
      <c r="B2352">
        <v>4</v>
      </c>
      <c r="C2352" t="str">
        <f>VLOOKUP(A2352,'Programas y Unidades'!$A:$B,2,0)</f>
        <v>Ingeniería Informática</v>
      </c>
    </row>
    <row r="2353" spans="1:3">
      <c r="A2353">
        <v>39</v>
      </c>
      <c r="B2353">
        <v>3</v>
      </c>
      <c r="C2353" t="str">
        <f>VLOOKUP(A2353,'Programas y Unidades'!$A:$B,2,0)</f>
        <v>Ingeniería Informática</v>
      </c>
    </row>
    <row r="2354" spans="1:3">
      <c r="A2354">
        <v>39</v>
      </c>
      <c r="B2354">
        <v>5</v>
      </c>
      <c r="C2354" t="str">
        <f>VLOOKUP(A2354,'Programas y Unidades'!$A:$B,2,0)</f>
        <v>Ingeniería Informática</v>
      </c>
    </row>
    <row r="2355" spans="1:3">
      <c r="A2355">
        <v>39</v>
      </c>
      <c r="B2355">
        <v>4</v>
      </c>
      <c r="C2355" t="str">
        <f>VLOOKUP(A2355,'Programas y Unidades'!$A:$B,2,0)</f>
        <v>Ingeniería Informática</v>
      </c>
    </row>
    <row r="2356" spans="1:3">
      <c r="A2356">
        <v>39</v>
      </c>
      <c r="B2356">
        <v>4</v>
      </c>
      <c r="C2356" t="str">
        <f>VLOOKUP(A2356,'Programas y Unidades'!$A:$B,2,0)</f>
        <v>Ingeniería Informática</v>
      </c>
    </row>
    <row r="2357" spans="1:3">
      <c r="A2357">
        <v>39</v>
      </c>
      <c r="B2357">
        <v>4</v>
      </c>
      <c r="C2357" t="str">
        <f>VLOOKUP(A2357,'Programas y Unidades'!$A:$B,2,0)</f>
        <v>Ingeniería Informática</v>
      </c>
    </row>
    <row r="2358" spans="1:3">
      <c r="A2358">
        <v>39</v>
      </c>
      <c r="B2358">
        <v>4</v>
      </c>
      <c r="C2358" t="str">
        <f>VLOOKUP(A2358,'Programas y Unidades'!$A:$B,2,0)</f>
        <v>Ingeniería Informática</v>
      </c>
    </row>
    <row r="2359" spans="1:3">
      <c r="A2359">
        <v>39</v>
      </c>
      <c r="B2359">
        <v>5</v>
      </c>
      <c r="C2359" t="str">
        <f>VLOOKUP(A2359,'Programas y Unidades'!$A:$B,2,0)</f>
        <v>Ingeniería Informática</v>
      </c>
    </row>
    <row r="2360" spans="1:3">
      <c r="A2360">
        <v>39</v>
      </c>
      <c r="B2360">
        <v>4</v>
      </c>
      <c r="C2360" t="str">
        <f>VLOOKUP(A2360,'Programas y Unidades'!$A:$B,2,0)</f>
        <v>Ingeniería Informática</v>
      </c>
    </row>
    <row r="2361" spans="1:3">
      <c r="A2361">
        <v>39</v>
      </c>
      <c r="B2361">
        <v>4</v>
      </c>
      <c r="C2361" t="str">
        <f>VLOOKUP(A2361,'Programas y Unidades'!$A:$B,2,0)</f>
        <v>Ingeniería Informática</v>
      </c>
    </row>
    <row r="2362" spans="1:3">
      <c r="A2362">
        <v>39</v>
      </c>
      <c r="B2362">
        <v>4</v>
      </c>
      <c r="C2362" t="str">
        <f>VLOOKUP(A2362,'Programas y Unidades'!$A:$B,2,0)</f>
        <v>Ingeniería Informática</v>
      </c>
    </row>
    <row r="2363" spans="1:3">
      <c r="A2363">
        <v>39</v>
      </c>
      <c r="B2363">
        <v>4</v>
      </c>
      <c r="C2363" t="str">
        <f>VLOOKUP(A2363,'Programas y Unidades'!$A:$B,2,0)</f>
        <v>Ingeniería Informática</v>
      </c>
    </row>
    <row r="2364" spans="1:3">
      <c r="A2364">
        <v>26</v>
      </c>
      <c r="B2364">
        <v>5</v>
      </c>
      <c r="C2364" t="str">
        <f>VLOOKUP(A2364,'Programas y Unidades'!$A:$B,2,0)</f>
        <v>Comunicación Corporativa</v>
      </c>
    </row>
    <row r="2365" spans="1:3">
      <c r="A2365">
        <v>26</v>
      </c>
      <c r="B2365">
        <v>5</v>
      </c>
      <c r="C2365" t="str">
        <f>VLOOKUP(A2365,'Programas y Unidades'!$A:$B,2,0)</f>
        <v>Comunicación Corporativa</v>
      </c>
    </row>
    <row r="2366" spans="1:3">
      <c r="A2366">
        <v>26</v>
      </c>
      <c r="B2366">
        <v>5</v>
      </c>
      <c r="C2366" t="str">
        <f>VLOOKUP(A2366,'Programas y Unidades'!$A:$B,2,0)</f>
        <v>Comunicación Corporativa</v>
      </c>
    </row>
    <row r="2367" spans="1:3">
      <c r="A2367">
        <v>26</v>
      </c>
      <c r="B2367">
        <v>4</v>
      </c>
      <c r="C2367" t="str">
        <f>VLOOKUP(A2367,'Programas y Unidades'!$A:$B,2,0)</f>
        <v>Comunicación Corporativa</v>
      </c>
    </row>
    <row r="2368" spans="1:3">
      <c r="A2368">
        <v>26</v>
      </c>
      <c r="B2368">
        <v>5</v>
      </c>
      <c r="C2368" t="str">
        <f>VLOOKUP(A2368,'Programas y Unidades'!$A:$B,2,0)</f>
        <v>Comunicación Corporativa</v>
      </c>
    </row>
    <row r="2369" spans="1:3">
      <c r="A2369">
        <v>26</v>
      </c>
      <c r="B2369">
        <v>4</v>
      </c>
      <c r="C2369" t="str">
        <f>VLOOKUP(A2369,'Programas y Unidades'!$A:$B,2,0)</f>
        <v>Comunicación Corporativa</v>
      </c>
    </row>
    <row r="2370" spans="1:3">
      <c r="A2370">
        <v>26</v>
      </c>
      <c r="B2370">
        <v>5</v>
      </c>
      <c r="C2370" t="str">
        <f>VLOOKUP(A2370,'Programas y Unidades'!$A:$B,2,0)</f>
        <v>Comunicación Corporativa</v>
      </c>
    </row>
    <row r="2371" spans="1:3">
      <c r="A2371">
        <v>26</v>
      </c>
      <c r="B2371">
        <v>6</v>
      </c>
      <c r="C2371" t="str">
        <f>VLOOKUP(A2371,'Programas y Unidades'!$A:$B,2,0)</f>
        <v>Comunicación Corporativa</v>
      </c>
    </row>
    <row r="2372" spans="1:3">
      <c r="A2372">
        <v>26</v>
      </c>
      <c r="B2372">
        <v>5</v>
      </c>
      <c r="C2372" t="str">
        <f>VLOOKUP(A2372,'Programas y Unidades'!$A:$B,2,0)</f>
        <v>Comunicación Corporativa</v>
      </c>
    </row>
    <row r="2373" spans="1:3">
      <c r="A2373">
        <v>26</v>
      </c>
      <c r="B2373">
        <v>6</v>
      </c>
      <c r="C2373" t="str">
        <f>VLOOKUP(A2373,'Programas y Unidades'!$A:$B,2,0)</f>
        <v>Comunicación Corporativa</v>
      </c>
    </row>
    <row r="2374" spans="1:3">
      <c r="A2374">
        <v>29</v>
      </c>
      <c r="B2374">
        <v>2</v>
      </c>
      <c r="C2374" t="str">
        <f>VLOOKUP(A2374,'Programas y Unidades'!$A:$B,2,0)</f>
        <v>Ciencias Políticas</v>
      </c>
    </row>
    <row r="2375" spans="1:3">
      <c r="A2375">
        <v>29</v>
      </c>
      <c r="B2375">
        <v>2</v>
      </c>
      <c r="C2375" t="str">
        <f>VLOOKUP(A2375,'Programas y Unidades'!$A:$B,2,0)</f>
        <v>Ciencias Políticas</v>
      </c>
    </row>
    <row r="2376" spans="1:3">
      <c r="A2376">
        <v>29</v>
      </c>
      <c r="B2376">
        <v>2</v>
      </c>
      <c r="C2376" t="str">
        <f>VLOOKUP(A2376,'Programas y Unidades'!$A:$B,2,0)</f>
        <v>Ciencias Políticas</v>
      </c>
    </row>
    <row r="2377" spans="1:3">
      <c r="A2377">
        <v>29</v>
      </c>
      <c r="B2377">
        <v>2</v>
      </c>
      <c r="C2377" t="str">
        <f>VLOOKUP(A2377,'Programas y Unidades'!$A:$B,2,0)</f>
        <v>Ciencias Políticas</v>
      </c>
    </row>
    <row r="2378" spans="1:3">
      <c r="A2378">
        <v>29</v>
      </c>
      <c r="B2378">
        <v>3</v>
      </c>
      <c r="C2378" t="str">
        <f>VLOOKUP(A2378,'Programas y Unidades'!$A:$B,2,0)</f>
        <v>Ciencias Políticas</v>
      </c>
    </row>
    <row r="2379" spans="1:3">
      <c r="A2379">
        <v>29</v>
      </c>
      <c r="B2379">
        <v>6</v>
      </c>
      <c r="C2379" t="str">
        <f>VLOOKUP(A2379,'Programas y Unidades'!$A:$B,2,0)</f>
        <v>Ciencias Políticas</v>
      </c>
    </row>
    <row r="2380" spans="1:3">
      <c r="A2380">
        <v>29</v>
      </c>
      <c r="B2380">
        <v>2</v>
      </c>
      <c r="C2380" t="str">
        <f>VLOOKUP(A2380,'Programas y Unidades'!$A:$B,2,0)</f>
        <v>Ciencias Políticas</v>
      </c>
    </row>
    <row r="2381" spans="1:3">
      <c r="A2381">
        <v>24</v>
      </c>
      <c r="B2381">
        <v>2</v>
      </c>
      <c r="C2381" t="str">
        <f>VLOOKUP(A2381,'Programas y Unidades'!$A:$B,2,0)</f>
        <v>Economía y Finanzas Internacionales</v>
      </c>
    </row>
    <row r="2382" spans="1:3">
      <c r="A2382">
        <v>24</v>
      </c>
      <c r="B2382">
        <v>2</v>
      </c>
      <c r="C2382" t="str">
        <f>VLOOKUP(A2382,'Programas y Unidades'!$A:$B,2,0)</f>
        <v>Economía y Finanzas Internacionales</v>
      </c>
    </row>
    <row r="2383" spans="1:3">
      <c r="A2383">
        <v>24</v>
      </c>
      <c r="B2383">
        <v>2</v>
      </c>
      <c r="C2383" t="str">
        <f>VLOOKUP(A2383,'Programas y Unidades'!$A:$B,2,0)</f>
        <v>Economía y Finanzas Internacionales</v>
      </c>
    </row>
    <row r="2384" spans="1:3">
      <c r="A2384">
        <v>24</v>
      </c>
      <c r="B2384">
        <v>5</v>
      </c>
      <c r="C2384" t="str">
        <f>VLOOKUP(A2384,'Programas y Unidades'!$A:$B,2,0)</f>
        <v>Economía y Finanzas Internacionales</v>
      </c>
    </row>
    <row r="2385" spans="1:3">
      <c r="A2385">
        <v>24</v>
      </c>
      <c r="B2385">
        <v>2</v>
      </c>
      <c r="C2385" t="str">
        <f>VLOOKUP(A2385,'Programas y Unidades'!$A:$B,2,0)</f>
        <v>Economía y Finanzas Internacionales</v>
      </c>
    </row>
    <row r="2386" spans="1:3">
      <c r="A2386">
        <v>29</v>
      </c>
      <c r="B2386">
        <v>2</v>
      </c>
      <c r="C2386" t="str">
        <f>VLOOKUP(A2386,'Programas y Unidades'!$A:$B,2,0)</f>
        <v>Ciencias Políticas</v>
      </c>
    </row>
    <row r="2387" spans="1:3">
      <c r="A2387">
        <v>24</v>
      </c>
      <c r="B2387">
        <v>2</v>
      </c>
      <c r="C2387" t="str">
        <f>VLOOKUP(A2387,'Programas y Unidades'!$A:$B,2,0)</f>
        <v>Economía y Finanzas Internacionales</v>
      </c>
    </row>
    <row r="2388" spans="1:3">
      <c r="A2388">
        <v>24</v>
      </c>
      <c r="B2388">
        <v>2</v>
      </c>
      <c r="C2388" t="str">
        <f>VLOOKUP(A2388,'Programas y Unidades'!$A:$B,2,0)</f>
        <v>Economía y Finanzas Internacionales</v>
      </c>
    </row>
    <row r="2389" spans="1:3">
      <c r="A2389">
        <v>24</v>
      </c>
      <c r="B2389">
        <v>2</v>
      </c>
      <c r="C2389" t="str">
        <f>VLOOKUP(A2389,'Programas y Unidades'!$A:$B,2,0)</f>
        <v>Economía y Finanzas Internacionales</v>
      </c>
    </row>
    <row r="2390" spans="1:3">
      <c r="A2390">
        <v>24</v>
      </c>
      <c r="B2390">
        <v>2</v>
      </c>
      <c r="C2390" t="str">
        <f>VLOOKUP(A2390,'Programas y Unidades'!$A:$B,2,0)</f>
        <v>Economía y Finanzas Internacionales</v>
      </c>
    </row>
    <row r="2391" spans="1:3">
      <c r="A2391">
        <v>24</v>
      </c>
      <c r="B2391">
        <v>2</v>
      </c>
      <c r="C2391" t="str">
        <f>VLOOKUP(A2391,'Programas y Unidades'!$A:$B,2,0)</f>
        <v>Economía y Finanzas Internacionales</v>
      </c>
    </row>
    <row r="2392" spans="1:3">
      <c r="A2392">
        <v>24</v>
      </c>
      <c r="B2392">
        <v>8</v>
      </c>
      <c r="C2392" t="str">
        <f>VLOOKUP(A2392,'Programas y Unidades'!$A:$B,2,0)</f>
        <v>Economía y Finanzas Internacionales</v>
      </c>
    </row>
    <row r="2393" spans="1:3">
      <c r="A2393">
        <v>24</v>
      </c>
      <c r="B2393">
        <v>2</v>
      </c>
      <c r="C2393" t="str">
        <f>VLOOKUP(A2393,'Programas y Unidades'!$A:$B,2,0)</f>
        <v>Economía y Finanzas Internacionales</v>
      </c>
    </row>
    <row r="2394" spans="1:3">
      <c r="A2394">
        <v>24</v>
      </c>
      <c r="B2394">
        <v>2</v>
      </c>
      <c r="C2394" t="str">
        <f>VLOOKUP(A2394,'Programas y Unidades'!$A:$B,2,0)</f>
        <v>Economía y Finanzas Internacionales</v>
      </c>
    </row>
    <row r="2395" spans="1:3">
      <c r="A2395">
        <v>24</v>
      </c>
      <c r="B2395">
        <v>2</v>
      </c>
      <c r="C2395" t="str">
        <f>VLOOKUP(A2395,'Programas y Unidades'!$A:$B,2,0)</f>
        <v>Economía y Finanzas Internacionales</v>
      </c>
    </row>
    <row r="2396" spans="1:3">
      <c r="A2396">
        <v>24</v>
      </c>
      <c r="B2396">
        <v>2</v>
      </c>
      <c r="C2396" t="str">
        <f>VLOOKUP(A2396,'Programas y Unidades'!$A:$B,2,0)</f>
        <v>Economía y Finanzas Internacionales</v>
      </c>
    </row>
    <row r="2397" spans="1:3">
      <c r="A2397">
        <v>29</v>
      </c>
      <c r="B2397">
        <v>2</v>
      </c>
      <c r="C2397" t="str">
        <f>VLOOKUP(A2397,'Programas y Unidades'!$A:$B,2,0)</f>
        <v>Ciencias Políticas</v>
      </c>
    </row>
    <row r="2398" spans="1:3">
      <c r="A2398">
        <v>24</v>
      </c>
      <c r="B2398">
        <v>2</v>
      </c>
      <c r="C2398" t="str">
        <f>VLOOKUP(A2398,'Programas y Unidades'!$A:$B,2,0)</f>
        <v>Economía y Finanzas Internacionales</v>
      </c>
    </row>
    <row r="2399" spans="1:3">
      <c r="A2399">
        <v>24</v>
      </c>
      <c r="B2399">
        <v>2</v>
      </c>
      <c r="C2399" t="str">
        <f>VLOOKUP(A2399,'Programas y Unidades'!$A:$B,2,0)</f>
        <v>Economía y Finanzas Internacionales</v>
      </c>
    </row>
    <row r="2400" spans="1:3">
      <c r="A2400">
        <v>24</v>
      </c>
      <c r="B2400">
        <v>2</v>
      </c>
      <c r="C2400" t="str">
        <f>VLOOKUP(A2400,'Programas y Unidades'!$A:$B,2,0)</f>
        <v>Economía y Finanzas Internacionales</v>
      </c>
    </row>
    <row r="2401" spans="1:3">
      <c r="A2401">
        <v>24</v>
      </c>
      <c r="B2401">
        <v>2</v>
      </c>
      <c r="C2401" t="str">
        <f>VLOOKUP(A2401,'Programas y Unidades'!$A:$B,2,0)</f>
        <v>Economía y Finanzas Internacionales</v>
      </c>
    </row>
    <row r="2402" spans="1:3">
      <c r="A2402">
        <v>24</v>
      </c>
      <c r="B2402">
        <v>2</v>
      </c>
      <c r="C2402" t="str">
        <f>VLOOKUP(A2402,'Programas y Unidades'!$A:$B,2,0)</f>
        <v>Economía y Finanzas Internacionales</v>
      </c>
    </row>
    <row r="2403" spans="1:3">
      <c r="A2403">
        <v>24</v>
      </c>
      <c r="B2403">
        <v>2</v>
      </c>
      <c r="C2403" t="str">
        <f>VLOOKUP(A2403,'Programas y Unidades'!$A:$B,2,0)</f>
        <v>Economía y Finanzas Internacionales</v>
      </c>
    </row>
    <row r="2404" spans="1:3">
      <c r="A2404">
        <v>24</v>
      </c>
      <c r="B2404">
        <v>2</v>
      </c>
      <c r="C2404" t="str">
        <f>VLOOKUP(A2404,'Programas y Unidades'!$A:$B,2,0)</f>
        <v>Economía y Finanzas Internacionales</v>
      </c>
    </row>
    <row r="2405" spans="1:3">
      <c r="A2405">
        <v>42</v>
      </c>
      <c r="B2405">
        <v>2</v>
      </c>
      <c r="C2405" t="str">
        <f>VLOOKUP(A2405,'Programas y Unidades'!$A:$B,2,0)</f>
        <v>Medicina</v>
      </c>
    </row>
    <row r="2406" spans="1:3">
      <c r="A2406">
        <v>24</v>
      </c>
      <c r="B2406">
        <v>2</v>
      </c>
      <c r="C2406" t="str">
        <f>VLOOKUP(A2406,'Programas y Unidades'!$A:$B,2,0)</f>
        <v>Economía y Finanzas Internacionales</v>
      </c>
    </row>
    <row r="2407" spans="1:3">
      <c r="A2407">
        <v>24</v>
      </c>
      <c r="B2407">
        <v>2</v>
      </c>
      <c r="C2407" t="str">
        <f>VLOOKUP(A2407,'Programas y Unidades'!$A:$B,2,0)</f>
        <v>Economía y Finanzas Internacionales</v>
      </c>
    </row>
    <row r="2408" spans="1:3">
      <c r="A2408">
        <v>24</v>
      </c>
      <c r="B2408">
        <v>2</v>
      </c>
      <c r="C2408" t="str">
        <f>VLOOKUP(A2408,'Programas y Unidades'!$A:$B,2,0)</f>
        <v>Economía y Finanzas Internacionales</v>
      </c>
    </row>
    <row r="2409" spans="1:3">
      <c r="A2409">
        <v>24</v>
      </c>
      <c r="B2409">
        <v>2</v>
      </c>
      <c r="C2409" t="str">
        <f>VLOOKUP(A2409,'Programas y Unidades'!$A:$B,2,0)</f>
        <v>Economía y Finanzas Internacionales</v>
      </c>
    </row>
    <row r="2410" spans="1:3">
      <c r="A2410">
        <v>25</v>
      </c>
      <c r="B2410">
        <v>4</v>
      </c>
      <c r="C2410" t="str">
        <f>VLOOKUP(A2410,'Programas y Unidades'!$A:$B,2,0)</f>
        <v>Gastronomía</v>
      </c>
    </row>
    <row r="2411" spans="1:3">
      <c r="A2411">
        <v>25</v>
      </c>
      <c r="B2411">
        <v>6</v>
      </c>
      <c r="C2411" t="str">
        <f>VLOOKUP(A2411,'Programas y Unidades'!$A:$B,2,0)</f>
        <v>Gastronomía</v>
      </c>
    </row>
    <row r="2412" spans="1:3">
      <c r="A2412">
        <v>25</v>
      </c>
      <c r="B2412">
        <v>5</v>
      </c>
      <c r="C2412" t="str">
        <f>VLOOKUP(A2412,'Programas y Unidades'!$A:$B,2,0)</f>
        <v>Gastronomía</v>
      </c>
    </row>
    <row r="2413" spans="1:3">
      <c r="A2413">
        <v>25</v>
      </c>
      <c r="B2413">
        <v>6</v>
      </c>
      <c r="C2413" t="str">
        <f>VLOOKUP(A2413,'Programas y Unidades'!$A:$B,2,0)</f>
        <v>Gastronomía</v>
      </c>
    </row>
    <row r="2414" spans="1:3">
      <c r="A2414">
        <v>25</v>
      </c>
      <c r="B2414">
        <v>5</v>
      </c>
      <c r="C2414" t="str">
        <f>VLOOKUP(A2414,'Programas y Unidades'!$A:$B,2,0)</f>
        <v>Gastronomía</v>
      </c>
    </row>
    <row r="2415" spans="1:3">
      <c r="A2415">
        <v>25</v>
      </c>
      <c r="B2415">
        <v>5</v>
      </c>
      <c r="C2415" t="str">
        <f>VLOOKUP(A2415,'Programas y Unidades'!$A:$B,2,0)</f>
        <v>Gastronomía</v>
      </c>
    </row>
    <row r="2416" spans="1:3">
      <c r="A2416">
        <v>25</v>
      </c>
      <c r="B2416">
        <v>4</v>
      </c>
      <c r="C2416" t="str">
        <f>VLOOKUP(A2416,'Programas y Unidades'!$A:$B,2,0)</f>
        <v>Gastronomía</v>
      </c>
    </row>
    <row r="2417" spans="1:3">
      <c r="A2417">
        <v>25</v>
      </c>
      <c r="B2417">
        <v>5</v>
      </c>
      <c r="C2417" t="str">
        <f>VLOOKUP(A2417,'Programas y Unidades'!$A:$B,2,0)</f>
        <v>Gastronomía</v>
      </c>
    </row>
    <row r="2418" spans="1:3">
      <c r="A2418">
        <v>25</v>
      </c>
      <c r="B2418">
        <v>5</v>
      </c>
      <c r="C2418" t="str">
        <f>VLOOKUP(A2418,'Programas y Unidades'!$A:$B,2,0)</f>
        <v>Gastronomía</v>
      </c>
    </row>
    <row r="2419" spans="1:3">
      <c r="A2419">
        <v>25</v>
      </c>
      <c r="B2419">
        <v>5</v>
      </c>
      <c r="C2419" t="str">
        <f>VLOOKUP(A2419,'Programas y Unidades'!$A:$B,2,0)</f>
        <v>Gastronomía</v>
      </c>
    </row>
    <row r="2420" spans="1:3">
      <c r="A2420">
        <v>25</v>
      </c>
      <c r="B2420">
        <v>5</v>
      </c>
      <c r="C2420" t="str">
        <f>VLOOKUP(A2420,'Programas y Unidades'!$A:$B,2,0)</f>
        <v>Gastronomía</v>
      </c>
    </row>
    <row r="2421" spans="1:3">
      <c r="A2421">
        <v>36</v>
      </c>
      <c r="B2421">
        <v>5</v>
      </c>
      <c r="C2421" t="str">
        <f>VLOOKUP(A2421,'Programas y Unidades'!$A:$B,2,0)</f>
        <v>Ingeniería Civil</v>
      </c>
    </row>
    <row r="2422" spans="1:3">
      <c r="A2422">
        <v>36</v>
      </c>
      <c r="B2422">
        <v>5</v>
      </c>
      <c r="C2422" t="str">
        <f>VLOOKUP(A2422,'Programas y Unidades'!$A:$B,2,0)</f>
        <v>Ingeniería Civil</v>
      </c>
    </row>
    <row r="2423" spans="1:3">
      <c r="A2423">
        <v>36</v>
      </c>
      <c r="B2423">
        <v>5</v>
      </c>
      <c r="C2423" t="str">
        <f>VLOOKUP(A2423,'Programas y Unidades'!$A:$B,2,0)</f>
        <v>Ingeniería Civil</v>
      </c>
    </row>
    <row r="2424" spans="1:3">
      <c r="A2424">
        <v>36</v>
      </c>
      <c r="B2424">
        <v>5</v>
      </c>
      <c r="C2424" t="str">
        <f>VLOOKUP(A2424,'Programas y Unidades'!$A:$B,2,0)</f>
        <v>Ingeniería Civil</v>
      </c>
    </row>
    <row r="2425" spans="1:3">
      <c r="A2425">
        <v>36</v>
      </c>
      <c r="B2425">
        <v>7</v>
      </c>
      <c r="C2425" t="str">
        <f>VLOOKUP(A2425,'Programas y Unidades'!$A:$B,2,0)</f>
        <v>Ingeniería Civil</v>
      </c>
    </row>
    <row r="2426" spans="1:3">
      <c r="A2426">
        <v>27</v>
      </c>
      <c r="B2426">
        <v>7</v>
      </c>
      <c r="C2426" t="str">
        <f>VLOOKUP(A2426,'Programas y Unidades'!$A:$B,2,0)</f>
        <v>Comunicación Audiovisual y Multimedios</v>
      </c>
    </row>
    <row r="2427" spans="1:3">
      <c r="A2427">
        <v>27</v>
      </c>
      <c r="B2427">
        <v>7</v>
      </c>
      <c r="C2427" t="str">
        <f>VLOOKUP(A2427,'Programas y Unidades'!$A:$B,2,0)</f>
        <v>Comunicación Audiovisual y Multimedios</v>
      </c>
    </row>
    <row r="2428" spans="1:3">
      <c r="A2428">
        <v>27</v>
      </c>
      <c r="B2428">
        <v>7</v>
      </c>
      <c r="C2428" t="str">
        <f>VLOOKUP(A2428,'Programas y Unidades'!$A:$B,2,0)</f>
        <v>Comunicación Audiovisual y Multimedios</v>
      </c>
    </row>
    <row r="2429" spans="1:3">
      <c r="A2429">
        <v>27</v>
      </c>
      <c r="B2429">
        <v>7</v>
      </c>
      <c r="C2429" t="str">
        <f>VLOOKUP(A2429,'Programas y Unidades'!$A:$B,2,0)</f>
        <v>Comunicación Audiovisual y Multimedios</v>
      </c>
    </row>
    <row r="2430" spans="1:3">
      <c r="A2430">
        <v>27</v>
      </c>
      <c r="B2430">
        <v>7</v>
      </c>
      <c r="C2430" t="str">
        <f>VLOOKUP(A2430,'Programas y Unidades'!$A:$B,2,0)</f>
        <v>Comunicación Audiovisual y Multimedios</v>
      </c>
    </row>
    <row r="2431" spans="1:3">
      <c r="A2431">
        <v>27</v>
      </c>
      <c r="B2431">
        <v>7</v>
      </c>
      <c r="C2431" t="str">
        <f>VLOOKUP(A2431,'Programas y Unidades'!$A:$B,2,0)</f>
        <v>Comunicación Audiovisual y Multimedios</v>
      </c>
    </row>
    <row r="2432" spans="1:3">
      <c r="A2432">
        <v>27</v>
      </c>
      <c r="B2432">
        <v>7</v>
      </c>
      <c r="C2432" t="str">
        <f>VLOOKUP(A2432,'Programas y Unidades'!$A:$B,2,0)</f>
        <v>Comunicación Audiovisual y Multimedios</v>
      </c>
    </row>
    <row r="2433" spans="1:3">
      <c r="A2433">
        <v>27</v>
      </c>
      <c r="B2433">
        <v>7</v>
      </c>
      <c r="C2433" t="str">
        <f>VLOOKUP(A2433,'Programas y Unidades'!$A:$B,2,0)</f>
        <v>Comunicación Audiovisual y Multimedios</v>
      </c>
    </row>
    <row r="2434" spans="1:3">
      <c r="A2434">
        <v>36</v>
      </c>
      <c r="B2434">
        <v>8</v>
      </c>
      <c r="C2434" t="str">
        <f>VLOOKUP(A2434,'Programas y Unidades'!$A:$B,2,0)</f>
        <v>Ingeniería Civil</v>
      </c>
    </row>
    <row r="2435" spans="1:3">
      <c r="A2435">
        <v>42</v>
      </c>
      <c r="B2435">
        <v>3</v>
      </c>
      <c r="C2435" t="str">
        <f>VLOOKUP(A2435,'Programas y Unidades'!$A:$B,2,0)</f>
        <v>Medicina</v>
      </c>
    </row>
    <row r="2436" spans="1:3">
      <c r="A2436">
        <v>42</v>
      </c>
      <c r="B2436">
        <v>3</v>
      </c>
      <c r="C2436" t="str">
        <f>VLOOKUP(A2436,'Programas y Unidades'!$A:$B,2,0)</f>
        <v>Medicina</v>
      </c>
    </row>
    <row r="2437" spans="1:3">
      <c r="A2437">
        <v>42</v>
      </c>
      <c r="B2437">
        <v>3</v>
      </c>
      <c r="C2437" t="str">
        <f>VLOOKUP(A2437,'Programas y Unidades'!$A:$B,2,0)</f>
        <v>Medicina</v>
      </c>
    </row>
    <row r="2438" spans="1:3">
      <c r="A2438">
        <v>42</v>
      </c>
      <c r="B2438">
        <v>3</v>
      </c>
      <c r="C2438" t="str">
        <f>VLOOKUP(A2438,'Programas y Unidades'!$A:$B,2,0)</f>
        <v>Medicina</v>
      </c>
    </row>
    <row r="2439" spans="1:3">
      <c r="A2439">
        <v>42</v>
      </c>
      <c r="B2439">
        <v>3</v>
      </c>
      <c r="C2439" t="str">
        <f>VLOOKUP(A2439,'Programas y Unidades'!$A:$B,2,0)</f>
        <v>Medicina</v>
      </c>
    </row>
    <row r="2440" spans="1:3">
      <c r="A2440">
        <v>42</v>
      </c>
      <c r="B2440">
        <v>3</v>
      </c>
      <c r="C2440" t="str">
        <f>VLOOKUP(A2440,'Programas y Unidades'!$A:$B,2,0)</f>
        <v>Medicina</v>
      </c>
    </row>
    <row r="2441" spans="1:3">
      <c r="A2441">
        <v>42</v>
      </c>
      <c r="B2441">
        <v>3</v>
      </c>
      <c r="C2441" t="str">
        <f>VLOOKUP(A2441,'Programas y Unidades'!$A:$B,2,0)</f>
        <v>Medicina</v>
      </c>
    </row>
    <row r="2442" spans="1:3">
      <c r="A2442">
        <v>42</v>
      </c>
      <c r="B2442">
        <v>3</v>
      </c>
      <c r="C2442" t="str">
        <f>VLOOKUP(A2442,'Programas y Unidades'!$A:$B,2,0)</f>
        <v>Medicina</v>
      </c>
    </row>
    <row r="2443" spans="1:3">
      <c r="A2443">
        <v>42</v>
      </c>
      <c r="B2443">
        <v>3</v>
      </c>
      <c r="C2443" t="str">
        <f>VLOOKUP(A2443,'Programas y Unidades'!$A:$B,2,0)</f>
        <v>Medicina</v>
      </c>
    </row>
    <row r="2444" spans="1:3">
      <c r="A2444">
        <v>42</v>
      </c>
      <c r="B2444">
        <v>3</v>
      </c>
      <c r="C2444" t="str">
        <f>VLOOKUP(A2444,'Programas y Unidades'!$A:$B,2,0)</f>
        <v>Medicina</v>
      </c>
    </row>
    <row r="2445" spans="1:3">
      <c r="A2445">
        <v>42</v>
      </c>
      <c r="B2445">
        <v>3</v>
      </c>
      <c r="C2445" t="str">
        <f>VLOOKUP(A2445,'Programas y Unidades'!$A:$B,2,0)</f>
        <v>Medicina</v>
      </c>
    </row>
    <row r="2446" spans="1:3">
      <c r="A2446">
        <v>42</v>
      </c>
      <c r="B2446">
        <v>3</v>
      </c>
      <c r="C2446" t="str">
        <f>VLOOKUP(A2446,'Programas y Unidades'!$A:$B,2,0)</f>
        <v>Medicina</v>
      </c>
    </row>
    <row r="2447" spans="1:3">
      <c r="A2447">
        <v>42</v>
      </c>
      <c r="B2447">
        <v>9</v>
      </c>
      <c r="C2447" t="str">
        <f>VLOOKUP(A2447,'Programas y Unidades'!$A:$B,2,0)</f>
        <v>Medicina</v>
      </c>
    </row>
    <row r="2448" spans="1:3">
      <c r="A2448">
        <v>42</v>
      </c>
      <c r="B2448">
        <v>2</v>
      </c>
      <c r="C2448" t="str">
        <f>VLOOKUP(A2448,'Programas y Unidades'!$A:$B,2,0)</f>
        <v>Medicina</v>
      </c>
    </row>
    <row r="2449" spans="1:3">
      <c r="A2449">
        <v>42</v>
      </c>
      <c r="B2449">
        <v>3</v>
      </c>
      <c r="C2449" t="str">
        <f>VLOOKUP(A2449,'Programas y Unidades'!$A:$B,2,0)</f>
        <v>Medicina</v>
      </c>
    </row>
    <row r="2450" spans="1:3">
      <c r="A2450">
        <v>42</v>
      </c>
      <c r="B2450">
        <v>3</v>
      </c>
      <c r="C2450" t="str">
        <f>VLOOKUP(A2450,'Programas y Unidades'!$A:$B,2,0)</f>
        <v>Medicina</v>
      </c>
    </row>
    <row r="2451" spans="1:3">
      <c r="A2451">
        <v>42</v>
      </c>
      <c r="B2451">
        <v>3</v>
      </c>
      <c r="C2451" t="str">
        <f>VLOOKUP(A2451,'Programas y Unidades'!$A:$B,2,0)</f>
        <v>Medicina</v>
      </c>
    </row>
    <row r="2452" spans="1:3">
      <c r="A2452">
        <v>42</v>
      </c>
      <c r="B2452">
        <v>3</v>
      </c>
      <c r="C2452" t="str">
        <f>VLOOKUP(A2452,'Programas y Unidades'!$A:$B,2,0)</f>
        <v>Medicina</v>
      </c>
    </row>
    <row r="2453" spans="1:3">
      <c r="A2453">
        <v>42</v>
      </c>
      <c r="B2453">
        <v>3</v>
      </c>
      <c r="C2453" t="str">
        <f>VLOOKUP(A2453,'Programas y Unidades'!$A:$B,2,0)</f>
        <v>Medicina</v>
      </c>
    </row>
    <row r="2454" spans="1:3">
      <c r="A2454">
        <v>42</v>
      </c>
      <c r="B2454">
        <v>3</v>
      </c>
      <c r="C2454" t="str">
        <f>VLOOKUP(A2454,'Programas y Unidades'!$A:$B,2,0)</f>
        <v>Medicina</v>
      </c>
    </row>
    <row r="2455" spans="1:3">
      <c r="A2455">
        <v>42</v>
      </c>
      <c r="B2455">
        <v>3</v>
      </c>
      <c r="C2455" t="str">
        <f>VLOOKUP(A2455,'Programas y Unidades'!$A:$B,2,0)</f>
        <v>Medicina</v>
      </c>
    </row>
    <row r="2456" spans="1:3">
      <c r="A2456">
        <v>42</v>
      </c>
      <c r="B2456">
        <v>3</v>
      </c>
      <c r="C2456" t="str">
        <f>VLOOKUP(A2456,'Programas y Unidades'!$A:$B,2,0)</f>
        <v>Medicina</v>
      </c>
    </row>
    <row r="2457" spans="1:3">
      <c r="A2457">
        <v>42</v>
      </c>
      <c r="B2457">
        <v>3</v>
      </c>
      <c r="C2457" t="str">
        <f>VLOOKUP(A2457,'Programas y Unidades'!$A:$B,2,0)</f>
        <v>Medicina</v>
      </c>
    </row>
    <row r="2458" spans="1:3">
      <c r="A2458">
        <v>42</v>
      </c>
      <c r="B2458">
        <v>3</v>
      </c>
      <c r="C2458" t="str">
        <f>VLOOKUP(A2458,'Programas y Unidades'!$A:$B,2,0)</f>
        <v>Medicina</v>
      </c>
    </row>
    <row r="2459" spans="1:3">
      <c r="A2459">
        <v>42</v>
      </c>
      <c r="B2459">
        <v>3</v>
      </c>
      <c r="C2459" t="str">
        <f>VLOOKUP(A2459,'Programas y Unidades'!$A:$B,2,0)</f>
        <v>Medicina</v>
      </c>
    </row>
    <row r="2460" spans="1:3">
      <c r="A2460">
        <v>42</v>
      </c>
      <c r="B2460">
        <v>3</v>
      </c>
      <c r="C2460" t="str">
        <f>VLOOKUP(A2460,'Programas y Unidades'!$A:$B,2,0)</f>
        <v>Medicina</v>
      </c>
    </row>
    <row r="2461" spans="1:3">
      <c r="A2461">
        <v>42</v>
      </c>
      <c r="B2461">
        <v>3</v>
      </c>
      <c r="C2461" t="str">
        <f>VLOOKUP(A2461,'Programas y Unidades'!$A:$B,2,0)</f>
        <v>Medicina</v>
      </c>
    </row>
    <row r="2462" spans="1:3">
      <c r="A2462">
        <v>42</v>
      </c>
      <c r="B2462">
        <v>9</v>
      </c>
      <c r="C2462" t="str">
        <f>VLOOKUP(A2462,'Programas y Unidades'!$A:$B,2,0)</f>
        <v>Medicina</v>
      </c>
    </row>
    <row r="2463" spans="1:3">
      <c r="A2463">
        <v>42</v>
      </c>
      <c r="B2463">
        <v>3</v>
      </c>
      <c r="C2463" t="str">
        <f>VLOOKUP(A2463,'Programas y Unidades'!$A:$B,2,0)</f>
        <v>Medicina</v>
      </c>
    </row>
    <row r="2464" spans="1:3">
      <c r="A2464">
        <v>42</v>
      </c>
      <c r="B2464">
        <v>3</v>
      </c>
      <c r="C2464" t="str">
        <f>VLOOKUP(A2464,'Programas y Unidades'!$A:$B,2,0)</f>
        <v>Medicina</v>
      </c>
    </row>
    <row r="2465" spans="1:3">
      <c r="A2465">
        <v>42</v>
      </c>
      <c r="B2465">
        <v>9</v>
      </c>
      <c r="C2465" t="str">
        <f>VLOOKUP(A2465,'Programas y Unidades'!$A:$B,2,0)</f>
        <v>Medicina</v>
      </c>
    </row>
    <row r="2466" spans="1:3">
      <c r="A2466">
        <v>42</v>
      </c>
      <c r="B2466">
        <v>9</v>
      </c>
      <c r="C2466" t="str">
        <f>VLOOKUP(A2466,'Programas y Unidades'!$A:$B,2,0)</f>
        <v>Medicina</v>
      </c>
    </row>
    <row r="2467" spans="1:3">
      <c r="A2467">
        <v>42</v>
      </c>
      <c r="B2467">
        <v>3</v>
      </c>
      <c r="C2467" t="str">
        <f>VLOOKUP(A2467,'Programas y Unidades'!$A:$B,2,0)</f>
        <v>Medicina</v>
      </c>
    </row>
    <row r="2468" spans="1:3">
      <c r="A2468">
        <v>42</v>
      </c>
      <c r="B2468">
        <v>3</v>
      </c>
      <c r="C2468" t="str">
        <f>VLOOKUP(A2468,'Programas y Unidades'!$A:$B,2,0)</f>
        <v>Medicina</v>
      </c>
    </row>
    <row r="2469" spans="1:3">
      <c r="A2469">
        <v>42</v>
      </c>
      <c r="B2469">
        <v>9</v>
      </c>
      <c r="C2469" t="str">
        <f>VLOOKUP(A2469,'Programas y Unidades'!$A:$B,2,0)</f>
        <v>Medicina</v>
      </c>
    </row>
    <row r="2470" spans="1:3">
      <c r="A2470">
        <v>42</v>
      </c>
      <c r="B2470">
        <v>3</v>
      </c>
      <c r="C2470" t="str">
        <f>VLOOKUP(A2470,'Programas y Unidades'!$A:$B,2,0)</f>
        <v>Medicina</v>
      </c>
    </row>
    <row r="2471" spans="1:3">
      <c r="A2471">
        <v>42</v>
      </c>
      <c r="B2471">
        <v>3</v>
      </c>
      <c r="C2471" t="str">
        <f>VLOOKUP(A2471,'Programas y Unidades'!$A:$B,2,0)</f>
        <v>Medicina</v>
      </c>
    </row>
    <row r="2472" spans="1:3">
      <c r="A2472">
        <v>42</v>
      </c>
      <c r="B2472">
        <v>3</v>
      </c>
      <c r="C2472" t="str">
        <f>VLOOKUP(A2472,'Programas y Unidades'!$A:$B,2,0)</f>
        <v>Medicina</v>
      </c>
    </row>
    <row r="2473" spans="1:3">
      <c r="A2473">
        <v>42</v>
      </c>
      <c r="B2473">
        <v>3</v>
      </c>
      <c r="C2473" t="str">
        <f>VLOOKUP(A2473,'Programas y Unidades'!$A:$B,2,0)</f>
        <v>Medicina</v>
      </c>
    </row>
    <row r="2474" spans="1:3">
      <c r="A2474">
        <v>42</v>
      </c>
      <c r="B2474">
        <v>3</v>
      </c>
      <c r="C2474" t="str">
        <f>VLOOKUP(A2474,'Programas y Unidades'!$A:$B,2,0)</f>
        <v>Medicina</v>
      </c>
    </row>
    <row r="2475" spans="1:3">
      <c r="A2475">
        <v>42</v>
      </c>
      <c r="B2475">
        <v>4</v>
      </c>
      <c r="C2475" t="str">
        <f>VLOOKUP(A2475,'Programas y Unidades'!$A:$B,2,0)</f>
        <v>Medicina</v>
      </c>
    </row>
    <row r="2476" spans="1:3">
      <c r="A2476">
        <v>42</v>
      </c>
      <c r="B2476">
        <v>3</v>
      </c>
      <c r="C2476" t="str">
        <f>VLOOKUP(A2476,'Programas y Unidades'!$A:$B,2,0)</f>
        <v>Medicina</v>
      </c>
    </row>
    <row r="2477" spans="1:3">
      <c r="A2477">
        <v>42</v>
      </c>
      <c r="B2477">
        <v>3</v>
      </c>
      <c r="C2477" t="str">
        <f>VLOOKUP(A2477,'Programas y Unidades'!$A:$B,2,0)</f>
        <v>Medicina</v>
      </c>
    </row>
    <row r="2478" spans="1:3">
      <c r="A2478">
        <v>42</v>
      </c>
      <c r="B2478">
        <v>3</v>
      </c>
      <c r="C2478" t="str">
        <f>VLOOKUP(A2478,'Programas y Unidades'!$A:$B,2,0)</f>
        <v>Medicina</v>
      </c>
    </row>
    <row r="2479" spans="1:3">
      <c r="A2479">
        <v>42</v>
      </c>
      <c r="B2479">
        <v>3</v>
      </c>
      <c r="C2479" t="str">
        <f>VLOOKUP(A2479,'Programas y Unidades'!$A:$B,2,0)</f>
        <v>Medicina</v>
      </c>
    </row>
    <row r="2480" spans="1:3">
      <c r="A2480">
        <v>42</v>
      </c>
      <c r="B2480">
        <v>4</v>
      </c>
      <c r="C2480" t="str">
        <f>VLOOKUP(A2480,'Programas y Unidades'!$A:$B,2,0)</f>
        <v>Medicina</v>
      </c>
    </row>
    <row r="2481" spans="1:3">
      <c r="A2481">
        <v>42</v>
      </c>
      <c r="B2481">
        <v>3</v>
      </c>
      <c r="C2481" t="str">
        <f>VLOOKUP(A2481,'Programas y Unidades'!$A:$B,2,0)</f>
        <v>Medicina</v>
      </c>
    </row>
    <row r="2482" spans="1:3">
      <c r="A2482">
        <v>42</v>
      </c>
      <c r="B2482">
        <v>3</v>
      </c>
      <c r="C2482" t="str">
        <f>VLOOKUP(A2482,'Programas y Unidades'!$A:$B,2,0)</f>
        <v>Medicina</v>
      </c>
    </row>
    <row r="2483" spans="1:3">
      <c r="A2483">
        <v>42</v>
      </c>
      <c r="B2483">
        <v>3</v>
      </c>
      <c r="C2483" t="str">
        <f>VLOOKUP(A2483,'Programas y Unidades'!$A:$B,2,0)</f>
        <v>Medicina</v>
      </c>
    </row>
    <row r="2484" spans="1:3">
      <c r="A2484">
        <v>42</v>
      </c>
      <c r="B2484">
        <v>3</v>
      </c>
      <c r="C2484" t="str">
        <f>VLOOKUP(A2484,'Programas y Unidades'!$A:$B,2,0)</f>
        <v>Medicina</v>
      </c>
    </row>
    <row r="2485" spans="1:3">
      <c r="A2485">
        <v>42</v>
      </c>
      <c r="B2485">
        <v>3</v>
      </c>
      <c r="C2485" t="str">
        <f>VLOOKUP(A2485,'Programas y Unidades'!$A:$B,2,0)</f>
        <v>Medicina</v>
      </c>
    </row>
    <row r="2486" spans="1:3">
      <c r="A2486">
        <v>42</v>
      </c>
      <c r="B2486">
        <v>9</v>
      </c>
      <c r="C2486" t="str">
        <f>VLOOKUP(A2486,'Programas y Unidades'!$A:$B,2,0)</f>
        <v>Medicina</v>
      </c>
    </row>
    <row r="2487" spans="1:3">
      <c r="A2487">
        <v>42</v>
      </c>
      <c r="B2487">
        <v>9</v>
      </c>
      <c r="C2487" t="str">
        <f>VLOOKUP(A2487,'Programas y Unidades'!$A:$B,2,0)</f>
        <v>Medicina</v>
      </c>
    </row>
    <row r="2488" spans="1:3">
      <c r="A2488">
        <v>42</v>
      </c>
      <c r="B2488">
        <v>9</v>
      </c>
      <c r="C2488" t="str">
        <f>VLOOKUP(A2488,'Programas y Unidades'!$A:$B,2,0)</f>
        <v>Medicina</v>
      </c>
    </row>
    <row r="2489" spans="1:3">
      <c r="A2489">
        <v>42</v>
      </c>
      <c r="B2489">
        <v>9</v>
      </c>
      <c r="C2489" t="str">
        <f>VLOOKUP(A2489,'Programas y Unidades'!$A:$B,2,0)</f>
        <v>Medicina</v>
      </c>
    </row>
    <row r="2490" spans="1:3">
      <c r="A2490">
        <v>42</v>
      </c>
      <c r="B2490">
        <v>3</v>
      </c>
      <c r="C2490" t="str">
        <f>VLOOKUP(A2490,'Programas y Unidades'!$A:$B,2,0)</f>
        <v>Medicina</v>
      </c>
    </row>
    <row r="2491" spans="1:3">
      <c r="A2491">
        <v>42</v>
      </c>
      <c r="B2491">
        <v>9</v>
      </c>
      <c r="C2491" t="str">
        <f>VLOOKUP(A2491,'Programas y Unidades'!$A:$B,2,0)</f>
        <v>Medicina</v>
      </c>
    </row>
    <row r="2492" spans="1:3">
      <c r="A2492">
        <v>42</v>
      </c>
      <c r="B2492">
        <v>9</v>
      </c>
      <c r="C2492" t="str">
        <f>VLOOKUP(A2492,'Programas y Unidades'!$A:$B,2,0)</f>
        <v>Medicina</v>
      </c>
    </row>
    <row r="2493" spans="1:3">
      <c r="A2493">
        <v>42</v>
      </c>
      <c r="B2493">
        <v>3</v>
      </c>
      <c r="C2493" t="str">
        <f>VLOOKUP(A2493,'Programas y Unidades'!$A:$B,2,0)</f>
        <v>Medicina</v>
      </c>
    </row>
    <row r="2494" spans="1:3">
      <c r="A2494">
        <v>42</v>
      </c>
      <c r="B2494">
        <v>3</v>
      </c>
      <c r="C2494" t="str">
        <f>VLOOKUP(A2494,'Programas y Unidades'!$A:$B,2,0)</f>
        <v>Medicina</v>
      </c>
    </row>
    <row r="2495" spans="1:3">
      <c r="A2495">
        <v>42</v>
      </c>
      <c r="B2495">
        <v>9</v>
      </c>
      <c r="C2495" t="str">
        <f>VLOOKUP(A2495,'Programas y Unidades'!$A:$B,2,0)</f>
        <v>Medicina</v>
      </c>
    </row>
    <row r="2496" spans="1:3">
      <c r="A2496">
        <v>42</v>
      </c>
      <c r="B2496">
        <v>9</v>
      </c>
      <c r="C2496" t="str">
        <f>VLOOKUP(A2496,'Programas y Unidades'!$A:$B,2,0)</f>
        <v>Medicina</v>
      </c>
    </row>
    <row r="2497" spans="1:3">
      <c r="A2497">
        <v>42</v>
      </c>
      <c r="B2497">
        <v>9</v>
      </c>
      <c r="C2497" t="str">
        <f>VLOOKUP(A2497,'Programas y Unidades'!$A:$B,2,0)</f>
        <v>Medicina</v>
      </c>
    </row>
    <row r="2498" spans="1:3">
      <c r="A2498">
        <v>42</v>
      </c>
      <c r="B2498">
        <v>4</v>
      </c>
      <c r="C2498" t="str">
        <f>VLOOKUP(A2498,'Programas y Unidades'!$A:$B,2,0)</f>
        <v>Medicina</v>
      </c>
    </row>
    <row r="2499" spans="1:3">
      <c r="A2499">
        <v>42</v>
      </c>
      <c r="B2499">
        <v>9</v>
      </c>
      <c r="C2499" t="str">
        <f>VLOOKUP(A2499,'Programas y Unidades'!$A:$B,2,0)</f>
        <v>Medicina</v>
      </c>
    </row>
    <row r="2500" spans="1:3">
      <c r="A2500">
        <v>42</v>
      </c>
      <c r="B2500">
        <v>9</v>
      </c>
      <c r="C2500" t="str">
        <f>VLOOKUP(A2500,'Programas y Unidades'!$A:$B,2,0)</f>
        <v>Medicina</v>
      </c>
    </row>
    <row r="2501" spans="1:3">
      <c r="A2501">
        <v>42</v>
      </c>
      <c r="B2501">
        <v>4</v>
      </c>
      <c r="C2501" t="str">
        <f>VLOOKUP(A2501,'Programas y Unidades'!$A:$B,2,0)</f>
        <v>Medicina</v>
      </c>
    </row>
    <row r="2502" spans="1:3">
      <c r="A2502">
        <v>42</v>
      </c>
      <c r="B2502">
        <v>9</v>
      </c>
      <c r="C2502" t="str">
        <f>VLOOKUP(A2502,'Programas y Unidades'!$A:$B,2,0)</f>
        <v>Medicina</v>
      </c>
    </row>
    <row r="2503" spans="1:3">
      <c r="A2503">
        <v>42</v>
      </c>
      <c r="B2503">
        <v>3</v>
      </c>
      <c r="C2503" t="str">
        <f>VLOOKUP(A2503,'Programas y Unidades'!$A:$B,2,0)</f>
        <v>Medicina</v>
      </c>
    </row>
    <row r="2504" spans="1:3">
      <c r="A2504">
        <v>42</v>
      </c>
      <c r="B2504">
        <v>9</v>
      </c>
      <c r="C2504" t="str">
        <f>VLOOKUP(A2504,'Programas y Unidades'!$A:$B,2,0)</f>
        <v>Medicina</v>
      </c>
    </row>
    <row r="2505" spans="1:3">
      <c r="A2505">
        <v>42</v>
      </c>
      <c r="B2505">
        <v>9</v>
      </c>
      <c r="C2505" t="str">
        <f>VLOOKUP(A2505,'Programas y Unidades'!$A:$B,2,0)</f>
        <v>Medicina</v>
      </c>
    </row>
    <row r="2506" spans="1:3">
      <c r="A2506">
        <v>42</v>
      </c>
      <c r="B2506">
        <v>9</v>
      </c>
      <c r="C2506" t="str">
        <f>VLOOKUP(A2506,'Programas y Unidades'!$A:$B,2,0)</f>
        <v>Medicina</v>
      </c>
    </row>
    <row r="2507" spans="1:3">
      <c r="A2507">
        <v>42</v>
      </c>
      <c r="B2507">
        <v>3</v>
      </c>
      <c r="C2507" t="str">
        <f>VLOOKUP(A2507,'Programas y Unidades'!$A:$B,2,0)</f>
        <v>Medicina</v>
      </c>
    </row>
    <row r="2508" spans="1:3">
      <c r="A2508">
        <v>42</v>
      </c>
      <c r="B2508">
        <v>9</v>
      </c>
      <c r="C2508" t="str">
        <f>VLOOKUP(A2508,'Programas y Unidades'!$A:$B,2,0)</f>
        <v>Medicina</v>
      </c>
    </row>
    <row r="2509" spans="1:3">
      <c r="A2509">
        <v>42</v>
      </c>
      <c r="B2509">
        <v>3</v>
      </c>
      <c r="C2509" t="str">
        <f>VLOOKUP(A2509,'Programas y Unidades'!$A:$B,2,0)</f>
        <v>Medicina</v>
      </c>
    </row>
    <row r="2510" spans="1:3">
      <c r="A2510">
        <v>42</v>
      </c>
      <c r="B2510">
        <v>9</v>
      </c>
      <c r="C2510" t="str">
        <f>VLOOKUP(A2510,'Programas y Unidades'!$A:$B,2,0)</f>
        <v>Medicina</v>
      </c>
    </row>
    <row r="2511" spans="1:3">
      <c r="A2511">
        <v>42</v>
      </c>
      <c r="B2511">
        <v>9</v>
      </c>
      <c r="C2511" t="str">
        <f>VLOOKUP(A2511,'Programas y Unidades'!$A:$B,2,0)</f>
        <v>Medicina</v>
      </c>
    </row>
    <row r="2512" spans="1:3">
      <c r="A2512">
        <v>42</v>
      </c>
      <c r="B2512">
        <v>9</v>
      </c>
      <c r="C2512" t="str">
        <f>VLOOKUP(A2512,'Programas y Unidades'!$A:$B,2,0)</f>
        <v>Medicina</v>
      </c>
    </row>
    <row r="2513" spans="1:3">
      <c r="A2513">
        <v>42</v>
      </c>
      <c r="B2513">
        <v>3</v>
      </c>
      <c r="C2513" t="str">
        <f>VLOOKUP(A2513,'Programas y Unidades'!$A:$B,2,0)</f>
        <v>Medicina</v>
      </c>
    </row>
    <row r="2514" spans="1:3">
      <c r="A2514">
        <v>42</v>
      </c>
      <c r="B2514">
        <v>4</v>
      </c>
      <c r="C2514" t="str">
        <f>VLOOKUP(A2514,'Programas y Unidades'!$A:$B,2,0)</f>
        <v>Medicina</v>
      </c>
    </row>
    <row r="2515" spans="1:3">
      <c r="A2515">
        <v>42</v>
      </c>
      <c r="B2515">
        <v>9</v>
      </c>
      <c r="C2515" t="str">
        <f>VLOOKUP(A2515,'Programas y Unidades'!$A:$B,2,0)</f>
        <v>Medicina</v>
      </c>
    </row>
    <row r="2516" spans="1:3">
      <c r="A2516">
        <v>42</v>
      </c>
      <c r="B2516">
        <v>3</v>
      </c>
      <c r="C2516" t="str">
        <f>VLOOKUP(A2516,'Programas y Unidades'!$A:$B,2,0)</f>
        <v>Medicina</v>
      </c>
    </row>
    <row r="2517" spans="1:3">
      <c r="A2517">
        <v>42</v>
      </c>
      <c r="B2517">
        <v>3</v>
      </c>
      <c r="C2517" t="str">
        <f>VLOOKUP(A2517,'Programas y Unidades'!$A:$B,2,0)</f>
        <v>Medicina</v>
      </c>
    </row>
    <row r="2518" spans="1:3">
      <c r="A2518">
        <v>42</v>
      </c>
      <c r="B2518">
        <v>9</v>
      </c>
      <c r="C2518" t="str">
        <f>VLOOKUP(A2518,'Programas y Unidades'!$A:$B,2,0)</f>
        <v>Medicina</v>
      </c>
    </row>
    <row r="2519" spans="1:3">
      <c r="A2519">
        <v>42</v>
      </c>
      <c r="B2519">
        <v>4</v>
      </c>
      <c r="C2519" t="str">
        <f>VLOOKUP(A2519,'Programas y Unidades'!$A:$B,2,0)</f>
        <v>Medicina</v>
      </c>
    </row>
    <row r="2520" spans="1:3">
      <c r="A2520">
        <v>42</v>
      </c>
      <c r="B2520">
        <v>4</v>
      </c>
      <c r="C2520" t="str">
        <f>VLOOKUP(A2520,'Programas y Unidades'!$A:$B,2,0)</f>
        <v>Medicina</v>
      </c>
    </row>
    <row r="2521" spans="1:3">
      <c r="A2521">
        <v>42</v>
      </c>
      <c r="B2521">
        <v>4</v>
      </c>
      <c r="C2521" t="str">
        <f>VLOOKUP(A2521,'Programas y Unidades'!$A:$B,2,0)</f>
        <v>Medicina</v>
      </c>
    </row>
    <row r="2522" spans="1:3">
      <c r="A2522">
        <v>42</v>
      </c>
      <c r="B2522">
        <v>4</v>
      </c>
      <c r="C2522" t="str">
        <f>VLOOKUP(A2522,'Programas y Unidades'!$A:$B,2,0)</f>
        <v>Medicina</v>
      </c>
    </row>
    <row r="2523" spans="1:3">
      <c r="A2523">
        <v>42</v>
      </c>
      <c r="B2523">
        <v>3</v>
      </c>
      <c r="C2523" t="str">
        <f>VLOOKUP(A2523,'Programas y Unidades'!$A:$B,2,0)</f>
        <v>Medicina</v>
      </c>
    </row>
    <row r="2524" spans="1:3">
      <c r="A2524">
        <v>42</v>
      </c>
      <c r="B2524">
        <v>9</v>
      </c>
      <c r="C2524" t="str">
        <f>VLOOKUP(A2524,'Programas y Unidades'!$A:$B,2,0)</f>
        <v>Medicina</v>
      </c>
    </row>
    <row r="2525" spans="1:3">
      <c r="A2525">
        <v>42</v>
      </c>
      <c r="B2525">
        <v>4</v>
      </c>
      <c r="C2525" t="str">
        <f>VLOOKUP(A2525,'Programas y Unidades'!$A:$B,2,0)</f>
        <v>Medicina</v>
      </c>
    </row>
    <row r="2526" spans="1:3">
      <c r="A2526">
        <v>42</v>
      </c>
      <c r="B2526">
        <v>4</v>
      </c>
      <c r="C2526" t="str">
        <f>VLOOKUP(A2526,'Programas y Unidades'!$A:$B,2,0)</f>
        <v>Medicina</v>
      </c>
    </row>
    <row r="2527" spans="1:3">
      <c r="A2527">
        <v>42</v>
      </c>
      <c r="B2527">
        <v>4</v>
      </c>
      <c r="C2527" t="str">
        <f>VLOOKUP(A2527,'Programas y Unidades'!$A:$B,2,0)</f>
        <v>Medicina</v>
      </c>
    </row>
    <row r="2528" spans="1:3">
      <c r="A2528">
        <v>42</v>
      </c>
      <c r="B2528">
        <v>3</v>
      </c>
      <c r="C2528" t="str">
        <f>VLOOKUP(A2528,'Programas y Unidades'!$A:$B,2,0)</f>
        <v>Medicina</v>
      </c>
    </row>
    <row r="2529" spans="1:3">
      <c r="A2529">
        <v>42</v>
      </c>
      <c r="B2529">
        <v>3</v>
      </c>
      <c r="C2529" t="str">
        <f>VLOOKUP(A2529,'Programas y Unidades'!$A:$B,2,0)</f>
        <v>Medicina</v>
      </c>
    </row>
    <row r="2530" spans="1:3">
      <c r="A2530">
        <v>42</v>
      </c>
      <c r="B2530">
        <v>4</v>
      </c>
      <c r="C2530" t="str">
        <f>VLOOKUP(A2530,'Programas y Unidades'!$A:$B,2,0)</f>
        <v>Medicina</v>
      </c>
    </row>
    <row r="2531" spans="1:3">
      <c r="A2531">
        <v>42</v>
      </c>
      <c r="B2531">
        <v>4</v>
      </c>
      <c r="C2531" t="str">
        <f>VLOOKUP(A2531,'Programas y Unidades'!$A:$B,2,0)</f>
        <v>Medicina</v>
      </c>
    </row>
    <row r="2532" spans="1:3">
      <c r="A2532">
        <v>42</v>
      </c>
      <c r="B2532">
        <v>9</v>
      </c>
      <c r="C2532" t="str">
        <f>VLOOKUP(A2532,'Programas y Unidades'!$A:$B,2,0)</f>
        <v>Medicina</v>
      </c>
    </row>
    <row r="2533" spans="1:3">
      <c r="A2533">
        <v>42</v>
      </c>
      <c r="B2533">
        <v>4</v>
      </c>
      <c r="C2533" t="str">
        <f>VLOOKUP(A2533,'Programas y Unidades'!$A:$B,2,0)</f>
        <v>Medicina</v>
      </c>
    </row>
    <row r="2534" spans="1:3">
      <c r="A2534">
        <v>42</v>
      </c>
      <c r="B2534">
        <v>4</v>
      </c>
      <c r="C2534" t="str">
        <f>VLOOKUP(A2534,'Programas y Unidades'!$A:$B,2,0)</f>
        <v>Medicina</v>
      </c>
    </row>
    <row r="2535" spans="1:3">
      <c r="A2535">
        <v>42</v>
      </c>
      <c r="B2535">
        <v>4</v>
      </c>
      <c r="C2535" t="str">
        <f>VLOOKUP(A2535,'Programas y Unidades'!$A:$B,2,0)</f>
        <v>Medicina</v>
      </c>
    </row>
    <row r="2536" spans="1:3">
      <c r="A2536">
        <v>42</v>
      </c>
      <c r="B2536">
        <v>3</v>
      </c>
      <c r="C2536" t="str">
        <f>VLOOKUP(A2536,'Programas y Unidades'!$A:$B,2,0)</f>
        <v>Medicina</v>
      </c>
    </row>
    <row r="2537" spans="1:3">
      <c r="A2537">
        <v>42</v>
      </c>
      <c r="B2537">
        <v>9</v>
      </c>
      <c r="C2537" t="str">
        <f>VLOOKUP(A2537,'Programas y Unidades'!$A:$B,2,0)</f>
        <v>Medicina</v>
      </c>
    </row>
    <row r="2538" spans="1:3">
      <c r="A2538">
        <v>42</v>
      </c>
      <c r="B2538">
        <v>4</v>
      </c>
      <c r="C2538" t="str">
        <f>VLOOKUP(A2538,'Programas y Unidades'!$A:$B,2,0)</f>
        <v>Medicina</v>
      </c>
    </row>
    <row r="2539" spans="1:3">
      <c r="A2539">
        <v>42</v>
      </c>
      <c r="B2539">
        <v>4</v>
      </c>
      <c r="C2539" t="str">
        <f>VLOOKUP(A2539,'Programas y Unidades'!$A:$B,2,0)</f>
        <v>Medicina</v>
      </c>
    </row>
    <row r="2540" spans="1:3">
      <c r="A2540">
        <v>42</v>
      </c>
      <c r="B2540">
        <v>4</v>
      </c>
      <c r="C2540" t="str">
        <f>VLOOKUP(A2540,'Programas y Unidades'!$A:$B,2,0)</f>
        <v>Medicina</v>
      </c>
    </row>
    <row r="2541" spans="1:3">
      <c r="A2541">
        <v>42</v>
      </c>
      <c r="B2541">
        <v>9</v>
      </c>
      <c r="C2541" t="str">
        <f>VLOOKUP(A2541,'Programas y Unidades'!$A:$B,2,0)</f>
        <v>Medicina</v>
      </c>
    </row>
    <row r="2542" spans="1:3">
      <c r="A2542">
        <v>42</v>
      </c>
      <c r="B2542">
        <v>9</v>
      </c>
      <c r="C2542" t="str">
        <f>VLOOKUP(A2542,'Programas y Unidades'!$A:$B,2,0)</f>
        <v>Medicina</v>
      </c>
    </row>
    <row r="2543" spans="1:3">
      <c r="A2543">
        <v>42</v>
      </c>
      <c r="B2543">
        <v>9</v>
      </c>
      <c r="C2543" t="str">
        <f>VLOOKUP(A2543,'Programas y Unidades'!$A:$B,2,0)</f>
        <v>Medicina</v>
      </c>
    </row>
    <row r="2544" spans="1:3">
      <c r="A2544">
        <v>42</v>
      </c>
      <c r="B2544">
        <v>4</v>
      </c>
      <c r="C2544" t="str">
        <f>VLOOKUP(A2544,'Programas y Unidades'!$A:$B,2,0)</f>
        <v>Medicina</v>
      </c>
    </row>
    <row r="2545" spans="1:3">
      <c r="A2545">
        <v>42</v>
      </c>
      <c r="B2545">
        <v>9</v>
      </c>
      <c r="C2545" t="str">
        <f>VLOOKUP(A2545,'Programas y Unidades'!$A:$B,2,0)</f>
        <v>Medicina</v>
      </c>
    </row>
    <row r="2546" spans="1:3">
      <c r="A2546">
        <v>42</v>
      </c>
      <c r="B2546">
        <v>9</v>
      </c>
      <c r="C2546" t="str">
        <f>VLOOKUP(A2546,'Programas y Unidades'!$A:$B,2,0)</f>
        <v>Medicina</v>
      </c>
    </row>
    <row r="2547" spans="1:3">
      <c r="A2547">
        <v>42</v>
      </c>
      <c r="B2547">
        <v>4</v>
      </c>
      <c r="C2547" t="str">
        <f>VLOOKUP(A2547,'Programas y Unidades'!$A:$B,2,0)</f>
        <v>Medicina</v>
      </c>
    </row>
    <row r="2548" spans="1:3">
      <c r="A2548">
        <v>42</v>
      </c>
      <c r="B2548">
        <v>9</v>
      </c>
      <c r="C2548" t="str">
        <f>VLOOKUP(A2548,'Programas y Unidades'!$A:$B,2,0)</f>
        <v>Medicina</v>
      </c>
    </row>
    <row r="2549" spans="1:3">
      <c r="A2549">
        <v>42</v>
      </c>
      <c r="B2549">
        <v>4</v>
      </c>
      <c r="C2549" t="str">
        <f>VLOOKUP(A2549,'Programas y Unidades'!$A:$B,2,0)</f>
        <v>Medicina</v>
      </c>
    </row>
    <row r="2550" spans="1:3">
      <c r="A2550">
        <v>42</v>
      </c>
      <c r="B2550">
        <v>4</v>
      </c>
      <c r="C2550" t="str">
        <f>VLOOKUP(A2550,'Programas y Unidades'!$A:$B,2,0)</f>
        <v>Medicina</v>
      </c>
    </row>
    <row r="2551" spans="1:3">
      <c r="A2551">
        <v>42</v>
      </c>
      <c r="B2551">
        <v>4</v>
      </c>
      <c r="C2551" t="str">
        <f>VLOOKUP(A2551,'Programas y Unidades'!$A:$B,2,0)</f>
        <v>Medicina</v>
      </c>
    </row>
    <row r="2552" spans="1:3">
      <c r="A2552">
        <v>42</v>
      </c>
      <c r="B2552">
        <v>4</v>
      </c>
      <c r="C2552" t="str">
        <f>VLOOKUP(A2552,'Programas y Unidades'!$A:$B,2,0)</f>
        <v>Medicina</v>
      </c>
    </row>
    <row r="2553" spans="1:3">
      <c r="A2553">
        <v>42</v>
      </c>
      <c r="B2553">
        <v>4</v>
      </c>
      <c r="C2553" t="str">
        <f>VLOOKUP(A2553,'Programas y Unidades'!$A:$B,2,0)</f>
        <v>Medicina</v>
      </c>
    </row>
    <row r="2554" spans="1:3">
      <c r="A2554">
        <v>42</v>
      </c>
      <c r="B2554">
        <v>9</v>
      </c>
      <c r="C2554" t="str">
        <f>VLOOKUP(A2554,'Programas y Unidades'!$A:$B,2,0)</f>
        <v>Medicina</v>
      </c>
    </row>
    <row r="2555" spans="1:3">
      <c r="A2555">
        <v>42</v>
      </c>
      <c r="B2555">
        <v>4</v>
      </c>
      <c r="C2555" t="str">
        <f>VLOOKUP(A2555,'Programas y Unidades'!$A:$B,2,0)</f>
        <v>Medicina</v>
      </c>
    </row>
    <row r="2556" spans="1:3">
      <c r="A2556">
        <v>42</v>
      </c>
      <c r="B2556">
        <v>3</v>
      </c>
      <c r="C2556" t="str">
        <f>VLOOKUP(A2556,'Programas y Unidades'!$A:$B,2,0)</f>
        <v>Medicina</v>
      </c>
    </row>
    <row r="2557" spans="1:3">
      <c r="A2557">
        <v>42</v>
      </c>
      <c r="B2557">
        <v>4</v>
      </c>
      <c r="C2557" t="str">
        <f>VLOOKUP(A2557,'Programas y Unidades'!$A:$B,2,0)</f>
        <v>Medicina</v>
      </c>
    </row>
    <row r="2558" spans="1:3">
      <c r="A2558">
        <v>42</v>
      </c>
      <c r="B2558">
        <v>9</v>
      </c>
      <c r="C2558" t="str">
        <f>VLOOKUP(A2558,'Programas y Unidades'!$A:$B,2,0)</f>
        <v>Medicina</v>
      </c>
    </row>
    <row r="2559" spans="1:3">
      <c r="A2559">
        <v>42</v>
      </c>
      <c r="B2559">
        <v>4</v>
      </c>
      <c r="C2559" t="str">
        <f>VLOOKUP(A2559,'Programas y Unidades'!$A:$B,2,0)</f>
        <v>Medicina</v>
      </c>
    </row>
    <row r="2560" spans="1:3">
      <c r="A2560">
        <v>42</v>
      </c>
      <c r="B2560">
        <v>9</v>
      </c>
      <c r="C2560" t="str">
        <f>VLOOKUP(A2560,'Programas y Unidades'!$A:$B,2,0)</f>
        <v>Medicina</v>
      </c>
    </row>
    <row r="2561" spans="1:3">
      <c r="A2561">
        <v>42</v>
      </c>
      <c r="B2561">
        <v>4</v>
      </c>
      <c r="C2561" t="str">
        <f>VLOOKUP(A2561,'Programas y Unidades'!$A:$B,2,0)</f>
        <v>Medicina</v>
      </c>
    </row>
    <row r="2562" spans="1:3">
      <c r="A2562">
        <v>42</v>
      </c>
      <c r="B2562">
        <v>9</v>
      </c>
      <c r="C2562" t="str">
        <f>VLOOKUP(A2562,'Programas y Unidades'!$A:$B,2,0)</f>
        <v>Medicina</v>
      </c>
    </row>
    <row r="2563" spans="1:3">
      <c r="A2563">
        <v>42</v>
      </c>
      <c r="B2563">
        <v>9</v>
      </c>
      <c r="C2563" t="str">
        <f>VLOOKUP(A2563,'Programas y Unidades'!$A:$B,2,0)</f>
        <v>Medicina</v>
      </c>
    </row>
    <row r="2564" spans="1:3">
      <c r="A2564">
        <v>42</v>
      </c>
      <c r="B2564">
        <v>3</v>
      </c>
      <c r="C2564" t="str">
        <f>VLOOKUP(A2564,'Programas y Unidades'!$A:$B,2,0)</f>
        <v>Medicina</v>
      </c>
    </row>
    <row r="2565" spans="1:3">
      <c r="A2565">
        <v>42</v>
      </c>
      <c r="B2565">
        <v>3</v>
      </c>
      <c r="C2565" t="str">
        <f>VLOOKUP(A2565,'Programas y Unidades'!$A:$B,2,0)</f>
        <v>Medicina</v>
      </c>
    </row>
    <row r="2566" spans="1:3">
      <c r="A2566">
        <v>42</v>
      </c>
      <c r="B2566">
        <v>4</v>
      </c>
      <c r="C2566" t="str">
        <f>VLOOKUP(A2566,'Programas y Unidades'!$A:$B,2,0)</f>
        <v>Medicina</v>
      </c>
    </row>
    <row r="2567" spans="1:3">
      <c r="A2567">
        <v>42</v>
      </c>
      <c r="B2567">
        <v>4</v>
      </c>
      <c r="C2567" t="str">
        <f>VLOOKUP(A2567,'Programas y Unidades'!$A:$B,2,0)</f>
        <v>Medicina</v>
      </c>
    </row>
    <row r="2568" spans="1:3">
      <c r="A2568">
        <v>42</v>
      </c>
      <c r="B2568">
        <v>9</v>
      </c>
      <c r="C2568" t="str">
        <f>VLOOKUP(A2568,'Programas y Unidades'!$A:$B,2,0)</f>
        <v>Medicina</v>
      </c>
    </row>
    <row r="2569" spans="1:3">
      <c r="A2569">
        <v>42</v>
      </c>
      <c r="B2569">
        <v>4</v>
      </c>
      <c r="C2569" t="str">
        <f>VLOOKUP(A2569,'Programas y Unidades'!$A:$B,2,0)</f>
        <v>Medicina</v>
      </c>
    </row>
    <row r="2570" spans="1:3">
      <c r="A2570">
        <v>42</v>
      </c>
      <c r="B2570">
        <v>4</v>
      </c>
      <c r="C2570" t="str">
        <f>VLOOKUP(A2570,'Programas y Unidades'!$A:$B,2,0)</f>
        <v>Medicina</v>
      </c>
    </row>
    <row r="2571" spans="1:3">
      <c r="A2571">
        <v>42</v>
      </c>
      <c r="B2571">
        <v>9</v>
      </c>
      <c r="C2571" t="str">
        <f>VLOOKUP(A2571,'Programas y Unidades'!$A:$B,2,0)</f>
        <v>Medicina</v>
      </c>
    </row>
    <row r="2572" spans="1:3">
      <c r="A2572">
        <v>42</v>
      </c>
      <c r="B2572">
        <v>4</v>
      </c>
      <c r="C2572" t="str">
        <f>VLOOKUP(A2572,'Programas y Unidades'!$A:$B,2,0)</f>
        <v>Medicina</v>
      </c>
    </row>
    <row r="2573" spans="1:3">
      <c r="A2573">
        <v>42</v>
      </c>
      <c r="B2573">
        <v>3</v>
      </c>
      <c r="C2573" t="str">
        <f>VLOOKUP(A2573,'Programas y Unidades'!$A:$B,2,0)</f>
        <v>Medicina</v>
      </c>
    </row>
    <row r="2574" spans="1:3">
      <c r="A2574">
        <v>42</v>
      </c>
      <c r="B2574">
        <v>9</v>
      </c>
      <c r="C2574" t="str">
        <f>VLOOKUP(A2574,'Programas y Unidades'!$A:$B,2,0)</f>
        <v>Medicina</v>
      </c>
    </row>
    <row r="2575" spans="1:3">
      <c r="A2575">
        <v>42</v>
      </c>
      <c r="B2575">
        <v>4</v>
      </c>
      <c r="C2575" t="str">
        <f>VLOOKUP(A2575,'Programas y Unidades'!$A:$B,2,0)</f>
        <v>Medicina</v>
      </c>
    </row>
    <row r="2576" spans="1:3">
      <c r="A2576">
        <v>42</v>
      </c>
      <c r="B2576">
        <v>4</v>
      </c>
      <c r="C2576" t="str">
        <f>VLOOKUP(A2576,'Programas y Unidades'!$A:$B,2,0)</f>
        <v>Medicina</v>
      </c>
    </row>
    <row r="2577" spans="1:3">
      <c r="A2577">
        <v>42</v>
      </c>
      <c r="B2577">
        <v>4</v>
      </c>
      <c r="C2577" t="str">
        <f>VLOOKUP(A2577,'Programas y Unidades'!$A:$B,2,0)</f>
        <v>Medicina</v>
      </c>
    </row>
    <row r="2578" spans="1:3">
      <c r="A2578">
        <v>42</v>
      </c>
      <c r="B2578">
        <v>3</v>
      </c>
      <c r="C2578" t="str">
        <f>VLOOKUP(A2578,'Programas y Unidades'!$A:$B,2,0)</f>
        <v>Medicina</v>
      </c>
    </row>
    <row r="2579" spans="1:3">
      <c r="A2579">
        <v>42</v>
      </c>
      <c r="B2579">
        <v>4</v>
      </c>
      <c r="C2579" t="str">
        <f>VLOOKUP(A2579,'Programas y Unidades'!$A:$B,2,0)</f>
        <v>Medicina</v>
      </c>
    </row>
    <row r="2580" spans="1:3">
      <c r="A2580">
        <v>42</v>
      </c>
      <c r="B2580">
        <v>4</v>
      </c>
      <c r="C2580" t="str">
        <f>VLOOKUP(A2580,'Programas y Unidades'!$A:$B,2,0)</f>
        <v>Medicina</v>
      </c>
    </row>
    <row r="2581" spans="1:3">
      <c r="A2581">
        <v>42</v>
      </c>
      <c r="B2581">
        <v>9</v>
      </c>
      <c r="C2581" t="str">
        <f>VLOOKUP(A2581,'Programas y Unidades'!$A:$B,2,0)</f>
        <v>Medicina</v>
      </c>
    </row>
    <row r="2582" spans="1:3">
      <c r="A2582">
        <v>42</v>
      </c>
      <c r="B2582">
        <v>9</v>
      </c>
      <c r="C2582" t="str">
        <f>VLOOKUP(A2582,'Programas y Unidades'!$A:$B,2,0)</f>
        <v>Medicina</v>
      </c>
    </row>
    <row r="2583" spans="1:3">
      <c r="A2583">
        <v>42</v>
      </c>
      <c r="B2583">
        <v>4</v>
      </c>
      <c r="C2583" t="str">
        <f>VLOOKUP(A2583,'Programas y Unidades'!$A:$B,2,0)</f>
        <v>Medicina</v>
      </c>
    </row>
    <row r="2584" spans="1:3">
      <c r="A2584">
        <v>42</v>
      </c>
      <c r="B2584">
        <v>3</v>
      </c>
      <c r="C2584" t="str">
        <f>VLOOKUP(A2584,'Programas y Unidades'!$A:$B,2,0)</f>
        <v>Medicina</v>
      </c>
    </row>
    <row r="2585" spans="1:3">
      <c r="A2585">
        <v>42</v>
      </c>
      <c r="B2585">
        <v>9</v>
      </c>
      <c r="C2585" t="str">
        <f>VLOOKUP(A2585,'Programas y Unidades'!$A:$B,2,0)</f>
        <v>Medicina</v>
      </c>
    </row>
    <row r="2586" spans="1:3">
      <c r="A2586">
        <v>42</v>
      </c>
      <c r="B2586">
        <v>9</v>
      </c>
      <c r="C2586" t="str">
        <f>VLOOKUP(A2586,'Programas y Unidades'!$A:$B,2,0)</f>
        <v>Medicina</v>
      </c>
    </row>
    <row r="2587" spans="1:3">
      <c r="A2587">
        <v>42</v>
      </c>
      <c r="B2587">
        <v>4</v>
      </c>
      <c r="C2587" t="str">
        <f>VLOOKUP(A2587,'Programas y Unidades'!$A:$B,2,0)</f>
        <v>Medicina</v>
      </c>
    </row>
    <row r="2588" spans="1:3">
      <c r="A2588">
        <v>42</v>
      </c>
      <c r="B2588">
        <v>4</v>
      </c>
      <c r="C2588" t="str">
        <f>VLOOKUP(A2588,'Programas y Unidades'!$A:$B,2,0)</f>
        <v>Medicina</v>
      </c>
    </row>
    <row r="2589" spans="1:3">
      <c r="A2589">
        <v>42</v>
      </c>
      <c r="B2589">
        <v>9</v>
      </c>
      <c r="C2589" t="str">
        <f>VLOOKUP(A2589,'Programas y Unidades'!$A:$B,2,0)</f>
        <v>Medicina</v>
      </c>
    </row>
    <row r="2590" spans="1:3">
      <c r="A2590">
        <v>42</v>
      </c>
      <c r="B2590">
        <v>4</v>
      </c>
      <c r="C2590" t="str">
        <f>VLOOKUP(A2590,'Programas y Unidades'!$A:$B,2,0)</f>
        <v>Medicina</v>
      </c>
    </row>
    <row r="2591" spans="1:3">
      <c r="A2591">
        <v>42</v>
      </c>
      <c r="B2591">
        <v>4</v>
      </c>
      <c r="C2591" t="str">
        <f>VLOOKUP(A2591,'Programas y Unidades'!$A:$B,2,0)</f>
        <v>Medicina</v>
      </c>
    </row>
    <row r="2592" spans="1:3">
      <c r="A2592">
        <v>42</v>
      </c>
      <c r="B2592">
        <v>9</v>
      </c>
      <c r="C2592" t="str">
        <f>VLOOKUP(A2592,'Programas y Unidades'!$A:$B,2,0)</f>
        <v>Medicina</v>
      </c>
    </row>
    <row r="2593" spans="1:3">
      <c r="A2593">
        <v>42</v>
      </c>
      <c r="B2593">
        <v>4</v>
      </c>
      <c r="C2593" t="str">
        <f>VLOOKUP(A2593,'Programas y Unidades'!$A:$B,2,0)</f>
        <v>Medicina</v>
      </c>
    </row>
    <row r="2594" spans="1:3">
      <c r="A2594">
        <v>42</v>
      </c>
      <c r="B2594">
        <v>3</v>
      </c>
      <c r="C2594" t="str">
        <f>VLOOKUP(A2594,'Programas y Unidades'!$A:$B,2,0)</f>
        <v>Medicina</v>
      </c>
    </row>
    <row r="2595" spans="1:3">
      <c r="A2595">
        <v>42</v>
      </c>
      <c r="B2595">
        <v>4</v>
      </c>
      <c r="C2595" t="str">
        <f>VLOOKUP(A2595,'Programas y Unidades'!$A:$B,2,0)</f>
        <v>Medicina</v>
      </c>
    </row>
    <row r="2596" spans="1:3">
      <c r="A2596">
        <v>42</v>
      </c>
      <c r="B2596">
        <v>3</v>
      </c>
      <c r="C2596" t="str">
        <f>VLOOKUP(A2596,'Programas y Unidades'!$A:$B,2,0)</f>
        <v>Medicina</v>
      </c>
    </row>
    <row r="2597" spans="1:3">
      <c r="A2597">
        <v>42</v>
      </c>
      <c r="B2597">
        <v>9</v>
      </c>
      <c r="C2597" t="str">
        <f>VLOOKUP(A2597,'Programas y Unidades'!$A:$B,2,0)</f>
        <v>Medicina</v>
      </c>
    </row>
    <row r="2598" spans="1:3">
      <c r="A2598">
        <v>42</v>
      </c>
      <c r="B2598">
        <v>4</v>
      </c>
      <c r="C2598" t="str">
        <f>VLOOKUP(A2598,'Programas y Unidades'!$A:$B,2,0)</f>
        <v>Medicina</v>
      </c>
    </row>
    <row r="2599" spans="1:3">
      <c r="A2599">
        <v>42</v>
      </c>
      <c r="B2599">
        <v>4</v>
      </c>
      <c r="C2599" t="str">
        <f>VLOOKUP(A2599,'Programas y Unidades'!$A:$B,2,0)</f>
        <v>Medicina</v>
      </c>
    </row>
    <row r="2600" spans="1:3">
      <c r="A2600">
        <v>42</v>
      </c>
      <c r="B2600">
        <v>4</v>
      </c>
      <c r="C2600" t="str">
        <f>VLOOKUP(A2600,'Programas y Unidades'!$A:$B,2,0)</f>
        <v>Medicina</v>
      </c>
    </row>
    <row r="2601" spans="1:3">
      <c r="A2601">
        <v>42</v>
      </c>
      <c r="B2601">
        <v>9</v>
      </c>
      <c r="C2601" t="str">
        <f>VLOOKUP(A2601,'Programas y Unidades'!$A:$B,2,0)</f>
        <v>Medicina</v>
      </c>
    </row>
    <row r="2602" spans="1:3">
      <c r="A2602">
        <v>42</v>
      </c>
      <c r="B2602">
        <v>4</v>
      </c>
      <c r="C2602" t="str">
        <f>VLOOKUP(A2602,'Programas y Unidades'!$A:$B,2,0)</f>
        <v>Medicina</v>
      </c>
    </row>
    <row r="2603" spans="1:3">
      <c r="A2603">
        <v>42</v>
      </c>
      <c r="B2603">
        <v>4</v>
      </c>
      <c r="C2603" t="str">
        <f>VLOOKUP(A2603,'Programas y Unidades'!$A:$B,2,0)</f>
        <v>Medicina</v>
      </c>
    </row>
    <row r="2604" spans="1:3">
      <c r="A2604">
        <v>42</v>
      </c>
      <c r="B2604">
        <v>9</v>
      </c>
      <c r="C2604" t="str">
        <f>VLOOKUP(A2604,'Programas y Unidades'!$A:$B,2,0)</f>
        <v>Medicina</v>
      </c>
    </row>
    <row r="2605" spans="1:3">
      <c r="A2605">
        <v>42</v>
      </c>
      <c r="B2605">
        <v>3</v>
      </c>
      <c r="C2605" t="str">
        <f>VLOOKUP(A2605,'Programas y Unidades'!$A:$B,2,0)</f>
        <v>Medicina</v>
      </c>
    </row>
    <row r="2606" spans="1:3">
      <c r="A2606">
        <v>42</v>
      </c>
      <c r="B2606">
        <v>4</v>
      </c>
      <c r="C2606" t="str">
        <f>VLOOKUP(A2606,'Programas y Unidades'!$A:$B,2,0)</f>
        <v>Medicina</v>
      </c>
    </row>
    <row r="2607" spans="1:3">
      <c r="A2607">
        <v>41</v>
      </c>
      <c r="B2607">
        <v>6</v>
      </c>
      <c r="C2607" t="str">
        <f>VLOOKUP(A2607,'Programas y Unidades'!$A:$B,2,0)</f>
        <v>Ingeniería Química</v>
      </c>
    </row>
    <row r="2608" spans="1:3">
      <c r="A2608">
        <v>42</v>
      </c>
      <c r="B2608">
        <v>4</v>
      </c>
      <c r="C2608" t="str">
        <f>VLOOKUP(A2608,'Programas y Unidades'!$A:$B,2,0)</f>
        <v>Medicina</v>
      </c>
    </row>
    <row r="2609" spans="1:3">
      <c r="A2609">
        <v>42</v>
      </c>
      <c r="B2609">
        <v>3</v>
      </c>
      <c r="C2609" t="str">
        <f>VLOOKUP(A2609,'Programas y Unidades'!$A:$B,2,0)</f>
        <v>Medicina</v>
      </c>
    </row>
    <row r="2610" spans="1:3">
      <c r="A2610">
        <v>42</v>
      </c>
      <c r="B2610">
        <v>4</v>
      </c>
      <c r="C2610" t="str">
        <f>VLOOKUP(A2610,'Programas y Unidades'!$A:$B,2,0)</f>
        <v>Medicina</v>
      </c>
    </row>
    <row r="2611" spans="1:3">
      <c r="A2611">
        <v>42</v>
      </c>
      <c r="B2611">
        <v>9</v>
      </c>
      <c r="C2611" t="str">
        <f>VLOOKUP(A2611,'Programas y Unidades'!$A:$B,2,0)</f>
        <v>Medicina</v>
      </c>
    </row>
    <row r="2612" spans="1:3">
      <c r="A2612">
        <v>42</v>
      </c>
      <c r="B2612">
        <v>4</v>
      </c>
      <c r="C2612" t="str">
        <f>VLOOKUP(A2612,'Programas y Unidades'!$A:$B,2,0)</f>
        <v>Medicina</v>
      </c>
    </row>
    <row r="2613" spans="1:3">
      <c r="A2613">
        <v>42</v>
      </c>
      <c r="B2613">
        <v>4</v>
      </c>
      <c r="C2613" t="str">
        <f>VLOOKUP(A2613,'Programas y Unidades'!$A:$B,2,0)</f>
        <v>Medicina</v>
      </c>
    </row>
    <row r="2614" spans="1:3">
      <c r="A2614">
        <v>42</v>
      </c>
      <c r="B2614">
        <v>3</v>
      </c>
      <c r="C2614" t="str">
        <f>VLOOKUP(A2614,'Programas y Unidades'!$A:$B,2,0)</f>
        <v>Medicina</v>
      </c>
    </row>
    <row r="2615" spans="1:3">
      <c r="A2615">
        <v>42</v>
      </c>
      <c r="B2615">
        <v>4</v>
      </c>
      <c r="C2615" t="str">
        <f>VLOOKUP(A2615,'Programas y Unidades'!$A:$B,2,0)</f>
        <v>Medicina</v>
      </c>
    </row>
    <row r="2616" spans="1:3">
      <c r="A2616">
        <v>42</v>
      </c>
      <c r="B2616">
        <v>9</v>
      </c>
      <c r="C2616" t="str">
        <f>VLOOKUP(A2616,'Programas y Unidades'!$A:$B,2,0)</f>
        <v>Medicina</v>
      </c>
    </row>
    <row r="2617" spans="1:3">
      <c r="A2617">
        <v>42</v>
      </c>
      <c r="B2617">
        <v>3</v>
      </c>
      <c r="C2617" t="str">
        <f>VLOOKUP(A2617,'Programas y Unidades'!$A:$B,2,0)</f>
        <v>Medicina</v>
      </c>
    </row>
    <row r="2618" spans="1:3">
      <c r="A2618">
        <v>42</v>
      </c>
      <c r="B2618">
        <v>4</v>
      </c>
      <c r="C2618" t="str">
        <f>VLOOKUP(A2618,'Programas y Unidades'!$A:$B,2,0)</f>
        <v>Medicina</v>
      </c>
    </row>
    <row r="2619" spans="1:3">
      <c r="A2619">
        <v>42</v>
      </c>
      <c r="B2619">
        <v>4</v>
      </c>
      <c r="C2619" t="str">
        <f>VLOOKUP(A2619,'Programas y Unidades'!$A:$B,2,0)</f>
        <v>Medicina</v>
      </c>
    </row>
    <row r="2620" spans="1:3">
      <c r="A2620">
        <v>42</v>
      </c>
      <c r="B2620">
        <v>4</v>
      </c>
      <c r="C2620" t="str">
        <f>VLOOKUP(A2620,'Programas y Unidades'!$A:$B,2,0)</f>
        <v>Medicina</v>
      </c>
    </row>
    <row r="2621" spans="1:3">
      <c r="A2621">
        <v>42</v>
      </c>
      <c r="B2621">
        <v>3</v>
      </c>
      <c r="C2621" t="str">
        <f>VLOOKUP(A2621,'Programas y Unidades'!$A:$B,2,0)</f>
        <v>Medicina</v>
      </c>
    </row>
    <row r="2622" spans="1:3">
      <c r="A2622">
        <v>42</v>
      </c>
      <c r="B2622">
        <v>2</v>
      </c>
      <c r="C2622" t="str">
        <f>VLOOKUP(A2622,'Programas y Unidades'!$A:$B,2,0)</f>
        <v>Medicina</v>
      </c>
    </row>
    <row r="2623" spans="1:3">
      <c r="A2623">
        <v>42</v>
      </c>
      <c r="B2623">
        <v>2</v>
      </c>
      <c r="C2623" t="str">
        <f>VLOOKUP(A2623,'Programas y Unidades'!$A:$B,2,0)</f>
        <v>Medicina</v>
      </c>
    </row>
    <row r="2624" spans="1:3">
      <c r="A2624">
        <v>42</v>
      </c>
      <c r="B2624">
        <v>2</v>
      </c>
      <c r="C2624" t="str">
        <f>VLOOKUP(A2624,'Programas y Unidades'!$A:$B,2,0)</f>
        <v>Medicina</v>
      </c>
    </row>
    <row r="2625" spans="1:3">
      <c r="A2625">
        <v>42</v>
      </c>
      <c r="B2625">
        <v>2</v>
      </c>
      <c r="C2625" t="str">
        <f>VLOOKUP(A2625,'Programas y Unidades'!$A:$B,2,0)</f>
        <v>Medicina</v>
      </c>
    </row>
    <row r="2626" spans="1:3">
      <c r="A2626">
        <v>42</v>
      </c>
      <c r="B2626">
        <v>2</v>
      </c>
      <c r="C2626" t="str">
        <f>VLOOKUP(A2626,'Programas y Unidades'!$A:$B,2,0)</f>
        <v>Medicina</v>
      </c>
    </row>
    <row r="2627" spans="1:3">
      <c r="A2627">
        <v>42</v>
      </c>
      <c r="B2627">
        <v>2</v>
      </c>
      <c r="C2627" t="str">
        <f>VLOOKUP(A2627,'Programas y Unidades'!$A:$B,2,0)</f>
        <v>Medicina</v>
      </c>
    </row>
    <row r="2628" spans="1:3">
      <c r="A2628">
        <v>42</v>
      </c>
      <c r="B2628">
        <v>2</v>
      </c>
      <c r="C2628" t="str">
        <f>VLOOKUP(A2628,'Programas y Unidades'!$A:$B,2,0)</f>
        <v>Medicina</v>
      </c>
    </row>
    <row r="2629" spans="1:3">
      <c r="A2629">
        <v>42</v>
      </c>
      <c r="B2629">
        <v>2</v>
      </c>
      <c r="C2629" t="str">
        <f>VLOOKUP(A2629,'Programas y Unidades'!$A:$B,2,0)</f>
        <v>Medicina</v>
      </c>
    </row>
    <row r="2630" spans="1:3">
      <c r="A2630">
        <v>42</v>
      </c>
      <c r="B2630">
        <v>2</v>
      </c>
      <c r="C2630" t="str">
        <f>VLOOKUP(A2630,'Programas y Unidades'!$A:$B,2,0)</f>
        <v>Medicina</v>
      </c>
    </row>
    <row r="2631" spans="1:3">
      <c r="A2631">
        <v>42</v>
      </c>
      <c r="B2631">
        <v>2</v>
      </c>
      <c r="C2631" t="str">
        <f>VLOOKUP(A2631,'Programas y Unidades'!$A:$B,2,0)</f>
        <v>Medicina</v>
      </c>
    </row>
    <row r="2632" spans="1:3">
      <c r="A2632">
        <v>42</v>
      </c>
      <c r="B2632">
        <v>2</v>
      </c>
      <c r="C2632" t="str">
        <f>VLOOKUP(A2632,'Programas y Unidades'!$A:$B,2,0)</f>
        <v>Medicina</v>
      </c>
    </row>
    <row r="2633" spans="1:3">
      <c r="A2633">
        <v>42</v>
      </c>
      <c r="B2633">
        <v>2</v>
      </c>
      <c r="C2633" t="str">
        <f>VLOOKUP(A2633,'Programas y Unidades'!$A:$B,2,0)</f>
        <v>Medicina</v>
      </c>
    </row>
    <row r="2634" spans="1:3">
      <c r="A2634">
        <v>42</v>
      </c>
      <c r="B2634">
        <v>2</v>
      </c>
      <c r="C2634" t="str">
        <f>VLOOKUP(A2634,'Programas y Unidades'!$A:$B,2,0)</f>
        <v>Medicina</v>
      </c>
    </row>
    <row r="2635" spans="1:3">
      <c r="A2635">
        <v>42</v>
      </c>
      <c r="B2635">
        <v>2</v>
      </c>
      <c r="C2635" t="str">
        <f>VLOOKUP(A2635,'Programas y Unidades'!$A:$B,2,0)</f>
        <v>Medicina</v>
      </c>
    </row>
    <row r="2636" spans="1:3">
      <c r="A2636">
        <v>42</v>
      </c>
      <c r="B2636">
        <v>2</v>
      </c>
      <c r="C2636" t="str">
        <f>VLOOKUP(A2636,'Programas y Unidades'!$A:$B,2,0)</f>
        <v>Medicina</v>
      </c>
    </row>
    <row r="2637" spans="1:3">
      <c r="A2637">
        <v>42</v>
      </c>
      <c r="B2637">
        <v>2</v>
      </c>
      <c r="C2637" t="str">
        <f>VLOOKUP(A2637,'Programas y Unidades'!$A:$B,2,0)</f>
        <v>Medicina</v>
      </c>
    </row>
    <row r="2638" spans="1:3">
      <c r="A2638">
        <v>42</v>
      </c>
      <c r="B2638">
        <v>2</v>
      </c>
      <c r="C2638" t="str">
        <f>VLOOKUP(A2638,'Programas y Unidades'!$A:$B,2,0)</f>
        <v>Medicina</v>
      </c>
    </row>
    <row r="2639" spans="1:3">
      <c r="A2639">
        <v>42</v>
      </c>
      <c r="B2639">
        <v>2</v>
      </c>
      <c r="C2639" t="str">
        <f>VLOOKUP(A2639,'Programas y Unidades'!$A:$B,2,0)</f>
        <v>Medicina</v>
      </c>
    </row>
    <row r="2640" spans="1:3">
      <c r="A2640">
        <v>42</v>
      </c>
      <c r="B2640">
        <v>2</v>
      </c>
      <c r="C2640" t="str">
        <f>VLOOKUP(A2640,'Programas y Unidades'!$A:$B,2,0)</f>
        <v>Medicina</v>
      </c>
    </row>
    <row r="2641" spans="1:3">
      <c r="A2641">
        <v>42</v>
      </c>
      <c r="B2641">
        <v>2</v>
      </c>
      <c r="C2641" t="str">
        <f>VLOOKUP(A2641,'Programas y Unidades'!$A:$B,2,0)</f>
        <v>Medicina</v>
      </c>
    </row>
    <row r="2642" spans="1:3">
      <c r="A2642">
        <v>42</v>
      </c>
      <c r="B2642">
        <v>2</v>
      </c>
      <c r="C2642" t="str">
        <f>VLOOKUP(A2642,'Programas y Unidades'!$A:$B,2,0)</f>
        <v>Medicina</v>
      </c>
    </row>
    <row r="2643" spans="1:3">
      <c r="A2643">
        <v>42</v>
      </c>
      <c r="B2643">
        <v>2</v>
      </c>
      <c r="C2643" t="str">
        <f>VLOOKUP(A2643,'Programas y Unidades'!$A:$B,2,0)</f>
        <v>Medicina</v>
      </c>
    </row>
    <row r="2644" spans="1:3">
      <c r="A2644">
        <v>42</v>
      </c>
      <c r="B2644">
        <v>2</v>
      </c>
      <c r="C2644" t="str">
        <f>VLOOKUP(A2644,'Programas y Unidades'!$A:$B,2,0)</f>
        <v>Medicina</v>
      </c>
    </row>
    <row r="2645" spans="1:3">
      <c r="A2645">
        <v>42</v>
      </c>
      <c r="B2645">
        <v>2</v>
      </c>
      <c r="C2645" t="str">
        <f>VLOOKUP(A2645,'Programas y Unidades'!$A:$B,2,0)</f>
        <v>Medicina</v>
      </c>
    </row>
    <row r="2646" spans="1:3">
      <c r="A2646">
        <v>42</v>
      </c>
      <c r="B2646">
        <v>2</v>
      </c>
      <c r="C2646" t="str">
        <f>VLOOKUP(A2646,'Programas y Unidades'!$A:$B,2,0)</f>
        <v>Medicina</v>
      </c>
    </row>
    <row r="2647" spans="1:3">
      <c r="A2647">
        <v>42</v>
      </c>
      <c r="B2647">
        <v>2</v>
      </c>
      <c r="C2647" t="str">
        <f>VLOOKUP(A2647,'Programas y Unidades'!$A:$B,2,0)</f>
        <v>Medicina</v>
      </c>
    </row>
    <row r="2648" spans="1:3">
      <c r="A2648">
        <v>42</v>
      </c>
      <c r="B2648">
        <v>2</v>
      </c>
      <c r="C2648" t="str">
        <f>VLOOKUP(A2648,'Programas y Unidades'!$A:$B,2,0)</f>
        <v>Medicina</v>
      </c>
    </row>
    <row r="2649" spans="1:3">
      <c r="A2649">
        <v>42</v>
      </c>
      <c r="B2649">
        <v>2</v>
      </c>
      <c r="C2649" t="str">
        <f>VLOOKUP(A2649,'Programas y Unidades'!$A:$B,2,0)</f>
        <v>Medicina</v>
      </c>
    </row>
    <row r="2650" spans="1:3">
      <c r="A2650">
        <v>42</v>
      </c>
      <c r="B2650">
        <v>2</v>
      </c>
      <c r="C2650" t="str">
        <f>VLOOKUP(A2650,'Programas y Unidades'!$A:$B,2,0)</f>
        <v>Medicina</v>
      </c>
    </row>
    <row r="2651" spans="1:3">
      <c r="A2651">
        <v>42</v>
      </c>
      <c r="B2651">
        <v>2</v>
      </c>
      <c r="C2651" t="str">
        <f>VLOOKUP(A2651,'Programas y Unidades'!$A:$B,2,0)</f>
        <v>Medicina</v>
      </c>
    </row>
    <row r="2652" spans="1:3">
      <c r="A2652">
        <v>42</v>
      </c>
      <c r="B2652">
        <v>2</v>
      </c>
      <c r="C2652" t="str">
        <f>VLOOKUP(A2652,'Programas y Unidades'!$A:$B,2,0)</f>
        <v>Medicina</v>
      </c>
    </row>
    <row r="2653" spans="1:3">
      <c r="A2653">
        <v>42</v>
      </c>
      <c r="B2653">
        <v>2</v>
      </c>
      <c r="C2653" t="str">
        <f>VLOOKUP(A2653,'Programas y Unidades'!$A:$B,2,0)</f>
        <v>Medicina</v>
      </c>
    </row>
    <row r="2654" spans="1:3">
      <c r="A2654">
        <v>42</v>
      </c>
      <c r="B2654">
        <v>2</v>
      </c>
      <c r="C2654" t="str">
        <f>VLOOKUP(A2654,'Programas y Unidades'!$A:$B,2,0)</f>
        <v>Medicina</v>
      </c>
    </row>
    <row r="2655" spans="1:3">
      <c r="A2655">
        <v>42</v>
      </c>
      <c r="B2655">
        <v>2</v>
      </c>
      <c r="C2655" t="str">
        <f>VLOOKUP(A2655,'Programas y Unidades'!$A:$B,2,0)</f>
        <v>Medicina</v>
      </c>
    </row>
    <row r="2656" spans="1:3">
      <c r="A2656">
        <v>42</v>
      </c>
      <c r="B2656">
        <v>2</v>
      </c>
      <c r="C2656" t="str">
        <f>VLOOKUP(A2656,'Programas y Unidades'!$A:$B,2,0)</f>
        <v>Medicina</v>
      </c>
    </row>
    <row r="2657" spans="1:3">
      <c r="A2657">
        <v>42</v>
      </c>
      <c r="B2657">
        <v>2</v>
      </c>
      <c r="C2657" t="str">
        <f>VLOOKUP(A2657,'Programas y Unidades'!$A:$B,2,0)</f>
        <v>Medicina</v>
      </c>
    </row>
    <row r="2658" spans="1:3">
      <c r="A2658">
        <v>42</v>
      </c>
      <c r="B2658">
        <v>2</v>
      </c>
      <c r="C2658" t="str">
        <f>VLOOKUP(A2658,'Programas y Unidades'!$A:$B,2,0)</f>
        <v>Medicina</v>
      </c>
    </row>
    <row r="2659" spans="1:3">
      <c r="A2659">
        <v>42</v>
      </c>
      <c r="B2659">
        <v>2</v>
      </c>
      <c r="C2659" t="str">
        <f>VLOOKUP(A2659,'Programas y Unidades'!$A:$B,2,0)</f>
        <v>Medicina</v>
      </c>
    </row>
    <row r="2660" spans="1:3">
      <c r="A2660">
        <v>42</v>
      </c>
      <c r="B2660">
        <v>2</v>
      </c>
      <c r="C2660" t="str">
        <f>VLOOKUP(A2660,'Programas y Unidades'!$A:$B,2,0)</f>
        <v>Medicina</v>
      </c>
    </row>
    <row r="2661" spans="1:3">
      <c r="A2661">
        <v>42</v>
      </c>
      <c r="B2661">
        <v>2</v>
      </c>
      <c r="C2661" t="str">
        <f>VLOOKUP(A2661,'Programas y Unidades'!$A:$B,2,0)</f>
        <v>Medicina</v>
      </c>
    </row>
    <row r="2662" spans="1:3">
      <c r="A2662">
        <v>42</v>
      </c>
      <c r="B2662">
        <v>2</v>
      </c>
      <c r="C2662" t="str">
        <f>VLOOKUP(A2662,'Programas y Unidades'!$A:$B,2,0)</f>
        <v>Medicina</v>
      </c>
    </row>
    <row r="2663" spans="1:3">
      <c r="A2663">
        <v>42</v>
      </c>
      <c r="B2663">
        <v>2</v>
      </c>
      <c r="C2663" t="str">
        <f>VLOOKUP(A2663,'Programas y Unidades'!$A:$B,2,0)</f>
        <v>Medicina</v>
      </c>
    </row>
    <row r="2664" spans="1:3">
      <c r="A2664">
        <v>42</v>
      </c>
      <c r="B2664">
        <v>2</v>
      </c>
      <c r="C2664" t="str">
        <f>VLOOKUP(A2664,'Programas y Unidades'!$A:$B,2,0)</f>
        <v>Medicina</v>
      </c>
    </row>
    <row r="2665" spans="1:3">
      <c r="A2665">
        <v>42</v>
      </c>
      <c r="B2665">
        <v>2</v>
      </c>
      <c r="C2665" t="str">
        <f>VLOOKUP(A2665,'Programas y Unidades'!$A:$B,2,0)</f>
        <v>Medicina</v>
      </c>
    </row>
    <row r="2666" spans="1:3">
      <c r="A2666">
        <v>42</v>
      </c>
      <c r="B2666">
        <v>2</v>
      </c>
      <c r="C2666" t="str">
        <f>VLOOKUP(A2666,'Programas y Unidades'!$A:$B,2,0)</f>
        <v>Medicina</v>
      </c>
    </row>
    <row r="2667" spans="1:3">
      <c r="A2667">
        <v>42</v>
      </c>
      <c r="B2667">
        <v>2</v>
      </c>
      <c r="C2667" t="str">
        <f>VLOOKUP(A2667,'Programas y Unidades'!$A:$B,2,0)</f>
        <v>Medicina</v>
      </c>
    </row>
    <row r="2668" spans="1:3">
      <c r="A2668">
        <v>42</v>
      </c>
      <c r="B2668">
        <v>2</v>
      </c>
      <c r="C2668" t="str">
        <f>VLOOKUP(A2668,'Programas y Unidades'!$A:$B,2,0)</f>
        <v>Medicina</v>
      </c>
    </row>
    <row r="2669" spans="1:3">
      <c r="A2669">
        <v>42</v>
      </c>
      <c r="B2669">
        <v>2</v>
      </c>
      <c r="C2669" t="str">
        <f>VLOOKUP(A2669,'Programas y Unidades'!$A:$B,2,0)</f>
        <v>Medicina</v>
      </c>
    </row>
    <row r="2670" spans="1:3">
      <c r="A2670">
        <v>42</v>
      </c>
      <c r="B2670">
        <v>2</v>
      </c>
      <c r="C2670" t="str">
        <f>VLOOKUP(A2670,'Programas y Unidades'!$A:$B,2,0)</f>
        <v>Medicina</v>
      </c>
    </row>
    <row r="2671" spans="1:3">
      <c r="A2671">
        <v>42</v>
      </c>
      <c r="B2671">
        <v>2</v>
      </c>
      <c r="C2671" t="str">
        <f>VLOOKUP(A2671,'Programas y Unidades'!$A:$B,2,0)</f>
        <v>Medicina</v>
      </c>
    </row>
    <row r="2672" spans="1:3">
      <c r="A2672">
        <v>42</v>
      </c>
      <c r="B2672">
        <v>2</v>
      </c>
      <c r="C2672" t="str">
        <f>VLOOKUP(A2672,'Programas y Unidades'!$A:$B,2,0)</f>
        <v>Medicina</v>
      </c>
    </row>
    <row r="2673" spans="1:3">
      <c r="A2673">
        <v>42</v>
      </c>
      <c r="B2673">
        <v>2</v>
      </c>
      <c r="C2673" t="str">
        <f>VLOOKUP(A2673,'Programas y Unidades'!$A:$B,2,0)</f>
        <v>Medicina</v>
      </c>
    </row>
    <row r="2674" spans="1:3">
      <c r="A2674">
        <v>42</v>
      </c>
      <c r="B2674">
        <v>2</v>
      </c>
      <c r="C2674" t="str">
        <f>VLOOKUP(A2674,'Programas y Unidades'!$A:$B,2,0)</f>
        <v>Medicina</v>
      </c>
    </row>
    <row r="2675" spans="1:3">
      <c r="A2675">
        <v>42</v>
      </c>
      <c r="B2675">
        <v>2</v>
      </c>
      <c r="C2675" t="str">
        <f>VLOOKUP(A2675,'Programas y Unidades'!$A:$B,2,0)</f>
        <v>Medicina</v>
      </c>
    </row>
    <row r="2676" spans="1:3">
      <c r="A2676">
        <v>42</v>
      </c>
      <c r="B2676">
        <v>2</v>
      </c>
      <c r="C2676" t="str">
        <f>VLOOKUP(A2676,'Programas y Unidades'!$A:$B,2,0)</f>
        <v>Medicina</v>
      </c>
    </row>
    <row r="2677" spans="1:3">
      <c r="A2677">
        <v>42</v>
      </c>
      <c r="B2677">
        <v>2</v>
      </c>
      <c r="C2677" t="str">
        <f>VLOOKUP(A2677,'Programas y Unidades'!$A:$B,2,0)</f>
        <v>Medicina</v>
      </c>
    </row>
    <row r="2678" spans="1:3">
      <c r="A2678">
        <v>42</v>
      </c>
      <c r="B2678">
        <v>2</v>
      </c>
      <c r="C2678" t="str">
        <f>VLOOKUP(A2678,'Programas y Unidades'!$A:$B,2,0)</f>
        <v>Medicina</v>
      </c>
    </row>
    <row r="2679" spans="1:3">
      <c r="A2679">
        <v>42</v>
      </c>
      <c r="B2679">
        <v>2</v>
      </c>
      <c r="C2679" t="str">
        <f>VLOOKUP(A2679,'Programas y Unidades'!$A:$B,2,0)</f>
        <v>Medicina</v>
      </c>
    </row>
    <row r="2680" spans="1:3">
      <c r="A2680">
        <v>42</v>
      </c>
      <c r="B2680">
        <v>2</v>
      </c>
      <c r="C2680" t="str">
        <f>VLOOKUP(A2680,'Programas y Unidades'!$A:$B,2,0)</f>
        <v>Medicina</v>
      </c>
    </row>
    <row r="2681" spans="1:3">
      <c r="A2681">
        <v>42</v>
      </c>
      <c r="B2681">
        <v>2</v>
      </c>
      <c r="C2681" t="str">
        <f>VLOOKUP(A2681,'Programas y Unidades'!$A:$B,2,0)</f>
        <v>Medicina</v>
      </c>
    </row>
    <row r="2682" spans="1:3">
      <c r="A2682">
        <v>42</v>
      </c>
      <c r="B2682">
        <v>2</v>
      </c>
      <c r="C2682" t="str">
        <f>VLOOKUP(A2682,'Programas y Unidades'!$A:$B,2,0)</f>
        <v>Medicina</v>
      </c>
    </row>
    <row r="2683" spans="1:3">
      <c r="A2683">
        <v>42</v>
      </c>
      <c r="B2683">
        <v>2</v>
      </c>
      <c r="C2683" t="str">
        <f>VLOOKUP(A2683,'Programas y Unidades'!$A:$B,2,0)</f>
        <v>Medicina</v>
      </c>
    </row>
    <row r="2684" spans="1:3">
      <c r="A2684">
        <v>42</v>
      </c>
      <c r="B2684">
        <v>2</v>
      </c>
      <c r="C2684" t="str">
        <f>VLOOKUP(A2684,'Programas y Unidades'!$A:$B,2,0)</f>
        <v>Medicina</v>
      </c>
    </row>
    <row r="2685" spans="1:3">
      <c r="A2685">
        <v>42</v>
      </c>
      <c r="B2685">
        <v>2</v>
      </c>
      <c r="C2685" t="str">
        <f>VLOOKUP(A2685,'Programas y Unidades'!$A:$B,2,0)</f>
        <v>Medicina</v>
      </c>
    </row>
    <row r="2686" spans="1:3">
      <c r="A2686">
        <v>42</v>
      </c>
      <c r="B2686">
        <v>2</v>
      </c>
      <c r="C2686" t="str">
        <f>VLOOKUP(A2686,'Programas y Unidades'!$A:$B,2,0)</f>
        <v>Medicina</v>
      </c>
    </row>
    <row r="2687" spans="1:3">
      <c r="A2687">
        <v>42</v>
      </c>
      <c r="B2687">
        <v>2</v>
      </c>
      <c r="C2687" t="str">
        <f>VLOOKUP(A2687,'Programas y Unidades'!$A:$B,2,0)</f>
        <v>Medicina</v>
      </c>
    </row>
    <row r="2688" spans="1:3">
      <c r="A2688">
        <v>42</v>
      </c>
      <c r="B2688">
        <v>2</v>
      </c>
      <c r="C2688" t="str">
        <f>VLOOKUP(A2688,'Programas y Unidades'!$A:$B,2,0)</f>
        <v>Medicina</v>
      </c>
    </row>
    <row r="2689" spans="1:3">
      <c r="A2689">
        <v>42</v>
      </c>
      <c r="B2689">
        <v>2</v>
      </c>
      <c r="C2689" t="str">
        <f>VLOOKUP(A2689,'Programas y Unidades'!$A:$B,2,0)</f>
        <v>Medicina</v>
      </c>
    </row>
    <row r="2690" spans="1:3">
      <c r="A2690">
        <v>42</v>
      </c>
      <c r="B2690">
        <v>2</v>
      </c>
      <c r="C2690" t="str">
        <f>VLOOKUP(A2690,'Programas y Unidades'!$A:$B,2,0)</f>
        <v>Medicina</v>
      </c>
    </row>
    <row r="2691" spans="1:3">
      <c r="A2691">
        <v>42</v>
      </c>
      <c r="B2691">
        <v>2</v>
      </c>
      <c r="C2691" t="str">
        <f>VLOOKUP(A2691,'Programas y Unidades'!$A:$B,2,0)</f>
        <v>Medicina</v>
      </c>
    </row>
    <row r="2692" spans="1:3">
      <c r="A2692">
        <v>42</v>
      </c>
      <c r="B2692">
        <v>2</v>
      </c>
      <c r="C2692" t="str">
        <f>VLOOKUP(A2692,'Programas y Unidades'!$A:$B,2,0)</f>
        <v>Medicina</v>
      </c>
    </row>
    <row r="2693" spans="1:3">
      <c r="A2693">
        <v>42</v>
      </c>
      <c r="B2693">
        <v>2</v>
      </c>
      <c r="C2693" t="str">
        <f>VLOOKUP(A2693,'Programas y Unidades'!$A:$B,2,0)</f>
        <v>Medicina</v>
      </c>
    </row>
    <row r="2694" spans="1:3">
      <c r="A2694">
        <v>42</v>
      </c>
      <c r="B2694">
        <v>2</v>
      </c>
      <c r="C2694" t="str">
        <f>VLOOKUP(A2694,'Programas y Unidades'!$A:$B,2,0)</f>
        <v>Medicina</v>
      </c>
    </row>
    <row r="2695" spans="1:3">
      <c r="A2695">
        <v>42</v>
      </c>
      <c r="B2695">
        <v>2</v>
      </c>
      <c r="C2695" t="str">
        <f>VLOOKUP(A2695,'Programas y Unidades'!$A:$B,2,0)</f>
        <v>Medicina</v>
      </c>
    </row>
    <row r="2696" spans="1:3">
      <c r="A2696">
        <v>42</v>
      </c>
      <c r="B2696">
        <v>2</v>
      </c>
      <c r="C2696" t="str">
        <f>VLOOKUP(A2696,'Programas y Unidades'!$A:$B,2,0)</f>
        <v>Medicina</v>
      </c>
    </row>
    <row r="2697" spans="1:3">
      <c r="A2697">
        <v>42</v>
      </c>
      <c r="B2697">
        <v>2</v>
      </c>
      <c r="C2697" t="str">
        <f>VLOOKUP(A2697,'Programas y Unidades'!$A:$B,2,0)</f>
        <v>Medicina</v>
      </c>
    </row>
    <row r="2698" spans="1:3">
      <c r="A2698">
        <v>42</v>
      </c>
      <c r="B2698">
        <v>2</v>
      </c>
      <c r="C2698" t="str">
        <f>VLOOKUP(A2698,'Programas y Unidades'!$A:$B,2,0)</f>
        <v>Medicina</v>
      </c>
    </row>
    <row r="2699" spans="1:3">
      <c r="A2699">
        <v>42</v>
      </c>
      <c r="B2699">
        <v>2</v>
      </c>
      <c r="C2699" t="str">
        <f>VLOOKUP(A2699,'Programas y Unidades'!$A:$B,2,0)</f>
        <v>Medicina</v>
      </c>
    </row>
    <row r="2700" spans="1:3">
      <c r="A2700">
        <v>42</v>
      </c>
      <c r="B2700">
        <v>2</v>
      </c>
      <c r="C2700" t="str">
        <f>VLOOKUP(A2700,'Programas y Unidades'!$A:$B,2,0)</f>
        <v>Medicina</v>
      </c>
    </row>
    <row r="2701" spans="1:3">
      <c r="A2701">
        <v>42</v>
      </c>
      <c r="B2701">
        <v>2</v>
      </c>
      <c r="C2701" t="str">
        <f>VLOOKUP(A2701,'Programas y Unidades'!$A:$B,2,0)</f>
        <v>Medicina</v>
      </c>
    </row>
    <row r="2702" spans="1:3">
      <c r="A2702">
        <v>42</v>
      </c>
      <c r="B2702">
        <v>5</v>
      </c>
      <c r="C2702" t="str">
        <f>VLOOKUP(A2702,'Programas y Unidades'!$A:$B,2,0)</f>
        <v>Medicina</v>
      </c>
    </row>
    <row r="2703" spans="1:3">
      <c r="A2703">
        <v>42</v>
      </c>
      <c r="B2703">
        <v>5</v>
      </c>
      <c r="C2703" t="str">
        <f>VLOOKUP(A2703,'Programas y Unidades'!$A:$B,2,0)</f>
        <v>Medicina</v>
      </c>
    </row>
    <row r="2704" spans="1:3">
      <c r="A2704">
        <v>42</v>
      </c>
      <c r="B2704">
        <v>5</v>
      </c>
      <c r="C2704" t="str">
        <f>VLOOKUP(A2704,'Programas y Unidades'!$A:$B,2,0)</f>
        <v>Medicina</v>
      </c>
    </row>
    <row r="2705" spans="1:3">
      <c r="A2705">
        <v>42</v>
      </c>
      <c r="B2705">
        <v>5</v>
      </c>
      <c r="C2705" t="str">
        <f>VLOOKUP(A2705,'Programas y Unidades'!$A:$B,2,0)</f>
        <v>Medicina</v>
      </c>
    </row>
    <row r="2706" spans="1:3">
      <c r="A2706">
        <v>42</v>
      </c>
      <c r="B2706">
        <v>5</v>
      </c>
      <c r="C2706" t="str">
        <f>VLOOKUP(A2706,'Programas y Unidades'!$A:$B,2,0)</f>
        <v>Medicina</v>
      </c>
    </row>
    <row r="2707" spans="1:3">
      <c r="A2707">
        <v>42</v>
      </c>
      <c r="B2707">
        <v>5</v>
      </c>
      <c r="C2707" t="str">
        <f>VLOOKUP(A2707,'Programas y Unidades'!$A:$B,2,0)</f>
        <v>Medicina</v>
      </c>
    </row>
    <row r="2708" spans="1:3">
      <c r="A2708">
        <v>42</v>
      </c>
      <c r="B2708">
        <v>5</v>
      </c>
      <c r="C2708" t="str">
        <f>VLOOKUP(A2708,'Programas y Unidades'!$A:$B,2,0)</f>
        <v>Medicina</v>
      </c>
    </row>
    <row r="2709" spans="1:3">
      <c r="A2709">
        <v>42</v>
      </c>
      <c r="B2709">
        <v>5</v>
      </c>
      <c r="C2709" t="str">
        <f>VLOOKUP(A2709,'Programas y Unidades'!$A:$B,2,0)</f>
        <v>Medicina</v>
      </c>
    </row>
    <row r="2710" spans="1:3">
      <c r="A2710">
        <v>42</v>
      </c>
      <c r="B2710">
        <v>5</v>
      </c>
      <c r="C2710" t="str">
        <f>VLOOKUP(A2710,'Programas y Unidades'!$A:$B,2,0)</f>
        <v>Medicina</v>
      </c>
    </row>
    <row r="2711" spans="1:3">
      <c r="A2711">
        <v>42</v>
      </c>
      <c r="B2711">
        <v>5</v>
      </c>
      <c r="C2711" t="str">
        <f>VLOOKUP(A2711,'Programas y Unidades'!$A:$B,2,0)</f>
        <v>Medicina</v>
      </c>
    </row>
    <row r="2712" spans="1:3">
      <c r="A2712">
        <v>42</v>
      </c>
      <c r="B2712">
        <v>5</v>
      </c>
      <c r="C2712" t="str">
        <f>VLOOKUP(A2712,'Programas y Unidades'!$A:$B,2,0)</f>
        <v>Medicina</v>
      </c>
    </row>
    <row r="2713" spans="1:3">
      <c r="A2713">
        <v>42</v>
      </c>
      <c r="B2713">
        <v>5</v>
      </c>
      <c r="C2713" t="str">
        <f>VLOOKUP(A2713,'Programas y Unidades'!$A:$B,2,0)</f>
        <v>Medicina</v>
      </c>
    </row>
    <row r="2714" spans="1:3">
      <c r="A2714">
        <v>42</v>
      </c>
      <c r="B2714">
        <v>5</v>
      </c>
      <c r="C2714" t="str">
        <f>VLOOKUP(A2714,'Programas y Unidades'!$A:$B,2,0)</f>
        <v>Medicina</v>
      </c>
    </row>
    <row r="2715" spans="1:3">
      <c r="A2715">
        <v>42</v>
      </c>
      <c r="B2715">
        <v>5</v>
      </c>
      <c r="C2715" t="str">
        <f>VLOOKUP(A2715,'Programas y Unidades'!$A:$B,2,0)</f>
        <v>Medicina</v>
      </c>
    </row>
    <row r="2716" spans="1:3">
      <c r="A2716">
        <v>42</v>
      </c>
      <c r="B2716">
        <v>5</v>
      </c>
      <c r="C2716" t="str">
        <f>VLOOKUP(A2716,'Programas y Unidades'!$A:$B,2,0)</f>
        <v>Medicina</v>
      </c>
    </row>
    <row r="2717" spans="1:3">
      <c r="A2717">
        <v>42</v>
      </c>
      <c r="B2717">
        <v>6</v>
      </c>
      <c r="C2717" t="str">
        <f>VLOOKUP(A2717,'Programas y Unidades'!$A:$B,2,0)</f>
        <v>Medicina</v>
      </c>
    </row>
    <row r="2718" spans="1:3">
      <c r="A2718">
        <v>42</v>
      </c>
      <c r="B2718">
        <v>5</v>
      </c>
      <c r="C2718" t="str">
        <f>VLOOKUP(A2718,'Programas y Unidades'!$A:$B,2,0)</f>
        <v>Medicina</v>
      </c>
    </row>
    <row r="2719" spans="1:3">
      <c r="A2719">
        <v>42</v>
      </c>
      <c r="B2719">
        <v>5</v>
      </c>
      <c r="C2719" t="str">
        <f>VLOOKUP(A2719,'Programas y Unidades'!$A:$B,2,0)</f>
        <v>Medicina</v>
      </c>
    </row>
    <row r="2720" spans="1:3">
      <c r="A2720">
        <v>42</v>
      </c>
      <c r="B2720">
        <v>5</v>
      </c>
      <c r="C2720" t="str">
        <f>VLOOKUP(A2720,'Programas y Unidades'!$A:$B,2,0)</f>
        <v>Medicina</v>
      </c>
    </row>
    <row r="2721" spans="1:3">
      <c r="A2721">
        <v>42</v>
      </c>
      <c r="B2721">
        <v>5</v>
      </c>
      <c r="C2721" t="str">
        <f>VLOOKUP(A2721,'Programas y Unidades'!$A:$B,2,0)</f>
        <v>Medicina</v>
      </c>
    </row>
    <row r="2722" spans="1:3">
      <c r="A2722">
        <v>42</v>
      </c>
      <c r="B2722">
        <v>5</v>
      </c>
      <c r="C2722" t="str">
        <f>VLOOKUP(A2722,'Programas y Unidades'!$A:$B,2,0)</f>
        <v>Medicina</v>
      </c>
    </row>
    <row r="2723" spans="1:3">
      <c r="A2723">
        <v>42</v>
      </c>
      <c r="B2723">
        <v>5</v>
      </c>
      <c r="C2723" t="str">
        <f>VLOOKUP(A2723,'Programas y Unidades'!$A:$B,2,0)</f>
        <v>Medicina</v>
      </c>
    </row>
    <row r="2724" spans="1:3">
      <c r="A2724">
        <v>42</v>
      </c>
      <c r="B2724">
        <v>5</v>
      </c>
      <c r="C2724" t="str">
        <f>VLOOKUP(A2724,'Programas y Unidades'!$A:$B,2,0)</f>
        <v>Medicina</v>
      </c>
    </row>
    <row r="2725" spans="1:3">
      <c r="A2725">
        <v>42</v>
      </c>
      <c r="B2725">
        <v>5</v>
      </c>
      <c r="C2725" t="str">
        <f>VLOOKUP(A2725,'Programas y Unidades'!$A:$B,2,0)</f>
        <v>Medicina</v>
      </c>
    </row>
    <row r="2726" spans="1:3">
      <c r="A2726">
        <v>42</v>
      </c>
      <c r="B2726">
        <v>5</v>
      </c>
      <c r="C2726" t="str">
        <f>VLOOKUP(A2726,'Programas y Unidades'!$A:$B,2,0)</f>
        <v>Medicina</v>
      </c>
    </row>
    <row r="2727" spans="1:3">
      <c r="A2727">
        <v>42</v>
      </c>
      <c r="B2727">
        <v>5</v>
      </c>
      <c r="C2727" t="str">
        <f>VLOOKUP(A2727,'Programas y Unidades'!$A:$B,2,0)</f>
        <v>Medicina</v>
      </c>
    </row>
    <row r="2728" spans="1:3">
      <c r="A2728">
        <v>42</v>
      </c>
      <c r="B2728">
        <v>5</v>
      </c>
      <c r="C2728" t="str">
        <f>VLOOKUP(A2728,'Programas y Unidades'!$A:$B,2,0)</f>
        <v>Medicina</v>
      </c>
    </row>
    <row r="2729" spans="1:3">
      <c r="A2729">
        <v>42</v>
      </c>
      <c r="B2729">
        <v>5</v>
      </c>
      <c r="C2729" t="str">
        <f>VLOOKUP(A2729,'Programas y Unidades'!$A:$B,2,0)</f>
        <v>Medicina</v>
      </c>
    </row>
    <row r="2730" spans="1:3">
      <c r="A2730">
        <v>42</v>
      </c>
      <c r="B2730">
        <v>5</v>
      </c>
      <c r="C2730" t="str">
        <f>VLOOKUP(A2730,'Programas y Unidades'!$A:$B,2,0)</f>
        <v>Medicina</v>
      </c>
    </row>
    <row r="2731" spans="1:3">
      <c r="A2731">
        <v>42</v>
      </c>
      <c r="B2731">
        <v>5</v>
      </c>
      <c r="C2731" t="str">
        <f>VLOOKUP(A2731,'Programas y Unidades'!$A:$B,2,0)</f>
        <v>Medicina</v>
      </c>
    </row>
    <row r="2732" spans="1:3">
      <c r="A2732">
        <v>42</v>
      </c>
      <c r="B2732">
        <v>5</v>
      </c>
      <c r="C2732" t="str">
        <f>VLOOKUP(A2732,'Programas y Unidades'!$A:$B,2,0)</f>
        <v>Medicina</v>
      </c>
    </row>
    <row r="2733" spans="1:3">
      <c r="A2733">
        <v>42</v>
      </c>
      <c r="B2733">
        <v>5</v>
      </c>
      <c r="C2733" t="str">
        <f>VLOOKUP(A2733,'Programas y Unidades'!$A:$B,2,0)</f>
        <v>Medicina</v>
      </c>
    </row>
    <row r="2734" spans="1:3">
      <c r="A2734">
        <v>42</v>
      </c>
      <c r="B2734">
        <v>5</v>
      </c>
      <c r="C2734" t="str">
        <f>VLOOKUP(A2734,'Programas y Unidades'!$A:$B,2,0)</f>
        <v>Medicina</v>
      </c>
    </row>
    <row r="2735" spans="1:3">
      <c r="A2735">
        <v>42</v>
      </c>
      <c r="B2735">
        <v>5</v>
      </c>
      <c r="C2735" t="str">
        <f>VLOOKUP(A2735,'Programas y Unidades'!$A:$B,2,0)</f>
        <v>Medicina</v>
      </c>
    </row>
    <row r="2736" spans="1:3">
      <c r="A2736">
        <v>42</v>
      </c>
      <c r="B2736">
        <v>6</v>
      </c>
      <c r="C2736" t="str">
        <f>VLOOKUP(A2736,'Programas y Unidades'!$A:$B,2,0)</f>
        <v>Medicina</v>
      </c>
    </row>
    <row r="2737" spans="1:3">
      <c r="A2737">
        <v>42</v>
      </c>
      <c r="B2737">
        <v>5</v>
      </c>
      <c r="C2737" t="str">
        <f>VLOOKUP(A2737,'Programas y Unidades'!$A:$B,2,0)</f>
        <v>Medicina</v>
      </c>
    </row>
    <row r="2738" spans="1:3">
      <c r="A2738">
        <v>42</v>
      </c>
      <c r="B2738">
        <v>5</v>
      </c>
      <c r="C2738" t="str">
        <f>VLOOKUP(A2738,'Programas y Unidades'!$A:$B,2,0)</f>
        <v>Medicina</v>
      </c>
    </row>
    <row r="2739" spans="1:3">
      <c r="A2739">
        <v>42</v>
      </c>
      <c r="B2739">
        <v>5</v>
      </c>
      <c r="C2739" t="str">
        <f>VLOOKUP(A2739,'Programas y Unidades'!$A:$B,2,0)</f>
        <v>Medicina</v>
      </c>
    </row>
    <row r="2740" spans="1:3">
      <c r="A2740">
        <v>42</v>
      </c>
      <c r="B2740">
        <v>5</v>
      </c>
      <c r="C2740" t="str">
        <f>VLOOKUP(A2740,'Programas y Unidades'!$A:$B,2,0)</f>
        <v>Medicina</v>
      </c>
    </row>
    <row r="2741" spans="1:3">
      <c r="A2741">
        <v>42</v>
      </c>
      <c r="B2741">
        <v>5</v>
      </c>
      <c r="C2741" t="str">
        <f>VLOOKUP(A2741,'Programas y Unidades'!$A:$B,2,0)</f>
        <v>Medicina</v>
      </c>
    </row>
    <row r="2742" spans="1:3">
      <c r="A2742">
        <v>42</v>
      </c>
      <c r="B2742">
        <v>5</v>
      </c>
      <c r="C2742" t="str">
        <f>VLOOKUP(A2742,'Programas y Unidades'!$A:$B,2,0)</f>
        <v>Medicina</v>
      </c>
    </row>
    <row r="2743" spans="1:3">
      <c r="A2743">
        <v>42</v>
      </c>
      <c r="B2743">
        <v>5</v>
      </c>
      <c r="C2743" t="str">
        <f>VLOOKUP(A2743,'Programas y Unidades'!$A:$B,2,0)</f>
        <v>Medicina</v>
      </c>
    </row>
    <row r="2744" spans="1:3">
      <c r="A2744">
        <v>42</v>
      </c>
      <c r="B2744">
        <v>5</v>
      </c>
      <c r="C2744" t="str">
        <f>VLOOKUP(A2744,'Programas y Unidades'!$A:$B,2,0)</f>
        <v>Medicina</v>
      </c>
    </row>
    <row r="2745" spans="1:3">
      <c r="A2745">
        <v>42</v>
      </c>
      <c r="B2745">
        <v>5</v>
      </c>
      <c r="C2745" t="str">
        <f>VLOOKUP(A2745,'Programas y Unidades'!$A:$B,2,0)</f>
        <v>Medicina</v>
      </c>
    </row>
    <row r="2746" spans="1:3">
      <c r="A2746">
        <v>42</v>
      </c>
      <c r="B2746">
        <v>5</v>
      </c>
      <c r="C2746" t="str">
        <f>VLOOKUP(A2746,'Programas y Unidades'!$A:$B,2,0)</f>
        <v>Medicina</v>
      </c>
    </row>
    <row r="2747" spans="1:3">
      <c r="A2747">
        <v>42</v>
      </c>
      <c r="B2747">
        <v>5</v>
      </c>
      <c r="C2747" t="str">
        <f>VLOOKUP(A2747,'Programas y Unidades'!$A:$B,2,0)</f>
        <v>Medicina</v>
      </c>
    </row>
    <row r="2748" spans="1:3">
      <c r="A2748">
        <v>42</v>
      </c>
      <c r="B2748">
        <v>5</v>
      </c>
      <c r="C2748" t="str">
        <f>VLOOKUP(A2748,'Programas y Unidades'!$A:$B,2,0)</f>
        <v>Medicina</v>
      </c>
    </row>
    <row r="2749" spans="1:3">
      <c r="A2749">
        <v>42</v>
      </c>
      <c r="B2749">
        <v>5</v>
      </c>
      <c r="C2749" t="str">
        <f>VLOOKUP(A2749,'Programas y Unidades'!$A:$B,2,0)</f>
        <v>Medicina</v>
      </c>
    </row>
    <row r="2750" spans="1:3">
      <c r="A2750">
        <v>42</v>
      </c>
      <c r="B2750">
        <v>5</v>
      </c>
      <c r="C2750" t="str">
        <f>VLOOKUP(A2750,'Programas y Unidades'!$A:$B,2,0)</f>
        <v>Medicina</v>
      </c>
    </row>
    <row r="2751" spans="1:3">
      <c r="A2751">
        <v>42</v>
      </c>
      <c r="B2751">
        <v>5</v>
      </c>
      <c r="C2751" t="str">
        <f>VLOOKUP(A2751,'Programas y Unidades'!$A:$B,2,0)</f>
        <v>Medicina</v>
      </c>
    </row>
    <row r="2752" spans="1:3">
      <c r="A2752">
        <v>42</v>
      </c>
      <c r="B2752">
        <v>5</v>
      </c>
      <c r="C2752" t="str">
        <f>VLOOKUP(A2752,'Programas y Unidades'!$A:$B,2,0)</f>
        <v>Medicina</v>
      </c>
    </row>
    <row r="2753" spans="1:3">
      <c r="A2753">
        <v>42</v>
      </c>
      <c r="B2753">
        <v>5</v>
      </c>
      <c r="C2753" t="str">
        <f>VLOOKUP(A2753,'Programas y Unidades'!$A:$B,2,0)</f>
        <v>Medicina</v>
      </c>
    </row>
    <row r="2754" spans="1:3">
      <c r="A2754">
        <v>42</v>
      </c>
      <c r="B2754">
        <v>5</v>
      </c>
      <c r="C2754" t="str">
        <f>VLOOKUP(A2754,'Programas y Unidades'!$A:$B,2,0)</f>
        <v>Medicina</v>
      </c>
    </row>
    <row r="2755" spans="1:3">
      <c r="A2755">
        <v>42</v>
      </c>
      <c r="B2755">
        <v>5</v>
      </c>
      <c r="C2755" t="str">
        <f>VLOOKUP(A2755,'Programas y Unidades'!$A:$B,2,0)</f>
        <v>Medicina</v>
      </c>
    </row>
    <row r="2756" spans="1:3">
      <c r="A2756">
        <v>42</v>
      </c>
      <c r="B2756">
        <v>5</v>
      </c>
      <c r="C2756" t="str">
        <f>VLOOKUP(A2756,'Programas y Unidades'!$A:$B,2,0)</f>
        <v>Medicina</v>
      </c>
    </row>
    <row r="2757" spans="1:3">
      <c r="A2757">
        <v>42</v>
      </c>
      <c r="B2757">
        <v>5</v>
      </c>
      <c r="C2757" t="str">
        <f>VLOOKUP(A2757,'Programas y Unidades'!$A:$B,2,0)</f>
        <v>Medicina</v>
      </c>
    </row>
    <row r="2758" spans="1:3">
      <c r="A2758">
        <v>42</v>
      </c>
      <c r="B2758">
        <v>5</v>
      </c>
      <c r="C2758" t="str">
        <f>VLOOKUP(A2758,'Programas y Unidades'!$A:$B,2,0)</f>
        <v>Medicina</v>
      </c>
    </row>
    <row r="2759" spans="1:3">
      <c r="A2759">
        <v>42</v>
      </c>
      <c r="B2759">
        <v>5</v>
      </c>
      <c r="C2759" t="str">
        <f>VLOOKUP(A2759,'Programas y Unidades'!$A:$B,2,0)</f>
        <v>Medicina</v>
      </c>
    </row>
    <row r="2760" spans="1:3">
      <c r="A2760">
        <v>42</v>
      </c>
      <c r="B2760">
        <v>5</v>
      </c>
      <c r="C2760" t="str">
        <f>VLOOKUP(A2760,'Programas y Unidades'!$A:$B,2,0)</f>
        <v>Medicina</v>
      </c>
    </row>
    <row r="2761" spans="1:3">
      <c r="A2761">
        <v>42</v>
      </c>
      <c r="B2761">
        <v>5</v>
      </c>
      <c r="C2761" t="str">
        <f>VLOOKUP(A2761,'Programas y Unidades'!$A:$B,2,0)</f>
        <v>Medicina</v>
      </c>
    </row>
    <row r="2762" spans="1:3">
      <c r="A2762">
        <v>42</v>
      </c>
      <c r="B2762">
        <v>5</v>
      </c>
      <c r="C2762" t="str">
        <f>VLOOKUP(A2762,'Programas y Unidades'!$A:$B,2,0)</f>
        <v>Medicina</v>
      </c>
    </row>
    <row r="2763" spans="1:3">
      <c r="A2763">
        <v>42</v>
      </c>
      <c r="B2763">
        <v>5</v>
      </c>
      <c r="C2763" t="str">
        <f>VLOOKUP(A2763,'Programas y Unidades'!$A:$B,2,0)</f>
        <v>Medicina</v>
      </c>
    </row>
    <row r="2764" spans="1:3">
      <c r="A2764">
        <v>42</v>
      </c>
      <c r="B2764">
        <v>5</v>
      </c>
      <c r="C2764" t="str">
        <f>VLOOKUP(A2764,'Programas y Unidades'!$A:$B,2,0)</f>
        <v>Medicina</v>
      </c>
    </row>
    <row r="2765" spans="1:3">
      <c r="A2765">
        <v>42</v>
      </c>
      <c r="B2765">
        <v>5</v>
      </c>
      <c r="C2765" t="str">
        <f>VLOOKUP(A2765,'Programas y Unidades'!$A:$B,2,0)</f>
        <v>Medicina</v>
      </c>
    </row>
    <row r="2766" spans="1:3">
      <c r="A2766">
        <v>42</v>
      </c>
      <c r="B2766">
        <v>5</v>
      </c>
      <c r="C2766" t="str">
        <f>VLOOKUP(A2766,'Programas y Unidades'!$A:$B,2,0)</f>
        <v>Medicina</v>
      </c>
    </row>
    <row r="2767" spans="1:3">
      <c r="A2767">
        <v>42</v>
      </c>
      <c r="B2767">
        <v>5</v>
      </c>
      <c r="C2767" t="str">
        <f>VLOOKUP(A2767,'Programas y Unidades'!$A:$B,2,0)</f>
        <v>Medicina</v>
      </c>
    </row>
    <row r="2768" spans="1:3">
      <c r="A2768">
        <v>42</v>
      </c>
      <c r="B2768">
        <v>5</v>
      </c>
      <c r="C2768" t="str">
        <f>VLOOKUP(A2768,'Programas y Unidades'!$A:$B,2,0)</f>
        <v>Medicina</v>
      </c>
    </row>
    <row r="2769" spans="1:3">
      <c r="A2769">
        <v>42</v>
      </c>
      <c r="B2769">
        <v>5</v>
      </c>
      <c r="C2769" t="str">
        <f>VLOOKUP(A2769,'Programas y Unidades'!$A:$B,2,0)</f>
        <v>Medicina</v>
      </c>
    </row>
    <row r="2770" spans="1:3">
      <c r="A2770">
        <v>42</v>
      </c>
      <c r="B2770">
        <v>5</v>
      </c>
      <c r="C2770" t="str">
        <f>VLOOKUP(A2770,'Programas y Unidades'!$A:$B,2,0)</f>
        <v>Medicina</v>
      </c>
    </row>
    <row r="2771" spans="1:3">
      <c r="A2771">
        <v>42</v>
      </c>
      <c r="B2771">
        <v>5</v>
      </c>
      <c r="C2771" t="str">
        <f>VLOOKUP(A2771,'Programas y Unidades'!$A:$B,2,0)</f>
        <v>Medicina</v>
      </c>
    </row>
    <row r="2772" spans="1:3">
      <c r="A2772">
        <v>42</v>
      </c>
      <c r="B2772">
        <v>5</v>
      </c>
      <c r="C2772" t="str">
        <f>VLOOKUP(A2772,'Programas y Unidades'!$A:$B,2,0)</f>
        <v>Medicina</v>
      </c>
    </row>
    <row r="2773" spans="1:3">
      <c r="A2773">
        <v>42</v>
      </c>
      <c r="B2773">
        <v>6</v>
      </c>
      <c r="C2773" t="str">
        <f>VLOOKUP(A2773,'Programas y Unidades'!$A:$B,2,0)</f>
        <v>Medicina</v>
      </c>
    </row>
    <row r="2774" spans="1:3">
      <c r="A2774">
        <v>42</v>
      </c>
      <c r="B2774">
        <v>5</v>
      </c>
      <c r="C2774" t="str">
        <f>VLOOKUP(A2774,'Programas y Unidades'!$A:$B,2,0)</f>
        <v>Medicina</v>
      </c>
    </row>
    <row r="2775" spans="1:3">
      <c r="A2775">
        <v>42</v>
      </c>
      <c r="B2775">
        <v>5</v>
      </c>
      <c r="C2775" t="str">
        <f>VLOOKUP(A2775,'Programas y Unidades'!$A:$B,2,0)</f>
        <v>Medicina</v>
      </c>
    </row>
    <row r="2776" spans="1:3">
      <c r="A2776">
        <v>42</v>
      </c>
      <c r="B2776">
        <v>5</v>
      </c>
      <c r="C2776" t="str">
        <f>VLOOKUP(A2776,'Programas y Unidades'!$A:$B,2,0)</f>
        <v>Medicina</v>
      </c>
    </row>
    <row r="2777" spans="1:3">
      <c r="A2777">
        <v>42</v>
      </c>
      <c r="B2777">
        <v>5</v>
      </c>
      <c r="C2777" t="str">
        <f>VLOOKUP(A2777,'Programas y Unidades'!$A:$B,2,0)</f>
        <v>Medicina</v>
      </c>
    </row>
    <row r="2778" spans="1:3">
      <c r="A2778">
        <v>42</v>
      </c>
      <c r="B2778">
        <v>5</v>
      </c>
      <c r="C2778" t="str">
        <f>VLOOKUP(A2778,'Programas y Unidades'!$A:$B,2,0)</f>
        <v>Medicina</v>
      </c>
    </row>
    <row r="2779" spans="1:3">
      <c r="A2779">
        <v>42</v>
      </c>
      <c r="B2779">
        <v>5</v>
      </c>
      <c r="C2779" t="str">
        <f>VLOOKUP(A2779,'Programas y Unidades'!$A:$B,2,0)</f>
        <v>Medicina</v>
      </c>
    </row>
    <row r="2780" spans="1:3">
      <c r="A2780">
        <v>42</v>
      </c>
      <c r="B2780">
        <v>5</v>
      </c>
      <c r="C2780" t="str">
        <f>VLOOKUP(A2780,'Programas y Unidades'!$A:$B,2,0)</f>
        <v>Medicina</v>
      </c>
    </row>
    <row r="2781" spans="1:3">
      <c r="A2781">
        <v>42</v>
      </c>
      <c r="B2781">
        <v>5</v>
      </c>
      <c r="C2781" t="str">
        <f>VLOOKUP(A2781,'Programas y Unidades'!$A:$B,2,0)</f>
        <v>Medicina</v>
      </c>
    </row>
    <row r="2782" spans="1:3">
      <c r="A2782">
        <v>42</v>
      </c>
      <c r="B2782">
        <v>6</v>
      </c>
      <c r="C2782" t="str">
        <f>VLOOKUP(A2782,'Programas y Unidades'!$A:$B,2,0)</f>
        <v>Medicina</v>
      </c>
    </row>
    <row r="2783" spans="1:3">
      <c r="A2783">
        <v>42</v>
      </c>
      <c r="B2783">
        <v>5</v>
      </c>
      <c r="C2783" t="str">
        <f>VLOOKUP(A2783,'Programas y Unidades'!$A:$B,2,0)</f>
        <v>Medicina</v>
      </c>
    </row>
    <row r="2784" spans="1:3">
      <c r="A2784">
        <v>42</v>
      </c>
      <c r="B2784">
        <v>5</v>
      </c>
      <c r="C2784" t="str">
        <f>VLOOKUP(A2784,'Programas y Unidades'!$A:$B,2,0)</f>
        <v>Medicina</v>
      </c>
    </row>
    <row r="2785" spans="1:3">
      <c r="A2785">
        <v>42</v>
      </c>
      <c r="B2785">
        <v>5</v>
      </c>
      <c r="C2785" t="str">
        <f>VLOOKUP(A2785,'Programas y Unidades'!$A:$B,2,0)</f>
        <v>Medicina</v>
      </c>
    </row>
    <row r="2786" spans="1:3">
      <c r="A2786">
        <v>42</v>
      </c>
      <c r="B2786">
        <v>5</v>
      </c>
      <c r="C2786" t="str">
        <f>VLOOKUP(A2786,'Programas y Unidades'!$A:$B,2,0)</f>
        <v>Medicina</v>
      </c>
    </row>
    <row r="2787" spans="1:3">
      <c r="A2787">
        <v>42</v>
      </c>
      <c r="B2787">
        <v>5</v>
      </c>
      <c r="C2787" t="str">
        <f>VLOOKUP(A2787,'Programas y Unidades'!$A:$B,2,0)</f>
        <v>Medicina</v>
      </c>
    </row>
    <row r="2788" spans="1:3">
      <c r="A2788">
        <v>42</v>
      </c>
      <c r="B2788">
        <v>5</v>
      </c>
      <c r="C2788" t="str">
        <f>VLOOKUP(A2788,'Programas y Unidades'!$A:$B,2,0)</f>
        <v>Medicina</v>
      </c>
    </row>
    <row r="2789" spans="1:3">
      <c r="A2789">
        <v>42</v>
      </c>
      <c r="B2789">
        <v>5</v>
      </c>
      <c r="C2789" t="str">
        <f>VLOOKUP(A2789,'Programas y Unidades'!$A:$B,2,0)</f>
        <v>Medicina</v>
      </c>
    </row>
    <row r="2790" spans="1:3">
      <c r="A2790">
        <v>42</v>
      </c>
      <c r="B2790">
        <v>5</v>
      </c>
      <c r="C2790" t="str">
        <f>VLOOKUP(A2790,'Programas y Unidades'!$A:$B,2,0)</f>
        <v>Medicina</v>
      </c>
    </row>
    <row r="2791" spans="1:3">
      <c r="A2791">
        <v>42</v>
      </c>
      <c r="B2791">
        <v>5</v>
      </c>
      <c r="C2791" t="str">
        <f>VLOOKUP(A2791,'Programas y Unidades'!$A:$B,2,0)</f>
        <v>Medicina</v>
      </c>
    </row>
    <row r="2792" spans="1:3">
      <c r="A2792">
        <v>42</v>
      </c>
      <c r="B2792">
        <v>6</v>
      </c>
      <c r="C2792" t="str">
        <f>VLOOKUP(A2792,'Programas y Unidades'!$A:$B,2,0)</f>
        <v>Medicina</v>
      </c>
    </row>
    <row r="2793" spans="1:3">
      <c r="A2793">
        <v>42</v>
      </c>
      <c r="B2793">
        <v>5</v>
      </c>
      <c r="C2793" t="str">
        <f>VLOOKUP(A2793,'Programas y Unidades'!$A:$B,2,0)</f>
        <v>Medicina</v>
      </c>
    </row>
    <row r="2794" spans="1:3">
      <c r="A2794">
        <v>42</v>
      </c>
      <c r="B2794">
        <v>5</v>
      </c>
      <c r="C2794" t="str">
        <f>VLOOKUP(A2794,'Programas y Unidades'!$A:$B,2,0)</f>
        <v>Medicina</v>
      </c>
    </row>
    <row r="2795" spans="1:3">
      <c r="A2795">
        <v>42</v>
      </c>
      <c r="B2795">
        <v>5</v>
      </c>
      <c r="C2795" t="str">
        <f>VLOOKUP(A2795,'Programas y Unidades'!$A:$B,2,0)</f>
        <v>Medicina</v>
      </c>
    </row>
    <row r="2796" spans="1:3">
      <c r="A2796">
        <v>42</v>
      </c>
      <c r="B2796">
        <v>5</v>
      </c>
      <c r="C2796" t="str">
        <f>VLOOKUP(A2796,'Programas y Unidades'!$A:$B,2,0)</f>
        <v>Medicina</v>
      </c>
    </row>
    <row r="2797" spans="1:3">
      <c r="A2797">
        <v>42</v>
      </c>
      <c r="B2797">
        <v>5</v>
      </c>
      <c r="C2797" t="str">
        <f>VLOOKUP(A2797,'Programas y Unidades'!$A:$B,2,0)</f>
        <v>Medicina</v>
      </c>
    </row>
    <row r="2798" spans="1:3">
      <c r="A2798">
        <v>42</v>
      </c>
      <c r="B2798">
        <v>5</v>
      </c>
      <c r="C2798" t="str">
        <f>VLOOKUP(A2798,'Programas y Unidades'!$A:$B,2,0)</f>
        <v>Medicina</v>
      </c>
    </row>
    <row r="2799" spans="1:3">
      <c r="A2799">
        <v>42</v>
      </c>
      <c r="B2799">
        <v>5</v>
      </c>
      <c r="C2799" t="str">
        <f>VLOOKUP(A2799,'Programas y Unidades'!$A:$B,2,0)</f>
        <v>Medicina</v>
      </c>
    </row>
    <row r="2800" spans="1:3">
      <c r="A2800">
        <v>42</v>
      </c>
      <c r="B2800">
        <v>5</v>
      </c>
      <c r="C2800" t="str">
        <f>VLOOKUP(A2800,'Programas y Unidades'!$A:$B,2,0)</f>
        <v>Medicina</v>
      </c>
    </row>
    <row r="2801" spans="1:3">
      <c r="A2801">
        <v>42</v>
      </c>
      <c r="B2801">
        <v>5</v>
      </c>
      <c r="C2801" t="str">
        <f>VLOOKUP(A2801,'Programas y Unidades'!$A:$B,2,0)</f>
        <v>Medicina</v>
      </c>
    </row>
    <row r="2802" spans="1:3">
      <c r="A2802">
        <v>42</v>
      </c>
      <c r="B2802">
        <v>5</v>
      </c>
      <c r="C2802" t="str">
        <f>VLOOKUP(A2802,'Programas y Unidades'!$A:$B,2,0)</f>
        <v>Medicina</v>
      </c>
    </row>
    <row r="2803" spans="1:3">
      <c r="A2803">
        <v>42</v>
      </c>
      <c r="B2803">
        <v>5</v>
      </c>
      <c r="C2803" t="str">
        <f>VLOOKUP(A2803,'Programas y Unidades'!$A:$B,2,0)</f>
        <v>Medicina</v>
      </c>
    </row>
    <row r="2804" spans="1:3">
      <c r="A2804">
        <v>42</v>
      </c>
      <c r="B2804">
        <v>5</v>
      </c>
      <c r="C2804" t="str">
        <f>VLOOKUP(A2804,'Programas y Unidades'!$A:$B,2,0)</f>
        <v>Medicina</v>
      </c>
    </row>
    <row r="2805" spans="1:3">
      <c r="A2805">
        <v>42</v>
      </c>
      <c r="B2805">
        <v>5</v>
      </c>
      <c r="C2805" t="str">
        <f>VLOOKUP(A2805,'Programas y Unidades'!$A:$B,2,0)</f>
        <v>Medicina</v>
      </c>
    </row>
    <row r="2806" spans="1:3">
      <c r="A2806">
        <v>42</v>
      </c>
      <c r="B2806">
        <v>5</v>
      </c>
      <c r="C2806" t="str">
        <f>VLOOKUP(A2806,'Programas y Unidades'!$A:$B,2,0)</f>
        <v>Medicina</v>
      </c>
    </row>
    <row r="2807" spans="1:3">
      <c r="A2807">
        <v>42</v>
      </c>
      <c r="B2807">
        <v>5</v>
      </c>
      <c r="C2807" t="str">
        <f>VLOOKUP(A2807,'Programas y Unidades'!$A:$B,2,0)</f>
        <v>Medicina</v>
      </c>
    </row>
    <row r="2808" spans="1:3">
      <c r="A2808">
        <v>42</v>
      </c>
      <c r="B2808">
        <v>5</v>
      </c>
      <c r="C2808" t="str">
        <f>VLOOKUP(A2808,'Programas y Unidades'!$A:$B,2,0)</f>
        <v>Medicina</v>
      </c>
    </row>
    <row r="2809" spans="1:3">
      <c r="A2809">
        <v>42</v>
      </c>
      <c r="B2809">
        <v>5</v>
      </c>
      <c r="C2809" t="str">
        <f>VLOOKUP(A2809,'Programas y Unidades'!$A:$B,2,0)</f>
        <v>Medicina</v>
      </c>
    </row>
    <row r="2810" spans="1:3">
      <c r="A2810">
        <v>42</v>
      </c>
      <c r="B2810">
        <v>5</v>
      </c>
      <c r="C2810" t="str">
        <f>VLOOKUP(A2810,'Programas y Unidades'!$A:$B,2,0)</f>
        <v>Medicina</v>
      </c>
    </row>
    <row r="2811" spans="1:3">
      <c r="A2811">
        <v>42</v>
      </c>
      <c r="B2811">
        <v>5</v>
      </c>
      <c r="C2811" t="str">
        <f>VLOOKUP(A2811,'Programas y Unidades'!$A:$B,2,0)</f>
        <v>Medicina</v>
      </c>
    </row>
    <row r="2812" spans="1:3">
      <c r="A2812">
        <v>42</v>
      </c>
      <c r="B2812">
        <v>5</v>
      </c>
      <c r="C2812" t="str">
        <f>VLOOKUP(A2812,'Programas y Unidades'!$A:$B,2,0)</f>
        <v>Medicina</v>
      </c>
    </row>
    <row r="2813" spans="1:3">
      <c r="A2813">
        <v>42</v>
      </c>
      <c r="B2813">
        <v>5</v>
      </c>
      <c r="C2813" t="str">
        <f>VLOOKUP(A2813,'Programas y Unidades'!$A:$B,2,0)</f>
        <v>Medicina</v>
      </c>
    </row>
    <row r="2814" spans="1:3">
      <c r="A2814">
        <v>42</v>
      </c>
      <c r="B2814">
        <v>5</v>
      </c>
      <c r="C2814" t="str">
        <f>VLOOKUP(A2814,'Programas y Unidades'!$A:$B,2,0)</f>
        <v>Medicina</v>
      </c>
    </row>
    <row r="2815" spans="1:3">
      <c r="A2815">
        <v>21</v>
      </c>
      <c r="B2815">
        <v>2</v>
      </c>
      <c r="C2815" t="str">
        <f>VLOOKUP(A2815,'Programas y Unidades'!$A:$B,2,0)</f>
        <v>Administración de Empresas</v>
      </c>
    </row>
    <row r="2816" spans="1:3">
      <c r="A2816">
        <v>30</v>
      </c>
      <c r="B2816">
        <v>4</v>
      </c>
      <c r="C2816" t="str">
        <f>VLOOKUP(A2816,'Programas y Unidades'!$A:$B,2,0)</f>
        <v>Derecho</v>
      </c>
    </row>
    <row r="2817" spans="1:3">
      <c r="A2817">
        <v>30</v>
      </c>
      <c r="B2817">
        <v>4</v>
      </c>
      <c r="C2817" t="str">
        <f>VLOOKUP(A2817,'Programas y Unidades'!$A:$B,2,0)</f>
        <v>Derecho</v>
      </c>
    </row>
    <row r="2818" spans="1:3">
      <c r="A2818">
        <v>30</v>
      </c>
      <c r="B2818">
        <v>5</v>
      </c>
      <c r="C2818" t="str">
        <f>VLOOKUP(A2818,'Programas y Unidades'!$A:$B,2,0)</f>
        <v>Derecho</v>
      </c>
    </row>
    <row r="2819" spans="1:3">
      <c r="A2819">
        <v>30</v>
      </c>
      <c r="B2819">
        <v>5</v>
      </c>
      <c r="C2819" t="str">
        <f>VLOOKUP(A2819,'Programas y Unidades'!$A:$B,2,0)</f>
        <v>Derecho</v>
      </c>
    </row>
    <row r="2820" spans="1:3">
      <c r="A2820">
        <v>30</v>
      </c>
      <c r="B2820">
        <v>4</v>
      </c>
      <c r="C2820" t="str">
        <f>VLOOKUP(A2820,'Programas y Unidades'!$A:$B,2,0)</f>
        <v>Derecho</v>
      </c>
    </row>
    <row r="2821" spans="1:3">
      <c r="A2821">
        <v>30</v>
      </c>
      <c r="B2821">
        <v>4</v>
      </c>
      <c r="C2821" t="str">
        <f>VLOOKUP(A2821,'Programas y Unidades'!$A:$B,2,0)</f>
        <v>Derecho</v>
      </c>
    </row>
    <row r="2822" spans="1:3">
      <c r="A2822">
        <v>30</v>
      </c>
      <c r="B2822">
        <v>5</v>
      </c>
      <c r="C2822" t="str">
        <f>VLOOKUP(A2822,'Programas y Unidades'!$A:$B,2,0)</f>
        <v>Derecho</v>
      </c>
    </row>
    <row r="2823" spans="1:3">
      <c r="A2823">
        <v>30</v>
      </c>
      <c r="B2823">
        <v>4</v>
      </c>
      <c r="C2823" t="str">
        <f>VLOOKUP(A2823,'Programas y Unidades'!$A:$B,2,0)</f>
        <v>Derecho</v>
      </c>
    </row>
    <row r="2824" spans="1:3">
      <c r="A2824">
        <v>30</v>
      </c>
      <c r="B2824">
        <v>5</v>
      </c>
      <c r="C2824" t="str">
        <f>VLOOKUP(A2824,'Programas y Unidades'!$A:$B,2,0)</f>
        <v>Derecho</v>
      </c>
    </row>
    <row r="2825" spans="1:3">
      <c r="A2825">
        <v>30</v>
      </c>
      <c r="B2825">
        <v>5</v>
      </c>
      <c r="C2825" t="str">
        <f>VLOOKUP(A2825,'Programas y Unidades'!$A:$B,2,0)</f>
        <v>Derecho</v>
      </c>
    </row>
    <row r="2826" spans="1:3">
      <c r="A2826">
        <v>30</v>
      </c>
      <c r="B2826">
        <v>5</v>
      </c>
      <c r="C2826" t="str">
        <f>VLOOKUP(A2826,'Programas y Unidades'!$A:$B,2,0)</f>
        <v>Derecho</v>
      </c>
    </row>
    <row r="2827" spans="1:3">
      <c r="A2827">
        <v>30</v>
      </c>
      <c r="B2827">
        <v>4</v>
      </c>
      <c r="C2827" t="str">
        <f>VLOOKUP(A2827,'Programas y Unidades'!$A:$B,2,0)</f>
        <v>Derecho</v>
      </c>
    </row>
    <row r="2828" spans="1:3">
      <c r="A2828">
        <v>30</v>
      </c>
      <c r="B2828">
        <v>4</v>
      </c>
      <c r="C2828" t="str">
        <f>VLOOKUP(A2828,'Programas y Unidades'!$A:$B,2,0)</f>
        <v>Derecho</v>
      </c>
    </row>
    <row r="2829" spans="1:3">
      <c r="A2829">
        <v>30</v>
      </c>
      <c r="B2829">
        <v>5</v>
      </c>
      <c r="C2829" t="str">
        <f>VLOOKUP(A2829,'Programas y Unidades'!$A:$B,2,0)</f>
        <v>Derecho</v>
      </c>
    </row>
    <row r="2830" spans="1:3">
      <c r="A2830">
        <v>30</v>
      </c>
      <c r="B2830">
        <v>4</v>
      </c>
      <c r="C2830" t="str">
        <f>VLOOKUP(A2830,'Programas y Unidades'!$A:$B,2,0)</f>
        <v>Derecho</v>
      </c>
    </row>
    <row r="2831" spans="1:3">
      <c r="A2831">
        <v>30</v>
      </c>
      <c r="B2831">
        <v>5</v>
      </c>
      <c r="C2831" t="str">
        <f>VLOOKUP(A2831,'Programas y Unidades'!$A:$B,2,0)</f>
        <v>Derecho</v>
      </c>
    </row>
    <row r="2832" spans="1:3">
      <c r="A2832">
        <v>30</v>
      </c>
      <c r="B2832">
        <v>5</v>
      </c>
      <c r="C2832" t="str">
        <f>VLOOKUP(A2832,'Programas y Unidades'!$A:$B,2,0)</f>
        <v>Derecho</v>
      </c>
    </row>
    <row r="2833" spans="1:3">
      <c r="A2833">
        <v>30</v>
      </c>
      <c r="B2833">
        <v>5</v>
      </c>
      <c r="C2833" t="str">
        <f>VLOOKUP(A2833,'Programas y Unidades'!$A:$B,2,0)</f>
        <v>Derecho</v>
      </c>
    </row>
    <row r="2834" spans="1:3">
      <c r="A2834">
        <v>30</v>
      </c>
      <c r="B2834">
        <v>4</v>
      </c>
      <c r="C2834" t="str">
        <f>VLOOKUP(A2834,'Programas y Unidades'!$A:$B,2,0)</f>
        <v>Derecho</v>
      </c>
    </row>
    <row r="2835" spans="1:3">
      <c r="A2835">
        <v>30</v>
      </c>
      <c r="B2835">
        <v>5</v>
      </c>
      <c r="C2835" t="str">
        <f>VLOOKUP(A2835,'Programas y Unidades'!$A:$B,2,0)</f>
        <v>Derecho</v>
      </c>
    </row>
    <row r="2836" spans="1:3">
      <c r="A2836">
        <v>30</v>
      </c>
      <c r="B2836">
        <v>5</v>
      </c>
      <c r="C2836" t="str">
        <f>VLOOKUP(A2836,'Programas y Unidades'!$A:$B,2,0)</f>
        <v>Derecho</v>
      </c>
    </row>
    <row r="2837" spans="1:3">
      <c r="A2837">
        <v>30</v>
      </c>
      <c r="B2837">
        <v>5</v>
      </c>
      <c r="C2837" t="str">
        <f>VLOOKUP(A2837,'Programas y Unidades'!$A:$B,2,0)</f>
        <v>Derecho</v>
      </c>
    </row>
    <row r="2838" spans="1:3">
      <c r="A2838">
        <v>30</v>
      </c>
      <c r="B2838">
        <v>6</v>
      </c>
      <c r="C2838" t="str">
        <f>VLOOKUP(A2838,'Programas y Unidades'!$A:$B,2,0)</f>
        <v>Derecho</v>
      </c>
    </row>
    <row r="2839" spans="1:3">
      <c r="A2839">
        <v>30</v>
      </c>
      <c r="B2839">
        <v>6</v>
      </c>
      <c r="C2839" t="str">
        <f>VLOOKUP(A2839,'Programas y Unidades'!$A:$B,2,0)</f>
        <v>Derecho</v>
      </c>
    </row>
    <row r="2840" spans="1:3">
      <c r="A2840">
        <v>42</v>
      </c>
      <c r="B2840">
        <v>7</v>
      </c>
      <c r="C2840" t="str">
        <f>VLOOKUP(A2840,'Programas y Unidades'!$A:$B,2,0)</f>
        <v>Medicina</v>
      </c>
    </row>
    <row r="2841" spans="1:3">
      <c r="A2841">
        <v>42</v>
      </c>
      <c r="B2841">
        <v>7</v>
      </c>
      <c r="C2841" t="str">
        <f>VLOOKUP(A2841,'Programas y Unidades'!$A:$B,2,0)</f>
        <v>Medicina</v>
      </c>
    </row>
    <row r="2842" spans="1:3">
      <c r="A2842">
        <v>42</v>
      </c>
      <c r="B2842">
        <v>7</v>
      </c>
      <c r="C2842" t="str">
        <f>VLOOKUP(A2842,'Programas y Unidades'!$A:$B,2,0)</f>
        <v>Medicina</v>
      </c>
    </row>
    <row r="2843" spans="1:3">
      <c r="A2843">
        <v>42</v>
      </c>
      <c r="B2843">
        <v>7</v>
      </c>
      <c r="C2843" t="str">
        <f>VLOOKUP(A2843,'Programas y Unidades'!$A:$B,2,0)</f>
        <v>Medicina</v>
      </c>
    </row>
    <row r="2844" spans="1:3">
      <c r="A2844">
        <v>42</v>
      </c>
      <c r="B2844">
        <v>7</v>
      </c>
      <c r="C2844" t="str">
        <f>VLOOKUP(A2844,'Programas y Unidades'!$A:$B,2,0)</f>
        <v>Medicina</v>
      </c>
    </row>
    <row r="2845" spans="1:3">
      <c r="A2845">
        <v>42</v>
      </c>
      <c r="B2845">
        <v>7</v>
      </c>
      <c r="C2845" t="str">
        <f>VLOOKUP(A2845,'Programas y Unidades'!$A:$B,2,0)</f>
        <v>Medicina</v>
      </c>
    </row>
    <row r="2846" spans="1:3">
      <c r="A2846">
        <v>42</v>
      </c>
      <c r="B2846">
        <v>7</v>
      </c>
      <c r="C2846" t="str">
        <f>VLOOKUP(A2846,'Programas y Unidades'!$A:$B,2,0)</f>
        <v>Medicina</v>
      </c>
    </row>
    <row r="2847" spans="1:3">
      <c r="A2847">
        <v>42</v>
      </c>
      <c r="B2847">
        <v>7</v>
      </c>
      <c r="C2847" t="str">
        <f>VLOOKUP(A2847,'Programas y Unidades'!$A:$B,2,0)</f>
        <v>Medicina</v>
      </c>
    </row>
    <row r="2848" spans="1:3">
      <c r="A2848">
        <v>42</v>
      </c>
      <c r="B2848">
        <v>7</v>
      </c>
      <c r="C2848" t="str">
        <f>VLOOKUP(A2848,'Programas y Unidades'!$A:$B,2,0)</f>
        <v>Medicina</v>
      </c>
    </row>
    <row r="2849" spans="1:3">
      <c r="A2849">
        <v>42</v>
      </c>
      <c r="B2849">
        <v>7</v>
      </c>
      <c r="C2849" t="str">
        <f>VLOOKUP(A2849,'Programas y Unidades'!$A:$B,2,0)</f>
        <v>Medicina</v>
      </c>
    </row>
    <row r="2850" spans="1:3">
      <c r="A2850">
        <v>42</v>
      </c>
      <c r="B2850">
        <v>7</v>
      </c>
      <c r="C2850" t="str">
        <f>VLOOKUP(A2850,'Programas y Unidades'!$A:$B,2,0)</f>
        <v>Medicina</v>
      </c>
    </row>
    <row r="2851" spans="1:3">
      <c r="A2851">
        <v>42</v>
      </c>
      <c r="B2851">
        <v>7</v>
      </c>
      <c r="C2851" t="str">
        <f>VLOOKUP(A2851,'Programas y Unidades'!$A:$B,2,0)</f>
        <v>Medicina</v>
      </c>
    </row>
    <row r="2852" spans="1:3">
      <c r="A2852">
        <v>42</v>
      </c>
      <c r="B2852">
        <v>7</v>
      </c>
      <c r="C2852" t="str">
        <f>VLOOKUP(A2852,'Programas y Unidades'!$A:$B,2,0)</f>
        <v>Medicina</v>
      </c>
    </row>
    <row r="2853" spans="1:3">
      <c r="A2853">
        <v>42</v>
      </c>
      <c r="B2853">
        <v>7</v>
      </c>
      <c r="C2853" t="str">
        <f>VLOOKUP(A2853,'Programas y Unidades'!$A:$B,2,0)</f>
        <v>Medicina</v>
      </c>
    </row>
    <row r="2854" spans="1:3">
      <c r="A2854">
        <v>42</v>
      </c>
      <c r="B2854">
        <v>7</v>
      </c>
      <c r="C2854" t="str">
        <f>VLOOKUP(A2854,'Programas y Unidades'!$A:$B,2,0)</f>
        <v>Medicina</v>
      </c>
    </row>
    <row r="2855" spans="1:3">
      <c r="A2855">
        <v>42</v>
      </c>
      <c r="B2855">
        <v>7</v>
      </c>
      <c r="C2855" t="str">
        <f>VLOOKUP(A2855,'Programas y Unidades'!$A:$B,2,0)</f>
        <v>Medicina</v>
      </c>
    </row>
    <row r="2856" spans="1:3">
      <c r="A2856">
        <v>42</v>
      </c>
      <c r="B2856">
        <v>7</v>
      </c>
      <c r="C2856" t="str">
        <f>VLOOKUP(A2856,'Programas y Unidades'!$A:$B,2,0)</f>
        <v>Medicina</v>
      </c>
    </row>
    <row r="2857" spans="1:3">
      <c r="A2857">
        <v>42</v>
      </c>
      <c r="B2857">
        <v>7</v>
      </c>
      <c r="C2857" t="str">
        <f>VLOOKUP(A2857,'Programas y Unidades'!$A:$B,2,0)</f>
        <v>Medicina</v>
      </c>
    </row>
    <row r="2858" spans="1:3">
      <c r="A2858">
        <v>42</v>
      </c>
      <c r="B2858">
        <v>7</v>
      </c>
      <c r="C2858" t="str">
        <f>VLOOKUP(A2858,'Programas y Unidades'!$A:$B,2,0)</f>
        <v>Medicina</v>
      </c>
    </row>
    <row r="2859" spans="1:3">
      <c r="A2859">
        <v>42</v>
      </c>
      <c r="B2859">
        <v>7</v>
      </c>
      <c r="C2859" t="str">
        <f>VLOOKUP(A2859,'Programas y Unidades'!$A:$B,2,0)</f>
        <v>Medicina</v>
      </c>
    </row>
    <row r="2860" spans="1:3">
      <c r="A2860">
        <v>42</v>
      </c>
      <c r="B2860">
        <v>7</v>
      </c>
      <c r="C2860" t="str">
        <f>VLOOKUP(A2860,'Programas y Unidades'!$A:$B,2,0)</f>
        <v>Medicina</v>
      </c>
    </row>
    <row r="2861" spans="1:3">
      <c r="A2861">
        <v>42</v>
      </c>
      <c r="B2861">
        <v>7</v>
      </c>
      <c r="C2861" t="str">
        <f>VLOOKUP(A2861,'Programas y Unidades'!$A:$B,2,0)</f>
        <v>Medicina</v>
      </c>
    </row>
    <row r="2862" spans="1:3">
      <c r="A2862">
        <v>42</v>
      </c>
      <c r="B2862">
        <v>7</v>
      </c>
      <c r="C2862" t="str">
        <f>VLOOKUP(A2862,'Programas y Unidades'!$A:$B,2,0)</f>
        <v>Medicina</v>
      </c>
    </row>
    <row r="2863" spans="1:3">
      <c r="A2863">
        <v>42</v>
      </c>
      <c r="B2863">
        <v>7</v>
      </c>
      <c r="C2863" t="str">
        <f>VLOOKUP(A2863,'Programas y Unidades'!$A:$B,2,0)</f>
        <v>Medicina</v>
      </c>
    </row>
    <row r="2864" spans="1:3">
      <c r="A2864">
        <v>42</v>
      </c>
      <c r="B2864">
        <v>7</v>
      </c>
      <c r="C2864" t="str">
        <f>VLOOKUP(A2864,'Programas y Unidades'!$A:$B,2,0)</f>
        <v>Medicina</v>
      </c>
    </row>
    <row r="2865" spans="1:3">
      <c r="A2865">
        <v>42</v>
      </c>
      <c r="B2865">
        <v>7</v>
      </c>
      <c r="C2865" t="str">
        <f>VLOOKUP(A2865,'Programas y Unidades'!$A:$B,2,0)</f>
        <v>Medicina</v>
      </c>
    </row>
    <row r="2866" spans="1:3">
      <c r="A2866">
        <v>42</v>
      </c>
      <c r="B2866">
        <v>7</v>
      </c>
      <c r="C2866" t="str">
        <f>VLOOKUP(A2866,'Programas y Unidades'!$A:$B,2,0)</f>
        <v>Medicina</v>
      </c>
    </row>
    <row r="2867" spans="1:3">
      <c r="A2867">
        <v>42</v>
      </c>
      <c r="B2867">
        <v>7</v>
      </c>
      <c r="C2867" t="str">
        <f>VLOOKUP(A2867,'Programas y Unidades'!$A:$B,2,0)</f>
        <v>Medicina</v>
      </c>
    </row>
    <row r="2868" spans="1:3">
      <c r="A2868">
        <v>42</v>
      </c>
      <c r="B2868">
        <v>7</v>
      </c>
      <c r="C2868" t="str">
        <f>VLOOKUP(A2868,'Programas y Unidades'!$A:$B,2,0)</f>
        <v>Medicina</v>
      </c>
    </row>
    <row r="2869" spans="1:3">
      <c r="A2869">
        <v>42</v>
      </c>
      <c r="B2869">
        <v>7</v>
      </c>
      <c r="C2869" t="str">
        <f>VLOOKUP(A2869,'Programas y Unidades'!$A:$B,2,0)</f>
        <v>Medicina</v>
      </c>
    </row>
    <row r="2870" spans="1:3">
      <c r="A2870">
        <v>42</v>
      </c>
      <c r="B2870">
        <v>7</v>
      </c>
      <c r="C2870" t="str">
        <f>VLOOKUP(A2870,'Programas y Unidades'!$A:$B,2,0)</f>
        <v>Medicina</v>
      </c>
    </row>
    <row r="2871" spans="1:3">
      <c r="A2871">
        <v>42</v>
      </c>
      <c r="B2871">
        <v>7</v>
      </c>
      <c r="C2871" t="str">
        <f>VLOOKUP(A2871,'Programas y Unidades'!$A:$B,2,0)</f>
        <v>Medicina</v>
      </c>
    </row>
    <row r="2872" spans="1:3">
      <c r="A2872">
        <v>42</v>
      </c>
      <c r="B2872">
        <v>7</v>
      </c>
      <c r="C2872" t="str">
        <f>VLOOKUP(A2872,'Programas y Unidades'!$A:$B,2,0)</f>
        <v>Medicina</v>
      </c>
    </row>
    <row r="2873" spans="1:3">
      <c r="A2873">
        <v>42</v>
      </c>
      <c r="B2873">
        <v>7</v>
      </c>
      <c r="C2873" t="str">
        <f>VLOOKUP(A2873,'Programas y Unidades'!$A:$B,2,0)</f>
        <v>Medicina</v>
      </c>
    </row>
    <row r="2874" spans="1:3">
      <c r="A2874">
        <v>42</v>
      </c>
      <c r="B2874">
        <v>7</v>
      </c>
      <c r="C2874" t="str">
        <f>VLOOKUP(A2874,'Programas y Unidades'!$A:$B,2,0)</f>
        <v>Medicina</v>
      </c>
    </row>
    <row r="2875" spans="1:3">
      <c r="A2875">
        <v>42</v>
      </c>
      <c r="B2875">
        <v>7</v>
      </c>
      <c r="C2875" t="str">
        <f>VLOOKUP(A2875,'Programas y Unidades'!$A:$B,2,0)</f>
        <v>Medicina</v>
      </c>
    </row>
    <row r="2876" spans="1:3">
      <c r="A2876">
        <v>42</v>
      </c>
      <c r="B2876">
        <v>7</v>
      </c>
      <c r="C2876" t="str">
        <f>VLOOKUP(A2876,'Programas y Unidades'!$A:$B,2,0)</f>
        <v>Medicina</v>
      </c>
    </row>
    <row r="2877" spans="1:3">
      <c r="A2877">
        <v>42</v>
      </c>
      <c r="B2877">
        <v>7</v>
      </c>
      <c r="C2877" t="str">
        <f>VLOOKUP(A2877,'Programas y Unidades'!$A:$B,2,0)</f>
        <v>Medicina</v>
      </c>
    </row>
    <row r="2878" spans="1:3">
      <c r="A2878">
        <v>42</v>
      </c>
      <c r="B2878">
        <v>7</v>
      </c>
      <c r="C2878" t="str">
        <f>VLOOKUP(A2878,'Programas y Unidades'!$A:$B,2,0)</f>
        <v>Medicina</v>
      </c>
    </row>
    <row r="2879" spans="1:3">
      <c r="A2879">
        <v>42</v>
      </c>
      <c r="B2879">
        <v>7</v>
      </c>
      <c r="C2879" t="str">
        <f>VLOOKUP(A2879,'Programas y Unidades'!$A:$B,2,0)</f>
        <v>Medicina</v>
      </c>
    </row>
    <row r="2880" spans="1:3">
      <c r="A2880">
        <v>42</v>
      </c>
      <c r="B2880">
        <v>7</v>
      </c>
      <c r="C2880" t="str">
        <f>VLOOKUP(A2880,'Programas y Unidades'!$A:$B,2,0)</f>
        <v>Medicina</v>
      </c>
    </row>
    <row r="2881" spans="1:3">
      <c r="A2881">
        <v>42</v>
      </c>
      <c r="B2881">
        <v>7</v>
      </c>
      <c r="C2881" t="str">
        <f>VLOOKUP(A2881,'Programas y Unidades'!$A:$B,2,0)</f>
        <v>Medicina</v>
      </c>
    </row>
    <row r="2882" spans="1:3">
      <c r="A2882">
        <v>42</v>
      </c>
      <c r="B2882">
        <v>7</v>
      </c>
      <c r="C2882" t="str">
        <f>VLOOKUP(A2882,'Programas y Unidades'!$A:$B,2,0)</f>
        <v>Medicina</v>
      </c>
    </row>
    <row r="2883" spans="1:3">
      <c r="A2883">
        <v>42</v>
      </c>
      <c r="B2883">
        <v>7</v>
      </c>
      <c r="C2883" t="str">
        <f>VLOOKUP(A2883,'Programas y Unidades'!$A:$B,2,0)</f>
        <v>Medicina</v>
      </c>
    </row>
    <row r="2884" spans="1:3">
      <c r="A2884">
        <v>42</v>
      </c>
      <c r="B2884">
        <v>7</v>
      </c>
      <c r="C2884" t="str">
        <f>VLOOKUP(A2884,'Programas y Unidades'!$A:$B,2,0)</f>
        <v>Medicina</v>
      </c>
    </row>
    <row r="2885" spans="1:3">
      <c r="A2885">
        <v>42</v>
      </c>
      <c r="B2885">
        <v>7</v>
      </c>
      <c r="C2885" t="str">
        <f>VLOOKUP(A2885,'Programas y Unidades'!$A:$B,2,0)</f>
        <v>Medicina</v>
      </c>
    </row>
    <row r="2886" spans="1:3">
      <c r="A2886">
        <v>42</v>
      </c>
      <c r="B2886">
        <v>7</v>
      </c>
      <c r="C2886" t="str">
        <f>VLOOKUP(A2886,'Programas y Unidades'!$A:$B,2,0)</f>
        <v>Medicina</v>
      </c>
    </row>
    <row r="2887" spans="1:3">
      <c r="A2887">
        <v>28</v>
      </c>
      <c r="B2887">
        <v>4</v>
      </c>
      <c r="C2887" t="str">
        <f>VLOOKUP(A2887,'Programas y Unidades'!$A:$B,2,0)</f>
        <v>Comunicación Social y Periodismo</v>
      </c>
    </row>
    <row r="2888" spans="1:3">
      <c r="A2888">
        <v>28</v>
      </c>
      <c r="B2888">
        <v>4</v>
      </c>
      <c r="C2888" t="str">
        <f>VLOOKUP(A2888,'Programas y Unidades'!$A:$B,2,0)</f>
        <v>Comunicación Social y Periodismo</v>
      </c>
    </row>
    <row r="2889" spans="1:3">
      <c r="A2889">
        <v>28</v>
      </c>
      <c r="B2889">
        <v>4</v>
      </c>
      <c r="C2889" t="str">
        <f>VLOOKUP(A2889,'Programas y Unidades'!$A:$B,2,0)</f>
        <v>Comunicación Social y Periodismo</v>
      </c>
    </row>
    <row r="2890" spans="1:3">
      <c r="A2890">
        <v>42</v>
      </c>
      <c r="B2890">
        <v>7</v>
      </c>
      <c r="C2890" t="str">
        <f>VLOOKUP(A2890,'Programas y Unidades'!$A:$B,2,0)</f>
        <v>Medicina</v>
      </c>
    </row>
    <row r="2891" spans="1:3">
      <c r="A2891">
        <v>28</v>
      </c>
      <c r="B2891">
        <v>4</v>
      </c>
      <c r="C2891" t="str">
        <f>VLOOKUP(A2891,'Programas y Unidades'!$A:$B,2,0)</f>
        <v>Comunicación Social y Periodismo</v>
      </c>
    </row>
    <row r="2892" spans="1:3">
      <c r="A2892">
        <v>42</v>
      </c>
      <c r="B2892">
        <v>7</v>
      </c>
      <c r="C2892" t="str">
        <f>VLOOKUP(A2892,'Programas y Unidades'!$A:$B,2,0)</f>
        <v>Medicina</v>
      </c>
    </row>
    <row r="2893" spans="1:3">
      <c r="A2893">
        <v>42</v>
      </c>
      <c r="B2893">
        <v>7</v>
      </c>
      <c r="C2893" t="str">
        <f>VLOOKUP(A2893,'Programas y Unidades'!$A:$B,2,0)</f>
        <v>Medicina</v>
      </c>
    </row>
    <row r="2894" spans="1:3">
      <c r="A2894">
        <v>28</v>
      </c>
      <c r="B2894">
        <v>4</v>
      </c>
      <c r="C2894" t="str">
        <f>VLOOKUP(A2894,'Programas y Unidades'!$A:$B,2,0)</f>
        <v>Comunicación Social y Periodismo</v>
      </c>
    </row>
    <row r="2895" spans="1:3">
      <c r="A2895">
        <v>42</v>
      </c>
      <c r="B2895">
        <v>7</v>
      </c>
      <c r="C2895" t="str">
        <f>VLOOKUP(A2895,'Programas y Unidades'!$A:$B,2,0)</f>
        <v>Medicina</v>
      </c>
    </row>
    <row r="2896" spans="1:3">
      <c r="A2896">
        <v>28</v>
      </c>
      <c r="B2896">
        <v>4</v>
      </c>
      <c r="C2896" t="str">
        <f>VLOOKUP(A2896,'Programas y Unidades'!$A:$B,2,0)</f>
        <v>Comunicación Social y Periodismo</v>
      </c>
    </row>
    <row r="2897" spans="1:3">
      <c r="A2897">
        <v>28</v>
      </c>
      <c r="B2897">
        <v>4</v>
      </c>
      <c r="C2897" t="str">
        <f>VLOOKUP(A2897,'Programas y Unidades'!$A:$B,2,0)</f>
        <v>Comunicación Social y Periodismo</v>
      </c>
    </row>
    <row r="2898" spans="1:3">
      <c r="A2898">
        <v>28</v>
      </c>
      <c r="B2898">
        <v>4</v>
      </c>
      <c r="C2898" t="str">
        <f>VLOOKUP(A2898,'Programas y Unidades'!$A:$B,2,0)</f>
        <v>Comunicación Social y Periodismo</v>
      </c>
    </row>
    <row r="2899" spans="1:3">
      <c r="A2899">
        <v>28</v>
      </c>
      <c r="B2899">
        <v>4</v>
      </c>
      <c r="C2899" t="str">
        <f>VLOOKUP(A2899,'Programas y Unidades'!$A:$B,2,0)</f>
        <v>Comunicación Social y Periodismo</v>
      </c>
    </row>
    <row r="2900" spans="1:3">
      <c r="A2900">
        <v>28</v>
      </c>
      <c r="B2900">
        <v>4</v>
      </c>
      <c r="C2900" t="str">
        <f>VLOOKUP(A2900,'Programas y Unidades'!$A:$B,2,0)</f>
        <v>Comunicación Social y Periodismo</v>
      </c>
    </row>
    <row r="2901" spans="1:3">
      <c r="A2901">
        <v>42</v>
      </c>
      <c r="B2901">
        <v>7</v>
      </c>
      <c r="C2901" t="str">
        <f>VLOOKUP(A2901,'Programas y Unidades'!$A:$B,2,0)</f>
        <v>Medicina</v>
      </c>
    </row>
    <row r="2902" spans="1:3">
      <c r="A2902">
        <v>28</v>
      </c>
      <c r="B2902">
        <v>4</v>
      </c>
      <c r="C2902" t="str">
        <f>VLOOKUP(A2902,'Programas y Unidades'!$A:$B,2,0)</f>
        <v>Comunicación Social y Periodismo</v>
      </c>
    </row>
    <row r="2903" spans="1:3">
      <c r="A2903">
        <v>42</v>
      </c>
      <c r="B2903">
        <v>7</v>
      </c>
      <c r="C2903" t="str">
        <f>VLOOKUP(A2903,'Programas y Unidades'!$A:$B,2,0)</f>
        <v>Medicina</v>
      </c>
    </row>
    <row r="2904" spans="1:3">
      <c r="A2904">
        <v>42</v>
      </c>
      <c r="B2904">
        <v>7</v>
      </c>
      <c r="C2904" t="str">
        <f>VLOOKUP(A2904,'Programas y Unidades'!$A:$B,2,0)</f>
        <v>Medicina</v>
      </c>
    </row>
    <row r="2905" spans="1:3">
      <c r="A2905">
        <v>28</v>
      </c>
      <c r="B2905">
        <v>4</v>
      </c>
      <c r="C2905" t="str">
        <f>VLOOKUP(A2905,'Programas y Unidades'!$A:$B,2,0)</f>
        <v>Comunicación Social y Periodismo</v>
      </c>
    </row>
    <row r="2906" spans="1:3">
      <c r="A2906">
        <v>28</v>
      </c>
      <c r="B2906">
        <v>4</v>
      </c>
      <c r="C2906" t="str">
        <f>VLOOKUP(A2906,'Programas y Unidades'!$A:$B,2,0)</f>
        <v>Comunicación Social y Periodismo</v>
      </c>
    </row>
    <row r="2907" spans="1:3">
      <c r="A2907">
        <v>28</v>
      </c>
      <c r="B2907">
        <v>4</v>
      </c>
      <c r="C2907" t="str">
        <f>VLOOKUP(A2907,'Programas y Unidades'!$A:$B,2,0)</f>
        <v>Comunicación Social y Periodismo</v>
      </c>
    </row>
    <row r="2908" spans="1:3">
      <c r="A2908">
        <v>28</v>
      </c>
      <c r="B2908">
        <v>4</v>
      </c>
      <c r="C2908" t="str">
        <f>VLOOKUP(A2908,'Programas y Unidades'!$A:$B,2,0)</f>
        <v>Comunicación Social y Periodismo</v>
      </c>
    </row>
    <row r="2909" spans="1:3">
      <c r="A2909">
        <v>28</v>
      </c>
      <c r="B2909">
        <v>4</v>
      </c>
      <c r="C2909" t="str">
        <f>VLOOKUP(A2909,'Programas y Unidades'!$A:$B,2,0)</f>
        <v>Comunicación Social y Periodismo</v>
      </c>
    </row>
    <row r="2910" spans="1:3">
      <c r="A2910">
        <v>28</v>
      </c>
      <c r="B2910">
        <v>7</v>
      </c>
      <c r="C2910" t="str">
        <f>VLOOKUP(A2910,'Programas y Unidades'!$A:$B,2,0)</f>
        <v>Comunicación Social y Periodismo</v>
      </c>
    </row>
    <row r="2911" spans="1:3">
      <c r="A2911">
        <v>28</v>
      </c>
      <c r="B2911">
        <v>4</v>
      </c>
      <c r="C2911" t="str">
        <f>VLOOKUP(A2911,'Programas y Unidades'!$A:$B,2,0)</f>
        <v>Comunicación Social y Periodismo</v>
      </c>
    </row>
    <row r="2912" spans="1:3">
      <c r="A2912">
        <v>28</v>
      </c>
      <c r="B2912">
        <v>4</v>
      </c>
      <c r="C2912" t="str">
        <f>VLOOKUP(A2912,'Programas y Unidades'!$A:$B,2,0)</f>
        <v>Comunicación Social y Periodismo</v>
      </c>
    </row>
    <row r="2913" spans="1:3">
      <c r="A2913">
        <v>28</v>
      </c>
      <c r="B2913">
        <v>4</v>
      </c>
      <c r="C2913" t="str">
        <f>VLOOKUP(A2913,'Programas y Unidades'!$A:$B,2,0)</f>
        <v>Comunicación Social y Periodismo</v>
      </c>
    </row>
    <row r="2914" spans="1:3">
      <c r="A2914">
        <v>28</v>
      </c>
      <c r="B2914">
        <v>4</v>
      </c>
      <c r="C2914" t="str">
        <f>VLOOKUP(A2914,'Programas y Unidades'!$A:$B,2,0)</f>
        <v>Comunicación Social y Periodismo</v>
      </c>
    </row>
    <row r="2915" spans="1:3">
      <c r="A2915">
        <v>28</v>
      </c>
      <c r="B2915">
        <v>4</v>
      </c>
      <c r="C2915" t="str">
        <f>VLOOKUP(A2915,'Programas y Unidades'!$A:$B,2,0)</f>
        <v>Comunicación Social y Periodismo</v>
      </c>
    </row>
    <row r="2916" spans="1:3">
      <c r="A2916">
        <v>28</v>
      </c>
      <c r="B2916">
        <v>4</v>
      </c>
      <c r="C2916" t="str">
        <f>VLOOKUP(A2916,'Programas y Unidades'!$A:$B,2,0)</f>
        <v>Comunicación Social y Periodismo</v>
      </c>
    </row>
    <row r="2917" spans="1:3">
      <c r="A2917">
        <v>28</v>
      </c>
      <c r="B2917">
        <v>4</v>
      </c>
      <c r="C2917" t="str">
        <f>VLOOKUP(A2917,'Programas y Unidades'!$A:$B,2,0)</f>
        <v>Comunicación Social y Periodismo</v>
      </c>
    </row>
    <row r="2918" spans="1:3">
      <c r="A2918">
        <v>28</v>
      </c>
      <c r="B2918">
        <v>3</v>
      </c>
      <c r="C2918" t="str">
        <f>VLOOKUP(A2918,'Programas y Unidades'!$A:$B,2,0)</f>
        <v>Comunicación Social y Periodismo</v>
      </c>
    </row>
    <row r="2919" spans="1:3">
      <c r="A2919">
        <v>28</v>
      </c>
      <c r="B2919">
        <v>3</v>
      </c>
      <c r="C2919" t="str">
        <f>VLOOKUP(A2919,'Programas y Unidades'!$A:$B,2,0)</f>
        <v>Comunicación Social y Periodismo</v>
      </c>
    </row>
    <row r="2920" spans="1:3">
      <c r="A2920">
        <v>28</v>
      </c>
      <c r="B2920">
        <v>3</v>
      </c>
      <c r="C2920" t="str">
        <f>VLOOKUP(A2920,'Programas y Unidades'!$A:$B,2,0)</f>
        <v>Comunicación Social y Periodismo</v>
      </c>
    </row>
    <row r="2921" spans="1:3">
      <c r="A2921">
        <v>28</v>
      </c>
      <c r="B2921">
        <v>3</v>
      </c>
      <c r="C2921" t="str">
        <f>VLOOKUP(A2921,'Programas y Unidades'!$A:$B,2,0)</f>
        <v>Comunicación Social y Periodismo</v>
      </c>
    </row>
    <row r="2922" spans="1:3">
      <c r="A2922">
        <v>28</v>
      </c>
      <c r="B2922">
        <v>3</v>
      </c>
      <c r="C2922" t="str">
        <f>VLOOKUP(A2922,'Programas y Unidades'!$A:$B,2,0)</f>
        <v>Comunicación Social y Periodismo</v>
      </c>
    </row>
    <row r="2923" spans="1:3">
      <c r="A2923">
        <v>28</v>
      </c>
      <c r="B2923">
        <v>4</v>
      </c>
      <c r="C2923" t="str">
        <f>VLOOKUP(A2923,'Programas y Unidades'!$A:$B,2,0)</f>
        <v>Comunicación Social y Periodismo</v>
      </c>
    </row>
    <row r="2924" spans="1:3">
      <c r="A2924">
        <v>28</v>
      </c>
      <c r="B2924">
        <v>3</v>
      </c>
      <c r="C2924" t="str">
        <f>VLOOKUP(A2924,'Programas y Unidades'!$A:$B,2,0)</f>
        <v>Comunicación Social y Periodismo</v>
      </c>
    </row>
    <row r="2925" spans="1:3">
      <c r="A2925">
        <v>28</v>
      </c>
      <c r="B2925">
        <v>3</v>
      </c>
      <c r="C2925" t="str">
        <f>VLOOKUP(A2925,'Programas y Unidades'!$A:$B,2,0)</f>
        <v>Comunicación Social y Periodismo</v>
      </c>
    </row>
    <row r="2926" spans="1:3">
      <c r="A2926">
        <v>28</v>
      </c>
      <c r="B2926">
        <v>3</v>
      </c>
      <c r="C2926" t="str">
        <f>VLOOKUP(A2926,'Programas y Unidades'!$A:$B,2,0)</f>
        <v>Comunicación Social y Periodismo</v>
      </c>
    </row>
    <row r="2927" spans="1:3">
      <c r="A2927">
        <v>28</v>
      </c>
      <c r="B2927">
        <v>3</v>
      </c>
      <c r="C2927" t="str">
        <f>VLOOKUP(A2927,'Programas y Unidades'!$A:$B,2,0)</f>
        <v>Comunicación Social y Periodismo</v>
      </c>
    </row>
    <row r="2928" spans="1:3">
      <c r="A2928">
        <v>28</v>
      </c>
      <c r="B2928">
        <v>3</v>
      </c>
      <c r="C2928" t="str">
        <f>VLOOKUP(A2928,'Programas y Unidades'!$A:$B,2,0)</f>
        <v>Comunicación Social y Periodismo</v>
      </c>
    </row>
    <row r="2929" spans="1:3">
      <c r="A2929">
        <v>28</v>
      </c>
      <c r="B2929">
        <v>3</v>
      </c>
      <c r="C2929" t="str">
        <f>VLOOKUP(A2929,'Programas y Unidades'!$A:$B,2,0)</f>
        <v>Comunicación Social y Periodismo</v>
      </c>
    </row>
    <row r="2930" spans="1:3">
      <c r="A2930">
        <v>28</v>
      </c>
      <c r="B2930">
        <v>3</v>
      </c>
      <c r="C2930" t="str">
        <f>VLOOKUP(A2930,'Programas y Unidades'!$A:$B,2,0)</f>
        <v>Comunicación Social y Periodismo</v>
      </c>
    </row>
    <row r="2931" spans="1:3">
      <c r="A2931">
        <v>28</v>
      </c>
      <c r="B2931">
        <v>4</v>
      </c>
      <c r="C2931" t="str">
        <f>VLOOKUP(A2931,'Programas y Unidades'!$A:$B,2,0)</f>
        <v>Comunicación Social y Periodismo</v>
      </c>
    </row>
    <row r="2932" spans="1:3">
      <c r="A2932">
        <v>27</v>
      </c>
      <c r="B2932">
        <v>3</v>
      </c>
      <c r="C2932" t="str">
        <f>VLOOKUP(A2932,'Programas y Unidades'!$A:$B,2,0)</f>
        <v>Comunicación Audiovisual y Multimedios</v>
      </c>
    </row>
    <row r="2933" spans="1:3">
      <c r="A2933">
        <v>28</v>
      </c>
      <c r="B2933">
        <v>4</v>
      </c>
      <c r="C2933" t="str">
        <f>VLOOKUP(A2933,'Programas y Unidades'!$A:$B,2,0)</f>
        <v>Comunicación Social y Periodismo</v>
      </c>
    </row>
    <row r="2934" spans="1:3">
      <c r="A2934">
        <v>28</v>
      </c>
      <c r="B2934">
        <v>3</v>
      </c>
      <c r="C2934" t="str">
        <f>VLOOKUP(A2934,'Programas y Unidades'!$A:$B,2,0)</f>
        <v>Comunicación Social y Periodismo</v>
      </c>
    </row>
    <row r="2935" spans="1:3">
      <c r="A2935">
        <v>28</v>
      </c>
      <c r="B2935">
        <v>4</v>
      </c>
      <c r="C2935" t="str">
        <f>VLOOKUP(A2935,'Programas y Unidades'!$A:$B,2,0)</f>
        <v>Comunicación Social y Periodismo</v>
      </c>
    </row>
    <row r="2936" spans="1:3">
      <c r="A2936">
        <v>28</v>
      </c>
      <c r="B2936">
        <v>4</v>
      </c>
      <c r="C2936" t="str">
        <f>VLOOKUP(A2936,'Programas y Unidades'!$A:$B,2,0)</f>
        <v>Comunicación Social y Periodismo</v>
      </c>
    </row>
    <row r="2937" spans="1:3">
      <c r="A2937">
        <v>28</v>
      </c>
      <c r="B2937">
        <v>3</v>
      </c>
      <c r="C2937" t="str">
        <f>VLOOKUP(A2937,'Programas y Unidades'!$A:$B,2,0)</f>
        <v>Comunicación Social y Periodismo</v>
      </c>
    </row>
    <row r="2938" spans="1:3">
      <c r="A2938">
        <v>28</v>
      </c>
      <c r="B2938">
        <v>6</v>
      </c>
      <c r="C2938" t="str">
        <f>VLOOKUP(A2938,'Programas y Unidades'!$A:$B,2,0)</f>
        <v>Comunicación Social y Periodismo</v>
      </c>
    </row>
    <row r="2939" spans="1:3">
      <c r="A2939">
        <v>28</v>
      </c>
      <c r="B2939">
        <v>6</v>
      </c>
      <c r="C2939" t="str">
        <f>VLOOKUP(A2939,'Programas y Unidades'!$A:$B,2,0)</f>
        <v>Comunicación Social y Periodismo</v>
      </c>
    </row>
    <row r="2940" spans="1:3">
      <c r="A2940">
        <v>28</v>
      </c>
      <c r="B2940">
        <v>6</v>
      </c>
      <c r="C2940" t="str">
        <f>VLOOKUP(A2940,'Programas y Unidades'!$A:$B,2,0)</f>
        <v>Comunicación Social y Periodismo</v>
      </c>
    </row>
    <row r="2941" spans="1:3">
      <c r="A2941">
        <v>28</v>
      </c>
      <c r="B2941">
        <v>6</v>
      </c>
      <c r="C2941" t="str">
        <f>VLOOKUP(A2941,'Programas y Unidades'!$A:$B,2,0)</f>
        <v>Comunicación Social y Periodismo</v>
      </c>
    </row>
    <row r="2942" spans="1:3">
      <c r="A2942">
        <v>28</v>
      </c>
      <c r="B2942">
        <v>6</v>
      </c>
      <c r="C2942" t="str">
        <f>VLOOKUP(A2942,'Programas y Unidades'!$A:$B,2,0)</f>
        <v>Comunicación Social y Periodismo</v>
      </c>
    </row>
    <row r="2943" spans="1:3">
      <c r="A2943">
        <v>28</v>
      </c>
      <c r="B2943">
        <v>6</v>
      </c>
      <c r="C2943" t="str">
        <f>VLOOKUP(A2943,'Programas y Unidades'!$A:$B,2,0)</f>
        <v>Comunicación Social y Periodismo</v>
      </c>
    </row>
    <row r="2944" spans="1:3">
      <c r="A2944">
        <v>43</v>
      </c>
      <c r="B2944">
        <v>4</v>
      </c>
      <c r="C2944" t="str">
        <f>VLOOKUP(A2944,'Programas y Unidades'!$A:$B,2,0)</f>
        <v>Psicología</v>
      </c>
    </row>
    <row r="2945" spans="1:3">
      <c r="A2945">
        <v>43</v>
      </c>
      <c r="B2945">
        <v>5</v>
      </c>
      <c r="C2945" t="str">
        <f>VLOOKUP(A2945,'Programas y Unidades'!$A:$B,2,0)</f>
        <v>Psicología</v>
      </c>
    </row>
    <row r="2946" spans="1:3">
      <c r="A2946">
        <v>43</v>
      </c>
      <c r="B2946">
        <v>4</v>
      </c>
      <c r="C2946" t="str">
        <f>VLOOKUP(A2946,'Programas y Unidades'!$A:$B,2,0)</f>
        <v>Psicología</v>
      </c>
    </row>
    <row r="2947" spans="1:3">
      <c r="A2947">
        <v>43</v>
      </c>
      <c r="B2947">
        <v>5</v>
      </c>
      <c r="C2947" t="str">
        <f>VLOOKUP(A2947,'Programas y Unidades'!$A:$B,2,0)</f>
        <v>Psicología</v>
      </c>
    </row>
    <row r="2948" spans="1:3">
      <c r="A2948">
        <v>43</v>
      </c>
      <c r="B2948">
        <v>4</v>
      </c>
      <c r="C2948" t="str">
        <f>VLOOKUP(A2948,'Programas y Unidades'!$A:$B,2,0)</f>
        <v>Psicología</v>
      </c>
    </row>
    <row r="2949" spans="1:3">
      <c r="A2949">
        <v>43</v>
      </c>
      <c r="B2949">
        <v>6</v>
      </c>
      <c r="C2949" t="str">
        <f>VLOOKUP(A2949,'Programas y Unidades'!$A:$B,2,0)</f>
        <v>Psicología</v>
      </c>
    </row>
    <row r="2950" spans="1:3">
      <c r="A2950">
        <v>43</v>
      </c>
      <c r="B2950">
        <v>5</v>
      </c>
      <c r="C2950" t="str">
        <f>VLOOKUP(A2950,'Programas y Unidades'!$A:$B,2,0)</f>
        <v>Psicología</v>
      </c>
    </row>
    <row r="2951" spans="1:3">
      <c r="A2951">
        <v>43</v>
      </c>
      <c r="B2951">
        <v>4</v>
      </c>
      <c r="C2951" t="str">
        <f>VLOOKUP(A2951,'Programas y Unidades'!$A:$B,2,0)</f>
        <v>Psicología</v>
      </c>
    </row>
    <row r="2952" spans="1:3">
      <c r="A2952">
        <v>43</v>
      </c>
      <c r="B2952">
        <v>4</v>
      </c>
      <c r="C2952" t="str">
        <f>VLOOKUP(A2952,'Programas y Unidades'!$A:$B,2,0)</f>
        <v>Psicología</v>
      </c>
    </row>
    <row r="2953" spans="1:3">
      <c r="A2953">
        <v>43</v>
      </c>
      <c r="B2953">
        <v>2</v>
      </c>
      <c r="C2953" t="str">
        <f>VLOOKUP(A2953,'Programas y Unidades'!$A:$B,2,0)</f>
        <v>Psicología</v>
      </c>
    </row>
    <row r="2954" spans="1:3">
      <c r="A2954">
        <v>43</v>
      </c>
      <c r="B2954">
        <v>4</v>
      </c>
      <c r="C2954" t="str">
        <f>VLOOKUP(A2954,'Programas y Unidades'!$A:$B,2,0)</f>
        <v>Psicología</v>
      </c>
    </row>
    <row r="2955" spans="1:3">
      <c r="A2955">
        <v>43</v>
      </c>
      <c r="B2955">
        <v>4</v>
      </c>
      <c r="C2955" t="str">
        <f>VLOOKUP(A2955,'Programas y Unidades'!$A:$B,2,0)</f>
        <v>Psicología</v>
      </c>
    </row>
    <row r="2956" spans="1:3">
      <c r="A2956">
        <v>43</v>
      </c>
      <c r="B2956">
        <v>4</v>
      </c>
      <c r="C2956" t="str">
        <f>VLOOKUP(A2956,'Programas y Unidades'!$A:$B,2,0)</f>
        <v>Psicología</v>
      </c>
    </row>
    <row r="2957" spans="1:3">
      <c r="A2957">
        <v>43</v>
      </c>
      <c r="B2957">
        <v>4</v>
      </c>
      <c r="C2957" t="str">
        <f>VLOOKUP(A2957,'Programas y Unidades'!$A:$B,2,0)</f>
        <v>Psicología</v>
      </c>
    </row>
    <row r="2958" spans="1:3">
      <c r="A2958">
        <v>43</v>
      </c>
      <c r="B2958">
        <v>3</v>
      </c>
      <c r="C2958" t="str">
        <f>VLOOKUP(A2958,'Programas y Unidades'!$A:$B,2,0)</f>
        <v>Psicología</v>
      </c>
    </row>
    <row r="2959" spans="1:3">
      <c r="A2959">
        <v>43</v>
      </c>
      <c r="B2959">
        <v>3</v>
      </c>
      <c r="C2959" t="str">
        <f>VLOOKUP(A2959,'Programas y Unidades'!$A:$B,2,0)</f>
        <v>Psicología</v>
      </c>
    </row>
    <row r="2960" spans="1:3">
      <c r="A2960">
        <v>41</v>
      </c>
      <c r="B2960">
        <v>8</v>
      </c>
      <c r="C2960" t="str">
        <f>VLOOKUP(A2960,'Programas y Unidades'!$A:$B,2,0)</f>
        <v>Ingeniería Química</v>
      </c>
    </row>
    <row r="2961" spans="1:3">
      <c r="A2961">
        <v>146</v>
      </c>
      <c r="B2961">
        <v>8</v>
      </c>
      <c r="C2961" t="str">
        <f>VLOOKUP(A2961,'Programas y Unidades'!$A:$B,2,0)</f>
        <v>Ingeniería de Bioproducción</v>
      </c>
    </row>
    <row r="2962" spans="1:3">
      <c r="A2962">
        <v>147</v>
      </c>
      <c r="B2962">
        <v>8</v>
      </c>
      <c r="C2962" t="str">
        <f>VLOOKUP(A2962,'Programas y Unidades'!$A:$B,2,0)</f>
        <v>Ingeniería de Producción Agroindustrial</v>
      </c>
    </row>
    <row r="2963" spans="1:3">
      <c r="A2963">
        <v>147</v>
      </c>
      <c r="B2963">
        <v>8</v>
      </c>
      <c r="C2963" t="str">
        <f>VLOOKUP(A2963,'Programas y Unidades'!$A:$B,2,0)</f>
        <v>Ingeniería de Producción Agroindustrial</v>
      </c>
    </row>
    <row r="2964" spans="1:3">
      <c r="A2964">
        <v>41</v>
      </c>
      <c r="B2964">
        <v>8</v>
      </c>
      <c r="C2964" t="str">
        <f>VLOOKUP(A2964,'Programas y Unidades'!$A:$B,2,0)</f>
        <v>Ingeniería Química</v>
      </c>
    </row>
    <row r="2965" spans="1:3">
      <c r="A2965">
        <v>24</v>
      </c>
      <c r="B2965">
        <v>4</v>
      </c>
      <c r="C2965" t="str">
        <f>VLOOKUP(A2965,'Programas y Unidades'!$A:$B,2,0)</f>
        <v>Economía y Finanzas Internacionales</v>
      </c>
    </row>
    <row r="2966" spans="1:3">
      <c r="A2966">
        <v>24</v>
      </c>
      <c r="B2966">
        <v>4</v>
      </c>
      <c r="C2966" t="str">
        <f>VLOOKUP(A2966,'Programas y Unidades'!$A:$B,2,0)</f>
        <v>Economía y Finanzas Internacionales</v>
      </c>
    </row>
    <row r="2967" spans="1:3">
      <c r="A2967">
        <v>24</v>
      </c>
      <c r="B2967">
        <v>4</v>
      </c>
      <c r="C2967" t="str">
        <f>VLOOKUP(A2967,'Programas y Unidades'!$A:$B,2,0)</f>
        <v>Economía y Finanzas Internacionales</v>
      </c>
    </row>
    <row r="2968" spans="1:3">
      <c r="A2968">
        <v>24</v>
      </c>
      <c r="B2968">
        <v>4</v>
      </c>
      <c r="C2968" t="str">
        <f>VLOOKUP(A2968,'Programas y Unidades'!$A:$B,2,0)</f>
        <v>Economía y Finanzas Internacionales</v>
      </c>
    </row>
    <row r="2969" spans="1:3">
      <c r="A2969">
        <v>23</v>
      </c>
      <c r="B2969">
        <v>5</v>
      </c>
      <c r="C2969" t="str">
        <f>VLOOKUP(A2969,'Programas y Unidades'!$A:$B,2,0)</f>
        <v>Administración de Negocios Internacionales</v>
      </c>
    </row>
    <row r="2970" spans="1:3">
      <c r="A2970">
        <v>24</v>
      </c>
      <c r="B2970">
        <v>3</v>
      </c>
      <c r="C2970" t="str">
        <f>VLOOKUP(A2970,'Programas y Unidades'!$A:$B,2,0)</f>
        <v>Economía y Finanzas Internacionales</v>
      </c>
    </row>
    <row r="2971" spans="1:3">
      <c r="A2971">
        <v>24</v>
      </c>
      <c r="B2971">
        <v>4</v>
      </c>
      <c r="C2971" t="str">
        <f>VLOOKUP(A2971,'Programas y Unidades'!$A:$B,2,0)</f>
        <v>Economía y Finanzas Internacionales</v>
      </c>
    </row>
    <row r="2972" spans="1:3">
      <c r="A2972">
        <v>24</v>
      </c>
      <c r="B2972">
        <v>6</v>
      </c>
      <c r="C2972" t="str">
        <f>VLOOKUP(A2972,'Programas y Unidades'!$A:$B,2,0)</f>
        <v>Economía y Finanzas Internacionales</v>
      </c>
    </row>
    <row r="2973" spans="1:3">
      <c r="A2973">
        <v>24</v>
      </c>
      <c r="B2973">
        <v>4</v>
      </c>
      <c r="C2973" t="str">
        <f>VLOOKUP(A2973,'Programas y Unidades'!$A:$B,2,0)</f>
        <v>Economía y Finanzas Internacionales</v>
      </c>
    </row>
    <row r="2974" spans="1:3">
      <c r="A2974">
        <v>24</v>
      </c>
      <c r="B2974">
        <v>7</v>
      </c>
      <c r="C2974" t="str">
        <f>VLOOKUP(A2974,'Programas y Unidades'!$A:$B,2,0)</f>
        <v>Economía y Finanzas Internacionales</v>
      </c>
    </row>
    <row r="2975" spans="1:3">
      <c r="A2975">
        <v>24</v>
      </c>
      <c r="B2975">
        <v>4</v>
      </c>
      <c r="C2975" t="str">
        <f>VLOOKUP(A2975,'Programas y Unidades'!$A:$B,2,0)</f>
        <v>Economía y Finanzas Internacionales</v>
      </c>
    </row>
    <row r="2976" spans="1:3">
      <c r="A2976">
        <v>24</v>
      </c>
      <c r="B2976">
        <v>4</v>
      </c>
      <c r="C2976" t="str">
        <f>VLOOKUP(A2976,'Programas y Unidades'!$A:$B,2,0)</f>
        <v>Economía y Finanzas Internacionales</v>
      </c>
    </row>
    <row r="2977" spans="1:3">
      <c r="A2977">
        <v>24</v>
      </c>
      <c r="B2977">
        <v>4</v>
      </c>
      <c r="C2977" t="str">
        <f>VLOOKUP(A2977,'Programas y Unidades'!$A:$B,2,0)</f>
        <v>Economía y Finanzas Internacionales</v>
      </c>
    </row>
    <row r="2978" spans="1:3">
      <c r="A2978">
        <v>30</v>
      </c>
      <c r="B2978">
        <v>8</v>
      </c>
      <c r="C2978" t="str">
        <f>VLOOKUP(A2978,'Programas y Unidades'!$A:$B,2,0)</f>
        <v>Derecho</v>
      </c>
    </row>
    <row r="2979" spans="1:3">
      <c r="A2979">
        <v>28</v>
      </c>
      <c r="B2979">
        <v>3</v>
      </c>
      <c r="C2979" t="str">
        <f>VLOOKUP(A2979,'Programas y Unidades'!$A:$B,2,0)</f>
        <v>Comunicación Social y Periodismo</v>
      </c>
    </row>
    <row r="2980" spans="1:3">
      <c r="A2980">
        <v>28</v>
      </c>
      <c r="B2980">
        <v>3</v>
      </c>
      <c r="C2980" t="str">
        <f>VLOOKUP(A2980,'Programas y Unidades'!$A:$B,2,0)</f>
        <v>Comunicación Social y Periodismo</v>
      </c>
    </row>
    <row r="2981" spans="1:3">
      <c r="A2981">
        <v>28</v>
      </c>
      <c r="B2981">
        <v>3</v>
      </c>
      <c r="C2981" t="str">
        <f>VLOOKUP(A2981,'Programas y Unidades'!$A:$B,2,0)</f>
        <v>Comunicación Social y Periodismo</v>
      </c>
    </row>
    <row r="2982" spans="1:3">
      <c r="A2982">
        <v>28</v>
      </c>
      <c r="B2982">
        <v>3</v>
      </c>
      <c r="C2982" t="str">
        <f>VLOOKUP(A2982,'Programas y Unidades'!$A:$B,2,0)</f>
        <v>Comunicación Social y Periodismo</v>
      </c>
    </row>
    <row r="2983" spans="1:3">
      <c r="A2983">
        <v>28</v>
      </c>
      <c r="B2983">
        <v>3</v>
      </c>
      <c r="C2983" t="str">
        <f>VLOOKUP(A2983,'Programas y Unidades'!$A:$B,2,0)</f>
        <v>Comunicación Social y Periodismo</v>
      </c>
    </row>
    <row r="2984" spans="1:3">
      <c r="A2984">
        <v>28</v>
      </c>
      <c r="B2984">
        <v>4</v>
      </c>
      <c r="C2984" t="str">
        <f>VLOOKUP(A2984,'Programas y Unidades'!$A:$B,2,0)</f>
        <v>Comunicación Social y Periodismo</v>
      </c>
    </row>
    <row r="2985" spans="1:3">
      <c r="A2985">
        <v>28</v>
      </c>
      <c r="B2985">
        <v>3</v>
      </c>
      <c r="C2985" t="str">
        <f>VLOOKUP(A2985,'Programas y Unidades'!$A:$B,2,0)</f>
        <v>Comunicación Social y Periodismo</v>
      </c>
    </row>
    <row r="2986" spans="1:3">
      <c r="A2986">
        <v>28</v>
      </c>
      <c r="B2986">
        <v>3</v>
      </c>
      <c r="C2986" t="str">
        <f>VLOOKUP(A2986,'Programas y Unidades'!$A:$B,2,0)</f>
        <v>Comunicación Social y Periodismo</v>
      </c>
    </row>
    <row r="2987" spans="1:3">
      <c r="A2987">
        <v>28</v>
      </c>
      <c r="B2987">
        <v>3</v>
      </c>
      <c r="C2987" t="str">
        <f>VLOOKUP(A2987,'Programas y Unidades'!$A:$B,2,0)</f>
        <v>Comunicación Social y Periodismo</v>
      </c>
    </row>
    <row r="2988" spans="1:3">
      <c r="A2988">
        <v>28</v>
      </c>
      <c r="B2988">
        <v>4</v>
      </c>
      <c r="C2988" t="str">
        <f>VLOOKUP(A2988,'Programas y Unidades'!$A:$B,2,0)</f>
        <v>Comunicación Social y Periodismo</v>
      </c>
    </row>
    <row r="2989" spans="1:3">
      <c r="A2989">
        <v>28</v>
      </c>
      <c r="B2989">
        <v>3</v>
      </c>
      <c r="C2989" t="str">
        <f>VLOOKUP(A2989,'Programas y Unidades'!$A:$B,2,0)</f>
        <v>Comunicación Social y Periodismo</v>
      </c>
    </row>
    <row r="2990" spans="1:3">
      <c r="A2990">
        <v>28</v>
      </c>
      <c r="B2990">
        <v>3</v>
      </c>
      <c r="C2990" t="str">
        <f>VLOOKUP(A2990,'Programas y Unidades'!$A:$B,2,0)</f>
        <v>Comunicación Social y Periodismo</v>
      </c>
    </row>
    <row r="2991" spans="1:3">
      <c r="A2991">
        <v>28</v>
      </c>
      <c r="B2991">
        <v>3</v>
      </c>
      <c r="C2991" t="str">
        <f>VLOOKUP(A2991,'Programas y Unidades'!$A:$B,2,0)</f>
        <v>Comunicación Social y Periodismo</v>
      </c>
    </row>
    <row r="2992" spans="1:3">
      <c r="A2992">
        <v>28</v>
      </c>
      <c r="B2992">
        <v>3</v>
      </c>
      <c r="C2992" t="str">
        <f>VLOOKUP(A2992,'Programas y Unidades'!$A:$B,2,0)</f>
        <v>Comunicación Social y Periodismo</v>
      </c>
    </row>
    <row r="2993" spans="1:3">
      <c r="A2993">
        <v>28</v>
      </c>
      <c r="B2993">
        <v>3</v>
      </c>
      <c r="C2993" t="str">
        <f>VLOOKUP(A2993,'Programas y Unidades'!$A:$B,2,0)</f>
        <v>Comunicación Social y Periodismo</v>
      </c>
    </row>
    <row r="2994" spans="1:3">
      <c r="A2994">
        <v>147</v>
      </c>
      <c r="B2994">
        <v>8</v>
      </c>
      <c r="C2994" t="str">
        <f>VLOOKUP(A2994,'Programas y Unidades'!$A:$B,2,0)</f>
        <v>Ingeniería de Producción Agroindustrial</v>
      </c>
    </row>
    <row r="2995" spans="1:3">
      <c r="A2995">
        <v>23</v>
      </c>
      <c r="B2995">
        <v>3</v>
      </c>
      <c r="C2995" t="str">
        <f>VLOOKUP(A2995,'Programas y Unidades'!$A:$B,2,0)</f>
        <v>Administración de Negocios Internacionales</v>
      </c>
    </row>
    <row r="2996" spans="1:3">
      <c r="A2996">
        <v>23</v>
      </c>
      <c r="B2996">
        <v>3</v>
      </c>
      <c r="C2996" t="str">
        <f>VLOOKUP(A2996,'Programas y Unidades'!$A:$B,2,0)</f>
        <v>Administración de Negocios Internacionales</v>
      </c>
    </row>
    <row r="2997" spans="1:3">
      <c r="A2997">
        <v>23</v>
      </c>
      <c r="B2997">
        <v>3</v>
      </c>
      <c r="C2997" t="str">
        <f>VLOOKUP(A2997,'Programas y Unidades'!$A:$B,2,0)</f>
        <v>Administración de Negocios Internacionales</v>
      </c>
    </row>
    <row r="2998" spans="1:3">
      <c r="A2998">
        <v>25</v>
      </c>
      <c r="B2998">
        <v>4</v>
      </c>
      <c r="C2998" t="str">
        <f>VLOOKUP(A2998,'Programas y Unidades'!$A:$B,2,0)</f>
        <v>Gastronomía</v>
      </c>
    </row>
    <row r="2999" spans="1:3">
      <c r="A2999">
        <v>21</v>
      </c>
      <c r="B2999">
        <v>3</v>
      </c>
      <c r="C2999" t="str">
        <f>VLOOKUP(A2999,'Programas y Unidades'!$A:$B,2,0)</f>
        <v>Administración de Empresas</v>
      </c>
    </row>
    <row r="3000" spans="1:3">
      <c r="A3000">
        <v>24</v>
      </c>
      <c r="B3000">
        <v>3</v>
      </c>
      <c r="C3000" t="str">
        <f>VLOOKUP(A3000,'Programas y Unidades'!$A:$B,2,0)</f>
        <v>Economía y Finanzas Internacionales</v>
      </c>
    </row>
    <row r="3001" spans="1:3">
      <c r="A3001">
        <v>23</v>
      </c>
      <c r="B3001">
        <v>3</v>
      </c>
      <c r="C3001" t="str">
        <f>VLOOKUP(A3001,'Programas y Unidades'!$A:$B,2,0)</f>
        <v>Administración de Negocios Internacionales</v>
      </c>
    </row>
    <row r="3002" spans="1:3">
      <c r="A3002">
        <v>146</v>
      </c>
      <c r="B3002">
        <v>8</v>
      </c>
      <c r="C3002" t="str">
        <f>VLOOKUP(A3002,'Programas y Unidades'!$A:$B,2,0)</f>
        <v>Ingeniería de Bioproducción</v>
      </c>
    </row>
    <row r="3003" spans="1:3">
      <c r="A3003">
        <v>24</v>
      </c>
      <c r="B3003">
        <v>7</v>
      </c>
      <c r="C3003" t="str">
        <f>VLOOKUP(A3003,'Programas y Unidades'!$A:$B,2,0)</f>
        <v>Economía y Finanzas Internacionales</v>
      </c>
    </row>
    <row r="3004" spans="1:3">
      <c r="A3004">
        <v>24</v>
      </c>
      <c r="B3004">
        <v>6</v>
      </c>
      <c r="C3004" t="str">
        <f>VLOOKUP(A3004,'Programas y Unidades'!$A:$B,2,0)</f>
        <v>Economía y Finanzas Internacionales</v>
      </c>
    </row>
    <row r="3005" spans="1:3">
      <c r="A3005">
        <v>24</v>
      </c>
      <c r="B3005">
        <v>6</v>
      </c>
      <c r="C3005" t="str">
        <f>VLOOKUP(A3005,'Programas y Unidades'!$A:$B,2,0)</f>
        <v>Economía y Finanzas Internacionales</v>
      </c>
    </row>
    <row r="3006" spans="1:3">
      <c r="A3006">
        <v>24</v>
      </c>
      <c r="B3006">
        <v>8</v>
      </c>
      <c r="C3006" t="str">
        <f>VLOOKUP(A3006,'Programas y Unidades'!$A:$B,2,0)</f>
        <v>Economía y Finanzas Internacionales</v>
      </c>
    </row>
    <row r="3007" spans="1:3">
      <c r="A3007">
        <v>23</v>
      </c>
      <c r="B3007">
        <v>8</v>
      </c>
      <c r="C3007" t="str">
        <f>VLOOKUP(A3007,'Programas y Unidades'!$A:$B,2,0)</f>
        <v>Administración de Negocios Internacionales</v>
      </c>
    </row>
    <row r="3008" spans="1:3">
      <c r="A3008">
        <v>24</v>
      </c>
      <c r="B3008">
        <v>6</v>
      </c>
      <c r="C3008" t="str">
        <f>VLOOKUP(A3008,'Programas y Unidades'!$A:$B,2,0)</f>
        <v>Economía y Finanzas Internacionales</v>
      </c>
    </row>
    <row r="3009" spans="1:3">
      <c r="A3009">
        <v>24</v>
      </c>
      <c r="B3009">
        <v>7</v>
      </c>
      <c r="C3009" t="str">
        <f>VLOOKUP(A3009,'Programas y Unidades'!$A:$B,2,0)</f>
        <v>Economía y Finanzas Internacionales</v>
      </c>
    </row>
    <row r="3010" spans="1:3">
      <c r="A3010">
        <v>24</v>
      </c>
      <c r="B3010">
        <v>6</v>
      </c>
      <c r="C3010" t="str">
        <f>VLOOKUP(A3010,'Programas y Unidades'!$A:$B,2,0)</f>
        <v>Economía y Finanzas Internacionales</v>
      </c>
    </row>
    <row r="3011" spans="1:3">
      <c r="A3011">
        <v>24</v>
      </c>
      <c r="B3011">
        <v>7</v>
      </c>
      <c r="C3011" t="str">
        <f>VLOOKUP(A3011,'Programas y Unidades'!$A:$B,2,0)</f>
        <v>Economía y Finanzas Internacionales</v>
      </c>
    </row>
    <row r="3012" spans="1:3">
      <c r="A3012">
        <v>24</v>
      </c>
      <c r="B3012">
        <v>6</v>
      </c>
      <c r="C3012" t="str">
        <f>VLOOKUP(A3012,'Programas y Unidades'!$A:$B,2,0)</f>
        <v>Economía y Finanzas Internacionales</v>
      </c>
    </row>
    <row r="3013" spans="1:3">
      <c r="A3013">
        <v>24</v>
      </c>
      <c r="B3013">
        <v>6</v>
      </c>
      <c r="C3013" t="str">
        <f>VLOOKUP(A3013,'Programas y Unidades'!$A:$B,2,0)</f>
        <v>Economía y Finanzas Internacionales</v>
      </c>
    </row>
    <row r="3014" spans="1:3">
      <c r="A3014">
        <v>24</v>
      </c>
      <c r="B3014">
        <v>6</v>
      </c>
      <c r="C3014" t="str">
        <f>VLOOKUP(A3014,'Programas y Unidades'!$A:$B,2,0)</f>
        <v>Economía y Finanzas Internacionales</v>
      </c>
    </row>
    <row r="3015" spans="1:3">
      <c r="A3015">
        <v>24</v>
      </c>
      <c r="B3015">
        <v>7</v>
      </c>
      <c r="C3015" t="str">
        <f>VLOOKUP(A3015,'Programas y Unidades'!$A:$B,2,0)</f>
        <v>Economía y Finanzas Internacionales</v>
      </c>
    </row>
    <row r="3016" spans="1:3">
      <c r="A3016">
        <v>24</v>
      </c>
      <c r="B3016">
        <v>8</v>
      </c>
      <c r="C3016" t="str">
        <f>VLOOKUP(A3016,'Programas y Unidades'!$A:$B,2,0)</f>
        <v>Economía y Finanzas Internacionales</v>
      </c>
    </row>
    <row r="3017" spans="1:3">
      <c r="A3017">
        <v>24</v>
      </c>
      <c r="B3017">
        <v>6</v>
      </c>
      <c r="C3017" t="str">
        <f>VLOOKUP(A3017,'Programas y Unidades'!$A:$B,2,0)</f>
        <v>Economía y Finanzas Internacionales</v>
      </c>
    </row>
    <row r="3018" spans="1:3">
      <c r="A3018">
        <v>24</v>
      </c>
      <c r="B3018">
        <v>7</v>
      </c>
      <c r="C3018" t="str">
        <f>VLOOKUP(A3018,'Programas y Unidades'!$A:$B,2,0)</f>
        <v>Economía y Finanzas Internacionales</v>
      </c>
    </row>
    <row r="3019" spans="1:3">
      <c r="A3019">
        <v>24</v>
      </c>
      <c r="B3019">
        <v>6</v>
      </c>
      <c r="C3019" t="str">
        <f>VLOOKUP(A3019,'Programas y Unidades'!$A:$B,2,0)</f>
        <v>Economía y Finanzas Internacionales</v>
      </c>
    </row>
    <row r="3020" spans="1:3">
      <c r="A3020">
        <v>24</v>
      </c>
      <c r="B3020">
        <v>6</v>
      </c>
      <c r="C3020" t="str">
        <f>VLOOKUP(A3020,'Programas y Unidades'!$A:$B,2,0)</f>
        <v>Economía y Finanzas Internacionales</v>
      </c>
    </row>
    <row r="3021" spans="1:3">
      <c r="A3021">
        <v>24</v>
      </c>
      <c r="B3021">
        <v>6</v>
      </c>
      <c r="C3021" t="str">
        <f>VLOOKUP(A3021,'Programas y Unidades'!$A:$B,2,0)</f>
        <v>Economía y Finanzas Internacionales</v>
      </c>
    </row>
    <row r="3022" spans="1:3">
      <c r="A3022">
        <v>25</v>
      </c>
      <c r="B3022">
        <v>3</v>
      </c>
      <c r="C3022" t="str">
        <f>VLOOKUP(A3022,'Programas y Unidades'!$A:$B,2,0)</f>
        <v>Gastronomía</v>
      </c>
    </row>
    <row r="3023" spans="1:3">
      <c r="A3023">
        <v>25</v>
      </c>
      <c r="B3023">
        <v>3</v>
      </c>
      <c r="C3023" t="str">
        <f>VLOOKUP(A3023,'Programas y Unidades'!$A:$B,2,0)</f>
        <v>Gastronomía</v>
      </c>
    </row>
    <row r="3024" spans="1:3">
      <c r="A3024">
        <v>25</v>
      </c>
      <c r="B3024">
        <v>3</v>
      </c>
      <c r="C3024" t="str">
        <f>VLOOKUP(A3024,'Programas y Unidades'!$A:$B,2,0)</f>
        <v>Gastronomía</v>
      </c>
    </row>
    <row r="3025" spans="1:3">
      <c r="A3025">
        <v>25</v>
      </c>
      <c r="B3025">
        <v>3</v>
      </c>
      <c r="C3025" t="str">
        <f>VLOOKUP(A3025,'Programas y Unidades'!$A:$B,2,0)</f>
        <v>Gastronomía</v>
      </c>
    </row>
    <row r="3026" spans="1:3">
      <c r="A3026">
        <v>25</v>
      </c>
      <c r="B3026">
        <v>3</v>
      </c>
      <c r="C3026" t="str">
        <f>VLOOKUP(A3026,'Programas y Unidades'!$A:$B,2,0)</f>
        <v>Gastronomía</v>
      </c>
    </row>
    <row r="3027" spans="1:3">
      <c r="A3027">
        <v>25</v>
      </c>
      <c r="B3027">
        <v>3</v>
      </c>
      <c r="C3027" t="str">
        <f>VLOOKUP(A3027,'Programas y Unidades'!$A:$B,2,0)</f>
        <v>Gastronomía</v>
      </c>
    </row>
    <row r="3028" spans="1:3">
      <c r="A3028">
        <v>25</v>
      </c>
      <c r="B3028">
        <v>3</v>
      </c>
      <c r="C3028" t="str">
        <f>VLOOKUP(A3028,'Programas y Unidades'!$A:$B,2,0)</f>
        <v>Gastronomía</v>
      </c>
    </row>
    <row r="3029" spans="1:3">
      <c r="A3029">
        <v>25</v>
      </c>
      <c r="B3029">
        <v>3</v>
      </c>
      <c r="C3029" t="str">
        <f>VLOOKUP(A3029,'Programas y Unidades'!$A:$B,2,0)</f>
        <v>Gastronomía</v>
      </c>
    </row>
    <row r="3030" spans="1:3">
      <c r="A3030">
        <v>25</v>
      </c>
      <c r="B3030">
        <v>5</v>
      </c>
      <c r="C3030" t="str">
        <f>VLOOKUP(A3030,'Programas y Unidades'!$A:$B,2,0)</f>
        <v>Gastronomía</v>
      </c>
    </row>
    <row r="3031" spans="1:3">
      <c r="A3031">
        <v>25</v>
      </c>
      <c r="B3031">
        <v>3</v>
      </c>
      <c r="C3031" t="str">
        <f>VLOOKUP(A3031,'Programas y Unidades'!$A:$B,2,0)</f>
        <v>Gastronomía</v>
      </c>
    </row>
    <row r="3032" spans="1:3">
      <c r="A3032">
        <v>25</v>
      </c>
      <c r="B3032">
        <v>3</v>
      </c>
      <c r="C3032" t="str">
        <f>VLOOKUP(A3032,'Programas y Unidades'!$A:$B,2,0)</f>
        <v>Gastronomía</v>
      </c>
    </row>
    <row r="3033" spans="1:3">
      <c r="A3033">
        <v>25</v>
      </c>
      <c r="B3033">
        <v>3</v>
      </c>
      <c r="C3033" t="str">
        <f>VLOOKUP(A3033,'Programas y Unidades'!$A:$B,2,0)</f>
        <v>Gastronomía</v>
      </c>
    </row>
    <row r="3034" spans="1:3">
      <c r="A3034">
        <v>25</v>
      </c>
      <c r="B3034">
        <v>3</v>
      </c>
      <c r="C3034" t="str">
        <f>VLOOKUP(A3034,'Programas y Unidades'!$A:$B,2,0)</f>
        <v>Gastronomía</v>
      </c>
    </row>
    <row r="3035" spans="1:3">
      <c r="A3035">
        <v>25</v>
      </c>
      <c r="B3035">
        <v>4</v>
      </c>
      <c r="C3035" t="str">
        <f>VLOOKUP(A3035,'Programas y Unidades'!$A:$B,2,0)</f>
        <v>Gastronomía</v>
      </c>
    </row>
    <row r="3036" spans="1:3">
      <c r="A3036">
        <v>25</v>
      </c>
      <c r="B3036">
        <v>3</v>
      </c>
      <c r="C3036" t="str">
        <f>VLOOKUP(A3036,'Programas y Unidades'!$A:$B,2,0)</f>
        <v>Gastronomía</v>
      </c>
    </row>
    <row r="3037" spans="1:3">
      <c r="A3037">
        <v>25</v>
      </c>
      <c r="B3037">
        <v>3</v>
      </c>
      <c r="C3037" t="str">
        <f>VLOOKUP(A3037,'Programas y Unidades'!$A:$B,2,0)</f>
        <v>Gastronomía</v>
      </c>
    </row>
    <row r="3038" spans="1:3">
      <c r="A3038">
        <v>25</v>
      </c>
      <c r="B3038">
        <v>3</v>
      </c>
      <c r="C3038" t="str">
        <f>VLOOKUP(A3038,'Programas y Unidades'!$A:$B,2,0)</f>
        <v>Gastronomía</v>
      </c>
    </row>
    <row r="3039" spans="1:3">
      <c r="A3039">
        <v>25</v>
      </c>
      <c r="B3039">
        <v>3</v>
      </c>
      <c r="C3039" t="str">
        <f>VLOOKUP(A3039,'Programas y Unidades'!$A:$B,2,0)</f>
        <v>Gastronomía</v>
      </c>
    </row>
    <row r="3040" spans="1:3">
      <c r="A3040">
        <v>38</v>
      </c>
      <c r="B3040">
        <v>4</v>
      </c>
      <c r="C3040" t="str">
        <f>VLOOKUP(A3040,'Programas y Unidades'!$A:$B,2,0)</f>
        <v>Ingeniería Industrial</v>
      </c>
    </row>
    <row r="3041" spans="1:3">
      <c r="A3041">
        <v>38</v>
      </c>
      <c r="B3041">
        <v>7</v>
      </c>
      <c r="C3041" t="str">
        <f>VLOOKUP(A3041,'Programas y Unidades'!$A:$B,2,0)</f>
        <v>Ingeniería Industrial</v>
      </c>
    </row>
    <row r="3042" spans="1:3">
      <c r="A3042">
        <v>38</v>
      </c>
      <c r="B3042">
        <v>5</v>
      </c>
      <c r="C3042" t="str">
        <f>VLOOKUP(A3042,'Programas y Unidades'!$A:$B,2,0)</f>
        <v>Ingeniería Industrial</v>
      </c>
    </row>
    <row r="3043" spans="1:3">
      <c r="A3043">
        <v>38</v>
      </c>
      <c r="B3043">
        <v>4</v>
      </c>
      <c r="C3043" t="str">
        <f>VLOOKUP(A3043,'Programas y Unidades'!$A:$B,2,0)</f>
        <v>Ingeniería Industrial</v>
      </c>
    </row>
    <row r="3044" spans="1:3">
      <c r="A3044">
        <v>38</v>
      </c>
      <c r="B3044">
        <v>4</v>
      </c>
      <c r="C3044" t="str">
        <f>VLOOKUP(A3044,'Programas y Unidades'!$A:$B,2,0)</f>
        <v>Ingeniería Industrial</v>
      </c>
    </row>
    <row r="3045" spans="1:3">
      <c r="A3045">
        <v>38</v>
      </c>
      <c r="B3045">
        <v>5</v>
      </c>
      <c r="C3045" t="str">
        <f>VLOOKUP(A3045,'Programas y Unidades'!$A:$B,2,0)</f>
        <v>Ingeniería Industrial</v>
      </c>
    </row>
    <row r="3046" spans="1:3">
      <c r="A3046">
        <v>38</v>
      </c>
      <c r="B3046">
        <v>4</v>
      </c>
      <c r="C3046" t="str">
        <f>VLOOKUP(A3046,'Programas y Unidades'!$A:$B,2,0)</f>
        <v>Ingeniería Industrial</v>
      </c>
    </row>
    <row r="3047" spans="1:3">
      <c r="A3047">
        <v>38</v>
      </c>
      <c r="B3047">
        <v>4</v>
      </c>
      <c r="C3047" t="str">
        <f>VLOOKUP(A3047,'Programas y Unidades'!$A:$B,2,0)</f>
        <v>Ingeniería Industrial</v>
      </c>
    </row>
    <row r="3048" spans="1:3">
      <c r="A3048">
        <v>38</v>
      </c>
      <c r="B3048">
        <v>4</v>
      </c>
      <c r="C3048" t="str">
        <f>VLOOKUP(A3048,'Programas y Unidades'!$A:$B,2,0)</f>
        <v>Ingeniería Industrial</v>
      </c>
    </row>
    <row r="3049" spans="1:3">
      <c r="A3049">
        <v>38</v>
      </c>
      <c r="B3049">
        <v>4</v>
      </c>
      <c r="C3049" t="str">
        <f>VLOOKUP(A3049,'Programas y Unidades'!$A:$B,2,0)</f>
        <v>Ingeniería Industrial</v>
      </c>
    </row>
    <row r="3050" spans="1:3">
      <c r="A3050">
        <v>38</v>
      </c>
      <c r="B3050">
        <v>4</v>
      </c>
      <c r="C3050" t="str">
        <f>VLOOKUP(A3050,'Programas y Unidades'!$A:$B,2,0)</f>
        <v>Ingeniería Industrial</v>
      </c>
    </row>
    <row r="3051" spans="1:3">
      <c r="A3051">
        <v>38</v>
      </c>
      <c r="B3051">
        <v>4</v>
      </c>
      <c r="C3051" t="str">
        <f>VLOOKUP(A3051,'Programas y Unidades'!$A:$B,2,0)</f>
        <v>Ingeniería Industrial</v>
      </c>
    </row>
    <row r="3052" spans="1:3">
      <c r="A3052">
        <v>38</v>
      </c>
      <c r="B3052">
        <v>4</v>
      </c>
      <c r="C3052" t="str">
        <f>VLOOKUP(A3052,'Programas y Unidades'!$A:$B,2,0)</f>
        <v>Ingeniería Industrial</v>
      </c>
    </row>
    <row r="3053" spans="1:3">
      <c r="A3053">
        <v>38</v>
      </c>
      <c r="B3053">
        <v>4</v>
      </c>
      <c r="C3053" t="str">
        <f>VLOOKUP(A3053,'Programas y Unidades'!$A:$B,2,0)</f>
        <v>Ingeniería Industrial</v>
      </c>
    </row>
    <row r="3054" spans="1:3">
      <c r="A3054">
        <v>38</v>
      </c>
      <c r="B3054">
        <v>7</v>
      </c>
      <c r="C3054" t="str">
        <f>VLOOKUP(A3054,'Programas y Unidades'!$A:$B,2,0)</f>
        <v>Ingeniería Industrial</v>
      </c>
    </row>
    <row r="3055" spans="1:3">
      <c r="A3055">
        <v>27</v>
      </c>
      <c r="B3055">
        <v>4</v>
      </c>
      <c r="C3055" t="str">
        <f>VLOOKUP(A3055,'Programas y Unidades'!$A:$B,2,0)</f>
        <v>Comunicación Audiovisual y Multimedios</v>
      </c>
    </row>
    <row r="3056" spans="1:3">
      <c r="A3056">
        <v>27</v>
      </c>
      <c r="B3056">
        <v>4</v>
      </c>
      <c r="C3056" t="str">
        <f>VLOOKUP(A3056,'Programas y Unidades'!$A:$B,2,0)</f>
        <v>Comunicación Audiovisual y Multimedios</v>
      </c>
    </row>
    <row r="3057" spans="1:3">
      <c r="A3057">
        <v>27</v>
      </c>
      <c r="B3057">
        <v>4</v>
      </c>
      <c r="C3057" t="str">
        <f>VLOOKUP(A3057,'Programas y Unidades'!$A:$B,2,0)</f>
        <v>Comunicación Audiovisual y Multimedios</v>
      </c>
    </row>
    <row r="3058" spans="1:3">
      <c r="A3058">
        <v>27</v>
      </c>
      <c r="B3058">
        <v>4</v>
      </c>
      <c r="C3058" t="str">
        <f>VLOOKUP(A3058,'Programas y Unidades'!$A:$B,2,0)</f>
        <v>Comunicación Audiovisual y Multimedios</v>
      </c>
    </row>
    <row r="3059" spans="1:3">
      <c r="A3059">
        <v>27</v>
      </c>
      <c r="B3059">
        <v>4</v>
      </c>
      <c r="C3059" t="str">
        <f>VLOOKUP(A3059,'Programas y Unidades'!$A:$B,2,0)</f>
        <v>Comunicación Audiovisual y Multimedios</v>
      </c>
    </row>
    <row r="3060" spans="1:3">
      <c r="A3060">
        <v>27</v>
      </c>
      <c r="B3060">
        <v>4</v>
      </c>
      <c r="C3060" t="str">
        <f>VLOOKUP(A3060,'Programas y Unidades'!$A:$B,2,0)</f>
        <v>Comunicación Audiovisual y Multimedios</v>
      </c>
    </row>
    <row r="3061" spans="1:3">
      <c r="A3061">
        <v>27</v>
      </c>
      <c r="B3061">
        <v>4</v>
      </c>
      <c r="C3061" t="str">
        <f>VLOOKUP(A3061,'Programas y Unidades'!$A:$B,2,0)</f>
        <v>Comunicación Audiovisual y Multimedios</v>
      </c>
    </row>
    <row r="3062" spans="1:3">
      <c r="A3062">
        <v>27</v>
      </c>
      <c r="B3062">
        <v>4</v>
      </c>
      <c r="C3062" t="str">
        <f>VLOOKUP(A3062,'Programas y Unidades'!$A:$B,2,0)</f>
        <v>Comunicación Audiovisual y Multimedios</v>
      </c>
    </row>
    <row r="3063" spans="1:3">
      <c r="A3063">
        <v>27</v>
      </c>
      <c r="B3063">
        <v>4</v>
      </c>
      <c r="C3063" t="str">
        <f>VLOOKUP(A3063,'Programas y Unidades'!$A:$B,2,0)</f>
        <v>Comunicación Audiovisual y Multimedios</v>
      </c>
    </row>
    <row r="3064" spans="1:3">
      <c r="A3064">
        <v>27</v>
      </c>
      <c r="B3064">
        <v>4</v>
      </c>
      <c r="C3064" t="str">
        <f>VLOOKUP(A3064,'Programas y Unidades'!$A:$B,2,0)</f>
        <v>Comunicación Audiovisual y Multimedios</v>
      </c>
    </row>
    <row r="3065" spans="1:3">
      <c r="A3065">
        <v>27</v>
      </c>
      <c r="B3065">
        <v>4</v>
      </c>
      <c r="C3065" t="str">
        <f>VLOOKUP(A3065,'Programas y Unidades'!$A:$B,2,0)</f>
        <v>Comunicación Audiovisual y Multimedios</v>
      </c>
    </row>
    <row r="3066" spans="1:3">
      <c r="A3066">
        <v>27</v>
      </c>
      <c r="B3066">
        <v>4</v>
      </c>
      <c r="C3066" t="str">
        <f>VLOOKUP(A3066,'Programas y Unidades'!$A:$B,2,0)</f>
        <v>Comunicación Audiovisual y Multimedios</v>
      </c>
    </row>
    <row r="3067" spans="1:3">
      <c r="A3067">
        <v>27</v>
      </c>
      <c r="B3067">
        <v>4</v>
      </c>
      <c r="C3067" t="str">
        <f>VLOOKUP(A3067,'Programas y Unidades'!$A:$B,2,0)</f>
        <v>Comunicación Audiovisual y Multimedios</v>
      </c>
    </row>
    <row r="3068" spans="1:3">
      <c r="A3068">
        <v>27</v>
      </c>
      <c r="B3068">
        <v>4</v>
      </c>
      <c r="C3068" t="str">
        <f>VLOOKUP(A3068,'Programas y Unidades'!$A:$B,2,0)</f>
        <v>Comunicación Audiovisual y Multimedios</v>
      </c>
    </row>
    <row r="3069" spans="1:3">
      <c r="A3069">
        <v>27</v>
      </c>
      <c r="B3069">
        <v>4</v>
      </c>
      <c r="C3069" t="str">
        <f>VLOOKUP(A3069,'Programas y Unidades'!$A:$B,2,0)</f>
        <v>Comunicación Audiovisual y Multimedios</v>
      </c>
    </row>
    <row r="3070" spans="1:3">
      <c r="A3070">
        <v>27</v>
      </c>
      <c r="B3070">
        <v>4</v>
      </c>
      <c r="C3070" t="str">
        <f>VLOOKUP(A3070,'Programas y Unidades'!$A:$B,2,0)</f>
        <v>Comunicación Audiovisual y Multimedios</v>
      </c>
    </row>
    <row r="3071" spans="1:3">
      <c r="A3071">
        <v>27</v>
      </c>
      <c r="B3071">
        <v>4</v>
      </c>
      <c r="C3071" t="str">
        <f>VLOOKUP(A3071,'Programas y Unidades'!$A:$B,2,0)</f>
        <v>Comunicación Audiovisual y Multimedios</v>
      </c>
    </row>
    <row r="3072" spans="1:3">
      <c r="A3072">
        <v>27</v>
      </c>
      <c r="B3072">
        <v>4</v>
      </c>
      <c r="C3072" t="str">
        <f>VLOOKUP(A3072,'Programas y Unidades'!$A:$B,2,0)</f>
        <v>Comunicación Audiovisual y Multimedios</v>
      </c>
    </row>
    <row r="3073" spans="1:3">
      <c r="A3073">
        <v>27</v>
      </c>
      <c r="B3073">
        <v>4</v>
      </c>
      <c r="C3073" t="str">
        <f>VLOOKUP(A3073,'Programas y Unidades'!$A:$B,2,0)</f>
        <v>Comunicación Audiovisual y Multimedios</v>
      </c>
    </row>
    <row r="3074" spans="1:3">
      <c r="A3074">
        <v>27</v>
      </c>
      <c r="B3074">
        <v>4</v>
      </c>
      <c r="C3074" t="str">
        <f>VLOOKUP(A3074,'Programas y Unidades'!$A:$B,2,0)</f>
        <v>Comunicación Audiovisual y Multimedios</v>
      </c>
    </row>
    <row r="3075" spans="1:3">
      <c r="A3075">
        <v>41</v>
      </c>
      <c r="B3075">
        <v>7</v>
      </c>
      <c r="C3075" t="str">
        <f>VLOOKUP(A3075,'Programas y Unidades'!$A:$B,2,0)</f>
        <v>Ingeniería Química</v>
      </c>
    </row>
    <row r="3076" spans="1:3">
      <c r="A3076">
        <v>41</v>
      </c>
      <c r="B3076">
        <v>7</v>
      </c>
      <c r="C3076" t="str">
        <f>VLOOKUP(A3076,'Programas y Unidades'!$A:$B,2,0)</f>
        <v>Ingeniería Química</v>
      </c>
    </row>
    <row r="3077" spans="1:3">
      <c r="A3077">
        <v>41</v>
      </c>
      <c r="B3077">
        <v>7</v>
      </c>
      <c r="C3077" t="str">
        <f>VLOOKUP(A3077,'Programas y Unidades'!$A:$B,2,0)</f>
        <v>Ingeniería Química</v>
      </c>
    </row>
    <row r="3078" spans="1:3">
      <c r="A3078">
        <v>146</v>
      </c>
      <c r="B3078">
        <v>7</v>
      </c>
      <c r="C3078" t="str">
        <f>VLOOKUP(A3078,'Programas y Unidades'!$A:$B,2,0)</f>
        <v>Ingeniería de Bioproducción</v>
      </c>
    </row>
    <row r="3079" spans="1:3">
      <c r="A3079">
        <v>41</v>
      </c>
      <c r="B3079">
        <v>7</v>
      </c>
      <c r="C3079" t="str">
        <f>VLOOKUP(A3079,'Programas y Unidades'!$A:$B,2,0)</f>
        <v>Ingeniería Química</v>
      </c>
    </row>
    <row r="3080" spans="1:3">
      <c r="A3080">
        <v>41</v>
      </c>
      <c r="B3080">
        <v>7</v>
      </c>
      <c r="C3080" t="str">
        <f>VLOOKUP(A3080,'Programas y Unidades'!$A:$B,2,0)</f>
        <v>Ingeniería Química</v>
      </c>
    </row>
    <row r="3081" spans="1:3">
      <c r="A3081">
        <v>41</v>
      </c>
      <c r="B3081">
        <v>7</v>
      </c>
      <c r="C3081" t="str">
        <f>VLOOKUP(A3081,'Programas y Unidades'!$A:$B,2,0)</f>
        <v>Ingeniería Química</v>
      </c>
    </row>
    <row r="3082" spans="1:3">
      <c r="A3082">
        <v>41</v>
      </c>
      <c r="B3082">
        <v>8</v>
      </c>
      <c r="C3082" t="str">
        <f>VLOOKUP(A3082,'Programas y Unidades'!$A:$B,2,0)</f>
        <v>Ingeniería Química</v>
      </c>
    </row>
    <row r="3083" spans="1:3">
      <c r="A3083">
        <v>27</v>
      </c>
      <c r="B3083">
        <v>4</v>
      </c>
      <c r="C3083" t="str">
        <f>VLOOKUP(A3083,'Programas y Unidades'!$A:$B,2,0)</f>
        <v>Comunicación Audiovisual y Multimedios</v>
      </c>
    </row>
    <row r="3084" spans="1:3">
      <c r="A3084">
        <v>27</v>
      </c>
      <c r="B3084">
        <v>4</v>
      </c>
      <c r="C3084" t="str">
        <f>VLOOKUP(A3084,'Programas y Unidades'!$A:$B,2,0)</f>
        <v>Comunicación Audiovisual y Multimedios</v>
      </c>
    </row>
    <row r="3085" spans="1:3">
      <c r="A3085">
        <v>27</v>
      </c>
      <c r="B3085">
        <v>4</v>
      </c>
      <c r="C3085" t="str">
        <f>VLOOKUP(A3085,'Programas y Unidades'!$A:$B,2,0)</f>
        <v>Comunicación Audiovisual y Multimedios</v>
      </c>
    </row>
    <row r="3086" spans="1:3">
      <c r="A3086">
        <v>27</v>
      </c>
      <c r="B3086">
        <v>4</v>
      </c>
      <c r="C3086" t="str">
        <f>VLOOKUP(A3086,'Programas y Unidades'!$A:$B,2,0)</f>
        <v>Comunicación Audiovisual y Multimedios</v>
      </c>
    </row>
    <row r="3087" spans="1:3">
      <c r="A3087">
        <v>27</v>
      </c>
      <c r="B3087">
        <v>4</v>
      </c>
      <c r="C3087" t="str">
        <f>VLOOKUP(A3087,'Programas y Unidades'!$A:$B,2,0)</f>
        <v>Comunicación Audiovisual y Multimedios</v>
      </c>
    </row>
    <row r="3088" spans="1:3">
      <c r="A3088">
        <v>27</v>
      </c>
      <c r="B3088">
        <v>4</v>
      </c>
      <c r="C3088" t="str">
        <f>VLOOKUP(A3088,'Programas y Unidades'!$A:$B,2,0)</f>
        <v>Comunicación Audiovisual y Multimedios</v>
      </c>
    </row>
    <row r="3089" spans="1:3">
      <c r="A3089">
        <v>27</v>
      </c>
      <c r="B3089">
        <v>4</v>
      </c>
      <c r="C3089" t="str">
        <f>VLOOKUP(A3089,'Programas y Unidades'!$A:$B,2,0)</f>
        <v>Comunicación Audiovisual y Multimedios</v>
      </c>
    </row>
    <row r="3090" spans="1:3">
      <c r="A3090">
        <v>27</v>
      </c>
      <c r="B3090">
        <v>4</v>
      </c>
      <c r="C3090" t="str">
        <f>VLOOKUP(A3090,'Programas y Unidades'!$A:$B,2,0)</f>
        <v>Comunicación Audiovisual y Multimedios</v>
      </c>
    </row>
    <row r="3091" spans="1:3">
      <c r="A3091">
        <v>27</v>
      </c>
      <c r="B3091">
        <v>4</v>
      </c>
      <c r="C3091" t="str">
        <f>VLOOKUP(A3091,'Programas y Unidades'!$A:$B,2,0)</f>
        <v>Comunicación Audiovisual y Multimedios</v>
      </c>
    </row>
    <row r="3092" spans="1:3">
      <c r="A3092">
        <v>27</v>
      </c>
      <c r="B3092">
        <v>4</v>
      </c>
      <c r="C3092" t="str">
        <f>VLOOKUP(A3092,'Programas y Unidades'!$A:$B,2,0)</f>
        <v>Comunicación Audiovisual y Multimedios</v>
      </c>
    </row>
    <row r="3093" spans="1:3">
      <c r="A3093">
        <v>27</v>
      </c>
      <c r="B3093">
        <v>4</v>
      </c>
      <c r="C3093" t="str">
        <f>VLOOKUP(A3093,'Programas y Unidades'!$A:$B,2,0)</f>
        <v>Comunicación Audiovisual y Multimedios</v>
      </c>
    </row>
    <row r="3094" spans="1:3">
      <c r="A3094">
        <v>27</v>
      </c>
      <c r="B3094">
        <v>4</v>
      </c>
      <c r="C3094" t="str">
        <f>VLOOKUP(A3094,'Programas y Unidades'!$A:$B,2,0)</f>
        <v>Comunicación Audiovisual y Multimedios</v>
      </c>
    </row>
    <row r="3095" spans="1:3">
      <c r="A3095">
        <v>27</v>
      </c>
      <c r="B3095">
        <v>4</v>
      </c>
      <c r="C3095" t="str">
        <f>VLOOKUP(A3095,'Programas y Unidades'!$A:$B,2,0)</f>
        <v>Comunicación Audiovisual y Multimedios</v>
      </c>
    </row>
    <row r="3096" spans="1:3">
      <c r="A3096">
        <v>27</v>
      </c>
      <c r="B3096">
        <v>4</v>
      </c>
      <c r="C3096" t="str">
        <f>VLOOKUP(A3096,'Programas y Unidades'!$A:$B,2,0)</f>
        <v>Comunicación Audiovisual y Multimedios</v>
      </c>
    </row>
    <row r="3097" spans="1:3">
      <c r="A3097">
        <v>27</v>
      </c>
      <c r="B3097">
        <v>4</v>
      </c>
      <c r="C3097" t="str">
        <f>VLOOKUP(A3097,'Programas y Unidades'!$A:$B,2,0)</f>
        <v>Comunicación Audiovisual y Multimedios</v>
      </c>
    </row>
    <row r="3098" spans="1:3">
      <c r="A3098">
        <v>27</v>
      </c>
      <c r="B3098">
        <v>4</v>
      </c>
      <c r="C3098" t="str">
        <f>VLOOKUP(A3098,'Programas y Unidades'!$A:$B,2,0)</f>
        <v>Comunicación Audiovisual y Multimedios</v>
      </c>
    </row>
    <row r="3099" spans="1:3">
      <c r="A3099">
        <v>27</v>
      </c>
      <c r="B3099">
        <v>4</v>
      </c>
      <c r="C3099" t="str">
        <f>VLOOKUP(A3099,'Programas y Unidades'!$A:$B,2,0)</f>
        <v>Comunicación Audiovisual y Multimedios</v>
      </c>
    </row>
    <row r="3100" spans="1:3">
      <c r="A3100">
        <v>27</v>
      </c>
      <c r="B3100">
        <v>5</v>
      </c>
      <c r="C3100" t="str">
        <f>VLOOKUP(A3100,'Programas y Unidades'!$A:$B,2,0)</f>
        <v>Comunicación Audiovisual y Multimedios</v>
      </c>
    </row>
    <row r="3101" spans="1:3">
      <c r="A3101">
        <v>27</v>
      </c>
      <c r="B3101">
        <v>4</v>
      </c>
      <c r="C3101" t="str">
        <f>VLOOKUP(A3101,'Programas y Unidades'!$A:$B,2,0)</f>
        <v>Comunicación Audiovisual y Multimedios</v>
      </c>
    </row>
    <row r="3102" spans="1:3">
      <c r="A3102">
        <v>27</v>
      </c>
      <c r="B3102">
        <v>4</v>
      </c>
      <c r="C3102" t="str">
        <f>VLOOKUP(A3102,'Programas y Unidades'!$A:$B,2,0)</f>
        <v>Comunicación Audiovisual y Multimedios</v>
      </c>
    </row>
    <row r="3103" spans="1:3">
      <c r="A3103">
        <v>27</v>
      </c>
      <c r="B3103">
        <v>4</v>
      </c>
      <c r="C3103" t="str">
        <f>VLOOKUP(A3103,'Programas y Unidades'!$A:$B,2,0)</f>
        <v>Comunicación Audiovisual y Multimedios</v>
      </c>
    </row>
    <row r="3104" spans="1:3">
      <c r="A3104">
        <v>43</v>
      </c>
      <c r="B3104">
        <v>3</v>
      </c>
      <c r="C3104" t="str">
        <f>VLOOKUP(A3104,'Programas y Unidades'!$A:$B,2,0)</f>
        <v>Psicología</v>
      </c>
    </row>
    <row r="3105" spans="1:3">
      <c r="A3105">
        <v>43</v>
      </c>
      <c r="B3105">
        <v>3</v>
      </c>
      <c r="C3105" t="str">
        <f>VLOOKUP(A3105,'Programas y Unidades'!$A:$B,2,0)</f>
        <v>Psicología</v>
      </c>
    </row>
    <row r="3106" spans="1:3">
      <c r="A3106">
        <v>43</v>
      </c>
      <c r="B3106">
        <v>3</v>
      </c>
      <c r="C3106" t="str">
        <f>VLOOKUP(A3106,'Programas y Unidades'!$A:$B,2,0)</f>
        <v>Psicología</v>
      </c>
    </row>
    <row r="3107" spans="1:3">
      <c r="A3107">
        <v>43</v>
      </c>
      <c r="B3107">
        <v>4</v>
      </c>
      <c r="C3107" t="str">
        <f>VLOOKUP(A3107,'Programas y Unidades'!$A:$B,2,0)</f>
        <v>Psicología</v>
      </c>
    </row>
    <row r="3108" spans="1:3">
      <c r="A3108">
        <v>43</v>
      </c>
      <c r="B3108">
        <v>3</v>
      </c>
      <c r="C3108" t="str">
        <f>VLOOKUP(A3108,'Programas y Unidades'!$A:$B,2,0)</f>
        <v>Psicología</v>
      </c>
    </row>
    <row r="3109" spans="1:3">
      <c r="A3109">
        <v>43</v>
      </c>
      <c r="B3109">
        <v>3</v>
      </c>
      <c r="C3109" t="str">
        <f>VLOOKUP(A3109,'Programas y Unidades'!$A:$B,2,0)</f>
        <v>Psicología</v>
      </c>
    </row>
    <row r="3110" spans="1:3">
      <c r="A3110">
        <v>43</v>
      </c>
      <c r="B3110">
        <v>3</v>
      </c>
      <c r="C3110" t="str">
        <f>VLOOKUP(A3110,'Programas y Unidades'!$A:$B,2,0)</f>
        <v>Psicología</v>
      </c>
    </row>
    <row r="3111" spans="1:3">
      <c r="A3111">
        <v>43</v>
      </c>
      <c r="B3111">
        <v>3</v>
      </c>
      <c r="C3111" t="str">
        <f>VLOOKUP(A3111,'Programas y Unidades'!$A:$B,2,0)</f>
        <v>Psicología</v>
      </c>
    </row>
    <row r="3112" spans="1:3">
      <c r="A3112">
        <v>43</v>
      </c>
      <c r="B3112">
        <v>3</v>
      </c>
      <c r="C3112" t="str">
        <f>VLOOKUP(A3112,'Programas y Unidades'!$A:$B,2,0)</f>
        <v>Psicología</v>
      </c>
    </row>
    <row r="3113" spans="1:3">
      <c r="A3113">
        <v>43</v>
      </c>
      <c r="B3113">
        <v>3</v>
      </c>
      <c r="C3113" t="str">
        <f>VLOOKUP(A3113,'Programas y Unidades'!$A:$B,2,0)</f>
        <v>Psicología</v>
      </c>
    </row>
    <row r="3114" spans="1:3">
      <c r="A3114">
        <v>43</v>
      </c>
      <c r="B3114">
        <v>3</v>
      </c>
      <c r="C3114" t="str">
        <f>VLOOKUP(A3114,'Programas y Unidades'!$A:$B,2,0)</f>
        <v>Psicología</v>
      </c>
    </row>
    <row r="3115" spans="1:3">
      <c r="A3115">
        <v>43</v>
      </c>
      <c r="B3115">
        <v>4</v>
      </c>
      <c r="C3115" t="str">
        <f>VLOOKUP(A3115,'Programas y Unidades'!$A:$B,2,0)</f>
        <v>Psicología</v>
      </c>
    </row>
    <row r="3116" spans="1:3">
      <c r="A3116">
        <v>43</v>
      </c>
      <c r="B3116">
        <v>3</v>
      </c>
      <c r="C3116" t="str">
        <f>VLOOKUP(A3116,'Programas y Unidades'!$A:$B,2,0)</f>
        <v>Psicología</v>
      </c>
    </row>
    <row r="3117" spans="1:3">
      <c r="A3117">
        <v>43</v>
      </c>
      <c r="B3117">
        <v>3</v>
      </c>
      <c r="C3117" t="str">
        <f>VLOOKUP(A3117,'Programas y Unidades'!$A:$B,2,0)</f>
        <v>Psicología</v>
      </c>
    </row>
    <row r="3118" spans="1:3">
      <c r="A3118">
        <v>43</v>
      </c>
      <c r="B3118">
        <v>3</v>
      </c>
      <c r="C3118" t="str">
        <f>VLOOKUP(A3118,'Programas y Unidades'!$A:$B,2,0)</f>
        <v>Psicología</v>
      </c>
    </row>
    <row r="3119" spans="1:3">
      <c r="A3119">
        <v>43</v>
      </c>
      <c r="B3119">
        <v>3</v>
      </c>
      <c r="C3119" t="str">
        <f>VLOOKUP(A3119,'Programas y Unidades'!$A:$B,2,0)</f>
        <v>Psicología</v>
      </c>
    </row>
    <row r="3120" spans="1:3">
      <c r="A3120">
        <v>43</v>
      </c>
      <c r="B3120">
        <v>3</v>
      </c>
      <c r="C3120" t="str">
        <f>VLOOKUP(A3120,'Programas y Unidades'!$A:$B,2,0)</f>
        <v>Psicología</v>
      </c>
    </row>
    <row r="3121" spans="1:3">
      <c r="A3121">
        <v>43</v>
      </c>
      <c r="B3121">
        <v>3</v>
      </c>
      <c r="C3121" t="str">
        <f>VLOOKUP(A3121,'Programas y Unidades'!$A:$B,2,0)</f>
        <v>Psicología</v>
      </c>
    </row>
    <row r="3122" spans="1:3">
      <c r="A3122">
        <v>43</v>
      </c>
      <c r="B3122">
        <v>3</v>
      </c>
      <c r="C3122" t="str">
        <f>VLOOKUP(A3122,'Programas y Unidades'!$A:$B,2,0)</f>
        <v>Psicología</v>
      </c>
    </row>
    <row r="3123" spans="1:3">
      <c r="A3123">
        <v>43</v>
      </c>
      <c r="B3123">
        <v>2</v>
      </c>
      <c r="C3123" t="str">
        <f>VLOOKUP(A3123,'Programas y Unidades'!$A:$B,2,0)</f>
        <v>Psicología</v>
      </c>
    </row>
    <row r="3124" spans="1:3">
      <c r="A3124">
        <v>43</v>
      </c>
      <c r="B3124">
        <v>3</v>
      </c>
      <c r="C3124" t="str">
        <f>VLOOKUP(A3124,'Programas y Unidades'!$A:$B,2,0)</f>
        <v>Psicología</v>
      </c>
    </row>
    <row r="3125" spans="1:3">
      <c r="A3125">
        <v>43</v>
      </c>
      <c r="B3125">
        <v>3</v>
      </c>
      <c r="C3125" t="str">
        <f>VLOOKUP(A3125,'Programas y Unidades'!$A:$B,2,0)</f>
        <v>Psicología</v>
      </c>
    </row>
    <row r="3126" spans="1:3">
      <c r="A3126">
        <v>43</v>
      </c>
      <c r="B3126">
        <v>4</v>
      </c>
      <c r="C3126" t="str">
        <f>VLOOKUP(A3126,'Programas y Unidades'!$A:$B,2,0)</f>
        <v>Psicología</v>
      </c>
    </row>
    <row r="3127" spans="1:3">
      <c r="A3127">
        <v>43</v>
      </c>
      <c r="B3127">
        <v>3</v>
      </c>
      <c r="C3127" t="str">
        <f>VLOOKUP(A3127,'Programas y Unidades'!$A:$B,2,0)</f>
        <v>Psicología</v>
      </c>
    </row>
    <row r="3128" spans="1:3">
      <c r="A3128">
        <v>43</v>
      </c>
      <c r="B3128">
        <v>3</v>
      </c>
      <c r="C3128" t="str">
        <f>VLOOKUP(A3128,'Programas y Unidades'!$A:$B,2,0)</f>
        <v>Psicología</v>
      </c>
    </row>
    <row r="3129" spans="1:3">
      <c r="A3129">
        <v>38</v>
      </c>
      <c r="B3129">
        <v>8</v>
      </c>
      <c r="C3129" t="str">
        <f>VLOOKUP(A3129,'Programas y Unidades'!$A:$B,2,0)</f>
        <v>Ingeniería Industrial</v>
      </c>
    </row>
    <row r="3130" spans="1:3">
      <c r="A3130">
        <v>38</v>
      </c>
      <c r="B3130">
        <v>8</v>
      </c>
      <c r="C3130" t="str">
        <f>VLOOKUP(A3130,'Programas y Unidades'!$A:$B,2,0)</f>
        <v>Ingeniería Industrial</v>
      </c>
    </row>
    <row r="3131" spans="1:3">
      <c r="A3131">
        <v>38</v>
      </c>
      <c r="B3131">
        <v>8</v>
      </c>
      <c r="C3131" t="str">
        <f>VLOOKUP(A3131,'Programas y Unidades'!$A:$B,2,0)</f>
        <v>Ingeniería Industrial</v>
      </c>
    </row>
    <row r="3132" spans="1:3">
      <c r="A3132">
        <v>38</v>
      </c>
      <c r="B3132">
        <v>8</v>
      </c>
      <c r="C3132" t="str">
        <f>VLOOKUP(A3132,'Programas y Unidades'!$A:$B,2,0)</f>
        <v>Ingeniería Industrial</v>
      </c>
    </row>
    <row r="3133" spans="1:3">
      <c r="A3133">
        <v>38</v>
      </c>
      <c r="B3133">
        <v>8</v>
      </c>
      <c r="C3133" t="str">
        <f>VLOOKUP(A3133,'Programas y Unidades'!$A:$B,2,0)</f>
        <v>Ingeniería Industrial</v>
      </c>
    </row>
    <row r="3134" spans="1:3">
      <c r="A3134">
        <v>38</v>
      </c>
      <c r="B3134">
        <v>8</v>
      </c>
      <c r="C3134" t="str">
        <f>VLOOKUP(A3134,'Programas y Unidades'!$A:$B,2,0)</f>
        <v>Ingeniería Industrial</v>
      </c>
    </row>
    <row r="3135" spans="1:3">
      <c r="A3135">
        <v>38</v>
      </c>
      <c r="B3135">
        <v>8</v>
      </c>
      <c r="C3135" t="str">
        <f>VLOOKUP(A3135,'Programas y Unidades'!$A:$B,2,0)</f>
        <v>Ingeniería Industrial</v>
      </c>
    </row>
    <row r="3136" spans="1:3">
      <c r="A3136">
        <v>38</v>
      </c>
      <c r="B3136">
        <v>8</v>
      </c>
      <c r="C3136" t="str">
        <f>VLOOKUP(A3136,'Programas y Unidades'!$A:$B,2,0)</f>
        <v>Ingeniería Industrial</v>
      </c>
    </row>
    <row r="3137" spans="1:3">
      <c r="A3137">
        <v>21</v>
      </c>
      <c r="B3137">
        <v>4</v>
      </c>
      <c r="C3137" t="str">
        <f>VLOOKUP(A3137,'Programas y Unidades'!$A:$B,2,0)</f>
        <v>Administración de Empresas</v>
      </c>
    </row>
    <row r="3138" spans="1:3">
      <c r="A3138">
        <v>21</v>
      </c>
      <c r="B3138">
        <v>4</v>
      </c>
      <c r="C3138" t="str">
        <f>VLOOKUP(A3138,'Programas y Unidades'!$A:$B,2,0)</f>
        <v>Administración de Empresas</v>
      </c>
    </row>
    <row r="3139" spans="1:3">
      <c r="A3139">
        <v>24</v>
      </c>
      <c r="B3139">
        <v>3</v>
      </c>
      <c r="C3139" t="str">
        <f>VLOOKUP(A3139,'Programas y Unidades'!$A:$B,2,0)</f>
        <v>Economía y Finanzas Internacionales</v>
      </c>
    </row>
    <row r="3140" spans="1:3">
      <c r="A3140">
        <v>23</v>
      </c>
      <c r="B3140">
        <v>3</v>
      </c>
      <c r="C3140" t="str">
        <f>VLOOKUP(A3140,'Programas y Unidades'!$A:$B,2,0)</f>
        <v>Administración de Negocios Internacionales</v>
      </c>
    </row>
    <row r="3141" spans="1:3">
      <c r="A3141">
        <v>21</v>
      </c>
      <c r="B3141">
        <v>4</v>
      </c>
      <c r="C3141" t="str">
        <f>VLOOKUP(A3141,'Programas y Unidades'!$A:$B,2,0)</f>
        <v>Administración de Empresas</v>
      </c>
    </row>
    <row r="3142" spans="1:3">
      <c r="A3142">
        <v>21</v>
      </c>
      <c r="B3142">
        <v>4</v>
      </c>
      <c r="C3142" t="str">
        <f>VLOOKUP(A3142,'Programas y Unidades'!$A:$B,2,0)</f>
        <v>Administración de Empresas</v>
      </c>
    </row>
    <row r="3143" spans="1:3">
      <c r="A3143">
        <v>21</v>
      </c>
      <c r="B3143">
        <v>3</v>
      </c>
      <c r="C3143" t="str">
        <f>VLOOKUP(A3143,'Programas y Unidades'!$A:$B,2,0)</f>
        <v>Administración de Empresas</v>
      </c>
    </row>
    <row r="3144" spans="1:3">
      <c r="A3144">
        <v>38</v>
      </c>
      <c r="B3144">
        <v>8</v>
      </c>
      <c r="C3144" t="str">
        <f>VLOOKUP(A3144,'Programas y Unidades'!$A:$B,2,0)</f>
        <v>Ingeniería Industrial</v>
      </c>
    </row>
    <row r="3145" spans="1:3">
      <c r="A3145">
        <v>21</v>
      </c>
      <c r="B3145">
        <v>4</v>
      </c>
      <c r="C3145" t="str">
        <f>VLOOKUP(A3145,'Programas y Unidades'!$A:$B,2,0)</f>
        <v>Administración de Empresas</v>
      </c>
    </row>
    <row r="3146" spans="1:3">
      <c r="A3146">
        <v>24</v>
      </c>
      <c r="B3146">
        <v>3</v>
      </c>
      <c r="C3146" t="str">
        <f>VLOOKUP(A3146,'Programas y Unidades'!$A:$B,2,0)</f>
        <v>Economía y Finanzas Internacionales</v>
      </c>
    </row>
    <row r="3147" spans="1:3">
      <c r="A3147">
        <v>38</v>
      </c>
      <c r="B3147">
        <v>8</v>
      </c>
      <c r="C3147" t="str">
        <f>VLOOKUP(A3147,'Programas y Unidades'!$A:$B,2,0)</f>
        <v>Ingeniería Industrial</v>
      </c>
    </row>
    <row r="3148" spans="1:3">
      <c r="A3148">
        <v>38</v>
      </c>
      <c r="B3148">
        <v>8</v>
      </c>
      <c r="C3148" t="str">
        <f>VLOOKUP(A3148,'Programas y Unidades'!$A:$B,2,0)</f>
        <v>Ingeniería Industrial</v>
      </c>
    </row>
    <row r="3149" spans="1:3">
      <c r="A3149">
        <v>21</v>
      </c>
      <c r="B3149">
        <v>4</v>
      </c>
      <c r="C3149" t="str">
        <f>VLOOKUP(A3149,'Programas y Unidades'!$A:$B,2,0)</f>
        <v>Administración de Empresas</v>
      </c>
    </row>
    <row r="3150" spans="1:3">
      <c r="A3150">
        <v>21</v>
      </c>
      <c r="B3150">
        <v>4</v>
      </c>
      <c r="C3150" t="str">
        <f>VLOOKUP(A3150,'Programas y Unidades'!$A:$B,2,0)</f>
        <v>Administración de Empresas</v>
      </c>
    </row>
    <row r="3151" spans="1:3">
      <c r="A3151">
        <v>38</v>
      </c>
      <c r="B3151">
        <v>8</v>
      </c>
      <c r="C3151" t="str">
        <f>VLOOKUP(A3151,'Programas y Unidades'!$A:$B,2,0)</f>
        <v>Ingeniería Industrial</v>
      </c>
    </row>
    <row r="3152" spans="1:3">
      <c r="A3152">
        <v>21</v>
      </c>
      <c r="B3152">
        <v>3</v>
      </c>
      <c r="C3152" t="str">
        <f>VLOOKUP(A3152,'Programas y Unidades'!$A:$B,2,0)</f>
        <v>Administración de Empresas</v>
      </c>
    </row>
    <row r="3153" spans="1:3">
      <c r="A3153">
        <v>23</v>
      </c>
      <c r="B3153">
        <v>3</v>
      </c>
      <c r="C3153" t="str">
        <f>VLOOKUP(A3153,'Programas y Unidades'!$A:$B,2,0)</f>
        <v>Administración de Negocios Internacionales</v>
      </c>
    </row>
    <row r="3154" spans="1:3">
      <c r="A3154">
        <v>21</v>
      </c>
      <c r="B3154">
        <v>5</v>
      </c>
      <c r="C3154" t="str">
        <f>VLOOKUP(A3154,'Programas y Unidades'!$A:$B,2,0)</f>
        <v>Administración de Empresas</v>
      </c>
    </row>
    <row r="3155" spans="1:3">
      <c r="A3155">
        <v>31</v>
      </c>
      <c r="B3155">
        <v>8</v>
      </c>
      <c r="C3155" t="str">
        <f>VLOOKUP(A3155,'Programas y Unidades'!$A:$B,2,0)</f>
        <v>Licenciatura en Ciencias Naturales</v>
      </c>
    </row>
    <row r="3156" spans="1:3">
      <c r="A3156">
        <v>38</v>
      </c>
      <c r="B3156">
        <v>8</v>
      </c>
      <c r="C3156" t="str">
        <f>VLOOKUP(A3156,'Programas y Unidades'!$A:$B,2,0)</f>
        <v>Ingeniería Industrial</v>
      </c>
    </row>
    <row r="3157" spans="1:3">
      <c r="A3157">
        <v>38</v>
      </c>
      <c r="B3157">
        <v>8</v>
      </c>
      <c r="C3157" t="str">
        <f>VLOOKUP(A3157,'Programas y Unidades'!$A:$B,2,0)</f>
        <v>Ingeniería Industrial</v>
      </c>
    </row>
    <row r="3158" spans="1:3">
      <c r="A3158">
        <v>38</v>
      </c>
      <c r="B3158">
        <v>8</v>
      </c>
      <c r="C3158" t="str">
        <f>VLOOKUP(A3158,'Programas y Unidades'!$A:$B,2,0)</f>
        <v>Ingeniería Industrial</v>
      </c>
    </row>
    <row r="3159" spans="1:3">
      <c r="A3159">
        <v>22</v>
      </c>
      <c r="B3159">
        <v>4</v>
      </c>
      <c r="C3159" t="str">
        <f>VLOOKUP(A3159,'Programas y Unidades'!$A:$B,2,0)</f>
        <v>Administración de Mercadeo y Logística Internacionales</v>
      </c>
    </row>
    <row r="3160" spans="1:3">
      <c r="A3160">
        <v>24</v>
      </c>
      <c r="B3160">
        <v>3</v>
      </c>
      <c r="C3160" t="str">
        <f>VLOOKUP(A3160,'Programas y Unidades'!$A:$B,2,0)</f>
        <v>Economía y Finanzas Internacionales</v>
      </c>
    </row>
    <row r="3161" spans="1:3">
      <c r="A3161">
        <v>38</v>
      </c>
      <c r="B3161">
        <v>8</v>
      </c>
      <c r="C3161" t="str">
        <f>VLOOKUP(A3161,'Programas y Unidades'!$A:$B,2,0)</f>
        <v>Ingeniería Industrial</v>
      </c>
    </row>
    <row r="3162" spans="1:3">
      <c r="A3162">
        <v>28</v>
      </c>
      <c r="B3162">
        <v>4</v>
      </c>
      <c r="C3162" t="str">
        <f>VLOOKUP(A3162,'Programas y Unidades'!$A:$B,2,0)</f>
        <v>Comunicación Social y Periodismo</v>
      </c>
    </row>
    <row r="3163" spans="1:3">
      <c r="A3163">
        <v>28</v>
      </c>
      <c r="B3163">
        <v>4</v>
      </c>
      <c r="C3163" t="str">
        <f>VLOOKUP(A3163,'Programas y Unidades'!$A:$B,2,0)</f>
        <v>Comunicación Social y Periodismo</v>
      </c>
    </row>
    <row r="3164" spans="1:3">
      <c r="A3164">
        <v>28</v>
      </c>
      <c r="B3164">
        <v>4</v>
      </c>
      <c r="C3164" t="str">
        <f>VLOOKUP(A3164,'Programas y Unidades'!$A:$B,2,0)</f>
        <v>Comunicación Social y Periodismo</v>
      </c>
    </row>
    <row r="3165" spans="1:3">
      <c r="A3165">
        <v>28</v>
      </c>
      <c r="B3165">
        <v>4</v>
      </c>
      <c r="C3165" t="str">
        <f>VLOOKUP(A3165,'Programas y Unidades'!$A:$B,2,0)</f>
        <v>Comunicación Social y Periodismo</v>
      </c>
    </row>
    <row r="3166" spans="1:3">
      <c r="A3166">
        <v>29</v>
      </c>
      <c r="B3166">
        <v>6</v>
      </c>
      <c r="C3166" t="str">
        <f>VLOOKUP(A3166,'Programas y Unidades'!$A:$B,2,0)</f>
        <v>Ciencias Políticas</v>
      </c>
    </row>
    <row r="3167" spans="1:3">
      <c r="A3167">
        <v>28</v>
      </c>
      <c r="B3167">
        <v>4</v>
      </c>
      <c r="C3167" t="str">
        <f>VLOOKUP(A3167,'Programas y Unidades'!$A:$B,2,0)</f>
        <v>Comunicación Social y Periodismo</v>
      </c>
    </row>
    <row r="3168" spans="1:3">
      <c r="A3168">
        <v>28</v>
      </c>
      <c r="B3168">
        <v>4</v>
      </c>
      <c r="C3168" t="str">
        <f>VLOOKUP(A3168,'Programas y Unidades'!$A:$B,2,0)</f>
        <v>Comunicación Social y Periodismo</v>
      </c>
    </row>
    <row r="3169" spans="1:3">
      <c r="A3169">
        <v>24</v>
      </c>
      <c r="B3169">
        <v>3</v>
      </c>
      <c r="C3169" t="str">
        <f>VLOOKUP(A3169,'Programas y Unidades'!$A:$B,2,0)</f>
        <v>Economía y Finanzas Internacionales</v>
      </c>
    </row>
    <row r="3170" spans="1:3">
      <c r="A3170">
        <v>28</v>
      </c>
      <c r="B3170">
        <v>4</v>
      </c>
      <c r="C3170" t="str">
        <f>VLOOKUP(A3170,'Programas y Unidades'!$A:$B,2,0)</f>
        <v>Comunicación Social y Periodismo</v>
      </c>
    </row>
    <row r="3171" spans="1:3">
      <c r="A3171">
        <v>28</v>
      </c>
      <c r="B3171">
        <v>4</v>
      </c>
      <c r="C3171" t="str">
        <f>VLOOKUP(A3171,'Programas y Unidades'!$A:$B,2,0)</f>
        <v>Comunicación Social y Periodismo</v>
      </c>
    </row>
    <row r="3172" spans="1:3">
      <c r="A3172">
        <v>29</v>
      </c>
      <c r="B3172">
        <v>3</v>
      </c>
      <c r="C3172" t="str">
        <f>VLOOKUP(A3172,'Programas y Unidades'!$A:$B,2,0)</f>
        <v>Ciencias Políticas</v>
      </c>
    </row>
    <row r="3173" spans="1:3">
      <c r="A3173">
        <v>29</v>
      </c>
      <c r="B3173">
        <v>3</v>
      </c>
      <c r="C3173" t="str">
        <f>VLOOKUP(A3173,'Programas y Unidades'!$A:$B,2,0)</f>
        <v>Ciencias Políticas</v>
      </c>
    </row>
    <row r="3174" spans="1:3">
      <c r="A3174">
        <v>29</v>
      </c>
      <c r="B3174">
        <v>3</v>
      </c>
      <c r="C3174" t="str">
        <f>VLOOKUP(A3174,'Programas y Unidades'!$A:$B,2,0)</f>
        <v>Ciencias Políticas</v>
      </c>
    </row>
    <row r="3175" spans="1:3">
      <c r="A3175">
        <v>29</v>
      </c>
      <c r="B3175">
        <v>3</v>
      </c>
      <c r="C3175" t="str">
        <f>VLOOKUP(A3175,'Programas y Unidades'!$A:$B,2,0)</f>
        <v>Ciencias Políticas</v>
      </c>
    </row>
    <row r="3176" spans="1:3">
      <c r="A3176">
        <v>30</v>
      </c>
      <c r="B3176">
        <v>8</v>
      </c>
      <c r="C3176" t="str">
        <f>VLOOKUP(A3176,'Programas y Unidades'!$A:$B,2,0)</f>
        <v>Derecho</v>
      </c>
    </row>
    <row r="3177" spans="1:3">
      <c r="A3177">
        <v>29</v>
      </c>
      <c r="B3177">
        <v>4</v>
      </c>
      <c r="C3177" t="str">
        <f>VLOOKUP(A3177,'Programas y Unidades'!$A:$B,2,0)</f>
        <v>Ciencias Políticas</v>
      </c>
    </row>
    <row r="3178" spans="1:3">
      <c r="A3178">
        <v>29</v>
      </c>
      <c r="B3178">
        <v>3</v>
      </c>
      <c r="C3178" t="str">
        <f>VLOOKUP(A3178,'Programas y Unidades'!$A:$B,2,0)</f>
        <v>Ciencias Políticas</v>
      </c>
    </row>
    <row r="3179" spans="1:3">
      <c r="A3179">
        <v>29</v>
      </c>
      <c r="B3179">
        <v>3</v>
      </c>
      <c r="C3179" t="str">
        <f>VLOOKUP(A3179,'Programas y Unidades'!$A:$B,2,0)</f>
        <v>Ciencias Políticas</v>
      </c>
    </row>
    <row r="3180" spans="1:3">
      <c r="A3180">
        <v>29</v>
      </c>
      <c r="B3180">
        <v>3</v>
      </c>
      <c r="C3180" t="str">
        <f>VLOOKUP(A3180,'Programas y Unidades'!$A:$B,2,0)</f>
        <v>Ciencias Políticas</v>
      </c>
    </row>
    <row r="3181" spans="1:3">
      <c r="A3181">
        <v>29</v>
      </c>
      <c r="B3181">
        <v>3</v>
      </c>
      <c r="C3181" t="str">
        <f>VLOOKUP(A3181,'Programas y Unidades'!$A:$B,2,0)</f>
        <v>Ciencias Políticas</v>
      </c>
    </row>
    <row r="3182" spans="1:3">
      <c r="A3182">
        <v>29</v>
      </c>
      <c r="B3182">
        <v>3</v>
      </c>
      <c r="C3182" t="str">
        <f>VLOOKUP(A3182,'Programas y Unidades'!$A:$B,2,0)</f>
        <v>Ciencias Políticas</v>
      </c>
    </row>
    <row r="3183" spans="1:3">
      <c r="A3183">
        <v>28</v>
      </c>
      <c r="B3183">
        <v>4</v>
      </c>
      <c r="C3183" t="str">
        <f>VLOOKUP(A3183,'Programas y Unidades'!$A:$B,2,0)</f>
        <v>Comunicación Social y Periodismo</v>
      </c>
    </row>
    <row r="3184" spans="1:3">
      <c r="A3184">
        <v>28</v>
      </c>
      <c r="B3184">
        <v>4</v>
      </c>
      <c r="C3184" t="str">
        <f>VLOOKUP(A3184,'Programas y Unidades'!$A:$B,2,0)</f>
        <v>Comunicación Social y Periodismo</v>
      </c>
    </row>
    <row r="3185" spans="1:3">
      <c r="A3185">
        <v>28</v>
      </c>
      <c r="B3185">
        <v>6</v>
      </c>
      <c r="C3185" t="str">
        <f>VLOOKUP(A3185,'Programas y Unidades'!$A:$B,2,0)</f>
        <v>Comunicación Social y Periodismo</v>
      </c>
    </row>
    <row r="3186" spans="1:3">
      <c r="A3186">
        <v>28</v>
      </c>
      <c r="B3186">
        <v>4</v>
      </c>
      <c r="C3186" t="str">
        <f>VLOOKUP(A3186,'Programas y Unidades'!$A:$B,2,0)</f>
        <v>Comunicación Social y Periodismo</v>
      </c>
    </row>
    <row r="3187" spans="1:3">
      <c r="A3187">
        <v>20</v>
      </c>
      <c r="B3187">
        <v>4</v>
      </c>
      <c r="C3187" t="str">
        <f>VLOOKUP(A3187,'Programas y Unidades'!$A:$B,2,0)</f>
        <v>Administración &amp; Servicio</v>
      </c>
    </row>
    <row r="3188" spans="1:3">
      <c r="A3188">
        <v>20</v>
      </c>
      <c r="B3188">
        <v>5</v>
      </c>
      <c r="C3188" t="str">
        <f>VLOOKUP(A3188,'Programas y Unidades'!$A:$B,2,0)</f>
        <v>Administración &amp; Servicio</v>
      </c>
    </row>
    <row r="3189" spans="1:3">
      <c r="A3189">
        <v>20</v>
      </c>
      <c r="B3189">
        <v>5</v>
      </c>
      <c r="C3189" t="str">
        <f>VLOOKUP(A3189,'Programas y Unidades'!$A:$B,2,0)</f>
        <v>Administración &amp; Servicio</v>
      </c>
    </row>
    <row r="3190" spans="1:3">
      <c r="A3190">
        <v>20</v>
      </c>
      <c r="B3190">
        <v>6</v>
      </c>
      <c r="C3190" t="str">
        <f>VLOOKUP(A3190,'Programas y Unidades'!$A:$B,2,0)</f>
        <v>Administración &amp; Servicio</v>
      </c>
    </row>
    <row r="3191" spans="1:3">
      <c r="A3191">
        <v>20</v>
      </c>
      <c r="B3191">
        <v>5</v>
      </c>
      <c r="C3191" t="str">
        <f>VLOOKUP(A3191,'Programas y Unidades'!$A:$B,2,0)</f>
        <v>Administración &amp; Servicio</v>
      </c>
    </row>
    <row r="3192" spans="1:3">
      <c r="A3192">
        <v>30</v>
      </c>
      <c r="B3192">
        <v>8</v>
      </c>
      <c r="C3192" t="str">
        <f>VLOOKUP(A3192,'Programas y Unidades'!$A:$B,2,0)</f>
        <v>Derecho</v>
      </c>
    </row>
    <row r="3193" spans="1:3">
      <c r="A3193">
        <v>30</v>
      </c>
      <c r="B3193">
        <v>8</v>
      </c>
      <c r="C3193" t="str">
        <f>VLOOKUP(A3193,'Programas y Unidades'!$A:$B,2,0)</f>
        <v>Derecho</v>
      </c>
    </row>
    <row r="3194" spans="1:3">
      <c r="A3194">
        <v>30</v>
      </c>
      <c r="B3194">
        <v>8</v>
      </c>
      <c r="C3194" t="str">
        <f>VLOOKUP(A3194,'Programas y Unidades'!$A:$B,2,0)</f>
        <v>Derecho</v>
      </c>
    </row>
    <row r="3195" spans="1:3">
      <c r="A3195">
        <v>30</v>
      </c>
      <c r="B3195">
        <v>8</v>
      </c>
      <c r="C3195" t="str">
        <f>VLOOKUP(A3195,'Programas y Unidades'!$A:$B,2,0)</f>
        <v>Derecho</v>
      </c>
    </row>
    <row r="3196" spans="1:3">
      <c r="A3196">
        <v>30</v>
      </c>
      <c r="B3196">
        <v>8</v>
      </c>
      <c r="C3196" t="str">
        <f>VLOOKUP(A3196,'Programas y Unidades'!$A:$B,2,0)</f>
        <v>Derecho</v>
      </c>
    </row>
    <row r="3197" spans="1:3">
      <c r="A3197">
        <v>30</v>
      </c>
      <c r="B3197">
        <v>8</v>
      </c>
      <c r="C3197" t="str">
        <f>VLOOKUP(A3197,'Programas y Unidades'!$A:$B,2,0)</f>
        <v>Derecho</v>
      </c>
    </row>
    <row r="3198" spans="1:3">
      <c r="A3198">
        <v>30</v>
      </c>
      <c r="B3198">
        <v>7</v>
      </c>
      <c r="C3198" t="str">
        <f>VLOOKUP(A3198,'Programas y Unidades'!$A:$B,2,0)</f>
        <v>Derecho</v>
      </c>
    </row>
    <row r="3199" spans="1:3">
      <c r="A3199">
        <v>30</v>
      </c>
      <c r="B3199">
        <v>8</v>
      </c>
      <c r="C3199" t="str">
        <f>VLOOKUP(A3199,'Programas y Unidades'!$A:$B,2,0)</f>
        <v>Derecho</v>
      </c>
    </row>
    <row r="3200" spans="1:3">
      <c r="A3200">
        <v>30</v>
      </c>
      <c r="B3200">
        <v>8</v>
      </c>
      <c r="C3200" t="str">
        <f>VLOOKUP(A3200,'Programas y Unidades'!$A:$B,2,0)</f>
        <v>Derecho</v>
      </c>
    </row>
    <row r="3201" spans="1:3">
      <c r="A3201">
        <v>30</v>
      </c>
      <c r="B3201">
        <v>8</v>
      </c>
      <c r="C3201" t="str">
        <f>VLOOKUP(A3201,'Programas y Unidades'!$A:$B,2,0)</f>
        <v>Derecho</v>
      </c>
    </row>
    <row r="3202" spans="1:3">
      <c r="A3202">
        <v>43</v>
      </c>
      <c r="B3202">
        <v>5</v>
      </c>
      <c r="C3202" t="str">
        <f>VLOOKUP(A3202,'Programas y Unidades'!$A:$B,2,0)</f>
        <v>Psicología</v>
      </c>
    </row>
    <row r="3203" spans="1:3">
      <c r="A3203">
        <v>43</v>
      </c>
      <c r="B3203">
        <v>5</v>
      </c>
      <c r="C3203" t="str">
        <f>VLOOKUP(A3203,'Programas y Unidades'!$A:$B,2,0)</f>
        <v>Psicología</v>
      </c>
    </row>
    <row r="3204" spans="1:3">
      <c r="A3204">
        <v>43</v>
      </c>
      <c r="B3204">
        <v>6</v>
      </c>
      <c r="C3204" t="str">
        <f>VLOOKUP(A3204,'Programas y Unidades'!$A:$B,2,0)</f>
        <v>Psicología</v>
      </c>
    </row>
    <row r="3205" spans="1:3">
      <c r="A3205">
        <v>43</v>
      </c>
      <c r="B3205">
        <v>4</v>
      </c>
      <c r="C3205" t="str">
        <f>VLOOKUP(A3205,'Programas y Unidades'!$A:$B,2,0)</f>
        <v>Psicología</v>
      </c>
    </row>
    <row r="3206" spans="1:3">
      <c r="A3206">
        <v>43</v>
      </c>
      <c r="B3206">
        <v>5</v>
      </c>
      <c r="C3206" t="str">
        <f>VLOOKUP(A3206,'Programas y Unidades'!$A:$B,2,0)</f>
        <v>Psicología</v>
      </c>
    </row>
    <row r="3207" spans="1:3">
      <c r="A3207">
        <v>43</v>
      </c>
      <c r="B3207">
        <v>5</v>
      </c>
      <c r="C3207" t="str">
        <f>VLOOKUP(A3207,'Programas y Unidades'!$A:$B,2,0)</f>
        <v>Psicología</v>
      </c>
    </row>
    <row r="3208" spans="1:3">
      <c r="A3208">
        <v>43</v>
      </c>
      <c r="B3208">
        <v>5</v>
      </c>
      <c r="C3208" t="str">
        <f>VLOOKUP(A3208,'Programas y Unidades'!$A:$B,2,0)</f>
        <v>Psicología</v>
      </c>
    </row>
    <row r="3209" spans="1:3">
      <c r="A3209">
        <v>43</v>
      </c>
      <c r="B3209">
        <v>5</v>
      </c>
      <c r="C3209" t="str">
        <f>VLOOKUP(A3209,'Programas y Unidades'!$A:$B,2,0)</f>
        <v>Psicología</v>
      </c>
    </row>
    <row r="3210" spans="1:3">
      <c r="A3210">
        <v>43</v>
      </c>
      <c r="B3210">
        <v>5</v>
      </c>
      <c r="C3210" t="str">
        <f>VLOOKUP(A3210,'Programas y Unidades'!$A:$B,2,0)</f>
        <v>Psicología</v>
      </c>
    </row>
    <row r="3211" spans="1:3">
      <c r="A3211">
        <v>43</v>
      </c>
      <c r="B3211">
        <v>5</v>
      </c>
      <c r="C3211" t="str">
        <f>VLOOKUP(A3211,'Programas y Unidades'!$A:$B,2,0)</f>
        <v>Psicología</v>
      </c>
    </row>
    <row r="3212" spans="1:3">
      <c r="A3212">
        <v>43</v>
      </c>
      <c r="B3212">
        <v>5</v>
      </c>
      <c r="C3212" t="str">
        <f>VLOOKUP(A3212,'Programas y Unidades'!$A:$B,2,0)</f>
        <v>Psicología</v>
      </c>
    </row>
    <row r="3213" spans="1:3">
      <c r="A3213">
        <v>43</v>
      </c>
      <c r="B3213">
        <v>5</v>
      </c>
      <c r="C3213" t="str">
        <f>VLOOKUP(A3213,'Programas y Unidades'!$A:$B,2,0)</f>
        <v>Psicología</v>
      </c>
    </row>
    <row r="3214" spans="1:3">
      <c r="A3214">
        <v>24</v>
      </c>
      <c r="B3214">
        <v>8</v>
      </c>
      <c r="C3214" t="str">
        <f>VLOOKUP(A3214,'Programas y Unidades'!$A:$B,2,0)</f>
        <v>Economía y Finanzas Internacionales</v>
      </c>
    </row>
    <row r="3215" spans="1:3">
      <c r="A3215">
        <v>24</v>
      </c>
      <c r="B3215">
        <v>8</v>
      </c>
      <c r="C3215" t="str">
        <f>VLOOKUP(A3215,'Programas y Unidades'!$A:$B,2,0)</f>
        <v>Economía y Finanzas Internacionales</v>
      </c>
    </row>
    <row r="3216" spans="1:3">
      <c r="A3216">
        <v>24</v>
      </c>
      <c r="B3216">
        <v>8</v>
      </c>
      <c r="C3216" t="str">
        <f>VLOOKUP(A3216,'Programas y Unidades'!$A:$B,2,0)</f>
        <v>Economía y Finanzas Internacionales</v>
      </c>
    </row>
    <row r="3217" spans="1:3">
      <c r="A3217">
        <v>43</v>
      </c>
      <c r="B3217">
        <v>2</v>
      </c>
      <c r="C3217" t="str">
        <f>VLOOKUP(A3217,'Programas y Unidades'!$A:$B,2,0)</f>
        <v>Psicología</v>
      </c>
    </row>
    <row r="3218" spans="1:3">
      <c r="A3218">
        <v>43</v>
      </c>
      <c r="B3218">
        <v>2</v>
      </c>
      <c r="C3218" t="str">
        <f>VLOOKUP(A3218,'Programas y Unidades'!$A:$B,2,0)</f>
        <v>Psicología</v>
      </c>
    </row>
    <row r="3219" spans="1:3">
      <c r="A3219">
        <v>43</v>
      </c>
      <c r="B3219">
        <v>2</v>
      </c>
      <c r="C3219" t="str">
        <f>VLOOKUP(A3219,'Programas y Unidades'!$A:$B,2,0)</f>
        <v>Psicología</v>
      </c>
    </row>
    <row r="3220" spans="1:3">
      <c r="A3220">
        <v>43</v>
      </c>
      <c r="B3220">
        <v>2</v>
      </c>
      <c r="C3220" t="str">
        <f>VLOOKUP(A3220,'Programas y Unidades'!$A:$B,2,0)</f>
        <v>Psicología</v>
      </c>
    </row>
    <row r="3221" spans="1:3">
      <c r="A3221">
        <v>43</v>
      </c>
      <c r="B3221">
        <v>2</v>
      </c>
      <c r="C3221" t="str">
        <f>VLOOKUP(A3221,'Programas y Unidades'!$A:$B,2,0)</f>
        <v>Psicología</v>
      </c>
    </row>
    <row r="3222" spans="1:3">
      <c r="A3222">
        <v>43</v>
      </c>
      <c r="B3222">
        <v>2</v>
      </c>
      <c r="C3222" t="str">
        <f>VLOOKUP(A3222,'Programas y Unidades'!$A:$B,2,0)</f>
        <v>Psicología</v>
      </c>
    </row>
    <row r="3223" spans="1:3">
      <c r="A3223">
        <v>43</v>
      </c>
      <c r="B3223">
        <v>2</v>
      </c>
      <c r="C3223" t="str">
        <f>VLOOKUP(A3223,'Programas y Unidades'!$A:$B,2,0)</f>
        <v>Psicología</v>
      </c>
    </row>
    <row r="3224" spans="1:3">
      <c r="A3224">
        <v>43</v>
      </c>
      <c r="B3224">
        <v>2</v>
      </c>
      <c r="C3224" t="str">
        <f>VLOOKUP(A3224,'Programas y Unidades'!$A:$B,2,0)</f>
        <v>Psicología</v>
      </c>
    </row>
    <row r="3225" spans="1:3">
      <c r="A3225">
        <v>43</v>
      </c>
      <c r="B3225">
        <v>2</v>
      </c>
      <c r="C3225" t="str">
        <f>VLOOKUP(A3225,'Programas y Unidades'!$A:$B,2,0)</f>
        <v>Psicología</v>
      </c>
    </row>
    <row r="3226" spans="1:3">
      <c r="A3226">
        <v>43</v>
      </c>
      <c r="B3226">
        <v>2</v>
      </c>
      <c r="C3226" t="str">
        <f>VLOOKUP(A3226,'Programas y Unidades'!$A:$B,2,0)</f>
        <v>Psicología</v>
      </c>
    </row>
    <row r="3227" spans="1:3">
      <c r="A3227">
        <v>43</v>
      </c>
      <c r="B3227">
        <v>2</v>
      </c>
      <c r="C3227" t="str">
        <f>VLOOKUP(A3227,'Programas y Unidades'!$A:$B,2,0)</f>
        <v>Psicología</v>
      </c>
    </row>
    <row r="3228" spans="1:3">
      <c r="A3228">
        <v>43</v>
      </c>
      <c r="B3228">
        <v>2</v>
      </c>
      <c r="C3228" t="str">
        <f>VLOOKUP(A3228,'Programas y Unidades'!$A:$B,2,0)</f>
        <v>Psicología</v>
      </c>
    </row>
    <row r="3229" spans="1:3">
      <c r="A3229">
        <v>43</v>
      </c>
      <c r="B3229">
        <v>2</v>
      </c>
      <c r="C3229" t="str">
        <f>VLOOKUP(A3229,'Programas y Unidades'!$A:$B,2,0)</f>
        <v>Psicología</v>
      </c>
    </row>
    <row r="3230" spans="1:3">
      <c r="A3230">
        <v>43</v>
      </c>
      <c r="B3230">
        <v>2</v>
      </c>
      <c r="C3230" t="str">
        <f>VLOOKUP(A3230,'Programas y Unidades'!$A:$B,2,0)</f>
        <v>Psicología</v>
      </c>
    </row>
    <row r="3231" spans="1:3">
      <c r="A3231">
        <v>43</v>
      </c>
      <c r="B3231">
        <v>2</v>
      </c>
      <c r="C3231" t="str">
        <f>VLOOKUP(A3231,'Programas y Unidades'!$A:$B,2,0)</f>
        <v>Psicología</v>
      </c>
    </row>
    <row r="3232" spans="1:3">
      <c r="A3232">
        <v>43</v>
      </c>
      <c r="B3232">
        <v>2</v>
      </c>
      <c r="C3232" t="str">
        <f>VLOOKUP(A3232,'Programas y Unidades'!$A:$B,2,0)</f>
        <v>Psicología</v>
      </c>
    </row>
    <row r="3233" spans="1:3">
      <c r="A3233">
        <v>43</v>
      </c>
      <c r="B3233">
        <v>2</v>
      </c>
      <c r="C3233" t="str">
        <f>VLOOKUP(A3233,'Programas y Unidades'!$A:$B,2,0)</f>
        <v>Psicología</v>
      </c>
    </row>
    <row r="3234" spans="1:3">
      <c r="A3234">
        <v>43</v>
      </c>
      <c r="B3234">
        <v>2</v>
      </c>
      <c r="C3234" t="str">
        <f>VLOOKUP(A3234,'Programas y Unidades'!$A:$B,2,0)</f>
        <v>Psicología</v>
      </c>
    </row>
    <row r="3235" spans="1:3">
      <c r="A3235">
        <v>43</v>
      </c>
      <c r="B3235">
        <v>2</v>
      </c>
      <c r="C3235" t="str">
        <f>VLOOKUP(A3235,'Programas y Unidades'!$A:$B,2,0)</f>
        <v>Psicología</v>
      </c>
    </row>
    <row r="3236" spans="1:3">
      <c r="A3236">
        <v>43</v>
      </c>
      <c r="B3236">
        <v>2</v>
      </c>
      <c r="C3236" t="str">
        <f>VLOOKUP(A3236,'Programas y Unidades'!$A:$B,2,0)</f>
        <v>Psicología</v>
      </c>
    </row>
    <row r="3237" spans="1:3">
      <c r="A3237">
        <v>43</v>
      </c>
      <c r="B3237">
        <v>2</v>
      </c>
      <c r="C3237" t="str">
        <f>VLOOKUP(A3237,'Programas y Unidades'!$A:$B,2,0)</f>
        <v>Psicología</v>
      </c>
    </row>
    <row r="3238" spans="1:3">
      <c r="A3238">
        <v>43</v>
      </c>
      <c r="B3238">
        <v>2</v>
      </c>
      <c r="C3238" t="str">
        <f>VLOOKUP(A3238,'Programas y Unidades'!$A:$B,2,0)</f>
        <v>Psicología</v>
      </c>
    </row>
    <row r="3239" spans="1:3">
      <c r="A3239">
        <v>43</v>
      </c>
      <c r="B3239">
        <v>2</v>
      </c>
      <c r="C3239" t="str">
        <f>VLOOKUP(A3239,'Programas y Unidades'!$A:$B,2,0)</f>
        <v>Psicología</v>
      </c>
    </row>
    <row r="3240" spans="1:3">
      <c r="A3240">
        <v>43</v>
      </c>
      <c r="B3240">
        <v>2</v>
      </c>
      <c r="C3240" t="str">
        <f>VLOOKUP(A3240,'Programas y Unidades'!$A:$B,2,0)</f>
        <v>Psicología</v>
      </c>
    </row>
    <row r="3241" spans="1:3">
      <c r="A3241">
        <v>43</v>
      </c>
      <c r="B3241">
        <v>2</v>
      </c>
      <c r="C3241" t="str">
        <f>VLOOKUP(A3241,'Programas y Unidades'!$A:$B,2,0)</f>
        <v>Psicología</v>
      </c>
    </row>
    <row r="3242" spans="1:3">
      <c r="A3242">
        <v>43</v>
      </c>
      <c r="B3242">
        <v>3</v>
      </c>
      <c r="C3242" t="str">
        <f>VLOOKUP(A3242,'Programas y Unidades'!$A:$B,2,0)</f>
        <v>Psicología</v>
      </c>
    </row>
    <row r="3243" spans="1:3">
      <c r="A3243">
        <v>28</v>
      </c>
      <c r="B3243">
        <v>2</v>
      </c>
      <c r="C3243" t="str">
        <f>VLOOKUP(A3243,'Programas y Unidades'!$A:$B,2,0)</f>
        <v>Comunicación Social y Periodismo</v>
      </c>
    </row>
    <row r="3244" spans="1:3">
      <c r="A3244">
        <v>27</v>
      </c>
      <c r="B3244">
        <v>2</v>
      </c>
      <c r="C3244" t="str">
        <f>VLOOKUP(A3244,'Programas y Unidades'!$A:$B,2,0)</f>
        <v>Comunicación Audiovisual y Multimedios</v>
      </c>
    </row>
    <row r="3245" spans="1:3">
      <c r="A3245">
        <v>27</v>
      </c>
      <c r="B3245">
        <v>3</v>
      </c>
      <c r="C3245" t="str">
        <f>VLOOKUP(A3245,'Programas y Unidades'!$A:$B,2,0)</f>
        <v>Comunicación Audiovisual y Multimedios</v>
      </c>
    </row>
    <row r="3246" spans="1:3">
      <c r="A3246">
        <v>27</v>
      </c>
      <c r="B3246">
        <v>2</v>
      </c>
      <c r="C3246" t="str">
        <f>VLOOKUP(A3246,'Programas y Unidades'!$A:$B,2,0)</f>
        <v>Comunicación Audiovisual y Multimedios</v>
      </c>
    </row>
    <row r="3247" spans="1:3">
      <c r="A3247">
        <v>27</v>
      </c>
      <c r="B3247">
        <v>2</v>
      </c>
      <c r="C3247" t="str">
        <f>VLOOKUP(A3247,'Programas y Unidades'!$A:$B,2,0)</f>
        <v>Comunicación Audiovisual y Multimedios</v>
      </c>
    </row>
    <row r="3248" spans="1:3">
      <c r="A3248">
        <v>43</v>
      </c>
      <c r="B3248">
        <v>2</v>
      </c>
      <c r="C3248" t="str">
        <f>VLOOKUP(A3248,'Programas y Unidades'!$A:$B,2,0)</f>
        <v>Psicología</v>
      </c>
    </row>
    <row r="3249" spans="1:3">
      <c r="A3249">
        <v>28</v>
      </c>
      <c r="B3249">
        <v>2</v>
      </c>
      <c r="C3249" t="str">
        <f>VLOOKUP(A3249,'Programas y Unidades'!$A:$B,2,0)</f>
        <v>Comunicación Social y Periodismo</v>
      </c>
    </row>
    <row r="3250" spans="1:3">
      <c r="A3250">
        <v>27</v>
      </c>
      <c r="B3250">
        <v>2</v>
      </c>
      <c r="C3250" t="str">
        <f>VLOOKUP(A3250,'Programas y Unidades'!$A:$B,2,0)</f>
        <v>Comunicación Audiovisual y Multimedios</v>
      </c>
    </row>
    <row r="3251" spans="1:3">
      <c r="A3251">
        <v>27</v>
      </c>
      <c r="B3251">
        <v>3</v>
      </c>
      <c r="C3251" t="str">
        <f>VLOOKUP(A3251,'Programas y Unidades'!$A:$B,2,0)</f>
        <v>Comunicación Audiovisual y Multimedios</v>
      </c>
    </row>
    <row r="3252" spans="1:3">
      <c r="A3252">
        <v>27</v>
      </c>
      <c r="B3252">
        <v>2</v>
      </c>
      <c r="C3252" t="str">
        <f>VLOOKUP(A3252,'Programas y Unidades'!$A:$B,2,0)</f>
        <v>Comunicación Audiovisual y Multimedios</v>
      </c>
    </row>
    <row r="3253" spans="1:3">
      <c r="A3253">
        <v>27</v>
      </c>
      <c r="B3253">
        <v>3</v>
      </c>
      <c r="C3253" t="str">
        <f>VLOOKUP(A3253,'Programas y Unidades'!$A:$B,2,0)</f>
        <v>Comunicación Audiovisual y Multimedios</v>
      </c>
    </row>
    <row r="3254" spans="1:3">
      <c r="A3254">
        <v>26</v>
      </c>
      <c r="B3254">
        <v>2</v>
      </c>
      <c r="C3254" t="str">
        <f>VLOOKUP(A3254,'Programas y Unidades'!$A:$B,2,0)</f>
        <v>Comunicación Corporativa</v>
      </c>
    </row>
    <row r="3255" spans="1:3">
      <c r="A3255">
        <v>27</v>
      </c>
      <c r="B3255">
        <v>4</v>
      </c>
      <c r="C3255" t="str">
        <f>VLOOKUP(A3255,'Programas y Unidades'!$A:$B,2,0)</f>
        <v>Comunicación Audiovisual y Multimedios</v>
      </c>
    </row>
    <row r="3256" spans="1:3">
      <c r="A3256">
        <v>27</v>
      </c>
      <c r="B3256">
        <v>4</v>
      </c>
      <c r="C3256" t="str">
        <f>VLOOKUP(A3256,'Programas y Unidades'!$A:$B,2,0)</f>
        <v>Comunicación Audiovisual y Multimedios</v>
      </c>
    </row>
    <row r="3257" spans="1:3">
      <c r="A3257">
        <v>27</v>
      </c>
      <c r="B3257">
        <v>4</v>
      </c>
      <c r="C3257" t="str">
        <f>VLOOKUP(A3257,'Programas y Unidades'!$A:$B,2,0)</f>
        <v>Comunicación Audiovisual y Multimedios</v>
      </c>
    </row>
    <row r="3258" spans="1:3">
      <c r="A3258">
        <v>27</v>
      </c>
      <c r="B3258">
        <v>4</v>
      </c>
      <c r="C3258" t="str">
        <f>VLOOKUP(A3258,'Programas y Unidades'!$A:$B,2,0)</f>
        <v>Comunicación Audiovisual y Multimedios</v>
      </c>
    </row>
    <row r="3259" spans="1:3">
      <c r="A3259">
        <v>27</v>
      </c>
      <c r="B3259">
        <v>4</v>
      </c>
      <c r="C3259" t="str">
        <f>VLOOKUP(A3259,'Programas y Unidades'!$A:$B,2,0)</f>
        <v>Comunicación Audiovisual y Multimedios</v>
      </c>
    </row>
    <row r="3260" spans="1:3">
      <c r="A3260">
        <v>27</v>
      </c>
      <c r="B3260">
        <v>4</v>
      </c>
      <c r="C3260" t="str">
        <f>VLOOKUP(A3260,'Programas y Unidades'!$A:$B,2,0)</f>
        <v>Comunicación Audiovisual y Multimedios</v>
      </c>
    </row>
    <row r="3261" spans="1:3">
      <c r="A3261">
        <v>27</v>
      </c>
      <c r="B3261">
        <v>4</v>
      </c>
      <c r="C3261" t="str">
        <f>VLOOKUP(A3261,'Programas y Unidades'!$A:$B,2,0)</f>
        <v>Comunicación Audiovisual y Multimedios</v>
      </c>
    </row>
    <row r="3262" spans="1:3">
      <c r="A3262">
        <v>27</v>
      </c>
      <c r="B3262">
        <v>4</v>
      </c>
      <c r="C3262" t="str">
        <f>VLOOKUP(A3262,'Programas y Unidades'!$A:$B,2,0)</f>
        <v>Comunicación Audiovisual y Multimedios</v>
      </c>
    </row>
    <row r="3263" spans="1:3">
      <c r="A3263">
        <v>27</v>
      </c>
      <c r="B3263">
        <v>4</v>
      </c>
      <c r="C3263" t="str">
        <f>VLOOKUP(A3263,'Programas y Unidades'!$A:$B,2,0)</f>
        <v>Comunicación Audiovisual y Multimedios</v>
      </c>
    </row>
    <row r="3264" spans="1:3">
      <c r="A3264">
        <v>27</v>
      </c>
      <c r="B3264">
        <v>4</v>
      </c>
      <c r="C3264" t="str">
        <f>VLOOKUP(A3264,'Programas y Unidades'!$A:$B,2,0)</f>
        <v>Comunicación Audiovisual y Multimedios</v>
      </c>
    </row>
    <row r="3265" spans="1:3">
      <c r="A3265">
        <v>27</v>
      </c>
      <c r="B3265">
        <v>4</v>
      </c>
      <c r="C3265" t="str">
        <f>VLOOKUP(A3265,'Programas y Unidades'!$A:$B,2,0)</f>
        <v>Comunicación Audiovisual y Multimedios</v>
      </c>
    </row>
    <row r="3266" spans="1:3">
      <c r="A3266">
        <v>27</v>
      </c>
      <c r="B3266">
        <v>4</v>
      </c>
      <c r="C3266" t="str">
        <f>VLOOKUP(A3266,'Programas y Unidades'!$A:$B,2,0)</f>
        <v>Comunicación Audiovisual y Multimedios</v>
      </c>
    </row>
    <row r="3267" spans="1:3">
      <c r="A3267">
        <v>27</v>
      </c>
      <c r="B3267">
        <v>4</v>
      </c>
      <c r="C3267" t="str">
        <f>VLOOKUP(A3267,'Programas y Unidades'!$A:$B,2,0)</f>
        <v>Comunicación Audiovisual y Multimedios</v>
      </c>
    </row>
    <row r="3268" spans="1:3">
      <c r="A3268">
        <v>27</v>
      </c>
      <c r="B3268">
        <v>4</v>
      </c>
      <c r="C3268" t="str">
        <f>VLOOKUP(A3268,'Programas y Unidades'!$A:$B,2,0)</f>
        <v>Comunicación Audiovisual y Multimedios</v>
      </c>
    </row>
    <row r="3269" spans="1:3">
      <c r="A3269">
        <v>27</v>
      </c>
      <c r="B3269">
        <v>5</v>
      </c>
      <c r="C3269" t="str">
        <f>VLOOKUP(A3269,'Programas y Unidades'!$A:$B,2,0)</f>
        <v>Comunicación Audiovisual y Multimedios</v>
      </c>
    </row>
    <row r="3270" spans="1:3">
      <c r="A3270">
        <v>27</v>
      </c>
      <c r="B3270">
        <v>4</v>
      </c>
      <c r="C3270" t="str">
        <f>VLOOKUP(A3270,'Programas y Unidades'!$A:$B,2,0)</f>
        <v>Comunicación Audiovisual y Multimedios</v>
      </c>
    </row>
    <row r="3271" spans="1:3">
      <c r="A3271">
        <v>27</v>
      </c>
      <c r="B3271">
        <v>4</v>
      </c>
      <c r="C3271" t="str">
        <f>VLOOKUP(A3271,'Programas y Unidades'!$A:$B,2,0)</f>
        <v>Comunicación Audiovisual y Multimedios</v>
      </c>
    </row>
    <row r="3272" spans="1:3">
      <c r="A3272">
        <v>27</v>
      </c>
      <c r="B3272">
        <v>4</v>
      </c>
      <c r="C3272" t="str">
        <f>VLOOKUP(A3272,'Programas y Unidades'!$A:$B,2,0)</f>
        <v>Comunicación Audiovisual y Multimedios</v>
      </c>
    </row>
    <row r="3273" spans="1:3">
      <c r="A3273">
        <v>27</v>
      </c>
      <c r="B3273">
        <v>4</v>
      </c>
      <c r="C3273" t="str">
        <f>VLOOKUP(A3273,'Programas y Unidades'!$A:$B,2,0)</f>
        <v>Comunicación Audiovisual y Multimedios</v>
      </c>
    </row>
    <row r="3274" spans="1:3">
      <c r="A3274">
        <v>27</v>
      </c>
      <c r="B3274">
        <v>4</v>
      </c>
      <c r="C3274" t="str">
        <f>VLOOKUP(A3274,'Programas y Unidades'!$A:$B,2,0)</f>
        <v>Comunicación Audiovisual y Multimedios</v>
      </c>
    </row>
    <row r="3275" spans="1:3">
      <c r="A3275">
        <v>27</v>
      </c>
      <c r="B3275">
        <v>4</v>
      </c>
      <c r="C3275" t="str">
        <f>VLOOKUP(A3275,'Programas y Unidades'!$A:$B,2,0)</f>
        <v>Comunicación Audiovisual y Multimedios</v>
      </c>
    </row>
    <row r="3276" spans="1:3">
      <c r="A3276">
        <v>27</v>
      </c>
      <c r="B3276">
        <v>4</v>
      </c>
      <c r="C3276" t="str">
        <f>VLOOKUP(A3276,'Programas y Unidades'!$A:$B,2,0)</f>
        <v>Comunicación Audiovisual y Multimedios</v>
      </c>
    </row>
    <row r="3277" spans="1:3">
      <c r="A3277">
        <v>27</v>
      </c>
      <c r="B3277">
        <v>3</v>
      </c>
      <c r="C3277" t="str">
        <f>VLOOKUP(A3277,'Programas y Unidades'!$A:$B,2,0)</f>
        <v>Comunicación Audiovisual y Multimedios</v>
      </c>
    </row>
    <row r="3278" spans="1:3">
      <c r="A3278">
        <v>27</v>
      </c>
      <c r="B3278">
        <v>5</v>
      </c>
      <c r="C3278" t="str">
        <f>VLOOKUP(A3278,'Programas y Unidades'!$A:$B,2,0)</f>
        <v>Comunicación Audiovisual y Multimedios</v>
      </c>
    </row>
    <row r="3279" spans="1:3">
      <c r="A3279">
        <v>27</v>
      </c>
      <c r="B3279">
        <v>2</v>
      </c>
      <c r="C3279" t="str">
        <f>VLOOKUP(A3279,'Programas y Unidades'!$A:$B,2,0)</f>
        <v>Comunicación Audiovisual y Multimedios</v>
      </c>
    </row>
    <row r="3280" spans="1:3">
      <c r="A3280">
        <v>26</v>
      </c>
      <c r="B3280">
        <v>2</v>
      </c>
      <c r="C3280" t="str">
        <f>VLOOKUP(A3280,'Programas y Unidades'!$A:$B,2,0)</f>
        <v>Comunicación Corporativa</v>
      </c>
    </row>
    <row r="3281" spans="1:3">
      <c r="A3281">
        <v>28</v>
      </c>
      <c r="B3281">
        <v>2</v>
      </c>
      <c r="C3281" t="str">
        <f>VLOOKUP(A3281,'Programas y Unidades'!$A:$B,2,0)</f>
        <v>Comunicación Social y Periodismo</v>
      </c>
    </row>
    <row r="3282" spans="1:3">
      <c r="A3282">
        <v>40</v>
      </c>
      <c r="B3282">
        <v>2</v>
      </c>
      <c r="C3282" t="str">
        <f>VLOOKUP(A3282,'Programas y Unidades'!$A:$B,2,0)</f>
        <v>Ingeniería Mecánica</v>
      </c>
    </row>
    <row r="3283" spans="1:3">
      <c r="A3283">
        <v>38</v>
      </c>
      <c r="B3283">
        <v>8</v>
      </c>
      <c r="C3283" t="str">
        <f>VLOOKUP(A3283,'Programas y Unidades'!$A:$B,2,0)</f>
        <v>Ingeniería Industrial</v>
      </c>
    </row>
    <row r="3284" spans="1:3">
      <c r="A3284">
        <v>40</v>
      </c>
      <c r="B3284">
        <v>2</v>
      </c>
      <c r="C3284" t="str">
        <f>VLOOKUP(A3284,'Programas y Unidades'!$A:$B,2,0)</f>
        <v>Ingeniería Mecánica</v>
      </c>
    </row>
    <row r="3285" spans="1:3">
      <c r="A3285">
        <v>40</v>
      </c>
      <c r="B3285">
        <v>2</v>
      </c>
      <c r="C3285" t="str">
        <f>VLOOKUP(A3285,'Programas y Unidades'!$A:$B,2,0)</f>
        <v>Ingeniería Mecánica</v>
      </c>
    </row>
    <row r="3286" spans="1:3">
      <c r="A3286">
        <v>40</v>
      </c>
      <c r="B3286">
        <v>2</v>
      </c>
      <c r="C3286" t="str">
        <f>VLOOKUP(A3286,'Programas y Unidades'!$A:$B,2,0)</f>
        <v>Ingeniería Mecánica</v>
      </c>
    </row>
    <row r="3287" spans="1:3">
      <c r="A3287">
        <v>40</v>
      </c>
      <c r="B3287">
        <v>2</v>
      </c>
      <c r="C3287" t="str">
        <f>VLOOKUP(A3287,'Programas y Unidades'!$A:$B,2,0)</f>
        <v>Ingeniería Mecánica</v>
      </c>
    </row>
    <row r="3288" spans="1:3">
      <c r="A3288">
        <v>40</v>
      </c>
      <c r="B3288">
        <v>3</v>
      </c>
      <c r="C3288" t="str">
        <f>VLOOKUP(A3288,'Programas y Unidades'!$A:$B,2,0)</f>
        <v>Ingeniería Mecánica</v>
      </c>
    </row>
    <row r="3289" spans="1:3">
      <c r="A3289">
        <v>40</v>
      </c>
      <c r="B3289">
        <v>2</v>
      </c>
      <c r="C3289" t="str">
        <f>VLOOKUP(A3289,'Programas y Unidades'!$A:$B,2,0)</f>
        <v>Ingeniería Mecánica</v>
      </c>
    </row>
    <row r="3290" spans="1:3">
      <c r="A3290">
        <v>40</v>
      </c>
      <c r="B3290">
        <v>3</v>
      </c>
      <c r="C3290" t="str">
        <f>VLOOKUP(A3290,'Programas y Unidades'!$A:$B,2,0)</f>
        <v>Ingeniería Mecánica</v>
      </c>
    </row>
    <row r="3291" spans="1:3">
      <c r="A3291">
        <v>40</v>
      </c>
      <c r="B3291">
        <v>2</v>
      </c>
      <c r="C3291" t="str">
        <f>VLOOKUP(A3291,'Programas y Unidades'!$A:$B,2,0)</f>
        <v>Ingeniería Mecánica</v>
      </c>
    </row>
    <row r="3292" spans="1:3">
      <c r="A3292">
        <v>43</v>
      </c>
      <c r="B3292">
        <v>6</v>
      </c>
      <c r="C3292" t="str">
        <f>VLOOKUP(A3292,'Programas y Unidades'!$A:$B,2,0)</f>
        <v>Psicología</v>
      </c>
    </row>
    <row r="3293" spans="1:3">
      <c r="A3293">
        <v>43</v>
      </c>
      <c r="B3293">
        <v>7</v>
      </c>
      <c r="C3293" t="str">
        <f>VLOOKUP(A3293,'Programas y Unidades'!$A:$B,2,0)</f>
        <v>Psicología</v>
      </c>
    </row>
    <row r="3294" spans="1:3">
      <c r="A3294">
        <v>43</v>
      </c>
      <c r="B3294">
        <v>6</v>
      </c>
      <c r="C3294" t="str">
        <f>VLOOKUP(A3294,'Programas y Unidades'!$A:$B,2,0)</f>
        <v>Psicología</v>
      </c>
    </row>
    <row r="3295" spans="1:3">
      <c r="A3295">
        <v>43</v>
      </c>
      <c r="B3295">
        <v>7</v>
      </c>
      <c r="C3295" t="str">
        <f>VLOOKUP(A3295,'Programas y Unidades'!$A:$B,2,0)</f>
        <v>Psicología</v>
      </c>
    </row>
    <row r="3296" spans="1:3">
      <c r="A3296">
        <v>43</v>
      </c>
      <c r="B3296">
        <v>6</v>
      </c>
      <c r="C3296" t="str">
        <f>VLOOKUP(A3296,'Programas y Unidades'!$A:$B,2,0)</f>
        <v>Psicología</v>
      </c>
    </row>
    <row r="3297" spans="1:3">
      <c r="A3297">
        <v>43</v>
      </c>
      <c r="B3297">
        <v>7</v>
      </c>
      <c r="C3297" t="str">
        <f>VLOOKUP(A3297,'Programas y Unidades'!$A:$B,2,0)</f>
        <v>Psicología</v>
      </c>
    </row>
    <row r="3298" spans="1:3">
      <c r="A3298">
        <v>43</v>
      </c>
      <c r="B3298">
        <v>7</v>
      </c>
      <c r="C3298" t="str">
        <f>VLOOKUP(A3298,'Programas y Unidades'!$A:$B,2,0)</f>
        <v>Psicología</v>
      </c>
    </row>
    <row r="3299" spans="1:3">
      <c r="A3299">
        <v>43</v>
      </c>
      <c r="B3299">
        <v>7</v>
      </c>
      <c r="C3299" t="str">
        <f>VLOOKUP(A3299,'Programas y Unidades'!$A:$B,2,0)</f>
        <v>Psicología</v>
      </c>
    </row>
    <row r="3300" spans="1:3">
      <c r="A3300">
        <v>43</v>
      </c>
      <c r="B3300">
        <v>7</v>
      </c>
      <c r="C3300" t="str">
        <f>VLOOKUP(A3300,'Programas y Unidades'!$A:$B,2,0)</f>
        <v>Psicología</v>
      </c>
    </row>
    <row r="3301" spans="1:3">
      <c r="A3301">
        <v>43</v>
      </c>
      <c r="B3301">
        <v>6</v>
      </c>
      <c r="C3301" t="str">
        <f>VLOOKUP(A3301,'Programas y Unidades'!$A:$B,2,0)</f>
        <v>Psicología</v>
      </c>
    </row>
    <row r="3302" spans="1:3">
      <c r="A3302">
        <v>43</v>
      </c>
      <c r="B3302">
        <v>7</v>
      </c>
      <c r="C3302" t="str">
        <f>VLOOKUP(A3302,'Programas y Unidades'!$A:$B,2,0)</f>
        <v>Psicología</v>
      </c>
    </row>
    <row r="3303" spans="1:3">
      <c r="A3303">
        <v>43</v>
      </c>
      <c r="B3303">
        <v>7</v>
      </c>
      <c r="C3303" t="str">
        <f>VLOOKUP(A3303,'Programas y Unidades'!$A:$B,2,0)</f>
        <v>Psicología</v>
      </c>
    </row>
    <row r="3304" spans="1:3">
      <c r="A3304">
        <v>43</v>
      </c>
      <c r="B3304">
        <v>6</v>
      </c>
      <c r="C3304" t="str">
        <f>VLOOKUP(A3304,'Programas y Unidades'!$A:$B,2,0)</f>
        <v>Psicología</v>
      </c>
    </row>
    <row r="3305" spans="1:3">
      <c r="A3305">
        <v>43</v>
      </c>
      <c r="B3305">
        <v>7</v>
      </c>
      <c r="C3305" t="str">
        <f>VLOOKUP(A3305,'Programas y Unidades'!$A:$B,2,0)</f>
        <v>Psicología</v>
      </c>
    </row>
    <row r="3306" spans="1:3">
      <c r="A3306">
        <v>43</v>
      </c>
      <c r="B3306">
        <v>6</v>
      </c>
      <c r="C3306" t="str">
        <f>VLOOKUP(A3306,'Programas y Unidades'!$A:$B,2,0)</f>
        <v>Psicología</v>
      </c>
    </row>
    <row r="3307" spans="1:3">
      <c r="A3307">
        <v>43</v>
      </c>
      <c r="B3307">
        <v>8</v>
      </c>
      <c r="C3307" t="str">
        <f>VLOOKUP(A3307,'Programas y Unidades'!$A:$B,2,0)</f>
        <v>Psicología</v>
      </c>
    </row>
    <row r="3308" spans="1:3">
      <c r="A3308">
        <v>43</v>
      </c>
      <c r="B3308">
        <v>7</v>
      </c>
      <c r="C3308" t="str">
        <f>VLOOKUP(A3308,'Programas y Unidades'!$A:$B,2,0)</f>
        <v>Psicología</v>
      </c>
    </row>
    <row r="3309" spans="1:3">
      <c r="A3309">
        <v>43</v>
      </c>
      <c r="B3309">
        <v>7</v>
      </c>
      <c r="C3309" t="str">
        <f>VLOOKUP(A3309,'Programas y Unidades'!$A:$B,2,0)</f>
        <v>Psicología</v>
      </c>
    </row>
    <row r="3310" spans="1:3">
      <c r="A3310">
        <v>43</v>
      </c>
      <c r="B3310">
        <v>7</v>
      </c>
      <c r="C3310" t="str">
        <f>VLOOKUP(A3310,'Programas y Unidades'!$A:$B,2,0)</f>
        <v>Psicología</v>
      </c>
    </row>
    <row r="3311" spans="1:3">
      <c r="A3311">
        <v>43</v>
      </c>
      <c r="B3311">
        <v>7</v>
      </c>
      <c r="C3311" t="str">
        <f>VLOOKUP(A3311,'Programas y Unidades'!$A:$B,2,0)</f>
        <v>Psicología</v>
      </c>
    </row>
    <row r="3312" spans="1:3">
      <c r="A3312">
        <v>40</v>
      </c>
      <c r="B3312">
        <v>2</v>
      </c>
      <c r="C3312" t="str">
        <f>VLOOKUP(A3312,'Programas y Unidades'!$A:$B,2,0)</f>
        <v>Ingeniería Mecánica</v>
      </c>
    </row>
    <row r="3313" spans="1:3">
      <c r="A3313">
        <v>40</v>
      </c>
      <c r="B3313">
        <v>4</v>
      </c>
      <c r="C3313" t="str">
        <f>VLOOKUP(A3313,'Programas y Unidades'!$A:$B,2,0)</f>
        <v>Ingeniería Mecánica</v>
      </c>
    </row>
    <row r="3314" spans="1:3">
      <c r="A3314">
        <v>40</v>
      </c>
      <c r="B3314">
        <v>3</v>
      </c>
      <c r="C3314" t="str">
        <f>VLOOKUP(A3314,'Programas y Unidades'!$A:$B,2,0)</f>
        <v>Ingeniería Mecánica</v>
      </c>
    </row>
    <row r="3315" spans="1:3">
      <c r="A3315">
        <v>40</v>
      </c>
      <c r="B3315">
        <v>2</v>
      </c>
      <c r="C3315" t="str">
        <f>VLOOKUP(A3315,'Programas y Unidades'!$A:$B,2,0)</f>
        <v>Ingeniería Mecánica</v>
      </c>
    </row>
    <row r="3316" spans="1:3">
      <c r="A3316">
        <v>40</v>
      </c>
      <c r="B3316">
        <v>4</v>
      </c>
      <c r="C3316" t="str">
        <f>VLOOKUP(A3316,'Programas y Unidades'!$A:$B,2,0)</f>
        <v>Ingeniería Mecánica</v>
      </c>
    </row>
    <row r="3317" spans="1:3">
      <c r="A3317">
        <v>24</v>
      </c>
      <c r="B3317">
        <v>8</v>
      </c>
      <c r="C3317" t="str">
        <f>VLOOKUP(A3317,'Programas y Unidades'!$A:$B,2,0)</f>
        <v>Economía y Finanzas Internacionales</v>
      </c>
    </row>
    <row r="3318" spans="1:3">
      <c r="A3318">
        <v>24</v>
      </c>
      <c r="B3318">
        <v>8</v>
      </c>
      <c r="C3318" t="str">
        <f>VLOOKUP(A3318,'Programas y Unidades'!$A:$B,2,0)</f>
        <v>Economía y Finanzas Internacionales</v>
      </c>
    </row>
    <row r="3319" spans="1:3">
      <c r="A3319">
        <v>41</v>
      </c>
      <c r="B3319">
        <v>6</v>
      </c>
      <c r="C3319" t="str">
        <f>VLOOKUP(A3319,'Programas y Unidades'!$A:$B,2,0)</f>
        <v>Ingeniería Química</v>
      </c>
    </row>
    <row r="3320" spans="1:3">
      <c r="A3320">
        <v>40</v>
      </c>
      <c r="B3320">
        <v>4</v>
      </c>
      <c r="C3320" t="str">
        <f>VLOOKUP(A3320,'Programas y Unidades'!$A:$B,2,0)</f>
        <v>Ingeniería Mecánica</v>
      </c>
    </row>
    <row r="3321" spans="1:3">
      <c r="A3321">
        <v>28</v>
      </c>
      <c r="B3321">
        <v>8</v>
      </c>
      <c r="C3321" t="str">
        <f>VLOOKUP(A3321,'Programas y Unidades'!$A:$B,2,0)</f>
        <v>Comunicación Social y Periodismo</v>
      </c>
    </row>
    <row r="3322" spans="1:3">
      <c r="A3322">
        <v>28</v>
      </c>
      <c r="B3322">
        <v>6</v>
      </c>
      <c r="C3322" t="str">
        <f>VLOOKUP(A3322,'Programas y Unidades'!$A:$B,2,0)</f>
        <v>Comunicación Social y Periodismo</v>
      </c>
    </row>
    <row r="3323" spans="1:3">
      <c r="A3323">
        <v>28</v>
      </c>
      <c r="B3323">
        <v>6</v>
      </c>
      <c r="C3323" t="str">
        <f>VLOOKUP(A3323,'Programas y Unidades'!$A:$B,2,0)</f>
        <v>Comunicación Social y Periodismo</v>
      </c>
    </row>
    <row r="3324" spans="1:3">
      <c r="A3324">
        <v>28</v>
      </c>
      <c r="B3324">
        <v>3</v>
      </c>
      <c r="C3324" t="str">
        <f>VLOOKUP(A3324,'Programas y Unidades'!$A:$B,2,0)</f>
        <v>Comunicación Social y Periodismo</v>
      </c>
    </row>
    <row r="3325" spans="1:3">
      <c r="A3325">
        <v>28</v>
      </c>
      <c r="B3325">
        <v>6</v>
      </c>
      <c r="C3325" t="str">
        <f>VLOOKUP(A3325,'Programas y Unidades'!$A:$B,2,0)</f>
        <v>Comunicación Social y Periodismo</v>
      </c>
    </row>
    <row r="3326" spans="1:3">
      <c r="A3326">
        <v>28</v>
      </c>
      <c r="B3326">
        <v>4</v>
      </c>
      <c r="C3326" t="str">
        <f>VLOOKUP(A3326,'Programas y Unidades'!$A:$B,2,0)</f>
        <v>Comunicación Social y Periodismo</v>
      </c>
    </row>
    <row r="3327" spans="1:3">
      <c r="A3327">
        <v>28</v>
      </c>
      <c r="B3327">
        <v>6</v>
      </c>
      <c r="C3327" t="str">
        <f>VLOOKUP(A3327,'Programas y Unidades'!$A:$B,2,0)</f>
        <v>Comunicación Social y Periodismo</v>
      </c>
    </row>
    <row r="3328" spans="1:3">
      <c r="A3328">
        <v>36</v>
      </c>
      <c r="B3328">
        <v>5</v>
      </c>
      <c r="C3328" t="str">
        <f>VLOOKUP(A3328,'Programas y Unidades'!$A:$B,2,0)</f>
        <v>Ingeniería Civil</v>
      </c>
    </row>
    <row r="3329" spans="1:3">
      <c r="A3329">
        <v>36</v>
      </c>
      <c r="B3329">
        <v>4</v>
      </c>
      <c r="C3329" t="str">
        <f>VLOOKUP(A3329,'Programas y Unidades'!$A:$B,2,0)</f>
        <v>Ingeniería Civil</v>
      </c>
    </row>
    <row r="3330" spans="1:3">
      <c r="A3330">
        <v>36</v>
      </c>
      <c r="B3330">
        <v>4</v>
      </c>
      <c r="C3330" t="str">
        <f>VLOOKUP(A3330,'Programas y Unidades'!$A:$B,2,0)</f>
        <v>Ingeniería Civil</v>
      </c>
    </row>
    <row r="3331" spans="1:3">
      <c r="A3331">
        <v>36</v>
      </c>
      <c r="B3331">
        <v>4</v>
      </c>
      <c r="C3331" t="str">
        <f>VLOOKUP(A3331,'Programas y Unidades'!$A:$B,2,0)</f>
        <v>Ingeniería Civil</v>
      </c>
    </row>
    <row r="3332" spans="1:3">
      <c r="A3332">
        <v>36</v>
      </c>
      <c r="B3332">
        <v>4</v>
      </c>
      <c r="C3332" t="str">
        <f>VLOOKUP(A3332,'Programas y Unidades'!$A:$B,2,0)</f>
        <v>Ingeniería Civil</v>
      </c>
    </row>
    <row r="3333" spans="1:3">
      <c r="A3333">
        <v>36</v>
      </c>
      <c r="B3333">
        <v>4</v>
      </c>
      <c r="C3333" t="str">
        <f>VLOOKUP(A3333,'Programas y Unidades'!$A:$B,2,0)</f>
        <v>Ingeniería Civil</v>
      </c>
    </row>
    <row r="3334" spans="1:3">
      <c r="A3334">
        <v>36</v>
      </c>
      <c r="B3334">
        <v>4</v>
      </c>
      <c r="C3334" t="str">
        <f>VLOOKUP(A3334,'Programas y Unidades'!$A:$B,2,0)</f>
        <v>Ingeniería Civil</v>
      </c>
    </row>
    <row r="3335" spans="1:3">
      <c r="A3335">
        <v>36</v>
      </c>
      <c r="B3335">
        <v>4</v>
      </c>
      <c r="C3335" t="str">
        <f>VLOOKUP(A3335,'Programas y Unidades'!$A:$B,2,0)</f>
        <v>Ingeniería Civil</v>
      </c>
    </row>
    <row r="3336" spans="1:3">
      <c r="A3336">
        <v>36</v>
      </c>
      <c r="B3336">
        <v>4</v>
      </c>
      <c r="C3336" t="str">
        <f>VLOOKUP(A3336,'Programas y Unidades'!$A:$B,2,0)</f>
        <v>Ingeniería Civil</v>
      </c>
    </row>
    <row r="3337" spans="1:3">
      <c r="A3337">
        <v>38</v>
      </c>
      <c r="B3337">
        <v>2</v>
      </c>
      <c r="C3337" t="str">
        <f>VLOOKUP(A3337,'Programas y Unidades'!$A:$B,2,0)</f>
        <v>Ingeniería Industrial</v>
      </c>
    </row>
    <row r="3338" spans="1:3">
      <c r="A3338">
        <v>38</v>
      </c>
      <c r="B3338">
        <v>2</v>
      </c>
      <c r="C3338" t="str">
        <f>VLOOKUP(A3338,'Programas y Unidades'!$A:$B,2,0)</f>
        <v>Ingeniería Industrial</v>
      </c>
    </row>
    <row r="3339" spans="1:3">
      <c r="A3339">
        <v>38</v>
      </c>
      <c r="B3339">
        <v>2</v>
      </c>
      <c r="C3339" t="str">
        <f>VLOOKUP(A3339,'Programas y Unidades'!$A:$B,2,0)</f>
        <v>Ingeniería Industrial</v>
      </c>
    </row>
    <row r="3340" spans="1:3">
      <c r="A3340">
        <v>38</v>
      </c>
      <c r="B3340">
        <v>2</v>
      </c>
      <c r="C3340" t="str">
        <f>VLOOKUP(A3340,'Programas y Unidades'!$A:$B,2,0)</f>
        <v>Ingeniería Industrial</v>
      </c>
    </row>
    <row r="3341" spans="1:3">
      <c r="A3341">
        <v>38</v>
      </c>
      <c r="B3341">
        <v>2</v>
      </c>
      <c r="C3341" t="str">
        <f>VLOOKUP(A3341,'Programas y Unidades'!$A:$B,2,0)</f>
        <v>Ingeniería Industrial</v>
      </c>
    </row>
    <row r="3342" spans="1:3">
      <c r="A3342">
        <v>38</v>
      </c>
      <c r="B3342">
        <v>2</v>
      </c>
      <c r="C3342" t="str">
        <f>VLOOKUP(A3342,'Programas y Unidades'!$A:$B,2,0)</f>
        <v>Ingeniería Industrial</v>
      </c>
    </row>
    <row r="3343" spans="1:3">
      <c r="A3343">
        <v>38</v>
      </c>
      <c r="B3343">
        <v>2</v>
      </c>
      <c r="C3343" t="str">
        <f>VLOOKUP(A3343,'Programas y Unidades'!$A:$B,2,0)</f>
        <v>Ingeniería Industrial</v>
      </c>
    </row>
    <row r="3344" spans="1:3">
      <c r="A3344">
        <v>38</v>
      </c>
      <c r="B3344">
        <v>2</v>
      </c>
      <c r="C3344" t="str">
        <f>VLOOKUP(A3344,'Programas y Unidades'!$A:$B,2,0)</f>
        <v>Ingeniería Industrial</v>
      </c>
    </row>
    <row r="3345" spans="1:3">
      <c r="A3345">
        <v>38</v>
      </c>
      <c r="B3345">
        <v>2</v>
      </c>
      <c r="C3345" t="str">
        <f>VLOOKUP(A3345,'Programas y Unidades'!$A:$B,2,0)</f>
        <v>Ingeniería Industrial</v>
      </c>
    </row>
    <row r="3346" spans="1:3">
      <c r="A3346">
        <v>38</v>
      </c>
      <c r="B3346">
        <v>2</v>
      </c>
      <c r="C3346" t="str">
        <f>VLOOKUP(A3346,'Programas y Unidades'!$A:$B,2,0)</f>
        <v>Ingeniería Industrial</v>
      </c>
    </row>
    <row r="3347" spans="1:3">
      <c r="A3347">
        <v>38</v>
      </c>
      <c r="B3347">
        <v>4</v>
      </c>
      <c r="C3347" t="str">
        <f>VLOOKUP(A3347,'Programas y Unidades'!$A:$B,2,0)</f>
        <v>Ingeniería Industrial</v>
      </c>
    </row>
    <row r="3348" spans="1:3">
      <c r="A3348">
        <v>38</v>
      </c>
      <c r="B3348">
        <v>2</v>
      </c>
      <c r="C3348" t="str">
        <f>VLOOKUP(A3348,'Programas y Unidades'!$A:$B,2,0)</f>
        <v>Ingeniería Industrial</v>
      </c>
    </row>
    <row r="3349" spans="1:3">
      <c r="A3349">
        <v>38</v>
      </c>
      <c r="B3349">
        <v>2</v>
      </c>
      <c r="C3349" t="str">
        <f>VLOOKUP(A3349,'Programas y Unidades'!$A:$B,2,0)</f>
        <v>Ingeniería Industrial</v>
      </c>
    </row>
    <row r="3350" spans="1:3">
      <c r="A3350">
        <v>38</v>
      </c>
      <c r="B3350">
        <v>2</v>
      </c>
      <c r="C3350" t="str">
        <f>VLOOKUP(A3350,'Programas y Unidades'!$A:$B,2,0)</f>
        <v>Ingeniería Industrial</v>
      </c>
    </row>
    <row r="3351" spans="1:3">
      <c r="A3351">
        <v>38</v>
      </c>
      <c r="B3351">
        <v>2</v>
      </c>
      <c r="C3351" t="str">
        <f>VLOOKUP(A3351,'Programas y Unidades'!$A:$B,2,0)</f>
        <v>Ingeniería Industrial</v>
      </c>
    </row>
    <row r="3352" spans="1:3">
      <c r="A3352">
        <v>38</v>
      </c>
      <c r="B3352">
        <v>3</v>
      </c>
      <c r="C3352" t="str">
        <f>VLOOKUP(A3352,'Programas y Unidades'!$A:$B,2,0)</f>
        <v>Ingeniería Industrial</v>
      </c>
    </row>
    <row r="3353" spans="1:3">
      <c r="A3353">
        <v>26</v>
      </c>
      <c r="B3353">
        <v>8</v>
      </c>
      <c r="C3353" t="str">
        <f>VLOOKUP(A3353,'Programas y Unidades'!$A:$B,2,0)</f>
        <v>Comunicación Corporativa</v>
      </c>
    </row>
    <row r="3354" spans="1:3">
      <c r="A3354">
        <v>26</v>
      </c>
      <c r="B3354">
        <v>8</v>
      </c>
      <c r="C3354" t="str">
        <f>VLOOKUP(A3354,'Programas y Unidades'!$A:$B,2,0)</f>
        <v>Comunicación Corporativa</v>
      </c>
    </row>
    <row r="3355" spans="1:3">
      <c r="A3355">
        <v>26</v>
      </c>
      <c r="B3355">
        <v>7</v>
      </c>
      <c r="C3355" t="str">
        <f>VLOOKUP(A3355,'Programas y Unidades'!$A:$B,2,0)</f>
        <v>Comunicación Corporativa</v>
      </c>
    </row>
    <row r="3356" spans="1:3">
      <c r="A3356">
        <v>26</v>
      </c>
      <c r="B3356">
        <v>6</v>
      </c>
      <c r="C3356" t="str">
        <f>VLOOKUP(A3356,'Programas y Unidades'!$A:$B,2,0)</f>
        <v>Comunicación Corporativa</v>
      </c>
    </row>
    <row r="3357" spans="1:3">
      <c r="A3357">
        <v>26</v>
      </c>
      <c r="B3357">
        <v>8</v>
      </c>
      <c r="C3357" t="str">
        <f>VLOOKUP(A3357,'Programas y Unidades'!$A:$B,2,0)</f>
        <v>Comunicación Corporativa</v>
      </c>
    </row>
    <row r="3358" spans="1:3">
      <c r="A3358">
        <v>26</v>
      </c>
      <c r="B3358">
        <v>6</v>
      </c>
      <c r="C3358" t="str">
        <f>VLOOKUP(A3358,'Programas y Unidades'!$A:$B,2,0)</f>
        <v>Comunicación Corporativa</v>
      </c>
    </row>
    <row r="3359" spans="1:3">
      <c r="A3359">
        <v>26</v>
      </c>
      <c r="B3359">
        <v>6</v>
      </c>
      <c r="C3359" t="str">
        <f>VLOOKUP(A3359,'Programas y Unidades'!$A:$B,2,0)</f>
        <v>Comunicación Corporativa</v>
      </c>
    </row>
    <row r="3360" spans="1:3">
      <c r="A3360">
        <v>27</v>
      </c>
      <c r="B3360">
        <v>3</v>
      </c>
      <c r="C3360" t="str">
        <f>VLOOKUP(A3360,'Programas y Unidades'!$A:$B,2,0)</f>
        <v>Comunicación Audiovisual y Multimedios</v>
      </c>
    </row>
    <row r="3361" spans="1:3">
      <c r="A3361">
        <v>27</v>
      </c>
      <c r="B3361">
        <v>3</v>
      </c>
      <c r="C3361" t="str">
        <f>VLOOKUP(A3361,'Programas y Unidades'!$A:$B,2,0)</f>
        <v>Comunicación Audiovisual y Multimedios</v>
      </c>
    </row>
    <row r="3362" spans="1:3">
      <c r="A3362">
        <v>27</v>
      </c>
      <c r="B3362">
        <v>3</v>
      </c>
      <c r="C3362" t="str">
        <f>VLOOKUP(A3362,'Programas y Unidades'!$A:$B,2,0)</f>
        <v>Comunicación Audiovisual y Multimedios</v>
      </c>
    </row>
    <row r="3363" spans="1:3">
      <c r="A3363">
        <v>27</v>
      </c>
      <c r="B3363">
        <v>3</v>
      </c>
      <c r="C3363" t="str">
        <f>VLOOKUP(A3363,'Programas y Unidades'!$A:$B,2,0)</f>
        <v>Comunicación Audiovisual y Multimedios</v>
      </c>
    </row>
    <row r="3364" spans="1:3">
      <c r="A3364">
        <v>27</v>
      </c>
      <c r="B3364">
        <v>3</v>
      </c>
      <c r="C3364" t="str">
        <f>VLOOKUP(A3364,'Programas y Unidades'!$A:$B,2,0)</f>
        <v>Comunicación Audiovisual y Multimedios</v>
      </c>
    </row>
    <row r="3365" spans="1:3">
      <c r="A3365">
        <v>27</v>
      </c>
      <c r="B3365">
        <v>3</v>
      </c>
      <c r="C3365" t="str">
        <f>VLOOKUP(A3365,'Programas y Unidades'!$A:$B,2,0)</f>
        <v>Comunicación Audiovisual y Multimedios</v>
      </c>
    </row>
    <row r="3366" spans="1:3">
      <c r="A3366">
        <v>27</v>
      </c>
      <c r="B3366">
        <v>3</v>
      </c>
      <c r="C3366" t="str">
        <f>VLOOKUP(A3366,'Programas y Unidades'!$A:$B,2,0)</f>
        <v>Comunicación Audiovisual y Multimedios</v>
      </c>
    </row>
    <row r="3367" spans="1:3">
      <c r="A3367">
        <v>27</v>
      </c>
      <c r="B3367">
        <v>3</v>
      </c>
      <c r="C3367" t="str">
        <f>VLOOKUP(A3367,'Programas y Unidades'!$A:$B,2,0)</f>
        <v>Comunicación Audiovisual y Multimedios</v>
      </c>
    </row>
    <row r="3368" spans="1:3">
      <c r="A3368">
        <v>27</v>
      </c>
      <c r="B3368">
        <v>8</v>
      </c>
      <c r="C3368" t="str">
        <f>VLOOKUP(A3368,'Programas y Unidades'!$A:$B,2,0)</f>
        <v>Comunicación Audiovisual y Multimedios</v>
      </c>
    </row>
    <row r="3369" spans="1:3">
      <c r="A3369">
        <v>27</v>
      </c>
      <c r="B3369">
        <v>8</v>
      </c>
      <c r="C3369" t="str">
        <f>VLOOKUP(A3369,'Programas y Unidades'!$A:$B,2,0)</f>
        <v>Comunicación Audiovisual y Multimedios</v>
      </c>
    </row>
    <row r="3370" spans="1:3">
      <c r="A3370">
        <v>27</v>
      </c>
      <c r="B3370">
        <v>8</v>
      </c>
      <c r="C3370" t="str">
        <f>VLOOKUP(A3370,'Programas y Unidades'!$A:$B,2,0)</f>
        <v>Comunicación Audiovisual y Multimedios</v>
      </c>
    </row>
    <row r="3371" spans="1:3">
      <c r="A3371">
        <v>27</v>
      </c>
      <c r="B3371">
        <v>8</v>
      </c>
      <c r="C3371" t="str">
        <f>VLOOKUP(A3371,'Programas y Unidades'!$A:$B,2,0)</f>
        <v>Comunicación Audiovisual y Multimedios</v>
      </c>
    </row>
    <row r="3372" spans="1:3">
      <c r="A3372">
        <v>27</v>
      </c>
      <c r="B3372">
        <v>8</v>
      </c>
      <c r="C3372" t="str">
        <f>VLOOKUP(A3372,'Programas y Unidades'!$A:$B,2,0)</f>
        <v>Comunicación Audiovisual y Multimedios</v>
      </c>
    </row>
    <row r="3373" spans="1:3">
      <c r="A3373">
        <v>27</v>
      </c>
      <c r="B3373">
        <v>8</v>
      </c>
      <c r="C3373" t="str">
        <f>VLOOKUP(A3373,'Programas y Unidades'!$A:$B,2,0)</f>
        <v>Comunicación Audiovisual y Multimedios</v>
      </c>
    </row>
    <row r="3374" spans="1:3">
      <c r="A3374">
        <v>27</v>
      </c>
      <c r="B3374">
        <v>8</v>
      </c>
      <c r="C3374" t="str">
        <f>VLOOKUP(A3374,'Programas y Unidades'!$A:$B,2,0)</f>
        <v>Comunicación Audiovisual y Multimedios</v>
      </c>
    </row>
    <row r="3375" spans="1:3">
      <c r="A3375">
        <v>27</v>
      </c>
      <c r="B3375">
        <v>8</v>
      </c>
      <c r="C3375" t="str">
        <f>VLOOKUP(A3375,'Programas y Unidades'!$A:$B,2,0)</f>
        <v>Comunicación Audiovisual y Multimedios</v>
      </c>
    </row>
    <row r="3376" spans="1:3">
      <c r="A3376">
        <v>27</v>
      </c>
      <c r="B3376">
        <v>8</v>
      </c>
      <c r="C3376" t="str">
        <f>VLOOKUP(A3376,'Programas y Unidades'!$A:$B,2,0)</f>
        <v>Comunicación Audiovisual y Multimedios</v>
      </c>
    </row>
    <row r="3377" spans="1:3">
      <c r="A3377">
        <v>27</v>
      </c>
      <c r="B3377">
        <v>8</v>
      </c>
      <c r="C3377" t="str">
        <f>VLOOKUP(A3377,'Programas y Unidades'!$A:$B,2,0)</f>
        <v>Comunicación Audiovisual y Multimedios</v>
      </c>
    </row>
    <row r="3378" spans="1:3">
      <c r="A3378">
        <v>27</v>
      </c>
      <c r="B3378">
        <v>8</v>
      </c>
      <c r="C3378" t="str">
        <f>VLOOKUP(A3378,'Programas y Unidades'!$A:$B,2,0)</f>
        <v>Comunicación Audiovisual y Multimedios</v>
      </c>
    </row>
    <row r="3379" spans="1:3">
      <c r="A3379">
        <v>36</v>
      </c>
      <c r="B3379">
        <v>3</v>
      </c>
      <c r="C3379" t="str">
        <f>VLOOKUP(A3379,'Programas y Unidades'!$A:$B,2,0)</f>
        <v>Ingeniería Civil</v>
      </c>
    </row>
    <row r="3380" spans="1:3">
      <c r="A3380">
        <v>36</v>
      </c>
      <c r="B3380">
        <v>3</v>
      </c>
      <c r="C3380" t="str">
        <f>VLOOKUP(A3380,'Programas y Unidades'!$A:$B,2,0)</f>
        <v>Ingeniería Civil</v>
      </c>
    </row>
    <row r="3381" spans="1:3">
      <c r="A3381">
        <v>36</v>
      </c>
      <c r="B3381">
        <v>3</v>
      </c>
      <c r="C3381" t="str">
        <f>VLOOKUP(A3381,'Programas y Unidades'!$A:$B,2,0)</f>
        <v>Ingeniería Civil</v>
      </c>
    </row>
    <row r="3382" spans="1:3">
      <c r="A3382">
        <v>36</v>
      </c>
      <c r="B3382">
        <v>2</v>
      </c>
      <c r="C3382" t="str">
        <f>VLOOKUP(A3382,'Programas y Unidades'!$A:$B,2,0)</f>
        <v>Ingeniería Civil</v>
      </c>
    </row>
    <row r="3383" spans="1:3">
      <c r="A3383">
        <v>27</v>
      </c>
      <c r="B3383">
        <v>8</v>
      </c>
      <c r="C3383" t="str">
        <f>VLOOKUP(A3383,'Programas y Unidades'!$A:$B,2,0)</f>
        <v>Comunicación Audiovisual y Multimedios</v>
      </c>
    </row>
    <row r="3384" spans="1:3">
      <c r="A3384">
        <v>27</v>
      </c>
      <c r="B3384">
        <v>8</v>
      </c>
      <c r="C3384" t="str">
        <f>VLOOKUP(A3384,'Programas y Unidades'!$A:$B,2,0)</f>
        <v>Comunicación Audiovisual y Multimedios</v>
      </c>
    </row>
    <row r="3385" spans="1:3">
      <c r="A3385">
        <v>36</v>
      </c>
      <c r="B3385">
        <v>3</v>
      </c>
      <c r="C3385" t="str">
        <f>VLOOKUP(A3385,'Programas y Unidades'!$A:$B,2,0)</f>
        <v>Ingeniería Civil</v>
      </c>
    </row>
    <row r="3386" spans="1:3">
      <c r="A3386">
        <v>27</v>
      </c>
      <c r="B3386">
        <v>8</v>
      </c>
      <c r="C3386" t="str">
        <f>VLOOKUP(A3386,'Programas y Unidades'!$A:$B,2,0)</f>
        <v>Comunicación Audiovisual y Multimedios</v>
      </c>
    </row>
    <row r="3387" spans="1:3">
      <c r="A3387">
        <v>27</v>
      </c>
      <c r="B3387">
        <v>8</v>
      </c>
      <c r="C3387" t="str">
        <f>VLOOKUP(A3387,'Programas y Unidades'!$A:$B,2,0)</f>
        <v>Comunicación Audiovisual y Multimedios</v>
      </c>
    </row>
    <row r="3388" spans="1:3">
      <c r="A3388">
        <v>27</v>
      </c>
      <c r="B3388">
        <v>8</v>
      </c>
      <c r="C3388" t="str">
        <f>VLOOKUP(A3388,'Programas y Unidades'!$A:$B,2,0)</f>
        <v>Comunicación Audiovisual y Multimedios</v>
      </c>
    </row>
    <row r="3389" spans="1:3">
      <c r="A3389">
        <v>24</v>
      </c>
      <c r="B3389">
        <v>3</v>
      </c>
      <c r="C3389" t="str">
        <f>VLOOKUP(A3389,'Programas y Unidades'!$A:$B,2,0)</f>
        <v>Economía y Finanzas Internacionales</v>
      </c>
    </row>
    <row r="3390" spans="1:3">
      <c r="A3390">
        <v>24</v>
      </c>
      <c r="B3390">
        <v>4</v>
      </c>
      <c r="C3390" t="str">
        <f>VLOOKUP(A3390,'Programas y Unidades'!$A:$B,2,0)</f>
        <v>Economía y Finanzas Internacionales</v>
      </c>
    </row>
    <row r="3391" spans="1:3">
      <c r="A3391">
        <v>24</v>
      </c>
      <c r="B3391">
        <v>3</v>
      </c>
      <c r="C3391" t="str">
        <f>VLOOKUP(A3391,'Programas y Unidades'!$A:$B,2,0)</f>
        <v>Economía y Finanzas Internacionales</v>
      </c>
    </row>
    <row r="3392" spans="1:3">
      <c r="A3392">
        <v>24</v>
      </c>
      <c r="B3392">
        <v>4</v>
      </c>
      <c r="C3392" t="str">
        <f>VLOOKUP(A3392,'Programas y Unidades'!$A:$B,2,0)</f>
        <v>Economía y Finanzas Internacionales</v>
      </c>
    </row>
    <row r="3393" spans="1:3">
      <c r="A3393">
        <v>24</v>
      </c>
      <c r="B3393">
        <v>4</v>
      </c>
      <c r="C3393" t="str">
        <f>VLOOKUP(A3393,'Programas y Unidades'!$A:$B,2,0)</f>
        <v>Economía y Finanzas Internacionales</v>
      </c>
    </row>
    <row r="3394" spans="1:3">
      <c r="A3394">
        <v>24</v>
      </c>
      <c r="B3394">
        <v>4</v>
      </c>
      <c r="C3394" t="str">
        <f>VLOOKUP(A3394,'Programas y Unidades'!$A:$B,2,0)</f>
        <v>Economía y Finanzas Internacionales</v>
      </c>
    </row>
    <row r="3395" spans="1:3">
      <c r="A3395">
        <v>24</v>
      </c>
      <c r="B3395">
        <v>5</v>
      </c>
      <c r="C3395" t="str">
        <f>VLOOKUP(A3395,'Programas y Unidades'!$A:$B,2,0)</f>
        <v>Economía y Finanzas Internacionales</v>
      </c>
    </row>
    <row r="3396" spans="1:3">
      <c r="A3396">
        <v>24</v>
      </c>
      <c r="B3396">
        <v>3</v>
      </c>
      <c r="C3396" t="str">
        <f>VLOOKUP(A3396,'Programas y Unidades'!$A:$B,2,0)</f>
        <v>Economía y Finanzas Internacionales</v>
      </c>
    </row>
    <row r="3397" spans="1:3">
      <c r="A3397">
        <v>24</v>
      </c>
      <c r="B3397">
        <v>5</v>
      </c>
      <c r="C3397" t="str">
        <f>VLOOKUP(A3397,'Programas y Unidades'!$A:$B,2,0)</f>
        <v>Economía y Finanzas Internacionales</v>
      </c>
    </row>
    <row r="3398" spans="1:3">
      <c r="A3398">
        <v>24</v>
      </c>
      <c r="B3398">
        <v>4</v>
      </c>
      <c r="C3398" t="str">
        <f>VLOOKUP(A3398,'Programas y Unidades'!$A:$B,2,0)</f>
        <v>Economía y Finanzas Internacionales</v>
      </c>
    </row>
    <row r="3399" spans="1:3">
      <c r="A3399">
        <v>24</v>
      </c>
      <c r="B3399">
        <v>4</v>
      </c>
      <c r="C3399" t="str">
        <f>VLOOKUP(A3399,'Programas y Unidades'!$A:$B,2,0)</f>
        <v>Economía y Finanzas Internacionales</v>
      </c>
    </row>
    <row r="3400" spans="1:3">
      <c r="A3400">
        <v>24</v>
      </c>
      <c r="B3400">
        <v>4</v>
      </c>
      <c r="C3400" t="str">
        <f>VLOOKUP(A3400,'Programas y Unidades'!$A:$B,2,0)</f>
        <v>Economía y Finanzas Internacionales</v>
      </c>
    </row>
    <row r="3401" spans="1:3">
      <c r="A3401">
        <v>24</v>
      </c>
      <c r="B3401">
        <v>4</v>
      </c>
      <c r="C3401" t="str">
        <f>VLOOKUP(A3401,'Programas y Unidades'!$A:$B,2,0)</f>
        <v>Economía y Finanzas Internacionales</v>
      </c>
    </row>
    <row r="3402" spans="1:3">
      <c r="A3402">
        <v>24</v>
      </c>
      <c r="B3402">
        <v>4</v>
      </c>
      <c r="C3402" t="str">
        <f>VLOOKUP(A3402,'Programas y Unidades'!$A:$B,2,0)</f>
        <v>Economía y Finanzas Internacionales</v>
      </c>
    </row>
    <row r="3403" spans="1:3">
      <c r="A3403">
        <v>24</v>
      </c>
      <c r="B3403">
        <v>4</v>
      </c>
      <c r="C3403" t="str">
        <f>VLOOKUP(A3403,'Programas y Unidades'!$A:$B,2,0)</f>
        <v>Economía y Finanzas Internacionales</v>
      </c>
    </row>
    <row r="3404" spans="1:3">
      <c r="A3404">
        <v>24</v>
      </c>
      <c r="B3404">
        <v>4</v>
      </c>
      <c r="C3404" t="str">
        <f>VLOOKUP(A3404,'Programas y Unidades'!$A:$B,2,0)</f>
        <v>Economía y Finanzas Internacionales</v>
      </c>
    </row>
    <row r="3405" spans="1:3">
      <c r="A3405">
        <v>36</v>
      </c>
      <c r="B3405">
        <v>3</v>
      </c>
      <c r="C3405" t="str">
        <f>VLOOKUP(A3405,'Programas y Unidades'!$A:$B,2,0)</f>
        <v>Ingeniería Civil</v>
      </c>
    </row>
    <row r="3406" spans="1:3">
      <c r="A3406">
        <v>24</v>
      </c>
      <c r="B3406">
        <v>4</v>
      </c>
      <c r="C3406" t="str">
        <f>VLOOKUP(A3406,'Programas y Unidades'!$A:$B,2,0)</f>
        <v>Economía y Finanzas Internacionales</v>
      </c>
    </row>
    <row r="3407" spans="1:3">
      <c r="A3407">
        <v>36</v>
      </c>
      <c r="B3407">
        <v>5</v>
      </c>
      <c r="C3407" t="str">
        <f>VLOOKUP(A3407,'Programas y Unidades'!$A:$B,2,0)</f>
        <v>Ingeniería Civil</v>
      </c>
    </row>
    <row r="3408" spans="1:3">
      <c r="A3408">
        <v>30</v>
      </c>
      <c r="B3408">
        <v>4</v>
      </c>
      <c r="C3408" t="str">
        <f>VLOOKUP(A3408,'Programas y Unidades'!$A:$B,2,0)</f>
        <v>Derecho</v>
      </c>
    </row>
    <row r="3409" spans="1:3">
      <c r="A3409">
        <v>30</v>
      </c>
      <c r="B3409">
        <v>4</v>
      </c>
      <c r="C3409" t="str">
        <f>VLOOKUP(A3409,'Programas y Unidades'!$A:$B,2,0)</f>
        <v>Derecho</v>
      </c>
    </row>
    <row r="3410" spans="1:3">
      <c r="A3410">
        <v>30</v>
      </c>
      <c r="B3410">
        <v>4</v>
      </c>
      <c r="C3410" t="str">
        <f>VLOOKUP(A3410,'Programas y Unidades'!$A:$B,2,0)</f>
        <v>Derecho</v>
      </c>
    </row>
    <row r="3411" spans="1:3">
      <c r="A3411">
        <v>30</v>
      </c>
      <c r="B3411">
        <v>4</v>
      </c>
      <c r="C3411" t="str">
        <f>VLOOKUP(A3411,'Programas y Unidades'!$A:$B,2,0)</f>
        <v>Derecho</v>
      </c>
    </row>
    <row r="3412" spans="1:3">
      <c r="A3412">
        <v>30</v>
      </c>
      <c r="B3412">
        <v>4</v>
      </c>
      <c r="C3412" t="str">
        <f>VLOOKUP(A3412,'Programas y Unidades'!$A:$B,2,0)</f>
        <v>Derecho</v>
      </c>
    </row>
    <row r="3413" spans="1:3">
      <c r="A3413">
        <v>30</v>
      </c>
      <c r="B3413">
        <v>4</v>
      </c>
      <c r="C3413" t="str">
        <f>VLOOKUP(A3413,'Programas y Unidades'!$A:$B,2,0)</f>
        <v>Derecho</v>
      </c>
    </row>
    <row r="3414" spans="1:3">
      <c r="A3414">
        <v>29</v>
      </c>
      <c r="B3414">
        <v>8</v>
      </c>
      <c r="C3414" t="str">
        <f>VLOOKUP(A3414,'Programas y Unidades'!$A:$B,2,0)</f>
        <v>Ciencias Políticas</v>
      </c>
    </row>
    <row r="3415" spans="1:3">
      <c r="A3415">
        <v>30</v>
      </c>
      <c r="B3415">
        <v>3</v>
      </c>
      <c r="C3415" t="str">
        <f>VLOOKUP(A3415,'Programas y Unidades'!$A:$B,2,0)</f>
        <v>Derecho</v>
      </c>
    </row>
    <row r="3416" spans="1:3">
      <c r="A3416">
        <v>30</v>
      </c>
      <c r="B3416">
        <v>4</v>
      </c>
      <c r="C3416" t="str">
        <f>VLOOKUP(A3416,'Programas y Unidades'!$A:$B,2,0)</f>
        <v>Derecho</v>
      </c>
    </row>
    <row r="3417" spans="1:3">
      <c r="A3417">
        <v>30</v>
      </c>
      <c r="B3417">
        <v>4</v>
      </c>
      <c r="C3417" t="str">
        <f>VLOOKUP(A3417,'Programas y Unidades'!$A:$B,2,0)</f>
        <v>Derecho</v>
      </c>
    </row>
    <row r="3418" spans="1:3">
      <c r="A3418">
        <v>30</v>
      </c>
      <c r="B3418">
        <v>4</v>
      </c>
      <c r="C3418" t="str">
        <f>VLOOKUP(A3418,'Programas y Unidades'!$A:$B,2,0)</f>
        <v>Derecho</v>
      </c>
    </row>
    <row r="3419" spans="1:3">
      <c r="A3419">
        <v>30</v>
      </c>
      <c r="B3419">
        <v>4</v>
      </c>
      <c r="C3419" t="str">
        <f>VLOOKUP(A3419,'Programas y Unidades'!$A:$B,2,0)</f>
        <v>Derecho</v>
      </c>
    </row>
    <row r="3420" spans="1:3">
      <c r="A3420">
        <v>30</v>
      </c>
      <c r="B3420">
        <v>4</v>
      </c>
      <c r="C3420" t="str">
        <f>VLOOKUP(A3420,'Programas y Unidades'!$A:$B,2,0)</f>
        <v>Derecho</v>
      </c>
    </row>
    <row r="3421" spans="1:3">
      <c r="A3421">
        <v>30</v>
      </c>
      <c r="B3421">
        <v>4</v>
      </c>
      <c r="C3421" t="str">
        <f>VLOOKUP(A3421,'Programas y Unidades'!$A:$B,2,0)</f>
        <v>Derecho</v>
      </c>
    </row>
    <row r="3422" spans="1:3">
      <c r="A3422">
        <v>30</v>
      </c>
      <c r="B3422">
        <v>5</v>
      </c>
      <c r="C3422" t="str">
        <f>VLOOKUP(A3422,'Programas y Unidades'!$A:$B,2,0)</f>
        <v>Derecho</v>
      </c>
    </row>
    <row r="3423" spans="1:3">
      <c r="A3423">
        <v>26</v>
      </c>
      <c r="B3423">
        <v>2</v>
      </c>
      <c r="C3423" t="str">
        <f>VLOOKUP(A3423,'Programas y Unidades'!$A:$B,2,0)</f>
        <v>Comunicación Corporativa</v>
      </c>
    </row>
    <row r="3424" spans="1:3">
      <c r="A3424">
        <v>28</v>
      </c>
      <c r="B3424">
        <v>2</v>
      </c>
      <c r="C3424" t="str">
        <f>VLOOKUP(A3424,'Programas y Unidades'!$A:$B,2,0)</f>
        <v>Comunicación Social y Periodismo</v>
      </c>
    </row>
    <row r="3425" spans="1:3">
      <c r="A3425">
        <v>28</v>
      </c>
      <c r="B3425">
        <v>2</v>
      </c>
      <c r="C3425" t="str">
        <f>VLOOKUP(A3425,'Programas y Unidades'!$A:$B,2,0)</f>
        <v>Comunicación Social y Periodismo</v>
      </c>
    </row>
    <row r="3426" spans="1:3">
      <c r="A3426">
        <v>27</v>
      </c>
      <c r="B3426">
        <v>2</v>
      </c>
      <c r="C3426" t="str">
        <f>VLOOKUP(A3426,'Programas y Unidades'!$A:$B,2,0)</f>
        <v>Comunicación Audiovisual y Multimedios</v>
      </c>
    </row>
    <row r="3427" spans="1:3">
      <c r="A3427">
        <v>26</v>
      </c>
      <c r="B3427">
        <v>2</v>
      </c>
      <c r="C3427" t="str">
        <f>VLOOKUP(A3427,'Programas y Unidades'!$A:$B,2,0)</f>
        <v>Comunicación Corporativa</v>
      </c>
    </row>
    <row r="3428" spans="1:3">
      <c r="A3428">
        <v>27</v>
      </c>
      <c r="B3428">
        <v>2</v>
      </c>
      <c r="C3428" t="str">
        <f>VLOOKUP(A3428,'Programas y Unidades'!$A:$B,2,0)</f>
        <v>Comunicación Audiovisual y Multimedios</v>
      </c>
    </row>
    <row r="3429" spans="1:3">
      <c r="A3429">
        <v>26</v>
      </c>
      <c r="B3429">
        <v>2</v>
      </c>
      <c r="C3429" t="str">
        <f>VLOOKUP(A3429,'Programas y Unidades'!$A:$B,2,0)</f>
        <v>Comunicación Corporativa</v>
      </c>
    </row>
    <row r="3430" spans="1:3">
      <c r="A3430">
        <v>28</v>
      </c>
      <c r="B3430">
        <v>2</v>
      </c>
      <c r="C3430" t="str">
        <f>VLOOKUP(A3430,'Programas y Unidades'!$A:$B,2,0)</f>
        <v>Comunicación Social y Periodismo</v>
      </c>
    </row>
    <row r="3431" spans="1:3">
      <c r="A3431">
        <v>26</v>
      </c>
      <c r="B3431">
        <v>2</v>
      </c>
      <c r="C3431" t="str">
        <f>VLOOKUP(A3431,'Programas y Unidades'!$A:$B,2,0)</f>
        <v>Comunicación Corporativa</v>
      </c>
    </row>
    <row r="3432" spans="1:3">
      <c r="A3432">
        <v>28</v>
      </c>
      <c r="B3432">
        <v>2</v>
      </c>
      <c r="C3432" t="str">
        <f>VLOOKUP(A3432,'Programas y Unidades'!$A:$B,2,0)</f>
        <v>Comunicación Social y Periodismo</v>
      </c>
    </row>
    <row r="3433" spans="1:3">
      <c r="A3433">
        <v>27</v>
      </c>
      <c r="B3433">
        <v>2</v>
      </c>
      <c r="C3433" t="str">
        <f>VLOOKUP(A3433,'Programas y Unidades'!$A:$B,2,0)</f>
        <v>Comunicación Audiovisual y Multimedios</v>
      </c>
    </row>
    <row r="3434" spans="1:3">
      <c r="A3434">
        <v>28</v>
      </c>
      <c r="B3434">
        <v>2</v>
      </c>
      <c r="C3434" t="str">
        <f>VLOOKUP(A3434,'Programas y Unidades'!$A:$B,2,0)</f>
        <v>Comunicación Social y Periodismo</v>
      </c>
    </row>
    <row r="3435" spans="1:3">
      <c r="A3435">
        <v>26</v>
      </c>
      <c r="B3435">
        <v>2</v>
      </c>
      <c r="C3435" t="str">
        <f>VLOOKUP(A3435,'Programas y Unidades'!$A:$B,2,0)</f>
        <v>Comunicación Corporativa</v>
      </c>
    </row>
    <row r="3436" spans="1:3">
      <c r="A3436">
        <v>26</v>
      </c>
      <c r="B3436">
        <v>2</v>
      </c>
      <c r="C3436" t="str">
        <f>VLOOKUP(A3436,'Programas y Unidades'!$A:$B,2,0)</f>
        <v>Comunicación Corporativa</v>
      </c>
    </row>
    <row r="3437" spans="1:3">
      <c r="A3437">
        <v>27</v>
      </c>
      <c r="B3437">
        <v>2</v>
      </c>
      <c r="C3437" t="str">
        <f>VLOOKUP(A3437,'Programas y Unidades'!$A:$B,2,0)</f>
        <v>Comunicación Audiovisual y Multimedios</v>
      </c>
    </row>
    <row r="3438" spans="1:3">
      <c r="A3438">
        <v>27</v>
      </c>
      <c r="B3438">
        <v>2</v>
      </c>
      <c r="C3438" t="str">
        <f>VLOOKUP(A3438,'Programas y Unidades'!$A:$B,2,0)</f>
        <v>Comunicación Audiovisual y Multimedios</v>
      </c>
    </row>
    <row r="3439" spans="1:3">
      <c r="A3439">
        <v>27</v>
      </c>
      <c r="B3439">
        <v>4</v>
      </c>
      <c r="C3439" t="str">
        <f>VLOOKUP(A3439,'Programas y Unidades'!$A:$B,2,0)</f>
        <v>Comunicación Audiovisual y Multimedios</v>
      </c>
    </row>
    <row r="3440" spans="1:3">
      <c r="A3440">
        <v>28</v>
      </c>
      <c r="B3440">
        <v>2</v>
      </c>
      <c r="C3440" t="str">
        <f>VLOOKUP(A3440,'Programas y Unidades'!$A:$B,2,0)</f>
        <v>Comunicación Social y Periodismo</v>
      </c>
    </row>
    <row r="3441" spans="1:3">
      <c r="A3441">
        <v>27</v>
      </c>
      <c r="B3441">
        <v>2</v>
      </c>
      <c r="C3441" t="str">
        <f>VLOOKUP(A3441,'Programas y Unidades'!$A:$B,2,0)</f>
        <v>Comunicación Audiovisual y Multimedios</v>
      </c>
    </row>
    <row r="3442" spans="1:3">
      <c r="A3442">
        <v>27</v>
      </c>
      <c r="B3442">
        <v>2</v>
      </c>
      <c r="C3442" t="str">
        <f>VLOOKUP(A3442,'Programas y Unidades'!$A:$B,2,0)</f>
        <v>Comunicación Audiovisual y Multimedios</v>
      </c>
    </row>
    <row r="3443" spans="1:3">
      <c r="A3443">
        <v>27</v>
      </c>
      <c r="B3443">
        <v>2</v>
      </c>
      <c r="C3443" t="str">
        <f>VLOOKUP(A3443,'Programas y Unidades'!$A:$B,2,0)</f>
        <v>Comunicación Audiovisual y Multimedios</v>
      </c>
    </row>
    <row r="3444" spans="1:3">
      <c r="A3444">
        <v>27</v>
      </c>
      <c r="B3444">
        <v>2</v>
      </c>
      <c r="C3444" t="str">
        <f>VLOOKUP(A3444,'Programas y Unidades'!$A:$B,2,0)</f>
        <v>Comunicación Audiovisual y Multimedios</v>
      </c>
    </row>
    <row r="3445" spans="1:3">
      <c r="A3445">
        <v>28</v>
      </c>
      <c r="B3445">
        <v>2</v>
      </c>
      <c r="C3445" t="str">
        <f>VLOOKUP(A3445,'Programas y Unidades'!$A:$B,2,0)</f>
        <v>Comunicación Social y Periodismo</v>
      </c>
    </row>
    <row r="3446" spans="1:3">
      <c r="A3446">
        <v>27</v>
      </c>
      <c r="B3446">
        <v>2</v>
      </c>
      <c r="C3446" t="str">
        <f>VLOOKUP(A3446,'Programas y Unidades'!$A:$B,2,0)</f>
        <v>Comunicación Audiovisual y Multimedios</v>
      </c>
    </row>
    <row r="3447" spans="1:3">
      <c r="A3447">
        <v>26</v>
      </c>
      <c r="B3447">
        <v>3</v>
      </c>
      <c r="C3447" t="str">
        <f>VLOOKUP(A3447,'Programas y Unidades'!$A:$B,2,0)</f>
        <v>Comunicación Corporativa</v>
      </c>
    </row>
    <row r="3448" spans="1:3">
      <c r="A3448">
        <v>21</v>
      </c>
      <c r="B3448">
        <v>7</v>
      </c>
      <c r="C3448" t="str">
        <f>VLOOKUP(A3448,'Programas y Unidades'!$A:$B,2,0)</f>
        <v>Administración de Empresas</v>
      </c>
    </row>
    <row r="3449" spans="1:3">
      <c r="A3449">
        <v>21</v>
      </c>
      <c r="B3449">
        <v>6</v>
      </c>
      <c r="C3449" t="str">
        <f>VLOOKUP(A3449,'Programas y Unidades'!$A:$B,2,0)</f>
        <v>Administración de Empresas</v>
      </c>
    </row>
    <row r="3450" spans="1:3">
      <c r="A3450">
        <v>21</v>
      </c>
      <c r="B3450">
        <v>7</v>
      </c>
      <c r="C3450" t="str">
        <f>VLOOKUP(A3450,'Programas y Unidades'!$A:$B,2,0)</f>
        <v>Administración de Empresas</v>
      </c>
    </row>
    <row r="3451" spans="1:3">
      <c r="A3451">
        <v>21</v>
      </c>
      <c r="B3451">
        <v>7</v>
      </c>
      <c r="C3451" t="str">
        <f>VLOOKUP(A3451,'Programas y Unidades'!$A:$B,2,0)</f>
        <v>Administración de Empresas</v>
      </c>
    </row>
    <row r="3452" spans="1:3">
      <c r="A3452">
        <v>21</v>
      </c>
      <c r="B3452">
        <v>7</v>
      </c>
      <c r="C3452" t="str">
        <f>VLOOKUP(A3452,'Programas y Unidades'!$A:$B,2,0)</f>
        <v>Administración de Empresas</v>
      </c>
    </row>
    <row r="3453" spans="1:3">
      <c r="A3453">
        <v>22</v>
      </c>
      <c r="B3453">
        <v>7</v>
      </c>
      <c r="C3453" t="str">
        <f>VLOOKUP(A3453,'Programas y Unidades'!$A:$B,2,0)</f>
        <v>Administración de Mercadeo y Logística Internacionales</v>
      </c>
    </row>
    <row r="3454" spans="1:3">
      <c r="A3454">
        <v>21</v>
      </c>
      <c r="B3454">
        <v>7</v>
      </c>
      <c r="C3454" t="str">
        <f>VLOOKUP(A3454,'Programas y Unidades'!$A:$B,2,0)</f>
        <v>Administración de Empresas</v>
      </c>
    </row>
    <row r="3455" spans="1:3">
      <c r="A3455">
        <v>21</v>
      </c>
      <c r="B3455">
        <v>7</v>
      </c>
      <c r="C3455" t="str">
        <f>VLOOKUP(A3455,'Programas y Unidades'!$A:$B,2,0)</f>
        <v>Administración de Empresas</v>
      </c>
    </row>
    <row r="3456" spans="1:3">
      <c r="A3456">
        <v>21</v>
      </c>
      <c r="B3456">
        <v>7</v>
      </c>
      <c r="C3456" t="str">
        <f>VLOOKUP(A3456,'Programas y Unidades'!$A:$B,2,0)</f>
        <v>Administración de Empresas</v>
      </c>
    </row>
    <row r="3457" spans="1:3">
      <c r="A3457">
        <v>21</v>
      </c>
      <c r="B3457">
        <v>7</v>
      </c>
      <c r="C3457" t="str">
        <f>VLOOKUP(A3457,'Programas y Unidades'!$A:$B,2,0)</f>
        <v>Administración de Empresas</v>
      </c>
    </row>
    <row r="3458" spans="1:3">
      <c r="A3458">
        <v>21</v>
      </c>
      <c r="B3458">
        <v>7</v>
      </c>
      <c r="C3458" t="str">
        <f>VLOOKUP(A3458,'Programas y Unidades'!$A:$B,2,0)</f>
        <v>Administración de Empresas</v>
      </c>
    </row>
    <row r="3459" spans="1:3">
      <c r="A3459">
        <v>21</v>
      </c>
      <c r="B3459">
        <v>7</v>
      </c>
      <c r="C3459" t="str">
        <f>VLOOKUP(A3459,'Programas y Unidades'!$A:$B,2,0)</f>
        <v>Administración de Empresas</v>
      </c>
    </row>
    <row r="3460" spans="1:3">
      <c r="A3460">
        <v>21</v>
      </c>
      <c r="B3460">
        <v>7</v>
      </c>
      <c r="C3460" t="str">
        <f>VLOOKUP(A3460,'Programas y Unidades'!$A:$B,2,0)</f>
        <v>Administración de Empresas</v>
      </c>
    </row>
    <row r="3461" spans="1:3">
      <c r="A3461">
        <v>21</v>
      </c>
      <c r="B3461">
        <v>7</v>
      </c>
      <c r="C3461" t="str">
        <f>VLOOKUP(A3461,'Programas y Unidades'!$A:$B,2,0)</f>
        <v>Administración de Empresas</v>
      </c>
    </row>
    <row r="3462" spans="1:3">
      <c r="A3462">
        <v>21</v>
      </c>
      <c r="B3462">
        <v>8</v>
      </c>
      <c r="C3462" t="str">
        <f>VLOOKUP(A3462,'Programas y Unidades'!$A:$B,2,0)</f>
        <v>Administración de Empresas</v>
      </c>
    </row>
    <row r="3463" spans="1:3">
      <c r="A3463">
        <v>21</v>
      </c>
      <c r="B3463">
        <v>7</v>
      </c>
      <c r="C3463" t="str">
        <f>VLOOKUP(A3463,'Programas y Unidades'!$A:$B,2,0)</f>
        <v>Administración de Empresas</v>
      </c>
    </row>
    <row r="3464" spans="1:3">
      <c r="A3464">
        <v>27</v>
      </c>
      <c r="B3464">
        <v>5</v>
      </c>
      <c r="C3464" t="str">
        <f>VLOOKUP(A3464,'Programas y Unidades'!$A:$B,2,0)</f>
        <v>Comunicación Audiovisual y Multimedios</v>
      </c>
    </row>
    <row r="3465" spans="1:3">
      <c r="A3465">
        <v>27</v>
      </c>
      <c r="B3465">
        <v>5</v>
      </c>
      <c r="C3465" t="str">
        <f>VLOOKUP(A3465,'Programas y Unidades'!$A:$B,2,0)</f>
        <v>Comunicación Audiovisual y Multimedios</v>
      </c>
    </row>
    <row r="3466" spans="1:3">
      <c r="A3466">
        <v>27</v>
      </c>
      <c r="B3466">
        <v>5</v>
      </c>
      <c r="C3466" t="str">
        <f>VLOOKUP(A3466,'Programas y Unidades'!$A:$B,2,0)</f>
        <v>Comunicación Audiovisual y Multimedios</v>
      </c>
    </row>
    <row r="3467" spans="1:3">
      <c r="A3467">
        <v>28</v>
      </c>
      <c r="B3467">
        <v>5</v>
      </c>
      <c r="C3467" t="str">
        <f>VLOOKUP(A3467,'Programas y Unidades'!$A:$B,2,0)</f>
        <v>Comunicación Social y Periodismo</v>
      </c>
    </row>
    <row r="3468" spans="1:3">
      <c r="A3468">
        <v>27</v>
      </c>
      <c r="B3468">
        <v>5</v>
      </c>
      <c r="C3468" t="str">
        <f>VLOOKUP(A3468,'Programas y Unidades'!$A:$B,2,0)</f>
        <v>Comunicación Audiovisual y Multimedios</v>
      </c>
    </row>
    <row r="3469" spans="1:3">
      <c r="A3469">
        <v>40</v>
      </c>
      <c r="B3469">
        <v>2</v>
      </c>
      <c r="C3469" t="str">
        <f>VLOOKUP(A3469,'Programas y Unidades'!$A:$B,2,0)</f>
        <v>Ingeniería Mecánica</v>
      </c>
    </row>
    <row r="3470" spans="1:3">
      <c r="A3470">
        <v>40</v>
      </c>
      <c r="B3470">
        <v>2</v>
      </c>
      <c r="C3470" t="str">
        <f>VLOOKUP(A3470,'Programas y Unidades'!$A:$B,2,0)</f>
        <v>Ingeniería Mecánica</v>
      </c>
    </row>
    <row r="3471" spans="1:3">
      <c r="A3471">
        <v>40</v>
      </c>
      <c r="B3471">
        <v>2</v>
      </c>
      <c r="C3471" t="str">
        <f>VLOOKUP(A3471,'Programas y Unidades'!$A:$B,2,0)</f>
        <v>Ingeniería Mecánica</v>
      </c>
    </row>
    <row r="3472" spans="1:3">
      <c r="A3472">
        <v>40</v>
      </c>
      <c r="B3472">
        <v>2</v>
      </c>
      <c r="C3472" t="str">
        <f>VLOOKUP(A3472,'Programas y Unidades'!$A:$B,2,0)</f>
        <v>Ingeniería Mecánica</v>
      </c>
    </row>
    <row r="3473" spans="1:3">
      <c r="A3473">
        <v>40</v>
      </c>
      <c r="B3473">
        <v>2</v>
      </c>
      <c r="C3473" t="str">
        <f>VLOOKUP(A3473,'Programas y Unidades'!$A:$B,2,0)</f>
        <v>Ingeniería Mecánica</v>
      </c>
    </row>
    <row r="3474" spans="1:3">
      <c r="A3474">
        <v>40</v>
      </c>
      <c r="B3474">
        <v>2</v>
      </c>
      <c r="C3474" t="str">
        <f>VLOOKUP(A3474,'Programas y Unidades'!$A:$B,2,0)</f>
        <v>Ingeniería Mecánica</v>
      </c>
    </row>
    <row r="3475" spans="1:3">
      <c r="A3475">
        <v>40</v>
      </c>
      <c r="B3475">
        <v>2</v>
      </c>
      <c r="C3475" t="str">
        <f>VLOOKUP(A3475,'Programas y Unidades'!$A:$B,2,0)</f>
        <v>Ingeniería Mecánica</v>
      </c>
    </row>
    <row r="3476" spans="1:3">
      <c r="A3476">
        <v>40</v>
      </c>
      <c r="B3476">
        <v>2</v>
      </c>
      <c r="C3476" t="str">
        <f>VLOOKUP(A3476,'Programas y Unidades'!$A:$B,2,0)</f>
        <v>Ingeniería Mecánica</v>
      </c>
    </row>
    <row r="3477" spans="1:3">
      <c r="A3477">
        <v>40</v>
      </c>
      <c r="B3477">
        <v>2</v>
      </c>
      <c r="C3477" t="str">
        <f>VLOOKUP(A3477,'Programas y Unidades'!$A:$B,2,0)</f>
        <v>Ingeniería Mecánica</v>
      </c>
    </row>
    <row r="3478" spans="1:3">
      <c r="A3478">
        <v>40</v>
      </c>
      <c r="B3478">
        <v>2</v>
      </c>
      <c r="C3478" t="str">
        <f>VLOOKUP(A3478,'Programas y Unidades'!$A:$B,2,0)</f>
        <v>Ingeniería Mecánica</v>
      </c>
    </row>
    <row r="3479" spans="1:3">
      <c r="A3479">
        <v>27</v>
      </c>
      <c r="B3479">
        <v>5</v>
      </c>
      <c r="C3479" t="str">
        <f>VLOOKUP(A3479,'Programas y Unidades'!$A:$B,2,0)</f>
        <v>Comunicación Audiovisual y Multimedios</v>
      </c>
    </row>
    <row r="3480" spans="1:3">
      <c r="A3480">
        <v>36</v>
      </c>
      <c r="B3480">
        <v>2</v>
      </c>
      <c r="C3480" t="str">
        <f>VLOOKUP(A3480,'Programas y Unidades'!$A:$B,2,0)</f>
        <v>Ingeniería Civil</v>
      </c>
    </row>
    <row r="3481" spans="1:3">
      <c r="A3481">
        <v>36</v>
      </c>
      <c r="B3481">
        <v>2</v>
      </c>
      <c r="C3481" t="str">
        <f>VLOOKUP(A3481,'Programas y Unidades'!$A:$B,2,0)</f>
        <v>Ingeniería Civil</v>
      </c>
    </row>
    <row r="3482" spans="1:3">
      <c r="A3482">
        <v>36</v>
      </c>
      <c r="B3482">
        <v>2</v>
      </c>
      <c r="C3482" t="str">
        <f>VLOOKUP(A3482,'Programas y Unidades'!$A:$B,2,0)</f>
        <v>Ingeniería Civil</v>
      </c>
    </row>
    <row r="3483" spans="1:3">
      <c r="A3483">
        <v>36</v>
      </c>
      <c r="B3483">
        <v>2</v>
      </c>
      <c r="C3483" t="str">
        <f>VLOOKUP(A3483,'Programas y Unidades'!$A:$B,2,0)</f>
        <v>Ingeniería Civil</v>
      </c>
    </row>
    <row r="3484" spans="1:3">
      <c r="A3484">
        <v>36</v>
      </c>
      <c r="B3484">
        <v>2</v>
      </c>
      <c r="C3484" t="str">
        <f>VLOOKUP(A3484,'Programas y Unidades'!$A:$B,2,0)</f>
        <v>Ingeniería Civil</v>
      </c>
    </row>
    <row r="3485" spans="1:3">
      <c r="A3485">
        <v>36</v>
      </c>
      <c r="B3485">
        <v>2</v>
      </c>
      <c r="C3485" t="str">
        <f>VLOOKUP(A3485,'Programas y Unidades'!$A:$B,2,0)</f>
        <v>Ingeniería Civil</v>
      </c>
    </row>
    <row r="3486" spans="1:3">
      <c r="A3486">
        <v>36</v>
      </c>
      <c r="B3486">
        <v>2</v>
      </c>
      <c r="C3486" t="str">
        <f>VLOOKUP(A3486,'Programas y Unidades'!$A:$B,2,0)</f>
        <v>Ingeniería Civil</v>
      </c>
    </row>
    <row r="3487" spans="1:3">
      <c r="A3487">
        <v>36</v>
      </c>
      <c r="B3487">
        <v>2</v>
      </c>
      <c r="C3487" t="str">
        <f>VLOOKUP(A3487,'Programas y Unidades'!$A:$B,2,0)</f>
        <v>Ingeniería Civil</v>
      </c>
    </row>
    <row r="3488" spans="1:3">
      <c r="A3488">
        <v>36</v>
      </c>
      <c r="B3488">
        <v>2</v>
      </c>
      <c r="C3488" t="str">
        <f>VLOOKUP(A3488,'Programas y Unidades'!$A:$B,2,0)</f>
        <v>Ingeniería Civil</v>
      </c>
    </row>
    <row r="3489" spans="1:3">
      <c r="A3489">
        <v>36</v>
      </c>
      <c r="B3489">
        <v>2</v>
      </c>
      <c r="C3489" t="str">
        <f>VLOOKUP(A3489,'Programas y Unidades'!$A:$B,2,0)</f>
        <v>Ingeniería Civil</v>
      </c>
    </row>
    <row r="3490" spans="1:3">
      <c r="A3490">
        <v>36</v>
      </c>
      <c r="B3490">
        <v>2</v>
      </c>
      <c r="C3490" t="str">
        <f>VLOOKUP(A3490,'Programas y Unidades'!$A:$B,2,0)</f>
        <v>Ingeniería Civil</v>
      </c>
    </row>
    <row r="3491" spans="1:3">
      <c r="A3491">
        <v>36</v>
      </c>
      <c r="B3491">
        <v>2</v>
      </c>
      <c r="C3491" t="str">
        <f>VLOOKUP(A3491,'Programas y Unidades'!$A:$B,2,0)</f>
        <v>Ingeniería Civil</v>
      </c>
    </row>
    <row r="3492" spans="1:3">
      <c r="A3492">
        <v>36</v>
      </c>
      <c r="B3492">
        <v>2</v>
      </c>
      <c r="C3492" t="str">
        <f>VLOOKUP(A3492,'Programas y Unidades'!$A:$B,2,0)</f>
        <v>Ingeniería Civil</v>
      </c>
    </row>
    <row r="3493" spans="1:3">
      <c r="A3493">
        <v>36</v>
      </c>
      <c r="B3493">
        <v>2</v>
      </c>
      <c r="C3493" t="str">
        <f>VLOOKUP(A3493,'Programas y Unidades'!$A:$B,2,0)</f>
        <v>Ingeniería Civil</v>
      </c>
    </row>
    <row r="3494" spans="1:3">
      <c r="A3494">
        <v>36</v>
      </c>
      <c r="B3494">
        <v>2</v>
      </c>
      <c r="C3494" t="str">
        <f>VLOOKUP(A3494,'Programas y Unidades'!$A:$B,2,0)</f>
        <v>Ingeniería Civil</v>
      </c>
    </row>
    <row r="3495" spans="1:3">
      <c r="A3495">
        <v>36</v>
      </c>
      <c r="B3495">
        <v>2</v>
      </c>
      <c r="C3495" t="str">
        <f>VLOOKUP(A3495,'Programas y Unidades'!$A:$B,2,0)</f>
        <v>Ingeniería Civil</v>
      </c>
    </row>
    <row r="3496" spans="1:3">
      <c r="A3496">
        <v>24</v>
      </c>
      <c r="B3496">
        <v>7</v>
      </c>
      <c r="C3496" t="str">
        <f>VLOOKUP(A3496,'Programas y Unidades'!$A:$B,2,0)</f>
        <v>Economía y Finanzas Internacionales</v>
      </c>
    </row>
    <row r="3497" spans="1:3">
      <c r="A3497">
        <v>24</v>
      </c>
      <c r="B3497">
        <v>6</v>
      </c>
      <c r="C3497" t="str">
        <f>VLOOKUP(A3497,'Programas y Unidades'!$A:$B,2,0)</f>
        <v>Economía y Finanzas Internacionales</v>
      </c>
    </row>
    <row r="3498" spans="1:3">
      <c r="A3498">
        <v>24</v>
      </c>
      <c r="B3498">
        <v>7</v>
      </c>
      <c r="C3498" t="str">
        <f>VLOOKUP(A3498,'Programas y Unidades'!$A:$B,2,0)</f>
        <v>Economía y Finanzas Internacionales</v>
      </c>
    </row>
    <row r="3499" spans="1:3">
      <c r="A3499">
        <v>24</v>
      </c>
      <c r="B3499">
        <v>7</v>
      </c>
      <c r="C3499" t="str">
        <f>VLOOKUP(A3499,'Programas y Unidades'!$A:$B,2,0)</f>
        <v>Economía y Finanzas Internacionales</v>
      </c>
    </row>
    <row r="3500" spans="1:3">
      <c r="A3500">
        <v>38</v>
      </c>
      <c r="B3500">
        <v>6</v>
      </c>
      <c r="C3500" t="str">
        <f>VLOOKUP(A3500,'Programas y Unidades'!$A:$B,2,0)</f>
        <v>Ingeniería Industrial</v>
      </c>
    </row>
    <row r="3501" spans="1:3">
      <c r="A3501">
        <v>38</v>
      </c>
      <c r="B3501">
        <v>6</v>
      </c>
      <c r="C3501" t="str">
        <f>VLOOKUP(A3501,'Programas y Unidades'!$A:$B,2,0)</f>
        <v>Ingeniería Industrial</v>
      </c>
    </row>
    <row r="3502" spans="1:3">
      <c r="A3502">
        <v>38</v>
      </c>
      <c r="B3502">
        <v>6</v>
      </c>
      <c r="C3502" t="str">
        <f>VLOOKUP(A3502,'Programas y Unidades'!$A:$B,2,0)</f>
        <v>Ingeniería Industrial</v>
      </c>
    </row>
    <row r="3503" spans="1:3">
      <c r="A3503">
        <v>38</v>
      </c>
      <c r="B3503">
        <v>6</v>
      </c>
      <c r="C3503" t="str">
        <f>VLOOKUP(A3503,'Programas y Unidades'!$A:$B,2,0)</f>
        <v>Ingeniería Industrial</v>
      </c>
    </row>
    <row r="3504" spans="1:3">
      <c r="A3504">
        <v>38</v>
      </c>
      <c r="B3504">
        <v>6</v>
      </c>
      <c r="C3504" t="str">
        <f>VLOOKUP(A3504,'Programas y Unidades'!$A:$B,2,0)</f>
        <v>Ingeniería Industrial</v>
      </c>
    </row>
    <row r="3505" spans="1:3">
      <c r="A3505">
        <v>38</v>
      </c>
      <c r="B3505">
        <v>6</v>
      </c>
      <c r="C3505" t="str">
        <f>VLOOKUP(A3505,'Programas y Unidades'!$A:$B,2,0)</f>
        <v>Ingeniería Industrial</v>
      </c>
    </row>
    <row r="3506" spans="1:3">
      <c r="A3506">
        <v>38</v>
      </c>
      <c r="B3506">
        <v>6</v>
      </c>
      <c r="C3506" t="str">
        <f>VLOOKUP(A3506,'Programas y Unidades'!$A:$B,2,0)</f>
        <v>Ingeniería Industrial</v>
      </c>
    </row>
    <row r="3507" spans="1:3">
      <c r="A3507">
        <v>38</v>
      </c>
      <c r="B3507">
        <v>6</v>
      </c>
      <c r="C3507" t="str">
        <f>VLOOKUP(A3507,'Programas y Unidades'!$A:$B,2,0)</f>
        <v>Ingeniería Industrial</v>
      </c>
    </row>
    <row r="3508" spans="1:3">
      <c r="A3508">
        <v>38</v>
      </c>
      <c r="B3508">
        <v>6</v>
      </c>
      <c r="C3508" t="str">
        <f>VLOOKUP(A3508,'Programas y Unidades'!$A:$B,2,0)</f>
        <v>Ingeniería Industrial</v>
      </c>
    </row>
    <row r="3509" spans="1:3">
      <c r="A3509">
        <v>38</v>
      </c>
      <c r="B3509">
        <v>6</v>
      </c>
      <c r="C3509" t="str">
        <f>VLOOKUP(A3509,'Programas y Unidades'!$A:$B,2,0)</f>
        <v>Ingeniería Industrial</v>
      </c>
    </row>
    <row r="3510" spans="1:3">
      <c r="A3510">
        <v>38</v>
      </c>
      <c r="B3510">
        <v>6</v>
      </c>
      <c r="C3510" t="str">
        <f>VLOOKUP(A3510,'Programas y Unidades'!$A:$B,2,0)</f>
        <v>Ingeniería Industrial</v>
      </c>
    </row>
    <row r="3511" spans="1:3">
      <c r="A3511">
        <v>38</v>
      </c>
      <c r="B3511">
        <v>6</v>
      </c>
      <c r="C3511" t="str">
        <f>VLOOKUP(A3511,'Programas y Unidades'!$A:$B,2,0)</f>
        <v>Ingeniería Industrial</v>
      </c>
    </row>
    <row r="3512" spans="1:3">
      <c r="A3512">
        <v>38</v>
      </c>
      <c r="B3512">
        <v>6</v>
      </c>
      <c r="C3512" t="str">
        <f>VLOOKUP(A3512,'Programas y Unidades'!$A:$B,2,0)</f>
        <v>Ingeniería Industrial</v>
      </c>
    </row>
    <row r="3513" spans="1:3">
      <c r="A3513">
        <v>38</v>
      </c>
      <c r="B3513">
        <v>6</v>
      </c>
      <c r="C3513" t="str">
        <f>VLOOKUP(A3513,'Programas y Unidades'!$A:$B,2,0)</f>
        <v>Ingeniería Industrial</v>
      </c>
    </row>
    <row r="3514" spans="1:3">
      <c r="A3514">
        <v>38</v>
      </c>
      <c r="B3514">
        <v>6</v>
      </c>
      <c r="C3514" t="str">
        <f>VLOOKUP(A3514,'Programas y Unidades'!$A:$B,2,0)</f>
        <v>Ingeniería Industrial</v>
      </c>
    </row>
    <row r="3515" spans="1:3">
      <c r="A3515">
        <v>38</v>
      </c>
      <c r="B3515">
        <v>6</v>
      </c>
      <c r="C3515" t="str">
        <f>VLOOKUP(A3515,'Programas y Unidades'!$A:$B,2,0)</f>
        <v>Ingeniería Industrial</v>
      </c>
    </row>
    <row r="3516" spans="1:3">
      <c r="A3516">
        <v>27</v>
      </c>
      <c r="B3516">
        <v>5</v>
      </c>
      <c r="C3516" t="str">
        <f>VLOOKUP(A3516,'Programas y Unidades'!$A:$B,2,0)</f>
        <v>Comunicación Audiovisual y Multimedios</v>
      </c>
    </row>
    <row r="3517" spans="1:3">
      <c r="A3517">
        <v>27</v>
      </c>
      <c r="B3517">
        <v>3</v>
      </c>
      <c r="C3517" t="str">
        <f>VLOOKUP(A3517,'Programas y Unidades'!$A:$B,2,0)</f>
        <v>Comunicación Audiovisual y Multimedios</v>
      </c>
    </row>
    <row r="3518" spans="1:3">
      <c r="A3518">
        <v>27</v>
      </c>
      <c r="B3518">
        <v>3</v>
      </c>
      <c r="C3518" t="str">
        <f>VLOOKUP(A3518,'Programas y Unidades'!$A:$B,2,0)</f>
        <v>Comunicación Audiovisual y Multimedios</v>
      </c>
    </row>
    <row r="3519" spans="1:3">
      <c r="A3519">
        <v>27</v>
      </c>
      <c r="B3519">
        <v>2</v>
      </c>
      <c r="C3519" t="str">
        <f>VLOOKUP(A3519,'Programas y Unidades'!$A:$B,2,0)</f>
        <v>Comunicación Audiovisual y Multimedios</v>
      </c>
    </row>
    <row r="3520" spans="1:3">
      <c r="A3520">
        <v>27</v>
      </c>
      <c r="B3520">
        <v>3</v>
      </c>
      <c r="C3520" t="str">
        <f>VLOOKUP(A3520,'Programas y Unidades'!$A:$B,2,0)</f>
        <v>Comunicación Audiovisual y Multimedios</v>
      </c>
    </row>
    <row r="3521" spans="1:3">
      <c r="A3521">
        <v>27</v>
      </c>
      <c r="B3521">
        <v>3</v>
      </c>
      <c r="C3521" t="str">
        <f>VLOOKUP(A3521,'Programas y Unidades'!$A:$B,2,0)</f>
        <v>Comunicación Audiovisual y Multimedios</v>
      </c>
    </row>
    <row r="3522" spans="1:3">
      <c r="A3522">
        <v>27</v>
      </c>
      <c r="B3522">
        <v>3</v>
      </c>
      <c r="C3522" t="str">
        <f>VLOOKUP(A3522,'Programas y Unidades'!$A:$B,2,0)</f>
        <v>Comunicación Audiovisual y Multimedios</v>
      </c>
    </row>
    <row r="3523" spans="1:3">
      <c r="A3523">
        <v>27</v>
      </c>
      <c r="B3523">
        <v>3</v>
      </c>
      <c r="C3523" t="str">
        <f>VLOOKUP(A3523,'Programas y Unidades'!$A:$B,2,0)</f>
        <v>Comunicación Audiovisual y Multimedios</v>
      </c>
    </row>
    <row r="3524" spans="1:3">
      <c r="A3524">
        <v>27</v>
      </c>
      <c r="B3524">
        <v>3</v>
      </c>
      <c r="C3524" t="str">
        <f>VLOOKUP(A3524,'Programas y Unidades'!$A:$B,2,0)</f>
        <v>Comunicación Audiovisual y Multimedios</v>
      </c>
    </row>
    <row r="3525" spans="1:3">
      <c r="A3525">
        <v>27</v>
      </c>
      <c r="B3525">
        <v>3</v>
      </c>
      <c r="C3525" t="str">
        <f>VLOOKUP(A3525,'Programas y Unidades'!$A:$B,2,0)</f>
        <v>Comunicación Audiovisual y Multimedios</v>
      </c>
    </row>
    <row r="3526" spans="1:3">
      <c r="A3526">
        <v>31</v>
      </c>
      <c r="B3526">
        <v>9</v>
      </c>
      <c r="C3526" t="str">
        <f>VLOOKUP(A3526,'Programas y Unidades'!$A:$B,2,0)</f>
        <v>Licenciatura en Ciencias Naturales</v>
      </c>
    </row>
    <row r="3527" spans="1:3">
      <c r="A3527">
        <v>41</v>
      </c>
      <c r="B3527">
        <v>8</v>
      </c>
      <c r="C3527" t="str">
        <f>VLOOKUP(A3527,'Programas y Unidades'!$A:$B,2,0)</f>
        <v>Ingeniería Química</v>
      </c>
    </row>
    <row r="3528" spans="1:3">
      <c r="A3528">
        <v>41</v>
      </c>
      <c r="B3528">
        <v>8</v>
      </c>
      <c r="C3528" t="str">
        <f>VLOOKUP(A3528,'Programas y Unidades'!$A:$B,2,0)</f>
        <v>Ingeniería Química</v>
      </c>
    </row>
    <row r="3529" spans="1:3">
      <c r="A3529">
        <v>41</v>
      </c>
      <c r="B3529">
        <v>8</v>
      </c>
      <c r="C3529" t="str">
        <f>VLOOKUP(A3529,'Programas y Unidades'!$A:$B,2,0)</f>
        <v>Ingeniería Química</v>
      </c>
    </row>
    <row r="3530" spans="1:3">
      <c r="A3530">
        <v>41</v>
      </c>
      <c r="B3530">
        <v>8</v>
      </c>
      <c r="C3530" t="str">
        <f>VLOOKUP(A3530,'Programas y Unidades'!$A:$B,2,0)</f>
        <v>Ingeniería Química</v>
      </c>
    </row>
    <row r="3531" spans="1:3">
      <c r="A3531">
        <v>41</v>
      </c>
      <c r="B3531">
        <v>8</v>
      </c>
      <c r="C3531" t="str">
        <f>VLOOKUP(A3531,'Programas y Unidades'!$A:$B,2,0)</f>
        <v>Ingeniería Química</v>
      </c>
    </row>
    <row r="3532" spans="1:3">
      <c r="A3532">
        <v>41</v>
      </c>
      <c r="B3532">
        <v>8</v>
      </c>
      <c r="C3532" t="str">
        <f>VLOOKUP(A3532,'Programas y Unidades'!$A:$B,2,0)</f>
        <v>Ingeniería Química</v>
      </c>
    </row>
    <row r="3533" spans="1:3">
      <c r="A3533">
        <v>27</v>
      </c>
      <c r="B3533">
        <v>2</v>
      </c>
      <c r="C3533" t="str">
        <f>VLOOKUP(A3533,'Programas y Unidades'!$A:$B,2,0)</f>
        <v>Comunicación Audiovisual y Multimedios</v>
      </c>
    </row>
    <row r="3534" spans="1:3">
      <c r="A3534">
        <v>41</v>
      </c>
      <c r="B3534">
        <v>8</v>
      </c>
      <c r="C3534" t="str">
        <f>VLOOKUP(A3534,'Programas y Unidades'!$A:$B,2,0)</f>
        <v>Ingeniería Química</v>
      </c>
    </row>
    <row r="3535" spans="1:3">
      <c r="A3535">
        <v>41</v>
      </c>
      <c r="B3535">
        <v>8</v>
      </c>
      <c r="C3535" t="str">
        <f>VLOOKUP(A3535,'Programas y Unidades'!$A:$B,2,0)</f>
        <v>Ingeniería Química</v>
      </c>
    </row>
    <row r="3536" spans="1:3">
      <c r="A3536">
        <v>41</v>
      </c>
      <c r="B3536">
        <v>8</v>
      </c>
      <c r="C3536" t="str">
        <f>VLOOKUP(A3536,'Programas y Unidades'!$A:$B,2,0)</f>
        <v>Ingeniería Química</v>
      </c>
    </row>
    <row r="3537" spans="1:3">
      <c r="A3537">
        <v>41</v>
      </c>
      <c r="B3537">
        <v>8</v>
      </c>
      <c r="C3537" t="str">
        <f>VLOOKUP(A3537,'Programas y Unidades'!$A:$B,2,0)</f>
        <v>Ingeniería Química</v>
      </c>
    </row>
    <row r="3538" spans="1:3">
      <c r="A3538">
        <v>41</v>
      </c>
      <c r="B3538">
        <v>8</v>
      </c>
      <c r="C3538" t="str">
        <f>VLOOKUP(A3538,'Programas y Unidades'!$A:$B,2,0)</f>
        <v>Ingeniería Química</v>
      </c>
    </row>
    <row r="3539" spans="1:3">
      <c r="A3539">
        <v>41</v>
      </c>
      <c r="B3539">
        <v>8</v>
      </c>
      <c r="C3539" t="str">
        <f>VLOOKUP(A3539,'Programas y Unidades'!$A:$B,2,0)</f>
        <v>Ingeniería Química</v>
      </c>
    </row>
    <row r="3540" spans="1:3">
      <c r="A3540">
        <v>41</v>
      </c>
      <c r="B3540">
        <v>8</v>
      </c>
      <c r="C3540" t="str">
        <f>VLOOKUP(A3540,'Programas y Unidades'!$A:$B,2,0)</f>
        <v>Ingeniería Química</v>
      </c>
    </row>
    <row r="3541" spans="1:3">
      <c r="A3541">
        <v>24</v>
      </c>
      <c r="B3541">
        <v>6</v>
      </c>
      <c r="C3541" t="str">
        <f>VLOOKUP(A3541,'Programas y Unidades'!$A:$B,2,0)</f>
        <v>Economía y Finanzas Internacionales</v>
      </c>
    </row>
    <row r="3542" spans="1:3">
      <c r="A3542">
        <v>24</v>
      </c>
      <c r="B3542">
        <v>6</v>
      </c>
      <c r="C3542" t="str">
        <f>VLOOKUP(A3542,'Programas y Unidades'!$A:$B,2,0)</f>
        <v>Economía y Finanzas Internacionales</v>
      </c>
    </row>
    <row r="3543" spans="1:3">
      <c r="A3543">
        <v>24</v>
      </c>
      <c r="B3543">
        <v>7</v>
      </c>
      <c r="C3543" t="str">
        <f>VLOOKUP(A3543,'Programas y Unidades'!$A:$B,2,0)</f>
        <v>Economía y Finanzas Internacionales</v>
      </c>
    </row>
    <row r="3544" spans="1:3">
      <c r="A3544">
        <v>24</v>
      </c>
      <c r="B3544">
        <v>6</v>
      </c>
      <c r="C3544" t="str">
        <f>VLOOKUP(A3544,'Programas y Unidades'!$A:$B,2,0)</f>
        <v>Economía y Finanzas Internacionales</v>
      </c>
    </row>
    <row r="3545" spans="1:3">
      <c r="A3545">
        <v>21</v>
      </c>
      <c r="B3545">
        <v>4</v>
      </c>
      <c r="C3545" t="str">
        <f>VLOOKUP(A3545,'Programas y Unidades'!$A:$B,2,0)</f>
        <v>Administración de Empresas</v>
      </c>
    </row>
    <row r="3546" spans="1:3">
      <c r="A3546">
        <v>21</v>
      </c>
      <c r="B3546">
        <v>4</v>
      </c>
      <c r="C3546" t="str">
        <f>VLOOKUP(A3546,'Programas y Unidades'!$A:$B,2,0)</f>
        <v>Administración de Empresas</v>
      </c>
    </row>
    <row r="3547" spans="1:3">
      <c r="A3547">
        <v>21</v>
      </c>
      <c r="B3547">
        <v>4</v>
      </c>
      <c r="C3547" t="str">
        <f>VLOOKUP(A3547,'Programas y Unidades'!$A:$B,2,0)</f>
        <v>Administración de Empresas</v>
      </c>
    </row>
    <row r="3548" spans="1:3">
      <c r="A3548">
        <v>21</v>
      </c>
      <c r="B3548">
        <v>4</v>
      </c>
      <c r="C3548" t="str">
        <f>VLOOKUP(A3548,'Programas y Unidades'!$A:$B,2,0)</f>
        <v>Administración de Empresas</v>
      </c>
    </row>
    <row r="3549" spans="1:3">
      <c r="A3549">
        <v>21</v>
      </c>
      <c r="B3549">
        <v>5</v>
      </c>
      <c r="C3549" t="str">
        <f>VLOOKUP(A3549,'Programas y Unidades'!$A:$B,2,0)</f>
        <v>Administración de Empresas</v>
      </c>
    </row>
    <row r="3550" spans="1:3">
      <c r="A3550">
        <v>24</v>
      </c>
      <c r="B3550">
        <v>6</v>
      </c>
      <c r="C3550" t="str">
        <f>VLOOKUP(A3550,'Programas y Unidades'!$A:$B,2,0)</f>
        <v>Economía y Finanzas Internacionales</v>
      </c>
    </row>
    <row r="3551" spans="1:3">
      <c r="A3551">
        <v>24</v>
      </c>
      <c r="B3551">
        <v>6</v>
      </c>
      <c r="C3551" t="str">
        <f>VLOOKUP(A3551,'Programas y Unidades'!$A:$B,2,0)</f>
        <v>Economía y Finanzas Internacionales</v>
      </c>
    </row>
    <row r="3552" spans="1:3">
      <c r="A3552">
        <v>21</v>
      </c>
      <c r="B3552">
        <v>4</v>
      </c>
      <c r="C3552" t="str">
        <f>VLOOKUP(A3552,'Programas y Unidades'!$A:$B,2,0)</f>
        <v>Administración de Empresas</v>
      </c>
    </row>
    <row r="3553" spans="1:3">
      <c r="A3553">
        <v>21</v>
      </c>
      <c r="B3553">
        <v>4</v>
      </c>
      <c r="C3553" t="str">
        <f>VLOOKUP(A3553,'Programas y Unidades'!$A:$B,2,0)</f>
        <v>Administración de Empresas</v>
      </c>
    </row>
    <row r="3554" spans="1:3">
      <c r="A3554">
        <v>21</v>
      </c>
      <c r="B3554">
        <v>4</v>
      </c>
      <c r="C3554" t="str">
        <f>VLOOKUP(A3554,'Programas y Unidades'!$A:$B,2,0)</f>
        <v>Administración de Empresas</v>
      </c>
    </row>
    <row r="3555" spans="1:3">
      <c r="A3555">
        <v>21</v>
      </c>
      <c r="B3555">
        <v>5</v>
      </c>
      <c r="C3555" t="str">
        <f>VLOOKUP(A3555,'Programas y Unidades'!$A:$B,2,0)</f>
        <v>Administración de Empresas</v>
      </c>
    </row>
    <row r="3556" spans="1:3">
      <c r="A3556">
        <v>21</v>
      </c>
      <c r="B3556">
        <v>4</v>
      </c>
      <c r="C3556" t="str">
        <f>VLOOKUP(A3556,'Programas y Unidades'!$A:$B,2,0)</f>
        <v>Administración de Empresas</v>
      </c>
    </row>
    <row r="3557" spans="1:3">
      <c r="A3557">
        <v>21</v>
      </c>
      <c r="B3557">
        <v>4</v>
      </c>
      <c r="C3557" t="str">
        <f>VLOOKUP(A3557,'Programas y Unidades'!$A:$B,2,0)</f>
        <v>Administración de Empresas</v>
      </c>
    </row>
    <row r="3558" spans="1:3">
      <c r="A3558">
        <v>21</v>
      </c>
      <c r="B3558">
        <v>7</v>
      </c>
      <c r="C3558" t="str">
        <f>VLOOKUP(A3558,'Programas y Unidades'!$A:$B,2,0)</f>
        <v>Administración de Empresas</v>
      </c>
    </row>
    <row r="3559" spans="1:3">
      <c r="A3559">
        <v>29</v>
      </c>
      <c r="B3559">
        <v>7</v>
      </c>
      <c r="C3559" t="str">
        <f>VLOOKUP(A3559,'Programas y Unidades'!$A:$B,2,0)</f>
        <v>Ciencias Políticas</v>
      </c>
    </row>
    <row r="3560" spans="1:3">
      <c r="A3560">
        <v>29</v>
      </c>
      <c r="B3560">
        <v>7</v>
      </c>
      <c r="C3560" t="str">
        <f>VLOOKUP(A3560,'Programas y Unidades'!$A:$B,2,0)</f>
        <v>Ciencias Políticas</v>
      </c>
    </row>
    <row r="3561" spans="1:3">
      <c r="A3561">
        <v>29</v>
      </c>
      <c r="B3561">
        <v>7</v>
      </c>
      <c r="C3561" t="str">
        <f>VLOOKUP(A3561,'Programas y Unidades'!$A:$B,2,0)</f>
        <v>Ciencias Políticas</v>
      </c>
    </row>
    <row r="3562" spans="1:3">
      <c r="A3562">
        <v>28</v>
      </c>
      <c r="B3562">
        <v>6</v>
      </c>
      <c r="C3562" t="str">
        <f>VLOOKUP(A3562,'Programas y Unidades'!$A:$B,2,0)</f>
        <v>Comunicación Social y Periodismo</v>
      </c>
    </row>
    <row r="3563" spans="1:3">
      <c r="A3563">
        <v>29</v>
      </c>
      <c r="B3563">
        <v>4</v>
      </c>
      <c r="C3563" t="str">
        <f>VLOOKUP(A3563,'Programas y Unidades'!$A:$B,2,0)</f>
        <v>Ciencias Políticas</v>
      </c>
    </row>
    <row r="3564" spans="1:3">
      <c r="A3564">
        <v>29</v>
      </c>
      <c r="B3564">
        <v>3</v>
      </c>
      <c r="C3564" t="str">
        <f>VLOOKUP(A3564,'Programas y Unidades'!$A:$B,2,0)</f>
        <v>Ciencias Políticas</v>
      </c>
    </row>
    <row r="3565" spans="1:3">
      <c r="A3565">
        <v>29</v>
      </c>
      <c r="B3565">
        <v>4</v>
      </c>
      <c r="C3565" t="str">
        <f>VLOOKUP(A3565,'Programas y Unidades'!$A:$B,2,0)</f>
        <v>Ciencias Políticas</v>
      </c>
    </row>
    <row r="3566" spans="1:3">
      <c r="A3566">
        <v>29</v>
      </c>
      <c r="B3566">
        <v>4</v>
      </c>
      <c r="C3566" t="str">
        <f>VLOOKUP(A3566,'Programas y Unidades'!$A:$B,2,0)</f>
        <v>Ciencias Políticas</v>
      </c>
    </row>
    <row r="3567" spans="1:3">
      <c r="A3567">
        <v>29</v>
      </c>
      <c r="B3567">
        <v>4</v>
      </c>
      <c r="C3567" t="str">
        <f>VLOOKUP(A3567,'Programas y Unidades'!$A:$B,2,0)</f>
        <v>Ciencias Políticas</v>
      </c>
    </row>
    <row r="3568" spans="1:3">
      <c r="A3568">
        <v>29</v>
      </c>
      <c r="B3568">
        <v>5</v>
      </c>
      <c r="C3568" t="str">
        <f>VLOOKUP(A3568,'Programas y Unidades'!$A:$B,2,0)</f>
        <v>Ciencias Políticas</v>
      </c>
    </row>
    <row r="3569" spans="1:3">
      <c r="A3569">
        <v>29</v>
      </c>
      <c r="B3569">
        <v>4</v>
      </c>
      <c r="C3569" t="str">
        <f>VLOOKUP(A3569,'Programas y Unidades'!$A:$B,2,0)</f>
        <v>Ciencias Políticas</v>
      </c>
    </row>
    <row r="3570" spans="1:3">
      <c r="A3570">
        <v>29</v>
      </c>
      <c r="B3570">
        <v>4</v>
      </c>
      <c r="C3570" t="str">
        <f>VLOOKUP(A3570,'Programas y Unidades'!$A:$B,2,0)</f>
        <v>Ciencias Políticas</v>
      </c>
    </row>
    <row r="3571" spans="1:3">
      <c r="A3571">
        <v>29</v>
      </c>
      <c r="B3571">
        <v>4</v>
      </c>
      <c r="C3571" t="str">
        <f>VLOOKUP(A3571,'Programas y Unidades'!$A:$B,2,0)</f>
        <v>Ciencias Políticas</v>
      </c>
    </row>
    <row r="3572" spans="1:3">
      <c r="A3572">
        <v>29</v>
      </c>
      <c r="B3572">
        <v>3</v>
      </c>
      <c r="C3572" t="str">
        <f>VLOOKUP(A3572,'Programas y Unidades'!$A:$B,2,0)</f>
        <v>Ciencias Políticas</v>
      </c>
    </row>
    <row r="3573" spans="1:3">
      <c r="A3573">
        <v>29</v>
      </c>
      <c r="B3573">
        <v>4</v>
      </c>
      <c r="C3573" t="str">
        <f>VLOOKUP(A3573,'Programas y Unidades'!$A:$B,2,0)</f>
        <v>Ciencias Políticas</v>
      </c>
    </row>
    <row r="3574" spans="1:3">
      <c r="A3574">
        <v>29</v>
      </c>
      <c r="B3574">
        <v>4</v>
      </c>
      <c r="C3574" t="str">
        <f>VLOOKUP(A3574,'Programas y Unidades'!$A:$B,2,0)</f>
        <v>Ciencias Políticas</v>
      </c>
    </row>
    <row r="3575" spans="1:3">
      <c r="A3575">
        <v>42</v>
      </c>
      <c r="B3575">
        <v>10</v>
      </c>
      <c r="C3575" t="str">
        <f>VLOOKUP(A3575,'Programas y Unidades'!$A:$B,2,0)</f>
        <v>Medicina</v>
      </c>
    </row>
    <row r="3576" spans="1:3">
      <c r="A3576">
        <v>42</v>
      </c>
      <c r="B3576">
        <v>10</v>
      </c>
      <c r="C3576" t="str">
        <f>VLOOKUP(A3576,'Programas y Unidades'!$A:$B,2,0)</f>
        <v>Medicina</v>
      </c>
    </row>
    <row r="3577" spans="1:3">
      <c r="A3577">
        <v>42</v>
      </c>
      <c r="B3577">
        <v>10</v>
      </c>
      <c r="C3577" t="str">
        <f>VLOOKUP(A3577,'Programas y Unidades'!$A:$B,2,0)</f>
        <v>Medicina</v>
      </c>
    </row>
    <row r="3578" spans="1:3">
      <c r="A3578">
        <v>42</v>
      </c>
      <c r="B3578">
        <v>10</v>
      </c>
      <c r="C3578" t="str">
        <f>VLOOKUP(A3578,'Programas y Unidades'!$A:$B,2,0)</f>
        <v>Medicina</v>
      </c>
    </row>
    <row r="3579" spans="1:3">
      <c r="A3579">
        <v>42</v>
      </c>
      <c r="B3579">
        <v>10</v>
      </c>
      <c r="C3579" t="str">
        <f>VLOOKUP(A3579,'Programas y Unidades'!$A:$B,2,0)</f>
        <v>Medicina</v>
      </c>
    </row>
    <row r="3580" spans="1:3">
      <c r="A3580">
        <v>42</v>
      </c>
      <c r="B3580">
        <v>10</v>
      </c>
      <c r="C3580" t="str">
        <f>VLOOKUP(A3580,'Programas y Unidades'!$A:$B,2,0)</f>
        <v>Medicina</v>
      </c>
    </row>
    <row r="3581" spans="1:3">
      <c r="A3581">
        <v>42</v>
      </c>
      <c r="B3581">
        <v>10</v>
      </c>
      <c r="C3581" t="str">
        <f>VLOOKUP(A3581,'Programas y Unidades'!$A:$B,2,0)</f>
        <v>Medicina</v>
      </c>
    </row>
    <row r="3582" spans="1:3">
      <c r="A3582">
        <v>42</v>
      </c>
      <c r="B3582">
        <v>10</v>
      </c>
      <c r="C3582" t="str">
        <f>VLOOKUP(A3582,'Programas y Unidades'!$A:$B,2,0)</f>
        <v>Medicina</v>
      </c>
    </row>
    <row r="3583" spans="1:3">
      <c r="A3583">
        <v>42</v>
      </c>
      <c r="B3583">
        <v>10</v>
      </c>
      <c r="C3583" t="str">
        <f>VLOOKUP(A3583,'Programas y Unidades'!$A:$B,2,0)</f>
        <v>Medicina</v>
      </c>
    </row>
    <row r="3584" spans="1:3">
      <c r="A3584">
        <v>42</v>
      </c>
      <c r="B3584">
        <v>10</v>
      </c>
      <c r="C3584" t="str">
        <f>VLOOKUP(A3584,'Programas y Unidades'!$A:$B,2,0)</f>
        <v>Medicina</v>
      </c>
    </row>
    <row r="3585" spans="1:3">
      <c r="A3585">
        <v>42</v>
      </c>
      <c r="B3585">
        <v>10</v>
      </c>
      <c r="C3585" t="str">
        <f>VLOOKUP(A3585,'Programas y Unidades'!$A:$B,2,0)</f>
        <v>Medicina</v>
      </c>
    </row>
    <row r="3586" spans="1:3">
      <c r="A3586">
        <v>42</v>
      </c>
      <c r="B3586">
        <v>10</v>
      </c>
      <c r="C3586" t="str">
        <f>VLOOKUP(A3586,'Programas y Unidades'!$A:$B,2,0)</f>
        <v>Medicina</v>
      </c>
    </row>
    <row r="3587" spans="1:3">
      <c r="A3587">
        <v>42</v>
      </c>
      <c r="B3587">
        <v>10</v>
      </c>
      <c r="C3587" t="str">
        <f>VLOOKUP(A3587,'Programas y Unidades'!$A:$B,2,0)</f>
        <v>Medicina</v>
      </c>
    </row>
    <row r="3588" spans="1:3">
      <c r="A3588">
        <v>42</v>
      </c>
      <c r="B3588">
        <v>10</v>
      </c>
      <c r="C3588" t="str">
        <f>VLOOKUP(A3588,'Programas y Unidades'!$A:$B,2,0)</f>
        <v>Medicina</v>
      </c>
    </row>
    <row r="3589" spans="1:3">
      <c r="A3589">
        <v>42</v>
      </c>
      <c r="B3589">
        <v>10</v>
      </c>
      <c r="C3589" t="str">
        <f>VLOOKUP(A3589,'Programas y Unidades'!$A:$B,2,0)</f>
        <v>Medicina</v>
      </c>
    </row>
    <row r="3590" spans="1:3">
      <c r="A3590">
        <v>42</v>
      </c>
      <c r="B3590">
        <v>10</v>
      </c>
      <c r="C3590" t="str">
        <f>VLOOKUP(A3590,'Programas y Unidades'!$A:$B,2,0)</f>
        <v>Medicina</v>
      </c>
    </row>
    <row r="3591" spans="1:3">
      <c r="A3591">
        <v>42</v>
      </c>
      <c r="B3591">
        <v>10</v>
      </c>
      <c r="C3591" t="str">
        <f>VLOOKUP(A3591,'Programas y Unidades'!$A:$B,2,0)</f>
        <v>Medicina</v>
      </c>
    </row>
    <row r="3592" spans="1:3">
      <c r="A3592">
        <v>42</v>
      </c>
      <c r="B3592">
        <v>10</v>
      </c>
      <c r="C3592" t="str">
        <f>VLOOKUP(A3592,'Programas y Unidades'!$A:$B,2,0)</f>
        <v>Medicina</v>
      </c>
    </row>
    <row r="3593" spans="1:3">
      <c r="A3593">
        <v>42</v>
      </c>
      <c r="B3593">
        <v>10</v>
      </c>
      <c r="C3593" t="str">
        <f>VLOOKUP(A3593,'Programas y Unidades'!$A:$B,2,0)</f>
        <v>Medicina</v>
      </c>
    </row>
    <row r="3594" spans="1:3">
      <c r="A3594">
        <v>42</v>
      </c>
      <c r="B3594">
        <v>10</v>
      </c>
      <c r="C3594" t="str">
        <f>VLOOKUP(A3594,'Programas y Unidades'!$A:$B,2,0)</f>
        <v>Medicina</v>
      </c>
    </row>
    <row r="3595" spans="1:3">
      <c r="A3595">
        <v>42</v>
      </c>
      <c r="B3595">
        <v>10</v>
      </c>
      <c r="C3595" t="str">
        <f>VLOOKUP(A3595,'Programas y Unidades'!$A:$B,2,0)</f>
        <v>Medicina</v>
      </c>
    </row>
    <row r="3596" spans="1:3">
      <c r="A3596">
        <v>42</v>
      </c>
      <c r="B3596">
        <v>10</v>
      </c>
      <c r="C3596" t="str">
        <f>VLOOKUP(A3596,'Programas y Unidades'!$A:$B,2,0)</f>
        <v>Medicina</v>
      </c>
    </row>
    <row r="3597" spans="1:3">
      <c r="A3597">
        <v>42</v>
      </c>
      <c r="B3597">
        <v>10</v>
      </c>
      <c r="C3597" t="str">
        <f>VLOOKUP(A3597,'Programas y Unidades'!$A:$B,2,0)</f>
        <v>Medicina</v>
      </c>
    </row>
    <row r="3598" spans="1:3">
      <c r="A3598">
        <v>42</v>
      </c>
      <c r="B3598">
        <v>10</v>
      </c>
      <c r="C3598" t="str">
        <f>VLOOKUP(A3598,'Programas y Unidades'!$A:$B,2,0)</f>
        <v>Medicina</v>
      </c>
    </row>
    <row r="3599" spans="1:3">
      <c r="A3599">
        <v>42</v>
      </c>
      <c r="B3599">
        <v>10</v>
      </c>
      <c r="C3599" t="str">
        <f>VLOOKUP(A3599,'Programas y Unidades'!$A:$B,2,0)</f>
        <v>Medicina</v>
      </c>
    </row>
    <row r="3600" spans="1:3">
      <c r="A3600">
        <v>42</v>
      </c>
      <c r="B3600">
        <v>10</v>
      </c>
      <c r="C3600" t="str">
        <f>VLOOKUP(A3600,'Programas y Unidades'!$A:$B,2,0)</f>
        <v>Medicina</v>
      </c>
    </row>
    <row r="3601" spans="1:3">
      <c r="A3601">
        <v>42</v>
      </c>
      <c r="B3601">
        <v>10</v>
      </c>
      <c r="C3601" t="str">
        <f>VLOOKUP(A3601,'Programas y Unidades'!$A:$B,2,0)</f>
        <v>Medicina</v>
      </c>
    </row>
    <row r="3602" spans="1:3">
      <c r="A3602">
        <v>42</v>
      </c>
      <c r="B3602">
        <v>10</v>
      </c>
      <c r="C3602" t="str">
        <f>VLOOKUP(A3602,'Programas y Unidades'!$A:$B,2,0)</f>
        <v>Medicina</v>
      </c>
    </row>
    <row r="3603" spans="1:3">
      <c r="A3603">
        <v>42</v>
      </c>
      <c r="B3603">
        <v>10</v>
      </c>
      <c r="C3603" t="str">
        <f>VLOOKUP(A3603,'Programas y Unidades'!$A:$B,2,0)</f>
        <v>Medicina</v>
      </c>
    </row>
    <row r="3604" spans="1:3">
      <c r="A3604">
        <v>42</v>
      </c>
      <c r="B3604">
        <v>10</v>
      </c>
      <c r="C3604" t="str">
        <f>VLOOKUP(A3604,'Programas y Unidades'!$A:$B,2,0)</f>
        <v>Medicina</v>
      </c>
    </row>
    <row r="3605" spans="1:3">
      <c r="A3605">
        <v>42</v>
      </c>
      <c r="B3605">
        <v>10</v>
      </c>
      <c r="C3605" t="str">
        <f>VLOOKUP(A3605,'Programas y Unidades'!$A:$B,2,0)</f>
        <v>Medicina</v>
      </c>
    </row>
    <row r="3606" spans="1:3">
      <c r="A3606">
        <v>42</v>
      </c>
      <c r="B3606">
        <v>10</v>
      </c>
      <c r="C3606" t="str">
        <f>VLOOKUP(A3606,'Programas y Unidades'!$A:$B,2,0)</f>
        <v>Medicina</v>
      </c>
    </row>
    <row r="3607" spans="1:3">
      <c r="A3607">
        <v>42</v>
      </c>
      <c r="B3607">
        <v>10</v>
      </c>
      <c r="C3607" t="str">
        <f>VLOOKUP(A3607,'Programas y Unidades'!$A:$B,2,0)</f>
        <v>Medicina</v>
      </c>
    </row>
    <row r="3608" spans="1:3">
      <c r="A3608">
        <v>42</v>
      </c>
      <c r="B3608">
        <v>10</v>
      </c>
      <c r="C3608" t="str">
        <f>VLOOKUP(A3608,'Programas y Unidades'!$A:$B,2,0)</f>
        <v>Medicina</v>
      </c>
    </row>
    <row r="3609" spans="1:3">
      <c r="A3609">
        <v>42</v>
      </c>
      <c r="B3609">
        <v>10</v>
      </c>
      <c r="C3609" t="str">
        <f>VLOOKUP(A3609,'Programas y Unidades'!$A:$B,2,0)</f>
        <v>Medicina</v>
      </c>
    </row>
    <row r="3610" spans="1:3">
      <c r="A3610">
        <v>42</v>
      </c>
      <c r="B3610">
        <v>10</v>
      </c>
      <c r="C3610" t="str">
        <f>VLOOKUP(A3610,'Programas y Unidades'!$A:$B,2,0)</f>
        <v>Medicina</v>
      </c>
    </row>
    <row r="3611" spans="1:3">
      <c r="A3611">
        <v>42</v>
      </c>
      <c r="B3611">
        <v>10</v>
      </c>
      <c r="C3611" t="str">
        <f>VLOOKUP(A3611,'Programas y Unidades'!$A:$B,2,0)</f>
        <v>Medicina</v>
      </c>
    </row>
    <row r="3612" spans="1:3">
      <c r="A3612">
        <v>42</v>
      </c>
      <c r="B3612">
        <v>10</v>
      </c>
      <c r="C3612" t="str">
        <f>VLOOKUP(A3612,'Programas y Unidades'!$A:$B,2,0)</f>
        <v>Medicina</v>
      </c>
    </row>
    <row r="3613" spans="1:3">
      <c r="A3613">
        <v>42</v>
      </c>
      <c r="B3613">
        <v>10</v>
      </c>
      <c r="C3613" t="str">
        <f>VLOOKUP(A3613,'Programas y Unidades'!$A:$B,2,0)</f>
        <v>Medicina</v>
      </c>
    </row>
    <row r="3614" spans="1:3">
      <c r="A3614">
        <v>42</v>
      </c>
      <c r="B3614">
        <v>10</v>
      </c>
      <c r="C3614" t="str">
        <f>VLOOKUP(A3614,'Programas y Unidades'!$A:$B,2,0)</f>
        <v>Medicina</v>
      </c>
    </row>
    <row r="3615" spans="1:3">
      <c r="A3615">
        <v>42</v>
      </c>
      <c r="B3615">
        <v>10</v>
      </c>
      <c r="C3615" t="str">
        <f>VLOOKUP(A3615,'Programas y Unidades'!$A:$B,2,0)</f>
        <v>Medicina</v>
      </c>
    </row>
    <row r="3616" spans="1:3">
      <c r="A3616">
        <v>42</v>
      </c>
      <c r="B3616">
        <v>10</v>
      </c>
      <c r="C3616" t="str">
        <f>VLOOKUP(A3616,'Programas y Unidades'!$A:$B,2,0)</f>
        <v>Medicina</v>
      </c>
    </row>
    <row r="3617" spans="1:3">
      <c r="A3617">
        <v>42</v>
      </c>
      <c r="B3617">
        <v>10</v>
      </c>
      <c r="C3617" t="str">
        <f>VLOOKUP(A3617,'Programas y Unidades'!$A:$B,2,0)</f>
        <v>Medicina</v>
      </c>
    </row>
    <row r="3618" spans="1:3">
      <c r="A3618">
        <v>42</v>
      </c>
      <c r="B3618">
        <v>10</v>
      </c>
      <c r="C3618" t="str">
        <f>VLOOKUP(A3618,'Programas y Unidades'!$A:$B,2,0)</f>
        <v>Medicina</v>
      </c>
    </row>
    <row r="3619" spans="1:3">
      <c r="A3619">
        <v>42</v>
      </c>
      <c r="B3619">
        <v>10</v>
      </c>
      <c r="C3619" t="str">
        <f>VLOOKUP(A3619,'Programas y Unidades'!$A:$B,2,0)</f>
        <v>Medicina</v>
      </c>
    </row>
    <row r="3620" spans="1:3">
      <c r="A3620">
        <v>42</v>
      </c>
      <c r="B3620">
        <v>10</v>
      </c>
      <c r="C3620" t="str">
        <f>VLOOKUP(A3620,'Programas y Unidades'!$A:$B,2,0)</f>
        <v>Medicina</v>
      </c>
    </row>
    <row r="3621" spans="1:3">
      <c r="A3621">
        <v>42</v>
      </c>
      <c r="B3621">
        <v>10</v>
      </c>
      <c r="C3621" t="str">
        <f>VLOOKUP(A3621,'Programas y Unidades'!$A:$B,2,0)</f>
        <v>Medicina</v>
      </c>
    </row>
    <row r="3622" spans="1:3">
      <c r="A3622">
        <v>42</v>
      </c>
      <c r="B3622">
        <v>10</v>
      </c>
      <c r="C3622" t="str">
        <f>VLOOKUP(A3622,'Programas y Unidades'!$A:$B,2,0)</f>
        <v>Medicina</v>
      </c>
    </row>
    <row r="3623" spans="1:3">
      <c r="A3623">
        <v>42</v>
      </c>
      <c r="B3623">
        <v>10</v>
      </c>
      <c r="C3623" t="str">
        <f>VLOOKUP(A3623,'Programas y Unidades'!$A:$B,2,0)</f>
        <v>Medicina</v>
      </c>
    </row>
    <row r="3624" spans="1:3">
      <c r="A3624">
        <v>24</v>
      </c>
      <c r="B3624">
        <v>5</v>
      </c>
      <c r="C3624" t="str">
        <f>VLOOKUP(A3624,'Programas y Unidades'!$A:$B,2,0)</f>
        <v>Economía y Finanzas Internacionales</v>
      </c>
    </row>
    <row r="3625" spans="1:3">
      <c r="A3625">
        <v>24</v>
      </c>
      <c r="B3625">
        <v>5</v>
      </c>
      <c r="C3625" t="str">
        <f>VLOOKUP(A3625,'Programas y Unidades'!$A:$B,2,0)</f>
        <v>Economía y Finanzas Internacionales</v>
      </c>
    </row>
    <row r="3626" spans="1:3">
      <c r="A3626">
        <v>24</v>
      </c>
      <c r="B3626">
        <v>5</v>
      </c>
      <c r="C3626" t="str">
        <f>VLOOKUP(A3626,'Programas y Unidades'!$A:$B,2,0)</f>
        <v>Economía y Finanzas Internacionales</v>
      </c>
    </row>
    <row r="3627" spans="1:3">
      <c r="A3627">
        <v>24</v>
      </c>
      <c r="B3627">
        <v>5</v>
      </c>
      <c r="C3627" t="str">
        <f>VLOOKUP(A3627,'Programas y Unidades'!$A:$B,2,0)</f>
        <v>Economía y Finanzas Internacionales</v>
      </c>
    </row>
    <row r="3628" spans="1:3">
      <c r="A3628">
        <v>24</v>
      </c>
      <c r="B3628">
        <v>5</v>
      </c>
      <c r="C3628" t="str">
        <f>VLOOKUP(A3628,'Programas y Unidades'!$A:$B,2,0)</f>
        <v>Economía y Finanzas Internacionales</v>
      </c>
    </row>
    <row r="3629" spans="1:3">
      <c r="A3629">
        <v>24</v>
      </c>
      <c r="B3629">
        <v>5</v>
      </c>
      <c r="C3629" t="str">
        <f>VLOOKUP(A3629,'Programas y Unidades'!$A:$B,2,0)</f>
        <v>Economía y Finanzas Internacionales</v>
      </c>
    </row>
    <row r="3630" spans="1:3">
      <c r="A3630">
        <v>24</v>
      </c>
      <c r="B3630">
        <v>6</v>
      </c>
      <c r="C3630" t="str">
        <f>VLOOKUP(A3630,'Programas y Unidades'!$A:$B,2,0)</f>
        <v>Economía y Finanzas Internacionales</v>
      </c>
    </row>
    <row r="3631" spans="1:3">
      <c r="A3631">
        <v>24</v>
      </c>
      <c r="B3631">
        <v>5</v>
      </c>
      <c r="C3631" t="str">
        <f>VLOOKUP(A3631,'Programas y Unidades'!$A:$B,2,0)</f>
        <v>Economía y Finanzas Internacionales</v>
      </c>
    </row>
    <row r="3632" spans="1:3">
      <c r="A3632">
        <v>24</v>
      </c>
      <c r="B3632">
        <v>5</v>
      </c>
      <c r="C3632" t="str">
        <f>VLOOKUP(A3632,'Programas y Unidades'!$A:$B,2,0)</f>
        <v>Economía y Finanzas Internacionales</v>
      </c>
    </row>
    <row r="3633" spans="1:3">
      <c r="A3633">
        <v>24</v>
      </c>
      <c r="B3633">
        <v>6</v>
      </c>
      <c r="C3633" t="str">
        <f>VLOOKUP(A3633,'Programas y Unidades'!$A:$B,2,0)</f>
        <v>Economía y Finanzas Internacionales</v>
      </c>
    </row>
    <row r="3634" spans="1:3">
      <c r="A3634">
        <v>24</v>
      </c>
      <c r="B3634">
        <v>5</v>
      </c>
      <c r="C3634" t="str">
        <f>VLOOKUP(A3634,'Programas y Unidades'!$A:$B,2,0)</f>
        <v>Economía y Finanzas Internacionales</v>
      </c>
    </row>
    <row r="3635" spans="1:3">
      <c r="A3635">
        <v>24</v>
      </c>
      <c r="B3635">
        <v>6</v>
      </c>
      <c r="C3635" t="str">
        <f>VLOOKUP(A3635,'Programas y Unidades'!$A:$B,2,0)</f>
        <v>Economía y Finanzas Internacionales</v>
      </c>
    </row>
    <row r="3636" spans="1:3">
      <c r="A3636">
        <v>24</v>
      </c>
      <c r="B3636">
        <v>6</v>
      </c>
      <c r="C3636" t="str">
        <f>VLOOKUP(A3636,'Programas y Unidades'!$A:$B,2,0)</f>
        <v>Economía y Finanzas Internacionales</v>
      </c>
    </row>
    <row r="3637" spans="1:3">
      <c r="A3637">
        <v>24</v>
      </c>
      <c r="B3637">
        <v>5</v>
      </c>
      <c r="C3637" t="str">
        <f>VLOOKUP(A3637,'Programas y Unidades'!$A:$B,2,0)</f>
        <v>Economía y Finanzas Internacionales</v>
      </c>
    </row>
    <row r="3638" spans="1:3">
      <c r="A3638">
        <v>24</v>
      </c>
      <c r="B3638">
        <v>6</v>
      </c>
      <c r="C3638" t="str">
        <f>VLOOKUP(A3638,'Programas y Unidades'!$A:$B,2,0)</f>
        <v>Economía y Finanzas Internacionales</v>
      </c>
    </row>
    <row r="3639" spans="1:3">
      <c r="A3639">
        <v>21</v>
      </c>
      <c r="B3639">
        <v>4</v>
      </c>
      <c r="C3639" t="str">
        <f>VLOOKUP(A3639,'Programas y Unidades'!$A:$B,2,0)</f>
        <v>Administración de Empresas</v>
      </c>
    </row>
    <row r="3640" spans="1:3">
      <c r="A3640">
        <v>20</v>
      </c>
      <c r="B3640">
        <v>8</v>
      </c>
      <c r="C3640" t="str">
        <f>VLOOKUP(A3640,'Programas y Unidades'!$A:$B,2,0)</f>
        <v>Administración &amp; Servicio</v>
      </c>
    </row>
    <row r="3641" spans="1:3">
      <c r="A3641">
        <v>20</v>
      </c>
      <c r="B3641">
        <v>6</v>
      </c>
      <c r="C3641" t="str">
        <f>VLOOKUP(A3641,'Programas y Unidades'!$A:$B,2,0)</f>
        <v>Administración &amp; Servicio</v>
      </c>
    </row>
    <row r="3642" spans="1:3">
      <c r="A3642">
        <v>38</v>
      </c>
      <c r="B3642">
        <v>6</v>
      </c>
      <c r="C3642" t="str">
        <f>VLOOKUP(A3642,'Programas y Unidades'!$A:$B,2,0)</f>
        <v>Ingeniería Industrial</v>
      </c>
    </row>
    <row r="3643" spans="1:3">
      <c r="A3643">
        <v>38</v>
      </c>
      <c r="B3643">
        <v>6</v>
      </c>
      <c r="C3643" t="str">
        <f>VLOOKUP(A3643,'Programas y Unidades'!$A:$B,2,0)</f>
        <v>Ingeniería Industrial</v>
      </c>
    </row>
    <row r="3644" spans="1:3">
      <c r="A3644">
        <v>38</v>
      </c>
      <c r="B3644">
        <v>5</v>
      </c>
      <c r="C3644" t="str">
        <f>VLOOKUP(A3644,'Programas y Unidades'!$A:$B,2,0)</f>
        <v>Ingeniería Industrial</v>
      </c>
    </row>
    <row r="3645" spans="1:3">
      <c r="A3645">
        <v>38</v>
      </c>
      <c r="B3645">
        <v>6</v>
      </c>
      <c r="C3645" t="str">
        <f>VLOOKUP(A3645,'Programas y Unidades'!$A:$B,2,0)</f>
        <v>Ingeniería Industrial</v>
      </c>
    </row>
    <row r="3646" spans="1:3">
      <c r="A3646">
        <v>38</v>
      </c>
      <c r="B3646">
        <v>6</v>
      </c>
      <c r="C3646" t="str">
        <f>VLOOKUP(A3646,'Programas y Unidades'!$A:$B,2,0)</f>
        <v>Ingeniería Industrial</v>
      </c>
    </row>
    <row r="3647" spans="1:3">
      <c r="A3647">
        <v>38</v>
      </c>
      <c r="B3647">
        <v>5</v>
      </c>
      <c r="C3647" t="str">
        <f>VLOOKUP(A3647,'Programas y Unidades'!$A:$B,2,0)</f>
        <v>Ingeniería Industrial</v>
      </c>
    </row>
    <row r="3648" spans="1:3">
      <c r="A3648">
        <v>39</v>
      </c>
      <c r="B3648">
        <v>3</v>
      </c>
      <c r="C3648" t="str">
        <f>VLOOKUP(A3648,'Programas y Unidades'!$A:$B,2,0)</f>
        <v>Ingeniería Informática</v>
      </c>
    </row>
    <row r="3649" spans="1:3">
      <c r="A3649">
        <v>38</v>
      </c>
      <c r="B3649">
        <v>5</v>
      </c>
      <c r="C3649" t="str">
        <f>VLOOKUP(A3649,'Programas y Unidades'!$A:$B,2,0)</f>
        <v>Ingeniería Industrial</v>
      </c>
    </row>
    <row r="3650" spans="1:3">
      <c r="A3650">
        <v>38</v>
      </c>
      <c r="B3650">
        <v>6</v>
      </c>
      <c r="C3650" t="str">
        <f>VLOOKUP(A3650,'Programas y Unidades'!$A:$B,2,0)</f>
        <v>Ingeniería Industrial</v>
      </c>
    </row>
    <row r="3651" spans="1:3">
      <c r="A3651">
        <v>38</v>
      </c>
      <c r="B3651">
        <v>7</v>
      </c>
      <c r="C3651" t="str">
        <f>VLOOKUP(A3651,'Programas y Unidades'!$A:$B,2,0)</f>
        <v>Ingeniería Industrial</v>
      </c>
    </row>
    <row r="3652" spans="1:3">
      <c r="A3652">
        <v>21</v>
      </c>
      <c r="B3652">
        <v>3</v>
      </c>
      <c r="C3652" t="str">
        <f>VLOOKUP(A3652,'Programas y Unidades'!$A:$B,2,0)</f>
        <v>Administración de Empresas</v>
      </c>
    </row>
    <row r="3653" spans="1:3">
      <c r="A3653">
        <v>21</v>
      </c>
      <c r="B3653">
        <v>4</v>
      </c>
      <c r="C3653" t="str">
        <f>VLOOKUP(A3653,'Programas y Unidades'!$A:$B,2,0)</f>
        <v>Administración de Empresas</v>
      </c>
    </row>
    <row r="3654" spans="1:3">
      <c r="A3654">
        <v>21</v>
      </c>
      <c r="B3654">
        <v>4</v>
      </c>
      <c r="C3654" t="str">
        <f>VLOOKUP(A3654,'Programas y Unidades'!$A:$B,2,0)</f>
        <v>Administración de Empresas</v>
      </c>
    </row>
    <row r="3655" spans="1:3">
      <c r="A3655">
        <v>21</v>
      </c>
      <c r="B3655">
        <v>3</v>
      </c>
      <c r="C3655" t="str">
        <f>VLOOKUP(A3655,'Programas y Unidades'!$A:$B,2,0)</f>
        <v>Administración de Empresas</v>
      </c>
    </row>
    <row r="3656" spans="1:3">
      <c r="A3656">
        <v>21</v>
      </c>
      <c r="B3656">
        <v>3</v>
      </c>
      <c r="C3656" t="str">
        <f>VLOOKUP(A3656,'Programas y Unidades'!$A:$B,2,0)</f>
        <v>Administración de Empresas</v>
      </c>
    </row>
    <row r="3657" spans="1:3">
      <c r="A3657">
        <v>21</v>
      </c>
      <c r="B3657">
        <v>3</v>
      </c>
      <c r="C3657" t="str">
        <f>VLOOKUP(A3657,'Programas y Unidades'!$A:$B,2,0)</f>
        <v>Administración de Empresas</v>
      </c>
    </row>
    <row r="3658" spans="1:3">
      <c r="A3658">
        <v>20</v>
      </c>
      <c r="B3658">
        <v>5</v>
      </c>
      <c r="C3658" t="str">
        <f>VLOOKUP(A3658,'Programas y Unidades'!$A:$B,2,0)</f>
        <v>Administración &amp; Servicio</v>
      </c>
    </row>
    <row r="3659" spans="1:3">
      <c r="A3659">
        <v>25</v>
      </c>
      <c r="B3659">
        <v>6</v>
      </c>
      <c r="C3659" t="str">
        <f>VLOOKUP(A3659,'Programas y Unidades'!$A:$B,2,0)</f>
        <v>Gastronomía</v>
      </c>
    </row>
    <row r="3660" spans="1:3">
      <c r="A3660">
        <v>25</v>
      </c>
      <c r="B3660">
        <v>4</v>
      </c>
      <c r="C3660" t="str">
        <f>VLOOKUP(A3660,'Programas y Unidades'!$A:$B,2,0)</f>
        <v>Gastronomía</v>
      </c>
    </row>
    <row r="3661" spans="1:3">
      <c r="A3661">
        <v>25</v>
      </c>
      <c r="B3661">
        <v>5</v>
      </c>
      <c r="C3661" t="str">
        <f>VLOOKUP(A3661,'Programas y Unidades'!$A:$B,2,0)</f>
        <v>Gastronomía</v>
      </c>
    </row>
    <row r="3662" spans="1:3">
      <c r="A3662">
        <v>25</v>
      </c>
      <c r="B3662">
        <v>4</v>
      </c>
      <c r="C3662" t="str">
        <f>VLOOKUP(A3662,'Programas y Unidades'!$A:$B,2,0)</f>
        <v>Gastronomía</v>
      </c>
    </row>
    <row r="3663" spans="1:3">
      <c r="A3663">
        <v>25</v>
      </c>
      <c r="B3663">
        <v>5</v>
      </c>
      <c r="C3663" t="str">
        <f>VLOOKUP(A3663,'Programas y Unidades'!$A:$B,2,0)</f>
        <v>Gastronomía</v>
      </c>
    </row>
    <row r="3664" spans="1:3">
      <c r="A3664">
        <v>25</v>
      </c>
      <c r="B3664">
        <v>4</v>
      </c>
      <c r="C3664" t="str">
        <f>VLOOKUP(A3664,'Programas y Unidades'!$A:$B,2,0)</f>
        <v>Gastronomía</v>
      </c>
    </row>
    <row r="3665" spans="1:3">
      <c r="A3665">
        <v>43</v>
      </c>
      <c r="B3665">
        <v>4</v>
      </c>
      <c r="C3665" t="str">
        <f>VLOOKUP(A3665,'Programas y Unidades'!$A:$B,2,0)</f>
        <v>Psicología</v>
      </c>
    </row>
    <row r="3666" spans="1:3">
      <c r="A3666">
        <v>43</v>
      </c>
      <c r="B3666">
        <v>4</v>
      </c>
      <c r="C3666" t="str">
        <f>VLOOKUP(A3666,'Programas y Unidades'!$A:$B,2,0)</f>
        <v>Psicología</v>
      </c>
    </row>
    <row r="3667" spans="1:3">
      <c r="A3667">
        <v>43</v>
      </c>
      <c r="B3667">
        <v>4</v>
      </c>
      <c r="C3667" t="str">
        <f>VLOOKUP(A3667,'Programas y Unidades'!$A:$B,2,0)</f>
        <v>Psicología</v>
      </c>
    </row>
    <row r="3668" spans="1:3">
      <c r="A3668">
        <v>43</v>
      </c>
      <c r="B3668">
        <v>4</v>
      </c>
      <c r="C3668" t="str">
        <f>VLOOKUP(A3668,'Programas y Unidades'!$A:$B,2,0)</f>
        <v>Psicología</v>
      </c>
    </row>
    <row r="3669" spans="1:3">
      <c r="A3669">
        <v>43</v>
      </c>
      <c r="B3669">
        <v>5</v>
      </c>
      <c r="C3669" t="str">
        <f>VLOOKUP(A3669,'Programas y Unidades'!$A:$B,2,0)</f>
        <v>Psicología</v>
      </c>
    </row>
    <row r="3670" spans="1:3">
      <c r="A3670">
        <v>43</v>
      </c>
      <c r="B3670">
        <v>4</v>
      </c>
      <c r="C3670" t="str">
        <f>VLOOKUP(A3670,'Programas y Unidades'!$A:$B,2,0)</f>
        <v>Psicología</v>
      </c>
    </row>
    <row r="3671" spans="1:3">
      <c r="A3671">
        <v>43</v>
      </c>
      <c r="B3671">
        <v>4</v>
      </c>
      <c r="C3671" t="str">
        <f>VLOOKUP(A3671,'Programas y Unidades'!$A:$B,2,0)</f>
        <v>Psicología</v>
      </c>
    </row>
    <row r="3672" spans="1:3">
      <c r="A3672">
        <v>43</v>
      </c>
      <c r="B3672">
        <v>4</v>
      </c>
      <c r="C3672" t="str">
        <f>VLOOKUP(A3672,'Programas y Unidades'!$A:$B,2,0)</f>
        <v>Psicología</v>
      </c>
    </row>
    <row r="3673" spans="1:3">
      <c r="A3673">
        <v>43</v>
      </c>
      <c r="B3673">
        <v>4</v>
      </c>
      <c r="C3673" t="str">
        <f>VLOOKUP(A3673,'Programas y Unidades'!$A:$B,2,0)</f>
        <v>Psicología</v>
      </c>
    </row>
    <row r="3674" spans="1:3">
      <c r="A3674">
        <v>43</v>
      </c>
      <c r="B3674">
        <v>4</v>
      </c>
      <c r="C3674" t="str">
        <f>VLOOKUP(A3674,'Programas y Unidades'!$A:$B,2,0)</f>
        <v>Psicología</v>
      </c>
    </row>
    <row r="3675" spans="1:3">
      <c r="A3675">
        <v>43</v>
      </c>
      <c r="B3675">
        <v>4</v>
      </c>
      <c r="C3675" t="str">
        <f>VLOOKUP(A3675,'Programas y Unidades'!$A:$B,2,0)</f>
        <v>Psicología</v>
      </c>
    </row>
    <row r="3676" spans="1:3">
      <c r="A3676">
        <v>43</v>
      </c>
      <c r="B3676">
        <v>4</v>
      </c>
      <c r="C3676" t="str">
        <f>VLOOKUP(A3676,'Programas y Unidades'!$A:$B,2,0)</f>
        <v>Psicología</v>
      </c>
    </row>
    <row r="3677" spans="1:3">
      <c r="A3677">
        <v>43</v>
      </c>
      <c r="B3677">
        <v>4</v>
      </c>
      <c r="C3677" t="str">
        <f>VLOOKUP(A3677,'Programas y Unidades'!$A:$B,2,0)</f>
        <v>Psicología</v>
      </c>
    </row>
    <row r="3678" spans="1:3">
      <c r="A3678">
        <v>43</v>
      </c>
      <c r="B3678">
        <v>4</v>
      </c>
      <c r="C3678" t="str">
        <f>VLOOKUP(A3678,'Programas y Unidades'!$A:$B,2,0)</f>
        <v>Psicología</v>
      </c>
    </row>
    <row r="3679" spans="1:3">
      <c r="A3679">
        <v>43</v>
      </c>
      <c r="B3679">
        <v>4</v>
      </c>
      <c r="C3679" t="str">
        <f>VLOOKUP(A3679,'Programas y Unidades'!$A:$B,2,0)</f>
        <v>Psicología</v>
      </c>
    </row>
    <row r="3680" spans="1:3">
      <c r="A3680">
        <v>43</v>
      </c>
      <c r="B3680">
        <v>4</v>
      </c>
      <c r="C3680" t="str">
        <f>VLOOKUP(A3680,'Programas y Unidades'!$A:$B,2,0)</f>
        <v>Psicología</v>
      </c>
    </row>
    <row r="3681" spans="1:3">
      <c r="A3681">
        <v>43</v>
      </c>
      <c r="B3681">
        <v>4</v>
      </c>
      <c r="C3681" t="str">
        <f>VLOOKUP(A3681,'Programas y Unidades'!$A:$B,2,0)</f>
        <v>Psicología</v>
      </c>
    </row>
    <row r="3682" spans="1:3">
      <c r="A3682">
        <v>43</v>
      </c>
      <c r="B3682">
        <v>4</v>
      </c>
      <c r="C3682" t="str">
        <f>VLOOKUP(A3682,'Programas y Unidades'!$A:$B,2,0)</f>
        <v>Psicología</v>
      </c>
    </row>
    <row r="3683" spans="1:3">
      <c r="A3683">
        <v>43</v>
      </c>
      <c r="B3683">
        <v>4</v>
      </c>
      <c r="C3683" t="str">
        <f>VLOOKUP(A3683,'Programas y Unidades'!$A:$B,2,0)</f>
        <v>Psicología</v>
      </c>
    </row>
    <row r="3684" spans="1:3">
      <c r="A3684">
        <v>20</v>
      </c>
      <c r="B3684">
        <v>8</v>
      </c>
      <c r="C3684" t="str">
        <f>VLOOKUP(A3684,'Programas y Unidades'!$A:$B,2,0)</f>
        <v>Administración &amp; Servicio</v>
      </c>
    </row>
    <row r="3685" spans="1:3">
      <c r="A3685">
        <v>20</v>
      </c>
      <c r="B3685">
        <v>8</v>
      </c>
      <c r="C3685" t="str">
        <f>VLOOKUP(A3685,'Programas y Unidades'!$A:$B,2,0)</f>
        <v>Administración &amp; Servicio</v>
      </c>
    </row>
    <row r="3686" spans="1:3">
      <c r="A3686">
        <v>20</v>
      </c>
      <c r="B3686">
        <v>8</v>
      </c>
      <c r="C3686" t="str">
        <f>VLOOKUP(A3686,'Programas y Unidades'!$A:$B,2,0)</f>
        <v>Administración &amp; Servicio</v>
      </c>
    </row>
    <row r="3687" spans="1:3">
      <c r="A3687">
        <v>20</v>
      </c>
      <c r="B3687">
        <v>8</v>
      </c>
      <c r="C3687" t="str">
        <f>VLOOKUP(A3687,'Programas y Unidades'!$A:$B,2,0)</f>
        <v>Administración &amp; Servicio</v>
      </c>
    </row>
    <row r="3688" spans="1:3">
      <c r="A3688">
        <v>20</v>
      </c>
      <c r="B3688">
        <v>8</v>
      </c>
      <c r="C3688" t="str">
        <f>VLOOKUP(A3688,'Programas y Unidades'!$A:$B,2,0)</f>
        <v>Administración &amp; Servicio</v>
      </c>
    </row>
    <row r="3689" spans="1:3">
      <c r="A3689">
        <v>20</v>
      </c>
      <c r="B3689">
        <v>8</v>
      </c>
      <c r="C3689" t="str">
        <f>VLOOKUP(A3689,'Programas y Unidades'!$A:$B,2,0)</f>
        <v>Administración &amp; Servicio</v>
      </c>
    </row>
    <row r="3690" spans="1:3">
      <c r="A3690">
        <v>31</v>
      </c>
      <c r="B3690">
        <v>9</v>
      </c>
      <c r="C3690" t="str">
        <f>VLOOKUP(A3690,'Programas y Unidades'!$A:$B,2,0)</f>
        <v>Licenciatura en Ciencias Naturales</v>
      </c>
    </row>
    <row r="3691" spans="1:3">
      <c r="A3691">
        <v>31</v>
      </c>
      <c r="B3691">
        <v>8</v>
      </c>
      <c r="C3691" t="str">
        <f>VLOOKUP(A3691,'Programas y Unidades'!$A:$B,2,0)</f>
        <v>Licenciatura en Ciencias Naturales</v>
      </c>
    </row>
    <row r="3692" spans="1:3">
      <c r="A3692">
        <v>31</v>
      </c>
      <c r="B3692">
        <v>4</v>
      </c>
      <c r="C3692" t="str">
        <f>VLOOKUP(A3692,'Programas y Unidades'!$A:$B,2,0)</f>
        <v>Licenciatura en Ciencias Naturales</v>
      </c>
    </row>
    <row r="3693" spans="1:3">
      <c r="A3693">
        <v>24</v>
      </c>
      <c r="B3693">
        <v>8</v>
      </c>
      <c r="C3693" t="str">
        <f>VLOOKUP(A3693,'Programas y Unidades'!$A:$B,2,0)</f>
        <v>Economía y Finanzas Internacionales</v>
      </c>
    </row>
    <row r="3694" spans="1:3">
      <c r="A3694">
        <v>24</v>
      </c>
      <c r="B3694">
        <v>8</v>
      </c>
      <c r="C3694" t="str">
        <f>VLOOKUP(A3694,'Programas y Unidades'!$A:$B,2,0)</f>
        <v>Economía y Finanzas Internacionales</v>
      </c>
    </row>
    <row r="3695" spans="1:3">
      <c r="A3695">
        <v>24</v>
      </c>
      <c r="B3695">
        <v>8</v>
      </c>
      <c r="C3695" t="str">
        <f>VLOOKUP(A3695,'Programas y Unidades'!$A:$B,2,0)</f>
        <v>Economía y Finanzas Internacionales</v>
      </c>
    </row>
    <row r="3696" spans="1:3">
      <c r="A3696">
        <v>24</v>
      </c>
      <c r="B3696">
        <v>8</v>
      </c>
      <c r="C3696" t="str">
        <f>VLOOKUP(A3696,'Programas y Unidades'!$A:$B,2,0)</f>
        <v>Economía y Finanzas Internacionales</v>
      </c>
    </row>
    <row r="3697" spans="1:3">
      <c r="A3697">
        <v>24</v>
      </c>
      <c r="B3697">
        <v>8</v>
      </c>
      <c r="C3697" t="str">
        <f>VLOOKUP(A3697,'Programas y Unidades'!$A:$B,2,0)</f>
        <v>Economía y Finanzas Internacionales</v>
      </c>
    </row>
    <row r="3698" spans="1:3">
      <c r="A3698">
        <v>24</v>
      </c>
      <c r="B3698">
        <v>7</v>
      </c>
      <c r="C3698" t="str">
        <f>VLOOKUP(A3698,'Programas y Unidades'!$A:$B,2,0)</f>
        <v>Economía y Finanzas Internacionales</v>
      </c>
    </row>
    <row r="3699" spans="1:3">
      <c r="A3699">
        <v>24</v>
      </c>
      <c r="B3699">
        <v>7</v>
      </c>
      <c r="C3699" t="str">
        <f>VLOOKUP(A3699,'Programas y Unidades'!$A:$B,2,0)</f>
        <v>Economía y Finanzas Internacionales</v>
      </c>
    </row>
    <row r="3700" spans="1:3">
      <c r="A3700">
        <v>31</v>
      </c>
      <c r="B3700">
        <v>8</v>
      </c>
      <c r="C3700" t="str">
        <f>VLOOKUP(A3700,'Programas y Unidades'!$A:$B,2,0)</f>
        <v>Licenciatura en Ciencias Naturales</v>
      </c>
    </row>
    <row r="3701" spans="1:3">
      <c r="A3701">
        <v>24</v>
      </c>
      <c r="B3701">
        <v>4</v>
      </c>
      <c r="C3701" t="str">
        <f>VLOOKUP(A3701,'Programas y Unidades'!$A:$B,2,0)</f>
        <v>Economía y Finanzas Internacionales</v>
      </c>
    </row>
    <row r="3702" spans="1:3">
      <c r="A3702">
        <v>24</v>
      </c>
      <c r="B3702">
        <v>4</v>
      </c>
      <c r="C3702" t="str">
        <f>VLOOKUP(A3702,'Programas y Unidades'!$A:$B,2,0)</f>
        <v>Economía y Finanzas Internacionales</v>
      </c>
    </row>
    <row r="3703" spans="1:3">
      <c r="A3703">
        <v>24</v>
      </c>
      <c r="B3703">
        <v>4</v>
      </c>
      <c r="C3703" t="str">
        <f>VLOOKUP(A3703,'Programas y Unidades'!$A:$B,2,0)</f>
        <v>Economía y Finanzas Internacionales</v>
      </c>
    </row>
    <row r="3704" spans="1:3">
      <c r="A3704">
        <v>24</v>
      </c>
      <c r="B3704">
        <v>4</v>
      </c>
      <c r="C3704" t="str">
        <f>VLOOKUP(A3704,'Programas y Unidades'!$A:$B,2,0)</f>
        <v>Economía y Finanzas Internacionales</v>
      </c>
    </row>
    <row r="3705" spans="1:3">
      <c r="A3705">
        <v>24</v>
      </c>
      <c r="B3705">
        <v>4</v>
      </c>
      <c r="C3705" t="str">
        <f>VLOOKUP(A3705,'Programas y Unidades'!$A:$B,2,0)</f>
        <v>Economía y Finanzas Internacionales</v>
      </c>
    </row>
    <row r="3706" spans="1:3">
      <c r="A3706">
        <v>24</v>
      </c>
      <c r="B3706">
        <v>4</v>
      </c>
      <c r="C3706" t="str">
        <f>VLOOKUP(A3706,'Programas y Unidades'!$A:$B,2,0)</f>
        <v>Economía y Finanzas Internacionales</v>
      </c>
    </row>
    <row r="3707" spans="1:3">
      <c r="A3707">
        <v>24</v>
      </c>
      <c r="B3707">
        <v>4</v>
      </c>
      <c r="C3707" t="str">
        <f>VLOOKUP(A3707,'Programas y Unidades'!$A:$B,2,0)</f>
        <v>Economía y Finanzas Internacionales</v>
      </c>
    </row>
    <row r="3708" spans="1:3">
      <c r="A3708">
        <v>24</v>
      </c>
      <c r="B3708">
        <v>4</v>
      </c>
      <c r="C3708" t="str">
        <f>VLOOKUP(A3708,'Programas y Unidades'!$A:$B,2,0)</f>
        <v>Economía y Finanzas Internacionales</v>
      </c>
    </row>
    <row r="3709" spans="1:3">
      <c r="A3709">
        <v>24</v>
      </c>
      <c r="B3709">
        <v>4</v>
      </c>
      <c r="C3709" t="str">
        <f>VLOOKUP(A3709,'Programas y Unidades'!$A:$B,2,0)</f>
        <v>Economía y Finanzas Internacionales</v>
      </c>
    </row>
    <row r="3710" spans="1:3">
      <c r="A3710">
        <v>24</v>
      </c>
      <c r="B3710">
        <v>4</v>
      </c>
      <c r="C3710" t="str">
        <f>VLOOKUP(A3710,'Programas y Unidades'!$A:$B,2,0)</f>
        <v>Economía y Finanzas Internacionales</v>
      </c>
    </row>
    <row r="3711" spans="1:3">
      <c r="A3711">
        <v>24</v>
      </c>
      <c r="B3711">
        <v>4</v>
      </c>
      <c r="C3711" t="str">
        <f>VLOOKUP(A3711,'Programas y Unidades'!$A:$B,2,0)</f>
        <v>Economía y Finanzas Internacionales</v>
      </c>
    </row>
    <row r="3712" spans="1:3">
      <c r="A3712">
        <v>24</v>
      </c>
      <c r="B3712">
        <v>4</v>
      </c>
      <c r="C3712" t="str">
        <f>VLOOKUP(A3712,'Programas y Unidades'!$A:$B,2,0)</f>
        <v>Economía y Finanzas Internacionales</v>
      </c>
    </row>
    <row r="3713" spans="1:3">
      <c r="A3713">
        <v>24</v>
      </c>
      <c r="B3713">
        <v>4</v>
      </c>
      <c r="C3713" t="str">
        <f>VLOOKUP(A3713,'Programas y Unidades'!$A:$B,2,0)</f>
        <v>Economía y Finanzas Internacionales</v>
      </c>
    </row>
    <row r="3714" spans="1:3">
      <c r="A3714">
        <v>31</v>
      </c>
      <c r="B3714">
        <v>8</v>
      </c>
      <c r="C3714" t="str">
        <f>VLOOKUP(A3714,'Programas y Unidades'!$A:$B,2,0)</f>
        <v>Licenciatura en Ciencias Naturales</v>
      </c>
    </row>
    <row r="3715" spans="1:3">
      <c r="A3715">
        <v>42</v>
      </c>
      <c r="B3715">
        <v>6</v>
      </c>
      <c r="C3715" t="str">
        <f>VLOOKUP(A3715,'Programas y Unidades'!$A:$B,2,0)</f>
        <v>Medicina</v>
      </c>
    </row>
    <row r="3716" spans="1:3">
      <c r="A3716">
        <v>42</v>
      </c>
      <c r="B3716">
        <v>6</v>
      </c>
      <c r="C3716" t="str">
        <f>VLOOKUP(A3716,'Programas y Unidades'!$A:$B,2,0)</f>
        <v>Medicina</v>
      </c>
    </row>
    <row r="3717" spans="1:3">
      <c r="A3717">
        <v>42</v>
      </c>
      <c r="B3717">
        <v>6</v>
      </c>
      <c r="C3717" t="str">
        <f>VLOOKUP(A3717,'Programas y Unidades'!$A:$B,2,0)</f>
        <v>Medicina</v>
      </c>
    </row>
    <row r="3718" spans="1:3">
      <c r="A3718">
        <v>42</v>
      </c>
      <c r="B3718">
        <v>6</v>
      </c>
      <c r="C3718" t="str">
        <f>VLOOKUP(A3718,'Programas y Unidades'!$A:$B,2,0)</f>
        <v>Medicina</v>
      </c>
    </row>
    <row r="3719" spans="1:3">
      <c r="A3719">
        <v>42</v>
      </c>
      <c r="B3719">
        <v>6</v>
      </c>
      <c r="C3719" t="str">
        <f>VLOOKUP(A3719,'Programas y Unidades'!$A:$B,2,0)</f>
        <v>Medicina</v>
      </c>
    </row>
    <row r="3720" spans="1:3">
      <c r="A3720">
        <v>42</v>
      </c>
      <c r="B3720">
        <v>6</v>
      </c>
      <c r="C3720" t="str">
        <f>VLOOKUP(A3720,'Programas y Unidades'!$A:$B,2,0)</f>
        <v>Medicina</v>
      </c>
    </row>
    <row r="3721" spans="1:3">
      <c r="A3721">
        <v>42</v>
      </c>
      <c r="B3721">
        <v>6</v>
      </c>
      <c r="C3721" t="str">
        <f>VLOOKUP(A3721,'Programas y Unidades'!$A:$B,2,0)</f>
        <v>Medicina</v>
      </c>
    </row>
    <row r="3722" spans="1:3">
      <c r="A3722">
        <v>42</v>
      </c>
      <c r="B3722">
        <v>6</v>
      </c>
      <c r="C3722" t="str">
        <f>VLOOKUP(A3722,'Programas y Unidades'!$A:$B,2,0)</f>
        <v>Medicina</v>
      </c>
    </row>
    <row r="3723" spans="1:3">
      <c r="A3723">
        <v>42</v>
      </c>
      <c r="B3723">
        <v>6</v>
      </c>
      <c r="C3723" t="str">
        <f>VLOOKUP(A3723,'Programas y Unidades'!$A:$B,2,0)</f>
        <v>Medicina</v>
      </c>
    </row>
    <row r="3724" spans="1:3">
      <c r="A3724">
        <v>42</v>
      </c>
      <c r="B3724">
        <v>6</v>
      </c>
      <c r="C3724" t="str">
        <f>VLOOKUP(A3724,'Programas y Unidades'!$A:$B,2,0)</f>
        <v>Medicina</v>
      </c>
    </row>
    <row r="3725" spans="1:3">
      <c r="A3725">
        <v>42</v>
      </c>
      <c r="B3725">
        <v>6</v>
      </c>
      <c r="C3725" t="str">
        <f>VLOOKUP(A3725,'Programas y Unidades'!$A:$B,2,0)</f>
        <v>Medicina</v>
      </c>
    </row>
    <row r="3726" spans="1:3">
      <c r="A3726">
        <v>42</v>
      </c>
      <c r="B3726">
        <v>6</v>
      </c>
      <c r="C3726" t="str">
        <f>VLOOKUP(A3726,'Programas y Unidades'!$A:$B,2,0)</f>
        <v>Medicina</v>
      </c>
    </row>
    <row r="3727" spans="1:3">
      <c r="A3727">
        <v>42</v>
      </c>
      <c r="B3727">
        <v>6</v>
      </c>
      <c r="C3727" t="str">
        <f>VLOOKUP(A3727,'Programas y Unidades'!$A:$B,2,0)</f>
        <v>Medicina</v>
      </c>
    </row>
    <row r="3728" spans="1:3">
      <c r="A3728">
        <v>42</v>
      </c>
      <c r="B3728">
        <v>6</v>
      </c>
      <c r="C3728" t="str">
        <f>VLOOKUP(A3728,'Programas y Unidades'!$A:$B,2,0)</f>
        <v>Medicina</v>
      </c>
    </row>
    <row r="3729" spans="1:3">
      <c r="A3729">
        <v>42</v>
      </c>
      <c r="B3729">
        <v>6</v>
      </c>
      <c r="C3729" t="str">
        <f>VLOOKUP(A3729,'Programas y Unidades'!$A:$B,2,0)</f>
        <v>Medicina</v>
      </c>
    </row>
    <row r="3730" spans="1:3">
      <c r="A3730">
        <v>42</v>
      </c>
      <c r="B3730">
        <v>6</v>
      </c>
      <c r="C3730" t="str">
        <f>VLOOKUP(A3730,'Programas y Unidades'!$A:$B,2,0)</f>
        <v>Medicina</v>
      </c>
    </row>
    <row r="3731" spans="1:3">
      <c r="A3731">
        <v>42</v>
      </c>
      <c r="B3731">
        <v>6</v>
      </c>
      <c r="C3731" t="str">
        <f>VLOOKUP(A3731,'Programas y Unidades'!$A:$B,2,0)</f>
        <v>Medicina</v>
      </c>
    </row>
    <row r="3732" spans="1:3">
      <c r="A3732">
        <v>42</v>
      </c>
      <c r="B3732">
        <v>6</v>
      </c>
      <c r="C3732" t="str">
        <f>VLOOKUP(A3732,'Programas y Unidades'!$A:$B,2,0)</f>
        <v>Medicina</v>
      </c>
    </row>
    <row r="3733" spans="1:3">
      <c r="A3733">
        <v>42</v>
      </c>
      <c r="B3733">
        <v>6</v>
      </c>
      <c r="C3733" t="str">
        <f>VLOOKUP(A3733,'Programas y Unidades'!$A:$B,2,0)</f>
        <v>Medicina</v>
      </c>
    </row>
    <row r="3734" spans="1:3">
      <c r="A3734">
        <v>42</v>
      </c>
      <c r="B3734">
        <v>6</v>
      </c>
      <c r="C3734" t="str">
        <f>VLOOKUP(A3734,'Programas y Unidades'!$A:$B,2,0)</f>
        <v>Medicina</v>
      </c>
    </row>
    <row r="3735" spans="1:3">
      <c r="A3735">
        <v>42</v>
      </c>
      <c r="B3735">
        <v>6</v>
      </c>
      <c r="C3735" t="str">
        <f>VLOOKUP(A3735,'Programas y Unidades'!$A:$B,2,0)</f>
        <v>Medicina</v>
      </c>
    </row>
    <row r="3736" spans="1:3">
      <c r="A3736">
        <v>42</v>
      </c>
      <c r="B3736">
        <v>6</v>
      </c>
      <c r="C3736" t="str">
        <f>VLOOKUP(A3736,'Programas y Unidades'!$A:$B,2,0)</f>
        <v>Medicina</v>
      </c>
    </row>
    <row r="3737" spans="1:3">
      <c r="A3737">
        <v>42</v>
      </c>
      <c r="B3737">
        <v>6</v>
      </c>
      <c r="C3737" t="str">
        <f>VLOOKUP(A3737,'Programas y Unidades'!$A:$B,2,0)</f>
        <v>Medicina</v>
      </c>
    </row>
    <row r="3738" spans="1:3">
      <c r="A3738">
        <v>42</v>
      </c>
      <c r="B3738">
        <v>6</v>
      </c>
      <c r="C3738" t="str">
        <f>VLOOKUP(A3738,'Programas y Unidades'!$A:$B,2,0)</f>
        <v>Medicina</v>
      </c>
    </row>
    <row r="3739" spans="1:3">
      <c r="A3739">
        <v>42</v>
      </c>
      <c r="B3739">
        <v>6</v>
      </c>
      <c r="C3739" t="str">
        <f>VLOOKUP(A3739,'Programas y Unidades'!$A:$B,2,0)</f>
        <v>Medicina</v>
      </c>
    </row>
    <row r="3740" spans="1:3">
      <c r="A3740">
        <v>42</v>
      </c>
      <c r="B3740">
        <v>6</v>
      </c>
      <c r="C3740" t="str">
        <f>VLOOKUP(A3740,'Programas y Unidades'!$A:$B,2,0)</f>
        <v>Medicina</v>
      </c>
    </row>
    <row r="3741" spans="1:3">
      <c r="A3741">
        <v>42</v>
      </c>
      <c r="B3741">
        <v>6</v>
      </c>
      <c r="C3741" t="str">
        <f>VLOOKUP(A3741,'Programas y Unidades'!$A:$B,2,0)</f>
        <v>Medicina</v>
      </c>
    </row>
    <row r="3742" spans="1:3">
      <c r="A3742">
        <v>42</v>
      </c>
      <c r="B3742">
        <v>6</v>
      </c>
      <c r="C3742" t="str">
        <f>VLOOKUP(A3742,'Programas y Unidades'!$A:$B,2,0)</f>
        <v>Medicina</v>
      </c>
    </row>
    <row r="3743" spans="1:3">
      <c r="A3743">
        <v>42</v>
      </c>
      <c r="B3743">
        <v>6</v>
      </c>
      <c r="C3743" t="str">
        <f>VLOOKUP(A3743,'Programas y Unidades'!$A:$B,2,0)</f>
        <v>Medicina</v>
      </c>
    </row>
    <row r="3744" spans="1:3">
      <c r="A3744">
        <v>42</v>
      </c>
      <c r="B3744">
        <v>6</v>
      </c>
      <c r="C3744" t="str">
        <f>VLOOKUP(A3744,'Programas y Unidades'!$A:$B,2,0)</f>
        <v>Medicina</v>
      </c>
    </row>
    <row r="3745" spans="1:3">
      <c r="A3745">
        <v>42</v>
      </c>
      <c r="B3745">
        <v>6</v>
      </c>
      <c r="C3745" t="str">
        <f>VLOOKUP(A3745,'Programas y Unidades'!$A:$B,2,0)</f>
        <v>Medicina</v>
      </c>
    </row>
    <row r="3746" spans="1:3">
      <c r="A3746">
        <v>42</v>
      </c>
      <c r="B3746">
        <v>6</v>
      </c>
      <c r="C3746" t="str">
        <f>VLOOKUP(A3746,'Programas y Unidades'!$A:$B,2,0)</f>
        <v>Medicina</v>
      </c>
    </row>
    <row r="3747" spans="1:3">
      <c r="A3747">
        <v>42</v>
      </c>
      <c r="B3747">
        <v>6</v>
      </c>
      <c r="C3747" t="str">
        <f>VLOOKUP(A3747,'Programas y Unidades'!$A:$B,2,0)</f>
        <v>Medicina</v>
      </c>
    </row>
    <row r="3748" spans="1:3">
      <c r="A3748">
        <v>42</v>
      </c>
      <c r="B3748">
        <v>6</v>
      </c>
      <c r="C3748" t="str">
        <f>VLOOKUP(A3748,'Programas y Unidades'!$A:$B,2,0)</f>
        <v>Medicina</v>
      </c>
    </row>
    <row r="3749" spans="1:3">
      <c r="A3749">
        <v>42</v>
      </c>
      <c r="B3749">
        <v>6</v>
      </c>
      <c r="C3749" t="str">
        <f>VLOOKUP(A3749,'Programas y Unidades'!$A:$B,2,0)</f>
        <v>Medicina</v>
      </c>
    </row>
    <row r="3750" spans="1:3">
      <c r="A3750">
        <v>42</v>
      </c>
      <c r="B3750">
        <v>6</v>
      </c>
      <c r="C3750" t="str">
        <f>VLOOKUP(A3750,'Programas y Unidades'!$A:$B,2,0)</f>
        <v>Medicina</v>
      </c>
    </row>
    <row r="3751" spans="1:3">
      <c r="A3751">
        <v>42</v>
      </c>
      <c r="B3751">
        <v>6</v>
      </c>
      <c r="C3751" t="str">
        <f>VLOOKUP(A3751,'Programas y Unidades'!$A:$B,2,0)</f>
        <v>Medicina</v>
      </c>
    </row>
    <row r="3752" spans="1:3">
      <c r="A3752">
        <v>42</v>
      </c>
      <c r="B3752">
        <v>6</v>
      </c>
      <c r="C3752" t="str">
        <f>VLOOKUP(A3752,'Programas y Unidades'!$A:$B,2,0)</f>
        <v>Medicina</v>
      </c>
    </row>
    <row r="3753" spans="1:3">
      <c r="A3753">
        <v>42</v>
      </c>
      <c r="B3753">
        <v>6</v>
      </c>
      <c r="C3753" t="str">
        <f>VLOOKUP(A3753,'Programas y Unidades'!$A:$B,2,0)</f>
        <v>Medicina</v>
      </c>
    </row>
    <row r="3754" spans="1:3">
      <c r="A3754">
        <v>42</v>
      </c>
      <c r="B3754">
        <v>6</v>
      </c>
      <c r="C3754" t="str">
        <f>VLOOKUP(A3754,'Programas y Unidades'!$A:$B,2,0)</f>
        <v>Medicina</v>
      </c>
    </row>
    <row r="3755" spans="1:3">
      <c r="A3755">
        <v>42</v>
      </c>
      <c r="B3755">
        <v>6</v>
      </c>
      <c r="C3755" t="str">
        <f>VLOOKUP(A3755,'Programas y Unidades'!$A:$B,2,0)</f>
        <v>Medicina</v>
      </c>
    </row>
    <row r="3756" spans="1:3">
      <c r="A3756">
        <v>42</v>
      </c>
      <c r="B3756">
        <v>6</v>
      </c>
      <c r="C3756" t="str">
        <f>VLOOKUP(A3756,'Programas y Unidades'!$A:$B,2,0)</f>
        <v>Medicina</v>
      </c>
    </row>
    <row r="3757" spans="1:3">
      <c r="A3757">
        <v>42</v>
      </c>
      <c r="B3757">
        <v>6</v>
      </c>
      <c r="C3757" t="str">
        <f>VLOOKUP(A3757,'Programas y Unidades'!$A:$B,2,0)</f>
        <v>Medicina</v>
      </c>
    </row>
    <row r="3758" spans="1:3">
      <c r="A3758">
        <v>42</v>
      </c>
      <c r="B3758">
        <v>6</v>
      </c>
      <c r="C3758" t="str">
        <f>VLOOKUP(A3758,'Programas y Unidades'!$A:$B,2,0)</f>
        <v>Medicina</v>
      </c>
    </row>
    <row r="3759" spans="1:3">
      <c r="A3759">
        <v>42</v>
      </c>
      <c r="B3759">
        <v>6</v>
      </c>
      <c r="C3759" t="str">
        <f>VLOOKUP(A3759,'Programas y Unidades'!$A:$B,2,0)</f>
        <v>Medicina</v>
      </c>
    </row>
    <row r="3760" spans="1:3">
      <c r="A3760">
        <v>42</v>
      </c>
      <c r="B3760">
        <v>6</v>
      </c>
      <c r="C3760" t="str">
        <f>VLOOKUP(A3760,'Programas y Unidades'!$A:$B,2,0)</f>
        <v>Medicina</v>
      </c>
    </row>
    <row r="3761" spans="1:3">
      <c r="A3761">
        <v>42</v>
      </c>
      <c r="B3761">
        <v>6</v>
      </c>
      <c r="C3761" t="str">
        <f>VLOOKUP(A3761,'Programas y Unidades'!$A:$B,2,0)</f>
        <v>Medicina</v>
      </c>
    </row>
    <row r="3762" spans="1:3">
      <c r="A3762">
        <v>42</v>
      </c>
      <c r="B3762">
        <v>6</v>
      </c>
      <c r="C3762" t="str">
        <f>VLOOKUP(A3762,'Programas y Unidades'!$A:$B,2,0)</f>
        <v>Medicina</v>
      </c>
    </row>
    <row r="3763" spans="1:3">
      <c r="A3763">
        <v>42</v>
      </c>
      <c r="B3763">
        <v>6</v>
      </c>
      <c r="C3763" t="str">
        <f>VLOOKUP(A3763,'Programas y Unidades'!$A:$B,2,0)</f>
        <v>Medicina</v>
      </c>
    </row>
    <row r="3764" spans="1:3">
      <c r="A3764">
        <v>42</v>
      </c>
      <c r="B3764">
        <v>6</v>
      </c>
      <c r="C3764" t="str">
        <f>VLOOKUP(A3764,'Programas y Unidades'!$A:$B,2,0)</f>
        <v>Medicina</v>
      </c>
    </row>
    <row r="3765" spans="1:3">
      <c r="A3765">
        <v>42</v>
      </c>
      <c r="B3765">
        <v>6</v>
      </c>
      <c r="C3765" t="str">
        <f>VLOOKUP(A3765,'Programas y Unidades'!$A:$B,2,0)</f>
        <v>Medicina</v>
      </c>
    </row>
    <row r="3766" spans="1:3">
      <c r="A3766">
        <v>42</v>
      </c>
      <c r="B3766">
        <v>6</v>
      </c>
      <c r="C3766" t="str">
        <f>VLOOKUP(A3766,'Programas y Unidades'!$A:$B,2,0)</f>
        <v>Medicina</v>
      </c>
    </row>
    <row r="3767" spans="1:3">
      <c r="A3767">
        <v>25</v>
      </c>
      <c r="B3767">
        <v>8</v>
      </c>
      <c r="C3767" t="str">
        <f>VLOOKUP(A3767,'Programas y Unidades'!$A:$B,2,0)</f>
        <v>Gastronomía</v>
      </c>
    </row>
    <row r="3768" spans="1:3">
      <c r="A3768">
        <v>25</v>
      </c>
      <c r="B3768">
        <v>8</v>
      </c>
      <c r="C3768" t="str">
        <f>VLOOKUP(A3768,'Programas y Unidades'!$A:$B,2,0)</f>
        <v>Gastronomía</v>
      </c>
    </row>
    <row r="3769" spans="1:3">
      <c r="A3769">
        <v>28</v>
      </c>
      <c r="B3769">
        <v>8</v>
      </c>
      <c r="C3769" t="str">
        <f>VLOOKUP(A3769,'Programas y Unidades'!$A:$B,2,0)</f>
        <v>Comunicación Social y Periodismo</v>
      </c>
    </row>
    <row r="3770" spans="1:3">
      <c r="A3770">
        <v>28</v>
      </c>
      <c r="B3770">
        <v>8</v>
      </c>
      <c r="C3770" t="str">
        <f>VLOOKUP(A3770,'Programas y Unidades'!$A:$B,2,0)</f>
        <v>Comunicación Social y Periodismo</v>
      </c>
    </row>
    <row r="3771" spans="1:3">
      <c r="A3771">
        <v>28</v>
      </c>
      <c r="B3771">
        <v>8</v>
      </c>
      <c r="C3771" t="str">
        <f>VLOOKUP(A3771,'Programas y Unidades'!$A:$B,2,0)</f>
        <v>Comunicación Social y Periodismo</v>
      </c>
    </row>
    <row r="3772" spans="1:3">
      <c r="A3772">
        <v>28</v>
      </c>
      <c r="B3772">
        <v>8</v>
      </c>
      <c r="C3772" t="str">
        <f>VLOOKUP(A3772,'Programas y Unidades'!$A:$B,2,0)</f>
        <v>Comunicación Social y Periodismo</v>
      </c>
    </row>
    <row r="3773" spans="1:3">
      <c r="A3773">
        <v>28</v>
      </c>
      <c r="B3773">
        <v>8</v>
      </c>
      <c r="C3773" t="str">
        <f>VLOOKUP(A3773,'Programas y Unidades'!$A:$B,2,0)</f>
        <v>Comunicación Social y Periodismo</v>
      </c>
    </row>
    <row r="3774" spans="1:3">
      <c r="A3774">
        <v>28</v>
      </c>
      <c r="B3774">
        <v>8</v>
      </c>
      <c r="C3774" t="str">
        <f>VLOOKUP(A3774,'Programas y Unidades'!$A:$B,2,0)</f>
        <v>Comunicación Social y Periodismo</v>
      </c>
    </row>
    <row r="3775" spans="1:3">
      <c r="A3775">
        <v>28</v>
      </c>
      <c r="B3775">
        <v>7</v>
      </c>
      <c r="C3775" t="str">
        <f>VLOOKUP(A3775,'Programas y Unidades'!$A:$B,2,0)</f>
        <v>Comunicación Social y Periodismo</v>
      </c>
    </row>
    <row r="3776" spans="1:3">
      <c r="A3776">
        <v>28</v>
      </c>
      <c r="B3776">
        <v>7</v>
      </c>
      <c r="C3776" t="str">
        <f>VLOOKUP(A3776,'Programas y Unidades'!$A:$B,2,0)</f>
        <v>Comunicación Social y Periodismo</v>
      </c>
    </row>
    <row r="3777" spans="1:3">
      <c r="A3777">
        <v>28</v>
      </c>
      <c r="B3777">
        <v>8</v>
      </c>
      <c r="C3777" t="str">
        <f>VLOOKUP(A3777,'Programas y Unidades'!$A:$B,2,0)</f>
        <v>Comunicación Social y Periodismo</v>
      </c>
    </row>
    <row r="3778" spans="1:3">
      <c r="A3778">
        <v>28</v>
      </c>
      <c r="B3778">
        <v>8</v>
      </c>
      <c r="C3778" t="str">
        <f>VLOOKUP(A3778,'Programas y Unidades'!$A:$B,2,0)</f>
        <v>Comunicación Social y Periodismo</v>
      </c>
    </row>
    <row r="3779" spans="1:3">
      <c r="A3779">
        <v>28</v>
      </c>
      <c r="B3779">
        <v>7</v>
      </c>
      <c r="C3779" t="str">
        <f>VLOOKUP(A3779,'Programas y Unidades'!$A:$B,2,0)</f>
        <v>Comunicación Social y Periodismo</v>
      </c>
    </row>
    <row r="3780" spans="1:3">
      <c r="A3780">
        <v>28</v>
      </c>
      <c r="B3780">
        <v>7</v>
      </c>
      <c r="C3780" t="str">
        <f>VLOOKUP(A3780,'Programas y Unidades'!$A:$B,2,0)</f>
        <v>Comunicación Social y Periodismo</v>
      </c>
    </row>
    <row r="3781" spans="1:3">
      <c r="A3781">
        <v>28</v>
      </c>
      <c r="B3781">
        <v>8</v>
      </c>
      <c r="C3781" t="str">
        <f>VLOOKUP(A3781,'Programas y Unidades'!$A:$B,2,0)</f>
        <v>Comunicación Social y Periodismo</v>
      </c>
    </row>
    <row r="3782" spans="1:3">
      <c r="A3782">
        <v>28</v>
      </c>
      <c r="B3782">
        <v>8</v>
      </c>
      <c r="C3782" t="str">
        <f>VLOOKUP(A3782,'Programas y Unidades'!$A:$B,2,0)</f>
        <v>Comunicación Social y Periodismo</v>
      </c>
    </row>
    <row r="3783" spans="1:3">
      <c r="A3783">
        <v>28</v>
      </c>
      <c r="B3783">
        <v>8</v>
      </c>
      <c r="C3783" t="str">
        <f>VLOOKUP(A3783,'Programas y Unidades'!$A:$B,2,0)</f>
        <v>Comunicación Social y Periodismo</v>
      </c>
    </row>
    <row r="3784" spans="1:3">
      <c r="A3784">
        <v>27</v>
      </c>
      <c r="B3784">
        <v>6</v>
      </c>
      <c r="C3784" t="str">
        <f>VLOOKUP(A3784,'Programas y Unidades'!$A:$B,2,0)</f>
        <v>Comunicación Audiovisual y Multimedios</v>
      </c>
    </row>
    <row r="3785" spans="1:3">
      <c r="A3785">
        <v>27</v>
      </c>
      <c r="B3785">
        <v>6</v>
      </c>
      <c r="C3785" t="str">
        <f>VLOOKUP(A3785,'Programas y Unidades'!$A:$B,2,0)</f>
        <v>Comunicación Audiovisual y Multimedios</v>
      </c>
    </row>
    <row r="3786" spans="1:3">
      <c r="A3786">
        <v>27</v>
      </c>
      <c r="B3786">
        <v>6</v>
      </c>
      <c r="C3786" t="str">
        <f>VLOOKUP(A3786,'Programas y Unidades'!$A:$B,2,0)</f>
        <v>Comunicación Audiovisual y Multimedios</v>
      </c>
    </row>
    <row r="3787" spans="1:3">
      <c r="A3787">
        <v>27</v>
      </c>
      <c r="B3787">
        <v>6</v>
      </c>
      <c r="C3787" t="str">
        <f>VLOOKUP(A3787,'Programas y Unidades'!$A:$B,2,0)</f>
        <v>Comunicación Audiovisual y Multimedios</v>
      </c>
    </row>
    <row r="3788" spans="1:3">
      <c r="A3788">
        <v>27</v>
      </c>
      <c r="B3788">
        <v>6</v>
      </c>
      <c r="C3788" t="str">
        <f>VLOOKUP(A3788,'Programas y Unidades'!$A:$B,2,0)</f>
        <v>Comunicación Audiovisual y Multimedios</v>
      </c>
    </row>
    <row r="3789" spans="1:3">
      <c r="A3789">
        <v>27</v>
      </c>
      <c r="B3789">
        <v>6</v>
      </c>
      <c r="C3789" t="str">
        <f>VLOOKUP(A3789,'Programas y Unidades'!$A:$B,2,0)</f>
        <v>Comunicación Audiovisual y Multimedios</v>
      </c>
    </row>
    <row r="3790" spans="1:3">
      <c r="A3790">
        <v>26</v>
      </c>
      <c r="B3790">
        <v>7</v>
      </c>
      <c r="C3790" t="str">
        <f>VLOOKUP(A3790,'Programas y Unidades'!$A:$B,2,0)</f>
        <v>Comunicación Corporativa</v>
      </c>
    </row>
    <row r="3791" spans="1:3">
      <c r="A3791">
        <v>26</v>
      </c>
      <c r="B3791">
        <v>7</v>
      </c>
      <c r="C3791" t="str">
        <f>VLOOKUP(A3791,'Programas y Unidades'!$A:$B,2,0)</f>
        <v>Comunicación Corporativa</v>
      </c>
    </row>
    <row r="3792" spans="1:3">
      <c r="A3792">
        <v>26</v>
      </c>
      <c r="B3792">
        <v>7</v>
      </c>
      <c r="C3792" t="str">
        <f>VLOOKUP(A3792,'Programas y Unidades'!$A:$B,2,0)</f>
        <v>Comunicación Corporativa</v>
      </c>
    </row>
    <row r="3793" spans="1:3">
      <c r="A3793">
        <v>26</v>
      </c>
      <c r="B3793">
        <v>7</v>
      </c>
      <c r="C3793" t="str">
        <f>VLOOKUP(A3793,'Programas y Unidades'!$A:$B,2,0)</f>
        <v>Comunicación Corporativa</v>
      </c>
    </row>
    <row r="3794" spans="1:3">
      <c r="A3794">
        <v>26</v>
      </c>
      <c r="B3794">
        <v>7</v>
      </c>
      <c r="C3794" t="str">
        <f>VLOOKUP(A3794,'Programas y Unidades'!$A:$B,2,0)</f>
        <v>Comunicación Corporativa</v>
      </c>
    </row>
    <row r="3795" spans="1:3">
      <c r="A3795">
        <v>26</v>
      </c>
      <c r="B3795">
        <v>7</v>
      </c>
      <c r="C3795" t="str">
        <f>VLOOKUP(A3795,'Programas y Unidades'!$A:$B,2,0)</f>
        <v>Comunicación Corporativa</v>
      </c>
    </row>
    <row r="3796" spans="1:3">
      <c r="A3796">
        <v>26</v>
      </c>
      <c r="B3796">
        <v>7</v>
      </c>
      <c r="C3796" t="str">
        <f>VLOOKUP(A3796,'Programas y Unidades'!$A:$B,2,0)</f>
        <v>Comunicación Corporativa</v>
      </c>
    </row>
    <row r="3797" spans="1:3">
      <c r="A3797">
        <v>26</v>
      </c>
      <c r="B3797">
        <v>7</v>
      </c>
      <c r="C3797" t="str">
        <f>VLOOKUP(A3797,'Programas y Unidades'!$A:$B,2,0)</f>
        <v>Comunicación Corporativa</v>
      </c>
    </row>
    <row r="3798" spans="1:3">
      <c r="A3798">
        <v>26</v>
      </c>
      <c r="B3798">
        <v>6</v>
      </c>
      <c r="C3798" t="str">
        <f>VLOOKUP(A3798,'Programas y Unidades'!$A:$B,2,0)</f>
        <v>Comunicación Corporativa</v>
      </c>
    </row>
    <row r="3799" spans="1:3">
      <c r="A3799">
        <v>27</v>
      </c>
      <c r="B3799">
        <v>6</v>
      </c>
      <c r="C3799" t="str">
        <f>VLOOKUP(A3799,'Programas y Unidades'!$A:$B,2,0)</f>
        <v>Comunicación Audiovisual y Multimedios</v>
      </c>
    </row>
    <row r="3800" spans="1:3">
      <c r="A3800">
        <v>27</v>
      </c>
      <c r="B3800">
        <v>6</v>
      </c>
      <c r="C3800" t="str">
        <f>VLOOKUP(A3800,'Programas y Unidades'!$A:$B,2,0)</f>
        <v>Comunicación Audiovisual y Multimedios</v>
      </c>
    </row>
    <row r="3801" spans="1:3">
      <c r="A3801">
        <v>27</v>
      </c>
      <c r="B3801">
        <v>6</v>
      </c>
      <c r="C3801" t="str">
        <f>VLOOKUP(A3801,'Programas y Unidades'!$A:$B,2,0)</f>
        <v>Comunicación Audiovisual y Multimedios</v>
      </c>
    </row>
    <row r="3802" spans="1:3">
      <c r="A3802">
        <v>27</v>
      </c>
      <c r="B3802">
        <v>6</v>
      </c>
      <c r="C3802" t="str">
        <f>VLOOKUP(A3802,'Programas y Unidades'!$A:$B,2,0)</f>
        <v>Comunicación Audiovisual y Multimedios</v>
      </c>
    </row>
    <row r="3803" spans="1:3">
      <c r="A3803">
        <v>27</v>
      </c>
      <c r="B3803">
        <v>6</v>
      </c>
      <c r="C3803" t="str">
        <f>VLOOKUP(A3803,'Programas y Unidades'!$A:$B,2,0)</f>
        <v>Comunicación Audiovisual y Multimedios</v>
      </c>
    </row>
    <row r="3804" spans="1:3">
      <c r="A3804">
        <v>27</v>
      </c>
      <c r="B3804">
        <v>6</v>
      </c>
      <c r="C3804" t="str">
        <f>VLOOKUP(A3804,'Programas y Unidades'!$A:$B,2,0)</f>
        <v>Comunicación Audiovisual y Multimedios</v>
      </c>
    </row>
    <row r="3805" spans="1:3">
      <c r="A3805">
        <v>25</v>
      </c>
      <c r="B3805">
        <v>8</v>
      </c>
      <c r="C3805" t="str">
        <f>VLOOKUP(A3805,'Programas y Unidades'!$A:$B,2,0)</f>
        <v>Gastronomía</v>
      </c>
    </row>
    <row r="3806" spans="1:3">
      <c r="A3806">
        <v>27</v>
      </c>
      <c r="B3806">
        <v>5</v>
      </c>
      <c r="C3806" t="str">
        <f>VLOOKUP(A3806,'Programas y Unidades'!$A:$B,2,0)</f>
        <v>Comunicación Audiovisual y Multimedios</v>
      </c>
    </row>
    <row r="3807" spans="1:3">
      <c r="A3807">
        <v>27</v>
      </c>
      <c r="B3807">
        <v>5</v>
      </c>
      <c r="C3807" t="str">
        <f>VLOOKUP(A3807,'Programas y Unidades'!$A:$B,2,0)</f>
        <v>Comunicación Audiovisual y Multimedios</v>
      </c>
    </row>
    <row r="3808" spans="1:3">
      <c r="A3808">
        <v>27</v>
      </c>
      <c r="B3808">
        <v>6</v>
      </c>
      <c r="C3808" t="str">
        <f>VLOOKUP(A3808,'Programas y Unidades'!$A:$B,2,0)</f>
        <v>Comunicación Audiovisual y Multimedios</v>
      </c>
    </row>
    <row r="3809" spans="1:3">
      <c r="A3809">
        <v>27</v>
      </c>
      <c r="B3809">
        <v>5</v>
      </c>
      <c r="C3809" t="str">
        <f>VLOOKUP(A3809,'Programas y Unidades'!$A:$B,2,0)</f>
        <v>Comunicación Audiovisual y Multimedios</v>
      </c>
    </row>
    <row r="3810" spans="1:3">
      <c r="A3810">
        <v>27</v>
      </c>
      <c r="B3810">
        <v>7</v>
      </c>
      <c r="C3810" t="str">
        <f>VLOOKUP(A3810,'Programas y Unidades'!$A:$B,2,0)</f>
        <v>Comunicación Audiovisual y Multimedios</v>
      </c>
    </row>
    <row r="3811" spans="1:3">
      <c r="A3811">
        <v>20</v>
      </c>
      <c r="B3811">
        <v>5</v>
      </c>
      <c r="C3811" t="str">
        <f>VLOOKUP(A3811,'Programas y Unidades'!$A:$B,2,0)</f>
        <v>Administración &amp; Servicio</v>
      </c>
    </row>
    <row r="3812" spans="1:3">
      <c r="A3812">
        <v>42</v>
      </c>
      <c r="B3812">
        <v>8</v>
      </c>
      <c r="C3812" t="str">
        <f>VLOOKUP(A3812,'Programas y Unidades'!$A:$B,2,0)</f>
        <v>Medicina</v>
      </c>
    </row>
    <row r="3813" spans="1:3">
      <c r="A3813">
        <v>42</v>
      </c>
      <c r="B3813">
        <v>8</v>
      </c>
      <c r="C3813" t="str">
        <f>VLOOKUP(A3813,'Programas y Unidades'!$A:$B,2,0)</f>
        <v>Medicina</v>
      </c>
    </row>
    <row r="3814" spans="1:3">
      <c r="A3814">
        <v>42</v>
      </c>
      <c r="B3814">
        <v>8</v>
      </c>
      <c r="C3814" t="str">
        <f>VLOOKUP(A3814,'Programas y Unidades'!$A:$B,2,0)</f>
        <v>Medicina</v>
      </c>
    </row>
    <row r="3815" spans="1:3">
      <c r="A3815">
        <v>42</v>
      </c>
      <c r="B3815">
        <v>8</v>
      </c>
      <c r="C3815" t="str">
        <f>VLOOKUP(A3815,'Programas y Unidades'!$A:$B,2,0)</f>
        <v>Medicina</v>
      </c>
    </row>
    <row r="3816" spans="1:3">
      <c r="A3816">
        <v>42</v>
      </c>
      <c r="B3816">
        <v>8</v>
      </c>
      <c r="C3816" t="str">
        <f>VLOOKUP(A3816,'Programas y Unidades'!$A:$B,2,0)</f>
        <v>Medicina</v>
      </c>
    </row>
    <row r="3817" spans="1:3">
      <c r="A3817">
        <v>42</v>
      </c>
      <c r="B3817">
        <v>8</v>
      </c>
      <c r="C3817" t="str">
        <f>VLOOKUP(A3817,'Programas y Unidades'!$A:$B,2,0)</f>
        <v>Medicina</v>
      </c>
    </row>
    <row r="3818" spans="1:3">
      <c r="A3818">
        <v>42</v>
      </c>
      <c r="B3818">
        <v>8</v>
      </c>
      <c r="C3818" t="str">
        <f>VLOOKUP(A3818,'Programas y Unidades'!$A:$B,2,0)</f>
        <v>Medicina</v>
      </c>
    </row>
    <row r="3819" spans="1:3">
      <c r="A3819">
        <v>42</v>
      </c>
      <c r="B3819">
        <v>8</v>
      </c>
      <c r="C3819" t="str">
        <f>VLOOKUP(A3819,'Programas y Unidades'!$A:$B,2,0)</f>
        <v>Medicina</v>
      </c>
    </row>
    <row r="3820" spans="1:3">
      <c r="A3820">
        <v>42</v>
      </c>
      <c r="B3820">
        <v>8</v>
      </c>
      <c r="C3820" t="str">
        <f>VLOOKUP(A3820,'Programas y Unidades'!$A:$B,2,0)</f>
        <v>Medicina</v>
      </c>
    </row>
    <row r="3821" spans="1:3">
      <c r="A3821">
        <v>42</v>
      </c>
      <c r="B3821">
        <v>8</v>
      </c>
      <c r="C3821" t="str">
        <f>VLOOKUP(A3821,'Programas y Unidades'!$A:$B,2,0)</f>
        <v>Medicina</v>
      </c>
    </row>
    <row r="3822" spans="1:3">
      <c r="A3822">
        <v>42</v>
      </c>
      <c r="B3822">
        <v>8</v>
      </c>
      <c r="C3822" t="str">
        <f>VLOOKUP(A3822,'Programas y Unidades'!$A:$B,2,0)</f>
        <v>Medicina</v>
      </c>
    </row>
    <row r="3823" spans="1:3">
      <c r="A3823">
        <v>42</v>
      </c>
      <c r="B3823">
        <v>8</v>
      </c>
      <c r="C3823" t="str">
        <f>VLOOKUP(A3823,'Programas y Unidades'!$A:$B,2,0)</f>
        <v>Medicina</v>
      </c>
    </row>
    <row r="3824" spans="1:3">
      <c r="A3824">
        <v>42</v>
      </c>
      <c r="B3824">
        <v>8</v>
      </c>
      <c r="C3824" t="str">
        <f>VLOOKUP(A3824,'Programas y Unidades'!$A:$B,2,0)</f>
        <v>Medicina</v>
      </c>
    </row>
    <row r="3825" spans="1:3">
      <c r="A3825">
        <v>42</v>
      </c>
      <c r="B3825">
        <v>8</v>
      </c>
      <c r="C3825" t="str">
        <f>VLOOKUP(A3825,'Programas y Unidades'!$A:$B,2,0)</f>
        <v>Medicina</v>
      </c>
    </row>
    <row r="3826" spans="1:3">
      <c r="A3826">
        <v>42</v>
      </c>
      <c r="B3826">
        <v>8</v>
      </c>
      <c r="C3826" t="str">
        <f>VLOOKUP(A3826,'Programas y Unidades'!$A:$B,2,0)</f>
        <v>Medicina</v>
      </c>
    </row>
    <row r="3827" spans="1:3">
      <c r="A3827">
        <v>42</v>
      </c>
      <c r="B3827">
        <v>8</v>
      </c>
      <c r="C3827" t="str">
        <f>VLOOKUP(A3827,'Programas y Unidades'!$A:$B,2,0)</f>
        <v>Medicina</v>
      </c>
    </row>
    <row r="3828" spans="1:3">
      <c r="A3828">
        <v>42</v>
      </c>
      <c r="B3828">
        <v>8</v>
      </c>
      <c r="C3828" t="str">
        <f>VLOOKUP(A3828,'Programas y Unidades'!$A:$B,2,0)</f>
        <v>Medicina</v>
      </c>
    </row>
    <row r="3829" spans="1:3">
      <c r="A3829">
        <v>42</v>
      </c>
      <c r="B3829">
        <v>8</v>
      </c>
      <c r="C3829" t="str">
        <f>VLOOKUP(A3829,'Programas y Unidades'!$A:$B,2,0)</f>
        <v>Medicina</v>
      </c>
    </row>
    <row r="3830" spans="1:3">
      <c r="A3830">
        <v>42</v>
      </c>
      <c r="B3830">
        <v>8</v>
      </c>
      <c r="C3830" t="str">
        <f>VLOOKUP(A3830,'Programas y Unidades'!$A:$B,2,0)</f>
        <v>Medicina</v>
      </c>
    </row>
    <row r="3831" spans="1:3">
      <c r="A3831">
        <v>42</v>
      </c>
      <c r="B3831">
        <v>8</v>
      </c>
      <c r="C3831" t="str">
        <f>VLOOKUP(A3831,'Programas y Unidades'!$A:$B,2,0)</f>
        <v>Medicina</v>
      </c>
    </row>
    <row r="3832" spans="1:3">
      <c r="A3832">
        <v>42</v>
      </c>
      <c r="B3832">
        <v>8</v>
      </c>
      <c r="C3832" t="str">
        <f>VLOOKUP(A3832,'Programas y Unidades'!$A:$B,2,0)</f>
        <v>Medicina</v>
      </c>
    </row>
    <row r="3833" spans="1:3">
      <c r="A3833">
        <v>42</v>
      </c>
      <c r="B3833">
        <v>8</v>
      </c>
      <c r="C3833" t="str">
        <f>VLOOKUP(A3833,'Programas y Unidades'!$A:$B,2,0)</f>
        <v>Medicina</v>
      </c>
    </row>
    <row r="3834" spans="1:3">
      <c r="A3834">
        <v>42</v>
      </c>
      <c r="B3834">
        <v>8</v>
      </c>
      <c r="C3834" t="str">
        <f>VLOOKUP(A3834,'Programas y Unidades'!$A:$B,2,0)</f>
        <v>Medicina</v>
      </c>
    </row>
    <row r="3835" spans="1:3">
      <c r="A3835">
        <v>42</v>
      </c>
      <c r="B3835">
        <v>8</v>
      </c>
      <c r="C3835" t="str">
        <f>VLOOKUP(A3835,'Programas y Unidades'!$A:$B,2,0)</f>
        <v>Medicina</v>
      </c>
    </row>
    <row r="3836" spans="1:3">
      <c r="A3836">
        <v>42</v>
      </c>
      <c r="B3836">
        <v>8</v>
      </c>
      <c r="C3836" t="str">
        <f>VLOOKUP(A3836,'Programas y Unidades'!$A:$B,2,0)</f>
        <v>Medicina</v>
      </c>
    </row>
    <row r="3837" spans="1:3">
      <c r="A3837">
        <v>42</v>
      </c>
      <c r="B3837">
        <v>8</v>
      </c>
      <c r="C3837" t="str">
        <f>VLOOKUP(A3837,'Programas y Unidades'!$A:$B,2,0)</f>
        <v>Medicina</v>
      </c>
    </row>
    <row r="3838" spans="1:3">
      <c r="A3838">
        <v>42</v>
      </c>
      <c r="B3838">
        <v>8</v>
      </c>
      <c r="C3838" t="str">
        <f>VLOOKUP(A3838,'Programas y Unidades'!$A:$B,2,0)</f>
        <v>Medicina</v>
      </c>
    </row>
    <row r="3839" spans="1:3">
      <c r="A3839">
        <v>42</v>
      </c>
      <c r="B3839">
        <v>8</v>
      </c>
      <c r="C3839" t="str">
        <f>VLOOKUP(A3839,'Programas y Unidades'!$A:$B,2,0)</f>
        <v>Medicina</v>
      </c>
    </row>
    <row r="3840" spans="1:3">
      <c r="A3840">
        <v>42</v>
      </c>
      <c r="B3840">
        <v>8</v>
      </c>
      <c r="C3840" t="str">
        <f>VLOOKUP(A3840,'Programas y Unidades'!$A:$B,2,0)</f>
        <v>Medicina</v>
      </c>
    </row>
    <row r="3841" spans="1:3">
      <c r="A3841">
        <v>42</v>
      </c>
      <c r="B3841">
        <v>8</v>
      </c>
      <c r="C3841" t="str">
        <f>VLOOKUP(A3841,'Programas y Unidades'!$A:$B,2,0)</f>
        <v>Medicina</v>
      </c>
    </row>
    <row r="3842" spans="1:3">
      <c r="A3842">
        <v>42</v>
      </c>
      <c r="B3842">
        <v>8</v>
      </c>
      <c r="C3842" t="str">
        <f>VLOOKUP(A3842,'Programas y Unidades'!$A:$B,2,0)</f>
        <v>Medicina</v>
      </c>
    </row>
    <row r="3843" spans="1:3">
      <c r="A3843">
        <v>42</v>
      </c>
      <c r="B3843">
        <v>8</v>
      </c>
      <c r="C3843" t="str">
        <f>VLOOKUP(A3843,'Programas y Unidades'!$A:$B,2,0)</f>
        <v>Medicina</v>
      </c>
    </row>
    <row r="3844" spans="1:3">
      <c r="A3844">
        <v>42</v>
      </c>
      <c r="B3844">
        <v>8</v>
      </c>
      <c r="C3844" t="str">
        <f>VLOOKUP(A3844,'Programas y Unidades'!$A:$B,2,0)</f>
        <v>Medicina</v>
      </c>
    </row>
    <row r="3845" spans="1:3">
      <c r="A3845">
        <v>42</v>
      </c>
      <c r="B3845">
        <v>8</v>
      </c>
      <c r="C3845" t="str">
        <f>VLOOKUP(A3845,'Programas y Unidades'!$A:$B,2,0)</f>
        <v>Medicina</v>
      </c>
    </row>
    <row r="3846" spans="1:3">
      <c r="A3846">
        <v>42</v>
      </c>
      <c r="B3846">
        <v>8</v>
      </c>
      <c r="C3846" t="str">
        <f>VLOOKUP(A3846,'Programas y Unidades'!$A:$B,2,0)</f>
        <v>Medicina</v>
      </c>
    </row>
    <row r="3847" spans="1:3">
      <c r="A3847">
        <v>42</v>
      </c>
      <c r="B3847">
        <v>8</v>
      </c>
      <c r="C3847" t="str">
        <f>VLOOKUP(A3847,'Programas y Unidades'!$A:$B,2,0)</f>
        <v>Medicina</v>
      </c>
    </row>
    <row r="3848" spans="1:3">
      <c r="A3848">
        <v>42</v>
      </c>
      <c r="B3848">
        <v>8</v>
      </c>
      <c r="C3848" t="str">
        <f>VLOOKUP(A3848,'Programas y Unidades'!$A:$B,2,0)</f>
        <v>Medicina</v>
      </c>
    </row>
    <row r="3849" spans="1:3">
      <c r="A3849">
        <v>42</v>
      </c>
      <c r="B3849">
        <v>8</v>
      </c>
      <c r="C3849" t="str">
        <f>VLOOKUP(A3849,'Programas y Unidades'!$A:$B,2,0)</f>
        <v>Medicina</v>
      </c>
    </row>
    <row r="3850" spans="1:3">
      <c r="A3850">
        <v>42</v>
      </c>
      <c r="B3850">
        <v>8</v>
      </c>
      <c r="C3850" t="str">
        <f>VLOOKUP(A3850,'Programas y Unidades'!$A:$B,2,0)</f>
        <v>Medicina</v>
      </c>
    </row>
    <row r="3851" spans="1:3">
      <c r="A3851">
        <v>42</v>
      </c>
      <c r="B3851">
        <v>8</v>
      </c>
      <c r="C3851" t="str">
        <f>VLOOKUP(A3851,'Programas y Unidades'!$A:$B,2,0)</f>
        <v>Medicina</v>
      </c>
    </row>
    <row r="3852" spans="1:3">
      <c r="A3852">
        <v>42</v>
      </c>
      <c r="B3852">
        <v>8</v>
      </c>
      <c r="C3852" t="str">
        <f>VLOOKUP(A3852,'Programas y Unidades'!$A:$B,2,0)</f>
        <v>Medicina</v>
      </c>
    </row>
    <row r="3853" spans="1:3">
      <c r="A3853">
        <v>42</v>
      </c>
      <c r="B3853">
        <v>8</v>
      </c>
      <c r="C3853" t="str">
        <f>VLOOKUP(A3853,'Programas y Unidades'!$A:$B,2,0)</f>
        <v>Medicina</v>
      </c>
    </row>
    <row r="3854" spans="1:3">
      <c r="A3854">
        <v>42</v>
      </c>
      <c r="B3854">
        <v>8</v>
      </c>
      <c r="C3854" t="str">
        <f>VLOOKUP(A3854,'Programas y Unidades'!$A:$B,2,0)</f>
        <v>Medicina</v>
      </c>
    </row>
    <row r="3855" spans="1:3">
      <c r="A3855">
        <v>42</v>
      </c>
      <c r="B3855">
        <v>8</v>
      </c>
      <c r="C3855" t="str">
        <f>VLOOKUP(A3855,'Programas y Unidades'!$A:$B,2,0)</f>
        <v>Medicina</v>
      </c>
    </row>
    <row r="3856" spans="1:3">
      <c r="A3856">
        <v>42</v>
      </c>
      <c r="B3856">
        <v>8</v>
      </c>
      <c r="C3856" t="str">
        <f>VLOOKUP(A3856,'Programas y Unidades'!$A:$B,2,0)</f>
        <v>Medicina</v>
      </c>
    </row>
    <row r="3857" spans="1:3">
      <c r="A3857">
        <v>42</v>
      </c>
      <c r="B3857">
        <v>8</v>
      </c>
      <c r="C3857" t="str">
        <f>VLOOKUP(A3857,'Programas y Unidades'!$A:$B,2,0)</f>
        <v>Medicina</v>
      </c>
    </row>
    <row r="3858" spans="1:3">
      <c r="A3858">
        <v>42</v>
      </c>
      <c r="B3858">
        <v>8</v>
      </c>
      <c r="C3858" t="str">
        <f>VLOOKUP(A3858,'Programas y Unidades'!$A:$B,2,0)</f>
        <v>Medicina</v>
      </c>
    </row>
    <row r="3859" spans="1:3">
      <c r="A3859">
        <v>42</v>
      </c>
      <c r="B3859">
        <v>8</v>
      </c>
      <c r="C3859" t="str">
        <f>VLOOKUP(A3859,'Programas y Unidades'!$A:$B,2,0)</f>
        <v>Medicina</v>
      </c>
    </row>
    <row r="3860" spans="1:3">
      <c r="A3860">
        <v>42</v>
      </c>
      <c r="B3860">
        <v>8</v>
      </c>
      <c r="C3860" t="str">
        <f>VLOOKUP(A3860,'Programas y Unidades'!$A:$B,2,0)</f>
        <v>Medicina</v>
      </c>
    </row>
    <row r="3861" spans="1:3">
      <c r="A3861">
        <v>42</v>
      </c>
      <c r="B3861">
        <v>8</v>
      </c>
      <c r="C3861" t="str">
        <f>VLOOKUP(A3861,'Programas y Unidades'!$A:$B,2,0)</f>
        <v>Medicina</v>
      </c>
    </row>
    <row r="3862" spans="1:3">
      <c r="A3862">
        <v>42</v>
      </c>
      <c r="B3862">
        <v>8</v>
      </c>
      <c r="C3862" t="str">
        <f>VLOOKUP(A3862,'Programas y Unidades'!$A:$B,2,0)</f>
        <v>Medicina</v>
      </c>
    </row>
    <row r="3863" spans="1:3">
      <c r="A3863">
        <v>42</v>
      </c>
      <c r="B3863">
        <v>8</v>
      </c>
      <c r="C3863" t="str">
        <f>VLOOKUP(A3863,'Programas y Unidades'!$A:$B,2,0)</f>
        <v>Medicina</v>
      </c>
    </row>
    <row r="3864" spans="1:3">
      <c r="A3864">
        <v>42</v>
      </c>
      <c r="B3864">
        <v>8</v>
      </c>
      <c r="C3864" t="str">
        <f>VLOOKUP(A3864,'Programas y Unidades'!$A:$B,2,0)</f>
        <v>Medicina</v>
      </c>
    </row>
    <row r="3865" spans="1:3">
      <c r="A3865">
        <v>42</v>
      </c>
      <c r="B3865">
        <v>8</v>
      </c>
      <c r="C3865" t="str">
        <f>VLOOKUP(A3865,'Programas y Unidades'!$A:$B,2,0)</f>
        <v>Medicina</v>
      </c>
    </row>
    <row r="3866" spans="1:3">
      <c r="A3866">
        <v>42</v>
      </c>
      <c r="B3866">
        <v>8</v>
      </c>
      <c r="C3866" t="str">
        <f>VLOOKUP(A3866,'Programas y Unidades'!$A:$B,2,0)</f>
        <v>Medicina</v>
      </c>
    </row>
    <row r="3867" spans="1:3">
      <c r="A3867">
        <v>26</v>
      </c>
      <c r="B3867">
        <v>8</v>
      </c>
      <c r="C3867" t="str">
        <f>VLOOKUP(A3867,'Programas y Unidades'!$A:$B,2,0)</f>
        <v>Comunicación Corporativa</v>
      </c>
    </row>
    <row r="3868" spans="1:3">
      <c r="A3868">
        <v>26</v>
      </c>
      <c r="B3868">
        <v>8</v>
      </c>
      <c r="C3868" t="str">
        <f>VLOOKUP(A3868,'Programas y Unidades'!$A:$B,2,0)</f>
        <v>Comunicación Corporativa</v>
      </c>
    </row>
    <row r="3869" spans="1:3">
      <c r="A3869">
        <v>26</v>
      </c>
      <c r="B3869">
        <v>8</v>
      </c>
      <c r="C3869" t="str">
        <f>VLOOKUP(A3869,'Programas y Unidades'!$A:$B,2,0)</f>
        <v>Comunicación Corporativa</v>
      </c>
    </row>
    <row r="3870" spans="1:3">
      <c r="A3870">
        <v>26</v>
      </c>
      <c r="B3870">
        <v>8</v>
      </c>
      <c r="C3870" t="str">
        <f>VLOOKUP(A3870,'Programas y Unidades'!$A:$B,2,0)</f>
        <v>Comunicación Corporativa</v>
      </c>
    </row>
    <row r="3871" spans="1:3">
      <c r="A3871">
        <v>26</v>
      </c>
      <c r="B3871">
        <v>8</v>
      </c>
      <c r="C3871" t="str">
        <f>VLOOKUP(A3871,'Programas y Unidades'!$A:$B,2,0)</f>
        <v>Comunicación Corporativa</v>
      </c>
    </row>
    <row r="3872" spans="1:3">
      <c r="A3872">
        <v>26</v>
      </c>
      <c r="B3872">
        <v>8</v>
      </c>
      <c r="C3872" t="str">
        <f>VLOOKUP(A3872,'Programas y Unidades'!$A:$B,2,0)</f>
        <v>Comunicación Corporativa</v>
      </c>
    </row>
    <row r="3873" spans="1:3">
      <c r="A3873">
        <v>26</v>
      </c>
      <c r="B3873">
        <v>8</v>
      </c>
      <c r="C3873" t="str">
        <f>VLOOKUP(A3873,'Programas y Unidades'!$A:$B,2,0)</f>
        <v>Comunicación Corporativa</v>
      </c>
    </row>
    <row r="3874" spans="1:3">
      <c r="A3874">
        <v>26</v>
      </c>
      <c r="B3874">
        <v>7</v>
      </c>
      <c r="C3874" t="str">
        <f>VLOOKUP(A3874,'Programas y Unidades'!$A:$B,2,0)</f>
        <v>Comunicación Corporativa</v>
      </c>
    </row>
    <row r="3875" spans="1:3">
      <c r="A3875">
        <v>42</v>
      </c>
      <c r="B3875">
        <v>11</v>
      </c>
      <c r="C3875" t="str">
        <f>VLOOKUP(A3875,'Programas y Unidades'!$A:$B,2,0)</f>
        <v>Medicina</v>
      </c>
    </row>
    <row r="3876" spans="1:3">
      <c r="A3876">
        <v>42</v>
      </c>
      <c r="B3876">
        <v>11</v>
      </c>
      <c r="C3876" t="str">
        <f>VLOOKUP(A3876,'Programas y Unidades'!$A:$B,2,0)</f>
        <v>Medicina</v>
      </c>
    </row>
    <row r="3877" spans="1:3">
      <c r="A3877">
        <v>42</v>
      </c>
      <c r="B3877">
        <v>11</v>
      </c>
      <c r="C3877" t="str">
        <f>VLOOKUP(A3877,'Programas y Unidades'!$A:$B,2,0)</f>
        <v>Medicina</v>
      </c>
    </row>
    <row r="3878" spans="1:3">
      <c r="A3878">
        <v>42</v>
      </c>
      <c r="B3878">
        <v>11</v>
      </c>
      <c r="C3878" t="str">
        <f>VLOOKUP(A3878,'Programas y Unidades'!$A:$B,2,0)</f>
        <v>Medicina</v>
      </c>
    </row>
    <row r="3879" spans="1:3">
      <c r="A3879">
        <v>42</v>
      </c>
      <c r="B3879">
        <v>11</v>
      </c>
      <c r="C3879" t="str">
        <f>VLOOKUP(A3879,'Programas y Unidades'!$A:$B,2,0)</f>
        <v>Medicina</v>
      </c>
    </row>
    <row r="3880" spans="1:3">
      <c r="A3880">
        <v>42</v>
      </c>
      <c r="B3880">
        <v>11</v>
      </c>
      <c r="C3880" t="str">
        <f>VLOOKUP(A3880,'Programas y Unidades'!$A:$B,2,0)</f>
        <v>Medicina</v>
      </c>
    </row>
    <row r="3881" spans="1:3">
      <c r="A3881">
        <v>42</v>
      </c>
      <c r="B3881">
        <v>11</v>
      </c>
      <c r="C3881" t="str">
        <f>VLOOKUP(A3881,'Programas y Unidades'!$A:$B,2,0)</f>
        <v>Medicina</v>
      </c>
    </row>
    <row r="3882" spans="1:3">
      <c r="A3882">
        <v>42</v>
      </c>
      <c r="B3882">
        <v>11</v>
      </c>
      <c r="C3882" t="str">
        <f>VLOOKUP(A3882,'Programas y Unidades'!$A:$B,2,0)</f>
        <v>Medicina</v>
      </c>
    </row>
    <row r="3883" spans="1:3">
      <c r="A3883">
        <v>42</v>
      </c>
      <c r="B3883">
        <v>11</v>
      </c>
      <c r="C3883" t="str">
        <f>VLOOKUP(A3883,'Programas y Unidades'!$A:$B,2,0)</f>
        <v>Medicina</v>
      </c>
    </row>
    <row r="3884" spans="1:3">
      <c r="A3884">
        <v>42</v>
      </c>
      <c r="B3884">
        <v>11</v>
      </c>
      <c r="C3884" t="str">
        <f>VLOOKUP(A3884,'Programas y Unidades'!$A:$B,2,0)</f>
        <v>Medicina</v>
      </c>
    </row>
    <row r="3885" spans="1:3">
      <c r="A3885">
        <v>42</v>
      </c>
      <c r="B3885">
        <v>11</v>
      </c>
      <c r="C3885" t="str">
        <f>VLOOKUP(A3885,'Programas y Unidades'!$A:$B,2,0)</f>
        <v>Medicina</v>
      </c>
    </row>
    <row r="3886" spans="1:3">
      <c r="A3886">
        <v>42</v>
      </c>
      <c r="B3886">
        <v>11</v>
      </c>
      <c r="C3886" t="str">
        <f>VLOOKUP(A3886,'Programas y Unidades'!$A:$B,2,0)</f>
        <v>Medicina</v>
      </c>
    </row>
    <row r="3887" spans="1:3">
      <c r="A3887">
        <v>42</v>
      </c>
      <c r="B3887">
        <v>11</v>
      </c>
      <c r="C3887" t="str">
        <f>VLOOKUP(A3887,'Programas y Unidades'!$A:$B,2,0)</f>
        <v>Medicina</v>
      </c>
    </row>
    <row r="3888" spans="1:3">
      <c r="A3888">
        <v>42</v>
      </c>
      <c r="B3888">
        <v>11</v>
      </c>
      <c r="C3888" t="str">
        <f>VLOOKUP(A3888,'Programas y Unidades'!$A:$B,2,0)</f>
        <v>Medicina</v>
      </c>
    </row>
    <row r="3889" spans="1:3">
      <c r="A3889">
        <v>42</v>
      </c>
      <c r="B3889">
        <v>11</v>
      </c>
      <c r="C3889" t="str">
        <f>VLOOKUP(A3889,'Programas y Unidades'!$A:$B,2,0)</f>
        <v>Medicina</v>
      </c>
    </row>
    <row r="3890" spans="1:3">
      <c r="A3890">
        <v>42</v>
      </c>
      <c r="B3890">
        <v>11</v>
      </c>
      <c r="C3890" t="str">
        <f>VLOOKUP(A3890,'Programas y Unidades'!$A:$B,2,0)</f>
        <v>Medicina</v>
      </c>
    </row>
    <row r="3891" spans="1:3">
      <c r="A3891">
        <v>42</v>
      </c>
      <c r="B3891">
        <v>11</v>
      </c>
      <c r="C3891" t="str">
        <f>VLOOKUP(A3891,'Programas y Unidades'!$A:$B,2,0)</f>
        <v>Medicina</v>
      </c>
    </row>
    <row r="3892" spans="1:3">
      <c r="A3892">
        <v>42</v>
      </c>
      <c r="B3892">
        <v>11</v>
      </c>
      <c r="C3892" t="str">
        <f>VLOOKUP(A3892,'Programas y Unidades'!$A:$B,2,0)</f>
        <v>Medicina</v>
      </c>
    </row>
    <row r="3893" spans="1:3">
      <c r="A3893">
        <v>42</v>
      </c>
      <c r="B3893">
        <v>11</v>
      </c>
      <c r="C3893" t="str">
        <f>VLOOKUP(A3893,'Programas y Unidades'!$A:$B,2,0)</f>
        <v>Medicina</v>
      </c>
    </row>
    <row r="3894" spans="1:3">
      <c r="A3894">
        <v>42</v>
      </c>
      <c r="B3894">
        <v>11</v>
      </c>
      <c r="C3894" t="str">
        <f>VLOOKUP(A3894,'Programas y Unidades'!$A:$B,2,0)</f>
        <v>Medicina</v>
      </c>
    </row>
    <row r="3895" spans="1:3">
      <c r="A3895">
        <v>42</v>
      </c>
      <c r="B3895">
        <v>11</v>
      </c>
      <c r="C3895" t="str">
        <f>VLOOKUP(A3895,'Programas y Unidades'!$A:$B,2,0)</f>
        <v>Medicina</v>
      </c>
    </row>
    <row r="3896" spans="1:3">
      <c r="A3896">
        <v>42</v>
      </c>
      <c r="B3896">
        <v>11</v>
      </c>
      <c r="C3896" t="str">
        <f>VLOOKUP(A3896,'Programas y Unidades'!$A:$B,2,0)</f>
        <v>Medicina</v>
      </c>
    </row>
    <row r="3897" spans="1:3">
      <c r="A3897">
        <v>42</v>
      </c>
      <c r="B3897">
        <v>11</v>
      </c>
      <c r="C3897" t="str">
        <f>VLOOKUP(A3897,'Programas y Unidades'!$A:$B,2,0)</f>
        <v>Medicina</v>
      </c>
    </row>
    <row r="3898" spans="1:3">
      <c r="A3898">
        <v>42</v>
      </c>
      <c r="B3898">
        <v>11</v>
      </c>
      <c r="C3898" t="str">
        <f>VLOOKUP(A3898,'Programas y Unidades'!$A:$B,2,0)</f>
        <v>Medicina</v>
      </c>
    </row>
    <row r="3899" spans="1:3">
      <c r="A3899">
        <v>42</v>
      </c>
      <c r="B3899">
        <v>11</v>
      </c>
      <c r="C3899" t="str">
        <f>VLOOKUP(A3899,'Programas y Unidades'!$A:$B,2,0)</f>
        <v>Medicina</v>
      </c>
    </row>
    <row r="3900" spans="1:3">
      <c r="A3900">
        <v>42</v>
      </c>
      <c r="B3900">
        <v>11</v>
      </c>
      <c r="C3900" t="str">
        <f>VLOOKUP(A3900,'Programas y Unidades'!$A:$B,2,0)</f>
        <v>Medicina</v>
      </c>
    </row>
    <row r="3901" spans="1:3">
      <c r="A3901">
        <v>42</v>
      </c>
      <c r="B3901">
        <v>11</v>
      </c>
      <c r="C3901" t="str">
        <f>VLOOKUP(A3901,'Programas y Unidades'!$A:$B,2,0)</f>
        <v>Medicina</v>
      </c>
    </row>
    <row r="3902" spans="1:3">
      <c r="A3902">
        <v>42</v>
      </c>
      <c r="B3902">
        <v>11</v>
      </c>
      <c r="C3902" t="str">
        <f>VLOOKUP(A3902,'Programas y Unidades'!$A:$B,2,0)</f>
        <v>Medicina</v>
      </c>
    </row>
    <row r="3903" spans="1:3">
      <c r="A3903">
        <v>42</v>
      </c>
      <c r="B3903">
        <v>11</v>
      </c>
      <c r="C3903" t="str">
        <f>VLOOKUP(A3903,'Programas y Unidades'!$A:$B,2,0)</f>
        <v>Medicina</v>
      </c>
    </row>
    <row r="3904" spans="1:3">
      <c r="A3904">
        <v>42</v>
      </c>
      <c r="B3904">
        <v>11</v>
      </c>
      <c r="C3904" t="str">
        <f>VLOOKUP(A3904,'Programas y Unidades'!$A:$B,2,0)</f>
        <v>Medicina</v>
      </c>
    </row>
    <row r="3905" spans="1:3">
      <c r="A3905">
        <v>42</v>
      </c>
      <c r="B3905">
        <v>11</v>
      </c>
      <c r="C3905" t="str">
        <f>VLOOKUP(A3905,'Programas y Unidades'!$A:$B,2,0)</f>
        <v>Medicina</v>
      </c>
    </row>
    <row r="3906" spans="1:3">
      <c r="A3906">
        <v>42</v>
      </c>
      <c r="B3906">
        <v>11</v>
      </c>
      <c r="C3906" t="str">
        <f>VLOOKUP(A3906,'Programas y Unidades'!$A:$B,2,0)</f>
        <v>Medicina</v>
      </c>
    </row>
    <row r="3907" spans="1:3">
      <c r="A3907">
        <v>42</v>
      </c>
      <c r="B3907">
        <v>11</v>
      </c>
      <c r="C3907" t="str">
        <f>VLOOKUP(A3907,'Programas y Unidades'!$A:$B,2,0)</f>
        <v>Medicina</v>
      </c>
    </row>
    <row r="3908" spans="1:3">
      <c r="A3908">
        <v>42</v>
      </c>
      <c r="B3908">
        <v>11</v>
      </c>
      <c r="C3908" t="str">
        <f>VLOOKUP(A3908,'Programas y Unidades'!$A:$B,2,0)</f>
        <v>Medicina</v>
      </c>
    </row>
    <row r="3909" spans="1:3">
      <c r="A3909">
        <v>42</v>
      </c>
      <c r="B3909">
        <v>11</v>
      </c>
      <c r="C3909" t="str">
        <f>VLOOKUP(A3909,'Programas y Unidades'!$A:$B,2,0)</f>
        <v>Medicina</v>
      </c>
    </row>
    <row r="3910" spans="1:3">
      <c r="A3910">
        <v>42</v>
      </c>
      <c r="B3910">
        <v>11</v>
      </c>
      <c r="C3910" t="str">
        <f>VLOOKUP(A3910,'Programas y Unidades'!$A:$B,2,0)</f>
        <v>Medicina</v>
      </c>
    </row>
    <row r="3911" spans="1:3">
      <c r="A3911">
        <v>42</v>
      </c>
      <c r="B3911">
        <v>11</v>
      </c>
      <c r="C3911" t="str">
        <f>VLOOKUP(A3911,'Programas y Unidades'!$A:$B,2,0)</f>
        <v>Medicina</v>
      </c>
    </row>
    <row r="3912" spans="1:3">
      <c r="A3912">
        <v>42</v>
      </c>
      <c r="B3912">
        <v>11</v>
      </c>
      <c r="C3912" t="str">
        <f>VLOOKUP(A3912,'Programas y Unidades'!$A:$B,2,0)</f>
        <v>Medicina</v>
      </c>
    </row>
    <row r="3913" spans="1:3">
      <c r="A3913">
        <v>42</v>
      </c>
      <c r="B3913">
        <v>11</v>
      </c>
      <c r="C3913" t="str">
        <f>VLOOKUP(A3913,'Programas y Unidades'!$A:$B,2,0)</f>
        <v>Medicina</v>
      </c>
    </row>
    <row r="3914" spans="1:3">
      <c r="A3914">
        <v>42</v>
      </c>
      <c r="B3914">
        <v>11</v>
      </c>
      <c r="C3914" t="str">
        <f>VLOOKUP(A3914,'Programas y Unidades'!$A:$B,2,0)</f>
        <v>Medicina</v>
      </c>
    </row>
    <row r="3915" spans="1:3">
      <c r="A3915">
        <v>42</v>
      </c>
      <c r="B3915">
        <v>11</v>
      </c>
      <c r="C3915" t="str">
        <f>VLOOKUP(A3915,'Programas y Unidades'!$A:$B,2,0)</f>
        <v>Medicina</v>
      </c>
    </row>
    <row r="3916" spans="1:3">
      <c r="A3916">
        <v>42</v>
      </c>
      <c r="B3916">
        <v>11</v>
      </c>
      <c r="C3916" t="str">
        <f>VLOOKUP(A3916,'Programas y Unidades'!$A:$B,2,0)</f>
        <v>Medicina</v>
      </c>
    </row>
    <row r="3917" spans="1:3">
      <c r="A3917">
        <v>42</v>
      </c>
      <c r="B3917">
        <v>11</v>
      </c>
      <c r="C3917" t="str">
        <f>VLOOKUP(A3917,'Programas y Unidades'!$A:$B,2,0)</f>
        <v>Medicina</v>
      </c>
    </row>
    <row r="3918" spans="1:3">
      <c r="A3918">
        <v>42</v>
      </c>
      <c r="B3918">
        <v>11</v>
      </c>
      <c r="C3918" t="str">
        <f>VLOOKUP(A3918,'Programas y Unidades'!$A:$B,2,0)</f>
        <v>Medicina</v>
      </c>
    </row>
    <row r="3919" spans="1:3">
      <c r="A3919">
        <v>42</v>
      </c>
      <c r="B3919">
        <v>11</v>
      </c>
      <c r="C3919" t="str">
        <f>VLOOKUP(A3919,'Programas y Unidades'!$A:$B,2,0)</f>
        <v>Medicina</v>
      </c>
    </row>
    <row r="3920" spans="1:3">
      <c r="A3920">
        <v>42</v>
      </c>
      <c r="B3920">
        <v>11</v>
      </c>
      <c r="C3920" t="str">
        <f>VLOOKUP(A3920,'Programas y Unidades'!$A:$B,2,0)</f>
        <v>Medicina</v>
      </c>
    </row>
    <row r="3921" spans="1:3">
      <c r="A3921">
        <v>42</v>
      </c>
      <c r="B3921">
        <v>11</v>
      </c>
      <c r="C3921" t="str">
        <f>VLOOKUP(A3921,'Programas y Unidades'!$A:$B,2,0)</f>
        <v>Medicina</v>
      </c>
    </row>
    <row r="3922" spans="1:3">
      <c r="A3922">
        <v>42</v>
      </c>
      <c r="B3922">
        <v>11</v>
      </c>
      <c r="C3922" t="str">
        <f>VLOOKUP(A3922,'Programas y Unidades'!$A:$B,2,0)</f>
        <v>Medicina</v>
      </c>
    </row>
    <row r="3923" spans="1:3">
      <c r="A3923">
        <v>42</v>
      </c>
      <c r="B3923">
        <v>11</v>
      </c>
      <c r="C3923" t="str">
        <f>VLOOKUP(A3923,'Programas y Unidades'!$A:$B,2,0)</f>
        <v>Medicina</v>
      </c>
    </row>
    <row r="3924" spans="1:3">
      <c r="A3924">
        <v>42</v>
      </c>
      <c r="B3924">
        <v>11</v>
      </c>
      <c r="C3924" t="str">
        <f>VLOOKUP(A3924,'Programas y Unidades'!$A:$B,2,0)</f>
        <v>Medicina</v>
      </c>
    </row>
    <row r="3925" spans="1:3">
      <c r="A3925">
        <v>42</v>
      </c>
      <c r="B3925">
        <v>11</v>
      </c>
      <c r="C3925" t="str">
        <f>VLOOKUP(A3925,'Programas y Unidades'!$A:$B,2,0)</f>
        <v>Medicina</v>
      </c>
    </row>
    <row r="3926" spans="1:3">
      <c r="A3926">
        <v>42</v>
      </c>
      <c r="B3926">
        <v>11</v>
      </c>
      <c r="C3926" t="str">
        <f>VLOOKUP(A3926,'Programas y Unidades'!$A:$B,2,0)</f>
        <v>Medicina</v>
      </c>
    </row>
    <row r="3927" spans="1:3">
      <c r="A3927">
        <v>42</v>
      </c>
      <c r="B3927">
        <v>11</v>
      </c>
      <c r="C3927" t="str">
        <f>VLOOKUP(A3927,'Programas y Unidades'!$A:$B,2,0)</f>
        <v>Medicina</v>
      </c>
    </row>
    <row r="3928" spans="1:3">
      <c r="A3928">
        <v>42</v>
      </c>
      <c r="B3928">
        <v>11</v>
      </c>
      <c r="C3928" t="str">
        <f>VLOOKUP(A3928,'Programas y Unidades'!$A:$B,2,0)</f>
        <v>Medicina</v>
      </c>
    </row>
    <row r="3929" spans="1:3">
      <c r="A3929">
        <v>42</v>
      </c>
      <c r="B3929">
        <v>11</v>
      </c>
      <c r="C3929" t="str">
        <f>VLOOKUP(A3929,'Programas y Unidades'!$A:$B,2,0)</f>
        <v>Medicina</v>
      </c>
    </row>
    <row r="3930" spans="1:3">
      <c r="A3930">
        <v>42</v>
      </c>
      <c r="B3930">
        <v>11</v>
      </c>
      <c r="C3930" t="str">
        <f>VLOOKUP(A3930,'Programas y Unidades'!$A:$B,2,0)</f>
        <v>Medicina</v>
      </c>
    </row>
    <row r="3931" spans="1:3">
      <c r="A3931">
        <v>42</v>
      </c>
      <c r="B3931">
        <v>11</v>
      </c>
      <c r="C3931" t="str">
        <f>VLOOKUP(A3931,'Programas y Unidades'!$A:$B,2,0)</f>
        <v>Medicina</v>
      </c>
    </row>
    <row r="3932" spans="1:3">
      <c r="A3932">
        <v>42</v>
      </c>
      <c r="B3932">
        <v>11</v>
      </c>
      <c r="C3932" t="str">
        <f>VLOOKUP(A3932,'Programas y Unidades'!$A:$B,2,0)</f>
        <v>Medicina</v>
      </c>
    </row>
    <row r="3933" spans="1:3">
      <c r="A3933">
        <v>42</v>
      </c>
      <c r="B3933">
        <v>11</v>
      </c>
      <c r="C3933" t="str">
        <f>VLOOKUP(A3933,'Programas y Unidades'!$A:$B,2,0)</f>
        <v>Medicina</v>
      </c>
    </row>
    <row r="3934" spans="1:3">
      <c r="A3934">
        <v>42</v>
      </c>
      <c r="B3934">
        <v>11</v>
      </c>
      <c r="C3934" t="str">
        <f>VLOOKUP(A3934,'Programas y Unidades'!$A:$B,2,0)</f>
        <v>Medicina</v>
      </c>
    </row>
    <row r="3935" spans="1:3">
      <c r="A3935">
        <v>42</v>
      </c>
      <c r="B3935">
        <v>11</v>
      </c>
      <c r="C3935" t="str">
        <f>VLOOKUP(A3935,'Programas y Unidades'!$A:$B,2,0)</f>
        <v>Medicina</v>
      </c>
    </row>
    <row r="3936" spans="1:3">
      <c r="A3936">
        <v>42</v>
      </c>
      <c r="B3936">
        <v>11</v>
      </c>
      <c r="C3936" t="str">
        <f>VLOOKUP(A3936,'Programas y Unidades'!$A:$B,2,0)</f>
        <v>Medicina</v>
      </c>
    </row>
    <row r="3937" spans="1:3">
      <c r="A3937">
        <v>42</v>
      </c>
      <c r="B3937">
        <v>11</v>
      </c>
      <c r="C3937" t="str">
        <f>VLOOKUP(A3937,'Programas y Unidades'!$A:$B,2,0)</f>
        <v>Medicina</v>
      </c>
    </row>
    <row r="3938" spans="1:3">
      <c r="A3938">
        <v>42</v>
      </c>
      <c r="B3938">
        <v>11</v>
      </c>
      <c r="C3938" s="62" t="str">
        <f>VLOOKUP(A3938,'Programas y Unidades'!$A:$B,2,0)</f>
        <v>Medicina</v>
      </c>
    </row>
    <row r="3939" spans="1:3">
      <c r="A3939">
        <v>42</v>
      </c>
      <c r="B3939">
        <v>11</v>
      </c>
      <c r="C3939" t="str">
        <f>VLOOKUP(A3939,'Programas y Unidades'!$A:$B,2,0)</f>
        <v>Medicina</v>
      </c>
    </row>
    <row r="3940" spans="1:3">
      <c r="A3940">
        <v>42</v>
      </c>
      <c r="B3940">
        <v>11</v>
      </c>
      <c r="C3940" t="str">
        <f>VLOOKUP(A3940,'Programas y Unidades'!$A:$B,2,0)</f>
        <v>Medicina</v>
      </c>
    </row>
    <row r="3941" spans="1:3">
      <c r="A3941">
        <v>42</v>
      </c>
      <c r="B3941">
        <v>11</v>
      </c>
      <c r="C3941" t="str">
        <f>VLOOKUP(A3941,'Programas y Unidades'!$A:$B,2,0)</f>
        <v>Medicina</v>
      </c>
    </row>
    <row r="3942" spans="1:3">
      <c r="A3942">
        <v>42</v>
      </c>
      <c r="B3942">
        <v>11</v>
      </c>
      <c r="C3942" t="str">
        <f>VLOOKUP(A3942,'Programas y Unidades'!$A:$B,2,0)</f>
        <v>Medicina</v>
      </c>
    </row>
    <row r="3943" spans="1:3">
      <c r="A3943">
        <v>42</v>
      </c>
      <c r="B3943">
        <v>11</v>
      </c>
      <c r="C3943" t="str">
        <f>VLOOKUP(A3943,'Programas y Unidades'!$A:$B,2,0)</f>
        <v>Medicina</v>
      </c>
    </row>
    <row r="3944" spans="1:3">
      <c r="A3944">
        <v>42</v>
      </c>
      <c r="B3944">
        <v>11</v>
      </c>
      <c r="C3944" t="str">
        <f>VLOOKUP(A3944,'Programas y Unidades'!$A:$B,2,0)</f>
        <v>Medicina</v>
      </c>
    </row>
    <row r="3945" spans="1:3">
      <c r="A3945">
        <v>42</v>
      </c>
      <c r="B3945">
        <v>11</v>
      </c>
      <c r="C3945" t="str">
        <f>VLOOKUP(A3945,'Programas y Unidades'!$A:$B,2,0)</f>
        <v>Medicina</v>
      </c>
    </row>
    <row r="3946" spans="1:3">
      <c r="A3946">
        <v>42</v>
      </c>
      <c r="B3946">
        <v>11</v>
      </c>
      <c r="C3946" t="str">
        <f>VLOOKUP(A3946,'Programas y Unidades'!$A:$B,2,0)</f>
        <v>Medicina</v>
      </c>
    </row>
    <row r="3947" spans="1:3">
      <c r="A3947">
        <v>42</v>
      </c>
      <c r="B3947">
        <v>11</v>
      </c>
      <c r="C3947" t="str">
        <f>VLOOKUP(A3947,'Programas y Unidades'!$A:$B,2,0)</f>
        <v>Medicina</v>
      </c>
    </row>
    <row r="3948" spans="1:3">
      <c r="A3948">
        <v>42</v>
      </c>
      <c r="B3948">
        <v>11</v>
      </c>
      <c r="C3948" t="str">
        <f>VLOOKUP(A3948,'Programas y Unidades'!$A:$B,2,0)</f>
        <v>Medicina</v>
      </c>
    </row>
    <row r="3949" spans="1:3">
      <c r="A3949">
        <v>42</v>
      </c>
      <c r="B3949">
        <v>11</v>
      </c>
      <c r="C3949" t="str">
        <f>VLOOKUP(A3949,'Programas y Unidades'!$A:$B,2,0)</f>
        <v>Medicina</v>
      </c>
    </row>
    <row r="3950" spans="1:3">
      <c r="A3950">
        <v>42</v>
      </c>
      <c r="B3950">
        <v>11</v>
      </c>
      <c r="C3950" t="str">
        <f>VLOOKUP(A3950,'Programas y Unidades'!$A:$B,2,0)</f>
        <v>Medicina</v>
      </c>
    </row>
    <row r="3951" spans="1:3">
      <c r="A3951">
        <v>42</v>
      </c>
      <c r="B3951">
        <v>11</v>
      </c>
      <c r="C3951" t="str">
        <f>VLOOKUP(A3951,'Programas y Unidades'!$A:$B,2,0)</f>
        <v>Medicina</v>
      </c>
    </row>
    <row r="3952" spans="1:3">
      <c r="A3952">
        <v>42</v>
      </c>
      <c r="B3952">
        <v>11</v>
      </c>
      <c r="C3952" t="str">
        <f>VLOOKUP(A3952,'Programas y Unidades'!$A:$B,2,0)</f>
        <v>Medicina</v>
      </c>
    </row>
    <row r="3953" spans="1:3">
      <c r="A3953">
        <v>42</v>
      </c>
      <c r="B3953">
        <v>11</v>
      </c>
      <c r="C3953" t="str">
        <f>VLOOKUP(A3953,'Programas y Unidades'!$A:$B,2,0)</f>
        <v>Medicina</v>
      </c>
    </row>
    <row r="3954" spans="1:3">
      <c r="A3954">
        <v>42</v>
      </c>
      <c r="B3954">
        <v>11</v>
      </c>
      <c r="C3954" t="str">
        <f>VLOOKUP(A3954,'Programas y Unidades'!$A:$B,2,0)</f>
        <v>Medicina</v>
      </c>
    </row>
    <row r="3955" spans="1:3">
      <c r="A3955">
        <v>42</v>
      </c>
      <c r="B3955">
        <v>11</v>
      </c>
      <c r="C3955" t="str">
        <f>VLOOKUP(A3955,'Programas y Unidades'!$A:$B,2,0)</f>
        <v>Medicina</v>
      </c>
    </row>
    <row r="3956" spans="1:3">
      <c r="A3956">
        <v>42</v>
      </c>
      <c r="B3956">
        <v>11</v>
      </c>
      <c r="C3956" t="str">
        <f>VLOOKUP(A3956,'Programas y Unidades'!$A:$B,2,0)</f>
        <v>Medicina</v>
      </c>
    </row>
    <row r="3957" spans="1:3">
      <c r="A3957">
        <v>42</v>
      </c>
      <c r="B3957">
        <v>11</v>
      </c>
      <c r="C3957" t="str">
        <f>VLOOKUP(A3957,'Programas y Unidades'!$A:$B,2,0)</f>
        <v>Medicina</v>
      </c>
    </row>
    <row r="3958" spans="1:3">
      <c r="A3958">
        <v>42</v>
      </c>
      <c r="B3958">
        <v>11</v>
      </c>
      <c r="C3958" t="str">
        <f>VLOOKUP(A3958,'Programas y Unidades'!$A:$B,2,0)</f>
        <v>Medicina</v>
      </c>
    </row>
    <row r="3959" spans="1:3">
      <c r="A3959">
        <v>42</v>
      </c>
      <c r="B3959">
        <v>11</v>
      </c>
      <c r="C3959" t="str">
        <f>VLOOKUP(A3959,'Programas y Unidades'!$A:$B,2,0)</f>
        <v>Medicina</v>
      </c>
    </row>
    <row r="3960" spans="1:3">
      <c r="A3960">
        <v>42</v>
      </c>
      <c r="B3960">
        <v>11</v>
      </c>
      <c r="C3960" t="str">
        <f>VLOOKUP(A3960,'Programas y Unidades'!$A:$B,2,0)</f>
        <v>Medicina</v>
      </c>
    </row>
    <row r="3961" spans="1:3">
      <c r="A3961">
        <v>42</v>
      </c>
      <c r="B3961">
        <v>11</v>
      </c>
      <c r="C3961" t="str">
        <f>VLOOKUP(A3961,'Programas y Unidades'!$A:$B,2,0)</f>
        <v>Medicina</v>
      </c>
    </row>
    <row r="3962" spans="1:3">
      <c r="A3962">
        <v>42</v>
      </c>
      <c r="B3962">
        <v>11</v>
      </c>
      <c r="C3962" t="str">
        <f>VLOOKUP(A3962,'Programas y Unidades'!$A:$B,2,0)</f>
        <v>Medicina</v>
      </c>
    </row>
    <row r="3963" spans="1:3">
      <c r="A3963">
        <v>76</v>
      </c>
      <c r="B3963">
        <v>2</v>
      </c>
      <c r="C3963" t="str">
        <f>VLOOKUP(A3963,'Programas y Unidades'!$A:$B,2,0)</f>
        <v>Maestría en Bioética - Chía</v>
      </c>
    </row>
    <row r="3964" spans="1:3">
      <c r="A3964">
        <v>106</v>
      </c>
      <c r="B3964">
        <v>1</v>
      </c>
      <c r="C3964" t="str">
        <f>VLOOKUP(A3964,'Programas y Unidades'!$A:$B,2,0)</f>
        <v>Especialización en Bioética - Chía</v>
      </c>
    </row>
    <row r="3965" spans="1:3">
      <c r="A3965">
        <v>2</v>
      </c>
      <c r="B3965">
        <v>1</v>
      </c>
      <c r="C3965" t="str">
        <f>VLOOKUP(A3965,'Programas y Unidades'!$A:$B,2,0)</f>
        <v>Especialización en Cirugía General</v>
      </c>
    </row>
    <row r="3966" spans="1:3">
      <c r="A3966">
        <v>127</v>
      </c>
      <c r="B3966">
        <v>2</v>
      </c>
      <c r="C3966" t="str">
        <f>VLOOKUP(A3966,'Programas y Unidades'!$A:$B,2,0)</f>
        <v>Especialización en Gerencia Comercial Bucaramanga - Santander</v>
      </c>
    </row>
    <row r="3967" spans="1:3">
      <c r="A3967">
        <v>123</v>
      </c>
      <c r="B3967">
        <v>2</v>
      </c>
      <c r="C3967" t="str">
        <f>VLOOKUP(A3967,'Programas y Unidades'!$A:$B,2,0)</f>
        <v>Especialización en Pedagogía e Investigación en el Aula - Virtual</v>
      </c>
    </row>
    <row r="3968" spans="1:3">
      <c r="A3968">
        <v>84</v>
      </c>
      <c r="B3968">
        <v>4</v>
      </c>
      <c r="C3968" t="str">
        <f>VLOOKUP(A3968,'Programas y Unidades'!$A:$B,2,0)</f>
        <v>Maestría en Innovación Educativa Mediada por TIC - Virtual</v>
      </c>
    </row>
    <row r="3969" spans="1:3">
      <c r="A3969">
        <v>88</v>
      </c>
      <c r="B3969">
        <v>2</v>
      </c>
      <c r="C3969" t="str">
        <f>VLOOKUP(A3969,'Programas y Unidades'!$A:$B,2,0)</f>
        <v>Maestría en Desarrollo Infantil - Riohacha</v>
      </c>
    </row>
    <row r="3970" spans="1:3">
      <c r="A3970">
        <v>70</v>
      </c>
      <c r="B3970">
        <v>2</v>
      </c>
      <c r="C3970" t="str">
        <f>VLOOKUP(A3970,'Programas y Unidades'!$A:$B,2,0)</f>
        <v>Doctorado en Biociencias - Chía</v>
      </c>
    </row>
    <row r="3971" spans="1:3">
      <c r="A3971">
        <v>120</v>
      </c>
      <c r="B3971">
        <v>2</v>
      </c>
      <c r="C3971" t="str">
        <f>VLOOKUP(A3971,'Programas y Unidades'!$A:$B,2,0)</f>
        <v>Especialización en Gerencia de Riesgos - Chía</v>
      </c>
    </row>
    <row r="3972" spans="1:3">
      <c r="A3972">
        <v>80</v>
      </c>
      <c r="B3972">
        <v>2</v>
      </c>
      <c r="C3972" t="str">
        <f>VLOOKUP(A3972,'Programas y Unidades'!$A:$B,2,0)</f>
        <v>Maestría en Psicología - Chía</v>
      </c>
    </row>
    <row r="3973" spans="1:3">
      <c r="A3973">
        <v>76</v>
      </c>
      <c r="B3973">
        <v>3</v>
      </c>
      <c r="C3973" t="str">
        <f>VLOOKUP(A3973,'Programas y Unidades'!$A:$B,2,0)</f>
        <v>Maestría en Bioética - Chía</v>
      </c>
    </row>
    <row r="3974" spans="1:3">
      <c r="A3974">
        <v>76</v>
      </c>
      <c r="B3974">
        <v>3</v>
      </c>
      <c r="C3974" t="str">
        <f>VLOOKUP(A3974,'Programas y Unidades'!$A:$B,2,0)</f>
        <v>Maestría en Bioética - Chía</v>
      </c>
    </row>
    <row r="3975" spans="1:3">
      <c r="A3975">
        <v>107</v>
      </c>
      <c r="B3975">
        <v>2</v>
      </c>
      <c r="C3975" t="str">
        <f>VLOOKUP(A3975,'Programas y Unidades'!$A:$B,2,0)</f>
        <v>Especialización en Psicología Clínica de la Niñez y la Adolescencia  - Chía</v>
      </c>
    </row>
    <row r="3976" spans="1:3">
      <c r="A3976">
        <v>107</v>
      </c>
      <c r="B3976">
        <v>2</v>
      </c>
      <c r="C3976" t="str">
        <f>VLOOKUP(A3976,'Programas y Unidades'!$A:$B,2,0)</f>
        <v>Especialización en Psicología Clínica de la Niñez y la Adolescencia  - Chía</v>
      </c>
    </row>
    <row r="3977" spans="1:3">
      <c r="A3977">
        <v>107</v>
      </c>
      <c r="B3977">
        <v>2</v>
      </c>
      <c r="C3977" t="str">
        <f>VLOOKUP(A3977,'Programas y Unidades'!$A:$B,2,0)</f>
        <v>Especialización en Psicología Clínica de la Niñez y la Adolescencia  - Chía</v>
      </c>
    </row>
    <row r="3978" spans="1:3">
      <c r="A3978">
        <v>107</v>
      </c>
      <c r="B3978">
        <v>2</v>
      </c>
      <c r="C3978" t="str">
        <f>VLOOKUP(A3978,'Programas y Unidades'!$A:$B,2,0)</f>
        <v>Especialización en Psicología Clínica de la Niñez y la Adolescencia  - Chía</v>
      </c>
    </row>
    <row r="3979" spans="1:3">
      <c r="A3979">
        <v>107</v>
      </c>
      <c r="B3979">
        <v>2</v>
      </c>
      <c r="C3979" t="str">
        <f>VLOOKUP(A3979,'Programas y Unidades'!$A:$B,2,0)</f>
        <v>Especialización en Psicología Clínica de la Niñez y la Adolescencia  - Chía</v>
      </c>
    </row>
    <row r="3980" spans="1:3">
      <c r="A3980">
        <v>107</v>
      </c>
      <c r="B3980">
        <v>2</v>
      </c>
      <c r="C3980" t="str">
        <f>VLOOKUP(A3980,'Programas y Unidades'!$A:$B,2,0)</f>
        <v>Especialización en Psicología Clínica de la Niñez y la Adolescencia  - Chía</v>
      </c>
    </row>
    <row r="3981" spans="1:3">
      <c r="A3981">
        <v>107</v>
      </c>
      <c r="B3981">
        <v>2</v>
      </c>
      <c r="C3981" t="str">
        <f>VLOOKUP(A3981,'Programas y Unidades'!$A:$B,2,0)</f>
        <v>Especialización en Psicología Clínica de la Niñez y la Adolescencia  - Chía</v>
      </c>
    </row>
    <row r="3982" spans="1:3">
      <c r="A3982">
        <v>107</v>
      </c>
      <c r="B3982">
        <v>2</v>
      </c>
      <c r="C3982" t="str">
        <f>VLOOKUP(A3982,'Programas y Unidades'!$A:$B,2,0)</f>
        <v>Especialización en Psicología Clínica de la Niñez y la Adolescencia  - Chía</v>
      </c>
    </row>
    <row r="3983" spans="1:3">
      <c r="A3983">
        <v>43</v>
      </c>
      <c r="B3983">
        <v>2</v>
      </c>
      <c r="C3983" t="str">
        <f>VLOOKUP(A3983,'Programas y Unidades'!$A:$B,2,0)</f>
        <v>Psicología</v>
      </c>
    </row>
    <row r="3984" spans="1:3">
      <c r="A3984">
        <v>107</v>
      </c>
      <c r="B3984">
        <v>2</v>
      </c>
      <c r="C3984" t="str">
        <f>VLOOKUP(A3984,'Programas y Unidades'!$A:$B,2,0)</f>
        <v>Especialización en Psicología Clínica de la Niñez y la Adolescencia  - Chía</v>
      </c>
    </row>
    <row r="3985" spans="1:3">
      <c r="A3985">
        <v>107</v>
      </c>
      <c r="B3985">
        <v>2</v>
      </c>
      <c r="C3985" t="str">
        <f>VLOOKUP(A3985,'Programas y Unidades'!$A:$B,2,0)</f>
        <v>Especialización en Psicología Clínica de la Niñez y la Adolescencia  - Chía</v>
      </c>
    </row>
    <row r="3986" spans="1:3">
      <c r="A3986">
        <v>107</v>
      </c>
      <c r="B3986">
        <v>2</v>
      </c>
      <c r="C3986" t="str">
        <f>VLOOKUP(A3986,'Programas y Unidades'!$A:$B,2,0)</f>
        <v>Especialización en Psicología Clínica de la Niñez y la Adolescencia  - Chía</v>
      </c>
    </row>
    <row r="3987" spans="1:3">
      <c r="A3987">
        <v>107</v>
      </c>
      <c r="B3987">
        <v>2</v>
      </c>
      <c r="C3987" t="str">
        <f>VLOOKUP(A3987,'Programas y Unidades'!$A:$B,2,0)</f>
        <v>Especialización en Psicología Clínica de la Niñez y la Adolescencia  - Chía</v>
      </c>
    </row>
    <row r="3988" spans="1:3">
      <c r="A3988">
        <v>153</v>
      </c>
      <c r="B3988">
        <v>2</v>
      </c>
      <c r="C3988" t="e">
        <f>VLOOKUP(A3988,'Programas y Unidades'!$A:$B,2,0)</f>
        <v>#N/A</v>
      </c>
    </row>
    <row r="3989" spans="1:3">
      <c r="A3989">
        <v>107</v>
      </c>
      <c r="B3989">
        <v>2</v>
      </c>
      <c r="C3989" t="str">
        <f>VLOOKUP(A3989,'Programas y Unidades'!$A:$B,2,0)</f>
        <v>Especialización en Psicología Clínica de la Niñez y la Adolescencia  - Chía</v>
      </c>
    </row>
    <row r="3990" spans="1:3">
      <c r="A3990">
        <v>107</v>
      </c>
      <c r="B3990">
        <v>2</v>
      </c>
      <c r="C3990" t="str">
        <f>VLOOKUP(A3990,'Programas y Unidades'!$A:$B,2,0)</f>
        <v>Especialización en Psicología Clínica de la Niñez y la Adolescencia  - Chía</v>
      </c>
    </row>
    <row r="3991" spans="1:3">
      <c r="A3991">
        <v>155</v>
      </c>
      <c r="B3991">
        <v>1</v>
      </c>
      <c r="C3991" t="e">
        <f>VLOOKUP(A3991,'Programas y Unidades'!$A:$B,2,0)</f>
        <v>#N/A</v>
      </c>
    </row>
    <row r="3992" spans="1:3">
      <c r="A3992">
        <v>155</v>
      </c>
      <c r="B3992">
        <v>1</v>
      </c>
      <c r="C3992" t="e">
        <f>VLOOKUP(A3992,'Programas y Unidades'!$A:$B,2,0)</f>
        <v>#N/A</v>
      </c>
    </row>
    <row r="3993" spans="1:3">
      <c r="A3993">
        <v>155</v>
      </c>
      <c r="B3993">
        <v>1</v>
      </c>
      <c r="C3993" t="e">
        <f>VLOOKUP(A3993,'Programas y Unidades'!$A:$B,2,0)</f>
        <v>#N/A</v>
      </c>
    </row>
    <row r="3994" spans="1:3">
      <c r="A3994">
        <v>155</v>
      </c>
      <c r="B3994">
        <v>1</v>
      </c>
      <c r="C3994" t="e">
        <f>VLOOKUP(A3994,'Programas y Unidades'!$A:$B,2,0)</f>
        <v>#N/A</v>
      </c>
    </row>
    <row r="3995" spans="1:3">
      <c r="A3995">
        <v>155</v>
      </c>
      <c r="B3995">
        <v>1</v>
      </c>
      <c r="C3995" t="e">
        <f>VLOOKUP(A3995,'Programas y Unidades'!$A:$B,2,0)</f>
        <v>#N/A</v>
      </c>
    </row>
    <row r="3996" spans="1:3">
      <c r="A3996">
        <v>155</v>
      </c>
      <c r="B3996">
        <v>1</v>
      </c>
      <c r="C3996" t="e">
        <f>VLOOKUP(A3996,'Programas y Unidades'!$A:$B,2,0)</f>
        <v>#N/A</v>
      </c>
    </row>
    <row r="3997" spans="1:3">
      <c r="A3997">
        <v>155</v>
      </c>
      <c r="B3997">
        <v>1</v>
      </c>
      <c r="C3997" t="e">
        <f>VLOOKUP(A3997,'Programas y Unidades'!$A:$B,2,0)</f>
        <v>#N/A</v>
      </c>
    </row>
    <row r="3998" spans="1:3">
      <c r="A3998">
        <v>155</v>
      </c>
      <c r="B3998">
        <v>1</v>
      </c>
      <c r="C3998" t="e">
        <f>VLOOKUP(A3998,'Programas y Unidades'!$A:$B,2,0)</f>
        <v>#N/A</v>
      </c>
    </row>
    <row r="3999" spans="1:3">
      <c r="A3999">
        <v>114</v>
      </c>
      <c r="B3999">
        <v>2</v>
      </c>
      <c r="C3999" t="str">
        <f>VLOOKUP(A3999,'Programas y Unidades'!$A:$B,2,0)</f>
        <v>Especialización en Gerencia Estratégica - Chía</v>
      </c>
    </row>
    <row r="4000" spans="1:3">
      <c r="A4000">
        <v>114</v>
      </c>
      <c r="B4000">
        <v>2</v>
      </c>
      <c r="C4000" t="str">
        <f>VLOOKUP(A4000,'Programas y Unidades'!$A:$B,2,0)</f>
        <v>Especialización en Gerencia Estratégica - Chía</v>
      </c>
    </row>
    <row r="4001" spans="1:3">
      <c r="A4001">
        <v>114</v>
      </c>
      <c r="B4001">
        <v>2</v>
      </c>
      <c r="C4001" t="str">
        <f>VLOOKUP(A4001,'Programas y Unidades'!$A:$B,2,0)</f>
        <v>Especialización en Gerencia Estratégica - Chía</v>
      </c>
    </row>
    <row r="4002" spans="1:3">
      <c r="A4002">
        <v>114</v>
      </c>
      <c r="B4002">
        <v>2</v>
      </c>
      <c r="C4002" t="str">
        <f>VLOOKUP(A4002,'Programas y Unidades'!$A:$B,2,0)</f>
        <v>Especialización en Gerencia Estratégica - Chía</v>
      </c>
    </row>
    <row r="4003" spans="1:3">
      <c r="A4003">
        <v>114</v>
      </c>
      <c r="B4003">
        <v>2</v>
      </c>
      <c r="C4003" t="str">
        <f>VLOOKUP(A4003,'Programas y Unidades'!$A:$B,2,0)</f>
        <v>Especialización en Gerencia Estratégica - Chía</v>
      </c>
    </row>
    <row r="4004" spans="1:3">
      <c r="A4004">
        <v>114</v>
      </c>
      <c r="B4004">
        <v>2</v>
      </c>
      <c r="C4004" t="str">
        <f>VLOOKUP(A4004,'Programas y Unidades'!$A:$B,2,0)</f>
        <v>Especialización en Gerencia Estratégica - Chía</v>
      </c>
    </row>
    <row r="4005" spans="1:3">
      <c r="A4005">
        <v>114</v>
      </c>
      <c r="B4005">
        <v>2</v>
      </c>
      <c r="C4005" t="str">
        <f>VLOOKUP(A4005,'Programas y Unidades'!$A:$B,2,0)</f>
        <v>Especialización en Gerencia Estratégica - Chía</v>
      </c>
    </row>
    <row r="4006" spans="1:3">
      <c r="A4006">
        <v>114</v>
      </c>
      <c r="B4006">
        <v>2</v>
      </c>
      <c r="C4006" t="str">
        <f>VLOOKUP(A4006,'Programas y Unidades'!$A:$B,2,0)</f>
        <v>Especialización en Gerencia Estratégica - Chía</v>
      </c>
    </row>
    <row r="4007" spans="1:3">
      <c r="A4007">
        <v>114</v>
      </c>
      <c r="B4007">
        <v>2</v>
      </c>
      <c r="C4007" t="str">
        <f>VLOOKUP(A4007,'Programas y Unidades'!$A:$B,2,0)</f>
        <v>Especialización en Gerencia Estratégica - Chía</v>
      </c>
    </row>
    <row r="4008" spans="1:3">
      <c r="A4008">
        <v>114</v>
      </c>
      <c r="B4008">
        <v>2</v>
      </c>
      <c r="C4008" t="str">
        <f>VLOOKUP(A4008,'Programas y Unidades'!$A:$B,2,0)</f>
        <v>Especialización en Gerencia Estratégica - Chía</v>
      </c>
    </row>
    <row r="4009" spans="1:3">
      <c r="A4009">
        <v>114</v>
      </c>
      <c r="B4009">
        <v>2</v>
      </c>
      <c r="C4009" t="str">
        <f>VLOOKUP(A4009,'Programas y Unidades'!$A:$B,2,0)</f>
        <v>Especialización en Gerencia Estratégica - Chía</v>
      </c>
    </row>
    <row r="4010" spans="1:3">
      <c r="A4010">
        <v>114</v>
      </c>
      <c r="B4010">
        <v>2</v>
      </c>
      <c r="C4010" t="str">
        <f>VLOOKUP(A4010,'Programas y Unidades'!$A:$B,2,0)</f>
        <v>Especialización en Gerencia Estratégica - Chía</v>
      </c>
    </row>
    <row r="4011" spans="1:3">
      <c r="A4011">
        <v>114</v>
      </c>
      <c r="B4011">
        <v>2</v>
      </c>
      <c r="C4011" t="str">
        <f>VLOOKUP(A4011,'Programas y Unidades'!$A:$B,2,0)</f>
        <v>Especialización en Gerencia Estratégica - Chía</v>
      </c>
    </row>
    <row r="4012" spans="1:3">
      <c r="A4012">
        <v>114</v>
      </c>
      <c r="B4012">
        <v>2</v>
      </c>
      <c r="C4012" t="str">
        <f>VLOOKUP(A4012,'Programas y Unidades'!$A:$B,2,0)</f>
        <v>Especialización en Gerencia Estratégica - Chía</v>
      </c>
    </row>
    <row r="4013" spans="1:3">
      <c r="A4013">
        <v>114</v>
      </c>
      <c r="B4013">
        <v>2</v>
      </c>
      <c r="C4013" t="str">
        <f>VLOOKUP(A4013,'Programas y Unidades'!$A:$B,2,0)</f>
        <v>Especialización en Gerencia Estratégica - Chía</v>
      </c>
    </row>
    <row r="4014" spans="1:3">
      <c r="A4014">
        <v>114</v>
      </c>
      <c r="B4014">
        <v>2</v>
      </c>
      <c r="C4014" t="str">
        <f>VLOOKUP(A4014,'Programas y Unidades'!$A:$B,2,0)</f>
        <v>Especialización en Gerencia Estratégica - Chía</v>
      </c>
    </row>
    <row r="4015" spans="1:3">
      <c r="A4015">
        <v>114</v>
      </c>
      <c r="B4015">
        <v>2</v>
      </c>
      <c r="C4015" t="str">
        <f>VLOOKUP(A4015,'Programas y Unidades'!$A:$B,2,0)</f>
        <v>Especialización en Gerencia Estratégica - Chía</v>
      </c>
    </row>
    <row r="4016" spans="1:3">
      <c r="A4016">
        <v>114</v>
      </c>
      <c r="B4016">
        <v>2</v>
      </c>
      <c r="C4016" t="str">
        <f>VLOOKUP(A4016,'Programas y Unidades'!$A:$B,2,0)</f>
        <v>Especialización en Gerencia Estratégica - Chía</v>
      </c>
    </row>
    <row r="4017" spans="1:3">
      <c r="A4017">
        <v>114</v>
      </c>
      <c r="B4017">
        <v>2</v>
      </c>
      <c r="C4017" t="str">
        <f>VLOOKUP(A4017,'Programas y Unidades'!$A:$B,2,0)</f>
        <v>Especialización en Gerencia Estratégica - Chía</v>
      </c>
    </row>
    <row r="4018" spans="1:3">
      <c r="A4018">
        <v>114</v>
      </c>
      <c r="B4018">
        <v>2</v>
      </c>
      <c r="C4018" t="str">
        <f>VLOOKUP(A4018,'Programas y Unidades'!$A:$B,2,0)</f>
        <v>Especialización en Gerencia Estratégica - Chía</v>
      </c>
    </row>
    <row r="4019" spans="1:3">
      <c r="A4019">
        <v>114</v>
      </c>
      <c r="B4019">
        <v>2</v>
      </c>
      <c r="C4019" t="str">
        <f>VLOOKUP(A4019,'Programas y Unidades'!$A:$B,2,0)</f>
        <v>Especialización en Gerencia Estratégica - Chía</v>
      </c>
    </row>
    <row r="4020" spans="1:3">
      <c r="A4020">
        <v>114</v>
      </c>
      <c r="B4020">
        <v>2</v>
      </c>
      <c r="C4020" t="str">
        <f>VLOOKUP(A4020,'Programas y Unidades'!$A:$B,2,0)</f>
        <v>Especialización en Gerencia Estratégica - Chía</v>
      </c>
    </row>
    <row r="4021" spans="1:3">
      <c r="A4021">
        <v>114</v>
      </c>
      <c r="B4021">
        <v>2</v>
      </c>
      <c r="C4021" t="str">
        <f>VLOOKUP(A4021,'Programas y Unidades'!$A:$B,2,0)</f>
        <v>Especialización en Gerencia Estratégica - Chía</v>
      </c>
    </row>
    <row r="4022" spans="1:3">
      <c r="A4022">
        <v>114</v>
      </c>
      <c r="B4022">
        <v>2</v>
      </c>
      <c r="C4022" t="str">
        <f>VLOOKUP(A4022,'Programas y Unidades'!$A:$B,2,0)</f>
        <v>Especialización en Gerencia Estratégica - Chía</v>
      </c>
    </row>
    <row r="4023" spans="1:3">
      <c r="A4023">
        <v>114</v>
      </c>
      <c r="B4023">
        <v>2</v>
      </c>
      <c r="C4023" t="str">
        <f>VLOOKUP(A4023,'Programas y Unidades'!$A:$B,2,0)</f>
        <v>Especialización en Gerencia Estratégica - Chía</v>
      </c>
    </row>
    <row r="4024" spans="1:3">
      <c r="A4024">
        <v>114</v>
      </c>
      <c r="B4024">
        <v>2</v>
      </c>
      <c r="C4024" t="str">
        <f>VLOOKUP(A4024,'Programas y Unidades'!$A:$B,2,0)</f>
        <v>Especialización en Gerencia Estratégica - Chía</v>
      </c>
    </row>
    <row r="4025" spans="1:3">
      <c r="A4025">
        <v>114</v>
      </c>
      <c r="B4025">
        <v>2</v>
      </c>
      <c r="C4025" t="str">
        <f>VLOOKUP(A4025,'Programas y Unidades'!$A:$B,2,0)</f>
        <v>Especialización en Gerencia Estratégica - Chía</v>
      </c>
    </row>
    <row r="4026" spans="1:3">
      <c r="A4026">
        <v>114</v>
      </c>
      <c r="B4026">
        <v>2</v>
      </c>
      <c r="C4026" t="str">
        <f>VLOOKUP(A4026,'Programas y Unidades'!$A:$B,2,0)</f>
        <v>Especialización en Gerencia Estratégica - Chía</v>
      </c>
    </row>
    <row r="4027" spans="1:3">
      <c r="A4027">
        <v>114</v>
      </c>
      <c r="B4027">
        <v>2</v>
      </c>
      <c r="C4027" t="str">
        <f>VLOOKUP(A4027,'Programas y Unidades'!$A:$B,2,0)</f>
        <v>Especialización en Gerencia Estratégica - Chía</v>
      </c>
    </row>
    <row r="4028" spans="1:3">
      <c r="A4028">
        <v>114</v>
      </c>
      <c r="B4028">
        <v>2</v>
      </c>
      <c r="C4028" t="str">
        <f>VLOOKUP(A4028,'Programas y Unidades'!$A:$B,2,0)</f>
        <v>Especialización en Gerencia Estratégica - Chía</v>
      </c>
    </row>
    <row r="4029" spans="1:3">
      <c r="A4029">
        <v>114</v>
      </c>
      <c r="B4029">
        <v>2</v>
      </c>
      <c r="C4029" t="str">
        <f>VLOOKUP(A4029,'Programas y Unidades'!$A:$B,2,0)</f>
        <v>Especialización en Gerencia Estratégica - Chía</v>
      </c>
    </row>
    <row r="4030" spans="1:3">
      <c r="A4030">
        <v>114</v>
      </c>
      <c r="B4030">
        <v>2</v>
      </c>
      <c r="C4030" t="str">
        <f>VLOOKUP(A4030,'Programas y Unidades'!$A:$B,2,0)</f>
        <v>Especialización en Gerencia Estratégica - Chía</v>
      </c>
    </row>
    <row r="4031" spans="1:3">
      <c r="A4031">
        <v>114</v>
      </c>
      <c r="B4031">
        <v>2</v>
      </c>
      <c r="C4031" t="str">
        <f>VLOOKUP(A4031,'Programas y Unidades'!$A:$B,2,0)</f>
        <v>Especialización en Gerencia Estratégica - Chía</v>
      </c>
    </row>
    <row r="4032" spans="1:3">
      <c r="A4032">
        <v>114</v>
      </c>
      <c r="B4032">
        <v>2</v>
      </c>
      <c r="C4032" t="str">
        <f>VLOOKUP(A4032,'Programas y Unidades'!$A:$B,2,0)</f>
        <v>Especialización en Gerencia Estratégica - Chía</v>
      </c>
    </row>
    <row r="4033" spans="1:3">
      <c r="A4033">
        <v>114</v>
      </c>
      <c r="B4033">
        <v>2</v>
      </c>
      <c r="C4033" t="str">
        <f>VLOOKUP(A4033,'Programas y Unidades'!$A:$B,2,0)</f>
        <v>Especialización en Gerencia Estratégica - Chía</v>
      </c>
    </row>
    <row r="4034" spans="1:3">
      <c r="A4034">
        <v>114</v>
      </c>
      <c r="B4034">
        <v>2</v>
      </c>
      <c r="C4034" t="str">
        <f>VLOOKUP(A4034,'Programas y Unidades'!$A:$B,2,0)</f>
        <v>Especialización en Gerencia Estratégica - Chía</v>
      </c>
    </row>
    <row r="4035" spans="1:3">
      <c r="A4035">
        <v>114</v>
      </c>
      <c r="B4035">
        <v>2</v>
      </c>
      <c r="C4035" t="str">
        <f>VLOOKUP(A4035,'Programas y Unidades'!$A:$B,2,0)</f>
        <v>Especialización en Gerencia Estratégica - Chía</v>
      </c>
    </row>
    <row r="4036" spans="1:3">
      <c r="A4036">
        <v>114</v>
      </c>
      <c r="B4036">
        <v>2</v>
      </c>
      <c r="C4036" t="str">
        <f>VLOOKUP(A4036,'Programas y Unidades'!$A:$B,2,0)</f>
        <v>Especialización en Gerencia Estratégica - Chía</v>
      </c>
    </row>
    <row r="4037" spans="1:3">
      <c r="A4037">
        <v>114</v>
      </c>
      <c r="B4037">
        <v>2</v>
      </c>
      <c r="C4037" t="str">
        <f>VLOOKUP(A4037,'Programas y Unidades'!$A:$B,2,0)</f>
        <v>Especialización en Gerencia Estratégica - Chía</v>
      </c>
    </row>
    <row r="4038" spans="1:3">
      <c r="A4038">
        <v>114</v>
      </c>
      <c r="B4038">
        <v>2</v>
      </c>
      <c r="C4038" t="str">
        <f>VLOOKUP(A4038,'Programas y Unidades'!$A:$B,2,0)</f>
        <v>Especialización en Gerencia Estratégica - Chía</v>
      </c>
    </row>
    <row r="4039" spans="1:3">
      <c r="A4039">
        <v>114</v>
      </c>
      <c r="B4039">
        <v>2</v>
      </c>
      <c r="C4039" t="str">
        <f>VLOOKUP(A4039,'Programas y Unidades'!$A:$B,2,0)</f>
        <v>Especialización en Gerencia Estratégica - Chía</v>
      </c>
    </row>
    <row r="4040" spans="1:3">
      <c r="A4040">
        <v>114</v>
      </c>
      <c r="B4040">
        <v>2</v>
      </c>
      <c r="C4040" t="str">
        <f>VLOOKUP(A4040,'Programas y Unidades'!$A:$B,2,0)</f>
        <v>Especialización en Gerencia Estratégica - Chía</v>
      </c>
    </row>
    <row r="4041" spans="1:3">
      <c r="A4041">
        <v>114</v>
      </c>
      <c r="B4041">
        <v>2</v>
      </c>
      <c r="C4041" t="str">
        <f>VLOOKUP(A4041,'Programas y Unidades'!$A:$B,2,0)</f>
        <v>Especialización en Gerencia Estratégica - Chía</v>
      </c>
    </row>
    <row r="4042" spans="1:3">
      <c r="A4042">
        <v>114</v>
      </c>
      <c r="B4042">
        <v>2</v>
      </c>
      <c r="C4042" t="str">
        <f>VLOOKUP(A4042,'Programas y Unidades'!$A:$B,2,0)</f>
        <v>Especialización en Gerencia Estratégica - Chía</v>
      </c>
    </row>
    <row r="4043" spans="1:3">
      <c r="A4043">
        <v>114</v>
      </c>
      <c r="B4043">
        <v>2</v>
      </c>
      <c r="C4043" t="str">
        <f>VLOOKUP(A4043,'Programas y Unidades'!$A:$B,2,0)</f>
        <v>Especialización en Gerencia Estratégica - Chía</v>
      </c>
    </row>
    <row r="4044" spans="1:3">
      <c r="A4044">
        <v>155</v>
      </c>
      <c r="B4044">
        <v>1</v>
      </c>
      <c r="C4044" t="e">
        <f>VLOOKUP(A4044,'Programas y Unidades'!$A:$B,2,0)</f>
        <v>#N/A</v>
      </c>
    </row>
    <row r="4045" spans="1:3">
      <c r="A4045">
        <v>114</v>
      </c>
      <c r="B4045">
        <v>1</v>
      </c>
      <c r="C4045" t="str">
        <f>VLOOKUP(A4045,'Programas y Unidades'!$A:$B,2,0)</f>
        <v>Especialización en Gerencia Estratégica - Chía</v>
      </c>
    </row>
    <row r="4046" spans="1:3">
      <c r="A4046">
        <v>114</v>
      </c>
      <c r="B4046">
        <v>1</v>
      </c>
      <c r="C4046" t="str">
        <f>VLOOKUP(A4046,'Programas y Unidades'!$A:$B,2,0)</f>
        <v>Especialización en Gerencia Estratégica - Chía</v>
      </c>
    </row>
    <row r="4047" spans="1:3">
      <c r="A4047">
        <v>114</v>
      </c>
      <c r="B4047">
        <v>1</v>
      </c>
      <c r="C4047" t="str">
        <f>VLOOKUP(A4047,'Programas y Unidades'!$A:$B,2,0)</f>
        <v>Especialización en Gerencia Estratégica - Chía</v>
      </c>
    </row>
    <row r="4048" spans="1:3">
      <c r="A4048">
        <v>114</v>
      </c>
      <c r="B4048">
        <v>1</v>
      </c>
      <c r="C4048" t="str">
        <f>VLOOKUP(A4048,'Programas y Unidades'!$A:$B,2,0)</f>
        <v>Especialización en Gerencia Estratégica - Chía</v>
      </c>
    </row>
    <row r="4049" spans="1:3">
      <c r="A4049">
        <v>114</v>
      </c>
      <c r="B4049">
        <v>1</v>
      </c>
      <c r="C4049" t="str">
        <f>VLOOKUP(A4049,'Programas y Unidades'!$A:$B,2,0)</f>
        <v>Especialización en Gerencia Estratégica - Chía</v>
      </c>
    </row>
    <row r="4050" spans="1:3">
      <c r="A4050">
        <v>114</v>
      </c>
      <c r="B4050">
        <v>1</v>
      </c>
      <c r="C4050" t="str">
        <f>VLOOKUP(A4050,'Programas y Unidades'!$A:$B,2,0)</f>
        <v>Especialización en Gerencia Estratégica - Chía</v>
      </c>
    </row>
    <row r="4051" spans="1:3">
      <c r="A4051">
        <v>114</v>
      </c>
      <c r="B4051">
        <v>1</v>
      </c>
      <c r="C4051" t="str">
        <f>VLOOKUP(A4051,'Programas y Unidades'!$A:$B,2,0)</f>
        <v>Especialización en Gerencia Estratégica - Chía</v>
      </c>
    </row>
    <row r="4052" spans="1:3">
      <c r="A4052">
        <v>114</v>
      </c>
      <c r="B4052">
        <v>1</v>
      </c>
      <c r="C4052" t="str">
        <f>VLOOKUP(A4052,'Programas y Unidades'!$A:$B,2,0)</f>
        <v>Especialización en Gerencia Estratégica - Chía</v>
      </c>
    </row>
    <row r="4053" spans="1:3">
      <c r="A4053">
        <v>114</v>
      </c>
      <c r="B4053">
        <v>1</v>
      </c>
      <c r="C4053" t="str">
        <f>VLOOKUP(A4053,'Programas y Unidades'!$A:$B,2,0)</f>
        <v>Especialización en Gerencia Estratégica - Chía</v>
      </c>
    </row>
    <row r="4054" spans="1:3">
      <c r="A4054">
        <v>114</v>
      </c>
      <c r="B4054">
        <v>1</v>
      </c>
      <c r="C4054" t="str">
        <f>VLOOKUP(A4054,'Programas y Unidades'!$A:$B,2,0)</f>
        <v>Especialización en Gerencia Estratégica - Chía</v>
      </c>
    </row>
    <row r="4055" spans="1:3">
      <c r="A4055">
        <v>114</v>
      </c>
      <c r="B4055">
        <v>1</v>
      </c>
      <c r="C4055" t="str">
        <f>VLOOKUP(A4055,'Programas y Unidades'!$A:$B,2,0)</f>
        <v>Especialización en Gerencia Estratégica - Chía</v>
      </c>
    </row>
    <row r="4056" spans="1:3">
      <c r="A4056">
        <v>114</v>
      </c>
      <c r="B4056">
        <v>1</v>
      </c>
      <c r="C4056" t="str">
        <f>VLOOKUP(A4056,'Programas y Unidades'!$A:$B,2,0)</f>
        <v>Especialización en Gerencia Estratégica - Chía</v>
      </c>
    </row>
    <row r="4057" spans="1:3">
      <c r="A4057">
        <v>114</v>
      </c>
      <c r="B4057">
        <v>1</v>
      </c>
      <c r="C4057" t="str">
        <f>VLOOKUP(A4057,'Programas y Unidades'!$A:$B,2,0)</f>
        <v>Especialización en Gerencia Estratégica - Chía</v>
      </c>
    </row>
    <row r="4058" spans="1:3">
      <c r="A4058">
        <v>114</v>
      </c>
      <c r="B4058">
        <v>1</v>
      </c>
      <c r="C4058" t="str">
        <f>VLOOKUP(A4058,'Programas y Unidades'!$A:$B,2,0)</f>
        <v>Especialización en Gerencia Estratégica - Chía</v>
      </c>
    </row>
    <row r="4059" spans="1:3">
      <c r="A4059">
        <v>114</v>
      </c>
      <c r="B4059">
        <v>1</v>
      </c>
      <c r="C4059" t="str">
        <f>VLOOKUP(A4059,'Programas y Unidades'!$A:$B,2,0)</f>
        <v>Especialización en Gerencia Estratégica - Chía</v>
      </c>
    </row>
    <row r="4060" spans="1:3">
      <c r="A4060">
        <v>114</v>
      </c>
      <c r="B4060">
        <v>1</v>
      </c>
      <c r="C4060" t="str">
        <f>VLOOKUP(A4060,'Programas y Unidades'!$A:$B,2,0)</f>
        <v>Especialización en Gerencia Estratégica - Chía</v>
      </c>
    </row>
    <row r="4061" spans="1:3">
      <c r="A4061">
        <v>114</v>
      </c>
      <c r="B4061">
        <v>1</v>
      </c>
      <c r="C4061" t="str">
        <f>VLOOKUP(A4061,'Programas y Unidades'!$A:$B,2,0)</f>
        <v>Especialización en Gerencia Estratégica - Chía</v>
      </c>
    </row>
    <row r="4062" spans="1:3">
      <c r="A4062">
        <v>114</v>
      </c>
      <c r="B4062">
        <v>1</v>
      </c>
      <c r="C4062" t="str">
        <f>VLOOKUP(A4062,'Programas y Unidades'!$A:$B,2,0)</f>
        <v>Especialización en Gerencia Estratégica - Chía</v>
      </c>
    </row>
    <row r="4063" spans="1:3">
      <c r="A4063">
        <v>114</v>
      </c>
      <c r="B4063">
        <v>1</v>
      </c>
      <c r="C4063" t="str">
        <f>VLOOKUP(A4063,'Programas y Unidades'!$A:$B,2,0)</f>
        <v>Especialización en Gerencia Estratégica - Chía</v>
      </c>
    </row>
    <row r="4064" spans="1:3">
      <c r="A4064">
        <v>114</v>
      </c>
      <c r="B4064">
        <v>1</v>
      </c>
      <c r="C4064" t="str">
        <f>VLOOKUP(A4064,'Programas y Unidades'!$A:$B,2,0)</f>
        <v>Especialización en Gerencia Estratégica - Chía</v>
      </c>
    </row>
    <row r="4065" spans="1:3">
      <c r="A4065">
        <v>114</v>
      </c>
      <c r="B4065">
        <v>1</v>
      </c>
      <c r="C4065" t="str">
        <f>VLOOKUP(A4065,'Programas y Unidades'!$A:$B,2,0)</f>
        <v>Especialización en Gerencia Estratégica - Chía</v>
      </c>
    </row>
    <row r="4066" spans="1:3">
      <c r="A4066">
        <v>114</v>
      </c>
      <c r="B4066">
        <v>1</v>
      </c>
      <c r="C4066" t="str">
        <f>VLOOKUP(A4066,'Programas y Unidades'!$A:$B,2,0)</f>
        <v>Especialización en Gerencia Estratégica - Chía</v>
      </c>
    </row>
    <row r="4067" spans="1:3">
      <c r="A4067">
        <v>114</v>
      </c>
      <c r="B4067">
        <v>1</v>
      </c>
      <c r="C4067" t="str">
        <f>VLOOKUP(A4067,'Programas y Unidades'!$A:$B,2,0)</f>
        <v>Especialización en Gerencia Estratégica - Chía</v>
      </c>
    </row>
    <row r="4068" spans="1:3">
      <c r="A4068">
        <v>114</v>
      </c>
      <c r="B4068">
        <v>1</v>
      </c>
      <c r="C4068" t="str">
        <f>VLOOKUP(A4068,'Programas y Unidades'!$A:$B,2,0)</f>
        <v>Especialización en Gerencia Estratégica - Chía</v>
      </c>
    </row>
    <row r="4069" spans="1:3">
      <c r="A4069">
        <v>114</v>
      </c>
      <c r="B4069">
        <v>1</v>
      </c>
      <c r="C4069" t="str">
        <f>VLOOKUP(A4069,'Programas y Unidades'!$A:$B,2,0)</f>
        <v>Especialización en Gerencia Estratégica - Chía</v>
      </c>
    </row>
    <row r="4070" spans="1:3">
      <c r="A4070">
        <v>114</v>
      </c>
      <c r="B4070">
        <v>1</v>
      </c>
      <c r="C4070" t="str">
        <f>VLOOKUP(A4070,'Programas y Unidades'!$A:$B,2,0)</f>
        <v>Especialización en Gerencia Estratégica - Chía</v>
      </c>
    </row>
    <row r="4071" spans="1:3">
      <c r="A4071">
        <v>114</v>
      </c>
      <c r="B4071">
        <v>1</v>
      </c>
      <c r="C4071" t="str">
        <f>VLOOKUP(A4071,'Programas y Unidades'!$A:$B,2,0)</f>
        <v>Especialización en Gerencia Estratégica - Chía</v>
      </c>
    </row>
    <row r="4072" spans="1:3">
      <c r="A4072">
        <v>114</v>
      </c>
      <c r="B4072">
        <v>2</v>
      </c>
      <c r="C4072" t="str">
        <f>VLOOKUP(A4072,'Programas y Unidades'!$A:$B,2,0)</f>
        <v>Especialización en Gerencia Estratégica - Chía</v>
      </c>
    </row>
    <row r="4073" spans="1:3">
      <c r="A4073">
        <v>114</v>
      </c>
      <c r="B4073">
        <v>1</v>
      </c>
      <c r="C4073" t="str">
        <f>VLOOKUP(A4073,'Programas y Unidades'!$A:$B,2,0)</f>
        <v>Especialización en Gerencia Estratégica - Chía</v>
      </c>
    </row>
    <row r="4074" spans="1:3">
      <c r="A4074">
        <v>114</v>
      </c>
      <c r="B4074">
        <v>1</v>
      </c>
      <c r="C4074" t="str">
        <f>VLOOKUP(A4074,'Programas y Unidades'!$A:$B,2,0)</f>
        <v>Especialización en Gerencia Estratégica - Chía</v>
      </c>
    </row>
    <row r="4075" spans="1:3">
      <c r="A4075">
        <v>114</v>
      </c>
      <c r="B4075">
        <v>1</v>
      </c>
      <c r="C4075" t="str">
        <f>VLOOKUP(A4075,'Programas y Unidades'!$A:$B,2,0)</f>
        <v>Especialización en Gerencia Estratégica - Chía</v>
      </c>
    </row>
    <row r="4076" spans="1:3">
      <c r="A4076">
        <v>114</v>
      </c>
      <c r="B4076">
        <v>1</v>
      </c>
      <c r="C4076" t="str">
        <f>VLOOKUP(A4076,'Programas y Unidades'!$A:$B,2,0)</f>
        <v>Especialización en Gerencia Estratégica - Chía</v>
      </c>
    </row>
    <row r="4077" spans="1:3">
      <c r="A4077">
        <v>114</v>
      </c>
      <c r="B4077">
        <v>1</v>
      </c>
      <c r="C4077" t="str">
        <f>VLOOKUP(A4077,'Programas y Unidades'!$A:$B,2,0)</f>
        <v>Especialización en Gerencia Estratégica - Chía</v>
      </c>
    </row>
    <row r="4078" spans="1:3">
      <c r="A4078">
        <v>114</v>
      </c>
      <c r="B4078">
        <v>1</v>
      </c>
      <c r="C4078" t="str">
        <f>VLOOKUP(A4078,'Programas y Unidades'!$A:$B,2,0)</f>
        <v>Especialización en Gerencia Estratégica - Chía</v>
      </c>
    </row>
    <row r="4079" spans="1:3">
      <c r="A4079">
        <v>114</v>
      </c>
      <c r="B4079">
        <v>1</v>
      </c>
      <c r="C4079" t="str">
        <f>VLOOKUP(A4079,'Programas y Unidades'!$A:$B,2,0)</f>
        <v>Especialización en Gerencia Estratégica - Chía</v>
      </c>
    </row>
    <row r="4080" spans="1:3">
      <c r="A4080">
        <v>114</v>
      </c>
      <c r="B4080">
        <v>1</v>
      </c>
      <c r="C4080" t="str">
        <f>VLOOKUP(A4080,'Programas y Unidades'!$A:$B,2,0)</f>
        <v>Especialización en Gerencia Estratégica - Chía</v>
      </c>
    </row>
    <row r="4081" spans="1:3">
      <c r="A4081">
        <v>114</v>
      </c>
      <c r="B4081">
        <v>1</v>
      </c>
      <c r="C4081" t="str">
        <f>VLOOKUP(A4081,'Programas y Unidades'!$A:$B,2,0)</f>
        <v>Especialización en Gerencia Estratégica - Chía</v>
      </c>
    </row>
    <row r="4082" spans="1:3">
      <c r="A4082">
        <v>114</v>
      </c>
      <c r="B4082">
        <v>1</v>
      </c>
      <c r="C4082" t="str">
        <f>VLOOKUP(A4082,'Programas y Unidades'!$A:$B,2,0)</f>
        <v>Especialización en Gerencia Estratégica - Chía</v>
      </c>
    </row>
    <row r="4083" spans="1:3">
      <c r="A4083">
        <v>114</v>
      </c>
      <c r="B4083">
        <v>1</v>
      </c>
      <c r="C4083" t="str">
        <f>VLOOKUP(A4083,'Programas y Unidades'!$A:$B,2,0)</f>
        <v>Especialización en Gerencia Estratégica - Chía</v>
      </c>
    </row>
    <row r="4084" spans="1:3">
      <c r="A4084">
        <v>114</v>
      </c>
      <c r="B4084">
        <v>1</v>
      </c>
      <c r="C4084" t="str">
        <f>VLOOKUP(A4084,'Programas y Unidades'!$A:$B,2,0)</f>
        <v>Especialización en Gerencia Estratégica - Chía</v>
      </c>
    </row>
    <row r="4085" spans="1:3">
      <c r="A4085">
        <v>114</v>
      </c>
      <c r="B4085">
        <v>1</v>
      </c>
      <c r="C4085" t="str">
        <f>VLOOKUP(A4085,'Programas y Unidades'!$A:$B,2,0)</f>
        <v>Especialización en Gerencia Estratégica - Chía</v>
      </c>
    </row>
    <row r="4086" spans="1:3">
      <c r="A4086">
        <v>114</v>
      </c>
      <c r="B4086">
        <v>1</v>
      </c>
      <c r="C4086" t="str">
        <f>VLOOKUP(A4086,'Programas y Unidades'!$A:$B,2,0)</f>
        <v>Especialización en Gerencia Estratégica - Chía</v>
      </c>
    </row>
    <row r="4087" spans="1:3">
      <c r="A4087">
        <v>114</v>
      </c>
      <c r="B4087">
        <v>1</v>
      </c>
      <c r="C4087" t="str">
        <f>VLOOKUP(A4087,'Programas y Unidades'!$A:$B,2,0)</f>
        <v>Especialización en Gerencia Estratégica - Chía</v>
      </c>
    </row>
    <row r="4088" spans="1:3">
      <c r="A4088">
        <v>114</v>
      </c>
      <c r="B4088">
        <v>1</v>
      </c>
      <c r="C4088" t="str">
        <f>VLOOKUP(A4088,'Programas y Unidades'!$A:$B,2,0)</f>
        <v>Especialización en Gerencia Estratégica - Chía</v>
      </c>
    </row>
    <row r="4089" spans="1:3">
      <c r="A4089">
        <v>114</v>
      </c>
      <c r="B4089">
        <v>1</v>
      </c>
      <c r="C4089" t="str">
        <f>VLOOKUP(A4089,'Programas y Unidades'!$A:$B,2,0)</f>
        <v>Especialización en Gerencia Estratégica - Chía</v>
      </c>
    </row>
    <row r="4090" spans="1:3">
      <c r="A4090">
        <v>114</v>
      </c>
      <c r="B4090">
        <v>1</v>
      </c>
      <c r="C4090" t="str">
        <f>VLOOKUP(A4090,'Programas y Unidades'!$A:$B,2,0)</f>
        <v>Especialización en Gerencia Estratégica - Chía</v>
      </c>
    </row>
    <row r="4091" spans="1:3">
      <c r="A4091">
        <v>114</v>
      </c>
      <c r="B4091">
        <v>1</v>
      </c>
      <c r="C4091" t="str">
        <f>VLOOKUP(A4091,'Programas y Unidades'!$A:$B,2,0)</f>
        <v>Especialización en Gerencia Estratégica - Chía</v>
      </c>
    </row>
    <row r="4092" spans="1:3">
      <c r="A4092">
        <v>114</v>
      </c>
      <c r="B4092">
        <v>2</v>
      </c>
      <c r="C4092" t="str">
        <f>VLOOKUP(A4092,'Programas y Unidades'!$A:$B,2,0)</f>
        <v>Especialización en Gerencia Estratégica - Chía</v>
      </c>
    </row>
    <row r="4093" spans="1:3">
      <c r="A4093">
        <v>114</v>
      </c>
      <c r="B4093">
        <v>1</v>
      </c>
      <c r="C4093" t="str">
        <f>VLOOKUP(A4093,'Programas y Unidades'!$A:$B,2,0)</f>
        <v>Especialización en Gerencia Estratégica - Chía</v>
      </c>
    </row>
    <row r="4094" spans="1:3">
      <c r="A4094">
        <v>114</v>
      </c>
      <c r="B4094">
        <v>1</v>
      </c>
      <c r="C4094" t="str">
        <f>VLOOKUP(A4094,'Programas y Unidades'!$A:$B,2,0)</f>
        <v>Especialización en Gerencia Estratégica - Chía</v>
      </c>
    </row>
    <row r="4095" spans="1:3">
      <c r="A4095">
        <v>76</v>
      </c>
      <c r="B4095">
        <v>3</v>
      </c>
      <c r="C4095" t="str">
        <f>VLOOKUP(A4095,'Programas y Unidades'!$A:$B,2,0)</f>
        <v>Maestría en Bioética - Chía</v>
      </c>
    </row>
    <row r="4096" spans="1:3">
      <c r="A4096">
        <v>138</v>
      </c>
      <c r="B4096">
        <v>1</v>
      </c>
      <c r="C4096" t="str">
        <f>VLOOKUP(A4096,'Programas y Unidades'!$A:$B,2,0)</f>
        <v>Especialización en Gerencia Comercial - Barranquilla</v>
      </c>
    </row>
    <row r="4097" spans="1:3">
      <c r="A4097">
        <v>138</v>
      </c>
      <c r="B4097">
        <v>1</v>
      </c>
      <c r="C4097" t="str">
        <f>VLOOKUP(A4097,'Programas y Unidades'!$A:$B,2,0)</f>
        <v>Especialización en Gerencia Comercial - Barranquilla</v>
      </c>
    </row>
    <row r="4098" spans="1:3">
      <c r="A4098">
        <v>138</v>
      </c>
      <c r="B4098">
        <v>1</v>
      </c>
      <c r="C4098" t="str">
        <f>VLOOKUP(A4098,'Programas y Unidades'!$A:$B,2,0)</f>
        <v>Especialización en Gerencia Comercial - Barranquilla</v>
      </c>
    </row>
    <row r="4099" spans="1:3">
      <c r="A4099">
        <v>138</v>
      </c>
      <c r="B4099">
        <v>1</v>
      </c>
      <c r="C4099" t="str">
        <f>VLOOKUP(A4099,'Programas y Unidades'!$A:$B,2,0)</f>
        <v>Especialización en Gerencia Comercial - Barranquilla</v>
      </c>
    </row>
    <row r="4100" spans="1:3">
      <c r="A4100">
        <v>138</v>
      </c>
      <c r="B4100">
        <v>1</v>
      </c>
      <c r="C4100" t="str">
        <f>VLOOKUP(A4100,'Programas y Unidades'!$A:$B,2,0)</f>
        <v>Especialización en Gerencia Comercial - Barranquilla</v>
      </c>
    </row>
    <row r="4101" spans="1:3">
      <c r="A4101">
        <v>138</v>
      </c>
      <c r="B4101">
        <v>1</v>
      </c>
      <c r="C4101" t="str">
        <f>VLOOKUP(A4101,'Programas y Unidades'!$A:$B,2,0)</f>
        <v>Especialización en Gerencia Comercial - Barranquilla</v>
      </c>
    </row>
    <row r="4102" spans="1:3">
      <c r="A4102">
        <v>138</v>
      </c>
      <c r="B4102">
        <v>1</v>
      </c>
      <c r="C4102" t="str">
        <f>VLOOKUP(A4102,'Programas y Unidades'!$A:$B,2,0)</f>
        <v>Especialización en Gerencia Comercial - Barranquilla</v>
      </c>
    </row>
    <row r="4103" spans="1:3">
      <c r="A4103">
        <v>138</v>
      </c>
      <c r="B4103">
        <v>1</v>
      </c>
      <c r="C4103" t="str">
        <f>VLOOKUP(A4103,'Programas y Unidades'!$A:$B,2,0)</f>
        <v>Especialización en Gerencia Comercial - Barranquilla</v>
      </c>
    </row>
    <row r="4104" spans="1:3">
      <c r="A4104">
        <v>138</v>
      </c>
      <c r="B4104">
        <v>1</v>
      </c>
      <c r="C4104" t="str">
        <f>VLOOKUP(A4104,'Programas y Unidades'!$A:$B,2,0)</f>
        <v>Especialización en Gerencia Comercial - Barranquilla</v>
      </c>
    </row>
    <row r="4105" spans="1:3">
      <c r="A4105">
        <v>138</v>
      </c>
      <c r="B4105">
        <v>1</v>
      </c>
      <c r="C4105" t="str">
        <f>VLOOKUP(A4105,'Programas y Unidades'!$A:$B,2,0)</f>
        <v>Especialización en Gerencia Comercial - Barranquilla</v>
      </c>
    </row>
    <row r="4106" spans="1:3">
      <c r="A4106">
        <v>138</v>
      </c>
      <c r="B4106">
        <v>1</v>
      </c>
      <c r="C4106" t="str">
        <f>VLOOKUP(A4106,'Programas y Unidades'!$A:$B,2,0)</f>
        <v>Especialización en Gerencia Comercial - Barranquilla</v>
      </c>
    </row>
    <row r="4107" spans="1:3">
      <c r="A4107">
        <v>138</v>
      </c>
      <c r="B4107">
        <v>1</v>
      </c>
      <c r="C4107" t="str">
        <f>VLOOKUP(A4107,'Programas y Unidades'!$A:$B,2,0)</f>
        <v>Especialización en Gerencia Comercial - Barranquilla</v>
      </c>
    </row>
    <row r="4108" spans="1:3">
      <c r="A4108">
        <v>165</v>
      </c>
      <c r="B4108">
        <v>2</v>
      </c>
      <c r="C4108" t="e">
        <f>VLOOKUP(A4108,'Programas y Unidades'!$A:$B,2,0)</f>
        <v>#N/A</v>
      </c>
    </row>
    <row r="4109" spans="1:3">
      <c r="A4109">
        <v>165</v>
      </c>
      <c r="B4109">
        <v>2</v>
      </c>
      <c r="C4109" t="e">
        <f>VLOOKUP(A4109,'Programas y Unidades'!$A:$B,2,0)</f>
        <v>#N/A</v>
      </c>
    </row>
    <row r="4110" spans="1:3">
      <c r="A4110">
        <v>165</v>
      </c>
      <c r="B4110">
        <v>2</v>
      </c>
      <c r="C4110" t="e">
        <f>VLOOKUP(A4110,'Programas y Unidades'!$A:$B,2,0)</f>
        <v>#N/A</v>
      </c>
    </row>
    <row r="4111" spans="1:3">
      <c r="A4111">
        <v>165</v>
      </c>
      <c r="B4111">
        <v>2</v>
      </c>
      <c r="C4111" t="e">
        <f>VLOOKUP(A4111,'Programas y Unidades'!$A:$B,2,0)</f>
        <v>#N/A</v>
      </c>
    </row>
    <row r="4112" spans="1:3">
      <c r="A4112">
        <v>165</v>
      </c>
      <c r="B4112">
        <v>2</v>
      </c>
      <c r="C4112" t="e">
        <f>VLOOKUP(A4112,'Programas y Unidades'!$A:$B,2,0)</f>
        <v>#N/A</v>
      </c>
    </row>
    <row r="4113" spans="1:3">
      <c r="A4113">
        <v>165</v>
      </c>
      <c r="B4113">
        <v>2</v>
      </c>
      <c r="C4113" t="e">
        <f>VLOOKUP(A4113,'Programas y Unidades'!$A:$B,2,0)</f>
        <v>#N/A</v>
      </c>
    </row>
    <row r="4114" spans="1:3">
      <c r="A4114">
        <v>165</v>
      </c>
      <c r="B4114">
        <v>2</v>
      </c>
      <c r="C4114" t="e">
        <f>VLOOKUP(A4114,'Programas y Unidades'!$A:$B,2,0)</f>
        <v>#N/A</v>
      </c>
    </row>
    <row r="4115" spans="1:3">
      <c r="A4115">
        <v>165</v>
      </c>
      <c r="B4115">
        <v>2</v>
      </c>
      <c r="C4115" t="e">
        <f>VLOOKUP(A4115,'Programas y Unidades'!$A:$B,2,0)</f>
        <v>#N/A</v>
      </c>
    </row>
    <row r="4116" spans="1:3">
      <c r="A4116">
        <v>165</v>
      </c>
      <c r="B4116">
        <v>2</v>
      </c>
      <c r="C4116" t="e">
        <f>VLOOKUP(A4116,'Programas y Unidades'!$A:$B,2,0)</f>
        <v>#N/A</v>
      </c>
    </row>
    <row r="4117" spans="1:3">
      <c r="A4117">
        <v>165</v>
      </c>
      <c r="B4117">
        <v>2</v>
      </c>
      <c r="C4117" t="e">
        <f>VLOOKUP(A4117,'Programas y Unidades'!$A:$B,2,0)</f>
        <v>#N/A</v>
      </c>
    </row>
    <row r="4118" spans="1:3">
      <c r="A4118">
        <v>165</v>
      </c>
      <c r="B4118">
        <v>2</v>
      </c>
      <c r="C4118" t="e">
        <f>VLOOKUP(A4118,'Programas y Unidades'!$A:$B,2,0)</f>
        <v>#N/A</v>
      </c>
    </row>
    <row r="4119" spans="1:3">
      <c r="A4119">
        <v>165</v>
      </c>
      <c r="B4119">
        <v>2</v>
      </c>
      <c r="C4119" t="e">
        <f>VLOOKUP(A4119,'Programas y Unidades'!$A:$B,2,0)</f>
        <v>#N/A</v>
      </c>
    </row>
    <row r="4120" spans="1:3">
      <c r="A4120">
        <v>165</v>
      </c>
      <c r="B4120">
        <v>2</v>
      </c>
      <c r="C4120" t="e">
        <f>VLOOKUP(A4120,'Programas y Unidades'!$A:$B,2,0)</f>
        <v>#N/A</v>
      </c>
    </row>
    <row r="4121" spans="1:3">
      <c r="A4121">
        <v>165</v>
      </c>
      <c r="B4121">
        <v>2</v>
      </c>
      <c r="C4121" t="e">
        <f>VLOOKUP(A4121,'Programas y Unidades'!$A:$B,2,0)</f>
        <v>#N/A</v>
      </c>
    </row>
    <row r="4122" spans="1:3">
      <c r="A4122">
        <v>165</v>
      </c>
      <c r="B4122">
        <v>2</v>
      </c>
      <c r="C4122" t="e">
        <f>VLOOKUP(A4122,'Programas y Unidades'!$A:$B,2,0)</f>
        <v>#N/A</v>
      </c>
    </row>
    <row r="4123" spans="1:3">
      <c r="A4123">
        <v>165</v>
      </c>
      <c r="B4123">
        <v>2</v>
      </c>
      <c r="C4123" t="e">
        <f>VLOOKUP(A4123,'Programas y Unidades'!$A:$B,2,0)</f>
        <v>#N/A</v>
      </c>
    </row>
    <row r="4124" spans="1:3">
      <c r="A4124">
        <v>165</v>
      </c>
      <c r="B4124">
        <v>2</v>
      </c>
      <c r="C4124" t="e">
        <f>VLOOKUP(A4124,'Programas y Unidades'!$A:$B,2,0)</f>
        <v>#N/A</v>
      </c>
    </row>
    <row r="4125" spans="1:3">
      <c r="A4125">
        <v>165</v>
      </c>
      <c r="B4125">
        <v>2</v>
      </c>
      <c r="C4125" t="e">
        <f>VLOOKUP(A4125,'Programas y Unidades'!$A:$B,2,0)</f>
        <v>#N/A</v>
      </c>
    </row>
    <row r="4126" spans="1:3">
      <c r="A4126">
        <v>165</v>
      </c>
      <c r="B4126">
        <v>2</v>
      </c>
      <c r="C4126" t="e">
        <f>VLOOKUP(A4126,'Programas y Unidades'!$A:$B,2,0)</f>
        <v>#N/A</v>
      </c>
    </row>
    <row r="4127" spans="1:3">
      <c r="A4127">
        <v>165</v>
      </c>
      <c r="B4127">
        <v>2</v>
      </c>
      <c r="C4127" t="e">
        <f>VLOOKUP(A4127,'Programas y Unidades'!$A:$B,2,0)</f>
        <v>#N/A</v>
      </c>
    </row>
    <row r="4128" spans="1:3">
      <c r="A4128">
        <v>165</v>
      </c>
      <c r="B4128">
        <v>2</v>
      </c>
      <c r="C4128" t="e">
        <f>VLOOKUP(A4128,'Programas y Unidades'!$A:$B,2,0)</f>
        <v>#N/A</v>
      </c>
    </row>
    <row r="4129" spans="1:3">
      <c r="A4129">
        <v>165</v>
      </c>
      <c r="B4129">
        <v>2</v>
      </c>
      <c r="C4129" t="e">
        <f>VLOOKUP(A4129,'Programas y Unidades'!$A:$B,2,0)</f>
        <v>#N/A</v>
      </c>
    </row>
    <row r="4130" spans="1:3">
      <c r="A4130">
        <v>165</v>
      </c>
      <c r="B4130">
        <v>2</v>
      </c>
      <c r="C4130" t="e">
        <f>VLOOKUP(A4130,'Programas y Unidades'!$A:$B,2,0)</f>
        <v>#N/A</v>
      </c>
    </row>
    <row r="4131" spans="1:3">
      <c r="A4131">
        <v>165</v>
      </c>
      <c r="B4131">
        <v>2</v>
      </c>
      <c r="C4131" t="e">
        <f>VLOOKUP(A4131,'Programas y Unidades'!$A:$B,2,0)</f>
        <v>#N/A</v>
      </c>
    </row>
    <row r="4132" spans="1:3">
      <c r="A4132">
        <v>165</v>
      </c>
      <c r="B4132">
        <v>2</v>
      </c>
      <c r="C4132" t="e">
        <f>VLOOKUP(A4132,'Programas y Unidades'!$A:$B,2,0)</f>
        <v>#N/A</v>
      </c>
    </row>
    <row r="4133" spans="1:3">
      <c r="A4133">
        <v>165</v>
      </c>
      <c r="B4133">
        <v>2</v>
      </c>
      <c r="C4133" t="e">
        <f>VLOOKUP(A4133,'Programas y Unidades'!$A:$B,2,0)</f>
        <v>#N/A</v>
      </c>
    </row>
    <row r="4134" spans="1:3">
      <c r="A4134">
        <v>165</v>
      </c>
      <c r="B4134">
        <v>2</v>
      </c>
      <c r="C4134" t="e">
        <f>VLOOKUP(A4134,'Programas y Unidades'!$A:$B,2,0)</f>
        <v>#N/A</v>
      </c>
    </row>
    <row r="4135" spans="1:3">
      <c r="A4135">
        <v>165</v>
      </c>
      <c r="B4135">
        <v>2</v>
      </c>
      <c r="C4135" t="e">
        <f>VLOOKUP(A4135,'Programas y Unidades'!$A:$B,2,0)</f>
        <v>#N/A</v>
      </c>
    </row>
    <row r="4136" spans="1:3">
      <c r="A4136">
        <v>131</v>
      </c>
      <c r="B4136">
        <v>1</v>
      </c>
      <c r="C4136" t="str">
        <f>VLOOKUP(A4136,'Programas y Unidades'!$A:$B,2,0)</f>
        <v>Especialización en Gerencia Estratégica - Medellín</v>
      </c>
    </row>
    <row r="4137" spans="1:3">
      <c r="A4137">
        <v>114</v>
      </c>
      <c r="B4137">
        <v>4</v>
      </c>
      <c r="C4137" t="str">
        <f>VLOOKUP(A4137,'Programas y Unidades'!$A:$B,2,0)</f>
        <v>Especialización en Gerencia Estratégica - Chía</v>
      </c>
    </row>
    <row r="4138" spans="1:3">
      <c r="A4138">
        <v>165</v>
      </c>
      <c r="B4138">
        <v>2</v>
      </c>
      <c r="C4138" t="e">
        <f>VLOOKUP(A4138,'Programas y Unidades'!$A:$B,2,0)</f>
        <v>#N/A</v>
      </c>
    </row>
    <row r="4139" spans="1:3">
      <c r="A4139">
        <v>165</v>
      </c>
      <c r="B4139">
        <v>2</v>
      </c>
      <c r="C4139" t="e">
        <f>VLOOKUP(A4139,'Programas y Unidades'!$A:$B,2,0)</f>
        <v>#N/A</v>
      </c>
    </row>
    <row r="4140" spans="1:3">
      <c r="A4140">
        <v>165</v>
      </c>
      <c r="B4140">
        <v>2</v>
      </c>
      <c r="C4140" t="e">
        <f>VLOOKUP(A4140,'Programas y Unidades'!$A:$B,2,0)</f>
        <v>#N/A</v>
      </c>
    </row>
    <row r="4141" spans="1:3">
      <c r="A4141">
        <v>165</v>
      </c>
      <c r="B4141">
        <v>2</v>
      </c>
      <c r="C4141" t="e">
        <f>VLOOKUP(A4141,'Programas y Unidades'!$A:$B,2,0)</f>
        <v>#N/A</v>
      </c>
    </row>
    <row r="4142" spans="1:3">
      <c r="A4142">
        <v>50</v>
      </c>
      <c r="B4142">
        <v>3</v>
      </c>
      <c r="C4142" t="str">
        <f>VLOOKUP(A4142,'Programas y Unidades'!$A:$B,2,0)</f>
        <v>Doctorado en Comunicación - Chía</v>
      </c>
    </row>
    <row r="4143" spans="1:3">
      <c r="A4143">
        <v>52</v>
      </c>
      <c r="B4143">
        <v>3</v>
      </c>
      <c r="C4143" t="str">
        <f>VLOOKUP(A4143,'Programas y Unidades'!$A:$B,2,0)</f>
        <v>Maestría en Periodismo y Comunicación Digital - Chía</v>
      </c>
    </row>
    <row r="4144" spans="1:3">
      <c r="A4144">
        <v>52</v>
      </c>
      <c r="B4144">
        <v>3</v>
      </c>
      <c r="C4144" t="str">
        <f>VLOOKUP(A4144,'Programas y Unidades'!$A:$B,2,0)</f>
        <v>Maestría en Periodismo y Comunicación Digital - Chía</v>
      </c>
    </row>
    <row r="4145" spans="1:3">
      <c r="A4145">
        <v>95</v>
      </c>
      <c r="B4145">
        <v>3</v>
      </c>
      <c r="C4145" t="str">
        <f>VLOOKUP(A4145,'Programas y Unidades'!$A:$B,2,0)</f>
        <v>Maestría en Asesoría Familiar y Gestión de Programas para la Familia - Virtual</v>
      </c>
    </row>
    <row r="4146" spans="1:3">
      <c r="A4146">
        <v>2</v>
      </c>
      <c r="B4146">
        <v>3</v>
      </c>
      <c r="C4146" t="str">
        <f>VLOOKUP(A4146,'Programas y Unidades'!$A:$B,2,0)</f>
        <v>Especialización en Cirugía General</v>
      </c>
    </row>
    <row r="4147" spans="1:3">
      <c r="A4147">
        <v>3</v>
      </c>
      <c r="B4147">
        <v>2</v>
      </c>
      <c r="C4147" t="str">
        <f>VLOOKUP(A4147,'Programas y Unidades'!$A:$B,2,0)</f>
        <v>Especialización en Cuidado Intensivo Pediátrico</v>
      </c>
    </row>
    <row r="4148" spans="1:3">
      <c r="A4148">
        <v>81</v>
      </c>
      <c r="B4148">
        <v>3</v>
      </c>
      <c r="C4148" t="str">
        <f>VLOOKUP(A4148,'Programas y Unidades'!$A:$B,2,0)</f>
        <v>Maestría en Gerencia y Desarrollo de Personas - Chía</v>
      </c>
    </row>
    <row r="4149" spans="1:3">
      <c r="A4149">
        <v>1</v>
      </c>
      <c r="B4149">
        <v>3</v>
      </c>
      <c r="C4149" t="str">
        <f>VLOOKUP(A4149,'Programas y Unidades'!$A:$B,2,0)</f>
        <v>Especialización en Anestesiología y Medicina Perioperatoria</v>
      </c>
    </row>
    <row r="4150" spans="1:3">
      <c r="A4150">
        <v>50</v>
      </c>
      <c r="B4150">
        <v>5</v>
      </c>
      <c r="C4150" t="str">
        <f>VLOOKUP(A4150,'Programas y Unidades'!$A:$B,2,0)</f>
        <v>Doctorado en Comunicación - Chía</v>
      </c>
    </row>
    <row r="4151" spans="1:3">
      <c r="A4151">
        <v>75</v>
      </c>
      <c r="B4151">
        <v>2</v>
      </c>
      <c r="C4151" t="str">
        <f>VLOOKUP(A4151,'Programas y Unidades'!$A:$B,2,0)</f>
        <v>Maestría en Analítica Aplicada - Chía</v>
      </c>
    </row>
    <row r="4152" spans="1:3">
      <c r="A4152">
        <v>75</v>
      </c>
      <c r="B4152">
        <v>2</v>
      </c>
      <c r="C4152" t="str">
        <f>VLOOKUP(A4152,'Programas y Unidades'!$A:$B,2,0)</f>
        <v>Maestría en Analítica Aplicada - Chía</v>
      </c>
    </row>
    <row r="4153" spans="1:3">
      <c r="A4153">
        <v>75</v>
      </c>
      <c r="B4153">
        <v>2</v>
      </c>
      <c r="C4153" t="str">
        <f>VLOOKUP(A4153,'Programas y Unidades'!$A:$B,2,0)</f>
        <v>Maestría en Analítica Aplicada - Chía</v>
      </c>
    </row>
    <row r="4154" spans="1:3">
      <c r="A4154">
        <v>75</v>
      </c>
      <c r="B4154">
        <v>1</v>
      </c>
      <c r="C4154" t="str">
        <f>VLOOKUP(A4154,'Programas y Unidades'!$A:$B,2,0)</f>
        <v>Maestría en Analítica Aplicada - Chía</v>
      </c>
    </row>
    <row r="4155" spans="1:3">
      <c r="A4155">
        <v>75</v>
      </c>
      <c r="B4155">
        <v>1</v>
      </c>
      <c r="C4155" t="str">
        <f>VLOOKUP(A4155,'Programas y Unidades'!$A:$B,2,0)</f>
        <v>Maestría en Analítica Aplicada - Chía</v>
      </c>
    </row>
    <row r="4156" spans="1:3">
      <c r="A4156">
        <v>73</v>
      </c>
      <c r="B4156">
        <v>2</v>
      </c>
      <c r="C4156" t="str">
        <f>VLOOKUP(A4156,'Programas y Unidades'!$A:$B,2,0)</f>
        <v>Maestría en Diseño y Gestión de Procesos - Chía</v>
      </c>
    </row>
    <row r="4157" spans="1:3">
      <c r="A4157">
        <v>75</v>
      </c>
      <c r="B4157">
        <v>2</v>
      </c>
      <c r="C4157" t="str">
        <f>VLOOKUP(A4157,'Programas y Unidades'!$A:$B,2,0)</f>
        <v>Maestría en Analítica Aplicada - Chía</v>
      </c>
    </row>
    <row r="4158" spans="1:3">
      <c r="A4158">
        <v>75</v>
      </c>
      <c r="B4158">
        <v>2</v>
      </c>
      <c r="C4158" t="str">
        <f>VLOOKUP(A4158,'Programas y Unidades'!$A:$B,2,0)</f>
        <v>Maestría en Analítica Aplicada - Chía</v>
      </c>
    </row>
    <row r="4159" spans="1:3">
      <c r="A4159">
        <v>75</v>
      </c>
      <c r="B4159">
        <v>2</v>
      </c>
      <c r="C4159" t="str">
        <f>VLOOKUP(A4159,'Programas y Unidades'!$A:$B,2,0)</f>
        <v>Maestría en Analítica Aplicada - Chía</v>
      </c>
    </row>
    <row r="4160" spans="1:3">
      <c r="A4160">
        <v>75</v>
      </c>
      <c r="B4160">
        <v>2</v>
      </c>
      <c r="C4160" t="str">
        <f>VLOOKUP(A4160,'Programas y Unidades'!$A:$B,2,0)</f>
        <v>Maestría en Analítica Aplicada - Chía</v>
      </c>
    </row>
    <row r="4161" spans="1:3">
      <c r="A4161">
        <v>75</v>
      </c>
      <c r="B4161">
        <v>2</v>
      </c>
      <c r="C4161" t="str">
        <f>VLOOKUP(A4161,'Programas y Unidades'!$A:$B,2,0)</f>
        <v>Maestría en Analítica Aplicada - Chía</v>
      </c>
    </row>
    <row r="4162" spans="1:3">
      <c r="A4162">
        <v>75</v>
      </c>
      <c r="B4162">
        <v>2</v>
      </c>
      <c r="C4162" t="str">
        <f>VLOOKUP(A4162,'Programas y Unidades'!$A:$B,2,0)</f>
        <v>Maestría en Analítica Aplicada - Chía</v>
      </c>
    </row>
    <row r="4163" spans="1:3">
      <c r="A4163">
        <v>75</v>
      </c>
      <c r="B4163">
        <v>2</v>
      </c>
      <c r="C4163" t="str">
        <f>VLOOKUP(A4163,'Programas y Unidades'!$A:$B,2,0)</f>
        <v>Maestría en Analítica Aplicada - Chía</v>
      </c>
    </row>
    <row r="4164" spans="1:3">
      <c r="A4164">
        <v>75</v>
      </c>
      <c r="B4164">
        <v>2</v>
      </c>
      <c r="C4164" t="str">
        <f>VLOOKUP(A4164,'Programas y Unidades'!$A:$B,2,0)</f>
        <v>Maestría en Analítica Aplicada - Chía</v>
      </c>
    </row>
    <row r="4165" spans="1:3">
      <c r="A4165">
        <v>75</v>
      </c>
      <c r="B4165">
        <v>2</v>
      </c>
      <c r="C4165" t="str">
        <f>VLOOKUP(A4165,'Programas y Unidades'!$A:$B,2,0)</f>
        <v>Maestría en Analítica Aplicada - Chía</v>
      </c>
    </row>
    <row r="4166" spans="1:3">
      <c r="A4166">
        <v>75</v>
      </c>
      <c r="B4166">
        <v>2</v>
      </c>
      <c r="C4166" t="str">
        <f>VLOOKUP(A4166,'Programas y Unidades'!$A:$B,2,0)</f>
        <v>Maestría en Analítica Aplicada - Chía</v>
      </c>
    </row>
    <row r="4167" spans="1:3">
      <c r="A4167">
        <v>75</v>
      </c>
      <c r="B4167">
        <v>2</v>
      </c>
      <c r="C4167" t="str">
        <f>VLOOKUP(A4167,'Programas y Unidades'!$A:$B,2,0)</f>
        <v>Maestría en Analítica Aplicada - Chía</v>
      </c>
    </row>
    <row r="4168" spans="1:3">
      <c r="A4168">
        <v>75</v>
      </c>
      <c r="B4168">
        <v>2</v>
      </c>
      <c r="C4168" t="str">
        <f>VLOOKUP(A4168,'Programas y Unidades'!$A:$B,2,0)</f>
        <v>Maestría en Analítica Aplicada - Chía</v>
      </c>
    </row>
    <row r="4169" spans="1:3">
      <c r="A4169">
        <v>50</v>
      </c>
      <c r="B4169">
        <v>4</v>
      </c>
      <c r="C4169" t="str">
        <f>VLOOKUP(A4169,'Programas y Unidades'!$A:$B,2,0)</f>
        <v>Doctorado en Comunicación - Chía</v>
      </c>
    </row>
    <row r="4170" spans="1:3">
      <c r="A4170">
        <v>75</v>
      </c>
      <c r="B4170">
        <v>2</v>
      </c>
      <c r="C4170" t="str">
        <f>VLOOKUP(A4170,'Programas y Unidades'!$A:$B,2,0)</f>
        <v>Maestría en Analítica Aplicada - Chía</v>
      </c>
    </row>
    <row r="4171" spans="1:3">
      <c r="A4171">
        <v>80</v>
      </c>
      <c r="B4171">
        <v>4</v>
      </c>
      <c r="C4171" t="str">
        <f>VLOOKUP(A4171,'Programas y Unidades'!$A:$B,2,0)</f>
        <v>Maestría en Psicología - Chía</v>
      </c>
    </row>
    <row r="4172" spans="1:3">
      <c r="A4172">
        <v>153</v>
      </c>
      <c r="B4172">
        <v>4</v>
      </c>
      <c r="C4172" t="e">
        <f>VLOOKUP(A4172,'Programas y Unidades'!$A:$B,2,0)</f>
        <v>#N/A</v>
      </c>
    </row>
    <row r="4173" spans="1:3">
      <c r="A4173">
        <v>153</v>
      </c>
      <c r="B4173">
        <v>4</v>
      </c>
      <c r="C4173" t="e">
        <f>VLOOKUP(A4173,'Programas y Unidades'!$A:$B,2,0)</f>
        <v>#N/A</v>
      </c>
    </row>
    <row r="4174" spans="1:3">
      <c r="A4174">
        <v>153</v>
      </c>
      <c r="B4174">
        <v>4</v>
      </c>
      <c r="C4174" t="e">
        <f>VLOOKUP(A4174,'Programas y Unidades'!$A:$B,2,0)</f>
        <v>#N/A</v>
      </c>
    </row>
    <row r="4175" spans="1:3">
      <c r="A4175">
        <v>153</v>
      </c>
      <c r="B4175">
        <v>4</v>
      </c>
      <c r="C4175" t="e">
        <f>VLOOKUP(A4175,'Programas y Unidades'!$A:$B,2,0)</f>
        <v>#N/A</v>
      </c>
    </row>
    <row r="4176" spans="1:3">
      <c r="A4176">
        <v>153</v>
      </c>
      <c r="B4176">
        <v>4</v>
      </c>
      <c r="C4176" t="e">
        <f>VLOOKUP(A4176,'Programas y Unidades'!$A:$B,2,0)</f>
        <v>#N/A</v>
      </c>
    </row>
    <row r="4177" spans="1:3">
      <c r="A4177">
        <v>153</v>
      </c>
      <c r="B4177">
        <v>4</v>
      </c>
      <c r="C4177" t="e">
        <f>VLOOKUP(A4177,'Programas y Unidades'!$A:$B,2,0)</f>
        <v>#N/A</v>
      </c>
    </row>
    <row r="4178" spans="1:3">
      <c r="A4178">
        <v>153</v>
      </c>
      <c r="B4178">
        <v>4</v>
      </c>
      <c r="C4178" t="e">
        <f>VLOOKUP(A4178,'Programas y Unidades'!$A:$B,2,0)</f>
        <v>#N/A</v>
      </c>
    </row>
    <row r="4179" spans="1:3">
      <c r="A4179">
        <v>153</v>
      </c>
      <c r="B4179">
        <v>4</v>
      </c>
      <c r="C4179" t="e">
        <f>VLOOKUP(A4179,'Programas y Unidades'!$A:$B,2,0)</f>
        <v>#N/A</v>
      </c>
    </row>
    <row r="4180" spans="1:3">
      <c r="A4180">
        <v>153</v>
      </c>
      <c r="B4180">
        <v>4</v>
      </c>
      <c r="C4180" t="e">
        <f>VLOOKUP(A4180,'Programas y Unidades'!$A:$B,2,0)</f>
        <v>#N/A</v>
      </c>
    </row>
    <row r="4181" spans="1:3">
      <c r="A4181">
        <v>153</v>
      </c>
      <c r="B4181">
        <v>4</v>
      </c>
      <c r="C4181" t="e">
        <f>VLOOKUP(A4181,'Programas y Unidades'!$A:$B,2,0)</f>
        <v>#N/A</v>
      </c>
    </row>
    <row r="4182" spans="1:3">
      <c r="A4182">
        <v>153</v>
      </c>
      <c r="B4182">
        <v>4</v>
      </c>
      <c r="C4182" t="e">
        <f>VLOOKUP(A4182,'Programas y Unidades'!$A:$B,2,0)</f>
        <v>#N/A</v>
      </c>
    </row>
    <row r="4183" spans="1:3">
      <c r="A4183">
        <v>153</v>
      </c>
      <c r="B4183">
        <v>4</v>
      </c>
      <c r="C4183" t="e">
        <f>VLOOKUP(A4183,'Programas y Unidades'!$A:$B,2,0)</f>
        <v>#N/A</v>
      </c>
    </row>
    <row r="4184" spans="1:3">
      <c r="A4184">
        <v>153</v>
      </c>
      <c r="B4184">
        <v>4</v>
      </c>
      <c r="C4184" t="e">
        <f>VLOOKUP(A4184,'Programas y Unidades'!$A:$B,2,0)</f>
        <v>#N/A</v>
      </c>
    </row>
    <row r="4185" spans="1:3">
      <c r="A4185">
        <v>81</v>
      </c>
      <c r="B4185">
        <v>2</v>
      </c>
      <c r="C4185" t="str">
        <f>VLOOKUP(A4185,'Programas y Unidades'!$A:$B,2,0)</f>
        <v>Maestría en Gerencia y Desarrollo de Personas - Chía</v>
      </c>
    </row>
    <row r="4186" spans="1:3">
      <c r="A4186">
        <v>3</v>
      </c>
      <c r="B4186">
        <v>2</v>
      </c>
      <c r="C4186" t="str">
        <f>VLOOKUP(A4186,'Programas y Unidades'!$A:$B,2,0)</f>
        <v>Especialización en Cuidado Intensivo Pediátrico</v>
      </c>
    </row>
    <row r="4187" spans="1:3">
      <c r="A4187">
        <v>81</v>
      </c>
      <c r="B4187">
        <v>3</v>
      </c>
      <c r="C4187" t="str">
        <f>VLOOKUP(A4187,'Programas y Unidades'!$A:$B,2,0)</f>
        <v>Maestría en Gerencia y Desarrollo de Personas - Chía</v>
      </c>
    </row>
    <row r="4188" spans="1:3">
      <c r="A4188">
        <v>82</v>
      </c>
      <c r="B4188">
        <v>2</v>
      </c>
      <c r="C4188" t="str">
        <f>VLOOKUP(A4188,'Programas y Unidades'!$A:$B,2,0)</f>
        <v>Maestría en Psicología de la Salud y la Discapacidad - Chía</v>
      </c>
    </row>
    <row r="4189" spans="1:3">
      <c r="A4189">
        <v>82</v>
      </c>
      <c r="B4189">
        <v>2</v>
      </c>
      <c r="C4189" t="str">
        <f>VLOOKUP(A4189,'Programas y Unidades'!$A:$B,2,0)</f>
        <v>Maestría en Psicología de la Salud y la Discapacidad - Chía</v>
      </c>
    </row>
    <row r="4190" spans="1:3">
      <c r="A4190">
        <v>80</v>
      </c>
      <c r="B4190">
        <v>1</v>
      </c>
      <c r="C4190" t="str">
        <f>VLOOKUP(A4190,'Programas y Unidades'!$A:$B,2,0)</f>
        <v>Maestría en Psicología - Chía</v>
      </c>
    </row>
    <row r="4191" spans="1:3">
      <c r="A4191">
        <v>82</v>
      </c>
      <c r="B4191">
        <v>2</v>
      </c>
      <c r="C4191" t="str">
        <f>VLOOKUP(A4191,'Programas y Unidades'!$A:$B,2,0)</f>
        <v>Maestría en Psicología de la Salud y la Discapacidad - Chía</v>
      </c>
    </row>
    <row r="4192" spans="1:3">
      <c r="A4192">
        <v>153</v>
      </c>
      <c r="B4192">
        <v>2</v>
      </c>
      <c r="C4192" t="e">
        <f>VLOOKUP(A4192,'Programas y Unidades'!$A:$B,2,0)</f>
        <v>#N/A</v>
      </c>
    </row>
    <row r="4193" spans="1:3">
      <c r="A4193">
        <v>95</v>
      </c>
      <c r="B4193">
        <v>3</v>
      </c>
      <c r="C4193" t="str">
        <f>VLOOKUP(A4193,'Programas y Unidades'!$A:$B,2,0)</f>
        <v>Maestría en Asesoría Familiar y Gestión de Programas para la Familia - Virtual</v>
      </c>
    </row>
    <row r="4194" spans="1:3">
      <c r="A4194">
        <v>153</v>
      </c>
      <c r="B4194">
        <v>2</v>
      </c>
      <c r="C4194" t="e">
        <f>VLOOKUP(A4194,'Programas y Unidades'!$A:$B,2,0)</f>
        <v>#N/A</v>
      </c>
    </row>
    <row r="4195" spans="1:3">
      <c r="A4195">
        <v>153</v>
      </c>
      <c r="B4195">
        <v>2</v>
      </c>
      <c r="C4195" t="e">
        <f>VLOOKUP(A4195,'Programas y Unidades'!$A:$B,2,0)</f>
        <v>#N/A</v>
      </c>
    </row>
    <row r="4196" spans="1:3">
      <c r="A4196">
        <v>153</v>
      </c>
      <c r="B4196">
        <v>2</v>
      </c>
      <c r="C4196" t="e">
        <f>VLOOKUP(A4196,'Programas y Unidades'!$A:$B,2,0)</f>
        <v>#N/A</v>
      </c>
    </row>
    <row r="4197" spans="1:3">
      <c r="A4197">
        <v>95</v>
      </c>
      <c r="B4197">
        <v>4</v>
      </c>
      <c r="C4197" t="str">
        <f>VLOOKUP(A4197,'Programas y Unidades'!$A:$B,2,0)</f>
        <v>Maestría en Asesoría Familiar y Gestión de Programas para la Familia - Virtual</v>
      </c>
    </row>
    <row r="4198" spans="1:3">
      <c r="A4198">
        <v>95</v>
      </c>
      <c r="B4198">
        <v>3</v>
      </c>
      <c r="C4198" t="str">
        <f>VLOOKUP(A4198,'Programas y Unidades'!$A:$B,2,0)</f>
        <v>Maestría en Asesoría Familiar y Gestión de Programas para la Familia - Virtual</v>
      </c>
    </row>
    <row r="4199" spans="1:3">
      <c r="A4199">
        <v>95</v>
      </c>
      <c r="B4199">
        <v>3</v>
      </c>
      <c r="C4199" t="str">
        <f>VLOOKUP(A4199,'Programas y Unidades'!$A:$B,2,0)</f>
        <v>Maestría en Asesoría Familiar y Gestión de Programas para la Familia - Virtual</v>
      </c>
    </row>
    <row r="4200" spans="1:3">
      <c r="A4200">
        <v>82</v>
      </c>
      <c r="B4200">
        <v>4</v>
      </c>
      <c r="C4200" t="str">
        <f>VLOOKUP(A4200,'Programas y Unidades'!$A:$B,2,0)</f>
        <v>Maestría en Psicología de la Salud y la Discapacidad - Chía</v>
      </c>
    </row>
    <row r="4201" spans="1:3">
      <c r="A4201">
        <v>95</v>
      </c>
      <c r="B4201">
        <v>4</v>
      </c>
      <c r="C4201" t="str">
        <f>VLOOKUP(A4201,'Programas y Unidades'!$A:$B,2,0)</f>
        <v>Maestría en Asesoría Familiar y Gestión de Programas para la Familia - Virtual</v>
      </c>
    </row>
    <row r="4202" spans="1:3">
      <c r="A4202">
        <v>81</v>
      </c>
      <c r="B4202">
        <v>4</v>
      </c>
      <c r="C4202" t="str">
        <f>VLOOKUP(A4202,'Programas y Unidades'!$A:$B,2,0)</f>
        <v>Maestría en Gerencia y Desarrollo de Personas - Chía</v>
      </c>
    </row>
    <row r="4203" spans="1:3">
      <c r="A4203">
        <v>95</v>
      </c>
      <c r="B4203">
        <v>3</v>
      </c>
      <c r="C4203" t="str">
        <f>VLOOKUP(A4203,'Programas y Unidades'!$A:$B,2,0)</f>
        <v>Maestría en Asesoría Familiar y Gestión de Programas para la Familia - Virtual</v>
      </c>
    </row>
    <row r="4204" spans="1:3">
      <c r="A4204">
        <v>50</v>
      </c>
      <c r="B4204">
        <v>3</v>
      </c>
      <c r="C4204" t="str">
        <f>VLOOKUP(A4204,'Programas y Unidades'!$A:$B,2,0)</f>
        <v>Doctorado en Comunicación - Chía</v>
      </c>
    </row>
    <row r="4205" spans="1:3">
      <c r="A4205">
        <v>1</v>
      </c>
      <c r="B4205">
        <v>5</v>
      </c>
      <c r="C4205" t="str">
        <f>VLOOKUP(A4205,'Programas y Unidades'!$A:$B,2,0)</f>
        <v>Especialización en Anestesiología y Medicina Perioperatoria</v>
      </c>
    </row>
    <row r="4206" spans="1:3">
      <c r="A4206">
        <v>95</v>
      </c>
      <c r="B4206">
        <v>2</v>
      </c>
      <c r="C4206" t="str">
        <f>VLOOKUP(A4206,'Programas y Unidades'!$A:$B,2,0)</f>
        <v>Maestría en Asesoría Familiar y Gestión de Programas para la Familia - Virtual</v>
      </c>
    </row>
    <row r="4207" spans="1:3">
      <c r="A4207">
        <v>95</v>
      </c>
      <c r="B4207">
        <v>2</v>
      </c>
      <c r="C4207" t="str">
        <f>VLOOKUP(A4207,'Programas y Unidades'!$A:$B,2,0)</f>
        <v>Maestría en Asesoría Familiar y Gestión de Programas para la Familia - Virtual</v>
      </c>
    </row>
    <row r="4208" spans="1:3">
      <c r="A4208">
        <v>11</v>
      </c>
      <c r="B4208">
        <v>2</v>
      </c>
      <c r="C4208" t="str">
        <f>VLOOKUP(A4208,'Programas y Unidades'!$A:$B,2,0)</f>
        <v>Especialización en Neumología</v>
      </c>
    </row>
    <row r="4209" spans="1:3">
      <c r="A4209">
        <v>11</v>
      </c>
      <c r="B4209">
        <v>2</v>
      </c>
      <c r="C4209" t="str">
        <f>VLOOKUP(A4209,'Programas y Unidades'!$A:$B,2,0)</f>
        <v>Especialización en Neumología</v>
      </c>
    </row>
    <row r="4210" spans="1:3">
      <c r="A4210">
        <v>2</v>
      </c>
      <c r="B4210">
        <v>1</v>
      </c>
      <c r="C4210" t="str">
        <f>VLOOKUP(A4210,'Programas y Unidades'!$A:$B,2,0)</f>
        <v>Especialización en Cirugía General</v>
      </c>
    </row>
    <row r="4211" spans="1:3">
      <c r="A4211">
        <v>3</v>
      </c>
      <c r="B4211">
        <v>4</v>
      </c>
      <c r="C4211" t="str">
        <f>VLOOKUP(A4211,'Programas y Unidades'!$A:$B,2,0)</f>
        <v>Especialización en Cuidado Intensivo Pediátrico</v>
      </c>
    </row>
    <row r="4212" spans="1:3">
      <c r="A4212">
        <v>11</v>
      </c>
      <c r="B4212">
        <v>3</v>
      </c>
      <c r="C4212" t="str">
        <f>VLOOKUP(A4212,'Programas y Unidades'!$A:$B,2,0)</f>
        <v>Especialización en Neumología</v>
      </c>
    </row>
    <row r="4213" spans="1:3">
      <c r="A4213">
        <v>11</v>
      </c>
      <c r="B4213">
        <v>3</v>
      </c>
      <c r="C4213" t="str">
        <f>VLOOKUP(A4213,'Programas y Unidades'!$A:$B,2,0)</f>
        <v>Especialización en Neumología</v>
      </c>
    </row>
    <row r="4214" spans="1:3">
      <c r="A4214">
        <v>11</v>
      </c>
      <c r="B4214">
        <v>3</v>
      </c>
      <c r="C4214" t="str">
        <f>VLOOKUP(A4214,'Programas y Unidades'!$A:$B,2,0)</f>
        <v>Especialización en Neumología</v>
      </c>
    </row>
    <row r="4215" spans="1:3">
      <c r="A4215">
        <v>3</v>
      </c>
      <c r="B4215">
        <v>4</v>
      </c>
      <c r="C4215" t="str">
        <f>VLOOKUP(A4215,'Programas y Unidades'!$A:$B,2,0)</f>
        <v>Especialización en Cuidado Intensivo Pediátrico</v>
      </c>
    </row>
    <row r="4216" spans="1:3">
      <c r="A4216">
        <v>95</v>
      </c>
      <c r="B4216">
        <v>3</v>
      </c>
      <c r="C4216" t="str">
        <f>VLOOKUP(A4216,'Programas y Unidades'!$A:$B,2,0)</f>
        <v>Maestría en Asesoría Familiar y Gestión de Programas para la Familia - Virtual</v>
      </c>
    </row>
    <row r="4217" spans="1:3">
      <c r="A4217">
        <v>95</v>
      </c>
      <c r="B4217">
        <v>4</v>
      </c>
      <c r="C4217" t="str">
        <f>VLOOKUP(A4217,'Programas y Unidades'!$A:$B,2,0)</f>
        <v>Maestría en Asesoría Familiar y Gestión de Programas para la Familia - Virtual</v>
      </c>
    </row>
    <row r="4218" spans="1:3">
      <c r="A4218">
        <v>81</v>
      </c>
      <c r="B4218">
        <v>3</v>
      </c>
      <c r="C4218" t="str">
        <f>VLOOKUP(A4218,'Programas y Unidades'!$A:$B,2,0)</f>
        <v>Maestría en Gerencia y Desarrollo de Personas - Chía</v>
      </c>
    </row>
    <row r="4219" spans="1:3">
      <c r="A4219">
        <v>95</v>
      </c>
      <c r="B4219">
        <v>2</v>
      </c>
      <c r="C4219" t="str">
        <f>VLOOKUP(A4219,'Programas y Unidades'!$A:$B,2,0)</f>
        <v>Maestría en Asesoría Familiar y Gestión de Programas para la Familia - Virtual</v>
      </c>
    </row>
    <row r="4220" spans="1:3">
      <c r="A4220">
        <v>152</v>
      </c>
      <c r="B4220">
        <v>2</v>
      </c>
      <c r="C4220" t="e">
        <f>VLOOKUP(A4220,'Programas y Unidades'!$A:$B,2,0)</f>
        <v>#N/A</v>
      </c>
    </row>
    <row r="4221" spans="1:3">
      <c r="A4221">
        <v>105</v>
      </c>
      <c r="B4221">
        <v>2</v>
      </c>
      <c r="C4221" t="str">
        <f>VLOOKUP(A4221,'Programas y Unidades'!$A:$B,2,0)</f>
        <v>Especialización en Terapia Manual Ortopédica - Chía</v>
      </c>
    </row>
    <row r="4222" spans="1:3">
      <c r="A4222">
        <v>75</v>
      </c>
      <c r="B4222">
        <v>3</v>
      </c>
      <c r="C4222" t="str">
        <f>VLOOKUP(A4222,'Programas y Unidades'!$A:$B,2,0)</f>
        <v>Maestría en Analítica Aplicada - Chía</v>
      </c>
    </row>
    <row r="4223" spans="1:3">
      <c r="A4223">
        <v>75</v>
      </c>
      <c r="B4223">
        <v>3</v>
      </c>
      <c r="C4223" t="str">
        <f>VLOOKUP(A4223,'Programas y Unidades'!$A:$B,2,0)</f>
        <v>Maestría en Analítica Aplicada - Chía</v>
      </c>
    </row>
    <row r="4224" spans="1:3">
      <c r="A4224">
        <v>75</v>
      </c>
      <c r="B4224">
        <v>3</v>
      </c>
      <c r="C4224" t="str">
        <f>VLOOKUP(A4224,'Programas y Unidades'!$A:$B,2,0)</f>
        <v>Maestría en Analítica Aplicada - Chía</v>
      </c>
    </row>
    <row r="4225" spans="1:3">
      <c r="A4225">
        <v>75</v>
      </c>
      <c r="B4225">
        <v>3</v>
      </c>
      <c r="C4225" t="str">
        <f>VLOOKUP(A4225,'Programas y Unidades'!$A:$B,2,0)</f>
        <v>Maestría en Analítica Aplicada - Chía</v>
      </c>
    </row>
    <row r="4226" spans="1:3">
      <c r="A4226">
        <v>75</v>
      </c>
      <c r="B4226">
        <v>3</v>
      </c>
      <c r="C4226" t="str">
        <f>VLOOKUP(A4226,'Programas y Unidades'!$A:$B,2,0)</f>
        <v>Maestría en Analítica Aplicada - Chía</v>
      </c>
    </row>
    <row r="4227" spans="1:3">
      <c r="A4227">
        <v>75</v>
      </c>
      <c r="B4227">
        <v>3</v>
      </c>
      <c r="C4227" t="str">
        <f>VLOOKUP(A4227,'Programas y Unidades'!$A:$B,2,0)</f>
        <v>Maestría en Analítica Aplicada - Chía</v>
      </c>
    </row>
    <row r="4228" spans="1:3">
      <c r="A4228">
        <v>75</v>
      </c>
      <c r="B4228">
        <v>3</v>
      </c>
      <c r="C4228" t="str">
        <f>VLOOKUP(A4228,'Programas y Unidades'!$A:$B,2,0)</f>
        <v>Maestría en Analítica Aplicada - Chía</v>
      </c>
    </row>
    <row r="4229" spans="1:3">
      <c r="A4229">
        <v>75</v>
      </c>
      <c r="B4229">
        <v>3</v>
      </c>
      <c r="C4229" t="str">
        <f>VLOOKUP(A4229,'Programas y Unidades'!$A:$B,2,0)</f>
        <v>Maestría en Analítica Aplicada - Chía</v>
      </c>
    </row>
    <row r="4230" spans="1:3">
      <c r="A4230">
        <v>75</v>
      </c>
      <c r="B4230">
        <v>3</v>
      </c>
      <c r="C4230" t="str">
        <f>VLOOKUP(A4230,'Programas y Unidades'!$A:$B,2,0)</f>
        <v>Maestría en Analítica Aplicada - Chía</v>
      </c>
    </row>
    <row r="4231" spans="1:3">
      <c r="A4231">
        <v>75</v>
      </c>
      <c r="B4231">
        <v>3</v>
      </c>
      <c r="C4231" t="str">
        <f>VLOOKUP(A4231,'Programas y Unidades'!$A:$B,2,0)</f>
        <v>Maestría en Analítica Aplicada - Chía</v>
      </c>
    </row>
    <row r="4232" spans="1:3">
      <c r="A4232">
        <v>75</v>
      </c>
      <c r="B4232">
        <v>3</v>
      </c>
      <c r="C4232" t="str">
        <f>VLOOKUP(A4232,'Programas y Unidades'!$A:$B,2,0)</f>
        <v>Maestría en Analítica Aplicada - Chía</v>
      </c>
    </row>
    <row r="4233" spans="1:3">
      <c r="A4233">
        <v>75</v>
      </c>
      <c r="B4233">
        <v>3</v>
      </c>
      <c r="C4233" t="str">
        <f>VLOOKUP(A4233,'Programas y Unidades'!$A:$B,2,0)</f>
        <v>Maestría en Analítica Aplicada - Chía</v>
      </c>
    </row>
    <row r="4234" spans="1:3">
      <c r="A4234">
        <v>75</v>
      </c>
      <c r="B4234">
        <v>3</v>
      </c>
      <c r="C4234" t="str">
        <f>VLOOKUP(A4234,'Programas y Unidades'!$A:$B,2,0)</f>
        <v>Maestría en Analítica Aplicada - Chía</v>
      </c>
    </row>
    <row r="4235" spans="1:3">
      <c r="A4235">
        <v>75</v>
      </c>
      <c r="B4235">
        <v>4</v>
      </c>
      <c r="C4235" t="str">
        <f>VLOOKUP(A4235,'Programas y Unidades'!$A:$B,2,0)</f>
        <v>Maestría en Analítica Aplicada - Chía</v>
      </c>
    </row>
    <row r="4236" spans="1:3">
      <c r="A4236">
        <v>152</v>
      </c>
      <c r="B4236">
        <v>2</v>
      </c>
      <c r="C4236" t="e">
        <f>VLOOKUP(A4236,'Programas y Unidades'!$A:$B,2,0)</f>
        <v>#N/A</v>
      </c>
    </row>
    <row r="4237" spans="1:3">
      <c r="A4237">
        <v>152</v>
      </c>
      <c r="B4237">
        <v>2</v>
      </c>
      <c r="C4237" t="e">
        <f>VLOOKUP(A4237,'Programas y Unidades'!$A:$B,2,0)</f>
        <v>#N/A</v>
      </c>
    </row>
    <row r="4238" spans="1:3">
      <c r="A4238">
        <v>152</v>
      </c>
      <c r="B4238">
        <v>2</v>
      </c>
      <c r="C4238" t="e">
        <f>VLOOKUP(A4238,'Programas y Unidades'!$A:$B,2,0)</f>
        <v>#N/A</v>
      </c>
    </row>
    <row r="4239" spans="1:3">
      <c r="A4239">
        <v>110</v>
      </c>
      <c r="B4239">
        <v>1</v>
      </c>
      <c r="C4239" t="str">
        <f>VLOOKUP(A4239,'Programas y Unidades'!$A:$B,2,0)</f>
        <v>Especialización en Gerencia Financiera Internacional - Chía. (Especialización en Finanzas y Negocios Internacionales)</v>
      </c>
    </row>
    <row r="4240" spans="1:3">
      <c r="A4240">
        <v>110</v>
      </c>
      <c r="B4240">
        <v>1</v>
      </c>
      <c r="C4240" t="str">
        <f>VLOOKUP(A4240,'Programas y Unidades'!$A:$B,2,0)</f>
        <v>Especialización en Gerencia Financiera Internacional - Chía. (Especialización en Finanzas y Negocios Internacionales)</v>
      </c>
    </row>
    <row r="4241" spans="1:3">
      <c r="A4241">
        <v>110</v>
      </c>
      <c r="B4241">
        <v>1</v>
      </c>
      <c r="C4241" t="str">
        <f>VLOOKUP(A4241,'Programas y Unidades'!$A:$B,2,0)</f>
        <v>Especialización en Gerencia Financiera Internacional - Chía. (Especialización en Finanzas y Negocios Internacionales)</v>
      </c>
    </row>
    <row r="4242" spans="1:3">
      <c r="A4242">
        <v>110</v>
      </c>
      <c r="B4242">
        <v>1</v>
      </c>
      <c r="C4242" t="str">
        <f>VLOOKUP(A4242,'Programas y Unidades'!$A:$B,2,0)</f>
        <v>Especialización en Gerencia Financiera Internacional - Chía. (Especialización en Finanzas y Negocios Internacionales)</v>
      </c>
    </row>
    <row r="4243" spans="1:3">
      <c r="A4243">
        <v>110</v>
      </c>
      <c r="B4243">
        <v>1</v>
      </c>
      <c r="C4243" t="str">
        <f>VLOOKUP(A4243,'Programas y Unidades'!$A:$B,2,0)</f>
        <v>Especialización en Gerencia Financiera Internacional - Chía. (Especialización en Finanzas y Negocios Internacionales)</v>
      </c>
    </row>
    <row r="4244" spans="1:3">
      <c r="A4244">
        <v>110</v>
      </c>
      <c r="B4244">
        <v>1</v>
      </c>
      <c r="C4244" t="str">
        <f>VLOOKUP(A4244,'Programas y Unidades'!$A:$B,2,0)</f>
        <v>Especialización en Gerencia Financiera Internacional - Chía. (Especialización en Finanzas y Negocios Internacionales)</v>
      </c>
    </row>
    <row r="4245" spans="1:3">
      <c r="A4245">
        <v>110</v>
      </c>
      <c r="B4245">
        <v>1</v>
      </c>
      <c r="C4245" t="str">
        <f>VLOOKUP(A4245,'Programas y Unidades'!$A:$B,2,0)</f>
        <v>Especialización en Gerencia Financiera Internacional - Chía. (Especialización en Finanzas y Negocios Internacionales)</v>
      </c>
    </row>
    <row r="4246" spans="1:3">
      <c r="A4246">
        <v>110</v>
      </c>
      <c r="B4246">
        <v>1</v>
      </c>
      <c r="C4246" t="str">
        <f>VLOOKUP(A4246,'Programas y Unidades'!$A:$B,2,0)</f>
        <v>Especialización en Gerencia Financiera Internacional - Chía. (Especialización en Finanzas y Negocios Internacionales)</v>
      </c>
    </row>
    <row r="4247" spans="1:3">
      <c r="A4247">
        <v>110</v>
      </c>
      <c r="B4247">
        <v>1</v>
      </c>
      <c r="C4247" t="str">
        <f>VLOOKUP(A4247,'Programas y Unidades'!$A:$B,2,0)</f>
        <v>Especialización en Gerencia Financiera Internacional - Chía. (Especialización en Finanzas y Negocios Internacionales)</v>
      </c>
    </row>
    <row r="4248" spans="1:3">
      <c r="A4248">
        <v>110</v>
      </c>
      <c r="B4248">
        <v>1</v>
      </c>
      <c r="C4248" t="str">
        <f>VLOOKUP(A4248,'Programas y Unidades'!$A:$B,2,0)</f>
        <v>Especialización en Gerencia Financiera Internacional - Chía. (Especialización en Finanzas y Negocios Internacionales)</v>
      </c>
    </row>
    <row r="4249" spans="1:3">
      <c r="A4249">
        <v>110</v>
      </c>
      <c r="B4249">
        <v>1</v>
      </c>
      <c r="C4249" t="str">
        <f>VLOOKUP(A4249,'Programas y Unidades'!$A:$B,2,0)</f>
        <v>Especialización en Gerencia Financiera Internacional - Chía. (Especialización en Finanzas y Negocios Internacionales)</v>
      </c>
    </row>
    <row r="4250" spans="1:3">
      <c r="A4250">
        <v>110</v>
      </c>
      <c r="B4250">
        <v>1</v>
      </c>
      <c r="C4250" t="str">
        <f>VLOOKUP(A4250,'Programas y Unidades'!$A:$B,2,0)</f>
        <v>Especialización en Gerencia Financiera Internacional - Chía. (Especialización en Finanzas y Negocios Internacionales)</v>
      </c>
    </row>
    <row r="4251" spans="1:3">
      <c r="A4251">
        <v>152</v>
      </c>
      <c r="B4251">
        <v>2</v>
      </c>
      <c r="C4251" t="e">
        <f>VLOOKUP(A4251,'Programas y Unidades'!$A:$B,2,0)</f>
        <v>#N/A</v>
      </c>
    </row>
    <row r="4252" spans="1:3">
      <c r="A4252">
        <v>110</v>
      </c>
      <c r="B4252">
        <v>1</v>
      </c>
      <c r="C4252" t="str">
        <f>VLOOKUP(A4252,'Programas y Unidades'!$A:$B,2,0)</f>
        <v>Especialización en Gerencia Financiera Internacional - Chía. (Especialización en Finanzas y Negocios Internacionales)</v>
      </c>
    </row>
    <row r="4253" spans="1:3">
      <c r="A4253">
        <v>80</v>
      </c>
      <c r="B4253">
        <v>2</v>
      </c>
      <c r="C4253" t="str">
        <f>VLOOKUP(A4253,'Programas y Unidades'!$A:$B,2,0)</f>
        <v>Maestría en Psicología - Chía</v>
      </c>
    </row>
    <row r="4254" spans="1:3">
      <c r="A4254">
        <v>80</v>
      </c>
      <c r="B4254">
        <v>2</v>
      </c>
      <c r="C4254" t="str">
        <f>VLOOKUP(A4254,'Programas y Unidades'!$A:$B,2,0)</f>
        <v>Maestría en Psicología - Chía</v>
      </c>
    </row>
    <row r="4255" spans="1:3">
      <c r="A4255">
        <v>80</v>
      </c>
      <c r="B4255">
        <v>2</v>
      </c>
      <c r="C4255" t="str">
        <f>VLOOKUP(A4255,'Programas y Unidades'!$A:$B,2,0)</f>
        <v>Maestría en Psicología - Chía</v>
      </c>
    </row>
    <row r="4256" spans="1:3">
      <c r="A4256">
        <v>110</v>
      </c>
      <c r="B4256">
        <v>1</v>
      </c>
      <c r="C4256" t="str">
        <f>VLOOKUP(A4256,'Programas y Unidades'!$A:$B,2,0)</f>
        <v>Especialización en Gerencia Financiera Internacional - Chía. (Especialización en Finanzas y Negocios Internacionales)</v>
      </c>
    </row>
    <row r="4257" spans="1:3">
      <c r="A4257">
        <v>80</v>
      </c>
      <c r="B4257">
        <v>2</v>
      </c>
      <c r="C4257" t="str">
        <f>VLOOKUP(A4257,'Programas y Unidades'!$A:$B,2,0)</f>
        <v>Maestría en Psicología - Chía</v>
      </c>
    </row>
    <row r="4258" spans="1:3">
      <c r="A4258">
        <v>105</v>
      </c>
      <c r="B4258">
        <v>2</v>
      </c>
      <c r="C4258" t="str">
        <f>VLOOKUP(A4258,'Programas y Unidades'!$A:$B,2,0)</f>
        <v>Especialización en Terapia Manual Ortopédica - Chía</v>
      </c>
    </row>
    <row r="4259" spans="1:3">
      <c r="A4259">
        <v>110</v>
      </c>
      <c r="B4259">
        <v>1</v>
      </c>
      <c r="C4259" t="str">
        <f>VLOOKUP(A4259,'Programas y Unidades'!$A:$B,2,0)</f>
        <v>Especialización en Gerencia Financiera Internacional - Chía. (Especialización en Finanzas y Negocios Internacionales)</v>
      </c>
    </row>
    <row r="4260" spans="1:3">
      <c r="A4260">
        <v>110</v>
      </c>
      <c r="B4260">
        <v>2</v>
      </c>
      <c r="C4260" t="str">
        <f>VLOOKUP(A4260,'Programas y Unidades'!$A:$B,2,0)</f>
        <v>Especialización en Gerencia Financiera Internacional - Chía. (Especialización en Finanzas y Negocios Internacionales)</v>
      </c>
    </row>
    <row r="4261" spans="1:3">
      <c r="A4261">
        <v>110</v>
      </c>
      <c r="B4261">
        <v>2</v>
      </c>
      <c r="C4261" t="str">
        <f>VLOOKUP(A4261,'Programas y Unidades'!$A:$B,2,0)</f>
        <v>Especialización en Gerencia Financiera Internacional - Chía. (Especialización en Finanzas y Negocios Internacionales)</v>
      </c>
    </row>
    <row r="4262" spans="1:3">
      <c r="A4262">
        <v>110</v>
      </c>
      <c r="B4262">
        <v>2</v>
      </c>
      <c r="C4262" t="str">
        <f>VLOOKUP(A4262,'Programas y Unidades'!$A:$B,2,0)</f>
        <v>Especialización en Gerencia Financiera Internacional - Chía. (Especialización en Finanzas y Negocios Internacionales)</v>
      </c>
    </row>
    <row r="4263" spans="1:3">
      <c r="A4263">
        <v>110</v>
      </c>
      <c r="B4263">
        <v>1</v>
      </c>
      <c r="C4263" t="str">
        <f>VLOOKUP(A4263,'Programas y Unidades'!$A:$B,2,0)</f>
        <v>Especialización en Gerencia Financiera Internacional - Chía. (Especialización en Finanzas y Negocios Internacionales)</v>
      </c>
    </row>
    <row r="4264" spans="1:3">
      <c r="A4264">
        <v>110</v>
      </c>
      <c r="B4264">
        <v>2</v>
      </c>
      <c r="C4264" t="str">
        <f>VLOOKUP(A4264,'Programas y Unidades'!$A:$B,2,0)</f>
        <v>Especialización en Gerencia Financiera Internacional - Chía. (Especialización en Finanzas y Negocios Internacionales)</v>
      </c>
    </row>
    <row r="4265" spans="1:3">
      <c r="A4265">
        <v>110</v>
      </c>
      <c r="B4265">
        <v>2</v>
      </c>
      <c r="C4265" t="str">
        <f>VLOOKUP(A4265,'Programas y Unidades'!$A:$B,2,0)</f>
        <v>Especialización en Gerencia Financiera Internacional - Chía. (Especialización en Finanzas y Negocios Internacionales)</v>
      </c>
    </row>
    <row r="4266" spans="1:3">
      <c r="A4266">
        <v>110</v>
      </c>
      <c r="B4266">
        <v>2</v>
      </c>
      <c r="C4266" t="str">
        <f>VLOOKUP(A4266,'Programas y Unidades'!$A:$B,2,0)</f>
        <v>Especialización en Gerencia Financiera Internacional - Chía. (Especialización en Finanzas y Negocios Internacionales)</v>
      </c>
    </row>
    <row r="4267" spans="1:3">
      <c r="A4267">
        <v>110</v>
      </c>
      <c r="B4267">
        <v>2</v>
      </c>
      <c r="C4267" t="str">
        <f>VLOOKUP(A4267,'Programas y Unidades'!$A:$B,2,0)</f>
        <v>Especialización en Gerencia Financiera Internacional - Chía. (Especialización en Finanzas y Negocios Internacionales)</v>
      </c>
    </row>
    <row r="4268" spans="1:3">
      <c r="A4268">
        <v>110</v>
      </c>
      <c r="B4268">
        <v>2</v>
      </c>
      <c r="C4268" t="str">
        <f>VLOOKUP(A4268,'Programas y Unidades'!$A:$B,2,0)</f>
        <v>Especialización en Gerencia Financiera Internacional - Chía. (Especialización en Finanzas y Negocios Internacionales)</v>
      </c>
    </row>
    <row r="4269" spans="1:3">
      <c r="A4269">
        <v>110</v>
      </c>
      <c r="B4269">
        <v>2</v>
      </c>
      <c r="C4269" t="str">
        <f>VLOOKUP(A4269,'Programas y Unidades'!$A:$B,2,0)</f>
        <v>Especialización en Gerencia Financiera Internacional - Chía. (Especialización en Finanzas y Negocios Internacionales)</v>
      </c>
    </row>
    <row r="4270" spans="1:3">
      <c r="A4270">
        <v>110</v>
      </c>
      <c r="B4270">
        <v>1</v>
      </c>
      <c r="C4270" t="str">
        <f>VLOOKUP(A4270,'Programas y Unidades'!$A:$B,2,0)</f>
        <v>Especialización en Gerencia Financiera Internacional - Chía. (Especialización en Finanzas y Negocios Internacionales)</v>
      </c>
    </row>
    <row r="4271" spans="1:3">
      <c r="A4271">
        <v>149</v>
      </c>
      <c r="B4271">
        <v>4</v>
      </c>
      <c r="C4271" t="e">
        <f>VLOOKUP(A4271,'Programas y Unidades'!$A:$B,2,0)</f>
        <v>#N/A</v>
      </c>
    </row>
    <row r="4272" spans="1:3">
      <c r="A4272">
        <v>110</v>
      </c>
      <c r="B4272">
        <v>2</v>
      </c>
      <c r="C4272" t="str">
        <f>VLOOKUP(A4272,'Programas y Unidades'!$A:$B,2,0)</f>
        <v>Especialización en Gerencia Financiera Internacional - Chía. (Especialización en Finanzas y Negocios Internacionales)</v>
      </c>
    </row>
    <row r="4273" spans="1:3">
      <c r="A4273">
        <v>80</v>
      </c>
      <c r="B4273">
        <v>2</v>
      </c>
      <c r="C4273" t="str">
        <f>VLOOKUP(A4273,'Programas y Unidades'!$A:$B,2,0)</f>
        <v>Maestría en Psicología - Chía</v>
      </c>
    </row>
    <row r="4274" spans="1:3">
      <c r="A4274">
        <v>105</v>
      </c>
      <c r="B4274">
        <v>2</v>
      </c>
      <c r="C4274" t="str">
        <f>VLOOKUP(A4274,'Programas y Unidades'!$A:$B,2,0)</f>
        <v>Especialización en Terapia Manual Ortopédica - Chía</v>
      </c>
    </row>
    <row r="4275" spans="1:3">
      <c r="A4275">
        <v>7</v>
      </c>
      <c r="B4275">
        <v>6</v>
      </c>
      <c r="C4275" t="str">
        <f>VLOOKUP(A4275,'Programas y Unidades'!$A:$B,2,0)</f>
        <v>Especialización en Medicina Crítica y Cuidado Intensivo</v>
      </c>
    </row>
    <row r="4276" spans="1:3">
      <c r="A4276">
        <v>152</v>
      </c>
      <c r="B4276">
        <v>2</v>
      </c>
      <c r="C4276" t="e">
        <f>VLOOKUP(A4276,'Programas y Unidades'!$A:$B,2,0)</f>
        <v>#N/A</v>
      </c>
    </row>
    <row r="4277" spans="1:3">
      <c r="A4277">
        <v>17</v>
      </c>
      <c r="B4277">
        <v>3</v>
      </c>
      <c r="C4277" t="str">
        <f>VLOOKUP(A4277,'Programas y Unidades'!$A:$B,2,0)</f>
        <v>Especialización en Gastroenterología</v>
      </c>
    </row>
    <row r="4278" spans="1:3">
      <c r="A4278">
        <v>18</v>
      </c>
      <c r="B4278">
        <v>2</v>
      </c>
      <c r="C4278" t="str">
        <f>VLOOKUP(A4278,'Programas y Unidades'!$A:$B,2,0)</f>
        <v>Especialización en Medicina del Dolor y Cuidados Paliativos</v>
      </c>
    </row>
    <row r="4279" spans="1:3">
      <c r="A4279">
        <v>8</v>
      </c>
      <c r="B4279">
        <v>3</v>
      </c>
      <c r="C4279" t="str">
        <f>VLOOKUP(A4279,'Programas y Unidades'!$A:$B,2,0)</f>
        <v>Especialización en Medicina Familiar y Comunitaria</v>
      </c>
    </row>
    <row r="4280" spans="1:3">
      <c r="A4280">
        <v>8</v>
      </c>
      <c r="B4280">
        <v>2</v>
      </c>
      <c r="C4280" t="str">
        <f>VLOOKUP(A4280,'Programas y Unidades'!$A:$B,2,0)</f>
        <v>Especialización en Medicina Familiar y Comunitaria</v>
      </c>
    </row>
    <row r="4281" spans="1:3">
      <c r="A4281">
        <v>8</v>
      </c>
      <c r="B4281">
        <v>3</v>
      </c>
      <c r="C4281" t="str">
        <f>VLOOKUP(A4281,'Programas y Unidades'!$A:$B,2,0)</f>
        <v>Especialización en Medicina Familiar y Comunitaria</v>
      </c>
    </row>
    <row r="4282" spans="1:3">
      <c r="A4282">
        <v>9</v>
      </c>
      <c r="B4282">
        <v>6</v>
      </c>
      <c r="C4282" t="str">
        <f>VLOOKUP(A4282,'Programas y Unidades'!$A:$B,2,0)</f>
        <v>Especialización en Medicina Física y Rehabilitación</v>
      </c>
    </row>
    <row r="4283" spans="1:3">
      <c r="A4283">
        <v>8</v>
      </c>
      <c r="B4283">
        <v>6</v>
      </c>
      <c r="C4283" t="str">
        <f>VLOOKUP(A4283,'Programas y Unidades'!$A:$B,2,0)</f>
        <v>Especialización en Medicina Familiar y Comunitaria</v>
      </c>
    </row>
    <row r="4284" spans="1:3">
      <c r="A4284">
        <v>7</v>
      </c>
      <c r="B4284">
        <v>3</v>
      </c>
      <c r="C4284" t="str">
        <f>VLOOKUP(A4284,'Programas y Unidades'!$A:$B,2,0)</f>
        <v>Especialización en Medicina Crítica y Cuidado Intensivo</v>
      </c>
    </row>
    <row r="4285" spans="1:3">
      <c r="A4285">
        <v>13</v>
      </c>
      <c r="B4285">
        <v>4</v>
      </c>
      <c r="C4285" t="str">
        <f>VLOOKUP(A4285,'Programas y Unidades'!$A:$B,2,0)</f>
        <v>Especialización en Oftalmología</v>
      </c>
    </row>
    <row r="4286" spans="1:3">
      <c r="A4286">
        <v>105</v>
      </c>
      <c r="B4286">
        <v>2</v>
      </c>
      <c r="C4286" t="str">
        <f>VLOOKUP(A4286,'Programas y Unidades'!$A:$B,2,0)</f>
        <v>Especialización en Terapia Manual Ortopédica - Chía</v>
      </c>
    </row>
    <row r="4287" spans="1:3">
      <c r="A4287">
        <v>19</v>
      </c>
      <c r="B4287">
        <v>4</v>
      </c>
      <c r="C4287" t="str">
        <f>VLOOKUP(A4287,'Programas y Unidades'!$A:$B,2,0)</f>
        <v>Especialización en Neumología Pediátrica</v>
      </c>
    </row>
    <row r="4288" spans="1:3">
      <c r="A4288">
        <v>5</v>
      </c>
      <c r="B4288">
        <v>3</v>
      </c>
      <c r="C4288" t="str">
        <f>VLOOKUP(A4288,'Programas y Unidades'!$A:$B,2,0)</f>
        <v>Especialización en Farmacología Clínica</v>
      </c>
    </row>
    <row r="4289" spans="1:3">
      <c r="A4289">
        <v>59</v>
      </c>
      <c r="B4289">
        <v>6</v>
      </c>
      <c r="C4289" t="str">
        <f>VLOOKUP(A4289,'Programas y Unidades'!$A:$B,2,0)</f>
        <v>Doctorado en Innovación Educativa con uso de TIC - Chía</v>
      </c>
    </row>
    <row r="4290" spans="1:3">
      <c r="A4290">
        <v>14</v>
      </c>
      <c r="B4290">
        <v>3</v>
      </c>
      <c r="C4290" t="str">
        <f>VLOOKUP(A4290,'Programas y Unidades'!$A:$B,2,0)</f>
        <v>Especialización en Pediatría</v>
      </c>
    </row>
    <row r="4291" spans="1:3">
      <c r="A4291">
        <v>5</v>
      </c>
      <c r="B4291">
        <v>2</v>
      </c>
      <c r="C4291" t="str">
        <f>VLOOKUP(A4291,'Programas y Unidades'!$A:$B,2,0)</f>
        <v>Especialización en Farmacología Clínica</v>
      </c>
    </row>
    <row r="4292" spans="1:3">
      <c r="A4292">
        <v>16</v>
      </c>
      <c r="B4292">
        <v>4</v>
      </c>
      <c r="C4292" t="str">
        <f>VLOOKUP(A4292,'Programas y Unidades'!$A:$B,2,0)</f>
        <v>Especialización en Reumatología</v>
      </c>
    </row>
    <row r="4293" spans="1:3">
      <c r="A4293">
        <v>59</v>
      </c>
      <c r="B4293">
        <v>3</v>
      </c>
      <c r="C4293" t="str">
        <f>VLOOKUP(A4293,'Programas y Unidades'!$A:$B,2,0)</f>
        <v>Doctorado en Innovación Educativa con uso de TIC - Chía</v>
      </c>
    </row>
    <row r="4294" spans="1:3">
      <c r="A4294">
        <v>71</v>
      </c>
      <c r="B4294">
        <v>2</v>
      </c>
      <c r="C4294" t="str">
        <f>VLOOKUP(A4294,'Programas y Unidades'!$A:$B,2,0)</f>
        <v>Doctorado en Logística y Gestión de Cadenas de Suministros - Chía</v>
      </c>
    </row>
    <row r="4295" spans="1:3">
      <c r="A4295">
        <v>14</v>
      </c>
      <c r="B4295">
        <v>5</v>
      </c>
      <c r="C4295" t="str">
        <f>VLOOKUP(A4295,'Programas y Unidades'!$A:$B,2,0)</f>
        <v>Especialización en Pediatría</v>
      </c>
    </row>
    <row r="4296" spans="1:3">
      <c r="A4296">
        <v>59</v>
      </c>
      <c r="B4296">
        <v>5</v>
      </c>
      <c r="C4296" t="str">
        <f>VLOOKUP(A4296,'Programas y Unidades'!$A:$B,2,0)</f>
        <v>Doctorado en Innovación Educativa con uso de TIC - Chía</v>
      </c>
    </row>
    <row r="4297" spans="1:3">
      <c r="A4297">
        <v>8</v>
      </c>
      <c r="B4297">
        <v>2</v>
      </c>
      <c r="C4297" t="str">
        <f>VLOOKUP(A4297,'Programas y Unidades'!$A:$B,2,0)</f>
        <v>Especialización en Medicina Familiar y Comunitaria</v>
      </c>
    </row>
    <row r="4298" spans="1:3">
      <c r="A4298">
        <v>8</v>
      </c>
      <c r="B4298">
        <v>6</v>
      </c>
      <c r="C4298" t="str">
        <f>VLOOKUP(A4298,'Programas y Unidades'!$A:$B,2,0)</f>
        <v>Especialización en Medicina Familiar y Comunitaria</v>
      </c>
    </row>
    <row r="4299" spans="1:3">
      <c r="A4299">
        <v>18</v>
      </c>
      <c r="B4299">
        <v>6</v>
      </c>
      <c r="C4299" t="str">
        <f>VLOOKUP(A4299,'Programas y Unidades'!$A:$B,2,0)</f>
        <v>Especialización en Medicina del Dolor y Cuidados Paliativos</v>
      </c>
    </row>
    <row r="4300" spans="1:3">
      <c r="A4300">
        <v>8</v>
      </c>
      <c r="B4300">
        <v>3</v>
      </c>
      <c r="C4300" t="str">
        <f>VLOOKUP(A4300,'Programas y Unidades'!$A:$B,2,0)</f>
        <v>Especialización en Medicina Familiar y Comunitaria</v>
      </c>
    </row>
    <row r="4301" spans="1:3">
      <c r="A4301">
        <v>12</v>
      </c>
      <c r="B4301">
        <v>4</v>
      </c>
      <c r="C4301" t="str">
        <f>VLOOKUP(A4301,'Programas y Unidades'!$A:$B,2,0)</f>
        <v>Especialización en Neurología</v>
      </c>
    </row>
    <row r="4302" spans="1:3">
      <c r="A4302">
        <v>8</v>
      </c>
      <c r="B4302">
        <v>2</v>
      </c>
      <c r="C4302" t="str">
        <f>VLOOKUP(A4302,'Programas y Unidades'!$A:$B,2,0)</f>
        <v>Especialización en Medicina Familiar y Comunitaria</v>
      </c>
    </row>
    <row r="4303" spans="1:3">
      <c r="A4303">
        <v>85</v>
      </c>
      <c r="B4303">
        <v>3</v>
      </c>
      <c r="C4303" t="str">
        <f>VLOOKUP(A4303,'Programas y Unidades'!$A:$B,2,0)</f>
        <v>Maestría en Pedagogía e Investigación en Aula - Virtual</v>
      </c>
    </row>
    <row r="4304" spans="1:3">
      <c r="A4304">
        <v>108</v>
      </c>
      <c r="B4304">
        <v>2</v>
      </c>
      <c r="C4304" t="str">
        <f>VLOOKUP(A4304,'Programas y Unidades'!$A:$B,2,0)</f>
        <v>Especialización en Psicología Educativa  - Chía</v>
      </c>
    </row>
    <row r="4305" spans="1:3">
      <c r="A4305">
        <v>10</v>
      </c>
      <c r="B4305">
        <v>4</v>
      </c>
      <c r="C4305" t="str">
        <f>VLOOKUP(A4305,'Programas y Unidades'!$A:$B,2,0)</f>
        <v>Especialización en Medicina Interna</v>
      </c>
    </row>
    <row r="4306" spans="1:3">
      <c r="A4306">
        <v>108</v>
      </c>
      <c r="B4306">
        <v>2</v>
      </c>
      <c r="C4306" t="str">
        <f>VLOOKUP(A4306,'Programas y Unidades'!$A:$B,2,0)</f>
        <v>Especialización en Psicología Educativa  - Chía</v>
      </c>
    </row>
    <row r="4307" spans="1:3">
      <c r="A4307">
        <v>134</v>
      </c>
      <c r="B4307">
        <v>2</v>
      </c>
      <c r="C4307" t="str">
        <f>VLOOKUP(A4307,'Programas y Unidades'!$A:$B,2,0)</f>
        <v>Especialización en Gerencia Estratégica - Bucaramanga</v>
      </c>
    </row>
    <row r="4308" spans="1:3">
      <c r="A4308">
        <v>108</v>
      </c>
      <c r="B4308">
        <v>2</v>
      </c>
      <c r="C4308" t="str">
        <f>VLOOKUP(A4308,'Programas y Unidades'!$A:$B,2,0)</f>
        <v>Especialización en Psicología Educativa  - Chía</v>
      </c>
    </row>
    <row r="4309" spans="1:3">
      <c r="A4309">
        <v>134</v>
      </c>
      <c r="B4309">
        <v>1</v>
      </c>
      <c r="C4309" t="str">
        <f>VLOOKUP(A4309,'Programas y Unidades'!$A:$B,2,0)</f>
        <v>Especialización en Gerencia Estratégica - Bucaramanga</v>
      </c>
    </row>
    <row r="4310" spans="1:3">
      <c r="A4310">
        <v>134</v>
      </c>
      <c r="B4310">
        <v>1</v>
      </c>
      <c r="C4310" t="str">
        <f>VLOOKUP(A4310,'Programas y Unidades'!$A:$B,2,0)</f>
        <v>Especialización en Gerencia Estratégica - Bucaramanga</v>
      </c>
    </row>
    <row r="4311" spans="1:3">
      <c r="A4311">
        <v>18</v>
      </c>
      <c r="B4311">
        <v>4</v>
      </c>
      <c r="C4311" t="str">
        <f>VLOOKUP(A4311,'Programas y Unidades'!$A:$B,2,0)</f>
        <v>Especialización en Medicina del Dolor y Cuidados Paliativos</v>
      </c>
    </row>
    <row r="4312" spans="1:3">
      <c r="A4312">
        <v>12</v>
      </c>
      <c r="B4312">
        <v>6</v>
      </c>
      <c r="C4312" t="str">
        <f>VLOOKUP(A4312,'Programas y Unidades'!$A:$B,2,0)</f>
        <v>Especialización en Neurología</v>
      </c>
    </row>
    <row r="4313" spans="1:3">
      <c r="A4313">
        <v>59</v>
      </c>
      <c r="B4313">
        <v>4</v>
      </c>
      <c r="C4313" t="str">
        <f>VLOOKUP(A4313,'Programas y Unidades'!$A:$B,2,0)</f>
        <v>Doctorado en Innovación Educativa con uso de TIC - Chía</v>
      </c>
    </row>
    <row r="4314" spans="1:3">
      <c r="A4314">
        <v>132</v>
      </c>
      <c r="B4314">
        <v>1</v>
      </c>
      <c r="C4314" t="str">
        <f>VLOOKUP(A4314,'Programas y Unidades'!$A:$B,2,0)</f>
        <v>Especialización En Gerencia Estratégica - Ibagué</v>
      </c>
    </row>
    <row r="4315" spans="1:3">
      <c r="A4315">
        <v>58</v>
      </c>
      <c r="B4315">
        <v>4</v>
      </c>
      <c r="C4315" t="str">
        <f>VLOOKUP(A4315,'Programas y Unidades'!$A:$B,2,0)</f>
        <v>Doctorado en Educación - Chía</v>
      </c>
    </row>
    <row r="4316" spans="1:3">
      <c r="A4316">
        <v>85</v>
      </c>
      <c r="B4316">
        <v>3</v>
      </c>
      <c r="C4316" t="str">
        <f>VLOOKUP(A4316,'Programas y Unidades'!$A:$B,2,0)</f>
        <v>Maestría en Pedagogía e Investigación en Aula - Virtual</v>
      </c>
    </row>
    <row r="4317" spans="1:3">
      <c r="A4317">
        <v>58</v>
      </c>
      <c r="B4317">
        <v>4</v>
      </c>
      <c r="C4317" t="str">
        <f>VLOOKUP(A4317,'Programas y Unidades'!$A:$B,2,0)</f>
        <v>Doctorado en Educación - Chía</v>
      </c>
    </row>
    <row r="4318" spans="1:3">
      <c r="A4318">
        <v>13</v>
      </c>
      <c r="B4318">
        <v>2</v>
      </c>
      <c r="C4318" t="str">
        <f>VLOOKUP(A4318,'Programas y Unidades'!$A:$B,2,0)</f>
        <v>Especialización en Oftalmología</v>
      </c>
    </row>
    <row r="4319" spans="1:3">
      <c r="A4319">
        <v>8</v>
      </c>
      <c r="B4319">
        <v>7</v>
      </c>
      <c r="C4319" t="str">
        <f>VLOOKUP(A4319,'Programas y Unidades'!$A:$B,2,0)</f>
        <v>Especialización en Medicina Familiar y Comunitaria</v>
      </c>
    </row>
    <row r="4320" spans="1:3">
      <c r="A4320">
        <v>108</v>
      </c>
      <c r="B4320">
        <v>2</v>
      </c>
      <c r="C4320" t="str">
        <f>VLOOKUP(A4320,'Programas y Unidades'!$A:$B,2,0)</f>
        <v>Especialización en Psicología Educativa  - Chía</v>
      </c>
    </row>
    <row r="4321" spans="1:3">
      <c r="A4321">
        <v>131</v>
      </c>
      <c r="B4321">
        <v>2</v>
      </c>
      <c r="C4321" t="str">
        <f>VLOOKUP(A4321,'Programas y Unidades'!$A:$B,2,0)</f>
        <v>Especialización en Gerencia Estratégica - Medellín</v>
      </c>
    </row>
    <row r="4322" spans="1:3">
      <c r="A4322">
        <v>134</v>
      </c>
      <c r="B4322">
        <v>2</v>
      </c>
      <c r="C4322" t="str">
        <f>VLOOKUP(A4322,'Programas y Unidades'!$A:$B,2,0)</f>
        <v>Especialización en Gerencia Estratégica - Bucaramanga</v>
      </c>
    </row>
    <row r="4323" spans="1:3">
      <c r="A4323">
        <v>124</v>
      </c>
      <c r="B4323">
        <v>2</v>
      </c>
      <c r="C4323" t="str">
        <f>VLOOKUP(A4323,'Programas y Unidades'!$A:$B,2,0)</f>
        <v>Especialización en Gerencia Estratégica - Virtual</v>
      </c>
    </row>
    <row r="4324" spans="1:3">
      <c r="A4324">
        <v>14</v>
      </c>
      <c r="B4324">
        <v>3</v>
      </c>
      <c r="C4324" t="str">
        <f>VLOOKUP(A4324,'Programas y Unidades'!$A:$B,2,0)</f>
        <v>Especialización en Pediatría</v>
      </c>
    </row>
    <row r="4325" spans="1:3">
      <c r="A4325">
        <v>134</v>
      </c>
      <c r="B4325">
        <v>1</v>
      </c>
      <c r="C4325" t="str">
        <f>VLOOKUP(A4325,'Programas y Unidades'!$A:$B,2,0)</f>
        <v>Especialización en Gerencia Estratégica - Bucaramanga</v>
      </c>
    </row>
    <row r="4326" spans="1:3">
      <c r="A4326">
        <v>14</v>
      </c>
      <c r="B4326">
        <v>3</v>
      </c>
      <c r="C4326" t="str">
        <f>VLOOKUP(A4326,'Programas y Unidades'!$A:$B,2,0)</f>
        <v>Especialización en Pediatría</v>
      </c>
    </row>
    <row r="4327" spans="1:3">
      <c r="A4327">
        <v>124</v>
      </c>
      <c r="B4327">
        <v>2</v>
      </c>
      <c r="C4327" t="str">
        <f>VLOOKUP(A4327,'Programas y Unidades'!$A:$B,2,0)</f>
        <v>Especialización en Gerencia Estratégica - Virtual</v>
      </c>
    </row>
    <row r="4328" spans="1:3">
      <c r="A4328">
        <v>85</v>
      </c>
      <c r="B4328">
        <v>3</v>
      </c>
      <c r="C4328" t="str">
        <f>VLOOKUP(A4328,'Programas y Unidades'!$A:$B,2,0)</f>
        <v>Maestría en Pedagogía e Investigación en Aula - Virtual</v>
      </c>
    </row>
    <row r="4329" spans="1:3">
      <c r="A4329">
        <v>9</v>
      </c>
      <c r="B4329">
        <v>5</v>
      </c>
      <c r="C4329" t="str">
        <f>VLOOKUP(A4329,'Programas y Unidades'!$A:$B,2,0)</f>
        <v>Especialización en Medicina Física y Rehabilitación</v>
      </c>
    </row>
    <row r="4330" spans="1:3">
      <c r="A4330">
        <v>50</v>
      </c>
      <c r="B4330">
        <v>6</v>
      </c>
      <c r="C4330" t="str">
        <f>VLOOKUP(A4330,'Programas y Unidades'!$A:$B,2,0)</f>
        <v>Doctorado en Comunicación - Chía</v>
      </c>
    </row>
    <row r="4331" spans="1:3">
      <c r="A4331">
        <v>134</v>
      </c>
      <c r="B4331">
        <v>2</v>
      </c>
      <c r="C4331" t="str">
        <f>VLOOKUP(A4331,'Programas y Unidades'!$A:$B,2,0)</f>
        <v>Especialización en Gerencia Estratégica - Bucaramanga</v>
      </c>
    </row>
    <row r="4332" spans="1:3">
      <c r="A4332">
        <v>59</v>
      </c>
      <c r="B4332">
        <v>6</v>
      </c>
      <c r="C4332" t="str">
        <f>VLOOKUP(A4332,'Programas y Unidades'!$A:$B,2,0)</f>
        <v>Doctorado en Innovación Educativa con uso de TIC - Chía</v>
      </c>
    </row>
    <row r="4333" spans="1:3">
      <c r="A4333">
        <v>85</v>
      </c>
      <c r="B4333">
        <v>3</v>
      </c>
      <c r="C4333" t="str">
        <f>VLOOKUP(A4333,'Programas y Unidades'!$A:$B,2,0)</f>
        <v>Maestría en Pedagogía e Investigación en Aula - Virtual</v>
      </c>
    </row>
    <row r="4334" spans="1:3">
      <c r="A4334">
        <v>12</v>
      </c>
      <c r="B4334">
        <v>5</v>
      </c>
      <c r="C4334" t="str">
        <f>VLOOKUP(A4334,'Programas y Unidades'!$A:$B,2,0)</f>
        <v>Especialización en Neurología</v>
      </c>
    </row>
    <row r="4335" spans="1:3">
      <c r="A4335">
        <v>18</v>
      </c>
      <c r="B4335">
        <v>3</v>
      </c>
      <c r="C4335" t="str">
        <f>VLOOKUP(A4335,'Programas y Unidades'!$A:$B,2,0)</f>
        <v>Especialización en Medicina del Dolor y Cuidados Paliativos</v>
      </c>
    </row>
    <row r="4336" spans="1:3">
      <c r="A4336">
        <v>85</v>
      </c>
      <c r="B4336">
        <v>3</v>
      </c>
      <c r="C4336" t="str">
        <f>VLOOKUP(A4336,'Programas y Unidades'!$A:$B,2,0)</f>
        <v>Maestría en Pedagogía e Investigación en Aula - Virtual</v>
      </c>
    </row>
    <row r="4337" spans="1:3">
      <c r="A4337">
        <v>6</v>
      </c>
      <c r="B4337">
        <v>6</v>
      </c>
      <c r="C4337" t="str">
        <f>VLOOKUP(A4337,'Programas y Unidades'!$A:$B,2,0)</f>
        <v>Especialización en Ginecología y Obstetricia</v>
      </c>
    </row>
    <row r="4338" spans="1:3">
      <c r="A4338">
        <v>133</v>
      </c>
      <c r="B4338">
        <v>2</v>
      </c>
      <c r="C4338" t="str">
        <f>VLOOKUP(A4338,'Programas y Unidades'!$A:$B,2,0)</f>
        <v>Especialización En Gerencia Estratégica - Villavicencio</v>
      </c>
    </row>
    <row r="4339" spans="1:3">
      <c r="A4339">
        <v>1</v>
      </c>
      <c r="B4339">
        <v>3</v>
      </c>
      <c r="C4339" t="str">
        <f>VLOOKUP(A4339,'Programas y Unidades'!$A:$B,2,0)</f>
        <v>Especialización en Anestesiología y Medicina Perioperatoria</v>
      </c>
    </row>
    <row r="4340" spans="1:3">
      <c r="A4340">
        <v>6</v>
      </c>
      <c r="B4340">
        <v>3</v>
      </c>
      <c r="C4340" t="str">
        <f>VLOOKUP(A4340,'Programas y Unidades'!$A:$B,2,0)</f>
        <v>Especialización en Ginecología y Obstetricia</v>
      </c>
    </row>
    <row r="4341" spans="1:3">
      <c r="A4341">
        <v>8</v>
      </c>
      <c r="B4341">
        <v>3</v>
      </c>
      <c r="C4341" t="str">
        <f>VLOOKUP(A4341,'Programas y Unidades'!$A:$B,2,0)</f>
        <v>Especialización en Medicina Familiar y Comunitaria</v>
      </c>
    </row>
    <row r="4342" spans="1:3">
      <c r="A4342">
        <v>85</v>
      </c>
      <c r="B4342">
        <v>3</v>
      </c>
      <c r="C4342" t="str">
        <f>VLOOKUP(A4342,'Programas y Unidades'!$A:$B,2,0)</f>
        <v>Maestría en Pedagogía e Investigación en Aula - Virtual</v>
      </c>
    </row>
    <row r="4343" spans="1:3">
      <c r="A4343">
        <v>85</v>
      </c>
      <c r="B4343">
        <v>3</v>
      </c>
      <c r="C4343" t="str">
        <f>VLOOKUP(A4343,'Programas y Unidades'!$A:$B,2,0)</f>
        <v>Maestría en Pedagogía e Investigación en Aula - Virtual</v>
      </c>
    </row>
    <row r="4344" spans="1:3">
      <c r="A4344">
        <v>12</v>
      </c>
      <c r="B4344">
        <v>2</v>
      </c>
      <c r="C4344" t="str">
        <f>VLOOKUP(A4344,'Programas y Unidades'!$A:$B,2,0)</f>
        <v>Especialización en Neurología</v>
      </c>
    </row>
    <row r="4345" spans="1:3">
      <c r="A4345">
        <v>58</v>
      </c>
      <c r="B4345">
        <v>4</v>
      </c>
      <c r="C4345" t="str">
        <f>VLOOKUP(A4345,'Programas y Unidades'!$A:$B,2,0)</f>
        <v>Doctorado en Educación - Chía</v>
      </c>
    </row>
    <row r="4346" spans="1:3">
      <c r="A4346">
        <v>59</v>
      </c>
      <c r="B4346">
        <v>3</v>
      </c>
      <c r="C4346" t="str">
        <f>VLOOKUP(A4346,'Programas y Unidades'!$A:$B,2,0)</f>
        <v>Doctorado en Innovación Educativa con uso de TIC - Chía</v>
      </c>
    </row>
    <row r="4347" spans="1:3">
      <c r="A4347">
        <v>95</v>
      </c>
      <c r="B4347">
        <v>2</v>
      </c>
      <c r="C4347" t="str">
        <f>VLOOKUP(A4347,'Programas y Unidades'!$A:$B,2,0)</f>
        <v>Maestría en Asesoría Familiar y Gestión de Programas para la Familia - Virtual</v>
      </c>
    </row>
    <row r="4348" spans="1:3">
      <c r="A4348">
        <v>13</v>
      </c>
      <c r="B4348">
        <v>4</v>
      </c>
      <c r="C4348" t="str">
        <f>VLOOKUP(A4348,'Programas y Unidades'!$A:$B,2,0)</f>
        <v>Especialización en Oftalmología</v>
      </c>
    </row>
    <row r="4349" spans="1:3">
      <c r="A4349">
        <v>85</v>
      </c>
      <c r="B4349">
        <v>3</v>
      </c>
      <c r="C4349" t="str">
        <f>VLOOKUP(A4349,'Programas y Unidades'!$A:$B,2,0)</f>
        <v>Maestría en Pedagogía e Investigación en Aula - Virtual</v>
      </c>
    </row>
    <row r="4350" spans="1:3">
      <c r="A4350">
        <v>9</v>
      </c>
      <c r="B4350">
        <v>3</v>
      </c>
      <c r="C4350" t="str">
        <f>VLOOKUP(A4350,'Programas y Unidades'!$A:$B,2,0)</f>
        <v>Especialización en Medicina Física y Rehabilitación</v>
      </c>
    </row>
    <row r="4351" spans="1:3">
      <c r="A4351">
        <v>6</v>
      </c>
      <c r="B4351">
        <v>3</v>
      </c>
      <c r="C4351" t="str">
        <f>VLOOKUP(A4351,'Programas y Unidades'!$A:$B,2,0)</f>
        <v>Especialización en Ginecología y Obstetricia</v>
      </c>
    </row>
    <row r="4352" spans="1:3">
      <c r="A4352">
        <v>105</v>
      </c>
      <c r="B4352">
        <v>2</v>
      </c>
      <c r="C4352" t="str">
        <f>VLOOKUP(A4352,'Programas y Unidades'!$A:$B,2,0)</f>
        <v>Especialización en Terapia Manual Ortopédica - Chía</v>
      </c>
    </row>
    <row r="4353" spans="1:3">
      <c r="A4353">
        <v>9</v>
      </c>
      <c r="B4353">
        <v>6</v>
      </c>
      <c r="C4353" t="str">
        <f>VLOOKUP(A4353,'Programas y Unidades'!$A:$B,2,0)</f>
        <v>Especialización en Medicina Física y Rehabilitación</v>
      </c>
    </row>
    <row r="4354" spans="1:3">
      <c r="A4354">
        <v>71</v>
      </c>
      <c r="B4354">
        <v>2</v>
      </c>
      <c r="C4354" t="str">
        <f>VLOOKUP(A4354,'Programas y Unidades'!$A:$B,2,0)</f>
        <v>Doctorado en Logística y Gestión de Cadenas de Suministros - Chía</v>
      </c>
    </row>
    <row r="4355" spans="1:3">
      <c r="A4355">
        <v>8</v>
      </c>
      <c r="B4355">
        <v>3</v>
      </c>
      <c r="C4355" t="str">
        <f>VLOOKUP(A4355,'Programas y Unidades'!$A:$B,2,0)</f>
        <v>Especialización en Medicina Familiar y Comunitaria</v>
      </c>
    </row>
    <row r="4356" spans="1:3">
      <c r="A4356">
        <v>134</v>
      </c>
      <c r="B4356">
        <v>1</v>
      </c>
      <c r="C4356" t="str">
        <f>VLOOKUP(A4356,'Programas y Unidades'!$A:$B,2,0)</f>
        <v>Especialización en Gerencia Estratégica - Bucaramanga</v>
      </c>
    </row>
    <row r="4357" spans="1:3">
      <c r="A4357">
        <v>58</v>
      </c>
      <c r="B4357">
        <v>4</v>
      </c>
      <c r="C4357" t="str">
        <f>VLOOKUP(A4357,'Programas y Unidades'!$A:$B,2,0)</f>
        <v>Doctorado en Educación - Chía</v>
      </c>
    </row>
    <row r="4358" spans="1:3">
      <c r="A4358">
        <v>7</v>
      </c>
      <c r="B4358">
        <v>6</v>
      </c>
      <c r="C4358" t="str">
        <f>VLOOKUP(A4358,'Programas y Unidades'!$A:$B,2,0)</f>
        <v>Especialización en Medicina Crítica y Cuidado Intensivo</v>
      </c>
    </row>
    <row r="4359" spans="1:3">
      <c r="A4359">
        <v>71</v>
      </c>
      <c r="B4359">
        <v>2</v>
      </c>
      <c r="C4359" t="str">
        <f>VLOOKUP(A4359,'Programas y Unidades'!$A:$B,2,0)</f>
        <v>Doctorado en Logística y Gestión de Cadenas de Suministros - Chía</v>
      </c>
    </row>
    <row r="4360" spans="1:3">
      <c r="A4360">
        <v>134</v>
      </c>
      <c r="B4360">
        <v>1</v>
      </c>
      <c r="C4360" t="str">
        <f>VLOOKUP(A4360,'Programas y Unidades'!$A:$B,2,0)</f>
        <v>Especialización en Gerencia Estratégica - Bucaramanga</v>
      </c>
    </row>
    <row r="4361" spans="1:3">
      <c r="A4361">
        <v>58</v>
      </c>
      <c r="B4361">
        <v>3</v>
      </c>
      <c r="C4361" t="str">
        <f>VLOOKUP(A4361,'Programas y Unidades'!$A:$B,2,0)</f>
        <v>Doctorado en Educación - Chía</v>
      </c>
    </row>
    <row r="4362" spans="1:3">
      <c r="A4362">
        <v>8</v>
      </c>
      <c r="B4362">
        <v>6</v>
      </c>
      <c r="C4362" t="str">
        <f>VLOOKUP(A4362,'Programas y Unidades'!$A:$B,2,0)</f>
        <v>Especialización en Medicina Familiar y Comunitaria</v>
      </c>
    </row>
    <row r="4363" spans="1:3">
      <c r="A4363">
        <v>133</v>
      </c>
      <c r="B4363">
        <v>1</v>
      </c>
      <c r="C4363" t="str">
        <f>VLOOKUP(A4363,'Programas y Unidades'!$A:$B,2,0)</f>
        <v>Especialización En Gerencia Estratégica - Villavicencio</v>
      </c>
    </row>
    <row r="4364" spans="1:3">
      <c r="A4364">
        <v>18</v>
      </c>
      <c r="B4364">
        <v>2</v>
      </c>
      <c r="C4364" t="str">
        <f>VLOOKUP(A4364,'Programas y Unidades'!$A:$B,2,0)</f>
        <v>Especialización en Medicina del Dolor y Cuidados Paliativos</v>
      </c>
    </row>
    <row r="4365" spans="1:3">
      <c r="A4365">
        <v>131</v>
      </c>
      <c r="B4365">
        <v>2</v>
      </c>
      <c r="C4365" t="str">
        <f>VLOOKUP(A4365,'Programas y Unidades'!$A:$B,2,0)</f>
        <v>Especialización en Gerencia Estratégica - Medellín</v>
      </c>
    </row>
    <row r="4366" spans="1:3">
      <c r="A4366">
        <v>5</v>
      </c>
      <c r="B4366">
        <v>4</v>
      </c>
      <c r="C4366" t="str">
        <f>VLOOKUP(A4366,'Programas y Unidades'!$A:$B,2,0)</f>
        <v>Especialización en Farmacología Clínica</v>
      </c>
    </row>
    <row r="4367" spans="1:3">
      <c r="A4367">
        <v>108</v>
      </c>
      <c r="B4367">
        <v>2</v>
      </c>
      <c r="C4367" t="str">
        <f>VLOOKUP(A4367,'Programas y Unidades'!$A:$B,2,0)</f>
        <v>Especialización en Psicología Educativa  - Chía</v>
      </c>
    </row>
    <row r="4368" spans="1:3">
      <c r="A4368">
        <v>59</v>
      </c>
      <c r="B4368">
        <v>3</v>
      </c>
      <c r="C4368" t="str">
        <f>VLOOKUP(A4368,'Programas y Unidades'!$A:$B,2,0)</f>
        <v>Doctorado en Innovación Educativa con uso de TIC - Chía</v>
      </c>
    </row>
    <row r="4369" spans="1:3">
      <c r="A4369">
        <v>127</v>
      </c>
      <c r="B4369">
        <v>1</v>
      </c>
      <c r="C4369" t="str">
        <f>VLOOKUP(A4369,'Programas y Unidades'!$A:$B,2,0)</f>
        <v>Especialización en Gerencia Comercial Bucaramanga - Santander</v>
      </c>
    </row>
    <row r="4370" spans="1:3">
      <c r="A4370">
        <v>58</v>
      </c>
      <c r="B4370">
        <v>4</v>
      </c>
      <c r="C4370" t="str">
        <f>VLOOKUP(A4370,'Programas y Unidades'!$A:$B,2,0)</f>
        <v>Doctorado en Educación - Chía</v>
      </c>
    </row>
    <row r="4371" spans="1:3">
      <c r="A4371">
        <v>129</v>
      </c>
      <c r="B4371">
        <v>1</v>
      </c>
      <c r="C4371" t="str">
        <f>VLOOKUP(A4371,'Programas y Unidades'!$A:$B,2,0)</f>
        <v>Especialización en Gerencia Comercial Medellín - Antioquia</v>
      </c>
    </row>
    <row r="4372" spans="1:3">
      <c r="A4372">
        <v>5</v>
      </c>
      <c r="B4372">
        <v>2</v>
      </c>
      <c r="C4372" t="str">
        <f>VLOOKUP(A4372,'Programas y Unidades'!$A:$B,2,0)</f>
        <v>Especialización en Farmacología Clínica</v>
      </c>
    </row>
    <row r="4373" spans="1:3">
      <c r="A4373">
        <v>126</v>
      </c>
      <c r="B4373">
        <v>1</v>
      </c>
      <c r="C4373" t="str">
        <f>VLOOKUP(A4373,'Programas y Unidades'!$A:$B,2,0)</f>
        <v>Especialización en Gerencia Comercial - Virtual</v>
      </c>
    </row>
    <row r="4374" spans="1:3">
      <c r="A4374">
        <v>5</v>
      </c>
      <c r="B4374">
        <v>3</v>
      </c>
      <c r="C4374" t="str">
        <f>VLOOKUP(A4374,'Programas y Unidades'!$A:$B,2,0)</f>
        <v>Especialización en Farmacología Clínica</v>
      </c>
    </row>
    <row r="4375" spans="1:3">
      <c r="A4375">
        <v>5</v>
      </c>
      <c r="B4375">
        <v>4</v>
      </c>
      <c r="C4375" t="str">
        <f>VLOOKUP(A4375,'Programas y Unidades'!$A:$B,2,0)</f>
        <v>Especialización en Farmacología Clínica</v>
      </c>
    </row>
    <row r="4376" spans="1:3">
      <c r="A4376">
        <v>5</v>
      </c>
      <c r="B4376">
        <v>5</v>
      </c>
      <c r="C4376" t="str">
        <f>VLOOKUP(A4376,'Programas y Unidades'!$A:$B,2,0)</f>
        <v>Especialización en Farmacología Clínica</v>
      </c>
    </row>
    <row r="4377" spans="1:3">
      <c r="A4377">
        <v>133</v>
      </c>
      <c r="B4377">
        <v>1</v>
      </c>
      <c r="C4377" t="str">
        <f>VLOOKUP(A4377,'Programas y Unidades'!$A:$B,2,0)</f>
        <v>Especialización En Gerencia Estratégica - Villavicencio</v>
      </c>
    </row>
    <row r="4378" spans="1:3">
      <c r="A4378">
        <v>7</v>
      </c>
      <c r="B4378">
        <v>6</v>
      </c>
      <c r="C4378" t="str">
        <f>VLOOKUP(A4378,'Programas y Unidades'!$A:$B,2,0)</f>
        <v>Especialización en Medicina Crítica y Cuidado Intensivo</v>
      </c>
    </row>
    <row r="4379" spans="1:3">
      <c r="A4379">
        <v>2</v>
      </c>
      <c r="B4379">
        <v>3</v>
      </c>
      <c r="C4379" t="str">
        <f>VLOOKUP(A4379,'Programas y Unidades'!$A:$B,2,0)</f>
        <v>Especialización en Cirugía General</v>
      </c>
    </row>
    <row r="4380" spans="1:3">
      <c r="A4380">
        <v>49</v>
      </c>
      <c r="B4380">
        <v>3</v>
      </c>
      <c r="C4380" t="str">
        <f>VLOOKUP(A4380,'Programas y Unidades'!$A:$B,2,0)</f>
        <v>Maestría en Gerencia de la Innovación - Chía</v>
      </c>
    </row>
    <row r="4381" spans="1:3">
      <c r="A4381">
        <v>49</v>
      </c>
      <c r="B4381">
        <v>2</v>
      </c>
      <c r="C4381" t="str">
        <f>VLOOKUP(A4381,'Programas y Unidades'!$A:$B,2,0)</f>
        <v>Maestría en Gerencia de la Innovación - Chía</v>
      </c>
    </row>
    <row r="4382" spans="1:3">
      <c r="A4382">
        <v>49</v>
      </c>
      <c r="B4382">
        <v>2</v>
      </c>
      <c r="C4382" t="str">
        <f>VLOOKUP(A4382,'Programas y Unidades'!$A:$B,2,0)</f>
        <v>Maestría en Gerencia de la Innovación - Chía</v>
      </c>
    </row>
    <row r="4383" spans="1:3">
      <c r="A4383">
        <v>47</v>
      </c>
      <c r="B4383">
        <v>2</v>
      </c>
      <c r="C4383" t="str">
        <f>VLOOKUP(A4383,'Programas y Unidades'!$A:$B,2,0)</f>
        <v>Maestría en Gerencia Estratégica - Chía</v>
      </c>
    </row>
    <row r="4384" spans="1:3">
      <c r="A4384">
        <v>47</v>
      </c>
      <c r="B4384">
        <v>2</v>
      </c>
      <c r="C4384" t="str">
        <f>VLOOKUP(A4384,'Programas y Unidades'!$A:$B,2,0)</f>
        <v>Maestría en Gerencia Estratégica - Chía</v>
      </c>
    </row>
    <row r="4385" spans="1:3">
      <c r="A4385">
        <v>18</v>
      </c>
      <c r="B4385">
        <v>5</v>
      </c>
      <c r="C4385" t="str">
        <f>VLOOKUP(A4385,'Programas y Unidades'!$A:$B,2,0)</f>
        <v>Especialización en Medicina del Dolor y Cuidados Paliativos</v>
      </c>
    </row>
    <row r="4386" spans="1:3">
      <c r="A4386">
        <v>47</v>
      </c>
      <c r="B4386">
        <v>2</v>
      </c>
      <c r="C4386" t="str">
        <f>VLOOKUP(A4386,'Programas y Unidades'!$A:$B,2,0)</f>
        <v>Maestría en Gerencia Estratégica - Chía</v>
      </c>
    </row>
    <row r="4387" spans="1:3">
      <c r="A4387">
        <v>72</v>
      </c>
      <c r="B4387">
        <v>6</v>
      </c>
      <c r="C4387" t="str">
        <f>VLOOKUP(A4387,'Programas y Unidades'!$A:$B,2,0)</f>
        <v>Doctorado en Ingeniería - Chía</v>
      </c>
    </row>
    <row r="4388" spans="1:3">
      <c r="A4388">
        <v>72</v>
      </c>
      <c r="B4388">
        <v>4</v>
      </c>
      <c r="C4388" t="str">
        <f>VLOOKUP(A4388,'Programas y Unidades'!$A:$B,2,0)</f>
        <v>Doctorado en Ingeniería - Chía</v>
      </c>
    </row>
    <row r="4389" spans="1:3">
      <c r="A4389">
        <v>129</v>
      </c>
      <c r="B4389">
        <v>1</v>
      </c>
      <c r="C4389" t="str">
        <f>VLOOKUP(A4389,'Programas y Unidades'!$A:$B,2,0)</f>
        <v>Especialización en Gerencia Comercial Medellín - Antioquia</v>
      </c>
    </row>
    <row r="4390" spans="1:3">
      <c r="A4390">
        <v>120</v>
      </c>
      <c r="B4390">
        <v>2</v>
      </c>
      <c r="C4390" t="str">
        <f>VLOOKUP(A4390,'Programas y Unidades'!$A:$B,2,0)</f>
        <v>Especialización en Gerencia de Riesgos - Chía</v>
      </c>
    </row>
    <row r="4391" spans="1:3">
      <c r="A4391">
        <v>119</v>
      </c>
      <c r="B4391">
        <v>1</v>
      </c>
      <c r="C4391" t="str">
        <f>VLOOKUP(A4391,'Programas y Unidades'!$A:$B,2,0)</f>
        <v>Especialización en Gerencia de Proyectos con Enfoque en Habilidades Directivas - Chía</v>
      </c>
    </row>
    <row r="4392" spans="1:3">
      <c r="A4392">
        <v>73</v>
      </c>
      <c r="B4392">
        <v>3</v>
      </c>
      <c r="C4392" t="str">
        <f>VLOOKUP(A4392,'Programas y Unidades'!$A:$B,2,0)</f>
        <v>Maestría en Diseño y Gestión de Procesos - Chía</v>
      </c>
    </row>
    <row r="4393" spans="1:3">
      <c r="A4393">
        <v>9</v>
      </c>
      <c r="B4393">
        <v>5</v>
      </c>
      <c r="C4393" t="str">
        <f>VLOOKUP(A4393,'Programas y Unidades'!$A:$B,2,0)</f>
        <v>Especialización en Medicina Física y Rehabilitación</v>
      </c>
    </row>
    <row r="4394" spans="1:3">
      <c r="A4394">
        <v>85</v>
      </c>
      <c r="B4394">
        <v>4</v>
      </c>
      <c r="C4394" t="str">
        <f>VLOOKUP(A4394,'Programas y Unidades'!$A:$B,2,0)</f>
        <v>Maestría en Pedagogía e Investigación en Aula - Virtual</v>
      </c>
    </row>
    <row r="4395" spans="1:3">
      <c r="A4395">
        <v>72</v>
      </c>
      <c r="B4395">
        <v>6</v>
      </c>
      <c r="C4395" t="str">
        <f>VLOOKUP(A4395,'Programas y Unidades'!$A:$B,2,0)</f>
        <v>Doctorado en Ingeniería - Chía</v>
      </c>
    </row>
    <row r="4396" spans="1:3">
      <c r="A4396">
        <v>47</v>
      </c>
      <c r="B4396">
        <v>2</v>
      </c>
      <c r="C4396" t="str">
        <f>VLOOKUP(A4396,'Programas y Unidades'!$A:$B,2,0)</f>
        <v>Maestría en Gerencia Estratégica - Chía</v>
      </c>
    </row>
    <row r="4397" spans="1:3">
      <c r="A4397">
        <v>117</v>
      </c>
      <c r="B4397">
        <v>2</v>
      </c>
      <c r="C4397" t="str">
        <f>VLOOKUP(A4397,'Programas y Unidades'!$A:$B,2,0)</f>
        <v>Especialización en Finanzas Corporativas - Chía</v>
      </c>
    </row>
    <row r="4398" spans="1:3">
      <c r="A4398">
        <v>46</v>
      </c>
      <c r="B4398">
        <v>2</v>
      </c>
      <c r="C4398" t="str">
        <f>VLOOKUP(A4398,'Programas y Unidades'!$A:$B,2,0)</f>
        <v>Maestría en Gerencia de Operaciones - Chía</v>
      </c>
    </row>
    <row r="4399" spans="1:3">
      <c r="A4399">
        <v>117</v>
      </c>
      <c r="B4399">
        <v>1</v>
      </c>
      <c r="C4399" t="str">
        <f>VLOOKUP(A4399,'Programas y Unidades'!$A:$B,2,0)</f>
        <v>Especialización en Finanzas Corporativas - Chía</v>
      </c>
    </row>
    <row r="4400" spans="1:3">
      <c r="A4400">
        <v>9</v>
      </c>
      <c r="B4400">
        <v>5</v>
      </c>
      <c r="C4400" t="str">
        <f>VLOOKUP(A4400,'Programas y Unidades'!$A:$B,2,0)</f>
        <v>Especialización en Medicina Física y Rehabilitación</v>
      </c>
    </row>
    <row r="4401" spans="1:3">
      <c r="A4401">
        <v>72</v>
      </c>
      <c r="B4401">
        <v>2</v>
      </c>
      <c r="C4401" t="str">
        <f>VLOOKUP(A4401,'Programas y Unidades'!$A:$B,2,0)</f>
        <v>Doctorado en Ingeniería - Chía</v>
      </c>
    </row>
    <row r="4402" spans="1:3">
      <c r="A4402">
        <v>14</v>
      </c>
      <c r="B4402">
        <v>3</v>
      </c>
      <c r="C4402" t="str">
        <f>VLOOKUP(A4402,'Programas y Unidades'!$A:$B,2,0)</f>
        <v>Especialización en Pediatría</v>
      </c>
    </row>
    <row r="4403" spans="1:3">
      <c r="A4403">
        <v>73</v>
      </c>
      <c r="B4403">
        <v>4</v>
      </c>
      <c r="C4403" t="str">
        <f>VLOOKUP(A4403,'Programas y Unidades'!$A:$B,2,0)</f>
        <v>Maestría en Diseño y Gestión de Procesos - Chía</v>
      </c>
    </row>
    <row r="4404" spans="1:3">
      <c r="A4404">
        <v>95</v>
      </c>
      <c r="B4404">
        <v>2</v>
      </c>
      <c r="C4404" t="str">
        <f>VLOOKUP(A4404,'Programas y Unidades'!$A:$B,2,0)</f>
        <v>Maestría en Asesoría Familiar y Gestión de Programas para la Familia - Virtual</v>
      </c>
    </row>
    <row r="4405" spans="1:3">
      <c r="A4405">
        <v>49</v>
      </c>
      <c r="B4405">
        <v>3</v>
      </c>
      <c r="C4405" t="str">
        <f>VLOOKUP(A4405,'Programas y Unidades'!$A:$B,2,0)</f>
        <v>Maestría en Gerencia de la Innovación - Chía</v>
      </c>
    </row>
    <row r="4406" spans="1:3">
      <c r="A4406">
        <v>9</v>
      </c>
      <c r="B4406">
        <v>3</v>
      </c>
      <c r="C4406" t="str">
        <f>VLOOKUP(A4406,'Programas y Unidades'!$A:$B,2,0)</f>
        <v>Especialización en Medicina Física y Rehabilitación</v>
      </c>
    </row>
    <row r="4407" spans="1:3">
      <c r="A4407">
        <v>5</v>
      </c>
      <c r="B4407">
        <v>2</v>
      </c>
      <c r="C4407" t="str">
        <f>VLOOKUP(A4407,'Programas y Unidades'!$A:$B,2,0)</f>
        <v>Especialización en Farmacología Clínica</v>
      </c>
    </row>
    <row r="4408" spans="1:3">
      <c r="A4408">
        <v>47</v>
      </c>
      <c r="B4408">
        <v>3</v>
      </c>
      <c r="C4408" t="str">
        <f>VLOOKUP(A4408,'Programas y Unidades'!$A:$B,2,0)</f>
        <v>Maestría en Gerencia Estratégica - Chía</v>
      </c>
    </row>
    <row r="4409" spans="1:3">
      <c r="A4409">
        <v>68</v>
      </c>
      <c r="B4409">
        <v>3</v>
      </c>
      <c r="C4409" t="str">
        <f>VLOOKUP(A4409,'Programas y Unidades'!$A:$B,2,0)</f>
        <v>Maestría en Lingüística Panhispánica - Chía</v>
      </c>
    </row>
    <row r="4410" spans="1:3">
      <c r="A4410">
        <v>156</v>
      </c>
      <c r="B4410">
        <v>2</v>
      </c>
      <c r="C4410" t="e">
        <f>VLOOKUP(A4410,'Programas y Unidades'!$A:$B,2,0)</f>
        <v>#N/A</v>
      </c>
    </row>
    <row r="4411" spans="1:3">
      <c r="A4411">
        <v>152</v>
      </c>
      <c r="B4411">
        <v>2</v>
      </c>
      <c r="C4411" t="e">
        <f>VLOOKUP(A4411,'Programas y Unidades'!$A:$B,2,0)</f>
        <v>#N/A</v>
      </c>
    </row>
    <row r="4412" spans="1:3">
      <c r="A4412">
        <v>156</v>
      </c>
      <c r="B4412">
        <v>1</v>
      </c>
      <c r="C4412" t="e">
        <f>VLOOKUP(A4412,'Programas y Unidades'!$A:$B,2,0)</f>
        <v>#N/A</v>
      </c>
    </row>
    <row r="4413" spans="1:3">
      <c r="A4413">
        <v>73</v>
      </c>
      <c r="B4413">
        <v>2</v>
      </c>
      <c r="C4413" t="str">
        <f>VLOOKUP(A4413,'Programas y Unidades'!$A:$B,2,0)</f>
        <v>Maestría en Diseño y Gestión de Procesos - Chía</v>
      </c>
    </row>
    <row r="4414" spans="1:3">
      <c r="A4414">
        <v>9</v>
      </c>
      <c r="B4414">
        <v>5</v>
      </c>
      <c r="C4414" t="str">
        <f>VLOOKUP(A4414,'Programas y Unidades'!$A:$B,2,0)</f>
        <v>Especialización en Medicina Física y Rehabilitación</v>
      </c>
    </row>
    <row r="4415" spans="1:3">
      <c r="A4415">
        <v>149</v>
      </c>
      <c r="B4415">
        <v>2</v>
      </c>
      <c r="C4415" t="e">
        <f>VLOOKUP(A4415,'Programas y Unidades'!$A:$B,2,0)</f>
        <v>#N/A</v>
      </c>
    </row>
    <row r="4416" spans="1:3">
      <c r="A4416">
        <v>9</v>
      </c>
      <c r="B4416">
        <v>3</v>
      </c>
      <c r="C4416" t="str">
        <f>VLOOKUP(A4416,'Programas y Unidades'!$A:$B,2,0)</f>
        <v>Especialización en Medicina Física y Rehabilitación</v>
      </c>
    </row>
    <row r="4417" spans="1:3">
      <c r="A4417">
        <v>19</v>
      </c>
      <c r="B4417">
        <v>4</v>
      </c>
      <c r="C4417" t="str">
        <f>VLOOKUP(A4417,'Programas y Unidades'!$A:$B,2,0)</f>
        <v>Especialización en Neumología Pediátrica</v>
      </c>
    </row>
    <row r="4418" spans="1:3">
      <c r="A4418">
        <v>68</v>
      </c>
      <c r="B4418">
        <v>2</v>
      </c>
      <c r="C4418" t="str">
        <f>VLOOKUP(A4418,'Programas y Unidades'!$A:$B,2,0)</f>
        <v>Maestría en Lingüística Panhispánica - Chía</v>
      </c>
    </row>
    <row r="4419" spans="1:3">
      <c r="A4419">
        <v>119</v>
      </c>
      <c r="B4419">
        <v>1</v>
      </c>
      <c r="C4419" t="str">
        <f>VLOOKUP(A4419,'Programas y Unidades'!$A:$B,2,0)</f>
        <v>Especialización en Gerencia de Proyectos con Enfoque en Habilidades Directivas - Chía</v>
      </c>
    </row>
    <row r="4420" spans="1:3">
      <c r="A4420">
        <v>58</v>
      </c>
      <c r="B4420">
        <v>6</v>
      </c>
      <c r="C4420" t="str">
        <f>VLOOKUP(A4420,'Programas y Unidades'!$A:$B,2,0)</f>
        <v>Doctorado en Educación - Chía</v>
      </c>
    </row>
    <row r="4421" spans="1:3">
      <c r="A4421">
        <v>47</v>
      </c>
      <c r="B4421">
        <v>3</v>
      </c>
      <c r="C4421" t="str">
        <f>VLOOKUP(A4421,'Programas y Unidades'!$A:$B,2,0)</f>
        <v>Maestría en Gerencia Estratégica - Chía</v>
      </c>
    </row>
    <row r="4422" spans="1:3">
      <c r="A4422">
        <v>126</v>
      </c>
      <c r="B4422">
        <v>1</v>
      </c>
      <c r="C4422" t="str">
        <f>VLOOKUP(A4422,'Programas y Unidades'!$A:$B,2,0)</f>
        <v>Especialización en Gerencia Comercial - Virtual</v>
      </c>
    </row>
    <row r="4423" spans="1:3">
      <c r="A4423">
        <v>59</v>
      </c>
      <c r="B4423">
        <v>2</v>
      </c>
      <c r="C4423" t="str">
        <f>VLOOKUP(A4423,'Programas y Unidades'!$A:$B,2,0)</f>
        <v>Doctorado en Innovación Educativa con uso de TIC - Chía</v>
      </c>
    </row>
    <row r="4424" spans="1:3">
      <c r="A4424">
        <v>12</v>
      </c>
      <c r="B4424">
        <v>7</v>
      </c>
      <c r="C4424" t="str">
        <f>VLOOKUP(A4424,'Programas y Unidades'!$A:$B,2,0)</f>
        <v>Especialización en Neurología</v>
      </c>
    </row>
    <row r="4425" spans="1:3">
      <c r="A4425">
        <v>124</v>
      </c>
      <c r="B4425">
        <v>2</v>
      </c>
      <c r="C4425" t="str">
        <f>VLOOKUP(A4425,'Programas y Unidades'!$A:$B,2,0)</f>
        <v>Especialización en Gerencia Estratégica - Virtual</v>
      </c>
    </row>
    <row r="4426" spans="1:3">
      <c r="A4426">
        <v>84</v>
      </c>
      <c r="B4426">
        <v>4</v>
      </c>
      <c r="C4426" t="str">
        <f>VLOOKUP(A4426,'Programas y Unidades'!$A:$B,2,0)</f>
        <v>Maestría en Innovación Educativa Mediada por TIC - Virtual</v>
      </c>
    </row>
    <row r="4427" spans="1:3">
      <c r="A4427">
        <v>72</v>
      </c>
      <c r="B4427">
        <v>6</v>
      </c>
      <c r="C4427" t="str">
        <f>VLOOKUP(A4427,'Programas y Unidades'!$A:$B,2,0)</f>
        <v>Doctorado en Ingeniería - Chía</v>
      </c>
    </row>
    <row r="4428" spans="1:3">
      <c r="A4428">
        <v>124</v>
      </c>
      <c r="B4428">
        <v>1</v>
      </c>
      <c r="C4428" t="str">
        <f>VLOOKUP(A4428,'Programas y Unidades'!$A:$B,2,0)</f>
        <v>Especialización en Gerencia Estratégica - Virtual</v>
      </c>
    </row>
    <row r="4429" spans="1:3">
      <c r="A4429">
        <v>49</v>
      </c>
      <c r="B4429">
        <v>2</v>
      </c>
      <c r="C4429" t="str">
        <f>VLOOKUP(A4429,'Programas y Unidades'!$A:$B,2,0)</f>
        <v>Maestría en Gerencia de la Innovación - Chía</v>
      </c>
    </row>
    <row r="4430" spans="1:3">
      <c r="A4430">
        <v>66</v>
      </c>
      <c r="B4430">
        <v>2</v>
      </c>
      <c r="C4430" t="str">
        <f>VLOOKUP(A4430,'Programas y Unidades'!$A:$B,2,0)</f>
        <v>Doctorado en Enfermería - Chía</v>
      </c>
    </row>
    <row r="4431" spans="1:3">
      <c r="A4431">
        <v>119</v>
      </c>
      <c r="B4431">
        <v>1</v>
      </c>
      <c r="C4431" t="str">
        <f>VLOOKUP(A4431,'Programas y Unidades'!$A:$B,2,0)</f>
        <v>Especialización en Gerencia de Proyectos con Enfoque en Habilidades Directivas - Chía</v>
      </c>
    </row>
    <row r="4432" spans="1:3">
      <c r="A4432">
        <v>66</v>
      </c>
      <c r="B4432">
        <v>6</v>
      </c>
      <c r="C4432" t="str">
        <f>VLOOKUP(A4432,'Programas y Unidades'!$A:$B,2,0)</f>
        <v>Doctorado en Enfermería - Chía</v>
      </c>
    </row>
    <row r="4433" spans="1:3">
      <c r="A4433">
        <v>85</v>
      </c>
      <c r="B4433">
        <v>3</v>
      </c>
      <c r="C4433" t="str">
        <f>VLOOKUP(A4433,'Programas y Unidades'!$A:$B,2,0)</f>
        <v>Maestría en Pedagogía e Investigación en Aula - Virtual</v>
      </c>
    </row>
    <row r="4434" spans="1:3">
      <c r="A4434">
        <v>94</v>
      </c>
      <c r="B4434">
        <v>3</v>
      </c>
      <c r="C4434" t="str">
        <f>VLOOKUP(A4434,'Programas y Unidades'!$A:$B,2,0)</f>
        <v>Maestría en Enfermería - Virtual</v>
      </c>
    </row>
    <row r="4435" spans="1:3">
      <c r="A4435">
        <v>166</v>
      </c>
      <c r="B4435">
        <v>4</v>
      </c>
      <c r="C4435" t="e">
        <f>VLOOKUP(A4435,'Programas y Unidades'!$A:$B,2,0)</f>
        <v>#N/A</v>
      </c>
    </row>
    <row r="4436" spans="1:3">
      <c r="A4436">
        <v>166</v>
      </c>
      <c r="B4436">
        <v>6</v>
      </c>
      <c r="C4436" t="e">
        <f>VLOOKUP(A4436,'Programas y Unidades'!$A:$B,2,0)</f>
        <v>#N/A</v>
      </c>
    </row>
    <row r="4437" spans="1:3">
      <c r="A4437">
        <v>166</v>
      </c>
      <c r="B4437">
        <v>4</v>
      </c>
      <c r="C4437" t="e">
        <f>VLOOKUP(A4437,'Programas y Unidades'!$A:$B,2,0)</f>
        <v>#N/A</v>
      </c>
    </row>
    <row r="4438" spans="1:3">
      <c r="A4438">
        <v>166</v>
      </c>
      <c r="B4438">
        <v>2</v>
      </c>
      <c r="C4438" t="e">
        <f>VLOOKUP(A4438,'Programas y Unidades'!$A:$B,2,0)</f>
        <v>#N/A</v>
      </c>
    </row>
    <row r="4439" spans="1:3">
      <c r="A4439">
        <v>166</v>
      </c>
      <c r="B4439">
        <v>2</v>
      </c>
      <c r="C4439" t="e">
        <f>VLOOKUP(A4439,'Programas y Unidades'!$A:$B,2,0)</f>
        <v>#N/A</v>
      </c>
    </row>
    <row r="4440" spans="1:3">
      <c r="A4440">
        <v>166</v>
      </c>
      <c r="B4440">
        <v>1</v>
      </c>
      <c r="C4440" t="e">
        <f>VLOOKUP(A4440,'Programas y Unidades'!$A:$B,2,0)</f>
        <v>#N/A</v>
      </c>
    </row>
    <row r="4441" spans="1:3">
      <c r="A4441">
        <v>166</v>
      </c>
      <c r="B4441">
        <v>2</v>
      </c>
      <c r="C4441" t="e">
        <f>VLOOKUP(A4441,'Programas y Unidades'!$A:$B,2,0)</f>
        <v>#N/A</v>
      </c>
    </row>
    <row r="4442" spans="1:3">
      <c r="A4442">
        <v>69</v>
      </c>
      <c r="B4442">
        <v>3</v>
      </c>
      <c r="C4442" t="str">
        <f>VLOOKUP(A4442,'Programas y Unidades'!$A:$B,2,0)</f>
        <v>Maestría en Teología - Chía</v>
      </c>
    </row>
    <row r="4443" spans="1:3">
      <c r="A4443">
        <v>94</v>
      </c>
      <c r="B4443">
        <v>5</v>
      </c>
      <c r="C4443" t="str">
        <f>VLOOKUP(A4443,'Programas y Unidades'!$A:$B,2,0)</f>
        <v>Maestría en Enfermería - Virtual</v>
      </c>
    </row>
    <row r="4444" spans="1:3">
      <c r="A4444">
        <v>59</v>
      </c>
      <c r="B4444">
        <v>3</v>
      </c>
      <c r="C4444" t="str">
        <f>VLOOKUP(A4444,'Programas y Unidades'!$A:$B,2,0)</f>
        <v>Doctorado en Innovación Educativa con uso de TIC - Chía</v>
      </c>
    </row>
    <row r="4445" spans="1:3">
      <c r="A4445">
        <v>132</v>
      </c>
      <c r="B4445">
        <v>2</v>
      </c>
      <c r="C4445" t="str">
        <f>VLOOKUP(A4445,'Programas y Unidades'!$A:$B,2,0)</f>
        <v>Especialización En Gerencia Estratégica - Ibagué</v>
      </c>
    </row>
    <row r="4446" spans="1:3">
      <c r="A4446">
        <v>14</v>
      </c>
      <c r="B4446">
        <v>6</v>
      </c>
      <c r="C4446" t="str">
        <f>VLOOKUP(A4446,'Programas y Unidades'!$A:$B,2,0)</f>
        <v>Especialización en Pediatría</v>
      </c>
    </row>
    <row r="4447" spans="1:3">
      <c r="A4447">
        <v>66</v>
      </c>
      <c r="B4447">
        <v>9</v>
      </c>
      <c r="C4447" t="str">
        <f>VLOOKUP(A4447,'Programas y Unidades'!$A:$B,2,0)</f>
        <v>Doctorado en Enfermería - Chía</v>
      </c>
    </row>
    <row r="4448" spans="1:3">
      <c r="A4448">
        <v>58</v>
      </c>
      <c r="B4448">
        <v>2</v>
      </c>
      <c r="C4448" t="str">
        <f>VLOOKUP(A4448,'Programas y Unidades'!$A:$B,2,0)</f>
        <v>Doctorado en Educación - Chía</v>
      </c>
    </row>
    <row r="4449" spans="1:3">
      <c r="A4449">
        <v>166</v>
      </c>
      <c r="B4449">
        <v>2</v>
      </c>
      <c r="C4449" t="e">
        <f>VLOOKUP(A4449,'Programas y Unidades'!$A:$B,2,0)</f>
        <v>#N/A</v>
      </c>
    </row>
    <row r="4450" spans="1:3">
      <c r="A4450">
        <v>58</v>
      </c>
      <c r="B4450">
        <v>4</v>
      </c>
      <c r="C4450" t="str">
        <f>VLOOKUP(A4450,'Programas y Unidades'!$A:$B,2,0)</f>
        <v>Doctorado en Educación - Chía</v>
      </c>
    </row>
    <row r="4451" spans="1:3">
      <c r="A4451">
        <v>58</v>
      </c>
      <c r="B4451">
        <v>4</v>
      </c>
      <c r="C4451" t="str">
        <f>VLOOKUP(A4451,'Programas y Unidades'!$A:$B,2,0)</f>
        <v>Doctorado en Educación - Chía</v>
      </c>
    </row>
    <row r="4452" spans="1:3">
      <c r="A4452">
        <v>58</v>
      </c>
      <c r="B4452">
        <v>4</v>
      </c>
      <c r="C4452" t="str">
        <f>VLOOKUP(A4452,'Programas y Unidades'!$A:$B,2,0)</f>
        <v>Doctorado en Educación - Chía</v>
      </c>
    </row>
    <row r="4453" spans="1:3">
      <c r="A4453">
        <v>58</v>
      </c>
      <c r="B4453">
        <v>4</v>
      </c>
      <c r="C4453" t="str">
        <f>VLOOKUP(A4453,'Programas y Unidades'!$A:$B,2,0)</f>
        <v>Doctorado en Educación - Chía</v>
      </c>
    </row>
    <row r="4454" spans="1:3">
      <c r="A4454">
        <v>58</v>
      </c>
      <c r="B4454">
        <v>4</v>
      </c>
      <c r="C4454" t="str">
        <f>VLOOKUP(A4454,'Programas y Unidades'!$A:$B,2,0)</f>
        <v>Doctorado en Educación - Chía</v>
      </c>
    </row>
    <row r="4455" spans="1:3">
      <c r="A4455">
        <v>58</v>
      </c>
      <c r="B4455">
        <v>4</v>
      </c>
      <c r="C4455" t="str">
        <f>VLOOKUP(A4455,'Programas y Unidades'!$A:$B,2,0)</f>
        <v>Doctorado en Educación - Chía</v>
      </c>
    </row>
    <row r="4456" spans="1:3">
      <c r="A4456">
        <v>58</v>
      </c>
      <c r="B4456">
        <v>4</v>
      </c>
      <c r="C4456" t="str">
        <f>VLOOKUP(A4456,'Programas y Unidades'!$A:$B,2,0)</f>
        <v>Doctorado en Educación - Chía</v>
      </c>
    </row>
    <row r="4457" spans="1:3">
      <c r="A4457">
        <v>58</v>
      </c>
      <c r="B4457">
        <v>4</v>
      </c>
      <c r="C4457" t="str">
        <f>VLOOKUP(A4457,'Programas y Unidades'!$A:$B,2,0)</f>
        <v>Doctorado en Educación - Chía</v>
      </c>
    </row>
    <row r="4458" spans="1:3">
      <c r="A4458">
        <v>58</v>
      </c>
      <c r="B4458">
        <v>4</v>
      </c>
      <c r="C4458" t="str">
        <f>VLOOKUP(A4458,'Programas y Unidades'!$A:$B,2,0)</f>
        <v>Doctorado en Educación - Chía</v>
      </c>
    </row>
    <row r="4459" spans="1:3">
      <c r="A4459">
        <v>58</v>
      </c>
      <c r="B4459">
        <v>4</v>
      </c>
      <c r="C4459" t="str">
        <f>VLOOKUP(A4459,'Programas y Unidades'!$A:$B,2,0)</f>
        <v>Doctorado en Educación - Chía</v>
      </c>
    </row>
    <row r="4460" spans="1:3">
      <c r="A4460">
        <v>58</v>
      </c>
      <c r="B4460">
        <v>4</v>
      </c>
      <c r="C4460" t="str">
        <f>VLOOKUP(A4460,'Programas y Unidades'!$A:$B,2,0)</f>
        <v>Doctorado en Educación - Chía</v>
      </c>
    </row>
    <row r="4461" spans="1:3">
      <c r="A4461">
        <v>58</v>
      </c>
      <c r="B4461">
        <v>4</v>
      </c>
      <c r="C4461" t="str">
        <f>VLOOKUP(A4461,'Programas y Unidades'!$A:$B,2,0)</f>
        <v>Doctorado en Educación - Chía</v>
      </c>
    </row>
    <row r="4462" spans="1:3">
      <c r="A4462">
        <v>58</v>
      </c>
      <c r="B4462">
        <v>4</v>
      </c>
      <c r="C4462" t="str">
        <f>VLOOKUP(A4462,'Programas y Unidades'!$A:$B,2,0)</f>
        <v>Doctorado en Educación - Chía</v>
      </c>
    </row>
    <row r="4463" spans="1:3">
      <c r="A4463">
        <v>58</v>
      </c>
      <c r="B4463">
        <v>4</v>
      </c>
      <c r="C4463" t="str">
        <f>VLOOKUP(A4463,'Programas y Unidades'!$A:$B,2,0)</f>
        <v>Doctorado en Educación - Chía</v>
      </c>
    </row>
    <row r="4464" spans="1:3">
      <c r="A4464">
        <v>58</v>
      </c>
      <c r="B4464">
        <v>4</v>
      </c>
      <c r="C4464" t="str">
        <f>VLOOKUP(A4464,'Programas y Unidades'!$A:$B,2,0)</f>
        <v>Doctorado en Educación - Chía</v>
      </c>
    </row>
    <row r="4465" spans="1:3">
      <c r="A4465">
        <v>58</v>
      </c>
      <c r="B4465">
        <v>4</v>
      </c>
      <c r="C4465" t="str">
        <f>VLOOKUP(A4465,'Programas y Unidades'!$A:$B,2,0)</f>
        <v>Doctorado en Educación - Chía</v>
      </c>
    </row>
    <row r="4466" spans="1:3">
      <c r="A4466">
        <v>58</v>
      </c>
      <c r="B4466">
        <v>4</v>
      </c>
      <c r="C4466" t="str">
        <f>VLOOKUP(A4466,'Programas y Unidades'!$A:$B,2,0)</f>
        <v>Doctorado en Educación - Chía</v>
      </c>
    </row>
    <row r="4467" spans="1:3">
      <c r="A4467">
        <v>58</v>
      </c>
      <c r="B4467">
        <v>4</v>
      </c>
      <c r="C4467" t="str">
        <f>VLOOKUP(A4467,'Programas y Unidades'!$A:$B,2,0)</f>
        <v>Doctorado en Educación - Chía</v>
      </c>
    </row>
    <row r="4468" spans="1:3">
      <c r="A4468">
        <v>58</v>
      </c>
      <c r="B4468">
        <v>4</v>
      </c>
      <c r="C4468" t="str">
        <f>VLOOKUP(A4468,'Programas y Unidades'!$A:$B,2,0)</f>
        <v>Doctorado en Educación - Chía</v>
      </c>
    </row>
    <row r="4469" spans="1:3">
      <c r="A4469">
        <v>58</v>
      </c>
      <c r="B4469">
        <v>4</v>
      </c>
      <c r="C4469" t="str">
        <f>VLOOKUP(A4469,'Programas y Unidades'!$A:$B,2,0)</f>
        <v>Doctorado en Educación - Chía</v>
      </c>
    </row>
    <row r="4470" spans="1:3">
      <c r="A4470">
        <v>58</v>
      </c>
      <c r="B4470">
        <v>4</v>
      </c>
      <c r="C4470" t="str">
        <f>VLOOKUP(A4470,'Programas y Unidades'!$A:$B,2,0)</f>
        <v>Doctorado en Educación - Chía</v>
      </c>
    </row>
    <row r="4471" spans="1:3">
      <c r="A4471">
        <v>58</v>
      </c>
      <c r="B4471">
        <v>6</v>
      </c>
      <c r="C4471" t="str">
        <f>VLOOKUP(A4471,'Programas y Unidades'!$A:$B,2,0)</f>
        <v>Doctorado en Educación - Chía</v>
      </c>
    </row>
    <row r="4472" spans="1:3">
      <c r="A4472">
        <v>58</v>
      </c>
      <c r="B4472">
        <v>7</v>
      </c>
      <c r="C4472" t="str">
        <f>VLOOKUP(A4472,'Programas y Unidades'!$A:$B,2,0)</f>
        <v>Doctorado en Educación - Chía</v>
      </c>
    </row>
    <row r="4473" spans="1:3">
      <c r="A4473">
        <v>58</v>
      </c>
      <c r="B4473">
        <v>5</v>
      </c>
      <c r="C4473" t="str">
        <f>VLOOKUP(A4473,'Programas y Unidades'!$A:$B,2,0)</f>
        <v>Doctorado en Educación - Chía</v>
      </c>
    </row>
    <row r="4474" spans="1:3">
      <c r="A4474">
        <v>58</v>
      </c>
      <c r="B4474">
        <v>8</v>
      </c>
      <c r="C4474" t="str">
        <f>VLOOKUP(A4474,'Programas y Unidades'!$A:$B,2,0)</f>
        <v>Doctorado en Educación - Chía</v>
      </c>
    </row>
    <row r="4475" spans="1:3">
      <c r="A4475">
        <v>58</v>
      </c>
      <c r="B4475">
        <v>7</v>
      </c>
      <c r="C4475" t="str">
        <f>VLOOKUP(A4475,'Programas y Unidades'!$A:$B,2,0)</f>
        <v>Doctorado en Educación - Chía</v>
      </c>
    </row>
    <row r="4476" spans="1:3">
      <c r="A4476">
        <v>58</v>
      </c>
      <c r="B4476">
        <v>9</v>
      </c>
      <c r="C4476" t="str">
        <f>VLOOKUP(A4476,'Programas y Unidades'!$A:$B,2,0)</f>
        <v>Doctorado en Educación - Chía</v>
      </c>
    </row>
    <row r="4477" spans="1:3">
      <c r="A4477">
        <v>58</v>
      </c>
      <c r="B4477">
        <v>9</v>
      </c>
      <c r="C4477" t="str">
        <f>VLOOKUP(A4477,'Programas y Unidades'!$A:$B,2,0)</f>
        <v>Doctorado en Educación - Chía</v>
      </c>
    </row>
    <row r="4478" spans="1:3">
      <c r="A4478">
        <v>105</v>
      </c>
      <c r="B4478">
        <v>2</v>
      </c>
      <c r="C4478" t="str">
        <f>VLOOKUP(A4478,'Programas y Unidades'!$A:$B,2,0)</f>
        <v>Especialización en Terapia Manual Ortopédica - Chía</v>
      </c>
    </row>
    <row r="4479" spans="1:3">
      <c r="A4479">
        <v>105</v>
      </c>
      <c r="B4479">
        <v>2</v>
      </c>
      <c r="C4479" t="str">
        <f>VLOOKUP(A4479,'Programas y Unidades'!$A:$B,2,0)</f>
        <v>Especialización en Terapia Manual Ortopédica - Chía</v>
      </c>
    </row>
    <row r="4480" spans="1:3">
      <c r="A4480">
        <v>105</v>
      </c>
      <c r="B4480">
        <v>2</v>
      </c>
      <c r="C4480" t="str">
        <f>VLOOKUP(A4480,'Programas y Unidades'!$A:$B,2,0)</f>
        <v>Especialización en Terapia Manual Ortopédica - Chía</v>
      </c>
    </row>
    <row r="4481" spans="1:3">
      <c r="A4481">
        <v>105</v>
      </c>
      <c r="B4481">
        <v>2</v>
      </c>
      <c r="C4481" t="str">
        <f>VLOOKUP(A4481,'Programas y Unidades'!$A:$B,2,0)</f>
        <v>Especialización en Terapia Manual Ortopédica - Chía</v>
      </c>
    </row>
    <row r="4482" spans="1:3">
      <c r="A4482">
        <v>105</v>
      </c>
      <c r="B4482">
        <v>2</v>
      </c>
      <c r="C4482" t="str">
        <f>VLOOKUP(A4482,'Programas y Unidades'!$A:$B,2,0)</f>
        <v>Especialización en Terapia Manual Ortopédica - Chía</v>
      </c>
    </row>
    <row r="4483" spans="1:3">
      <c r="A4483">
        <v>105</v>
      </c>
      <c r="B4483">
        <v>2</v>
      </c>
      <c r="C4483" t="str">
        <f>VLOOKUP(A4483,'Programas y Unidades'!$A:$B,2,0)</f>
        <v>Especialización en Terapia Manual Ortopédica - Chía</v>
      </c>
    </row>
    <row r="4484" spans="1:3">
      <c r="A4484">
        <v>46</v>
      </c>
      <c r="B4484">
        <v>3</v>
      </c>
      <c r="C4484" t="str">
        <f>VLOOKUP(A4484,'Programas y Unidades'!$A:$B,2,0)</f>
        <v>Maestría en Gerencia de Operaciones - Chía</v>
      </c>
    </row>
    <row r="4485" spans="1:3">
      <c r="A4485">
        <v>46</v>
      </c>
      <c r="B4485">
        <v>3</v>
      </c>
      <c r="C4485" t="str">
        <f>VLOOKUP(A4485,'Programas y Unidades'!$A:$B,2,0)</f>
        <v>Maestría en Gerencia de Operaciones - Chía</v>
      </c>
    </row>
    <row r="4486" spans="1:3">
      <c r="A4486">
        <v>46</v>
      </c>
      <c r="B4486">
        <v>3</v>
      </c>
      <c r="C4486" t="str">
        <f>VLOOKUP(A4486,'Programas y Unidades'!$A:$B,2,0)</f>
        <v>Maestría en Gerencia de Operaciones - Chía</v>
      </c>
    </row>
    <row r="4487" spans="1:3">
      <c r="A4487">
        <v>46</v>
      </c>
      <c r="B4487">
        <v>3</v>
      </c>
      <c r="C4487" t="str">
        <f>VLOOKUP(A4487,'Programas y Unidades'!$A:$B,2,0)</f>
        <v>Maestría en Gerencia de Operaciones - Chía</v>
      </c>
    </row>
    <row r="4488" spans="1:3">
      <c r="A4488">
        <v>46</v>
      </c>
      <c r="B4488">
        <v>3</v>
      </c>
      <c r="C4488" t="str">
        <f>VLOOKUP(A4488,'Programas y Unidades'!$A:$B,2,0)</f>
        <v>Maestría en Gerencia de Operaciones - Chía</v>
      </c>
    </row>
    <row r="4489" spans="1:3">
      <c r="A4489">
        <v>46</v>
      </c>
      <c r="B4489">
        <v>3</v>
      </c>
      <c r="C4489" t="str">
        <f>VLOOKUP(A4489,'Programas y Unidades'!$A:$B,2,0)</f>
        <v>Maestría en Gerencia de Operaciones - Chía</v>
      </c>
    </row>
    <row r="4490" spans="1:3">
      <c r="A4490">
        <v>46</v>
      </c>
      <c r="B4490">
        <v>3</v>
      </c>
      <c r="C4490" t="str">
        <f>VLOOKUP(A4490,'Programas y Unidades'!$A:$B,2,0)</f>
        <v>Maestría en Gerencia de Operaciones - Chía</v>
      </c>
    </row>
    <row r="4491" spans="1:3">
      <c r="A4491">
        <v>46</v>
      </c>
      <c r="B4491">
        <v>3</v>
      </c>
      <c r="C4491" t="str">
        <f>VLOOKUP(A4491,'Programas y Unidades'!$A:$B,2,0)</f>
        <v>Maestría en Gerencia de Operaciones - Chía</v>
      </c>
    </row>
    <row r="4492" spans="1:3">
      <c r="A4492">
        <v>46</v>
      </c>
      <c r="B4492">
        <v>3</v>
      </c>
      <c r="C4492" t="str">
        <f>VLOOKUP(A4492,'Programas y Unidades'!$A:$B,2,0)</f>
        <v>Maestría en Gerencia de Operaciones - Chía</v>
      </c>
    </row>
    <row r="4493" spans="1:3">
      <c r="A4493">
        <v>46</v>
      </c>
      <c r="B4493">
        <v>3</v>
      </c>
      <c r="C4493" t="str">
        <f>VLOOKUP(A4493,'Programas y Unidades'!$A:$B,2,0)</f>
        <v>Maestría en Gerencia de Operaciones - Chía</v>
      </c>
    </row>
    <row r="4494" spans="1:3">
      <c r="A4494">
        <v>46</v>
      </c>
      <c r="B4494">
        <v>4</v>
      </c>
      <c r="C4494" t="str">
        <f>VLOOKUP(A4494,'Programas y Unidades'!$A:$B,2,0)</f>
        <v>Maestría en Gerencia de Operaciones - Chía</v>
      </c>
    </row>
    <row r="4495" spans="1:3">
      <c r="A4495">
        <v>46</v>
      </c>
      <c r="B4495">
        <v>3</v>
      </c>
      <c r="C4495" t="str">
        <f>VLOOKUP(A4495,'Programas y Unidades'!$A:$B,2,0)</f>
        <v>Maestría en Gerencia de Operaciones - Chía</v>
      </c>
    </row>
    <row r="4496" spans="1:3">
      <c r="A4496">
        <v>46</v>
      </c>
      <c r="B4496">
        <v>3</v>
      </c>
      <c r="C4496" t="str">
        <f>VLOOKUP(A4496,'Programas y Unidades'!$A:$B,2,0)</f>
        <v>Maestría en Gerencia de Operaciones - Chía</v>
      </c>
    </row>
    <row r="4497" spans="1:3">
      <c r="A4497">
        <v>46</v>
      </c>
      <c r="B4497">
        <v>3</v>
      </c>
      <c r="C4497" t="str">
        <f>VLOOKUP(A4497,'Programas y Unidades'!$A:$B,2,0)</f>
        <v>Maestría en Gerencia de Operaciones - Chía</v>
      </c>
    </row>
    <row r="4498" spans="1:3">
      <c r="A4498">
        <v>46</v>
      </c>
      <c r="B4498">
        <v>3</v>
      </c>
      <c r="C4498" t="str">
        <f>VLOOKUP(A4498,'Programas y Unidades'!$A:$B,2,0)</f>
        <v>Maestría en Gerencia de Operaciones - Chía</v>
      </c>
    </row>
    <row r="4499" spans="1:3">
      <c r="A4499">
        <v>46</v>
      </c>
      <c r="B4499">
        <v>2</v>
      </c>
      <c r="C4499" t="str">
        <f>VLOOKUP(A4499,'Programas y Unidades'!$A:$B,2,0)</f>
        <v>Maestría en Gerencia de Operaciones - Chía</v>
      </c>
    </row>
    <row r="4500" spans="1:3">
      <c r="A4500">
        <v>46</v>
      </c>
      <c r="B4500">
        <v>2</v>
      </c>
      <c r="C4500" t="str">
        <f>VLOOKUP(A4500,'Programas y Unidades'!$A:$B,2,0)</f>
        <v>Maestría en Gerencia de Operaciones - Chía</v>
      </c>
    </row>
    <row r="4501" spans="1:3">
      <c r="A4501">
        <v>46</v>
      </c>
      <c r="B4501">
        <v>2</v>
      </c>
      <c r="C4501" t="str">
        <f>VLOOKUP(A4501,'Programas y Unidades'!$A:$B,2,0)</f>
        <v>Maestría en Gerencia de Operaciones - Chía</v>
      </c>
    </row>
    <row r="4502" spans="1:3">
      <c r="A4502">
        <v>46</v>
      </c>
      <c r="B4502">
        <v>2</v>
      </c>
      <c r="C4502" t="str">
        <f>VLOOKUP(A4502,'Programas y Unidades'!$A:$B,2,0)</f>
        <v>Maestría en Gerencia de Operaciones - Chía</v>
      </c>
    </row>
    <row r="4503" spans="1:3">
      <c r="A4503">
        <v>46</v>
      </c>
      <c r="B4503">
        <v>2</v>
      </c>
      <c r="C4503" t="str">
        <f>VLOOKUP(A4503,'Programas y Unidades'!$A:$B,2,0)</f>
        <v>Maestría en Gerencia de Operaciones - Chía</v>
      </c>
    </row>
    <row r="4504" spans="1:3">
      <c r="A4504">
        <v>46</v>
      </c>
      <c r="B4504">
        <v>2</v>
      </c>
      <c r="C4504" t="str">
        <f>VLOOKUP(A4504,'Programas y Unidades'!$A:$B,2,0)</f>
        <v>Maestría en Gerencia de Operaciones - Chía</v>
      </c>
    </row>
    <row r="4505" spans="1:3">
      <c r="A4505">
        <v>46</v>
      </c>
      <c r="B4505">
        <v>2</v>
      </c>
      <c r="C4505" t="str">
        <f>VLOOKUP(A4505,'Programas y Unidades'!$A:$B,2,0)</f>
        <v>Maestría en Gerencia de Operaciones - Chía</v>
      </c>
    </row>
    <row r="4506" spans="1:3">
      <c r="A4506">
        <v>105</v>
      </c>
      <c r="B4506">
        <v>2</v>
      </c>
      <c r="C4506" t="str">
        <f>VLOOKUP(A4506,'Programas y Unidades'!$A:$B,2,0)</f>
        <v>Especialización en Terapia Manual Ortopédica - Chía</v>
      </c>
    </row>
    <row r="4507" spans="1:3">
      <c r="A4507">
        <v>117</v>
      </c>
      <c r="B4507">
        <v>1</v>
      </c>
      <c r="C4507" t="str">
        <f>VLOOKUP(A4507,'Programas y Unidades'!$A:$B,2,0)</f>
        <v>Especialización en Finanzas Corporativas - Chía</v>
      </c>
    </row>
    <row r="4508" spans="1:3">
      <c r="A4508">
        <v>8</v>
      </c>
      <c r="B4508">
        <v>6</v>
      </c>
      <c r="C4508" t="str">
        <f>VLOOKUP(A4508,'Programas y Unidades'!$A:$B,2,0)</f>
        <v>Especialización en Medicina Familiar y Comunitaria</v>
      </c>
    </row>
    <row r="4509" spans="1:3">
      <c r="A4509">
        <v>73</v>
      </c>
      <c r="B4509">
        <v>2</v>
      </c>
      <c r="C4509" t="str">
        <f>VLOOKUP(A4509,'Programas y Unidades'!$A:$B,2,0)</f>
        <v>Maestría en Diseño y Gestión de Procesos - Chía</v>
      </c>
    </row>
    <row r="4510" spans="1:3">
      <c r="A4510">
        <v>73</v>
      </c>
      <c r="B4510">
        <v>2</v>
      </c>
      <c r="C4510" t="str">
        <f>VLOOKUP(A4510,'Programas y Unidades'!$A:$B,2,0)</f>
        <v>Maestría en Diseño y Gestión de Procesos - Chía</v>
      </c>
    </row>
    <row r="4511" spans="1:3">
      <c r="A4511">
        <v>73</v>
      </c>
      <c r="B4511">
        <v>2</v>
      </c>
      <c r="C4511" t="str">
        <f>VLOOKUP(A4511,'Programas y Unidades'!$A:$B,2,0)</f>
        <v>Maestría en Diseño y Gestión de Procesos - Chía</v>
      </c>
    </row>
    <row r="4512" spans="1:3">
      <c r="A4512">
        <v>73</v>
      </c>
      <c r="B4512">
        <v>2</v>
      </c>
      <c r="C4512" t="str">
        <f>VLOOKUP(A4512,'Programas y Unidades'!$A:$B,2,0)</f>
        <v>Maestría en Diseño y Gestión de Procesos - Chía</v>
      </c>
    </row>
    <row r="4513" spans="1:3">
      <c r="A4513">
        <v>73</v>
      </c>
      <c r="B4513">
        <v>2</v>
      </c>
      <c r="C4513" t="str">
        <f>VLOOKUP(A4513,'Programas y Unidades'!$A:$B,2,0)</f>
        <v>Maestría en Diseño y Gestión de Procesos - Chía</v>
      </c>
    </row>
    <row r="4514" spans="1:3">
      <c r="A4514">
        <v>73</v>
      </c>
      <c r="B4514">
        <v>2</v>
      </c>
      <c r="C4514" t="str">
        <f>VLOOKUP(A4514,'Programas y Unidades'!$A:$B,2,0)</f>
        <v>Maestría en Diseño y Gestión de Procesos - Chía</v>
      </c>
    </row>
    <row r="4515" spans="1:3">
      <c r="A4515">
        <v>73</v>
      </c>
      <c r="B4515">
        <v>2</v>
      </c>
      <c r="C4515" t="str">
        <f>VLOOKUP(A4515,'Programas y Unidades'!$A:$B,2,0)</f>
        <v>Maestría en Diseño y Gestión de Procesos - Chía</v>
      </c>
    </row>
    <row r="4516" spans="1:3">
      <c r="A4516">
        <v>73</v>
      </c>
      <c r="B4516">
        <v>2</v>
      </c>
      <c r="C4516" t="str">
        <f>VLOOKUP(A4516,'Programas y Unidades'!$A:$B,2,0)</f>
        <v>Maestría en Diseño y Gestión de Procesos - Chía</v>
      </c>
    </row>
    <row r="4517" spans="1:3">
      <c r="A4517">
        <v>73</v>
      </c>
      <c r="B4517">
        <v>2</v>
      </c>
      <c r="C4517" t="str">
        <f>VLOOKUP(A4517,'Programas y Unidades'!$A:$B,2,0)</f>
        <v>Maestría en Diseño y Gestión de Procesos - Chía</v>
      </c>
    </row>
    <row r="4518" spans="1:3">
      <c r="A4518">
        <v>73</v>
      </c>
      <c r="B4518">
        <v>2</v>
      </c>
      <c r="C4518" t="str">
        <f>VLOOKUP(A4518,'Programas y Unidades'!$A:$B,2,0)</f>
        <v>Maestría en Diseño y Gestión de Procesos - Chía</v>
      </c>
    </row>
    <row r="4519" spans="1:3">
      <c r="A4519">
        <v>166</v>
      </c>
      <c r="B4519">
        <v>2</v>
      </c>
      <c r="C4519" t="e">
        <f>VLOOKUP(A4519,'Programas y Unidades'!$A:$B,2,0)</f>
        <v>#N/A</v>
      </c>
    </row>
    <row r="4520" spans="1:3">
      <c r="A4520">
        <v>47</v>
      </c>
      <c r="B4520">
        <v>2</v>
      </c>
      <c r="C4520" t="str">
        <f>VLOOKUP(A4520,'Programas y Unidades'!$A:$B,2,0)</f>
        <v>Maestría en Gerencia Estratégica - Chía</v>
      </c>
    </row>
    <row r="4521" spans="1:3">
      <c r="A4521">
        <v>108</v>
      </c>
      <c r="B4521">
        <v>2</v>
      </c>
      <c r="C4521" t="str">
        <f>VLOOKUP(A4521,'Programas y Unidades'!$A:$B,2,0)</f>
        <v>Especialización en Psicología Educativa  - Chía</v>
      </c>
    </row>
    <row r="4522" spans="1:3">
      <c r="A4522">
        <v>108</v>
      </c>
      <c r="B4522">
        <v>2</v>
      </c>
      <c r="C4522" t="str">
        <f>VLOOKUP(A4522,'Programas y Unidades'!$A:$B,2,0)</f>
        <v>Especialización en Psicología Educativa  - Chía</v>
      </c>
    </row>
    <row r="4523" spans="1:3">
      <c r="A4523">
        <v>108</v>
      </c>
      <c r="B4523">
        <v>2</v>
      </c>
      <c r="C4523" t="str">
        <f>VLOOKUP(A4523,'Programas y Unidades'!$A:$B,2,0)</f>
        <v>Especialización en Psicología Educativa  - Chía</v>
      </c>
    </row>
    <row r="4524" spans="1:3">
      <c r="A4524">
        <v>108</v>
      </c>
      <c r="B4524">
        <v>2</v>
      </c>
      <c r="C4524" t="str">
        <f>VLOOKUP(A4524,'Programas y Unidades'!$A:$B,2,0)</f>
        <v>Especialización en Psicología Educativa  - Chía</v>
      </c>
    </row>
    <row r="4525" spans="1:3">
      <c r="A4525">
        <v>108</v>
      </c>
      <c r="B4525">
        <v>2</v>
      </c>
      <c r="C4525" t="str">
        <f>VLOOKUP(A4525,'Programas y Unidades'!$A:$B,2,0)</f>
        <v>Especialización en Psicología Educativa  - Chía</v>
      </c>
    </row>
    <row r="4526" spans="1:3">
      <c r="A4526">
        <v>108</v>
      </c>
      <c r="B4526">
        <v>2</v>
      </c>
      <c r="C4526" t="str">
        <f>VLOOKUP(A4526,'Programas y Unidades'!$A:$B,2,0)</f>
        <v>Especialización en Psicología Educativa  - Chía</v>
      </c>
    </row>
    <row r="4527" spans="1:3">
      <c r="A4527">
        <v>108</v>
      </c>
      <c r="B4527">
        <v>2</v>
      </c>
      <c r="C4527" t="str">
        <f>VLOOKUP(A4527,'Programas y Unidades'!$A:$B,2,0)</f>
        <v>Especialización en Psicología Educativa  - Chía</v>
      </c>
    </row>
    <row r="4528" spans="1:3">
      <c r="A4528">
        <v>108</v>
      </c>
      <c r="B4528">
        <v>2</v>
      </c>
      <c r="C4528" t="str">
        <f>VLOOKUP(A4528,'Programas y Unidades'!$A:$B,2,0)</f>
        <v>Especialización en Psicología Educativa  - Chía</v>
      </c>
    </row>
    <row r="4529" spans="1:3">
      <c r="A4529">
        <v>108</v>
      </c>
      <c r="B4529">
        <v>2</v>
      </c>
      <c r="C4529" t="str">
        <f>VLOOKUP(A4529,'Programas y Unidades'!$A:$B,2,0)</f>
        <v>Especialización en Psicología Educativa  - Chía</v>
      </c>
    </row>
    <row r="4530" spans="1:3">
      <c r="A4530">
        <v>108</v>
      </c>
      <c r="B4530">
        <v>2</v>
      </c>
      <c r="C4530" t="str">
        <f>VLOOKUP(A4530,'Programas y Unidades'!$A:$B,2,0)</f>
        <v>Especialización en Psicología Educativa  - Chía</v>
      </c>
    </row>
    <row r="4531" spans="1:3">
      <c r="A4531">
        <v>102</v>
      </c>
      <c r="B4531">
        <v>2</v>
      </c>
      <c r="C4531" t="str">
        <f>VLOOKUP(A4531,'Programas y Unidades'!$A:$B,2,0)</f>
        <v>Especialización en Seguros y Seguridad Social - Chía</v>
      </c>
    </row>
    <row r="4532" spans="1:3">
      <c r="A4532">
        <v>108</v>
      </c>
      <c r="B4532">
        <v>2</v>
      </c>
      <c r="C4532" t="str">
        <f>VLOOKUP(A4532,'Programas y Unidades'!$A:$B,2,0)</f>
        <v>Especialización en Psicología Educativa  - Chía</v>
      </c>
    </row>
    <row r="4533" spans="1:3">
      <c r="A4533">
        <v>102</v>
      </c>
      <c r="B4533">
        <v>2</v>
      </c>
      <c r="C4533" t="str">
        <f>VLOOKUP(A4533,'Programas y Unidades'!$A:$B,2,0)</f>
        <v>Especialización en Seguros y Seguridad Social - Chía</v>
      </c>
    </row>
    <row r="4534" spans="1:3">
      <c r="A4534">
        <v>59</v>
      </c>
      <c r="B4534">
        <v>6</v>
      </c>
      <c r="C4534" t="str">
        <f>VLOOKUP(A4534,'Programas y Unidades'!$A:$B,2,0)</f>
        <v>Doctorado en Innovación Educativa con uso de TIC - Chía</v>
      </c>
    </row>
    <row r="4535" spans="1:3">
      <c r="A4535">
        <v>120</v>
      </c>
      <c r="B4535">
        <v>2</v>
      </c>
      <c r="C4535" t="str">
        <f>VLOOKUP(A4535,'Programas y Unidades'!$A:$B,2,0)</f>
        <v>Especialización en Gerencia de Riesgos - Chía</v>
      </c>
    </row>
    <row r="4536" spans="1:3">
      <c r="A4536">
        <v>99</v>
      </c>
      <c r="B4536">
        <v>2</v>
      </c>
      <c r="C4536" t="str">
        <f>VLOOKUP(A4536,'Programas y Unidades'!$A:$B,2,0)</f>
        <v>Especialización en Derecho Tributario - Chía</v>
      </c>
    </row>
    <row r="4537" spans="1:3">
      <c r="A4537">
        <v>166</v>
      </c>
      <c r="B4537">
        <v>2</v>
      </c>
      <c r="C4537" t="e">
        <f>VLOOKUP(A4537,'Programas y Unidades'!$A:$B,2,0)</f>
        <v>#N/A</v>
      </c>
    </row>
    <row r="4538" spans="1:3">
      <c r="A4538">
        <v>126</v>
      </c>
      <c r="B4538">
        <v>2</v>
      </c>
      <c r="C4538" t="str">
        <f>VLOOKUP(A4538,'Programas y Unidades'!$A:$B,2,0)</f>
        <v>Especialización en Gerencia Comercial - Virtual</v>
      </c>
    </row>
    <row r="4539" spans="1:3">
      <c r="A4539">
        <v>17</v>
      </c>
      <c r="B4539">
        <v>4</v>
      </c>
      <c r="C4539" t="str">
        <f>VLOOKUP(A4539,'Programas y Unidades'!$A:$B,2,0)</f>
        <v>Especialización en Gastroenterología</v>
      </c>
    </row>
    <row r="4540" spans="1:3">
      <c r="A4540">
        <v>126</v>
      </c>
      <c r="B4540">
        <v>3</v>
      </c>
      <c r="C4540" t="str">
        <f>VLOOKUP(A4540,'Programas y Unidades'!$A:$B,2,0)</f>
        <v>Especialización en Gerencia Comercial - Virtual</v>
      </c>
    </row>
    <row r="4541" spans="1:3">
      <c r="A4541">
        <v>95</v>
      </c>
      <c r="B4541">
        <v>2</v>
      </c>
      <c r="C4541" t="str">
        <f>VLOOKUP(A4541,'Programas y Unidades'!$A:$B,2,0)</f>
        <v>Maestría en Asesoría Familiar y Gestión de Programas para la Familia - Virtual</v>
      </c>
    </row>
    <row r="4542" spans="1:3">
      <c r="A4542">
        <v>66</v>
      </c>
      <c r="B4542">
        <v>2</v>
      </c>
      <c r="C4542" t="str">
        <f>VLOOKUP(A4542,'Programas y Unidades'!$A:$B,2,0)</f>
        <v>Doctorado en Enfermería - Chía</v>
      </c>
    </row>
    <row r="4543" spans="1:3">
      <c r="A4543">
        <v>67</v>
      </c>
      <c r="B4543">
        <v>2</v>
      </c>
      <c r="C4543" t="str">
        <f>VLOOKUP(A4543,'Programas y Unidades'!$A:$B,2,0)</f>
        <v>Maestría en Enfermería - Chía</v>
      </c>
    </row>
    <row r="4544" spans="1:3">
      <c r="A4544">
        <v>124</v>
      </c>
      <c r="B4544">
        <v>2</v>
      </c>
      <c r="C4544" t="str">
        <f>VLOOKUP(A4544,'Programas y Unidades'!$A:$B,2,0)</f>
        <v>Especialización en Gerencia Estratégica - Virtual</v>
      </c>
    </row>
    <row r="4545" spans="1:3">
      <c r="A4545">
        <v>59</v>
      </c>
      <c r="B4545">
        <v>3</v>
      </c>
      <c r="C4545" t="str">
        <f>VLOOKUP(A4545,'Programas y Unidades'!$A:$B,2,0)</f>
        <v>Doctorado en Innovación Educativa con uso de TIC - Chía</v>
      </c>
    </row>
    <row r="4546" spans="1:3">
      <c r="A4546">
        <v>94</v>
      </c>
      <c r="B4546">
        <v>5</v>
      </c>
      <c r="C4546" t="str">
        <f>VLOOKUP(A4546,'Programas y Unidades'!$A:$B,2,0)</f>
        <v>Maestría en Enfermería - Virtual</v>
      </c>
    </row>
    <row r="4547" spans="1:3">
      <c r="A4547">
        <v>166</v>
      </c>
      <c r="B4547">
        <v>4</v>
      </c>
      <c r="C4547" t="e">
        <f>VLOOKUP(A4547,'Programas y Unidades'!$A:$B,2,0)</f>
        <v>#N/A</v>
      </c>
    </row>
    <row r="4548" spans="1:3">
      <c r="A4548">
        <v>104</v>
      </c>
      <c r="B4548">
        <v>2</v>
      </c>
      <c r="C4548" t="str">
        <f>VLOOKUP(A4548,'Programas y Unidades'!$A:$B,2,0)</f>
        <v>Especialización en Enfermería en Cuidado Crítico - Chía</v>
      </c>
    </row>
    <row r="4549" spans="1:3">
      <c r="A4549">
        <v>104</v>
      </c>
      <c r="B4549">
        <v>2</v>
      </c>
      <c r="C4549" t="str">
        <f>VLOOKUP(A4549,'Programas y Unidades'!$A:$B,2,0)</f>
        <v>Especialización en Enfermería en Cuidado Crítico - Chía</v>
      </c>
    </row>
    <row r="4550" spans="1:3">
      <c r="A4550">
        <v>11</v>
      </c>
      <c r="B4550">
        <v>4</v>
      </c>
      <c r="C4550" t="str">
        <f>VLOOKUP(A4550,'Programas y Unidades'!$A:$B,2,0)</f>
        <v>Especialización en Neumología</v>
      </c>
    </row>
    <row r="4551" spans="1:3">
      <c r="A4551">
        <v>11</v>
      </c>
      <c r="B4551">
        <v>4</v>
      </c>
      <c r="C4551" t="str">
        <f>VLOOKUP(A4551,'Programas y Unidades'!$A:$B,2,0)</f>
        <v>Especialización en Neumología</v>
      </c>
    </row>
    <row r="4552" spans="1:3">
      <c r="A4552">
        <v>11</v>
      </c>
      <c r="B4552">
        <v>4</v>
      </c>
      <c r="C4552" t="str">
        <f>VLOOKUP(A4552,'Programas y Unidades'!$A:$B,2,0)</f>
        <v>Especialización en Neumología</v>
      </c>
    </row>
    <row r="4553" spans="1:3">
      <c r="A4553">
        <v>14</v>
      </c>
      <c r="B4553">
        <v>6</v>
      </c>
      <c r="C4553" t="str">
        <f>VLOOKUP(A4553,'Programas y Unidades'!$A:$B,2,0)</f>
        <v>Especialización en Pediatría</v>
      </c>
    </row>
    <row r="4554" spans="1:3">
      <c r="A4554">
        <v>14</v>
      </c>
      <c r="B4554">
        <v>6</v>
      </c>
      <c r="C4554" t="str">
        <f>VLOOKUP(A4554,'Programas y Unidades'!$A:$B,2,0)</f>
        <v>Especialización en Pediatría</v>
      </c>
    </row>
    <row r="4555" spans="1:3">
      <c r="A4555">
        <v>14</v>
      </c>
      <c r="B4555">
        <v>6</v>
      </c>
      <c r="C4555" t="str">
        <f>VLOOKUP(A4555,'Programas y Unidades'!$A:$B,2,0)</f>
        <v>Especialización en Pediatría</v>
      </c>
    </row>
    <row r="4556" spans="1:3">
      <c r="A4556">
        <v>15</v>
      </c>
      <c r="B4556">
        <v>8</v>
      </c>
      <c r="C4556" t="str">
        <f>VLOOKUP(A4556,'Programas y Unidades'!$A:$B,2,0)</f>
        <v>Especialización en Radiología e Imágenes Diagnósticas</v>
      </c>
    </row>
    <row r="4557" spans="1:3">
      <c r="A4557">
        <v>71</v>
      </c>
      <c r="B4557">
        <v>6</v>
      </c>
      <c r="C4557" t="str">
        <f>VLOOKUP(A4557,'Programas y Unidades'!$A:$B,2,0)</f>
        <v>Doctorado en Logística y Gestión de Cadenas de Suministros - Chía</v>
      </c>
    </row>
    <row r="4558" spans="1:3">
      <c r="A4558">
        <v>124</v>
      </c>
      <c r="B4558">
        <v>2</v>
      </c>
      <c r="C4558" t="str">
        <f>VLOOKUP(A4558,'Programas y Unidades'!$A:$B,2,0)</f>
        <v>Especialización en Gerencia Estratégica - Virtual</v>
      </c>
    </row>
    <row r="4559" spans="1:3">
      <c r="A4559">
        <v>119</v>
      </c>
      <c r="B4559">
        <v>1</v>
      </c>
      <c r="C4559" t="str">
        <f>VLOOKUP(A4559,'Programas y Unidades'!$A:$B,2,0)</f>
        <v>Especialización en Gerencia de Proyectos con Enfoque en Habilidades Directivas - Chía</v>
      </c>
    </row>
    <row r="4560" spans="1:3">
      <c r="A4560">
        <v>94</v>
      </c>
      <c r="B4560">
        <v>3</v>
      </c>
      <c r="C4560" t="str">
        <f>VLOOKUP(A4560,'Programas y Unidades'!$A:$B,2,0)</f>
        <v>Maestría en Enfermería - Virtual</v>
      </c>
    </row>
    <row r="4561" spans="1:3">
      <c r="A4561">
        <v>111</v>
      </c>
      <c r="B4561">
        <v>2</v>
      </c>
      <c r="C4561" t="str">
        <f>VLOOKUP(A4561,'Programas y Unidades'!$A:$B,2,0)</f>
        <v>Especialización en Gerencia Comercial - Chía</v>
      </c>
    </row>
    <row r="4562" spans="1:3">
      <c r="A4562">
        <v>111</v>
      </c>
      <c r="B4562">
        <v>2</v>
      </c>
      <c r="C4562" t="str">
        <f>VLOOKUP(A4562,'Programas y Unidades'!$A:$B,2,0)</f>
        <v>Especialización en Gerencia Comercial - Chía</v>
      </c>
    </row>
    <row r="4563" spans="1:3">
      <c r="A4563">
        <v>111</v>
      </c>
      <c r="B4563">
        <v>2</v>
      </c>
      <c r="C4563" t="str">
        <f>VLOOKUP(A4563,'Programas y Unidades'!$A:$B,2,0)</f>
        <v>Especialización en Gerencia Comercial - Chía</v>
      </c>
    </row>
    <row r="4564" spans="1:3">
      <c r="A4564">
        <v>111</v>
      </c>
      <c r="B4564">
        <v>2</v>
      </c>
      <c r="C4564" t="str">
        <f>VLOOKUP(A4564,'Programas y Unidades'!$A:$B,2,0)</f>
        <v>Especialización en Gerencia Comercial - Chía</v>
      </c>
    </row>
    <row r="4565" spans="1:3">
      <c r="A4565">
        <v>111</v>
      </c>
      <c r="B4565">
        <v>2</v>
      </c>
      <c r="C4565" t="str">
        <f>VLOOKUP(A4565,'Programas y Unidades'!$A:$B,2,0)</f>
        <v>Especialización en Gerencia Comercial - Chía</v>
      </c>
    </row>
    <row r="4566" spans="1:3">
      <c r="A4566">
        <v>111</v>
      </c>
      <c r="B4566">
        <v>2</v>
      </c>
      <c r="C4566" t="str">
        <f>VLOOKUP(A4566,'Programas y Unidades'!$A:$B,2,0)</f>
        <v>Especialización en Gerencia Comercial - Chía</v>
      </c>
    </row>
    <row r="4567" spans="1:3">
      <c r="A4567">
        <v>111</v>
      </c>
      <c r="B4567">
        <v>2</v>
      </c>
      <c r="C4567" t="str">
        <f>VLOOKUP(A4567,'Programas y Unidades'!$A:$B,2,0)</f>
        <v>Especialización en Gerencia Comercial - Chía</v>
      </c>
    </row>
    <row r="4568" spans="1:3">
      <c r="A4568">
        <v>111</v>
      </c>
      <c r="B4568">
        <v>2</v>
      </c>
      <c r="C4568" t="str">
        <f>VLOOKUP(A4568,'Programas y Unidades'!$A:$B,2,0)</f>
        <v>Especialización en Gerencia Comercial - Chía</v>
      </c>
    </row>
    <row r="4569" spans="1:3">
      <c r="A4569">
        <v>111</v>
      </c>
      <c r="B4569">
        <v>2</v>
      </c>
      <c r="C4569" t="str">
        <f>VLOOKUP(A4569,'Programas y Unidades'!$A:$B,2,0)</f>
        <v>Especialización en Gerencia Comercial - Chía</v>
      </c>
    </row>
    <row r="4570" spans="1:3">
      <c r="A4570">
        <v>111</v>
      </c>
      <c r="B4570">
        <v>2</v>
      </c>
      <c r="C4570" t="str">
        <f>VLOOKUP(A4570,'Programas y Unidades'!$A:$B,2,0)</f>
        <v>Especialización en Gerencia Comercial - Chía</v>
      </c>
    </row>
    <row r="4571" spans="1:3">
      <c r="A4571">
        <v>111</v>
      </c>
      <c r="B4571">
        <v>2</v>
      </c>
      <c r="C4571" t="str">
        <f>VLOOKUP(A4571,'Programas y Unidades'!$A:$B,2,0)</f>
        <v>Especialización en Gerencia Comercial - Chía</v>
      </c>
    </row>
    <row r="4572" spans="1:3">
      <c r="A4572">
        <v>111</v>
      </c>
      <c r="B4572">
        <v>2</v>
      </c>
      <c r="C4572" t="str">
        <f>VLOOKUP(A4572,'Programas y Unidades'!$A:$B,2,0)</f>
        <v>Especialización en Gerencia Comercial - Chía</v>
      </c>
    </row>
    <row r="4573" spans="1:3">
      <c r="A4573">
        <v>111</v>
      </c>
      <c r="B4573">
        <v>2</v>
      </c>
      <c r="C4573" t="str">
        <f>VLOOKUP(A4573,'Programas y Unidades'!$A:$B,2,0)</f>
        <v>Especialización en Gerencia Comercial - Chía</v>
      </c>
    </row>
    <row r="4574" spans="1:3">
      <c r="A4574">
        <v>111</v>
      </c>
      <c r="B4574">
        <v>2</v>
      </c>
      <c r="C4574" t="str">
        <f>VLOOKUP(A4574,'Programas y Unidades'!$A:$B,2,0)</f>
        <v>Especialización en Gerencia Comercial - Chía</v>
      </c>
    </row>
    <row r="4575" spans="1:3">
      <c r="A4575">
        <v>111</v>
      </c>
      <c r="B4575">
        <v>2</v>
      </c>
      <c r="C4575" t="str">
        <f>VLOOKUP(A4575,'Programas y Unidades'!$A:$B,2,0)</f>
        <v>Especialización en Gerencia Comercial - Chía</v>
      </c>
    </row>
    <row r="4576" spans="1:3">
      <c r="A4576">
        <v>111</v>
      </c>
      <c r="B4576">
        <v>2</v>
      </c>
      <c r="C4576" t="str">
        <f>VLOOKUP(A4576,'Programas y Unidades'!$A:$B,2,0)</f>
        <v>Especialización en Gerencia Comercial - Chía</v>
      </c>
    </row>
    <row r="4577" spans="1:3">
      <c r="A4577">
        <v>111</v>
      </c>
      <c r="B4577">
        <v>2</v>
      </c>
      <c r="C4577" t="str">
        <f>VLOOKUP(A4577,'Programas y Unidades'!$A:$B,2,0)</f>
        <v>Especialización en Gerencia Comercial - Chía</v>
      </c>
    </row>
    <row r="4578" spans="1:3">
      <c r="A4578">
        <v>111</v>
      </c>
      <c r="B4578">
        <v>2</v>
      </c>
      <c r="C4578" t="str">
        <f>VLOOKUP(A4578,'Programas y Unidades'!$A:$B,2,0)</f>
        <v>Especialización en Gerencia Comercial - Chía</v>
      </c>
    </row>
    <row r="4579" spans="1:3">
      <c r="A4579">
        <v>111</v>
      </c>
      <c r="B4579">
        <v>2</v>
      </c>
      <c r="C4579" t="str">
        <f>VLOOKUP(A4579,'Programas y Unidades'!$A:$B,2,0)</f>
        <v>Especialización en Gerencia Comercial - Chía</v>
      </c>
    </row>
    <row r="4580" spans="1:3">
      <c r="A4580">
        <v>111</v>
      </c>
      <c r="B4580">
        <v>2</v>
      </c>
      <c r="C4580" t="str">
        <f>VLOOKUP(A4580,'Programas y Unidades'!$A:$B,2,0)</f>
        <v>Especialización en Gerencia Comercial - Chía</v>
      </c>
    </row>
    <row r="4581" spans="1:3">
      <c r="A4581">
        <v>111</v>
      </c>
      <c r="B4581">
        <v>2</v>
      </c>
      <c r="C4581" t="str">
        <f>VLOOKUP(A4581,'Programas y Unidades'!$A:$B,2,0)</f>
        <v>Especialización en Gerencia Comercial - Chía</v>
      </c>
    </row>
    <row r="4582" spans="1:3">
      <c r="A4582">
        <v>111</v>
      </c>
      <c r="B4582">
        <v>2</v>
      </c>
      <c r="C4582" t="str">
        <f>VLOOKUP(A4582,'Programas y Unidades'!$A:$B,2,0)</f>
        <v>Especialización en Gerencia Comercial - Chía</v>
      </c>
    </row>
    <row r="4583" spans="1:3">
      <c r="A4583">
        <v>111</v>
      </c>
      <c r="B4583">
        <v>2</v>
      </c>
      <c r="C4583" t="str">
        <f>VLOOKUP(A4583,'Programas y Unidades'!$A:$B,2,0)</f>
        <v>Especialización en Gerencia Comercial - Chía</v>
      </c>
    </row>
    <row r="4584" spans="1:3">
      <c r="A4584">
        <v>111</v>
      </c>
      <c r="B4584">
        <v>2</v>
      </c>
      <c r="C4584" t="str">
        <f>VLOOKUP(A4584,'Programas y Unidades'!$A:$B,2,0)</f>
        <v>Especialización en Gerencia Comercial - Chía</v>
      </c>
    </row>
    <row r="4585" spans="1:3">
      <c r="A4585">
        <v>111</v>
      </c>
      <c r="B4585">
        <v>2</v>
      </c>
      <c r="C4585" t="str">
        <f>VLOOKUP(A4585,'Programas y Unidades'!$A:$B,2,0)</f>
        <v>Especialización en Gerencia Comercial - Chía</v>
      </c>
    </row>
    <row r="4586" spans="1:3">
      <c r="A4586">
        <v>111</v>
      </c>
      <c r="B4586">
        <v>2</v>
      </c>
      <c r="C4586" t="str">
        <f>VLOOKUP(A4586,'Programas y Unidades'!$A:$B,2,0)</f>
        <v>Especialización en Gerencia Comercial - Chía</v>
      </c>
    </row>
    <row r="4587" spans="1:3">
      <c r="A4587">
        <v>111</v>
      </c>
      <c r="B4587">
        <v>2</v>
      </c>
      <c r="C4587" t="str">
        <f>VLOOKUP(A4587,'Programas y Unidades'!$A:$B,2,0)</f>
        <v>Especialización en Gerencia Comercial - Chía</v>
      </c>
    </row>
    <row r="4588" spans="1:3">
      <c r="A4588">
        <v>111</v>
      </c>
      <c r="B4588">
        <v>2</v>
      </c>
      <c r="C4588" t="str">
        <f>VLOOKUP(A4588,'Programas y Unidades'!$A:$B,2,0)</f>
        <v>Especialización en Gerencia Comercial - Chía</v>
      </c>
    </row>
    <row r="4589" spans="1:3">
      <c r="A4589">
        <v>111</v>
      </c>
      <c r="B4589">
        <v>1</v>
      </c>
      <c r="C4589" t="str">
        <f>VLOOKUP(A4589,'Programas y Unidades'!$A:$B,2,0)</f>
        <v>Especialización en Gerencia Comercial - Chía</v>
      </c>
    </row>
    <row r="4590" spans="1:3">
      <c r="A4590">
        <v>111</v>
      </c>
      <c r="B4590">
        <v>1</v>
      </c>
      <c r="C4590" t="str">
        <f>VLOOKUP(A4590,'Programas y Unidades'!$A:$B,2,0)</f>
        <v>Especialización en Gerencia Comercial - Chía</v>
      </c>
    </row>
    <row r="4591" spans="1:3">
      <c r="A4591">
        <v>111</v>
      </c>
      <c r="B4591">
        <v>1</v>
      </c>
      <c r="C4591" t="str">
        <f>VLOOKUP(A4591,'Programas y Unidades'!$A:$B,2,0)</f>
        <v>Especialización en Gerencia Comercial - Chía</v>
      </c>
    </row>
    <row r="4592" spans="1:3">
      <c r="A4592">
        <v>111</v>
      </c>
      <c r="B4592">
        <v>2</v>
      </c>
      <c r="C4592" t="str">
        <f>VLOOKUP(A4592,'Programas y Unidades'!$A:$B,2,0)</f>
        <v>Especialización en Gerencia Comercial - Chía</v>
      </c>
    </row>
    <row r="4593" spans="1:3">
      <c r="A4593">
        <v>111</v>
      </c>
      <c r="B4593">
        <v>1</v>
      </c>
      <c r="C4593" t="str">
        <f>VLOOKUP(A4593,'Programas y Unidades'!$A:$B,2,0)</f>
        <v>Especialización en Gerencia Comercial - Chía</v>
      </c>
    </row>
    <row r="4594" spans="1:3">
      <c r="A4594">
        <v>111</v>
      </c>
      <c r="B4594">
        <v>1</v>
      </c>
      <c r="C4594" t="str">
        <f>VLOOKUP(A4594,'Programas y Unidades'!$A:$B,2,0)</f>
        <v>Especialización en Gerencia Comercial - Chía</v>
      </c>
    </row>
    <row r="4595" spans="1:3">
      <c r="A4595">
        <v>111</v>
      </c>
      <c r="B4595">
        <v>1</v>
      </c>
      <c r="C4595" t="str">
        <f>VLOOKUP(A4595,'Programas y Unidades'!$A:$B,2,0)</f>
        <v>Especialización en Gerencia Comercial - Chía</v>
      </c>
    </row>
    <row r="4596" spans="1:3">
      <c r="A4596">
        <v>111</v>
      </c>
      <c r="B4596">
        <v>1</v>
      </c>
      <c r="C4596" t="str">
        <f>VLOOKUP(A4596,'Programas y Unidades'!$A:$B,2,0)</f>
        <v>Especialización en Gerencia Comercial - Chía</v>
      </c>
    </row>
    <row r="4597" spans="1:3">
      <c r="A4597">
        <v>111</v>
      </c>
      <c r="B4597">
        <v>1</v>
      </c>
      <c r="C4597" t="str">
        <f>VLOOKUP(A4597,'Programas y Unidades'!$A:$B,2,0)</f>
        <v>Especialización en Gerencia Comercial - Chía</v>
      </c>
    </row>
    <row r="4598" spans="1:3">
      <c r="A4598">
        <v>111</v>
      </c>
      <c r="B4598">
        <v>1</v>
      </c>
      <c r="C4598" t="str">
        <f>VLOOKUP(A4598,'Programas y Unidades'!$A:$B,2,0)</f>
        <v>Especialización en Gerencia Comercial - Chía</v>
      </c>
    </row>
    <row r="4599" spans="1:3">
      <c r="A4599">
        <v>111</v>
      </c>
      <c r="B4599">
        <v>1</v>
      </c>
      <c r="C4599" t="str">
        <f>VLOOKUP(A4599,'Programas y Unidades'!$A:$B,2,0)</f>
        <v>Especialización en Gerencia Comercial - Chía</v>
      </c>
    </row>
    <row r="4600" spans="1:3">
      <c r="A4600">
        <v>111</v>
      </c>
      <c r="B4600">
        <v>1</v>
      </c>
      <c r="C4600" t="str">
        <f>VLOOKUP(A4600,'Programas y Unidades'!$A:$B,2,0)</f>
        <v>Especialización en Gerencia Comercial - Chía</v>
      </c>
    </row>
    <row r="4601" spans="1:3">
      <c r="A4601">
        <v>111</v>
      </c>
      <c r="B4601">
        <v>1</v>
      </c>
      <c r="C4601" t="str">
        <f>VLOOKUP(A4601,'Programas y Unidades'!$A:$B,2,0)</f>
        <v>Especialización en Gerencia Comercial - Chía</v>
      </c>
    </row>
    <row r="4602" spans="1:3">
      <c r="A4602">
        <v>111</v>
      </c>
      <c r="B4602">
        <v>1</v>
      </c>
      <c r="C4602" t="str">
        <f>VLOOKUP(A4602,'Programas y Unidades'!$A:$B,2,0)</f>
        <v>Especialización en Gerencia Comercial - Chía</v>
      </c>
    </row>
    <row r="4603" spans="1:3">
      <c r="A4603">
        <v>111</v>
      </c>
      <c r="B4603">
        <v>1</v>
      </c>
      <c r="C4603" t="str">
        <f>VLOOKUP(A4603,'Programas y Unidades'!$A:$B,2,0)</f>
        <v>Especialización en Gerencia Comercial - Chía</v>
      </c>
    </row>
    <row r="4604" spans="1:3">
      <c r="A4604">
        <v>111</v>
      </c>
      <c r="B4604">
        <v>2</v>
      </c>
      <c r="C4604" t="str">
        <f>VLOOKUP(A4604,'Programas y Unidades'!$A:$B,2,0)</f>
        <v>Especialización en Gerencia Comercial - Chía</v>
      </c>
    </row>
    <row r="4605" spans="1:3">
      <c r="A4605">
        <v>111</v>
      </c>
      <c r="B4605">
        <v>1</v>
      </c>
      <c r="C4605" t="str">
        <f>VLOOKUP(A4605,'Programas y Unidades'!$A:$B,2,0)</f>
        <v>Especialización en Gerencia Comercial - Chía</v>
      </c>
    </row>
    <row r="4606" spans="1:3">
      <c r="A4606">
        <v>111</v>
      </c>
      <c r="B4606">
        <v>2</v>
      </c>
      <c r="C4606" t="str">
        <f>VLOOKUP(A4606,'Programas y Unidades'!$A:$B,2,0)</f>
        <v>Especialización en Gerencia Comercial - Chía</v>
      </c>
    </row>
    <row r="4607" spans="1:3">
      <c r="A4607">
        <v>111</v>
      </c>
      <c r="B4607">
        <v>1</v>
      </c>
      <c r="C4607" t="str">
        <f>VLOOKUP(A4607,'Programas y Unidades'!$A:$B,2,0)</f>
        <v>Especialización en Gerencia Comercial - Chía</v>
      </c>
    </row>
    <row r="4608" spans="1:3">
      <c r="A4608">
        <v>111</v>
      </c>
      <c r="B4608">
        <v>1</v>
      </c>
      <c r="C4608" t="str">
        <f>VLOOKUP(A4608,'Programas y Unidades'!$A:$B,2,0)</f>
        <v>Especialización en Gerencia Comercial - Chía</v>
      </c>
    </row>
    <row r="4609" spans="1:3">
      <c r="A4609">
        <v>111</v>
      </c>
      <c r="B4609">
        <v>1</v>
      </c>
      <c r="C4609" t="str">
        <f>VLOOKUP(A4609,'Programas y Unidades'!$A:$B,2,0)</f>
        <v>Especialización en Gerencia Comercial - Chía</v>
      </c>
    </row>
    <row r="4610" spans="1:3">
      <c r="A4610">
        <v>111</v>
      </c>
      <c r="B4610">
        <v>1</v>
      </c>
      <c r="C4610" t="str">
        <f>VLOOKUP(A4610,'Programas y Unidades'!$A:$B,2,0)</f>
        <v>Especialización en Gerencia Comercial - Chía</v>
      </c>
    </row>
    <row r="4611" spans="1:3">
      <c r="A4611">
        <v>111</v>
      </c>
      <c r="B4611">
        <v>2</v>
      </c>
      <c r="C4611" t="str">
        <f>VLOOKUP(A4611,'Programas y Unidades'!$A:$B,2,0)</f>
        <v>Especialización en Gerencia Comercial - Chía</v>
      </c>
    </row>
    <row r="4612" spans="1:3">
      <c r="A4612">
        <v>111</v>
      </c>
      <c r="B4612">
        <v>1</v>
      </c>
      <c r="C4612" t="str">
        <f>VLOOKUP(A4612,'Programas y Unidades'!$A:$B,2,0)</f>
        <v>Especialización en Gerencia Comercial - Chía</v>
      </c>
    </row>
    <row r="4613" spans="1:3">
      <c r="A4613">
        <v>111</v>
      </c>
      <c r="B4613">
        <v>1</v>
      </c>
      <c r="C4613" t="str">
        <f>VLOOKUP(A4613,'Programas y Unidades'!$A:$B,2,0)</f>
        <v>Especialización en Gerencia Comercial - Chía</v>
      </c>
    </row>
    <row r="4614" spans="1:3">
      <c r="A4614">
        <v>111</v>
      </c>
      <c r="B4614">
        <v>1</v>
      </c>
      <c r="C4614" t="str">
        <f>VLOOKUP(A4614,'Programas y Unidades'!$A:$B,2,0)</f>
        <v>Especialización en Gerencia Comercial - Chía</v>
      </c>
    </row>
    <row r="4615" spans="1:3">
      <c r="A4615">
        <v>150</v>
      </c>
      <c r="B4615">
        <v>1</v>
      </c>
      <c r="C4615" t="e">
        <f>VLOOKUP(A4615,'Programas y Unidades'!$A:$B,2,0)</f>
        <v>#N/A</v>
      </c>
    </row>
    <row r="4616" spans="1:3">
      <c r="A4616">
        <v>111</v>
      </c>
      <c r="B4616">
        <v>1</v>
      </c>
      <c r="C4616" t="str">
        <f>VLOOKUP(A4616,'Programas y Unidades'!$A:$B,2,0)</f>
        <v>Especialización en Gerencia Comercial - Chía</v>
      </c>
    </row>
    <row r="4617" spans="1:3">
      <c r="A4617">
        <v>111</v>
      </c>
      <c r="B4617">
        <v>1</v>
      </c>
      <c r="C4617" t="str">
        <f>VLOOKUP(A4617,'Programas y Unidades'!$A:$B,2,0)</f>
        <v>Especialización en Gerencia Comercial - Chía</v>
      </c>
    </row>
    <row r="4618" spans="1:3">
      <c r="A4618">
        <v>111</v>
      </c>
      <c r="B4618">
        <v>1</v>
      </c>
      <c r="C4618" t="str">
        <f>VLOOKUP(A4618,'Programas y Unidades'!$A:$B,2,0)</f>
        <v>Especialización en Gerencia Comercial - Chía</v>
      </c>
    </row>
    <row r="4619" spans="1:3">
      <c r="A4619">
        <v>111</v>
      </c>
      <c r="B4619">
        <v>1</v>
      </c>
      <c r="C4619" t="str">
        <f>VLOOKUP(A4619,'Programas y Unidades'!$A:$B,2,0)</f>
        <v>Especialización en Gerencia Comercial - Chía</v>
      </c>
    </row>
    <row r="4620" spans="1:3">
      <c r="A4620">
        <v>111</v>
      </c>
      <c r="B4620">
        <v>1</v>
      </c>
      <c r="C4620" t="str">
        <f>VLOOKUP(A4620,'Programas y Unidades'!$A:$B,2,0)</f>
        <v>Especialización en Gerencia Comercial - Chía</v>
      </c>
    </row>
    <row r="4621" spans="1:3">
      <c r="A4621">
        <v>111</v>
      </c>
      <c r="B4621">
        <v>1</v>
      </c>
      <c r="C4621" t="str">
        <f>VLOOKUP(A4621,'Programas y Unidades'!$A:$B,2,0)</f>
        <v>Especialización en Gerencia Comercial - Chía</v>
      </c>
    </row>
    <row r="4622" spans="1:3">
      <c r="A4622">
        <v>111</v>
      </c>
      <c r="B4622">
        <v>1</v>
      </c>
      <c r="C4622" t="str">
        <f>VLOOKUP(A4622,'Programas y Unidades'!$A:$B,2,0)</f>
        <v>Especialización en Gerencia Comercial - Chía</v>
      </c>
    </row>
    <row r="4623" spans="1:3">
      <c r="A4623">
        <v>111</v>
      </c>
      <c r="B4623">
        <v>1</v>
      </c>
      <c r="C4623" t="str">
        <f>VLOOKUP(A4623,'Programas y Unidades'!$A:$B,2,0)</f>
        <v>Especialización en Gerencia Comercial - Chía</v>
      </c>
    </row>
    <row r="4624" spans="1:3">
      <c r="A4624">
        <v>80</v>
      </c>
      <c r="B4624">
        <v>4</v>
      </c>
      <c r="C4624" t="str">
        <f>VLOOKUP(A4624,'Programas y Unidades'!$A:$B,2,0)</f>
        <v>Maestría en Psicología - Chía</v>
      </c>
    </row>
    <row r="4625" spans="1:3">
      <c r="A4625">
        <v>80</v>
      </c>
      <c r="B4625">
        <v>4</v>
      </c>
      <c r="C4625" t="str">
        <f>VLOOKUP(A4625,'Programas y Unidades'!$A:$B,2,0)</f>
        <v>Maestría en Psicología - Chía</v>
      </c>
    </row>
    <row r="4626" spans="1:3">
      <c r="A4626">
        <v>80</v>
      </c>
      <c r="B4626">
        <v>4</v>
      </c>
      <c r="C4626" t="str">
        <f>VLOOKUP(A4626,'Programas y Unidades'!$A:$B,2,0)</f>
        <v>Maestría en Psicología - Chía</v>
      </c>
    </row>
    <row r="4627" spans="1:3">
      <c r="A4627">
        <v>80</v>
      </c>
      <c r="B4627">
        <v>4</v>
      </c>
      <c r="C4627" t="str">
        <f>VLOOKUP(A4627,'Programas y Unidades'!$A:$B,2,0)</f>
        <v>Maestría en Psicología - Chía</v>
      </c>
    </row>
    <row r="4628" spans="1:3">
      <c r="A4628">
        <v>80</v>
      </c>
      <c r="B4628">
        <v>4</v>
      </c>
      <c r="C4628" t="str">
        <f>VLOOKUP(A4628,'Programas y Unidades'!$A:$B,2,0)</f>
        <v>Maestría en Psicología - Chía</v>
      </c>
    </row>
    <row r="4629" spans="1:3">
      <c r="A4629">
        <v>14</v>
      </c>
      <c r="B4629">
        <v>6</v>
      </c>
      <c r="C4629" t="str">
        <f>VLOOKUP(A4629,'Programas y Unidades'!$A:$B,2,0)</f>
        <v>Especialización en Pediatría</v>
      </c>
    </row>
    <row r="4630" spans="1:3">
      <c r="A4630">
        <v>134</v>
      </c>
      <c r="B4630">
        <v>1</v>
      </c>
      <c r="C4630" t="str">
        <f>VLOOKUP(A4630,'Programas y Unidades'!$A:$B,2,0)</f>
        <v>Especialización en Gerencia Estratégica - Bucaramanga</v>
      </c>
    </row>
    <row r="4631" spans="1:3">
      <c r="A4631">
        <v>124</v>
      </c>
      <c r="B4631">
        <v>9</v>
      </c>
      <c r="C4631" t="str">
        <f>VLOOKUP(A4631,'Programas y Unidades'!$A:$B,2,0)</f>
        <v>Especialización en Gerencia Estratégica - Virtual</v>
      </c>
    </row>
    <row r="4632" spans="1:3">
      <c r="A4632">
        <v>49</v>
      </c>
      <c r="B4632">
        <v>2</v>
      </c>
      <c r="C4632" t="str">
        <f>VLOOKUP(A4632,'Programas y Unidades'!$A:$B,2,0)</f>
        <v>Maestría en Gerencia de la Innovación - Chía</v>
      </c>
    </row>
    <row r="4633" spans="1:3">
      <c r="A4633">
        <v>49</v>
      </c>
      <c r="B4633">
        <v>9</v>
      </c>
      <c r="C4633" t="str">
        <f>VLOOKUP(A4633,'Programas y Unidades'!$A:$B,2,0)</f>
        <v>Maestría en Gerencia de la Innovación - Chía</v>
      </c>
    </row>
    <row r="4634" spans="1:3">
      <c r="A4634">
        <v>49</v>
      </c>
      <c r="B4634">
        <v>2</v>
      </c>
      <c r="C4634" t="str">
        <f>VLOOKUP(A4634,'Programas y Unidades'!$A:$B,2,0)</f>
        <v>Maestría en Gerencia de la Innovación - Chía</v>
      </c>
    </row>
    <row r="4635" spans="1:3">
      <c r="A4635">
        <v>49</v>
      </c>
      <c r="B4635">
        <v>3</v>
      </c>
      <c r="C4635" t="str">
        <f>VLOOKUP(A4635,'Programas y Unidades'!$A:$B,2,0)</f>
        <v>Maestría en Gerencia de la Innovación - Chía</v>
      </c>
    </row>
    <row r="4636" spans="1:3">
      <c r="A4636">
        <v>49</v>
      </c>
      <c r="B4636">
        <v>3</v>
      </c>
      <c r="C4636" t="str">
        <f>VLOOKUP(A4636,'Programas y Unidades'!$A:$B,2,0)</f>
        <v>Maestría en Gerencia de la Innovación - Chía</v>
      </c>
    </row>
    <row r="4637" spans="1:3">
      <c r="A4637">
        <v>49</v>
      </c>
      <c r="B4637">
        <v>3</v>
      </c>
      <c r="C4637" t="str">
        <f>VLOOKUP(A4637,'Programas y Unidades'!$A:$B,2,0)</f>
        <v>Maestría en Gerencia de la Innovación - Chía</v>
      </c>
    </row>
    <row r="4638" spans="1:3">
      <c r="A4638">
        <v>49</v>
      </c>
      <c r="B4638">
        <v>3</v>
      </c>
      <c r="C4638" t="str">
        <f>VLOOKUP(A4638,'Programas y Unidades'!$A:$B,2,0)</f>
        <v>Maestría en Gerencia de la Innovación - Chía</v>
      </c>
    </row>
    <row r="4639" spans="1:3">
      <c r="A4639">
        <v>49</v>
      </c>
      <c r="B4639">
        <v>3</v>
      </c>
      <c r="C4639" t="str">
        <f>VLOOKUP(A4639,'Programas y Unidades'!$A:$B,2,0)</f>
        <v>Maestría en Gerencia de la Innovación - Chía</v>
      </c>
    </row>
    <row r="4640" spans="1:3">
      <c r="A4640">
        <v>49</v>
      </c>
      <c r="B4640">
        <v>3</v>
      </c>
      <c r="C4640" t="str">
        <f>VLOOKUP(A4640,'Programas y Unidades'!$A:$B,2,0)</f>
        <v>Maestría en Gerencia de la Innovación - Chía</v>
      </c>
    </row>
    <row r="4641" spans="1:3">
      <c r="A4641">
        <v>49</v>
      </c>
      <c r="B4641">
        <v>3</v>
      </c>
      <c r="C4641" t="str">
        <f>VLOOKUP(A4641,'Programas y Unidades'!$A:$B,2,0)</f>
        <v>Maestría en Gerencia de la Innovación - Chía</v>
      </c>
    </row>
    <row r="4642" spans="1:3">
      <c r="A4642">
        <v>49</v>
      </c>
      <c r="B4642">
        <v>3</v>
      </c>
      <c r="C4642" t="str">
        <f>VLOOKUP(A4642,'Programas y Unidades'!$A:$B,2,0)</f>
        <v>Maestría en Gerencia de la Innovación - Chía</v>
      </c>
    </row>
    <row r="4643" spans="1:3">
      <c r="A4643">
        <v>49</v>
      </c>
      <c r="B4643">
        <v>1</v>
      </c>
      <c r="C4643" t="str">
        <f>VLOOKUP(A4643,'Programas y Unidades'!$A:$B,2,0)</f>
        <v>Maestría en Gerencia de la Innovación - Chía</v>
      </c>
    </row>
    <row r="4644" spans="1:3">
      <c r="A4644">
        <v>49</v>
      </c>
      <c r="B4644">
        <v>3</v>
      </c>
      <c r="C4644" t="str">
        <f>VLOOKUP(A4644,'Programas y Unidades'!$A:$B,2,0)</f>
        <v>Maestría en Gerencia de la Innovación - Chía</v>
      </c>
    </row>
    <row r="4645" spans="1:3">
      <c r="A4645">
        <v>49</v>
      </c>
      <c r="B4645">
        <v>3</v>
      </c>
      <c r="C4645" t="str">
        <f>VLOOKUP(A4645,'Programas y Unidades'!$A:$B,2,0)</f>
        <v>Maestría en Gerencia de la Innovación - Chía</v>
      </c>
    </row>
    <row r="4646" spans="1:3">
      <c r="A4646">
        <v>8</v>
      </c>
      <c r="B4646">
        <v>6</v>
      </c>
      <c r="C4646" t="str">
        <f>VLOOKUP(A4646,'Programas y Unidades'!$A:$B,2,0)</f>
        <v>Especialización en Medicina Familiar y Comunitaria</v>
      </c>
    </row>
    <row r="4647" spans="1:3">
      <c r="A4647">
        <v>12</v>
      </c>
      <c r="B4647">
        <v>8</v>
      </c>
      <c r="C4647" t="str">
        <f>VLOOKUP(A4647,'Programas y Unidades'!$A:$B,2,0)</f>
        <v>Especialización en Neurología</v>
      </c>
    </row>
    <row r="4648" spans="1:3">
      <c r="A4648">
        <v>124</v>
      </c>
      <c r="B4648">
        <v>3</v>
      </c>
      <c r="C4648" t="str">
        <f>VLOOKUP(A4648,'Programas y Unidades'!$A:$B,2,0)</f>
        <v>Especialización en Gerencia Estratégica - Virtual</v>
      </c>
    </row>
    <row r="4649" spans="1:3">
      <c r="A4649">
        <v>117</v>
      </c>
      <c r="B4649">
        <v>1</v>
      </c>
      <c r="C4649" t="str">
        <f>VLOOKUP(A4649,'Programas y Unidades'!$A:$B,2,0)</f>
        <v>Especialización en Finanzas Corporativas - Chía</v>
      </c>
    </row>
    <row r="4650" spans="1:3">
      <c r="A4650">
        <v>119</v>
      </c>
      <c r="B4650">
        <v>2</v>
      </c>
      <c r="C4650" t="str">
        <f>VLOOKUP(A4650,'Programas y Unidades'!$A:$B,2,0)</f>
        <v>Especialización en Gerencia de Proyectos con Enfoque en Habilidades Directivas - Chía</v>
      </c>
    </row>
    <row r="4651" spans="1:3">
      <c r="A4651">
        <v>94</v>
      </c>
      <c r="B4651">
        <v>3</v>
      </c>
      <c r="C4651" t="str">
        <f>VLOOKUP(A4651,'Programas y Unidades'!$A:$B,2,0)</f>
        <v>Maestría en Enfermería - Virtual</v>
      </c>
    </row>
    <row r="4652" spans="1:3">
      <c r="A4652">
        <v>56</v>
      </c>
      <c r="B4652">
        <v>2</v>
      </c>
      <c r="C4652" t="str">
        <f>VLOOKUP(A4652,'Programas y Unidades'!$A:$B,2,0)</f>
        <v>Maestría en Derecho Internacional - Chía</v>
      </c>
    </row>
    <row r="4653" spans="1:3">
      <c r="A4653">
        <v>18</v>
      </c>
      <c r="B4653">
        <v>6</v>
      </c>
      <c r="C4653" t="str">
        <f>VLOOKUP(A4653,'Programas y Unidades'!$A:$B,2,0)</f>
        <v>Especialización en Medicina del Dolor y Cuidados Paliativos</v>
      </c>
    </row>
    <row r="4654" spans="1:3">
      <c r="A4654">
        <v>2</v>
      </c>
      <c r="B4654">
        <v>4</v>
      </c>
      <c r="C4654" t="str">
        <f>VLOOKUP(A4654,'Programas y Unidades'!$A:$B,2,0)</f>
        <v>Especialización en Cirugía General</v>
      </c>
    </row>
    <row r="4655" spans="1:3">
      <c r="A4655">
        <v>2</v>
      </c>
      <c r="B4655">
        <v>2</v>
      </c>
      <c r="C4655" t="str">
        <f>VLOOKUP(A4655,'Programas y Unidades'!$A:$B,2,0)</f>
        <v>Especialización en Cirugía General</v>
      </c>
    </row>
    <row r="4656" spans="1:3">
      <c r="A4656">
        <v>1</v>
      </c>
      <c r="B4656">
        <v>5</v>
      </c>
      <c r="C4656" t="str">
        <f>VLOOKUP(A4656,'Programas y Unidades'!$A:$B,2,0)</f>
        <v>Especialización en Anestesiología y Medicina Perioperatoria</v>
      </c>
    </row>
    <row r="4657" spans="1:3">
      <c r="A4657">
        <v>2</v>
      </c>
      <c r="B4657">
        <v>8</v>
      </c>
      <c r="C4657" t="str">
        <f>VLOOKUP(A4657,'Programas y Unidades'!$A:$B,2,0)</f>
        <v>Especialización en Cirugía General</v>
      </c>
    </row>
    <row r="4658" spans="1:3">
      <c r="A4658">
        <v>2</v>
      </c>
      <c r="B4658">
        <v>3</v>
      </c>
      <c r="C4658" t="str">
        <f>VLOOKUP(A4658,'Programas y Unidades'!$A:$B,2,0)</f>
        <v>Especialización en Cirugía General</v>
      </c>
    </row>
    <row r="4659" spans="1:3">
      <c r="A4659">
        <v>2</v>
      </c>
      <c r="B4659">
        <v>6</v>
      </c>
      <c r="C4659" t="str">
        <f>VLOOKUP(A4659,'Programas y Unidades'!$A:$B,2,0)</f>
        <v>Especialización en Cirugía General</v>
      </c>
    </row>
    <row r="4660" spans="1:3">
      <c r="A4660">
        <v>2</v>
      </c>
      <c r="B4660">
        <v>1</v>
      </c>
      <c r="C4660" t="str">
        <f>VLOOKUP(A4660,'Programas y Unidades'!$A:$B,2,0)</f>
        <v>Especialización en Cirugía General</v>
      </c>
    </row>
    <row r="4661" spans="1:3">
      <c r="A4661">
        <v>2</v>
      </c>
      <c r="B4661">
        <v>8</v>
      </c>
      <c r="C4661" t="str">
        <f>VLOOKUP(A4661,'Programas y Unidades'!$A:$B,2,0)</f>
        <v>Especialización en Cirugía General</v>
      </c>
    </row>
    <row r="4662" spans="1:3">
      <c r="A4662">
        <v>13</v>
      </c>
      <c r="B4662">
        <v>6</v>
      </c>
      <c r="C4662" t="str">
        <f>VLOOKUP(A4662,'Programas y Unidades'!$A:$B,2,0)</f>
        <v>Especialización en Oftalmología</v>
      </c>
    </row>
    <row r="4663" spans="1:3">
      <c r="A4663">
        <v>14</v>
      </c>
      <c r="B4663">
        <v>3</v>
      </c>
      <c r="C4663" t="str">
        <f>VLOOKUP(A4663,'Programas y Unidades'!$A:$B,2,0)</f>
        <v>Especialización en Pediatría</v>
      </c>
    </row>
    <row r="4664" spans="1:3">
      <c r="A4664">
        <v>13</v>
      </c>
      <c r="B4664">
        <v>4</v>
      </c>
      <c r="C4664" t="str">
        <f>VLOOKUP(A4664,'Programas y Unidades'!$A:$B,2,0)</f>
        <v>Especialización en Oftalmología</v>
      </c>
    </row>
    <row r="4665" spans="1:3">
      <c r="A4665">
        <v>12</v>
      </c>
      <c r="B4665">
        <v>5</v>
      </c>
      <c r="C4665" t="str">
        <f>VLOOKUP(A4665,'Programas y Unidades'!$A:$B,2,0)</f>
        <v>Especialización en Neurología</v>
      </c>
    </row>
    <row r="4666" spans="1:3">
      <c r="A4666">
        <v>2</v>
      </c>
      <c r="B4666">
        <v>2</v>
      </c>
      <c r="C4666" t="str">
        <f>VLOOKUP(A4666,'Programas y Unidades'!$A:$B,2,0)</f>
        <v>Especialización en Cirugía General</v>
      </c>
    </row>
    <row r="4667" spans="1:3">
      <c r="A4667">
        <v>2</v>
      </c>
      <c r="B4667">
        <v>6</v>
      </c>
      <c r="C4667" t="str">
        <f>VLOOKUP(A4667,'Programas y Unidades'!$A:$B,2,0)</f>
        <v>Especialización en Cirugía General</v>
      </c>
    </row>
    <row r="4668" spans="1:3">
      <c r="A4668">
        <v>14</v>
      </c>
      <c r="B4668">
        <v>3</v>
      </c>
      <c r="C4668" t="str">
        <f>VLOOKUP(A4668,'Programas y Unidades'!$A:$B,2,0)</f>
        <v>Especialización en Pediatría</v>
      </c>
    </row>
    <row r="4669" spans="1:3">
      <c r="A4669">
        <v>14</v>
      </c>
      <c r="B4669">
        <v>3</v>
      </c>
      <c r="C4669" t="str">
        <f>VLOOKUP(A4669,'Programas y Unidades'!$A:$B,2,0)</f>
        <v>Especialización en Pediatría</v>
      </c>
    </row>
    <row r="4670" spans="1:3">
      <c r="A4670">
        <v>12</v>
      </c>
      <c r="B4670">
        <v>6</v>
      </c>
      <c r="C4670" t="str">
        <f>VLOOKUP(A4670,'Programas y Unidades'!$A:$B,2,0)</f>
        <v>Especialización en Neurología</v>
      </c>
    </row>
    <row r="4671" spans="1:3">
      <c r="A4671">
        <v>12</v>
      </c>
      <c r="B4671">
        <v>6</v>
      </c>
      <c r="C4671" t="str">
        <f>VLOOKUP(A4671,'Programas y Unidades'!$A:$B,2,0)</f>
        <v>Especialización en Neurología</v>
      </c>
    </row>
    <row r="4672" spans="1:3">
      <c r="A4672">
        <v>127</v>
      </c>
      <c r="B4672">
        <v>2</v>
      </c>
      <c r="C4672" t="str">
        <f>VLOOKUP(A4672,'Programas y Unidades'!$A:$B,2,0)</f>
        <v>Especialización en Gerencia Comercial Bucaramanga - Santander</v>
      </c>
    </row>
    <row r="4673" spans="1:3">
      <c r="A4673">
        <v>127</v>
      </c>
      <c r="B4673">
        <v>2</v>
      </c>
      <c r="C4673" t="str">
        <f>VLOOKUP(A4673,'Programas y Unidades'!$A:$B,2,0)</f>
        <v>Especialización en Gerencia Comercial Bucaramanga - Santander</v>
      </c>
    </row>
    <row r="4674" spans="1:3">
      <c r="A4674">
        <v>127</v>
      </c>
      <c r="B4674">
        <v>2</v>
      </c>
      <c r="C4674" t="str">
        <f>VLOOKUP(A4674,'Programas y Unidades'!$A:$B,2,0)</f>
        <v>Especialización en Gerencia Comercial Bucaramanga - Santander</v>
      </c>
    </row>
    <row r="4675" spans="1:3">
      <c r="A4675">
        <v>127</v>
      </c>
      <c r="B4675">
        <v>2</v>
      </c>
      <c r="C4675" t="str">
        <f>VLOOKUP(A4675,'Programas y Unidades'!$A:$B,2,0)</f>
        <v>Especialización en Gerencia Comercial Bucaramanga - Santander</v>
      </c>
    </row>
    <row r="4676" spans="1:3">
      <c r="A4676">
        <v>127</v>
      </c>
      <c r="B4676">
        <v>2</v>
      </c>
      <c r="C4676" t="str">
        <f>VLOOKUP(A4676,'Programas y Unidades'!$A:$B,2,0)</f>
        <v>Especialización en Gerencia Comercial Bucaramanga - Santander</v>
      </c>
    </row>
    <row r="4677" spans="1:3">
      <c r="A4677">
        <v>95</v>
      </c>
      <c r="B4677">
        <v>3</v>
      </c>
      <c r="C4677" t="str">
        <f>VLOOKUP(A4677,'Programas y Unidades'!$A:$B,2,0)</f>
        <v>Maestría en Asesoría Familiar y Gestión de Programas para la Familia - Virtual</v>
      </c>
    </row>
    <row r="4678" spans="1:3">
      <c r="A4678">
        <v>6</v>
      </c>
      <c r="B4678">
        <v>3</v>
      </c>
      <c r="C4678" t="str">
        <f>VLOOKUP(A4678,'Programas y Unidades'!$A:$B,2,0)</f>
        <v>Especialización en Ginecología y Obstetricia</v>
      </c>
    </row>
    <row r="4679" spans="1:3">
      <c r="A4679">
        <v>12</v>
      </c>
      <c r="B4679">
        <v>1</v>
      </c>
      <c r="C4679" t="str">
        <f>VLOOKUP(A4679,'Programas y Unidades'!$A:$B,2,0)</f>
        <v>Especialización en Neurología</v>
      </c>
    </row>
    <row r="4680" spans="1:3">
      <c r="A4680">
        <v>6</v>
      </c>
      <c r="B4680">
        <v>7</v>
      </c>
      <c r="C4680" t="str">
        <f>VLOOKUP(A4680,'Programas y Unidades'!$A:$B,2,0)</f>
        <v>Especialización en Ginecología y Obstetricia</v>
      </c>
    </row>
    <row r="4681" spans="1:3">
      <c r="A4681">
        <v>6</v>
      </c>
      <c r="B4681">
        <v>3</v>
      </c>
      <c r="C4681" t="str">
        <f>VLOOKUP(A4681,'Programas y Unidades'!$A:$B,2,0)</f>
        <v>Especialización en Ginecología y Obstetricia</v>
      </c>
    </row>
    <row r="4682" spans="1:3">
      <c r="A4682">
        <v>71</v>
      </c>
      <c r="B4682">
        <v>6</v>
      </c>
      <c r="C4682" t="str">
        <f>VLOOKUP(A4682,'Programas y Unidades'!$A:$B,2,0)</f>
        <v>Doctorado en Logística y Gestión de Cadenas de Suministros - Chía</v>
      </c>
    </row>
    <row r="4683" spans="1:3">
      <c r="A4683">
        <v>71</v>
      </c>
      <c r="B4683">
        <v>6</v>
      </c>
      <c r="C4683" t="str">
        <f>VLOOKUP(A4683,'Programas y Unidades'!$A:$B,2,0)</f>
        <v>Doctorado en Logística y Gestión de Cadenas de Suministros - Chía</v>
      </c>
    </row>
    <row r="4684" spans="1:3">
      <c r="A4684">
        <v>71</v>
      </c>
      <c r="B4684">
        <v>4</v>
      </c>
      <c r="C4684" t="str">
        <f>VLOOKUP(A4684,'Programas y Unidades'!$A:$B,2,0)</f>
        <v>Doctorado en Logística y Gestión de Cadenas de Suministros - Chía</v>
      </c>
    </row>
    <row r="4685" spans="1:3">
      <c r="A4685">
        <v>71</v>
      </c>
      <c r="B4685">
        <v>4</v>
      </c>
      <c r="C4685" t="str">
        <f>VLOOKUP(A4685,'Programas y Unidades'!$A:$B,2,0)</f>
        <v>Doctorado en Logística y Gestión de Cadenas de Suministros - Chía</v>
      </c>
    </row>
    <row r="4686" spans="1:3">
      <c r="A4686">
        <v>71</v>
      </c>
      <c r="B4686">
        <v>2</v>
      </c>
      <c r="C4686" t="str">
        <f>VLOOKUP(A4686,'Programas y Unidades'!$A:$B,2,0)</f>
        <v>Doctorado en Logística y Gestión de Cadenas de Suministros - Chía</v>
      </c>
    </row>
    <row r="4687" spans="1:3">
      <c r="A4687">
        <v>71</v>
      </c>
      <c r="B4687">
        <v>4</v>
      </c>
      <c r="C4687" t="str">
        <f>VLOOKUP(A4687,'Programas y Unidades'!$A:$B,2,0)</f>
        <v>Doctorado en Logística y Gestión de Cadenas de Suministros - Chía</v>
      </c>
    </row>
    <row r="4688" spans="1:3">
      <c r="A4688">
        <v>71</v>
      </c>
      <c r="B4688">
        <v>4</v>
      </c>
      <c r="C4688" t="str">
        <f>VLOOKUP(A4688,'Programas y Unidades'!$A:$B,2,0)</f>
        <v>Doctorado en Logística y Gestión de Cadenas de Suministros - Chía</v>
      </c>
    </row>
    <row r="4689" spans="1:3">
      <c r="A4689">
        <v>71</v>
      </c>
      <c r="B4689">
        <v>2</v>
      </c>
      <c r="C4689" t="str">
        <f>VLOOKUP(A4689,'Programas y Unidades'!$A:$B,2,0)</f>
        <v>Doctorado en Logística y Gestión de Cadenas de Suministros - Chía</v>
      </c>
    </row>
    <row r="4690" spans="1:3">
      <c r="A4690">
        <v>71</v>
      </c>
      <c r="B4690">
        <v>2</v>
      </c>
      <c r="C4690" t="str">
        <f>VLOOKUP(A4690,'Programas y Unidades'!$A:$B,2,0)</f>
        <v>Doctorado en Logística y Gestión de Cadenas de Suministros - Chía</v>
      </c>
    </row>
    <row r="4691" spans="1:3">
      <c r="A4691">
        <v>95</v>
      </c>
      <c r="B4691">
        <v>2</v>
      </c>
      <c r="C4691" t="str">
        <f>VLOOKUP(A4691,'Programas y Unidades'!$A:$B,2,0)</f>
        <v>Maestría en Asesoría Familiar y Gestión de Programas para la Familia - Virtual</v>
      </c>
    </row>
    <row r="4692" spans="1:3">
      <c r="A4692">
        <v>95</v>
      </c>
      <c r="B4692">
        <v>2</v>
      </c>
      <c r="C4692" t="str">
        <f>VLOOKUP(A4692,'Programas y Unidades'!$A:$B,2,0)</f>
        <v>Maestría en Asesoría Familiar y Gestión de Programas para la Familia - Virtual</v>
      </c>
    </row>
    <row r="4693" spans="1:3">
      <c r="A4693">
        <v>95</v>
      </c>
      <c r="B4693">
        <v>2</v>
      </c>
      <c r="C4693" t="str">
        <f>VLOOKUP(A4693,'Programas y Unidades'!$A:$B,2,0)</f>
        <v>Maestría en Asesoría Familiar y Gestión de Programas para la Familia - Virtual</v>
      </c>
    </row>
    <row r="4694" spans="1:3">
      <c r="A4694">
        <v>95</v>
      </c>
      <c r="B4694">
        <v>2</v>
      </c>
      <c r="C4694" t="str">
        <f>VLOOKUP(A4694,'Programas y Unidades'!$A:$B,2,0)</f>
        <v>Maestría en Asesoría Familiar y Gestión de Programas para la Familia - Virtual</v>
      </c>
    </row>
    <row r="4695" spans="1:3">
      <c r="A4695">
        <v>95</v>
      </c>
      <c r="B4695">
        <v>2</v>
      </c>
      <c r="C4695" t="str">
        <f>VLOOKUP(A4695,'Programas y Unidades'!$A:$B,2,0)</f>
        <v>Maestría en Asesoría Familiar y Gestión de Programas para la Familia - Virtual</v>
      </c>
    </row>
    <row r="4696" spans="1:3">
      <c r="A4696">
        <v>95</v>
      </c>
      <c r="B4696">
        <v>2</v>
      </c>
      <c r="C4696" t="str">
        <f>VLOOKUP(A4696,'Programas y Unidades'!$A:$B,2,0)</f>
        <v>Maestría en Asesoría Familiar y Gestión de Programas para la Familia - Virtual</v>
      </c>
    </row>
    <row r="4697" spans="1:3">
      <c r="A4697">
        <v>95</v>
      </c>
      <c r="B4697">
        <v>2</v>
      </c>
      <c r="C4697" t="str">
        <f>VLOOKUP(A4697,'Programas y Unidades'!$A:$B,2,0)</f>
        <v>Maestría en Asesoría Familiar y Gestión de Programas para la Familia - Virtual</v>
      </c>
    </row>
    <row r="4698" spans="1:3">
      <c r="A4698">
        <v>95</v>
      </c>
      <c r="B4698">
        <v>2</v>
      </c>
      <c r="C4698" t="str">
        <f>VLOOKUP(A4698,'Programas y Unidades'!$A:$B,2,0)</f>
        <v>Maestría en Asesoría Familiar y Gestión de Programas para la Familia - Virtual</v>
      </c>
    </row>
    <row r="4699" spans="1:3">
      <c r="A4699">
        <v>95</v>
      </c>
      <c r="B4699">
        <v>2</v>
      </c>
      <c r="C4699" t="str">
        <f>VLOOKUP(A4699,'Programas y Unidades'!$A:$B,2,0)</f>
        <v>Maestría en Asesoría Familiar y Gestión de Programas para la Familia - Virtual</v>
      </c>
    </row>
    <row r="4700" spans="1:3">
      <c r="A4700">
        <v>69</v>
      </c>
      <c r="B4700">
        <v>3</v>
      </c>
      <c r="C4700" t="str">
        <f>VLOOKUP(A4700,'Programas y Unidades'!$A:$B,2,0)</f>
        <v>Maestría en Teología - Chía</v>
      </c>
    </row>
    <row r="4701" spans="1:3">
      <c r="A4701">
        <v>95</v>
      </c>
      <c r="B4701">
        <v>3</v>
      </c>
      <c r="C4701" t="str">
        <f>VLOOKUP(A4701,'Programas y Unidades'!$A:$B,2,0)</f>
        <v>Maestría en Asesoría Familiar y Gestión de Programas para la Familia - Virtual</v>
      </c>
    </row>
    <row r="4702" spans="1:3">
      <c r="A4702">
        <v>95</v>
      </c>
      <c r="B4702">
        <v>3</v>
      </c>
      <c r="C4702" t="str">
        <f>VLOOKUP(A4702,'Programas y Unidades'!$A:$B,2,0)</f>
        <v>Maestría en Asesoría Familiar y Gestión de Programas para la Familia - Virtual</v>
      </c>
    </row>
    <row r="4703" spans="1:3">
      <c r="A4703">
        <v>95</v>
      </c>
      <c r="B4703">
        <v>3</v>
      </c>
      <c r="C4703" t="str">
        <f>VLOOKUP(A4703,'Programas y Unidades'!$A:$B,2,0)</f>
        <v>Maestría en Asesoría Familiar y Gestión de Programas para la Familia - Virtual</v>
      </c>
    </row>
    <row r="4704" spans="1:3">
      <c r="A4704">
        <v>95</v>
      </c>
      <c r="B4704">
        <v>3</v>
      </c>
      <c r="C4704" t="str">
        <f>VLOOKUP(A4704,'Programas y Unidades'!$A:$B,2,0)</f>
        <v>Maestría en Asesoría Familiar y Gestión de Programas para la Familia - Virtual</v>
      </c>
    </row>
    <row r="4705" spans="1:3">
      <c r="A4705">
        <v>95</v>
      </c>
      <c r="B4705">
        <v>3</v>
      </c>
      <c r="C4705" t="str">
        <f>VLOOKUP(A4705,'Programas y Unidades'!$A:$B,2,0)</f>
        <v>Maestría en Asesoría Familiar y Gestión de Programas para la Familia - Virtual</v>
      </c>
    </row>
    <row r="4706" spans="1:3">
      <c r="A4706">
        <v>95</v>
      </c>
      <c r="B4706">
        <v>3</v>
      </c>
      <c r="C4706" t="str">
        <f>VLOOKUP(A4706,'Programas y Unidades'!$A:$B,2,0)</f>
        <v>Maestría en Asesoría Familiar y Gestión de Programas para la Familia - Virtual</v>
      </c>
    </row>
    <row r="4707" spans="1:3">
      <c r="A4707">
        <v>95</v>
      </c>
      <c r="B4707">
        <v>3</v>
      </c>
      <c r="C4707" t="str">
        <f>VLOOKUP(A4707,'Programas y Unidades'!$A:$B,2,0)</f>
        <v>Maestría en Asesoría Familiar y Gestión de Programas para la Familia - Virtual</v>
      </c>
    </row>
    <row r="4708" spans="1:3">
      <c r="A4708">
        <v>95</v>
      </c>
      <c r="B4708">
        <v>3</v>
      </c>
      <c r="C4708" t="str">
        <f>VLOOKUP(A4708,'Programas y Unidades'!$A:$B,2,0)</f>
        <v>Maestría en Asesoría Familiar y Gestión de Programas para la Familia - Virtual</v>
      </c>
    </row>
    <row r="4709" spans="1:3">
      <c r="A4709">
        <v>95</v>
      </c>
      <c r="B4709">
        <v>3</v>
      </c>
      <c r="C4709" t="str">
        <f>VLOOKUP(A4709,'Programas y Unidades'!$A:$B,2,0)</f>
        <v>Maestría en Asesoría Familiar y Gestión de Programas para la Familia - Virtual</v>
      </c>
    </row>
    <row r="4710" spans="1:3">
      <c r="A4710">
        <v>95</v>
      </c>
      <c r="B4710">
        <v>3</v>
      </c>
      <c r="C4710" t="str">
        <f>VLOOKUP(A4710,'Programas y Unidades'!$A:$B,2,0)</f>
        <v>Maestría en Asesoría Familiar y Gestión de Programas para la Familia - Virtual</v>
      </c>
    </row>
    <row r="4711" spans="1:3">
      <c r="A4711">
        <v>95</v>
      </c>
      <c r="B4711">
        <v>3</v>
      </c>
      <c r="C4711" t="str">
        <f>VLOOKUP(A4711,'Programas y Unidades'!$A:$B,2,0)</f>
        <v>Maestría en Asesoría Familiar y Gestión de Programas para la Familia - Virtual</v>
      </c>
    </row>
    <row r="4712" spans="1:3">
      <c r="A4712">
        <v>95</v>
      </c>
      <c r="B4712">
        <v>3</v>
      </c>
      <c r="C4712" t="str">
        <f>VLOOKUP(A4712,'Programas y Unidades'!$A:$B,2,0)</f>
        <v>Maestría en Asesoría Familiar y Gestión de Programas para la Familia - Virtual</v>
      </c>
    </row>
    <row r="4713" spans="1:3">
      <c r="A4713">
        <v>95</v>
      </c>
      <c r="B4713">
        <v>4</v>
      </c>
      <c r="C4713" t="str">
        <f>VLOOKUP(A4713,'Programas y Unidades'!$A:$B,2,0)</f>
        <v>Maestría en Asesoría Familiar y Gestión de Programas para la Familia - Virtual</v>
      </c>
    </row>
    <row r="4714" spans="1:3">
      <c r="A4714">
        <v>95</v>
      </c>
      <c r="B4714">
        <v>4</v>
      </c>
      <c r="C4714" t="str">
        <f>VLOOKUP(A4714,'Programas y Unidades'!$A:$B,2,0)</f>
        <v>Maestría en Asesoría Familiar y Gestión de Programas para la Familia - Virtual</v>
      </c>
    </row>
    <row r="4715" spans="1:3">
      <c r="A4715">
        <v>95</v>
      </c>
      <c r="B4715">
        <v>1</v>
      </c>
      <c r="C4715" t="str">
        <f>VLOOKUP(A4715,'Programas y Unidades'!$A:$B,2,0)</f>
        <v>Maestría en Asesoría Familiar y Gestión de Programas para la Familia - Virtual</v>
      </c>
    </row>
    <row r="4716" spans="1:3">
      <c r="A4716">
        <v>95</v>
      </c>
      <c r="B4716">
        <v>4</v>
      </c>
      <c r="C4716" t="str">
        <f>VLOOKUP(A4716,'Programas y Unidades'!$A:$B,2,0)</f>
        <v>Maestría en Asesoría Familiar y Gestión de Programas para la Familia - Virtual</v>
      </c>
    </row>
    <row r="4717" spans="1:3">
      <c r="A4717">
        <v>95</v>
      </c>
      <c r="B4717">
        <v>4</v>
      </c>
      <c r="C4717" t="str">
        <f>VLOOKUP(A4717,'Programas y Unidades'!$A:$B,2,0)</f>
        <v>Maestría en Asesoría Familiar y Gestión de Programas para la Familia - Virtual</v>
      </c>
    </row>
    <row r="4718" spans="1:3">
      <c r="A4718">
        <v>95</v>
      </c>
      <c r="B4718">
        <v>4</v>
      </c>
      <c r="C4718" t="str">
        <f>VLOOKUP(A4718,'Programas y Unidades'!$A:$B,2,0)</f>
        <v>Maestría en Asesoría Familiar y Gestión de Programas para la Familia - Virtual</v>
      </c>
    </row>
    <row r="4719" spans="1:3">
      <c r="A4719">
        <v>95</v>
      </c>
      <c r="B4719">
        <v>4</v>
      </c>
      <c r="C4719" t="str">
        <f>VLOOKUP(A4719,'Programas y Unidades'!$A:$B,2,0)</f>
        <v>Maestría en Asesoría Familiar y Gestión de Programas para la Familia - Virtual</v>
      </c>
    </row>
    <row r="4720" spans="1:3">
      <c r="A4720">
        <v>95</v>
      </c>
      <c r="B4720">
        <v>4</v>
      </c>
      <c r="C4720" t="str">
        <f>VLOOKUP(A4720,'Programas y Unidades'!$A:$B,2,0)</f>
        <v>Maestría en Asesoría Familiar y Gestión de Programas para la Familia - Virtual</v>
      </c>
    </row>
    <row r="4721" spans="1:3">
      <c r="A4721">
        <v>95</v>
      </c>
      <c r="B4721">
        <v>4</v>
      </c>
      <c r="C4721" t="str">
        <f>VLOOKUP(A4721,'Programas y Unidades'!$A:$B,2,0)</f>
        <v>Maestría en Asesoría Familiar y Gestión de Programas para la Familia - Virtual</v>
      </c>
    </row>
    <row r="4722" spans="1:3">
      <c r="A4722">
        <v>95</v>
      </c>
      <c r="B4722">
        <v>4</v>
      </c>
      <c r="C4722" t="str">
        <f>VLOOKUP(A4722,'Programas y Unidades'!$A:$B,2,0)</f>
        <v>Maestría en Asesoría Familiar y Gestión de Programas para la Familia - Virtual</v>
      </c>
    </row>
    <row r="4723" spans="1:3">
      <c r="A4723">
        <v>95</v>
      </c>
      <c r="B4723">
        <v>4</v>
      </c>
      <c r="C4723" t="str">
        <f>VLOOKUP(A4723,'Programas y Unidades'!$A:$B,2,0)</f>
        <v>Maestría en Asesoría Familiar y Gestión de Programas para la Familia - Virtual</v>
      </c>
    </row>
    <row r="4724" spans="1:3">
      <c r="A4724">
        <v>95</v>
      </c>
      <c r="B4724">
        <v>4</v>
      </c>
      <c r="C4724" t="str">
        <f>VLOOKUP(A4724,'Programas y Unidades'!$A:$B,2,0)</f>
        <v>Maestría en Asesoría Familiar y Gestión de Programas para la Familia - Virtual</v>
      </c>
    </row>
    <row r="4725" spans="1:3">
      <c r="A4725">
        <v>95</v>
      </c>
      <c r="B4725">
        <v>4</v>
      </c>
      <c r="C4725" t="str">
        <f>VLOOKUP(A4725,'Programas y Unidades'!$A:$B,2,0)</f>
        <v>Maestría en Asesoría Familiar y Gestión de Programas para la Familia - Virtual</v>
      </c>
    </row>
    <row r="4726" spans="1:3">
      <c r="A4726">
        <v>95</v>
      </c>
      <c r="B4726">
        <v>4</v>
      </c>
      <c r="C4726" t="str">
        <f>VLOOKUP(A4726,'Programas y Unidades'!$A:$B,2,0)</f>
        <v>Maestría en Asesoría Familiar y Gestión de Programas para la Familia - Virtual</v>
      </c>
    </row>
    <row r="4727" spans="1:3">
      <c r="A4727">
        <v>95</v>
      </c>
      <c r="B4727">
        <v>4</v>
      </c>
      <c r="C4727" t="str">
        <f>VLOOKUP(A4727,'Programas y Unidades'!$A:$B,2,0)</f>
        <v>Maestría en Asesoría Familiar y Gestión de Programas para la Familia - Virtual</v>
      </c>
    </row>
    <row r="4728" spans="1:3">
      <c r="A4728">
        <v>17</v>
      </c>
      <c r="B4728">
        <v>3</v>
      </c>
      <c r="C4728" t="str">
        <f>VLOOKUP(A4728,'Programas y Unidades'!$A:$B,2,0)</f>
        <v>Especialización en Gastroenterología</v>
      </c>
    </row>
    <row r="4729" spans="1:3">
      <c r="A4729">
        <v>66</v>
      </c>
      <c r="B4729">
        <v>2</v>
      </c>
      <c r="C4729" t="str">
        <f>VLOOKUP(A4729,'Programas y Unidades'!$A:$B,2,0)</f>
        <v>Doctorado en Enfermería - Chía</v>
      </c>
    </row>
    <row r="4730" spans="1:3">
      <c r="A4730">
        <v>66</v>
      </c>
      <c r="B4730">
        <v>2</v>
      </c>
      <c r="C4730" t="str">
        <f>VLOOKUP(A4730,'Programas y Unidades'!$A:$B,2,0)</f>
        <v>Doctorado en Enfermería - Chía</v>
      </c>
    </row>
    <row r="4731" spans="1:3">
      <c r="A4731">
        <v>66</v>
      </c>
      <c r="B4731">
        <v>4</v>
      </c>
      <c r="C4731" t="str">
        <f>VLOOKUP(A4731,'Programas y Unidades'!$A:$B,2,0)</f>
        <v>Doctorado en Enfermería - Chía</v>
      </c>
    </row>
    <row r="4732" spans="1:3">
      <c r="A4732">
        <v>66</v>
      </c>
      <c r="B4732">
        <v>4</v>
      </c>
      <c r="C4732" t="str">
        <f>VLOOKUP(A4732,'Programas y Unidades'!$A:$B,2,0)</f>
        <v>Doctorado en Enfermería - Chía</v>
      </c>
    </row>
    <row r="4733" spans="1:3">
      <c r="A4733">
        <v>66</v>
      </c>
      <c r="B4733">
        <v>4</v>
      </c>
      <c r="C4733" t="str">
        <f>VLOOKUP(A4733,'Programas y Unidades'!$A:$B,2,0)</f>
        <v>Doctorado en Enfermería - Chía</v>
      </c>
    </row>
    <row r="4734" spans="1:3">
      <c r="A4734">
        <v>66</v>
      </c>
      <c r="B4734">
        <v>6</v>
      </c>
      <c r="C4734" t="str">
        <f>VLOOKUP(A4734,'Programas y Unidades'!$A:$B,2,0)</f>
        <v>Doctorado en Enfermería - Chía</v>
      </c>
    </row>
    <row r="4735" spans="1:3">
      <c r="A4735">
        <v>66</v>
      </c>
      <c r="B4735">
        <v>8</v>
      </c>
      <c r="C4735" t="str">
        <f>VLOOKUP(A4735,'Programas y Unidades'!$A:$B,2,0)</f>
        <v>Doctorado en Enfermería - Chía</v>
      </c>
    </row>
    <row r="4736" spans="1:3">
      <c r="A4736">
        <v>66</v>
      </c>
      <c r="B4736">
        <v>8</v>
      </c>
      <c r="C4736" t="str">
        <f>VLOOKUP(A4736,'Programas y Unidades'!$A:$B,2,0)</f>
        <v>Doctorado en Enfermería - Chía</v>
      </c>
    </row>
    <row r="4737" spans="1:3">
      <c r="A4737">
        <v>120</v>
      </c>
      <c r="B4737">
        <v>1</v>
      </c>
      <c r="C4737" t="str">
        <f>VLOOKUP(A4737,'Programas y Unidades'!$A:$B,2,0)</f>
        <v>Especialización en Gerencia de Riesgos - Chía</v>
      </c>
    </row>
    <row r="4738" spans="1:3">
      <c r="A4738">
        <v>120</v>
      </c>
      <c r="B4738">
        <v>1</v>
      </c>
      <c r="C4738" t="str">
        <f>VLOOKUP(A4738,'Programas y Unidades'!$A:$B,2,0)</f>
        <v>Especialización en Gerencia de Riesgos - Chía</v>
      </c>
    </row>
    <row r="4739" spans="1:3">
      <c r="A4739">
        <v>120</v>
      </c>
      <c r="B4739">
        <v>1</v>
      </c>
      <c r="C4739" t="str">
        <f>VLOOKUP(A4739,'Programas y Unidades'!$A:$B,2,0)</f>
        <v>Especialización en Gerencia de Riesgos - Chía</v>
      </c>
    </row>
    <row r="4740" spans="1:3">
      <c r="A4740">
        <v>120</v>
      </c>
      <c r="B4740">
        <v>2</v>
      </c>
      <c r="C4740" t="str">
        <f>VLOOKUP(A4740,'Programas y Unidades'!$A:$B,2,0)</f>
        <v>Especialización en Gerencia de Riesgos - Chía</v>
      </c>
    </row>
    <row r="4741" spans="1:3">
      <c r="A4741">
        <v>120</v>
      </c>
      <c r="B4741">
        <v>1</v>
      </c>
      <c r="C4741" t="str">
        <f>VLOOKUP(A4741,'Programas y Unidades'!$A:$B,2,0)</f>
        <v>Especialización en Gerencia de Riesgos - Chía</v>
      </c>
    </row>
    <row r="4742" spans="1:3">
      <c r="A4742">
        <v>120</v>
      </c>
      <c r="B4742">
        <v>2</v>
      </c>
      <c r="C4742" t="str">
        <f>VLOOKUP(A4742,'Programas y Unidades'!$A:$B,2,0)</f>
        <v>Especialización en Gerencia de Riesgos - Chía</v>
      </c>
    </row>
    <row r="4743" spans="1:3">
      <c r="A4743">
        <v>120</v>
      </c>
      <c r="B4743">
        <v>2</v>
      </c>
      <c r="C4743" t="str">
        <f>VLOOKUP(A4743,'Programas y Unidades'!$A:$B,2,0)</f>
        <v>Especialización en Gerencia de Riesgos - Chía</v>
      </c>
    </row>
    <row r="4744" spans="1:3">
      <c r="A4744">
        <v>120</v>
      </c>
      <c r="B4744">
        <v>2</v>
      </c>
      <c r="C4744" t="str">
        <f>VLOOKUP(A4744,'Programas y Unidades'!$A:$B,2,0)</f>
        <v>Especialización en Gerencia de Riesgos - Chía</v>
      </c>
    </row>
    <row r="4745" spans="1:3">
      <c r="A4745">
        <v>120</v>
      </c>
      <c r="B4745">
        <v>2</v>
      </c>
      <c r="C4745" t="str">
        <f>VLOOKUP(A4745,'Programas y Unidades'!$A:$B,2,0)</f>
        <v>Especialización en Gerencia de Riesgos - Chía</v>
      </c>
    </row>
    <row r="4746" spans="1:3">
      <c r="A4746">
        <v>74</v>
      </c>
      <c r="B4746">
        <v>2</v>
      </c>
      <c r="C4746" t="str">
        <f>VLOOKUP(A4746,'Programas y Unidades'!$A:$B,2,0)</f>
        <v>Maestría en Gerencia de Ingeniería - Chía</v>
      </c>
    </row>
    <row r="4747" spans="1:3">
      <c r="A4747">
        <v>104</v>
      </c>
      <c r="B4747">
        <v>2</v>
      </c>
      <c r="C4747" t="str">
        <f>VLOOKUP(A4747,'Programas y Unidades'!$A:$B,2,0)</f>
        <v>Especialización en Enfermería en Cuidado Crítico - Chía</v>
      </c>
    </row>
    <row r="4748" spans="1:3">
      <c r="A4748">
        <v>104</v>
      </c>
      <c r="B4748">
        <v>2</v>
      </c>
      <c r="C4748" t="str">
        <f>VLOOKUP(A4748,'Programas y Unidades'!$A:$B,2,0)</f>
        <v>Especialización en Enfermería en Cuidado Crítico - Chía</v>
      </c>
    </row>
    <row r="4749" spans="1:3">
      <c r="A4749">
        <v>104</v>
      </c>
      <c r="B4749">
        <v>2</v>
      </c>
      <c r="C4749" t="str">
        <f>VLOOKUP(A4749,'Programas y Unidades'!$A:$B,2,0)</f>
        <v>Especialización en Enfermería en Cuidado Crítico - Chía</v>
      </c>
    </row>
    <row r="4750" spans="1:3">
      <c r="A4750">
        <v>104</v>
      </c>
      <c r="B4750">
        <v>2</v>
      </c>
      <c r="C4750" t="str">
        <f>VLOOKUP(A4750,'Programas y Unidades'!$A:$B,2,0)</f>
        <v>Especialización en Enfermería en Cuidado Crítico - Chía</v>
      </c>
    </row>
    <row r="4751" spans="1:3">
      <c r="A4751">
        <v>104</v>
      </c>
      <c r="B4751">
        <v>3</v>
      </c>
      <c r="C4751" t="str">
        <f>VLOOKUP(A4751,'Programas y Unidades'!$A:$B,2,0)</f>
        <v>Especialización en Enfermería en Cuidado Crítico - Chía</v>
      </c>
    </row>
    <row r="4752" spans="1:3">
      <c r="A4752">
        <v>104</v>
      </c>
      <c r="B4752">
        <v>2</v>
      </c>
      <c r="C4752" t="str">
        <f>VLOOKUP(A4752,'Programas y Unidades'!$A:$B,2,0)</f>
        <v>Especialización en Enfermería en Cuidado Crítico - Chía</v>
      </c>
    </row>
    <row r="4753" spans="1:3">
      <c r="A4753">
        <v>104</v>
      </c>
      <c r="B4753">
        <v>2</v>
      </c>
      <c r="C4753" t="str">
        <f>VLOOKUP(A4753,'Programas y Unidades'!$A:$B,2,0)</f>
        <v>Especialización en Enfermería en Cuidado Crítico - Chía</v>
      </c>
    </row>
    <row r="4754" spans="1:3">
      <c r="A4754">
        <v>104</v>
      </c>
      <c r="B4754">
        <v>2</v>
      </c>
      <c r="C4754" t="str">
        <f>VLOOKUP(A4754,'Programas y Unidades'!$A:$B,2,0)</f>
        <v>Especialización en Enfermería en Cuidado Crítico - Chía</v>
      </c>
    </row>
    <row r="4755" spans="1:3">
      <c r="A4755">
        <v>67</v>
      </c>
      <c r="B4755">
        <v>4</v>
      </c>
      <c r="C4755" t="str">
        <f>VLOOKUP(A4755,'Programas y Unidades'!$A:$B,2,0)</f>
        <v>Maestría en Enfermería - Chía</v>
      </c>
    </row>
    <row r="4756" spans="1:3">
      <c r="A4756">
        <v>67</v>
      </c>
      <c r="B4756">
        <v>4</v>
      </c>
      <c r="C4756" t="str">
        <f>VLOOKUP(A4756,'Programas y Unidades'!$A:$B,2,0)</f>
        <v>Maestría en Enfermería - Chía</v>
      </c>
    </row>
    <row r="4757" spans="1:3">
      <c r="A4757">
        <v>67</v>
      </c>
      <c r="B4757">
        <v>2</v>
      </c>
      <c r="C4757" t="str">
        <f>VLOOKUP(A4757,'Programas y Unidades'!$A:$B,2,0)</f>
        <v>Maestría en Enfermería - Chía</v>
      </c>
    </row>
    <row r="4758" spans="1:3">
      <c r="A4758">
        <v>67</v>
      </c>
      <c r="B4758">
        <v>2</v>
      </c>
      <c r="C4758" t="str">
        <f>VLOOKUP(A4758,'Programas y Unidades'!$A:$B,2,0)</f>
        <v>Maestría en Enfermería - Chía</v>
      </c>
    </row>
    <row r="4759" spans="1:3">
      <c r="A4759">
        <v>67</v>
      </c>
      <c r="B4759">
        <v>2</v>
      </c>
      <c r="C4759" t="str">
        <f>VLOOKUP(A4759,'Programas y Unidades'!$A:$B,2,0)</f>
        <v>Maestría en Enfermería - Chía</v>
      </c>
    </row>
    <row r="4760" spans="1:3">
      <c r="A4760">
        <v>67</v>
      </c>
      <c r="B4760">
        <v>2</v>
      </c>
      <c r="C4760" t="str">
        <f>VLOOKUP(A4760,'Programas y Unidades'!$A:$B,2,0)</f>
        <v>Maestría en Enfermería - Chía</v>
      </c>
    </row>
    <row r="4761" spans="1:3">
      <c r="A4761">
        <v>94</v>
      </c>
      <c r="B4761">
        <v>5</v>
      </c>
      <c r="C4761" t="str">
        <f>VLOOKUP(A4761,'Programas y Unidades'!$A:$B,2,0)</f>
        <v>Maestría en Enfermería - Virtual</v>
      </c>
    </row>
    <row r="4762" spans="1:3">
      <c r="A4762">
        <v>94</v>
      </c>
      <c r="B4762">
        <v>5</v>
      </c>
      <c r="C4762" t="str">
        <f>VLOOKUP(A4762,'Programas y Unidades'!$A:$B,2,0)</f>
        <v>Maestría en Enfermería - Virtual</v>
      </c>
    </row>
    <row r="4763" spans="1:3">
      <c r="A4763">
        <v>94</v>
      </c>
      <c r="B4763">
        <v>5</v>
      </c>
      <c r="C4763" t="str">
        <f>VLOOKUP(A4763,'Programas y Unidades'!$A:$B,2,0)</f>
        <v>Maestría en Enfermería - Virtual</v>
      </c>
    </row>
    <row r="4764" spans="1:3">
      <c r="A4764">
        <v>94</v>
      </c>
      <c r="B4764">
        <v>5</v>
      </c>
      <c r="C4764" t="str">
        <f>VLOOKUP(A4764,'Programas y Unidades'!$A:$B,2,0)</f>
        <v>Maestría en Enfermería - Virtual</v>
      </c>
    </row>
    <row r="4765" spans="1:3">
      <c r="A4765">
        <v>56</v>
      </c>
      <c r="B4765">
        <v>2</v>
      </c>
      <c r="C4765" t="str">
        <f>VLOOKUP(A4765,'Programas y Unidades'!$A:$B,2,0)</f>
        <v>Maestría en Derecho Internacional - Chía</v>
      </c>
    </row>
    <row r="4766" spans="1:3">
      <c r="A4766">
        <v>56</v>
      </c>
      <c r="B4766">
        <v>2</v>
      </c>
      <c r="C4766" t="str">
        <f>VLOOKUP(A4766,'Programas y Unidades'!$A:$B,2,0)</f>
        <v>Maestría en Derecho Internacional - Chía</v>
      </c>
    </row>
    <row r="4767" spans="1:3">
      <c r="A4767">
        <v>12</v>
      </c>
      <c r="B4767">
        <v>2</v>
      </c>
      <c r="C4767" t="str">
        <f>VLOOKUP(A4767,'Programas y Unidades'!$A:$B,2,0)</f>
        <v>Especialización en Neurología</v>
      </c>
    </row>
    <row r="4768" spans="1:3">
      <c r="A4768">
        <v>12</v>
      </c>
      <c r="B4768">
        <v>4</v>
      </c>
      <c r="C4768" t="str">
        <f>VLOOKUP(A4768,'Programas y Unidades'!$A:$B,2,0)</f>
        <v>Especialización en Neurología</v>
      </c>
    </row>
    <row r="4769" spans="1:3">
      <c r="A4769">
        <v>12</v>
      </c>
      <c r="B4769">
        <v>3</v>
      </c>
      <c r="C4769" t="str">
        <f>VLOOKUP(A4769,'Programas y Unidades'!$A:$B,2,0)</f>
        <v>Especialización en Neurología</v>
      </c>
    </row>
    <row r="4770" spans="1:3">
      <c r="A4770">
        <v>8</v>
      </c>
      <c r="B4770">
        <v>5</v>
      </c>
      <c r="C4770" t="str">
        <f>VLOOKUP(A4770,'Programas y Unidades'!$A:$B,2,0)</f>
        <v>Especialización en Medicina Familiar y Comunitaria</v>
      </c>
    </row>
    <row r="4771" spans="1:3">
      <c r="A4771">
        <v>12</v>
      </c>
      <c r="B4771">
        <v>6</v>
      </c>
      <c r="C4771" t="str">
        <f>VLOOKUP(A4771,'Programas y Unidades'!$A:$B,2,0)</f>
        <v>Especialización en Neurología</v>
      </c>
    </row>
    <row r="4772" spans="1:3">
      <c r="A4772">
        <v>8</v>
      </c>
      <c r="B4772">
        <v>5</v>
      </c>
      <c r="C4772" t="str">
        <f>VLOOKUP(A4772,'Programas y Unidades'!$A:$B,2,0)</f>
        <v>Especialización en Medicina Familiar y Comunitaria</v>
      </c>
    </row>
    <row r="4773" spans="1:3">
      <c r="A4773">
        <v>120</v>
      </c>
      <c r="B4773">
        <v>2</v>
      </c>
      <c r="C4773" t="str">
        <f>VLOOKUP(A4773,'Programas y Unidades'!$A:$B,2,0)</f>
        <v>Especialización en Gerencia de Riesgos - Chía</v>
      </c>
    </row>
    <row r="4774" spans="1:3">
      <c r="A4774">
        <v>120</v>
      </c>
      <c r="B4774">
        <v>2</v>
      </c>
      <c r="C4774" t="str">
        <f>VLOOKUP(A4774,'Programas y Unidades'!$A:$B,2,0)</f>
        <v>Especialización en Gerencia de Riesgos - Chía</v>
      </c>
    </row>
    <row r="4775" spans="1:3">
      <c r="A4775">
        <v>120</v>
      </c>
      <c r="B4775">
        <v>2</v>
      </c>
      <c r="C4775" t="str">
        <f>VLOOKUP(A4775,'Programas y Unidades'!$A:$B,2,0)</f>
        <v>Especialización en Gerencia de Riesgos - Chía</v>
      </c>
    </row>
    <row r="4776" spans="1:3">
      <c r="A4776">
        <v>120</v>
      </c>
      <c r="B4776">
        <v>2</v>
      </c>
      <c r="C4776" t="str">
        <f>VLOOKUP(A4776,'Programas y Unidades'!$A:$B,2,0)</f>
        <v>Especialización en Gerencia de Riesgos - Chía</v>
      </c>
    </row>
    <row r="4777" spans="1:3">
      <c r="A4777">
        <v>50</v>
      </c>
      <c r="B4777">
        <v>8</v>
      </c>
      <c r="C4777" t="str">
        <f>VLOOKUP(A4777,'Programas y Unidades'!$A:$B,2,0)</f>
        <v>Doctorado en Comunicación - Chía</v>
      </c>
    </row>
    <row r="4778" spans="1:3">
      <c r="A4778">
        <v>52</v>
      </c>
      <c r="B4778">
        <v>3</v>
      </c>
      <c r="C4778" t="str">
        <f>VLOOKUP(A4778,'Programas y Unidades'!$A:$B,2,0)</f>
        <v>Maestría en Periodismo y Comunicación Digital - Chía</v>
      </c>
    </row>
    <row r="4779" spans="1:3">
      <c r="A4779">
        <v>52</v>
      </c>
      <c r="B4779">
        <v>3</v>
      </c>
      <c r="C4779" t="str">
        <f>VLOOKUP(A4779,'Programas y Unidades'!$A:$B,2,0)</f>
        <v>Maestría en Periodismo y Comunicación Digital - Chía</v>
      </c>
    </row>
    <row r="4780" spans="1:3">
      <c r="A4780">
        <v>47</v>
      </c>
      <c r="B4780">
        <v>2</v>
      </c>
      <c r="C4780" t="str">
        <f>VLOOKUP(A4780,'Programas y Unidades'!$A:$B,2,0)</f>
        <v>Maestría en Gerencia Estratégica - Chía</v>
      </c>
    </row>
    <row r="4781" spans="1:3">
      <c r="A4781">
        <v>47</v>
      </c>
      <c r="B4781">
        <v>2</v>
      </c>
      <c r="C4781" t="str">
        <f>VLOOKUP(A4781,'Programas y Unidades'!$A:$B,2,0)</f>
        <v>Maestría en Gerencia Estratégica - Chía</v>
      </c>
    </row>
    <row r="4782" spans="1:3">
      <c r="A4782">
        <v>47</v>
      </c>
      <c r="B4782">
        <v>2</v>
      </c>
      <c r="C4782" t="str">
        <f>VLOOKUP(A4782,'Programas y Unidades'!$A:$B,2,0)</f>
        <v>Maestría en Gerencia Estratégica - Chía</v>
      </c>
    </row>
    <row r="4783" spans="1:3">
      <c r="A4783">
        <v>47</v>
      </c>
      <c r="B4783">
        <v>2</v>
      </c>
      <c r="C4783" t="str">
        <f>VLOOKUP(A4783,'Programas y Unidades'!$A:$B,2,0)</f>
        <v>Maestría en Gerencia Estratégica - Chía</v>
      </c>
    </row>
    <row r="4784" spans="1:3">
      <c r="A4784">
        <v>47</v>
      </c>
      <c r="B4784">
        <v>2</v>
      </c>
      <c r="C4784" t="str">
        <f>VLOOKUP(A4784,'Programas y Unidades'!$A:$B,2,0)</f>
        <v>Maestría en Gerencia Estratégica - Chía</v>
      </c>
    </row>
    <row r="4785" spans="1:3">
      <c r="A4785">
        <v>47</v>
      </c>
      <c r="B4785">
        <v>2</v>
      </c>
      <c r="C4785" t="str">
        <f>VLOOKUP(A4785,'Programas y Unidades'!$A:$B,2,0)</f>
        <v>Maestría en Gerencia Estratégica - Chía</v>
      </c>
    </row>
    <row r="4786" spans="1:3">
      <c r="A4786">
        <v>47</v>
      </c>
      <c r="B4786">
        <v>2</v>
      </c>
      <c r="C4786" t="str">
        <f>VLOOKUP(A4786,'Programas y Unidades'!$A:$B,2,0)</f>
        <v>Maestría en Gerencia Estratégica - Chía</v>
      </c>
    </row>
    <row r="4787" spans="1:3">
      <c r="A4787">
        <v>47</v>
      </c>
      <c r="B4787">
        <v>2</v>
      </c>
      <c r="C4787" t="str">
        <f>VLOOKUP(A4787,'Programas y Unidades'!$A:$B,2,0)</f>
        <v>Maestría en Gerencia Estratégica - Chía</v>
      </c>
    </row>
    <row r="4788" spans="1:3">
      <c r="A4788">
        <v>47</v>
      </c>
      <c r="B4788">
        <v>2</v>
      </c>
      <c r="C4788" t="str">
        <f>VLOOKUP(A4788,'Programas y Unidades'!$A:$B,2,0)</f>
        <v>Maestría en Gerencia Estratégica - Chía</v>
      </c>
    </row>
    <row r="4789" spans="1:3">
      <c r="A4789">
        <v>47</v>
      </c>
      <c r="B4789">
        <v>2</v>
      </c>
      <c r="C4789" t="str">
        <f>VLOOKUP(A4789,'Programas y Unidades'!$A:$B,2,0)</f>
        <v>Maestría en Gerencia Estratégica - Chía</v>
      </c>
    </row>
    <row r="4790" spans="1:3">
      <c r="A4790">
        <v>47</v>
      </c>
      <c r="B4790">
        <v>2</v>
      </c>
      <c r="C4790" t="str">
        <f>VLOOKUP(A4790,'Programas y Unidades'!$A:$B,2,0)</f>
        <v>Maestría en Gerencia Estratégica - Chía</v>
      </c>
    </row>
    <row r="4791" spans="1:3">
      <c r="A4791">
        <v>47</v>
      </c>
      <c r="B4791">
        <v>2</v>
      </c>
      <c r="C4791" t="str">
        <f>VLOOKUP(A4791,'Programas y Unidades'!$A:$B,2,0)</f>
        <v>Maestría en Gerencia Estratégica - Chía</v>
      </c>
    </row>
    <row r="4792" spans="1:3">
      <c r="A4792">
        <v>47</v>
      </c>
      <c r="B4792">
        <v>2</v>
      </c>
      <c r="C4792" t="str">
        <f>VLOOKUP(A4792,'Programas y Unidades'!$A:$B,2,0)</f>
        <v>Maestría en Gerencia Estratégica - Chía</v>
      </c>
    </row>
    <row r="4793" spans="1:3">
      <c r="A4793">
        <v>47</v>
      </c>
      <c r="B4793">
        <v>2</v>
      </c>
      <c r="C4793" t="str">
        <f>VLOOKUP(A4793,'Programas y Unidades'!$A:$B,2,0)</f>
        <v>Maestría en Gerencia Estratégica - Chía</v>
      </c>
    </row>
    <row r="4794" spans="1:3">
      <c r="A4794">
        <v>47</v>
      </c>
      <c r="B4794">
        <v>2</v>
      </c>
      <c r="C4794" t="str">
        <f>VLOOKUP(A4794,'Programas y Unidades'!$A:$B,2,0)</f>
        <v>Maestría en Gerencia Estratégica - Chía</v>
      </c>
    </row>
    <row r="4795" spans="1:3">
      <c r="A4795">
        <v>47</v>
      </c>
      <c r="B4795">
        <v>2</v>
      </c>
      <c r="C4795" t="str">
        <f>VLOOKUP(A4795,'Programas y Unidades'!$A:$B,2,0)</f>
        <v>Maestría en Gerencia Estratégica - Chía</v>
      </c>
    </row>
    <row r="4796" spans="1:3">
      <c r="A4796">
        <v>47</v>
      </c>
      <c r="B4796">
        <v>2</v>
      </c>
      <c r="C4796" t="str">
        <f>VLOOKUP(A4796,'Programas y Unidades'!$A:$B,2,0)</f>
        <v>Maestría en Gerencia Estratégica - Chía</v>
      </c>
    </row>
    <row r="4797" spans="1:3">
      <c r="A4797">
        <v>47</v>
      </c>
      <c r="B4797">
        <v>2</v>
      </c>
      <c r="C4797" t="str">
        <f>VLOOKUP(A4797,'Programas y Unidades'!$A:$B,2,0)</f>
        <v>Maestría en Gerencia Estratégica - Chía</v>
      </c>
    </row>
    <row r="4798" spans="1:3">
      <c r="A4798">
        <v>47</v>
      </c>
      <c r="B4798">
        <v>2</v>
      </c>
      <c r="C4798" t="str">
        <f>VLOOKUP(A4798,'Programas y Unidades'!$A:$B,2,0)</f>
        <v>Maestría en Gerencia Estratégica - Chía</v>
      </c>
    </row>
    <row r="4799" spans="1:3">
      <c r="A4799">
        <v>47</v>
      </c>
      <c r="B4799">
        <v>2</v>
      </c>
      <c r="C4799" t="str">
        <f>VLOOKUP(A4799,'Programas y Unidades'!$A:$B,2,0)</f>
        <v>Maestría en Gerencia Estratégica - Chía</v>
      </c>
    </row>
    <row r="4800" spans="1:3">
      <c r="A4800">
        <v>47</v>
      </c>
      <c r="B4800">
        <v>3</v>
      </c>
      <c r="C4800" t="str">
        <f>VLOOKUP(A4800,'Programas y Unidades'!$A:$B,2,0)</f>
        <v>Maestría en Gerencia Estratégica - Chía</v>
      </c>
    </row>
    <row r="4801" spans="1:3">
      <c r="A4801">
        <v>47</v>
      </c>
      <c r="B4801">
        <v>3</v>
      </c>
      <c r="C4801" t="str">
        <f>VLOOKUP(A4801,'Programas y Unidades'!$A:$B,2,0)</f>
        <v>Maestría en Gerencia Estratégica - Chía</v>
      </c>
    </row>
    <row r="4802" spans="1:3">
      <c r="A4802">
        <v>47</v>
      </c>
      <c r="B4802">
        <v>3</v>
      </c>
      <c r="C4802" t="str">
        <f>VLOOKUP(A4802,'Programas y Unidades'!$A:$B,2,0)</f>
        <v>Maestría en Gerencia Estratégica - Chía</v>
      </c>
    </row>
    <row r="4803" spans="1:3">
      <c r="A4803">
        <v>47</v>
      </c>
      <c r="B4803">
        <v>3</v>
      </c>
      <c r="C4803" t="str">
        <f>VLOOKUP(A4803,'Programas y Unidades'!$A:$B,2,0)</f>
        <v>Maestría en Gerencia Estratégica - Chía</v>
      </c>
    </row>
    <row r="4804" spans="1:3">
      <c r="A4804">
        <v>47</v>
      </c>
      <c r="B4804">
        <v>3</v>
      </c>
      <c r="C4804" t="str">
        <f>VLOOKUP(A4804,'Programas y Unidades'!$A:$B,2,0)</f>
        <v>Maestría en Gerencia Estratégica - Chía</v>
      </c>
    </row>
    <row r="4805" spans="1:3">
      <c r="A4805">
        <v>47</v>
      </c>
      <c r="B4805">
        <v>3</v>
      </c>
      <c r="C4805" t="str">
        <f>VLOOKUP(A4805,'Programas y Unidades'!$A:$B,2,0)</f>
        <v>Maestría en Gerencia Estratégica - Chía</v>
      </c>
    </row>
    <row r="4806" spans="1:3">
      <c r="A4806">
        <v>47</v>
      </c>
      <c r="B4806">
        <v>3</v>
      </c>
      <c r="C4806" t="str">
        <f>VLOOKUP(A4806,'Programas y Unidades'!$A:$B,2,0)</f>
        <v>Maestría en Gerencia Estratégica - Chía</v>
      </c>
    </row>
    <row r="4807" spans="1:3">
      <c r="A4807">
        <v>47</v>
      </c>
      <c r="B4807">
        <v>3</v>
      </c>
      <c r="C4807" t="str">
        <f>VLOOKUP(A4807,'Programas y Unidades'!$A:$B,2,0)</f>
        <v>Maestría en Gerencia Estratégica - Chía</v>
      </c>
    </row>
    <row r="4808" spans="1:3">
      <c r="A4808">
        <v>47</v>
      </c>
      <c r="B4808">
        <v>3</v>
      </c>
      <c r="C4808" t="str">
        <f>VLOOKUP(A4808,'Programas y Unidades'!$A:$B,2,0)</f>
        <v>Maestría en Gerencia Estratégica - Chía</v>
      </c>
    </row>
    <row r="4809" spans="1:3">
      <c r="A4809">
        <v>47</v>
      </c>
      <c r="B4809">
        <v>3</v>
      </c>
      <c r="C4809" t="str">
        <f>VLOOKUP(A4809,'Programas y Unidades'!$A:$B,2,0)</f>
        <v>Maestría en Gerencia Estratégica - Chía</v>
      </c>
    </row>
    <row r="4810" spans="1:3">
      <c r="A4810">
        <v>47</v>
      </c>
      <c r="B4810">
        <v>3</v>
      </c>
      <c r="C4810" t="str">
        <f>VLOOKUP(A4810,'Programas y Unidades'!$A:$B,2,0)</f>
        <v>Maestría en Gerencia Estratégica - Chía</v>
      </c>
    </row>
    <row r="4811" spans="1:3">
      <c r="A4811">
        <v>47</v>
      </c>
      <c r="B4811">
        <v>3</v>
      </c>
      <c r="C4811" t="str">
        <f>VLOOKUP(A4811,'Programas y Unidades'!$A:$B,2,0)</f>
        <v>Maestría en Gerencia Estratégica - Chía</v>
      </c>
    </row>
    <row r="4812" spans="1:3">
      <c r="A4812">
        <v>47</v>
      </c>
      <c r="B4812">
        <v>3</v>
      </c>
      <c r="C4812" t="str">
        <f>VLOOKUP(A4812,'Programas y Unidades'!$A:$B,2,0)</f>
        <v>Maestría en Gerencia Estratégica - Chía</v>
      </c>
    </row>
    <row r="4813" spans="1:3">
      <c r="A4813">
        <v>47</v>
      </c>
      <c r="B4813">
        <v>3</v>
      </c>
      <c r="C4813" t="str">
        <f>VLOOKUP(A4813,'Programas y Unidades'!$A:$B,2,0)</f>
        <v>Maestría en Gerencia Estratégica - Chía</v>
      </c>
    </row>
    <row r="4814" spans="1:3">
      <c r="A4814">
        <v>47</v>
      </c>
      <c r="B4814">
        <v>3</v>
      </c>
      <c r="C4814" t="str">
        <f>VLOOKUP(A4814,'Programas y Unidades'!$A:$B,2,0)</f>
        <v>Maestría en Gerencia Estratégica - Chía</v>
      </c>
    </row>
    <row r="4815" spans="1:3">
      <c r="A4815">
        <v>47</v>
      </c>
      <c r="B4815">
        <v>3</v>
      </c>
      <c r="C4815" t="str">
        <f>VLOOKUP(A4815,'Programas y Unidades'!$A:$B,2,0)</f>
        <v>Maestría en Gerencia Estratégica - Chía</v>
      </c>
    </row>
    <row r="4816" spans="1:3">
      <c r="A4816">
        <v>47</v>
      </c>
      <c r="B4816">
        <v>1</v>
      </c>
      <c r="C4816" t="str">
        <f>VLOOKUP(A4816,'Programas y Unidades'!$A:$B,2,0)</f>
        <v>Maestría en Gerencia Estratégica - Chía</v>
      </c>
    </row>
    <row r="4817" spans="1:3">
      <c r="A4817">
        <v>47</v>
      </c>
      <c r="B4817">
        <v>3</v>
      </c>
      <c r="C4817" t="str">
        <f>VLOOKUP(A4817,'Programas y Unidades'!$A:$B,2,0)</f>
        <v>Maestría en Gerencia Estratégica - Chía</v>
      </c>
    </row>
    <row r="4818" spans="1:3">
      <c r="A4818">
        <v>47</v>
      </c>
      <c r="B4818">
        <v>3</v>
      </c>
      <c r="C4818" t="str">
        <f>VLOOKUP(A4818,'Programas y Unidades'!$A:$B,2,0)</f>
        <v>Maestría en Gerencia Estratégica - Chía</v>
      </c>
    </row>
    <row r="4819" spans="1:3">
      <c r="A4819">
        <v>49</v>
      </c>
      <c r="B4819">
        <v>2</v>
      </c>
      <c r="C4819" t="str">
        <f>VLOOKUP(A4819,'Programas y Unidades'!$A:$B,2,0)</f>
        <v>Maestría en Gerencia de la Innovación - Chía</v>
      </c>
    </row>
    <row r="4820" spans="1:3">
      <c r="A4820">
        <v>49</v>
      </c>
      <c r="B4820">
        <v>2</v>
      </c>
      <c r="C4820" t="str">
        <f>VLOOKUP(A4820,'Programas y Unidades'!$A:$B,2,0)</f>
        <v>Maestría en Gerencia de la Innovación - Chía</v>
      </c>
    </row>
    <row r="4821" spans="1:3">
      <c r="A4821">
        <v>49</v>
      </c>
      <c r="B4821">
        <v>2</v>
      </c>
      <c r="C4821" t="str">
        <f>VLOOKUP(A4821,'Programas y Unidades'!$A:$B,2,0)</f>
        <v>Maestría en Gerencia de la Innovación - Chía</v>
      </c>
    </row>
    <row r="4822" spans="1:3">
      <c r="A4822">
        <v>49</v>
      </c>
      <c r="B4822">
        <v>2</v>
      </c>
      <c r="C4822" t="str">
        <f>VLOOKUP(A4822,'Programas y Unidades'!$A:$B,2,0)</f>
        <v>Maestría en Gerencia de la Innovación - Chía</v>
      </c>
    </row>
    <row r="4823" spans="1:3">
      <c r="A4823">
        <v>49</v>
      </c>
      <c r="B4823">
        <v>2</v>
      </c>
      <c r="C4823" t="str">
        <f>VLOOKUP(A4823,'Programas y Unidades'!$A:$B,2,0)</f>
        <v>Maestría en Gerencia de la Innovación - Chía</v>
      </c>
    </row>
    <row r="4824" spans="1:3">
      <c r="A4824">
        <v>49</v>
      </c>
      <c r="B4824">
        <v>2</v>
      </c>
      <c r="C4824" t="str">
        <f>VLOOKUP(A4824,'Programas y Unidades'!$A:$B,2,0)</f>
        <v>Maestría en Gerencia de la Innovación - Chía</v>
      </c>
    </row>
    <row r="4825" spans="1:3">
      <c r="A4825">
        <v>49</v>
      </c>
      <c r="B4825">
        <v>2</v>
      </c>
      <c r="C4825" t="str">
        <f>VLOOKUP(A4825,'Programas y Unidades'!$A:$B,2,0)</f>
        <v>Maestría en Gerencia de la Innovación - Chía</v>
      </c>
    </row>
    <row r="4826" spans="1:3">
      <c r="A4826">
        <v>49</v>
      </c>
      <c r="B4826">
        <v>2</v>
      </c>
      <c r="C4826" t="str">
        <f>VLOOKUP(A4826,'Programas y Unidades'!$A:$B,2,0)</f>
        <v>Maestría en Gerencia de la Innovación - Chía</v>
      </c>
    </row>
    <row r="4827" spans="1:3">
      <c r="A4827">
        <v>49</v>
      </c>
      <c r="B4827">
        <v>2</v>
      </c>
      <c r="C4827" t="str">
        <f>VLOOKUP(A4827,'Programas y Unidades'!$A:$B,2,0)</f>
        <v>Maestría en Gerencia de la Innovación - Chía</v>
      </c>
    </row>
    <row r="4828" spans="1:3">
      <c r="A4828">
        <v>49</v>
      </c>
      <c r="B4828">
        <v>2</v>
      </c>
      <c r="C4828" t="str">
        <f>VLOOKUP(A4828,'Programas y Unidades'!$A:$B,2,0)</f>
        <v>Maestría en Gerencia de la Innovación - Chía</v>
      </c>
    </row>
    <row r="4829" spans="1:3">
      <c r="A4829">
        <v>49</v>
      </c>
      <c r="B4829">
        <v>3</v>
      </c>
      <c r="C4829" t="str">
        <f>VLOOKUP(A4829,'Programas y Unidades'!$A:$B,2,0)</f>
        <v>Maestría en Gerencia de la Innovación - Chía</v>
      </c>
    </row>
    <row r="4830" spans="1:3">
      <c r="A4830">
        <v>49</v>
      </c>
      <c r="B4830">
        <v>3</v>
      </c>
      <c r="C4830" t="str">
        <f>VLOOKUP(A4830,'Programas y Unidades'!$A:$B,2,0)</f>
        <v>Maestría en Gerencia de la Innovación - Chía</v>
      </c>
    </row>
    <row r="4831" spans="1:3">
      <c r="A4831">
        <v>49</v>
      </c>
      <c r="B4831">
        <v>3</v>
      </c>
      <c r="C4831" t="str">
        <f>VLOOKUP(A4831,'Programas y Unidades'!$A:$B,2,0)</f>
        <v>Maestría en Gerencia de la Innovación - Chía</v>
      </c>
    </row>
    <row r="4832" spans="1:3">
      <c r="A4832">
        <v>49</v>
      </c>
      <c r="B4832">
        <v>3</v>
      </c>
      <c r="C4832" t="str">
        <f>VLOOKUP(A4832,'Programas y Unidades'!$A:$B,2,0)</f>
        <v>Maestría en Gerencia de la Innovación - Chía</v>
      </c>
    </row>
    <row r="4833" spans="1:3">
      <c r="A4833">
        <v>4</v>
      </c>
      <c r="B4833">
        <v>2</v>
      </c>
      <c r="C4833" t="str">
        <f>VLOOKUP(A4833,'Programas y Unidades'!$A:$B,2,0)</f>
        <v>Especialización en Electrofisiología Cardiovascular</v>
      </c>
    </row>
    <row r="4834" spans="1:3">
      <c r="A4834">
        <v>102</v>
      </c>
      <c r="B4834">
        <v>2</v>
      </c>
      <c r="C4834" t="str">
        <f>VLOOKUP(A4834,'Programas y Unidades'!$A:$B,2,0)</f>
        <v>Especialización en Seguros y Seguridad Social - Chía</v>
      </c>
    </row>
    <row r="4835" spans="1:3">
      <c r="A4835">
        <v>102</v>
      </c>
      <c r="B4835">
        <v>2</v>
      </c>
      <c r="C4835" t="str">
        <f>VLOOKUP(A4835,'Programas y Unidades'!$A:$B,2,0)</f>
        <v>Especialización en Seguros y Seguridad Social - Chía</v>
      </c>
    </row>
    <row r="4836" spans="1:3">
      <c r="A4836">
        <v>102</v>
      </c>
      <c r="B4836">
        <v>2</v>
      </c>
      <c r="C4836" t="str">
        <f>VLOOKUP(A4836,'Programas y Unidades'!$A:$B,2,0)</f>
        <v>Especialización en Seguros y Seguridad Social - Chía</v>
      </c>
    </row>
    <row r="4837" spans="1:3">
      <c r="A4837">
        <v>102</v>
      </c>
      <c r="B4837">
        <v>2</v>
      </c>
      <c r="C4837" t="str">
        <f>VLOOKUP(A4837,'Programas y Unidades'!$A:$B,2,0)</f>
        <v>Especialización en Seguros y Seguridad Social - Chía</v>
      </c>
    </row>
    <row r="4838" spans="1:3">
      <c r="A4838">
        <v>102</v>
      </c>
      <c r="B4838">
        <v>2</v>
      </c>
      <c r="C4838" t="str">
        <f>VLOOKUP(A4838,'Programas y Unidades'!$A:$B,2,0)</f>
        <v>Especialización en Seguros y Seguridad Social - Chía</v>
      </c>
    </row>
    <row r="4839" spans="1:3">
      <c r="A4839">
        <v>55</v>
      </c>
      <c r="B4839">
        <v>4</v>
      </c>
      <c r="C4839" t="str">
        <f>VLOOKUP(A4839,'Programas y Unidades'!$A:$B,2,0)</f>
        <v>Maestría en Derecho de la Empresa y de los negocios - Chía</v>
      </c>
    </row>
    <row r="4840" spans="1:3">
      <c r="A4840">
        <v>120</v>
      </c>
      <c r="B4840">
        <v>1</v>
      </c>
      <c r="C4840" t="str">
        <f>VLOOKUP(A4840,'Programas y Unidades'!$A:$B,2,0)</f>
        <v>Especialización en Gerencia de Riesgos - Chía</v>
      </c>
    </row>
    <row r="4841" spans="1:3">
      <c r="A4841">
        <v>120</v>
      </c>
      <c r="B4841">
        <v>1</v>
      </c>
      <c r="C4841" t="str">
        <f>VLOOKUP(A4841,'Programas y Unidades'!$A:$B,2,0)</f>
        <v>Especialización en Gerencia de Riesgos - Chía</v>
      </c>
    </row>
    <row r="4842" spans="1:3">
      <c r="A4842">
        <v>120</v>
      </c>
      <c r="B4842">
        <v>1</v>
      </c>
      <c r="C4842" t="str">
        <f>VLOOKUP(A4842,'Programas y Unidades'!$A:$B,2,0)</f>
        <v>Especialización en Gerencia de Riesgos - Chía</v>
      </c>
    </row>
    <row r="4843" spans="1:3">
      <c r="A4843">
        <v>120</v>
      </c>
      <c r="B4843">
        <v>1</v>
      </c>
      <c r="C4843" t="str">
        <f>VLOOKUP(A4843,'Programas y Unidades'!$A:$B,2,0)</f>
        <v>Especialización en Gerencia de Riesgos - Chía</v>
      </c>
    </row>
    <row r="4844" spans="1:3">
      <c r="A4844">
        <v>120</v>
      </c>
      <c r="B4844">
        <v>1</v>
      </c>
      <c r="C4844" t="str">
        <f>VLOOKUP(A4844,'Programas y Unidades'!$A:$B,2,0)</f>
        <v>Especialización en Gerencia de Riesgos - Chía</v>
      </c>
    </row>
    <row r="4845" spans="1:3">
      <c r="A4845">
        <v>120</v>
      </c>
      <c r="B4845">
        <v>1</v>
      </c>
      <c r="C4845" t="str">
        <f>VLOOKUP(A4845,'Programas y Unidades'!$A:$B,2,0)</f>
        <v>Especialización en Gerencia de Riesgos - Chía</v>
      </c>
    </row>
    <row r="4846" spans="1:3">
      <c r="A4846">
        <v>120</v>
      </c>
      <c r="B4846">
        <v>1</v>
      </c>
      <c r="C4846" t="str">
        <f>VLOOKUP(A4846,'Programas y Unidades'!$A:$B,2,0)</f>
        <v>Especialización en Gerencia de Riesgos - Chía</v>
      </c>
    </row>
    <row r="4847" spans="1:3">
      <c r="A4847">
        <v>120</v>
      </c>
      <c r="B4847">
        <v>1</v>
      </c>
      <c r="C4847" t="str">
        <f>VLOOKUP(A4847,'Programas y Unidades'!$A:$B,2,0)</f>
        <v>Especialización en Gerencia de Riesgos - Chía</v>
      </c>
    </row>
    <row r="4848" spans="1:3">
      <c r="A4848">
        <v>120</v>
      </c>
      <c r="B4848">
        <v>1</v>
      </c>
      <c r="C4848" t="str">
        <f>VLOOKUP(A4848,'Programas y Unidades'!$A:$B,2,0)</f>
        <v>Especialización en Gerencia de Riesgos - Chía</v>
      </c>
    </row>
    <row r="4849" spans="1:3">
      <c r="A4849">
        <v>120</v>
      </c>
      <c r="B4849">
        <v>1</v>
      </c>
      <c r="C4849" t="str">
        <f>VLOOKUP(A4849,'Programas y Unidades'!$A:$B,2,0)</f>
        <v>Especialización en Gerencia de Riesgos - Chía</v>
      </c>
    </row>
    <row r="4850" spans="1:3">
      <c r="A4850">
        <v>120</v>
      </c>
      <c r="B4850">
        <v>2</v>
      </c>
      <c r="C4850" t="str">
        <f>VLOOKUP(A4850,'Programas y Unidades'!$A:$B,2,0)</f>
        <v>Especialización en Gerencia de Riesgos - Chía</v>
      </c>
    </row>
    <row r="4851" spans="1:3">
      <c r="A4851">
        <v>120</v>
      </c>
      <c r="B4851">
        <v>1</v>
      </c>
      <c r="C4851" t="str">
        <f>VLOOKUP(A4851,'Programas y Unidades'!$A:$B,2,0)</f>
        <v>Especialización en Gerencia de Riesgos - Chía</v>
      </c>
    </row>
    <row r="4852" spans="1:3">
      <c r="A4852">
        <v>155</v>
      </c>
      <c r="B4852">
        <v>2</v>
      </c>
      <c r="C4852" t="e">
        <f>VLOOKUP(A4852,'Programas y Unidades'!$A:$B,2,0)</f>
        <v>#N/A</v>
      </c>
    </row>
    <row r="4853" spans="1:3">
      <c r="A4853">
        <v>155</v>
      </c>
      <c r="B4853">
        <v>2</v>
      </c>
      <c r="C4853" t="e">
        <f>VLOOKUP(A4853,'Programas y Unidades'!$A:$B,2,0)</f>
        <v>#N/A</v>
      </c>
    </row>
    <row r="4854" spans="1:3">
      <c r="A4854">
        <v>155</v>
      </c>
      <c r="B4854">
        <v>2</v>
      </c>
      <c r="C4854" t="e">
        <f>VLOOKUP(A4854,'Programas y Unidades'!$A:$B,2,0)</f>
        <v>#N/A</v>
      </c>
    </row>
    <row r="4855" spans="1:3">
      <c r="A4855">
        <v>113</v>
      </c>
      <c r="B4855">
        <v>1</v>
      </c>
      <c r="C4855" t="str">
        <f>VLOOKUP(A4855,'Programas y Unidades'!$A:$B,2,0)</f>
        <v>Especialización en Gerencia Estratégica de Marca  - Chía</v>
      </c>
    </row>
    <row r="4856" spans="1:3">
      <c r="A4856">
        <v>113</v>
      </c>
      <c r="B4856">
        <v>1</v>
      </c>
      <c r="C4856" t="str">
        <f>VLOOKUP(A4856,'Programas y Unidades'!$A:$B,2,0)</f>
        <v>Especialización en Gerencia Estratégica de Marca  - Chía</v>
      </c>
    </row>
    <row r="4857" spans="1:3">
      <c r="A4857">
        <v>113</v>
      </c>
      <c r="B4857">
        <v>1</v>
      </c>
      <c r="C4857" t="str">
        <f>VLOOKUP(A4857,'Programas y Unidades'!$A:$B,2,0)</f>
        <v>Especialización en Gerencia Estratégica de Marca  - Chía</v>
      </c>
    </row>
    <row r="4858" spans="1:3">
      <c r="A4858">
        <v>113</v>
      </c>
      <c r="B4858">
        <v>1</v>
      </c>
      <c r="C4858" t="str">
        <f>VLOOKUP(A4858,'Programas y Unidades'!$A:$B,2,0)</f>
        <v>Especialización en Gerencia Estratégica de Marca  - Chía</v>
      </c>
    </row>
    <row r="4859" spans="1:3">
      <c r="A4859">
        <v>113</v>
      </c>
      <c r="B4859">
        <v>1</v>
      </c>
      <c r="C4859" t="str">
        <f>VLOOKUP(A4859,'Programas y Unidades'!$A:$B,2,0)</f>
        <v>Especialización en Gerencia Estratégica de Marca  - Chía</v>
      </c>
    </row>
    <row r="4860" spans="1:3">
      <c r="A4860">
        <v>113</v>
      </c>
      <c r="B4860">
        <v>1</v>
      </c>
      <c r="C4860" t="str">
        <f>VLOOKUP(A4860,'Programas y Unidades'!$A:$B,2,0)</f>
        <v>Especialización en Gerencia Estratégica de Marca  - Chía</v>
      </c>
    </row>
    <row r="4861" spans="1:3">
      <c r="A4861">
        <v>113</v>
      </c>
      <c r="B4861">
        <v>1</v>
      </c>
      <c r="C4861" t="str">
        <f>VLOOKUP(A4861,'Programas y Unidades'!$A:$B,2,0)</f>
        <v>Especialización en Gerencia Estratégica de Marca  - Chía</v>
      </c>
    </row>
    <row r="4862" spans="1:3">
      <c r="A4862">
        <v>113</v>
      </c>
      <c r="B4862">
        <v>1</v>
      </c>
      <c r="C4862" t="str">
        <f>VLOOKUP(A4862,'Programas y Unidades'!$A:$B,2,0)</f>
        <v>Especialización en Gerencia Estratégica de Marca  - Chía</v>
      </c>
    </row>
    <row r="4863" spans="1:3">
      <c r="A4863">
        <v>113</v>
      </c>
      <c r="B4863">
        <v>1</v>
      </c>
      <c r="C4863" t="str">
        <f>VLOOKUP(A4863,'Programas y Unidades'!$A:$B,2,0)</f>
        <v>Especialización en Gerencia Estratégica de Marca  - Chía</v>
      </c>
    </row>
    <row r="4864" spans="1:3">
      <c r="A4864">
        <v>113</v>
      </c>
      <c r="B4864">
        <v>1</v>
      </c>
      <c r="C4864" t="str">
        <f>VLOOKUP(A4864,'Programas y Unidades'!$A:$B,2,0)</f>
        <v>Especialización en Gerencia Estratégica de Marca  - Chía</v>
      </c>
    </row>
    <row r="4865" spans="1:3">
      <c r="A4865">
        <v>113</v>
      </c>
      <c r="B4865">
        <v>1</v>
      </c>
      <c r="C4865" t="str">
        <f>VLOOKUP(A4865,'Programas y Unidades'!$A:$B,2,0)</f>
        <v>Especialización en Gerencia Estratégica de Marca  - Chía</v>
      </c>
    </row>
    <row r="4866" spans="1:3">
      <c r="A4866">
        <v>113</v>
      </c>
      <c r="B4866">
        <v>1</v>
      </c>
      <c r="C4866" t="str">
        <f>VLOOKUP(A4866,'Programas y Unidades'!$A:$B,2,0)</f>
        <v>Especialización en Gerencia Estratégica de Marca  - Chía</v>
      </c>
    </row>
    <row r="4867" spans="1:3">
      <c r="A4867">
        <v>113</v>
      </c>
      <c r="B4867">
        <v>2</v>
      </c>
      <c r="C4867" t="str">
        <f>VLOOKUP(A4867,'Programas y Unidades'!$A:$B,2,0)</f>
        <v>Especialización en Gerencia Estratégica de Marca  - Chía</v>
      </c>
    </row>
    <row r="4868" spans="1:3">
      <c r="A4868">
        <v>113</v>
      </c>
      <c r="B4868">
        <v>1</v>
      </c>
      <c r="C4868" t="str">
        <f>VLOOKUP(A4868,'Programas y Unidades'!$A:$B,2,0)</f>
        <v>Especialización en Gerencia Estratégica de Marca  - Chía</v>
      </c>
    </row>
    <row r="4869" spans="1:3">
      <c r="A4869">
        <v>113</v>
      </c>
      <c r="B4869">
        <v>1</v>
      </c>
      <c r="C4869" t="str">
        <f>VLOOKUP(A4869,'Programas y Unidades'!$A:$B,2,0)</f>
        <v>Especialización en Gerencia Estratégica de Marca  - Chía</v>
      </c>
    </row>
    <row r="4870" spans="1:3">
      <c r="A4870">
        <v>115</v>
      </c>
      <c r="B4870">
        <v>1</v>
      </c>
      <c r="C4870" t="str">
        <f>VLOOKUP(A4870,'Programas y Unidades'!$A:$B,2,0)</f>
        <v>Especialización en Gerencia Logística - Chía</v>
      </c>
    </row>
    <row r="4871" spans="1:3">
      <c r="A4871">
        <v>115</v>
      </c>
      <c r="B4871">
        <v>1</v>
      </c>
      <c r="C4871" t="str">
        <f>VLOOKUP(A4871,'Programas y Unidades'!$A:$B,2,0)</f>
        <v>Especialización en Gerencia Logística - Chía</v>
      </c>
    </row>
    <row r="4872" spans="1:3">
      <c r="A4872">
        <v>115</v>
      </c>
      <c r="B4872">
        <v>1</v>
      </c>
      <c r="C4872" t="str">
        <f>VLOOKUP(A4872,'Programas y Unidades'!$A:$B,2,0)</f>
        <v>Especialización en Gerencia Logística - Chía</v>
      </c>
    </row>
    <row r="4873" spans="1:3">
      <c r="A4873">
        <v>112</v>
      </c>
      <c r="B4873">
        <v>1</v>
      </c>
      <c r="C4873" t="str">
        <f>VLOOKUP(A4873,'Programas y Unidades'!$A:$B,2,0)</f>
        <v>Especialización en Gerencia de Producción y Operaciones  - Chía</v>
      </c>
    </row>
    <row r="4874" spans="1:3">
      <c r="A4874">
        <v>115</v>
      </c>
      <c r="B4874">
        <v>1</v>
      </c>
      <c r="C4874" t="str">
        <f>VLOOKUP(A4874,'Programas y Unidades'!$A:$B,2,0)</f>
        <v>Especialización en Gerencia Logística - Chía</v>
      </c>
    </row>
    <row r="4875" spans="1:3">
      <c r="A4875">
        <v>112</v>
      </c>
      <c r="B4875">
        <v>1</v>
      </c>
      <c r="C4875" t="str">
        <f>VLOOKUP(A4875,'Programas y Unidades'!$A:$B,2,0)</f>
        <v>Especialización en Gerencia de Producción y Operaciones  - Chía</v>
      </c>
    </row>
    <row r="4876" spans="1:3">
      <c r="A4876">
        <v>112</v>
      </c>
      <c r="B4876">
        <v>1</v>
      </c>
      <c r="C4876" t="str">
        <f>VLOOKUP(A4876,'Programas y Unidades'!$A:$B,2,0)</f>
        <v>Especialización en Gerencia de Producción y Operaciones  - Chía</v>
      </c>
    </row>
    <row r="4877" spans="1:3">
      <c r="A4877">
        <v>115</v>
      </c>
      <c r="B4877">
        <v>1</v>
      </c>
      <c r="C4877" t="str">
        <f>VLOOKUP(A4877,'Programas y Unidades'!$A:$B,2,0)</f>
        <v>Especialización en Gerencia Logística - Chía</v>
      </c>
    </row>
    <row r="4878" spans="1:3">
      <c r="A4878">
        <v>112</v>
      </c>
      <c r="B4878">
        <v>1</v>
      </c>
      <c r="C4878" t="str">
        <f>VLOOKUP(A4878,'Programas y Unidades'!$A:$B,2,0)</f>
        <v>Especialización en Gerencia de Producción y Operaciones  - Chía</v>
      </c>
    </row>
    <row r="4879" spans="1:3">
      <c r="A4879">
        <v>113</v>
      </c>
      <c r="B4879">
        <v>1</v>
      </c>
      <c r="C4879" t="str">
        <f>VLOOKUP(A4879,'Programas y Unidades'!$A:$B,2,0)</f>
        <v>Especialización en Gerencia Estratégica de Marca  - Chía</v>
      </c>
    </row>
    <row r="4880" spans="1:3">
      <c r="A4880">
        <v>112</v>
      </c>
      <c r="B4880">
        <v>1</v>
      </c>
      <c r="C4880" t="str">
        <f>VLOOKUP(A4880,'Programas y Unidades'!$A:$B,2,0)</f>
        <v>Especialización en Gerencia de Producción y Operaciones  - Chía</v>
      </c>
    </row>
    <row r="4881" spans="1:3">
      <c r="A4881">
        <v>115</v>
      </c>
      <c r="B4881">
        <v>1</v>
      </c>
      <c r="C4881" t="str">
        <f>VLOOKUP(A4881,'Programas y Unidades'!$A:$B,2,0)</f>
        <v>Especialización en Gerencia Logística - Chía</v>
      </c>
    </row>
    <row r="4882" spans="1:3">
      <c r="A4882">
        <v>115</v>
      </c>
      <c r="B4882">
        <v>1</v>
      </c>
      <c r="C4882" t="str">
        <f>VLOOKUP(A4882,'Programas y Unidades'!$A:$B,2,0)</f>
        <v>Especialización en Gerencia Logística - Chía</v>
      </c>
    </row>
    <row r="4883" spans="1:3">
      <c r="A4883">
        <v>115</v>
      </c>
      <c r="B4883">
        <v>1</v>
      </c>
      <c r="C4883" t="str">
        <f>VLOOKUP(A4883,'Programas y Unidades'!$A:$B,2,0)</f>
        <v>Especialización en Gerencia Logística - Chía</v>
      </c>
    </row>
    <row r="4884" spans="1:3">
      <c r="A4884">
        <v>155</v>
      </c>
      <c r="B4884">
        <v>2</v>
      </c>
      <c r="C4884" t="e">
        <f>VLOOKUP(A4884,'Programas y Unidades'!$A:$B,2,0)</f>
        <v>#N/A</v>
      </c>
    </row>
    <row r="4885" spans="1:3">
      <c r="A4885">
        <v>134</v>
      </c>
      <c r="B4885">
        <v>2</v>
      </c>
      <c r="C4885" t="str">
        <f>VLOOKUP(A4885,'Programas y Unidades'!$A:$B,2,0)</f>
        <v>Especialización en Gerencia Estratégica - Bucaramanga</v>
      </c>
    </row>
    <row r="4886" spans="1:3">
      <c r="A4886">
        <v>155</v>
      </c>
      <c r="B4886">
        <v>2</v>
      </c>
      <c r="C4886" t="e">
        <f>VLOOKUP(A4886,'Programas y Unidades'!$A:$B,2,0)</f>
        <v>#N/A</v>
      </c>
    </row>
    <row r="4887" spans="1:3">
      <c r="A4887">
        <v>56</v>
      </c>
      <c r="B4887">
        <v>2</v>
      </c>
      <c r="C4887" t="str">
        <f>VLOOKUP(A4887,'Programas y Unidades'!$A:$B,2,0)</f>
        <v>Maestría en Derecho Internacional - Chía</v>
      </c>
    </row>
    <row r="4888" spans="1:3">
      <c r="A4888">
        <v>56</v>
      </c>
      <c r="B4888">
        <v>2</v>
      </c>
      <c r="C4888" t="str">
        <f>VLOOKUP(A4888,'Programas y Unidades'!$A:$B,2,0)</f>
        <v>Maestría en Derecho Internacional - Chía</v>
      </c>
    </row>
    <row r="4889" spans="1:3">
      <c r="A4889">
        <v>56</v>
      </c>
      <c r="B4889">
        <v>2</v>
      </c>
      <c r="C4889" t="str">
        <f>VLOOKUP(A4889,'Programas y Unidades'!$A:$B,2,0)</f>
        <v>Maestría en Derecho Internacional - Chía</v>
      </c>
    </row>
    <row r="4890" spans="1:3">
      <c r="A4890">
        <v>56</v>
      </c>
      <c r="B4890">
        <v>2</v>
      </c>
      <c r="C4890" t="str">
        <f>VLOOKUP(A4890,'Programas y Unidades'!$A:$B,2,0)</f>
        <v>Maestría en Derecho Internacional - Chía</v>
      </c>
    </row>
    <row r="4891" spans="1:3">
      <c r="A4891">
        <v>56</v>
      </c>
      <c r="B4891">
        <v>2</v>
      </c>
      <c r="C4891" t="str">
        <f>VLOOKUP(A4891,'Programas y Unidades'!$A:$B,2,0)</f>
        <v>Maestría en Derecho Internacional - Chía</v>
      </c>
    </row>
    <row r="4892" spans="1:3">
      <c r="A4892">
        <v>56</v>
      </c>
      <c r="B4892">
        <v>2</v>
      </c>
      <c r="C4892" t="str">
        <f>VLOOKUP(A4892,'Programas y Unidades'!$A:$B,2,0)</f>
        <v>Maestría en Derecho Internacional - Chía</v>
      </c>
    </row>
    <row r="4893" spans="1:3">
      <c r="A4893">
        <v>56</v>
      </c>
      <c r="B4893">
        <v>2</v>
      </c>
      <c r="C4893" t="str">
        <f>VLOOKUP(A4893,'Programas y Unidades'!$A:$B,2,0)</f>
        <v>Maestría en Derecho Internacional - Chía</v>
      </c>
    </row>
    <row r="4894" spans="1:3">
      <c r="A4894">
        <v>56</v>
      </c>
      <c r="B4894">
        <v>2</v>
      </c>
      <c r="C4894" t="str">
        <f>VLOOKUP(A4894,'Programas y Unidades'!$A:$B,2,0)</f>
        <v>Maestría en Derecho Internacional - Chía</v>
      </c>
    </row>
    <row r="4895" spans="1:3">
      <c r="A4895">
        <v>56</v>
      </c>
      <c r="B4895">
        <v>2</v>
      </c>
      <c r="C4895" t="str">
        <f>VLOOKUP(A4895,'Programas y Unidades'!$A:$B,2,0)</f>
        <v>Maestría en Derecho Internacional - Chía</v>
      </c>
    </row>
    <row r="4896" spans="1:3">
      <c r="A4896">
        <v>56</v>
      </c>
      <c r="B4896">
        <v>2</v>
      </c>
      <c r="C4896" t="str">
        <f>VLOOKUP(A4896,'Programas y Unidades'!$A:$B,2,0)</f>
        <v>Maestría en Derecho Internacional - Chía</v>
      </c>
    </row>
    <row r="4897" spans="1:3">
      <c r="A4897">
        <v>56</v>
      </c>
      <c r="B4897">
        <v>2</v>
      </c>
      <c r="C4897" t="str">
        <f>VLOOKUP(A4897,'Programas y Unidades'!$A:$B,2,0)</f>
        <v>Maestría en Derecho Internacional - Chía</v>
      </c>
    </row>
    <row r="4898" spans="1:3">
      <c r="A4898">
        <v>56</v>
      </c>
      <c r="B4898">
        <v>2</v>
      </c>
      <c r="C4898" t="str">
        <f>VLOOKUP(A4898,'Programas y Unidades'!$A:$B,2,0)</f>
        <v>Maestría en Derecho Internacional - Chía</v>
      </c>
    </row>
    <row r="4899" spans="1:3">
      <c r="A4899">
        <v>56</v>
      </c>
      <c r="B4899">
        <v>2</v>
      </c>
      <c r="C4899" t="str">
        <f>VLOOKUP(A4899,'Programas y Unidades'!$A:$B,2,0)</f>
        <v>Maestría en Derecho Internacional - Chía</v>
      </c>
    </row>
    <row r="4900" spans="1:3">
      <c r="A4900">
        <v>59</v>
      </c>
      <c r="B4900">
        <v>6</v>
      </c>
      <c r="C4900" t="str">
        <f>VLOOKUP(A4900,'Programas y Unidades'!$A:$B,2,0)</f>
        <v>Doctorado en Innovación Educativa con uso de TIC - Chía</v>
      </c>
    </row>
    <row r="4901" spans="1:3">
      <c r="A4901">
        <v>59</v>
      </c>
      <c r="B4901">
        <v>6</v>
      </c>
      <c r="C4901" t="str">
        <f>VLOOKUP(A4901,'Programas y Unidades'!$A:$B,2,0)</f>
        <v>Doctorado en Innovación Educativa con uso de TIC - Chía</v>
      </c>
    </row>
    <row r="4902" spans="1:3">
      <c r="A4902">
        <v>59</v>
      </c>
      <c r="B4902">
        <v>5</v>
      </c>
      <c r="C4902" t="str">
        <f>VLOOKUP(A4902,'Programas y Unidades'!$A:$B,2,0)</f>
        <v>Doctorado en Innovación Educativa con uso de TIC - Chía</v>
      </c>
    </row>
    <row r="4903" spans="1:3">
      <c r="A4903">
        <v>59</v>
      </c>
      <c r="B4903">
        <v>5</v>
      </c>
      <c r="C4903" t="str">
        <f>VLOOKUP(A4903,'Programas y Unidades'!$A:$B,2,0)</f>
        <v>Doctorado en Innovación Educativa con uso de TIC - Chía</v>
      </c>
    </row>
    <row r="4904" spans="1:3">
      <c r="A4904">
        <v>59</v>
      </c>
      <c r="B4904">
        <v>4</v>
      </c>
      <c r="C4904" t="str">
        <f>VLOOKUP(A4904,'Programas y Unidades'!$A:$B,2,0)</f>
        <v>Doctorado en Innovación Educativa con uso de TIC - Chía</v>
      </c>
    </row>
    <row r="4905" spans="1:3">
      <c r="A4905">
        <v>59</v>
      </c>
      <c r="B4905">
        <v>5</v>
      </c>
      <c r="C4905" t="str">
        <f>VLOOKUP(A4905,'Programas y Unidades'!$A:$B,2,0)</f>
        <v>Doctorado en Innovación Educativa con uso de TIC - Chía</v>
      </c>
    </row>
    <row r="4906" spans="1:3">
      <c r="A4906">
        <v>59</v>
      </c>
      <c r="B4906">
        <v>5</v>
      </c>
      <c r="C4906" t="str">
        <f>VLOOKUP(A4906,'Programas y Unidades'!$A:$B,2,0)</f>
        <v>Doctorado en Innovación Educativa con uso de TIC - Chía</v>
      </c>
    </row>
    <row r="4907" spans="1:3">
      <c r="A4907">
        <v>59</v>
      </c>
      <c r="B4907">
        <v>3</v>
      </c>
      <c r="C4907" t="str">
        <f>VLOOKUP(A4907,'Programas y Unidades'!$A:$B,2,0)</f>
        <v>Doctorado en Innovación Educativa con uso de TIC - Chía</v>
      </c>
    </row>
    <row r="4908" spans="1:3">
      <c r="A4908">
        <v>59</v>
      </c>
      <c r="B4908">
        <v>3</v>
      </c>
      <c r="C4908" t="str">
        <f>VLOOKUP(A4908,'Programas y Unidades'!$A:$B,2,0)</f>
        <v>Doctorado en Innovación Educativa con uso de TIC - Chía</v>
      </c>
    </row>
    <row r="4909" spans="1:3">
      <c r="A4909">
        <v>59</v>
      </c>
      <c r="B4909">
        <v>3</v>
      </c>
      <c r="C4909" t="str">
        <f>VLOOKUP(A4909,'Programas y Unidades'!$A:$B,2,0)</f>
        <v>Doctorado en Innovación Educativa con uso de TIC - Chía</v>
      </c>
    </row>
    <row r="4910" spans="1:3">
      <c r="A4910">
        <v>59</v>
      </c>
      <c r="B4910">
        <v>3</v>
      </c>
      <c r="C4910" t="str">
        <f>VLOOKUP(A4910,'Programas y Unidades'!$A:$B,2,0)</f>
        <v>Doctorado en Innovación Educativa con uso de TIC - Chía</v>
      </c>
    </row>
    <row r="4911" spans="1:3">
      <c r="A4911">
        <v>59</v>
      </c>
      <c r="B4911">
        <v>3</v>
      </c>
      <c r="C4911" t="str">
        <f>VLOOKUP(A4911,'Programas y Unidades'!$A:$B,2,0)</f>
        <v>Doctorado en Innovación Educativa con uso de TIC - Chía</v>
      </c>
    </row>
    <row r="4912" spans="1:3">
      <c r="A4912">
        <v>59</v>
      </c>
      <c r="B4912">
        <v>3</v>
      </c>
      <c r="C4912" t="str">
        <f>VLOOKUP(A4912,'Programas y Unidades'!$A:$B,2,0)</f>
        <v>Doctorado en Innovación Educativa con uso de TIC - Chía</v>
      </c>
    </row>
    <row r="4913" spans="1:3">
      <c r="A4913">
        <v>59</v>
      </c>
      <c r="B4913">
        <v>3</v>
      </c>
      <c r="C4913" t="str">
        <f>VLOOKUP(A4913,'Programas y Unidades'!$A:$B,2,0)</f>
        <v>Doctorado en Innovación Educativa con uso de TIC - Chía</v>
      </c>
    </row>
    <row r="4914" spans="1:3">
      <c r="A4914">
        <v>84</v>
      </c>
      <c r="B4914">
        <v>4</v>
      </c>
      <c r="C4914" t="str">
        <f>VLOOKUP(A4914,'Programas y Unidades'!$A:$B,2,0)</f>
        <v>Maestría en Innovación Educativa Mediada por TIC - Virtual</v>
      </c>
    </row>
    <row r="4915" spans="1:3">
      <c r="A4915">
        <v>84</v>
      </c>
      <c r="B4915">
        <v>3</v>
      </c>
      <c r="C4915" t="str">
        <f>VLOOKUP(A4915,'Programas y Unidades'!$A:$B,2,0)</f>
        <v>Maestría en Innovación Educativa Mediada por TIC - Virtual</v>
      </c>
    </row>
    <row r="4916" spans="1:3">
      <c r="A4916">
        <v>84</v>
      </c>
      <c r="B4916">
        <v>3</v>
      </c>
      <c r="C4916" t="str">
        <f>VLOOKUP(A4916,'Programas y Unidades'!$A:$B,2,0)</f>
        <v>Maestría en Innovación Educativa Mediada por TIC - Virtual</v>
      </c>
    </row>
    <row r="4917" spans="1:3">
      <c r="A4917">
        <v>84</v>
      </c>
      <c r="B4917">
        <v>3</v>
      </c>
      <c r="C4917" t="str">
        <f>VLOOKUP(A4917,'Programas y Unidades'!$A:$B,2,0)</f>
        <v>Maestría en Innovación Educativa Mediada por TIC - Virtual</v>
      </c>
    </row>
    <row r="4918" spans="1:3">
      <c r="A4918">
        <v>84</v>
      </c>
      <c r="B4918">
        <v>3</v>
      </c>
      <c r="C4918" t="str">
        <f>VLOOKUP(A4918,'Programas y Unidades'!$A:$B,2,0)</f>
        <v>Maestría en Innovación Educativa Mediada por TIC - Virtual</v>
      </c>
    </row>
    <row r="4919" spans="1:3">
      <c r="A4919">
        <v>84</v>
      </c>
      <c r="B4919">
        <v>3</v>
      </c>
      <c r="C4919" t="str">
        <f>VLOOKUP(A4919,'Programas y Unidades'!$A:$B,2,0)</f>
        <v>Maestría en Innovación Educativa Mediada por TIC - Virtual</v>
      </c>
    </row>
    <row r="4920" spans="1:3">
      <c r="A4920">
        <v>84</v>
      </c>
      <c r="B4920">
        <v>3</v>
      </c>
      <c r="C4920" t="str">
        <f>VLOOKUP(A4920,'Programas y Unidades'!$A:$B,2,0)</f>
        <v>Maestría en Innovación Educativa Mediada por TIC - Virtual</v>
      </c>
    </row>
    <row r="4921" spans="1:3">
      <c r="A4921">
        <v>85</v>
      </c>
      <c r="B4921">
        <v>9</v>
      </c>
      <c r="C4921" t="str">
        <f>VLOOKUP(A4921,'Programas y Unidades'!$A:$B,2,0)</f>
        <v>Maestría en Pedagogía e Investigación en Aula - Virtual</v>
      </c>
    </row>
    <row r="4922" spans="1:3">
      <c r="A4922">
        <v>85</v>
      </c>
      <c r="B4922">
        <v>4</v>
      </c>
      <c r="C4922" t="str">
        <f>VLOOKUP(A4922,'Programas y Unidades'!$A:$B,2,0)</f>
        <v>Maestría en Pedagogía e Investigación en Aula - Virtual</v>
      </c>
    </row>
    <row r="4923" spans="1:3">
      <c r="A4923">
        <v>85</v>
      </c>
      <c r="B4923">
        <v>4</v>
      </c>
      <c r="C4923" t="str">
        <f>VLOOKUP(A4923,'Programas y Unidades'!$A:$B,2,0)</f>
        <v>Maestría en Pedagogía e Investigación en Aula - Virtual</v>
      </c>
    </row>
    <row r="4924" spans="1:3">
      <c r="A4924">
        <v>85</v>
      </c>
      <c r="B4924">
        <v>4</v>
      </c>
      <c r="C4924" t="str">
        <f>VLOOKUP(A4924,'Programas y Unidades'!$A:$B,2,0)</f>
        <v>Maestría en Pedagogía e Investigación en Aula - Virtual</v>
      </c>
    </row>
    <row r="4925" spans="1:3">
      <c r="A4925">
        <v>85</v>
      </c>
      <c r="B4925">
        <v>4</v>
      </c>
      <c r="C4925" t="str">
        <f>VLOOKUP(A4925,'Programas y Unidades'!$A:$B,2,0)</f>
        <v>Maestría en Pedagogía e Investigación en Aula - Virtual</v>
      </c>
    </row>
    <row r="4926" spans="1:3">
      <c r="A4926">
        <v>85</v>
      </c>
      <c r="B4926">
        <v>4</v>
      </c>
      <c r="C4926" t="str">
        <f>VLOOKUP(A4926,'Programas y Unidades'!$A:$B,2,0)</f>
        <v>Maestría en Pedagogía e Investigación en Aula - Virtual</v>
      </c>
    </row>
    <row r="4927" spans="1:3">
      <c r="A4927">
        <v>85</v>
      </c>
      <c r="B4927">
        <v>4</v>
      </c>
      <c r="C4927" t="str">
        <f>VLOOKUP(A4927,'Programas y Unidades'!$A:$B,2,0)</f>
        <v>Maestría en Pedagogía e Investigación en Aula - Virtual</v>
      </c>
    </row>
    <row r="4928" spans="1:3">
      <c r="A4928">
        <v>85</v>
      </c>
      <c r="B4928">
        <v>4</v>
      </c>
      <c r="C4928" t="str">
        <f>VLOOKUP(A4928,'Programas y Unidades'!$A:$B,2,0)</f>
        <v>Maestría en Pedagogía e Investigación en Aula - Virtual</v>
      </c>
    </row>
    <row r="4929" spans="1:3">
      <c r="A4929">
        <v>85</v>
      </c>
      <c r="B4929">
        <v>4</v>
      </c>
      <c r="C4929" t="str">
        <f>VLOOKUP(A4929,'Programas y Unidades'!$A:$B,2,0)</f>
        <v>Maestría en Pedagogía e Investigación en Aula - Virtual</v>
      </c>
    </row>
    <row r="4930" spans="1:3">
      <c r="A4930">
        <v>85</v>
      </c>
      <c r="B4930">
        <v>4</v>
      </c>
      <c r="C4930" t="str">
        <f>VLOOKUP(A4930,'Programas y Unidades'!$A:$B,2,0)</f>
        <v>Maestría en Pedagogía e Investigación en Aula - Virtual</v>
      </c>
    </row>
    <row r="4931" spans="1:3">
      <c r="A4931">
        <v>85</v>
      </c>
      <c r="B4931">
        <v>3</v>
      </c>
      <c r="C4931" t="str">
        <f>VLOOKUP(A4931,'Programas y Unidades'!$A:$B,2,0)</f>
        <v>Maestría en Pedagogía e Investigación en Aula - Virtual</v>
      </c>
    </row>
    <row r="4932" spans="1:3">
      <c r="A4932">
        <v>85</v>
      </c>
      <c r="B4932">
        <v>1</v>
      </c>
      <c r="C4932" t="str">
        <f>VLOOKUP(A4932,'Programas y Unidades'!$A:$B,2,0)</f>
        <v>Maestría en Pedagogía e Investigación en Aula - Virtual</v>
      </c>
    </row>
    <row r="4933" spans="1:3">
      <c r="A4933">
        <v>85</v>
      </c>
      <c r="B4933">
        <v>3</v>
      </c>
      <c r="C4933" t="str">
        <f>VLOOKUP(A4933,'Programas y Unidades'!$A:$B,2,0)</f>
        <v>Maestría en Pedagogía e Investigación en Aula - Virtual</v>
      </c>
    </row>
    <row r="4934" spans="1:3">
      <c r="A4934">
        <v>85</v>
      </c>
      <c r="B4934">
        <v>3</v>
      </c>
      <c r="C4934" t="str">
        <f>VLOOKUP(A4934,'Programas y Unidades'!$A:$B,2,0)</f>
        <v>Maestría en Pedagogía e Investigación en Aula - Virtual</v>
      </c>
    </row>
    <row r="4935" spans="1:3">
      <c r="A4935">
        <v>85</v>
      </c>
      <c r="B4935">
        <v>3</v>
      </c>
      <c r="C4935" t="str">
        <f>VLOOKUP(A4935,'Programas y Unidades'!$A:$B,2,0)</f>
        <v>Maestría en Pedagogía e Investigación en Aula - Virtual</v>
      </c>
    </row>
    <row r="4936" spans="1:3">
      <c r="A4936">
        <v>85</v>
      </c>
      <c r="B4936">
        <v>3</v>
      </c>
      <c r="C4936" t="str">
        <f>VLOOKUP(A4936,'Programas y Unidades'!$A:$B,2,0)</f>
        <v>Maestría en Pedagogía e Investigación en Aula - Virtual</v>
      </c>
    </row>
    <row r="4937" spans="1:3">
      <c r="A4937">
        <v>85</v>
      </c>
      <c r="B4937">
        <v>3</v>
      </c>
      <c r="C4937" t="str">
        <f>VLOOKUP(A4937,'Programas y Unidades'!$A:$B,2,0)</f>
        <v>Maestría en Pedagogía e Investigación en Aula - Virtual</v>
      </c>
    </row>
    <row r="4938" spans="1:3">
      <c r="A4938">
        <v>85</v>
      </c>
      <c r="B4938">
        <v>3</v>
      </c>
      <c r="C4938" t="str">
        <f>VLOOKUP(A4938,'Programas y Unidades'!$A:$B,2,0)</f>
        <v>Maestría en Pedagogía e Investigación en Aula - Virtual</v>
      </c>
    </row>
    <row r="4939" spans="1:3">
      <c r="A4939">
        <v>85</v>
      </c>
      <c r="B4939">
        <v>3</v>
      </c>
      <c r="C4939" t="str">
        <f>VLOOKUP(A4939,'Programas y Unidades'!$A:$B,2,0)</f>
        <v>Maestría en Pedagogía e Investigación en Aula - Virtual</v>
      </c>
    </row>
    <row r="4940" spans="1:3">
      <c r="A4940">
        <v>85</v>
      </c>
      <c r="B4940">
        <v>3</v>
      </c>
      <c r="C4940" t="str">
        <f>VLOOKUP(A4940,'Programas y Unidades'!$A:$B,2,0)</f>
        <v>Maestría en Pedagogía e Investigación en Aula - Virtual</v>
      </c>
    </row>
    <row r="4941" spans="1:3">
      <c r="A4941">
        <v>85</v>
      </c>
      <c r="B4941">
        <v>3</v>
      </c>
      <c r="C4941" t="str">
        <f>VLOOKUP(A4941,'Programas y Unidades'!$A:$B,2,0)</f>
        <v>Maestría en Pedagogía e Investigación en Aula - Virtual</v>
      </c>
    </row>
    <row r="4942" spans="1:3">
      <c r="A4942">
        <v>85</v>
      </c>
      <c r="B4942">
        <v>9</v>
      </c>
      <c r="C4942" t="str">
        <f>VLOOKUP(A4942,'Programas y Unidades'!$A:$B,2,0)</f>
        <v>Maestría en Pedagogía e Investigación en Aula - Virtual</v>
      </c>
    </row>
    <row r="4943" spans="1:3">
      <c r="A4943">
        <v>85</v>
      </c>
      <c r="B4943">
        <v>3</v>
      </c>
      <c r="C4943" t="str">
        <f>VLOOKUP(A4943,'Programas y Unidades'!$A:$B,2,0)</f>
        <v>Maestría en Pedagogía e Investigación en Aula - Virtual</v>
      </c>
    </row>
    <row r="4944" spans="1:3">
      <c r="A4944">
        <v>85</v>
      </c>
      <c r="B4944">
        <v>3</v>
      </c>
      <c r="C4944" t="str">
        <f>VLOOKUP(A4944,'Programas y Unidades'!$A:$B,2,0)</f>
        <v>Maestría en Pedagogía e Investigación en Aula - Virtual</v>
      </c>
    </row>
    <row r="4945" spans="1:3">
      <c r="A4945">
        <v>85</v>
      </c>
      <c r="B4945">
        <v>3</v>
      </c>
      <c r="C4945" t="str">
        <f>VLOOKUP(A4945,'Programas y Unidades'!$A:$B,2,0)</f>
        <v>Maestría en Pedagogía e Investigación en Aula - Virtual</v>
      </c>
    </row>
    <row r="4946" spans="1:3">
      <c r="A4946">
        <v>85</v>
      </c>
      <c r="B4946">
        <v>3</v>
      </c>
      <c r="C4946" t="str">
        <f>VLOOKUP(A4946,'Programas y Unidades'!$A:$B,2,0)</f>
        <v>Maestría en Pedagogía e Investigación en Aula - Virtual</v>
      </c>
    </row>
    <row r="4947" spans="1:3">
      <c r="A4947">
        <v>85</v>
      </c>
      <c r="B4947">
        <v>3</v>
      </c>
      <c r="C4947" t="str">
        <f>VLOOKUP(A4947,'Programas y Unidades'!$A:$B,2,0)</f>
        <v>Maestría en Pedagogía e Investigación en Aula - Virtual</v>
      </c>
    </row>
    <row r="4948" spans="1:3">
      <c r="A4948">
        <v>85</v>
      </c>
      <c r="B4948">
        <v>3</v>
      </c>
      <c r="C4948" t="str">
        <f>VLOOKUP(A4948,'Programas y Unidades'!$A:$B,2,0)</f>
        <v>Maestría en Pedagogía e Investigación en Aula - Virtual</v>
      </c>
    </row>
    <row r="4949" spans="1:3">
      <c r="A4949">
        <v>85</v>
      </c>
      <c r="B4949">
        <v>3</v>
      </c>
      <c r="C4949" t="str">
        <f>VLOOKUP(A4949,'Programas y Unidades'!$A:$B,2,0)</f>
        <v>Maestría en Pedagogía e Investigación en Aula - Virtual</v>
      </c>
    </row>
    <row r="4950" spans="1:3">
      <c r="A4950">
        <v>85</v>
      </c>
      <c r="B4950">
        <v>3</v>
      </c>
      <c r="C4950" t="str">
        <f>VLOOKUP(A4950,'Programas y Unidades'!$A:$B,2,0)</f>
        <v>Maestría en Pedagogía e Investigación en Aula - Virtual</v>
      </c>
    </row>
    <row r="4951" spans="1:3">
      <c r="A4951">
        <v>85</v>
      </c>
      <c r="B4951">
        <v>3</v>
      </c>
      <c r="C4951" t="str">
        <f>VLOOKUP(A4951,'Programas y Unidades'!$A:$B,2,0)</f>
        <v>Maestría en Pedagogía e Investigación en Aula - Virtual</v>
      </c>
    </row>
    <row r="4952" spans="1:3">
      <c r="A4952">
        <v>85</v>
      </c>
      <c r="B4952">
        <v>3</v>
      </c>
      <c r="C4952" t="str">
        <f>VLOOKUP(A4952,'Programas y Unidades'!$A:$B,2,0)</f>
        <v>Maestría en Pedagogía e Investigación en Aula - Virtual</v>
      </c>
    </row>
    <row r="4953" spans="1:3">
      <c r="A4953">
        <v>85</v>
      </c>
      <c r="B4953">
        <v>3</v>
      </c>
      <c r="C4953" t="str">
        <f>VLOOKUP(A4953,'Programas y Unidades'!$A:$B,2,0)</f>
        <v>Maestría en Pedagogía e Investigación en Aula - Virtual</v>
      </c>
    </row>
    <row r="4954" spans="1:3">
      <c r="A4954">
        <v>85</v>
      </c>
      <c r="B4954">
        <v>3</v>
      </c>
      <c r="C4954" t="str">
        <f>VLOOKUP(A4954,'Programas y Unidades'!$A:$B,2,0)</f>
        <v>Maestría en Pedagogía e Investigación en Aula - Virtual</v>
      </c>
    </row>
    <row r="4955" spans="1:3">
      <c r="A4955">
        <v>85</v>
      </c>
      <c r="B4955">
        <v>3</v>
      </c>
      <c r="C4955" t="str">
        <f>VLOOKUP(A4955,'Programas y Unidades'!$A:$B,2,0)</f>
        <v>Maestría en Pedagogía e Investigación en Aula - Virtual</v>
      </c>
    </row>
    <row r="4956" spans="1:3">
      <c r="A4956">
        <v>85</v>
      </c>
      <c r="B4956">
        <v>3</v>
      </c>
      <c r="C4956" t="str">
        <f>VLOOKUP(A4956,'Programas y Unidades'!$A:$B,2,0)</f>
        <v>Maestría en Pedagogía e Investigación en Aula - Virtual</v>
      </c>
    </row>
    <row r="4957" spans="1:3">
      <c r="A4957">
        <v>85</v>
      </c>
      <c r="B4957">
        <v>3</v>
      </c>
      <c r="C4957" t="str">
        <f>VLOOKUP(A4957,'Programas y Unidades'!$A:$B,2,0)</f>
        <v>Maestría en Pedagogía e Investigación en Aula - Virtual</v>
      </c>
    </row>
    <row r="4958" spans="1:3">
      <c r="A4958">
        <v>85</v>
      </c>
      <c r="B4958">
        <v>3</v>
      </c>
      <c r="C4958" t="str">
        <f>VLOOKUP(A4958,'Programas y Unidades'!$A:$B,2,0)</f>
        <v>Maestría en Pedagogía e Investigación en Aula - Virtual</v>
      </c>
    </row>
    <row r="4959" spans="1:3">
      <c r="A4959">
        <v>85</v>
      </c>
      <c r="B4959">
        <v>3</v>
      </c>
      <c r="C4959" t="str">
        <f>VLOOKUP(A4959,'Programas y Unidades'!$A:$B,2,0)</f>
        <v>Maestría en Pedagogía e Investigación en Aula - Virtual</v>
      </c>
    </row>
    <row r="4960" spans="1:3">
      <c r="A4960">
        <v>85</v>
      </c>
      <c r="B4960">
        <v>3</v>
      </c>
      <c r="C4960" t="str">
        <f>VLOOKUP(A4960,'Programas y Unidades'!$A:$B,2,0)</f>
        <v>Maestría en Pedagogía e Investigación en Aula - Virtual</v>
      </c>
    </row>
    <row r="4961" spans="1:3">
      <c r="A4961">
        <v>68</v>
      </c>
      <c r="B4961">
        <v>3</v>
      </c>
      <c r="C4961" t="str">
        <f>VLOOKUP(A4961,'Programas y Unidades'!$A:$B,2,0)</f>
        <v>Maestría en Lingüística Panhispánica - Chía</v>
      </c>
    </row>
    <row r="4962" spans="1:3">
      <c r="A4962">
        <v>68</v>
      </c>
      <c r="B4962">
        <v>4</v>
      </c>
      <c r="C4962" t="str">
        <f>VLOOKUP(A4962,'Programas y Unidades'!$A:$B,2,0)</f>
        <v>Maestría en Lingüística Panhispánica - Chía</v>
      </c>
    </row>
    <row r="4963" spans="1:3">
      <c r="A4963">
        <v>69</v>
      </c>
      <c r="B4963">
        <v>3</v>
      </c>
      <c r="C4963" t="str">
        <f>VLOOKUP(A4963,'Programas y Unidades'!$A:$B,2,0)</f>
        <v>Maestría en Teología - Chía</v>
      </c>
    </row>
    <row r="4964" spans="1:3">
      <c r="A4964">
        <v>69</v>
      </c>
      <c r="B4964">
        <v>3</v>
      </c>
      <c r="C4964" t="str">
        <f>VLOOKUP(A4964,'Programas y Unidades'!$A:$B,2,0)</f>
        <v>Maestría en Teología - Chía</v>
      </c>
    </row>
    <row r="4965" spans="1:3">
      <c r="A4965">
        <v>72</v>
      </c>
      <c r="B4965">
        <v>8</v>
      </c>
      <c r="C4965" t="str">
        <f>VLOOKUP(A4965,'Programas y Unidades'!$A:$B,2,0)</f>
        <v>Doctorado en Ingeniería - Chía</v>
      </c>
    </row>
    <row r="4966" spans="1:3">
      <c r="A4966">
        <v>72</v>
      </c>
      <c r="B4966">
        <v>4</v>
      </c>
      <c r="C4966" t="str">
        <f>VLOOKUP(A4966,'Programas y Unidades'!$A:$B,2,0)</f>
        <v>Doctorado en Ingeniería - Chía</v>
      </c>
    </row>
    <row r="4967" spans="1:3">
      <c r="A4967">
        <v>73</v>
      </c>
      <c r="B4967">
        <v>4</v>
      </c>
      <c r="C4967" t="str">
        <f>VLOOKUP(A4967,'Programas y Unidades'!$A:$B,2,0)</f>
        <v>Maestría en Diseño y Gestión de Procesos - Chía</v>
      </c>
    </row>
    <row r="4968" spans="1:3">
      <c r="A4968">
        <v>73</v>
      </c>
      <c r="B4968">
        <v>4</v>
      </c>
      <c r="C4968" t="str">
        <f>VLOOKUP(A4968,'Programas y Unidades'!$A:$B,2,0)</f>
        <v>Maestría en Diseño y Gestión de Procesos - Chía</v>
      </c>
    </row>
    <row r="4969" spans="1:3">
      <c r="A4969">
        <v>74</v>
      </c>
      <c r="B4969">
        <v>3</v>
      </c>
      <c r="C4969" t="str">
        <f>VLOOKUP(A4969,'Programas y Unidades'!$A:$B,2,0)</f>
        <v>Maestría en Gerencia de Ingeniería - Chía</v>
      </c>
    </row>
    <row r="4970" spans="1:3">
      <c r="A4970">
        <v>74</v>
      </c>
      <c r="B4970">
        <v>4</v>
      </c>
      <c r="C4970" t="str">
        <f>VLOOKUP(A4970,'Programas y Unidades'!$A:$B,2,0)</f>
        <v>Maestría en Gerencia de Ingeniería - Chía</v>
      </c>
    </row>
    <row r="4971" spans="1:3">
      <c r="A4971">
        <v>74</v>
      </c>
      <c r="B4971">
        <v>2</v>
      </c>
      <c r="C4971" t="str">
        <f>VLOOKUP(A4971,'Programas y Unidades'!$A:$B,2,0)</f>
        <v>Maestría en Gerencia de Ingeniería - Chía</v>
      </c>
    </row>
    <row r="4972" spans="1:3">
      <c r="A4972">
        <v>1</v>
      </c>
      <c r="B4972">
        <v>5</v>
      </c>
      <c r="C4972" t="str">
        <f>VLOOKUP(A4972,'Programas y Unidades'!$A:$B,2,0)</f>
        <v>Especialización en Anestesiología y Medicina Perioperatoria</v>
      </c>
    </row>
    <row r="4973" spans="1:3">
      <c r="A4973">
        <v>1</v>
      </c>
      <c r="B4973">
        <v>5</v>
      </c>
      <c r="C4973" t="str">
        <f>VLOOKUP(A4973,'Programas y Unidades'!$A:$B,2,0)</f>
        <v>Especialización en Anestesiología y Medicina Perioperatoria</v>
      </c>
    </row>
    <row r="4974" spans="1:3">
      <c r="A4974">
        <v>1</v>
      </c>
      <c r="B4974">
        <v>5</v>
      </c>
      <c r="C4974" t="str">
        <f>VLOOKUP(A4974,'Programas y Unidades'!$A:$B,2,0)</f>
        <v>Especialización en Anestesiología y Medicina Perioperatoria</v>
      </c>
    </row>
    <row r="4975" spans="1:3">
      <c r="A4975">
        <v>2</v>
      </c>
      <c r="B4975">
        <v>6</v>
      </c>
      <c r="C4975" t="str">
        <f>VLOOKUP(A4975,'Programas y Unidades'!$A:$B,2,0)</f>
        <v>Especialización en Cirugía General</v>
      </c>
    </row>
    <row r="4976" spans="1:3">
      <c r="A4976">
        <v>2</v>
      </c>
      <c r="B4976">
        <v>8</v>
      </c>
      <c r="C4976" t="str">
        <f>VLOOKUP(A4976,'Programas y Unidades'!$A:$B,2,0)</f>
        <v>Especialización en Cirugía General</v>
      </c>
    </row>
    <row r="4977" spans="1:3">
      <c r="A4977">
        <v>2</v>
      </c>
      <c r="B4977">
        <v>3</v>
      </c>
      <c r="C4977" t="str">
        <f>VLOOKUP(A4977,'Programas y Unidades'!$A:$B,2,0)</f>
        <v>Especialización en Cirugía General</v>
      </c>
    </row>
    <row r="4978" spans="1:3">
      <c r="A4978">
        <v>2</v>
      </c>
      <c r="B4978">
        <v>4</v>
      </c>
      <c r="C4978" t="str">
        <f>VLOOKUP(A4978,'Programas y Unidades'!$A:$B,2,0)</f>
        <v>Especialización en Cirugía General</v>
      </c>
    </row>
    <row r="4979" spans="1:3">
      <c r="A4979">
        <v>2</v>
      </c>
      <c r="B4979">
        <v>4</v>
      </c>
      <c r="C4979" t="str">
        <f>VLOOKUP(A4979,'Programas y Unidades'!$A:$B,2,0)</f>
        <v>Especialización en Cirugía General</v>
      </c>
    </row>
    <row r="4980" spans="1:3">
      <c r="A4980">
        <v>2</v>
      </c>
      <c r="B4980">
        <v>4</v>
      </c>
      <c r="C4980" t="str">
        <f>VLOOKUP(A4980,'Programas y Unidades'!$A:$B,2,0)</f>
        <v>Especialización en Cirugía General</v>
      </c>
    </row>
    <row r="4981" spans="1:3">
      <c r="A4981">
        <v>2</v>
      </c>
      <c r="B4981">
        <v>2</v>
      </c>
      <c r="C4981" t="str">
        <f>VLOOKUP(A4981,'Programas y Unidades'!$A:$B,2,0)</f>
        <v>Especialización en Cirugía General</v>
      </c>
    </row>
    <row r="4982" spans="1:3">
      <c r="A4982">
        <v>2</v>
      </c>
      <c r="B4982">
        <v>1</v>
      </c>
      <c r="C4982" t="str">
        <f>VLOOKUP(A4982,'Programas y Unidades'!$A:$B,2,0)</f>
        <v>Especialización en Cirugía General</v>
      </c>
    </row>
    <row r="4983" spans="1:3">
      <c r="A4983">
        <v>2</v>
      </c>
      <c r="B4983">
        <v>1</v>
      </c>
      <c r="C4983" t="str">
        <f>VLOOKUP(A4983,'Programas y Unidades'!$A:$B,2,0)</f>
        <v>Especialización en Cirugía General</v>
      </c>
    </row>
    <row r="4984" spans="1:3">
      <c r="A4984">
        <v>2</v>
      </c>
      <c r="B4984">
        <v>1</v>
      </c>
      <c r="C4984" t="str">
        <f>VLOOKUP(A4984,'Programas y Unidades'!$A:$B,2,0)</f>
        <v>Especialización en Cirugía General</v>
      </c>
    </row>
    <row r="4985" spans="1:3">
      <c r="A4985">
        <v>5</v>
      </c>
      <c r="B4985">
        <v>5</v>
      </c>
      <c r="C4985" t="str">
        <f>VLOOKUP(A4985,'Programas y Unidades'!$A:$B,2,0)</f>
        <v>Especialización en Farmacología Clínica</v>
      </c>
    </row>
    <row r="4986" spans="1:3">
      <c r="A4986">
        <v>5</v>
      </c>
      <c r="B4986">
        <v>6</v>
      </c>
      <c r="C4986" t="str">
        <f>VLOOKUP(A4986,'Programas y Unidades'!$A:$B,2,0)</f>
        <v>Especialización en Farmacología Clínica</v>
      </c>
    </row>
    <row r="4987" spans="1:3">
      <c r="A4987">
        <v>6</v>
      </c>
      <c r="B4987">
        <v>3</v>
      </c>
      <c r="C4987" t="str">
        <f>VLOOKUP(A4987,'Programas y Unidades'!$A:$B,2,0)</f>
        <v>Especialización en Ginecología y Obstetricia</v>
      </c>
    </row>
    <row r="4988" spans="1:3">
      <c r="A4988">
        <v>6</v>
      </c>
      <c r="B4988">
        <v>5</v>
      </c>
      <c r="C4988" t="str">
        <f>VLOOKUP(A4988,'Programas y Unidades'!$A:$B,2,0)</f>
        <v>Especialización en Ginecología y Obstetricia</v>
      </c>
    </row>
    <row r="4989" spans="1:3">
      <c r="A4989">
        <v>6</v>
      </c>
      <c r="B4989">
        <v>5</v>
      </c>
      <c r="C4989" t="str">
        <f>VLOOKUP(A4989,'Programas y Unidades'!$A:$B,2,0)</f>
        <v>Especialización en Ginecología y Obstetricia</v>
      </c>
    </row>
    <row r="4990" spans="1:3">
      <c r="A4990">
        <v>6</v>
      </c>
      <c r="B4990">
        <v>5</v>
      </c>
      <c r="C4990" t="str">
        <f>VLOOKUP(A4990,'Programas y Unidades'!$A:$B,2,0)</f>
        <v>Especialización en Ginecología y Obstetricia</v>
      </c>
    </row>
    <row r="4991" spans="1:3">
      <c r="A4991">
        <v>7</v>
      </c>
      <c r="B4991">
        <v>3</v>
      </c>
      <c r="C4991" t="str">
        <f>VLOOKUP(A4991,'Programas y Unidades'!$A:$B,2,0)</f>
        <v>Especialización en Medicina Crítica y Cuidado Intensivo</v>
      </c>
    </row>
    <row r="4992" spans="1:3">
      <c r="A4992">
        <v>7</v>
      </c>
      <c r="B4992">
        <v>5</v>
      </c>
      <c r="C4992" t="str">
        <f>VLOOKUP(A4992,'Programas y Unidades'!$A:$B,2,0)</f>
        <v>Especialización en Medicina Crítica y Cuidado Intensivo</v>
      </c>
    </row>
    <row r="4993" spans="1:3">
      <c r="A4993">
        <v>7</v>
      </c>
      <c r="B4993">
        <v>6</v>
      </c>
      <c r="C4993" t="str">
        <f>VLOOKUP(A4993,'Programas y Unidades'!$A:$B,2,0)</f>
        <v>Especialización en Medicina Crítica y Cuidado Intensivo</v>
      </c>
    </row>
    <row r="4994" spans="1:3">
      <c r="A4994">
        <v>7</v>
      </c>
      <c r="B4994">
        <v>8</v>
      </c>
      <c r="C4994" t="str">
        <f>VLOOKUP(A4994,'Programas y Unidades'!$A:$B,2,0)</f>
        <v>Especialización en Medicina Crítica y Cuidado Intensivo</v>
      </c>
    </row>
    <row r="4995" spans="1:3">
      <c r="A4995">
        <v>7</v>
      </c>
      <c r="B4995">
        <v>7</v>
      </c>
      <c r="C4995" t="str">
        <f>VLOOKUP(A4995,'Programas y Unidades'!$A:$B,2,0)</f>
        <v>Especialización en Medicina Crítica y Cuidado Intensivo</v>
      </c>
    </row>
    <row r="4996" spans="1:3">
      <c r="A4996">
        <v>7</v>
      </c>
      <c r="B4996">
        <v>8</v>
      </c>
      <c r="C4996" t="str">
        <f>VLOOKUP(A4996,'Programas y Unidades'!$A:$B,2,0)</f>
        <v>Especialización en Medicina Crítica y Cuidado Intensivo</v>
      </c>
    </row>
    <row r="4997" spans="1:3">
      <c r="A4997">
        <v>18</v>
      </c>
      <c r="B4997">
        <v>2</v>
      </c>
      <c r="C4997" t="str">
        <f>VLOOKUP(A4997,'Programas y Unidades'!$A:$B,2,0)</f>
        <v>Especialización en Medicina del Dolor y Cuidados Paliativos</v>
      </c>
    </row>
    <row r="4998" spans="1:3">
      <c r="A4998">
        <v>18</v>
      </c>
      <c r="B4998">
        <v>4</v>
      </c>
      <c r="C4998" t="str">
        <f>VLOOKUP(A4998,'Programas y Unidades'!$A:$B,2,0)</f>
        <v>Especialización en Medicina del Dolor y Cuidados Paliativos</v>
      </c>
    </row>
    <row r="4999" spans="1:3">
      <c r="A4999">
        <v>18</v>
      </c>
      <c r="B4999">
        <v>4</v>
      </c>
      <c r="C4999" t="str">
        <f>VLOOKUP(A4999,'Programas y Unidades'!$A:$B,2,0)</f>
        <v>Especialización en Medicina del Dolor y Cuidados Paliativos</v>
      </c>
    </row>
    <row r="5000" spans="1:3">
      <c r="A5000">
        <v>18</v>
      </c>
      <c r="B5000">
        <v>5</v>
      </c>
      <c r="C5000" t="str">
        <f>VLOOKUP(A5000,'Programas y Unidades'!$A:$B,2,0)</f>
        <v>Especialización en Medicina del Dolor y Cuidados Paliativos</v>
      </c>
    </row>
    <row r="5001" spans="1:3">
      <c r="A5001">
        <v>18</v>
      </c>
      <c r="B5001">
        <v>6</v>
      </c>
      <c r="C5001" t="str">
        <f>VLOOKUP(A5001,'Programas y Unidades'!$A:$B,2,0)</f>
        <v>Especialización en Medicina del Dolor y Cuidados Paliativos</v>
      </c>
    </row>
    <row r="5002" spans="1:3">
      <c r="A5002">
        <v>18</v>
      </c>
      <c r="B5002">
        <v>9</v>
      </c>
      <c r="C5002" t="str">
        <f>VLOOKUP(A5002,'Programas y Unidades'!$A:$B,2,0)</f>
        <v>Especialización en Medicina del Dolor y Cuidados Paliativos</v>
      </c>
    </row>
    <row r="5003" spans="1:3">
      <c r="A5003">
        <v>8</v>
      </c>
      <c r="B5003">
        <v>2</v>
      </c>
      <c r="C5003" t="str">
        <f>VLOOKUP(A5003,'Programas y Unidades'!$A:$B,2,0)</f>
        <v>Especialización en Medicina Familiar y Comunitaria</v>
      </c>
    </row>
    <row r="5004" spans="1:3">
      <c r="A5004">
        <v>8</v>
      </c>
      <c r="B5004">
        <v>4</v>
      </c>
      <c r="C5004" t="str">
        <f>VLOOKUP(A5004,'Programas y Unidades'!$A:$B,2,0)</f>
        <v>Especialización en Medicina Familiar y Comunitaria</v>
      </c>
    </row>
    <row r="5005" spans="1:3">
      <c r="A5005">
        <v>8</v>
      </c>
      <c r="B5005">
        <v>5</v>
      </c>
      <c r="C5005" t="str">
        <f>VLOOKUP(A5005,'Programas y Unidades'!$A:$B,2,0)</f>
        <v>Especialización en Medicina Familiar y Comunitaria</v>
      </c>
    </row>
    <row r="5006" spans="1:3">
      <c r="A5006">
        <v>8</v>
      </c>
      <c r="B5006">
        <v>6</v>
      </c>
      <c r="C5006" t="str">
        <f>VLOOKUP(A5006,'Programas y Unidades'!$A:$B,2,0)</f>
        <v>Especialización en Medicina Familiar y Comunitaria</v>
      </c>
    </row>
    <row r="5007" spans="1:3">
      <c r="A5007">
        <v>9</v>
      </c>
      <c r="B5007">
        <v>3</v>
      </c>
      <c r="C5007" t="str">
        <f>VLOOKUP(A5007,'Programas y Unidades'!$A:$B,2,0)</f>
        <v>Especialización en Medicina Física y Rehabilitación</v>
      </c>
    </row>
    <row r="5008" spans="1:3">
      <c r="A5008">
        <v>9</v>
      </c>
      <c r="B5008">
        <v>6</v>
      </c>
      <c r="C5008" t="str">
        <f>VLOOKUP(A5008,'Programas y Unidades'!$A:$B,2,0)</f>
        <v>Especialización en Medicina Física y Rehabilitación</v>
      </c>
    </row>
    <row r="5009" spans="1:3">
      <c r="A5009">
        <v>9</v>
      </c>
      <c r="B5009">
        <v>6</v>
      </c>
      <c r="C5009" t="str">
        <f>VLOOKUP(A5009,'Programas y Unidades'!$A:$B,2,0)</f>
        <v>Especialización en Medicina Física y Rehabilitación</v>
      </c>
    </row>
    <row r="5010" spans="1:3">
      <c r="A5010">
        <v>10</v>
      </c>
      <c r="B5010">
        <v>2</v>
      </c>
      <c r="C5010" t="str">
        <f>VLOOKUP(A5010,'Programas y Unidades'!$A:$B,2,0)</f>
        <v>Especialización en Medicina Interna</v>
      </c>
    </row>
    <row r="5011" spans="1:3">
      <c r="A5011">
        <v>10</v>
      </c>
      <c r="B5011">
        <v>2</v>
      </c>
      <c r="C5011" t="str">
        <f>VLOOKUP(A5011,'Programas y Unidades'!$A:$B,2,0)</f>
        <v>Especialización en Medicina Interna</v>
      </c>
    </row>
    <row r="5012" spans="1:3">
      <c r="A5012">
        <v>10</v>
      </c>
      <c r="B5012">
        <v>3</v>
      </c>
      <c r="C5012" t="str">
        <f>VLOOKUP(A5012,'Programas y Unidades'!$A:$B,2,0)</f>
        <v>Especialización en Medicina Interna</v>
      </c>
    </row>
    <row r="5013" spans="1:3">
      <c r="A5013">
        <v>10</v>
      </c>
      <c r="B5013">
        <v>3</v>
      </c>
      <c r="C5013" t="str">
        <f>VLOOKUP(A5013,'Programas y Unidades'!$A:$B,2,0)</f>
        <v>Especialización en Medicina Interna</v>
      </c>
    </row>
    <row r="5014" spans="1:3">
      <c r="A5014">
        <v>10</v>
      </c>
      <c r="B5014">
        <v>3</v>
      </c>
      <c r="C5014" t="str">
        <f>VLOOKUP(A5014,'Programas y Unidades'!$A:$B,2,0)</f>
        <v>Especialización en Medicina Interna</v>
      </c>
    </row>
    <row r="5015" spans="1:3">
      <c r="A5015">
        <v>10</v>
      </c>
      <c r="B5015">
        <v>3</v>
      </c>
      <c r="C5015" t="str">
        <f>VLOOKUP(A5015,'Programas y Unidades'!$A:$B,2,0)</f>
        <v>Especialización en Medicina Interna</v>
      </c>
    </row>
    <row r="5016" spans="1:3">
      <c r="A5016">
        <v>10</v>
      </c>
      <c r="B5016">
        <v>4</v>
      </c>
      <c r="C5016" t="str">
        <f>VLOOKUP(A5016,'Programas y Unidades'!$A:$B,2,0)</f>
        <v>Especialización en Medicina Interna</v>
      </c>
    </row>
    <row r="5017" spans="1:3">
      <c r="A5017">
        <v>10</v>
      </c>
      <c r="B5017">
        <v>4</v>
      </c>
      <c r="C5017" t="str">
        <f>VLOOKUP(A5017,'Programas y Unidades'!$A:$B,2,0)</f>
        <v>Especialización en Medicina Interna</v>
      </c>
    </row>
    <row r="5018" spans="1:3">
      <c r="A5018">
        <v>10</v>
      </c>
      <c r="B5018">
        <v>4</v>
      </c>
      <c r="C5018" t="str">
        <f>VLOOKUP(A5018,'Programas y Unidades'!$A:$B,2,0)</f>
        <v>Especialización en Medicina Interna</v>
      </c>
    </row>
    <row r="5019" spans="1:3">
      <c r="A5019">
        <v>10</v>
      </c>
      <c r="B5019">
        <v>4</v>
      </c>
      <c r="C5019" t="str">
        <f>VLOOKUP(A5019,'Programas y Unidades'!$A:$B,2,0)</f>
        <v>Especialización en Medicina Interna</v>
      </c>
    </row>
    <row r="5020" spans="1:3">
      <c r="A5020">
        <v>10</v>
      </c>
      <c r="B5020">
        <v>5</v>
      </c>
      <c r="C5020" t="str">
        <f>VLOOKUP(A5020,'Programas y Unidades'!$A:$B,2,0)</f>
        <v>Especialización en Medicina Interna</v>
      </c>
    </row>
    <row r="5021" spans="1:3">
      <c r="A5021">
        <v>10</v>
      </c>
      <c r="B5021">
        <v>5</v>
      </c>
      <c r="C5021" t="str">
        <f>VLOOKUP(A5021,'Programas y Unidades'!$A:$B,2,0)</f>
        <v>Especialización en Medicina Interna</v>
      </c>
    </row>
    <row r="5022" spans="1:3">
      <c r="A5022">
        <v>10</v>
      </c>
      <c r="B5022">
        <v>6</v>
      </c>
      <c r="C5022" t="str">
        <f>VLOOKUP(A5022,'Programas y Unidades'!$A:$B,2,0)</f>
        <v>Especialización en Medicina Interna</v>
      </c>
    </row>
    <row r="5023" spans="1:3">
      <c r="A5023">
        <v>10</v>
      </c>
      <c r="B5023">
        <v>6</v>
      </c>
      <c r="C5023" t="str">
        <f>VLOOKUP(A5023,'Programas y Unidades'!$A:$B,2,0)</f>
        <v>Especialización en Medicina Interna</v>
      </c>
    </row>
    <row r="5024" spans="1:3">
      <c r="A5024">
        <v>10</v>
      </c>
      <c r="B5024">
        <v>6</v>
      </c>
      <c r="C5024" t="str">
        <f>VLOOKUP(A5024,'Programas y Unidades'!$A:$B,2,0)</f>
        <v>Especialización en Medicina Interna</v>
      </c>
    </row>
    <row r="5025" spans="1:3">
      <c r="A5025">
        <v>10</v>
      </c>
      <c r="B5025">
        <v>6</v>
      </c>
      <c r="C5025" t="str">
        <f>VLOOKUP(A5025,'Programas y Unidades'!$A:$B,2,0)</f>
        <v>Especialización en Medicina Interna</v>
      </c>
    </row>
    <row r="5026" spans="1:3">
      <c r="A5026">
        <v>12</v>
      </c>
      <c r="B5026">
        <v>2</v>
      </c>
      <c r="C5026" t="str">
        <f>VLOOKUP(A5026,'Programas y Unidades'!$A:$B,2,0)</f>
        <v>Especialización en Neurología</v>
      </c>
    </row>
    <row r="5027" spans="1:3">
      <c r="A5027">
        <v>13</v>
      </c>
      <c r="B5027">
        <v>2</v>
      </c>
      <c r="C5027" t="str">
        <f>VLOOKUP(A5027,'Programas y Unidades'!$A:$B,2,0)</f>
        <v>Especialización en Oftalmología</v>
      </c>
    </row>
    <row r="5028" spans="1:3">
      <c r="A5028">
        <v>14</v>
      </c>
      <c r="B5028">
        <v>8</v>
      </c>
      <c r="C5028" t="str">
        <f>VLOOKUP(A5028,'Programas y Unidades'!$A:$B,2,0)</f>
        <v>Especialización en Pediatría</v>
      </c>
    </row>
    <row r="5029" spans="1:3">
      <c r="A5029">
        <v>14</v>
      </c>
      <c r="B5029">
        <v>5</v>
      </c>
      <c r="C5029" t="str">
        <f>VLOOKUP(A5029,'Programas y Unidades'!$A:$B,2,0)</f>
        <v>Especialización en Pediatría</v>
      </c>
    </row>
    <row r="5030" spans="1:3">
      <c r="A5030">
        <v>14</v>
      </c>
      <c r="B5030">
        <v>5</v>
      </c>
      <c r="C5030" t="str">
        <f>VLOOKUP(A5030,'Programas y Unidades'!$A:$B,2,0)</f>
        <v>Especialización en Pediatría</v>
      </c>
    </row>
    <row r="5031" spans="1:3">
      <c r="A5031">
        <v>15</v>
      </c>
      <c r="B5031">
        <v>3</v>
      </c>
      <c r="C5031" t="str">
        <f>VLOOKUP(A5031,'Programas y Unidades'!$A:$B,2,0)</f>
        <v>Especialización en Radiología e Imágenes Diagnósticas</v>
      </c>
    </row>
    <row r="5032" spans="1:3">
      <c r="A5032">
        <v>15</v>
      </c>
      <c r="B5032">
        <v>5</v>
      </c>
      <c r="C5032" t="str">
        <f>VLOOKUP(A5032,'Programas y Unidades'!$A:$B,2,0)</f>
        <v>Especialización en Radiología e Imágenes Diagnósticas</v>
      </c>
    </row>
    <row r="5033" spans="1:3">
      <c r="A5033">
        <v>15</v>
      </c>
      <c r="B5033">
        <v>8</v>
      </c>
      <c r="C5033" t="str">
        <f>VLOOKUP(A5033,'Programas y Unidades'!$A:$B,2,0)</f>
        <v>Especialización en Radiología e Imágenes Diagnósticas</v>
      </c>
    </row>
    <row r="5034" spans="1:3">
      <c r="A5034">
        <v>76</v>
      </c>
      <c r="B5034">
        <v>4</v>
      </c>
      <c r="C5034" t="str">
        <f>VLOOKUP(A5034,'Programas y Unidades'!$A:$B,2,0)</f>
        <v>Maestría en Bioética - Chía</v>
      </c>
    </row>
    <row r="5035" spans="1:3">
      <c r="A5035">
        <v>79</v>
      </c>
      <c r="B5035">
        <v>2</v>
      </c>
      <c r="C5035" t="str">
        <f>VLOOKUP(A5035,'Programas y Unidades'!$A:$B,2,0)</f>
        <v>Maestría en Salud Pública - Chía</v>
      </c>
    </row>
    <row r="5036" spans="1:3">
      <c r="A5036">
        <v>81</v>
      </c>
      <c r="B5036">
        <v>3</v>
      </c>
      <c r="C5036" t="str">
        <f>VLOOKUP(A5036,'Programas y Unidades'!$A:$B,2,0)</f>
        <v>Maestría en Gerencia y Desarrollo de Personas - Chía</v>
      </c>
    </row>
    <row r="5037" spans="1:3">
      <c r="A5037">
        <v>81</v>
      </c>
      <c r="B5037">
        <v>2</v>
      </c>
      <c r="C5037" t="str">
        <f>VLOOKUP(A5037,'Programas y Unidades'!$A:$B,2,0)</f>
        <v>Maestría en Gerencia y Desarrollo de Personas - Chía</v>
      </c>
    </row>
    <row r="5038" spans="1:3">
      <c r="A5038">
        <v>81</v>
      </c>
      <c r="B5038">
        <v>3</v>
      </c>
      <c r="C5038" t="str">
        <f>VLOOKUP(A5038,'Programas y Unidades'!$A:$B,2,0)</f>
        <v>Maestría en Gerencia y Desarrollo de Personas - Chía</v>
      </c>
    </row>
    <row r="5039" spans="1:3">
      <c r="A5039">
        <v>81</v>
      </c>
      <c r="B5039">
        <v>3</v>
      </c>
      <c r="C5039" t="str">
        <f>VLOOKUP(A5039,'Programas y Unidades'!$A:$B,2,0)</f>
        <v>Maestría en Gerencia y Desarrollo de Personas - Chía</v>
      </c>
    </row>
    <row r="5040" spans="1:3">
      <c r="A5040">
        <v>81</v>
      </c>
      <c r="B5040">
        <v>4</v>
      </c>
      <c r="C5040" t="str">
        <f>VLOOKUP(A5040,'Programas y Unidades'!$A:$B,2,0)</f>
        <v>Maestría en Gerencia y Desarrollo de Personas - Chía</v>
      </c>
    </row>
    <row r="5041" spans="1:3">
      <c r="A5041">
        <v>81</v>
      </c>
      <c r="B5041">
        <v>4</v>
      </c>
      <c r="C5041" t="str">
        <f>VLOOKUP(A5041,'Programas y Unidades'!$A:$B,2,0)</f>
        <v>Maestría en Gerencia y Desarrollo de Personas - Chía</v>
      </c>
    </row>
    <row r="5042" spans="1:3">
      <c r="A5042">
        <v>82</v>
      </c>
      <c r="B5042">
        <v>2</v>
      </c>
      <c r="C5042" t="str">
        <f>VLOOKUP(A5042,'Programas y Unidades'!$A:$B,2,0)</f>
        <v>Maestría en Psicología de la Salud y la Discapacidad - Chía</v>
      </c>
    </row>
    <row r="5043" spans="1:3">
      <c r="A5043">
        <v>82</v>
      </c>
      <c r="B5043">
        <v>4</v>
      </c>
      <c r="C5043" t="str">
        <f>VLOOKUP(A5043,'Programas y Unidades'!$A:$B,2,0)</f>
        <v>Maestría en Psicología de la Salud y la Discapacidad - Chía</v>
      </c>
    </row>
    <row r="5044" spans="1:3">
      <c r="A5044">
        <v>82</v>
      </c>
      <c r="B5044">
        <v>4</v>
      </c>
      <c r="C5044" t="str">
        <f>VLOOKUP(A5044,'Programas y Unidades'!$A:$B,2,0)</f>
        <v>Maestría en Psicología de la Salud y la Discapacidad - Chía</v>
      </c>
    </row>
    <row r="5045" spans="1:3">
      <c r="A5045">
        <v>82</v>
      </c>
      <c r="B5045">
        <v>3</v>
      </c>
      <c r="C5045" t="str">
        <f>VLOOKUP(A5045,'Programas y Unidades'!$A:$B,2,0)</f>
        <v>Maestría en Psicología de la Salud y la Discapacidad - Chía</v>
      </c>
    </row>
    <row r="5046" spans="1:3">
      <c r="A5046">
        <v>82</v>
      </c>
      <c r="B5046">
        <v>4</v>
      </c>
      <c r="C5046" t="str">
        <f>VLOOKUP(A5046,'Programas y Unidades'!$A:$B,2,0)</f>
        <v>Maestría en Psicología de la Salud y la Discapacidad - Chía</v>
      </c>
    </row>
    <row r="5047" spans="1:3">
      <c r="A5047">
        <v>82</v>
      </c>
      <c r="B5047">
        <v>4</v>
      </c>
      <c r="C5047" t="str">
        <f>VLOOKUP(A5047,'Programas y Unidades'!$A:$B,2,0)</f>
        <v>Maestría en Psicología de la Salud y la Discapacidad - Chía</v>
      </c>
    </row>
    <row r="5048" spans="1:3">
      <c r="A5048">
        <v>124</v>
      </c>
      <c r="B5048">
        <v>2</v>
      </c>
      <c r="C5048" t="str">
        <f>VLOOKUP(A5048,'Programas y Unidades'!$A:$B,2,0)</f>
        <v>Especialización en Gerencia Estratégica - Virtual</v>
      </c>
    </row>
    <row r="5049" spans="1:3">
      <c r="A5049">
        <v>124</v>
      </c>
      <c r="B5049">
        <v>2</v>
      </c>
      <c r="C5049" t="str">
        <f>VLOOKUP(A5049,'Programas y Unidades'!$A:$B,2,0)</f>
        <v>Especialización en Gerencia Estratégica - Virtual</v>
      </c>
    </row>
    <row r="5050" spans="1:3">
      <c r="A5050">
        <v>124</v>
      </c>
      <c r="B5050">
        <v>2</v>
      </c>
      <c r="C5050" t="str">
        <f>VLOOKUP(A5050,'Programas y Unidades'!$A:$B,2,0)</f>
        <v>Especialización en Gerencia Estratégica - Virtual</v>
      </c>
    </row>
    <row r="5051" spans="1:3">
      <c r="A5051">
        <v>124</v>
      </c>
      <c r="B5051">
        <v>2</v>
      </c>
      <c r="C5051" t="str">
        <f>VLOOKUP(A5051,'Programas y Unidades'!$A:$B,2,0)</f>
        <v>Especialización en Gerencia Estratégica - Virtual</v>
      </c>
    </row>
    <row r="5052" spans="1:3">
      <c r="A5052">
        <v>124</v>
      </c>
      <c r="B5052">
        <v>2</v>
      </c>
      <c r="C5052" t="str">
        <f>VLOOKUP(A5052,'Programas y Unidades'!$A:$B,2,0)</f>
        <v>Especialización en Gerencia Estratégica - Virtual</v>
      </c>
    </row>
    <row r="5053" spans="1:3">
      <c r="A5053">
        <v>124</v>
      </c>
      <c r="B5053">
        <v>2</v>
      </c>
      <c r="C5053" t="str">
        <f>VLOOKUP(A5053,'Programas y Unidades'!$A:$B,2,0)</f>
        <v>Especialización en Gerencia Estratégica - Virtual</v>
      </c>
    </row>
    <row r="5054" spans="1:3">
      <c r="A5054">
        <v>124</v>
      </c>
      <c r="B5054">
        <v>9</v>
      </c>
      <c r="C5054" t="str">
        <f>VLOOKUP(A5054,'Programas y Unidades'!$A:$B,2,0)</f>
        <v>Especialización en Gerencia Estratégica - Virtual</v>
      </c>
    </row>
    <row r="5055" spans="1:3">
      <c r="A5055">
        <v>124</v>
      </c>
      <c r="B5055">
        <v>3</v>
      </c>
      <c r="C5055" t="str">
        <f>VLOOKUP(A5055,'Programas y Unidades'!$A:$B,2,0)</f>
        <v>Especialización en Gerencia Estratégica - Virtual</v>
      </c>
    </row>
    <row r="5056" spans="1:3">
      <c r="A5056">
        <v>124</v>
      </c>
      <c r="B5056">
        <v>9</v>
      </c>
      <c r="C5056" t="str">
        <f>VLOOKUP(A5056,'Programas y Unidades'!$A:$B,2,0)</f>
        <v>Especialización en Gerencia Estratégica - Virtual</v>
      </c>
    </row>
    <row r="5057" spans="1:3">
      <c r="A5057">
        <v>124</v>
      </c>
      <c r="B5057">
        <v>2</v>
      </c>
      <c r="C5057" t="str">
        <f>VLOOKUP(A5057,'Programas y Unidades'!$A:$B,2,0)</f>
        <v>Especialización en Gerencia Estratégica - Virtual</v>
      </c>
    </row>
    <row r="5058" spans="1:3">
      <c r="A5058">
        <v>124</v>
      </c>
      <c r="B5058">
        <v>2</v>
      </c>
      <c r="C5058" t="str">
        <f>VLOOKUP(A5058,'Programas y Unidades'!$A:$B,2,0)</f>
        <v>Especialización en Gerencia Estratégica - Virtual</v>
      </c>
    </row>
    <row r="5059" spans="1:3">
      <c r="A5059">
        <v>124</v>
      </c>
      <c r="B5059">
        <v>2</v>
      </c>
      <c r="C5059" t="str">
        <f>VLOOKUP(A5059,'Programas y Unidades'!$A:$B,2,0)</f>
        <v>Especialización en Gerencia Estratégica - Virtual</v>
      </c>
    </row>
    <row r="5060" spans="1:3">
      <c r="A5060">
        <v>124</v>
      </c>
      <c r="B5060">
        <v>5</v>
      </c>
      <c r="C5060" t="str">
        <f>VLOOKUP(A5060,'Programas y Unidades'!$A:$B,2,0)</f>
        <v>Especialización en Gerencia Estratégica - Virtual</v>
      </c>
    </row>
    <row r="5061" spans="1:3">
      <c r="A5061">
        <v>124</v>
      </c>
      <c r="B5061">
        <v>2</v>
      </c>
      <c r="C5061" t="str">
        <f>VLOOKUP(A5061,'Programas y Unidades'!$A:$B,2,0)</f>
        <v>Especialización en Gerencia Estratégica - Virtual</v>
      </c>
    </row>
    <row r="5062" spans="1:3">
      <c r="A5062">
        <v>124</v>
      </c>
      <c r="B5062">
        <v>2</v>
      </c>
      <c r="C5062" t="str">
        <f>VLOOKUP(A5062,'Programas y Unidades'!$A:$B,2,0)</f>
        <v>Especialización en Gerencia Estratégica - Virtual</v>
      </c>
    </row>
    <row r="5063" spans="1:3">
      <c r="A5063">
        <v>124</v>
      </c>
      <c r="B5063">
        <v>2</v>
      </c>
      <c r="C5063" t="str">
        <f>VLOOKUP(A5063,'Programas y Unidades'!$A:$B,2,0)</f>
        <v>Especialización en Gerencia Estratégica - Virtual</v>
      </c>
    </row>
    <row r="5064" spans="1:3">
      <c r="A5064">
        <v>124</v>
      </c>
      <c r="B5064">
        <v>2</v>
      </c>
      <c r="C5064" t="str">
        <f>VLOOKUP(A5064,'Programas y Unidades'!$A:$B,2,0)</f>
        <v>Especialización en Gerencia Estratégica - Virtual</v>
      </c>
    </row>
    <row r="5065" spans="1:3">
      <c r="A5065">
        <v>124</v>
      </c>
      <c r="B5065">
        <v>2</v>
      </c>
      <c r="C5065" t="str">
        <f>VLOOKUP(A5065,'Programas y Unidades'!$A:$B,2,0)</f>
        <v>Especialización en Gerencia Estratégica - Virtual</v>
      </c>
    </row>
    <row r="5066" spans="1:3">
      <c r="A5066">
        <v>124</v>
      </c>
      <c r="B5066">
        <v>2</v>
      </c>
      <c r="C5066" t="str">
        <f>VLOOKUP(A5066,'Programas y Unidades'!$A:$B,2,0)</f>
        <v>Especialización en Gerencia Estratégica - Virtual</v>
      </c>
    </row>
    <row r="5067" spans="1:3">
      <c r="A5067">
        <v>124</v>
      </c>
      <c r="B5067">
        <v>2</v>
      </c>
      <c r="C5067" t="str">
        <f>VLOOKUP(A5067,'Programas y Unidades'!$A:$B,2,0)</f>
        <v>Especialización en Gerencia Estratégica - Virtual</v>
      </c>
    </row>
    <row r="5068" spans="1:3">
      <c r="A5068">
        <v>124</v>
      </c>
      <c r="B5068">
        <v>2</v>
      </c>
      <c r="C5068" t="str">
        <f>VLOOKUP(A5068,'Programas y Unidades'!$A:$B,2,0)</f>
        <v>Especialización en Gerencia Estratégica - Virtual</v>
      </c>
    </row>
    <row r="5069" spans="1:3">
      <c r="A5069">
        <v>124</v>
      </c>
      <c r="B5069">
        <v>3</v>
      </c>
      <c r="C5069" t="str">
        <f>VLOOKUP(A5069,'Programas y Unidades'!$A:$B,2,0)</f>
        <v>Especialización en Gerencia Estratégica - Virtual</v>
      </c>
    </row>
    <row r="5070" spans="1:3">
      <c r="A5070">
        <v>124</v>
      </c>
      <c r="B5070">
        <v>2</v>
      </c>
      <c r="C5070" t="str">
        <f>VLOOKUP(A5070,'Programas y Unidades'!$A:$B,2,0)</f>
        <v>Especialización en Gerencia Estratégica - Virtual</v>
      </c>
    </row>
    <row r="5071" spans="1:3">
      <c r="A5071">
        <v>124</v>
      </c>
      <c r="B5071">
        <v>2</v>
      </c>
      <c r="C5071" t="str">
        <f>VLOOKUP(A5071,'Programas y Unidades'!$A:$B,2,0)</f>
        <v>Especialización en Gerencia Estratégica - Virtual</v>
      </c>
    </row>
    <row r="5072" spans="1:3">
      <c r="A5072">
        <v>124</v>
      </c>
      <c r="B5072">
        <v>2</v>
      </c>
      <c r="C5072" t="str">
        <f>VLOOKUP(A5072,'Programas y Unidades'!$A:$B,2,0)</f>
        <v>Especialización en Gerencia Estratégica - Virtual</v>
      </c>
    </row>
    <row r="5073" spans="1:3">
      <c r="A5073">
        <v>124</v>
      </c>
      <c r="B5073">
        <v>1</v>
      </c>
      <c r="C5073" t="str">
        <f>VLOOKUP(A5073,'Programas y Unidades'!$A:$B,2,0)</f>
        <v>Especialización en Gerencia Estratégica - Virtual</v>
      </c>
    </row>
    <row r="5074" spans="1:3">
      <c r="A5074">
        <v>124</v>
      </c>
      <c r="B5074">
        <v>1</v>
      </c>
      <c r="C5074" t="str">
        <f>VLOOKUP(A5074,'Programas y Unidades'!$A:$B,2,0)</f>
        <v>Especialización en Gerencia Estratégica - Virtual</v>
      </c>
    </row>
    <row r="5075" spans="1:3">
      <c r="A5075">
        <v>124</v>
      </c>
      <c r="B5075">
        <v>3</v>
      </c>
      <c r="C5075" t="str">
        <f>VLOOKUP(A5075,'Programas y Unidades'!$A:$B,2,0)</f>
        <v>Especialización en Gerencia Estratégica - Virtual</v>
      </c>
    </row>
    <row r="5076" spans="1:3">
      <c r="A5076">
        <v>124</v>
      </c>
      <c r="B5076">
        <v>1</v>
      </c>
      <c r="C5076" t="str">
        <f>VLOOKUP(A5076,'Programas y Unidades'!$A:$B,2,0)</f>
        <v>Especialización en Gerencia Estratégica - Virtual</v>
      </c>
    </row>
    <row r="5077" spans="1:3">
      <c r="A5077">
        <v>124</v>
      </c>
      <c r="B5077">
        <v>2</v>
      </c>
      <c r="C5077" t="str">
        <f>VLOOKUP(A5077,'Programas y Unidades'!$A:$B,2,0)</f>
        <v>Especialización en Gerencia Estratégica - Virtual</v>
      </c>
    </row>
    <row r="5078" spans="1:3">
      <c r="A5078">
        <v>124</v>
      </c>
      <c r="B5078">
        <v>1</v>
      </c>
      <c r="C5078" t="str">
        <f>VLOOKUP(A5078,'Programas y Unidades'!$A:$B,2,0)</f>
        <v>Especialización en Gerencia Estratégica - Virtual</v>
      </c>
    </row>
    <row r="5079" spans="1:3">
      <c r="A5079">
        <v>124</v>
      </c>
      <c r="B5079">
        <v>1</v>
      </c>
      <c r="C5079" t="str">
        <f>VLOOKUP(A5079,'Programas y Unidades'!$A:$B,2,0)</f>
        <v>Especialización en Gerencia Estratégica - Virtual</v>
      </c>
    </row>
    <row r="5080" spans="1:3">
      <c r="A5080">
        <v>124</v>
      </c>
      <c r="B5080">
        <v>1</v>
      </c>
      <c r="C5080" t="str">
        <f>VLOOKUP(A5080,'Programas y Unidades'!$A:$B,2,0)</f>
        <v>Especialización en Gerencia Estratégica - Virtual</v>
      </c>
    </row>
    <row r="5081" spans="1:3">
      <c r="A5081">
        <v>124</v>
      </c>
      <c r="B5081">
        <v>1</v>
      </c>
      <c r="C5081" t="str">
        <f>VLOOKUP(A5081,'Programas y Unidades'!$A:$B,2,0)</f>
        <v>Especialización en Gerencia Estratégica - Virtual</v>
      </c>
    </row>
    <row r="5082" spans="1:3">
      <c r="A5082">
        <v>124</v>
      </c>
      <c r="B5082">
        <v>2</v>
      </c>
      <c r="C5082" t="str">
        <f>VLOOKUP(A5082,'Programas y Unidades'!$A:$B,2,0)</f>
        <v>Especialización en Gerencia Estratégica - Virtual</v>
      </c>
    </row>
    <row r="5083" spans="1:3">
      <c r="A5083">
        <v>124</v>
      </c>
      <c r="B5083">
        <v>1</v>
      </c>
      <c r="C5083" t="str">
        <f>VLOOKUP(A5083,'Programas y Unidades'!$A:$B,2,0)</f>
        <v>Especialización en Gerencia Estratégica - Virtual</v>
      </c>
    </row>
    <row r="5084" spans="1:3">
      <c r="A5084">
        <v>124</v>
      </c>
      <c r="B5084">
        <v>1</v>
      </c>
      <c r="C5084" t="str">
        <f>VLOOKUP(A5084,'Programas y Unidades'!$A:$B,2,0)</f>
        <v>Especialización en Gerencia Estratégica - Virtual</v>
      </c>
    </row>
    <row r="5085" spans="1:3">
      <c r="A5085">
        <v>134</v>
      </c>
      <c r="B5085">
        <v>2</v>
      </c>
      <c r="C5085" t="str">
        <f>VLOOKUP(A5085,'Programas y Unidades'!$A:$B,2,0)</f>
        <v>Especialización en Gerencia Estratégica - Bucaramanga</v>
      </c>
    </row>
    <row r="5086" spans="1:3">
      <c r="A5086">
        <v>134</v>
      </c>
      <c r="B5086">
        <v>2</v>
      </c>
      <c r="C5086" t="str">
        <f>VLOOKUP(A5086,'Programas y Unidades'!$A:$B,2,0)</f>
        <v>Especialización en Gerencia Estratégica - Bucaramanga</v>
      </c>
    </row>
    <row r="5087" spans="1:3">
      <c r="A5087">
        <v>134</v>
      </c>
      <c r="B5087">
        <v>2</v>
      </c>
      <c r="C5087" t="str">
        <f>VLOOKUP(A5087,'Programas y Unidades'!$A:$B,2,0)</f>
        <v>Especialización en Gerencia Estratégica - Bucaramanga</v>
      </c>
    </row>
    <row r="5088" spans="1:3">
      <c r="A5088">
        <v>134</v>
      </c>
      <c r="B5088">
        <v>2</v>
      </c>
      <c r="C5088" t="str">
        <f>VLOOKUP(A5088,'Programas y Unidades'!$A:$B,2,0)</f>
        <v>Especialización en Gerencia Estratégica - Bucaramanga</v>
      </c>
    </row>
    <row r="5089" spans="1:3">
      <c r="A5089">
        <v>134</v>
      </c>
      <c r="B5089">
        <v>2</v>
      </c>
      <c r="C5089" t="str">
        <f>VLOOKUP(A5089,'Programas y Unidades'!$A:$B,2,0)</f>
        <v>Especialización en Gerencia Estratégica - Bucaramanga</v>
      </c>
    </row>
    <row r="5090" spans="1:3">
      <c r="A5090">
        <v>134</v>
      </c>
      <c r="B5090">
        <v>2</v>
      </c>
      <c r="C5090" t="str">
        <f>VLOOKUP(A5090,'Programas y Unidades'!$A:$B,2,0)</f>
        <v>Especialización en Gerencia Estratégica - Bucaramanga</v>
      </c>
    </row>
    <row r="5091" spans="1:3">
      <c r="A5091">
        <v>134</v>
      </c>
      <c r="B5091">
        <v>2</v>
      </c>
      <c r="C5091" t="str">
        <f>VLOOKUP(A5091,'Programas y Unidades'!$A:$B,2,0)</f>
        <v>Especialización en Gerencia Estratégica - Bucaramanga</v>
      </c>
    </row>
    <row r="5092" spans="1:3">
      <c r="A5092">
        <v>134</v>
      </c>
      <c r="B5092">
        <v>2</v>
      </c>
      <c r="C5092" t="str">
        <f>VLOOKUP(A5092,'Programas y Unidades'!$A:$B,2,0)</f>
        <v>Especialización en Gerencia Estratégica - Bucaramanga</v>
      </c>
    </row>
    <row r="5093" spans="1:3">
      <c r="A5093">
        <v>134</v>
      </c>
      <c r="B5093">
        <v>2</v>
      </c>
      <c r="C5093" t="str">
        <f>VLOOKUP(A5093,'Programas y Unidades'!$A:$B,2,0)</f>
        <v>Especialización en Gerencia Estratégica - Bucaramanga</v>
      </c>
    </row>
    <row r="5094" spans="1:3">
      <c r="A5094">
        <v>134</v>
      </c>
      <c r="B5094">
        <v>2</v>
      </c>
      <c r="C5094" t="str">
        <f>VLOOKUP(A5094,'Programas y Unidades'!$A:$B,2,0)</f>
        <v>Especialización en Gerencia Estratégica - Bucaramanga</v>
      </c>
    </row>
    <row r="5095" spans="1:3">
      <c r="A5095">
        <v>134</v>
      </c>
      <c r="B5095">
        <v>2</v>
      </c>
      <c r="C5095" t="str">
        <f>VLOOKUP(A5095,'Programas y Unidades'!$A:$B,2,0)</f>
        <v>Especialización en Gerencia Estratégica - Bucaramanga</v>
      </c>
    </row>
    <row r="5096" spans="1:3">
      <c r="A5096">
        <v>134</v>
      </c>
      <c r="B5096">
        <v>2</v>
      </c>
      <c r="C5096" t="str">
        <f>VLOOKUP(A5096,'Programas y Unidades'!$A:$B,2,0)</f>
        <v>Especialización en Gerencia Estratégica - Bucaramanga</v>
      </c>
    </row>
    <row r="5097" spans="1:3">
      <c r="A5097">
        <v>134</v>
      </c>
      <c r="B5097">
        <v>2</v>
      </c>
      <c r="C5097" t="str">
        <f>VLOOKUP(A5097,'Programas y Unidades'!$A:$B,2,0)</f>
        <v>Especialización en Gerencia Estratégica - Bucaramanga</v>
      </c>
    </row>
    <row r="5098" spans="1:3">
      <c r="A5098">
        <v>134</v>
      </c>
      <c r="B5098">
        <v>2</v>
      </c>
      <c r="C5098" t="str">
        <f>VLOOKUP(A5098,'Programas y Unidades'!$A:$B,2,0)</f>
        <v>Especialización en Gerencia Estratégica - Bucaramanga</v>
      </c>
    </row>
    <row r="5099" spans="1:3">
      <c r="A5099">
        <v>134</v>
      </c>
      <c r="B5099">
        <v>2</v>
      </c>
      <c r="C5099" t="str">
        <f>VLOOKUP(A5099,'Programas y Unidades'!$A:$B,2,0)</f>
        <v>Especialización en Gerencia Estratégica - Bucaramanga</v>
      </c>
    </row>
    <row r="5100" spans="1:3">
      <c r="A5100">
        <v>134</v>
      </c>
      <c r="B5100">
        <v>2</v>
      </c>
      <c r="C5100" t="str">
        <f>VLOOKUP(A5100,'Programas y Unidades'!$A:$B,2,0)</f>
        <v>Especialización en Gerencia Estratégica - Bucaramanga</v>
      </c>
    </row>
    <row r="5101" spans="1:3">
      <c r="A5101">
        <v>134</v>
      </c>
      <c r="B5101">
        <v>2</v>
      </c>
      <c r="C5101" t="str">
        <f>VLOOKUP(A5101,'Programas y Unidades'!$A:$B,2,0)</f>
        <v>Especialización en Gerencia Estratégica - Bucaramanga</v>
      </c>
    </row>
    <row r="5102" spans="1:3">
      <c r="A5102">
        <v>134</v>
      </c>
      <c r="B5102">
        <v>2</v>
      </c>
      <c r="C5102" t="str">
        <f>VLOOKUP(A5102,'Programas y Unidades'!$A:$B,2,0)</f>
        <v>Especialización en Gerencia Estratégica - Bucaramanga</v>
      </c>
    </row>
    <row r="5103" spans="1:3">
      <c r="A5103">
        <v>134</v>
      </c>
      <c r="B5103">
        <v>2</v>
      </c>
      <c r="C5103" t="str">
        <f>VLOOKUP(A5103,'Programas y Unidades'!$A:$B,2,0)</f>
        <v>Especialización en Gerencia Estratégica - Bucaramanga</v>
      </c>
    </row>
    <row r="5104" spans="1:3">
      <c r="A5104">
        <v>134</v>
      </c>
      <c r="B5104">
        <v>1</v>
      </c>
      <c r="C5104" t="str">
        <f>VLOOKUP(A5104,'Programas y Unidades'!$A:$B,2,0)</f>
        <v>Especialización en Gerencia Estratégica - Bucaramanga</v>
      </c>
    </row>
    <row r="5105" spans="1:3">
      <c r="A5105">
        <v>134</v>
      </c>
      <c r="B5105">
        <v>1</v>
      </c>
      <c r="C5105" t="str">
        <f>VLOOKUP(A5105,'Programas y Unidades'!$A:$B,2,0)</f>
        <v>Especialización en Gerencia Estratégica - Bucaramanga</v>
      </c>
    </row>
    <row r="5106" spans="1:3">
      <c r="A5106">
        <v>134</v>
      </c>
      <c r="B5106">
        <v>1</v>
      </c>
      <c r="C5106" t="str">
        <f>VLOOKUP(A5106,'Programas y Unidades'!$A:$B,2,0)</f>
        <v>Especialización en Gerencia Estratégica - Bucaramanga</v>
      </c>
    </row>
    <row r="5107" spans="1:3">
      <c r="A5107">
        <v>134</v>
      </c>
      <c r="B5107">
        <v>1</v>
      </c>
      <c r="C5107" t="str">
        <f>VLOOKUP(A5107,'Programas y Unidades'!$A:$B,2,0)</f>
        <v>Especialización en Gerencia Estratégica - Bucaramanga</v>
      </c>
    </row>
    <row r="5108" spans="1:3">
      <c r="A5108">
        <v>134</v>
      </c>
      <c r="B5108">
        <v>1</v>
      </c>
      <c r="C5108" t="str">
        <f>VLOOKUP(A5108,'Programas y Unidades'!$A:$B,2,0)</f>
        <v>Especialización en Gerencia Estratégica - Bucaramanga</v>
      </c>
    </row>
    <row r="5109" spans="1:3">
      <c r="A5109">
        <v>134</v>
      </c>
      <c r="B5109">
        <v>1</v>
      </c>
      <c r="C5109" t="str">
        <f>VLOOKUP(A5109,'Programas y Unidades'!$A:$B,2,0)</f>
        <v>Especialización en Gerencia Estratégica - Bucaramanga</v>
      </c>
    </row>
    <row r="5110" spans="1:3">
      <c r="A5110">
        <v>134</v>
      </c>
      <c r="B5110">
        <v>1</v>
      </c>
      <c r="C5110" t="str">
        <f>VLOOKUP(A5110,'Programas y Unidades'!$A:$B,2,0)</f>
        <v>Especialización en Gerencia Estratégica - Bucaramanga</v>
      </c>
    </row>
    <row r="5111" spans="1:3">
      <c r="A5111">
        <v>134</v>
      </c>
      <c r="B5111">
        <v>1</v>
      </c>
      <c r="C5111" t="str">
        <f>VLOOKUP(A5111,'Programas y Unidades'!$A:$B,2,0)</f>
        <v>Especialización en Gerencia Estratégica - Bucaramanga</v>
      </c>
    </row>
    <row r="5112" spans="1:3">
      <c r="A5112">
        <v>134</v>
      </c>
      <c r="B5112">
        <v>1</v>
      </c>
      <c r="C5112" t="str">
        <f>VLOOKUP(A5112,'Programas y Unidades'!$A:$B,2,0)</f>
        <v>Especialización en Gerencia Estratégica - Bucaramanga</v>
      </c>
    </row>
    <row r="5113" spans="1:3">
      <c r="A5113">
        <v>134</v>
      </c>
      <c r="B5113">
        <v>1</v>
      </c>
      <c r="C5113" t="str">
        <f>VLOOKUP(A5113,'Programas y Unidades'!$A:$B,2,0)</f>
        <v>Especialización en Gerencia Estratégica - Bucaramanga</v>
      </c>
    </row>
    <row r="5114" spans="1:3">
      <c r="A5114">
        <v>134</v>
      </c>
      <c r="B5114">
        <v>1</v>
      </c>
      <c r="C5114" t="str">
        <f>VLOOKUP(A5114,'Programas y Unidades'!$A:$B,2,0)</f>
        <v>Especialización en Gerencia Estratégica - Bucaramanga</v>
      </c>
    </row>
    <row r="5115" spans="1:3">
      <c r="A5115">
        <v>134</v>
      </c>
      <c r="B5115">
        <v>2</v>
      </c>
      <c r="C5115" t="str">
        <f>VLOOKUP(A5115,'Programas y Unidades'!$A:$B,2,0)</f>
        <v>Especialización en Gerencia Estratégica - Bucaramanga</v>
      </c>
    </row>
    <row r="5116" spans="1:3">
      <c r="A5116">
        <v>132</v>
      </c>
      <c r="B5116">
        <v>2</v>
      </c>
      <c r="C5116" t="str">
        <f>VLOOKUP(A5116,'Programas y Unidades'!$A:$B,2,0)</f>
        <v>Especialización En Gerencia Estratégica - Ibagué</v>
      </c>
    </row>
    <row r="5117" spans="1:3">
      <c r="A5117">
        <v>132</v>
      </c>
      <c r="B5117">
        <v>1</v>
      </c>
      <c r="C5117" t="str">
        <f>VLOOKUP(A5117,'Programas y Unidades'!$A:$B,2,0)</f>
        <v>Especialización En Gerencia Estratégica - Ibagué</v>
      </c>
    </row>
    <row r="5118" spans="1:3">
      <c r="A5118">
        <v>132</v>
      </c>
      <c r="B5118">
        <v>2</v>
      </c>
      <c r="C5118" t="str">
        <f>VLOOKUP(A5118,'Programas y Unidades'!$A:$B,2,0)</f>
        <v>Especialización En Gerencia Estratégica - Ibagué</v>
      </c>
    </row>
    <row r="5119" spans="1:3">
      <c r="A5119">
        <v>132</v>
      </c>
      <c r="B5119">
        <v>2</v>
      </c>
      <c r="C5119" t="str">
        <f>VLOOKUP(A5119,'Programas y Unidades'!$A:$B,2,0)</f>
        <v>Especialización En Gerencia Estratégica - Ibagué</v>
      </c>
    </row>
    <row r="5120" spans="1:3">
      <c r="A5120">
        <v>132</v>
      </c>
      <c r="B5120">
        <v>2</v>
      </c>
      <c r="C5120" t="str">
        <f>VLOOKUP(A5120,'Programas y Unidades'!$A:$B,2,0)</f>
        <v>Especialización En Gerencia Estratégica - Ibagué</v>
      </c>
    </row>
    <row r="5121" spans="1:3">
      <c r="A5121">
        <v>132</v>
      </c>
      <c r="B5121">
        <v>2</v>
      </c>
      <c r="C5121" t="str">
        <f>VLOOKUP(A5121,'Programas y Unidades'!$A:$B,2,0)</f>
        <v>Especialización En Gerencia Estratégica - Ibagué</v>
      </c>
    </row>
    <row r="5122" spans="1:3">
      <c r="A5122">
        <v>132</v>
      </c>
      <c r="B5122">
        <v>2</v>
      </c>
      <c r="C5122" t="str">
        <f>VLOOKUP(A5122,'Programas y Unidades'!$A:$B,2,0)</f>
        <v>Especialización En Gerencia Estratégica - Ibagué</v>
      </c>
    </row>
    <row r="5123" spans="1:3">
      <c r="A5123">
        <v>132</v>
      </c>
      <c r="B5123">
        <v>2</v>
      </c>
      <c r="C5123" t="str">
        <f>VLOOKUP(A5123,'Programas y Unidades'!$A:$B,2,0)</f>
        <v>Especialización En Gerencia Estratégica - Ibagué</v>
      </c>
    </row>
    <row r="5124" spans="1:3">
      <c r="A5124">
        <v>132</v>
      </c>
      <c r="B5124">
        <v>2</v>
      </c>
      <c r="C5124" t="str">
        <f>VLOOKUP(A5124,'Programas y Unidades'!$A:$B,2,0)</f>
        <v>Especialización En Gerencia Estratégica - Ibagué</v>
      </c>
    </row>
    <row r="5125" spans="1:3">
      <c r="A5125">
        <v>132</v>
      </c>
      <c r="B5125">
        <v>2</v>
      </c>
      <c r="C5125" t="str">
        <f>VLOOKUP(A5125,'Programas y Unidades'!$A:$B,2,0)</f>
        <v>Especialización En Gerencia Estratégica - Ibagué</v>
      </c>
    </row>
    <row r="5126" spans="1:3">
      <c r="A5126">
        <v>132</v>
      </c>
      <c r="B5126">
        <v>2</v>
      </c>
      <c r="C5126" t="str">
        <f>VLOOKUP(A5126,'Programas y Unidades'!$A:$B,2,0)</f>
        <v>Especialización En Gerencia Estratégica - Ibagué</v>
      </c>
    </row>
    <row r="5127" spans="1:3">
      <c r="A5127">
        <v>132</v>
      </c>
      <c r="B5127">
        <v>2</v>
      </c>
      <c r="C5127" t="str">
        <f>VLOOKUP(A5127,'Programas y Unidades'!$A:$B,2,0)</f>
        <v>Especialización En Gerencia Estratégica - Ibagué</v>
      </c>
    </row>
    <row r="5128" spans="1:3">
      <c r="A5128">
        <v>132</v>
      </c>
      <c r="B5128">
        <v>2</v>
      </c>
      <c r="C5128" t="str">
        <f>VLOOKUP(A5128,'Programas y Unidades'!$A:$B,2,0)</f>
        <v>Especialización En Gerencia Estratégica - Ibagué</v>
      </c>
    </row>
    <row r="5129" spans="1:3">
      <c r="A5129">
        <v>132</v>
      </c>
      <c r="B5129">
        <v>2</v>
      </c>
      <c r="C5129" t="str">
        <f>VLOOKUP(A5129,'Programas y Unidades'!$A:$B,2,0)</f>
        <v>Especialización En Gerencia Estratégica - Ibagué</v>
      </c>
    </row>
    <row r="5130" spans="1:3">
      <c r="A5130">
        <v>132</v>
      </c>
      <c r="B5130">
        <v>2</v>
      </c>
      <c r="C5130" t="str">
        <f>VLOOKUP(A5130,'Programas y Unidades'!$A:$B,2,0)</f>
        <v>Especialización En Gerencia Estratégica - Ibagué</v>
      </c>
    </row>
    <row r="5131" spans="1:3">
      <c r="A5131">
        <v>131</v>
      </c>
      <c r="B5131">
        <v>1</v>
      </c>
      <c r="C5131" t="str">
        <f>VLOOKUP(A5131,'Programas y Unidades'!$A:$B,2,0)</f>
        <v>Especialización en Gerencia Estratégica - Medellín</v>
      </c>
    </row>
    <row r="5132" spans="1:3">
      <c r="A5132">
        <v>131</v>
      </c>
      <c r="B5132">
        <v>2</v>
      </c>
      <c r="C5132" t="str">
        <f>VLOOKUP(A5132,'Programas y Unidades'!$A:$B,2,0)</f>
        <v>Especialización en Gerencia Estratégica - Medellín</v>
      </c>
    </row>
    <row r="5133" spans="1:3">
      <c r="A5133">
        <v>131</v>
      </c>
      <c r="B5133">
        <v>2</v>
      </c>
      <c r="C5133" t="str">
        <f>VLOOKUP(A5133,'Programas y Unidades'!$A:$B,2,0)</f>
        <v>Especialización en Gerencia Estratégica - Medellín</v>
      </c>
    </row>
    <row r="5134" spans="1:3">
      <c r="A5134">
        <v>131</v>
      </c>
      <c r="B5134">
        <v>2</v>
      </c>
      <c r="C5134" t="str">
        <f>VLOOKUP(A5134,'Programas y Unidades'!$A:$B,2,0)</f>
        <v>Especialización en Gerencia Estratégica - Medellín</v>
      </c>
    </row>
    <row r="5135" spans="1:3">
      <c r="A5135">
        <v>131</v>
      </c>
      <c r="B5135">
        <v>2</v>
      </c>
      <c r="C5135" t="str">
        <f>VLOOKUP(A5135,'Programas y Unidades'!$A:$B,2,0)</f>
        <v>Especialización en Gerencia Estratégica - Medellín</v>
      </c>
    </row>
    <row r="5136" spans="1:3">
      <c r="A5136">
        <v>131</v>
      </c>
      <c r="B5136">
        <v>2</v>
      </c>
      <c r="C5136" t="str">
        <f>VLOOKUP(A5136,'Programas y Unidades'!$A:$B,2,0)</f>
        <v>Especialización en Gerencia Estratégica - Medellín</v>
      </c>
    </row>
    <row r="5137" spans="1:3">
      <c r="A5137">
        <v>131</v>
      </c>
      <c r="B5137">
        <v>2</v>
      </c>
      <c r="C5137" t="str">
        <f>VLOOKUP(A5137,'Programas y Unidades'!$A:$B,2,0)</f>
        <v>Especialización en Gerencia Estratégica - Medellín</v>
      </c>
    </row>
    <row r="5138" spans="1:3">
      <c r="A5138">
        <v>131</v>
      </c>
      <c r="B5138">
        <v>2</v>
      </c>
      <c r="C5138" t="str">
        <f>VLOOKUP(A5138,'Programas y Unidades'!$A:$B,2,0)</f>
        <v>Especialización en Gerencia Estratégica - Medellín</v>
      </c>
    </row>
    <row r="5139" spans="1:3">
      <c r="A5139">
        <v>131</v>
      </c>
      <c r="B5139">
        <v>1</v>
      </c>
      <c r="C5139" t="str">
        <f>VLOOKUP(A5139,'Programas y Unidades'!$A:$B,2,0)</f>
        <v>Especialización en Gerencia Estratégica - Medellín</v>
      </c>
    </row>
    <row r="5140" spans="1:3">
      <c r="A5140">
        <v>131</v>
      </c>
      <c r="B5140">
        <v>2</v>
      </c>
      <c r="C5140" t="str">
        <f>VLOOKUP(A5140,'Programas y Unidades'!$A:$B,2,0)</f>
        <v>Especialización en Gerencia Estratégica - Medellín</v>
      </c>
    </row>
    <row r="5141" spans="1:3">
      <c r="A5141">
        <v>131</v>
      </c>
      <c r="B5141">
        <v>2</v>
      </c>
      <c r="C5141" t="str">
        <f>VLOOKUP(A5141,'Programas y Unidades'!$A:$B,2,0)</f>
        <v>Especialización en Gerencia Estratégica - Medellín</v>
      </c>
    </row>
    <row r="5142" spans="1:3">
      <c r="A5142">
        <v>131</v>
      </c>
      <c r="B5142">
        <v>2</v>
      </c>
      <c r="C5142" t="str">
        <f>VLOOKUP(A5142,'Programas y Unidades'!$A:$B,2,0)</f>
        <v>Especialización en Gerencia Estratégica - Medellín</v>
      </c>
    </row>
    <row r="5143" spans="1:3">
      <c r="A5143">
        <v>131</v>
      </c>
      <c r="B5143">
        <v>2</v>
      </c>
      <c r="C5143" t="str">
        <f>VLOOKUP(A5143,'Programas y Unidades'!$A:$B,2,0)</f>
        <v>Especialización en Gerencia Estratégica - Medellín</v>
      </c>
    </row>
    <row r="5144" spans="1:3">
      <c r="A5144">
        <v>131</v>
      </c>
      <c r="B5144">
        <v>2</v>
      </c>
      <c r="C5144" t="str">
        <f>VLOOKUP(A5144,'Programas y Unidades'!$A:$B,2,0)</f>
        <v>Especialización en Gerencia Estratégica - Medellín</v>
      </c>
    </row>
    <row r="5145" spans="1:3">
      <c r="A5145">
        <v>131</v>
      </c>
      <c r="B5145">
        <v>2</v>
      </c>
      <c r="C5145" t="str">
        <f>VLOOKUP(A5145,'Programas y Unidades'!$A:$B,2,0)</f>
        <v>Especialización en Gerencia Estratégica - Medellín</v>
      </c>
    </row>
    <row r="5146" spans="1:3">
      <c r="A5146">
        <v>131</v>
      </c>
      <c r="B5146">
        <v>2</v>
      </c>
      <c r="C5146" t="str">
        <f>VLOOKUP(A5146,'Programas y Unidades'!$A:$B,2,0)</f>
        <v>Especialización en Gerencia Estratégica - Medellín</v>
      </c>
    </row>
    <row r="5147" spans="1:3">
      <c r="A5147">
        <v>131</v>
      </c>
      <c r="B5147">
        <v>2</v>
      </c>
      <c r="C5147" t="str">
        <f>VLOOKUP(A5147,'Programas y Unidades'!$A:$B,2,0)</f>
        <v>Especialización en Gerencia Estratégica - Medellín</v>
      </c>
    </row>
    <row r="5148" spans="1:3">
      <c r="A5148">
        <v>131</v>
      </c>
      <c r="B5148">
        <v>2</v>
      </c>
      <c r="C5148" t="str">
        <f>VLOOKUP(A5148,'Programas y Unidades'!$A:$B,2,0)</f>
        <v>Especialización en Gerencia Estratégica - Medellín</v>
      </c>
    </row>
    <row r="5149" spans="1:3">
      <c r="A5149">
        <v>131</v>
      </c>
      <c r="B5149">
        <v>2</v>
      </c>
      <c r="C5149" t="str">
        <f>VLOOKUP(A5149,'Programas y Unidades'!$A:$B,2,0)</f>
        <v>Especialización en Gerencia Estratégica - Medellín</v>
      </c>
    </row>
    <row r="5150" spans="1:3">
      <c r="A5150">
        <v>131</v>
      </c>
      <c r="B5150">
        <v>2</v>
      </c>
      <c r="C5150" t="str">
        <f>VLOOKUP(A5150,'Programas y Unidades'!$A:$B,2,0)</f>
        <v>Especialización en Gerencia Estratégica - Medellín</v>
      </c>
    </row>
    <row r="5151" spans="1:3">
      <c r="A5151">
        <v>131</v>
      </c>
      <c r="B5151">
        <v>2</v>
      </c>
      <c r="C5151" t="str">
        <f>VLOOKUP(A5151,'Programas y Unidades'!$A:$B,2,0)</f>
        <v>Especialización en Gerencia Estratégica - Medellín</v>
      </c>
    </row>
    <row r="5152" spans="1:3">
      <c r="A5152">
        <v>133</v>
      </c>
      <c r="B5152">
        <v>2</v>
      </c>
      <c r="C5152" t="str">
        <f>VLOOKUP(A5152,'Programas y Unidades'!$A:$B,2,0)</f>
        <v>Especialización En Gerencia Estratégica - Villavicencio</v>
      </c>
    </row>
    <row r="5153" spans="1:3">
      <c r="A5153">
        <v>133</v>
      </c>
      <c r="B5153">
        <v>2</v>
      </c>
      <c r="C5153" t="str">
        <f>VLOOKUP(A5153,'Programas y Unidades'!$A:$B,2,0)</f>
        <v>Especialización En Gerencia Estratégica - Villavicencio</v>
      </c>
    </row>
    <row r="5154" spans="1:3">
      <c r="A5154">
        <v>133</v>
      </c>
      <c r="B5154">
        <v>2</v>
      </c>
      <c r="C5154" t="str">
        <f>VLOOKUP(A5154,'Programas y Unidades'!$A:$B,2,0)</f>
        <v>Especialización En Gerencia Estratégica - Villavicencio</v>
      </c>
    </row>
    <row r="5155" spans="1:3">
      <c r="A5155">
        <v>133</v>
      </c>
      <c r="B5155">
        <v>1</v>
      </c>
      <c r="C5155" t="str">
        <f>VLOOKUP(A5155,'Programas y Unidades'!$A:$B,2,0)</f>
        <v>Especialización En Gerencia Estratégica - Villavicencio</v>
      </c>
    </row>
    <row r="5156" spans="1:3">
      <c r="A5156">
        <v>133</v>
      </c>
      <c r="B5156">
        <v>2</v>
      </c>
      <c r="C5156" t="str">
        <f>VLOOKUP(A5156,'Programas y Unidades'!$A:$B,2,0)</f>
        <v>Especialización En Gerencia Estratégica - Villavicencio</v>
      </c>
    </row>
    <row r="5157" spans="1:3">
      <c r="A5157">
        <v>133</v>
      </c>
      <c r="B5157">
        <v>2</v>
      </c>
      <c r="C5157" t="str">
        <f>VLOOKUP(A5157,'Programas y Unidades'!$A:$B,2,0)</f>
        <v>Especialización En Gerencia Estratégica - Villavicencio</v>
      </c>
    </row>
    <row r="5158" spans="1:3">
      <c r="A5158">
        <v>133</v>
      </c>
      <c r="B5158">
        <v>2</v>
      </c>
      <c r="C5158" t="str">
        <f>VLOOKUP(A5158,'Programas y Unidades'!$A:$B,2,0)</f>
        <v>Especialización En Gerencia Estratégica - Villavicencio</v>
      </c>
    </row>
    <row r="5159" spans="1:3">
      <c r="A5159">
        <v>133</v>
      </c>
      <c r="B5159">
        <v>2</v>
      </c>
      <c r="C5159" t="str">
        <f>VLOOKUP(A5159,'Programas y Unidades'!$A:$B,2,0)</f>
        <v>Especialización En Gerencia Estratégica - Villavicencio</v>
      </c>
    </row>
    <row r="5160" spans="1:3">
      <c r="A5160">
        <v>133</v>
      </c>
      <c r="B5160">
        <v>2</v>
      </c>
      <c r="C5160" t="str">
        <f>VLOOKUP(A5160,'Programas y Unidades'!$A:$B,2,0)</f>
        <v>Especialización En Gerencia Estratégica - Villavicencio</v>
      </c>
    </row>
    <row r="5161" spans="1:3">
      <c r="A5161">
        <v>133</v>
      </c>
      <c r="B5161">
        <v>2</v>
      </c>
      <c r="C5161" t="str">
        <f>VLOOKUP(A5161,'Programas y Unidades'!$A:$B,2,0)</f>
        <v>Especialización En Gerencia Estratégica - Villavicencio</v>
      </c>
    </row>
    <row r="5162" spans="1:3">
      <c r="A5162">
        <v>133</v>
      </c>
      <c r="B5162">
        <v>2</v>
      </c>
      <c r="C5162" t="str">
        <f>VLOOKUP(A5162,'Programas y Unidades'!$A:$B,2,0)</f>
        <v>Especialización En Gerencia Estratégica - Villavicencio</v>
      </c>
    </row>
    <row r="5163" spans="1:3">
      <c r="A5163">
        <v>133</v>
      </c>
      <c r="B5163">
        <v>1</v>
      </c>
      <c r="C5163" t="str">
        <f>VLOOKUP(A5163,'Programas y Unidades'!$A:$B,2,0)</f>
        <v>Especialización En Gerencia Estratégica - Villavicencio</v>
      </c>
    </row>
    <row r="5164" spans="1:3">
      <c r="A5164">
        <v>133</v>
      </c>
      <c r="B5164">
        <v>1</v>
      </c>
      <c r="C5164" t="str">
        <f>VLOOKUP(A5164,'Programas y Unidades'!$A:$B,2,0)</f>
        <v>Especialización En Gerencia Estratégica - Villavicencio</v>
      </c>
    </row>
    <row r="5165" spans="1:3">
      <c r="A5165">
        <v>133</v>
      </c>
      <c r="B5165">
        <v>2</v>
      </c>
      <c r="C5165" t="str">
        <f>VLOOKUP(A5165,'Programas y Unidades'!$A:$B,2,0)</f>
        <v>Especialización En Gerencia Estratégica - Villavicencio</v>
      </c>
    </row>
    <row r="5166" spans="1:3">
      <c r="A5166">
        <v>133</v>
      </c>
      <c r="B5166">
        <v>2</v>
      </c>
      <c r="C5166" t="str">
        <f>VLOOKUP(A5166,'Programas y Unidades'!$A:$B,2,0)</f>
        <v>Especialización En Gerencia Estratégica - Villavicencio</v>
      </c>
    </row>
    <row r="5167" spans="1:3">
      <c r="A5167">
        <v>133</v>
      </c>
      <c r="B5167">
        <v>2</v>
      </c>
      <c r="C5167" t="str">
        <f>VLOOKUP(A5167,'Programas y Unidades'!$A:$B,2,0)</f>
        <v>Especialización En Gerencia Estratégica - Villavicencio</v>
      </c>
    </row>
    <row r="5168" spans="1:3">
      <c r="A5168">
        <v>127</v>
      </c>
      <c r="B5168">
        <v>3</v>
      </c>
      <c r="C5168" t="str">
        <f>VLOOKUP(A5168,'Programas y Unidades'!$A:$B,2,0)</f>
        <v>Especialización en Gerencia Comercial Bucaramanga - Santander</v>
      </c>
    </row>
    <row r="5169" spans="1:3">
      <c r="A5169">
        <v>127</v>
      </c>
      <c r="B5169">
        <v>2</v>
      </c>
      <c r="C5169" t="str">
        <f>VLOOKUP(A5169,'Programas y Unidades'!$A:$B,2,0)</f>
        <v>Especialización en Gerencia Comercial Bucaramanga - Santander</v>
      </c>
    </row>
    <row r="5170" spans="1:3">
      <c r="A5170">
        <v>127</v>
      </c>
      <c r="B5170">
        <v>2</v>
      </c>
      <c r="C5170" t="str">
        <f>VLOOKUP(A5170,'Programas y Unidades'!$A:$B,2,0)</f>
        <v>Especialización en Gerencia Comercial Bucaramanga - Santander</v>
      </c>
    </row>
    <row r="5171" spans="1:3">
      <c r="A5171">
        <v>127</v>
      </c>
      <c r="B5171">
        <v>2</v>
      </c>
      <c r="C5171" t="str">
        <f>VLOOKUP(A5171,'Programas y Unidades'!$A:$B,2,0)</f>
        <v>Especialización en Gerencia Comercial Bucaramanga - Santander</v>
      </c>
    </row>
    <row r="5172" spans="1:3">
      <c r="A5172">
        <v>127</v>
      </c>
      <c r="B5172">
        <v>2</v>
      </c>
      <c r="C5172" t="str">
        <f>VLOOKUP(A5172,'Programas y Unidades'!$A:$B,2,0)</f>
        <v>Especialización en Gerencia Comercial Bucaramanga - Santander</v>
      </c>
    </row>
    <row r="5173" spans="1:3">
      <c r="A5173">
        <v>127</v>
      </c>
      <c r="B5173">
        <v>2</v>
      </c>
      <c r="C5173" t="str">
        <f>VLOOKUP(A5173,'Programas y Unidades'!$A:$B,2,0)</f>
        <v>Especialización en Gerencia Comercial Bucaramanga - Santander</v>
      </c>
    </row>
    <row r="5174" spans="1:3">
      <c r="A5174">
        <v>127</v>
      </c>
      <c r="B5174">
        <v>2</v>
      </c>
      <c r="C5174" t="str">
        <f>VLOOKUP(A5174,'Programas y Unidades'!$A:$B,2,0)</f>
        <v>Especialización en Gerencia Comercial Bucaramanga - Santander</v>
      </c>
    </row>
    <row r="5175" spans="1:3">
      <c r="A5175">
        <v>127</v>
      </c>
      <c r="B5175">
        <v>2</v>
      </c>
      <c r="C5175" t="str">
        <f>VLOOKUP(A5175,'Programas y Unidades'!$A:$B,2,0)</f>
        <v>Especialización en Gerencia Comercial Bucaramanga - Santander</v>
      </c>
    </row>
    <row r="5176" spans="1:3">
      <c r="A5176">
        <v>127</v>
      </c>
      <c r="B5176">
        <v>2</v>
      </c>
      <c r="C5176" t="str">
        <f>VLOOKUP(A5176,'Programas y Unidades'!$A:$B,2,0)</f>
        <v>Especialización en Gerencia Comercial Bucaramanga - Santander</v>
      </c>
    </row>
    <row r="5177" spans="1:3">
      <c r="A5177">
        <v>127</v>
      </c>
      <c r="B5177">
        <v>2</v>
      </c>
      <c r="C5177" t="str">
        <f>VLOOKUP(A5177,'Programas y Unidades'!$A:$B,2,0)</f>
        <v>Especialización en Gerencia Comercial Bucaramanga - Santander</v>
      </c>
    </row>
    <row r="5178" spans="1:3">
      <c r="A5178">
        <v>127</v>
      </c>
      <c r="B5178">
        <v>2</v>
      </c>
      <c r="C5178" t="str">
        <f>VLOOKUP(A5178,'Programas y Unidades'!$A:$B,2,0)</f>
        <v>Especialización en Gerencia Comercial Bucaramanga - Santander</v>
      </c>
    </row>
    <row r="5179" spans="1:3">
      <c r="A5179">
        <v>127</v>
      </c>
      <c r="B5179">
        <v>2</v>
      </c>
      <c r="C5179" t="str">
        <f>VLOOKUP(A5179,'Programas y Unidades'!$A:$B,2,0)</f>
        <v>Especialización en Gerencia Comercial Bucaramanga - Santander</v>
      </c>
    </row>
    <row r="5180" spans="1:3">
      <c r="A5180">
        <v>127</v>
      </c>
      <c r="B5180">
        <v>2</v>
      </c>
      <c r="C5180" t="str">
        <f>VLOOKUP(A5180,'Programas y Unidades'!$A:$B,2,0)</f>
        <v>Especialización en Gerencia Comercial Bucaramanga - Santander</v>
      </c>
    </row>
    <row r="5181" spans="1:3">
      <c r="A5181">
        <v>127</v>
      </c>
      <c r="B5181">
        <v>2</v>
      </c>
      <c r="C5181" t="str">
        <f>VLOOKUP(A5181,'Programas y Unidades'!$A:$B,2,0)</f>
        <v>Especialización en Gerencia Comercial Bucaramanga - Santander</v>
      </c>
    </row>
    <row r="5182" spans="1:3">
      <c r="A5182">
        <v>127</v>
      </c>
      <c r="B5182">
        <v>1</v>
      </c>
      <c r="C5182" t="str">
        <f>VLOOKUP(A5182,'Programas y Unidades'!$A:$B,2,0)</f>
        <v>Especialización en Gerencia Comercial Bucaramanga - Santander</v>
      </c>
    </row>
    <row r="5183" spans="1:3">
      <c r="A5183">
        <v>127</v>
      </c>
      <c r="B5183">
        <v>1</v>
      </c>
      <c r="C5183" t="str">
        <f>VLOOKUP(A5183,'Programas y Unidades'!$A:$B,2,0)</f>
        <v>Especialización en Gerencia Comercial Bucaramanga - Santander</v>
      </c>
    </row>
    <row r="5184" spans="1:3">
      <c r="A5184">
        <v>127</v>
      </c>
      <c r="B5184">
        <v>1</v>
      </c>
      <c r="C5184" t="str">
        <f>VLOOKUP(A5184,'Programas y Unidades'!$A:$B,2,0)</f>
        <v>Especialización en Gerencia Comercial Bucaramanga - Santander</v>
      </c>
    </row>
    <row r="5185" spans="1:3">
      <c r="A5185">
        <v>127</v>
      </c>
      <c r="B5185">
        <v>1</v>
      </c>
      <c r="C5185" t="str">
        <f>VLOOKUP(A5185,'Programas y Unidades'!$A:$B,2,0)</f>
        <v>Especialización en Gerencia Comercial Bucaramanga - Santander</v>
      </c>
    </row>
    <row r="5186" spans="1:3">
      <c r="A5186">
        <v>127</v>
      </c>
      <c r="B5186">
        <v>1</v>
      </c>
      <c r="C5186" t="str">
        <f>VLOOKUP(A5186,'Programas y Unidades'!$A:$B,2,0)</f>
        <v>Especialización en Gerencia Comercial Bucaramanga - Santander</v>
      </c>
    </row>
    <row r="5187" spans="1:3">
      <c r="A5187">
        <v>127</v>
      </c>
      <c r="B5187">
        <v>1</v>
      </c>
      <c r="C5187" t="str">
        <f>VLOOKUP(A5187,'Programas y Unidades'!$A:$B,2,0)</f>
        <v>Especialización en Gerencia Comercial Bucaramanga - Santander</v>
      </c>
    </row>
    <row r="5188" spans="1:3">
      <c r="A5188">
        <v>127</v>
      </c>
      <c r="B5188">
        <v>1</v>
      </c>
      <c r="C5188" t="str">
        <f>VLOOKUP(A5188,'Programas y Unidades'!$A:$B,2,0)</f>
        <v>Especialización en Gerencia Comercial Bucaramanga - Santander</v>
      </c>
    </row>
    <row r="5189" spans="1:3">
      <c r="A5189">
        <v>127</v>
      </c>
      <c r="B5189">
        <v>1</v>
      </c>
      <c r="C5189" t="str">
        <f>VLOOKUP(A5189,'Programas y Unidades'!$A:$B,2,0)</f>
        <v>Especialización en Gerencia Comercial Bucaramanga - Santander</v>
      </c>
    </row>
    <row r="5190" spans="1:3">
      <c r="A5190">
        <v>127</v>
      </c>
      <c r="B5190">
        <v>1</v>
      </c>
      <c r="C5190" t="str">
        <f>VLOOKUP(A5190,'Programas y Unidades'!$A:$B,2,0)</f>
        <v>Especialización en Gerencia Comercial Bucaramanga - Santander</v>
      </c>
    </row>
    <row r="5191" spans="1:3">
      <c r="A5191">
        <v>127</v>
      </c>
      <c r="B5191">
        <v>1</v>
      </c>
      <c r="C5191" t="str">
        <f>VLOOKUP(A5191,'Programas y Unidades'!$A:$B,2,0)</f>
        <v>Especialización en Gerencia Comercial Bucaramanga - Santander</v>
      </c>
    </row>
    <row r="5192" spans="1:3">
      <c r="A5192">
        <v>127</v>
      </c>
      <c r="B5192">
        <v>1</v>
      </c>
      <c r="C5192" t="str">
        <f>VLOOKUP(A5192,'Programas y Unidades'!$A:$B,2,0)</f>
        <v>Especialización en Gerencia Comercial Bucaramanga - Santander</v>
      </c>
    </row>
    <row r="5193" spans="1:3">
      <c r="A5193">
        <v>127</v>
      </c>
      <c r="B5193">
        <v>1</v>
      </c>
      <c r="C5193" t="str">
        <f>VLOOKUP(A5193,'Programas y Unidades'!$A:$B,2,0)</f>
        <v>Especialización en Gerencia Comercial Bucaramanga - Santander</v>
      </c>
    </row>
    <row r="5194" spans="1:3">
      <c r="A5194">
        <v>127</v>
      </c>
      <c r="B5194">
        <v>1</v>
      </c>
      <c r="C5194" t="str">
        <f>VLOOKUP(A5194,'Programas y Unidades'!$A:$B,2,0)</f>
        <v>Especialización en Gerencia Comercial Bucaramanga - Santander</v>
      </c>
    </row>
    <row r="5195" spans="1:3">
      <c r="A5195">
        <v>127</v>
      </c>
      <c r="B5195">
        <v>1</v>
      </c>
      <c r="C5195" t="str">
        <f>VLOOKUP(A5195,'Programas y Unidades'!$A:$B,2,0)</f>
        <v>Especialización en Gerencia Comercial Bucaramanga - Santander</v>
      </c>
    </row>
    <row r="5196" spans="1:3">
      <c r="A5196">
        <v>127</v>
      </c>
      <c r="B5196">
        <v>1</v>
      </c>
      <c r="C5196" t="str">
        <f>VLOOKUP(A5196,'Programas y Unidades'!$A:$B,2,0)</f>
        <v>Especialización en Gerencia Comercial Bucaramanga - Santander</v>
      </c>
    </row>
    <row r="5197" spans="1:3">
      <c r="A5197">
        <v>127</v>
      </c>
      <c r="B5197">
        <v>1</v>
      </c>
      <c r="C5197" t="str">
        <f>VLOOKUP(A5197,'Programas y Unidades'!$A:$B,2,0)</f>
        <v>Especialización en Gerencia Comercial Bucaramanga - Santander</v>
      </c>
    </row>
    <row r="5198" spans="1:3">
      <c r="A5198">
        <v>127</v>
      </c>
      <c r="B5198">
        <v>1</v>
      </c>
      <c r="C5198" t="str">
        <f>VLOOKUP(A5198,'Programas y Unidades'!$A:$B,2,0)</f>
        <v>Especialización en Gerencia Comercial Bucaramanga - Santander</v>
      </c>
    </row>
    <row r="5199" spans="1:3">
      <c r="A5199">
        <v>127</v>
      </c>
      <c r="B5199">
        <v>1</v>
      </c>
      <c r="C5199" t="str">
        <f>VLOOKUP(A5199,'Programas y Unidades'!$A:$B,2,0)</f>
        <v>Especialización en Gerencia Comercial Bucaramanga - Santander</v>
      </c>
    </row>
    <row r="5200" spans="1:3">
      <c r="A5200">
        <v>129</v>
      </c>
      <c r="B5200">
        <v>2</v>
      </c>
      <c r="C5200" t="str">
        <f>VLOOKUP(A5200,'Programas y Unidades'!$A:$B,2,0)</f>
        <v>Especialización en Gerencia Comercial Medellín - Antioquia</v>
      </c>
    </row>
    <row r="5201" spans="1:3">
      <c r="A5201">
        <v>129</v>
      </c>
      <c r="B5201">
        <v>2</v>
      </c>
      <c r="C5201" t="str">
        <f>VLOOKUP(A5201,'Programas y Unidades'!$A:$B,2,0)</f>
        <v>Especialización en Gerencia Comercial Medellín - Antioquia</v>
      </c>
    </row>
    <row r="5202" spans="1:3">
      <c r="A5202">
        <v>129</v>
      </c>
      <c r="B5202">
        <v>2</v>
      </c>
      <c r="C5202" t="str">
        <f>VLOOKUP(A5202,'Programas y Unidades'!$A:$B,2,0)</f>
        <v>Especialización en Gerencia Comercial Medellín - Antioquia</v>
      </c>
    </row>
    <row r="5203" spans="1:3">
      <c r="A5203">
        <v>129</v>
      </c>
      <c r="B5203">
        <v>2</v>
      </c>
      <c r="C5203" t="str">
        <f>VLOOKUP(A5203,'Programas y Unidades'!$A:$B,2,0)</f>
        <v>Especialización en Gerencia Comercial Medellín - Antioquia</v>
      </c>
    </row>
    <row r="5204" spans="1:3">
      <c r="A5204">
        <v>129</v>
      </c>
      <c r="B5204">
        <v>2</v>
      </c>
      <c r="C5204" t="str">
        <f>VLOOKUP(A5204,'Programas y Unidades'!$A:$B,2,0)</f>
        <v>Especialización en Gerencia Comercial Medellín - Antioquia</v>
      </c>
    </row>
    <row r="5205" spans="1:3">
      <c r="A5205">
        <v>129</v>
      </c>
      <c r="B5205">
        <v>2</v>
      </c>
      <c r="C5205" t="str">
        <f>VLOOKUP(A5205,'Programas y Unidades'!$A:$B,2,0)</f>
        <v>Especialización en Gerencia Comercial Medellín - Antioquia</v>
      </c>
    </row>
    <row r="5206" spans="1:3">
      <c r="A5206">
        <v>129</v>
      </c>
      <c r="B5206">
        <v>2</v>
      </c>
      <c r="C5206" t="str">
        <f>VLOOKUP(A5206,'Programas y Unidades'!$A:$B,2,0)</f>
        <v>Especialización en Gerencia Comercial Medellín - Antioquia</v>
      </c>
    </row>
    <row r="5207" spans="1:3">
      <c r="A5207">
        <v>129</v>
      </c>
      <c r="B5207">
        <v>2</v>
      </c>
      <c r="C5207" t="str">
        <f>VLOOKUP(A5207,'Programas y Unidades'!$A:$B,2,0)</f>
        <v>Especialización en Gerencia Comercial Medellín - Antioquia</v>
      </c>
    </row>
    <row r="5208" spans="1:3">
      <c r="A5208">
        <v>129</v>
      </c>
      <c r="B5208">
        <v>2</v>
      </c>
      <c r="C5208" t="str">
        <f>VLOOKUP(A5208,'Programas y Unidades'!$A:$B,2,0)</f>
        <v>Especialización en Gerencia Comercial Medellín - Antioquia</v>
      </c>
    </row>
    <row r="5209" spans="1:3">
      <c r="A5209">
        <v>126</v>
      </c>
      <c r="B5209">
        <v>1</v>
      </c>
      <c r="C5209" t="str">
        <f>VLOOKUP(A5209,'Programas y Unidades'!$A:$B,2,0)</f>
        <v>Especialización en Gerencia Comercial - Virtual</v>
      </c>
    </row>
    <row r="5210" spans="1:3">
      <c r="A5210">
        <v>126</v>
      </c>
      <c r="B5210">
        <v>2</v>
      </c>
      <c r="C5210" t="str">
        <f>VLOOKUP(A5210,'Programas y Unidades'!$A:$B,2,0)</f>
        <v>Especialización en Gerencia Comercial - Virtual</v>
      </c>
    </row>
    <row r="5211" spans="1:3">
      <c r="A5211">
        <v>126</v>
      </c>
      <c r="B5211">
        <v>2</v>
      </c>
      <c r="C5211" t="str">
        <f>VLOOKUP(A5211,'Programas y Unidades'!$A:$B,2,0)</f>
        <v>Especialización en Gerencia Comercial - Virtual</v>
      </c>
    </row>
    <row r="5212" spans="1:3">
      <c r="A5212">
        <v>126</v>
      </c>
      <c r="B5212">
        <v>2</v>
      </c>
      <c r="C5212" t="str">
        <f>VLOOKUP(A5212,'Programas y Unidades'!$A:$B,2,0)</f>
        <v>Especialización en Gerencia Comercial - Virtual</v>
      </c>
    </row>
    <row r="5213" spans="1:3">
      <c r="A5213">
        <v>126</v>
      </c>
      <c r="B5213">
        <v>2</v>
      </c>
      <c r="C5213" t="str">
        <f>VLOOKUP(A5213,'Programas y Unidades'!$A:$B,2,0)</f>
        <v>Especialización en Gerencia Comercial - Virtual</v>
      </c>
    </row>
    <row r="5214" spans="1:3">
      <c r="A5214">
        <v>126</v>
      </c>
      <c r="B5214">
        <v>2</v>
      </c>
      <c r="C5214" t="str">
        <f>VLOOKUP(A5214,'Programas y Unidades'!$A:$B,2,0)</f>
        <v>Especialización en Gerencia Comercial - Virtual</v>
      </c>
    </row>
    <row r="5215" spans="1:3">
      <c r="A5215">
        <v>126</v>
      </c>
      <c r="B5215">
        <v>2</v>
      </c>
      <c r="C5215" t="str">
        <f>VLOOKUP(A5215,'Programas y Unidades'!$A:$B,2,0)</f>
        <v>Especialización en Gerencia Comercial - Virtual</v>
      </c>
    </row>
    <row r="5216" spans="1:3">
      <c r="A5216">
        <v>126</v>
      </c>
      <c r="B5216">
        <v>6</v>
      </c>
      <c r="C5216" t="str">
        <f>VLOOKUP(A5216,'Programas y Unidades'!$A:$B,2,0)</f>
        <v>Especialización en Gerencia Comercial - Virtual</v>
      </c>
    </row>
    <row r="5217" spans="1:3">
      <c r="A5217">
        <v>126</v>
      </c>
      <c r="B5217">
        <v>2</v>
      </c>
      <c r="C5217" t="str">
        <f>VLOOKUP(A5217,'Programas y Unidades'!$A:$B,2,0)</f>
        <v>Especialización en Gerencia Comercial - Virtual</v>
      </c>
    </row>
    <row r="5218" spans="1:3">
      <c r="A5218">
        <v>126</v>
      </c>
      <c r="B5218">
        <v>2</v>
      </c>
      <c r="C5218" t="str">
        <f>VLOOKUP(A5218,'Programas y Unidades'!$A:$B,2,0)</f>
        <v>Especialización en Gerencia Comercial - Virtual</v>
      </c>
    </row>
    <row r="5219" spans="1:3">
      <c r="A5219">
        <v>126</v>
      </c>
      <c r="B5219">
        <v>6</v>
      </c>
      <c r="C5219" t="str">
        <f>VLOOKUP(A5219,'Programas y Unidades'!$A:$B,2,0)</f>
        <v>Especialización en Gerencia Comercial - Virtual</v>
      </c>
    </row>
    <row r="5220" spans="1:3">
      <c r="A5220">
        <v>126</v>
      </c>
      <c r="B5220">
        <v>2</v>
      </c>
      <c r="C5220" t="str">
        <f>VLOOKUP(A5220,'Programas y Unidades'!$A:$B,2,0)</f>
        <v>Especialización en Gerencia Comercial - Virtual</v>
      </c>
    </row>
    <row r="5221" spans="1:3">
      <c r="A5221">
        <v>126</v>
      </c>
      <c r="B5221">
        <v>5</v>
      </c>
      <c r="C5221" t="str">
        <f>VLOOKUP(A5221,'Programas y Unidades'!$A:$B,2,0)</f>
        <v>Especialización en Gerencia Comercial - Virtual</v>
      </c>
    </row>
    <row r="5222" spans="1:3">
      <c r="A5222">
        <v>126</v>
      </c>
      <c r="B5222">
        <v>6</v>
      </c>
      <c r="C5222" t="str">
        <f>VLOOKUP(A5222,'Programas y Unidades'!$A:$B,2,0)</f>
        <v>Especialización en Gerencia Comercial - Virtual</v>
      </c>
    </row>
    <row r="5223" spans="1:3">
      <c r="A5223">
        <v>126</v>
      </c>
      <c r="B5223">
        <v>2</v>
      </c>
      <c r="C5223" t="str">
        <f>VLOOKUP(A5223,'Programas y Unidades'!$A:$B,2,0)</f>
        <v>Especialización en Gerencia Comercial - Virtual</v>
      </c>
    </row>
    <row r="5224" spans="1:3">
      <c r="A5224">
        <v>126</v>
      </c>
      <c r="B5224">
        <v>1</v>
      </c>
      <c r="C5224" t="str">
        <f>VLOOKUP(A5224,'Programas y Unidades'!$A:$B,2,0)</f>
        <v>Especialización en Gerencia Comercial - Virtual</v>
      </c>
    </row>
    <row r="5225" spans="1:3">
      <c r="A5225">
        <v>126</v>
      </c>
      <c r="B5225">
        <v>2</v>
      </c>
      <c r="C5225" t="str">
        <f>VLOOKUP(A5225,'Programas y Unidades'!$A:$B,2,0)</f>
        <v>Especialización en Gerencia Comercial - Virtual</v>
      </c>
    </row>
    <row r="5226" spans="1:3">
      <c r="A5226">
        <v>126</v>
      </c>
      <c r="B5226">
        <v>2</v>
      </c>
      <c r="C5226" t="str">
        <f>VLOOKUP(A5226,'Programas y Unidades'!$A:$B,2,0)</f>
        <v>Especialización en Gerencia Comercial - Virtual</v>
      </c>
    </row>
    <row r="5227" spans="1:3">
      <c r="A5227">
        <v>126</v>
      </c>
      <c r="B5227">
        <v>1</v>
      </c>
      <c r="C5227" t="str">
        <f>VLOOKUP(A5227,'Programas y Unidades'!$A:$B,2,0)</f>
        <v>Especialización en Gerencia Comercial - Virtual</v>
      </c>
    </row>
    <row r="5228" spans="1:3">
      <c r="A5228">
        <v>126</v>
      </c>
      <c r="B5228">
        <v>2</v>
      </c>
      <c r="C5228" t="str">
        <f>VLOOKUP(A5228,'Programas y Unidades'!$A:$B,2,0)</f>
        <v>Especialización en Gerencia Comercial - Virtual</v>
      </c>
    </row>
    <row r="5229" spans="1:3">
      <c r="A5229">
        <v>61</v>
      </c>
      <c r="B5229">
        <v>2</v>
      </c>
      <c r="C5229" t="str">
        <f>VLOOKUP(A5229,'Programas y Unidades'!$A:$B,2,0)</f>
        <v>Maestría en Educación - Chía</v>
      </c>
    </row>
    <row r="5230" spans="1:3">
      <c r="A5230">
        <v>102</v>
      </c>
      <c r="B5230">
        <v>1</v>
      </c>
      <c r="C5230" t="str">
        <f>VLOOKUP(A5230,'Programas y Unidades'!$A:$B,2,0)</f>
        <v>Especialización en Seguros y Seguridad Social - Chía</v>
      </c>
    </row>
    <row r="5231" spans="1:3">
      <c r="A5231">
        <v>61</v>
      </c>
      <c r="B5231">
        <v>3</v>
      </c>
      <c r="C5231" t="str">
        <f>VLOOKUP(A5231,'Programas y Unidades'!$A:$B,2,0)</f>
        <v>Maestría en Educación - Chía</v>
      </c>
    </row>
    <row r="5232" spans="1:3">
      <c r="A5232">
        <v>61</v>
      </c>
      <c r="B5232">
        <v>3</v>
      </c>
      <c r="C5232" t="str">
        <f>VLOOKUP(A5232,'Programas y Unidades'!$A:$B,2,0)</f>
        <v>Maestría en Educación - Chía</v>
      </c>
    </row>
    <row r="5233" spans="1:3">
      <c r="A5233">
        <v>64</v>
      </c>
      <c r="B5233">
        <v>4</v>
      </c>
      <c r="C5233" t="str">
        <f>VLOOKUP(A5233,'Programas y Unidades'!$A:$B,2,0)</f>
        <v>Maestría en Dirección y Gestión de Instituciones Educativas - Chía</v>
      </c>
    </row>
    <row r="5234" spans="1:3">
      <c r="A5234">
        <v>65</v>
      </c>
      <c r="B5234">
        <v>4</v>
      </c>
      <c r="C5234" t="str">
        <f>VLOOKUP(A5234,'Programas y Unidades'!$A:$B,2,0)</f>
        <v>Maestría en Pedagogía - Chía</v>
      </c>
    </row>
    <row r="5235" spans="1:3">
      <c r="A5235">
        <v>88</v>
      </c>
      <c r="B5235">
        <v>3</v>
      </c>
      <c r="C5235" t="str">
        <f>VLOOKUP(A5235,'Programas y Unidades'!$A:$B,2,0)</f>
        <v>Maestría en Desarrollo Infantil - Riohacha</v>
      </c>
    </row>
    <row r="5236" spans="1:3">
      <c r="A5236">
        <v>88</v>
      </c>
      <c r="B5236">
        <v>3</v>
      </c>
      <c r="C5236" t="str">
        <f>VLOOKUP(A5236,'Programas y Unidades'!$A:$B,2,0)</f>
        <v>Maestría en Desarrollo Infantil - Riohacha</v>
      </c>
    </row>
    <row r="5237" spans="1:3">
      <c r="A5237">
        <v>88</v>
      </c>
      <c r="B5237">
        <v>3</v>
      </c>
      <c r="C5237" t="str">
        <f>VLOOKUP(A5237,'Programas y Unidades'!$A:$B,2,0)</f>
        <v>Maestría en Desarrollo Infantil - Riohacha</v>
      </c>
    </row>
    <row r="5238" spans="1:3">
      <c r="A5238">
        <v>65</v>
      </c>
      <c r="B5238">
        <v>3</v>
      </c>
      <c r="C5238" t="str">
        <f>VLOOKUP(A5238,'Programas y Unidades'!$A:$B,2,0)</f>
        <v>Maestría en Pedagogía - Chía</v>
      </c>
    </row>
    <row r="5239" spans="1:3">
      <c r="A5239">
        <v>117</v>
      </c>
      <c r="B5239">
        <v>1</v>
      </c>
      <c r="C5239" t="str">
        <f>VLOOKUP(A5239,'Programas y Unidades'!$A:$B,2,0)</f>
        <v>Especialización en Finanzas Corporativas - Chía</v>
      </c>
    </row>
    <row r="5240" spans="1:3">
      <c r="A5240">
        <v>117</v>
      </c>
      <c r="B5240">
        <v>1</v>
      </c>
      <c r="C5240" t="str">
        <f>VLOOKUP(A5240,'Programas y Unidades'!$A:$B,2,0)</f>
        <v>Especialización en Finanzas Corporativas - Chía</v>
      </c>
    </row>
    <row r="5241" spans="1:3">
      <c r="A5241">
        <v>117</v>
      </c>
      <c r="B5241">
        <v>1</v>
      </c>
      <c r="C5241" t="str">
        <f>VLOOKUP(A5241,'Programas y Unidades'!$A:$B,2,0)</f>
        <v>Especialización en Finanzas Corporativas - Chía</v>
      </c>
    </row>
    <row r="5242" spans="1:3">
      <c r="A5242">
        <v>117</v>
      </c>
      <c r="B5242">
        <v>1</v>
      </c>
      <c r="C5242" t="str">
        <f>VLOOKUP(A5242,'Programas y Unidades'!$A:$B,2,0)</f>
        <v>Especialización en Finanzas Corporativas - Chía</v>
      </c>
    </row>
    <row r="5243" spans="1:3">
      <c r="A5243">
        <v>117</v>
      </c>
      <c r="B5243">
        <v>1</v>
      </c>
      <c r="C5243" t="str">
        <f>VLOOKUP(A5243,'Programas y Unidades'!$A:$B,2,0)</f>
        <v>Especialización en Finanzas Corporativas - Chía</v>
      </c>
    </row>
    <row r="5244" spans="1:3">
      <c r="A5244">
        <v>117</v>
      </c>
      <c r="B5244">
        <v>1</v>
      </c>
      <c r="C5244" t="str">
        <f>VLOOKUP(A5244,'Programas y Unidades'!$A:$B,2,0)</f>
        <v>Especialización en Finanzas Corporativas - Chía</v>
      </c>
    </row>
    <row r="5245" spans="1:3">
      <c r="A5245">
        <v>117</v>
      </c>
      <c r="B5245">
        <v>1</v>
      </c>
      <c r="C5245" t="str">
        <f>VLOOKUP(A5245,'Programas y Unidades'!$A:$B,2,0)</f>
        <v>Especialización en Finanzas Corporativas - Chía</v>
      </c>
    </row>
    <row r="5246" spans="1:3">
      <c r="A5246">
        <v>117</v>
      </c>
      <c r="B5246">
        <v>1</v>
      </c>
      <c r="C5246" t="str">
        <f>VLOOKUP(A5246,'Programas y Unidades'!$A:$B,2,0)</f>
        <v>Especialización en Finanzas Corporativas - Chía</v>
      </c>
    </row>
    <row r="5247" spans="1:3">
      <c r="A5247">
        <v>117</v>
      </c>
      <c r="B5247">
        <v>2</v>
      </c>
      <c r="C5247" t="str">
        <f>VLOOKUP(A5247,'Programas y Unidades'!$A:$B,2,0)</f>
        <v>Especialización en Finanzas Corporativas - Chía</v>
      </c>
    </row>
    <row r="5248" spans="1:3">
      <c r="A5248">
        <v>117</v>
      </c>
      <c r="B5248">
        <v>1</v>
      </c>
      <c r="C5248" t="str">
        <f>VLOOKUP(A5248,'Programas y Unidades'!$A:$B,2,0)</f>
        <v>Especialización en Finanzas Corporativas - Chía</v>
      </c>
    </row>
    <row r="5249" spans="1:3">
      <c r="A5249">
        <v>117</v>
      </c>
      <c r="B5249">
        <v>1</v>
      </c>
      <c r="C5249" t="str">
        <f>VLOOKUP(A5249,'Programas y Unidades'!$A:$B,2,0)</f>
        <v>Especialización en Finanzas Corporativas - Chía</v>
      </c>
    </row>
    <row r="5250" spans="1:3">
      <c r="A5250">
        <v>117</v>
      </c>
      <c r="B5250">
        <v>1</v>
      </c>
      <c r="C5250" t="str">
        <f>VLOOKUP(A5250,'Programas y Unidades'!$A:$B,2,0)</f>
        <v>Especialización en Finanzas Corporativas - Chía</v>
      </c>
    </row>
    <row r="5251" spans="1:3">
      <c r="A5251">
        <v>117</v>
      </c>
      <c r="B5251">
        <v>2</v>
      </c>
      <c r="C5251" t="str">
        <f>VLOOKUP(A5251,'Programas y Unidades'!$A:$B,2,0)</f>
        <v>Especialización en Finanzas Corporativas - Chía</v>
      </c>
    </row>
    <row r="5252" spans="1:3">
      <c r="A5252">
        <v>117</v>
      </c>
      <c r="B5252">
        <v>1</v>
      </c>
      <c r="C5252" t="str">
        <f>VLOOKUP(A5252,'Programas y Unidades'!$A:$B,2,0)</f>
        <v>Especialización en Finanzas Corporativas - Chía</v>
      </c>
    </row>
    <row r="5253" spans="1:3">
      <c r="A5253">
        <v>117</v>
      </c>
      <c r="B5253">
        <v>2</v>
      </c>
      <c r="C5253" t="str">
        <f>VLOOKUP(A5253,'Programas y Unidades'!$A:$B,2,0)</f>
        <v>Especialización en Finanzas Corporativas - Chía</v>
      </c>
    </row>
    <row r="5254" spans="1:3">
      <c r="A5254">
        <v>117</v>
      </c>
      <c r="B5254">
        <v>2</v>
      </c>
      <c r="C5254" t="str">
        <f>VLOOKUP(A5254,'Programas y Unidades'!$A:$B,2,0)</f>
        <v>Especialización en Finanzas Corporativas - Chía</v>
      </c>
    </row>
    <row r="5255" spans="1:3">
      <c r="A5255">
        <v>117</v>
      </c>
      <c r="B5255">
        <v>1</v>
      </c>
      <c r="C5255" t="str">
        <f>VLOOKUP(A5255,'Programas y Unidades'!$A:$B,2,0)</f>
        <v>Especialización en Finanzas Corporativas - Chía</v>
      </c>
    </row>
    <row r="5256" spans="1:3">
      <c r="A5256">
        <v>117</v>
      </c>
      <c r="B5256">
        <v>2</v>
      </c>
      <c r="C5256" t="str">
        <f>VLOOKUP(A5256,'Programas y Unidades'!$A:$B,2,0)</f>
        <v>Especialización en Finanzas Corporativas - Chía</v>
      </c>
    </row>
    <row r="5257" spans="1:3">
      <c r="A5257">
        <v>117</v>
      </c>
      <c r="B5257">
        <v>2</v>
      </c>
      <c r="C5257" t="str">
        <f>VLOOKUP(A5257,'Programas y Unidades'!$A:$B,2,0)</f>
        <v>Especialización en Finanzas Corporativas - Chía</v>
      </c>
    </row>
    <row r="5258" spans="1:3">
      <c r="A5258">
        <v>117</v>
      </c>
      <c r="B5258">
        <v>2</v>
      </c>
      <c r="C5258" t="str">
        <f>VLOOKUP(A5258,'Programas y Unidades'!$A:$B,2,0)</f>
        <v>Especialización en Finanzas Corporativas - Chía</v>
      </c>
    </row>
    <row r="5259" spans="1:3">
      <c r="A5259">
        <v>117</v>
      </c>
      <c r="B5259">
        <v>2</v>
      </c>
      <c r="C5259" t="str">
        <f>VLOOKUP(A5259,'Programas y Unidades'!$A:$B,2,0)</f>
        <v>Especialización en Finanzas Corporativas - Chía</v>
      </c>
    </row>
    <row r="5260" spans="1:3">
      <c r="A5260">
        <v>117</v>
      </c>
      <c r="B5260">
        <v>2</v>
      </c>
      <c r="C5260" t="str">
        <f>VLOOKUP(A5260,'Programas y Unidades'!$A:$B,2,0)</f>
        <v>Especialización en Finanzas Corporativas - Chía</v>
      </c>
    </row>
    <row r="5261" spans="1:3">
      <c r="A5261">
        <v>117</v>
      </c>
      <c r="B5261">
        <v>2</v>
      </c>
      <c r="C5261" t="str">
        <f>VLOOKUP(A5261,'Programas y Unidades'!$A:$B,2,0)</f>
        <v>Especialización en Finanzas Corporativas - Chía</v>
      </c>
    </row>
    <row r="5262" spans="1:3">
      <c r="A5262">
        <v>119</v>
      </c>
      <c r="B5262">
        <v>1</v>
      </c>
      <c r="C5262" t="str">
        <f>VLOOKUP(A5262,'Programas y Unidades'!$A:$B,2,0)</f>
        <v>Especialización en Gerencia de Proyectos con Enfoque en Habilidades Directivas - Chía</v>
      </c>
    </row>
    <row r="5263" spans="1:3">
      <c r="A5263">
        <v>119</v>
      </c>
      <c r="B5263">
        <v>1</v>
      </c>
      <c r="C5263" t="str">
        <f>VLOOKUP(A5263,'Programas y Unidades'!$A:$B,2,0)</f>
        <v>Especialización en Gerencia de Proyectos con Enfoque en Habilidades Directivas - Chía</v>
      </c>
    </row>
    <row r="5264" spans="1:3">
      <c r="A5264">
        <v>119</v>
      </c>
      <c r="B5264">
        <v>1</v>
      </c>
      <c r="C5264" t="str">
        <f>VLOOKUP(A5264,'Programas y Unidades'!$A:$B,2,0)</f>
        <v>Especialización en Gerencia de Proyectos con Enfoque en Habilidades Directivas - Chía</v>
      </c>
    </row>
    <row r="5265" spans="1:3">
      <c r="A5265">
        <v>119</v>
      </c>
      <c r="B5265">
        <v>1</v>
      </c>
      <c r="C5265" t="str">
        <f>VLOOKUP(A5265,'Programas y Unidades'!$A:$B,2,0)</f>
        <v>Especialización en Gerencia de Proyectos con Enfoque en Habilidades Directivas - Chía</v>
      </c>
    </row>
    <row r="5266" spans="1:3">
      <c r="A5266">
        <v>119</v>
      </c>
      <c r="B5266">
        <v>2</v>
      </c>
      <c r="C5266" t="str">
        <f>VLOOKUP(A5266,'Programas y Unidades'!$A:$B,2,0)</f>
        <v>Especialización en Gerencia de Proyectos con Enfoque en Habilidades Directivas - Chía</v>
      </c>
    </row>
    <row r="5267" spans="1:3">
      <c r="A5267">
        <v>119</v>
      </c>
      <c r="B5267">
        <v>1</v>
      </c>
      <c r="C5267" t="str">
        <f>VLOOKUP(A5267,'Programas y Unidades'!$A:$B,2,0)</f>
        <v>Especialización en Gerencia de Proyectos con Enfoque en Habilidades Directivas - Chía</v>
      </c>
    </row>
    <row r="5268" spans="1:3">
      <c r="A5268">
        <v>119</v>
      </c>
      <c r="B5268">
        <v>1</v>
      </c>
      <c r="C5268" t="str">
        <f>VLOOKUP(A5268,'Programas y Unidades'!$A:$B,2,0)</f>
        <v>Especialización en Gerencia de Proyectos con Enfoque en Habilidades Directivas - Chía</v>
      </c>
    </row>
    <row r="5269" spans="1:3">
      <c r="A5269">
        <v>119</v>
      </c>
      <c r="B5269">
        <v>1</v>
      </c>
      <c r="C5269" t="str">
        <f>VLOOKUP(A5269,'Programas y Unidades'!$A:$B,2,0)</f>
        <v>Especialización en Gerencia de Proyectos con Enfoque en Habilidades Directivas - Chía</v>
      </c>
    </row>
    <row r="5270" spans="1:3">
      <c r="A5270">
        <v>119</v>
      </c>
      <c r="B5270">
        <v>1</v>
      </c>
      <c r="C5270" t="str">
        <f>VLOOKUP(A5270,'Programas y Unidades'!$A:$B,2,0)</f>
        <v>Especialización en Gerencia de Proyectos con Enfoque en Habilidades Directivas - Chía</v>
      </c>
    </row>
    <row r="5271" spans="1:3">
      <c r="A5271">
        <v>119</v>
      </c>
      <c r="B5271">
        <v>1</v>
      </c>
      <c r="C5271" t="str">
        <f>VLOOKUP(A5271,'Programas y Unidades'!$A:$B,2,0)</f>
        <v>Especialización en Gerencia de Proyectos con Enfoque en Habilidades Directivas - Chía</v>
      </c>
    </row>
    <row r="5272" spans="1:3">
      <c r="A5272">
        <v>119</v>
      </c>
      <c r="B5272">
        <v>1</v>
      </c>
      <c r="C5272" t="str">
        <f>VLOOKUP(A5272,'Programas y Unidades'!$A:$B,2,0)</f>
        <v>Especialización en Gerencia de Proyectos con Enfoque en Habilidades Directivas - Chía</v>
      </c>
    </row>
    <row r="5273" spans="1:3">
      <c r="A5273">
        <v>119</v>
      </c>
      <c r="B5273">
        <v>1</v>
      </c>
      <c r="C5273" t="str">
        <f>VLOOKUP(A5273,'Programas y Unidades'!$A:$B,2,0)</f>
        <v>Especialización en Gerencia de Proyectos con Enfoque en Habilidades Directivas - Chía</v>
      </c>
    </row>
    <row r="5274" spans="1:3">
      <c r="A5274">
        <v>119</v>
      </c>
      <c r="B5274">
        <v>1</v>
      </c>
      <c r="C5274" t="str">
        <f>VLOOKUP(A5274,'Programas y Unidades'!$A:$B,2,0)</f>
        <v>Especialización en Gerencia de Proyectos con Enfoque en Habilidades Directivas - Chía</v>
      </c>
    </row>
    <row r="5275" spans="1:3">
      <c r="A5275">
        <v>119</v>
      </c>
      <c r="B5275">
        <v>1</v>
      </c>
      <c r="C5275" t="str">
        <f>VLOOKUP(A5275,'Programas y Unidades'!$A:$B,2,0)</f>
        <v>Especialización en Gerencia de Proyectos con Enfoque en Habilidades Directivas - Chía</v>
      </c>
    </row>
    <row r="5276" spans="1:3">
      <c r="A5276">
        <v>119</v>
      </c>
      <c r="B5276">
        <v>1</v>
      </c>
      <c r="C5276" t="str">
        <f>VLOOKUP(A5276,'Programas y Unidades'!$A:$B,2,0)</f>
        <v>Especialización en Gerencia de Proyectos con Enfoque en Habilidades Directivas - Chía</v>
      </c>
    </row>
    <row r="5277" spans="1:3">
      <c r="A5277">
        <v>119</v>
      </c>
      <c r="B5277">
        <v>1</v>
      </c>
      <c r="C5277" t="str">
        <f>VLOOKUP(A5277,'Programas y Unidades'!$A:$B,2,0)</f>
        <v>Especialización en Gerencia de Proyectos con Enfoque en Habilidades Directivas - Chía</v>
      </c>
    </row>
    <row r="5278" spans="1:3">
      <c r="A5278">
        <v>119</v>
      </c>
      <c r="B5278">
        <v>1</v>
      </c>
      <c r="C5278" t="str">
        <f>VLOOKUP(A5278,'Programas y Unidades'!$A:$B,2,0)</f>
        <v>Especialización en Gerencia de Proyectos con Enfoque en Habilidades Directivas - Chía</v>
      </c>
    </row>
    <row r="5279" spans="1:3">
      <c r="A5279">
        <v>119</v>
      </c>
      <c r="B5279">
        <v>1</v>
      </c>
      <c r="C5279" t="str">
        <f>VLOOKUP(A5279,'Programas y Unidades'!$A:$B,2,0)</f>
        <v>Especialización en Gerencia de Proyectos con Enfoque en Habilidades Directivas - Chía</v>
      </c>
    </row>
    <row r="5280" spans="1:3">
      <c r="A5280">
        <v>119</v>
      </c>
      <c r="B5280">
        <v>1</v>
      </c>
      <c r="C5280" t="str">
        <f>VLOOKUP(A5280,'Programas y Unidades'!$A:$B,2,0)</f>
        <v>Especialización en Gerencia de Proyectos con Enfoque en Habilidades Directivas - Chía</v>
      </c>
    </row>
    <row r="5281" spans="1:3">
      <c r="A5281">
        <v>119</v>
      </c>
      <c r="B5281">
        <v>1</v>
      </c>
      <c r="C5281" t="str">
        <f>VLOOKUP(A5281,'Programas y Unidades'!$A:$B,2,0)</f>
        <v>Especialización en Gerencia de Proyectos con Enfoque en Habilidades Directivas - Chía</v>
      </c>
    </row>
    <row r="5282" spans="1:3">
      <c r="A5282">
        <v>119</v>
      </c>
      <c r="B5282">
        <v>1</v>
      </c>
      <c r="C5282" t="str">
        <f>VLOOKUP(A5282,'Programas y Unidades'!$A:$B,2,0)</f>
        <v>Especialización en Gerencia de Proyectos con Enfoque en Habilidades Directivas - Chía</v>
      </c>
    </row>
    <row r="5283" spans="1:3">
      <c r="A5283">
        <v>119</v>
      </c>
      <c r="B5283">
        <v>1</v>
      </c>
      <c r="C5283" t="str">
        <f>VLOOKUP(A5283,'Programas y Unidades'!$A:$B,2,0)</f>
        <v>Especialización en Gerencia de Proyectos con Enfoque en Habilidades Directivas - Chía</v>
      </c>
    </row>
    <row r="5284" spans="1:3">
      <c r="A5284">
        <v>119</v>
      </c>
      <c r="B5284">
        <v>2</v>
      </c>
      <c r="C5284" t="str">
        <f>VLOOKUP(A5284,'Programas y Unidades'!$A:$B,2,0)</f>
        <v>Especialización en Gerencia de Proyectos con Enfoque en Habilidades Directivas - Chía</v>
      </c>
    </row>
    <row r="5285" spans="1:3">
      <c r="A5285">
        <v>119</v>
      </c>
      <c r="B5285">
        <v>2</v>
      </c>
      <c r="C5285" t="str">
        <f>VLOOKUP(A5285,'Programas y Unidades'!$A:$B,2,0)</f>
        <v>Especialización en Gerencia de Proyectos con Enfoque en Habilidades Directivas - Chía</v>
      </c>
    </row>
    <row r="5286" spans="1:3">
      <c r="A5286">
        <v>119</v>
      </c>
      <c r="B5286">
        <v>2</v>
      </c>
      <c r="C5286" t="str">
        <f>VLOOKUP(A5286,'Programas y Unidades'!$A:$B,2,0)</f>
        <v>Especialización en Gerencia de Proyectos con Enfoque en Habilidades Directivas - Chía</v>
      </c>
    </row>
    <row r="5287" spans="1:3">
      <c r="A5287">
        <v>119</v>
      </c>
      <c r="B5287">
        <v>2</v>
      </c>
      <c r="C5287" t="str">
        <f>VLOOKUP(A5287,'Programas y Unidades'!$A:$B,2,0)</f>
        <v>Especialización en Gerencia de Proyectos con Enfoque en Habilidades Directivas - Chía</v>
      </c>
    </row>
    <row r="5288" spans="1:3">
      <c r="A5288">
        <v>119</v>
      </c>
      <c r="B5288">
        <v>2</v>
      </c>
      <c r="C5288" t="str">
        <f>VLOOKUP(A5288,'Programas y Unidades'!$A:$B,2,0)</f>
        <v>Especialización en Gerencia de Proyectos con Enfoque en Habilidades Directivas - Chía</v>
      </c>
    </row>
    <row r="5289" spans="1:3">
      <c r="A5289">
        <v>119</v>
      </c>
      <c r="B5289">
        <v>2</v>
      </c>
      <c r="C5289" t="str">
        <f>VLOOKUP(A5289,'Programas y Unidades'!$A:$B,2,0)</f>
        <v>Especialización en Gerencia de Proyectos con Enfoque en Habilidades Directivas - Chía</v>
      </c>
    </row>
    <row r="5290" spans="1:3">
      <c r="A5290">
        <v>119</v>
      </c>
      <c r="B5290">
        <v>2</v>
      </c>
      <c r="C5290" t="str">
        <f>VLOOKUP(A5290,'Programas y Unidades'!$A:$B,2,0)</f>
        <v>Especialización en Gerencia de Proyectos con Enfoque en Habilidades Directivas - Chía</v>
      </c>
    </row>
    <row r="5291" spans="1:3">
      <c r="A5291">
        <v>119</v>
      </c>
      <c r="B5291">
        <v>2</v>
      </c>
      <c r="C5291" t="str">
        <f>VLOOKUP(A5291,'Programas y Unidades'!$A:$B,2,0)</f>
        <v>Especialización en Gerencia de Proyectos con Enfoque en Habilidades Directivas - Chía</v>
      </c>
    </row>
    <row r="5292" spans="1:3">
      <c r="A5292">
        <v>119</v>
      </c>
      <c r="B5292">
        <v>2</v>
      </c>
      <c r="C5292" t="str">
        <f>VLOOKUP(A5292,'Programas y Unidades'!$A:$B,2,0)</f>
        <v>Especialización en Gerencia de Proyectos con Enfoque en Habilidades Directivas - Chía</v>
      </c>
    </row>
    <row r="5293" spans="1:3">
      <c r="A5293">
        <v>119</v>
      </c>
      <c r="B5293">
        <v>2</v>
      </c>
      <c r="C5293" t="str">
        <f>VLOOKUP(A5293,'Programas y Unidades'!$A:$B,2,0)</f>
        <v>Especialización en Gerencia de Proyectos con Enfoque en Habilidades Directivas - Chía</v>
      </c>
    </row>
    <row r="5294" spans="1:3">
      <c r="A5294">
        <v>119</v>
      </c>
      <c r="B5294">
        <v>2</v>
      </c>
      <c r="C5294" t="str">
        <f>VLOOKUP(A5294,'Programas y Unidades'!$A:$B,2,0)</f>
        <v>Especialización en Gerencia de Proyectos con Enfoque en Habilidades Directivas - Chía</v>
      </c>
    </row>
    <row r="5295" spans="1:3">
      <c r="A5295">
        <v>119</v>
      </c>
      <c r="B5295">
        <v>2</v>
      </c>
      <c r="C5295" t="str">
        <f>VLOOKUP(A5295,'Programas y Unidades'!$A:$B,2,0)</f>
        <v>Especialización en Gerencia de Proyectos con Enfoque en Habilidades Directivas - Chía</v>
      </c>
    </row>
    <row r="5296" spans="1:3">
      <c r="A5296">
        <v>119</v>
      </c>
      <c r="B5296">
        <v>2</v>
      </c>
      <c r="C5296" t="str">
        <f>VLOOKUP(A5296,'Programas y Unidades'!$A:$B,2,0)</f>
        <v>Especialización en Gerencia de Proyectos con Enfoque en Habilidades Directivas - Chía</v>
      </c>
    </row>
    <row r="5297" spans="1:3">
      <c r="A5297">
        <v>119</v>
      </c>
      <c r="B5297">
        <v>2</v>
      </c>
      <c r="C5297" t="str">
        <f>VLOOKUP(A5297,'Programas y Unidades'!$A:$B,2,0)</f>
        <v>Especialización en Gerencia de Proyectos con Enfoque en Habilidades Directivas - Chía</v>
      </c>
    </row>
    <row r="5298" spans="1:3">
      <c r="A5298">
        <v>119</v>
      </c>
      <c r="B5298">
        <v>2</v>
      </c>
      <c r="C5298" t="str">
        <f>VLOOKUP(A5298,'Programas y Unidades'!$A:$B,2,0)</f>
        <v>Especialización en Gerencia de Proyectos con Enfoque en Habilidades Directivas - Chía</v>
      </c>
    </row>
    <row r="5299" spans="1:3">
      <c r="A5299">
        <v>119</v>
      </c>
      <c r="B5299">
        <v>2</v>
      </c>
      <c r="C5299" t="str">
        <f>VLOOKUP(A5299,'Programas y Unidades'!$A:$B,2,0)</f>
        <v>Especialización en Gerencia de Proyectos con Enfoque en Habilidades Directivas - Chía</v>
      </c>
    </row>
    <row r="5300" spans="1:3">
      <c r="A5300">
        <v>149</v>
      </c>
      <c r="B5300">
        <v>2</v>
      </c>
      <c r="C5300" t="e">
        <f>VLOOKUP(A5300,'Programas y Unidades'!$A:$B,2,0)</f>
        <v>#N/A</v>
      </c>
    </row>
    <row r="5301" spans="1:3">
      <c r="A5301">
        <v>149</v>
      </c>
      <c r="B5301">
        <v>2</v>
      </c>
      <c r="C5301" t="e">
        <f>VLOOKUP(A5301,'Programas y Unidades'!$A:$B,2,0)</f>
        <v>#N/A</v>
      </c>
    </row>
    <row r="5302" spans="1:3">
      <c r="A5302">
        <v>102</v>
      </c>
      <c r="B5302">
        <v>1</v>
      </c>
      <c r="C5302" t="str">
        <f>VLOOKUP(A5302,'Programas y Unidades'!$A:$B,2,0)</f>
        <v>Especialización en Seguros y Seguridad Social - Chía</v>
      </c>
    </row>
    <row r="5303" spans="1:3">
      <c r="A5303">
        <v>97</v>
      </c>
      <c r="B5303">
        <v>1</v>
      </c>
      <c r="C5303" t="str">
        <f>VLOOKUP(A5303,'Programas y Unidades'!$A:$B,2,0)</f>
        <v>Especialización en Contratación Estatal - Chía</v>
      </c>
    </row>
    <row r="5304" spans="1:3">
      <c r="A5304">
        <v>65</v>
      </c>
      <c r="B5304">
        <v>3</v>
      </c>
      <c r="C5304" t="str">
        <f>VLOOKUP(A5304,'Programas y Unidades'!$A:$B,2,0)</f>
        <v>Maestría en Pedagogía - Chía</v>
      </c>
    </row>
    <row r="5305" spans="1:3">
      <c r="A5305">
        <v>60</v>
      </c>
      <c r="B5305">
        <v>4</v>
      </c>
      <c r="C5305" t="str">
        <f>VLOOKUP(A5305,'Programas y Unidades'!$A:$B,2,0)</f>
        <v>Maestría en Desarrollo Infantil - Chía</v>
      </c>
    </row>
    <row r="5306" spans="1:3">
      <c r="A5306">
        <v>139</v>
      </c>
      <c r="B5306">
        <v>2</v>
      </c>
      <c r="C5306" t="str">
        <f>VLOOKUP(A5306,'Programas y Unidades'!$A:$B,2,0)</f>
        <v>Especialización en Gerencia Estratégica - Barranquilla</v>
      </c>
    </row>
    <row r="5307" spans="1:3">
      <c r="A5307">
        <v>123</v>
      </c>
      <c r="B5307">
        <v>2</v>
      </c>
      <c r="C5307" t="str">
        <f>VLOOKUP(A5307,'Programas y Unidades'!$A:$B,2,0)</f>
        <v>Especialización en Pedagogía e Investigación en el Aula - Virtual</v>
      </c>
    </row>
    <row r="5308" spans="1:3">
      <c r="A5308">
        <v>123</v>
      </c>
      <c r="B5308">
        <v>1</v>
      </c>
      <c r="C5308" t="str">
        <f>VLOOKUP(A5308,'Programas y Unidades'!$A:$B,2,0)</f>
        <v>Especialización en Pedagogía e Investigación en el Aula - Virtual</v>
      </c>
    </row>
    <row r="5309" spans="1:3">
      <c r="A5309">
        <v>97</v>
      </c>
      <c r="B5309">
        <v>1</v>
      </c>
      <c r="C5309" t="str">
        <f>VLOOKUP(A5309,'Programas y Unidades'!$A:$B,2,0)</f>
        <v>Especialización en Contratación Estatal - Chía</v>
      </c>
    </row>
    <row r="5310" spans="1:3">
      <c r="A5310">
        <v>78</v>
      </c>
      <c r="B5310">
        <v>4</v>
      </c>
      <c r="C5310" t="str">
        <f>VLOOKUP(A5310,'Programas y Unidades'!$A:$B,2,0)</f>
        <v>Maestría en Educación Médica - Chía</v>
      </c>
    </row>
    <row r="5311" spans="1:3">
      <c r="A5311">
        <v>149</v>
      </c>
      <c r="B5311">
        <v>2</v>
      </c>
      <c r="C5311" t="e">
        <f>VLOOKUP(A5311,'Programas y Unidades'!$A:$B,2,0)</f>
        <v>#N/A</v>
      </c>
    </row>
    <row r="5312" spans="1:3">
      <c r="A5312">
        <v>149</v>
      </c>
      <c r="B5312">
        <v>2</v>
      </c>
      <c r="C5312" t="e">
        <f>VLOOKUP(A5312,'Programas y Unidades'!$A:$B,2,0)</f>
        <v>#N/A</v>
      </c>
    </row>
    <row r="5313" spans="1:3">
      <c r="A5313">
        <v>149</v>
      </c>
      <c r="B5313">
        <v>2</v>
      </c>
      <c r="C5313" t="e">
        <f>VLOOKUP(A5313,'Programas y Unidades'!$A:$B,2,0)</f>
        <v>#N/A</v>
      </c>
    </row>
    <row r="5314" spans="1:3">
      <c r="A5314">
        <v>149</v>
      </c>
      <c r="B5314">
        <v>2</v>
      </c>
      <c r="C5314" t="e">
        <f>VLOOKUP(A5314,'Programas y Unidades'!$A:$B,2,0)</f>
        <v>#N/A</v>
      </c>
    </row>
    <row r="5315" spans="1:3">
      <c r="A5315">
        <v>149</v>
      </c>
      <c r="B5315">
        <v>2</v>
      </c>
      <c r="C5315" t="e">
        <f>VLOOKUP(A5315,'Programas y Unidades'!$A:$B,2,0)</f>
        <v>#N/A</v>
      </c>
    </row>
    <row r="5316" spans="1:3">
      <c r="A5316">
        <v>149</v>
      </c>
      <c r="B5316">
        <v>2</v>
      </c>
      <c r="C5316" t="e">
        <f>VLOOKUP(A5316,'Programas y Unidades'!$A:$B,2,0)</f>
        <v>#N/A</v>
      </c>
    </row>
    <row r="5317" spans="1:3">
      <c r="A5317">
        <v>149</v>
      </c>
      <c r="B5317">
        <v>2</v>
      </c>
      <c r="C5317" t="e">
        <f>VLOOKUP(A5317,'Programas y Unidades'!$A:$B,2,0)</f>
        <v>#N/A</v>
      </c>
    </row>
    <row r="5318" spans="1:3">
      <c r="A5318">
        <v>149</v>
      </c>
      <c r="B5318">
        <v>2</v>
      </c>
      <c r="C5318" t="e">
        <f>VLOOKUP(A5318,'Programas y Unidades'!$A:$B,2,0)</f>
        <v>#N/A</v>
      </c>
    </row>
    <row r="5319" spans="1:3">
      <c r="A5319">
        <v>149</v>
      </c>
      <c r="B5319">
        <v>2</v>
      </c>
      <c r="C5319" t="e">
        <f>VLOOKUP(A5319,'Programas y Unidades'!$A:$B,2,0)</f>
        <v>#N/A</v>
      </c>
    </row>
    <row r="5320" spans="1:3">
      <c r="A5320">
        <v>149</v>
      </c>
      <c r="B5320">
        <v>2</v>
      </c>
      <c r="C5320" t="e">
        <f>VLOOKUP(A5320,'Programas y Unidades'!$A:$B,2,0)</f>
        <v>#N/A</v>
      </c>
    </row>
    <row r="5321" spans="1:3">
      <c r="A5321">
        <v>149</v>
      </c>
      <c r="B5321">
        <v>2</v>
      </c>
      <c r="C5321" t="e">
        <f>VLOOKUP(A5321,'Programas y Unidades'!$A:$B,2,0)</f>
        <v>#N/A</v>
      </c>
    </row>
    <row r="5322" spans="1:3">
      <c r="A5322">
        <v>149</v>
      </c>
      <c r="B5322">
        <v>2</v>
      </c>
      <c r="C5322" t="e">
        <f>VLOOKUP(A5322,'Programas y Unidades'!$A:$B,2,0)</f>
        <v>#N/A</v>
      </c>
    </row>
    <row r="5323" spans="1:3">
      <c r="A5323">
        <v>149</v>
      </c>
      <c r="B5323">
        <v>2</v>
      </c>
      <c r="C5323" t="e">
        <f>VLOOKUP(A5323,'Programas y Unidades'!$A:$B,2,0)</f>
        <v>#N/A</v>
      </c>
    </row>
    <row r="5324" spans="1:3">
      <c r="A5324">
        <v>78</v>
      </c>
      <c r="B5324">
        <v>2</v>
      </c>
      <c r="C5324" t="str">
        <f>VLOOKUP(A5324,'Programas y Unidades'!$A:$B,2,0)</f>
        <v>Maestría en Educación Médica - Chía</v>
      </c>
    </row>
    <row r="5325" spans="1:3">
      <c r="A5325">
        <v>139</v>
      </c>
      <c r="B5325">
        <v>2</v>
      </c>
      <c r="C5325" t="str">
        <f>VLOOKUP(A5325,'Programas y Unidades'!$A:$B,2,0)</f>
        <v>Especialización en Gerencia Estratégica - Barranquilla</v>
      </c>
    </row>
    <row r="5326" spans="1:3">
      <c r="A5326">
        <v>122</v>
      </c>
      <c r="B5326">
        <v>1</v>
      </c>
      <c r="C5326" t="str">
        <f>VLOOKUP(A5326,'Programas y Unidades'!$A:$B,2,0)</f>
        <v>Especialización en Contratación Estatal - Neiva</v>
      </c>
    </row>
    <row r="5327" spans="1:3">
      <c r="A5327">
        <v>139</v>
      </c>
      <c r="B5327">
        <v>2</v>
      </c>
      <c r="C5327" t="str">
        <f>VLOOKUP(A5327,'Programas y Unidades'!$A:$B,2,0)</f>
        <v>Especialización en Gerencia Estratégica - Barranquilla</v>
      </c>
    </row>
    <row r="5328" spans="1:3">
      <c r="A5328">
        <v>156</v>
      </c>
      <c r="B5328">
        <v>2</v>
      </c>
      <c r="C5328" t="e">
        <f>VLOOKUP(A5328,'Programas y Unidades'!$A:$B,2,0)</f>
        <v>#N/A</v>
      </c>
    </row>
    <row r="5329" spans="1:3">
      <c r="A5329">
        <v>156</v>
      </c>
      <c r="B5329">
        <v>2</v>
      </c>
      <c r="C5329" t="e">
        <f>VLOOKUP(A5329,'Programas y Unidades'!$A:$B,2,0)</f>
        <v>#N/A</v>
      </c>
    </row>
    <row r="5330" spans="1:3">
      <c r="A5330">
        <v>156</v>
      </c>
      <c r="B5330">
        <v>2</v>
      </c>
      <c r="C5330" t="e">
        <f>VLOOKUP(A5330,'Programas y Unidades'!$A:$B,2,0)</f>
        <v>#N/A</v>
      </c>
    </row>
    <row r="5331" spans="1:3">
      <c r="A5331">
        <v>156</v>
      </c>
      <c r="B5331">
        <v>2</v>
      </c>
      <c r="C5331" t="e">
        <f>VLOOKUP(A5331,'Programas y Unidades'!$A:$B,2,0)</f>
        <v>#N/A</v>
      </c>
    </row>
    <row r="5332" spans="1:3">
      <c r="A5332">
        <v>156</v>
      </c>
      <c r="B5332">
        <v>2</v>
      </c>
      <c r="C5332" t="e">
        <f>VLOOKUP(A5332,'Programas y Unidades'!$A:$B,2,0)</f>
        <v>#N/A</v>
      </c>
    </row>
    <row r="5333" spans="1:3">
      <c r="A5333">
        <v>156</v>
      </c>
      <c r="B5333">
        <v>2</v>
      </c>
      <c r="C5333" t="e">
        <f>VLOOKUP(A5333,'Programas y Unidades'!$A:$B,2,0)</f>
        <v>#N/A</v>
      </c>
    </row>
    <row r="5334" spans="1:3">
      <c r="A5334">
        <v>156</v>
      </c>
      <c r="B5334">
        <v>2</v>
      </c>
      <c r="C5334" t="e">
        <f>VLOOKUP(A5334,'Programas y Unidades'!$A:$B,2,0)</f>
        <v>#N/A</v>
      </c>
    </row>
    <row r="5335" spans="1:3">
      <c r="A5335">
        <v>156</v>
      </c>
      <c r="B5335">
        <v>2</v>
      </c>
      <c r="C5335" t="e">
        <f>VLOOKUP(A5335,'Programas y Unidades'!$A:$B,2,0)</f>
        <v>#N/A</v>
      </c>
    </row>
    <row r="5336" spans="1:3">
      <c r="A5336">
        <v>156</v>
      </c>
      <c r="B5336">
        <v>2</v>
      </c>
      <c r="C5336" t="e">
        <f>VLOOKUP(A5336,'Programas y Unidades'!$A:$B,2,0)</f>
        <v>#N/A</v>
      </c>
    </row>
    <row r="5337" spans="1:3">
      <c r="A5337">
        <v>156</v>
      </c>
      <c r="B5337">
        <v>2</v>
      </c>
      <c r="C5337" t="e">
        <f>VLOOKUP(A5337,'Programas y Unidades'!$A:$B,2,0)</f>
        <v>#N/A</v>
      </c>
    </row>
    <row r="5338" spans="1:3">
      <c r="A5338">
        <v>156</v>
      </c>
      <c r="B5338">
        <v>2</v>
      </c>
      <c r="C5338" t="e">
        <f>VLOOKUP(A5338,'Programas y Unidades'!$A:$B,2,0)</f>
        <v>#N/A</v>
      </c>
    </row>
    <row r="5339" spans="1:3">
      <c r="A5339">
        <v>156</v>
      </c>
      <c r="B5339">
        <v>2</v>
      </c>
      <c r="C5339" t="e">
        <f>VLOOKUP(A5339,'Programas y Unidades'!$A:$B,2,0)</f>
        <v>#N/A</v>
      </c>
    </row>
    <row r="5340" spans="1:3">
      <c r="A5340">
        <v>156</v>
      </c>
      <c r="B5340">
        <v>2</v>
      </c>
      <c r="C5340" t="e">
        <f>VLOOKUP(A5340,'Programas y Unidades'!$A:$B,2,0)</f>
        <v>#N/A</v>
      </c>
    </row>
    <row r="5341" spans="1:3">
      <c r="A5341">
        <v>156</v>
      </c>
      <c r="B5341">
        <v>2</v>
      </c>
      <c r="C5341" t="e">
        <f>VLOOKUP(A5341,'Programas y Unidades'!$A:$B,2,0)</f>
        <v>#N/A</v>
      </c>
    </row>
    <row r="5342" spans="1:3">
      <c r="A5342">
        <v>156</v>
      </c>
      <c r="B5342">
        <v>2</v>
      </c>
      <c r="C5342" t="e">
        <f>VLOOKUP(A5342,'Programas y Unidades'!$A:$B,2,0)</f>
        <v>#N/A</v>
      </c>
    </row>
    <row r="5343" spans="1:3">
      <c r="A5343">
        <v>156</v>
      </c>
      <c r="B5343">
        <v>2</v>
      </c>
      <c r="C5343" t="e">
        <f>VLOOKUP(A5343,'Programas y Unidades'!$A:$B,2,0)</f>
        <v>#N/A</v>
      </c>
    </row>
    <row r="5344" spans="1:3">
      <c r="A5344">
        <v>156</v>
      </c>
      <c r="B5344">
        <v>2</v>
      </c>
      <c r="C5344" t="e">
        <f>VLOOKUP(A5344,'Programas y Unidades'!$A:$B,2,0)</f>
        <v>#N/A</v>
      </c>
    </row>
    <row r="5345" spans="1:3">
      <c r="A5345">
        <v>156</v>
      </c>
      <c r="B5345">
        <v>2</v>
      </c>
      <c r="C5345" t="e">
        <f>VLOOKUP(A5345,'Programas y Unidades'!$A:$B,2,0)</f>
        <v>#N/A</v>
      </c>
    </row>
    <row r="5346" spans="1:3">
      <c r="A5346">
        <v>156</v>
      </c>
      <c r="B5346">
        <v>2</v>
      </c>
      <c r="C5346" t="e">
        <f>VLOOKUP(A5346,'Programas y Unidades'!$A:$B,2,0)</f>
        <v>#N/A</v>
      </c>
    </row>
    <row r="5347" spans="1:3">
      <c r="A5347">
        <v>156</v>
      </c>
      <c r="B5347">
        <v>2</v>
      </c>
      <c r="C5347" t="e">
        <f>VLOOKUP(A5347,'Programas y Unidades'!$A:$B,2,0)</f>
        <v>#N/A</v>
      </c>
    </row>
    <row r="5348" spans="1:3">
      <c r="A5348">
        <v>150</v>
      </c>
      <c r="B5348">
        <v>2</v>
      </c>
      <c r="C5348" t="e">
        <f>VLOOKUP(A5348,'Programas y Unidades'!$A:$B,2,0)</f>
        <v>#N/A</v>
      </c>
    </row>
    <row r="5349" spans="1:3">
      <c r="A5349">
        <v>150</v>
      </c>
      <c r="B5349">
        <v>2</v>
      </c>
      <c r="C5349" t="e">
        <f>VLOOKUP(A5349,'Programas y Unidades'!$A:$B,2,0)</f>
        <v>#N/A</v>
      </c>
    </row>
    <row r="5350" spans="1:3">
      <c r="A5350">
        <v>150</v>
      </c>
      <c r="B5350">
        <v>2</v>
      </c>
      <c r="C5350" t="e">
        <f>VLOOKUP(A5350,'Programas y Unidades'!$A:$B,2,0)</f>
        <v>#N/A</v>
      </c>
    </row>
    <row r="5351" spans="1:3">
      <c r="A5351">
        <v>150</v>
      </c>
      <c r="B5351">
        <v>2</v>
      </c>
      <c r="C5351" t="e">
        <f>VLOOKUP(A5351,'Programas y Unidades'!$A:$B,2,0)</f>
        <v>#N/A</v>
      </c>
    </row>
    <row r="5352" spans="1:3">
      <c r="A5352">
        <v>150</v>
      </c>
      <c r="B5352">
        <v>2</v>
      </c>
      <c r="C5352" t="e">
        <f>VLOOKUP(A5352,'Programas y Unidades'!$A:$B,2,0)</f>
        <v>#N/A</v>
      </c>
    </row>
    <row r="5353" spans="1:3">
      <c r="A5353">
        <v>150</v>
      </c>
      <c r="B5353">
        <v>2</v>
      </c>
      <c r="C5353" t="e">
        <f>VLOOKUP(A5353,'Programas y Unidades'!$A:$B,2,0)</f>
        <v>#N/A</v>
      </c>
    </row>
    <row r="5354" spans="1:3">
      <c r="A5354">
        <v>150</v>
      </c>
      <c r="B5354">
        <v>2</v>
      </c>
      <c r="C5354" t="e">
        <f>VLOOKUP(A5354,'Programas y Unidades'!$A:$B,2,0)</f>
        <v>#N/A</v>
      </c>
    </row>
    <row r="5355" spans="1:3">
      <c r="A5355">
        <v>150</v>
      </c>
      <c r="B5355">
        <v>2</v>
      </c>
      <c r="C5355" t="e">
        <f>VLOOKUP(A5355,'Programas y Unidades'!$A:$B,2,0)</f>
        <v>#N/A</v>
      </c>
    </row>
    <row r="5356" spans="1:3">
      <c r="A5356">
        <v>150</v>
      </c>
      <c r="B5356">
        <v>2</v>
      </c>
      <c r="C5356" t="e">
        <f>VLOOKUP(A5356,'Programas y Unidades'!$A:$B,2,0)</f>
        <v>#N/A</v>
      </c>
    </row>
    <row r="5357" spans="1:3">
      <c r="A5357">
        <v>150</v>
      </c>
      <c r="B5357">
        <v>2</v>
      </c>
      <c r="C5357" t="e">
        <f>VLOOKUP(A5357,'Programas y Unidades'!$A:$B,2,0)</f>
        <v>#N/A</v>
      </c>
    </row>
    <row r="5358" spans="1:3">
      <c r="A5358">
        <v>150</v>
      </c>
      <c r="B5358">
        <v>2</v>
      </c>
      <c r="C5358" t="e">
        <f>VLOOKUP(A5358,'Programas y Unidades'!$A:$B,2,0)</f>
        <v>#N/A</v>
      </c>
    </row>
    <row r="5359" spans="1:3">
      <c r="A5359">
        <v>150</v>
      </c>
      <c r="B5359">
        <v>2</v>
      </c>
      <c r="C5359" t="e">
        <f>VLOOKUP(A5359,'Programas y Unidades'!$A:$B,2,0)</f>
        <v>#N/A</v>
      </c>
    </row>
    <row r="5360" spans="1:3">
      <c r="A5360">
        <v>150</v>
      </c>
      <c r="B5360">
        <v>2</v>
      </c>
      <c r="C5360" t="e">
        <f>VLOOKUP(A5360,'Programas y Unidades'!$A:$B,2,0)</f>
        <v>#N/A</v>
      </c>
    </row>
    <row r="5361" spans="1:3">
      <c r="A5361">
        <v>150</v>
      </c>
      <c r="B5361">
        <v>2</v>
      </c>
      <c r="C5361" t="e">
        <f>VLOOKUP(A5361,'Programas y Unidades'!$A:$B,2,0)</f>
        <v>#N/A</v>
      </c>
    </row>
    <row r="5362" spans="1:3">
      <c r="A5362">
        <v>150</v>
      </c>
      <c r="B5362">
        <v>2</v>
      </c>
      <c r="C5362" t="e">
        <f>VLOOKUP(A5362,'Programas y Unidades'!$A:$B,2,0)</f>
        <v>#N/A</v>
      </c>
    </row>
    <row r="5363" spans="1:3">
      <c r="A5363">
        <v>150</v>
      </c>
      <c r="B5363">
        <v>2</v>
      </c>
      <c r="C5363" t="e">
        <f>VLOOKUP(A5363,'Programas y Unidades'!$A:$B,2,0)</f>
        <v>#N/A</v>
      </c>
    </row>
    <row r="5364" spans="1:3">
      <c r="A5364">
        <v>61</v>
      </c>
      <c r="B5364">
        <v>4</v>
      </c>
      <c r="C5364" t="str">
        <f>VLOOKUP(A5364,'Programas y Unidades'!$A:$B,2,0)</f>
        <v>Maestría en Educación - Chía</v>
      </c>
    </row>
    <row r="5365" spans="1:3">
      <c r="A5365">
        <v>44</v>
      </c>
      <c r="B5365">
        <v>2</v>
      </c>
      <c r="C5365" t="str">
        <f>VLOOKUP(A5365,'Programas y Unidades'!$A:$B,2,0)</f>
        <v>Doctorado en Administración de Organizaciones - Chía</v>
      </c>
    </row>
    <row r="5366" spans="1:3">
      <c r="A5366">
        <v>44</v>
      </c>
      <c r="B5366">
        <v>1</v>
      </c>
      <c r="C5366" t="str">
        <f>VLOOKUP(A5366,'Programas y Unidades'!$A:$B,2,0)</f>
        <v>Doctorado en Administración de Organizaciones - Chía</v>
      </c>
    </row>
    <row r="5367" spans="1:3">
      <c r="A5367">
        <v>136</v>
      </c>
      <c r="B5367">
        <v>2</v>
      </c>
      <c r="C5367" t="str">
        <f>VLOOKUP(A5367,'Programas y Unidades'!$A:$B,2,0)</f>
        <v>Especialización en Gestión para el Desarrollo Humano en la Organización - Bucaramanga</v>
      </c>
    </row>
    <row r="5368" spans="1:3">
      <c r="A5368">
        <v>44</v>
      </c>
      <c r="B5368">
        <v>2</v>
      </c>
      <c r="C5368" t="str">
        <f>VLOOKUP(A5368,'Programas y Unidades'!$A:$B,2,0)</f>
        <v>Doctorado en Administración de Organizaciones - Chía</v>
      </c>
    </row>
    <row r="5369" spans="1:3">
      <c r="A5369">
        <v>119</v>
      </c>
      <c r="B5369">
        <v>1</v>
      </c>
      <c r="C5369" t="str">
        <f>VLOOKUP(A5369,'Programas y Unidades'!$A:$B,2,0)</f>
        <v>Especialización en Gerencia de Proyectos con Enfoque en Habilidades Directivas - Chía</v>
      </c>
    </row>
    <row r="5370" spans="1:3">
      <c r="A5370">
        <v>115</v>
      </c>
      <c r="B5370">
        <v>2</v>
      </c>
      <c r="C5370" t="str">
        <f>VLOOKUP(A5370,'Programas y Unidades'!$A:$B,2,0)</f>
        <v>Especialización en Gerencia Logística - Chía</v>
      </c>
    </row>
    <row r="5371" spans="1:3">
      <c r="A5371">
        <v>115</v>
      </c>
      <c r="B5371">
        <v>2</v>
      </c>
      <c r="C5371" t="str">
        <f>VLOOKUP(A5371,'Programas y Unidades'!$A:$B,2,0)</f>
        <v>Especialización en Gerencia Logística - Chía</v>
      </c>
    </row>
    <row r="5372" spans="1:3">
      <c r="A5372">
        <v>115</v>
      </c>
      <c r="B5372">
        <v>2</v>
      </c>
      <c r="C5372" t="str">
        <f>VLOOKUP(A5372,'Programas y Unidades'!$A:$B,2,0)</f>
        <v>Especialización en Gerencia Logística - Chía</v>
      </c>
    </row>
    <row r="5373" spans="1:3">
      <c r="A5373">
        <v>115</v>
      </c>
      <c r="B5373">
        <v>2</v>
      </c>
      <c r="C5373" t="str">
        <f>VLOOKUP(A5373,'Programas y Unidades'!$A:$B,2,0)</f>
        <v>Especialización en Gerencia Logística - Chía</v>
      </c>
    </row>
    <row r="5374" spans="1:3">
      <c r="A5374">
        <v>115</v>
      </c>
      <c r="B5374">
        <v>2</v>
      </c>
      <c r="C5374" t="str">
        <f>VLOOKUP(A5374,'Programas y Unidades'!$A:$B,2,0)</f>
        <v>Especialización en Gerencia Logística - Chía</v>
      </c>
    </row>
    <row r="5375" spans="1:3">
      <c r="A5375">
        <v>115</v>
      </c>
      <c r="B5375">
        <v>2</v>
      </c>
      <c r="C5375" t="str">
        <f>VLOOKUP(A5375,'Programas y Unidades'!$A:$B,2,0)</f>
        <v>Especialización en Gerencia Logística - Chía</v>
      </c>
    </row>
    <row r="5376" spans="1:3">
      <c r="A5376">
        <v>115</v>
      </c>
      <c r="B5376">
        <v>2</v>
      </c>
      <c r="C5376" t="str">
        <f>VLOOKUP(A5376,'Programas y Unidades'!$A:$B,2,0)</f>
        <v>Especialización en Gerencia Logística - Chía</v>
      </c>
    </row>
    <row r="5377" spans="1:3">
      <c r="A5377">
        <v>115</v>
      </c>
      <c r="B5377">
        <v>2</v>
      </c>
      <c r="C5377" t="str">
        <f>VLOOKUP(A5377,'Programas y Unidades'!$A:$B,2,0)</f>
        <v>Especialización en Gerencia Logística - Chía</v>
      </c>
    </row>
    <row r="5378" spans="1:3">
      <c r="A5378">
        <v>115</v>
      </c>
      <c r="B5378">
        <v>2</v>
      </c>
      <c r="C5378" t="str">
        <f>VLOOKUP(A5378,'Programas y Unidades'!$A:$B,2,0)</f>
        <v>Especialización en Gerencia Logística - Chía</v>
      </c>
    </row>
    <row r="5379" spans="1:3">
      <c r="A5379">
        <v>115</v>
      </c>
      <c r="B5379">
        <v>2</v>
      </c>
      <c r="C5379" t="str">
        <f>VLOOKUP(A5379,'Programas y Unidades'!$A:$B,2,0)</f>
        <v>Especialización en Gerencia Logística - Chía</v>
      </c>
    </row>
    <row r="5380" spans="1:3">
      <c r="A5380">
        <v>115</v>
      </c>
      <c r="B5380">
        <v>2</v>
      </c>
      <c r="C5380" t="str">
        <f>VLOOKUP(A5380,'Programas y Unidades'!$A:$B,2,0)</f>
        <v>Especialización en Gerencia Logística - Chía</v>
      </c>
    </row>
    <row r="5381" spans="1:3">
      <c r="A5381">
        <v>115</v>
      </c>
      <c r="B5381">
        <v>2</v>
      </c>
      <c r="C5381" t="str">
        <f>VLOOKUP(A5381,'Programas y Unidades'!$A:$B,2,0)</f>
        <v>Especialización en Gerencia Logística - Chía</v>
      </c>
    </row>
    <row r="5382" spans="1:3">
      <c r="A5382">
        <v>115</v>
      </c>
      <c r="B5382">
        <v>2</v>
      </c>
      <c r="C5382" t="str">
        <f>VLOOKUP(A5382,'Programas y Unidades'!$A:$B,2,0)</f>
        <v>Especialización en Gerencia Logística - Chía</v>
      </c>
    </row>
    <row r="5383" spans="1:3">
      <c r="A5383">
        <v>115</v>
      </c>
      <c r="B5383">
        <v>2</v>
      </c>
      <c r="C5383" t="str">
        <f>VLOOKUP(A5383,'Programas y Unidades'!$A:$B,2,0)</f>
        <v>Especialización en Gerencia Logística - Chía</v>
      </c>
    </row>
    <row r="5384" spans="1:3">
      <c r="A5384">
        <v>115</v>
      </c>
      <c r="B5384">
        <v>2</v>
      </c>
      <c r="C5384" t="str">
        <f>VLOOKUP(A5384,'Programas y Unidades'!$A:$B,2,0)</f>
        <v>Especialización en Gerencia Logística - Chía</v>
      </c>
    </row>
    <row r="5385" spans="1:3">
      <c r="A5385">
        <v>115</v>
      </c>
      <c r="B5385">
        <v>2</v>
      </c>
      <c r="C5385" t="str">
        <f>VLOOKUP(A5385,'Programas y Unidades'!$A:$B,2,0)</f>
        <v>Especialización en Gerencia Logística - Chía</v>
      </c>
    </row>
    <row r="5386" spans="1:3">
      <c r="A5386">
        <v>115</v>
      </c>
      <c r="B5386">
        <v>2</v>
      </c>
      <c r="C5386" t="str">
        <f>VLOOKUP(A5386,'Programas y Unidades'!$A:$B,2,0)</f>
        <v>Especialización en Gerencia Logística - Chía</v>
      </c>
    </row>
    <row r="5387" spans="1:3">
      <c r="A5387">
        <v>115</v>
      </c>
      <c r="B5387">
        <v>2</v>
      </c>
      <c r="C5387" t="str">
        <f>VLOOKUP(A5387,'Programas y Unidades'!$A:$B,2,0)</f>
        <v>Especialización en Gerencia Logística - Chía</v>
      </c>
    </row>
    <row r="5388" spans="1:3">
      <c r="A5388">
        <v>115</v>
      </c>
      <c r="B5388">
        <v>2</v>
      </c>
      <c r="C5388" t="str">
        <f>VLOOKUP(A5388,'Programas y Unidades'!$A:$B,2,0)</f>
        <v>Especialización en Gerencia Logística - Chía</v>
      </c>
    </row>
    <row r="5389" spans="1:3">
      <c r="A5389">
        <v>115</v>
      </c>
      <c r="B5389">
        <v>2</v>
      </c>
      <c r="C5389" t="str">
        <f>VLOOKUP(A5389,'Programas y Unidades'!$A:$B,2,0)</f>
        <v>Especialización en Gerencia Logística - Chía</v>
      </c>
    </row>
    <row r="5390" spans="1:3">
      <c r="A5390">
        <v>115</v>
      </c>
      <c r="B5390">
        <v>2</v>
      </c>
      <c r="C5390" t="str">
        <f>VLOOKUP(A5390,'Programas y Unidades'!$A:$B,2,0)</f>
        <v>Especialización en Gerencia Logística - Chía</v>
      </c>
    </row>
    <row r="5391" spans="1:3">
      <c r="A5391">
        <v>115</v>
      </c>
      <c r="B5391">
        <v>2</v>
      </c>
      <c r="C5391" t="str">
        <f>VLOOKUP(A5391,'Programas y Unidades'!$A:$B,2,0)</f>
        <v>Especialización en Gerencia Logística - Chía</v>
      </c>
    </row>
    <row r="5392" spans="1:3">
      <c r="A5392">
        <v>115</v>
      </c>
      <c r="B5392">
        <v>2</v>
      </c>
      <c r="C5392" t="str">
        <f>VLOOKUP(A5392,'Programas y Unidades'!$A:$B,2,0)</f>
        <v>Especialización en Gerencia Logística - Chía</v>
      </c>
    </row>
    <row r="5393" spans="1:3">
      <c r="A5393">
        <v>115</v>
      </c>
      <c r="B5393">
        <v>2</v>
      </c>
      <c r="C5393" t="str">
        <f>VLOOKUP(A5393,'Programas y Unidades'!$A:$B,2,0)</f>
        <v>Especialización en Gerencia Logística - Chía</v>
      </c>
    </row>
    <row r="5394" spans="1:3">
      <c r="A5394">
        <v>115</v>
      </c>
      <c r="B5394">
        <v>2</v>
      </c>
      <c r="C5394" t="str">
        <f>VLOOKUP(A5394,'Programas y Unidades'!$A:$B,2,0)</f>
        <v>Especialización en Gerencia Logística - Chía</v>
      </c>
    </row>
    <row r="5395" spans="1:3">
      <c r="A5395">
        <v>113</v>
      </c>
      <c r="B5395">
        <v>2</v>
      </c>
      <c r="C5395" t="str">
        <f>VLOOKUP(A5395,'Programas y Unidades'!$A:$B,2,0)</f>
        <v>Especialización en Gerencia Estratégica de Marca  - Chía</v>
      </c>
    </row>
    <row r="5396" spans="1:3">
      <c r="A5396">
        <v>113</v>
      </c>
      <c r="B5396">
        <v>2</v>
      </c>
      <c r="C5396" t="str">
        <f>VLOOKUP(A5396,'Programas y Unidades'!$A:$B,2,0)</f>
        <v>Especialización en Gerencia Estratégica de Marca  - Chía</v>
      </c>
    </row>
    <row r="5397" spans="1:3">
      <c r="A5397">
        <v>113</v>
      </c>
      <c r="B5397">
        <v>2</v>
      </c>
      <c r="C5397" t="str">
        <f>VLOOKUP(A5397,'Programas y Unidades'!$A:$B,2,0)</f>
        <v>Especialización en Gerencia Estratégica de Marca  - Chía</v>
      </c>
    </row>
    <row r="5398" spans="1:3">
      <c r="A5398">
        <v>113</v>
      </c>
      <c r="B5398">
        <v>2</v>
      </c>
      <c r="C5398" t="str">
        <f>VLOOKUP(A5398,'Programas y Unidades'!$A:$B,2,0)</f>
        <v>Especialización en Gerencia Estratégica de Marca  - Chía</v>
      </c>
    </row>
    <row r="5399" spans="1:3">
      <c r="A5399">
        <v>113</v>
      </c>
      <c r="B5399">
        <v>2</v>
      </c>
      <c r="C5399" t="str">
        <f>VLOOKUP(A5399,'Programas y Unidades'!$A:$B,2,0)</f>
        <v>Especialización en Gerencia Estratégica de Marca  - Chía</v>
      </c>
    </row>
    <row r="5400" spans="1:3">
      <c r="A5400">
        <v>113</v>
      </c>
      <c r="B5400">
        <v>2</v>
      </c>
      <c r="C5400" t="str">
        <f>VLOOKUP(A5400,'Programas y Unidades'!$A:$B,2,0)</f>
        <v>Especialización en Gerencia Estratégica de Marca  - Chía</v>
      </c>
    </row>
    <row r="5401" spans="1:3">
      <c r="A5401">
        <v>113</v>
      </c>
      <c r="B5401">
        <v>2</v>
      </c>
      <c r="C5401" t="str">
        <f>VLOOKUP(A5401,'Programas y Unidades'!$A:$B,2,0)</f>
        <v>Especialización en Gerencia Estratégica de Marca  - Chía</v>
      </c>
    </row>
    <row r="5402" spans="1:3">
      <c r="A5402">
        <v>113</v>
      </c>
      <c r="B5402">
        <v>2</v>
      </c>
      <c r="C5402" t="str">
        <f>VLOOKUP(A5402,'Programas y Unidades'!$A:$B,2,0)</f>
        <v>Especialización en Gerencia Estratégica de Marca  - Chía</v>
      </c>
    </row>
    <row r="5403" spans="1:3">
      <c r="A5403">
        <v>113</v>
      </c>
      <c r="B5403">
        <v>2</v>
      </c>
      <c r="C5403" t="str">
        <f>VLOOKUP(A5403,'Programas y Unidades'!$A:$B,2,0)</f>
        <v>Especialización en Gerencia Estratégica de Marca  - Chía</v>
      </c>
    </row>
    <row r="5404" spans="1:3">
      <c r="A5404">
        <v>113</v>
      </c>
      <c r="B5404">
        <v>2</v>
      </c>
      <c r="C5404" t="str">
        <f>VLOOKUP(A5404,'Programas y Unidades'!$A:$B,2,0)</f>
        <v>Especialización en Gerencia Estratégica de Marca  - Chía</v>
      </c>
    </row>
    <row r="5405" spans="1:3">
      <c r="A5405">
        <v>113</v>
      </c>
      <c r="B5405">
        <v>2</v>
      </c>
      <c r="C5405" t="str">
        <f>VLOOKUP(A5405,'Programas y Unidades'!$A:$B,2,0)</f>
        <v>Especialización en Gerencia Estratégica de Marca  - Chía</v>
      </c>
    </row>
    <row r="5406" spans="1:3">
      <c r="A5406">
        <v>113</v>
      </c>
      <c r="B5406">
        <v>2</v>
      </c>
      <c r="C5406" t="str">
        <f>VLOOKUP(A5406,'Programas y Unidades'!$A:$B,2,0)</f>
        <v>Especialización en Gerencia Estratégica de Marca  - Chía</v>
      </c>
    </row>
    <row r="5407" spans="1:3">
      <c r="A5407">
        <v>113</v>
      </c>
      <c r="B5407">
        <v>2</v>
      </c>
      <c r="C5407" t="str">
        <f>VLOOKUP(A5407,'Programas y Unidades'!$A:$B,2,0)</f>
        <v>Especialización en Gerencia Estratégica de Marca  - Chía</v>
      </c>
    </row>
    <row r="5408" spans="1:3">
      <c r="A5408">
        <v>113</v>
      </c>
      <c r="B5408">
        <v>2</v>
      </c>
      <c r="C5408" t="str">
        <f>VLOOKUP(A5408,'Programas y Unidades'!$A:$B,2,0)</f>
        <v>Especialización en Gerencia Estratégica de Marca  - Chía</v>
      </c>
    </row>
    <row r="5409" spans="1:3">
      <c r="A5409">
        <v>113</v>
      </c>
      <c r="B5409">
        <v>1</v>
      </c>
      <c r="C5409" t="str">
        <f>VLOOKUP(A5409,'Programas y Unidades'!$A:$B,2,0)</f>
        <v>Especialización en Gerencia Estratégica de Marca  - Chía</v>
      </c>
    </row>
    <row r="5410" spans="1:3">
      <c r="A5410">
        <v>113</v>
      </c>
      <c r="B5410">
        <v>2</v>
      </c>
      <c r="C5410" t="str">
        <f>VLOOKUP(A5410,'Programas y Unidades'!$A:$B,2,0)</f>
        <v>Especialización en Gerencia Estratégica de Marca  - Chía</v>
      </c>
    </row>
    <row r="5411" spans="1:3">
      <c r="A5411">
        <v>113</v>
      </c>
      <c r="B5411">
        <v>1</v>
      </c>
      <c r="C5411" t="str">
        <f>VLOOKUP(A5411,'Programas y Unidades'!$A:$B,2,0)</f>
        <v>Especialización en Gerencia Estratégica de Marca  - Chía</v>
      </c>
    </row>
    <row r="5412" spans="1:3">
      <c r="A5412">
        <v>44</v>
      </c>
      <c r="B5412">
        <v>2</v>
      </c>
      <c r="C5412" t="str">
        <f>VLOOKUP(A5412,'Programas y Unidades'!$A:$B,2,0)</f>
        <v>Doctorado en Administración de Organizaciones - Chía</v>
      </c>
    </row>
    <row r="5413" spans="1:3">
      <c r="A5413">
        <v>96</v>
      </c>
      <c r="B5413">
        <v>2</v>
      </c>
      <c r="C5413" t="str">
        <f>VLOOKUP(A5413,'Programas y Unidades'!$A:$B,2,0)</f>
        <v>Especialización en Gerencia de la Comunicación Organizacional - Chía</v>
      </c>
    </row>
    <row r="5414" spans="1:3">
      <c r="A5414">
        <v>136</v>
      </c>
      <c r="B5414">
        <v>2</v>
      </c>
      <c r="C5414" t="str">
        <f>VLOOKUP(A5414,'Programas y Unidades'!$A:$B,2,0)</f>
        <v>Especialización en Gestión para el Desarrollo Humano en la Organización - Bucaramanga</v>
      </c>
    </row>
    <row r="5415" spans="1:3">
      <c r="A5415">
        <v>136</v>
      </c>
      <c r="B5415">
        <v>2</v>
      </c>
      <c r="C5415" t="str">
        <f>VLOOKUP(A5415,'Programas y Unidades'!$A:$B,2,0)</f>
        <v>Especialización en Gestión para el Desarrollo Humano en la Organización - Bucaramanga</v>
      </c>
    </row>
    <row r="5416" spans="1:3">
      <c r="A5416">
        <v>136</v>
      </c>
      <c r="B5416">
        <v>2</v>
      </c>
      <c r="C5416" t="str">
        <f>VLOOKUP(A5416,'Programas y Unidades'!$A:$B,2,0)</f>
        <v>Especialización en Gestión para el Desarrollo Humano en la Organización - Bucaramanga</v>
      </c>
    </row>
    <row r="5417" spans="1:3">
      <c r="A5417">
        <v>116</v>
      </c>
      <c r="B5417">
        <v>2</v>
      </c>
      <c r="C5417" t="str">
        <f>VLOOKUP(A5417,'Programas y Unidades'!$A:$B,2,0)</f>
        <v>Especialización en Gestión para el Desarrollo Humano en la Organización - Chía</v>
      </c>
    </row>
    <row r="5418" spans="1:3">
      <c r="A5418">
        <v>136</v>
      </c>
      <c r="B5418">
        <v>2</v>
      </c>
      <c r="C5418" t="str">
        <f>VLOOKUP(A5418,'Programas y Unidades'!$A:$B,2,0)</f>
        <v>Especialización en Gestión para el Desarrollo Humano en la Organización - Bucaramanga</v>
      </c>
    </row>
    <row r="5419" spans="1:3">
      <c r="A5419">
        <v>136</v>
      </c>
      <c r="B5419">
        <v>2</v>
      </c>
      <c r="C5419" t="str">
        <f>VLOOKUP(A5419,'Programas y Unidades'!$A:$B,2,0)</f>
        <v>Especialización en Gestión para el Desarrollo Humano en la Organización - Bucaramanga</v>
      </c>
    </row>
    <row r="5420" spans="1:3">
      <c r="A5420">
        <v>136</v>
      </c>
      <c r="B5420">
        <v>2</v>
      </c>
      <c r="C5420" t="str">
        <f>VLOOKUP(A5420,'Programas y Unidades'!$A:$B,2,0)</f>
        <v>Especialización en Gestión para el Desarrollo Humano en la Organización - Bucaramanga</v>
      </c>
    </row>
    <row r="5421" spans="1:3">
      <c r="A5421">
        <v>136</v>
      </c>
      <c r="B5421">
        <v>2</v>
      </c>
      <c r="C5421" t="str">
        <f>VLOOKUP(A5421,'Programas y Unidades'!$A:$B,2,0)</f>
        <v>Especialización en Gestión para el Desarrollo Humano en la Organización - Bucaramanga</v>
      </c>
    </row>
    <row r="5422" spans="1:3">
      <c r="A5422">
        <v>136</v>
      </c>
      <c r="B5422">
        <v>2</v>
      </c>
      <c r="C5422" t="str">
        <f>VLOOKUP(A5422,'Programas y Unidades'!$A:$B,2,0)</f>
        <v>Especialización en Gestión para el Desarrollo Humano en la Organización - Bucaramanga</v>
      </c>
    </row>
    <row r="5423" spans="1:3">
      <c r="A5423">
        <v>136</v>
      </c>
      <c r="B5423">
        <v>2</v>
      </c>
      <c r="C5423" t="str">
        <f>VLOOKUP(A5423,'Programas y Unidades'!$A:$B,2,0)</f>
        <v>Especialización en Gestión para el Desarrollo Humano en la Organización - Bucaramanga</v>
      </c>
    </row>
    <row r="5424" spans="1:3">
      <c r="A5424">
        <v>136</v>
      </c>
      <c r="B5424">
        <v>2</v>
      </c>
      <c r="C5424" t="str">
        <f>VLOOKUP(A5424,'Programas y Unidades'!$A:$B,2,0)</f>
        <v>Especialización en Gestión para el Desarrollo Humano en la Organización - Bucaramanga</v>
      </c>
    </row>
    <row r="5425" spans="1:3">
      <c r="A5425">
        <v>136</v>
      </c>
      <c r="B5425">
        <v>2</v>
      </c>
      <c r="C5425" t="str">
        <f>VLOOKUP(A5425,'Programas y Unidades'!$A:$B,2,0)</f>
        <v>Especialización en Gestión para el Desarrollo Humano en la Organización - Bucaramanga</v>
      </c>
    </row>
    <row r="5426" spans="1:3">
      <c r="A5426">
        <v>136</v>
      </c>
      <c r="B5426">
        <v>2</v>
      </c>
      <c r="C5426" t="str">
        <f>VLOOKUP(A5426,'Programas y Unidades'!$A:$B,2,0)</f>
        <v>Especialización en Gestión para el Desarrollo Humano en la Organización - Bucaramanga</v>
      </c>
    </row>
    <row r="5427" spans="1:3">
      <c r="A5427">
        <v>136</v>
      </c>
      <c r="B5427">
        <v>2</v>
      </c>
      <c r="C5427" t="str">
        <f>VLOOKUP(A5427,'Programas y Unidades'!$A:$B,2,0)</f>
        <v>Especialización en Gestión para el Desarrollo Humano en la Organización - Bucaramanga</v>
      </c>
    </row>
    <row r="5428" spans="1:3">
      <c r="A5428">
        <v>136</v>
      </c>
      <c r="B5428">
        <v>2</v>
      </c>
      <c r="C5428" t="str">
        <f>VLOOKUP(A5428,'Programas y Unidades'!$A:$B,2,0)</f>
        <v>Especialización en Gestión para el Desarrollo Humano en la Organización - Bucaramanga</v>
      </c>
    </row>
    <row r="5429" spans="1:3">
      <c r="A5429">
        <v>60</v>
      </c>
      <c r="B5429">
        <v>4</v>
      </c>
      <c r="C5429" t="str">
        <f>VLOOKUP(A5429,'Programas y Unidades'!$A:$B,2,0)</f>
        <v>Maestría en Desarrollo Infantil - Chía</v>
      </c>
    </row>
    <row r="5430" spans="1:3">
      <c r="A5430">
        <v>123</v>
      </c>
      <c r="B5430">
        <v>2</v>
      </c>
      <c r="C5430" t="str">
        <f>VLOOKUP(A5430,'Programas y Unidades'!$A:$B,2,0)</f>
        <v>Especialización en Pedagogía e Investigación en el Aula - Virtual</v>
      </c>
    </row>
    <row r="5431" spans="1:3">
      <c r="A5431">
        <v>103</v>
      </c>
      <c r="B5431">
        <v>2</v>
      </c>
      <c r="C5431" t="str">
        <f>VLOOKUP(A5431,'Programas y Unidades'!$A:$B,2,0)</f>
        <v>Especialización en Gerencia Educativa - Chía</v>
      </c>
    </row>
    <row r="5432" spans="1:3">
      <c r="A5432">
        <v>139</v>
      </c>
      <c r="B5432">
        <v>2</v>
      </c>
      <c r="C5432" t="str">
        <f>VLOOKUP(A5432,'Programas y Unidades'!$A:$B,2,0)</f>
        <v>Especialización en Gerencia Estratégica - Barranquilla</v>
      </c>
    </row>
    <row r="5433" spans="1:3">
      <c r="A5433">
        <v>61</v>
      </c>
      <c r="B5433">
        <v>2</v>
      </c>
      <c r="C5433" t="str">
        <f>VLOOKUP(A5433,'Programas y Unidades'!$A:$B,2,0)</f>
        <v>Maestría en Educación - Chía</v>
      </c>
    </row>
    <row r="5434" spans="1:3">
      <c r="A5434">
        <v>122</v>
      </c>
      <c r="B5434">
        <v>1</v>
      </c>
      <c r="C5434" t="str">
        <f>VLOOKUP(A5434,'Programas y Unidades'!$A:$B,2,0)</f>
        <v>Especialización en Contratación Estatal - Neiva</v>
      </c>
    </row>
    <row r="5435" spans="1:3">
      <c r="A5435">
        <v>78</v>
      </c>
      <c r="B5435">
        <v>2</v>
      </c>
      <c r="C5435" t="str">
        <f>VLOOKUP(A5435,'Programas y Unidades'!$A:$B,2,0)</f>
        <v>Maestría en Educación Médica - Chía</v>
      </c>
    </row>
    <row r="5436" spans="1:3">
      <c r="A5436">
        <v>44</v>
      </c>
      <c r="B5436">
        <v>4</v>
      </c>
      <c r="C5436" t="str">
        <f>VLOOKUP(A5436,'Programas y Unidades'!$A:$B,2,0)</f>
        <v>Doctorado en Administración de Organizaciones - Chía</v>
      </c>
    </row>
    <row r="5437" spans="1:3">
      <c r="A5437">
        <v>91</v>
      </c>
      <c r="B5437">
        <v>3</v>
      </c>
      <c r="C5437" t="str">
        <f>VLOOKUP(A5437,'Programas y Unidades'!$A:$B,2,0)</f>
        <v>Maestría en Pedagogía - Neiva</v>
      </c>
    </row>
    <row r="5438" spans="1:3">
      <c r="A5438">
        <v>57</v>
      </c>
      <c r="B5438">
        <v>3</v>
      </c>
      <c r="C5438" t="str">
        <f>VLOOKUP(A5438,'Programas y Unidades'!$A:$B,2,0)</f>
        <v>Maestría en Contratación Estatal - Chía</v>
      </c>
    </row>
    <row r="5439" spans="1:3">
      <c r="A5439">
        <v>57</v>
      </c>
      <c r="B5439">
        <v>4</v>
      </c>
      <c r="C5439" t="str">
        <f>VLOOKUP(A5439,'Programas y Unidades'!$A:$B,2,0)</f>
        <v>Maestría en Contratación Estatal - Chía</v>
      </c>
    </row>
    <row r="5440" spans="1:3">
      <c r="A5440">
        <v>57</v>
      </c>
      <c r="B5440">
        <v>4</v>
      </c>
      <c r="C5440" t="str">
        <f>VLOOKUP(A5440,'Programas y Unidades'!$A:$B,2,0)</f>
        <v>Maestría en Contratación Estatal - Chía</v>
      </c>
    </row>
    <row r="5441" spans="1:3">
      <c r="A5441">
        <v>57</v>
      </c>
      <c r="B5441">
        <v>2</v>
      </c>
      <c r="C5441" t="str">
        <f>VLOOKUP(A5441,'Programas y Unidades'!$A:$B,2,0)</f>
        <v>Maestría en Contratación Estatal - Chía</v>
      </c>
    </row>
    <row r="5442" spans="1:3">
      <c r="A5442">
        <v>57</v>
      </c>
      <c r="B5442">
        <v>2</v>
      </c>
      <c r="C5442" t="str">
        <f>VLOOKUP(A5442,'Programas y Unidades'!$A:$B,2,0)</f>
        <v>Maestría en Contratación Estatal - Chía</v>
      </c>
    </row>
    <row r="5443" spans="1:3">
      <c r="A5443">
        <v>57</v>
      </c>
      <c r="B5443">
        <v>2</v>
      </c>
      <c r="C5443" t="str">
        <f>VLOOKUP(A5443,'Programas y Unidades'!$A:$B,2,0)</f>
        <v>Maestría en Contratación Estatal - Chía</v>
      </c>
    </row>
    <row r="5444" spans="1:3">
      <c r="A5444">
        <v>57</v>
      </c>
      <c r="B5444">
        <v>2</v>
      </c>
      <c r="C5444" t="str">
        <f>VLOOKUP(A5444,'Programas y Unidades'!$A:$B,2,0)</f>
        <v>Maestría en Contratación Estatal - Chía</v>
      </c>
    </row>
    <row r="5445" spans="1:3">
      <c r="A5445">
        <v>57</v>
      </c>
      <c r="B5445">
        <v>2</v>
      </c>
      <c r="C5445" t="str">
        <f>VLOOKUP(A5445,'Programas y Unidades'!$A:$B,2,0)</f>
        <v>Maestría en Contratación Estatal - Chía</v>
      </c>
    </row>
    <row r="5446" spans="1:3">
      <c r="A5446">
        <v>57</v>
      </c>
      <c r="B5446">
        <v>4</v>
      </c>
      <c r="C5446" t="str">
        <f>VLOOKUP(A5446,'Programas y Unidades'!$A:$B,2,0)</f>
        <v>Maestría en Contratación Estatal - Chía</v>
      </c>
    </row>
    <row r="5447" spans="1:3">
      <c r="A5447">
        <v>57</v>
      </c>
      <c r="B5447">
        <v>4</v>
      </c>
      <c r="C5447" t="str">
        <f>VLOOKUP(A5447,'Programas y Unidades'!$A:$B,2,0)</f>
        <v>Maestría en Contratación Estatal - Chía</v>
      </c>
    </row>
    <row r="5448" spans="1:3">
      <c r="A5448">
        <v>57</v>
      </c>
      <c r="B5448">
        <v>4</v>
      </c>
      <c r="C5448" t="str">
        <f>VLOOKUP(A5448,'Programas y Unidades'!$A:$B,2,0)</f>
        <v>Maestría en Contratación Estatal - Chía</v>
      </c>
    </row>
    <row r="5449" spans="1:3">
      <c r="A5449">
        <v>57</v>
      </c>
      <c r="B5449">
        <v>4</v>
      </c>
      <c r="C5449" t="str">
        <f>VLOOKUP(A5449,'Programas y Unidades'!$A:$B,2,0)</f>
        <v>Maestría en Contratación Estatal - Chía</v>
      </c>
    </row>
    <row r="5450" spans="1:3">
      <c r="A5450">
        <v>57</v>
      </c>
      <c r="B5450">
        <v>4</v>
      </c>
      <c r="C5450" t="str">
        <f>VLOOKUP(A5450,'Programas y Unidades'!$A:$B,2,0)</f>
        <v>Maestría en Contratación Estatal - Chía</v>
      </c>
    </row>
    <row r="5451" spans="1:3">
      <c r="A5451">
        <v>57</v>
      </c>
      <c r="B5451">
        <v>4</v>
      </c>
      <c r="C5451" t="str">
        <f>VLOOKUP(A5451,'Programas y Unidades'!$A:$B,2,0)</f>
        <v>Maestría en Contratación Estatal - Chía</v>
      </c>
    </row>
    <row r="5452" spans="1:3">
      <c r="A5452">
        <v>57</v>
      </c>
      <c r="B5452">
        <v>4</v>
      </c>
      <c r="C5452" t="str">
        <f>VLOOKUP(A5452,'Programas y Unidades'!$A:$B,2,0)</f>
        <v>Maestría en Contratación Estatal - Chía</v>
      </c>
    </row>
    <row r="5453" spans="1:3">
      <c r="A5453">
        <v>57</v>
      </c>
      <c r="B5453">
        <v>3</v>
      </c>
      <c r="C5453" t="str">
        <f>VLOOKUP(A5453,'Programas y Unidades'!$A:$B,2,0)</f>
        <v>Maestría en Contratación Estatal - Chía</v>
      </c>
    </row>
    <row r="5454" spans="1:3">
      <c r="A5454">
        <v>57</v>
      </c>
      <c r="B5454">
        <v>4</v>
      </c>
      <c r="C5454" t="str">
        <f>VLOOKUP(A5454,'Programas y Unidades'!$A:$B,2,0)</f>
        <v>Maestría en Contratación Estatal - Chía</v>
      </c>
    </row>
    <row r="5455" spans="1:3">
      <c r="A5455">
        <v>57</v>
      </c>
      <c r="B5455">
        <v>4</v>
      </c>
      <c r="C5455" t="str">
        <f>VLOOKUP(A5455,'Programas y Unidades'!$A:$B,2,0)</f>
        <v>Maestría en Contratación Estatal - Chía</v>
      </c>
    </row>
    <row r="5456" spans="1:3">
      <c r="A5456">
        <v>57</v>
      </c>
      <c r="B5456">
        <v>4</v>
      </c>
      <c r="C5456" t="str">
        <f>VLOOKUP(A5456,'Programas y Unidades'!$A:$B,2,0)</f>
        <v>Maestría en Contratación Estatal - Chía</v>
      </c>
    </row>
    <row r="5457" spans="1:3">
      <c r="A5457">
        <v>57</v>
      </c>
      <c r="B5457">
        <v>4</v>
      </c>
      <c r="C5457" t="str">
        <f>VLOOKUP(A5457,'Programas y Unidades'!$A:$B,2,0)</f>
        <v>Maestría en Contratación Estatal - Chía</v>
      </c>
    </row>
    <row r="5458" spans="1:3">
      <c r="A5458">
        <v>57</v>
      </c>
      <c r="B5458">
        <v>4</v>
      </c>
      <c r="C5458" t="str">
        <f>VLOOKUP(A5458,'Programas y Unidades'!$A:$B,2,0)</f>
        <v>Maestría en Contratación Estatal - Chía</v>
      </c>
    </row>
    <row r="5459" spans="1:3">
      <c r="A5459">
        <v>57</v>
      </c>
      <c r="B5459">
        <v>4</v>
      </c>
      <c r="C5459" t="str">
        <f>VLOOKUP(A5459,'Programas y Unidades'!$A:$B,2,0)</f>
        <v>Maestría en Contratación Estatal - Chía</v>
      </c>
    </row>
    <row r="5460" spans="1:3">
      <c r="A5460">
        <v>57</v>
      </c>
      <c r="B5460">
        <v>4</v>
      </c>
      <c r="C5460" t="str">
        <f>VLOOKUP(A5460,'Programas y Unidades'!$A:$B,2,0)</f>
        <v>Maestría en Contratación Estatal - Chía</v>
      </c>
    </row>
    <row r="5461" spans="1:3">
      <c r="A5461">
        <v>57</v>
      </c>
      <c r="B5461">
        <v>3</v>
      </c>
      <c r="C5461" t="str">
        <f>VLOOKUP(A5461,'Programas y Unidades'!$A:$B,2,0)</f>
        <v>Maestría en Contratación Estatal - Chía</v>
      </c>
    </row>
    <row r="5462" spans="1:3">
      <c r="A5462">
        <v>57</v>
      </c>
      <c r="B5462">
        <v>3</v>
      </c>
      <c r="C5462" t="str">
        <f>VLOOKUP(A5462,'Programas y Unidades'!$A:$B,2,0)</f>
        <v>Maestría en Contratación Estatal - Chía</v>
      </c>
    </row>
    <row r="5463" spans="1:3">
      <c r="A5463">
        <v>57</v>
      </c>
      <c r="B5463">
        <v>3</v>
      </c>
      <c r="C5463" t="str">
        <f>VLOOKUP(A5463,'Programas y Unidades'!$A:$B,2,0)</f>
        <v>Maestría en Contratación Estatal - Chía</v>
      </c>
    </row>
    <row r="5464" spans="1:3">
      <c r="A5464">
        <v>57</v>
      </c>
      <c r="B5464">
        <v>3</v>
      </c>
      <c r="C5464" t="str">
        <f>VLOOKUP(A5464,'Programas y Unidades'!$A:$B,2,0)</f>
        <v>Maestría en Contratación Estatal - Chía</v>
      </c>
    </row>
    <row r="5465" spans="1:3">
      <c r="A5465">
        <v>57</v>
      </c>
      <c r="B5465">
        <v>3</v>
      </c>
      <c r="C5465" t="str">
        <f>VLOOKUP(A5465,'Programas y Unidades'!$A:$B,2,0)</f>
        <v>Maestría en Contratación Estatal - Chía</v>
      </c>
    </row>
    <row r="5466" spans="1:3">
      <c r="A5466">
        <v>57</v>
      </c>
      <c r="B5466">
        <v>3</v>
      </c>
      <c r="C5466" t="str">
        <f>VLOOKUP(A5466,'Programas y Unidades'!$A:$B,2,0)</f>
        <v>Maestría en Contratación Estatal - Chía</v>
      </c>
    </row>
    <row r="5467" spans="1:3">
      <c r="A5467">
        <v>57</v>
      </c>
      <c r="B5467">
        <v>3</v>
      </c>
      <c r="C5467" t="str">
        <f>VLOOKUP(A5467,'Programas y Unidades'!$A:$B,2,0)</f>
        <v>Maestría en Contratación Estatal - Chía</v>
      </c>
    </row>
    <row r="5468" spans="1:3">
      <c r="A5468">
        <v>57</v>
      </c>
      <c r="B5468">
        <v>3</v>
      </c>
      <c r="C5468" t="str">
        <f>VLOOKUP(A5468,'Programas y Unidades'!$A:$B,2,0)</f>
        <v>Maestría en Contratación Estatal - Chía</v>
      </c>
    </row>
    <row r="5469" spans="1:3">
      <c r="A5469">
        <v>57</v>
      </c>
      <c r="B5469">
        <v>3</v>
      </c>
      <c r="C5469" t="str">
        <f>VLOOKUP(A5469,'Programas y Unidades'!$A:$B,2,0)</f>
        <v>Maestría en Contratación Estatal - Chía</v>
      </c>
    </row>
    <row r="5470" spans="1:3">
      <c r="A5470">
        <v>57</v>
      </c>
      <c r="B5470">
        <v>3</v>
      </c>
      <c r="C5470" t="str">
        <f>VLOOKUP(A5470,'Programas y Unidades'!$A:$B,2,0)</f>
        <v>Maestría en Contratación Estatal - Chía</v>
      </c>
    </row>
    <row r="5471" spans="1:3">
      <c r="A5471">
        <v>57</v>
      </c>
      <c r="B5471">
        <v>3</v>
      </c>
      <c r="C5471" t="str">
        <f>VLOOKUP(A5471,'Programas y Unidades'!$A:$B,2,0)</f>
        <v>Maestría en Contratación Estatal - Chía</v>
      </c>
    </row>
    <row r="5472" spans="1:3">
      <c r="A5472">
        <v>57</v>
      </c>
      <c r="B5472">
        <v>3</v>
      </c>
      <c r="C5472" t="str">
        <f>VLOOKUP(A5472,'Programas y Unidades'!$A:$B,2,0)</f>
        <v>Maestría en Contratación Estatal - Chía</v>
      </c>
    </row>
    <row r="5473" spans="1:3">
      <c r="A5473">
        <v>57</v>
      </c>
      <c r="B5473">
        <v>3</v>
      </c>
      <c r="C5473" t="str">
        <f>VLOOKUP(A5473,'Programas y Unidades'!$A:$B,2,0)</f>
        <v>Maestría en Contratación Estatal - Chía</v>
      </c>
    </row>
    <row r="5474" spans="1:3">
      <c r="A5474">
        <v>57</v>
      </c>
      <c r="B5474">
        <v>4</v>
      </c>
      <c r="C5474" t="str">
        <f>VLOOKUP(A5474,'Programas y Unidades'!$A:$B,2,0)</f>
        <v>Maestría en Contratación Estatal - Chía</v>
      </c>
    </row>
    <row r="5475" spans="1:3">
      <c r="A5475">
        <v>57</v>
      </c>
      <c r="B5475">
        <v>4</v>
      </c>
      <c r="C5475" t="str">
        <f>VLOOKUP(A5475,'Programas y Unidades'!$A:$B,2,0)</f>
        <v>Maestría en Contratación Estatal - Chía</v>
      </c>
    </row>
    <row r="5476" spans="1:3">
      <c r="A5476">
        <v>57</v>
      </c>
      <c r="B5476">
        <v>4</v>
      </c>
      <c r="C5476" t="str">
        <f>VLOOKUP(A5476,'Programas y Unidades'!$A:$B,2,0)</f>
        <v>Maestría en Contratación Estatal - Chía</v>
      </c>
    </row>
    <row r="5477" spans="1:3">
      <c r="A5477">
        <v>57</v>
      </c>
      <c r="B5477">
        <v>4</v>
      </c>
      <c r="C5477" t="str">
        <f>VLOOKUP(A5477,'Programas y Unidades'!$A:$B,2,0)</f>
        <v>Maestría en Contratación Estatal - Chía</v>
      </c>
    </row>
    <row r="5478" spans="1:3">
      <c r="A5478">
        <v>57</v>
      </c>
      <c r="B5478">
        <v>4</v>
      </c>
      <c r="C5478" t="str">
        <f>VLOOKUP(A5478,'Programas y Unidades'!$A:$B,2,0)</f>
        <v>Maestría en Contratación Estatal - Chía</v>
      </c>
    </row>
    <row r="5479" spans="1:3">
      <c r="A5479">
        <v>57</v>
      </c>
      <c r="B5479">
        <v>4</v>
      </c>
      <c r="C5479" t="str">
        <f>VLOOKUP(A5479,'Programas y Unidades'!$A:$B,2,0)</f>
        <v>Maestría en Contratación Estatal - Chía</v>
      </c>
    </row>
    <row r="5480" spans="1:3">
      <c r="A5480">
        <v>57</v>
      </c>
      <c r="B5480">
        <v>4</v>
      </c>
      <c r="C5480" t="str">
        <f>VLOOKUP(A5480,'Programas y Unidades'!$A:$B,2,0)</f>
        <v>Maestría en Contratación Estatal - Chía</v>
      </c>
    </row>
    <row r="5481" spans="1:3">
      <c r="A5481">
        <v>57</v>
      </c>
      <c r="B5481">
        <v>4</v>
      </c>
      <c r="C5481" t="str">
        <f>VLOOKUP(A5481,'Programas y Unidades'!$A:$B,2,0)</f>
        <v>Maestría en Contratación Estatal - Chía</v>
      </c>
    </row>
    <row r="5482" spans="1:3">
      <c r="A5482">
        <v>57</v>
      </c>
      <c r="B5482">
        <v>4</v>
      </c>
      <c r="C5482" t="str">
        <f>VLOOKUP(A5482,'Programas y Unidades'!$A:$B,2,0)</f>
        <v>Maestría en Contratación Estatal - Chía</v>
      </c>
    </row>
    <row r="5483" spans="1:3">
      <c r="A5483">
        <v>97</v>
      </c>
      <c r="B5483">
        <v>2</v>
      </c>
      <c r="C5483" t="str">
        <f>VLOOKUP(A5483,'Programas y Unidades'!$A:$B,2,0)</f>
        <v>Especialización en Contratación Estatal - Chía</v>
      </c>
    </row>
    <row r="5484" spans="1:3">
      <c r="A5484">
        <v>54</v>
      </c>
      <c r="B5484">
        <v>2</v>
      </c>
      <c r="C5484" t="str">
        <f>VLOOKUP(A5484,'Programas y Unidades'!$A:$B,2,0)</f>
        <v>Maestría en Derecho Constitucional - Chía</v>
      </c>
    </row>
    <row r="5485" spans="1:3">
      <c r="A5485">
        <v>54</v>
      </c>
      <c r="B5485">
        <v>2</v>
      </c>
      <c r="C5485" t="str">
        <f>VLOOKUP(A5485,'Programas y Unidades'!$A:$B,2,0)</f>
        <v>Maestría en Derecho Constitucional - Chía</v>
      </c>
    </row>
    <row r="5486" spans="1:3">
      <c r="A5486">
        <v>54</v>
      </c>
      <c r="B5486">
        <v>2</v>
      </c>
      <c r="C5486" t="str">
        <f>VLOOKUP(A5486,'Programas y Unidades'!$A:$B,2,0)</f>
        <v>Maestría en Derecho Constitucional - Chía</v>
      </c>
    </row>
    <row r="5487" spans="1:3">
      <c r="A5487">
        <v>54</v>
      </c>
      <c r="B5487">
        <v>2</v>
      </c>
      <c r="C5487" t="str">
        <f>VLOOKUP(A5487,'Programas y Unidades'!$A:$B,2,0)</f>
        <v>Maestría en Derecho Constitucional - Chía</v>
      </c>
    </row>
    <row r="5488" spans="1:3">
      <c r="A5488">
        <v>54</v>
      </c>
      <c r="B5488">
        <v>2</v>
      </c>
      <c r="C5488" t="str">
        <f>VLOOKUP(A5488,'Programas y Unidades'!$A:$B,2,0)</f>
        <v>Maestría en Derecho Constitucional - Chía</v>
      </c>
    </row>
    <row r="5489" spans="1:3">
      <c r="A5489">
        <v>54</v>
      </c>
      <c r="B5489">
        <v>2</v>
      </c>
      <c r="C5489" t="str">
        <f>VLOOKUP(A5489,'Programas y Unidades'!$A:$B,2,0)</f>
        <v>Maestría en Derecho Constitucional - Chía</v>
      </c>
    </row>
    <row r="5490" spans="1:3">
      <c r="A5490">
        <v>54</v>
      </c>
      <c r="B5490">
        <v>2</v>
      </c>
      <c r="C5490" t="str">
        <f>VLOOKUP(A5490,'Programas y Unidades'!$A:$B,2,0)</f>
        <v>Maestría en Derecho Constitucional - Chía</v>
      </c>
    </row>
    <row r="5491" spans="1:3">
      <c r="A5491">
        <v>61</v>
      </c>
      <c r="B5491">
        <v>4</v>
      </c>
      <c r="C5491" t="str">
        <f>VLOOKUP(A5491,'Programas y Unidades'!$A:$B,2,0)</f>
        <v>Maestría en Educación - Chía</v>
      </c>
    </row>
    <row r="5492" spans="1:3">
      <c r="A5492">
        <v>54</v>
      </c>
      <c r="B5492">
        <v>2</v>
      </c>
      <c r="C5492" t="str">
        <f>VLOOKUP(A5492,'Programas y Unidades'!$A:$B,2,0)</f>
        <v>Maestría en Derecho Constitucional - Chía</v>
      </c>
    </row>
    <row r="5493" spans="1:3">
      <c r="A5493">
        <v>61</v>
      </c>
      <c r="B5493">
        <v>3</v>
      </c>
      <c r="C5493" t="str">
        <f>VLOOKUP(A5493,'Programas y Unidades'!$A:$B,2,0)</f>
        <v>Maestría en Educación - Chía</v>
      </c>
    </row>
    <row r="5494" spans="1:3">
      <c r="A5494">
        <v>122</v>
      </c>
      <c r="B5494">
        <v>1</v>
      </c>
      <c r="C5494" t="str">
        <f>VLOOKUP(A5494,'Programas y Unidades'!$A:$B,2,0)</f>
        <v>Especialización en Contratación Estatal - Neiva</v>
      </c>
    </row>
    <row r="5495" spans="1:3">
      <c r="A5495">
        <v>97</v>
      </c>
      <c r="B5495">
        <v>1</v>
      </c>
      <c r="C5495" t="str">
        <f>VLOOKUP(A5495,'Programas y Unidades'!$A:$B,2,0)</f>
        <v>Especialización en Contratación Estatal - Chía</v>
      </c>
    </row>
    <row r="5496" spans="1:3">
      <c r="A5496">
        <v>100</v>
      </c>
      <c r="B5496">
        <v>1</v>
      </c>
      <c r="C5496" t="str">
        <f>VLOOKUP(A5496,'Programas y Unidades'!$A:$B,2,0)</f>
        <v>Especialización en Derecho y Empresa - Chía</v>
      </c>
    </row>
    <row r="5497" spans="1:3">
      <c r="A5497">
        <v>98</v>
      </c>
      <c r="B5497">
        <v>1</v>
      </c>
      <c r="C5497" t="str">
        <f>VLOOKUP(A5497,'Programas y Unidades'!$A:$B,2,0)</f>
        <v>Especialización en Derecho Comercial - Chía</v>
      </c>
    </row>
    <row r="5498" spans="1:3">
      <c r="A5498">
        <v>60</v>
      </c>
      <c r="B5498">
        <v>4</v>
      </c>
      <c r="C5498" t="str">
        <f>VLOOKUP(A5498,'Programas y Unidades'!$A:$B,2,0)</f>
        <v>Maestría en Desarrollo Infantil - Chía</v>
      </c>
    </row>
    <row r="5499" spans="1:3">
      <c r="A5499">
        <v>60</v>
      </c>
      <c r="B5499">
        <v>4</v>
      </c>
      <c r="C5499" t="str">
        <f>VLOOKUP(A5499,'Programas y Unidades'!$A:$B,2,0)</f>
        <v>Maestría en Desarrollo Infantil - Chía</v>
      </c>
    </row>
    <row r="5500" spans="1:3">
      <c r="A5500">
        <v>65</v>
      </c>
      <c r="B5500">
        <v>4</v>
      </c>
      <c r="C5500" t="str">
        <f>VLOOKUP(A5500,'Programas y Unidades'!$A:$B,2,0)</f>
        <v>Maestría en Pedagogía - Chía</v>
      </c>
    </row>
    <row r="5501" spans="1:3">
      <c r="A5501">
        <v>139</v>
      </c>
      <c r="B5501">
        <v>2</v>
      </c>
      <c r="C5501" t="str">
        <f>VLOOKUP(A5501,'Programas y Unidades'!$A:$B,2,0)</f>
        <v>Especialización en Gerencia Estratégica - Barranquilla</v>
      </c>
    </row>
    <row r="5502" spans="1:3">
      <c r="A5502">
        <v>61</v>
      </c>
      <c r="B5502">
        <v>3</v>
      </c>
      <c r="C5502" t="str">
        <f>VLOOKUP(A5502,'Programas y Unidades'!$A:$B,2,0)</f>
        <v>Maestría en Educación - Chía</v>
      </c>
    </row>
    <row r="5503" spans="1:3">
      <c r="A5503">
        <v>64</v>
      </c>
      <c r="B5503">
        <v>3</v>
      </c>
      <c r="C5503" t="str">
        <f>VLOOKUP(A5503,'Programas y Unidades'!$A:$B,2,0)</f>
        <v>Maestría en Dirección y Gestión de Instituciones Educativas - Chía</v>
      </c>
    </row>
    <row r="5504" spans="1:3">
      <c r="A5504">
        <v>88</v>
      </c>
      <c r="B5504">
        <v>3</v>
      </c>
      <c r="C5504" t="str">
        <f>VLOOKUP(A5504,'Programas y Unidades'!$A:$B,2,0)</f>
        <v>Maestría en Desarrollo Infantil - Riohacha</v>
      </c>
    </row>
    <row r="5505" spans="1:3">
      <c r="A5505">
        <v>102</v>
      </c>
      <c r="B5505">
        <v>1</v>
      </c>
      <c r="C5505" t="str">
        <f>VLOOKUP(A5505,'Programas y Unidades'!$A:$B,2,0)</f>
        <v>Especialización en Seguros y Seguridad Social - Chía</v>
      </c>
    </row>
    <row r="5506" spans="1:3">
      <c r="A5506">
        <v>44</v>
      </c>
      <c r="B5506">
        <v>6</v>
      </c>
      <c r="C5506" t="str">
        <f>VLOOKUP(A5506,'Programas y Unidades'!$A:$B,2,0)</f>
        <v>Doctorado en Administración de Organizaciones - Chía</v>
      </c>
    </row>
    <row r="5507" spans="1:3">
      <c r="A5507">
        <v>88</v>
      </c>
      <c r="B5507">
        <v>3</v>
      </c>
      <c r="C5507" t="str">
        <f>VLOOKUP(A5507,'Programas y Unidades'!$A:$B,2,0)</f>
        <v>Maestría en Desarrollo Infantil - Riohacha</v>
      </c>
    </row>
    <row r="5508" spans="1:3">
      <c r="A5508">
        <v>89</v>
      </c>
      <c r="B5508">
        <v>3</v>
      </c>
      <c r="C5508" t="str">
        <f>VLOOKUP(A5508,'Programas y Unidades'!$A:$B,2,0)</f>
        <v>Maestría en Dirección y Gestión de Instituciones Educativas - Riohacha</v>
      </c>
    </row>
    <row r="5509" spans="1:3">
      <c r="A5509">
        <v>122</v>
      </c>
      <c r="B5509">
        <v>1</v>
      </c>
      <c r="C5509" t="str">
        <f>VLOOKUP(A5509,'Programas y Unidades'!$A:$B,2,0)</f>
        <v>Especialización en Contratación Estatal - Neiva</v>
      </c>
    </row>
    <row r="5510" spans="1:3">
      <c r="A5510">
        <v>19</v>
      </c>
      <c r="B5510">
        <v>3</v>
      </c>
      <c r="C5510" t="str">
        <f>VLOOKUP(A5510,'Programas y Unidades'!$A:$B,2,0)</f>
        <v>Especialización en Neumología Pediátrica</v>
      </c>
    </row>
    <row r="5511" spans="1:3">
      <c r="A5511">
        <v>101</v>
      </c>
      <c r="B5511">
        <v>1</v>
      </c>
      <c r="C5511" t="str">
        <f>VLOOKUP(A5511,'Programas y Unidades'!$A:$B,2,0)</f>
        <v>Especialización en Responsabilidad Civil y del Estado - Chía</v>
      </c>
    </row>
    <row r="5512" spans="1:3">
      <c r="A5512">
        <v>96</v>
      </c>
      <c r="B5512">
        <v>2</v>
      </c>
      <c r="C5512" t="str">
        <f>VLOOKUP(A5512,'Programas y Unidades'!$A:$B,2,0)</f>
        <v>Especialización en Gerencia de la Comunicación Organizacional - Chía</v>
      </c>
    </row>
    <row r="5513" spans="1:3">
      <c r="A5513">
        <v>70</v>
      </c>
      <c r="B5513">
        <v>4</v>
      </c>
      <c r="C5513" t="str">
        <f>VLOOKUP(A5513,'Programas y Unidades'!$A:$B,2,0)</f>
        <v>Doctorado en Biociencias - Chía</v>
      </c>
    </row>
    <row r="5514" spans="1:3">
      <c r="A5514">
        <v>96</v>
      </c>
      <c r="B5514">
        <v>2</v>
      </c>
      <c r="C5514" t="str">
        <f>VLOOKUP(A5514,'Programas y Unidades'!$A:$B,2,0)</f>
        <v>Especialización en Gerencia de la Comunicación Organizacional - Chía</v>
      </c>
    </row>
    <row r="5515" spans="1:3">
      <c r="A5515">
        <v>118</v>
      </c>
      <c r="B5515">
        <v>2</v>
      </c>
      <c r="C5515" t="str">
        <f>VLOOKUP(A5515,'Programas y Unidades'!$A:$B,2,0)</f>
        <v>Especialización en Gerencia del Servicio - Chía</v>
      </c>
    </row>
    <row r="5516" spans="1:3">
      <c r="A5516">
        <v>89</v>
      </c>
      <c r="B5516">
        <v>3</v>
      </c>
      <c r="C5516" t="str">
        <f>VLOOKUP(A5516,'Programas y Unidades'!$A:$B,2,0)</f>
        <v>Maestría en Dirección y Gestión de Instituciones Educativas - Riohacha</v>
      </c>
    </row>
    <row r="5517" spans="1:3">
      <c r="A5517">
        <v>44</v>
      </c>
      <c r="B5517">
        <v>3</v>
      </c>
      <c r="C5517" t="str">
        <f>VLOOKUP(A5517,'Programas y Unidades'!$A:$B,2,0)</f>
        <v>Doctorado en Administración de Organizaciones - Chía</v>
      </c>
    </row>
    <row r="5518" spans="1:3">
      <c r="A5518">
        <v>44</v>
      </c>
      <c r="B5518">
        <v>4</v>
      </c>
      <c r="C5518" t="str">
        <f>VLOOKUP(A5518,'Programas y Unidades'!$A:$B,2,0)</f>
        <v>Doctorado en Administración de Organizaciones - Chía</v>
      </c>
    </row>
    <row r="5519" spans="1:3">
      <c r="A5519">
        <v>44</v>
      </c>
      <c r="B5519">
        <v>6</v>
      </c>
      <c r="C5519" t="str">
        <f>VLOOKUP(A5519,'Programas y Unidades'!$A:$B,2,0)</f>
        <v>Doctorado en Administración de Organizaciones - Chía</v>
      </c>
    </row>
    <row r="5520" spans="1:3">
      <c r="A5520">
        <v>122</v>
      </c>
      <c r="B5520">
        <v>1</v>
      </c>
      <c r="C5520" t="str">
        <f>VLOOKUP(A5520,'Programas y Unidades'!$A:$B,2,0)</f>
        <v>Especialización en Contratación Estatal - Neiva</v>
      </c>
    </row>
    <row r="5521" spans="1:3">
      <c r="A5521">
        <v>70</v>
      </c>
      <c r="B5521">
        <v>3</v>
      </c>
      <c r="C5521" t="str">
        <f>VLOOKUP(A5521,'Programas y Unidades'!$A:$B,2,0)</f>
        <v>Doctorado en Biociencias - Chía</v>
      </c>
    </row>
    <row r="5522" spans="1:3">
      <c r="A5522">
        <v>122</v>
      </c>
      <c r="B5522">
        <v>1</v>
      </c>
      <c r="C5522" t="str">
        <f>VLOOKUP(A5522,'Programas y Unidades'!$A:$B,2,0)</f>
        <v>Especialización en Contratación Estatal - Neiva</v>
      </c>
    </row>
    <row r="5523" spans="1:3">
      <c r="A5523">
        <v>101</v>
      </c>
      <c r="B5523">
        <v>1</v>
      </c>
      <c r="C5523" t="str">
        <f>VLOOKUP(A5523,'Programas y Unidades'!$A:$B,2,0)</f>
        <v>Especialización en Responsabilidad Civil y del Estado - Chía</v>
      </c>
    </row>
    <row r="5524" spans="1:3">
      <c r="A5524">
        <v>101</v>
      </c>
      <c r="B5524">
        <v>1</v>
      </c>
      <c r="C5524" t="str">
        <f>VLOOKUP(A5524,'Programas y Unidades'!$A:$B,2,0)</f>
        <v>Especialización en Responsabilidad Civil y del Estado - Chía</v>
      </c>
    </row>
    <row r="5525" spans="1:3">
      <c r="A5525">
        <v>98</v>
      </c>
      <c r="B5525">
        <v>1</v>
      </c>
      <c r="C5525" t="str">
        <f>VLOOKUP(A5525,'Programas y Unidades'!$A:$B,2,0)</f>
        <v>Especialización en Derecho Comercial - Chía</v>
      </c>
    </row>
    <row r="5526" spans="1:3">
      <c r="A5526">
        <v>98</v>
      </c>
      <c r="B5526">
        <v>1</v>
      </c>
      <c r="C5526" t="str">
        <f>VLOOKUP(A5526,'Programas y Unidades'!$A:$B,2,0)</f>
        <v>Especialización en Derecho Comercial - Chía</v>
      </c>
    </row>
    <row r="5527" spans="1:3">
      <c r="A5527">
        <v>60</v>
      </c>
      <c r="B5527">
        <v>4</v>
      </c>
      <c r="C5527" t="str">
        <f>VLOOKUP(A5527,'Programas y Unidades'!$A:$B,2,0)</f>
        <v>Maestría en Desarrollo Infantil - Chía</v>
      </c>
    </row>
    <row r="5528" spans="1:3">
      <c r="A5528">
        <v>88</v>
      </c>
      <c r="B5528">
        <v>3</v>
      </c>
      <c r="C5528" t="str">
        <f>VLOOKUP(A5528,'Programas y Unidades'!$A:$B,2,0)</f>
        <v>Maestría en Desarrollo Infantil - Riohacha</v>
      </c>
    </row>
    <row r="5529" spans="1:3">
      <c r="A5529">
        <v>158</v>
      </c>
      <c r="B5529">
        <v>3</v>
      </c>
      <c r="C5529" t="e">
        <f>VLOOKUP(A5529,'Programas y Unidades'!$A:$B,2,0)</f>
        <v>#N/A</v>
      </c>
    </row>
    <row r="5530" spans="1:3">
      <c r="A5530">
        <v>64</v>
      </c>
      <c r="B5530">
        <v>2</v>
      </c>
      <c r="C5530" t="str">
        <f>VLOOKUP(A5530,'Programas y Unidades'!$A:$B,2,0)</f>
        <v>Maestría en Dirección y Gestión de Instituciones Educativas - Chía</v>
      </c>
    </row>
    <row r="5531" spans="1:3">
      <c r="A5531">
        <v>89</v>
      </c>
      <c r="B5531">
        <v>3</v>
      </c>
      <c r="C5531" t="str">
        <f>VLOOKUP(A5531,'Programas y Unidades'!$A:$B,2,0)</f>
        <v>Maestría en Dirección y Gestión de Instituciones Educativas - Riohacha</v>
      </c>
    </row>
    <row r="5532" spans="1:3">
      <c r="A5532">
        <v>89</v>
      </c>
      <c r="B5532">
        <v>3</v>
      </c>
      <c r="C5532" t="str">
        <f>VLOOKUP(A5532,'Programas y Unidades'!$A:$B,2,0)</f>
        <v>Maestría en Dirección y Gestión de Instituciones Educativas - Riohacha</v>
      </c>
    </row>
    <row r="5533" spans="1:3">
      <c r="A5533">
        <v>61</v>
      </c>
      <c r="B5533">
        <v>4</v>
      </c>
      <c r="C5533" t="str">
        <f>VLOOKUP(A5533,'Programas y Unidades'!$A:$B,2,0)</f>
        <v>Maestría en Educación - Chía</v>
      </c>
    </row>
    <row r="5534" spans="1:3">
      <c r="A5534">
        <v>61</v>
      </c>
      <c r="B5534">
        <v>4</v>
      </c>
      <c r="C5534" t="str">
        <f>VLOOKUP(A5534,'Programas y Unidades'!$A:$B,2,0)</f>
        <v>Maestría en Educación - Chía</v>
      </c>
    </row>
    <row r="5535" spans="1:3">
      <c r="A5535">
        <v>61</v>
      </c>
      <c r="B5535">
        <v>4</v>
      </c>
      <c r="C5535" t="str">
        <f>VLOOKUP(A5535,'Programas y Unidades'!$A:$B,2,0)</f>
        <v>Maestría en Educación - Chía</v>
      </c>
    </row>
    <row r="5536" spans="1:3">
      <c r="A5536">
        <v>61</v>
      </c>
      <c r="B5536">
        <v>3</v>
      </c>
      <c r="C5536" t="str">
        <f>VLOOKUP(A5536,'Programas y Unidades'!$A:$B,2,0)</f>
        <v>Maestría en Educación - Chía</v>
      </c>
    </row>
    <row r="5537" spans="1:3">
      <c r="A5537">
        <v>65</v>
      </c>
      <c r="B5537">
        <v>4</v>
      </c>
      <c r="C5537" t="str">
        <f>VLOOKUP(A5537,'Programas y Unidades'!$A:$B,2,0)</f>
        <v>Maestría en Pedagogía - Chía</v>
      </c>
    </row>
    <row r="5538" spans="1:3">
      <c r="A5538">
        <v>65</v>
      </c>
      <c r="B5538">
        <v>3</v>
      </c>
      <c r="C5538" t="str">
        <f>VLOOKUP(A5538,'Programas y Unidades'!$A:$B,2,0)</f>
        <v>Maestría en Pedagogía - Chía</v>
      </c>
    </row>
    <row r="5539" spans="1:3">
      <c r="A5539">
        <v>65</v>
      </c>
      <c r="B5539">
        <v>4</v>
      </c>
      <c r="C5539" t="str">
        <f>VLOOKUP(A5539,'Programas y Unidades'!$A:$B,2,0)</f>
        <v>Maestría en Pedagogía - Chía</v>
      </c>
    </row>
    <row r="5540" spans="1:3">
      <c r="A5540">
        <v>65</v>
      </c>
      <c r="B5540">
        <v>3</v>
      </c>
      <c r="C5540" t="str">
        <f>VLOOKUP(A5540,'Programas y Unidades'!$A:$B,2,0)</f>
        <v>Maestría en Pedagogía - Chía</v>
      </c>
    </row>
    <row r="5541" spans="1:3">
      <c r="A5541">
        <v>65</v>
      </c>
      <c r="B5541">
        <v>3</v>
      </c>
      <c r="C5541" t="str">
        <f>VLOOKUP(A5541,'Programas y Unidades'!$A:$B,2,0)</f>
        <v>Maestría en Pedagogía - Chía</v>
      </c>
    </row>
    <row r="5542" spans="1:3">
      <c r="A5542">
        <v>65</v>
      </c>
      <c r="B5542">
        <v>3</v>
      </c>
      <c r="C5542" t="str">
        <f>VLOOKUP(A5542,'Programas y Unidades'!$A:$B,2,0)</f>
        <v>Maestría en Pedagogía - Chía</v>
      </c>
    </row>
    <row r="5543" spans="1:3">
      <c r="A5543">
        <v>65</v>
      </c>
      <c r="B5543">
        <v>3</v>
      </c>
      <c r="C5543" t="str">
        <f>VLOOKUP(A5543,'Programas y Unidades'!$A:$B,2,0)</f>
        <v>Maestría en Pedagogía - Chía</v>
      </c>
    </row>
    <row r="5544" spans="1:3">
      <c r="A5544">
        <v>91</v>
      </c>
      <c r="B5544">
        <v>3</v>
      </c>
      <c r="C5544" t="str">
        <f>VLOOKUP(A5544,'Programas y Unidades'!$A:$B,2,0)</f>
        <v>Maestría en Pedagogía - Neiva</v>
      </c>
    </row>
    <row r="5545" spans="1:3">
      <c r="A5545">
        <v>91</v>
      </c>
      <c r="B5545">
        <v>3</v>
      </c>
      <c r="C5545" t="str">
        <f>VLOOKUP(A5545,'Programas y Unidades'!$A:$B,2,0)</f>
        <v>Maestría en Pedagogía - Neiva</v>
      </c>
    </row>
    <row r="5546" spans="1:3">
      <c r="A5546">
        <v>91</v>
      </c>
      <c r="B5546">
        <v>3</v>
      </c>
      <c r="C5546" t="str">
        <f>VLOOKUP(A5546,'Programas y Unidades'!$A:$B,2,0)</f>
        <v>Maestría en Pedagogía - Neiva</v>
      </c>
    </row>
    <row r="5547" spans="1:3">
      <c r="A5547">
        <v>123</v>
      </c>
      <c r="B5547">
        <v>2</v>
      </c>
      <c r="C5547" t="str">
        <f>VLOOKUP(A5547,'Programas y Unidades'!$A:$B,2,0)</f>
        <v>Especialización en Pedagogía e Investigación en el Aula - Virtual</v>
      </c>
    </row>
    <row r="5548" spans="1:3">
      <c r="A5548">
        <v>123</v>
      </c>
      <c r="B5548">
        <v>2</v>
      </c>
      <c r="C5548" t="str">
        <f>VLOOKUP(A5548,'Programas y Unidades'!$A:$B,2,0)</f>
        <v>Especialización en Pedagogía e Investigación en el Aula - Virtual</v>
      </c>
    </row>
    <row r="5549" spans="1:3">
      <c r="A5549">
        <v>123</v>
      </c>
      <c r="B5549">
        <v>2</v>
      </c>
      <c r="C5549" t="str">
        <f>VLOOKUP(A5549,'Programas y Unidades'!$A:$B,2,0)</f>
        <v>Especialización en Pedagogía e Investigación en el Aula - Virtual</v>
      </c>
    </row>
    <row r="5550" spans="1:3">
      <c r="A5550">
        <v>123</v>
      </c>
      <c r="B5550">
        <v>2</v>
      </c>
      <c r="C5550" t="str">
        <f>VLOOKUP(A5550,'Programas y Unidades'!$A:$B,2,0)</f>
        <v>Especialización en Pedagogía e Investigación en el Aula - Virtual</v>
      </c>
    </row>
    <row r="5551" spans="1:3">
      <c r="A5551">
        <v>123</v>
      </c>
      <c r="B5551">
        <v>2</v>
      </c>
      <c r="C5551" t="str">
        <f>VLOOKUP(A5551,'Programas y Unidades'!$A:$B,2,0)</f>
        <v>Especialización en Pedagogía e Investigación en el Aula - Virtual</v>
      </c>
    </row>
    <row r="5552" spans="1:3">
      <c r="A5552">
        <v>123</v>
      </c>
      <c r="B5552">
        <v>2</v>
      </c>
      <c r="C5552" t="str">
        <f>VLOOKUP(A5552,'Programas y Unidades'!$A:$B,2,0)</f>
        <v>Especialización en Pedagogía e Investigación en el Aula - Virtual</v>
      </c>
    </row>
    <row r="5553" spans="1:3">
      <c r="A5553">
        <v>70</v>
      </c>
      <c r="B5553">
        <v>8</v>
      </c>
      <c r="C5553" t="str">
        <f>VLOOKUP(A5553,'Programas y Unidades'!$A:$B,2,0)</f>
        <v>Doctorado en Biociencias - Chía</v>
      </c>
    </row>
    <row r="5554" spans="1:3">
      <c r="A5554">
        <v>116</v>
      </c>
      <c r="B5554">
        <v>1</v>
      </c>
      <c r="C5554" t="str">
        <f>VLOOKUP(A5554,'Programas y Unidades'!$A:$B,2,0)</f>
        <v>Especialización en Gestión para el Desarrollo Humano en la Organización - Chía</v>
      </c>
    </row>
    <row r="5555" spans="1:3">
      <c r="A5555">
        <v>86</v>
      </c>
      <c r="B5555">
        <v>4</v>
      </c>
      <c r="C5555" t="str">
        <f>VLOOKUP(A5555,'Programas y Unidades'!$A:$B,2,0)</f>
        <v>Maestría en Didáctica Del Inglés Para el Aprendizaje Autodirigido - Virtual</v>
      </c>
    </row>
    <row r="5556" spans="1:3">
      <c r="A5556">
        <v>70</v>
      </c>
      <c r="B5556">
        <v>4</v>
      </c>
      <c r="C5556" t="str">
        <f>VLOOKUP(A5556,'Programas y Unidades'!$A:$B,2,0)</f>
        <v>Doctorado en Biociencias - Chía</v>
      </c>
    </row>
    <row r="5557" spans="1:3">
      <c r="A5557">
        <v>70</v>
      </c>
      <c r="B5557">
        <v>7</v>
      </c>
      <c r="C5557" t="str">
        <f>VLOOKUP(A5557,'Programas y Unidades'!$A:$B,2,0)</f>
        <v>Doctorado en Biociencias - Chía</v>
      </c>
    </row>
    <row r="5558" spans="1:3">
      <c r="A5558">
        <v>70</v>
      </c>
      <c r="B5558">
        <v>9</v>
      </c>
      <c r="C5558" t="str">
        <f>VLOOKUP(A5558,'Programas y Unidades'!$A:$B,2,0)</f>
        <v>Doctorado en Biociencias - Chía</v>
      </c>
    </row>
    <row r="5559" spans="1:3">
      <c r="A5559">
        <v>97</v>
      </c>
      <c r="B5559">
        <v>1</v>
      </c>
      <c r="C5559" t="str">
        <f>VLOOKUP(A5559,'Programas y Unidades'!$A:$B,2,0)</f>
        <v>Especialización en Contratación Estatal - Chía</v>
      </c>
    </row>
    <row r="5560" spans="1:3">
      <c r="A5560">
        <v>135</v>
      </c>
      <c r="B5560">
        <v>2</v>
      </c>
      <c r="C5560" t="str">
        <f>VLOOKUP(A5560,'Programas y Unidades'!$A:$B,2,0)</f>
        <v>Especialización en Gerencia Logística. Bucaramanga</v>
      </c>
    </row>
    <row r="5561" spans="1:3">
      <c r="A5561">
        <v>135</v>
      </c>
      <c r="B5561">
        <v>2</v>
      </c>
      <c r="C5561" t="str">
        <f>VLOOKUP(A5561,'Programas y Unidades'!$A:$B,2,0)</f>
        <v>Especialización en Gerencia Logística. Bucaramanga</v>
      </c>
    </row>
    <row r="5562" spans="1:3">
      <c r="A5562">
        <v>135</v>
      </c>
      <c r="B5562">
        <v>2</v>
      </c>
      <c r="C5562" t="str">
        <f>VLOOKUP(A5562,'Programas y Unidades'!$A:$B,2,0)</f>
        <v>Especialización en Gerencia Logística. Bucaramanga</v>
      </c>
    </row>
    <row r="5563" spans="1:3">
      <c r="A5563">
        <v>135</v>
      </c>
      <c r="B5563">
        <v>2</v>
      </c>
      <c r="C5563" t="str">
        <f>VLOOKUP(A5563,'Programas y Unidades'!$A:$B,2,0)</f>
        <v>Especialización en Gerencia Logística. Bucaramanga</v>
      </c>
    </row>
    <row r="5564" spans="1:3">
      <c r="A5564">
        <v>135</v>
      </c>
      <c r="B5564">
        <v>2</v>
      </c>
      <c r="C5564" t="str">
        <f>VLOOKUP(A5564,'Programas y Unidades'!$A:$B,2,0)</f>
        <v>Especialización en Gerencia Logística. Bucaramanga</v>
      </c>
    </row>
    <row r="5565" spans="1:3">
      <c r="A5565">
        <v>135</v>
      </c>
      <c r="B5565">
        <v>2</v>
      </c>
      <c r="C5565" t="str">
        <f>VLOOKUP(A5565,'Programas y Unidades'!$A:$B,2,0)</f>
        <v>Especialización en Gerencia Logística. Bucaramanga</v>
      </c>
    </row>
    <row r="5566" spans="1:3">
      <c r="A5566">
        <v>157</v>
      </c>
      <c r="B5566">
        <v>2</v>
      </c>
      <c r="C5566" t="e">
        <f>VLOOKUP(A5566,'Programas y Unidades'!$A:$B,2,0)</f>
        <v>#N/A</v>
      </c>
    </row>
    <row r="5567" spans="1:3">
      <c r="A5567">
        <v>116</v>
      </c>
      <c r="B5567">
        <v>1</v>
      </c>
      <c r="C5567" t="str">
        <f>VLOOKUP(A5567,'Programas y Unidades'!$A:$B,2,0)</f>
        <v>Especialización en Gestión para el Desarrollo Humano en la Organización - Chía</v>
      </c>
    </row>
    <row r="5568" spans="1:3">
      <c r="A5568">
        <v>102</v>
      </c>
      <c r="B5568">
        <v>1</v>
      </c>
      <c r="C5568" t="str">
        <f>VLOOKUP(A5568,'Programas y Unidades'!$A:$B,2,0)</f>
        <v>Especialización en Seguros y Seguridad Social - Chía</v>
      </c>
    </row>
    <row r="5569" spans="1:3">
      <c r="A5569">
        <v>96</v>
      </c>
      <c r="B5569">
        <v>2</v>
      </c>
      <c r="C5569" t="str">
        <f>VLOOKUP(A5569,'Programas y Unidades'!$A:$B,2,0)</f>
        <v>Especialización en Gerencia de la Comunicación Organizacional - Chía</v>
      </c>
    </row>
    <row r="5570" spans="1:3">
      <c r="A5570">
        <v>86</v>
      </c>
      <c r="B5570">
        <v>4</v>
      </c>
      <c r="C5570" t="str">
        <f>VLOOKUP(A5570,'Programas y Unidades'!$A:$B,2,0)</f>
        <v>Maestría en Didáctica Del Inglés Para el Aprendizaje Autodirigido - Virtual</v>
      </c>
    </row>
    <row r="5571" spans="1:3">
      <c r="A5571">
        <v>118</v>
      </c>
      <c r="B5571">
        <v>2</v>
      </c>
      <c r="C5571" t="str">
        <f>VLOOKUP(A5571,'Programas y Unidades'!$A:$B,2,0)</f>
        <v>Especialización en Gerencia del Servicio - Chía</v>
      </c>
    </row>
    <row r="5572" spans="1:3">
      <c r="A5572">
        <v>53</v>
      </c>
      <c r="B5572">
        <v>3</v>
      </c>
      <c r="C5572" t="str">
        <f>VLOOKUP(A5572,'Programas y Unidades'!$A:$B,2,0)</f>
        <v>Doctorado en Derecho - Chía</v>
      </c>
    </row>
    <row r="5573" spans="1:3">
      <c r="A5573">
        <v>53</v>
      </c>
      <c r="B5573">
        <v>5</v>
      </c>
      <c r="C5573" t="str">
        <f>VLOOKUP(A5573,'Programas y Unidades'!$A:$B,2,0)</f>
        <v>Doctorado en Derecho - Chía</v>
      </c>
    </row>
    <row r="5574" spans="1:3">
      <c r="A5574">
        <v>53</v>
      </c>
      <c r="B5574">
        <v>5</v>
      </c>
      <c r="C5574" t="str">
        <f>VLOOKUP(A5574,'Programas y Unidades'!$A:$B,2,0)</f>
        <v>Doctorado en Derecho - Chía</v>
      </c>
    </row>
    <row r="5575" spans="1:3">
      <c r="A5575">
        <v>102</v>
      </c>
      <c r="B5575">
        <v>1</v>
      </c>
      <c r="C5575" t="str">
        <f>VLOOKUP(A5575,'Programas y Unidades'!$A:$B,2,0)</f>
        <v>Especialización en Seguros y Seguridad Social - Chía</v>
      </c>
    </row>
    <row r="5576" spans="1:3">
      <c r="A5576">
        <v>99</v>
      </c>
      <c r="B5576">
        <v>1</v>
      </c>
      <c r="C5576" t="str">
        <f>VLOOKUP(A5576,'Programas y Unidades'!$A:$B,2,0)</f>
        <v>Especialización en Derecho Tributario - Chía</v>
      </c>
    </row>
    <row r="5577" spans="1:3">
      <c r="A5577">
        <v>96</v>
      </c>
      <c r="B5577">
        <v>2</v>
      </c>
      <c r="C5577" t="str">
        <f>VLOOKUP(A5577,'Programas y Unidades'!$A:$B,2,0)</f>
        <v>Especialización en Gerencia de la Comunicación Organizacional - Chía</v>
      </c>
    </row>
    <row r="5578" spans="1:3">
      <c r="A5578">
        <v>96</v>
      </c>
      <c r="B5578">
        <v>2</v>
      </c>
      <c r="C5578" t="str">
        <f>VLOOKUP(A5578,'Programas y Unidades'!$A:$B,2,0)</f>
        <v>Especialización en Gerencia de la Comunicación Organizacional - Chía</v>
      </c>
    </row>
    <row r="5579" spans="1:3">
      <c r="A5579">
        <v>96</v>
      </c>
      <c r="B5579">
        <v>2</v>
      </c>
      <c r="C5579" t="str">
        <f>VLOOKUP(A5579,'Programas y Unidades'!$A:$B,2,0)</f>
        <v>Especialización en Gerencia de la Comunicación Organizacional - Chía</v>
      </c>
    </row>
    <row r="5580" spans="1:3">
      <c r="A5580">
        <v>96</v>
      </c>
      <c r="B5580">
        <v>2</v>
      </c>
      <c r="C5580" t="str">
        <f>VLOOKUP(A5580,'Programas y Unidades'!$A:$B,2,0)</f>
        <v>Especialización en Gerencia de la Comunicación Organizacional - Chía</v>
      </c>
    </row>
    <row r="5581" spans="1:3">
      <c r="A5581">
        <v>96</v>
      </c>
      <c r="B5581">
        <v>2</v>
      </c>
      <c r="C5581" t="str">
        <f>VLOOKUP(A5581,'Programas y Unidades'!$A:$B,2,0)</f>
        <v>Especialización en Gerencia de la Comunicación Organizacional - Chía</v>
      </c>
    </row>
    <row r="5582" spans="1:3">
      <c r="A5582">
        <v>96</v>
      </c>
      <c r="B5582">
        <v>2</v>
      </c>
      <c r="C5582" t="str">
        <f>VLOOKUP(A5582,'Programas y Unidades'!$A:$B,2,0)</f>
        <v>Especialización en Gerencia de la Comunicación Organizacional - Chía</v>
      </c>
    </row>
    <row r="5583" spans="1:3">
      <c r="A5583">
        <v>51</v>
      </c>
      <c r="B5583">
        <v>4</v>
      </c>
      <c r="C5583" t="str">
        <f>VLOOKUP(A5583,'Programas y Unidades'!$A:$B,2,0)</f>
        <v>Maestría en Comunicación Estratégica - Chía</v>
      </c>
    </row>
    <row r="5584" spans="1:3">
      <c r="A5584">
        <v>116</v>
      </c>
      <c r="B5584">
        <v>1</v>
      </c>
      <c r="C5584" t="str">
        <f>VLOOKUP(A5584,'Programas y Unidades'!$A:$B,2,0)</f>
        <v>Especialización en Gestión para el Desarrollo Humano en la Organización - Chía</v>
      </c>
    </row>
    <row r="5585" spans="1:3">
      <c r="A5585">
        <v>116</v>
      </c>
      <c r="B5585">
        <v>1</v>
      </c>
      <c r="C5585" t="str">
        <f>VLOOKUP(A5585,'Programas y Unidades'!$A:$B,2,0)</f>
        <v>Especialización en Gestión para el Desarrollo Humano en la Organización - Chía</v>
      </c>
    </row>
    <row r="5586" spans="1:3">
      <c r="A5586">
        <v>157</v>
      </c>
      <c r="B5586">
        <v>2</v>
      </c>
      <c r="C5586" t="e">
        <f>VLOOKUP(A5586,'Programas y Unidades'!$A:$B,2,0)</f>
        <v>#N/A</v>
      </c>
    </row>
    <row r="5587" spans="1:3">
      <c r="A5587">
        <v>51</v>
      </c>
      <c r="B5587">
        <v>4</v>
      </c>
      <c r="C5587" t="str">
        <f>VLOOKUP(A5587,'Programas y Unidades'!$A:$B,2,0)</f>
        <v>Maestría en Comunicación Estratégica - Chía</v>
      </c>
    </row>
    <row r="5588" spans="1:3">
      <c r="A5588">
        <v>51</v>
      </c>
      <c r="B5588">
        <v>4</v>
      </c>
      <c r="C5588" t="str">
        <f>VLOOKUP(A5588,'Programas y Unidades'!$A:$B,2,0)</f>
        <v>Maestría en Comunicación Estratégica - Chía</v>
      </c>
    </row>
    <row r="5589" spans="1:3">
      <c r="A5589">
        <v>51</v>
      </c>
      <c r="B5589">
        <v>2</v>
      </c>
      <c r="C5589" t="str">
        <f>VLOOKUP(A5589,'Programas y Unidades'!$A:$B,2,0)</f>
        <v>Maestría en Comunicación Estratégica - Chía</v>
      </c>
    </row>
    <row r="5590" spans="1:3">
      <c r="A5590">
        <v>51</v>
      </c>
      <c r="B5590">
        <v>4</v>
      </c>
      <c r="C5590" t="str">
        <f>VLOOKUP(A5590,'Programas y Unidades'!$A:$B,2,0)</f>
        <v>Maestría en Comunicación Estratégica - Chía</v>
      </c>
    </row>
    <row r="5591" spans="1:3">
      <c r="A5591">
        <v>51</v>
      </c>
      <c r="B5591">
        <v>4</v>
      </c>
      <c r="C5591" t="str">
        <f>VLOOKUP(A5591,'Programas y Unidades'!$A:$B,2,0)</f>
        <v>Maestría en Comunicación Estratégica - Chía</v>
      </c>
    </row>
    <row r="5592" spans="1:3">
      <c r="A5592">
        <v>51</v>
      </c>
      <c r="B5592">
        <v>4</v>
      </c>
      <c r="C5592" t="str">
        <f>VLOOKUP(A5592,'Programas y Unidades'!$A:$B,2,0)</f>
        <v>Maestría en Comunicación Estratégica - Chía</v>
      </c>
    </row>
    <row r="5593" spans="1:3">
      <c r="A5593">
        <v>125</v>
      </c>
      <c r="B5593">
        <v>1</v>
      </c>
      <c r="C5593" t="str">
        <f>VLOOKUP(A5593,'Programas y Unidades'!$A:$B,2,0)</f>
        <v>Especialización en Gestión para el Desarrollo Humano Organizacional - Virtual</v>
      </c>
    </row>
    <row r="5594" spans="1:3">
      <c r="A5594">
        <v>157</v>
      </c>
      <c r="B5594">
        <v>2</v>
      </c>
      <c r="C5594" t="e">
        <f>VLOOKUP(A5594,'Programas y Unidades'!$A:$B,2,0)</f>
        <v>#N/A</v>
      </c>
    </row>
    <row r="5595" spans="1:3">
      <c r="A5595">
        <v>116</v>
      </c>
      <c r="B5595">
        <v>2</v>
      </c>
      <c r="C5595" t="str">
        <f>VLOOKUP(A5595,'Programas y Unidades'!$A:$B,2,0)</f>
        <v>Especialización en Gestión para el Desarrollo Humano en la Organización - Chía</v>
      </c>
    </row>
    <row r="5596" spans="1:3">
      <c r="A5596">
        <v>116</v>
      </c>
      <c r="B5596">
        <v>2</v>
      </c>
      <c r="C5596" t="str">
        <f>VLOOKUP(A5596,'Programas y Unidades'!$A:$B,2,0)</f>
        <v>Especialización en Gestión para el Desarrollo Humano en la Organización - Chía</v>
      </c>
    </row>
    <row r="5597" spans="1:3">
      <c r="A5597">
        <v>116</v>
      </c>
      <c r="B5597">
        <v>2</v>
      </c>
      <c r="C5597" t="str">
        <f>VLOOKUP(A5597,'Programas y Unidades'!$A:$B,2,0)</f>
        <v>Especialización en Gestión para el Desarrollo Humano en la Organización - Chía</v>
      </c>
    </row>
    <row r="5598" spans="1:3">
      <c r="A5598">
        <v>116</v>
      </c>
      <c r="B5598">
        <v>2</v>
      </c>
      <c r="C5598" t="str">
        <f>VLOOKUP(A5598,'Programas y Unidades'!$A:$B,2,0)</f>
        <v>Especialización en Gestión para el Desarrollo Humano en la Organización - Chía</v>
      </c>
    </row>
    <row r="5599" spans="1:3">
      <c r="A5599">
        <v>116</v>
      </c>
      <c r="B5599">
        <v>2</v>
      </c>
      <c r="C5599" t="str">
        <f>VLOOKUP(A5599,'Programas y Unidades'!$A:$B,2,0)</f>
        <v>Especialización en Gestión para el Desarrollo Humano en la Organización - Chía</v>
      </c>
    </row>
    <row r="5600" spans="1:3">
      <c r="A5600">
        <v>116</v>
      </c>
      <c r="B5600">
        <v>2</v>
      </c>
      <c r="C5600" t="str">
        <f>VLOOKUP(A5600,'Programas y Unidades'!$A:$B,2,0)</f>
        <v>Especialización en Gestión para el Desarrollo Humano en la Organización - Chía</v>
      </c>
    </row>
    <row r="5601" spans="1:3">
      <c r="A5601">
        <v>116</v>
      </c>
      <c r="B5601">
        <v>2</v>
      </c>
      <c r="C5601" t="str">
        <f>VLOOKUP(A5601,'Programas y Unidades'!$A:$B,2,0)</f>
        <v>Especialización en Gestión para el Desarrollo Humano en la Organización - Chía</v>
      </c>
    </row>
    <row r="5602" spans="1:3">
      <c r="A5602">
        <v>116</v>
      </c>
      <c r="B5602">
        <v>2</v>
      </c>
      <c r="C5602" t="str">
        <f>VLOOKUP(A5602,'Programas y Unidades'!$A:$B,2,0)</f>
        <v>Especialización en Gestión para el Desarrollo Humano en la Organización - Chía</v>
      </c>
    </row>
    <row r="5603" spans="1:3">
      <c r="A5603">
        <v>118</v>
      </c>
      <c r="B5603">
        <v>1</v>
      </c>
      <c r="C5603" t="str">
        <f>VLOOKUP(A5603,'Programas y Unidades'!$A:$B,2,0)</f>
        <v>Especialización en Gerencia del Servicio - Chía</v>
      </c>
    </row>
    <row r="5604" spans="1:3">
      <c r="A5604">
        <v>118</v>
      </c>
      <c r="B5604">
        <v>1</v>
      </c>
      <c r="C5604" t="str">
        <f>VLOOKUP(A5604,'Programas y Unidades'!$A:$B,2,0)</f>
        <v>Especialización en Gerencia del Servicio - Chía</v>
      </c>
    </row>
    <row r="5605" spans="1:3">
      <c r="A5605">
        <v>118</v>
      </c>
      <c r="B5605">
        <v>1</v>
      </c>
      <c r="C5605" t="str">
        <f>VLOOKUP(A5605,'Programas y Unidades'!$A:$B,2,0)</f>
        <v>Especialización en Gerencia del Servicio - Chía</v>
      </c>
    </row>
    <row r="5606" spans="1:3">
      <c r="A5606">
        <v>118</v>
      </c>
      <c r="B5606">
        <v>1</v>
      </c>
      <c r="C5606" t="str">
        <f>VLOOKUP(A5606,'Programas y Unidades'!$A:$B,2,0)</f>
        <v>Especialización en Gerencia del Servicio - Chía</v>
      </c>
    </row>
    <row r="5607" spans="1:3">
      <c r="A5607">
        <v>118</v>
      </c>
      <c r="B5607">
        <v>1</v>
      </c>
      <c r="C5607" t="str">
        <f>VLOOKUP(A5607,'Programas y Unidades'!$A:$B,2,0)</f>
        <v>Especialización en Gerencia del Servicio - Chía</v>
      </c>
    </row>
    <row r="5608" spans="1:3">
      <c r="A5608">
        <v>116</v>
      </c>
      <c r="B5608">
        <v>2</v>
      </c>
      <c r="C5608" t="str">
        <f>VLOOKUP(A5608,'Programas y Unidades'!$A:$B,2,0)</f>
        <v>Especialización en Gestión para el Desarrollo Humano en la Organización - Chía</v>
      </c>
    </row>
    <row r="5609" spans="1:3">
      <c r="A5609">
        <v>118</v>
      </c>
      <c r="B5609">
        <v>1</v>
      </c>
      <c r="C5609" t="str">
        <f>VLOOKUP(A5609,'Programas y Unidades'!$A:$B,2,0)</f>
        <v>Especialización en Gerencia del Servicio - Chía</v>
      </c>
    </row>
    <row r="5610" spans="1:3">
      <c r="A5610">
        <v>118</v>
      </c>
      <c r="B5610">
        <v>1</v>
      </c>
      <c r="C5610" t="str">
        <f>VLOOKUP(A5610,'Programas y Unidades'!$A:$B,2,0)</f>
        <v>Especialización en Gerencia del Servicio - Chía</v>
      </c>
    </row>
    <row r="5611" spans="1:3">
      <c r="A5611">
        <v>116</v>
      </c>
      <c r="B5611">
        <v>2</v>
      </c>
      <c r="C5611" t="str">
        <f>VLOOKUP(A5611,'Programas y Unidades'!$A:$B,2,0)</f>
        <v>Especialización en Gestión para el Desarrollo Humano en la Organización - Chía</v>
      </c>
    </row>
    <row r="5612" spans="1:3">
      <c r="A5612">
        <v>119</v>
      </c>
      <c r="B5612">
        <v>2</v>
      </c>
      <c r="C5612" t="str">
        <f>VLOOKUP(A5612,'Programas y Unidades'!$A:$B,2,0)</f>
        <v>Especialización en Gerencia de Proyectos con Enfoque en Habilidades Directivas - Chía</v>
      </c>
    </row>
    <row r="5613" spans="1:3">
      <c r="A5613">
        <v>118</v>
      </c>
      <c r="B5613">
        <v>2</v>
      </c>
      <c r="C5613" t="str">
        <f>VLOOKUP(A5613,'Programas y Unidades'!$A:$B,2,0)</f>
        <v>Especialización en Gerencia del Servicio - Chía</v>
      </c>
    </row>
    <row r="5614" spans="1:3">
      <c r="A5614">
        <v>118</v>
      </c>
      <c r="B5614">
        <v>2</v>
      </c>
      <c r="C5614" t="str">
        <f>VLOOKUP(A5614,'Programas y Unidades'!$A:$B,2,0)</f>
        <v>Especialización en Gerencia del Servicio - Chía</v>
      </c>
    </row>
    <row r="5615" spans="1:3">
      <c r="A5615">
        <v>118</v>
      </c>
      <c r="B5615">
        <v>2</v>
      </c>
      <c r="C5615" t="str">
        <f>VLOOKUP(A5615,'Programas y Unidades'!$A:$B,2,0)</f>
        <v>Especialización en Gerencia del Servicio - Chía</v>
      </c>
    </row>
    <row r="5616" spans="1:3">
      <c r="A5616">
        <v>118</v>
      </c>
      <c r="B5616">
        <v>2</v>
      </c>
      <c r="C5616" t="str">
        <f>VLOOKUP(A5616,'Programas y Unidades'!$A:$B,2,0)</f>
        <v>Especialización en Gerencia del Servicio - Chía</v>
      </c>
    </row>
    <row r="5617" spans="1:3">
      <c r="A5617">
        <v>118</v>
      </c>
      <c r="B5617">
        <v>2</v>
      </c>
      <c r="C5617" t="str">
        <f>VLOOKUP(A5617,'Programas y Unidades'!$A:$B,2,0)</f>
        <v>Especialización en Gerencia del Servicio - Chía</v>
      </c>
    </row>
    <row r="5618" spans="1:3">
      <c r="A5618">
        <v>118</v>
      </c>
      <c r="B5618">
        <v>2</v>
      </c>
      <c r="C5618" t="str">
        <f>VLOOKUP(A5618,'Programas y Unidades'!$A:$B,2,0)</f>
        <v>Especialización en Gerencia del Servicio - Chía</v>
      </c>
    </row>
    <row r="5619" spans="1:3">
      <c r="A5619">
        <v>118</v>
      </c>
      <c r="B5619">
        <v>2</v>
      </c>
      <c r="C5619" t="str">
        <f>VLOOKUP(A5619,'Programas y Unidades'!$A:$B,2,0)</f>
        <v>Especialización en Gerencia del Servicio - Chía</v>
      </c>
    </row>
    <row r="5620" spans="1:3">
      <c r="A5620">
        <v>118</v>
      </c>
      <c r="B5620">
        <v>2</v>
      </c>
      <c r="C5620" t="str">
        <f>VLOOKUP(A5620,'Programas y Unidades'!$A:$B,2,0)</f>
        <v>Especialización en Gerencia del Servicio - Chía</v>
      </c>
    </row>
    <row r="5621" spans="1:3">
      <c r="A5621">
        <v>118</v>
      </c>
      <c r="B5621">
        <v>2</v>
      </c>
      <c r="C5621" t="str">
        <f>VLOOKUP(A5621,'Programas y Unidades'!$A:$B,2,0)</f>
        <v>Especialización en Gerencia del Servicio - Chía</v>
      </c>
    </row>
    <row r="5622" spans="1:3">
      <c r="A5622">
        <v>157</v>
      </c>
      <c r="B5622">
        <v>2</v>
      </c>
      <c r="C5622" t="e">
        <f>VLOOKUP(A5622,'Programas y Unidades'!$A:$B,2,0)</f>
        <v>#N/A</v>
      </c>
    </row>
    <row r="5623" spans="1:3">
      <c r="A5623">
        <v>157</v>
      </c>
      <c r="B5623">
        <v>2</v>
      </c>
      <c r="C5623" t="e">
        <f>VLOOKUP(A5623,'Programas y Unidades'!$A:$B,2,0)</f>
        <v>#N/A</v>
      </c>
    </row>
    <row r="5624" spans="1:3">
      <c r="A5624">
        <v>157</v>
      </c>
      <c r="B5624">
        <v>2</v>
      </c>
      <c r="C5624" t="e">
        <f>VLOOKUP(A5624,'Programas y Unidades'!$A:$B,2,0)</f>
        <v>#N/A</v>
      </c>
    </row>
    <row r="5625" spans="1:3">
      <c r="A5625">
        <v>157</v>
      </c>
      <c r="B5625">
        <v>2</v>
      </c>
      <c r="C5625" t="e">
        <f>VLOOKUP(A5625,'Programas y Unidades'!$A:$B,2,0)</f>
        <v>#N/A</v>
      </c>
    </row>
    <row r="5626" spans="1:3">
      <c r="A5626">
        <v>157</v>
      </c>
      <c r="B5626">
        <v>2</v>
      </c>
      <c r="C5626" t="e">
        <f>VLOOKUP(A5626,'Programas y Unidades'!$A:$B,2,0)</f>
        <v>#N/A</v>
      </c>
    </row>
    <row r="5627" spans="1:3">
      <c r="A5627">
        <v>112</v>
      </c>
      <c r="B5627">
        <v>2</v>
      </c>
      <c r="C5627" t="str">
        <f>VLOOKUP(A5627,'Programas y Unidades'!$A:$B,2,0)</f>
        <v>Especialización en Gerencia de Producción y Operaciones  - Chía</v>
      </c>
    </row>
    <row r="5628" spans="1:3">
      <c r="A5628">
        <v>112</v>
      </c>
      <c r="B5628">
        <v>2</v>
      </c>
      <c r="C5628" t="str">
        <f>VLOOKUP(A5628,'Programas y Unidades'!$A:$B,2,0)</f>
        <v>Especialización en Gerencia de Producción y Operaciones  - Chía</v>
      </c>
    </row>
    <row r="5629" spans="1:3">
      <c r="A5629">
        <v>112</v>
      </c>
      <c r="B5629">
        <v>1</v>
      </c>
      <c r="C5629" t="str">
        <f>VLOOKUP(A5629,'Programas y Unidades'!$A:$B,2,0)</f>
        <v>Especialización en Gerencia de Producción y Operaciones  - Chía</v>
      </c>
    </row>
    <row r="5630" spans="1:3">
      <c r="A5630">
        <v>112</v>
      </c>
      <c r="B5630">
        <v>2</v>
      </c>
      <c r="C5630" t="str">
        <f>VLOOKUP(A5630,'Programas y Unidades'!$A:$B,2,0)</f>
        <v>Especialización en Gerencia de Producción y Operaciones  - Chía</v>
      </c>
    </row>
    <row r="5631" spans="1:3">
      <c r="A5631">
        <v>112</v>
      </c>
      <c r="B5631">
        <v>2</v>
      </c>
      <c r="C5631" t="str">
        <f>VLOOKUP(A5631,'Programas y Unidades'!$A:$B,2,0)</f>
        <v>Especialización en Gerencia de Producción y Operaciones  - Chía</v>
      </c>
    </row>
    <row r="5632" spans="1:3">
      <c r="A5632">
        <v>112</v>
      </c>
      <c r="B5632">
        <v>1</v>
      </c>
      <c r="C5632" t="str">
        <f>VLOOKUP(A5632,'Programas y Unidades'!$A:$B,2,0)</f>
        <v>Especialización en Gerencia de Producción y Operaciones  - Chía</v>
      </c>
    </row>
    <row r="5633" spans="1:3">
      <c r="A5633">
        <v>112</v>
      </c>
      <c r="B5633">
        <v>2</v>
      </c>
      <c r="C5633" t="str">
        <f>VLOOKUP(A5633,'Programas y Unidades'!$A:$B,2,0)</f>
        <v>Especialización en Gerencia de Producción y Operaciones  - Chía</v>
      </c>
    </row>
    <row r="5634" spans="1:3">
      <c r="A5634">
        <v>112</v>
      </c>
      <c r="B5634">
        <v>2</v>
      </c>
      <c r="C5634" t="str">
        <f>VLOOKUP(A5634,'Programas y Unidades'!$A:$B,2,0)</f>
        <v>Especialización en Gerencia de Producción y Operaciones  - Chía</v>
      </c>
    </row>
    <row r="5635" spans="1:3">
      <c r="A5635">
        <v>112</v>
      </c>
      <c r="B5635">
        <v>2</v>
      </c>
      <c r="C5635" t="str">
        <f>VLOOKUP(A5635,'Programas y Unidades'!$A:$B,2,0)</f>
        <v>Especialización en Gerencia de Producción y Operaciones  - Chía</v>
      </c>
    </row>
    <row r="5636" spans="1:3">
      <c r="A5636">
        <v>112</v>
      </c>
      <c r="B5636">
        <v>2</v>
      </c>
      <c r="C5636" t="str">
        <f>VLOOKUP(A5636,'Programas y Unidades'!$A:$B,2,0)</f>
        <v>Especialización en Gerencia de Producción y Operaciones  - Chía</v>
      </c>
    </row>
    <row r="5637" spans="1:3">
      <c r="A5637">
        <v>112</v>
      </c>
      <c r="B5637">
        <v>2</v>
      </c>
      <c r="C5637" t="str">
        <f>VLOOKUP(A5637,'Programas y Unidades'!$A:$B,2,0)</f>
        <v>Especialización en Gerencia de Producción y Operaciones  - Chía</v>
      </c>
    </row>
    <row r="5638" spans="1:3">
      <c r="A5638">
        <v>112</v>
      </c>
      <c r="B5638">
        <v>2</v>
      </c>
      <c r="C5638" t="str">
        <f>VLOOKUP(A5638,'Programas y Unidades'!$A:$B,2,0)</f>
        <v>Especialización en Gerencia de Producción y Operaciones  - Chía</v>
      </c>
    </row>
    <row r="5639" spans="1:3">
      <c r="A5639">
        <v>112</v>
      </c>
      <c r="B5639">
        <v>2</v>
      </c>
      <c r="C5639" t="str">
        <f>VLOOKUP(A5639,'Programas y Unidades'!$A:$B,2,0)</f>
        <v>Especialización en Gerencia de Producción y Operaciones  - Chía</v>
      </c>
    </row>
    <row r="5640" spans="1:3">
      <c r="A5640">
        <v>112</v>
      </c>
      <c r="B5640">
        <v>2</v>
      </c>
      <c r="C5640" t="str">
        <f>VLOOKUP(A5640,'Programas y Unidades'!$A:$B,2,0)</f>
        <v>Especialización en Gerencia de Producción y Operaciones  - Chía</v>
      </c>
    </row>
    <row r="5641" spans="1:3">
      <c r="A5641">
        <v>112</v>
      </c>
      <c r="B5641">
        <v>2</v>
      </c>
      <c r="C5641" t="str">
        <f>VLOOKUP(A5641,'Programas y Unidades'!$A:$B,2,0)</f>
        <v>Especialización en Gerencia de Producción y Operaciones  - Chía</v>
      </c>
    </row>
    <row r="5642" spans="1:3">
      <c r="A5642">
        <v>112</v>
      </c>
      <c r="B5642">
        <v>2</v>
      </c>
      <c r="C5642" t="str">
        <f>VLOOKUP(A5642,'Programas y Unidades'!$A:$B,2,0)</f>
        <v>Especialización en Gerencia de Producción y Operaciones  - Chía</v>
      </c>
    </row>
    <row r="5643" spans="1:3">
      <c r="A5643">
        <v>112</v>
      </c>
      <c r="B5643">
        <v>2</v>
      </c>
      <c r="C5643" t="str">
        <f>VLOOKUP(A5643,'Programas y Unidades'!$A:$B,2,0)</f>
        <v>Especialización en Gerencia de Producción y Operaciones  - Chía</v>
      </c>
    </row>
    <row r="5644" spans="1:3">
      <c r="A5644">
        <v>112</v>
      </c>
      <c r="B5644">
        <v>2</v>
      </c>
      <c r="C5644" t="str">
        <f>VLOOKUP(A5644,'Programas y Unidades'!$A:$B,2,0)</f>
        <v>Especialización en Gerencia de Producción y Operaciones  - Chía</v>
      </c>
    </row>
    <row r="5645" spans="1:3">
      <c r="A5645">
        <v>112</v>
      </c>
      <c r="B5645">
        <v>2</v>
      </c>
      <c r="C5645" t="str">
        <f>VLOOKUP(A5645,'Programas y Unidades'!$A:$B,2,0)</f>
        <v>Especialización en Gerencia de Producción y Operaciones  - Chía</v>
      </c>
    </row>
    <row r="5646" spans="1:3">
      <c r="A5646">
        <v>112</v>
      </c>
      <c r="B5646">
        <v>2</v>
      </c>
      <c r="C5646" t="str">
        <f>VLOOKUP(A5646,'Programas y Unidades'!$A:$B,2,0)</f>
        <v>Especialización en Gerencia de Producción y Operaciones  - Chía</v>
      </c>
    </row>
    <row r="5647" spans="1:3">
      <c r="A5647">
        <v>112</v>
      </c>
      <c r="B5647">
        <v>2</v>
      </c>
      <c r="C5647" t="str">
        <f>VLOOKUP(A5647,'Programas y Unidades'!$A:$B,2,0)</f>
        <v>Especialización en Gerencia de Producción y Operaciones  - Chía</v>
      </c>
    </row>
    <row r="5648" spans="1:3">
      <c r="A5648">
        <v>102</v>
      </c>
      <c r="B5648">
        <v>1</v>
      </c>
      <c r="C5648" t="str">
        <f>VLOOKUP(A5648,'Programas y Unidades'!$A:$B,2,0)</f>
        <v>Especialización en Seguros y Seguridad Social - Chía</v>
      </c>
    </row>
    <row r="5649" spans="1:3">
      <c r="A5649">
        <v>157</v>
      </c>
      <c r="B5649">
        <v>2</v>
      </c>
      <c r="C5649" t="e">
        <f>VLOOKUP(A5649,'Programas y Unidades'!$A:$B,2,0)</f>
        <v>#N/A</v>
      </c>
    </row>
    <row r="5650" spans="1:3">
      <c r="A5650">
        <v>157</v>
      </c>
      <c r="B5650">
        <v>2</v>
      </c>
      <c r="C5650" t="e">
        <f>VLOOKUP(A5650,'Programas y Unidades'!$A:$B,2,0)</f>
        <v>#N/A</v>
      </c>
    </row>
    <row r="5651" spans="1:3">
      <c r="A5651">
        <v>139</v>
      </c>
      <c r="B5651">
        <v>2</v>
      </c>
      <c r="C5651" t="str">
        <f>VLOOKUP(A5651,'Programas y Unidades'!$A:$B,2,0)</f>
        <v>Especialización en Gerencia Estratégica - Barranquilla</v>
      </c>
    </row>
    <row r="5652" spans="1:3">
      <c r="A5652">
        <v>139</v>
      </c>
      <c r="B5652">
        <v>2</v>
      </c>
      <c r="C5652" t="str">
        <f>VLOOKUP(A5652,'Programas y Unidades'!$A:$B,2,0)</f>
        <v>Especialización en Gerencia Estratégica - Barranquilla</v>
      </c>
    </row>
    <row r="5653" spans="1:3">
      <c r="A5653">
        <v>139</v>
      </c>
      <c r="B5653">
        <v>2</v>
      </c>
      <c r="C5653" t="str">
        <f>VLOOKUP(A5653,'Programas y Unidades'!$A:$B,2,0)</f>
        <v>Especialización en Gerencia Estratégica - Barranquilla</v>
      </c>
    </row>
    <row r="5654" spans="1:3">
      <c r="A5654">
        <v>139</v>
      </c>
      <c r="B5654">
        <v>2</v>
      </c>
      <c r="C5654" t="str">
        <f>VLOOKUP(A5654,'Programas y Unidades'!$A:$B,2,0)</f>
        <v>Especialización en Gerencia Estratégica - Barranquilla</v>
      </c>
    </row>
    <row r="5655" spans="1:3">
      <c r="A5655">
        <v>139</v>
      </c>
      <c r="B5655">
        <v>2</v>
      </c>
      <c r="C5655" t="str">
        <f>VLOOKUP(A5655,'Programas y Unidades'!$A:$B,2,0)</f>
        <v>Especialización en Gerencia Estratégica - Barranquilla</v>
      </c>
    </row>
    <row r="5656" spans="1:3">
      <c r="A5656">
        <v>116</v>
      </c>
      <c r="B5656">
        <v>2</v>
      </c>
      <c r="C5656" t="str">
        <f>VLOOKUP(A5656,'Programas y Unidades'!$A:$B,2,0)</f>
        <v>Especialización en Gestión para el Desarrollo Humano en la Organización - Chía</v>
      </c>
    </row>
    <row r="5657" spans="1:3">
      <c r="A5657">
        <v>81</v>
      </c>
      <c r="B5657">
        <v>2</v>
      </c>
      <c r="C5657" t="str">
        <f>VLOOKUP(A5657,'Programas y Unidades'!$A:$B,2,0)</f>
        <v>Maestría en Gerencia y Desarrollo de Personas - Chía</v>
      </c>
    </row>
    <row r="5658" spans="1:3">
      <c r="A5658">
        <v>81</v>
      </c>
      <c r="B5658">
        <v>2</v>
      </c>
      <c r="C5658" t="str">
        <f>VLOOKUP(A5658,'Programas y Unidades'!$A:$B,2,0)</f>
        <v>Maestría en Gerencia y Desarrollo de Personas - Chía</v>
      </c>
    </row>
    <row r="5659" spans="1:3">
      <c r="A5659">
        <v>81</v>
      </c>
      <c r="B5659">
        <v>2</v>
      </c>
      <c r="C5659" t="str">
        <f>VLOOKUP(A5659,'Programas y Unidades'!$A:$B,2,0)</f>
        <v>Maestría en Gerencia y Desarrollo de Personas - Chía</v>
      </c>
    </row>
    <row r="5660" spans="1:3">
      <c r="A5660">
        <v>81</v>
      </c>
      <c r="B5660">
        <v>2</v>
      </c>
      <c r="C5660" t="str">
        <f>VLOOKUP(A5660,'Programas y Unidades'!$A:$B,2,0)</f>
        <v>Maestría en Gerencia y Desarrollo de Personas - Chía</v>
      </c>
    </row>
    <row r="5661" spans="1:3">
      <c r="A5661">
        <v>81</v>
      </c>
      <c r="B5661">
        <v>2</v>
      </c>
      <c r="C5661" t="str">
        <f>VLOOKUP(A5661,'Programas y Unidades'!$A:$B,2,0)</f>
        <v>Maestría en Gerencia y Desarrollo de Personas - Chía</v>
      </c>
    </row>
    <row r="5662" spans="1:3">
      <c r="A5662">
        <v>43</v>
      </c>
      <c r="B5662">
        <v>7</v>
      </c>
      <c r="C5662" t="str">
        <f>VLOOKUP(A5662,'Programas y Unidades'!$A:$B,2,0)</f>
        <v>Psicología</v>
      </c>
    </row>
    <row r="5663" spans="1:3">
      <c r="A5663">
        <v>81</v>
      </c>
      <c r="B5663">
        <v>2</v>
      </c>
      <c r="C5663" t="str">
        <f>VLOOKUP(A5663,'Programas y Unidades'!$A:$B,2,0)</f>
        <v>Maestría en Gerencia y Desarrollo de Personas - Chía</v>
      </c>
    </row>
    <row r="5664" spans="1:3">
      <c r="A5664">
        <v>139</v>
      </c>
      <c r="B5664">
        <v>2</v>
      </c>
      <c r="C5664" t="str">
        <f>VLOOKUP(A5664,'Programas y Unidades'!$A:$B,2,0)</f>
        <v>Especialización en Gerencia Estratégica - Barranquilla</v>
      </c>
    </row>
    <row r="5665" spans="1:3">
      <c r="A5665">
        <v>139</v>
      </c>
      <c r="B5665">
        <v>2</v>
      </c>
      <c r="C5665" t="str">
        <f>VLOOKUP(A5665,'Programas y Unidades'!$A:$B,2,0)</f>
        <v>Especialización en Gerencia Estratégica - Barranquilla</v>
      </c>
    </row>
    <row r="5666" spans="1:3">
      <c r="A5666">
        <v>48</v>
      </c>
      <c r="B5666">
        <v>1</v>
      </c>
      <c r="C5666" t="str">
        <f>VLOOKUP(A5666,'Programas y Unidades'!$A:$B,2,0)</f>
        <v>Maestría en Gerencia Internacional - Chía</v>
      </c>
    </row>
    <row r="5667" spans="1:3">
      <c r="A5667">
        <v>45</v>
      </c>
      <c r="B5667">
        <v>2</v>
      </c>
      <c r="C5667" t="str">
        <f>VLOOKUP(A5667,'Programas y Unidades'!$A:$B,2,0)</f>
        <v>Maestría en Gerencia de Inversión - Chía</v>
      </c>
    </row>
    <row r="5668" spans="1:3">
      <c r="A5668">
        <v>48</v>
      </c>
      <c r="B5668">
        <v>2</v>
      </c>
      <c r="C5668" t="str">
        <f>VLOOKUP(A5668,'Programas y Unidades'!$A:$B,2,0)</f>
        <v>Maestría en Gerencia Internacional - Chía</v>
      </c>
    </row>
    <row r="5669" spans="1:3">
      <c r="A5669">
        <v>48</v>
      </c>
      <c r="B5669">
        <v>2</v>
      </c>
      <c r="C5669" t="str">
        <f>VLOOKUP(A5669,'Programas y Unidades'!$A:$B,2,0)</f>
        <v>Maestría en Gerencia Internacional - Chía</v>
      </c>
    </row>
    <row r="5670" spans="1:3">
      <c r="A5670">
        <v>48</v>
      </c>
      <c r="B5670">
        <v>2</v>
      </c>
      <c r="C5670" t="str">
        <f>VLOOKUP(A5670,'Programas y Unidades'!$A:$B,2,0)</f>
        <v>Maestría en Gerencia Internacional - Chía</v>
      </c>
    </row>
    <row r="5671" spans="1:3">
      <c r="A5671">
        <v>45</v>
      </c>
      <c r="B5671">
        <v>1</v>
      </c>
      <c r="C5671" t="str">
        <f>VLOOKUP(A5671,'Programas y Unidades'!$A:$B,2,0)</f>
        <v>Maestría en Gerencia de Inversión - Chía</v>
      </c>
    </row>
    <row r="5672" spans="1:3">
      <c r="A5672">
        <v>45</v>
      </c>
      <c r="B5672">
        <v>1</v>
      </c>
      <c r="C5672" t="str">
        <f>VLOOKUP(A5672,'Programas y Unidades'!$A:$B,2,0)</f>
        <v>Maestría en Gerencia de Inversión - Chía</v>
      </c>
    </row>
    <row r="5673" spans="1:3">
      <c r="A5673">
        <v>45</v>
      </c>
      <c r="B5673">
        <v>1</v>
      </c>
      <c r="C5673" t="str">
        <f>VLOOKUP(A5673,'Programas y Unidades'!$A:$B,2,0)</f>
        <v>Maestría en Gerencia de Inversión - Chía</v>
      </c>
    </row>
    <row r="5674" spans="1:3">
      <c r="A5674">
        <v>45</v>
      </c>
      <c r="B5674">
        <v>1</v>
      </c>
      <c r="C5674" t="str">
        <f>VLOOKUP(A5674,'Programas y Unidades'!$A:$B,2,0)</f>
        <v>Maestría en Gerencia de Inversión - Chía</v>
      </c>
    </row>
    <row r="5675" spans="1:3">
      <c r="A5675">
        <v>45</v>
      </c>
      <c r="B5675">
        <v>2</v>
      </c>
      <c r="C5675" t="str">
        <f>VLOOKUP(A5675,'Programas y Unidades'!$A:$B,2,0)</f>
        <v>Maestría en Gerencia de Inversión - Chía</v>
      </c>
    </row>
    <row r="5676" spans="1:3">
      <c r="A5676">
        <v>45</v>
      </c>
      <c r="B5676">
        <v>3</v>
      </c>
      <c r="C5676" t="str">
        <f>VLOOKUP(A5676,'Programas y Unidades'!$A:$B,2,0)</f>
        <v>Maestría en Gerencia de Inversión - Chía</v>
      </c>
    </row>
    <row r="5677" spans="1:3">
      <c r="A5677">
        <v>45</v>
      </c>
      <c r="B5677">
        <v>2</v>
      </c>
      <c r="C5677" t="str">
        <f>VLOOKUP(A5677,'Programas y Unidades'!$A:$B,2,0)</f>
        <v>Maestría en Gerencia de Inversión - Chía</v>
      </c>
    </row>
    <row r="5678" spans="1:3">
      <c r="A5678">
        <v>45</v>
      </c>
      <c r="B5678">
        <v>3</v>
      </c>
      <c r="C5678" t="str">
        <f>VLOOKUP(A5678,'Programas y Unidades'!$A:$B,2,0)</f>
        <v>Maestría en Gerencia de Inversión - Chía</v>
      </c>
    </row>
    <row r="5679" spans="1:3">
      <c r="A5679">
        <v>45</v>
      </c>
      <c r="B5679">
        <v>2</v>
      </c>
      <c r="C5679" t="str">
        <f>VLOOKUP(A5679,'Programas y Unidades'!$A:$B,2,0)</f>
        <v>Maestría en Gerencia de Inversión - Chía</v>
      </c>
    </row>
    <row r="5680" spans="1:3">
      <c r="A5680">
        <v>45</v>
      </c>
      <c r="B5680">
        <v>2</v>
      </c>
      <c r="C5680" t="str">
        <f>VLOOKUP(A5680,'Programas y Unidades'!$A:$B,2,0)</f>
        <v>Maestría en Gerencia de Inversión - Chía</v>
      </c>
    </row>
    <row r="5681" spans="1:3">
      <c r="A5681">
        <v>45</v>
      </c>
      <c r="B5681">
        <v>2</v>
      </c>
      <c r="C5681" t="str">
        <f>VLOOKUP(A5681,'Programas y Unidades'!$A:$B,2,0)</f>
        <v>Maestría en Gerencia de Inversión - Chía</v>
      </c>
    </row>
    <row r="5682" spans="1:3">
      <c r="A5682">
        <v>45</v>
      </c>
      <c r="B5682">
        <v>2</v>
      </c>
      <c r="C5682" t="str">
        <f>VLOOKUP(A5682,'Programas y Unidades'!$A:$B,2,0)</f>
        <v>Maestría en Gerencia de Inversión - Chía</v>
      </c>
    </row>
    <row r="5683" spans="1:3">
      <c r="A5683">
        <v>45</v>
      </c>
      <c r="B5683">
        <v>2</v>
      </c>
      <c r="C5683" t="str">
        <f>VLOOKUP(A5683,'Programas y Unidades'!$A:$B,2,0)</f>
        <v>Maestría en Gerencia de Inversión - Chía</v>
      </c>
    </row>
    <row r="5684" spans="1:3">
      <c r="A5684">
        <v>45</v>
      </c>
      <c r="B5684">
        <v>2</v>
      </c>
      <c r="C5684" t="str">
        <f>VLOOKUP(A5684,'Programas y Unidades'!$A:$B,2,0)</f>
        <v>Maestría en Gerencia de Inversión - Chía</v>
      </c>
    </row>
    <row r="5685" spans="1:3">
      <c r="A5685">
        <v>45</v>
      </c>
      <c r="B5685">
        <v>3</v>
      </c>
      <c r="C5685" t="str">
        <f>VLOOKUP(A5685,'Programas y Unidades'!$A:$B,2,0)</f>
        <v>Maestría en Gerencia de Inversión - Chía</v>
      </c>
    </row>
    <row r="5686" spans="1:3">
      <c r="A5686">
        <v>45</v>
      </c>
      <c r="B5686">
        <v>3</v>
      </c>
      <c r="C5686" t="str">
        <f>VLOOKUP(A5686,'Programas y Unidades'!$A:$B,2,0)</f>
        <v>Maestría en Gerencia de Inversión - Chía</v>
      </c>
    </row>
    <row r="5687" spans="1:3">
      <c r="A5687">
        <v>45</v>
      </c>
      <c r="B5687">
        <v>3</v>
      </c>
      <c r="C5687" t="str">
        <f>VLOOKUP(A5687,'Programas y Unidades'!$A:$B,2,0)</f>
        <v>Maestría en Gerencia de Inversión - Chía</v>
      </c>
    </row>
    <row r="5688" spans="1:3">
      <c r="A5688">
        <v>45</v>
      </c>
      <c r="B5688">
        <v>3</v>
      </c>
      <c r="C5688" t="str">
        <f>VLOOKUP(A5688,'Programas y Unidades'!$A:$B,2,0)</f>
        <v>Maestría en Gerencia de Inversión - Chía</v>
      </c>
    </row>
    <row r="5689" spans="1:3">
      <c r="A5689">
        <v>45</v>
      </c>
      <c r="B5689">
        <v>3</v>
      </c>
      <c r="C5689" t="str">
        <f>VLOOKUP(A5689,'Programas y Unidades'!$A:$B,2,0)</f>
        <v>Maestría en Gerencia de Inversión - Chía</v>
      </c>
    </row>
    <row r="5690" spans="1:3">
      <c r="A5690">
        <v>45</v>
      </c>
      <c r="B5690">
        <v>3</v>
      </c>
      <c r="C5690" t="str">
        <f>VLOOKUP(A5690,'Programas y Unidades'!$A:$B,2,0)</f>
        <v>Maestría en Gerencia de Inversión - Chía</v>
      </c>
    </row>
    <row r="5691" spans="1:3">
      <c r="A5691">
        <v>45</v>
      </c>
      <c r="B5691">
        <v>3</v>
      </c>
      <c r="C5691" t="str">
        <f>VLOOKUP(A5691,'Programas y Unidades'!$A:$B,2,0)</f>
        <v>Maestría en Gerencia de Inversión - Chía</v>
      </c>
    </row>
    <row r="5692" spans="1:3">
      <c r="A5692">
        <v>45</v>
      </c>
      <c r="B5692">
        <v>3</v>
      </c>
      <c r="C5692" t="str">
        <f>VLOOKUP(A5692,'Programas y Unidades'!$A:$B,2,0)</f>
        <v>Maestría en Gerencia de Inversión - Chía</v>
      </c>
    </row>
    <row r="5693" spans="1:3">
      <c r="A5693">
        <v>96</v>
      </c>
      <c r="B5693">
        <v>2</v>
      </c>
      <c r="C5693" t="str">
        <f>VLOOKUP(A5693,'Programas y Unidades'!$A:$B,2,0)</f>
        <v>Especialización en Gerencia de la Comunicación Organizacional - Chía</v>
      </c>
    </row>
    <row r="5694" spans="1:3">
      <c r="A5694">
        <v>96</v>
      </c>
      <c r="B5694">
        <v>2</v>
      </c>
      <c r="C5694" t="str">
        <f>VLOOKUP(A5694,'Programas y Unidades'!$A:$B,2,0)</f>
        <v>Especialización en Gerencia de la Comunicación Organizacional - Chía</v>
      </c>
    </row>
    <row r="5695" spans="1:3">
      <c r="A5695">
        <v>96</v>
      </c>
      <c r="B5695">
        <v>2</v>
      </c>
      <c r="C5695" t="str">
        <f>VLOOKUP(A5695,'Programas y Unidades'!$A:$B,2,0)</f>
        <v>Especialización en Gerencia de la Comunicación Organizacional - Chía</v>
      </c>
    </row>
    <row r="5696" spans="1:3">
      <c r="A5696">
        <v>54</v>
      </c>
      <c r="B5696">
        <v>4</v>
      </c>
      <c r="C5696" t="str">
        <f>VLOOKUP(A5696,'Programas y Unidades'!$A:$B,2,0)</f>
        <v>Maestría en Derecho Constitucional - Chía</v>
      </c>
    </row>
    <row r="5697" spans="1:3">
      <c r="A5697">
        <v>54</v>
      </c>
      <c r="B5697">
        <v>4</v>
      </c>
      <c r="C5697" t="str">
        <f>VLOOKUP(A5697,'Programas y Unidades'!$A:$B,2,0)</f>
        <v>Maestría en Derecho Constitucional - Chía</v>
      </c>
    </row>
    <row r="5698" spans="1:3">
      <c r="A5698">
        <v>54</v>
      </c>
      <c r="B5698">
        <v>4</v>
      </c>
      <c r="C5698" t="str">
        <f>VLOOKUP(A5698,'Programas y Unidades'!$A:$B,2,0)</f>
        <v>Maestría en Derecho Constitucional - Chía</v>
      </c>
    </row>
    <row r="5699" spans="1:3">
      <c r="A5699">
        <v>54</v>
      </c>
      <c r="B5699">
        <v>4</v>
      </c>
      <c r="C5699" t="str">
        <f>VLOOKUP(A5699,'Programas y Unidades'!$A:$B,2,0)</f>
        <v>Maestría en Derecho Constitucional - Chía</v>
      </c>
    </row>
    <row r="5700" spans="1:3">
      <c r="A5700">
        <v>54</v>
      </c>
      <c r="B5700">
        <v>4</v>
      </c>
      <c r="C5700" t="str">
        <f>VLOOKUP(A5700,'Programas y Unidades'!$A:$B,2,0)</f>
        <v>Maestría en Derecho Constitucional - Chía</v>
      </c>
    </row>
    <row r="5701" spans="1:3">
      <c r="A5701">
        <v>151</v>
      </c>
      <c r="B5701">
        <v>2</v>
      </c>
      <c r="C5701" t="e">
        <f>VLOOKUP(A5701,'Programas y Unidades'!$A:$B,2,0)</f>
        <v>#N/A</v>
      </c>
    </row>
    <row r="5702" spans="1:3">
      <c r="A5702">
        <v>151</v>
      </c>
      <c r="B5702">
        <v>2</v>
      </c>
      <c r="C5702" t="e">
        <f>VLOOKUP(A5702,'Programas y Unidades'!$A:$B,2,0)</f>
        <v>#N/A</v>
      </c>
    </row>
    <row r="5703" spans="1:3">
      <c r="A5703">
        <v>151</v>
      </c>
      <c r="B5703">
        <v>2</v>
      </c>
      <c r="C5703" t="e">
        <f>VLOOKUP(A5703,'Programas y Unidades'!$A:$B,2,0)</f>
        <v>#N/A</v>
      </c>
    </row>
    <row r="5704" spans="1:3">
      <c r="A5704">
        <v>151</v>
      </c>
      <c r="B5704">
        <v>2</v>
      </c>
      <c r="C5704" t="e">
        <f>VLOOKUP(A5704,'Programas y Unidades'!$A:$B,2,0)</f>
        <v>#N/A</v>
      </c>
    </row>
    <row r="5705" spans="1:3">
      <c r="A5705">
        <v>151</v>
      </c>
      <c r="B5705">
        <v>2</v>
      </c>
      <c r="C5705" t="e">
        <f>VLOOKUP(A5705,'Programas y Unidades'!$A:$B,2,0)</f>
        <v>#N/A</v>
      </c>
    </row>
    <row r="5706" spans="1:3">
      <c r="A5706">
        <v>151</v>
      </c>
      <c r="B5706">
        <v>2</v>
      </c>
      <c r="C5706" t="e">
        <f>VLOOKUP(A5706,'Programas y Unidades'!$A:$B,2,0)</f>
        <v>#N/A</v>
      </c>
    </row>
    <row r="5707" spans="1:3">
      <c r="A5707">
        <v>151</v>
      </c>
      <c r="B5707">
        <v>2</v>
      </c>
      <c r="C5707" t="e">
        <f>VLOOKUP(A5707,'Programas y Unidades'!$A:$B,2,0)</f>
        <v>#N/A</v>
      </c>
    </row>
    <row r="5708" spans="1:3">
      <c r="A5708">
        <v>151</v>
      </c>
      <c r="B5708">
        <v>2</v>
      </c>
      <c r="C5708" t="e">
        <f>VLOOKUP(A5708,'Programas y Unidades'!$A:$B,2,0)</f>
        <v>#N/A</v>
      </c>
    </row>
    <row r="5709" spans="1:3">
      <c r="A5709">
        <v>151</v>
      </c>
      <c r="B5709">
        <v>2</v>
      </c>
      <c r="C5709" t="e">
        <f>VLOOKUP(A5709,'Programas y Unidades'!$A:$B,2,0)</f>
        <v>#N/A</v>
      </c>
    </row>
    <row r="5710" spans="1:3">
      <c r="A5710">
        <v>151</v>
      </c>
      <c r="B5710">
        <v>2</v>
      </c>
      <c r="C5710" t="e">
        <f>VLOOKUP(A5710,'Programas y Unidades'!$A:$B,2,0)</f>
        <v>#N/A</v>
      </c>
    </row>
    <row r="5711" spans="1:3">
      <c r="A5711">
        <v>151</v>
      </c>
      <c r="B5711">
        <v>2</v>
      </c>
      <c r="C5711" t="e">
        <f>VLOOKUP(A5711,'Programas y Unidades'!$A:$B,2,0)</f>
        <v>#N/A</v>
      </c>
    </row>
    <row r="5712" spans="1:3">
      <c r="A5712">
        <v>151</v>
      </c>
      <c r="B5712">
        <v>2</v>
      </c>
      <c r="C5712" t="e">
        <f>VLOOKUP(A5712,'Programas y Unidades'!$A:$B,2,0)</f>
        <v>#N/A</v>
      </c>
    </row>
    <row r="5713" spans="1:3">
      <c r="A5713">
        <v>151</v>
      </c>
      <c r="B5713">
        <v>2</v>
      </c>
      <c r="C5713" t="e">
        <f>VLOOKUP(A5713,'Programas y Unidades'!$A:$B,2,0)</f>
        <v>#N/A</v>
      </c>
    </row>
    <row r="5714" spans="1:3">
      <c r="A5714">
        <v>151</v>
      </c>
      <c r="B5714">
        <v>2</v>
      </c>
      <c r="C5714" t="e">
        <f>VLOOKUP(A5714,'Programas y Unidades'!$A:$B,2,0)</f>
        <v>#N/A</v>
      </c>
    </row>
    <row r="5715" spans="1:3">
      <c r="A5715">
        <v>151</v>
      </c>
      <c r="B5715">
        <v>2</v>
      </c>
      <c r="C5715" t="e">
        <f>VLOOKUP(A5715,'Programas y Unidades'!$A:$B,2,0)</f>
        <v>#N/A</v>
      </c>
    </row>
    <row r="5716" spans="1:3">
      <c r="A5716">
        <v>151</v>
      </c>
      <c r="B5716">
        <v>2</v>
      </c>
      <c r="C5716" t="e">
        <f>VLOOKUP(A5716,'Programas y Unidades'!$A:$B,2,0)</f>
        <v>#N/A</v>
      </c>
    </row>
    <row r="5717" spans="1:3">
      <c r="A5717">
        <v>151</v>
      </c>
      <c r="B5717">
        <v>2</v>
      </c>
      <c r="C5717" t="e">
        <f>VLOOKUP(A5717,'Programas y Unidades'!$A:$B,2,0)</f>
        <v>#N/A</v>
      </c>
    </row>
    <row r="5718" spans="1:3">
      <c r="A5718">
        <v>54</v>
      </c>
      <c r="B5718">
        <v>4</v>
      </c>
      <c r="C5718" t="str">
        <f>VLOOKUP(A5718,'Programas y Unidades'!$A:$B,2,0)</f>
        <v>Maestría en Derecho Constitucional - Chía</v>
      </c>
    </row>
    <row r="5719" spans="1:3">
      <c r="A5719">
        <v>86</v>
      </c>
      <c r="B5719">
        <v>4</v>
      </c>
      <c r="C5719" t="str">
        <f>VLOOKUP(A5719,'Programas y Unidades'!$A:$B,2,0)</f>
        <v>Maestría en Didáctica Del Inglés Para el Aprendizaje Autodirigido - Virtual</v>
      </c>
    </row>
    <row r="5720" spans="1:3">
      <c r="A5720">
        <v>86</v>
      </c>
      <c r="B5720">
        <v>4</v>
      </c>
      <c r="C5720" t="str">
        <f>VLOOKUP(A5720,'Programas y Unidades'!$A:$B,2,0)</f>
        <v>Maestría en Didáctica Del Inglés Para el Aprendizaje Autodirigido - Virtual</v>
      </c>
    </row>
    <row r="5721" spans="1:3">
      <c r="A5721">
        <v>86</v>
      </c>
      <c r="B5721">
        <v>4</v>
      </c>
      <c r="C5721" t="str">
        <f>VLOOKUP(A5721,'Programas y Unidades'!$A:$B,2,0)</f>
        <v>Maestría en Didáctica Del Inglés Para el Aprendizaje Autodirigido - Virtual</v>
      </c>
    </row>
    <row r="5722" spans="1:3">
      <c r="A5722">
        <v>86</v>
      </c>
      <c r="B5722">
        <v>4</v>
      </c>
      <c r="C5722" t="str">
        <f>VLOOKUP(A5722,'Programas y Unidades'!$A:$B,2,0)</f>
        <v>Maestría en Didáctica Del Inglés Para el Aprendizaje Autodirigido - Virtual</v>
      </c>
    </row>
    <row r="5723" spans="1:3">
      <c r="A5723">
        <v>86</v>
      </c>
      <c r="B5723">
        <v>4</v>
      </c>
      <c r="C5723" t="str">
        <f>VLOOKUP(A5723,'Programas y Unidades'!$A:$B,2,0)</f>
        <v>Maestría en Didáctica Del Inglés Para el Aprendizaje Autodirigido - Virtual</v>
      </c>
    </row>
    <row r="5724" spans="1:3">
      <c r="A5724">
        <v>86</v>
      </c>
      <c r="B5724">
        <v>4</v>
      </c>
      <c r="C5724" t="str">
        <f>VLOOKUP(A5724,'Programas y Unidades'!$A:$B,2,0)</f>
        <v>Maestría en Didáctica Del Inglés Para el Aprendizaje Autodirigido - Virtual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D171"/>
  <sheetViews>
    <sheetView tabSelected="1" zoomScale="80" zoomScaleNormal="80" workbookViewId="0">
      <pane xSplit="2" ySplit="2" topLeftCell="C14" activePane="bottomRight" state="frozen"/>
      <selection pane="bottomRight" activeCell="C14" sqref="C14"/>
      <selection pane="bottomLeft" activeCell="A5" sqref="A5"/>
      <selection pane="topRight" activeCell="C1" sqref="C1"/>
    </sheetView>
  </sheetViews>
  <sheetFormatPr defaultColWidth="9.140625" defaultRowHeight="15"/>
  <cols>
    <col min="1" max="1" width="7.85546875" style="4" hidden="1" customWidth="1"/>
    <col min="2" max="2" width="89.85546875" style="4" customWidth="1"/>
    <col min="3" max="3" width="67.140625" style="4" customWidth="1"/>
    <col min="4" max="27" width="10.5703125" style="4" customWidth="1"/>
    <col min="28" max="29" width="9.140625" style="4"/>
    <col min="30" max="30" width="46.5703125" style="4" bestFit="1" customWidth="1"/>
    <col min="31" max="16384" width="9.140625" style="4"/>
  </cols>
  <sheetData>
    <row r="1" spans="1:30" ht="31.5" customHeight="1">
      <c r="A1"/>
      <c r="B1" s="91"/>
      <c r="C1" s="91"/>
      <c r="D1" s="243" t="s">
        <v>63</v>
      </c>
      <c r="E1" s="244"/>
      <c r="F1" s="244"/>
      <c r="G1" s="244"/>
      <c r="H1" s="244"/>
      <c r="I1" s="244"/>
      <c r="J1" s="245"/>
      <c r="K1" s="158"/>
      <c r="L1" s="243" t="s">
        <v>64</v>
      </c>
      <c r="M1" s="244"/>
      <c r="N1" s="244"/>
      <c r="O1" s="244"/>
      <c r="P1" s="244"/>
      <c r="Q1" s="244"/>
      <c r="R1" s="245"/>
      <c r="S1" s="108"/>
      <c r="T1" s="241" t="s">
        <v>65</v>
      </c>
      <c r="U1" s="242"/>
      <c r="V1" s="242"/>
      <c r="W1" s="242"/>
      <c r="X1" s="242"/>
      <c r="Y1" s="242"/>
      <c r="Z1" s="242"/>
      <c r="AA1" s="108"/>
      <c r="AD1" s="240"/>
    </row>
    <row r="2" spans="1:30" ht="54" customHeight="1" thickBot="1">
      <c r="A2" s="143" t="s">
        <v>66</v>
      </c>
      <c r="B2" s="178" t="s">
        <v>67</v>
      </c>
      <c r="C2" s="178" t="s">
        <v>68</v>
      </c>
      <c r="D2" s="179" t="s">
        <v>69</v>
      </c>
      <c r="E2" s="180" t="s">
        <v>70</v>
      </c>
      <c r="F2" s="179" t="s">
        <v>71</v>
      </c>
      <c r="G2" s="179" t="s">
        <v>72</v>
      </c>
      <c r="H2" s="181" t="s">
        <v>73</v>
      </c>
      <c r="I2" s="181" t="s">
        <v>74</v>
      </c>
      <c r="J2" s="181" t="s">
        <v>75</v>
      </c>
      <c r="K2" s="181" t="s">
        <v>76</v>
      </c>
      <c r="L2" s="179" t="s">
        <v>69</v>
      </c>
      <c r="M2" s="180" t="s">
        <v>70</v>
      </c>
      <c r="N2" s="179" t="s">
        <v>71</v>
      </c>
      <c r="O2" s="179" t="s">
        <v>72</v>
      </c>
      <c r="P2" s="181" t="s">
        <v>73</v>
      </c>
      <c r="Q2" s="181" t="s">
        <v>74</v>
      </c>
      <c r="R2" s="181" t="s">
        <v>75</v>
      </c>
      <c r="S2" s="181" t="s">
        <v>76</v>
      </c>
      <c r="T2" s="179" t="s">
        <v>69</v>
      </c>
      <c r="U2" s="180" t="s">
        <v>70</v>
      </c>
      <c r="V2" s="179" t="s">
        <v>71</v>
      </c>
      <c r="W2" s="179" t="s">
        <v>72</v>
      </c>
      <c r="X2" s="181" t="s">
        <v>73</v>
      </c>
      <c r="Y2" s="181" t="s">
        <v>74</v>
      </c>
      <c r="Z2" s="181" t="s">
        <v>75</v>
      </c>
      <c r="AA2" s="181" t="s">
        <v>76</v>
      </c>
      <c r="AD2" s="240"/>
    </row>
    <row r="3" spans="1:30" customFormat="1" ht="15" hidden="1" customHeight="1">
      <c r="A3" s="3">
        <v>20</v>
      </c>
      <c r="B3" s="182" t="s">
        <v>17</v>
      </c>
      <c r="C3" s="183" t="s">
        <v>77</v>
      </c>
      <c r="D3" s="184">
        <f>VLOOKUP(B3,'Cuotas Estudiantes Pregrado'!$A$4:$N$28,13,0)</f>
        <v>84</v>
      </c>
      <c r="E3" s="184">
        <f>VLOOKUP(B3,'Cuotas Estudiantes Pregrado'!$A$4:$N$28,14,0)</f>
        <v>71</v>
      </c>
      <c r="F3" s="184">
        <f>VLOOKUP(B3,'BDD Estudiantes Posgrado'!$A$1:$D$200,4,0)</f>
        <v>66</v>
      </c>
      <c r="G3" s="185">
        <f>VLOOKUP(B3,'Cuotas Estudiantes Pregrado'!$A$117:$M$142,13,0)</f>
        <v>7</v>
      </c>
      <c r="H3" s="186">
        <f t="shared" ref="H3:H27" si="0">F3/D3</f>
        <v>0.7857142857142857</v>
      </c>
      <c r="I3" s="187">
        <f t="shared" ref="I3:I15" si="1">IFERROR((((1.96^2*0.5*0.5*($D3-F3))/(F3*($D3-1)))^0.5),"")</f>
        <v>5.6176064954948229E-2</v>
      </c>
      <c r="J3" s="187">
        <f t="shared" ref="J3:J34" si="2">IFERROR((((1.65^2*0.5*0.5*($D3-F3))/(F3*($D3-1)))^0.5),"")</f>
        <v>4.7291075089624782E-2</v>
      </c>
      <c r="K3" s="187" t="s">
        <v>78</v>
      </c>
      <c r="L3" s="184">
        <f>'BDD Prof. Planta'!$H$10</f>
        <v>40</v>
      </c>
      <c r="M3" s="184">
        <v>40</v>
      </c>
      <c r="N3" s="184">
        <f>'BDD Prof. Planta'!$D$10</f>
        <v>40</v>
      </c>
      <c r="O3" s="184">
        <f t="shared" ref="O3:O8" si="3">M3-N3</f>
        <v>0</v>
      </c>
      <c r="P3" s="186">
        <f>N3/L3</f>
        <v>1</v>
      </c>
      <c r="Q3" s="187">
        <f t="shared" ref="Q3:Q26" si="4">IFERROR((((1.96^2*0.5*0.5*($L3-N3))/(N3*($L3-1)))^0.5),"")</f>
        <v>0</v>
      </c>
      <c r="R3" s="187">
        <f t="shared" ref="R3:R26" si="5">IFERROR((((1.65^2*0.5*0.5*($L3-N3))/(N3*($L3-1)))^0.5),"")</f>
        <v>0</v>
      </c>
      <c r="S3" s="187" t="s">
        <v>78</v>
      </c>
      <c r="T3" s="184">
        <f>'BDD Prof. Catedra'!$H$10</f>
        <v>112</v>
      </c>
      <c r="U3" s="184">
        <v>92</v>
      </c>
      <c r="V3" s="184">
        <f>'BDD Prof. Catedra'!$D$10</f>
        <v>90</v>
      </c>
      <c r="W3" s="184">
        <f>U3-V3</f>
        <v>2</v>
      </c>
      <c r="X3" s="186">
        <f>V3/T3</f>
        <v>0.8035714285714286</v>
      </c>
      <c r="Y3" s="187">
        <f t="shared" ref="Y3:Y7" si="6">IFERROR((((1.96^2*0.5*0.5*($T3-V3))/(V3*($T3-1)))^0.5),"")</f>
        <v>4.5989074735147635E-2</v>
      </c>
      <c r="Z3" s="187">
        <f>IFERROR((((1.65^2*0.5*0.5*($T3-V3))/(V3*($T3-1)))^0.5),"")</f>
        <v>3.871529250662939E-2</v>
      </c>
      <c r="AA3" s="202" t="s">
        <v>78</v>
      </c>
    </row>
    <row r="4" spans="1:30" customFormat="1" ht="15" hidden="1" customHeight="1">
      <c r="A4" s="1">
        <v>21</v>
      </c>
      <c r="B4" s="191" t="s">
        <v>18</v>
      </c>
      <c r="C4" s="45" t="s">
        <v>77</v>
      </c>
      <c r="D4" s="149">
        <f>VLOOKUP(B4,'Cuotas Estudiantes Pregrado'!$A$4:$N$28,13,0)</f>
        <v>253</v>
      </c>
      <c r="E4" s="149">
        <f>VLOOKUP(B4,'Cuotas Estudiantes Pregrado'!$A$4:$N$28,14,0)</f>
        <v>162</v>
      </c>
      <c r="F4" s="149">
        <f>VLOOKUP(B4,'BDD Estudiantes Posgrado'!$A$1:$D$200,4,0)</f>
        <v>147</v>
      </c>
      <c r="G4" s="163">
        <f>VLOOKUP(B4,'Cuotas Estudiantes Pregrado'!$A$117:$M$142,13,0)</f>
        <v>21</v>
      </c>
      <c r="H4" s="164">
        <f t="shared" si="0"/>
        <v>0.5810276679841897</v>
      </c>
      <c r="I4" s="165">
        <f t="shared" si="1"/>
        <v>5.2422782720379771E-2</v>
      </c>
      <c r="J4" s="165">
        <f t="shared" si="2"/>
        <v>4.4131424228891131E-2</v>
      </c>
      <c r="K4" s="165" t="s">
        <v>78</v>
      </c>
      <c r="L4" s="149">
        <f>'BDD Prof. Planta'!$H$10</f>
        <v>40</v>
      </c>
      <c r="M4" s="149">
        <v>40</v>
      </c>
      <c r="N4" s="149">
        <f>'BDD Prof. Planta'!$D$10</f>
        <v>40</v>
      </c>
      <c r="O4" s="149">
        <f t="shared" si="3"/>
        <v>0</v>
      </c>
      <c r="P4" s="164">
        <f t="shared" ref="P4:P27" si="7">N4/L4</f>
        <v>1</v>
      </c>
      <c r="Q4" s="165">
        <f t="shared" si="4"/>
        <v>0</v>
      </c>
      <c r="R4" s="165">
        <f t="shared" si="5"/>
        <v>0</v>
      </c>
      <c r="S4" s="165" t="s">
        <v>78</v>
      </c>
      <c r="T4" s="149">
        <f>'BDD Prof. Catedra'!$H$10</f>
        <v>112</v>
      </c>
      <c r="U4" s="149">
        <v>92</v>
      </c>
      <c r="V4" s="149">
        <f>'BDD Prof. Catedra'!$D$10</f>
        <v>90</v>
      </c>
      <c r="W4" s="149">
        <f t="shared" ref="W4:W27" si="8">U4-V4</f>
        <v>2</v>
      </c>
      <c r="X4" s="164">
        <f t="shared" ref="X4:X8" si="9">V4/T4</f>
        <v>0.8035714285714286</v>
      </c>
      <c r="Y4" s="165">
        <f t="shared" si="6"/>
        <v>4.5989074735147635E-2</v>
      </c>
      <c r="Z4" s="165">
        <f t="shared" ref="Z4:Z67" si="10">IFERROR((((1.65^2*0.5*0.5*($T4-V4))/(V4*($T4-1)))^0.5),"")</f>
        <v>3.871529250662939E-2</v>
      </c>
      <c r="AA4" s="203" t="s">
        <v>78</v>
      </c>
      <c r="AC4" s="153"/>
      <c r="AD4" s="154" t="s">
        <v>79</v>
      </c>
    </row>
    <row r="5" spans="1:30" customFormat="1" ht="15" hidden="1" customHeight="1">
      <c r="A5" s="1">
        <v>22</v>
      </c>
      <c r="B5" s="191" t="s">
        <v>19</v>
      </c>
      <c r="C5" s="45" t="s">
        <v>77</v>
      </c>
      <c r="D5" s="149">
        <f>VLOOKUP(B5,'Cuotas Estudiantes Pregrado'!$A$4:$N$28,13,0)</f>
        <v>344</v>
      </c>
      <c r="E5" s="149">
        <f>VLOOKUP(B5,'Cuotas Estudiantes Pregrado'!$A$4:$N$28,14,0)</f>
        <v>195</v>
      </c>
      <c r="F5" s="149">
        <f>VLOOKUP(B5,'BDD Estudiantes Posgrado'!$A$1:$D$200,4,0)</f>
        <v>223</v>
      </c>
      <c r="G5" s="163">
        <f>VLOOKUP(B5,'Cuotas Estudiantes Pregrado'!$A$117:$M$142,13,0)</f>
        <v>32</v>
      </c>
      <c r="H5" s="164">
        <f t="shared" si="0"/>
        <v>0.64825581395348841</v>
      </c>
      <c r="I5" s="165">
        <f t="shared" si="1"/>
        <v>3.8977974693546635E-2</v>
      </c>
      <c r="J5" s="165">
        <f t="shared" si="2"/>
        <v>3.2813090940995895E-2</v>
      </c>
      <c r="K5" s="165" t="s">
        <v>78</v>
      </c>
      <c r="L5" s="149">
        <f>'BDD Prof. Planta'!$H$10</f>
        <v>40</v>
      </c>
      <c r="M5" s="149">
        <v>40</v>
      </c>
      <c r="N5" s="149">
        <f>'BDD Prof. Planta'!$D$10</f>
        <v>40</v>
      </c>
      <c r="O5" s="149">
        <f t="shared" si="3"/>
        <v>0</v>
      </c>
      <c r="P5" s="164">
        <f t="shared" si="7"/>
        <v>1</v>
      </c>
      <c r="Q5" s="165">
        <f t="shared" si="4"/>
        <v>0</v>
      </c>
      <c r="R5" s="165">
        <f t="shared" si="5"/>
        <v>0</v>
      </c>
      <c r="S5" s="165" t="s">
        <v>78</v>
      </c>
      <c r="T5" s="149">
        <f>'BDD Prof. Catedra'!$H$10</f>
        <v>112</v>
      </c>
      <c r="U5" s="149">
        <v>92</v>
      </c>
      <c r="V5" s="149">
        <f>'BDD Prof. Catedra'!$D$10</f>
        <v>90</v>
      </c>
      <c r="W5" s="149">
        <f t="shared" si="8"/>
        <v>2</v>
      </c>
      <c r="X5" s="164">
        <f t="shared" si="9"/>
        <v>0.8035714285714286</v>
      </c>
      <c r="Y5" s="165">
        <f t="shared" si="6"/>
        <v>4.5989074735147635E-2</v>
      </c>
      <c r="Z5" s="165">
        <f t="shared" si="10"/>
        <v>3.871529250662939E-2</v>
      </c>
      <c r="AA5" s="203" t="s">
        <v>78</v>
      </c>
      <c r="AC5" s="155"/>
      <c r="AD5" s="154" t="s">
        <v>80</v>
      </c>
    </row>
    <row r="6" spans="1:30" customFormat="1" ht="15" hidden="1" customHeight="1">
      <c r="A6" s="1">
        <v>23</v>
      </c>
      <c r="B6" s="191" t="s">
        <v>20</v>
      </c>
      <c r="C6" s="45" t="s">
        <v>77</v>
      </c>
      <c r="D6" s="149">
        <f>VLOOKUP(B6,'Cuotas Estudiantes Pregrado'!$A$4:$N$28,13,0)</f>
        <v>580</v>
      </c>
      <c r="E6" s="149">
        <f>VLOOKUP(B6,'Cuotas Estudiantes Pregrado'!$A$4:$N$28,14,0)</f>
        <v>254</v>
      </c>
      <c r="F6" s="149">
        <f>VLOOKUP(B6,'BDD Estudiantes Posgrado'!$A$1:$D$200,4,0)</f>
        <v>299</v>
      </c>
      <c r="G6" s="163">
        <f>VLOOKUP(B6,'Cuotas Estudiantes Pregrado'!$A$117:$M$142,13,0)</f>
        <v>13</v>
      </c>
      <c r="H6" s="164">
        <f t="shared" si="0"/>
        <v>0.51551724137931032</v>
      </c>
      <c r="I6" s="165">
        <f t="shared" si="1"/>
        <v>3.9482474142428725E-2</v>
      </c>
      <c r="J6" s="165">
        <f t="shared" si="2"/>
        <v>3.3237797109697653E-2</v>
      </c>
      <c r="K6" s="165" t="s">
        <v>78</v>
      </c>
      <c r="L6" s="149">
        <f>'BDD Prof. Planta'!$H$10</f>
        <v>40</v>
      </c>
      <c r="M6" s="149">
        <v>40</v>
      </c>
      <c r="N6" s="149">
        <f>'BDD Prof. Planta'!$D$10</f>
        <v>40</v>
      </c>
      <c r="O6" s="149">
        <f t="shared" si="3"/>
        <v>0</v>
      </c>
      <c r="P6" s="164">
        <f t="shared" si="7"/>
        <v>1</v>
      </c>
      <c r="Q6" s="165">
        <f t="shared" si="4"/>
        <v>0</v>
      </c>
      <c r="R6" s="165">
        <f t="shared" si="5"/>
        <v>0</v>
      </c>
      <c r="S6" s="165" t="s">
        <v>78</v>
      </c>
      <c r="T6" s="149">
        <f>'BDD Prof. Catedra'!$H$10</f>
        <v>112</v>
      </c>
      <c r="U6" s="149">
        <v>92</v>
      </c>
      <c r="V6" s="149">
        <f>'BDD Prof. Catedra'!$D$10</f>
        <v>90</v>
      </c>
      <c r="W6" s="149">
        <f t="shared" si="8"/>
        <v>2</v>
      </c>
      <c r="X6" s="164">
        <f t="shared" si="9"/>
        <v>0.8035714285714286</v>
      </c>
      <c r="Y6" s="165">
        <f t="shared" si="6"/>
        <v>4.5989074735147635E-2</v>
      </c>
      <c r="Z6" s="165">
        <f t="shared" si="10"/>
        <v>3.871529250662939E-2</v>
      </c>
      <c r="AA6" s="203" t="s">
        <v>78</v>
      </c>
      <c r="AC6" s="156"/>
      <c r="AD6" s="154" t="s">
        <v>81</v>
      </c>
    </row>
    <row r="7" spans="1:30" customFormat="1" ht="15" hidden="1" customHeight="1">
      <c r="A7" s="1">
        <v>24</v>
      </c>
      <c r="B7" s="191" t="s">
        <v>21</v>
      </c>
      <c r="C7" s="45" t="s">
        <v>77</v>
      </c>
      <c r="D7" s="149">
        <f>VLOOKUP(B7,'Cuotas Estudiantes Pregrado'!$A$4:$N$28,13,0)</f>
        <v>215</v>
      </c>
      <c r="E7" s="149">
        <f>VLOOKUP(B7,'Cuotas Estudiantes Pregrado'!$A$4:$N$28,14,0)</f>
        <v>146</v>
      </c>
      <c r="F7" s="149">
        <f>VLOOKUP(B7,'BDD Estudiantes Posgrado'!$A$1:$D$200,4,0)</f>
        <v>141</v>
      </c>
      <c r="G7" s="163">
        <f>VLOOKUP(B7,'Cuotas Estudiantes Pregrado'!$A$117:$M$142,13,0)</f>
        <v>26</v>
      </c>
      <c r="H7" s="164">
        <f t="shared" si="0"/>
        <v>0.65581395348837213</v>
      </c>
      <c r="I7" s="165">
        <f t="shared" si="1"/>
        <v>4.853169868404715E-2</v>
      </c>
      <c r="J7" s="165">
        <f t="shared" si="2"/>
        <v>4.0855766749325402E-2</v>
      </c>
      <c r="K7" s="165" t="s">
        <v>78</v>
      </c>
      <c r="L7" s="149">
        <f>'BDD Prof. Planta'!$H$10</f>
        <v>40</v>
      </c>
      <c r="M7" s="149">
        <v>40</v>
      </c>
      <c r="N7" s="149">
        <f>'BDD Prof. Planta'!$D$10</f>
        <v>40</v>
      </c>
      <c r="O7" s="149">
        <f t="shared" si="3"/>
        <v>0</v>
      </c>
      <c r="P7" s="164">
        <f t="shared" si="7"/>
        <v>1</v>
      </c>
      <c r="Q7" s="165">
        <f t="shared" si="4"/>
        <v>0</v>
      </c>
      <c r="R7" s="165">
        <f t="shared" si="5"/>
        <v>0</v>
      </c>
      <c r="S7" s="165" t="s">
        <v>78</v>
      </c>
      <c r="T7" s="149">
        <f>'BDD Prof. Catedra'!$H$10</f>
        <v>112</v>
      </c>
      <c r="U7" s="149">
        <v>92</v>
      </c>
      <c r="V7" s="149">
        <f>'BDD Prof. Catedra'!$D$10</f>
        <v>90</v>
      </c>
      <c r="W7" s="149">
        <f t="shared" si="8"/>
        <v>2</v>
      </c>
      <c r="X7" s="164">
        <f t="shared" si="9"/>
        <v>0.8035714285714286</v>
      </c>
      <c r="Y7" s="165">
        <f t="shared" si="6"/>
        <v>4.5989074735147635E-2</v>
      </c>
      <c r="Z7" s="165">
        <f t="shared" si="10"/>
        <v>3.871529250662939E-2</v>
      </c>
      <c r="AA7" s="203" t="s">
        <v>78</v>
      </c>
      <c r="AC7" s="157"/>
      <c r="AD7" s="154" t="s">
        <v>82</v>
      </c>
    </row>
    <row r="8" spans="1:30" customFormat="1" ht="15.75" hidden="1" customHeight="1" thickBot="1">
      <c r="A8" s="2">
        <v>25</v>
      </c>
      <c r="B8" s="193" t="s">
        <v>22</v>
      </c>
      <c r="C8" s="194" t="s">
        <v>77</v>
      </c>
      <c r="D8" s="195">
        <f>VLOOKUP(B8,'Cuotas Estudiantes Pregrado'!$A$4:$N$28,13,0)</f>
        <v>240</v>
      </c>
      <c r="E8" s="195">
        <f>VLOOKUP(B8,'Cuotas Estudiantes Pregrado'!$A$4:$N$28,14,0)</f>
        <v>158</v>
      </c>
      <c r="F8" s="195">
        <f>VLOOKUP(B8,'BDD Estudiantes Posgrado'!$A$1:$D$200,4,0)</f>
        <v>131</v>
      </c>
      <c r="G8" s="196">
        <f>VLOOKUP(B8,'Cuotas Estudiantes Pregrado'!$A$117:$M$142,13,0)</f>
        <v>32</v>
      </c>
      <c r="H8" s="197">
        <f t="shared" si="0"/>
        <v>0.54583333333333328</v>
      </c>
      <c r="I8" s="198">
        <f t="shared" si="1"/>
        <v>5.7823546708051725E-2</v>
      </c>
      <c r="J8" s="198">
        <f t="shared" si="2"/>
        <v>4.8677985749125179E-2</v>
      </c>
      <c r="K8" s="198" t="s">
        <v>78</v>
      </c>
      <c r="L8" s="195">
        <f>'BDD Prof. Planta'!$H$10</f>
        <v>40</v>
      </c>
      <c r="M8" s="195">
        <v>40</v>
      </c>
      <c r="N8" s="195">
        <f>'BDD Prof. Planta'!$D$10</f>
        <v>40</v>
      </c>
      <c r="O8" s="195">
        <f t="shared" si="3"/>
        <v>0</v>
      </c>
      <c r="P8" s="197">
        <f t="shared" si="7"/>
        <v>1</v>
      </c>
      <c r="Q8" s="198">
        <f t="shared" si="4"/>
        <v>0</v>
      </c>
      <c r="R8" s="198">
        <f t="shared" si="5"/>
        <v>0</v>
      </c>
      <c r="S8" s="198" t="s">
        <v>78</v>
      </c>
      <c r="T8" s="195">
        <f>'BDD Prof. Catedra'!$H$10</f>
        <v>112</v>
      </c>
      <c r="U8" s="195">
        <v>92</v>
      </c>
      <c r="V8" s="195">
        <f>'BDD Prof. Catedra'!$D$10</f>
        <v>90</v>
      </c>
      <c r="W8" s="195">
        <f t="shared" si="8"/>
        <v>2</v>
      </c>
      <c r="X8" s="197">
        <f t="shared" si="9"/>
        <v>0.8035714285714286</v>
      </c>
      <c r="Y8" s="198">
        <f t="shared" ref="Y8:Y27" si="11">IFERROR((((1.96^2*0.5*0.5*($T8-V8))/(V8*($T8-1)))^0.5),"")</f>
        <v>4.5989074735147635E-2</v>
      </c>
      <c r="Z8" s="198">
        <f t="shared" si="10"/>
        <v>3.871529250662939E-2</v>
      </c>
      <c r="AA8" s="205" t="s">
        <v>78</v>
      </c>
    </row>
    <row r="9" spans="1:30" customFormat="1" ht="15" hidden="1" customHeight="1">
      <c r="A9" s="3">
        <v>26</v>
      </c>
      <c r="B9" s="182" t="s">
        <v>23</v>
      </c>
      <c r="C9" s="183" t="s">
        <v>83</v>
      </c>
      <c r="D9" s="184">
        <f>VLOOKUP(B9,'Cuotas Estudiantes Pregrado'!$A$4:$N$28,13,0)</f>
        <v>206</v>
      </c>
      <c r="E9" s="184">
        <f>VLOOKUP(B9,'Cuotas Estudiantes Pregrado'!$A$4:$N$28,14,0)</f>
        <v>142</v>
      </c>
      <c r="F9" s="184">
        <f>VLOOKUP(B9,'BDD Estudiantes Posgrado'!$A$1:$D$200,4,0)</f>
        <v>112</v>
      </c>
      <c r="G9" s="185">
        <f>VLOOKUP(B9,'Cuotas Estudiantes Pregrado'!$A$117:$M$142,13,0)</f>
        <v>33</v>
      </c>
      <c r="H9" s="186">
        <f t="shared" si="0"/>
        <v>0.5436893203883495</v>
      </c>
      <c r="I9" s="187">
        <f t="shared" si="1"/>
        <v>6.270527266117415E-2</v>
      </c>
      <c r="J9" s="187">
        <f t="shared" si="2"/>
        <v>5.2787601985172121E-2</v>
      </c>
      <c r="K9" s="187" t="s">
        <v>78</v>
      </c>
      <c r="L9" s="184">
        <f>VLOOKUP($B9,'BDD Prof. Planta'!$A$1:$H$140,7,0)</f>
        <v>15</v>
      </c>
      <c r="M9" s="184">
        <v>14</v>
      </c>
      <c r="N9" s="184">
        <f>VLOOKUP($B9,'BDD Prof. Planta'!$A$1:$L$140,12,0)</f>
        <v>14</v>
      </c>
      <c r="O9" s="184">
        <f t="shared" ref="O9:O27" si="12">M9-N9</f>
        <v>0</v>
      </c>
      <c r="P9" s="186">
        <f t="shared" si="7"/>
        <v>0.93333333333333335</v>
      </c>
      <c r="Q9" s="187">
        <f t="shared" si="4"/>
        <v>6.9999999999999993E-2</v>
      </c>
      <c r="R9" s="187">
        <f t="shared" si="5"/>
        <v>5.8928571428571427E-2</v>
      </c>
      <c r="S9" s="187" t="s">
        <v>78</v>
      </c>
      <c r="T9" s="184">
        <f>VLOOKUP($B9,'BDD Prof. Catedra'!$A:$H,7,0)</f>
        <v>23</v>
      </c>
      <c r="U9" s="184">
        <v>23</v>
      </c>
      <c r="V9" s="184">
        <f>VLOOKUP($B9,'BDD Prof. Catedra'!$A:$J,10,0)</f>
        <v>21</v>
      </c>
      <c r="W9" s="184">
        <f t="shared" si="8"/>
        <v>2</v>
      </c>
      <c r="X9" s="186">
        <f t="shared" ref="X9:X27" si="13">V9/T9</f>
        <v>0.91304347826086951</v>
      </c>
      <c r="Y9" s="187">
        <f t="shared" si="11"/>
        <v>6.4479266106057365E-2</v>
      </c>
      <c r="Z9" s="187">
        <f t="shared" si="10"/>
        <v>5.4281014834180942E-2</v>
      </c>
      <c r="AA9" s="202" t="s">
        <v>78</v>
      </c>
    </row>
    <row r="10" spans="1:30" customFormat="1" ht="15" hidden="1" customHeight="1">
      <c r="A10" s="1">
        <v>27</v>
      </c>
      <c r="B10" s="191" t="s">
        <v>24</v>
      </c>
      <c r="C10" s="45" t="s">
        <v>83</v>
      </c>
      <c r="D10" s="149">
        <f>VLOOKUP(B10,'Cuotas Estudiantes Pregrado'!$A$4:$N$28,13,0)</f>
        <v>606</v>
      </c>
      <c r="E10" s="149">
        <f>VLOOKUP(B10,'Cuotas Estudiantes Pregrado'!$A$4:$N$28,14,0)</f>
        <v>259</v>
      </c>
      <c r="F10" s="149">
        <f>VLOOKUP(B10,'BDD Estudiantes Posgrado'!$A$1:$D$200,4,0)</f>
        <v>267</v>
      </c>
      <c r="G10" s="163">
        <f>VLOOKUP(B10,'Cuotas Estudiantes Pregrado'!$A$117:$M$142,13,0)</f>
        <v>42</v>
      </c>
      <c r="H10" s="164">
        <f t="shared" si="0"/>
        <v>0.4405940594059406</v>
      </c>
      <c r="I10" s="165">
        <f t="shared" si="1"/>
        <v>4.4894444974022008E-2</v>
      </c>
      <c r="J10" s="165">
        <f t="shared" si="2"/>
        <v>3.7793792962824646E-2</v>
      </c>
      <c r="K10" s="165" t="s">
        <v>78</v>
      </c>
      <c r="L10" s="149">
        <f>VLOOKUP($B10,'BDD Prof. Planta'!$A$1:$H$140,7,0)</f>
        <v>16</v>
      </c>
      <c r="M10" s="149">
        <v>16</v>
      </c>
      <c r="N10" s="149">
        <f>VLOOKUP($B10,'BDD Prof. Planta'!$A$1:$L$140,12,0)</f>
        <v>16</v>
      </c>
      <c r="O10" s="149">
        <f t="shared" si="12"/>
        <v>0</v>
      </c>
      <c r="P10" s="164">
        <f t="shared" si="7"/>
        <v>1</v>
      </c>
      <c r="Q10" s="165">
        <f t="shared" si="4"/>
        <v>0</v>
      </c>
      <c r="R10" s="165">
        <f t="shared" si="5"/>
        <v>0</v>
      </c>
      <c r="S10" s="165" t="s">
        <v>78</v>
      </c>
      <c r="T10" s="149">
        <f>VLOOKUP($B10,'BDD Prof. Catedra'!$A:$H,7,0)</f>
        <v>41</v>
      </c>
      <c r="U10" s="149">
        <v>40</v>
      </c>
      <c r="V10" s="149">
        <f>VLOOKUP($B10,'BDD Prof. Catedra'!$A:$J,10,0)</f>
        <v>36</v>
      </c>
      <c r="W10" s="149">
        <f t="shared" si="8"/>
        <v>4</v>
      </c>
      <c r="X10" s="164">
        <f t="shared" si="13"/>
        <v>0.87804878048780488</v>
      </c>
      <c r="Y10" s="165">
        <f t="shared" si="11"/>
        <v>5.7747053796901378E-2</v>
      </c>
      <c r="Z10" s="165">
        <f t="shared" si="10"/>
        <v>4.8613591206575144E-2</v>
      </c>
      <c r="AA10" s="203" t="s">
        <v>78</v>
      </c>
    </row>
    <row r="11" spans="1:30" customFormat="1" ht="15" hidden="1" customHeight="1">
      <c r="A11" s="1">
        <v>28</v>
      </c>
      <c r="B11" s="191" t="s">
        <v>25</v>
      </c>
      <c r="C11" s="45" t="s">
        <v>83</v>
      </c>
      <c r="D11" s="149">
        <f>VLOOKUP(B11,'Cuotas Estudiantes Pregrado'!$A$4:$N$28,13,0)</f>
        <v>360</v>
      </c>
      <c r="E11" s="149">
        <f>VLOOKUP(B11,'Cuotas Estudiantes Pregrado'!$A$4:$N$28,14,0)</f>
        <v>200</v>
      </c>
      <c r="F11" s="149">
        <f>VLOOKUP(B11,'BDD Estudiantes Posgrado'!$A$1:$D$200,4,0)</f>
        <v>196</v>
      </c>
      <c r="G11" s="163">
        <f>VLOOKUP(B11,'Cuotas Estudiantes Pregrado'!$A$117:$M$142,13,0)</f>
        <v>30</v>
      </c>
      <c r="H11" s="164">
        <f t="shared" si="0"/>
        <v>0.5444444444444444</v>
      </c>
      <c r="I11" s="165">
        <f t="shared" si="1"/>
        <v>4.7312156063961115E-2</v>
      </c>
      <c r="J11" s="165">
        <f t="shared" si="2"/>
        <v>3.9829110972212166E-2</v>
      </c>
      <c r="K11" s="165" t="s">
        <v>78</v>
      </c>
      <c r="L11" s="149">
        <f>VLOOKUP($B11,'BDD Prof. Planta'!$A$1:$H$140,7,0)</f>
        <v>14</v>
      </c>
      <c r="M11" s="149">
        <v>14</v>
      </c>
      <c r="N11" s="149">
        <f>VLOOKUP($B11,'BDD Prof. Planta'!$A$1:$L$140,12,0)</f>
        <v>14</v>
      </c>
      <c r="O11" s="149">
        <f t="shared" si="12"/>
        <v>0</v>
      </c>
      <c r="P11" s="164">
        <f t="shared" si="7"/>
        <v>1</v>
      </c>
      <c r="Q11" s="165">
        <f t="shared" si="4"/>
        <v>0</v>
      </c>
      <c r="R11" s="165">
        <f t="shared" si="5"/>
        <v>0</v>
      </c>
      <c r="S11" s="165" t="s">
        <v>78</v>
      </c>
      <c r="T11" s="149">
        <f>VLOOKUP($B11,'BDD Prof. Catedra'!$A:$H,7,0)</f>
        <v>35</v>
      </c>
      <c r="U11" s="149">
        <v>34</v>
      </c>
      <c r="V11" s="149">
        <f>VLOOKUP($B11,'BDD Prof. Catedra'!$A:$J,10,0)</f>
        <v>28</v>
      </c>
      <c r="W11" s="149">
        <f t="shared" si="8"/>
        <v>6</v>
      </c>
      <c r="X11" s="164">
        <f t="shared" si="13"/>
        <v>0.8</v>
      </c>
      <c r="Y11" s="165">
        <f t="shared" si="11"/>
        <v>8.4034306719829324E-2</v>
      </c>
      <c r="Z11" s="165">
        <f t="shared" si="10"/>
        <v>7.0743166371284888E-2</v>
      </c>
      <c r="AA11" s="203" t="s">
        <v>78</v>
      </c>
    </row>
    <row r="12" spans="1:30" customFormat="1" ht="15" hidden="1" customHeight="1">
      <c r="A12" s="1">
        <v>29</v>
      </c>
      <c r="B12" s="191" t="s">
        <v>26</v>
      </c>
      <c r="C12" s="45" t="s">
        <v>84</v>
      </c>
      <c r="D12" s="149">
        <f>VLOOKUP(B12,'Cuotas Estudiantes Pregrado'!$A$4:$N$28,13,0)</f>
        <v>85</v>
      </c>
      <c r="E12" s="149">
        <f>VLOOKUP(B12,'Cuotas Estudiantes Pregrado'!$A$4:$N$28,14,0)</f>
        <v>71</v>
      </c>
      <c r="F12" s="149">
        <f>VLOOKUP(B12,'BDD Estudiantes Posgrado'!$A$1:$D$200,4,0)</f>
        <v>68</v>
      </c>
      <c r="G12" s="163">
        <f>VLOOKUP(B12,'Cuotas Estudiantes Pregrado'!$A$117:$M$142,13,0)</f>
        <v>16</v>
      </c>
      <c r="H12" s="164">
        <f t="shared" si="0"/>
        <v>0.8</v>
      </c>
      <c r="I12" s="165">
        <f t="shared" si="1"/>
        <v>5.3463383107818133E-2</v>
      </c>
      <c r="J12" s="165">
        <f t="shared" si="2"/>
        <v>4.5007439861173421E-2</v>
      </c>
      <c r="K12" s="165" t="s">
        <v>78</v>
      </c>
      <c r="L12" s="149">
        <f>VLOOKUP($B12,'BDD Prof. Planta'!$A$1:$H$140,7,0)</f>
        <v>8</v>
      </c>
      <c r="M12" s="149">
        <v>8</v>
      </c>
      <c r="N12" s="149">
        <f>VLOOKUP($B12,'BDD Prof. Planta'!$A$1:$L$140,12,0)</f>
        <v>8</v>
      </c>
      <c r="O12" s="149">
        <f t="shared" si="12"/>
        <v>0</v>
      </c>
      <c r="P12" s="164">
        <f t="shared" si="7"/>
        <v>1</v>
      </c>
      <c r="Q12" s="165">
        <f t="shared" si="4"/>
        <v>0</v>
      </c>
      <c r="R12" s="165">
        <f t="shared" si="5"/>
        <v>0</v>
      </c>
      <c r="S12" s="165" t="s">
        <v>78</v>
      </c>
      <c r="T12" s="149">
        <f>VLOOKUP($B12,'BDD Prof. Catedra'!$A:$H,7,0)</f>
        <v>8</v>
      </c>
      <c r="U12" s="149">
        <v>8</v>
      </c>
      <c r="V12" s="149">
        <f>VLOOKUP($B12,'BDD Prof. Catedra'!$A:$J,10,0)</f>
        <v>8</v>
      </c>
      <c r="W12" s="149">
        <f t="shared" si="8"/>
        <v>0</v>
      </c>
      <c r="X12" s="164">
        <f t="shared" si="13"/>
        <v>1</v>
      </c>
      <c r="Y12" s="165">
        <f t="shared" si="11"/>
        <v>0</v>
      </c>
      <c r="Z12" s="165">
        <f t="shared" si="10"/>
        <v>0</v>
      </c>
      <c r="AA12" s="203" t="s">
        <v>78</v>
      </c>
    </row>
    <row r="13" spans="1:30" customFormat="1" ht="15" hidden="1" customHeight="1">
      <c r="A13" s="1">
        <v>30</v>
      </c>
      <c r="B13" s="191" t="s">
        <v>27</v>
      </c>
      <c r="C13" s="45" t="s">
        <v>84</v>
      </c>
      <c r="D13" s="149">
        <f>VLOOKUP(B13,'Cuotas Estudiantes Pregrado'!$A$4:$N$28,13,0)</f>
        <v>306</v>
      </c>
      <c r="E13" s="149">
        <f>VLOOKUP(B13,'Cuotas Estudiantes Pregrado'!$A$4:$N$28,14,0)</f>
        <v>183</v>
      </c>
      <c r="F13" s="149">
        <f>VLOOKUP(B13,'BDD Estudiantes Posgrado'!$A$1:$D$200,4,0)</f>
        <v>190</v>
      </c>
      <c r="G13" s="163">
        <f>VLOOKUP(B13,'Cuotas Estudiantes Pregrado'!$A$117:$M$142,13,0)</f>
        <v>20</v>
      </c>
      <c r="H13" s="164">
        <f t="shared" si="0"/>
        <v>0.62091503267973858</v>
      </c>
      <c r="I13" s="165">
        <f t="shared" si="1"/>
        <v>4.3845835500853476E-2</v>
      </c>
      <c r="J13" s="165">
        <f t="shared" si="2"/>
        <v>3.6911034987963387E-2</v>
      </c>
      <c r="K13" s="165" t="s">
        <v>78</v>
      </c>
      <c r="L13" s="149">
        <f>VLOOKUP($B13,'BDD Prof. Planta'!$A$1:$H$140,7,0)</f>
        <v>26</v>
      </c>
      <c r="M13" s="149">
        <v>26</v>
      </c>
      <c r="N13" s="149">
        <f>VLOOKUP($B13,'BDD Prof. Planta'!$A$1:$L$140,12,0)</f>
        <v>26</v>
      </c>
      <c r="O13" s="149">
        <f t="shared" si="12"/>
        <v>0</v>
      </c>
      <c r="P13" s="164">
        <f t="shared" si="7"/>
        <v>1</v>
      </c>
      <c r="Q13" s="165">
        <f t="shared" si="4"/>
        <v>0</v>
      </c>
      <c r="R13" s="165">
        <f t="shared" si="5"/>
        <v>0</v>
      </c>
      <c r="S13" s="165" t="s">
        <v>78</v>
      </c>
      <c r="T13" s="149">
        <f>VLOOKUP($B13,'BDD Prof. Catedra'!$A:$H,7,0)</f>
        <v>24</v>
      </c>
      <c r="U13" s="149">
        <v>24</v>
      </c>
      <c r="V13" s="149">
        <f>VLOOKUP($B13,'BDD Prof. Catedra'!$A:$J,10,0)</f>
        <v>24</v>
      </c>
      <c r="W13" s="149">
        <f t="shared" si="8"/>
        <v>0</v>
      </c>
      <c r="X13" s="164">
        <f t="shared" si="13"/>
        <v>1</v>
      </c>
      <c r="Y13" s="165">
        <f t="shared" si="11"/>
        <v>0</v>
      </c>
      <c r="Z13" s="165">
        <f t="shared" si="10"/>
        <v>0</v>
      </c>
      <c r="AA13" s="203" t="s">
        <v>78</v>
      </c>
    </row>
    <row r="14" spans="1:30" customFormat="1" ht="15" customHeight="1">
      <c r="A14" s="1">
        <v>31</v>
      </c>
      <c r="B14" s="191" t="s">
        <v>41</v>
      </c>
      <c r="C14" s="45" t="s">
        <v>85</v>
      </c>
      <c r="D14" s="151">
        <f>VLOOKUP(B14,'Cuotas Estudiantes Pregrado'!$A$4:$N$28,13,0)</f>
        <v>27</v>
      </c>
      <c r="E14" s="151">
        <v>26</v>
      </c>
      <c r="F14" s="151">
        <f>VLOOKUP(B14,'BDD Estudiantes Posgrado'!$A$1:$D$200,4,0)</f>
        <v>11</v>
      </c>
      <c r="G14" s="168">
        <f>VLOOKUP(B14,'Cuotas Estudiantes Pregrado'!$A$117:$M$142,13,0)</f>
        <v>18</v>
      </c>
      <c r="H14" s="169">
        <f t="shared" si="0"/>
        <v>0.40740740740740738</v>
      </c>
      <c r="I14" s="170">
        <f t="shared" si="1"/>
        <v>0.23179445922772038</v>
      </c>
      <c r="J14" s="170">
        <f t="shared" si="2"/>
        <v>0.19513309067639725</v>
      </c>
      <c r="K14" s="170" t="s">
        <v>86</v>
      </c>
      <c r="L14" s="150">
        <f>VLOOKUP($B14,'BDD Prof. Planta'!$A$1:$H$140,7,0)</f>
        <v>8</v>
      </c>
      <c r="M14" s="150">
        <v>8</v>
      </c>
      <c r="N14" s="150">
        <f>VLOOKUP($B14,'BDD Prof. Planta'!$A$1:$L$140,12,0)</f>
        <v>7</v>
      </c>
      <c r="O14" s="150">
        <f t="shared" si="12"/>
        <v>1</v>
      </c>
      <c r="P14" s="166">
        <f t="shared" si="7"/>
        <v>0.875</v>
      </c>
      <c r="Q14" s="167">
        <f t="shared" si="4"/>
        <v>0.13999999999999999</v>
      </c>
      <c r="R14" s="167">
        <f t="shared" si="5"/>
        <v>0.11785714285714285</v>
      </c>
      <c r="S14" s="167" t="s">
        <v>78</v>
      </c>
      <c r="T14" s="150">
        <f>VLOOKUP($B14,'BDD Prof. Catedra'!$A:$H,7,0)</f>
        <v>12</v>
      </c>
      <c r="U14" s="150">
        <v>11</v>
      </c>
      <c r="V14" s="150">
        <f>VLOOKUP($B14,'BDD Prof. Catedra'!$A:$J,10,0)</f>
        <v>10</v>
      </c>
      <c r="W14" s="150">
        <f t="shared" si="8"/>
        <v>1</v>
      </c>
      <c r="X14" s="166">
        <f t="shared" si="13"/>
        <v>0.83333333333333337</v>
      </c>
      <c r="Y14" s="167">
        <f t="shared" si="11"/>
        <v>0.13214317304279544</v>
      </c>
      <c r="Z14" s="167">
        <f t="shared" si="10"/>
        <v>0.11124297730643494</v>
      </c>
      <c r="AA14" s="192" t="s">
        <v>78</v>
      </c>
    </row>
    <row r="15" spans="1:30" customFormat="1" ht="15" customHeight="1">
      <c r="A15" s="1">
        <v>32</v>
      </c>
      <c r="B15" s="191" t="s">
        <v>28</v>
      </c>
      <c r="C15" s="45" t="s">
        <v>85</v>
      </c>
      <c r="D15" s="149">
        <f>VLOOKUP(B15,'Cuotas Estudiantes Pregrado'!$A$4:$N$28,13,0)</f>
        <v>70</v>
      </c>
      <c r="E15" s="149">
        <f>VLOOKUP(B15,'Cuotas Estudiantes Pregrado'!$A$4:$N$28,14,0)</f>
        <v>61</v>
      </c>
      <c r="F15" s="149">
        <f>VLOOKUP(B15,'BDD Estudiantes Posgrado'!$A$1:$D$200,4,0)</f>
        <v>54</v>
      </c>
      <c r="G15" s="163">
        <f>VLOOKUP(B15,'Cuotas Estudiantes Pregrado'!$A$117:$M$142,13,0)</f>
        <v>13</v>
      </c>
      <c r="H15" s="164">
        <f t="shared" si="0"/>
        <v>0.77142857142857146</v>
      </c>
      <c r="I15" s="165">
        <f t="shared" si="1"/>
        <v>6.4219163125244089E-2</v>
      </c>
      <c r="J15" s="165">
        <f t="shared" si="2"/>
        <v>5.4062050590128946E-2</v>
      </c>
      <c r="K15" s="165" t="s">
        <v>78</v>
      </c>
      <c r="L15" s="150">
        <f>VLOOKUP($B15,'BDD Prof. Planta'!$A$1:$H$140,7,0)</f>
        <v>9</v>
      </c>
      <c r="M15" s="150">
        <v>9</v>
      </c>
      <c r="N15" s="150">
        <f>VLOOKUP($B15,'BDD Prof. Planta'!$A$1:$L$140,12,0)</f>
        <v>8</v>
      </c>
      <c r="O15" s="150">
        <f t="shared" si="12"/>
        <v>1</v>
      </c>
      <c r="P15" s="166">
        <f t="shared" si="7"/>
        <v>0.88888888888888884</v>
      </c>
      <c r="Q15" s="167">
        <f t="shared" si="4"/>
        <v>0.1225</v>
      </c>
      <c r="R15" s="167">
        <f t="shared" si="5"/>
        <v>0.10312499999999999</v>
      </c>
      <c r="S15" s="167" t="s">
        <v>78</v>
      </c>
      <c r="T15" s="150">
        <f>VLOOKUP($B15,'BDD Prof. Catedra'!$A:$H,7,0)</f>
        <v>15</v>
      </c>
      <c r="U15" s="150">
        <v>14</v>
      </c>
      <c r="V15" s="150">
        <f>VLOOKUP($B15,'BDD Prof. Catedra'!$A:$J,10,0)</f>
        <v>13</v>
      </c>
      <c r="W15" s="150">
        <f t="shared" si="8"/>
        <v>1</v>
      </c>
      <c r="X15" s="166">
        <f t="shared" si="13"/>
        <v>0.8666666666666667</v>
      </c>
      <c r="Y15" s="167">
        <f t="shared" si="11"/>
        <v>0.102731913998748</v>
      </c>
      <c r="Z15" s="167">
        <f t="shared" si="10"/>
        <v>8.648349902955825E-2</v>
      </c>
      <c r="AA15" s="192" t="s">
        <v>78</v>
      </c>
    </row>
    <row r="16" spans="1:30" customFormat="1" ht="15" hidden="1" customHeight="1">
      <c r="A16" s="1">
        <v>33</v>
      </c>
      <c r="B16" s="191" t="s">
        <v>29</v>
      </c>
      <c r="C16" s="45" t="s">
        <v>87</v>
      </c>
      <c r="D16" s="149">
        <f>VLOOKUP(B16,'Cuotas Estudiantes Pregrado'!$A$4:$N$28,13,0)</f>
        <v>150</v>
      </c>
      <c r="E16" s="149">
        <f>VLOOKUP(B16,'Cuotas Estudiantes Pregrado'!$A$4:$N$28,14,0)</f>
        <v>114</v>
      </c>
      <c r="F16" s="149">
        <f>VLOOKUP(B16,'BDD Estudiantes Posgrado'!$A$1:$D$200,4,0)</f>
        <v>132</v>
      </c>
      <c r="G16" s="163">
        <f>VLOOKUP(B16,'Cuotas Estudiantes Pregrado'!$A$117:$M$142,13,0)</f>
        <v>2</v>
      </c>
      <c r="H16" s="164">
        <f t="shared" si="0"/>
        <v>0.88</v>
      </c>
      <c r="I16" s="165">
        <f t="shared" ref="I16:I27" si="14">IFERROR((((1.96^2*0.5*0.5*($D16-F16))/(F16*($D16-1)))^0.5),"")</f>
        <v>2.9647100695037964E-2</v>
      </c>
      <c r="J16" s="165">
        <f t="shared" si="2"/>
        <v>2.4958018442251349E-2</v>
      </c>
      <c r="K16" s="165" t="s">
        <v>78</v>
      </c>
      <c r="L16" s="149">
        <f>VLOOKUP($B16,'BDD Prof. Planta'!$A$1:$H$140,7,0)</f>
        <v>14</v>
      </c>
      <c r="M16" s="149">
        <v>14</v>
      </c>
      <c r="N16" s="149">
        <f>VLOOKUP($B16,'BDD Prof. Planta'!$A$1:$L$140,12,0)</f>
        <v>14</v>
      </c>
      <c r="O16" s="149">
        <f t="shared" si="12"/>
        <v>0</v>
      </c>
      <c r="P16" s="164">
        <f t="shared" si="7"/>
        <v>1</v>
      </c>
      <c r="Q16" s="165">
        <f t="shared" si="4"/>
        <v>0</v>
      </c>
      <c r="R16" s="165">
        <f t="shared" si="5"/>
        <v>0</v>
      </c>
      <c r="S16" s="165" t="s">
        <v>78</v>
      </c>
      <c r="T16" s="150">
        <f>VLOOKUP($B16,'BDD Prof. Catedra'!$A:$H,7,0)</f>
        <v>6</v>
      </c>
      <c r="U16" s="150">
        <v>6</v>
      </c>
      <c r="V16" s="150">
        <f>VLOOKUP($B16,'BDD Prof. Catedra'!$A:$J,10,0)</f>
        <v>5</v>
      </c>
      <c r="W16" s="150">
        <f t="shared" si="8"/>
        <v>1</v>
      </c>
      <c r="X16" s="166">
        <f t="shared" si="13"/>
        <v>0.83333333333333337</v>
      </c>
      <c r="Y16" s="167">
        <f t="shared" si="11"/>
        <v>0.19600000000000001</v>
      </c>
      <c r="Z16" s="167">
        <f t="shared" si="10"/>
        <v>0.16499999999999998</v>
      </c>
      <c r="AA16" s="192" t="s">
        <v>78</v>
      </c>
    </row>
    <row r="17" spans="1:27" customFormat="1" ht="15" hidden="1" customHeight="1">
      <c r="A17" s="1">
        <v>34</v>
      </c>
      <c r="B17" s="191" t="s">
        <v>30</v>
      </c>
      <c r="C17" s="45" t="s">
        <v>87</v>
      </c>
      <c r="D17" s="149">
        <f>VLOOKUP(B17,'Cuotas Estudiantes Pregrado'!$A$4:$N$28,13,0)</f>
        <v>224</v>
      </c>
      <c r="E17" s="149">
        <f>VLOOKUP(B17,'Cuotas Estudiantes Pregrado'!$A$4:$N$28,14,0)</f>
        <v>150</v>
      </c>
      <c r="F17" s="149">
        <f>VLOOKUP(B17,'BDD Estudiantes Posgrado'!$A$1:$D$200,4,0)</f>
        <v>182</v>
      </c>
      <c r="G17" s="163">
        <f>VLOOKUP(B17,'Cuotas Estudiantes Pregrado'!$A$117:$M$142,13,0)</f>
        <v>27</v>
      </c>
      <c r="H17" s="164">
        <f t="shared" si="0"/>
        <v>0.8125</v>
      </c>
      <c r="I17" s="165">
        <f t="shared" si="14"/>
        <v>3.1525544431579372E-2</v>
      </c>
      <c r="J17" s="165">
        <f t="shared" si="2"/>
        <v>2.6539361383727533E-2</v>
      </c>
      <c r="K17" s="165" t="s">
        <v>78</v>
      </c>
      <c r="L17" s="149">
        <f>VLOOKUP($B17,'BDD Prof. Planta'!$A$1:$H$140,7,0)</f>
        <v>23</v>
      </c>
      <c r="M17" s="149">
        <v>23</v>
      </c>
      <c r="N17" s="149">
        <f>VLOOKUP($B17,'BDD Prof. Planta'!$A$1:$L$140,12,0)</f>
        <v>23</v>
      </c>
      <c r="O17" s="149">
        <f t="shared" si="12"/>
        <v>0</v>
      </c>
      <c r="P17" s="164">
        <f t="shared" si="7"/>
        <v>1</v>
      </c>
      <c r="Q17" s="165">
        <f t="shared" si="4"/>
        <v>0</v>
      </c>
      <c r="R17" s="165">
        <f t="shared" si="5"/>
        <v>0</v>
      </c>
      <c r="S17" s="165" t="s">
        <v>78</v>
      </c>
      <c r="T17" s="149">
        <f>VLOOKUP($B17,'BDD Prof. Catedra'!$A:$H,7,0)</f>
        <v>3</v>
      </c>
      <c r="U17" s="149">
        <v>3</v>
      </c>
      <c r="V17" s="149">
        <f>VLOOKUP($B17,'BDD Prof. Catedra'!$A:$J,10,0)</f>
        <v>3</v>
      </c>
      <c r="W17" s="149">
        <f t="shared" si="8"/>
        <v>0</v>
      </c>
      <c r="X17" s="164">
        <f t="shared" si="13"/>
        <v>1</v>
      </c>
      <c r="Y17" s="165">
        <f t="shared" si="11"/>
        <v>0</v>
      </c>
      <c r="Z17" s="165">
        <f t="shared" si="10"/>
        <v>0</v>
      </c>
      <c r="AA17" s="203" t="s">
        <v>78</v>
      </c>
    </row>
    <row r="18" spans="1:27" customFormat="1" ht="15" hidden="1" customHeight="1">
      <c r="A18" s="1">
        <v>35</v>
      </c>
      <c r="B18" s="191" t="s">
        <v>31</v>
      </c>
      <c r="C18" s="45" t="s">
        <v>88</v>
      </c>
      <c r="D18" s="149">
        <f>VLOOKUP(B18,'Cuotas Estudiantes Pregrado'!$A$4:$N$28,13,0)</f>
        <v>34</v>
      </c>
      <c r="E18" s="149">
        <f>VLOOKUP(B18,'Cuotas Estudiantes Pregrado'!$A$4:$N$28,14,0)</f>
        <v>34</v>
      </c>
      <c r="F18" s="149">
        <f>VLOOKUP(B18,'BDD Estudiantes Posgrado'!$A$1:$D$200,4,0)</f>
        <v>31</v>
      </c>
      <c r="G18" s="163">
        <f>VLOOKUP(B18,'Cuotas Estudiantes Pregrado'!$A$117:$M$142,13,0)</f>
        <v>6</v>
      </c>
      <c r="H18" s="164">
        <f t="shared" si="0"/>
        <v>0.91176470588235292</v>
      </c>
      <c r="I18" s="165">
        <f t="shared" si="14"/>
        <v>5.306997538524047E-2</v>
      </c>
      <c r="J18" s="165">
        <f t="shared" si="2"/>
        <v>4.4676254788595292E-2</v>
      </c>
      <c r="K18" s="165" t="s">
        <v>78</v>
      </c>
      <c r="L18" s="149">
        <f>VLOOKUP($B18,'BDD Prof. Planta'!$A$1:$H$140,7,0)</f>
        <v>5</v>
      </c>
      <c r="M18" s="149">
        <v>5</v>
      </c>
      <c r="N18" s="149">
        <f>VLOOKUP($B18,'BDD Prof. Planta'!$A$1:$L$140,12,0)</f>
        <v>5</v>
      </c>
      <c r="O18" s="149">
        <f t="shared" si="12"/>
        <v>0</v>
      </c>
      <c r="P18" s="164">
        <f t="shared" si="7"/>
        <v>1</v>
      </c>
      <c r="Q18" s="165">
        <f t="shared" si="4"/>
        <v>0</v>
      </c>
      <c r="R18" s="165">
        <f t="shared" si="5"/>
        <v>0</v>
      </c>
      <c r="S18" s="165" t="s">
        <v>78</v>
      </c>
      <c r="T18" s="149">
        <f>VLOOKUP($B18,'BDD Prof. Catedra'!$A:$H,7,0)</f>
        <v>5</v>
      </c>
      <c r="U18" s="149">
        <v>5</v>
      </c>
      <c r="V18" s="149">
        <f>VLOOKUP($B18,'BDD Prof. Catedra'!$A:$J,10,0)</f>
        <v>5</v>
      </c>
      <c r="W18" s="149">
        <f t="shared" si="8"/>
        <v>0</v>
      </c>
      <c r="X18" s="164">
        <f t="shared" si="13"/>
        <v>1</v>
      </c>
      <c r="Y18" s="165">
        <f t="shared" si="11"/>
        <v>0</v>
      </c>
      <c r="Z18" s="165">
        <f t="shared" si="10"/>
        <v>0</v>
      </c>
      <c r="AA18" s="203" t="s">
        <v>78</v>
      </c>
    </row>
    <row r="19" spans="1:27" customFormat="1" ht="15" hidden="1" customHeight="1">
      <c r="A19" s="1">
        <v>36</v>
      </c>
      <c r="B19" s="191" t="s">
        <v>32</v>
      </c>
      <c r="C19" s="45" t="s">
        <v>89</v>
      </c>
      <c r="D19" s="149">
        <f>VLOOKUP(B19,'Cuotas Estudiantes Pregrado'!$A$4:$N$28,13,0)</f>
        <v>114</v>
      </c>
      <c r="E19" s="149">
        <f>VLOOKUP(B19,'Cuotas Estudiantes Pregrado'!$A$4:$N$28,14,0)</f>
        <v>91</v>
      </c>
      <c r="F19" s="149">
        <f>VLOOKUP(B19,'BDD Estudiantes Posgrado'!$A$1:$D$200,4,0)</f>
        <v>101</v>
      </c>
      <c r="G19" s="163">
        <f>VLOOKUP(B19,'Cuotas Estudiantes Pregrado'!$A$117:$M$142,13,0)</f>
        <v>3</v>
      </c>
      <c r="H19" s="164">
        <f t="shared" si="0"/>
        <v>0.88596491228070173</v>
      </c>
      <c r="I19" s="165">
        <f t="shared" si="14"/>
        <v>3.3074846949680124E-2</v>
      </c>
      <c r="J19" s="165">
        <f t="shared" si="2"/>
        <v>2.7843621156618474E-2</v>
      </c>
      <c r="K19" s="165" t="s">
        <v>78</v>
      </c>
      <c r="L19" s="149">
        <f>VLOOKUP($B19,'BDD Prof. Planta'!$A$1:$H$140,7,0)</f>
        <v>5</v>
      </c>
      <c r="M19" s="149">
        <v>5</v>
      </c>
      <c r="N19" s="149">
        <f>VLOOKUP($B19,'BDD Prof. Planta'!$A$1:$L$140,12,0)</f>
        <v>5</v>
      </c>
      <c r="O19" s="149">
        <f t="shared" si="12"/>
        <v>0</v>
      </c>
      <c r="P19" s="164">
        <f t="shared" si="7"/>
        <v>1</v>
      </c>
      <c r="Q19" s="165">
        <f t="shared" si="4"/>
        <v>0</v>
      </c>
      <c r="R19" s="165">
        <f t="shared" si="5"/>
        <v>0</v>
      </c>
      <c r="S19" s="165" t="s">
        <v>78</v>
      </c>
      <c r="T19" s="149">
        <f>VLOOKUP($B19,'BDD Prof. Catedra'!$A:$H,7,0)</f>
        <v>13</v>
      </c>
      <c r="U19" s="149">
        <v>13</v>
      </c>
      <c r="V19" s="149">
        <f>VLOOKUP($B19,'BDD Prof. Catedra'!$A:$J,10,0)</f>
        <v>13</v>
      </c>
      <c r="W19" s="149">
        <f t="shared" si="8"/>
        <v>0</v>
      </c>
      <c r="X19" s="164">
        <f t="shared" si="13"/>
        <v>1</v>
      </c>
      <c r="Y19" s="165">
        <f t="shared" si="11"/>
        <v>0</v>
      </c>
      <c r="Z19" s="165">
        <f t="shared" si="10"/>
        <v>0</v>
      </c>
      <c r="AA19" s="203" t="s">
        <v>78</v>
      </c>
    </row>
    <row r="20" spans="1:27" customFormat="1" ht="15" hidden="1" customHeight="1">
      <c r="A20" s="1">
        <v>37</v>
      </c>
      <c r="B20" s="191" t="s">
        <v>36</v>
      </c>
      <c r="C20" s="45" t="s">
        <v>89</v>
      </c>
      <c r="D20" s="149">
        <f>VLOOKUP(B20,'Cuotas Estudiantes Pregrado'!$A$4:$N$28,13,0)</f>
        <v>47</v>
      </c>
      <c r="E20" s="149">
        <v>35</v>
      </c>
      <c r="F20" s="149">
        <f>VLOOKUP(B20,'BDD Estudiantes Posgrado'!$A$1:$D$200,4,0)</f>
        <v>35</v>
      </c>
      <c r="G20" s="163">
        <f>VLOOKUP(B20,'Cuotas Estudiantes Pregrado'!$A$117:$M$142,13,0)</f>
        <v>7</v>
      </c>
      <c r="H20" s="164">
        <f t="shared" si="0"/>
        <v>0.74468085106382975</v>
      </c>
      <c r="I20" s="165">
        <f t="shared" si="14"/>
        <v>8.4606506071136262E-2</v>
      </c>
      <c r="J20" s="165">
        <f t="shared" si="2"/>
        <v>7.1224864804783072E-2</v>
      </c>
      <c r="K20" s="165" t="s">
        <v>78</v>
      </c>
      <c r="L20" s="150">
        <f>VLOOKUP($B20,'BDD Prof. Planta'!$A$1:$H$140,7,0)</f>
        <v>11</v>
      </c>
      <c r="M20" s="150">
        <v>10</v>
      </c>
      <c r="N20" s="150">
        <f>VLOOKUP($B20,'BDD Prof. Planta'!$A$1:$L$140,12,0)</f>
        <v>9</v>
      </c>
      <c r="O20" s="150">
        <f t="shared" si="12"/>
        <v>1</v>
      </c>
      <c r="P20" s="166">
        <f t="shared" si="7"/>
        <v>0.81818181818181823</v>
      </c>
      <c r="Q20" s="167">
        <f t="shared" si="4"/>
        <v>0.14608977452998625</v>
      </c>
      <c r="R20" s="167">
        <f t="shared" si="5"/>
        <v>0.12298373876248843</v>
      </c>
      <c r="S20" s="167" t="s">
        <v>78</v>
      </c>
      <c r="T20" s="151">
        <f>VLOOKUP($B20,'BDD Prof. Catedra'!$A:$H,7,0)</f>
        <v>4</v>
      </c>
      <c r="U20" s="151">
        <v>4</v>
      </c>
      <c r="V20" s="151">
        <f>VLOOKUP($B20,'BDD Prof. Catedra'!$A:$J,10,0)</f>
        <v>3</v>
      </c>
      <c r="W20" s="151">
        <f t="shared" si="8"/>
        <v>1</v>
      </c>
      <c r="X20" s="169">
        <f t="shared" si="13"/>
        <v>0.75</v>
      </c>
      <c r="Y20" s="170">
        <f t="shared" si="11"/>
        <v>0.32666666666666666</v>
      </c>
      <c r="Z20" s="170">
        <f t="shared" si="10"/>
        <v>0.27500000000000002</v>
      </c>
      <c r="AA20" s="204" t="s">
        <v>86</v>
      </c>
    </row>
    <row r="21" spans="1:27" customFormat="1" ht="15" hidden="1" customHeight="1">
      <c r="A21" s="1">
        <v>38</v>
      </c>
      <c r="B21" s="191" t="s">
        <v>33</v>
      </c>
      <c r="C21" s="45" t="s">
        <v>89</v>
      </c>
      <c r="D21" s="149">
        <f>VLOOKUP(B21,'Cuotas Estudiantes Pregrado'!$A$4:$N$28,13,0)</f>
        <v>287</v>
      </c>
      <c r="E21" s="149">
        <f>VLOOKUP(B21,'Cuotas Estudiantes Pregrado'!$A$4:$N$28,14,0)</f>
        <v>174</v>
      </c>
      <c r="F21" s="149">
        <f>VLOOKUP(B21,'BDD Estudiantes Posgrado'!$A$1:$D$200,4,0)</f>
        <v>185</v>
      </c>
      <c r="G21" s="163">
        <f>VLOOKUP(B21,'Cuotas Estudiantes Pregrado'!$A$117:$M$142,13,0)</f>
        <v>8</v>
      </c>
      <c r="H21" s="164">
        <f t="shared" si="0"/>
        <v>0.64459930313588854</v>
      </c>
      <c r="I21" s="165">
        <f t="shared" si="14"/>
        <v>4.3028606431779443E-2</v>
      </c>
      <c r="J21" s="165">
        <f t="shared" si="2"/>
        <v>3.6223061536957188E-2</v>
      </c>
      <c r="K21" s="165" t="s">
        <v>78</v>
      </c>
      <c r="L21" s="149">
        <f>VLOOKUP($B21,'BDD Prof. Planta'!$A$1:$H$140,7,0)</f>
        <v>21</v>
      </c>
      <c r="M21" s="149">
        <v>20</v>
      </c>
      <c r="N21" s="149">
        <f>VLOOKUP($B21,'BDD Prof. Planta'!$A$1:$L$140,12,0)</f>
        <v>19</v>
      </c>
      <c r="O21" s="149">
        <f t="shared" si="12"/>
        <v>1</v>
      </c>
      <c r="P21" s="164">
        <f t="shared" si="7"/>
        <v>0.90476190476190477</v>
      </c>
      <c r="Q21" s="165">
        <f t="shared" si="4"/>
        <v>7.1096672510781139E-2</v>
      </c>
      <c r="R21" s="165">
        <f t="shared" si="5"/>
        <v>5.985179063407596E-2</v>
      </c>
      <c r="S21" s="165" t="s">
        <v>78</v>
      </c>
      <c r="T21" s="151">
        <f>VLOOKUP($B21,'BDD Prof. Catedra'!$A:$H,7,0)</f>
        <v>21</v>
      </c>
      <c r="U21" s="151">
        <v>21</v>
      </c>
      <c r="V21" s="151">
        <f>VLOOKUP($B21,'BDD Prof. Catedra'!$A:$J,10,0)</f>
        <v>15</v>
      </c>
      <c r="W21" s="151">
        <f t="shared" si="8"/>
        <v>6</v>
      </c>
      <c r="X21" s="169">
        <f t="shared" si="13"/>
        <v>0.7142857142857143</v>
      </c>
      <c r="Y21" s="170">
        <f t="shared" si="11"/>
        <v>0.13859292911256332</v>
      </c>
      <c r="Z21" s="170">
        <f t="shared" si="10"/>
        <v>0.11667261889578033</v>
      </c>
      <c r="AA21" s="204" t="s">
        <v>86</v>
      </c>
    </row>
    <row r="22" spans="1:27" customFormat="1" ht="15" hidden="1" customHeight="1">
      <c r="A22" s="1">
        <v>39</v>
      </c>
      <c r="B22" s="191" t="s">
        <v>34</v>
      </c>
      <c r="C22" s="45" t="s">
        <v>89</v>
      </c>
      <c r="D22" s="149">
        <f>VLOOKUP(B22,'Cuotas Estudiantes Pregrado'!$A$4:$N$28,13,0)</f>
        <v>322</v>
      </c>
      <c r="E22" s="149">
        <f>VLOOKUP(B22,'Cuotas Estudiantes Pregrado'!$A$4:$N$28,14,0)</f>
        <v>189</v>
      </c>
      <c r="F22" s="149">
        <f>VLOOKUP(B22,'BDD Estudiantes Posgrado'!$A$1:$D$200,4,0)</f>
        <v>209</v>
      </c>
      <c r="G22" s="163">
        <f>VLOOKUP(B22,'Cuotas Estudiantes Pregrado'!$A$117:$M$142,13,0)</f>
        <v>22</v>
      </c>
      <c r="H22" s="164">
        <f t="shared" si="0"/>
        <v>0.64906832298136641</v>
      </c>
      <c r="I22" s="165">
        <f t="shared" si="14"/>
        <v>4.0219775135791683E-2</v>
      </c>
      <c r="J22" s="165">
        <f t="shared" si="2"/>
        <v>3.3858484170436874E-2</v>
      </c>
      <c r="K22" s="165" t="s">
        <v>78</v>
      </c>
      <c r="L22" s="149">
        <f>VLOOKUP($B22,'BDD Prof. Planta'!$A$1:$H$140,7,0)</f>
        <v>7</v>
      </c>
      <c r="M22" s="149">
        <v>7</v>
      </c>
      <c r="N22" s="149">
        <f>VLOOKUP($B22,'BDD Prof. Planta'!$A$1:$L$140,12,0)</f>
        <v>7</v>
      </c>
      <c r="O22" s="149">
        <f t="shared" si="12"/>
        <v>0</v>
      </c>
      <c r="P22" s="164">
        <f t="shared" si="7"/>
        <v>1</v>
      </c>
      <c r="Q22" s="165">
        <f t="shared" si="4"/>
        <v>0</v>
      </c>
      <c r="R22" s="165">
        <f t="shared" si="5"/>
        <v>0</v>
      </c>
      <c r="S22" s="165" t="s">
        <v>78</v>
      </c>
      <c r="T22" s="151">
        <f>VLOOKUP($B22,'BDD Prof. Catedra'!$A:$H,7,0)</f>
        <v>34</v>
      </c>
      <c r="U22" s="151">
        <v>33</v>
      </c>
      <c r="V22" s="151">
        <f>VLOOKUP($B22,'BDD Prof. Catedra'!$A:$J,10,0)</f>
        <v>19</v>
      </c>
      <c r="W22" s="151">
        <f t="shared" si="8"/>
        <v>14</v>
      </c>
      <c r="X22" s="169">
        <f t="shared" si="13"/>
        <v>0.55882352941176472</v>
      </c>
      <c r="Y22" s="170">
        <f t="shared" si="11"/>
        <v>0.15157861509798776</v>
      </c>
      <c r="Z22" s="170">
        <f t="shared" si="10"/>
        <v>0.1276044463835101</v>
      </c>
      <c r="AA22" s="204" t="s">
        <v>86</v>
      </c>
    </row>
    <row r="23" spans="1:27" customFormat="1" ht="15" hidden="1" customHeight="1">
      <c r="A23" s="1">
        <v>40</v>
      </c>
      <c r="B23" s="191" t="s">
        <v>35</v>
      </c>
      <c r="C23" s="45" t="s">
        <v>89</v>
      </c>
      <c r="D23" s="149">
        <f>VLOOKUP(B23,'Cuotas Estudiantes Pregrado'!$A$4:$N$28,13,0)</f>
        <v>175</v>
      </c>
      <c r="E23" s="149">
        <f>VLOOKUP(B23,'Cuotas Estudiantes Pregrado'!$A$4:$N$28,14,0)</f>
        <v>126</v>
      </c>
      <c r="F23" s="149">
        <f>VLOOKUP(B23,'BDD Estudiantes Posgrado'!$A$1:$D$200,4,0)</f>
        <v>136</v>
      </c>
      <c r="G23" s="163">
        <f>VLOOKUP(B23,'Cuotas Estudiantes Pregrado'!$A$117:$M$142,13,0)</f>
        <v>8</v>
      </c>
      <c r="H23" s="164">
        <f t="shared" si="0"/>
        <v>0.77714285714285714</v>
      </c>
      <c r="I23" s="165">
        <f t="shared" si="14"/>
        <v>3.9784536325421754E-2</v>
      </c>
      <c r="J23" s="165">
        <f t="shared" si="2"/>
        <v>3.349208415150301E-2</v>
      </c>
      <c r="K23" s="165" t="s">
        <v>78</v>
      </c>
      <c r="L23" s="149">
        <f>VLOOKUP($B23,'BDD Prof. Planta'!$A$1:$H$140,7,0)</f>
        <v>6</v>
      </c>
      <c r="M23" s="149">
        <v>6</v>
      </c>
      <c r="N23" s="149">
        <f>VLOOKUP($B23,'BDD Prof. Planta'!$A$1:$L$140,12,0)</f>
        <v>6</v>
      </c>
      <c r="O23" s="149">
        <f t="shared" si="12"/>
        <v>0</v>
      </c>
      <c r="P23" s="164">
        <f t="shared" si="7"/>
        <v>1</v>
      </c>
      <c r="Q23" s="165">
        <f t="shared" si="4"/>
        <v>0</v>
      </c>
      <c r="R23" s="165">
        <f t="shared" si="5"/>
        <v>0</v>
      </c>
      <c r="S23" s="165" t="s">
        <v>78</v>
      </c>
      <c r="T23" s="151">
        <f>VLOOKUP($B23,'BDD Prof. Catedra'!$A:$H,7,0)</f>
        <v>12</v>
      </c>
      <c r="U23" s="151">
        <v>12</v>
      </c>
      <c r="V23" s="151">
        <f>VLOOKUP($B23,'BDD Prof. Catedra'!$A:$J,10,0)</f>
        <v>9</v>
      </c>
      <c r="W23" s="151">
        <f t="shared" si="8"/>
        <v>3</v>
      </c>
      <c r="X23" s="169">
        <f t="shared" si="13"/>
        <v>0.75</v>
      </c>
      <c r="Y23" s="170">
        <f t="shared" si="11"/>
        <v>0.17059610283658388</v>
      </c>
      <c r="Z23" s="170">
        <f t="shared" si="10"/>
        <v>0.14361406616345071</v>
      </c>
      <c r="AA23" s="204" t="s">
        <v>86</v>
      </c>
    </row>
    <row r="24" spans="1:27" customFormat="1" ht="15" hidden="1" customHeight="1">
      <c r="A24" s="1">
        <v>41</v>
      </c>
      <c r="B24" s="191" t="s">
        <v>37</v>
      </c>
      <c r="C24" s="45" t="s">
        <v>89</v>
      </c>
      <c r="D24" s="149">
        <f>VLOOKUP(B24,'Cuotas Estudiantes Pregrado'!$A$4:$N$28,13,0)</f>
        <v>197</v>
      </c>
      <c r="E24" s="149">
        <f>VLOOKUP(B24,'Cuotas Estudiantes Pregrado'!$A$4:$N$28,14,0)</f>
        <v>137</v>
      </c>
      <c r="F24" s="149">
        <f>VLOOKUP(B24,'BDD Estudiantes Posgrado'!$A$1:$D$200,4,0)</f>
        <v>139</v>
      </c>
      <c r="G24" s="163">
        <f>VLOOKUP(B24,'Cuotas Estudiantes Pregrado'!$A$117:$M$142,13,0)</f>
        <v>11</v>
      </c>
      <c r="H24" s="164">
        <f t="shared" si="0"/>
        <v>0.70558375634517767</v>
      </c>
      <c r="I24" s="165">
        <f t="shared" si="14"/>
        <v>4.5217301075437512E-2</v>
      </c>
      <c r="J24" s="165">
        <f t="shared" si="2"/>
        <v>3.8065585089016273E-2</v>
      </c>
      <c r="K24" s="165" t="s">
        <v>78</v>
      </c>
      <c r="L24" s="149">
        <f>VLOOKUP($B24,'BDD Prof. Planta'!$A$1:$H$140,7,0)</f>
        <v>13</v>
      </c>
      <c r="M24" s="149">
        <v>13</v>
      </c>
      <c r="N24" s="149">
        <f>VLOOKUP($B24,'BDD Prof. Planta'!$A$1:$L$140,12,0)</f>
        <v>12</v>
      </c>
      <c r="O24" s="149">
        <f t="shared" si="12"/>
        <v>1</v>
      </c>
      <c r="P24" s="164">
        <f t="shared" si="7"/>
        <v>0.92307692307692313</v>
      </c>
      <c r="Q24" s="165">
        <f t="shared" si="4"/>
        <v>8.1666666666666665E-2</v>
      </c>
      <c r="R24" s="165">
        <f t="shared" si="5"/>
        <v>6.8750000000000006E-2</v>
      </c>
      <c r="S24" s="165" t="s">
        <v>78</v>
      </c>
      <c r="T24" s="151">
        <f>VLOOKUP($B24,'BDD Prof. Catedra'!$A:$H,7,0)</f>
        <v>27</v>
      </c>
      <c r="U24" s="151">
        <v>27</v>
      </c>
      <c r="V24" s="151">
        <f>VLOOKUP($B24,'BDD Prof. Catedra'!$A:$J,10,0)</f>
        <v>18</v>
      </c>
      <c r="W24" s="151">
        <f t="shared" si="8"/>
        <v>9</v>
      </c>
      <c r="X24" s="169">
        <f t="shared" si="13"/>
        <v>0.66666666666666663</v>
      </c>
      <c r="Y24" s="170">
        <f t="shared" si="11"/>
        <v>0.13590154807518112</v>
      </c>
      <c r="Z24" s="170">
        <f t="shared" si="10"/>
        <v>0.1144069154714535</v>
      </c>
      <c r="AA24" s="204" t="s">
        <v>86</v>
      </c>
    </row>
    <row r="25" spans="1:27" customFormat="1" ht="15" hidden="1" customHeight="1">
      <c r="A25" s="1">
        <v>42</v>
      </c>
      <c r="B25" s="191" t="s">
        <v>38</v>
      </c>
      <c r="C25" s="45" t="s">
        <v>90</v>
      </c>
      <c r="D25" s="149">
        <f>VLOOKUP(B25,'Cuotas Estudiantes Pregrado'!$A$4:$N$28,13,0)</f>
        <v>972</v>
      </c>
      <c r="E25" s="149">
        <f>VLOOKUP(B25,'Cuotas Estudiantes Pregrado'!$A$4:$N$28,14,0)</f>
        <v>306</v>
      </c>
      <c r="F25" s="149">
        <f>VLOOKUP(B25,'BDD Estudiantes Posgrado'!$A$1:$D$200,4,0)</f>
        <v>679</v>
      </c>
      <c r="G25" s="163">
        <f>VLOOKUP(B25,'Cuotas Estudiantes Pregrado'!$A$117:$M$142,13,0)</f>
        <v>0</v>
      </c>
      <c r="H25" s="164">
        <f t="shared" si="0"/>
        <v>0.69855967078189296</v>
      </c>
      <c r="I25" s="165">
        <f t="shared" si="14"/>
        <v>2.0659289608953978E-2</v>
      </c>
      <c r="J25" s="165">
        <f t="shared" si="2"/>
        <v>1.7391748905496971E-2</v>
      </c>
      <c r="K25" s="165" t="s">
        <v>78</v>
      </c>
      <c r="L25" s="149">
        <f>VLOOKUP($B25,'BDD Prof. Planta'!$A$1:$H$140,7,0)</f>
        <v>53</v>
      </c>
      <c r="M25" s="149">
        <v>50</v>
      </c>
      <c r="N25" s="149">
        <f>VLOOKUP($B25,'BDD Prof. Planta'!$A$1:$L$140,12,0)</f>
        <v>48</v>
      </c>
      <c r="O25" s="149">
        <f t="shared" si="12"/>
        <v>2</v>
      </c>
      <c r="P25" s="164">
        <f t="shared" si="7"/>
        <v>0.90566037735849059</v>
      </c>
      <c r="Q25" s="165">
        <f t="shared" si="4"/>
        <v>4.3862036034915265E-2</v>
      </c>
      <c r="R25" s="165">
        <f t="shared" si="5"/>
        <v>3.6924673192658256E-2</v>
      </c>
      <c r="S25" s="165" t="s">
        <v>78</v>
      </c>
      <c r="T25" s="151">
        <f>VLOOKUP($B25,'BDD Prof. Catedra'!$A:$H,7,0)</f>
        <v>70</v>
      </c>
      <c r="U25" s="151">
        <v>61</v>
      </c>
      <c r="V25" s="151">
        <f>VLOOKUP($B25,'BDD Prof. Catedra'!$A:$J,10,0)</f>
        <v>45</v>
      </c>
      <c r="W25" s="151">
        <f t="shared" si="8"/>
        <v>16</v>
      </c>
      <c r="X25" s="169">
        <f t="shared" si="13"/>
        <v>0.6428571428571429</v>
      </c>
      <c r="Y25" s="170">
        <f t="shared" si="11"/>
        <v>8.7935710669500358E-2</v>
      </c>
      <c r="Z25" s="170">
        <f t="shared" si="10"/>
        <v>7.4027511532997747E-2</v>
      </c>
      <c r="AA25" s="204" t="s">
        <v>86</v>
      </c>
    </row>
    <row r="26" spans="1:27" customFormat="1" ht="15" hidden="1" customHeight="1">
      <c r="A26" s="1">
        <v>43</v>
      </c>
      <c r="B26" s="191" t="s">
        <v>39</v>
      </c>
      <c r="C26" s="45" t="s">
        <v>91</v>
      </c>
      <c r="D26" s="149">
        <f>VLOOKUP(B26,'Cuotas Estudiantes Pregrado'!$A$4:$N$28,13,0)</f>
        <v>340</v>
      </c>
      <c r="E26" s="149">
        <f>VLOOKUP(B26,'Cuotas Estudiantes Pregrado'!$A$4:$N$28,14,0)</f>
        <v>195</v>
      </c>
      <c r="F26" s="149">
        <f>VLOOKUP(B26,'BDD Estudiantes Posgrado'!$A$1:$D$200,4,0)</f>
        <v>205</v>
      </c>
      <c r="G26" s="163">
        <f>VLOOKUP(B26,'Cuotas Estudiantes Pregrado'!$A$117:$M$142,13,0)</f>
        <v>19</v>
      </c>
      <c r="H26" s="164">
        <f t="shared" si="0"/>
        <v>0.6029411764705882</v>
      </c>
      <c r="I26" s="165">
        <f t="shared" si="14"/>
        <v>4.3193279569359297E-2</v>
      </c>
      <c r="J26" s="165">
        <f t="shared" si="2"/>
        <v>3.6361689433389202E-2</v>
      </c>
      <c r="K26" s="165" t="s">
        <v>78</v>
      </c>
      <c r="L26" s="149">
        <f>VLOOKUP($B26,'BDD Prof. Planta'!$A$1:$H$140,7,0)</f>
        <v>17</v>
      </c>
      <c r="M26" s="149">
        <v>16</v>
      </c>
      <c r="N26" s="149">
        <f>VLOOKUP($B26,'BDD Prof. Planta'!$A$1:$L$140,12,0)</f>
        <v>16</v>
      </c>
      <c r="O26" s="149">
        <f t="shared" si="12"/>
        <v>0</v>
      </c>
      <c r="P26" s="164">
        <f>N26/L26</f>
        <v>0.94117647058823528</v>
      </c>
      <c r="Q26" s="165">
        <f t="shared" si="4"/>
        <v>6.1249999999999999E-2</v>
      </c>
      <c r="R26" s="165">
        <f t="shared" si="5"/>
        <v>5.1562499999999997E-2</v>
      </c>
      <c r="S26" s="165" t="s">
        <v>78</v>
      </c>
      <c r="T26" s="149">
        <f>VLOOKUP($B26,'BDD Prof. Catedra'!$A:$H,7,0)</f>
        <v>14</v>
      </c>
      <c r="U26" s="149">
        <v>14</v>
      </c>
      <c r="V26" s="149">
        <f>VLOOKUP($B26,'BDD Prof. Catedra'!$A:$J,10,0)</f>
        <v>13</v>
      </c>
      <c r="W26" s="149">
        <f t="shared" si="8"/>
        <v>1</v>
      </c>
      <c r="X26" s="164">
        <f t="shared" si="13"/>
        <v>0.9285714285714286</v>
      </c>
      <c r="Y26" s="165">
        <f t="shared" si="11"/>
        <v>7.5384615384615383E-2</v>
      </c>
      <c r="Z26" s="165">
        <f t="shared" si="10"/>
        <v>6.3461538461538458E-2</v>
      </c>
      <c r="AA26" s="203" t="s">
        <v>78</v>
      </c>
    </row>
    <row r="27" spans="1:27" customFormat="1" ht="15" hidden="1" customHeight="1" thickBot="1">
      <c r="A27" s="2">
        <v>200</v>
      </c>
      <c r="B27" s="193" t="s">
        <v>40</v>
      </c>
      <c r="C27" s="194" t="s">
        <v>89</v>
      </c>
      <c r="D27" s="195">
        <f>VLOOKUP(B27,'Cuotas Estudiantes Pregrado'!$A$4:$N$28,13,0)</f>
        <v>26</v>
      </c>
      <c r="E27" s="195">
        <f>VLOOKUP(B27,'Cuotas Estudiantes Pregrado'!$A$4:$N$28,14,0)</f>
        <v>25</v>
      </c>
      <c r="F27" s="195">
        <f>VLOOKUP(B27,'BDD Estudiantes Posgrado'!$A$1:$D$200,4,0)</f>
        <v>24</v>
      </c>
      <c r="G27" s="196">
        <f>VLOOKUP(B27,'Cuotas Estudiantes Pregrado'!$A$117:$M$142,13,0)</f>
        <v>3</v>
      </c>
      <c r="H27" s="197">
        <f t="shared" si="0"/>
        <v>0.92307692307692313</v>
      </c>
      <c r="I27" s="198">
        <f t="shared" si="14"/>
        <v>5.6580326380583322E-2</v>
      </c>
      <c r="J27" s="198">
        <f t="shared" si="2"/>
        <v>4.7631397208144126E-2</v>
      </c>
      <c r="K27" s="198" t="s">
        <v>78</v>
      </c>
      <c r="L27" s="195">
        <f>VLOOKUP($B27,'BDD Prof. Planta'!$A$1:$H$140,7,0)</f>
        <v>1</v>
      </c>
      <c r="M27" s="195">
        <v>1</v>
      </c>
      <c r="N27" s="195">
        <f>VLOOKUP($B27,'BDD Prof. Planta'!$A$1:$L$140,12,0)</f>
        <v>1</v>
      </c>
      <c r="O27" s="195">
        <f t="shared" si="12"/>
        <v>0</v>
      </c>
      <c r="P27" s="197">
        <f t="shared" si="7"/>
        <v>1</v>
      </c>
      <c r="Q27" s="198">
        <v>0</v>
      </c>
      <c r="R27" s="198">
        <f>IFERROR((((1.65^2*0.5*0.5*($L27-N27))/(N27*($L27-1)))^0.5),0)</f>
        <v>0</v>
      </c>
      <c r="S27" s="198" t="s">
        <v>78</v>
      </c>
      <c r="T27" s="195">
        <f>VLOOKUP($B27,'BDD Prof. Catedra'!$A:$H,7,0)</f>
        <v>4</v>
      </c>
      <c r="U27" s="195">
        <v>4</v>
      </c>
      <c r="V27" s="195">
        <f>VLOOKUP($B27,'BDD Prof. Catedra'!$A:$J,10,0)</f>
        <v>4</v>
      </c>
      <c r="W27" s="195">
        <f t="shared" si="8"/>
        <v>0</v>
      </c>
      <c r="X27" s="197">
        <f t="shared" si="13"/>
        <v>1</v>
      </c>
      <c r="Y27" s="198">
        <f t="shared" si="11"/>
        <v>0</v>
      </c>
      <c r="Z27" s="198">
        <f t="shared" si="10"/>
        <v>0</v>
      </c>
      <c r="AA27" s="205" t="s">
        <v>78</v>
      </c>
    </row>
    <row r="28" spans="1:27" customFormat="1" ht="15" hidden="1" customHeight="1">
      <c r="A28" s="146">
        <v>210</v>
      </c>
      <c r="B28" s="182" t="s">
        <v>92</v>
      </c>
      <c r="C28" s="183" t="s">
        <v>93</v>
      </c>
      <c r="D28" s="183"/>
      <c r="E28" s="183"/>
      <c r="F28" s="183"/>
      <c r="G28" s="183"/>
      <c r="H28" s="206"/>
      <c r="I28" s="207" t="str">
        <f t="shared" ref="I28:I29" si="15">IFERROR((((1.96^2*0.5*0.5*($D28-F28))/(F28*($D28-1)))^0.5),"")</f>
        <v/>
      </c>
      <c r="J28" s="207" t="str">
        <f t="shared" si="2"/>
        <v/>
      </c>
      <c r="K28" s="207"/>
      <c r="L28" s="184">
        <f>VLOOKUP($B28,'BDD Prof. Planta'!$A$1:$H$140,7,0)</f>
        <v>22</v>
      </c>
      <c r="M28" s="184">
        <v>21</v>
      </c>
      <c r="N28" s="184">
        <f>VLOOKUP($B28,'BDD Prof. Planta'!$A$1:$L$140,12,0)</f>
        <v>20</v>
      </c>
      <c r="O28" s="184">
        <f t="shared" ref="O28:O30" si="16">M28-N28</f>
        <v>1</v>
      </c>
      <c r="P28" s="186">
        <f t="shared" ref="P28:P30" si="17">N28/L28</f>
        <v>0.90909090909090906</v>
      </c>
      <c r="Q28" s="187">
        <f t="shared" ref="Q28:Q30" si="18">IFERROR((((1.96^2*0.5*0.5*($L28-N28))/(N28*($L28-1)))^0.5),"")</f>
        <v>6.7626424815550715E-2</v>
      </c>
      <c r="R28" s="187">
        <f t="shared" ref="R28:R40" si="19">IFERROR((((1.65^2*0.5*0.5*($L28-N28))/(N28*($L28-1)))^0.5),"")</f>
        <v>5.6930408645744217E-2</v>
      </c>
      <c r="S28" s="187" t="s">
        <v>78</v>
      </c>
      <c r="T28" s="184">
        <f>VLOOKUP($B28,'BDD Prof. Catedra'!$A:$H,7,0)</f>
        <v>25</v>
      </c>
      <c r="U28" s="184">
        <v>24</v>
      </c>
      <c r="V28" s="184">
        <f>VLOOKUP($B28,'BDD Prof. Catedra'!$A:$J,10,0)</f>
        <v>22</v>
      </c>
      <c r="W28" s="184">
        <f t="shared" ref="W28:W81" si="20">U28-V28</f>
        <v>2</v>
      </c>
      <c r="X28" s="186">
        <f>V28/T28</f>
        <v>0.88</v>
      </c>
      <c r="Y28" s="187">
        <f>IFERROR((((1.96^2*0.5*0.5*($T28-V28))/(V28*($T28-1)))^0.5),"")</f>
        <v>7.3870279421552082E-2</v>
      </c>
      <c r="Z28" s="187">
        <f t="shared" si="10"/>
        <v>6.2186714819163741E-2</v>
      </c>
      <c r="AA28" s="202" t="s">
        <v>78</v>
      </c>
    </row>
    <row r="29" spans="1:27" customFormat="1" ht="15" hidden="1" customHeight="1">
      <c r="A29" s="147">
        <v>211</v>
      </c>
      <c r="B29" s="191" t="s">
        <v>94</v>
      </c>
      <c r="C29" s="45" t="s">
        <v>95</v>
      </c>
      <c r="D29" s="45"/>
      <c r="E29" s="45"/>
      <c r="F29" s="45"/>
      <c r="G29" s="45"/>
      <c r="H29" s="171"/>
      <c r="I29" s="172" t="str">
        <f t="shared" si="15"/>
        <v/>
      </c>
      <c r="J29" s="172" t="str">
        <f t="shared" si="2"/>
        <v/>
      </c>
      <c r="K29" s="172"/>
      <c r="L29" s="149">
        <f>VLOOKUP($B29,'BDD Prof. Planta'!$A$1:$H$140,7,0)</f>
        <v>11</v>
      </c>
      <c r="M29" s="149">
        <v>11</v>
      </c>
      <c r="N29" s="149">
        <f>VLOOKUP($B29,'BDD Prof. Planta'!$A$1:$L$140,12,0)</f>
        <v>11</v>
      </c>
      <c r="O29" s="149">
        <f t="shared" si="16"/>
        <v>0</v>
      </c>
      <c r="P29" s="164">
        <f t="shared" si="17"/>
        <v>1</v>
      </c>
      <c r="Q29" s="165">
        <f t="shared" si="18"/>
        <v>0</v>
      </c>
      <c r="R29" s="165">
        <f t="shared" si="19"/>
        <v>0</v>
      </c>
      <c r="S29" s="165" t="s">
        <v>78</v>
      </c>
      <c r="T29" s="150">
        <f>VLOOKUP($B29,'BDD Prof. Catedra'!$A:$H,7,0)</f>
        <v>10</v>
      </c>
      <c r="U29" s="150">
        <v>10</v>
      </c>
      <c r="V29" s="150">
        <f>VLOOKUP($B29,'BDD Prof. Catedra'!$A:$J,10,0)</f>
        <v>8</v>
      </c>
      <c r="W29" s="150">
        <f t="shared" si="20"/>
        <v>2</v>
      </c>
      <c r="X29" s="166">
        <f>V29/T29</f>
        <v>0.8</v>
      </c>
      <c r="Y29" s="167">
        <f>IFERROR((((1.96^2*0.5*0.5*($T29-V29))/(V29*($T29-1)))^0.5),"")</f>
        <v>0.16333333333333333</v>
      </c>
      <c r="Z29" s="167">
        <f t="shared" si="10"/>
        <v>0.13750000000000001</v>
      </c>
      <c r="AA29" s="192" t="s">
        <v>78</v>
      </c>
    </row>
    <row r="30" spans="1:27" customFormat="1" ht="15" hidden="1" customHeight="1" thickBot="1">
      <c r="A30" s="1">
        <v>212</v>
      </c>
      <c r="B30" s="193" t="s">
        <v>96</v>
      </c>
      <c r="C30" s="194" t="s">
        <v>97</v>
      </c>
      <c r="D30" s="194"/>
      <c r="E30" s="194"/>
      <c r="F30" s="194"/>
      <c r="G30" s="194"/>
      <c r="H30" s="208"/>
      <c r="I30" s="209"/>
      <c r="J30" s="209" t="str">
        <f t="shared" si="2"/>
        <v/>
      </c>
      <c r="K30" s="209"/>
      <c r="L30" s="210">
        <f>VLOOKUP($B30,'BDD Prof. Planta'!$A$1:$H$140,7,0)</f>
        <v>3</v>
      </c>
      <c r="M30" s="210">
        <v>3</v>
      </c>
      <c r="N30" s="210">
        <f>VLOOKUP($B30,'BDD Prof. Planta'!$A$1:$L$140,12,0)</f>
        <v>2</v>
      </c>
      <c r="O30" s="210">
        <f t="shared" si="16"/>
        <v>1</v>
      </c>
      <c r="P30" s="211">
        <f t="shared" si="17"/>
        <v>0.66666666666666663</v>
      </c>
      <c r="Q30" s="212">
        <f t="shared" si="18"/>
        <v>0.49</v>
      </c>
      <c r="R30" s="212">
        <f t="shared" si="19"/>
        <v>0.41249999999999998</v>
      </c>
      <c r="S30" s="212" t="s">
        <v>86</v>
      </c>
      <c r="T30" s="195">
        <f>VLOOKUP($B30,'BDD Prof. Catedra'!$A:$H,7,0)</f>
        <v>5</v>
      </c>
      <c r="U30" s="195">
        <v>5</v>
      </c>
      <c r="V30" s="195">
        <f>VLOOKUP($B30,'BDD Prof. Catedra'!$A:$J,10,0)</f>
        <v>5</v>
      </c>
      <c r="W30" s="195">
        <f t="shared" si="20"/>
        <v>0</v>
      </c>
      <c r="X30" s="197">
        <f>V30/T30</f>
        <v>1</v>
      </c>
      <c r="Y30" s="198">
        <f>IFERROR((((1.96^2*0.5*0.5*($T30-V30))/(V30*($T30-1)))^0.5),"")</f>
        <v>0</v>
      </c>
      <c r="Z30" s="198">
        <f t="shared" si="10"/>
        <v>0</v>
      </c>
      <c r="AA30" s="205" t="s">
        <v>78</v>
      </c>
    </row>
    <row r="31" spans="1:27" customFormat="1" ht="15" hidden="1" customHeight="1">
      <c r="A31" s="1">
        <v>44</v>
      </c>
      <c r="B31" s="182" t="s">
        <v>98</v>
      </c>
      <c r="C31" s="183" t="s">
        <v>77</v>
      </c>
      <c r="D31" s="188">
        <v>10</v>
      </c>
      <c r="E31" s="188">
        <v>10</v>
      </c>
      <c r="F31" s="188">
        <f>VLOOKUP(B31,'BDD Estudiantes Posgrado'!$A$1:$D$200,4,0)</f>
        <v>9</v>
      </c>
      <c r="G31" s="188">
        <f t="shared" ref="G31" si="21">E31-F31</f>
        <v>1</v>
      </c>
      <c r="H31" s="189">
        <f t="shared" ref="H31" si="22">F31/D31</f>
        <v>0.9</v>
      </c>
      <c r="I31" s="190">
        <f>IFERROR((((1.96^2*0.5*0.5*($D31-F31))/(F31*($D31-1)))^0.5),"")</f>
        <v>0.10888888888888888</v>
      </c>
      <c r="J31" s="190">
        <f t="shared" si="2"/>
        <v>9.166666666666666E-2</v>
      </c>
      <c r="K31" s="190" t="s">
        <v>78</v>
      </c>
      <c r="L31" s="184">
        <f>VLOOKUP($B31,'BDD Prof. Planta'!$B$29:$G$162,6,0)</f>
        <v>8</v>
      </c>
      <c r="M31" s="184">
        <v>8</v>
      </c>
      <c r="N31" s="184">
        <f>VLOOKUP($B31,'BDD Prof. Planta'!$B$29:$L$162,11,0)</f>
        <v>8</v>
      </c>
      <c r="O31" s="184">
        <f t="shared" ref="O31:O132" si="23">M31-N31</f>
        <v>0</v>
      </c>
      <c r="P31" s="186">
        <f t="shared" ref="P31:P132" si="24">N31/L31</f>
        <v>1</v>
      </c>
      <c r="Q31" s="187">
        <f t="shared" ref="Q31:Q131" si="25">IFERROR((((1.96^2*0.5*0.5*($L31-N31))/(N31*($L31-1)))^0.5),"")</f>
        <v>0</v>
      </c>
      <c r="R31" s="187">
        <f t="shared" si="19"/>
        <v>0</v>
      </c>
      <c r="S31" s="187" t="s">
        <v>78</v>
      </c>
      <c r="T31" s="213"/>
      <c r="U31" s="213"/>
      <c r="V31" s="213"/>
      <c r="W31" s="213"/>
      <c r="X31" s="214"/>
      <c r="Y31" s="215" t="str">
        <f>IFERROR((((1.96^2*0.5*0.5*($T31-V31))/(V31*($T31-1)))^0.5),"")</f>
        <v/>
      </c>
      <c r="Z31" s="215" t="str">
        <f t="shared" si="10"/>
        <v/>
      </c>
      <c r="AA31" s="216"/>
    </row>
    <row r="32" spans="1:27" customFormat="1" ht="15" hidden="1" customHeight="1">
      <c r="A32" s="1">
        <v>70</v>
      </c>
      <c r="B32" s="191" t="s">
        <v>99</v>
      </c>
      <c r="C32" s="45" t="s">
        <v>89</v>
      </c>
      <c r="D32" s="151">
        <v>22</v>
      </c>
      <c r="E32" s="151">
        <v>21</v>
      </c>
      <c r="F32" s="151">
        <f>VLOOKUP(B32,'BDD Estudiantes Posgrado'!$A$1:$D$200,4,0)</f>
        <v>7</v>
      </c>
      <c r="G32" s="151">
        <f t="shared" ref="G32:G81" si="26">E32-F32</f>
        <v>14</v>
      </c>
      <c r="H32" s="169">
        <f t="shared" ref="H32:H81" si="27">F32/D32</f>
        <v>0.31818181818181818</v>
      </c>
      <c r="I32" s="170">
        <f t="shared" ref="I32:I81" si="28">IFERROR((((1.96^2*0.5*0.5*($D32-F32))/(F32*($D32-1)))^0.5),"")</f>
        <v>0.31304951684997057</v>
      </c>
      <c r="J32" s="170">
        <f t="shared" si="2"/>
        <v>0.26353658306247518</v>
      </c>
      <c r="K32" s="170" t="s">
        <v>100</v>
      </c>
      <c r="L32" s="151">
        <f>VLOOKUP($B32,'BDD Prof. Planta'!$B$29:$G$162,6,0)</f>
        <v>10</v>
      </c>
      <c r="M32" s="151">
        <v>10</v>
      </c>
      <c r="N32" s="151">
        <f>VLOOKUP($B32,'BDD Prof. Planta'!$B$29:$L$162,11,0)</f>
        <v>6</v>
      </c>
      <c r="O32" s="151">
        <f t="shared" si="23"/>
        <v>4</v>
      </c>
      <c r="P32" s="169">
        <f t="shared" si="24"/>
        <v>0.6</v>
      </c>
      <c r="Q32" s="170">
        <f t="shared" si="25"/>
        <v>0.26672221643639049</v>
      </c>
      <c r="R32" s="170">
        <f t="shared" si="19"/>
        <v>0.22453655975512465</v>
      </c>
      <c r="S32" s="170" t="s">
        <v>86</v>
      </c>
      <c r="T32" s="149">
        <f>VLOOKUP($B32,'BDD Prof. Catedra'!B:G,6,0)</f>
        <v>1</v>
      </c>
      <c r="U32" s="149">
        <v>1</v>
      </c>
      <c r="V32" s="149">
        <f>VLOOKUP($B32,'BDD Prof. Catedra'!$B:$J,9,0)</f>
        <v>1</v>
      </c>
      <c r="W32" s="149">
        <f t="shared" si="20"/>
        <v>0</v>
      </c>
      <c r="X32" s="164">
        <f t="shared" ref="X32:X132" si="29">V32/T32</f>
        <v>1</v>
      </c>
      <c r="Y32" s="165">
        <v>0</v>
      </c>
      <c r="Z32" s="165">
        <f>IFERROR((((1.65^2*0.5*0.5*($T32-V32))/(V32*($T32-1)))^0.5),0)</f>
        <v>0</v>
      </c>
      <c r="AA32" s="203" t="s">
        <v>78</v>
      </c>
    </row>
    <row r="33" spans="1:27" customFormat="1" ht="15" hidden="1" customHeight="1">
      <c r="A33" s="1">
        <v>50</v>
      </c>
      <c r="B33" s="191" t="s">
        <v>101</v>
      </c>
      <c r="C33" s="45" t="s">
        <v>83</v>
      </c>
      <c r="D33" s="151">
        <v>11</v>
      </c>
      <c r="E33" s="151">
        <v>11</v>
      </c>
      <c r="F33" s="151">
        <f>VLOOKUP(B33,'BDD Estudiantes Posgrado'!$A$1:$D$200,4,0)</f>
        <v>6</v>
      </c>
      <c r="G33" s="151">
        <f t="shared" si="26"/>
        <v>5</v>
      </c>
      <c r="H33" s="169">
        <f t="shared" si="27"/>
        <v>0.54545454545454541</v>
      </c>
      <c r="I33" s="170">
        <f t="shared" si="28"/>
        <v>0.28290163190291662</v>
      </c>
      <c r="J33" s="170">
        <f t="shared" si="2"/>
        <v>0.23815698604072064</v>
      </c>
      <c r="K33" s="170" t="s">
        <v>86</v>
      </c>
      <c r="L33" s="150">
        <f>VLOOKUP($B33,'BDD Prof. Planta'!$B$29:$G$162,6,0)</f>
        <v>5</v>
      </c>
      <c r="M33" s="150">
        <v>5</v>
      </c>
      <c r="N33" s="150">
        <f>VLOOKUP($B33,'BDD Prof. Planta'!$B$29:$L$162,11,0)</f>
        <v>4</v>
      </c>
      <c r="O33" s="150">
        <f t="shared" si="23"/>
        <v>1</v>
      </c>
      <c r="P33" s="166">
        <f t="shared" si="24"/>
        <v>0.8</v>
      </c>
      <c r="Q33" s="167">
        <f t="shared" si="25"/>
        <v>0.245</v>
      </c>
      <c r="R33" s="167">
        <f t="shared" si="19"/>
        <v>0.20624999999999999</v>
      </c>
      <c r="S33" s="167" t="s">
        <v>78</v>
      </c>
      <c r="T33" s="152"/>
      <c r="U33" s="152"/>
      <c r="V33" s="152"/>
      <c r="W33" s="152"/>
      <c r="X33" s="173"/>
      <c r="Y33" s="174" t="str">
        <f t="shared" ref="Y33:Y81" si="30">IFERROR((((1.96^2*0.5*0.5*($T33-V33))/(V33*($T33-1)))^0.5),"")</f>
        <v/>
      </c>
      <c r="Z33" s="174" t="str">
        <f t="shared" si="10"/>
        <v/>
      </c>
      <c r="AA33" s="217"/>
    </row>
    <row r="34" spans="1:27" customFormat="1" ht="15" hidden="1" customHeight="1">
      <c r="A34" s="1">
        <v>53</v>
      </c>
      <c r="B34" s="191" t="s">
        <v>102</v>
      </c>
      <c r="C34" s="45" t="s">
        <v>84</v>
      </c>
      <c r="D34" s="151">
        <v>10</v>
      </c>
      <c r="E34" s="151">
        <v>9</v>
      </c>
      <c r="F34" s="151">
        <f>VLOOKUP(B34,'BDD Estudiantes Posgrado'!$A$1:$D$200,4,0)</f>
        <v>3</v>
      </c>
      <c r="G34" s="151">
        <f t="shared" si="26"/>
        <v>6</v>
      </c>
      <c r="H34" s="169">
        <f t="shared" si="27"/>
        <v>0.3</v>
      </c>
      <c r="I34" s="170">
        <f t="shared" si="28"/>
        <v>0.4989915756729692</v>
      </c>
      <c r="J34" s="170">
        <f t="shared" si="2"/>
        <v>0.42006943870428531</v>
      </c>
      <c r="K34" s="170" t="s">
        <v>86</v>
      </c>
      <c r="L34" s="149">
        <f>VLOOKUP($B34,'BDD Prof. Planta'!$B$29:$G$162,6,0)</f>
        <v>3</v>
      </c>
      <c r="M34" s="149">
        <v>3</v>
      </c>
      <c r="N34" s="149">
        <f>VLOOKUP($B34,'BDD Prof. Planta'!$B$29:$L$162,11,0)</f>
        <v>3</v>
      </c>
      <c r="O34" s="149">
        <f t="shared" si="23"/>
        <v>0</v>
      </c>
      <c r="P34" s="164">
        <f t="shared" si="24"/>
        <v>1</v>
      </c>
      <c r="Q34" s="165">
        <f t="shared" si="25"/>
        <v>0</v>
      </c>
      <c r="R34" s="165">
        <f t="shared" si="19"/>
        <v>0</v>
      </c>
      <c r="S34" s="165" t="s">
        <v>78</v>
      </c>
      <c r="T34" s="152">
        <f>VLOOKUP($B34,'BDD Prof. Catedra'!B:G,6,0)</f>
        <v>1</v>
      </c>
      <c r="U34" s="152">
        <v>1</v>
      </c>
      <c r="V34" s="152">
        <f>VLOOKUP($B34,'BDD Prof. Catedra'!$B:$J,9,0)</f>
        <v>0</v>
      </c>
      <c r="W34" s="152">
        <f t="shared" si="20"/>
        <v>1</v>
      </c>
      <c r="X34" s="173">
        <f t="shared" si="29"/>
        <v>0</v>
      </c>
      <c r="Y34" s="174" t="str">
        <f t="shared" si="30"/>
        <v/>
      </c>
      <c r="Z34" s="174" t="str">
        <f t="shared" si="10"/>
        <v/>
      </c>
      <c r="AA34" s="217"/>
    </row>
    <row r="35" spans="1:27" customFormat="1" ht="15" customHeight="1">
      <c r="A35" s="1">
        <v>58</v>
      </c>
      <c r="B35" s="191" t="s">
        <v>103</v>
      </c>
      <c r="C35" s="45" t="s">
        <v>85</v>
      </c>
      <c r="D35" s="149">
        <v>46</v>
      </c>
      <c r="E35" s="149">
        <v>41</v>
      </c>
      <c r="F35" s="149">
        <f>VLOOKUP(B35,'BDD Estudiantes Posgrado'!$A$1:$D$200,4,0)</f>
        <v>36</v>
      </c>
      <c r="G35" s="149">
        <f t="shared" si="26"/>
        <v>5</v>
      </c>
      <c r="H35" s="164">
        <f t="shared" si="27"/>
        <v>0.78260869565217395</v>
      </c>
      <c r="I35" s="165">
        <f t="shared" si="28"/>
        <v>7.6996071729201837E-2</v>
      </c>
      <c r="J35" s="165">
        <f t="shared" ref="J35:J66" si="31">IFERROR((((1.65^2*0.5*0.5*($D35-F35))/(F35*($D35-1)))^0.5),"")</f>
        <v>6.4818121608766849E-2</v>
      </c>
      <c r="K35" s="165" t="s">
        <v>78</v>
      </c>
      <c r="L35" s="150">
        <f>VLOOKUP($B35,'BDD Prof. Planta'!$B$29:$G$162,6,0)</f>
        <v>6</v>
      </c>
      <c r="M35" s="150">
        <v>6</v>
      </c>
      <c r="N35" s="150">
        <f>VLOOKUP($B35,'BDD Prof. Planta'!$B$29:$L$162,11,0)</f>
        <v>5</v>
      </c>
      <c r="O35" s="150">
        <f t="shared" si="23"/>
        <v>1</v>
      </c>
      <c r="P35" s="166">
        <f t="shared" si="24"/>
        <v>0.83333333333333337</v>
      </c>
      <c r="Q35" s="167">
        <f t="shared" si="25"/>
        <v>0.19600000000000001</v>
      </c>
      <c r="R35" s="167">
        <f t="shared" si="19"/>
        <v>0.16499999999999998</v>
      </c>
      <c r="S35" s="167" t="s">
        <v>78</v>
      </c>
      <c r="T35" s="152"/>
      <c r="U35" s="152"/>
      <c r="V35" s="152"/>
      <c r="W35" s="152"/>
      <c r="X35" s="173"/>
      <c r="Y35" s="174" t="str">
        <f t="shared" si="30"/>
        <v/>
      </c>
      <c r="Z35" s="174" t="str">
        <f t="shared" si="10"/>
        <v/>
      </c>
      <c r="AA35" s="217"/>
    </row>
    <row r="36" spans="1:27" customFormat="1" ht="15" hidden="1" customHeight="1">
      <c r="A36" s="1">
        <v>66</v>
      </c>
      <c r="B36" s="191" t="s">
        <v>104</v>
      </c>
      <c r="C36" s="45" t="s">
        <v>87</v>
      </c>
      <c r="D36" s="150">
        <v>14</v>
      </c>
      <c r="E36" s="150">
        <v>14</v>
      </c>
      <c r="F36" s="150">
        <f>VLOOKUP(B36,'BDD Estudiantes Posgrado'!$A$1:$D$200,4,0)</f>
        <v>12</v>
      </c>
      <c r="G36" s="150">
        <f t="shared" si="26"/>
        <v>2</v>
      </c>
      <c r="H36" s="166">
        <f t="shared" si="27"/>
        <v>0.8571428571428571</v>
      </c>
      <c r="I36" s="167">
        <f t="shared" si="28"/>
        <v>0.11096314934617038</v>
      </c>
      <c r="J36" s="167">
        <f t="shared" si="31"/>
        <v>9.3412855316929153E-2</v>
      </c>
      <c r="K36" s="167" t="s">
        <v>78</v>
      </c>
      <c r="L36" s="149">
        <f>VLOOKUP($B36,'BDD Prof. Planta'!$B$29:$G$162,6,0)</f>
        <v>4</v>
      </c>
      <c r="M36" s="149">
        <v>4</v>
      </c>
      <c r="N36" s="149">
        <f>VLOOKUP($B36,'BDD Prof. Planta'!$B$29:$L$162,11,0)</f>
        <v>4</v>
      </c>
      <c r="O36" s="149">
        <f t="shared" si="23"/>
        <v>0</v>
      </c>
      <c r="P36" s="164">
        <f t="shared" si="24"/>
        <v>1</v>
      </c>
      <c r="Q36" s="165">
        <f t="shared" si="25"/>
        <v>0</v>
      </c>
      <c r="R36" s="165">
        <f t="shared" si="19"/>
        <v>0</v>
      </c>
      <c r="S36" s="165" t="s">
        <v>78</v>
      </c>
      <c r="T36" s="149">
        <f>VLOOKUP($B36,'BDD Prof. Catedra'!B:G,6,0)</f>
        <v>2</v>
      </c>
      <c r="U36" s="149">
        <v>2</v>
      </c>
      <c r="V36" s="149">
        <f>VLOOKUP($B36,'BDD Prof. Catedra'!$B:$J,9,0)</f>
        <v>2</v>
      </c>
      <c r="W36" s="149">
        <f t="shared" si="20"/>
        <v>0</v>
      </c>
      <c r="X36" s="164">
        <f t="shared" si="29"/>
        <v>1</v>
      </c>
      <c r="Y36" s="165">
        <f t="shared" si="30"/>
        <v>0</v>
      </c>
      <c r="Z36" s="165">
        <f t="shared" si="10"/>
        <v>0</v>
      </c>
      <c r="AA36" s="203" t="s">
        <v>78</v>
      </c>
    </row>
    <row r="37" spans="1:27" customFormat="1" ht="15" hidden="1" customHeight="1">
      <c r="A37" s="1">
        <v>72</v>
      </c>
      <c r="B37" s="191" t="s">
        <v>105</v>
      </c>
      <c r="C37" s="45" t="s">
        <v>89</v>
      </c>
      <c r="D37" s="151">
        <v>14</v>
      </c>
      <c r="E37" s="151">
        <v>14</v>
      </c>
      <c r="F37" s="151">
        <f>VLOOKUP(B37,'BDD Estudiantes Posgrado'!$A$1:$D$200,4,0)</f>
        <v>7</v>
      </c>
      <c r="G37" s="151">
        <f t="shared" si="26"/>
        <v>7</v>
      </c>
      <c r="H37" s="169">
        <f t="shared" si="27"/>
        <v>0.5</v>
      </c>
      <c r="I37" s="170">
        <f t="shared" si="28"/>
        <v>0.27180309615036224</v>
      </c>
      <c r="J37" s="170">
        <f t="shared" si="31"/>
        <v>0.228813830942907</v>
      </c>
      <c r="K37" s="170" t="s">
        <v>86</v>
      </c>
      <c r="L37" s="149">
        <f>VLOOKUP($B37,'BDD Prof. Planta'!$B$29:$G$162,6,0)</f>
        <v>5</v>
      </c>
      <c r="M37" s="149">
        <v>5</v>
      </c>
      <c r="N37" s="149">
        <f>VLOOKUP($B37,'BDD Prof. Planta'!$B$29:$L$162,11,0)</f>
        <v>5</v>
      </c>
      <c r="O37" s="149">
        <f t="shared" si="23"/>
        <v>0</v>
      </c>
      <c r="P37" s="164">
        <f t="shared" si="24"/>
        <v>1</v>
      </c>
      <c r="Q37" s="165">
        <f t="shared" si="25"/>
        <v>0</v>
      </c>
      <c r="R37" s="165">
        <f t="shared" si="19"/>
        <v>0</v>
      </c>
      <c r="S37" s="165" t="s">
        <v>78</v>
      </c>
      <c r="T37" s="152"/>
      <c r="U37" s="152"/>
      <c r="V37" s="152"/>
      <c r="W37" s="152"/>
      <c r="X37" s="173"/>
      <c r="Y37" s="174" t="str">
        <f t="shared" si="30"/>
        <v/>
      </c>
      <c r="Z37" s="174" t="str">
        <f t="shared" si="10"/>
        <v/>
      </c>
      <c r="AA37" s="217"/>
    </row>
    <row r="38" spans="1:27" customFormat="1" ht="15" customHeight="1">
      <c r="A38" s="1">
        <v>59</v>
      </c>
      <c r="B38" s="191" t="s">
        <v>106</v>
      </c>
      <c r="C38" s="45" t="s">
        <v>85</v>
      </c>
      <c r="D38" s="151">
        <v>32</v>
      </c>
      <c r="E38" s="151">
        <v>30</v>
      </c>
      <c r="F38" s="151">
        <f>VLOOKUP(B38,'BDD Estudiantes Posgrado'!$A$1:$D$200,4,0)</f>
        <v>25</v>
      </c>
      <c r="G38" s="151">
        <f t="shared" si="26"/>
        <v>5</v>
      </c>
      <c r="H38" s="169">
        <f t="shared" si="27"/>
        <v>0.78125</v>
      </c>
      <c r="I38" s="170">
        <f t="shared" si="28"/>
        <v>9.3137428809052319E-2</v>
      </c>
      <c r="J38" s="170">
        <f t="shared" si="31"/>
        <v>7.8406508946396086E-2</v>
      </c>
      <c r="K38" s="170" t="s">
        <v>86</v>
      </c>
      <c r="L38" s="149">
        <f>VLOOKUP($B38,'BDD Prof. Planta'!$B$29:$G$162,6,0)</f>
        <v>4</v>
      </c>
      <c r="M38" s="149">
        <v>4</v>
      </c>
      <c r="N38" s="149">
        <f>VLOOKUP($B38,'BDD Prof. Planta'!$B$29:$L$162,11,0)</f>
        <v>4</v>
      </c>
      <c r="O38" s="149">
        <f t="shared" si="23"/>
        <v>0</v>
      </c>
      <c r="P38" s="164">
        <f t="shared" si="24"/>
        <v>1</v>
      </c>
      <c r="Q38" s="165">
        <f t="shared" si="25"/>
        <v>0</v>
      </c>
      <c r="R38" s="165">
        <f t="shared" si="19"/>
        <v>0</v>
      </c>
      <c r="S38" s="165" t="s">
        <v>78</v>
      </c>
      <c r="T38" s="149">
        <f>VLOOKUP($B38,'BDD Prof. Catedra'!B:G,6,0)</f>
        <v>2</v>
      </c>
      <c r="U38" s="149">
        <v>2</v>
      </c>
      <c r="V38" s="149">
        <f>VLOOKUP($B38,'BDD Prof. Catedra'!$B:$J,9,0)</f>
        <v>2</v>
      </c>
      <c r="W38" s="149">
        <f t="shared" si="20"/>
        <v>0</v>
      </c>
      <c r="X38" s="164">
        <f t="shared" si="29"/>
        <v>1</v>
      </c>
      <c r="Y38" s="165">
        <f t="shared" si="30"/>
        <v>0</v>
      </c>
      <c r="Z38" s="165">
        <f t="shared" si="10"/>
        <v>0</v>
      </c>
      <c r="AA38" s="203" t="s">
        <v>78</v>
      </c>
    </row>
    <row r="39" spans="1:27" customFormat="1" ht="15" hidden="1" customHeight="1">
      <c r="A39" s="1">
        <v>201</v>
      </c>
      <c r="B39" s="191" t="s">
        <v>107</v>
      </c>
      <c r="C39" s="45" t="s">
        <v>91</v>
      </c>
      <c r="D39" s="150">
        <v>13</v>
      </c>
      <c r="E39" s="150">
        <v>13</v>
      </c>
      <c r="F39" s="150">
        <f>VLOOKUP(B39,'BDD Estudiantes Posgrado'!$A$1:$D$200,4,0)</f>
        <v>11</v>
      </c>
      <c r="G39" s="150">
        <f t="shared" si="26"/>
        <v>2</v>
      </c>
      <c r="H39" s="166">
        <f t="shared" si="27"/>
        <v>0.84615384615384615</v>
      </c>
      <c r="I39" s="167">
        <f t="shared" si="28"/>
        <v>0.12062966115974608</v>
      </c>
      <c r="J39" s="167">
        <f t="shared" si="31"/>
        <v>0.1015504800579495</v>
      </c>
      <c r="K39" s="167" t="s">
        <v>78</v>
      </c>
      <c r="L39" s="151">
        <f>VLOOKUP($B39,'BDD Prof. Planta'!$B$29:$G$201,6,0)</f>
        <v>10</v>
      </c>
      <c r="M39" s="151">
        <v>10</v>
      </c>
      <c r="N39" s="151">
        <f>VLOOKUP($B39,'BDD Prof. Planta'!$B$29:$L$201,11,0)</f>
        <v>5</v>
      </c>
      <c r="O39" s="151">
        <f t="shared" ref="O39" si="32">M39-N39</f>
        <v>5</v>
      </c>
      <c r="P39" s="169">
        <f t="shared" ref="P39" si="33">N39/L39</f>
        <v>0.5</v>
      </c>
      <c r="Q39" s="170">
        <f t="shared" ref="Q39" si="34">IFERROR((((1.96^2*0.5*0.5*($L39-N39))/(N39*($L39-1)))^0.5),"")</f>
        <v>0.32666666666666666</v>
      </c>
      <c r="R39" s="170">
        <f t="shared" si="19"/>
        <v>0.27500000000000002</v>
      </c>
      <c r="S39" s="170" t="s">
        <v>86</v>
      </c>
      <c r="T39" s="151">
        <f>VLOOKUP($B39,'BDD Prof. Catedra'!B:G,6,0)</f>
        <v>4</v>
      </c>
      <c r="U39" s="151">
        <v>4</v>
      </c>
      <c r="V39" s="151">
        <f>VLOOKUP($B39,'BDD Prof. Catedra'!$B:$J,9,0)</f>
        <v>1</v>
      </c>
      <c r="W39" s="151">
        <f t="shared" ref="W39" si="35">U39-V39</f>
        <v>3</v>
      </c>
      <c r="X39" s="169">
        <f t="shared" ref="X39" si="36">V39/T39</f>
        <v>0.25</v>
      </c>
      <c r="Y39" s="170">
        <f t="shared" ref="Y39" si="37">IFERROR((((1.96^2*0.5*0.5*($T39-V39))/(V39*($T39-1)))^0.5),"")</f>
        <v>0.98</v>
      </c>
      <c r="Z39" s="170">
        <f t="shared" si="10"/>
        <v>0.82499999999999996</v>
      </c>
      <c r="AA39" s="204" t="s">
        <v>86</v>
      </c>
    </row>
    <row r="40" spans="1:27" customFormat="1" ht="15" hidden="1" customHeight="1" thickBot="1">
      <c r="A40" s="1">
        <v>71</v>
      </c>
      <c r="B40" s="193" t="s">
        <v>108</v>
      </c>
      <c r="C40" s="194" t="s">
        <v>89</v>
      </c>
      <c r="D40" s="195">
        <v>14</v>
      </c>
      <c r="E40" s="195">
        <v>14</v>
      </c>
      <c r="F40" s="195">
        <f>VLOOKUP(B40,'BDD Estudiantes Posgrado'!$A$1:$D$200,4,0)</f>
        <v>13</v>
      </c>
      <c r="G40" s="195">
        <f t="shared" si="26"/>
        <v>1</v>
      </c>
      <c r="H40" s="197">
        <f t="shared" si="27"/>
        <v>0.9285714285714286</v>
      </c>
      <c r="I40" s="198">
        <f t="shared" si="28"/>
        <v>7.5384615384615383E-2</v>
      </c>
      <c r="J40" s="198">
        <f t="shared" si="31"/>
        <v>6.3461538461538458E-2</v>
      </c>
      <c r="K40" s="198" t="s">
        <v>78</v>
      </c>
      <c r="L40" s="195">
        <f>VLOOKUP($B40,'BDD Prof. Planta'!$B$29:$G$162,6,0)</f>
        <v>2</v>
      </c>
      <c r="M40" s="195">
        <v>2</v>
      </c>
      <c r="N40" s="195">
        <f>VLOOKUP($B40,'BDD Prof. Planta'!$B$29:$L$162,11,0)</f>
        <v>2</v>
      </c>
      <c r="O40" s="195">
        <f t="shared" si="23"/>
        <v>0</v>
      </c>
      <c r="P40" s="197">
        <f t="shared" si="24"/>
        <v>1</v>
      </c>
      <c r="Q40" s="198">
        <f t="shared" si="25"/>
        <v>0</v>
      </c>
      <c r="R40" s="198">
        <f t="shared" si="19"/>
        <v>0</v>
      </c>
      <c r="S40" s="198" t="s">
        <v>78</v>
      </c>
      <c r="T40" s="218"/>
      <c r="U40" s="218"/>
      <c r="V40" s="218"/>
      <c r="W40" s="218"/>
      <c r="X40" s="219"/>
      <c r="Y40" s="220" t="str">
        <f t="shared" si="30"/>
        <v/>
      </c>
      <c r="Z40" s="220" t="str">
        <f t="shared" si="10"/>
        <v/>
      </c>
      <c r="AA40" s="221"/>
    </row>
    <row r="41" spans="1:27" customFormat="1" ht="15" hidden="1" customHeight="1">
      <c r="A41" s="1">
        <v>1</v>
      </c>
      <c r="B41" s="182" t="s">
        <v>109</v>
      </c>
      <c r="C41" s="183" t="s">
        <v>90</v>
      </c>
      <c r="D41" s="222">
        <v>18</v>
      </c>
      <c r="E41" s="222">
        <v>17</v>
      </c>
      <c r="F41" s="222">
        <f>VLOOKUP(B41,'BDD Estudiantes Posgrado'!$A$1:$D$200,4,0)</f>
        <v>7</v>
      </c>
      <c r="G41" s="222">
        <f t="shared" si="26"/>
        <v>10</v>
      </c>
      <c r="H41" s="223">
        <f t="shared" si="27"/>
        <v>0.3888888888888889</v>
      </c>
      <c r="I41" s="224">
        <f t="shared" si="28"/>
        <v>0.29795380613147954</v>
      </c>
      <c r="J41" s="224">
        <f t="shared" si="31"/>
        <v>0.25082845924333735</v>
      </c>
      <c r="K41" s="224" t="s">
        <v>86</v>
      </c>
      <c r="L41" s="184">
        <f>VLOOKUP($B41,'BDD Prof. Planta'!$B$29:$G$162,6,0)</f>
        <v>1</v>
      </c>
      <c r="M41" s="184">
        <v>1</v>
      </c>
      <c r="N41" s="184">
        <f>VLOOKUP($B41,'BDD Prof. Planta'!$B$29:$L$162,11,0)</f>
        <v>1</v>
      </c>
      <c r="O41" s="184">
        <f t="shared" si="23"/>
        <v>0</v>
      </c>
      <c r="P41" s="186">
        <f t="shared" si="24"/>
        <v>1</v>
      </c>
      <c r="Q41" s="187">
        <v>0</v>
      </c>
      <c r="R41" s="187">
        <f>IFERROR((((1.65^2*0.5*0.5*($L41-N41))/(N41*($L41-1)))^0.5),0)</f>
        <v>0</v>
      </c>
      <c r="S41" s="187" t="s">
        <v>78</v>
      </c>
      <c r="T41" s="213"/>
      <c r="U41" s="213"/>
      <c r="V41" s="213"/>
      <c r="W41" s="213"/>
      <c r="X41" s="214"/>
      <c r="Y41" s="215" t="str">
        <f t="shared" si="30"/>
        <v/>
      </c>
      <c r="Z41" s="215" t="str">
        <f t="shared" si="10"/>
        <v/>
      </c>
      <c r="AA41" s="216"/>
    </row>
    <row r="42" spans="1:27" customFormat="1" ht="15" hidden="1" customHeight="1">
      <c r="A42" s="1">
        <v>2</v>
      </c>
      <c r="B42" s="191" t="s">
        <v>110</v>
      </c>
      <c r="C42" s="45" t="s">
        <v>90</v>
      </c>
      <c r="D42" s="149">
        <v>24</v>
      </c>
      <c r="E42" s="149">
        <v>23</v>
      </c>
      <c r="F42" s="149">
        <f>VLOOKUP(B42,'BDD Estudiantes Posgrado'!$A$1:$D$200,4,0)</f>
        <v>23</v>
      </c>
      <c r="G42" s="149">
        <f t="shared" si="26"/>
        <v>0</v>
      </c>
      <c r="H42" s="164">
        <f t="shared" si="27"/>
        <v>0.95833333333333337</v>
      </c>
      <c r="I42" s="165">
        <f t="shared" si="28"/>
        <v>4.2608695652173914E-2</v>
      </c>
      <c r="J42" s="165">
        <f t="shared" si="31"/>
        <v>3.5869565217391305E-2</v>
      </c>
      <c r="K42" s="165" t="s">
        <v>78</v>
      </c>
      <c r="L42" s="149">
        <f>VLOOKUP($B42,'BDD Prof. Planta'!$B$29:$G$162,6,0)</f>
        <v>3</v>
      </c>
      <c r="M42" s="149">
        <v>3</v>
      </c>
      <c r="N42" s="149">
        <f>VLOOKUP($B42,'BDD Prof. Planta'!$B$29:$L$162,11,0)</f>
        <v>3</v>
      </c>
      <c r="O42" s="149">
        <f t="shared" si="23"/>
        <v>0</v>
      </c>
      <c r="P42" s="164">
        <f t="shared" si="24"/>
        <v>1</v>
      </c>
      <c r="Q42" s="165">
        <f t="shared" si="25"/>
        <v>0</v>
      </c>
      <c r="R42" s="165">
        <f>IFERROR((((1.65^2*0.5*0.5*($L42-N42))/(N42*($L42-1)))^0.5),"")</f>
        <v>0</v>
      </c>
      <c r="S42" s="165" t="s">
        <v>78</v>
      </c>
      <c r="T42" s="151">
        <f>VLOOKUP($B42,'BDD Prof. Catedra'!B:G,6,0)</f>
        <v>3</v>
      </c>
      <c r="U42" s="151">
        <v>3</v>
      </c>
      <c r="V42" s="151">
        <f>VLOOKUP($B42,'BDD Prof. Catedra'!$B:$J,9,0)</f>
        <v>2</v>
      </c>
      <c r="W42" s="151">
        <f t="shared" si="20"/>
        <v>1</v>
      </c>
      <c r="X42" s="169">
        <f t="shared" si="29"/>
        <v>0.66666666666666663</v>
      </c>
      <c r="Y42" s="170">
        <f t="shared" si="30"/>
        <v>0.49</v>
      </c>
      <c r="Z42" s="170">
        <f t="shared" si="10"/>
        <v>0.41249999999999998</v>
      </c>
      <c r="AA42" s="204" t="s">
        <v>86</v>
      </c>
    </row>
    <row r="43" spans="1:27" customFormat="1" ht="15" hidden="1" customHeight="1">
      <c r="A43" s="1">
        <v>3</v>
      </c>
      <c r="B43" s="191" t="s">
        <v>111</v>
      </c>
      <c r="C43" s="45" t="s">
        <v>90</v>
      </c>
      <c r="D43" s="150">
        <v>5</v>
      </c>
      <c r="E43" s="150">
        <v>5</v>
      </c>
      <c r="F43" s="150">
        <f>VLOOKUP(B43,'BDD Estudiantes Posgrado'!$A$1:$D$200,4,0)</f>
        <v>4</v>
      </c>
      <c r="G43" s="150">
        <f t="shared" ref="G43:G60" si="38">E43-F43</f>
        <v>1</v>
      </c>
      <c r="H43" s="166">
        <f t="shared" ref="H43:H60" si="39">F43/D43</f>
        <v>0.8</v>
      </c>
      <c r="I43" s="167">
        <f t="shared" ref="I43:I60" si="40">IFERROR((((1.96^2*0.5*0.5*($D43-F43))/(F43*($D43-1)))^0.5),"")</f>
        <v>0.245</v>
      </c>
      <c r="J43" s="167">
        <f t="shared" si="31"/>
        <v>0.20624999999999999</v>
      </c>
      <c r="K43" s="167" t="s">
        <v>78</v>
      </c>
      <c r="L43" s="149">
        <f>VLOOKUP($B43,'BDD Prof. Planta'!$B$29:$G$162,6,0)</f>
        <v>1</v>
      </c>
      <c r="M43" s="149">
        <v>1</v>
      </c>
      <c r="N43" s="149">
        <f>VLOOKUP($B43,'BDD Prof. Planta'!$B$29:$L$162,11,0)</f>
        <v>1</v>
      </c>
      <c r="O43" s="149">
        <f>M43-N43</f>
        <v>0</v>
      </c>
      <c r="P43" s="164">
        <f>N43/L43</f>
        <v>1</v>
      </c>
      <c r="Q43" s="165">
        <v>0</v>
      </c>
      <c r="R43" s="165">
        <f>IFERROR((((1.65^2*0.5*0.5*($L43-N43))/(N43*($L43-1)))^0.5),0)</f>
        <v>0</v>
      </c>
      <c r="S43" s="165" t="s">
        <v>78</v>
      </c>
      <c r="T43" s="149">
        <f>VLOOKUP($B43,'BDD Prof. Catedra'!B:G,6,0)</f>
        <v>1</v>
      </c>
      <c r="U43" s="149">
        <v>1</v>
      </c>
      <c r="V43" s="149">
        <f>VLOOKUP($B43,'BDD Prof. Catedra'!$B:$J,9,0)</f>
        <v>1</v>
      </c>
      <c r="W43" s="149">
        <f>U43-V43</f>
        <v>0</v>
      </c>
      <c r="X43" s="164">
        <f>V43/T43</f>
        <v>1</v>
      </c>
      <c r="Y43" s="165">
        <v>0</v>
      </c>
      <c r="Z43" s="165">
        <f>IFERROR((((1.65^2*0.5*0.5*($T43-V43))/(V43*($T43-1)))^0.5),0)</f>
        <v>0</v>
      </c>
      <c r="AA43" s="203" t="s">
        <v>78</v>
      </c>
    </row>
    <row r="44" spans="1:27" customFormat="1" ht="15" hidden="1" customHeight="1">
      <c r="A44" s="1">
        <v>106</v>
      </c>
      <c r="B44" s="191" t="s">
        <v>112</v>
      </c>
      <c r="C44" s="45" t="s">
        <v>90</v>
      </c>
      <c r="D44" s="149">
        <v>5</v>
      </c>
      <c r="E44" s="149">
        <v>5</v>
      </c>
      <c r="F44" s="149">
        <f>VLOOKUP(B44,'BDD Estudiantes Posgrado'!$A$1:$D$200,4,0)</f>
        <v>5</v>
      </c>
      <c r="G44" s="149">
        <f t="shared" si="38"/>
        <v>0</v>
      </c>
      <c r="H44" s="164">
        <f t="shared" si="39"/>
        <v>1</v>
      </c>
      <c r="I44" s="165">
        <f t="shared" si="40"/>
        <v>0</v>
      </c>
      <c r="J44" s="165">
        <f t="shared" si="31"/>
        <v>0</v>
      </c>
      <c r="K44" s="165" t="s">
        <v>78</v>
      </c>
      <c r="L44" s="151">
        <f>VLOOKUP($B44,'BDD Prof. Planta'!$B$29:$G$162,6,0)</f>
        <v>3</v>
      </c>
      <c r="M44" s="151">
        <v>3</v>
      </c>
      <c r="N44" s="151">
        <f>VLOOKUP($B44,'BDD Prof. Planta'!$B$29:$L$162,11,0)</f>
        <v>2</v>
      </c>
      <c r="O44" s="151">
        <f t="shared" ref="O44" si="41">M44-N44</f>
        <v>1</v>
      </c>
      <c r="P44" s="169">
        <f t="shared" ref="P44" si="42">N44/L44</f>
        <v>0.66666666666666663</v>
      </c>
      <c r="Q44" s="170">
        <f t="shared" ref="Q44" si="43">IFERROR((((1.96^2*0.5*0.5*($L44-N44))/(N44*($L44-1)))^0.5),"")</f>
        <v>0.49</v>
      </c>
      <c r="R44" s="170">
        <f t="shared" ref="R44" si="44">IFERROR((((1.65^2*0.5*0.5*($L44-N44))/(N44*($L44-1)))^0.5),"")</f>
        <v>0.41249999999999998</v>
      </c>
      <c r="S44" s="170" t="s">
        <v>86</v>
      </c>
      <c r="T44" s="152"/>
      <c r="U44" s="152"/>
      <c r="V44" s="152"/>
      <c r="W44" s="152"/>
      <c r="X44" s="173"/>
      <c r="Y44" s="174"/>
      <c r="Z44" s="174" t="str">
        <f t="shared" si="10"/>
        <v/>
      </c>
      <c r="AA44" s="217"/>
    </row>
    <row r="45" spans="1:27" customFormat="1" ht="15" hidden="1" customHeight="1">
      <c r="A45" s="1">
        <v>4</v>
      </c>
      <c r="B45" s="191" t="s">
        <v>113</v>
      </c>
      <c r="C45" s="45" t="s">
        <v>90</v>
      </c>
      <c r="D45" s="151">
        <v>3</v>
      </c>
      <c r="E45" s="151">
        <v>3</v>
      </c>
      <c r="F45" s="151">
        <f>VLOOKUP(B45,'BDD Estudiantes Posgrado'!$A$1:$D$200,4,0)</f>
        <v>1</v>
      </c>
      <c r="G45" s="151">
        <f t="shared" si="38"/>
        <v>2</v>
      </c>
      <c r="H45" s="169">
        <f t="shared" si="39"/>
        <v>0.33333333333333331</v>
      </c>
      <c r="I45" s="170">
        <f t="shared" si="40"/>
        <v>0.98</v>
      </c>
      <c r="J45" s="170">
        <f t="shared" si="31"/>
        <v>0.82499999999999996</v>
      </c>
      <c r="K45" s="170" t="s">
        <v>86</v>
      </c>
      <c r="L45" s="152"/>
      <c r="M45" s="152"/>
      <c r="N45" s="152"/>
      <c r="O45" s="152"/>
      <c r="P45" s="173"/>
      <c r="Q45" s="174" t="str">
        <f>IFERROR((((1.96^2*0.5*0.5*($L45-N45))/(N45*($L45-1)))^0.5),"")</f>
        <v/>
      </c>
      <c r="R45" s="174" t="str">
        <f>IFERROR((((1.65^2*0.5*0.5*($L45-N45))/(N45*($L45-1)))^0.5),"")</f>
        <v/>
      </c>
      <c r="S45" s="174"/>
      <c r="T45" s="152">
        <f>VLOOKUP($B45,'BDD Prof. Catedra'!B:G,6,0)</f>
        <v>1</v>
      </c>
      <c r="U45" s="152">
        <v>1</v>
      </c>
      <c r="V45" s="152">
        <f>VLOOKUP($B45,'BDD Prof. Catedra'!$B:$J,9,0)</f>
        <v>0</v>
      </c>
      <c r="W45" s="152">
        <f>U45-V45</f>
        <v>1</v>
      </c>
      <c r="X45" s="173">
        <f>V45/T45</f>
        <v>0</v>
      </c>
      <c r="Y45" s="174" t="str">
        <f>IFERROR((((1.96^2*0.5*0.5*($T45-V45))/(V45*($T45-1)))^0.5),"")</f>
        <v/>
      </c>
      <c r="Z45" s="174" t="str">
        <f t="shared" si="10"/>
        <v/>
      </c>
      <c r="AA45" s="217"/>
    </row>
    <row r="46" spans="1:27" customFormat="1" ht="15" hidden="1" customHeight="1">
      <c r="A46" s="1">
        <v>5</v>
      </c>
      <c r="B46" s="191" t="s">
        <v>114</v>
      </c>
      <c r="C46" s="45" t="s">
        <v>90</v>
      </c>
      <c r="D46" s="150">
        <v>12</v>
      </c>
      <c r="E46" s="150">
        <v>12</v>
      </c>
      <c r="F46" s="150">
        <f>VLOOKUP(B46,'BDD Estudiantes Posgrado'!$A$1:$D$200,4,0)</f>
        <v>10</v>
      </c>
      <c r="G46" s="150">
        <f t="shared" si="38"/>
        <v>2</v>
      </c>
      <c r="H46" s="166">
        <f t="shared" si="39"/>
        <v>0.83333333333333337</v>
      </c>
      <c r="I46" s="167">
        <f t="shared" si="40"/>
        <v>0.13214317304279544</v>
      </c>
      <c r="J46" s="167">
        <f t="shared" si="31"/>
        <v>0.11124297730643494</v>
      </c>
      <c r="K46" s="167" t="s">
        <v>78</v>
      </c>
      <c r="L46" s="151">
        <f>VLOOKUP($B46,'BDD Prof. Planta'!$B$29:$G$162,6,0)</f>
        <v>3</v>
      </c>
      <c r="M46" s="151">
        <v>3</v>
      </c>
      <c r="N46" s="151">
        <f>VLOOKUP($B46,'BDD Prof. Planta'!$B$29:$L$162,11,0)</f>
        <v>2</v>
      </c>
      <c r="O46" s="151">
        <f>M46-N46</f>
        <v>1</v>
      </c>
      <c r="P46" s="169">
        <f>N46/L46</f>
        <v>0.66666666666666663</v>
      </c>
      <c r="Q46" s="170">
        <f>IFERROR((((1.96^2*0.5*0.5*($L46-N46))/(N46*($L46-1)))^0.5),"")</f>
        <v>0.49</v>
      </c>
      <c r="R46" s="170">
        <f>IFERROR((((1.65^2*0.5*0.5*($L46-N46))/(N46*($L46-1)))^0.5),"")</f>
        <v>0.41249999999999998</v>
      </c>
      <c r="S46" s="170" t="s">
        <v>86</v>
      </c>
      <c r="T46" s="151">
        <f>VLOOKUP($B46,'BDD Prof. Catedra'!B:G,6,0)</f>
        <v>4</v>
      </c>
      <c r="U46" s="151">
        <v>4</v>
      </c>
      <c r="V46" s="151">
        <f>VLOOKUP($B46,'BDD Prof. Catedra'!$B:$J,9,0)</f>
        <v>2</v>
      </c>
      <c r="W46" s="151">
        <f>U46-V46</f>
        <v>2</v>
      </c>
      <c r="X46" s="169">
        <f>V46/T46</f>
        <v>0.5</v>
      </c>
      <c r="Y46" s="170">
        <f>IFERROR((((1.96^2*0.5*0.5*($T46-V46))/(V46*($T46-1)))^0.5),"")</f>
        <v>0.56580326380583323</v>
      </c>
      <c r="Z46" s="170">
        <f t="shared" si="10"/>
        <v>0.47631397208144122</v>
      </c>
      <c r="AA46" s="204" t="s">
        <v>86</v>
      </c>
    </row>
    <row r="47" spans="1:27" customFormat="1" ht="15" hidden="1" customHeight="1">
      <c r="A47" s="1">
        <v>6</v>
      </c>
      <c r="B47" s="191" t="s">
        <v>115</v>
      </c>
      <c r="C47" s="45" t="s">
        <v>90</v>
      </c>
      <c r="D47" s="151">
        <v>14</v>
      </c>
      <c r="E47" s="151">
        <v>14</v>
      </c>
      <c r="F47" s="151">
        <f>VLOOKUP(B47,'BDD Estudiantes Posgrado'!$A$1:$D$200,4,0)</f>
        <v>10</v>
      </c>
      <c r="G47" s="151">
        <f t="shared" si="38"/>
        <v>4</v>
      </c>
      <c r="H47" s="169">
        <f t="shared" si="39"/>
        <v>0.7142857142857143</v>
      </c>
      <c r="I47" s="170">
        <f t="shared" si="40"/>
        <v>0.17190337178417772</v>
      </c>
      <c r="J47" s="170">
        <f t="shared" si="31"/>
        <v>0.14471457318565981</v>
      </c>
      <c r="K47" s="170" t="s">
        <v>86</v>
      </c>
      <c r="L47" s="149">
        <f>VLOOKUP($B47,'BDD Prof. Planta'!$B$29:$G$162,6,0)</f>
        <v>1</v>
      </c>
      <c r="M47" s="149">
        <v>1</v>
      </c>
      <c r="N47" s="149">
        <f>VLOOKUP($B47,'BDD Prof. Planta'!$B$29:$L$162,11,0)</f>
        <v>1</v>
      </c>
      <c r="O47" s="149">
        <f>M47-N47</f>
        <v>0</v>
      </c>
      <c r="P47" s="164">
        <f>N47/L47</f>
        <v>1</v>
      </c>
      <c r="Q47" s="165">
        <v>0</v>
      </c>
      <c r="R47" s="165">
        <f>IFERROR((((1.65^2*0.5*0.5*($L47-N47))/(N47*($L47-1)))^0.5),0)</f>
        <v>0</v>
      </c>
      <c r="S47" s="165" t="s">
        <v>78</v>
      </c>
      <c r="T47" s="152"/>
      <c r="U47" s="152"/>
      <c r="V47" s="152"/>
      <c r="W47" s="152"/>
      <c r="X47" s="173"/>
      <c r="Y47" s="174" t="str">
        <f>IFERROR((((1.96^2*0.5*0.5*($T47-V47))/(V47*($T47-1)))^0.5),"")</f>
        <v/>
      </c>
      <c r="Z47" s="174" t="str">
        <f t="shared" si="10"/>
        <v/>
      </c>
      <c r="AA47" s="217"/>
    </row>
    <row r="48" spans="1:27" customFormat="1" ht="15" hidden="1" customHeight="1">
      <c r="A48" s="1">
        <v>17</v>
      </c>
      <c r="B48" s="191" t="s">
        <v>116</v>
      </c>
      <c r="C48" s="45" t="s">
        <v>90</v>
      </c>
      <c r="D48" s="151">
        <v>4</v>
      </c>
      <c r="E48" s="151">
        <v>4</v>
      </c>
      <c r="F48" s="151">
        <f>VLOOKUP(B48,'BDD Estudiantes Posgrado'!$A$1:$D$200,4,0)</f>
        <v>3</v>
      </c>
      <c r="G48" s="151">
        <f t="shared" si="38"/>
        <v>1</v>
      </c>
      <c r="H48" s="169">
        <f t="shared" si="39"/>
        <v>0.75</v>
      </c>
      <c r="I48" s="170">
        <f t="shared" si="40"/>
        <v>0.32666666666666666</v>
      </c>
      <c r="J48" s="170">
        <f t="shared" si="31"/>
        <v>0.27500000000000002</v>
      </c>
      <c r="K48" s="170" t="s">
        <v>86</v>
      </c>
      <c r="L48" s="152"/>
      <c r="M48" s="152"/>
      <c r="N48" s="152"/>
      <c r="O48" s="152"/>
      <c r="P48" s="173"/>
      <c r="Q48" s="174" t="str">
        <f t="shared" ref="Q48:Q53" si="45">IFERROR((((1.96^2*0.5*0.5*($L48-N48))/(N48*($L48-1)))^0.5),"")</f>
        <v/>
      </c>
      <c r="R48" s="174" t="str">
        <f t="shared" ref="R48:R53" si="46">IFERROR((((1.65^2*0.5*0.5*($L48-N48))/(N48*($L48-1)))^0.5),"")</f>
        <v/>
      </c>
      <c r="S48" s="174"/>
      <c r="T48" s="152">
        <f>VLOOKUP($B48,'BDD Prof. Catedra'!B:G,6,0)</f>
        <v>1</v>
      </c>
      <c r="U48" s="152">
        <v>1</v>
      </c>
      <c r="V48" s="152">
        <f>VLOOKUP($B48,'BDD Prof. Catedra'!$B:$J,9,0)</f>
        <v>0</v>
      </c>
      <c r="W48" s="152">
        <f>U48-V48</f>
        <v>1</v>
      </c>
      <c r="X48" s="173">
        <f>V48/T48</f>
        <v>0</v>
      </c>
      <c r="Y48" s="174" t="str">
        <f>IFERROR((((1.96^2*0.5*0.5*($T48-V48))/(V48*($T48-1)))^0.5),"")</f>
        <v/>
      </c>
      <c r="Z48" s="174" t="str">
        <f t="shared" si="10"/>
        <v/>
      </c>
      <c r="AA48" s="217"/>
    </row>
    <row r="49" spans="1:27" customFormat="1" ht="15" hidden="1" customHeight="1">
      <c r="A49" s="1">
        <v>7</v>
      </c>
      <c r="B49" s="191" t="s">
        <v>117</v>
      </c>
      <c r="C49" s="45" t="s">
        <v>90</v>
      </c>
      <c r="D49" s="151">
        <v>33</v>
      </c>
      <c r="E49" s="151">
        <v>30</v>
      </c>
      <c r="F49" s="151">
        <f>VLOOKUP(B49,'BDD Estudiantes Posgrado'!$A$1:$D$200,4,0)</f>
        <v>10</v>
      </c>
      <c r="G49" s="151">
        <f t="shared" si="38"/>
        <v>20</v>
      </c>
      <c r="H49" s="169">
        <f t="shared" si="39"/>
        <v>0.30303030303030304</v>
      </c>
      <c r="I49" s="170">
        <f t="shared" si="40"/>
        <v>0.26273322972170843</v>
      </c>
      <c r="J49" s="170">
        <f t="shared" si="31"/>
        <v>0.2211784842044994</v>
      </c>
      <c r="K49" s="170" t="s">
        <v>86</v>
      </c>
      <c r="L49" s="152"/>
      <c r="M49" s="152"/>
      <c r="N49" s="152"/>
      <c r="O49" s="152"/>
      <c r="P49" s="173"/>
      <c r="Q49" s="174" t="str">
        <f t="shared" si="45"/>
        <v/>
      </c>
      <c r="R49" s="174" t="str">
        <f t="shared" si="46"/>
        <v/>
      </c>
      <c r="S49" s="174"/>
      <c r="T49" s="152">
        <f>VLOOKUP($B49,'BDD Prof. Catedra'!B:G,6,0)</f>
        <v>1</v>
      </c>
      <c r="U49" s="152">
        <v>1</v>
      </c>
      <c r="V49" s="152">
        <f>VLOOKUP($B49,'BDD Prof. Catedra'!$B:$J,9,0)</f>
        <v>0</v>
      </c>
      <c r="W49" s="152">
        <f>U49-V49</f>
        <v>1</v>
      </c>
      <c r="X49" s="173">
        <f>V49/T49</f>
        <v>0</v>
      </c>
      <c r="Y49" s="174" t="str">
        <f>IFERROR((((1.96^2*0.5*0.5*($T49-V49))/(V49*($T49-1)))^0.5),"")</f>
        <v/>
      </c>
      <c r="Z49" s="174" t="str">
        <f t="shared" si="10"/>
        <v/>
      </c>
      <c r="AA49" s="217"/>
    </row>
    <row r="50" spans="1:27" customFormat="1" ht="15" hidden="1" customHeight="1">
      <c r="A50" s="1">
        <v>18</v>
      </c>
      <c r="B50" s="191" t="s">
        <v>118</v>
      </c>
      <c r="C50" s="45" t="s">
        <v>90</v>
      </c>
      <c r="D50" s="151">
        <v>19</v>
      </c>
      <c r="E50" s="151">
        <v>18</v>
      </c>
      <c r="F50" s="151">
        <f>VLOOKUP(B50,'BDD Estudiantes Posgrado'!$A$1:$D$200,4,0)</f>
        <v>13</v>
      </c>
      <c r="G50" s="151">
        <f t="shared" si="38"/>
        <v>5</v>
      </c>
      <c r="H50" s="169">
        <f t="shared" si="39"/>
        <v>0.68421052631578949</v>
      </c>
      <c r="I50" s="170">
        <f t="shared" si="40"/>
        <v>0.15692559072898538</v>
      </c>
      <c r="J50" s="170">
        <f t="shared" si="31"/>
        <v>0.13210572688919686</v>
      </c>
      <c r="K50" s="170" t="s">
        <v>86</v>
      </c>
      <c r="L50" s="149">
        <f>VLOOKUP($B50,'BDD Prof. Planta'!$B$29:$G$162,6,0)</f>
        <v>2</v>
      </c>
      <c r="M50" s="149">
        <v>2</v>
      </c>
      <c r="N50" s="149">
        <f>VLOOKUP($B50,'BDD Prof. Planta'!$B$29:$L$162,11,0)</f>
        <v>2</v>
      </c>
      <c r="O50" s="149">
        <f>M50-N50</f>
        <v>0</v>
      </c>
      <c r="P50" s="164">
        <f>N50/L50</f>
        <v>1</v>
      </c>
      <c r="Q50" s="165">
        <f t="shared" si="45"/>
        <v>0</v>
      </c>
      <c r="R50" s="165">
        <f t="shared" si="46"/>
        <v>0</v>
      </c>
      <c r="S50" s="165" t="s">
        <v>78</v>
      </c>
      <c r="T50" s="149">
        <f>VLOOKUP($B50,'BDD Prof. Catedra'!B:G,6,0)</f>
        <v>1</v>
      </c>
      <c r="U50" s="149">
        <v>1</v>
      </c>
      <c r="V50" s="149">
        <f>VLOOKUP($B50,'BDD Prof. Catedra'!$B:$J,9,0)</f>
        <v>1</v>
      </c>
      <c r="W50" s="149">
        <f>U50-V50</f>
        <v>0</v>
      </c>
      <c r="X50" s="164">
        <f>V50/T50</f>
        <v>1</v>
      </c>
      <c r="Y50" s="165">
        <v>0</v>
      </c>
      <c r="Z50" s="165">
        <f>IFERROR((((1.65^2*0.5*0.5*($T50-V50))/(V50*($T50-1)))^0.5),0)</f>
        <v>0</v>
      </c>
      <c r="AA50" s="203" t="s">
        <v>78</v>
      </c>
    </row>
    <row r="51" spans="1:27" customFormat="1" ht="15" hidden="1" customHeight="1">
      <c r="A51" s="1">
        <v>8</v>
      </c>
      <c r="B51" s="191" t="s">
        <v>119</v>
      </c>
      <c r="C51" s="45" t="s">
        <v>90</v>
      </c>
      <c r="D51" s="151">
        <v>31</v>
      </c>
      <c r="E51" s="151">
        <v>29</v>
      </c>
      <c r="F51" s="151">
        <f>VLOOKUP(B51,'BDD Estudiantes Posgrado'!$A$1:$D$200,4,0)</f>
        <v>20</v>
      </c>
      <c r="G51" s="151">
        <f t="shared" si="38"/>
        <v>9</v>
      </c>
      <c r="H51" s="169">
        <f t="shared" si="39"/>
        <v>0.64516129032258063</v>
      </c>
      <c r="I51" s="170">
        <f t="shared" si="40"/>
        <v>0.13269262727572068</v>
      </c>
      <c r="J51" s="170">
        <f t="shared" si="31"/>
        <v>0.11170552806374445</v>
      </c>
      <c r="K51" s="170" t="s">
        <v>86</v>
      </c>
      <c r="L51" s="149">
        <f>VLOOKUP($B51,'BDD Prof. Planta'!$B$29:$G$162,6,0)</f>
        <v>4</v>
      </c>
      <c r="M51" s="149">
        <v>4</v>
      </c>
      <c r="N51" s="149">
        <f>VLOOKUP($B51,'BDD Prof. Planta'!$B$29:$L$162,11,0)</f>
        <v>4</v>
      </c>
      <c r="O51" s="149">
        <f>M51-N51</f>
        <v>0</v>
      </c>
      <c r="P51" s="164">
        <f>N51/L51</f>
        <v>1</v>
      </c>
      <c r="Q51" s="165">
        <f t="shared" si="45"/>
        <v>0</v>
      </c>
      <c r="R51" s="165">
        <f t="shared" si="46"/>
        <v>0</v>
      </c>
      <c r="S51" s="165" t="s">
        <v>78</v>
      </c>
      <c r="T51" s="151">
        <f>VLOOKUP($B51,'BDD Prof. Catedra'!B:G,6,0)</f>
        <v>10</v>
      </c>
      <c r="U51" s="151">
        <v>10</v>
      </c>
      <c r="V51" s="151">
        <f>VLOOKUP($B51,'BDD Prof. Catedra'!$B:$J,9,0)</f>
        <v>3</v>
      </c>
      <c r="W51" s="151">
        <f>U51-V51</f>
        <v>7</v>
      </c>
      <c r="X51" s="169">
        <f>V51/T51</f>
        <v>0.3</v>
      </c>
      <c r="Y51" s="170">
        <f>IFERROR((((1.96^2*0.5*0.5*($T51-V51))/(V51*($T51-1)))^0.5),"")</f>
        <v>0.4989915756729692</v>
      </c>
      <c r="Z51" s="170">
        <f t="shared" si="10"/>
        <v>0.42006943870428531</v>
      </c>
      <c r="AA51" s="204" t="s">
        <v>86</v>
      </c>
    </row>
    <row r="52" spans="1:27" customFormat="1" ht="15" hidden="1" customHeight="1">
      <c r="A52" s="1">
        <v>9</v>
      </c>
      <c r="B52" s="191" t="s">
        <v>120</v>
      </c>
      <c r="C52" s="45" t="s">
        <v>90</v>
      </c>
      <c r="D52" s="149">
        <v>12</v>
      </c>
      <c r="E52" s="149">
        <v>12</v>
      </c>
      <c r="F52" s="149">
        <f>VLOOKUP(B52,'BDD Estudiantes Posgrado'!$A$1:$D$200,4,0)</f>
        <v>12</v>
      </c>
      <c r="G52" s="149">
        <f t="shared" si="38"/>
        <v>0</v>
      </c>
      <c r="H52" s="164">
        <f t="shared" si="39"/>
        <v>1</v>
      </c>
      <c r="I52" s="165">
        <f t="shared" si="40"/>
        <v>0</v>
      </c>
      <c r="J52" s="165">
        <f t="shared" si="31"/>
        <v>0</v>
      </c>
      <c r="K52" s="165" t="s">
        <v>78</v>
      </c>
      <c r="L52" s="152"/>
      <c r="M52" s="152"/>
      <c r="N52" s="152"/>
      <c r="O52" s="152"/>
      <c r="P52" s="173"/>
      <c r="Q52" s="174" t="str">
        <f t="shared" si="45"/>
        <v/>
      </c>
      <c r="R52" s="174" t="str">
        <f t="shared" si="46"/>
        <v/>
      </c>
      <c r="S52" s="174"/>
      <c r="T52" s="149">
        <f>VLOOKUP($B52,'BDD Prof. Catedra'!B:G,6,0)</f>
        <v>1</v>
      </c>
      <c r="U52" s="149">
        <v>1</v>
      </c>
      <c r="V52" s="149">
        <f>VLOOKUP($B52,'BDD Prof. Catedra'!$B:$J,9,0)</f>
        <v>1</v>
      </c>
      <c r="W52" s="149">
        <f>U52-V52</f>
        <v>0</v>
      </c>
      <c r="X52" s="164">
        <f>V52/T52</f>
        <v>1</v>
      </c>
      <c r="Y52" s="165">
        <v>0</v>
      </c>
      <c r="Z52" s="165">
        <f>IFERROR((((1.65^2*0.5*0.5*($T52-V52))/(V52*($T52-1)))^0.5),0)</f>
        <v>0</v>
      </c>
      <c r="AA52" s="203" t="s">
        <v>78</v>
      </c>
    </row>
    <row r="53" spans="1:27" customFormat="1" ht="15" hidden="1" customHeight="1">
      <c r="A53" s="1">
        <v>10</v>
      </c>
      <c r="B53" s="191" t="s">
        <v>121</v>
      </c>
      <c r="C53" s="45" t="s">
        <v>90</v>
      </c>
      <c r="D53" s="151">
        <v>35</v>
      </c>
      <c r="E53" s="151">
        <v>32</v>
      </c>
      <c r="F53" s="151">
        <f>VLOOKUP(B53,'BDD Estudiantes Posgrado'!$A$1:$D$200,4,0)</f>
        <v>17</v>
      </c>
      <c r="G53" s="151">
        <f t="shared" si="38"/>
        <v>15</v>
      </c>
      <c r="H53" s="169">
        <f t="shared" si="39"/>
        <v>0.48571428571428571</v>
      </c>
      <c r="I53" s="170">
        <f t="shared" si="40"/>
        <v>0.17294117647058824</v>
      </c>
      <c r="J53" s="170">
        <f t="shared" si="31"/>
        <v>0.14558823529411763</v>
      </c>
      <c r="K53" s="170" t="s">
        <v>86</v>
      </c>
      <c r="L53" s="149">
        <f>VLOOKUP($B53,'BDD Prof. Planta'!$B$29:$G$162,6,0)</f>
        <v>2</v>
      </c>
      <c r="M53" s="149">
        <v>2</v>
      </c>
      <c r="N53" s="149">
        <f>VLOOKUP($B53,'BDD Prof. Planta'!$B$29:$L$162,11,0)</f>
        <v>2</v>
      </c>
      <c r="O53" s="149">
        <f>M53-N53</f>
        <v>0</v>
      </c>
      <c r="P53" s="164">
        <f>N53/L53</f>
        <v>1</v>
      </c>
      <c r="Q53" s="165">
        <f t="shared" si="45"/>
        <v>0</v>
      </c>
      <c r="R53" s="165">
        <f t="shared" si="46"/>
        <v>0</v>
      </c>
      <c r="S53" s="165" t="s">
        <v>78</v>
      </c>
      <c r="T53" s="152"/>
      <c r="U53" s="152"/>
      <c r="V53" s="152"/>
      <c r="W53" s="152"/>
      <c r="X53" s="173"/>
      <c r="Y53" s="174" t="str">
        <f t="shared" ref="Y53:Y60" si="47">IFERROR((((1.96^2*0.5*0.5*($T53-V53))/(V53*($T53-1)))^0.5),"")</f>
        <v/>
      </c>
      <c r="Z53" s="174" t="str">
        <f t="shared" si="10"/>
        <v/>
      </c>
      <c r="AA53" s="217"/>
    </row>
    <row r="54" spans="1:27" customFormat="1" ht="15" hidden="1" customHeight="1">
      <c r="A54" s="1">
        <v>11</v>
      </c>
      <c r="B54" s="191" t="s">
        <v>122</v>
      </c>
      <c r="C54" s="45" t="s">
        <v>90</v>
      </c>
      <c r="D54" s="149">
        <v>8</v>
      </c>
      <c r="E54" s="149">
        <v>8</v>
      </c>
      <c r="F54" s="149">
        <f>VLOOKUP(B54,'BDD Estudiantes Posgrado'!$A$1:$D$200,4,0)</f>
        <v>8</v>
      </c>
      <c r="G54" s="149">
        <f t="shared" si="38"/>
        <v>0</v>
      </c>
      <c r="H54" s="164">
        <f t="shared" si="39"/>
        <v>1</v>
      </c>
      <c r="I54" s="165">
        <f t="shared" si="40"/>
        <v>0</v>
      </c>
      <c r="J54" s="165">
        <f t="shared" si="31"/>
        <v>0</v>
      </c>
      <c r="K54" s="165" t="s">
        <v>78</v>
      </c>
      <c r="L54" s="149">
        <f>VLOOKUP($B54,'BDD Prof. Planta'!$B$29:$G$162,6,0)</f>
        <v>1</v>
      </c>
      <c r="M54" s="149">
        <v>1</v>
      </c>
      <c r="N54" s="149">
        <f>VLOOKUP($B54,'BDD Prof. Planta'!$B$29:$L$162,11,0)</f>
        <v>1</v>
      </c>
      <c r="O54" s="149">
        <f t="shared" ref="O54" si="48">M54-N54</f>
        <v>0</v>
      </c>
      <c r="P54" s="164">
        <f t="shared" ref="P54" si="49">N54/L54</f>
        <v>1</v>
      </c>
      <c r="Q54" s="165">
        <v>0</v>
      </c>
      <c r="R54" s="165">
        <f>IFERROR((((1.65^2*0.5*0.5*($L54-N54))/(N54*($L54-1)))^0.5),0)</f>
        <v>0</v>
      </c>
      <c r="S54" s="165" t="s">
        <v>78</v>
      </c>
      <c r="T54" s="149">
        <f>VLOOKUP($B54,'BDD Prof. Catedra'!B:G,6,0)</f>
        <v>2</v>
      </c>
      <c r="U54" s="149">
        <v>2</v>
      </c>
      <c r="V54" s="149">
        <f>VLOOKUP($B54,'BDD Prof. Catedra'!$B:$J,9,0)</f>
        <v>2</v>
      </c>
      <c r="W54" s="149">
        <f t="shared" ref="W54:W59" si="50">U54-V54</f>
        <v>0</v>
      </c>
      <c r="X54" s="164">
        <f t="shared" ref="X54:X59" si="51">V54/T54</f>
        <v>1</v>
      </c>
      <c r="Y54" s="165">
        <f t="shared" si="47"/>
        <v>0</v>
      </c>
      <c r="Z54" s="165">
        <f t="shared" si="10"/>
        <v>0</v>
      </c>
      <c r="AA54" s="203" t="s">
        <v>78</v>
      </c>
    </row>
    <row r="55" spans="1:27" customFormat="1" ht="15" hidden="1" customHeight="1">
      <c r="A55" s="1">
        <v>19</v>
      </c>
      <c r="B55" s="191" t="s">
        <v>123</v>
      </c>
      <c r="C55" s="45" t="s">
        <v>90</v>
      </c>
      <c r="D55" s="151">
        <v>6</v>
      </c>
      <c r="E55" s="151">
        <v>6</v>
      </c>
      <c r="F55" s="151">
        <f>VLOOKUP(B55,'BDD Estudiantes Posgrado'!$A$1:$D$200,4,0)</f>
        <v>3</v>
      </c>
      <c r="G55" s="151">
        <f t="shared" si="38"/>
        <v>3</v>
      </c>
      <c r="H55" s="169">
        <f t="shared" si="39"/>
        <v>0.5</v>
      </c>
      <c r="I55" s="170">
        <f t="shared" si="40"/>
        <v>0.43826932358995874</v>
      </c>
      <c r="J55" s="170">
        <f t="shared" si="31"/>
        <v>0.36895121628746524</v>
      </c>
      <c r="K55" s="170" t="s">
        <v>86</v>
      </c>
      <c r="L55" s="152"/>
      <c r="M55" s="152"/>
      <c r="N55" s="152"/>
      <c r="O55" s="152"/>
      <c r="P55" s="173"/>
      <c r="Q55" s="174" t="str">
        <f t="shared" ref="Q55:Q60" si="52">IFERROR((((1.96^2*0.5*0.5*($L55-N55))/(N55*($L55-1)))^0.5),"")</f>
        <v/>
      </c>
      <c r="R55" s="174" t="str">
        <f t="shared" ref="R55:R67" si="53">IFERROR((((1.65^2*0.5*0.5*($L55-N55))/(N55*($L55-1)))^0.5),"")</f>
        <v/>
      </c>
      <c r="S55" s="174"/>
      <c r="T55" s="152">
        <f>VLOOKUP($B55,'BDD Prof. Catedra'!B:G,6,0)</f>
        <v>1</v>
      </c>
      <c r="U55" s="152">
        <v>1</v>
      </c>
      <c r="V55" s="152">
        <f>VLOOKUP($B55,'BDD Prof. Catedra'!$B:$J,9,0)</f>
        <v>0</v>
      </c>
      <c r="W55" s="152">
        <f t="shared" si="50"/>
        <v>1</v>
      </c>
      <c r="X55" s="173">
        <f t="shared" si="51"/>
        <v>0</v>
      </c>
      <c r="Y55" s="174" t="str">
        <f t="shared" si="47"/>
        <v/>
      </c>
      <c r="Z55" s="174" t="str">
        <f t="shared" si="10"/>
        <v/>
      </c>
      <c r="AA55" s="217"/>
    </row>
    <row r="56" spans="1:27" customFormat="1" ht="15" hidden="1" customHeight="1">
      <c r="A56" s="1">
        <v>12</v>
      </c>
      <c r="B56" s="191" t="s">
        <v>124</v>
      </c>
      <c r="C56" s="45" t="s">
        <v>90</v>
      </c>
      <c r="D56" s="151">
        <v>21</v>
      </c>
      <c r="E56" s="151">
        <v>20</v>
      </c>
      <c r="F56" s="151">
        <f>VLOOKUP(B56,'BDD Estudiantes Posgrado'!$A$1:$D$200,4,0)</f>
        <v>15</v>
      </c>
      <c r="G56" s="151">
        <f t="shared" si="38"/>
        <v>5</v>
      </c>
      <c r="H56" s="169">
        <f t="shared" si="39"/>
        <v>0.7142857142857143</v>
      </c>
      <c r="I56" s="170">
        <f t="shared" si="40"/>
        <v>0.13859292911256332</v>
      </c>
      <c r="J56" s="170">
        <f t="shared" si="31"/>
        <v>0.11667261889578033</v>
      </c>
      <c r="K56" s="170" t="s">
        <v>86</v>
      </c>
      <c r="L56" s="152"/>
      <c r="M56" s="152"/>
      <c r="N56" s="152"/>
      <c r="O56" s="152"/>
      <c r="P56" s="173"/>
      <c r="Q56" s="174" t="str">
        <f t="shared" si="52"/>
        <v/>
      </c>
      <c r="R56" s="174" t="str">
        <f t="shared" si="53"/>
        <v/>
      </c>
      <c r="S56" s="174"/>
      <c r="T56" s="152">
        <f>VLOOKUP($B56,'BDD Prof. Catedra'!B:G,6,0)</f>
        <v>2</v>
      </c>
      <c r="U56" s="152">
        <v>2</v>
      </c>
      <c r="V56" s="152">
        <f>VLOOKUP($B56,'BDD Prof. Catedra'!$B:$J,9,0)</f>
        <v>0</v>
      </c>
      <c r="W56" s="152">
        <f t="shared" si="50"/>
        <v>2</v>
      </c>
      <c r="X56" s="173">
        <f t="shared" si="51"/>
        <v>0</v>
      </c>
      <c r="Y56" s="174" t="str">
        <f t="shared" si="47"/>
        <v/>
      </c>
      <c r="Z56" s="174" t="str">
        <f t="shared" si="10"/>
        <v/>
      </c>
      <c r="AA56" s="217"/>
    </row>
    <row r="57" spans="1:27" customFormat="1" ht="15" hidden="1" customHeight="1">
      <c r="A57" s="1">
        <v>13</v>
      </c>
      <c r="B57" s="191" t="s">
        <v>125</v>
      </c>
      <c r="C57" s="45" t="s">
        <v>90</v>
      </c>
      <c r="D57" s="149">
        <v>6</v>
      </c>
      <c r="E57" s="149">
        <v>6</v>
      </c>
      <c r="F57" s="149">
        <f>VLOOKUP(B57,'BDD Estudiantes Posgrado'!$A$1:$D$200,4,0)</f>
        <v>6</v>
      </c>
      <c r="G57" s="149">
        <f t="shared" si="38"/>
        <v>0</v>
      </c>
      <c r="H57" s="164">
        <f t="shared" si="39"/>
        <v>1</v>
      </c>
      <c r="I57" s="165">
        <f t="shared" si="40"/>
        <v>0</v>
      </c>
      <c r="J57" s="165">
        <f t="shared" si="31"/>
        <v>0</v>
      </c>
      <c r="K57" s="165" t="s">
        <v>78</v>
      </c>
      <c r="L57" s="152"/>
      <c r="M57" s="152"/>
      <c r="N57" s="152"/>
      <c r="O57" s="152"/>
      <c r="P57" s="173"/>
      <c r="Q57" s="174" t="str">
        <f t="shared" si="52"/>
        <v/>
      </c>
      <c r="R57" s="174" t="str">
        <f t="shared" si="53"/>
        <v/>
      </c>
      <c r="S57" s="174"/>
      <c r="T57" s="152">
        <f>VLOOKUP($B57,'BDD Prof. Catedra'!B:G,6,0)</f>
        <v>1</v>
      </c>
      <c r="U57" s="152">
        <v>1</v>
      </c>
      <c r="V57" s="152">
        <f>VLOOKUP($B57,'BDD Prof. Catedra'!$B:$J,9,0)</f>
        <v>0</v>
      </c>
      <c r="W57" s="152">
        <f t="shared" si="50"/>
        <v>1</v>
      </c>
      <c r="X57" s="173">
        <f t="shared" si="51"/>
        <v>0</v>
      </c>
      <c r="Y57" s="174" t="str">
        <f t="shared" si="47"/>
        <v/>
      </c>
      <c r="Z57" s="174" t="str">
        <f t="shared" si="10"/>
        <v/>
      </c>
      <c r="AA57" s="217"/>
    </row>
    <row r="58" spans="1:27" customFormat="1" ht="15" hidden="1" customHeight="1">
      <c r="A58" s="1">
        <v>14</v>
      </c>
      <c r="B58" s="191" t="s">
        <v>126</v>
      </c>
      <c r="C58" s="45" t="s">
        <v>90</v>
      </c>
      <c r="D58" s="149">
        <v>17</v>
      </c>
      <c r="E58" s="149">
        <v>16</v>
      </c>
      <c r="F58" s="149">
        <f>VLOOKUP(B58,'BDD Estudiantes Posgrado'!$A$1:$D$200,4,0)</f>
        <v>16</v>
      </c>
      <c r="G58" s="149">
        <f t="shared" si="38"/>
        <v>0</v>
      </c>
      <c r="H58" s="164">
        <f t="shared" si="39"/>
        <v>0.94117647058823528</v>
      </c>
      <c r="I58" s="165">
        <f t="shared" si="40"/>
        <v>6.1249999999999999E-2</v>
      </c>
      <c r="J58" s="165">
        <f t="shared" si="31"/>
        <v>5.1562499999999997E-2</v>
      </c>
      <c r="K58" s="165" t="s">
        <v>78</v>
      </c>
      <c r="L58" s="151">
        <f>VLOOKUP($B58,'BDD Prof. Planta'!$B$29:$G$162,6,0)</f>
        <v>3</v>
      </c>
      <c r="M58" s="151">
        <v>3</v>
      </c>
      <c r="N58" s="151">
        <f>VLOOKUP($B58,'BDD Prof. Planta'!$B$29:$L$162,11,0)</f>
        <v>2</v>
      </c>
      <c r="O58" s="151">
        <f>M58-N58</f>
        <v>1</v>
      </c>
      <c r="P58" s="169">
        <f>N58/L58</f>
        <v>0.66666666666666663</v>
      </c>
      <c r="Q58" s="170">
        <f t="shared" si="52"/>
        <v>0.49</v>
      </c>
      <c r="R58" s="170">
        <f t="shared" si="53"/>
        <v>0.41249999999999998</v>
      </c>
      <c r="S58" s="170" t="s">
        <v>86</v>
      </c>
      <c r="T58" s="151">
        <f>VLOOKUP($B58,'BDD Prof. Catedra'!B:G,6,0)</f>
        <v>2</v>
      </c>
      <c r="U58" s="151">
        <v>2</v>
      </c>
      <c r="V58" s="151">
        <f>VLOOKUP($B58,'BDD Prof. Catedra'!$B:$J,9,0)</f>
        <v>1</v>
      </c>
      <c r="W58" s="151">
        <f t="shared" si="50"/>
        <v>1</v>
      </c>
      <c r="X58" s="169">
        <f t="shared" si="51"/>
        <v>0.5</v>
      </c>
      <c r="Y58" s="170">
        <f t="shared" si="47"/>
        <v>0.98</v>
      </c>
      <c r="Z58" s="170">
        <f t="shared" si="10"/>
        <v>0.82499999999999996</v>
      </c>
      <c r="AA58" s="204" t="s">
        <v>86</v>
      </c>
    </row>
    <row r="59" spans="1:27" customFormat="1" ht="15" hidden="1" customHeight="1">
      <c r="A59" s="1">
        <v>15</v>
      </c>
      <c r="B59" s="191" t="s">
        <v>127</v>
      </c>
      <c r="C59" s="45" t="s">
        <v>90</v>
      </c>
      <c r="D59" s="151">
        <v>14</v>
      </c>
      <c r="E59" s="151">
        <v>14</v>
      </c>
      <c r="F59" s="151">
        <f>VLOOKUP(B59,'BDD Estudiantes Posgrado'!$A$1:$D$200,4,0)</f>
        <v>4</v>
      </c>
      <c r="G59" s="151">
        <f t="shared" si="38"/>
        <v>10</v>
      </c>
      <c r="H59" s="169">
        <f t="shared" si="39"/>
        <v>0.2857142857142857</v>
      </c>
      <c r="I59" s="170">
        <f t="shared" si="40"/>
        <v>0.42975842946044429</v>
      </c>
      <c r="J59" s="170">
        <f t="shared" si="31"/>
        <v>0.36178643296414953</v>
      </c>
      <c r="K59" s="170" t="s">
        <v>86</v>
      </c>
      <c r="L59" s="152"/>
      <c r="M59" s="152"/>
      <c r="N59" s="152"/>
      <c r="O59" s="152"/>
      <c r="P59" s="173"/>
      <c r="Q59" s="174" t="str">
        <f t="shared" si="52"/>
        <v/>
      </c>
      <c r="R59" s="174" t="str">
        <f t="shared" si="53"/>
        <v/>
      </c>
      <c r="S59" s="174"/>
      <c r="T59" s="152">
        <f>VLOOKUP($B59,'BDD Prof. Catedra'!B:G,6,0)</f>
        <v>1</v>
      </c>
      <c r="U59" s="152">
        <v>1</v>
      </c>
      <c r="V59" s="152">
        <f>VLOOKUP($B59,'BDD Prof. Catedra'!$B:$J,9,0)</f>
        <v>0</v>
      </c>
      <c r="W59" s="152">
        <f t="shared" si="50"/>
        <v>1</v>
      </c>
      <c r="X59" s="173">
        <f t="shared" si="51"/>
        <v>0</v>
      </c>
      <c r="Y59" s="174" t="str">
        <f t="shared" si="47"/>
        <v/>
      </c>
      <c r="Z59" s="174" t="str">
        <f t="shared" si="10"/>
        <v/>
      </c>
      <c r="AA59" s="217"/>
    </row>
    <row r="60" spans="1:27" customFormat="1" ht="15" hidden="1" customHeight="1" thickBot="1">
      <c r="A60" s="1">
        <v>16</v>
      </c>
      <c r="B60" s="193" t="s">
        <v>128</v>
      </c>
      <c r="C60" s="194" t="s">
        <v>90</v>
      </c>
      <c r="D60" s="210">
        <v>4</v>
      </c>
      <c r="E60" s="210">
        <v>4</v>
      </c>
      <c r="F60" s="210">
        <f>VLOOKUP(B60,'BDD Estudiantes Posgrado'!$A$1:$D$200,4,0)</f>
        <v>1</v>
      </c>
      <c r="G60" s="210">
        <f t="shared" si="38"/>
        <v>3</v>
      </c>
      <c r="H60" s="211">
        <f t="shared" si="39"/>
        <v>0.25</v>
      </c>
      <c r="I60" s="212">
        <f t="shared" si="40"/>
        <v>0.98</v>
      </c>
      <c r="J60" s="212">
        <f t="shared" si="31"/>
        <v>0.82499999999999996</v>
      </c>
      <c r="K60" s="212" t="s">
        <v>86</v>
      </c>
      <c r="L60" s="195">
        <f>VLOOKUP($B60,'BDD Prof. Planta'!$B$29:$G$162,6,0)</f>
        <v>2</v>
      </c>
      <c r="M60" s="195">
        <v>2</v>
      </c>
      <c r="N60" s="195">
        <f>VLOOKUP($B60,'BDD Prof. Planta'!$B$29:$L$162,11,0)</f>
        <v>2</v>
      </c>
      <c r="O60" s="195">
        <f>M60-N60</f>
        <v>0</v>
      </c>
      <c r="P60" s="197">
        <f>N60/L60</f>
        <v>1</v>
      </c>
      <c r="Q60" s="198">
        <f t="shared" si="52"/>
        <v>0</v>
      </c>
      <c r="R60" s="198">
        <f t="shared" si="53"/>
        <v>0</v>
      </c>
      <c r="S60" s="198" t="s">
        <v>78</v>
      </c>
      <c r="T60" s="218"/>
      <c r="U60" s="218"/>
      <c r="V60" s="218"/>
      <c r="W60" s="218"/>
      <c r="X60" s="219"/>
      <c r="Y60" s="220" t="str">
        <f t="shared" si="47"/>
        <v/>
      </c>
      <c r="Z60" s="220" t="str">
        <f t="shared" si="10"/>
        <v/>
      </c>
      <c r="AA60" s="221"/>
    </row>
    <row r="61" spans="1:27" customFormat="1" ht="15" hidden="1" customHeight="1">
      <c r="A61" s="1">
        <v>97</v>
      </c>
      <c r="B61" s="182" t="s">
        <v>129</v>
      </c>
      <c r="C61" s="183" t="s">
        <v>84</v>
      </c>
      <c r="D61" s="222">
        <v>39</v>
      </c>
      <c r="E61" s="222">
        <v>20</v>
      </c>
      <c r="F61" s="222">
        <f>VLOOKUP(B61,'BDD Estudiantes Posgrado'!$A$1:$D$200,4,0)</f>
        <v>5</v>
      </c>
      <c r="G61" s="222">
        <f t="shared" si="26"/>
        <v>15</v>
      </c>
      <c r="H61" s="223">
        <f t="shared" si="27"/>
        <v>0.12820512820512819</v>
      </c>
      <c r="I61" s="224">
        <f t="shared" si="28"/>
        <v>0.4145612772939351</v>
      </c>
      <c r="J61" s="224">
        <f t="shared" si="31"/>
        <v>0.34899291200764943</v>
      </c>
      <c r="K61" s="224" t="s">
        <v>86</v>
      </c>
      <c r="L61" s="222">
        <f>VLOOKUP($B61,'BDD Prof. Planta'!$B$29:$G$162,6,0)</f>
        <v>2</v>
      </c>
      <c r="M61" s="222">
        <v>2</v>
      </c>
      <c r="N61" s="222">
        <f>VLOOKUP($B61,'BDD Prof. Planta'!$B$29:$L$162,11,0)</f>
        <v>1</v>
      </c>
      <c r="O61" s="222">
        <f t="shared" si="23"/>
        <v>1</v>
      </c>
      <c r="P61" s="223">
        <f t="shared" si="24"/>
        <v>0.5</v>
      </c>
      <c r="Q61" s="224">
        <f t="shared" si="25"/>
        <v>0.98</v>
      </c>
      <c r="R61" s="224">
        <f t="shared" si="53"/>
        <v>0.82499999999999996</v>
      </c>
      <c r="S61" s="224" t="s">
        <v>86</v>
      </c>
      <c r="T61" s="222">
        <f>VLOOKUP($B61,'BDD Prof. Catedra'!B:G,6,0)</f>
        <v>8</v>
      </c>
      <c r="U61" s="222">
        <v>8</v>
      </c>
      <c r="V61" s="222">
        <f>VLOOKUP($B61,'BDD Prof. Catedra'!$B:$J,9,0)</f>
        <v>3</v>
      </c>
      <c r="W61" s="222">
        <f t="shared" si="20"/>
        <v>5</v>
      </c>
      <c r="X61" s="223">
        <f t="shared" si="29"/>
        <v>0.375</v>
      </c>
      <c r="Y61" s="224">
        <f t="shared" si="30"/>
        <v>0.47819103574478122</v>
      </c>
      <c r="Z61" s="224">
        <f t="shared" si="10"/>
        <v>0.40255878009126989</v>
      </c>
      <c r="AA61" s="225" t="s">
        <v>86</v>
      </c>
    </row>
    <row r="62" spans="1:27" customFormat="1" ht="15" hidden="1" customHeight="1">
      <c r="A62" s="1">
        <v>98</v>
      </c>
      <c r="B62" s="191" t="s">
        <v>130</v>
      </c>
      <c r="C62" s="45" t="s">
        <v>84</v>
      </c>
      <c r="D62" s="151">
        <v>19</v>
      </c>
      <c r="E62" s="151">
        <v>19</v>
      </c>
      <c r="F62" s="151">
        <f>VLOOKUP(B62,'BDD Estudiantes Posgrado'!$A$1:$D$200,4,0)</f>
        <v>3</v>
      </c>
      <c r="G62" s="151">
        <f t="shared" si="26"/>
        <v>16</v>
      </c>
      <c r="H62" s="169">
        <f t="shared" si="27"/>
        <v>0.15789473684210525</v>
      </c>
      <c r="I62" s="170">
        <f t="shared" si="28"/>
        <v>0.53344443287278098</v>
      </c>
      <c r="J62" s="170">
        <f t="shared" si="31"/>
        <v>0.44907311951024931</v>
      </c>
      <c r="K62" s="170" t="s">
        <v>86</v>
      </c>
      <c r="L62" s="152"/>
      <c r="M62" s="152"/>
      <c r="N62" s="152"/>
      <c r="O62" s="152"/>
      <c r="P62" s="173"/>
      <c r="Q62" s="174" t="str">
        <f t="shared" si="25"/>
        <v/>
      </c>
      <c r="R62" s="174" t="str">
        <f t="shared" si="53"/>
        <v/>
      </c>
      <c r="S62" s="174"/>
      <c r="T62" s="152">
        <f>VLOOKUP($B62,'BDD Prof. Catedra'!B:G,6,0)</f>
        <v>2</v>
      </c>
      <c r="U62" s="152">
        <v>2</v>
      </c>
      <c r="V62" s="152">
        <f>VLOOKUP($B62,'BDD Prof. Catedra'!$B:$J,9,0)</f>
        <v>0</v>
      </c>
      <c r="W62" s="152">
        <f t="shared" si="20"/>
        <v>2</v>
      </c>
      <c r="X62" s="173">
        <f t="shared" si="29"/>
        <v>0</v>
      </c>
      <c r="Y62" s="174" t="str">
        <f t="shared" si="30"/>
        <v/>
      </c>
      <c r="Z62" s="174" t="str">
        <f t="shared" si="10"/>
        <v/>
      </c>
      <c r="AA62" s="217"/>
    </row>
    <row r="63" spans="1:27" customFormat="1" ht="15" hidden="1" customHeight="1">
      <c r="A63" s="1">
        <v>99</v>
      </c>
      <c r="B63" s="191" t="s">
        <v>131</v>
      </c>
      <c r="C63" s="45" t="s">
        <v>84</v>
      </c>
      <c r="D63" s="151">
        <v>25</v>
      </c>
      <c r="E63" s="151">
        <v>12</v>
      </c>
      <c r="F63" s="151">
        <f>VLOOKUP(B63,'BDD Estudiantes Posgrado'!$A$1:$D$200,4,0)</f>
        <v>2</v>
      </c>
      <c r="G63" s="151">
        <f t="shared" si="26"/>
        <v>10</v>
      </c>
      <c r="H63" s="169">
        <f t="shared" si="27"/>
        <v>0.08</v>
      </c>
      <c r="I63" s="170">
        <f t="shared" si="28"/>
        <v>0.67837428213830941</v>
      </c>
      <c r="J63" s="170">
        <f t="shared" si="31"/>
        <v>0.57108039057561766</v>
      </c>
      <c r="K63" s="170" t="s">
        <v>86</v>
      </c>
      <c r="L63" s="152"/>
      <c r="M63" s="152"/>
      <c r="N63" s="152"/>
      <c r="O63" s="152"/>
      <c r="P63" s="173"/>
      <c r="Q63" s="174" t="str">
        <f t="shared" si="25"/>
        <v/>
      </c>
      <c r="R63" s="174" t="str">
        <f t="shared" si="53"/>
        <v/>
      </c>
      <c r="S63" s="174"/>
      <c r="T63" s="151">
        <f>VLOOKUP($B63,'BDD Prof. Catedra'!B:G,6,0)</f>
        <v>16</v>
      </c>
      <c r="U63" s="151">
        <v>15</v>
      </c>
      <c r="V63" s="151">
        <f>VLOOKUP($B63,'BDD Prof. Catedra'!$B:$J,9,0)</f>
        <v>7</v>
      </c>
      <c r="W63" s="151">
        <f t="shared" si="20"/>
        <v>8</v>
      </c>
      <c r="X63" s="169">
        <f t="shared" si="29"/>
        <v>0.4375</v>
      </c>
      <c r="Y63" s="170">
        <f t="shared" si="30"/>
        <v>0.28691462144686875</v>
      </c>
      <c r="Z63" s="170">
        <f t="shared" si="10"/>
        <v>0.24153526805476197</v>
      </c>
      <c r="AA63" s="204" t="s">
        <v>86</v>
      </c>
    </row>
    <row r="64" spans="1:27" customFormat="1" ht="15" hidden="1" customHeight="1">
      <c r="A64" s="1">
        <v>100</v>
      </c>
      <c r="B64" s="191" t="s">
        <v>132</v>
      </c>
      <c r="C64" s="45" t="s">
        <v>84</v>
      </c>
      <c r="D64" s="151">
        <v>15</v>
      </c>
      <c r="E64" s="151">
        <v>15</v>
      </c>
      <c r="F64" s="151">
        <f>VLOOKUP(B64,'BDD Estudiantes Posgrado'!$A$1:$D$200,4,0)</f>
        <v>1</v>
      </c>
      <c r="G64" s="151">
        <f t="shared" si="26"/>
        <v>14</v>
      </c>
      <c r="H64" s="169">
        <f t="shared" si="27"/>
        <v>6.6666666666666666E-2</v>
      </c>
      <c r="I64" s="170">
        <f t="shared" si="28"/>
        <v>0.98</v>
      </c>
      <c r="J64" s="170">
        <f t="shared" si="31"/>
        <v>0.82499999999999996</v>
      </c>
      <c r="K64" s="170" t="s">
        <v>86</v>
      </c>
      <c r="L64" s="152">
        <f>VLOOKUP($B64,'BDD Prof. Planta'!$B$29:$G$162,6,0)</f>
        <v>1</v>
      </c>
      <c r="M64" s="152">
        <v>1</v>
      </c>
      <c r="N64" s="152">
        <f>VLOOKUP($B64,'BDD Prof. Planta'!$B$29:$L$162,11,0)</f>
        <v>0</v>
      </c>
      <c r="O64" s="152">
        <f t="shared" si="23"/>
        <v>1</v>
      </c>
      <c r="P64" s="173">
        <f t="shared" si="24"/>
        <v>0</v>
      </c>
      <c r="Q64" s="174" t="str">
        <f t="shared" si="25"/>
        <v/>
      </c>
      <c r="R64" s="174" t="str">
        <f t="shared" si="53"/>
        <v/>
      </c>
      <c r="S64" s="174"/>
      <c r="T64" s="151">
        <f>VLOOKUP($B64,'BDD Prof. Catedra'!B:G,6,0)</f>
        <v>5</v>
      </c>
      <c r="U64" s="151">
        <v>5</v>
      </c>
      <c r="V64" s="151">
        <f>VLOOKUP($B64,'BDD Prof. Catedra'!$B:$J,9,0)</f>
        <v>3</v>
      </c>
      <c r="W64" s="151">
        <f t="shared" si="20"/>
        <v>2</v>
      </c>
      <c r="X64" s="169">
        <f t="shared" si="29"/>
        <v>0.6</v>
      </c>
      <c r="Y64" s="170">
        <f t="shared" si="30"/>
        <v>0.40008332465458574</v>
      </c>
      <c r="Z64" s="170">
        <f t="shared" si="10"/>
        <v>0.33680483963268698</v>
      </c>
      <c r="AA64" s="204" t="s">
        <v>86</v>
      </c>
    </row>
    <row r="65" spans="1:27" customFormat="1" ht="15" hidden="1" customHeight="1">
      <c r="A65" s="1">
        <v>101</v>
      </c>
      <c r="B65" s="191" t="s">
        <v>133</v>
      </c>
      <c r="C65" s="45" t="s">
        <v>84</v>
      </c>
      <c r="D65" s="151">
        <v>9</v>
      </c>
      <c r="E65" s="151">
        <v>9</v>
      </c>
      <c r="F65" s="151">
        <f>VLOOKUP(B65,'BDD Estudiantes Posgrado'!$A$1:$D$200,4,0)</f>
        <v>3</v>
      </c>
      <c r="G65" s="151">
        <f>E65-F65</f>
        <v>6</v>
      </c>
      <c r="H65" s="169">
        <f>F65/D65</f>
        <v>0.33333333333333331</v>
      </c>
      <c r="I65" s="170">
        <f>IFERROR((((1.96^2*0.5*0.5*($D65-F65))/(F65*($D65-1)))^0.5),"")</f>
        <v>0.49</v>
      </c>
      <c r="J65" s="170">
        <f t="shared" si="31"/>
        <v>0.41249999999999998</v>
      </c>
      <c r="K65" s="170" t="s">
        <v>86</v>
      </c>
      <c r="L65" s="152">
        <f>VLOOKUP($B65,'BDD Prof. Planta'!$B$29:$G$162,6,0)</f>
        <v>1</v>
      </c>
      <c r="M65" s="152">
        <v>1</v>
      </c>
      <c r="N65" s="152">
        <f>VLOOKUP($B65,'BDD Prof. Planta'!$B$29:$L$162,11,0)</f>
        <v>0</v>
      </c>
      <c r="O65" s="152">
        <f>M65-N65</f>
        <v>1</v>
      </c>
      <c r="P65" s="173">
        <f>N65/L65</f>
        <v>0</v>
      </c>
      <c r="Q65" s="174" t="str">
        <f>IFERROR((((1.96^2*0.5*0.5*($L65-N65))/(N65*($L65-1)))^0.5),"")</f>
        <v/>
      </c>
      <c r="R65" s="174" t="str">
        <f t="shared" si="53"/>
        <v/>
      </c>
      <c r="S65" s="174"/>
      <c r="T65" s="151">
        <f>VLOOKUP($B65,'BDD Prof. Catedra'!B:G,6,0)</f>
        <v>7</v>
      </c>
      <c r="U65" s="151">
        <v>7</v>
      </c>
      <c r="V65" s="151">
        <f>VLOOKUP($B65,'BDD Prof. Catedra'!$B:$J,9,0)</f>
        <v>3</v>
      </c>
      <c r="W65" s="151">
        <f>U65-V65</f>
        <v>4</v>
      </c>
      <c r="X65" s="169">
        <f>V65/T65</f>
        <v>0.42857142857142855</v>
      </c>
      <c r="Y65" s="170">
        <f>IFERROR((((1.96^2*0.5*0.5*($T65-V65))/(V65*($T65-1)))^0.5),"")</f>
        <v>0.46197643037521102</v>
      </c>
      <c r="Z65" s="170">
        <f t="shared" si="10"/>
        <v>0.38890872965260115</v>
      </c>
      <c r="AA65" s="204" t="s">
        <v>86</v>
      </c>
    </row>
    <row r="66" spans="1:27" customFormat="1" ht="15" hidden="1" customHeight="1">
      <c r="A66" s="1">
        <v>102</v>
      </c>
      <c r="B66" s="191" t="s">
        <v>134</v>
      </c>
      <c r="C66" s="45" t="s">
        <v>84</v>
      </c>
      <c r="D66" s="151">
        <v>34</v>
      </c>
      <c r="E66" s="151">
        <v>18</v>
      </c>
      <c r="F66" s="151">
        <f>VLOOKUP(B66,'BDD Estudiantes Posgrado'!$A$1:$D$200,4,0)</f>
        <v>13</v>
      </c>
      <c r="G66" s="151">
        <f>E66-F66</f>
        <v>5</v>
      </c>
      <c r="H66" s="169">
        <f>F66/D66</f>
        <v>0.38235294117647056</v>
      </c>
      <c r="I66" s="170">
        <f>IFERROR((((1.96^2*0.5*0.5*($D66-F66))/(F66*($D66-1)))^0.5),"")</f>
        <v>0.21682386264566778</v>
      </c>
      <c r="J66" s="170">
        <f t="shared" si="31"/>
        <v>0.18253029253334277</v>
      </c>
      <c r="K66" s="170" t="s">
        <v>86</v>
      </c>
      <c r="L66" s="152"/>
      <c r="M66" s="152"/>
      <c r="N66" s="152"/>
      <c r="O66" s="152"/>
      <c r="P66" s="173"/>
      <c r="Q66" s="174" t="str">
        <f>IFERROR((((1.96^2*0.5*0.5*($L66-N66))/(N66*($L66-1)))^0.5),"")</f>
        <v/>
      </c>
      <c r="R66" s="174" t="str">
        <f t="shared" si="53"/>
        <v/>
      </c>
      <c r="S66" s="174"/>
      <c r="T66" s="151">
        <f>VLOOKUP($B66,'BDD Prof. Catedra'!B:G,6,0)</f>
        <v>19</v>
      </c>
      <c r="U66" s="151">
        <v>18</v>
      </c>
      <c r="V66" s="151">
        <f>VLOOKUP($B66,'BDD Prof. Catedra'!$B:$J,9,0)</f>
        <v>4</v>
      </c>
      <c r="W66" s="151">
        <f>U66-V66</f>
        <v>14</v>
      </c>
      <c r="X66" s="169">
        <f>V66/T66</f>
        <v>0.21052631578947367</v>
      </c>
      <c r="Y66" s="170">
        <f>IFERROR((((1.96^2*0.5*0.5*($T66-V66))/(V66*($T66-1)))^0.5),"")</f>
        <v>0.44730675529588565</v>
      </c>
      <c r="Z66" s="170">
        <f t="shared" si="10"/>
        <v>0.37655925828480169</v>
      </c>
      <c r="AA66" s="204" t="s">
        <v>86</v>
      </c>
    </row>
    <row r="67" spans="1:27" customFormat="1" ht="15" hidden="1" customHeight="1">
      <c r="A67" s="1">
        <v>96</v>
      </c>
      <c r="B67" s="191" t="s">
        <v>135</v>
      </c>
      <c r="C67" s="45" t="s">
        <v>83</v>
      </c>
      <c r="D67" s="149">
        <v>14</v>
      </c>
      <c r="E67" s="149">
        <v>14</v>
      </c>
      <c r="F67" s="149">
        <f>VLOOKUP(B67,'BDD Estudiantes Posgrado'!$A$1:$D$200,4,0)</f>
        <v>13</v>
      </c>
      <c r="G67" s="149">
        <f>E67-F67</f>
        <v>1</v>
      </c>
      <c r="H67" s="164">
        <f>F67/D67</f>
        <v>0.9285714285714286</v>
      </c>
      <c r="I67" s="165">
        <f>IFERROR((((1.96^2*0.5*0.5*($D67-F67))/(F67*($D67-1)))^0.5),"")</f>
        <v>7.5384615384615383E-2</v>
      </c>
      <c r="J67" s="165">
        <f t="shared" ref="J67:J95" si="54">IFERROR((((1.65^2*0.5*0.5*($D67-F67))/(F67*($D67-1)))^0.5),"")</f>
        <v>6.3461538461538458E-2</v>
      </c>
      <c r="K67" s="165" t="s">
        <v>78</v>
      </c>
      <c r="L67" s="152"/>
      <c r="M67" s="152"/>
      <c r="N67" s="152"/>
      <c r="O67" s="152"/>
      <c r="P67" s="173"/>
      <c r="Q67" s="174" t="str">
        <f>IFERROR((((1.96^2*0.5*0.5*($L67-N67))/(N67*($L67-1)))^0.5),"")</f>
        <v/>
      </c>
      <c r="R67" s="174" t="str">
        <f t="shared" si="53"/>
        <v/>
      </c>
      <c r="S67" s="174"/>
      <c r="T67" s="151">
        <f>VLOOKUP($B67,'BDD Prof. Catedra'!B:G,6,0)</f>
        <v>3</v>
      </c>
      <c r="U67" s="151">
        <v>3</v>
      </c>
      <c r="V67" s="151">
        <f>VLOOKUP($B67,'BDD Prof. Catedra'!$B:$J,9,0)</f>
        <v>1</v>
      </c>
      <c r="W67" s="151">
        <f>U67-V67</f>
        <v>2</v>
      </c>
      <c r="X67" s="169">
        <f>V67/T67</f>
        <v>0.33333333333333331</v>
      </c>
      <c r="Y67" s="170">
        <f>IFERROR((((1.96^2*0.5*0.5*($T67-V67))/(V67*($T67-1)))^0.5),"")</f>
        <v>0.98</v>
      </c>
      <c r="Z67" s="170">
        <f t="shared" si="10"/>
        <v>0.82499999999999996</v>
      </c>
      <c r="AA67" s="204" t="s">
        <v>86</v>
      </c>
    </row>
    <row r="68" spans="1:27" customFormat="1" ht="15" customHeight="1" thickBot="1">
      <c r="A68" s="1">
        <v>103</v>
      </c>
      <c r="B68" s="191" t="s">
        <v>136</v>
      </c>
      <c r="C68" s="45" t="s">
        <v>85</v>
      </c>
      <c r="D68" s="151">
        <v>7</v>
      </c>
      <c r="E68" s="151">
        <v>7</v>
      </c>
      <c r="F68" s="151">
        <f>VLOOKUP(B68,'BDD Estudiantes Posgrado'!$A$1:$D$200,4,0)</f>
        <v>1</v>
      </c>
      <c r="G68" s="151">
        <f>E68-F68</f>
        <v>6</v>
      </c>
      <c r="H68" s="169">
        <f>F68/D68</f>
        <v>0.14285714285714285</v>
      </c>
      <c r="I68" s="170">
        <f>IFERROR((((1.96^2*0.5*0.5*($D68-F68))/(F68*($D68-1)))^0.5),"")</f>
        <v>0.98</v>
      </c>
      <c r="J68" s="170">
        <f t="shared" si="54"/>
        <v>0.82499999999999996</v>
      </c>
      <c r="K68" s="170" t="s">
        <v>100</v>
      </c>
      <c r="L68" s="151">
        <f>VLOOKUP($B68,'BDD Prof. Planta'!$B$29:$G$162,6,0)</f>
        <v>2</v>
      </c>
      <c r="M68" s="151">
        <v>2</v>
      </c>
      <c r="N68" s="151">
        <f>VLOOKUP($B68,'BDD Prof. Planta'!$B$29:$L$162,11,0)</f>
        <v>1</v>
      </c>
      <c r="O68" s="151">
        <f>M68-N68</f>
        <v>1</v>
      </c>
      <c r="P68" s="169">
        <f>N68/L68</f>
        <v>0.5</v>
      </c>
      <c r="Q68" s="170">
        <f>IFERROR((((1.96^2*0.5*0.5*($L68-N68))/(N68*($L68-1)))^0.5),"")</f>
        <v>0.98</v>
      </c>
      <c r="R68" s="170">
        <f t="shared" ref="R68:R131" si="55">IFERROR((((1.65^2*0.5*0.5*($L68-N68))/(N68*($L68-1)))^0.5),"")</f>
        <v>0.82499999999999996</v>
      </c>
      <c r="S68" s="170" t="s">
        <v>86</v>
      </c>
      <c r="T68" s="152">
        <f>VLOOKUP($B68,'BDD Prof. Catedra'!B:G,6,0)</f>
        <v>2</v>
      </c>
      <c r="U68" s="152">
        <v>2</v>
      </c>
      <c r="V68" s="152">
        <f>VLOOKUP($B68,'BDD Prof. Catedra'!$B:$J,9,0)</f>
        <v>0</v>
      </c>
      <c r="W68" s="152">
        <f>U68-V68</f>
        <v>2</v>
      </c>
      <c r="X68" s="173">
        <f>V68/T68</f>
        <v>0</v>
      </c>
      <c r="Y68" s="174" t="str">
        <f>IFERROR((((1.96^2*0.5*0.5*($T68-V68))/(V68*($T68-1)))^0.5),"")</f>
        <v/>
      </c>
      <c r="Z68" s="174" t="str">
        <f t="shared" ref="Z68:Z131" si="56">IFERROR((((1.65^2*0.5*0.5*($T68-V68))/(V68*($T68-1)))^0.5),"")</f>
        <v/>
      </c>
      <c r="AA68" s="217"/>
    </row>
    <row r="69" spans="1:27" customFormat="1" ht="15" hidden="1" customHeight="1">
      <c r="A69" s="1">
        <v>202</v>
      </c>
      <c r="B69" s="191" t="s">
        <v>137</v>
      </c>
      <c r="C69" s="45" t="s">
        <v>138</v>
      </c>
      <c r="D69" s="150">
        <v>16</v>
      </c>
      <c r="E69" s="150">
        <v>15</v>
      </c>
      <c r="F69" s="150">
        <f>VLOOKUP(B69,'BDD Estudiantes Posgrado'!$A$1:$D$200,4,0)</f>
        <v>14</v>
      </c>
      <c r="G69" s="150">
        <f t="shared" si="26"/>
        <v>1</v>
      </c>
      <c r="H69" s="166">
        <f t="shared" si="27"/>
        <v>0.875</v>
      </c>
      <c r="I69" s="167">
        <f t="shared" si="28"/>
        <v>9.5638207148956253E-2</v>
      </c>
      <c r="J69" s="167">
        <f t="shared" si="54"/>
        <v>8.0511756018253985E-2</v>
      </c>
      <c r="K69" s="167" t="s">
        <v>78</v>
      </c>
      <c r="L69" s="152"/>
      <c r="M69" s="152"/>
      <c r="N69" s="152"/>
      <c r="O69" s="152"/>
      <c r="P69" s="173"/>
      <c r="Q69" s="174" t="str">
        <f t="shared" si="25"/>
        <v/>
      </c>
      <c r="R69" s="174" t="str">
        <f t="shared" si="55"/>
        <v/>
      </c>
      <c r="S69" s="174"/>
      <c r="T69" s="149">
        <f>VLOOKUP($B69,'BDD Prof. Catedra'!B:G,6,0)</f>
        <v>5</v>
      </c>
      <c r="U69" s="149">
        <v>5</v>
      </c>
      <c r="V69" s="149">
        <f>VLOOKUP($B69,'BDD Prof. Catedra'!$B:$J,9,0)</f>
        <v>5</v>
      </c>
      <c r="W69" s="149">
        <f t="shared" si="20"/>
        <v>0</v>
      </c>
      <c r="X69" s="164">
        <f t="shared" si="29"/>
        <v>1</v>
      </c>
      <c r="Y69" s="165">
        <f t="shared" si="30"/>
        <v>0</v>
      </c>
      <c r="Z69" s="165">
        <f t="shared" si="56"/>
        <v>0</v>
      </c>
      <c r="AA69" s="203" t="s">
        <v>78</v>
      </c>
    </row>
    <row r="70" spans="1:27" customFormat="1" ht="15" hidden="1" customHeight="1">
      <c r="A70" s="1">
        <v>117</v>
      </c>
      <c r="B70" s="191" t="s">
        <v>139</v>
      </c>
      <c r="C70" s="45" t="s">
        <v>138</v>
      </c>
      <c r="D70" s="149">
        <v>28</v>
      </c>
      <c r="E70" s="149">
        <v>27</v>
      </c>
      <c r="F70" s="149">
        <f>VLOOKUP(B70,'BDD Estudiantes Posgrado'!$A$1:$D$200,4,0)</f>
        <v>27</v>
      </c>
      <c r="G70" s="149">
        <f t="shared" si="26"/>
        <v>0</v>
      </c>
      <c r="H70" s="164">
        <f t="shared" si="27"/>
        <v>0.9642857142857143</v>
      </c>
      <c r="I70" s="165">
        <f t="shared" si="28"/>
        <v>3.6296296296296292E-2</v>
      </c>
      <c r="J70" s="165">
        <f t="shared" si="54"/>
        <v>3.0555555555555555E-2</v>
      </c>
      <c r="K70" s="165" t="s">
        <v>78</v>
      </c>
      <c r="L70" s="149">
        <f>VLOOKUP($B70,'BDD Prof. Planta'!$B$29:$G$162,6,0)</f>
        <v>1</v>
      </c>
      <c r="M70" s="149">
        <v>1</v>
      </c>
      <c r="N70" s="149">
        <f>VLOOKUP($B70,'BDD Prof. Planta'!$B$29:$L$162,11,0)</f>
        <v>1</v>
      </c>
      <c r="O70" s="149">
        <f t="shared" si="23"/>
        <v>0</v>
      </c>
      <c r="P70" s="164">
        <f t="shared" si="24"/>
        <v>1</v>
      </c>
      <c r="Q70" s="165">
        <v>0</v>
      </c>
      <c r="R70" s="165">
        <f>IFERROR((((1.65^2*0.5*0.5*($L70-N70))/(N70*($L70-1)))^0.5),0)</f>
        <v>0</v>
      </c>
      <c r="S70" s="165" t="s">
        <v>78</v>
      </c>
      <c r="T70" s="149">
        <f>VLOOKUP($B70,'BDD Prof. Catedra'!B:G,6,0)</f>
        <v>6</v>
      </c>
      <c r="U70" s="149">
        <v>6</v>
      </c>
      <c r="V70" s="149">
        <f>VLOOKUP($B70,'BDD Prof. Catedra'!$B:$J,9,0)</f>
        <v>6</v>
      </c>
      <c r="W70" s="149">
        <f t="shared" si="20"/>
        <v>0</v>
      </c>
      <c r="X70" s="164">
        <f t="shared" si="29"/>
        <v>1</v>
      </c>
      <c r="Y70" s="165">
        <f t="shared" si="30"/>
        <v>0</v>
      </c>
      <c r="Z70" s="165">
        <f t="shared" si="56"/>
        <v>0</v>
      </c>
      <c r="AA70" s="203" t="s">
        <v>78</v>
      </c>
    </row>
    <row r="71" spans="1:27" customFormat="1" ht="15" hidden="1" customHeight="1">
      <c r="A71" s="1">
        <v>111</v>
      </c>
      <c r="B71" s="191" t="s">
        <v>140</v>
      </c>
      <c r="C71" s="45" t="s">
        <v>138</v>
      </c>
      <c r="D71" s="149">
        <v>74</v>
      </c>
      <c r="E71" s="149">
        <v>62</v>
      </c>
      <c r="F71" s="149">
        <f>VLOOKUP(B71,'BDD Estudiantes Posgrado'!$A$1:$D$200,4,0)</f>
        <v>62</v>
      </c>
      <c r="G71" s="149">
        <f t="shared" si="26"/>
        <v>0</v>
      </c>
      <c r="H71" s="164">
        <f t="shared" si="27"/>
        <v>0.83783783783783783</v>
      </c>
      <c r="I71" s="165">
        <f t="shared" si="28"/>
        <v>5.0461414930800176E-2</v>
      </c>
      <c r="J71" s="165">
        <f t="shared" si="54"/>
        <v>4.2480272773377695E-2</v>
      </c>
      <c r="K71" s="165" t="s">
        <v>78</v>
      </c>
      <c r="L71" s="149">
        <f>VLOOKUP($B71,'BDD Prof. Planta'!$B$29:$G$162,6,0)</f>
        <v>1</v>
      </c>
      <c r="M71" s="149">
        <v>1</v>
      </c>
      <c r="N71" s="149">
        <f>VLOOKUP($B71,'BDD Prof. Planta'!$B$29:$L$162,11,0)</f>
        <v>1</v>
      </c>
      <c r="O71" s="149">
        <f t="shared" si="23"/>
        <v>0</v>
      </c>
      <c r="P71" s="164">
        <f t="shared" si="24"/>
        <v>1</v>
      </c>
      <c r="Q71" s="165">
        <f>IFERROR((((1.96^2*0.5*0.5*($L71-N71))/(N71*($L71-1)))^0.5),0)</f>
        <v>0</v>
      </c>
      <c r="R71" s="165">
        <f>IFERROR((((1.65^2*0.5*0.5*($L71-N71))/(N71*($L71-1)))^0.5),0)</f>
        <v>0</v>
      </c>
      <c r="S71" s="165" t="s">
        <v>78</v>
      </c>
      <c r="T71" s="149">
        <f>VLOOKUP($B71,'BDD Prof. Catedra'!B:G,6,0)</f>
        <v>4</v>
      </c>
      <c r="U71" s="149">
        <v>4</v>
      </c>
      <c r="V71" s="149">
        <f>VLOOKUP($B71,'BDD Prof. Catedra'!$B:$J,9,0)</f>
        <v>4</v>
      </c>
      <c r="W71" s="149">
        <f t="shared" si="20"/>
        <v>0</v>
      </c>
      <c r="X71" s="164">
        <f t="shared" si="29"/>
        <v>1</v>
      </c>
      <c r="Y71" s="165">
        <f t="shared" si="30"/>
        <v>0</v>
      </c>
      <c r="Z71" s="165">
        <f t="shared" si="56"/>
        <v>0</v>
      </c>
      <c r="AA71" s="203" t="s">
        <v>78</v>
      </c>
    </row>
    <row r="72" spans="1:27" customFormat="1" ht="15" hidden="1" customHeight="1">
      <c r="A72" s="1">
        <v>112</v>
      </c>
      <c r="B72" s="191" t="s">
        <v>141</v>
      </c>
      <c r="C72" s="45" t="s">
        <v>138</v>
      </c>
      <c r="D72" s="149">
        <v>26</v>
      </c>
      <c r="E72" s="149">
        <v>26</v>
      </c>
      <c r="F72" s="149">
        <f>VLOOKUP(B72,'BDD Estudiantes Posgrado'!$A$1:$D$200,4,0)</f>
        <v>26</v>
      </c>
      <c r="G72" s="149">
        <f t="shared" si="26"/>
        <v>0</v>
      </c>
      <c r="H72" s="164">
        <f t="shared" si="27"/>
        <v>1</v>
      </c>
      <c r="I72" s="165">
        <f t="shared" si="28"/>
        <v>0</v>
      </c>
      <c r="J72" s="165">
        <f t="shared" si="54"/>
        <v>0</v>
      </c>
      <c r="K72" s="165" t="s">
        <v>78</v>
      </c>
      <c r="L72" s="149">
        <f>VLOOKUP($B72,'BDD Prof. Planta'!$B$29:$G$162,6,0)</f>
        <v>1</v>
      </c>
      <c r="M72" s="149">
        <v>1</v>
      </c>
      <c r="N72" s="149">
        <f>VLOOKUP($B72,'BDD Prof. Planta'!$B$29:$L$162,11,0)</f>
        <v>1</v>
      </c>
      <c r="O72" s="149">
        <f t="shared" si="23"/>
        <v>0</v>
      </c>
      <c r="P72" s="164">
        <f t="shared" si="24"/>
        <v>1</v>
      </c>
      <c r="Q72" s="165">
        <f>IFERROR((((1.96^2*0.5*0.5*($L72-N72))/(N72*($L72-1)))^0.5),0)</f>
        <v>0</v>
      </c>
      <c r="R72" s="165">
        <f>IFERROR((((1.65^2*0.5*0.5*($L72-N72))/(N72*($L72-1)))^0.5),0)</f>
        <v>0</v>
      </c>
      <c r="S72" s="165" t="s">
        <v>78</v>
      </c>
      <c r="T72" s="151">
        <f>VLOOKUP($B72,'BDD Prof. Catedra'!B:G,6,0)</f>
        <v>2</v>
      </c>
      <c r="U72" s="151">
        <v>2</v>
      </c>
      <c r="V72" s="151">
        <f>VLOOKUP($B72,'BDD Prof. Catedra'!$B:$J,9,0)</f>
        <v>1</v>
      </c>
      <c r="W72" s="151">
        <f t="shared" si="20"/>
        <v>1</v>
      </c>
      <c r="X72" s="169">
        <f t="shared" si="29"/>
        <v>0.5</v>
      </c>
      <c r="Y72" s="170">
        <f t="shared" si="30"/>
        <v>0.98</v>
      </c>
      <c r="Z72" s="170">
        <f t="shared" si="56"/>
        <v>0.82499999999999996</v>
      </c>
      <c r="AA72" s="204" t="s">
        <v>86</v>
      </c>
    </row>
    <row r="73" spans="1:27" customFormat="1" ht="15" hidden="1" customHeight="1">
      <c r="A73" s="1">
        <v>119</v>
      </c>
      <c r="B73" s="191" t="s">
        <v>142</v>
      </c>
      <c r="C73" s="45" t="s">
        <v>138</v>
      </c>
      <c r="D73" s="149">
        <v>48</v>
      </c>
      <c r="E73" s="149">
        <v>45</v>
      </c>
      <c r="F73" s="149">
        <f>VLOOKUP(B73,'BDD Estudiantes Posgrado'!$A$1:$D$200,4,0)</f>
        <v>45</v>
      </c>
      <c r="G73" s="149">
        <f t="shared" si="26"/>
        <v>0</v>
      </c>
      <c r="H73" s="164">
        <f t="shared" si="27"/>
        <v>0.9375</v>
      </c>
      <c r="I73" s="165">
        <f t="shared" si="28"/>
        <v>3.6908935280580764E-2</v>
      </c>
      <c r="J73" s="165">
        <f t="shared" si="54"/>
        <v>3.1071297557631761E-2</v>
      </c>
      <c r="K73" s="165" t="s">
        <v>78</v>
      </c>
      <c r="L73" s="149">
        <v>1</v>
      </c>
      <c r="M73" s="149">
        <v>1</v>
      </c>
      <c r="N73" s="149">
        <f>VLOOKUP($B73,'BDD Prof. Planta'!$B$29:$L$162,11,0)</f>
        <v>1</v>
      </c>
      <c r="O73" s="149">
        <f t="shared" si="23"/>
        <v>0</v>
      </c>
      <c r="P73" s="164">
        <f t="shared" si="24"/>
        <v>1</v>
      </c>
      <c r="Q73" s="165">
        <f>IFERROR((((1.96^2*0.5*0.5*($L73-N73))/(N73*($L73-1)))^0.5),0)</f>
        <v>0</v>
      </c>
      <c r="R73" s="165">
        <f>IFERROR((((1.65^2*0.5*0.5*($L73-N73))/(N73*($L73-1)))^0.5),0)</f>
        <v>0</v>
      </c>
      <c r="S73" s="165" t="s">
        <v>78</v>
      </c>
      <c r="T73" s="151">
        <f>VLOOKUP($B73,'BDD Prof. Catedra'!B:G,6,0)</f>
        <v>3</v>
      </c>
      <c r="U73" s="151">
        <v>3</v>
      </c>
      <c r="V73" s="151">
        <f>VLOOKUP($B73,'BDD Prof. Catedra'!$B:$J,9,0)</f>
        <v>2</v>
      </c>
      <c r="W73" s="151">
        <f t="shared" si="20"/>
        <v>1</v>
      </c>
      <c r="X73" s="169">
        <f t="shared" si="29"/>
        <v>0.66666666666666663</v>
      </c>
      <c r="Y73" s="170">
        <f t="shared" si="30"/>
        <v>0.49</v>
      </c>
      <c r="Z73" s="170">
        <f t="shared" si="56"/>
        <v>0.41249999999999998</v>
      </c>
      <c r="AA73" s="204" t="s">
        <v>86</v>
      </c>
    </row>
    <row r="74" spans="1:27" customFormat="1" ht="15" hidden="1" customHeight="1">
      <c r="A74" s="1">
        <v>120</v>
      </c>
      <c r="B74" s="191" t="s">
        <v>143</v>
      </c>
      <c r="C74" s="45" t="s">
        <v>138</v>
      </c>
      <c r="D74" s="149">
        <v>28</v>
      </c>
      <c r="E74" s="149">
        <v>28</v>
      </c>
      <c r="F74" s="149">
        <f>VLOOKUP(B74,'BDD Estudiantes Posgrado'!$A$1:$D$200,4,0)</f>
        <v>28</v>
      </c>
      <c r="G74" s="149">
        <f t="shared" si="26"/>
        <v>0</v>
      </c>
      <c r="H74" s="164">
        <f t="shared" si="27"/>
        <v>1</v>
      </c>
      <c r="I74" s="165">
        <f t="shared" si="28"/>
        <v>0</v>
      </c>
      <c r="J74" s="165">
        <f t="shared" si="54"/>
        <v>0</v>
      </c>
      <c r="K74" s="165" t="s">
        <v>78</v>
      </c>
      <c r="L74" s="152"/>
      <c r="M74" s="152"/>
      <c r="N74" s="152"/>
      <c r="O74" s="152"/>
      <c r="P74" s="173"/>
      <c r="Q74" s="174" t="str">
        <f t="shared" si="25"/>
        <v/>
      </c>
      <c r="R74" s="174" t="str">
        <f t="shared" si="55"/>
        <v/>
      </c>
      <c r="S74" s="174"/>
      <c r="T74" s="149">
        <f>VLOOKUP($B74,'BDD Prof. Catedra'!B:G,6,0)</f>
        <v>5</v>
      </c>
      <c r="U74" s="149">
        <v>5</v>
      </c>
      <c r="V74" s="149">
        <f>VLOOKUP($B74,'BDD Prof. Catedra'!$B:$J,9,0)</f>
        <v>5</v>
      </c>
      <c r="W74" s="149">
        <f t="shared" si="20"/>
        <v>0</v>
      </c>
      <c r="X74" s="164">
        <f t="shared" si="29"/>
        <v>1</v>
      </c>
      <c r="Y74" s="165">
        <f t="shared" si="30"/>
        <v>0</v>
      </c>
      <c r="Z74" s="165">
        <f t="shared" si="56"/>
        <v>0</v>
      </c>
      <c r="AA74" s="203" t="s">
        <v>78</v>
      </c>
    </row>
    <row r="75" spans="1:27" customFormat="1" ht="15" hidden="1" customHeight="1">
      <c r="A75" s="1">
        <v>118</v>
      </c>
      <c r="B75" s="191" t="s">
        <v>144</v>
      </c>
      <c r="C75" s="45" t="s">
        <v>138</v>
      </c>
      <c r="D75" s="150">
        <v>22</v>
      </c>
      <c r="E75" s="150">
        <v>21</v>
      </c>
      <c r="F75" s="150">
        <f>VLOOKUP(B75,'BDD Estudiantes Posgrado'!$A$1:$D$200,4,0)</f>
        <v>18</v>
      </c>
      <c r="G75" s="150">
        <f t="shared" si="26"/>
        <v>3</v>
      </c>
      <c r="H75" s="166">
        <f t="shared" si="27"/>
        <v>0.81818181818181823</v>
      </c>
      <c r="I75" s="167">
        <f t="shared" si="28"/>
        <v>0.10081152197523338</v>
      </c>
      <c r="J75" s="167">
        <f t="shared" si="54"/>
        <v>8.486684247915055E-2</v>
      </c>
      <c r="K75" s="167" t="s">
        <v>78</v>
      </c>
      <c r="L75" s="152"/>
      <c r="M75" s="152"/>
      <c r="N75" s="152"/>
      <c r="O75" s="152"/>
      <c r="P75" s="173"/>
      <c r="Q75" s="174" t="str">
        <f t="shared" si="25"/>
        <v/>
      </c>
      <c r="R75" s="174" t="str">
        <f t="shared" si="55"/>
        <v/>
      </c>
      <c r="S75" s="174"/>
      <c r="T75" s="151">
        <f>VLOOKUP($B75,'BDD Prof. Catedra'!B:G,6,0)</f>
        <v>14</v>
      </c>
      <c r="U75" s="151">
        <v>14</v>
      </c>
      <c r="V75" s="151">
        <f>VLOOKUP($B75,'BDD Prof. Catedra'!$B:$J,9,0)</f>
        <v>10</v>
      </c>
      <c r="W75" s="151">
        <f t="shared" si="20"/>
        <v>4</v>
      </c>
      <c r="X75" s="169">
        <f t="shared" si="29"/>
        <v>0.7142857142857143</v>
      </c>
      <c r="Y75" s="170">
        <f t="shared" si="30"/>
        <v>0.17190337178417772</v>
      </c>
      <c r="Z75" s="170">
        <f t="shared" si="56"/>
        <v>0.14471457318565981</v>
      </c>
      <c r="AA75" s="204" t="s">
        <v>86</v>
      </c>
    </row>
    <row r="76" spans="1:27" customFormat="1" ht="15" hidden="1" customHeight="1">
      <c r="A76" s="1">
        <v>114</v>
      </c>
      <c r="B76" s="191" t="s">
        <v>145</v>
      </c>
      <c r="C76" s="45" t="s">
        <v>138</v>
      </c>
      <c r="D76" s="149">
        <v>101</v>
      </c>
      <c r="E76" s="149">
        <v>96</v>
      </c>
      <c r="F76" s="149">
        <f>VLOOKUP(B76,'BDD Estudiantes Posgrado'!$A$1:$D$200,4,0)</f>
        <v>96</v>
      </c>
      <c r="G76" s="149">
        <f t="shared" si="26"/>
        <v>0</v>
      </c>
      <c r="H76" s="164">
        <f t="shared" si="27"/>
        <v>0.95049504950495045</v>
      </c>
      <c r="I76" s="165">
        <f t="shared" si="28"/>
        <v>2.2365337764794282E-2</v>
      </c>
      <c r="J76" s="165">
        <f t="shared" si="54"/>
        <v>1.8827962914240087E-2</v>
      </c>
      <c r="K76" s="165" t="s">
        <v>78</v>
      </c>
      <c r="L76" s="149">
        <f>VLOOKUP($B76,'BDD Prof. Planta'!$B$29:$G$162,6,0)</f>
        <v>2</v>
      </c>
      <c r="M76" s="149">
        <v>2</v>
      </c>
      <c r="N76" s="149">
        <f>VLOOKUP($B76,'BDD Prof. Planta'!$B$29:$L$162,11,0)</f>
        <v>2</v>
      </c>
      <c r="O76" s="149">
        <f t="shared" si="23"/>
        <v>0</v>
      </c>
      <c r="P76" s="164">
        <f t="shared" si="24"/>
        <v>1</v>
      </c>
      <c r="Q76" s="165">
        <v>0</v>
      </c>
      <c r="R76" s="165">
        <f t="shared" si="55"/>
        <v>0</v>
      </c>
      <c r="S76" s="165" t="s">
        <v>78</v>
      </c>
      <c r="T76" s="149">
        <f>VLOOKUP($B76,'BDD Prof. Catedra'!B:G,6,0)</f>
        <v>8</v>
      </c>
      <c r="U76" s="149">
        <v>8</v>
      </c>
      <c r="V76" s="149">
        <f>VLOOKUP($B76,'BDD Prof. Catedra'!$B:$J,9,0)</f>
        <v>8</v>
      </c>
      <c r="W76" s="149">
        <f t="shared" si="20"/>
        <v>0</v>
      </c>
      <c r="X76" s="164">
        <f t="shared" si="29"/>
        <v>1</v>
      </c>
      <c r="Y76" s="165">
        <f t="shared" si="30"/>
        <v>0</v>
      </c>
      <c r="Z76" s="165">
        <f t="shared" si="56"/>
        <v>0</v>
      </c>
      <c r="AA76" s="203" t="s">
        <v>78</v>
      </c>
    </row>
    <row r="77" spans="1:27" customFormat="1" ht="15" hidden="1" customHeight="1">
      <c r="A77" s="1">
        <v>113</v>
      </c>
      <c r="B77" s="191" t="s">
        <v>146</v>
      </c>
      <c r="C77" s="45" t="s">
        <v>138</v>
      </c>
      <c r="D77" s="149">
        <v>35</v>
      </c>
      <c r="E77" s="149">
        <v>33</v>
      </c>
      <c r="F77" s="149">
        <f>VLOOKUP(B77,'BDD Estudiantes Posgrado'!$A$1:$D$200,4,0)</f>
        <v>33</v>
      </c>
      <c r="G77" s="149">
        <f t="shared" si="26"/>
        <v>0</v>
      </c>
      <c r="H77" s="164">
        <f t="shared" si="27"/>
        <v>0.94285714285714284</v>
      </c>
      <c r="I77" s="165">
        <f t="shared" si="28"/>
        <v>4.1375632430233407E-2</v>
      </c>
      <c r="J77" s="165">
        <f t="shared" si="54"/>
        <v>3.4831527300961798E-2</v>
      </c>
      <c r="K77" s="165" t="s">
        <v>78</v>
      </c>
      <c r="L77" s="149">
        <f>VLOOKUP($B77,'BDD Prof. Planta'!$B$29:$G$162,6,0)</f>
        <v>2</v>
      </c>
      <c r="M77" s="149">
        <v>2</v>
      </c>
      <c r="N77" s="149">
        <f>VLOOKUP($B77,'BDD Prof. Planta'!$B$29:$L$162,11,0)</f>
        <v>2</v>
      </c>
      <c r="O77" s="149">
        <f t="shared" si="23"/>
        <v>0</v>
      </c>
      <c r="P77" s="164">
        <f t="shared" si="24"/>
        <v>1</v>
      </c>
      <c r="Q77" s="165">
        <f t="shared" si="25"/>
        <v>0</v>
      </c>
      <c r="R77" s="165">
        <f t="shared" si="55"/>
        <v>0</v>
      </c>
      <c r="S77" s="165" t="s">
        <v>78</v>
      </c>
      <c r="T77" s="151">
        <f>VLOOKUP($B77,'BDD Prof. Catedra'!B:G,6,0)</f>
        <v>4</v>
      </c>
      <c r="U77" s="151">
        <v>3</v>
      </c>
      <c r="V77" s="151">
        <f>VLOOKUP($B77,'BDD Prof. Catedra'!$B:$J,9,0)</f>
        <v>3</v>
      </c>
      <c r="W77" s="151">
        <f t="shared" si="20"/>
        <v>0</v>
      </c>
      <c r="X77" s="169">
        <f t="shared" si="29"/>
        <v>0.75</v>
      </c>
      <c r="Y77" s="170">
        <f t="shared" si="30"/>
        <v>0.32666666666666666</v>
      </c>
      <c r="Z77" s="170">
        <f t="shared" si="56"/>
        <v>0.27500000000000002</v>
      </c>
      <c r="AA77" s="204" t="s">
        <v>86</v>
      </c>
    </row>
    <row r="78" spans="1:27" customFormat="1" ht="15" hidden="1" customHeight="1">
      <c r="A78" s="1">
        <v>110</v>
      </c>
      <c r="B78" s="191" t="s">
        <v>147</v>
      </c>
      <c r="C78" s="45" t="s">
        <v>138</v>
      </c>
      <c r="D78" s="149">
        <v>30</v>
      </c>
      <c r="E78" s="149">
        <v>27</v>
      </c>
      <c r="F78" s="149">
        <f>VLOOKUP(B78,'BDD Estudiantes Posgrado'!$A$1:$D$200,4,0)</f>
        <v>27</v>
      </c>
      <c r="G78" s="149">
        <f t="shared" si="26"/>
        <v>0</v>
      </c>
      <c r="H78" s="164">
        <f t="shared" si="27"/>
        <v>0.9</v>
      </c>
      <c r="I78" s="165">
        <f t="shared" si="28"/>
        <v>6.0660477137836941E-2</v>
      </c>
      <c r="J78" s="165">
        <f t="shared" si="54"/>
        <v>5.1066217998689253E-2</v>
      </c>
      <c r="K78" s="165" t="s">
        <v>78</v>
      </c>
      <c r="L78" s="149">
        <f>VLOOKUP($B78,'BDD Prof. Planta'!$B$29:$G$162,6,0)</f>
        <v>1</v>
      </c>
      <c r="M78" s="149">
        <v>1</v>
      </c>
      <c r="N78" s="149">
        <f>VLOOKUP($B78,'BDD Prof. Planta'!$B$29:$L$162,11,0)</f>
        <v>1</v>
      </c>
      <c r="O78" s="149">
        <f t="shared" ref="O78:O123" si="57">M78-N78</f>
        <v>0</v>
      </c>
      <c r="P78" s="164">
        <f t="shared" ref="P78:P123" si="58">N78/L78</f>
        <v>1</v>
      </c>
      <c r="Q78" s="165">
        <v>0</v>
      </c>
      <c r="R78" s="165">
        <f>IFERROR((((1.65^2*0.5*0.5*($L78-N78))/(N78*($L78-1)))^0.5),0)</f>
        <v>0</v>
      </c>
      <c r="S78" s="165" t="s">
        <v>78</v>
      </c>
      <c r="T78" s="151">
        <f>VLOOKUP($B78,'BDD Prof. Catedra'!B:G,6,0)</f>
        <v>3</v>
      </c>
      <c r="U78" s="151">
        <v>3</v>
      </c>
      <c r="V78" s="151">
        <f>VLOOKUP($B78,'BDD Prof. Catedra'!$B:$J,9,0)</f>
        <v>2</v>
      </c>
      <c r="W78" s="151">
        <f t="shared" si="20"/>
        <v>1</v>
      </c>
      <c r="X78" s="169">
        <f t="shared" si="29"/>
        <v>0.66666666666666663</v>
      </c>
      <c r="Y78" s="170">
        <f t="shared" si="30"/>
        <v>0.49</v>
      </c>
      <c r="Z78" s="170">
        <f t="shared" si="56"/>
        <v>0.41249999999999998</v>
      </c>
      <c r="AA78" s="204" t="s">
        <v>86</v>
      </c>
    </row>
    <row r="79" spans="1:27" customFormat="1" ht="15" hidden="1" customHeight="1">
      <c r="A79" s="1">
        <v>115</v>
      </c>
      <c r="B79" s="191" t="s">
        <v>148</v>
      </c>
      <c r="C79" s="45" t="s">
        <v>138</v>
      </c>
      <c r="D79" s="151">
        <v>45</v>
      </c>
      <c r="E79" s="151">
        <v>40</v>
      </c>
      <c r="F79" s="151">
        <f>VLOOKUP(B79,'BDD Estudiantes Posgrado'!$A$1:$D$200,4,0)</f>
        <v>33</v>
      </c>
      <c r="G79" s="151">
        <f t="shared" si="26"/>
        <v>7</v>
      </c>
      <c r="H79" s="169">
        <f t="shared" si="27"/>
        <v>0.73333333333333328</v>
      </c>
      <c r="I79" s="170">
        <f t="shared" si="28"/>
        <v>8.9090909090909082E-2</v>
      </c>
      <c r="J79" s="170">
        <f t="shared" si="54"/>
        <v>7.4999999999999997E-2</v>
      </c>
      <c r="K79" s="170" t="s">
        <v>86</v>
      </c>
      <c r="L79" s="151">
        <f>VLOOKUP($B79,'BDD Prof. Planta'!$B$29:$G$162,6,0)</f>
        <v>3</v>
      </c>
      <c r="M79" s="151">
        <v>3</v>
      </c>
      <c r="N79" s="151">
        <f>VLOOKUP($B79,'BDD Prof. Planta'!$B$29:$L$162,11,0)</f>
        <v>2</v>
      </c>
      <c r="O79" s="151">
        <f t="shared" si="57"/>
        <v>1</v>
      </c>
      <c r="P79" s="169">
        <f t="shared" si="58"/>
        <v>0.66666666666666663</v>
      </c>
      <c r="Q79" s="170">
        <f t="shared" ref="Q79:Q123" si="59">IFERROR((((1.96^2*0.5*0.5*($L79-N79))/(N79*($L79-1)))^0.5),"")</f>
        <v>0.49</v>
      </c>
      <c r="R79" s="170">
        <f t="shared" si="55"/>
        <v>0.41249999999999998</v>
      </c>
      <c r="S79" s="170" t="s">
        <v>86</v>
      </c>
      <c r="T79" s="175">
        <f>VLOOKUP($B79,'BDD Prof. Catedra'!B:G,6,0)</f>
        <v>2</v>
      </c>
      <c r="U79" s="175">
        <v>2</v>
      </c>
      <c r="V79" s="175">
        <f>VLOOKUP($B79,'BDD Prof. Catedra'!$B:$J,9,0)</f>
        <v>0</v>
      </c>
      <c r="W79" s="175">
        <f t="shared" si="20"/>
        <v>2</v>
      </c>
      <c r="X79" s="176">
        <f t="shared" si="29"/>
        <v>0</v>
      </c>
      <c r="Y79" s="177" t="str">
        <f t="shared" si="30"/>
        <v/>
      </c>
      <c r="Z79" s="177" t="str">
        <f t="shared" si="56"/>
        <v/>
      </c>
      <c r="AA79" s="226"/>
    </row>
    <row r="80" spans="1:27" customFormat="1" ht="15" hidden="1" customHeight="1">
      <c r="A80" s="1">
        <v>141</v>
      </c>
      <c r="B80" s="191" t="s">
        <v>149</v>
      </c>
      <c r="C80" s="45" t="s">
        <v>138</v>
      </c>
      <c r="D80" s="151">
        <v>33</v>
      </c>
      <c r="E80" s="151">
        <v>30</v>
      </c>
      <c r="F80" s="151">
        <f>VLOOKUP(B80,'BDD Estudiantes Posgrado'!$A$1:$D$200,4,0)</f>
        <v>16</v>
      </c>
      <c r="G80" s="151">
        <f t="shared" si="26"/>
        <v>14</v>
      </c>
      <c r="H80" s="169">
        <f t="shared" si="27"/>
        <v>0.48484848484848486</v>
      </c>
      <c r="I80" s="170">
        <f t="shared" si="28"/>
        <v>0.17857290177963733</v>
      </c>
      <c r="J80" s="170">
        <f t="shared" si="54"/>
        <v>0.1503292285389804</v>
      </c>
      <c r="K80" s="170" t="s">
        <v>86</v>
      </c>
      <c r="L80" s="149">
        <f>VLOOKUP($B80,'BDD Prof. Planta'!$B$29:$G$162,6,0)</f>
        <v>1</v>
      </c>
      <c r="M80" s="149">
        <v>1</v>
      </c>
      <c r="N80" s="149">
        <f>VLOOKUP($B80,'BDD Prof. Planta'!$B$29:$L$162,11,0)</f>
        <v>1</v>
      </c>
      <c r="O80" s="149">
        <f t="shared" si="57"/>
        <v>0</v>
      </c>
      <c r="P80" s="164">
        <f t="shared" si="58"/>
        <v>1</v>
      </c>
      <c r="Q80" s="165">
        <v>0</v>
      </c>
      <c r="R80" s="165">
        <f>IFERROR((((1.65^2*0.5*0.5*($L80-N80))/(N80*($L80-1)))^0.5),0)</f>
        <v>0</v>
      </c>
      <c r="S80" s="165" t="s">
        <v>78</v>
      </c>
      <c r="T80" s="151">
        <f>VLOOKUP($B80,'BDD Prof. Catedra'!B:G,6,0)</f>
        <v>6</v>
      </c>
      <c r="U80" s="151">
        <v>6</v>
      </c>
      <c r="V80" s="151">
        <f>VLOOKUP($B80,'BDD Prof. Catedra'!$B:$J,9,0)</f>
        <v>2</v>
      </c>
      <c r="W80" s="151">
        <f t="shared" si="20"/>
        <v>4</v>
      </c>
      <c r="X80" s="169">
        <f t="shared" si="29"/>
        <v>0.33333333333333331</v>
      </c>
      <c r="Y80" s="170">
        <f t="shared" si="30"/>
        <v>0.61980642139300235</v>
      </c>
      <c r="Z80" s="170">
        <f t="shared" si="56"/>
        <v>0.52177581392778261</v>
      </c>
      <c r="AA80" s="204" t="s">
        <v>86</v>
      </c>
    </row>
    <row r="81" spans="1:27" customFormat="1" ht="15" hidden="1" customHeight="1">
      <c r="A81" s="1">
        <v>203</v>
      </c>
      <c r="B81" s="191" t="s">
        <v>150</v>
      </c>
      <c r="C81" s="45" t="s">
        <v>138</v>
      </c>
      <c r="D81" s="151">
        <v>27</v>
      </c>
      <c r="E81" s="151">
        <v>25</v>
      </c>
      <c r="F81" s="151">
        <f>VLOOKUP(B81,'BDD Estudiantes Posgrado'!$A$1:$D$200,4,0)</f>
        <v>10</v>
      </c>
      <c r="G81" s="151">
        <f t="shared" si="26"/>
        <v>15</v>
      </c>
      <c r="H81" s="169">
        <f t="shared" si="27"/>
        <v>0.37037037037037035</v>
      </c>
      <c r="I81" s="170">
        <f t="shared" si="28"/>
        <v>0.2505900728588118</v>
      </c>
      <c r="J81" s="170">
        <f t="shared" si="54"/>
        <v>0.21095592868216298</v>
      </c>
      <c r="K81" s="170" t="s">
        <v>86</v>
      </c>
      <c r="L81" s="149">
        <f>VLOOKUP($B81,'BDD Prof. Planta'!$B$29:$G$162,6,0)</f>
        <v>1</v>
      </c>
      <c r="M81" s="149">
        <v>1</v>
      </c>
      <c r="N81" s="149">
        <f>VLOOKUP($B81,'BDD Prof. Planta'!$B$29:$L$162,11,0)</f>
        <v>1</v>
      </c>
      <c r="O81" s="149">
        <f t="shared" si="57"/>
        <v>0</v>
      </c>
      <c r="P81" s="164">
        <f t="shared" si="58"/>
        <v>1</v>
      </c>
      <c r="Q81" s="165">
        <v>0</v>
      </c>
      <c r="R81" s="165">
        <f>IFERROR((((1.65^2*0.5*0.5*($L81-N81))/(N81*($L81-1)))^0.5),0)</f>
        <v>0</v>
      </c>
      <c r="S81" s="165" t="s">
        <v>78</v>
      </c>
      <c r="T81" s="151">
        <f>VLOOKUP($B81,'BDD Prof. Catedra'!B:G,6,0)</f>
        <v>2</v>
      </c>
      <c r="U81" s="151">
        <v>2</v>
      </c>
      <c r="V81" s="151">
        <f>VLOOKUP($B81,'BDD Prof. Catedra'!$B:$J,9,0)</f>
        <v>1</v>
      </c>
      <c r="W81" s="151">
        <f t="shared" si="20"/>
        <v>1</v>
      </c>
      <c r="X81" s="169">
        <f t="shared" si="29"/>
        <v>0.5</v>
      </c>
      <c r="Y81" s="170">
        <f t="shared" si="30"/>
        <v>0.98</v>
      </c>
      <c r="Z81" s="170">
        <f t="shared" si="56"/>
        <v>0.82499999999999996</v>
      </c>
      <c r="AA81" s="204" t="s">
        <v>86</v>
      </c>
    </row>
    <row r="82" spans="1:27" customFormat="1" ht="15" hidden="1" customHeight="1">
      <c r="A82" s="1">
        <v>107</v>
      </c>
      <c r="B82" s="191" t="s">
        <v>151</v>
      </c>
      <c r="C82" s="45" t="s">
        <v>91</v>
      </c>
      <c r="D82" s="150">
        <v>16</v>
      </c>
      <c r="E82" s="150">
        <v>15</v>
      </c>
      <c r="F82" s="150">
        <f>VLOOKUP(B82,'BDD Estudiantes Posgrado'!$A$1:$D$200,4,0)</f>
        <v>14</v>
      </c>
      <c r="G82" s="150">
        <f t="shared" ref="G82:G154" si="60">E82-F82</f>
        <v>1</v>
      </c>
      <c r="H82" s="166">
        <f t="shared" ref="H82:H154" si="61">F82/D82</f>
        <v>0.875</v>
      </c>
      <c r="I82" s="167">
        <f t="shared" ref="I82:I154" si="62">IFERROR((((1.96^2*0.5*0.5*($D82-F82))/(F82*($D82-1)))^0.5),"")</f>
        <v>9.5638207148956253E-2</v>
      </c>
      <c r="J82" s="167">
        <f t="shared" si="54"/>
        <v>8.0511756018253985E-2</v>
      </c>
      <c r="K82" s="167" t="s">
        <v>78</v>
      </c>
      <c r="L82" s="149">
        <f>VLOOKUP($B82,'BDD Prof. Planta'!$B$29:$G$162,6,0)</f>
        <v>3</v>
      </c>
      <c r="M82" s="149">
        <v>3</v>
      </c>
      <c r="N82" s="149">
        <f>VLOOKUP($B82,'BDD Prof. Planta'!$B$29:$L$162,11,0)</f>
        <v>3</v>
      </c>
      <c r="O82" s="149">
        <f t="shared" si="57"/>
        <v>0</v>
      </c>
      <c r="P82" s="164">
        <f t="shared" si="58"/>
        <v>1</v>
      </c>
      <c r="Q82" s="165">
        <f t="shared" si="59"/>
        <v>0</v>
      </c>
      <c r="R82" s="165">
        <f t="shared" si="55"/>
        <v>0</v>
      </c>
      <c r="S82" s="165" t="s">
        <v>78</v>
      </c>
      <c r="T82" s="149">
        <f>VLOOKUP($B82,'BDD Prof. Catedra'!B:G,6,0)</f>
        <v>9</v>
      </c>
      <c r="U82" s="149">
        <v>9</v>
      </c>
      <c r="V82" s="149">
        <f>VLOOKUP($B82,'BDD Prof. Catedra'!$B:$J,9,0)</f>
        <v>9</v>
      </c>
      <c r="W82" s="149">
        <f t="shared" ref="W82:W157" si="63">U82-V82</f>
        <v>0</v>
      </c>
      <c r="X82" s="164">
        <f t="shared" si="29"/>
        <v>1</v>
      </c>
      <c r="Y82" s="165">
        <f t="shared" ref="Y82:Y137" si="64">IFERROR((((1.96^2*0.5*0.5*($T82-V82))/(V82*($T82-1)))^0.5),"")</f>
        <v>0</v>
      </c>
      <c r="Z82" s="165">
        <f t="shared" si="56"/>
        <v>0</v>
      </c>
      <c r="AA82" s="203" t="s">
        <v>78</v>
      </c>
    </row>
    <row r="83" spans="1:27" customFormat="1" ht="15" hidden="1" customHeight="1">
      <c r="A83" s="1">
        <v>108</v>
      </c>
      <c r="B83" s="191" t="s">
        <v>152</v>
      </c>
      <c r="C83" s="45" t="s">
        <v>91</v>
      </c>
      <c r="D83" s="149">
        <v>16</v>
      </c>
      <c r="E83" s="149">
        <v>16</v>
      </c>
      <c r="F83" s="149">
        <f>VLOOKUP(B83,'BDD Estudiantes Posgrado'!$A$1:$D$200,4,0)</f>
        <v>16</v>
      </c>
      <c r="G83" s="149">
        <f t="shared" si="60"/>
        <v>0</v>
      </c>
      <c r="H83" s="164">
        <f t="shared" si="61"/>
        <v>1</v>
      </c>
      <c r="I83" s="165">
        <f t="shared" si="62"/>
        <v>0</v>
      </c>
      <c r="J83" s="165">
        <f t="shared" si="54"/>
        <v>0</v>
      </c>
      <c r="K83" s="165" t="s">
        <v>78</v>
      </c>
      <c r="L83" s="149">
        <f>VLOOKUP($B83,'BDD Prof. Planta'!$B$29:$G$162,6,0)</f>
        <v>2</v>
      </c>
      <c r="M83" s="149">
        <v>2</v>
      </c>
      <c r="N83" s="149">
        <f>VLOOKUP($B83,'BDD Prof. Planta'!$B$29:$L$162,11,0)</f>
        <v>2</v>
      </c>
      <c r="O83" s="149">
        <f t="shared" si="57"/>
        <v>0</v>
      </c>
      <c r="P83" s="164">
        <f t="shared" si="58"/>
        <v>1</v>
      </c>
      <c r="Q83" s="165">
        <f t="shared" si="59"/>
        <v>0</v>
      </c>
      <c r="R83" s="165">
        <f t="shared" si="55"/>
        <v>0</v>
      </c>
      <c r="S83" s="165" t="s">
        <v>78</v>
      </c>
      <c r="T83" s="149">
        <f>VLOOKUP($B83,'BDD Prof. Catedra'!B:G,6,0)</f>
        <v>3</v>
      </c>
      <c r="U83" s="149">
        <v>3</v>
      </c>
      <c r="V83" s="149">
        <f>VLOOKUP($B83,'BDD Prof. Catedra'!$B:$J,9,0)</f>
        <v>3</v>
      </c>
      <c r="W83" s="149">
        <f t="shared" si="63"/>
        <v>0</v>
      </c>
      <c r="X83" s="164">
        <f t="shared" si="29"/>
        <v>1</v>
      </c>
      <c r="Y83" s="165">
        <f t="shared" si="64"/>
        <v>0</v>
      </c>
      <c r="Z83" s="165">
        <f t="shared" si="56"/>
        <v>0</v>
      </c>
      <c r="AA83" s="203" t="s">
        <v>78</v>
      </c>
    </row>
    <row r="84" spans="1:27" customFormat="1" ht="15" hidden="1" customHeight="1">
      <c r="A84" s="1">
        <v>104</v>
      </c>
      <c r="B84" s="191" t="s">
        <v>153</v>
      </c>
      <c r="C84" s="45" t="s">
        <v>87</v>
      </c>
      <c r="D84" s="151">
        <v>38</v>
      </c>
      <c r="E84" s="151">
        <v>35</v>
      </c>
      <c r="F84" s="151">
        <f>VLOOKUP(B84,'BDD Estudiantes Posgrado'!$A$1:$D$200,4,0)</f>
        <v>10</v>
      </c>
      <c r="G84" s="151">
        <f>E84-F84</f>
        <v>25</v>
      </c>
      <c r="H84" s="169">
        <f>F84/D84</f>
        <v>0.26315789473684209</v>
      </c>
      <c r="I84" s="170">
        <f>IFERROR((((1.96^2*0.5*0.5*($D84-F84))/(F84*($D84-1)))^0.5),"")</f>
        <v>0.2695902797189077</v>
      </c>
      <c r="J84" s="170">
        <f t="shared" si="54"/>
        <v>0.22695100078377436</v>
      </c>
      <c r="K84" s="170" t="s">
        <v>86</v>
      </c>
      <c r="L84" s="150">
        <f>VLOOKUP($B84,'BDD Prof. Planta'!$B$29:$G$162,6,0)</f>
        <v>10</v>
      </c>
      <c r="M84" s="150">
        <v>10</v>
      </c>
      <c r="N84" s="150">
        <f>VLOOKUP($B84,'BDD Prof. Planta'!$B$29:$L$162,11,0)</f>
        <v>9</v>
      </c>
      <c r="O84" s="150">
        <f>M84-N84</f>
        <v>1</v>
      </c>
      <c r="P84" s="166">
        <f>N84/L84</f>
        <v>0.9</v>
      </c>
      <c r="Q84" s="167">
        <f>IFERROR((((1.96^2*0.5*0.5*($L84-N84))/(N84*($L84-1)))^0.5),"")</f>
        <v>0.10888888888888888</v>
      </c>
      <c r="R84" s="167">
        <f t="shared" si="55"/>
        <v>9.166666666666666E-2</v>
      </c>
      <c r="S84" s="167" t="s">
        <v>78</v>
      </c>
      <c r="T84" s="150">
        <f>VLOOKUP($B84,'BDD Prof. Catedra'!B:G,6,0)</f>
        <v>6</v>
      </c>
      <c r="U84" s="150">
        <v>6</v>
      </c>
      <c r="V84" s="150">
        <f>VLOOKUP($B84,'BDD Prof. Catedra'!$B:$J,9,0)</f>
        <v>5</v>
      </c>
      <c r="W84" s="150">
        <f>U84-V84</f>
        <v>1</v>
      </c>
      <c r="X84" s="166">
        <f>V84/T84</f>
        <v>0.83333333333333337</v>
      </c>
      <c r="Y84" s="167">
        <f>IFERROR((((1.96^2*0.5*0.5*($T84-V84))/(V84*($T84-1)))^0.5),"")</f>
        <v>0.19600000000000001</v>
      </c>
      <c r="Z84" s="167">
        <f t="shared" si="56"/>
        <v>0.16499999999999998</v>
      </c>
      <c r="AA84" s="192" t="s">
        <v>78</v>
      </c>
    </row>
    <row r="85" spans="1:27" customFormat="1" ht="15" hidden="1" customHeight="1">
      <c r="A85">
        <v>105</v>
      </c>
      <c r="B85" s="191" t="s">
        <v>154</v>
      </c>
      <c r="C85" s="45" t="s">
        <v>87</v>
      </c>
      <c r="D85" s="149">
        <v>12</v>
      </c>
      <c r="E85" s="149">
        <v>12</v>
      </c>
      <c r="F85" s="149">
        <f>VLOOKUP(B85,'BDD Estudiantes Posgrado'!$A$1:$D$200,4,0)</f>
        <v>12</v>
      </c>
      <c r="G85" s="149">
        <f t="shared" si="60"/>
        <v>0</v>
      </c>
      <c r="H85" s="164">
        <f t="shared" si="61"/>
        <v>1</v>
      </c>
      <c r="I85" s="165">
        <f t="shared" si="62"/>
        <v>0</v>
      </c>
      <c r="J85" s="165">
        <f t="shared" si="54"/>
        <v>0</v>
      </c>
      <c r="K85" s="165" t="s">
        <v>78</v>
      </c>
      <c r="L85" s="149">
        <f>VLOOKUP($B85,'BDD Prof. Planta'!$B$29:$G$162,6,0)</f>
        <v>5</v>
      </c>
      <c r="M85" s="149">
        <v>5</v>
      </c>
      <c r="N85" s="149">
        <f>VLOOKUP($B85,'BDD Prof. Planta'!$B$29:$L$162,11,0)</f>
        <v>5</v>
      </c>
      <c r="O85" s="149">
        <f t="shared" si="57"/>
        <v>0</v>
      </c>
      <c r="P85" s="164">
        <f t="shared" si="58"/>
        <v>1</v>
      </c>
      <c r="Q85" s="165">
        <f t="shared" si="59"/>
        <v>0</v>
      </c>
      <c r="R85" s="165">
        <f t="shared" si="55"/>
        <v>0</v>
      </c>
      <c r="S85" s="165" t="s">
        <v>78</v>
      </c>
      <c r="T85" s="149">
        <f>VLOOKUP($B85,'BDD Prof. Catedra'!B:G,6,0)</f>
        <v>3</v>
      </c>
      <c r="U85" s="149">
        <v>3</v>
      </c>
      <c r="V85" s="149">
        <f>VLOOKUP($B85,'BDD Prof. Catedra'!$B:$J,9,0)</f>
        <v>3</v>
      </c>
      <c r="W85" s="149">
        <f t="shared" si="63"/>
        <v>0</v>
      </c>
      <c r="X85" s="164">
        <f t="shared" si="29"/>
        <v>1</v>
      </c>
      <c r="Y85" s="165">
        <f t="shared" si="64"/>
        <v>0</v>
      </c>
      <c r="Z85" s="165">
        <f t="shared" si="56"/>
        <v>0</v>
      </c>
      <c r="AA85" s="203" t="s">
        <v>78</v>
      </c>
    </row>
    <row r="86" spans="1:27" customFormat="1" ht="15" hidden="1" customHeight="1">
      <c r="A86" s="1">
        <v>208</v>
      </c>
      <c r="B86" s="191" t="s">
        <v>155</v>
      </c>
      <c r="C86" s="45" t="s">
        <v>138</v>
      </c>
      <c r="D86" s="149">
        <v>23</v>
      </c>
      <c r="E86" s="149">
        <v>22</v>
      </c>
      <c r="F86" s="149">
        <f>VLOOKUP(B86,'BDD Estudiantes Posgrado'!$A$1:$D$200,4,0)</f>
        <v>22</v>
      </c>
      <c r="G86" s="149">
        <f t="shared" ref="G86:G91" si="65">E86-F86</f>
        <v>0</v>
      </c>
      <c r="H86" s="164">
        <f t="shared" ref="H86:H91" si="66">F86/D86</f>
        <v>0.95652173913043481</v>
      </c>
      <c r="I86" s="165">
        <f t="shared" ref="I86:I91" si="67">IFERROR((((1.96^2*0.5*0.5*($D86-F86))/(F86*($D86-1)))^0.5),"")</f>
        <v>4.4545454545454541E-2</v>
      </c>
      <c r="J86" s="165">
        <f t="shared" si="54"/>
        <v>3.7499999999999999E-2</v>
      </c>
      <c r="K86" s="165" t="s">
        <v>78</v>
      </c>
      <c r="L86" s="152"/>
      <c r="M86" s="152"/>
      <c r="N86" s="152"/>
      <c r="O86" s="152"/>
      <c r="P86" s="173"/>
      <c r="Q86" s="174" t="str">
        <f>IFERROR((((1.96^2*0.5*0.5*($L86-N86))/(N86*($L86-1)))^0.5),"")</f>
        <v/>
      </c>
      <c r="R86" s="174" t="str">
        <f t="shared" si="55"/>
        <v/>
      </c>
      <c r="S86" s="174"/>
      <c r="T86" s="151">
        <f>VLOOKUP($B86,'BDD Prof. Catedra'!B:G,6,0)</f>
        <v>4</v>
      </c>
      <c r="U86" s="151">
        <v>4</v>
      </c>
      <c r="V86" s="151">
        <f>VLOOKUP($B86,'BDD Prof. Catedra'!$B:$J,9,0)</f>
        <v>3</v>
      </c>
      <c r="W86" s="151">
        <f t="shared" ref="W86:W91" si="68">U86-V86</f>
        <v>1</v>
      </c>
      <c r="X86" s="169">
        <f>V86/T86</f>
        <v>0.75</v>
      </c>
      <c r="Y86" s="170">
        <f t="shared" ref="Y86:Y94" si="69">IFERROR((((1.96^2*0.5*0.5*($T86-V86))/(V86*($T86-1)))^0.5),"")</f>
        <v>0.32666666666666666</v>
      </c>
      <c r="Z86" s="170">
        <f t="shared" si="56"/>
        <v>0.27500000000000002</v>
      </c>
      <c r="AA86" s="204" t="s">
        <v>86</v>
      </c>
    </row>
    <row r="87" spans="1:27" customFormat="1" ht="15" hidden="1" customHeight="1">
      <c r="A87" s="1">
        <v>145</v>
      </c>
      <c r="B87" s="191" t="s">
        <v>156</v>
      </c>
      <c r="C87" s="45" t="s">
        <v>138</v>
      </c>
      <c r="D87" s="150">
        <v>21</v>
      </c>
      <c r="E87" s="150">
        <v>20</v>
      </c>
      <c r="F87" s="150">
        <f>VLOOKUP(B87,'BDD Estudiantes Posgrado'!$A$1:$D$200,4,0)</f>
        <v>17</v>
      </c>
      <c r="G87" s="150">
        <f t="shared" si="65"/>
        <v>3</v>
      </c>
      <c r="H87" s="166">
        <f t="shared" si="66"/>
        <v>0.80952380952380953</v>
      </c>
      <c r="I87" s="167">
        <f t="shared" si="67"/>
        <v>0.10629592433114152</v>
      </c>
      <c r="J87" s="167">
        <f t="shared" si="54"/>
        <v>8.9483813850195659E-2</v>
      </c>
      <c r="K87" s="167" t="s">
        <v>78</v>
      </c>
      <c r="L87" s="152"/>
      <c r="M87" s="152"/>
      <c r="N87" s="152"/>
      <c r="O87" s="152"/>
      <c r="P87" s="173"/>
      <c r="Q87" s="174" t="str">
        <f>IFERROR((((1.96^2*0.5*0.5*($L87-N87))/(N87*($L87-1)))^0.5),"")</f>
        <v/>
      </c>
      <c r="R87" s="174" t="str">
        <f t="shared" si="55"/>
        <v/>
      </c>
      <c r="S87" s="174"/>
      <c r="T87" s="151">
        <f>VLOOKUP($B87,'BDD Prof. Catedra'!B:G,6,0)</f>
        <v>3</v>
      </c>
      <c r="U87" s="151">
        <v>3</v>
      </c>
      <c r="V87" s="151">
        <f>VLOOKUP($B87,'BDD Prof. Catedra'!$B:$J,9,0)</f>
        <v>2</v>
      </c>
      <c r="W87" s="151">
        <f t="shared" si="68"/>
        <v>1</v>
      </c>
      <c r="X87" s="169">
        <f>V87/T87</f>
        <v>0.66666666666666663</v>
      </c>
      <c r="Y87" s="170">
        <f t="shared" si="69"/>
        <v>0.49</v>
      </c>
      <c r="Z87" s="170">
        <f t="shared" si="56"/>
        <v>0.41249999999999998</v>
      </c>
      <c r="AA87" s="204" t="s">
        <v>86</v>
      </c>
    </row>
    <row r="88" spans="1:27" customFormat="1" ht="15" hidden="1" customHeight="1">
      <c r="A88" s="1">
        <v>143</v>
      </c>
      <c r="B88" s="191" t="s">
        <v>157</v>
      </c>
      <c r="C88" s="45" t="s">
        <v>138</v>
      </c>
      <c r="D88" s="149">
        <v>17</v>
      </c>
      <c r="E88" s="149">
        <v>17</v>
      </c>
      <c r="F88" s="149">
        <f>VLOOKUP(B88,'BDD Estudiantes Posgrado'!$A$1:$D$200,4,0)</f>
        <v>17</v>
      </c>
      <c r="G88" s="149">
        <f t="shared" si="65"/>
        <v>0</v>
      </c>
      <c r="H88" s="164">
        <f t="shared" si="66"/>
        <v>1</v>
      </c>
      <c r="I88" s="165">
        <f t="shared" si="67"/>
        <v>0</v>
      </c>
      <c r="J88" s="165">
        <f t="shared" si="54"/>
        <v>0</v>
      </c>
      <c r="K88" s="165" t="s">
        <v>78</v>
      </c>
      <c r="L88" s="152"/>
      <c r="M88" s="152"/>
      <c r="N88" s="152"/>
      <c r="O88" s="152"/>
      <c r="P88" s="173"/>
      <c r="Q88" s="174" t="str">
        <f>IFERROR((((1.96^2*0.5*0.5*($L88-N88))/(N88*($L88-1)))^0.5),"")</f>
        <v/>
      </c>
      <c r="R88" s="174" t="str">
        <f t="shared" si="55"/>
        <v/>
      </c>
      <c r="S88" s="174"/>
      <c r="T88" s="151">
        <f>VLOOKUP($B88,'BDD Prof. Catedra'!B:G,6,0)</f>
        <v>3</v>
      </c>
      <c r="U88" s="151">
        <v>3</v>
      </c>
      <c r="V88" s="151">
        <f>VLOOKUP($B88,'BDD Prof. Catedra'!$B:$J,9,0)</f>
        <v>2</v>
      </c>
      <c r="W88" s="151">
        <f t="shared" si="68"/>
        <v>1</v>
      </c>
      <c r="X88" s="169">
        <f>V88/T88</f>
        <v>0.66666666666666663</v>
      </c>
      <c r="Y88" s="170">
        <f t="shared" si="69"/>
        <v>0.49</v>
      </c>
      <c r="Z88" s="170">
        <f t="shared" si="56"/>
        <v>0.41249999999999998</v>
      </c>
      <c r="AA88" s="204" t="s">
        <v>86</v>
      </c>
    </row>
    <row r="89" spans="1:27" customFormat="1" ht="15" hidden="1" customHeight="1">
      <c r="A89" s="1">
        <v>204</v>
      </c>
      <c r="B89" s="191" t="s">
        <v>158</v>
      </c>
      <c r="C89" s="45" t="s">
        <v>138</v>
      </c>
      <c r="D89" s="149">
        <v>17</v>
      </c>
      <c r="E89" s="149">
        <v>17</v>
      </c>
      <c r="F89" s="149">
        <f>VLOOKUP(B89,'BDD Estudiantes Posgrado'!$A$1:$D$200,4,0)</f>
        <v>17</v>
      </c>
      <c r="G89" s="149">
        <f t="shared" si="65"/>
        <v>0</v>
      </c>
      <c r="H89" s="164">
        <f t="shared" si="66"/>
        <v>1</v>
      </c>
      <c r="I89" s="165">
        <f t="shared" si="67"/>
        <v>0</v>
      </c>
      <c r="J89" s="165">
        <f t="shared" si="54"/>
        <v>0</v>
      </c>
      <c r="K89" s="165" t="s">
        <v>78</v>
      </c>
      <c r="L89" s="152"/>
      <c r="M89" s="152"/>
      <c r="N89" s="152"/>
      <c r="O89" s="152"/>
      <c r="P89" s="173"/>
      <c r="Q89" s="174" t="str">
        <f>IFERROR((((1.96^2*0.5*0.5*($L89-N89))/(N89*($L89-1)))^0.5),"")</f>
        <v/>
      </c>
      <c r="R89" s="174" t="str">
        <f t="shared" si="55"/>
        <v/>
      </c>
      <c r="S89" s="174"/>
      <c r="T89" s="151">
        <f>VLOOKUP($B89,'BDD Prof. Catedra'!B:G,6,0)</f>
        <v>4</v>
      </c>
      <c r="U89" s="151">
        <v>4</v>
      </c>
      <c r="V89" s="151">
        <f>VLOOKUP($B89,'BDD Prof. Catedra'!$B:$J,9,0)</f>
        <v>3</v>
      </c>
      <c r="W89" s="151">
        <f t="shared" si="68"/>
        <v>1</v>
      </c>
      <c r="X89" s="169">
        <f>V89/T89</f>
        <v>0.75</v>
      </c>
      <c r="Y89" s="170">
        <f t="shared" si="69"/>
        <v>0.32666666666666666</v>
      </c>
      <c r="Z89" s="170">
        <f t="shared" si="56"/>
        <v>0.27500000000000002</v>
      </c>
      <c r="AA89" s="204" t="s">
        <v>86</v>
      </c>
    </row>
    <row r="90" spans="1:27" customFormat="1" ht="15" hidden="1" customHeight="1">
      <c r="A90" s="1">
        <v>140</v>
      </c>
      <c r="B90" s="191" t="s">
        <v>159</v>
      </c>
      <c r="C90" s="45" t="s">
        <v>138</v>
      </c>
      <c r="D90" s="149">
        <v>35</v>
      </c>
      <c r="E90" s="149">
        <v>32</v>
      </c>
      <c r="F90" s="149">
        <f>VLOOKUP(B90,'BDD Estudiantes Posgrado'!$A$1:$D$200,4,0)</f>
        <v>32</v>
      </c>
      <c r="G90" s="149">
        <f t="shared" si="65"/>
        <v>0</v>
      </c>
      <c r="H90" s="164">
        <f t="shared" si="66"/>
        <v>0.91428571428571426</v>
      </c>
      <c r="I90" s="165">
        <f t="shared" si="67"/>
        <v>5.1460293088029359E-2</v>
      </c>
      <c r="J90" s="165">
        <f t="shared" si="54"/>
        <v>4.3321165099616553E-2</v>
      </c>
      <c r="K90" s="165" t="s">
        <v>78</v>
      </c>
      <c r="L90" s="149">
        <v>2</v>
      </c>
      <c r="M90" s="149">
        <v>2</v>
      </c>
      <c r="N90" s="149">
        <f>VLOOKUP($B90,'BDD Prof. Planta'!$B$29:$L$201,11,0)</f>
        <v>2</v>
      </c>
      <c r="O90" s="149">
        <f t="shared" ref="O90" si="70">M90-N90</f>
        <v>0</v>
      </c>
      <c r="P90" s="164">
        <f t="shared" ref="P90" si="71">N90/L90</f>
        <v>1</v>
      </c>
      <c r="Q90" s="165">
        <v>0</v>
      </c>
      <c r="R90" s="165">
        <f t="shared" si="55"/>
        <v>0</v>
      </c>
      <c r="S90" s="165" t="s">
        <v>78</v>
      </c>
      <c r="T90" s="149">
        <v>5</v>
      </c>
      <c r="U90" s="149">
        <v>5</v>
      </c>
      <c r="V90" s="149">
        <f>VLOOKUP($B90,'BDD Prof. Catedra'!$B:$J,9,0)</f>
        <v>5</v>
      </c>
      <c r="W90" s="149">
        <f t="shared" si="68"/>
        <v>0</v>
      </c>
      <c r="X90" s="164">
        <f t="shared" ref="X90" si="72">V90/T90</f>
        <v>1</v>
      </c>
      <c r="Y90" s="165">
        <f t="shared" si="69"/>
        <v>0</v>
      </c>
      <c r="Z90" s="165">
        <f t="shared" si="56"/>
        <v>0</v>
      </c>
      <c r="AA90" s="203" t="s">
        <v>78</v>
      </c>
    </row>
    <row r="91" spans="1:27" customFormat="1" ht="15" hidden="1" customHeight="1" thickBot="1">
      <c r="A91" s="1">
        <v>209</v>
      </c>
      <c r="B91" s="193" t="s">
        <v>160</v>
      </c>
      <c r="C91" s="194" t="s">
        <v>138</v>
      </c>
      <c r="D91" s="210">
        <v>9</v>
      </c>
      <c r="E91" s="210">
        <v>9</v>
      </c>
      <c r="F91" s="210">
        <f>VLOOKUP(B91,'BDD Estudiantes Posgrado'!$A$1:$D$200,4,0)</f>
        <v>7</v>
      </c>
      <c r="G91" s="210">
        <f t="shared" si="65"/>
        <v>2</v>
      </c>
      <c r="H91" s="211">
        <f t="shared" si="66"/>
        <v>0.77777777777777779</v>
      </c>
      <c r="I91" s="212">
        <f t="shared" si="67"/>
        <v>0.18520259177452134</v>
      </c>
      <c r="J91" s="212">
        <f t="shared" si="54"/>
        <v>0.15591034511630622</v>
      </c>
      <c r="K91" s="212" t="s">
        <v>86</v>
      </c>
      <c r="L91" s="195">
        <f>VLOOKUP($B91,'BDD Prof. Planta'!$B$29:$G$162,6,0)</f>
        <v>1</v>
      </c>
      <c r="M91" s="195">
        <v>1</v>
      </c>
      <c r="N91" s="195">
        <f>VLOOKUP($B91,'BDD Prof. Planta'!$B$29:$L$162,11,0)</f>
        <v>1</v>
      </c>
      <c r="O91" s="195">
        <f>M91-N91</f>
        <v>0</v>
      </c>
      <c r="P91" s="197">
        <f>N91/L91</f>
        <v>1</v>
      </c>
      <c r="Q91" s="198">
        <v>0</v>
      </c>
      <c r="R91" s="198">
        <f>IFERROR((((1.65^2*0.5*0.5*($L91-N91))/(N91*($L91-1)))^0.5),0)</f>
        <v>0</v>
      </c>
      <c r="S91" s="198" t="s">
        <v>78</v>
      </c>
      <c r="T91" s="218">
        <f>VLOOKUP($B91,'BDD Prof. Catedra'!B:G,6,0)</f>
        <v>2</v>
      </c>
      <c r="U91" s="218">
        <v>2</v>
      </c>
      <c r="V91" s="218">
        <f>VLOOKUP($B91,'BDD Prof. Catedra'!$B:$J,9,0)</f>
        <v>0</v>
      </c>
      <c r="W91" s="218">
        <f t="shared" si="68"/>
        <v>2</v>
      </c>
      <c r="X91" s="219">
        <f>V91/T91</f>
        <v>0</v>
      </c>
      <c r="Y91" s="220" t="str">
        <f t="shared" si="69"/>
        <v/>
      </c>
      <c r="Z91" s="220" t="str">
        <f t="shared" si="56"/>
        <v/>
      </c>
      <c r="AA91" s="221"/>
    </row>
    <row r="92" spans="1:27" customFormat="1" ht="15" customHeight="1">
      <c r="A92" s="1">
        <v>123</v>
      </c>
      <c r="B92" s="182" t="s">
        <v>161</v>
      </c>
      <c r="C92" s="183" t="s">
        <v>85</v>
      </c>
      <c r="D92" s="184">
        <v>10</v>
      </c>
      <c r="E92" s="184">
        <v>10</v>
      </c>
      <c r="F92" s="184">
        <f>VLOOKUP(B92,'BDD Estudiantes Posgrado'!$A$1:$D$200,4,0)</f>
        <v>10</v>
      </c>
      <c r="G92" s="184">
        <f t="shared" ref="G92:G108" si="73">E92-F92</f>
        <v>0</v>
      </c>
      <c r="H92" s="186">
        <f t="shared" ref="H92:H108" si="74">F92/D92</f>
        <v>1</v>
      </c>
      <c r="I92" s="187">
        <f t="shared" ref="I92:I108" si="75">IFERROR((((1.96^2*0.5*0.5*($D92-F92))/(F92*($D92-1)))^0.5),"")</f>
        <v>0</v>
      </c>
      <c r="J92" s="187">
        <f t="shared" si="54"/>
        <v>0</v>
      </c>
      <c r="K92" s="187" t="s">
        <v>78</v>
      </c>
      <c r="L92" s="213">
        <f>VLOOKUP($B92,'BDD Prof. Planta'!$B$29:$G$162,6,0)</f>
        <v>1</v>
      </c>
      <c r="M92" s="213">
        <v>1</v>
      </c>
      <c r="N92" s="213">
        <f>VLOOKUP($B92,'BDD Prof. Planta'!$B$29:$L$162,11,0)</f>
        <v>0</v>
      </c>
      <c r="O92" s="213">
        <f t="shared" ref="O92" si="76">M92-N92</f>
        <v>1</v>
      </c>
      <c r="P92" s="214">
        <f t="shared" ref="P92" si="77">N92/L92</f>
        <v>0</v>
      </c>
      <c r="Q92" s="215" t="str">
        <f>IFERROR((((1.96^2*0.5*0.5*($L92-N92))/(N92*($L92-1)))^0.5),"")</f>
        <v/>
      </c>
      <c r="R92" s="215" t="str">
        <f t="shared" si="55"/>
        <v/>
      </c>
      <c r="S92" s="215"/>
      <c r="T92" s="184">
        <f>VLOOKUP($B92,'BDD Prof. Catedra'!B:G,6,0)</f>
        <v>3</v>
      </c>
      <c r="U92" s="184">
        <v>3</v>
      </c>
      <c r="V92" s="184">
        <f>VLOOKUP($B92,'BDD Prof. Catedra'!$B:$J,9,0)</f>
        <v>3</v>
      </c>
      <c r="W92" s="184">
        <f t="shared" ref="W92:W108" si="78">U92-V92</f>
        <v>0</v>
      </c>
      <c r="X92" s="186">
        <f>V92/T92</f>
        <v>1</v>
      </c>
      <c r="Y92" s="187">
        <f t="shared" si="69"/>
        <v>0</v>
      </c>
      <c r="Z92" s="187">
        <f t="shared" si="56"/>
        <v>0</v>
      </c>
      <c r="AA92" s="202" t="s">
        <v>78</v>
      </c>
    </row>
    <row r="93" spans="1:27" customFormat="1" ht="15" hidden="1" customHeight="1">
      <c r="A93" s="1">
        <v>125</v>
      </c>
      <c r="B93" s="191" t="s">
        <v>162</v>
      </c>
      <c r="C93" s="45" t="s">
        <v>138</v>
      </c>
      <c r="D93" s="151">
        <v>21</v>
      </c>
      <c r="E93" s="151">
        <v>20</v>
      </c>
      <c r="F93" s="151">
        <f>VLOOKUP(B93,'BDD Estudiantes Posgrado'!$A$1:$D$200,4,0)</f>
        <v>1</v>
      </c>
      <c r="G93" s="151">
        <f t="shared" si="73"/>
        <v>19</v>
      </c>
      <c r="H93" s="169">
        <f t="shared" si="74"/>
        <v>4.7619047619047616E-2</v>
      </c>
      <c r="I93" s="170">
        <f t="shared" si="75"/>
        <v>0.98</v>
      </c>
      <c r="J93" s="170">
        <f t="shared" si="54"/>
        <v>0.82499999999999996</v>
      </c>
      <c r="K93" s="170" t="s">
        <v>86</v>
      </c>
      <c r="L93" s="152"/>
      <c r="M93" s="152"/>
      <c r="N93" s="152"/>
      <c r="O93" s="152"/>
      <c r="P93" s="173"/>
      <c r="Q93" s="174"/>
      <c r="R93" s="174" t="str">
        <f t="shared" si="55"/>
        <v/>
      </c>
      <c r="S93" s="174"/>
      <c r="T93" s="149">
        <f>VLOOKUP($B93,'BDD Prof. Catedra'!B:G,6,0)</f>
        <v>2</v>
      </c>
      <c r="U93" s="149">
        <v>2</v>
      </c>
      <c r="V93" s="149">
        <f>VLOOKUP($B93,'BDD Prof. Catedra'!$B:$J,9,0)</f>
        <v>2</v>
      </c>
      <c r="W93" s="149">
        <f t="shared" si="78"/>
        <v>0</v>
      </c>
      <c r="X93" s="164">
        <f t="shared" ref="X93" si="79">V93/T93</f>
        <v>1</v>
      </c>
      <c r="Y93" s="165">
        <f t="shared" si="69"/>
        <v>0</v>
      </c>
      <c r="Z93" s="165">
        <f t="shared" si="56"/>
        <v>0</v>
      </c>
      <c r="AA93" s="203" t="s">
        <v>78</v>
      </c>
    </row>
    <row r="94" spans="1:27" customFormat="1" ht="15" hidden="1" customHeight="1">
      <c r="A94" s="1">
        <v>124</v>
      </c>
      <c r="B94" s="191" t="s">
        <v>163</v>
      </c>
      <c r="C94" s="45" t="s">
        <v>138</v>
      </c>
      <c r="D94" s="149">
        <v>49</v>
      </c>
      <c r="E94" s="149">
        <v>45</v>
      </c>
      <c r="F94" s="149">
        <f>VLOOKUP(B94,'BDD Estudiantes Posgrado'!$A$1:$D$200,4,0)</f>
        <v>45</v>
      </c>
      <c r="G94" s="149">
        <f t="shared" si="73"/>
        <v>0</v>
      </c>
      <c r="H94" s="164">
        <f t="shared" si="74"/>
        <v>0.91836734693877553</v>
      </c>
      <c r="I94" s="165">
        <f t="shared" si="75"/>
        <v>4.217248532536965E-2</v>
      </c>
      <c r="J94" s="165">
        <f t="shared" si="54"/>
        <v>3.5502347340234656E-2</v>
      </c>
      <c r="K94" s="165" t="s">
        <v>78</v>
      </c>
      <c r="L94" s="149">
        <f>VLOOKUP($B94,'BDD Prof. Planta'!$B$29:$G$162,6,0)</f>
        <v>2</v>
      </c>
      <c r="M94" s="149">
        <v>2</v>
      </c>
      <c r="N94" s="149">
        <f>VLOOKUP($B94,'BDD Prof. Planta'!$B$29:$L$162,11,0)</f>
        <v>2</v>
      </c>
      <c r="O94" s="149">
        <f t="shared" ref="O94" si="80">M94-N94</f>
        <v>0</v>
      </c>
      <c r="P94" s="164">
        <f t="shared" ref="P94" si="81">N94/L94</f>
        <v>1</v>
      </c>
      <c r="Q94" s="165">
        <v>0</v>
      </c>
      <c r="R94" s="165">
        <f t="shared" si="55"/>
        <v>0</v>
      </c>
      <c r="S94" s="165" t="s">
        <v>78</v>
      </c>
      <c r="T94" s="149">
        <f>VLOOKUP($B94,'BDD Prof. Catedra'!B:G,6,0)</f>
        <v>6</v>
      </c>
      <c r="U94" s="149">
        <v>6</v>
      </c>
      <c r="V94" s="149">
        <f>VLOOKUP($B94,'BDD Prof. Catedra'!$B:$J,9,0)</f>
        <v>6</v>
      </c>
      <c r="W94" s="149">
        <f t="shared" si="78"/>
        <v>0</v>
      </c>
      <c r="X94" s="164">
        <f t="shared" ref="X94:X95" si="82">V94/T94</f>
        <v>1</v>
      </c>
      <c r="Y94" s="165">
        <f t="shared" si="69"/>
        <v>0</v>
      </c>
      <c r="Z94" s="165">
        <f t="shared" si="56"/>
        <v>0</v>
      </c>
      <c r="AA94" s="203" t="s">
        <v>78</v>
      </c>
    </row>
    <row r="95" spans="1:27" customFormat="1" ht="15" hidden="1" customHeight="1" thickBot="1">
      <c r="A95" s="1">
        <v>126</v>
      </c>
      <c r="B95" s="193" t="s">
        <v>164</v>
      </c>
      <c r="C95" s="194" t="s">
        <v>138</v>
      </c>
      <c r="D95" s="210">
        <v>44</v>
      </c>
      <c r="E95" s="210">
        <v>40</v>
      </c>
      <c r="F95" s="210">
        <f>VLOOKUP(B95,'BDD Estudiantes Posgrado'!$A$1:$D$200,4,0)</f>
        <v>24</v>
      </c>
      <c r="G95" s="210">
        <f t="shared" si="73"/>
        <v>16</v>
      </c>
      <c r="H95" s="211">
        <f t="shared" si="74"/>
        <v>0.54545454545454541</v>
      </c>
      <c r="I95" s="212">
        <f t="shared" si="75"/>
        <v>0.1364272813654776</v>
      </c>
      <c r="J95" s="212">
        <f t="shared" si="54"/>
        <v>0.11484949706787656</v>
      </c>
      <c r="K95" s="212" t="s">
        <v>86</v>
      </c>
      <c r="L95" s="218">
        <f>VLOOKUP($B95,'BDD Prof. Planta'!$B$29:$G$162,6,0)</f>
        <v>1</v>
      </c>
      <c r="M95" s="218">
        <v>1</v>
      </c>
      <c r="N95" s="218">
        <f>VLOOKUP($B95,'BDD Prof. Planta'!$B$29:$L$162,11,0)</f>
        <v>0</v>
      </c>
      <c r="O95" s="218">
        <f>M95-N95</f>
        <v>1</v>
      </c>
      <c r="P95" s="219">
        <f>N95/L95</f>
        <v>0</v>
      </c>
      <c r="Q95" s="220" t="str">
        <f>IFERROR((((1.96^2*0.5*0.5*($L95-N95))/(N95*($L95-1)))^0.5),"")</f>
        <v/>
      </c>
      <c r="R95" s="220" t="str">
        <f t="shared" si="55"/>
        <v/>
      </c>
      <c r="S95" s="220"/>
      <c r="T95" s="210">
        <f>VLOOKUP($B95,'BDD Prof. Catedra'!B:G,6,0)</f>
        <v>2</v>
      </c>
      <c r="U95" s="210">
        <v>2</v>
      </c>
      <c r="V95" s="210">
        <f>VLOOKUP($B95,'BDD Prof. Catedra'!$B:$J,9,0)</f>
        <v>1</v>
      </c>
      <c r="W95" s="210">
        <f t="shared" si="78"/>
        <v>1</v>
      </c>
      <c r="X95" s="211">
        <f t="shared" si="82"/>
        <v>0.5</v>
      </c>
      <c r="Y95" s="212">
        <f t="shared" ref="Y95:Y108" si="83">IFERROR((((1.96^2*0.5*0.5*($T95-V95))/(V95*($T95-1)))^0.5),"")</f>
        <v>0.98</v>
      </c>
      <c r="Z95" s="212">
        <f t="shared" si="56"/>
        <v>0.82499999999999996</v>
      </c>
      <c r="AA95" s="227" t="s">
        <v>86</v>
      </c>
    </row>
    <row r="96" spans="1:27" customFormat="1" ht="15" hidden="1" customHeight="1">
      <c r="A96" s="1">
        <v>128</v>
      </c>
      <c r="B96" s="182" t="s">
        <v>165</v>
      </c>
      <c r="C96" s="183" t="s">
        <v>138</v>
      </c>
      <c r="D96" s="213"/>
      <c r="E96" s="213"/>
      <c r="F96" s="213"/>
      <c r="G96" s="213"/>
      <c r="H96" s="214"/>
      <c r="I96" s="215"/>
      <c r="J96" s="215"/>
      <c r="K96" s="215"/>
      <c r="L96" s="213"/>
      <c r="M96" s="213"/>
      <c r="N96" s="213"/>
      <c r="O96" s="213"/>
      <c r="P96" s="214"/>
      <c r="Q96" s="215" t="str">
        <f>IFERROR((((1.96^2*0.5*0.5*($L96-N96))/(N96*($L96-1)))^0.5),"")</f>
        <v/>
      </c>
      <c r="R96" s="215" t="str">
        <f t="shared" si="55"/>
        <v/>
      </c>
      <c r="S96" s="215"/>
      <c r="T96" s="213">
        <f>VLOOKUP($B96,'BDD Prof. Catedra'!B:G,6,0)</f>
        <v>3</v>
      </c>
      <c r="U96" s="213">
        <v>3</v>
      </c>
      <c r="V96" s="213">
        <f>VLOOKUP($B96,'BDD Prof. Catedra'!$B:$J,9,0)</f>
        <v>0</v>
      </c>
      <c r="W96" s="213">
        <f t="shared" si="78"/>
        <v>3</v>
      </c>
      <c r="X96" s="214">
        <f t="shared" ref="X96:X108" si="84">V96/T96</f>
        <v>0</v>
      </c>
      <c r="Y96" s="215" t="str">
        <f t="shared" si="83"/>
        <v/>
      </c>
      <c r="Z96" s="215" t="str">
        <f t="shared" si="56"/>
        <v/>
      </c>
      <c r="AA96" s="216"/>
    </row>
    <row r="97" spans="1:27" customFormat="1" ht="15" hidden="1" customHeight="1">
      <c r="A97" s="1">
        <v>129</v>
      </c>
      <c r="B97" s="191" t="s">
        <v>166</v>
      </c>
      <c r="C97" s="45" t="s">
        <v>138</v>
      </c>
      <c r="D97" s="151">
        <v>22</v>
      </c>
      <c r="E97" s="151">
        <v>21</v>
      </c>
      <c r="F97" s="151">
        <f>VLOOKUP(B97,'BDD Estudiantes Posgrado'!$A$1:$D$200,4,0)</f>
        <v>11</v>
      </c>
      <c r="G97" s="151">
        <f t="shared" si="73"/>
        <v>10</v>
      </c>
      <c r="H97" s="169">
        <f t="shared" si="74"/>
        <v>0.5</v>
      </c>
      <c r="I97" s="170">
        <f t="shared" si="75"/>
        <v>0.21385353243127253</v>
      </c>
      <c r="J97" s="170">
        <f t="shared" ref="J97:J128" si="85">IFERROR((((1.65^2*0.5*0.5*($D97-F97))/(F97*($D97-1)))^0.5),"")</f>
        <v>0.18002975944469371</v>
      </c>
      <c r="K97" s="170" t="s">
        <v>86</v>
      </c>
      <c r="L97" s="152"/>
      <c r="M97" s="152"/>
      <c r="N97" s="152"/>
      <c r="O97" s="152"/>
      <c r="P97" s="173"/>
      <c r="Q97" s="174" t="str">
        <f>IFERROR((((1.96^2*0.5*0.5*($L97-N97))/(N97*($L97-1)))^0.5),"")</f>
        <v/>
      </c>
      <c r="R97" s="174" t="str">
        <f t="shared" si="55"/>
        <v/>
      </c>
      <c r="S97" s="174"/>
      <c r="T97" s="149">
        <f>VLOOKUP($B97,'BDD Prof. Catedra'!B:G,6,0)</f>
        <v>3</v>
      </c>
      <c r="U97" s="149">
        <v>3</v>
      </c>
      <c r="V97" s="149">
        <f>VLOOKUP($B97,'BDD Prof. Catedra'!$B:$J,9,0)</f>
        <v>3</v>
      </c>
      <c r="W97" s="149">
        <f t="shared" si="78"/>
        <v>0</v>
      </c>
      <c r="X97" s="164">
        <f t="shared" si="84"/>
        <v>1</v>
      </c>
      <c r="Y97" s="165">
        <f t="shared" si="83"/>
        <v>0</v>
      </c>
      <c r="Z97" s="165">
        <f t="shared" si="56"/>
        <v>0</v>
      </c>
      <c r="AA97" s="203" t="s">
        <v>78</v>
      </c>
    </row>
    <row r="98" spans="1:27" customFormat="1" ht="15" hidden="1" customHeight="1">
      <c r="A98" s="1">
        <v>138</v>
      </c>
      <c r="B98" s="191" t="s">
        <v>167</v>
      </c>
      <c r="C98" s="45" t="s">
        <v>138</v>
      </c>
      <c r="D98" s="149">
        <v>12</v>
      </c>
      <c r="E98" s="149">
        <v>12</v>
      </c>
      <c r="F98" s="149">
        <f>VLOOKUP(B98,'BDD Estudiantes Posgrado'!$A$1:$D$200,4,0)</f>
        <v>12</v>
      </c>
      <c r="G98" s="149">
        <f t="shared" si="73"/>
        <v>0</v>
      </c>
      <c r="H98" s="164">
        <f t="shared" si="74"/>
        <v>1</v>
      </c>
      <c r="I98" s="165">
        <f t="shared" si="75"/>
        <v>0</v>
      </c>
      <c r="J98" s="165">
        <f t="shared" si="85"/>
        <v>0</v>
      </c>
      <c r="K98" s="165" t="s">
        <v>78</v>
      </c>
      <c r="L98" s="152"/>
      <c r="M98" s="152"/>
      <c r="N98" s="152"/>
      <c r="O98" s="152"/>
      <c r="P98" s="173"/>
      <c r="Q98" s="174" t="str">
        <f>IFERROR((((1.96^2*0.5*0.5*($L98-N98))/(N98*($L98-1)))^0.5),"")</f>
        <v/>
      </c>
      <c r="R98" s="174" t="str">
        <f t="shared" si="55"/>
        <v/>
      </c>
      <c r="S98" s="174"/>
      <c r="T98" s="149">
        <f>VLOOKUP($B98,'BDD Prof. Catedra'!B:G,6,0)</f>
        <v>3</v>
      </c>
      <c r="U98" s="149">
        <v>3</v>
      </c>
      <c r="V98" s="149">
        <f>VLOOKUP($B98,'BDD Prof. Catedra'!$B:$J,9,0)</f>
        <v>3</v>
      </c>
      <c r="W98" s="149">
        <f t="shared" si="78"/>
        <v>0</v>
      </c>
      <c r="X98" s="164">
        <f t="shared" si="84"/>
        <v>1</v>
      </c>
      <c r="Y98" s="165">
        <f t="shared" si="83"/>
        <v>0</v>
      </c>
      <c r="Z98" s="165">
        <f t="shared" si="56"/>
        <v>0</v>
      </c>
      <c r="AA98" s="203" t="s">
        <v>78</v>
      </c>
    </row>
    <row r="99" spans="1:27" customFormat="1" ht="15" hidden="1" customHeight="1">
      <c r="A99" s="1">
        <v>127</v>
      </c>
      <c r="B99" s="191" t="s">
        <v>168</v>
      </c>
      <c r="C99" s="45" t="s">
        <v>138</v>
      </c>
      <c r="D99" s="149">
        <v>41</v>
      </c>
      <c r="E99" s="149">
        <v>39</v>
      </c>
      <c r="F99" s="149">
        <f>VLOOKUP(B99,'BDD Estudiantes Posgrado'!$A$1:$D$200,4,0)</f>
        <v>39</v>
      </c>
      <c r="G99" s="149">
        <f t="shared" si="73"/>
        <v>0</v>
      </c>
      <c r="H99" s="164">
        <f t="shared" si="74"/>
        <v>0.95121951219512191</v>
      </c>
      <c r="I99" s="165">
        <f t="shared" si="75"/>
        <v>3.5089628827932207E-2</v>
      </c>
      <c r="J99" s="165">
        <f t="shared" si="85"/>
        <v>2.9539738554126605E-2</v>
      </c>
      <c r="K99" s="165" t="s">
        <v>78</v>
      </c>
      <c r="L99" s="149">
        <f>VLOOKUP($B99,'BDD Prof. Planta'!$B$29:$G$162,6,0)</f>
        <v>2</v>
      </c>
      <c r="M99" s="149">
        <v>2</v>
      </c>
      <c r="N99" s="149">
        <f>VLOOKUP($B99,'BDD Prof. Planta'!$B$29:$L$162,11,0)</f>
        <v>2</v>
      </c>
      <c r="O99" s="149">
        <f>M99-N99</f>
        <v>0</v>
      </c>
      <c r="P99" s="164">
        <f>N99/L99</f>
        <v>1</v>
      </c>
      <c r="Q99" s="165">
        <f>IFERROR((((1.96^2*0.5*0.5*($L99-N99))/(N99*($L99-1)))^0.5),"")</f>
        <v>0</v>
      </c>
      <c r="R99" s="165">
        <f t="shared" si="55"/>
        <v>0</v>
      </c>
      <c r="S99" s="165" t="s">
        <v>78</v>
      </c>
      <c r="T99" s="149">
        <f>VLOOKUP($B99,'BDD Prof. Catedra'!B:G,6,0)</f>
        <v>3</v>
      </c>
      <c r="U99" s="149">
        <v>3</v>
      </c>
      <c r="V99" s="149">
        <f>VLOOKUP($B99,'BDD Prof. Catedra'!$B:$J,9,0)</f>
        <v>3</v>
      </c>
      <c r="W99" s="149">
        <f t="shared" si="78"/>
        <v>0</v>
      </c>
      <c r="X99" s="164">
        <f t="shared" si="84"/>
        <v>1</v>
      </c>
      <c r="Y99" s="165">
        <f t="shared" si="83"/>
        <v>0</v>
      </c>
      <c r="Z99" s="165">
        <f t="shared" si="56"/>
        <v>0</v>
      </c>
      <c r="AA99" s="203" t="s">
        <v>78</v>
      </c>
    </row>
    <row r="100" spans="1:27" customFormat="1" ht="15" hidden="1" customHeight="1">
      <c r="A100" s="1">
        <v>139</v>
      </c>
      <c r="B100" s="191" t="s">
        <v>169</v>
      </c>
      <c r="C100" s="45" t="s">
        <v>138</v>
      </c>
      <c r="D100" s="149">
        <v>12</v>
      </c>
      <c r="E100" s="149">
        <v>12</v>
      </c>
      <c r="F100" s="149">
        <f>VLOOKUP(B100,'BDD Estudiantes Posgrado'!$A$1:$D$200,4,0)</f>
        <v>12</v>
      </c>
      <c r="G100" s="149">
        <f t="shared" si="73"/>
        <v>0</v>
      </c>
      <c r="H100" s="164">
        <f t="shared" si="74"/>
        <v>1</v>
      </c>
      <c r="I100" s="165">
        <f t="shared" si="75"/>
        <v>0</v>
      </c>
      <c r="J100" s="165">
        <f t="shared" si="85"/>
        <v>0</v>
      </c>
      <c r="K100" s="165" t="s">
        <v>78</v>
      </c>
      <c r="L100" s="149">
        <f>VLOOKUP($B100,'BDD Prof. Planta'!$B$29:$G$162,6,0)</f>
        <v>2</v>
      </c>
      <c r="M100" s="149">
        <v>2</v>
      </c>
      <c r="N100" s="149">
        <f>VLOOKUP($B100,'BDD Prof. Planta'!$B$29:$L$162,11,0)</f>
        <v>2</v>
      </c>
      <c r="O100" s="149">
        <f>M100-N100</f>
        <v>0</v>
      </c>
      <c r="P100" s="164">
        <f>N100/L100</f>
        <v>1</v>
      </c>
      <c r="Q100" s="165">
        <v>0</v>
      </c>
      <c r="R100" s="165">
        <f t="shared" si="55"/>
        <v>0</v>
      </c>
      <c r="S100" s="165" t="s">
        <v>78</v>
      </c>
      <c r="T100" s="149">
        <f>VLOOKUP($B100,'BDD Prof. Catedra'!B:G,6,0)</f>
        <v>6</v>
      </c>
      <c r="U100" s="149">
        <v>6</v>
      </c>
      <c r="V100" s="149">
        <f>VLOOKUP($B100,'BDD Prof. Catedra'!$B:$J,9,0)</f>
        <v>6</v>
      </c>
      <c r="W100" s="149">
        <f t="shared" si="78"/>
        <v>0</v>
      </c>
      <c r="X100" s="164">
        <f t="shared" si="84"/>
        <v>1</v>
      </c>
      <c r="Y100" s="165">
        <f t="shared" si="83"/>
        <v>0</v>
      </c>
      <c r="Z100" s="165">
        <f t="shared" si="56"/>
        <v>0</v>
      </c>
      <c r="AA100" s="203" t="s">
        <v>78</v>
      </c>
    </row>
    <row r="101" spans="1:27" customFormat="1" ht="15" hidden="1" customHeight="1">
      <c r="A101" s="1">
        <v>134</v>
      </c>
      <c r="B101" s="191" t="s">
        <v>170</v>
      </c>
      <c r="C101" s="45" t="s">
        <v>138</v>
      </c>
      <c r="D101" s="149">
        <v>42</v>
      </c>
      <c r="E101" s="149">
        <v>41</v>
      </c>
      <c r="F101" s="149">
        <f>VLOOKUP(B101,'BDD Estudiantes Posgrado'!$A$1:$D$200,4,0)</f>
        <v>41</v>
      </c>
      <c r="G101" s="149">
        <f t="shared" si="73"/>
        <v>0</v>
      </c>
      <c r="H101" s="164">
        <f t="shared" si="74"/>
        <v>0.97619047619047616</v>
      </c>
      <c r="I101" s="165">
        <f t="shared" si="75"/>
        <v>2.3902439024390241E-2</v>
      </c>
      <c r="J101" s="165">
        <f t="shared" si="85"/>
        <v>2.0121951219512196E-2</v>
      </c>
      <c r="K101" s="165" t="s">
        <v>78</v>
      </c>
      <c r="L101" s="149">
        <f>VLOOKUP($B101,'BDD Prof. Planta'!$B$29:$G$162,6,0)</f>
        <v>2</v>
      </c>
      <c r="M101" s="149">
        <v>2</v>
      </c>
      <c r="N101" s="149">
        <f>VLOOKUP($B101,'BDD Prof. Planta'!$B$29:$L$162,11,0)</f>
        <v>2</v>
      </c>
      <c r="O101" s="149">
        <f>M101-N101</f>
        <v>0</v>
      </c>
      <c r="P101" s="164">
        <f>N101/L101</f>
        <v>1</v>
      </c>
      <c r="Q101" s="165">
        <v>0</v>
      </c>
      <c r="R101" s="165">
        <f t="shared" si="55"/>
        <v>0</v>
      </c>
      <c r="S101" s="165" t="s">
        <v>78</v>
      </c>
      <c r="T101" s="149">
        <f>VLOOKUP($B101,'BDD Prof. Catedra'!B:G,6,0)</f>
        <v>6</v>
      </c>
      <c r="U101" s="149">
        <v>6</v>
      </c>
      <c r="V101" s="149">
        <f>VLOOKUP($B101,'BDD Prof. Catedra'!$B:$J,9,0)</f>
        <v>6</v>
      </c>
      <c r="W101" s="149">
        <f t="shared" si="78"/>
        <v>0</v>
      </c>
      <c r="X101" s="164">
        <f t="shared" si="84"/>
        <v>1</v>
      </c>
      <c r="Y101" s="165">
        <f t="shared" si="83"/>
        <v>0</v>
      </c>
      <c r="Z101" s="165">
        <f t="shared" si="56"/>
        <v>0</v>
      </c>
      <c r="AA101" s="203" t="s">
        <v>78</v>
      </c>
    </row>
    <row r="102" spans="1:27" customFormat="1" ht="15" hidden="1" customHeight="1">
      <c r="A102" s="1">
        <v>135</v>
      </c>
      <c r="B102" s="191" t="s">
        <v>171</v>
      </c>
      <c r="C102" s="45" t="s">
        <v>138</v>
      </c>
      <c r="D102" s="151">
        <v>13</v>
      </c>
      <c r="E102" s="151">
        <v>13</v>
      </c>
      <c r="F102" s="151">
        <f>VLOOKUP(B102,'BDD Estudiantes Posgrado'!$A$1:$D$200,4,0)</f>
        <v>6</v>
      </c>
      <c r="G102" s="151">
        <f t="shared" si="73"/>
        <v>7</v>
      </c>
      <c r="H102" s="169">
        <f t="shared" si="74"/>
        <v>0.46153846153846156</v>
      </c>
      <c r="I102" s="170">
        <f t="shared" si="75"/>
        <v>0.30556868658653852</v>
      </c>
      <c r="J102" s="170">
        <f t="shared" si="85"/>
        <v>0.25723894534070846</v>
      </c>
      <c r="K102" s="170" t="s">
        <v>86</v>
      </c>
      <c r="L102" s="152"/>
      <c r="M102" s="152"/>
      <c r="N102" s="152"/>
      <c r="O102" s="152"/>
      <c r="P102" s="173"/>
      <c r="Q102" s="174" t="str">
        <f>IFERROR((((1.96^2*0.5*0.5*($L102-N102))/(N102*($L102-1)))^0.5),"")</f>
        <v/>
      </c>
      <c r="R102" s="174" t="str">
        <f t="shared" si="55"/>
        <v/>
      </c>
      <c r="S102" s="174"/>
      <c r="T102" s="152">
        <f>VLOOKUP($B102,'BDD Prof. Catedra'!B:G,6,0)</f>
        <v>1</v>
      </c>
      <c r="U102" s="152">
        <v>1</v>
      </c>
      <c r="V102" s="152">
        <f>VLOOKUP($B102,'BDD Prof. Catedra'!$B:$J,9,0)</f>
        <v>0</v>
      </c>
      <c r="W102" s="152">
        <f t="shared" si="78"/>
        <v>1</v>
      </c>
      <c r="X102" s="173">
        <f t="shared" si="84"/>
        <v>0</v>
      </c>
      <c r="Y102" s="174" t="str">
        <f t="shared" si="83"/>
        <v/>
      </c>
      <c r="Z102" s="174" t="str">
        <f t="shared" si="56"/>
        <v/>
      </c>
      <c r="AA102" s="217"/>
    </row>
    <row r="103" spans="1:27" customFormat="1" ht="15" hidden="1" customHeight="1">
      <c r="A103" s="1">
        <v>136</v>
      </c>
      <c r="B103" s="191" t="s">
        <v>172</v>
      </c>
      <c r="C103" s="45" t="s">
        <v>138</v>
      </c>
      <c r="D103" s="149">
        <v>15</v>
      </c>
      <c r="E103" s="149">
        <v>15</v>
      </c>
      <c r="F103" s="149">
        <f>VLOOKUP(B103,'BDD Estudiantes Posgrado'!$A$1:$D$200,4,0)</f>
        <v>15</v>
      </c>
      <c r="G103" s="149">
        <f t="shared" si="73"/>
        <v>0</v>
      </c>
      <c r="H103" s="164">
        <f t="shared" si="74"/>
        <v>1</v>
      </c>
      <c r="I103" s="165">
        <f t="shared" si="75"/>
        <v>0</v>
      </c>
      <c r="J103" s="165">
        <f t="shared" si="85"/>
        <v>0</v>
      </c>
      <c r="K103" s="165" t="s">
        <v>78</v>
      </c>
      <c r="L103" s="149">
        <f>VLOOKUP($B103,'BDD Prof. Planta'!$B$29:$G$162,6,0)</f>
        <v>1</v>
      </c>
      <c r="M103" s="149">
        <v>1</v>
      </c>
      <c r="N103" s="149">
        <f>VLOOKUP($B103,'BDD Prof. Planta'!$B$29:$L$162,11,0)</f>
        <v>1</v>
      </c>
      <c r="O103" s="149">
        <f>M103-N103</f>
        <v>0</v>
      </c>
      <c r="P103" s="164">
        <f>N103/L103</f>
        <v>1</v>
      </c>
      <c r="Q103" s="165">
        <v>0</v>
      </c>
      <c r="R103" s="165">
        <f>IFERROR((((1.65^2*0.5*0.5*($L103-N103))/(N103*($L103-1)))^0.5),0)</f>
        <v>0</v>
      </c>
      <c r="S103" s="165" t="s">
        <v>78</v>
      </c>
      <c r="T103" s="151">
        <f>VLOOKUP($B103,'BDD Prof. Catedra'!B:G,6,0)</f>
        <v>3</v>
      </c>
      <c r="U103" s="151">
        <v>3</v>
      </c>
      <c r="V103" s="151">
        <f>VLOOKUP($B103,'BDD Prof. Catedra'!$B:$J,9,0)</f>
        <v>2</v>
      </c>
      <c r="W103" s="151">
        <f t="shared" si="78"/>
        <v>1</v>
      </c>
      <c r="X103" s="169">
        <f t="shared" si="84"/>
        <v>0.66666666666666663</v>
      </c>
      <c r="Y103" s="170">
        <f t="shared" si="83"/>
        <v>0.49</v>
      </c>
      <c r="Z103" s="170">
        <f t="shared" si="56"/>
        <v>0.41249999999999998</v>
      </c>
      <c r="AA103" s="204" t="s">
        <v>86</v>
      </c>
    </row>
    <row r="104" spans="1:27" customFormat="1" ht="15" hidden="1" customHeight="1">
      <c r="A104" s="1">
        <v>132</v>
      </c>
      <c r="B104" s="191" t="s">
        <v>173</v>
      </c>
      <c r="C104" s="45" t="s">
        <v>138</v>
      </c>
      <c r="D104" s="149">
        <v>17</v>
      </c>
      <c r="E104" s="149">
        <v>17</v>
      </c>
      <c r="F104" s="149">
        <f>VLOOKUP(B104,'BDD Estudiantes Posgrado'!$A$1:$D$200,4,0)</f>
        <v>17</v>
      </c>
      <c r="G104" s="149">
        <f t="shared" si="73"/>
        <v>0</v>
      </c>
      <c r="H104" s="164">
        <f t="shared" si="74"/>
        <v>1</v>
      </c>
      <c r="I104" s="165">
        <f t="shared" si="75"/>
        <v>0</v>
      </c>
      <c r="J104" s="165">
        <f t="shared" si="85"/>
        <v>0</v>
      </c>
      <c r="K104" s="165" t="s">
        <v>78</v>
      </c>
      <c r="L104" s="149">
        <f>VLOOKUP($B104,'BDD Prof. Planta'!$B$29:$G$162,6,0)</f>
        <v>2</v>
      </c>
      <c r="M104" s="149">
        <v>2</v>
      </c>
      <c r="N104" s="149">
        <f>VLOOKUP($B104,'BDD Prof. Planta'!$B$29:$L$162,11,0)</f>
        <v>2</v>
      </c>
      <c r="O104" s="149">
        <f>M104-N104</f>
        <v>0</v>
      </c>
      <c r="P104" s="164">
        <f>N104/L104</f>
        <v>1</v>
      </c>
      <c r="Q104" s="165">
        <v>0</v>
      </c>
      <c r="R104" s="165">
        <f t="shared" si="55"/>
        <v>0</v>
      </c>
      <c r="S104" s="165" t="s">
        <v>78</v>
      </c>
      <c r="T104" s="149">
        <f>VLOOKUP($B104,'BDD Prof. Catedra'!B:G,6,0)</f>
        <v>6</v>
      </c>
      <c r="U104" s="149">
        <v>6</v>
      </c>
      <c r="V104" s="149">
        <f>VLOOKUP($B104,'BDD Prof. Catedra'!$B:$J,9,0)</f>
        <v>6</v>
      </c>
      <c r="W104" s="149">
        <f t="shared" si="78"/>
        <v>0</v>
      </c>
      <c r="X104" s="164">
        <f t="shared" si="84"/>
        <v>1</v>
      </c>
      <c r="Y104" s="165">
        <f t="shared" si="83"/>
        <v>0</v>
      </c>
      <c r="Z104" s="165">
        <f t="shared" si="56"/>
        <v>0</v>
      </c>
      <c r="AA104" s="203" t="s">
        <v>78</v>
      </c>
    </row>
    <row r="105" spans="1:27" customFormat="1" ht="15" hidden="1" customHeight="1">
      <c r="A105" s="1">
        <v>131</v>
      </c>
      <c r="B105" s="191" t="s">
        <v>174</v>
      </c>
      <c r="C105" s="45" t="s">
        <v>138</v>
      </c>
      <c r="D105" s="149">
        <v>24</v>
      </c>
      <c r="E105" s="149">
        <v>24</v>
      </c>
      <c r="F105" s="149">
        <f>VLOOKUP(B105,'BDD Estudiantes Posgrado'!$A$1:$D$200,4,0)</f>
        <v>24</v>
      </c>
      <c r="G105" s="149">
        <f t="shared" si="73"/>
        <v>0</v>
      </c>
      <c r="H105" s="164">
        <f t="shared" si="74"/>
        <v>1</v>
      </c>
      <c r="I105" s="165">
        <f t="shared" si="75"/>
        <v>0</v>
      </c>
      <c r="J105" s="165">
        <f t="shared" si="85"/>
        <v>0</v>
      </c>
      <c r="K105" s="165" t="s">
        <v>78</v>
      </c>
      <c r="L105" s="149">
        <f>VLOOKUP($B105,'BDD Prof. Planta'!$B$29:$G$162,6,0)</f>
        <v>2</v>
      </c>
      <c r="M105" s="149">
        <v>2</v>
      </c>
      <c r="N105" s="149">
        <f>VLOOKUP($B105,'BDD Prof. Planta'!$B$29:$L$162,11,0)</f>
        <v>2</v>
      </c>
      <c r="O105" s="149">
        <f>M105-N105</f>
        <v>0</v>
      </c>
      <c r="P105" s="164">
        <f>N105/L105</f>
        <v>1</v>
      </c>
      <c r="Q105" s="165">
        <v>0</v>
      </c>
      <c r="R105" s="165">
        <f t="shared" si="55"/>
        <v>0</v>
      </c>
      <c r="S105" s="165" t="s">
        <v>78</v>
      </c>
      <c r="T105" s="149">
        <f>VLOOKUP($B105,'BDD Prof. Catedra'!B:G,6,0)</f>
        <v>6</v>
      </c>
      <c r="U105" s="149">
        <v>6</v>
      </c>
      <c r="V105" s="149">
        <f>VLOOKUP($B105,'BDD Prof. Catedra'!$B:$J,9,0)</f>
        <v>6</v>
      </c>
      <c r="W105" s="149">
        <f t="shared" si="78"/>
        <v>0</v>
      </c>
      <c r="X105" s="164">
        <f t="shared" si="84"/>
        <v>1</v>
      </c>
      <c r="Y105" s="165">
        <f t="shared" si="83"/>
        <v>0</v>
      </c>
      <c r="Z105" s="165">
        <f t="shared" si="56"/>
        <v>0</v>
      </c>
      <c r="AA105" s="203" t="s">
        <v>78</v>
      </c>
    </row>
    <row r="106" spans="1:27" customFormat="1" ht="15" hidden="1" customHeight="1">
      <c r="A106" s="1">
        <v>133</v>
      </c>
      <c r="B106" s="191" t="s">
        <v>175</v>
      </c>
      <c r="C106" s="45" t="s">
        <v>138</v>
      </c>
      <c r="D106" s="149">
        <v>19</v>
      </c>
      <c r="E106" s="149">
        <v>19</v>
      </c>
      <c r="F106" s="149">
        <f>VLOOKUP(B106,'BDD Estudiantes Posgrado'!$A$1:$D$200,4,0)</f>
        <v>19</v>
      </c>
      <c r="G106" s="149">
        <f t="shared" si="73"/>
        <v>0</v>
      </c>
      <c r="H106" s="164">
        <f t="shared" si="74"/>
        <v>1</v>
      </c>
      <c r="I106" s="165">
        <f t="shared" si="75"/>
        <v>0</v>
      </c>
      <c r="J106" s="165">
        <f t="shared" si="85"/>
        <v>0</v>
      </c>
      <c r="K106" s="165" t="s">
        <v>78</v>
      </c>
      <c r="L106" s="149">
        <f>VLOOKUP($B106,'BDD Prof. Planta'!$B$29:$G$162,6,0)</f>
        <v>2</v>
      </c>
      <c r="M106" s="149">
        <v>2</v>
      </c>
      <c r="N106" s="149">
        <f>VLOOKUP($B106,'BDD Prof. Planta'!$B$29:$L$162,11,0)</f>
        <v>2</v>
      </c>
      <c r="O106" s="149">
        <f>M106-N106</f>
        <v>0</v>
      </c>
      <c r="P106" s="164">
        <f>N106/L106</f>
        <v>1</v>
      </c>
      <c r="Q106" s="165">
        <v>0</v>
      </c>
      <c r="R106" s="165">
        <f t="shared" si="55"/>
        <v>0</v>
      </c>
      <c r="S106" s="165" t="s">
        <v>78</v>
      </c>
      <c r="T106" s="149">
        <f>VLOOKUP($B106,'BDD Prof. Catedra'!B:G,6,0)</f>
        <v>6</v>
      </c>
      <c r="U106" s="149">
        <v>6</v>
      </c>
      <c r="V106" s="149">
        <f>VLOOKUP($B106,'BDD Prof. Catedra'!$B:$J,9,0)</f>
        <v>6</v>
      </c>
      <c r="W106" s="149">
        <f t="shared" si="78"/>
        <v>0</v>
      </c>
      <c r="X106" s="164">
        <f t="shared" si="84"/>
        <v>1</v>
      </c>
      <c r="Y106" s="165">
        <f t="shared" si="83"/>
        <v>0</v>
      </c>
      <c r="Z106" s="165">
        <f t="shared" si="56"/>
        <v>0</v>
      </c>
      <c r="AA106" s="203" t="s">
        <v>78</v>
      </c>
    </row>
    <row r="107" spans="1:27" customFormat="1" ht="15" hidden="1" customHeight="1">
      <c r="A107" s="1">
        <v>121</v>
      </c>
      <c r="B107" s="191" t="s">
        <v>176</v>
      </c>
      <c r="C107" s="45" t="s">
        <v>84</v>
      </c>
      <c r="D107" s="152">
        <v>22</v>
      </c>
      <c r="E107" s="152">
        <v>21</v>
      </c>
      <c r="F107" s="152">
        <f>VLOOKUP(B107,'BDD Estudiantes Posgrado'!$A$1:$D$200,4,0)</f>
        <v>0</v>
      </c>
      <c r="G107" s="152">
        <f t="shared" si="73"/>
        <v>21</v>
      </c>
      <c r="H107" s="173">
        <f t="shared" si="74"/>
        <v>0</v>
      </c>
      <c r="I107" s="174" t="str">
        <f t="shared" si="75"/>
        <v/>
      </c>
      <c r="J107" s="174" t="str">
        <f t="shared" si="85"/>
        <v/>
      </c>
      <c r="K107" s="174"/>
      <c r="L107" s="152"/>
      <c r="M107" s="152"/>
      <c r="N107" s="152"/>
      <c r="O107" s="152"/>
      <c r="P107" s="173"/>
      <c r="Q107" s="174" t="str">
        <f>IFERROR((((1.96^2*0.5*0.5*($L107-N107))/(N107*($L107-1)))^0.5),"")</f>
        <v/>
      </c>
      <c r="R107" s="174" t="str">
        <f t="shared" si="55"/>
        <v/>
      </c>
      <c r="S107" s="174"/>
      <c r="T107" s="151">
        <f>VLOOKUP($B107,'BDD Prof. Catedra'!B:G,6,0)</f>
        <v>5</v>
      </c>
      <c r="U107" s="151">
        <v>5</v>
      </c>
      <c r="V107" s="151">
        <f>VLOOKUP($B107,'BDD Prof. Catedra'!$B:$J,9,0)</f>
        <v>2</v>
      </c>
      <c r="W107" s="151">
        <f t="shared" si="78"/>
        <v>3</v>
      </c>
      <c r="X107" s="169">
        <f t="shared" si="84"/>
        <v>0.4</v>
      </c>
      <c r="Y107" s="170">
        <f t="shared" si="83"/>
        <v>0.60012498698187866</v>
      </c>
      <c r="Z107" s="170">
        <f t="shared" si="56"/>
        <v>0.50520725944903044</v>
      </c>
      <c r="AA107" s="204" t="s">
        <v>86</v>
      </c>
    </row>
    <row r="108" spans="1:27" customFormat="1" ht="15" hidden="1" customHeight="1" thickBot="1">
      <c r="A108" s="1">
        <v>122</v>
      </c>
      <c r="B108" s="193" t="s">
        <v>177</v>
      </c>
      <c r="C108" s="194" t="s">
        <v>84</v>
      </c>
      <c r="D108" s="210">
        <v>31</v>
      </c>
      <c r="E108" s="210">
        <v>28</v>
      </c>
      <c r="F108" s="210">
        <f>VLOOKUP(B108,'BDD Estudiantes Posgrado'!$A$1:$D$200,4,0)</f>
        <v>6</v>
      </c>
      <c r="G108" s="210">
        <f t="shared" si="73"/>
        <v>22</v>
      </c>
      <c r="H108" s="211">
        <f t="shared" si="74"/>
        <v>0.19354838709677419</v>
      </c>
      <c r="I108" s="212">
        <f t="shared" si="75"/>
        <v>0.36522443632496565</v>
      </c>
      <c r="J108" s="212">
        <f t="shared" si="85"/>
        <v>0.30745934690622106</v>
      </c>
      <c r="K108" s="212" t="s">
        <v>86</v>
      </c>
      <c r="L108" s="218"/>
      <c r="M108" s="218"/>
      <c r="N108" s="218"/>
      <c r="O108" s="218"/>
      <c r="P108" s="219"/>
      <c r="Q108" s="220" t="str">
        <f>IFERROR((((1.96^2*0.5*0.5*($L108-N108))/(N108*($L108-1)))^0.5),"")</f>
        <v/>
      </c>
      <c r="R108" s="220" t="str">
        <f t="shared" si="55"/>
        <v/>
      </c>
      <c r="S108" s="220"/>
      <c r="T108" s="210">
        <f>VLOOKUP($B108,'BDD Prof. Catedra'!B:G,6,0)</f>
        <v>9</v>
      </c>
      <c r="U108" s="210">
        <v>9</v>
      </c>
      <c r="V108" s="210">
        <f>VLOOKUP($B108,'BDD Prof. Catedra'!$B:$J,9,0)</f>
        <v>3</v>
      </c>
      <c r="W108" s="210">
        <f t="shared" si="78"/>
        <v>6</v>
      </c>
      <c r="X108" s="211">
        <f t="shared" si="84"/>
        <v>0.33333333333333331</v>
      </c>
      <c r="Y108" s="212">
        <f t="shared" si="83"/>
        <v>0.49</v>
      </c>
      <c r="Z108" s="212">
        <f t="shared" si="56"/>
        <v>0.41249999999999998</v>
      </c>
      <c r="AA108" s="227" t="s">
        <v>86</v>
      </c>
    </row>
    <row r="109" spans="1:27" customFormat="1" ht="15" hidden="1" customHeight="1">
      <c r="A109" s="1">
        <v>75</v>
      </c>
      <c r="B109" s="182" t="s">
        <v>178</v>
      </c>
      <c r="C109" s="183" t="s">
        <v>89</v>
      </c>
      <c r="D109" s="184">
        <v>36</v>
      </c>
      <c r="E109" s="184">
        <v>32</v>
      </c>
      <c r="F109" s="184">
        <f>VLOOKUP(B109,'BDD Estudiantes Posgrado'!$A$1:$D$200,4,0)</f>
        <v>32</v>
      </c>
      <c r="G109" s="184">
        <f t="shared" si="60"/>
        <v>0</v>
      </c>
      <c r="H109" s="186">
        <f t="shared" si="61"/>
        <v>0.88888888888888884</v>
      </c>
      <c r="I109" s="187">
        <f t="shared" si="62"/>
        <v>5.8566201857385286E-2</v>
      </c>
      <c r="J109" s="187">
        <f t="shared" si="85"/>
        <v>4.9303180135043735E-2</v>
      </c>
      <c r="K109" s="187" t="s">
        <v>78</v>
      </c>
      <c r="L109" s="184">
        <f>VLOOKUP($B109,'BDD Prof. Planta'!$B$29:$G$162,6,0)</f>
        <v>7</v>
      </c>
      <c r="M109" s="184">
        <v>7</v>
      </c>
      <c r="N109" s="184">
        <f>VLOOKUP($B109,'BDD Prof. Planta'!$B$29:$L$162,11,0)</f>
        <v>7</v>
      </c>
      <c r="O109" s="184">
        <f t="shared" si="57"/>
        <v>0</v>
      </c>
      <c r="P109" s="186">
        <f t="shared" si="58"/>
        <v>1</v>
      </c>
      <c r="Q109" s="187">
        <f t="shared" si="59"/>
        <v>0</v>
      </c>
      <c r="R109" s="187">
        <f t="shared" si="55"/>
        <v>0</v>
      </c>
      <c r="S109" s="187" t="s">
        <v>78</v>
      </c>
      <c r="T109" s="222">
        <f>VLOOKUP($B109,'BDD Prof. Catedra'!B:G,6,0)</f>
        <v>13</v>
      </c>
      <c r="U109" s="222">
        <v>13</v>
      </c>
      <c r="V109" s="222">
        <f>VLOOKUP($B109,'BDD Prof. Catedra'!$B:$J,9,0)</f>
        <v>10</v>
      </c>
      <c r="W109" s="222">
        <f t="shared" si="63"/>
        <v>3</v>
      </c>
      <c r="X109" s="223">
        <f t="shared" si="29"/>
        <v>0.76923076923076927</v>
      </c>
      <c r="Y109" s="224">
        <f t="shared" si="64"/>
        <v>0.15495160534825059</v>
      </c>
      <c r="Z109" s="224">
        <f t="shared" si="56"/>
        <v>0.13044395348194562</v>
      </c>
      <c r="AA109" s="225" t="s">
        <v>86</v>
      </c>
    </row>
    <row r="110" spans="1:27" customFormat="1" ht="15" hidden="1" customHeight="1">
      <c r="A110" s="1">
        <v>73</v>
      </c>
      <c r="B110" s="191" t="s">
        <v>179</v>
      </c>
      <c r="C110" s="45" t="s">
        <v>89</v>
      </c>
      <c r="D110" s="151">
        <v>28</v>
      </c>
      <c r="E110" s="151">
        <v>26</v>
      </c>
      <c r="F110" s="151">
        <f>VLOOKUP(B110,'BDD Estudiantes Posgrado'!$A$1:$D$200,4,0)</f>
        <v>16</v>
      </c>
      <c r="G110" s="151">
        <f>E110-F110</f>
        <v>10</v>
      </c>
      <c r="H110" s="169">
        <f>F110/D110</f>
        <v>0.5714285714285714</v>
      </c>
      <c r="I110" s="170">
        <f>IFERROR((((1.96^2*0.5*0.5*($D110-F110))/(F110*($D110-1)))^0.5),"")</f>
        <v>0.16333333333333333</v>
      </c>
      <c r="J110" s="170">
        <f t="shared" si="85"/>
        <v>0.13749999999999998</v>
      </c>
      <c r="K110" s="170" t="s">
        <v>86</v>
      </c>
      <c r="L110" s="150">
        <f>VLOOKUP($B110,'BDD Prof. Planta'!$B$29:$G$162,6,0)</f>
        <v>24</v>
      </c>
      <c r="M110" s="150">
        <v>23</v>
      </c>
      <c r="N110" s="150">
        <f>VLOOKUP($B110,'BDD Prof. Planta'!$B$29:$L$162,11,0)</f>
        <v>20</v>
      </c>
      <c r="O110" s="150">
        <f>M110-N110</f>
        <v>3</v>
      </c>
      <c r="P110" s="166">
        <f>N110/L110</f>
        <v>0.83333333333333337</v>
      </c>
      <c r="Q110" s="167">
        <f>IFERROR((((1.96^2*0.5*0.5*($L110-N110))/(N110*($L110-1)))^0.5),"")</f>
        <v>9.138547120755075E-2</v>
      </c>
      <c r="R110" s="167">
        <f t="shared" si="55"/>
        <v>7.6931646679825882E-2</v>
      </c>
      <c r="S110" s="167" t="s">
        <v>78</v>
      </c>
      <c r="T110" s="151">
        <f>VLOOKUP($B110,'BDD Prof. Catedra'!B:G,6,0)</f>
        <v>10</v>
      </c>
      <c r="U110" s="151">
        <v>10</v>
      </c>
      <c r="V110" s="151">
        <f>VLOOKUP($B110,'BDD Prof. Catedra'!$B:$J,9,0)</f>
        <v>6</v>
      </c>
      <c r="W110" s="151">
        <f>U110-V110</f>
        <v>4</v>
      </c>
      <c r="X110" s="169">
        <f>V110/T110</f>
        <v>0.6</v>
      </c>
      <c r="Y110" s="170">
        <f>IFERROR((((1.96^2*0.5*0.5*($T110-V110))/(V110*($T110-1)))^0.5),"")</f>
        <v>0.26672221643639049</v>
      </c>
      <c r="Z110" s="170">
        <f t="shared" si="56"/>
        <v>0.22453655975512465</v>
      </c>
      <c r="AA110" s="204" t="s">
        <v>86</v>
      </c>
    </row>
    <row r="111" spans="1:27" customFormat="1" ht="15" hidden="1" customHeight="1">
      <c r="A111" s="1">
        <v>74</v>
      </c>
      <c r="B111" s="191" t="s">
        <v>180</v>
      </c>
      <c r="C111" s="45" t="s">
        <v>89</v>
      </c>
      <c r="D111" s="151">
        <v>38</v>
      </c>
      <c r="E111" s="151">
        <v>35</v>
      </c>
      <c r="F111" s="151">
        <f>VLOOKUP(B111,'BDD Estudiantes Posgrado'!$A$1:$D$200,4,0)</f>
        <v>4</v>
      </c>
      <c r="G111" s="151">
        <f>E111-F111</f>
        <v>31</v>
      </c>
      <c r="H111" s="169">
        <f>F111/D111</f>
        <v>0.10526315789473684</v>
      </c>
      <c r="I111" s="170">
        <f>IFERROR((((1.96^2*0.5*0.5*($D111-F111))/(F111*($D111-1)))^0.5),"")</f>
        <v>0.46971526740402253</v>
      </c>
      <c r="J111" s="170">
        <f t="shared" si="85"/>
        <v>0.39542356694726388</v>
      </c>
      <c r="K111" s="170" t="s">
        <v>86</v>
      </c>
      <c r="L111" s="151">
        <f>VLOOKUP($B111,'BDD Prof. Planta'!$B$29:$G$162,6,0)</f>
        <v>4</v>
      </c>
      <c r="M111" s="151">
        <v>4</v>
      </c>
      <c r="N111" s="151">
        <f>VLOOKUP($B111,'BDD Prof. Planta'!$B$29:$L$162,11,0)</f>
        <v>3</v>
      </c>
      <c r="O111" s="151">
        <f>M111-N111</f>
        <v>1</v>
      </c>
      <c r="P111" s="169">
        <f>N111/L111</f>
        <v>0.75</v>
      </c>
      <c r="Q111" s="170">
        <f>IFERROR((((1.96^2*0.5*0.5*($L111-N111))/(N111*($L111-1)))^0.5),"")</f>
        <v>0.32666666666666666</v>
      </c>
      <c r="R111" s="170">
        <f t="shared" si="55"/>
        <v>0.27500000000000002</v>
      </c>
      <c r="S111" s="170" t="s">
        <v>86</v>
      </c>
      <c r="T111" s="149">
        <f>VLOOKUP($B111,'BDD Prof. Catedra'!B:G,6,0)</f>
        <v>8</v>
      </c>
      <c r="U111" s="149">
        <v>8</v>
      </c>
      <c r="V111" s="149">
        <f>VLOOKUP($B111,'BDD Prof. Catedra'!$B:$J,9,0)</f>
        <v>8</v>
      </c>
      <c r="W111" s="149">
        <f>U111-V111</f>
        <v>0</v>
      </c>
      <c r="X111" s="164">
        <f>V111/T111</f>
        <v>1</v>
      </c>
      <c r="Y111" s="165">
        <f>IFERROR((((1.96^2*0.5*0.5*($T111-V111))/(V111*($T111-1)))^0.5),"")</f>
        <v>0</v>
      </c>
      <c r="Z111" s="165">
        <f t="shared" si="56"/>
        <v>0</v>
      </c>
      <c r="AA111" s="203" t="s">
        <v>78</v>
      </c>
    </row>
    <row r="112" spans="1:27" customFormat="1" ht="15" hidden="1" customHeight="1">
      <c r="A112" s="1">
        <v>95</v>
      </c>
      <c r="B112" s="191" t="s">
        <v>181</v>
      </c>
      <c r="C112" s="45" t="s">
        <v>182</v>
      </c>
      <c r="D112" s="149">
        <v>60</v>
      </c>
      <c r="E112" s="149">
        <v>52</v>
      </c>
      <c r="F112" s="149">
        <f>VLOOKUP(B112,'BDD Estudiantes Posgrado'!$A$1:$D$200,4,0)</f>
        <v>52</v>
      </c>
      <c r="G112" s="149">
        <f t="shared" si="60"/>
        <v>0</v>
      </c>
      <c r="H112" s="164">
        <f t="shared" si="61"/>
        <v>0.8666666666666667</v>
      </c>
      <c r="I112" s="165">
        <f t="shared" si="62"/>
        <v>5.0043006276440198E-2</v>
      </c>
      <c r="J112" s="165">
        <f t="shared" si="85"/>
        <v>4.2128040998023635E-2</v>
      </c>
      <c r="K112" s="165" t="s">
        <v>78</v>
      </c>
      <c r="L112" s="149">
        <f>VLOOKUP($B112,'BDD Prof. Planta'!$B$29:$G$162,6,0)</f>
        <v>6</v>
      </c>
      <c r="M112" s="149">
        <v>6</v>
      </c>
      <c r="N112" s="149">
        <f>VLOOKUP($B112,'BDD Prof. Planta'!$B$29:$L$162,11,0)</f>
        <v>6</v>
      </c>
      <c r="O112" s="149">
        <f t="shared" si="57"/>
        <v>0</v>
      </c>
      <c r="P112" s="164">
        <f t="shared" si="58"/>
        <v>1</v>
      </c>
      <c r="Q112" s="165">
        <f t="shared" si="59"/>
        <v>0</v>
      </c>
      <c r="R112" s="165">
        <f t="shared" si="55"/>
        <v>0</v>
      </c>
      <c r="S112" s="165" t="s">
        <v>78</v>
      </c>
      <c r="T112" s="149">
        <f>VLOOKUP($B112,'BDD Prof. Catedra'!B:G,6,0)</f>
        <v>6</v>
      </c>
      <c r="U112" s="149">
        <v>6</v>
      </c>
      <c r="V112" s="149">
        <f>VLOOKUP($B112,'BDD Prof. Catedra'!$B:$J,9,0)</f>
        <v>6</v>
      </c>
      <c r="W112" s="149">
        <f t="shared" ref="W112" si="86">U112-V112</f>
        <v>0</v>
      </c>
      <c r="X112" s="164">
        <f t="shared" ref="X112" si="87">V112/T112</f>
        <v>1</v>
      </c>
      <c r="Y112" s="165">
        <f t="shared" ref="Y112" si="88">IFERROR((((1.96^2*0.5*0.5*($T112-V112))/(V112*($T112-1)))^0.5),"")</f>
        <v>0</v>
      </c>
      <c r="Z112" s="165">
        <f t="shared" si="56"/>
        <v>0</v>
      </c>
      <c r="AA112" s="203" t="s">
        <v>78</v>
      </c>
    </row>
    <row r="113" spans="1:27" customFormat="1" ht="15" hidden="1" customHeight="1">
      <c r="A113" s="1">
        <v>51</v>
      </c>
      <c r="B113" s="191" t="s">
        <v>183</v>
      </c>
      <c r="C113" s="45" t="s">
        <v>83</v>
      </c>
      <c r="D113" s="151">
        <v>27</v>
      </c>
      <c r="E113" s="151">
        <v>25</v>
      </c>
      <c r="F113" s="151">
        <f>VLOOKUP(B113,'BDD Estudiantes Posgrado'!$A$1:$D$200,4,0)</f>
        <v>7</v>
      </c>
      <c r="G113" s="151">
        <f t="shared" si="60"/>
        <v>18</v>
      </c>
      <c r="H113" s="169">
        <f t="shared" si="61"/>
        <v>0.25925925925925924</v>
      </c>
      <c r="I113" s="170">
        <f t="shared" si="62"/>
        <v>0.32486683662457994</v>
      </c>
      <c r="J113" s="170">
        <f t="shared" si="85"/>
        <v>0.27348483695436582</v>
      </c>
      <c r="K113" s="170" t="s">
        <v>86</v>
      </c>
      <c r="L113" s="151">
        <f>VLOOKUP($B113,'BDD Prof. Planta'!$B$29:$G$162,6,0)</f>
        <v>5</v>
      </c>
      <c r="M113" s="151">
        <v>5</v>
      </c>
      <c r="N113" s="151">
        <f>VLOOKUP($B113,'BDD Prof. Planta'!$B$29:$L$162,11,0)</f>
        <v>2</v>
      </c>
      <c r="O113" s="151">
        <f t="shared" si="57"/>
        <v>3</v>
      </c>
      <c r="P113" s="169">
        <f t="shared" si="58"/>
        <v>0.4</v>
      </c>
      <c r="Q113" s="170">
        <f t="shared" si="59"/>
        <v>0.60012498698187866</v>
      </c>
      <c r="R113" s="170">
        <f t="shared" si="55"/>
        <v>0.50520725944903044</v>
      </c>
      <c r="S113" s="170" t="s">
        <v>86</v>
      </c>
      <c r="T113" s="152">
        <f>VLOOKUP($B113,'BDD Prof. Catedra'!B:G,6,0)</f>
        <v>2</v>
      </c>
      <c r="U113" s="152">
        <v>2</v>
      </c>
      <c r="V113" s="152">
        <f>VLOOKUP($B113,'BDD Prof. Catedra'!$B:$J,9,0)</f>
        <v>0</v>
      </c>
      <c r="W113" s="152">
        <f t="shared" si="63"/>
        <v>2</v>
      </c>
      <c r="X113" s="173">
        <f t="shared" si="29"/>
        <v>0</v>
      </c>
      <c r="Y113" s="174" t="str">
        <f t="shared" si="64"/>
        <v/>
      </c>
      <c r="Z113" s="174" t="str">
        <f t="shared" si="56"/>
        <v/>
      </c>
      <c r="AA113" s="217"/>
    </row>
    <row r="114" spans="1:27" customFormat="1" ht="15" hidden="1" customHeight="1">
      <c r="A114" s="1">
        <v>52</v>
      </c>
      <c r="B114" s="191" t="s">
        <v>184</v>
      </c>
      <c r="C114" s="45" t="s">
        <v>83</v>
      </c>
      <c r="D114" s="151">
        <v>11</v>
      </c>
      <c r="E114" s="151">
        <v>11</v>
      </c>
      <c r="F114" s="151">
        <f>VLOOKUP(B114,'BDD Estudiantes Posgrado'!$A$1:$D$200,4,0)</f>
        <v>4</v>
      </c>
      <c r="G114" s="151">
        <f>E114-F114</f>
        <v>7</v>
      </c>
      <c r="H114" s="169">
        <f>F114/D114</f>
        <v>0.36363636363636365</v>
      </c>
      <c r="I114" s="170">
        <f>IFERROR((((1.96^2*0.5*0.5*($D114-F114))/(F114*($D114-1)))^0.5),"")</f>
        <v>0.40996341300169703</v>
      </c>
      <c r="J114" s="170">
        <f t="shared" si="85"/>
        <v>0.34512226094530613</v>
      </c>
      <c r="K114" s="170" t="s">
        <v>86</v>
      </c>
      <c r="L114" s="151">
        <f>VLOOKUP($B114,'BDD Prof. Planta'!$B$29:$G$162,6,0)</f>
        <v>4</v>
      </c>
      <c r="M114" s="151">
        <v>4</v>
      </c>
      <c r="N114" s="151">
        <f>VLOOKUP($B114,'BDD Prof. Planta'!$B$29:$L$162,11,0)</f>
        <v>2</v>
      </c>
      <c r="O114" s="151">
        <f>M114-N114</f>
        <v>2</v>
      </c>
      <c r="P114" s="169">
        <f>N114/L114</f>
        <v>0.5</v>
      </c>
      <c r="Q114" s="170">
        <f>IFERROR((((1.96^2*0.5*0.5*($L114-N114))/(N114*($L114-1)))^0.5),"")</f>
        <v>0.56580326380583323</v>
      </c>
      <c r="R114" s="170">
        <f t="shared" si="55"/>
        <v>0.47631397208144122</v>
      </c>
      <c r="S114" s="170" t="s">
        <v>86</v>
      </c>
      <c r="T114" s="149">
        <f>VLOOKUP($B114,'BDD Prof. Catedra'!B:G,6,0)</f>
        <v>1</v>
      </c>
      <c r="U114" s="149">
        <v>1</v>
      </c>
      <c r="V114" s="149">
        <f>VLOOKUP($B114,'BDD Prof. Catedra'!$B:$J,9,0)</f>
        <v>1</v>
      </c>
      <c r="W114" s="149">
        <f>U114-V114</f>
        <v>0</v>
      </c>
      <c r="X114" s="164">
        <f>V114/T114</f>
        <v>1</v>
      </c>
      <c r="Y114" s="165">
        <v>0</v>
      </c>
      <c r="Z114" s="165">
        <f>IFERROR((((1.65^2*0.5*0.5*($T114-V114))/(V114*($T114-1)))^0.5),0)</f>
        <v>0</v>
      </c>
      <c r="AA114" s="203" t="s">
        <v>78</v>
      </c>
    </row>
    <row r="115" spans="1:27" customFormat="1" ht="15" hidden="1" customHeight="1">
      <c r="A115" s="1">
        <v>57</v>
      </c>
      <c r="B115" s="191" t="s">
        <v>185</v>
      </c>
      <c r="C115" s="45" t="s">
        <v>84</v>
      </c>
      <c r="D115" s="149">
        <v>53</v>
      </c>
      <c r="E115" s="149">
        <v>47</v>
      </c>
      <c r="F115" s="149">
        <f>VLOOKUP(B115,'BDD Estudiantes Posgrado'!$A$1:$D$200,4,0)</f>
        <v>45</v>
      </c>
      <c r="G115" s="149">
        <f t="shared" si="60"/>
        <v>2</v>
      </c>
      <c r="H115" s="164">
        <f t="shared" si="61"/>
        <v>0.84905660377358494</v>
      </c>
      <c r="I115" s="165">
        <f t="shared" si="62"/>
        <v>5.7301123928059236E-2</v>
      </c>
      <c r="J115" s="165">
        <f t="shared" si="85"/>
        <v>4.8238191061886607E-2</v>
      </c>
      <c r="K115" s="165" t="s">
        <v>78</v>
      </c>
      <c r="L115" s="151">
        <f>VLOOKUP($B115,'BDD Prof. Planta'!$B$29:$G$162,6,0)</f>
        <v>3</v>
      </c>
      <c r="M115" s="151">
        <v>3</v>
      </c>
      <c r="N115" s="151">
        <f>VLOOKUP($B115,'BDD Prof. Planta'!$B$29:$L$162,11,0)</f>
        <v>2</v>
      </c>
      <c r="O115" s="151">
        <f t="shared" si="57"/>
        <v>1</v>
      </c>
      <c r="P115" s="169">
        <f t="shared" si="58"/>
        <v>0.66666666666666663</v>
      </c>
      <c r="Q115" s="170">
        <f t="shared" si="59"/>
        <v>0.49</v>
      </c>
      <c r="R115" s="170">
        <f t="shared" si="55"/>
        <v>0.41249999999999998</v>
      </c>
      <c r="S115" s="170" t="s">
        <v>86</v>
      </c>
      <c r="T115" s="151">
        <f>VLOOKUP($B115,'BDD Prof. Catedra'!B:G,6,0)</f>
        <v>16</v>
      </c>
      <c r="U115" s="151">
        <v>15</v>
      </c>
      <c r="V115" s="151">
        <f>VLOOKUP($B115,'BDD Prof. Catedra'!$B:$J,9,0)</f>
        <v>5</v>
      </c>
      <c r="W115" s="151">
        <f t="shared" si="63"/>
        <v>10</v>
      </c>
      <c r="X115" s="169">
        <f t="shared" si="29"/>
        <v>0.3125</v>
      </c>
      <c r="Y115" s="170">
        <f t="shared" si="64"/>
        <v>0.37531142624048452</v>
      </c>
      <c r="Z115" s="170">
        <f t="shared" si="56"/>
        <v>0.31595094555959158</v>
      </c>
      <c r="AA115" s="204" t="s">
        <v>86</v>
      </c>
    </row>
    <row r="116" spans="1:27" customFormat="1" ht="15" hidden="1" customHeight="1">
      <c r="A116" s="1">
        <v>54</v>
      </c>
      <c r="B116" s="191" t="s">
        <v>186</v>
      </c>
      <c r="C116" s="45" t="s">
        <v>84</v>
      </c>
      <c r="D116" s="149">
        <v>15</v>
      </c>
      <c r="E116" s="149">
        <v>15</v>
      </c>
      <c r="F116" s="149">
        <f>VLOOKUP(B116,'BDD Estudiantes Posgrado'!$A$1:$D$200,4,0)</f>
        <v>14</v>
      </c>
      <c r="G116" s="149">
        <f t="shared" si="60"/>
        <v>1</v>
      </c>
      <c r="H116" s="164">
        <f t="shared" si="61"/>
        <v>0.93333333333333335</v>
      </c>
      <c r="I116" s="165">
        <f t="shared" si="62"/>
        <v>6.9999999999999993E-2</v>
      </c>
      <c r="J116" s="165">
        <f t="shared" si="85"/>
        <v>5.8928571428571427E-2</v>
      </c>
      <c r="K116" s="165" t="s">
        <v>78</v>
      </c>
      <c r="L116" s="151">
        <f>VLOOKUP($B116,'BDD Prof. Planta'!$B$29:$G$162,6,0)</f>
        <v>2</v>
      </c>
      <c r="M116" s="151">
        <v>2</v>
      </c>
      <c r="N116" s="151">
        <f>VLOOKUP($B116,'BDD Prof. Planta'!$B$29:$L$162,11,0)</f>
        <v>1</v>
      </c>
      <c r="O116" s="151">
        <f t="shared" si="57"/>
        <v>1</v>
      </c>
      <c r="P116" s="169">
        <f t="shared" si="58"/>
        <v>0.5</v>
      </c>
      <c r="Q116" s="170">
        <f t="shared" si="59"/>
        <v>0.98</v>
      </c>
      <c r="R116" s="170">
        <f t="shared" si="55"/>
        <v>0.82499999999999996</v>
      </c>
      <c r="S116" s="170" t="s">
        <v>86</v>
      </c>
      <c r="T116" s="151">
        <f>VLOOKUP($B116,'BDD Prof. Catedra'!B:G,6,0)</f>
        <v>8</v>
      </c>
      <c r="U116" s="151">
        <v>8</v>
      </c>
      <c r="V116" s="151">
        <f>VLOOKUP($B116,'BDD Prof. Catedra'!$B:$J,9,0)</f>
        <v>1</v>
      </c>
      <c r="W116" s="151">
        <f t="shared" si="63"/>
        <v>7</v>
      </c>
      <c r="X116" s="169">
        <f t="shared" si="29"/>
        <v>0.125</v>
      </c>
      <c r="Y116" s="170">
        <f t="shared" si="64"/>
        <v>0.98</v>
      </c>
      <c r="Z116" s="170">
        <f t="shared" si="56"/>
        <v>0.82499999999999996</v>
      </c>
      <c r="AA116" s="204" t="s">
        <v>86</v>
      </c>
    </row>
    <row r="117" spans="1:27" customFormat="1" ht="15" hidden="1" customHeight="1">
      <c r="A117" s="1">
        <v>55</v>
      </c>
      <c r="B117" s="191" t="s">
        <v>187</v>
      </c>
      <c r="C117" s="45" t="s">
        <v>84</v>
      </c>
      <c r="D117" s="151">
        <v>21</v>
      </c>
      <c r="E117" s="151">
        <v>20</v>
      </c>
      <c r="F117" s="151">
        <f>VLOOKUP(B117,'BDD Estudiantes Posgrado'!$A$1:$D$200,4,0)</f>
        <v>1</v>
      </c>
      <c r="G117" s="151">
        <f t="shared" si="60"/>
        <v>19</v>
      </c>
      <c r="H117" s="169">
        <f t="shared" si="61"/>
        <v>4.7619047619047616E-2</v>
      </c>
      <c r="I117" s="170">
        <f t="shared" si="62"/>
        <v>0.98</v>
      </c>
      <c r="J117" s="170">
        <f t="shared" si="85"/>
        <v>0.82499999999999996</v>
      </c>
      <c r="K117" s="170" t="s">
        <v>86</v>
      </c>
      <c r="L117" s="151">
        <f>VLOOKUP($B117,'BDD Prof. Planta'!$B$29:$G$162,6,0)</f>
        <v>2</v>
      </c>
      <c r="M117" s="151">
        <v>2</v>
      </c>
      <c r="N117" s="151">
        <f>VLOOKUP($B117,'BDD Prof. Planta'!$B$29:$L$162,11,0)</f>
        <v>1</v>
      </c>
      <c r="O117" s="151">
        <f t="shared" si="57"/>
        <v>1</v>
      </c>
      <c r="P117" s="169">
        <f t="shared" si="58"/>
        <v>0.5</v>
      </c>
      <c r="Q117" s="170">
        <f t="shared" si="59"/>
        <v>0.98</v>
      </c>
      <c r="R117" s="170">
        <f t="shared" si="55"/>
        <v>0.82499999999999996</v>
      </c>
      <c r="S117" s="170" t="s">
        <v>86</v>
      </c>
      <c r="T117" s="149">
        <f>VLOOKUP($B117,'BDD Prof. Catedra'!B:G,6,0)</f>
        <v>15</v>
      </c>
      <c r="U117" s="149">
        <v>14</v>
      </c>
      <c r="V117" s="149">
        <f>VLOOKUP($B117,'BDD Prof. Catedra'!$B:$J,9,0)</f>
        <v>14</v>
      </c>
      <c r="W117" s="149">
        <f t="shared" si="63"/>
        <v>0</v>
      </c>
      <c r="X117" s="164">
        <f t="shared" si="29"/>
        <v>0.93333333333333335</v>
      </c>
      <c r="Y117" s="165">
        <f t="shared" si="64"/>
        <v>6.9999999999999993E-2</v>
      </c>
      <c r="Z117" s="165">
        <f t="shared" si="56"/>
        <v>5.8928571428571427E-2</v>
      </c>
      <c r="AA117" s="203" t="s">
        <v>78</v>
      </c>
    </row>
    <row r="118" spans="1:27" customFormat="1" ht="15" hidden="1" customHeight="1">
      <c r="A118" s="1">
        <v>56</v>
      </c>
      <c r="B118" s="191" t="s">
        <v>188</v>
      </c>
      <c r="C118" s="45" t="s">
        <v>84</v>
      </c>
      <c r="D118" s="149">
        <v>16</v>
      </c>
      <c r="E118" s="149">
        <v>16</v>
      </c>
      <c r="F118" s="149">
        <f>VLOOKUP(B118,'BDD Estudiantes Posgrado'!$A$1:$D$200,4,0)</f>
        <v>16</v>
      </c>
      <c r="G118" s="149">
        <f t="shared" si="60"/>
        <v>0</v>
      </c>
      <c r="H118" s="164">
        <f t="shared" si="61"/>
        <v>1</v>
      </c>
      <c r="I118" s="165">
        <f t="shared" si="62"/>
        <v>0</v>
      </c>
      <c r="J118" s="165">
        <f t="shared" si="85"/>
        <v>0</v>
      </c>
      <c r="K118" s="165" t="s">
        <v>78</v>
      </c>
      <c r="L118" s="150">
        <f>VLOOKUP($B118,'BDD Prof. Planta'!$B$29:$G$162,6,0)</f>
        <v>6</v>
      </c>
      <c r="M118" s="150">
        <v>6</v>
      </c>
      <c r="N118" s="150">
        <f>VLOOKUP($B118,'BDD Prof. Planta'!$B$29:$L$162,11,0)</f>
        <v>5</v>
      </c>
      <c r="O118" s="150">
        <f t="shared" si="57"/>
        <v>1</v>
      </c>
      <c r="P118" s="166">
        <f t="shared" si="58"/>
        <v>0.83333333333333337</v>
      </c>
      <c r="Q118" s="167">
        <f t="shared" si="59"/>
        <v>0.19600000000000001</v>
      </c>
      <c r="R118" s="167">
        <f t="shared" si="55"/>
        <v>0.16499999999999998</v>
      </c>
      <c r="S118" s="167" t="s">
        <v>78</v>
      </c>
      <c r="T118" s="151">
        <f>VLOOKUP($B118,'BDD Prof. Catedra'!B:G,6,0)</f>
        <v>6</v>
      </c>
      <c r="U118" s="151">
        <v>6</v>
      </c>
      <c r="V118" s="151">
        <f>VLOOKUP($B118,'BDD Prof. Catedra'!$B:$J,9,0)</f>
        <v>4</v>
      </c>
      <c r="W118" s="151">
        <f t="shared" si="63"/>
        <v>2</v>
      </c>
      <c r="X118" s="169">
        <f t="shared" si="29"/>
        <v>0.66666666666666663</v>
      </c>
      <c r="Y118" s="170">
        <f t="shared" si="64"/>
        <v>0.30990321069650117</v>
      </c>
      <c r="Z118" s="170">
        <f t="shared" si="56"/>
        <v>0.2608879069638913</v>
      </c>
      <c r="AA118" s="204" t="s">
        <v>86</v>
      </c>
    </row>
    <row r="119" spans="1:27" customFormat="1" ht="15" customHeight="1">
      <c r="A119" s="1">
        <v>60</v>
      </c>
      <c r="B119" s="191" t="s">
        <v>189</v>
      </c>
      <c r="C119" s="45" t="s">
        <v>85</v>
      </c>
      <c r="D119" s="151">
        <v>11</v>
      </c>
      <c r="E119" s="151">
        <v>11</v>
      </c>
      <c r="F119" s="151">
        <f>VLOOKUP(B119,'BDD Estudiantes Posgrado'!$A$1:$D$200,4,0)</f>
        <v>5</v>
      </c>
      <c r="G119" s="151">
        <f t="shared" si="60"/>
        <v>6</v>
      </c>
      <c r="H119" s="169">
        <f t="shared" si="61"/>
        <v>0.45454545454545453</v>
      </c>
      <c r="I119" s="170">
        <f t="shared" si="62"/>
        <v>0.33948195828349992</v>
      </c>
      <c r="J119" s="170">
        <f t="shared" si="85"/>
        <v>0.28578838324886474</v>
      </c>
      <c r="K119" s="170" t="s">
        <v>86</v>
      </c>
      <c r="L119" s="150">
        <f>VLOOKUP($B119,'BDD Prof. Planta'!$B$29:$G$162,6,0)</f>
        <v>1</v>
      </c>
      <c r="M119" s="150">
        <v>1</v>
      </c>
      <c r="N119" s="150">
        <f>VLOOKUP($B119,'BDD Prof. Planta'!$B$29:$L$162,11,0)</f>
        <v>1</v>
      </c>
      <c r="O119" s="150">
        <f t="shared" si="57"/>
        <v>0</v>
      </c>
      <c r="P119" s="166">
        <f t="shared" si="58"/>
        <v>1</v>
      </c>
      <c r="Q119" s="167">
        <v>0</v>
      </c>
      <c r="R119" s="167">
        <f>IFERROR((((1.65^2*0.5*0.5*($L119-N119))/(N119*($L119-1)))^0.5),0)</f>
        <v>0</v>
      </c>
      <c r="S119" s="167" t="s">
        <v>78</v>
      </c>
      <c r="T119" s="149">
        <f>VLOOKUP($B119,'BDD Prof. Catedra'!B:G,6,0)</f>
        <v>3</v>
      </c>
      <c r="U119" s="149">
        <v>3</v>
      </c>
      <c r="V119" s="149">
        <f>VLOOKUP($B119,'BDD Prof. Catedra'!$B:$J,9,0)</f>
        <v>3</v>
      </c>
      <c r="W119" s="149">
        <f t="shared" si="63"/>
        <v>0</v>
      </c>
      <c r="X119" s="164">
        <f t="shared" si="29"/>
        <v>1</v>
      </c>
      <c r="Y119" s="165">
        <f t="shared" si="64"/>
        <v>0</v>
      </c>
      <c r="Z119" s="165">
        <f t="shared" si="56"/>
        <v>0</v>
      </c>
      <c r="AA119" s="203" t="s">
        <v>78</v>
      </c>
    </row>
    <row r="120" spans="1:27" customFormat="1" ht="15" customHeight="1">
      <c r="A120" s="1">
        <v>64</v>
      </c>
      <c r="B120" s="191" t="s">
        <v>190</v>
      </c>
      <c r="C120" s="45" t="s">
        <v>85</v>
      </c>
      <c r="D120" s="151">
        <v>17</v>
      </c>
      <c r="E120" s="151">
        <v>16</v>
      </c>
      <c r="F120" s="151">
        <f>VLOOKUP(B120,'BDD Estudiantes Posgrado'!$A$1:$D$200,4,0)</f>
        <v>3</v>
      </c>
      <c r="G120" s="151">
        <f t="shared" si="60"/>
        <v>13</v>
      </c>
      <c r="H120" s="169">
        <f t="shared" si="61"/>
        <v>0.17647058823529413</v>
      </c>
      <c r="I120" s="170">
        <f t="shared" si="62"/>
        <v>0.52926049036997524</v>
      </c>
      <c r="J120" s="170">
        <f t="shared" si="85"/>
        <v>0.44555092301554033</v>
      </c>
      <c r="K120" s="170" t="s">
        <v>86</v>
      </c>
      <c r="L120" s="151">
        <f>VLOOKUP($B120,'BDD Prof. Planta'!$B$29:$G$162,6,0)</f>
        <v>2</v>
      </c>
      <c r="M120" s="151">
        <v>2</v>
      </c>
      <c r="N120" s="151">
        <f>VLOOKUP($B120,'BDD Prof. Planta'!$B$29:$L$162,11,0)</f>
        <v>1</v>
      </c>
      <c r="O120" s="151">
        <f t="shared" si="57"/>
        <v>1</v>
      </c>
      <c r="P120" s="169">
        <f t="shared" si="58"/>
        <v>0.5</v>
      </c>
      <c r="Q120" s="170">
        <f t="shared" si="59"/>
        <v>0.98</v>
      </c>
      <c r="R120" s="170">
        <f t="shared" si="55"/>
        <v>0.82499999999999996</v>
      </c>
      <c r="S120" s="170" t="s">
        <v>86</v>
      </c>
      <c r="T120" s="151">
        <f>VLOOKUP($B120,'BDD Prof. Catedra'!B:G,6,0)</f>
        <v>9</v>
      </c>
      <c r="U120" s="151">
        <v>9</v>
      </c>
      <c r="V120" s="151">
        <f>VLOOKUP($B120,'BDD Prof. Catedra'!$B:$J,9,0)</f>
        <v>7</v>
      </c>
      <c r="W120" s="151">
        <f t="shared" si="63"/>
        <v>2</v>
      </c>
      <c r="X120" s="169">
        <f t="shared" si="29"/>
        <v>0.77777777777777779</v>
      </c>
      <c r="Y120" s="170">
        <f t="shared" si="64"/>
        <v>0.18520259177452134</v>
      </c>
      <c r="Z120" s="170">
        <f t="shared" si="56"/>
        <v>0.15591034511630622</v>
      </c>
      <c r="AA120" s="204" t="s">
        <v>86</v>
      </c>
    </row>
    <row r="121" spans="1:27" customFormat="1" ht="15" customHeight="1">
      <c r="A121" s="1">
        <v>61</v>
      </c>
      <c r="B121" s="191" t="s">
        <v>191</v>
      </c>
      <c r="C121" s="45" t="s">
        <v>85</v>
      </c>
      <c r="D121" s="151">
        <v>28</v>
      </c>
      <c r="E121" s="151">
        <v>25</v>
      </c>
      <c r="F121" s="151">
        <f>VLOOKUP(B121,'BDD Estudiantes Posgrado'!$A$1:$D$200,4,0)</f>
        <v>12</v>
      </c>
      <c r="G121" s="151">
        <f t="shared" si="60"/>
        <v>13</v>
      </c>
      <c r="H121" s="169">
        <f t="shared" si="61"/>
        <v>0.42857142857142855</v>
      </c>
      <c r="I121" s="170">
        <f t="shared" si="62"/>
        <v>0.21777777777777776</v>
      </c>
      <c r="J121" s="170">
        <f t="shared" si="85"/>
        <v>0.18333333333333332</v>
      </c>
      <c r="K121" s="170" t="s">
        <v>86</v>
      </c>
      <c r="L121" s="151">
        <f>VLOOKUP($B121,'BDD Prof. Planta'!$B$29:$G$162,6,0)</f>
        <v>3</v>
      </c>
      <c r="M121" s="151">
        <v>3</v>
      </c>
      <c r="N121" s="151">
        <f>VLOOKUP($B121,'BDD Prof. Planta'!$B$29:$L$162,11,0)</f>
        <v>1</v>
      </c>
      <c r="O121" s="151">
        <f t="shared" si="57"/>
        <v>2</v>
      </c>
      <c r="P121" s="169">
        <f t="shared" si="58"/>
        <v>0.33333333333333331</v>
      </c>
      <c r="Q121" s="170">
        <f t="shared" si="59"/>
        <v>0.98</v>
      </c>
      <c r="R121" s="170">
        <f t="shared" si="55"/>
        <v>0.82499999999999996</v>
      </c>
      <c r="S121" s="170" t="s">
        <v>86</v>
      </c>
      <c r="T121" s="149">
        <f>VLOOKUP($B121,'BDD Prof. Catedra'!B:G,6,0)</f>
        <v>1</v>
      </c>
      <c r="U121" s="149">
        <v>1</v>
      </c>
      <c r="V121" s="149">
        <f>VLOOKUP($B121,'BDD Prof. Catedra'!$B:$J,9,0)</f>
        <v>1</v>
      </c>
      <c r="W121" s="149">
        <f t="shared" si="63"/>
        <v>0</v>
      </c>
      <c r="X121" s="164">
        <f t="shared" si="29"/>
        <v>1</v>
      </c>
      <c r="Y121" s="165">
        <v>0</v>
      </c>
      <c r="Z121" s="165">
        <f>IFERROR((((1.65^2*0.5*0.5*($T121-V121))/(V121*($T121-1)))^0.5),0)</f>
        <v>0</v>
      </c>
      <c r="AA121" s="203" t="s">
        <v>78</v>
      </c>
    </row>
    <row r="122" spans="1:27" customFormat="1" ht="15" customHeight="1" thickBot="1">
      <c r="A122" s="1">
        <v>65</v>
      </c>
      <c r="B122" s="191" t="s">
        <v>192</v>
      </c>
      <c r="C122" s="45" t="s">
        <v>85</v>
      </c>
      <c r="D122" s="151">
        <v>33</v>
      </c>
      <c r="E122" s="151">
        <v>30</v>
      </c>
      <c r="F122" s="151">
        <f>VLOOKUP(B122,'BDD Estudiantes Posgrado'!$A$1:$D$200,4,0)</f>
        <v>11</v>
      </c>
      <c r="G122" s="151">
        <f>E122-F122</f>
        <v>19</v>
      </c>
      <c r="H122" s="169">
        <f>F122/D122</f>
        <v>0.33333333333333331</v>
      </c>
      <c r="I122" s="170">
        <f>IFERROR((((1.96^2*0.5*0.5*($D122-F122))/(F122*($D122-1)))^0.5),"")</f>
        <v>0.245</v>
      </c>
      <c r="J122" s="170">
        <f t="shared" si="85"/>
        <v>0.20624999999999999</v>
      </c>
      <c r="K122" s="170" t="s">
        <v>86</v>
      </c>
      <c r="L122" s="151">
        <f>VLOOKUP($B122,'BDD Prof. Planta'!$B$29:$G$162,6,0)</f>
        <v>2</v>
      </c>
      <c r="M122" s="151">
        <v>2</v>
      </c>
      <c r="N122" s="151">
        <f>VLOOKUP($B122,'BDD Prof. Planta'!$B$29:$L$162,11,0)</f>
        <v>1</v>
      </c>
      <c r="O122" s="151">
        <f>M122-N122</f>
        <v>1</v>
      </c>
      <c r="P122" s="169">
        <f>N122/L122</f>
        <v>0.5</v>
      </c>
      <c r="Q122" s="170">
        <f>IFERROR((((1.96^2*0.5*0.5*($L122-N122))/(N122*($L122-1)))^0.5),"")</f>
        <v>0.98</v>
      </c>
      <c r="R122" s="170">
        <f t="shared" si="55"/>
        <v>0.82499999999999996</v>
      </c>
      <c r="S122" s="170" t="s">
        <v>86</v>
      </c>
      <c r="T122" s="149">
        <f>VLOOKUP($B122,'BDD Prof. Catedra'!B:G,6,0)</f>
        <v>3</v>
      </c>
      <c r="U122" s="149">
        <v>3</v>
      </c>
      <c r="V122" s="149">
        <f>VLOOKUP($B122,'BDD Prof. Catedra'!$B:$J,9,0)</f>
        <v>3</v>
      </c>
      <c r="W122" s="149">
        <f>U122-V122</f>
        <v>0</v>
      </c>
      <c r="X122" s="164">
        <f>V122/T122</f>
        <v>1</v>
      </c>
      <c r="Y122" s="165">
        <f>IFERROR((((1.96^2*0.5*0.5*($T122-V122))/(V122*($T122-1)))^0.5),"")</f>
        <v>0</v>
      </c>
      <c r="Z122" s="165">
        <f t="shared" si="56"/>
        <v>0</v>
      </c>
      <c r="AA122" s="203" t="s">
        <v>78</v>
      </c>
    </row>
    <row r="123" spans="1:27" customFormat="1" ht="15" hidden="1" customHeight="1">
      <c r="A123" s="1">
        <v>78</v>
      </c>
      <c r="B123" s="191" t="s">
        <v>193</v>
      </c>
      <c r="C123" s="45" t="s">
        <v>90</v>
      </c>
      <c r="D123" s="151">
        <v>26</v>
      </c>
      <c r="E123" s="151">
        <v>24</v>
      </c>
      <c r="F123" s="151">
        <f>VLOOKUP(B123,'BDD Estudiantes Posgrado'!$A$1:$D$200,4,0)</f>
        <v>3</v>
      </c>
      <c r="G123" s="151">
        <f t="shared" si="60"/>
        <v>21</v>
      </c>
      <c r="H123" s="169">
        <f t="shared" si="61"/>
        <v>0.11538461538461539</v>
      </c>
      <c r="I123" s="170">
        <f t="shared" si="62"/>
        <v>0.54269942571064755</v>
      </c>
      <c r="J123" s="170">
        <f t="shared" si="85"/>
        <v>0.45686431246049408</v>
      </c>
      <c r="K123" s="170" t="s">
        <v>100</v>
      </c>
      <c r="L123" s="151">
        <f>VLOOKUP($B123,'BDD Prof. Planta'!$B$29:$G$162,6,0)</f>
        <v>2</v>
      </c>
      <c r="M123" s="151">
        <v>2</v>
      </c>
      <c r="N123" s="151">
        <f>VLOOKUP($B123,'BDD Prof. Planta'!$B$29:$L$162,11,0)</f>
        <v>1</v>
      </c>
      <c r="O123" s="151">
        <f t="shared" si="57"/>
        <v>1</v>
      </c>
      <c r="P123" s="169">
        <f t="shared" si="58"/>
        <v>0.5</v>
      </c>
      <c r="Q123" s="170">
        <f t="shared" si="59"/>
        <v>0.98</v>
      </c>
      <c r="R123" s="170">
        <f t="shared" si="55"/>
        <v>0.82499999999999996</v>
      </c>
      <c r="S123" s="170" t="s">
        <v>86</v>
      </c>
      <c r="T123" s="152">
        <f>VLOOKUP($B123,'BDD Prof. Catedra'!B:G,6,0)</f>
        <v>2</v>
      </c>
      <c r="U123" s="152">
        <v>2</v>
      </c>
      <c r="V123" s="152">
        <f>VLOOKUP($B123,'BDD Prof. Catedra'!$B:$J,9,0)</f>
        <v>0</v>
      </c>
      <c r="W123" s="152">
        <f t="shared" si="63"/>
        <v>2</v>
      </c>
      <c r="X123" s="173">
        <f t="shared" si="29"/>
        <v>0</v>
      </c>
      <c r="Y123" s="174" t="str">
        <f t="shared" si="64"/>
        <v/>
      </c>
      <c r="Z123" s="174" t="str">
        <f t="shared" si="56"/>
        <v/>
      </c>
      <c r="AA123" s="217"/>
    </row>
    <row r="124" spans="1:27" customFormat="1" ht="15" hidden="1" customHeight="1">
      <c r="A124" s="1">
        <v>79</v>
      </c>
      <c r="B124" s="191" t="s">
        <v>194</v>
      </c>
      <c r="C124" s="45" t="s">
        <v>90</v>
      </c>
      <c r="D124" s="151">
        <v>14</v>
      </c>
      <c r="E124" s="151">
        <v>14</v>
      </c>
      <c r="F124" s="151">
        <f>VLOOKUP(B124,'BDD Estudiantes Posgrado'!$A$1:$D$200,4,0)</f>
        <v>1</v>
      </c>
      <c r="G124" s="151">
        <f>E124-F124</f>
        <v>13</v>
      </c>
      <c r="H124" s="169">
        <f>F124/D124</f>
        <v>7.1428571428571425E-2</v>
      </c>
      <c r="I124" s="170">
        <f>IFERROR((((1.96^2*0.5*0.5*($D124-F124))/(F124*($D124-1)))^0.5),"")</f>
        <v>0.98</v>
      </c>
      <c r="J124" s="170">
        <f t="shared" si="85"/>
        <v>0.82499999999999996</v>
      </c>
      <c r="K124" s="170" t="s">
        <v>86</v>
      </c>
      <c r="L124" s="151">
        <f>VLOOKUP($B124,'BDD Prof. Planta'!$B$29:$G$162,6,0)</f>
        <v>4</v>
      </c>
      <c r="M124" s="151">
        <v>4</v>
      </c>
      <c r="N124" s="151">
        <f>VLOOKUP($B124,'BDD Prof. Planta'!$B$29:$L$162,11,0)</f>
        <v>2</v>
      </c>
      <c r="O124" s="151">
        <f>M124-N124</f>
        <v>2</v>
      </c>
      <c r="P124" s="169">
        <f>N124/L124</f>
        <v>0.5</v>
      </c>
      <c r="Q124" s="170">
        <f>IFERROR((((1.96^2*0.5*0.5*($L124-N124))/(N124*($L124-1)))^0.5),"")</f>
        <v>0.56580326380583323</v>
      </c>
      <c r="R124" s="170">
        <f t="shared" si="55"/>
        <v>0.47631397208144122</v>
      </c>
      <c r="S124" s="170" t="s">
        <v>86</v>
      </c>
      <c r="T124" s="151">
        <f>VLOOKUP($B124,'BDD Prof. Catedra'!B:G,6,0)</f>
        <v>4</v>
      </c>
      <c r="U124" s="151">
        <v>4</v>
      </c>
      <c r="V124" s="151">
        <f>VLOOKUP($B124,'BDD Prof. Catedra'!$B:$J,9,0)</f>
        <v>2</v>
      </c>
      <c r="W124" s="151">
        <f>U124-V124</f>
        <v>2</v>
      </c>
      <c r="X124" s="169">
        <f>V124/T124</f>
        <v>0.5</v>
      </c>
      <c r="Y124" s="170">
        <f>IFERROR((((1.96^2*0.5*0.5*($T124-V124))/(V124*($T124-1)))^0.5),"")</f>
        <v>0.56580326380583323</v>
      </c>
      <c r="Z124" s="170">
        <f t="shared" si="56"/>
        <v>0.47631397208144122</v>
      </c>
      <c r="AA124" s="204" t="s">
        <v>86</v>
      </c>
    </row>
    <row r="125" spans="1:27" customFormat="1" ht="15" hidden="1" customHeight="1">
      <c r="A125" s="1">
        <v>77</v>
      </c>
      <c r="B125" s="191" t="s">
        <v>195</v>
      </c>
      <c r="C125" s="45" t="s">
        <v>90</v>
      </c>
      <c r="D125" s="152">
        <v>16</v>
      </c>
      <c r="E125" s="152">
        <v>15</v>
      </c>
      <c r="F125" s="152">
        <f>VLOOKUP(B125,'BDD Estudiantes Posgrado'!$A$1:$D$200,4,0)</f>
        <v>0</v>
      </c>
      <c r="G125" s="152">
        <f t="shared" si="60"/>
        <v>15</v>
      </c>
      <c r="H125" s="173">
        <f t="shared" si="61"/>
        <v>0</v>
      </c>
      <c r="I125" s="174" t="str">
        <f t="shared" si="62"/>
        <v/>
      </c>
      <c r="J125" s="174" t="str">
        <f t="shared" si="85"/>
        <v/>
      </c>
      <c r="K125" s="174"/>
      <c r="L125" s="151">
        <f>VLOOKUP($B125,'BDD Prof. Planta'!$B$29:$G$162,6,0)</f>
        <v>5</v>
      </c>
      <c r="M125" s="151">
        <v>5</v>
      </c>
      <c r="N125" s="151">
        <f>VLOOKUP($B125,'BDD Prof. Planta'!$B$29:$L$162,11,0)</f>
        <v>2</v>
      </c>
      <c r="O125" s="151">
        <f t="shared" si="23"/>
        <v>3</v>
      </c>
      <c r="P125" s="169">
        <f t="shared" si="24"/>
        <v>0.4</v>
      </c>
      <c r="Q125" s="170">
        <f t="shared" si="25"/>
        <v>0.60012498698187866</v>
      </c>
      <c r="R125" s="170">
        <f t="shared" si="55"/>
        <v>0.50520725944903044</v>
      </c>
      <c r="S125" s="170" t="s">
        <v>86</v>
      </c>
      <c r="T125" s="149">
        <f>VLOOKUP($B125,'BDD Prof. Catedra'!B:G,6,0)</f>
        <v>2</v>
      </c>
      <c r="U125" s="149">
        <v>2</v>
      </c>
      <c r="V125" s="149">
        <f>VLOOKUP($B125,'BDD Prof. Catedra'!$B:$J,9,0)</f>
        <v>2</v>
      </c>
      <c r="W125" s="149">
        <f t="shared" si="63"/>
        <v>0</v>
      </c>
      <c r="X125" s="164">
        <f t="shared" si="29"/>
        <v>1</v>
      </c>
      <c r="Y125" s="165">
        <f t="shared" si="64"/>
        <v>0</v>
      </c>
      <c r="Z125" s="165">
        <f t="shared" si="56"/>
        <v>0</v>
      </c>
      <c r="AA125" s="203" t="s">
        <v>78</v>
      </c>
    </row>
    <row r="126" spans="1:27" customFormat="1" ht="15" hidden="1" customHeight="1">
      <c r="A126" s="1">
        <v>76</v>
      </c>
      <c r="B126" s="191" t="s">
        <v>196</v>
      </c>
      <c r="C126" s="45" t="s">
        <v>90</v>
      </c>
      <c r="D126" s="149">
        <v>5</v>
      </c>
      <c r="E126" s="149">
        <v>5</v>
      </c>
      <c r="F126" s="149">
        <f>VLOOKUP(B126,'BDD Estudiantes Posgrado'!$A$1:$D$200,4,0)</f>
        <v>5</v>
      </c>
      <c r="G126" s="149">
        <f>E126-F126</f>
        <v>0</v>
      </c>
      <c r="H126" s="164">
        <f>F126/D126</f>
        <v>1</v>
      </c>
      <c r="I126" s="165">
        <f>IFERROR((((1.96^2*0.5*0.5*($D126-F126))/(F126*($D126-1)))^0.5),"")</f>
        <v>0</v>
      </c>
      <c r="J126" s="165">
        <f t="shared" si="85"/>
        <v>0</v>
      </c>
      <c r="K126" s="165" t="s">
        <v>78</v>
      </c>
      <c r="L126" s="151">
        <f>VLOOKUP($B126,'BDD Prof. Planta'!$B$29:$G$162,6,0)</f>
        <v>3</v>
      </c>
      <c r="M126" s="151">
        <v>3</v>
      </c>
      <c r="N126" s="151">
        <f>VLOOKUP($B126,'BDD Prof. Planta'!$B$29:$L$162,11,0)</f>
        <v>2</v>
      </c>
      <c r="O126" s="151">
        <f>M126-N126</f>
        <v>1</v>
      </c>
      <c r="P126" s="169">
        <f>N126/L126</f>
        <v>0.66666666666666663</v>
      </c>
      <c r="Q126" s="170">
        <f>IFERROR((((1.96^2*0.5*0.5*($L126-N126))/(N126*($L126-1)))^0.5),"")</f>
        <v>0.49</v>
      </c>
      <c r="R126" s="170">
        <f t="shared" si="55"/>
        <v>0.41249999999999998</v>
      </c>
      <c r="S126" s="170" t="s">
        <v>86</v>
      </c>
      <c r="T126" s="152"/>
      <c r="U126" s="152"/>
      <c r="V126" s="152"/>
      <c r="W126" s="152"/>
      <c r="X126" s="173"/>
      <c r="Y126" s="174" t="str">
        <f>IFERROR((((1.96^2*0.5*0.5*($T126-V126))/(V126*($T126-1)))^0.5),"")</f>
        <v/>
      </c>
      <c r="Z126" s="174" t="str">
        <f t="shared" si="56"/>
        <v/>
      </c>
      <c r="AA126" s="217"/>
    </row>
    <row r="127" spans="1:27" customFormat="1" ht="15" hidden="1" customHeight="1">
      <c r="A127" s="1">
        <v>67</v>
      </c>
      <c r="B127" s="191" t="s">
        <v>197</v>
      </c>
      <c r="C127" s="45" t="s">
        <v>87</v>
      </c>
      <c r="D127" s="151">
        <v>13</v>
      </c>
      <c r="E127" s="151">
        <v>13</v>
      </c>
      <c r="F127" s="151">
        <f>VLOOKUP(B127,'BDD Estudiantes Posgrado'!$A$1:$D$200,4,0)</f>
        <v>7</v>
      </c>
      <c r="G127" s="151">
        <f>E127-F127</f>
        <v>6</v>
      </c>
      <c r="H127" s="169">
        <f>F127/D127</f>
        <v>0.53846153846153844</v>
      </c>
      <c r="I127" s="170">
        <f>IFERROR((((1.96^2*0.5*0.5*($D127-F127))/(F127*($D127-1)))^0.5),"")</f>
        <v>0.26191601707417589</v>
      </c>
      <c r="J127" s="170">
        <f t="shared" si="85"/>
        <v>0.22049052457775009</v>
      </c>
      <c r="K127" s="170" t="s">
        <v>86</v>
      </c>
      <c r="L127" s="150">
        <f>VLOOKUP($B127,'BDD Prof. Planta'!$B$29:$G$162,6,0)</f>
        <v>8</v>
      </c>
      <c r="M127" s="150">
        <v>8</v>
      </c>
      <c r="N127" s="150">
        <f>VLOOKUP($B127,'BDD Prof. Planta'!$B$29:$L$162,11,0)</f>
        <v>7</v>
      </c>
      <c r="O127" s="150">
        <f>M127-N127</f>
        <v>1</v>
      </c>
      <c r="P127" s="166">
        <f>N127/L127</f>
        <v>0.875</v>
      </c>
      <c r="Q127" s="167">
        <f>IFERROR((((1.96^2*0.5*0.5*($L127-N127))/(N127*($L127-1)))^0.5),"")</f>
        <v>0.13999999999999999</v>
      </c>
      <c r="R127" s="167">
        <f t="shared" si="55"/>
        <v>0.11785714285714285</v>
      </c>
      <c r="S127" s="167" t="s">
        <v>78</v>
      </c>
      <c r="T127" s="149">
        <f>VLOOKUP($B127,'BDD Prof. Catedra'!B:G,6,0)</f>
        <v>2</v>
      </c>
      <c r="U127" s="149">
        <v>2</v>
      </c>
      <c r="V127" s="149">
        <f>VLOOKUP($B127,'BDD Prof. Catedra'!$B:$J,9,0)</f>
        <v>2</v>
      </c>
      <c r="W127" s="149">
        <f>U127-V127</f>
        <v>0</v>
      </c>
      <c r="X127" s="164">
        <f>V127/T127</f>
        <v>1</v>
      </c>
      <c r="Y127" s="165">
        <f>IFERROR((((1.96^2*0.5*0.5*($T127-V127))/(V127*($T127-1)))^0.5),"")</f>
        <v>0</v>
      </c>
      <c r="Z127" s="165">
        <f t="shared" si="56"/>
        <v>0</v>
      </c>
      <c r="AA127" s="203" t="s">
        <v>78</v>
      </c>
    </row>
    <row r="128" spans="1:27" customFormat="1" ht="15" hidden="1" customHeight="1">
      <c r="A128" s="1">
        <v>45</v>
      </c>
      <c r="B128" s="191" t="s">
        <v>198</v>
      </c>
      <c r="C128" s="45" t="s">
        <v>77</v>
      </c>
      <c r="D128" s="149">
        <v>23</v>
      </c>
      <c r="E128" s="149">
        <v>23</v>
      </c>
      <c r="F128" s="149">
        <f>VLOOKUP(B128,'BDD Estudiantes Posgrado'!$A$1:$D$200,4,0)</f>
        <v>23</v>
      </c>
      <c r="G128" s="149">
        <f t="shared" si="60"/>
        <v>0</v>
      </c>
      <c r="H128" s="164">
        <f t="shared" si="61"/>
        <v>1</v>
      </c>
      <c r="I128" s="165">
        <f t="shared" si="62"/>
        <v>0</v>
      </c>
      <c r="J128" s="165">
        <f t="shared" si="85"/>
        <v>0</v>
      </c>
      <c r="K128" s="165" t="s">
        <v>78</v>
      </c>
      <c r="L128" s="149">
        <f>VLOOKUP($B128,'BDD Prof. Planta'!$B$29:$G$162,6,0)</f>
        <v>3</v>
      </c>
      <c r="M128" s="149">
        <v>3</v>
      </c>
      <c r="N128" s="149">
        <f>VLOOKUP($B128,'BDD Prof. Planta'!$B$29:$L$162,11,0)</f>
        <v>3</v>
      </c>
      <c r="O128" s="149">
        <f t="shared" si="23"/>
        <v>0</v>
      </c>
      <c r="P128" s="164">
        <f t="shared" si="24"/>
        <v>1</v>
      </c>
      <c r="Q128" s="165">
        <f t="shared" si="25"/>
        <v>0</v>
      </c>
      <c r="R128" s="165">
        <f t="shared" si="55"/>
        <v>0</v>
      </c>
      <c r="S128" s="165" t="s">
        <v>78</v>
      </c>
      <c r="T128" s="150">
        <f>VLOOKUP($B128,'BDD Prof. Catedra'!B:G,6,0)</f>
        <v>6</v>
      </c>
      <c r="U128" s="150">
        <v>6</v>
      </c>
      <c r="V128" s="150">
        <f>VLOOKUP($B128,'BDD Prof. Catedra'!$B:$J,9,0)</f>
        <v>5</v>
      </c>
      <c r="W128" s="150">
        <f t="shared" si="63"/>
        <v>1</v>
      </c>
      <c r="X128" s="166">
        <f t="shared" si="29"/>
        <v>0.83333333333333337</v>
      </c>
      <c r="Y128" s="167">
        <f t="shared" si="64"/>
        <v>0.19600000000000001</v>
      </c>
      <c r="Z128" s="167">
        <f t="shared" si="56"/>
        <v>0.16499999999999998</v>
      </c>
      <c r="AA128" s="192" t="s">
        <v>78</v>
      </c>
    </row>
    <row r="129" spans="1:27" customFormat="1" ht="15" hidden="1" customHeight="1">
      <c r="A129" s="1">
        <v>49</v>
      </c>
      <c r="B129" s="191" t="s">
        <v>199</v>
      </c>
      <c r="C129" s="45" t="s">
        <v>77</v>
      </c>
      <c r="D129" s="149">
        <v>34</v>
      </c>
      <c r="E129" s="149">
        <v>33</v>
      </c>
      <c r="F129" s="149">
        <f>VLOOKUP(B129,'BDD Estudiantes Posgrado'!$A$1:$D$200,4,0)</f>
        <v>33</v>
      </c>
      <c r="G129" s="149">
        <f t="shared" si="60"/>
        <v>0</v>
      </c>
      <c r="H129" s="164">
        <f t="shared" si="61"/>
        <v>0.97058823529411764</v>
      </c>
      <c r="I129" s="165">
        <f t="shared" si="62"/>
        <v>2.9696969696969694E-2</v>
      </c>
      <c r="J129" s="165">
        <f t="shared" ref="J129:J147" si="89">IFERROR((((1.65^2*0.5*0.5*($D129-F129))/(F129*($D129-1)))^0.5),"")</f>
        <v>2.4999999999999998E-2</v>
      </c>
      <c r="K129" s="165" t="s">
        <v>78</v>
      </c>
      <c r="L129" s="149">
        <f>VLOOKUP($B129,'BDD Prof. Planta'!$B$29:$G$162,6,0)</f>
        <v>4</v>
      </c>
      <c r="M129" s="149">
        <v>4</v>
      </c>
      <c r="N129" s="149">
        <f>VLOOKUP($B129,'BDD Prof. Planta'!$B$29:$L$162,11,0)</f>
        <v>4</v>
      </c>
      <c r="O129" s="149">
        <f t="shared" si="23"/>
        <v>0</v>
      </c>
      <c r="P129" s="164">
        <f t="shared" si="24"/>
        <v>1</v>
      </c>
      <c r="Q129" s="165">
        <f t="shared" si="25"/>
        <v>0</v>
      </c>
      <c r="R129" s="165">
        <f t="shared" si="55"/>
        <v>0</v>
      </c>
      <c r="S129" s="165" t="s">
        <v>78</v>
      </c>
      <c r="T129" s="151">
        <f>VLOOKUP($B129,'BDD Prof. Catedra'!B:G,6,0)</f>
        <v>14</v>
      </c>
      <c r="U129" s="151">
        <v>14</v>
      </c>
      <c r="V129" s="151">
        <f>VLOOKUP($B129,'BDD Prof. Catedra'!$B:$J,9,0)</f>
        <v>11</v>
      </c>
      <c r="W129" s="151">
        <f t="shared" si="63"/>
        <v>3</v>
      </c>
      <c r="X129" s="169">
        <f t="shared" si="29"/>
        <v>0.7857142857142857</v>
      </c>
      <c r="Y129" s="170">
        <f t="shared" si="64"/>
        <v>0.14194453757806866</v>
      </c>
      <c r="Z129" s="170">
        <f t="shared" si="56"/>
        <v>0.11949412602235371</v>
      </c>
      <c r="AA129" s="204" t="s">
        <v>86</v>
      </c>
    </row>
    <row r="130" spans="1:27" customFormat="1" ht="15" hidden="1" customHeight="1">
      <c r="A130" s="1">
        <v>46</v>
      </c>
      <c r="B130" s="191" t="s">
        <v>200</v>
      </c>
      <c r="C130" s="45" t="s">
        <v>77</v>
      </c>
      <c r="D130" s="149">
        <v>25</v>
      </c>
      <c r="E130" s="149">
        <v>24</v>
      </c>
      <c r="F130" s="149">
        <f>VLOOKUP(B130,'BDD Estudiantes Posgrado'!$A$1:$D$200,4,0)</f>
        <v>23</v>
      </c>
      <c r="G130" s="149">
        <f t="shared" si="60"/>
        <v>1</v>
      </c>
      <c r="H130" s="164">
        <f t="shared" si="61"/>
        <v>0.92</v>
      </c>
      <c r="I130" s="165">
        <f t="shared" si="62"/>
        <v>5.8989068012026906E-2</v>
      </c>
      <c r="J130" s="165">
        <f t="shared" si="89"/>
        <v>4.965916439787979E-2</v>
      </c>
      <c r="K130" s="165" t="s">
        <v>78</v>
      </c>
      <c r="L130" s="149">
        <f>VLOOKUP($B130,'BDD Prof. Planta'!$B$29:$G$162,6,0)</f>
        <v>3</v>
      </c>
      <c r="M130" s="149">
        <v>3</v>
      </c>
      <c r="N130" s="149">
        <f>VLOOKUP($B130,'BDD Prof. Planta'!$B$29:$L$162,11,0)</f>
        <v>3</v>
      </c>
      <c r="O130" s="149">
        <f t="shared" si="23"/>
        <v>0</v>
      </c>
      <c r="P130" s="164">
        <f t="shared" si="24"/>
        <v>1</v>
      </c>
      <c r="Q130" s="165">
        <f t="shared" si="25"/>
        <v>0</v>
      </c>
      <c r="R130" s="165">
        <f t="shared" si="55"/>
        <v>0</v>
      </c>
      <c r="S130" s="165" t="s">
        <v>78</v>
      </c>
      <c r="T130" s="151">
        <f>VLOOKUP($B130,'BDD Prof. Catedra'!B:G,6,0)</f>
        <v>6</v>
      </c>
      <c r="U130" s="151">
        <v>6</v>
      </c>
      <c r="V130" s="151">
        <f>VLOOKUP($B130,'BDD Prof. Catedra'!$B:$J,9,0)</f>
        <v>2</v>
      </c>
      <c r="W130" s="151">
        <f t="shared" si="63"/>
        <v>4</v>
      </c>
      <c r="X130" s="169">
        <f t="shared" si="29"/>
        <v>0.33333333333333331</v>
      </c>
      <c r="Y130" s="170">
        <f t="shared" si="64"/>
        <v>0.61980642139300235</v>
      </c>
      <c r="Z130" s="170">
        <f t="shared" si="56"/>
        <v>0.52177581392778261</v>
      </c>
      <c r="AA130" s="204" t="s">
        <v>86</v>
      </c>
    </row>
    <row r="131" spans="1:27" customFormat="1" ht="15" hidden="1" customHeight="1">
      <c r="A131" s="1">
        <v>47</v>
      </c>
      <c r="B131" s="191" t="s">
        <v>201</v>
      </c>
      <c r="C131" s="45" t="s">
        <v>77</v>
      </c>
      <c r="D131" s="149">
        <v>49</v>
      </c>
      <c r="E131" s="149">
        <v>46</v>
      </c>
      <c r="F131" s="149">
        <f>VLOOKUP(B131,'BDD Estudiantes Posgrado'!$A$1:$D$200,4,0)</f>
        <v>46</v>
      </c>
      <c r="G131" s="149">
        <f t="shared" si="60"/>
        <v>0</v>
      </c>
      <c r="H131" s="164">
        <f t="shared" si="61"/>
        <v>0.93877551020408168</v>
      </c>
      <c r="I131" s="165">
        <f t="shared" si="62"/>
        <v>3.6123279257949795E-2</v>
      </c>
      <c r="J131" s="165">
        <f t="shared" si="89"/>
        <v>3.040990345694753E-2</v>
      </c>
      <c r="K131" s="165" t="s">
        <v>78</v>
      </c>
      <c r="L131" s="149">
        <f>VLOOKUP($B131,'BDD Prof. Planta'!$B$29:$G$162,6,0)</f>
        <v>4</v>
      </c>
      <c r="M131" s="149">
        <v>4</v>
      </c>
      <c r="N131" s="149">
        <f>VLOOKUP($B131,'BDD Prof. Planta'!$B$29:$L$162,11,0)</f>
        <v>4</v>
      </c>
      <c r="O131" s="149">
        <f t="shared" si="23"/>
        <v>0</v>
      </c>
      <c r="P131" s="164">
        <f t="shared" si="24"/>
        <v>1</v>
      </c>
      <c r="Q131" s="165">
        <f t="shared" si="25"/>
        <v>0</v>
      </c>
      <c r="R131" s="165">
        <f t="shared" si="55"/>
        <v>0</v>
      </c>
      <c r="S131" s="165" t="s">
        <v>78</v>
      </c>
      <c r="T131" s="150">
        <f>VLOOKUP($B131,'BDD Prof. Catedra'!B:G,6,0)</f>
        <v>9</v>
      </c>
      <c r="U131" s="150">
        <v>9</v>
      </c>
      <c r="V131" s="150">
        <f>VLOOKUP($B131,'BDD Prof. Catedra'!$B:$J,9,0)</f>
        <v>8</v>
      </c>
      <c r="W131" s="150">
        <f t="shared" si="63"/>
        <v>1</v>
      </c>
      <c r="X131" s="166">
        <f t="shared" si="29"/>
        <v>0.88888888888888884</v>
      </c>
      <c r="Y131" s="167">
        <f t="shared" si="64"/>
        <v>0.1225</v>
      </c>
      <c r="Z131" s="167">
        <f t="shared" si="56"/>
        <v>0.10312499999999999</v>
      </c>
      <c r="AA131" s="192" t="s">
        <v>78</v>
      </c>
    </row>
    <row r="132" spans="1:27" customFormat="1" ht="15" hidden="1" customHeight="1">
      <c r="A132" s="1">
        <v>48</v>
      </c>
      <c r="B132" s="191" t="s">
        <v>202</v>
      </c>
      <c r="C132" s="45" t="s">
        <v>77</v>
      </c>
      <c r="D132" s="149">
        <v>4</v>
      </c>
      <c r="E132" s="149">
        <v>4</v>
      </c>
      <c r="F132" s="149">
        <f>VLOOKUP(B132,'BDD Estudiantes Posgrado'!$A$1:$D$200,4,0)</f>
        <v>4</v>
      </c>
      <c r="G132" s="149">
        <f t="shared" si="60"/>
        <v>0</v>
      </c>
      <c r="H132" s="164">
        <f t="shared" si="61"/>
        <v>1</v>
      </c>
      <c r="I132" s="165">
        <f t="shared" si="62"/>
        <v>0</v>
      </c>
      <c r="J132" s="165">
        <f t="shared" si="89"/>
        <v>0</v>
      </c>
      <c r="K132" s="165" t="s">
        <v>78</v>
      </c>
      <c r="L132" s="149">
        <f>VLOOKUP($B132,'BDD Prof. Planta'!$B$29:$G$162,6,0)</f>
        <v>2</v>
      </c>
      <c r="M132" s="149">
        <v>2</v>
      </c>
      <c r="N132" s="149">
        <f>VLOOKUP($B132,'BDD Prof. Planta'!$B$29:$L$162,11,0)</f>
        <v>2</v>
      </c>
      <c r="O132" s="149">
        <f t="shared" si="23"/>
        <v>0</v>
      </c>
      <c r="P132" s="164">
        <f t="shared" si="24"/>
        <v>1</v>
      </c>
      <c r="Q132" s="165">
        <f>IFERROR((((1.96^2*0.5*0.5*($L132-N132))/(N132*($L132-1)))^0.5),"")</f>
        <v>0</v>
      </c>
      <c r="R132" s="165">
        <f t="shared" ref="R132:R147" si="90">IFERROR((((1.65^2*0.5*0.5*($L132-N132))/(N132*($L132-1)))^0.5),"")</f>
        <v>0</v>
      </c>
      <c r="S132" s="165" t="s">
        <v>78</v>
      </c>
      <c r="T132" s="151">
        <f>VLOOKUP($B132,'BDD Prof. Catedra'!B:G,6,0)</f>
        <v>4</v>
      </c>
      <c r="U132" s="151">
        <v>4</v>
      </c>
      <c r="V132" s="151">
        <f>VLOOKUP($B132,'BDD Prof. Catedra'!$B:$J,9,0)</f>
        <v>3</v>
      </c>
      <c r="W132" s="151">
        <f t="shared" si="63"/>
        <v>1</v>
      </c>
      <c r="X132" s="169">
        <f t="shared" si="29"/>
        <v>0.75</v>
      </c>
      <c r="Y132" s="170">
        <f t="shared" si="64"/>
        <v>0.32666666666666666</v>
      </c>
      <c r="Z132" s="170">
        <f t="shared" ref="Z132:Z147" si="91">IFERROR((((1.65^2*0.5*0.5*($T132-V132))/(V132*($T132-1)))^0.5),"")</f>
        <v>0.27500000000000002</v>
      </c>
      <c r="AA132" s="204" t="s">
        <v>86</v>
      </c>
    </row>
    <row r="133" spans="1:27" customFormat="1" ht="15" hidden="1" customHeight="1">
      <c r="A133" s="1">
        <v>69</v>
      </c>
      <c r="B133" s="191" t="s">
        <v>203</v>
      </c>
      <c r="C133" s="45" t="s">
        <v>88</v>
      </c>
      <c r="D133" s="151">
        <v>39</v>
      </c>
      <c r="E133" s="151">
        <v>35</v>
      </c>
      <c r="F133" s="151">
        <f>VLOOKUP(B133,'BDD Estudiantes Posgrado'!$A$1:$D$200,4,0)</f>
        <v>4</v>
      </c>
      <c r="G133" s="151">
        <f t="shared" si="60"/>
        <v>31</v>
      </c>
      <c r="H133" s="169">
        <f t="shared" si="61"/>
        <v>0.10256410256410256</v>
      </c>
      <c r="I133" s="170">
        <f t="shared" si="62"/>
        <v>0.47026028626932259</v>
      </c>
      <c r="J133" s="170">
        <f t="shared" si="89"/>
        <v>0.39588238384917468</v>
      </c>
      <c r="K133" s="170" t="s">
        <v>86</v>
      </c>
      <c r="L133" s="149">
        <f>VLOOKUP($B133,'BDD Prof. Planta'!$B$29:$G$162,6,0)</f>
        <v>2</v>
      </c>
      <c r="M133" s="149">
        <v>2</v>
      </c>
      <c r="N133" s="149">
        <f>VLOOKUP($B133,'BDD Prof. Planta'!$B$29:$L$162,11,0)</f>
        <v>2</v>
      </c>
      <c r="O133" s="149">
        <f t="shared" ref="O133:O157" si="92">M133-N133</f>
        <v>0</v>
      </c>
      <c r="P133" s="164">
        <f t="shared" ref="P133:P157" si="93">N133/L133</f>
        <v>1</v>
      </c>
      <c r="Q133" s="165">
        <f t="shared" ref="Q133:Q137" si="94">IFERROR((((1.96^2*0.5*0.5*($L133-N133))/(N133*($L133-1)))^0.5),"")</f>
        <v>0</v>
      </c>
      <c r="R133" s="165">
        <f t="shared" si="90"/>
        <v>0</v>
      </c>
      <c r="S133" s="165" t="s">
        <v>78</v>
      </c>
      <c r="T133" s="149">
        <f>VLOOKUP($B133,'BDD Prof. Catedra'!B:G,6,0)</f>
        <v>4</v>
      </c>
      <c r="U133" s="149">
        <v>4</v>
      </c>
      <c r="V133" s="149">
        <f>VLOOKUP($B133,'BDD Prof. Catedra'!$B:$J,9,0)</f>
        <v>4</v>
      </c>
      <c r="W133" s="149">
        <f t="shared" si="63"/>
        <v>0</v>
      </c>
      <c r="X133" s="164">
        <f t="shared" ref="X133:X157" si="95">V133/T133</f>
        <v>1</v>
      </c>
      <c r="Y133" s="165">
        <f t="shared" si="64"/>
        <v>0</v>
      </c>
      <c r="Z133" s="165">
        <f t="shared" si="91"/>
        <v>0</v>
      </c>
      <c r="AA133" s="203" t="s">
        <v>78</v>
      </c>
    </row>
    <row r="134" spans="1:27" customFormat="1" ht="15" hidden="1" customHeight="1">
      <c r="A134" s="1">
        <v>81</v>
      </c>
      <c r="B134" s="191" t="s">
        <v>204</v>
      </c>
      <c r="C134" s="45" t="s">
        <v>91</v>
      </c>
      <c r="D134" s="151">
        <v>32</v>
      </c>
      <c r="E134" s="151">
        <v>30</v>
      </c>
      <c r="F134" s="151">
        <f>VLOOKUP(B134,'BDD Estudiantes Posgrado'!$A$1:$D$200,4,0)</f>
        <v>17</v>
      </c>
      <c r="G134" s="151">
        <f>E134-F134</f>
        <v>13</v>
      </c>
      <c r="H134" s="169">
        <f>F134/D134</f>
        <v>0.53125</v>
      </c>
      <c r="I134" s="170">
        <f>IFERROR((((1.96^2*0.5*0.5*($D134-F134))/(F134*($D134-1)))^0.5),"")</f>
        <v>0.16533560831717137</v>
      </c>
      <c r="J134" s="170">
        <f t="shared" si="89"/>
        <v>0.13918558863435346</v>
      </c>
      <c r="K134" s="170" t="s">
        <v>86</v>
      </c>
      <c r="L134" s="151">
        <f>VLOOKUP($B134,'BDD Prof. Planta'!$B$29:$G$162,6,0)</f>
        <v>4</v>
      </c>
      <c r="M134" s="151">
        <v>4</v>
      </c>
      <c r="N134" s="151">
        <f>VLOOKUP($B134,'BDD Prof. Planta'!$B$29:$L$162,11,0)</f>
        <v>3</v>
      </c>
      <c r="O134" s="151">
        <f>M134-N134</f>
        <v>1</v>
      </c>
      <c r="P134" s="169">
        <f>N134/L134</f>
        <v>0.75</v>
      </c>
      <c r="Q134" s="170">
        <f>IFERROR((((1.96^2*0.5*0.5*($L134-N134))/(N134*($L134-1)))^0.5),"")</f>
        <v>0.32666666666666666</v>
      </c>
      <c r="R134" s="170">
        <f t="shared" si="90"/>
        <v>0.27500000000000002</v>
      </c>
      <c r="S134" s="170" t="s">
        <v>86</v>
      </c>
      <c r="T134" s="149">
        <f>VLOOKUP($B134,'BDD Prof. Catedra'!B:G,6,0)</f>
        <v>14</v>
      </c>
      <c r="U134" s="149">
        <v>14</v>
      </c>
      <c r="V134" s="149">
        <f>VLOOKUP($B134,'BDD Prof. Catedra'!$B:$J,9,0)</f>
        <v>12</v>
      </c>
      <c r="W134" s="149">
        <f>U134-V134</f>
        <v>2</v>
      </c>
      <c r="X134" s="164">
        <f>V134/T134</f>
        <v>0.8571428571428571</v>
      </c>
      <c r="Y134" s="165">
        <f>IFERROR((((1.96^2*0.5*0.5*($T134-V134))/(V134*($T134-1)))^0.5),"")</f>
        <v>0.11096314934617038</v>
      </c>
      <c r="Z134" s="165">
        <f t="shared" si="91"/>
        <v>9.3412855316929153E-2</v>
      </c>
      <c r="AA134" s="203" t="s">
        <v>78</v>
      </c>
    </row>
    <row r="135" spans="1:27" customFormat="1" ht="15" hidden="1" customHeight="1">
      <c r="A135" s="1">
        <v>80</v>
      </c>
      <c r="B135" s="191" t="s">
        <v>205</v>
      </c>
      <c r="C135" s="45" t="s">
        <v>91</v>
      </c>
      <c r="D135" s="150">
        <v>13</v>
      </c>
      <c r="E135" s="150">
        <v>13</v>
      </c>
      <c r="F135" s="150">
        <f>VLOOKUP(B135,'BDD Estudiantes Posgrado'!$A$1:$D$200,4,0)</f>
        <v>13</v>
      </c>
      <c r="G135" s="150">
        <f t="shared" si="60"/>
        <v>0</v>
      </c>
      <c r="H135" s="166">
        <f t="shared" si="61"/>
        <v>1</v>
      </c>
      <c r="I135" s="167">
        <f t="shared" si="62"/>
        <v>0</v>
      </c>
      <c r="J135" s="167">
        <f t="shared" si="89"/>
        <v>0</v>
      </c>
      <c r="K135" s="167" t="s">
        <v>78</v>
      </c>
      <c r="L135" s="151">
        <f>VLOOKUP($B135,'BDD Prof. Planta'!$B$29:$G$162,6,0)</f>
        <v>14</v>
      </c>
      <c r="M135" s="151">
        <v>14</v>
      </c>
      <c r="N135" s="151">
        <f>VLOOKUP($B135,'BDD Prof. Planta'!$B$29:$L$162,11,0)</f>
        <v>8</v>
      </c>
      <c r="O135" s="151">
        <f t="shared" si="92"/>
        <v>6</v>
      </c>
      <c r="P135" s="169">
        <f t="shared" si="93"/>
        <v>0.5714285714285714</v>
      </c>
      <c r="Q135" s="170">
        <f t="shared" si="94"/>
        <v>0.23538838609347809</v>
      </c>
      <c r="R135" s="170">
        <f t="shared" si="90"/>
        <v>0.19815859033379532</v>
      </c>
      <c r="S135" s="170" t="s">
        <v>86</v>
      </c>
      <c r="T135" s="149">
        <f>VLOOKUP($B135,'BDD Prof. Catedra'!B:G,6,0)</f>
        <v>1</v>
      </c>
      <c r="U135" s="149">
        <v>1</v>
      </c>
      <c r="V135" s="149">
        <f>VLOOKUP($B135,'BDD Prof. Catedra'!$B:$J,9,0)</f>
        <v>1</v>
      </c>
      <c r="W135" s="149">
        <f t="shared" si="63"/>
        <v>0</v>
      </c>
      <c r="X135" s="164">
        <f t="shared" si="95"/>
        <v>1</v>
      </c>
      <c r="Y135" s="165">
        <v>0</v>
      </c>
      <c r="Z135" s="165">
        <f>IFERROR((((1.65^2*0.5*0.5*($T135-V135))/(V135*($T135-1)))^0.5),0)</f>
        <v>0</v>
      </c>
      <c r="AA135" s="203" t="s">
        <v>78</v>
      </c>
    </row>
    <row r="136" spans="1:27" customFormat="1" ht="15" hidden="1" customHeight="1">
      <c r="A136" s="1">
        <v>205</v>
      </c>
      <c r="B136" s="191" t="s">
        <v>206</v>
      </c>
      <c r="C136" s="45" t="s">
        <v>91</v>
      </c>
      <c r="D136" s="151">
        <v>25</v>
      </c>
      <c r="E136" s="151">
        <v>24</v>
      </c>
      <c r="F136" s="151">
        <f>VLOOKUP(B136,'BDD Estudiantes Posgrado'!$A$1:$D$200,4,0)</f>
        <v>18</v>
      </c>
      <c r="G136" s="151">
        <f t="shared" si="60"/>
        <v>6</v>
      </c>
      <c r="H136" s="169">
        <f t="shared" si="61"/>
        <v>0.72</v>
      </c>
      <c r="I136" s="170">
        <f t="shared" si="62"/>
        <v>0.1247478939182423</v>
      </c>
      <c r="J136" s="170">
        <f t="shared" si="89"/>
        <v>0.10501735967607133</v>
      </c>
      <c r="K136" s="170" t="s">
        <v>86</v>
      </c>
      <c r="L136" s="151">
        <f>VLOOKUP($B136,'BDD Prof. Planta'!$B$29:$G$201,6,0)</f>
        <v>5</v>
      </c>
      <c r="M136" s="151">
        <v>5</v>
      </c>
      <c r="N136" s="151">
        <f>VLOOKUP($B136,'BDD Prof. Planta'!$B$29:$L$201,11,0)</f>
        <v>3</v>
      </c>
      <c r="O136" s="151">
        <f t="shared" ref="O136" si="96">M136-N136</f>
        <v>2</v>
      </c>
      <c r="P136" s="169">
        <f t="shared" ref="P136" si="97">N136/L136</f>
        <v>0.6</v>
      </c>
      <c r="Q136" s="170">
        <f t="shared" ref="Q136" si="98">IFERROR((((1.96^2*0.5*0.5*($L136-N136))/(N136*($L136-1)))^0.5),"")</f>
        <v>0.40008332465458574</v>
      </c>
      <c r="R136" s="170">
        <f t="shared" si="90"/>
        <v>0.33680483963268698</v>
      </c>
      <c r="S136" s="170" t="s">
        <v>86</v>
      </c>
      <c r="T136" s="152">
        <f>VLOOKUP($B136,'BDD Prof. Catedra'!B:G,6,0)</f>
        <v>6</v>
      </c>
      <c r="U136" s="152">
        <v>6</v>
      </c>
      <c r="V136" s="152">
        <f>VLOOKUP($B136,'BDD Prof. Catedra'!$B:$J,9,0)</f>
        <v>0</v>
      </c>
      <c r="W136" s="152">
        <f t="shared" ref="W136" si="99">U136-V136</f>
        <v>6</v>
      </c>
      <c r="X136" s="173">
        <f t="shared" ref="X136" si="100">V136/T136</f>
        <v>0</v>
      </c>
      <c r="Y136" s="174" t="str">
        <f t="shared" si="64"/>
        <v/>
      </c>
      <c r="Z136" s="174" t="str">
        <f t="shared" si="91"/>
        <v/>
      </c>
      <c r="AA136" s="217"/>
    </row>
    <row r="137" spans="1:27" customFormat="1" ht="15" hidden="1" customHeight="1" thickBot="1">
      <c r="A137" s="1">
        <v>82</v>
      </c>
      <c r="B137" s="193" t="s">
        <v>207</v>
      </c>
      <c r="C137" s="194" t="s">
        <v>91</v>
      </c>
      <c r="D137" s="199">
        <v>11</v>
      </c>
      <c r="E137" s="199">
        <v>11</v>
      </c>
      <c r="F137" s="199">
        <f>VLOOKUP(B137,'BDD Estudiantes Posgrado'!$A$1:$D$200,4,0)</f>
        <v>10</v>
      </c>
      <c r="G137" s="199">
        <f t="shared" si="60"/>
        <v>1</v>
      </c>
      <c r="H137" s="200">
        <f t="shared" si="61"/>
        <v>0.90909090909090906</v>
      </c>
      <c r="I137" s="201">
        <f t="shared" si="62"/>
        <v>9.8000000000000004E-2</v>
      </c>
      <c r="J137" s="201">
        <f t="shared" si="89"/>
        <v>8.249999999999999E-2</v>
      </c>
      <c r="K137" s="201" t="s">
        <v>78</v>
      </c>
      <c r="L137" s="195">
        <f>VLOOKUP($B137,'BDD Prof. Planta'!$B$29:$G$162,6,0)</f>
        <v>2</v>
      </c>
      <c r="M137" s="195">
        <v>2</v>
      </c>
      <c r="N137" s="195">
        <f>VLOOKUP($B137,'BDD Prof. Planta'!$B$29:$L$162,11,0)</f>
        <v>2</v>
      </c>
      <c r="O137" s="195">
        <f t="shared" si="92"/>
        <v>0</v>
      </c>
      <c r="P137" s="197">
        <f t="shared" si="93"/>
        <v>1</v>
      </c>
      <c r="Q137" s="198">
        <f t="shared" si="94"/>
        <v>0</v>
      </c>
      <c r="R137" s="198">
        <f t="shared" si="90"/>
        <v>0</v>
      </c>
      <c r="S137" s="198" t="s">
        <v>78</v>
      </c>
      <c r="T137" s="195">
        <f>VLOOKUP($B137,'BDD Prof. Catedra'!B:G,6,0)</f>
        <v>2</v>
      </c>
      <c r="U137" s="195">
        <v>2</v>
      </c>
      <c r="V137" s="195">
        <f>VLOOKUP($B137,'BDD Prof. Catedra'!$B:$J,9,0)</f>
        <v>2</v>
      </c>
      <c r="W137" s="195">
        <f t="shared" si="63"/>
        <v>0</v>
      </c>
      <c r="X137" s="197">
        <f t="shared" si="95"/>
        <v>1</v>
      </c>
      <c r="Y137" s="198">
        <f t="shared" si="64"/>
        <v>0</v>
      </c>
      <c r="Z137" s="198">
        <f t="shared" si="91"/>
        <v>0</v>
      </c>
      <c r="AA137" s="205" t="s">
        <v>78</v>
      </c>
    </row>
    <row r="138" spans="1:27" customFormat="1" ht="15" customHeight="1">
      <c r="A138" s="1">
        <v>89</v>
      </c>
      <c r="B138" s="182" t="s">
        <v>208</v>
      </c>
      <c r="C138" s="183" t="s">
        <v>85</v>
      </c>
      <c r="D138" s="222">
        <v>63</v>
      </c>
      <c r="E138" s="222">
        <v>55</v>
      </c>
      <c r="F138" s="222">
        <f>VLOOKUP(B138,'BDD Estudiantes Posgrado'!$A$1:$D$200,4,0)</f>
        <v>4</v>
      </c>
      <c r="G138" s="222">
        <f t="shared" ref="G138:G147" si="101">E138-F138</f>
        <v>51</v>
      </c>
      <c r="H138" s="223">
        <f t="shared" ref="H138:H147" si="102">F138/D138</f>
        <v>6.3492063492063489E-2</v>
      </c>
      <c r="I138" s="224">
        <f t="shared" ref="I138:I147" si="103">IFERROR((((1.96^2*0.5*0.5*($D138-F138))/(F138*($D138-1)))^0.5),"")</f>
        <v>0.47799817788828036</v>
      </c>
      <c r="J138" s="224">
        <f t="shared" si="89"/>
        <v>0.40239642526309316</v>
      </c>
      <c r="K138" s="224" t="s">
        <v>86</v>
      </c>
      <c r="L138" s="222">
        <f>VLOOKUP($B138,'BDD Prof. Planta'!$B$29:$G$162,6,0)</f>
        <v>2</v>
      </c>
      <c r="M138" s="222">
        <v>2</v>
      </c>
      <c r="N138" s="222">
        <f>VLOOKUP($B138,'BDD Prof. Planta'!$B$29:$L$162,11,0)</f>
        <v>1</v>
      </c>
      <c r="O138" s="222">
        <f>M138-N138</f>
        <v>1</v>
      </c>
      <c r="P138" s="223">
        <f>N138/L138</f>
        <v>0.5</v>
      </c>
      <c r="Q138" s="224">
        <f t="shared" ref="Q138:Q147" si="104">IFERROR((((1.96^2*0.5*0.5*($L138-N138))/(N138*($L138-1)))^0.5),"")</f>
        <v>0.98</v>
      </c>
      <c r="R138" s="224">
        <f t="shared" si="90"/>
        <v>0.82499999999999996</v>
      </c>
      <c r="S138" s="224" t="s">
        <v>86</v>
      </c>
      <c r="T138" s="222">
        <f>VLOOKUP($B138,'BDD Prof. Catedra'!B:G,6,0)</f>
        <v>4</v>
      </c>
      <c r="U138" s="222">
        <v>4</v>
      </c>
      <c r="V138" s="222">
        <f>VLOOKUP($B138,'BDD Prof. Catedra'!$B:$J,9,0)</f>
        <v>2</v>
      </c>
      <c r="W138" s="222">
        <f>U138-V138</f>
        <v>2</v>
      </c>
      <c r="X138" s="223">
        <f>V138/T138</f>
        <v>0.5</v>
      </c>
      <c r="Y138" s="224">
        <f t="shared" ref="Y138:Y147" si="105">IFERROR((((1.96^2*0.5*0.5*($T138-V138))/(V138*($T138-1)))^0.5),"")</f>
        <v>0.56580326380583323</v>
      </c>
      <c r="Z138" s="224">
        <f t="shared" si="91"/>
        <v>0.47631397208144122</v>
      </c>
      <c r="AA138" s="225" t="s">
        <v>86</v>
      </c>
    </row>
    <row r="139" spans="1:27" customFormat="1" ht="15" customHeight="1">
      <c r="A139" s="1">
        <v>88</v>
      </c>
      <c r="B139" s="191" t="s">
        <v>209</v>
      </c>
      <c r="C139" s="45" t="s">
        <v>85</v>
      </c>
      <c r="D139" s="151">
        <v>61</v>
      </c>
      <c r="E139" s="151">
        <v>40</v>
      </c>
      <c r="F139" s="151">
        <f>VLOOKUP(B139,'BDD Estudiantes Posgrado'!$A$1:$D$200,4,0)</f>
        <v>8</v>
      </c>
      <c r="G139" s="151">
        <f t="shared" si="101"/>
        <v>32</v>
      </c>
      <c r="H139" s="169">
        <f t="shared" si="102"/>
        <v>0.13114754098360656</v>
      </c>
      <c r="I139" s="170">
        <f t="shared" si="103"/>
        <v>0.3256442332771558</v>
      </c>
      <c r="J139" s="170">
        <f t="shared" si="89"/>
        <v>0.27413927801393217</v>
      </c>
      <c r="K139" s="170" t="s">
        <v>86</v>
      </c>
      <c r="L139" s="152">
        <f>VLOOKUP($B139,'BDD Prof. Planta'!$B$29:$G$162,6,0)</f>
        <v>1</v>
      </c>
      <c r="M139" s="152">
        <v>1</v>
      </c>
      <c r="N139" s="152">
        <f>VLOOKUP($B139,'BDD Prof. Planta'!$B$29:$L$162,11,0)</f>
        <v>0</v>
      </c>
      <c r="O139" s="152">
        <f>M139-N139</f>
        <v>1</v>
      </c>
      <c r="P139" s="173">
        <f>N139/L139</f>
        <v>0</v>
      </c>
      <c r="Q139" s="174" t="str">
        <f t="shared" si="104"/>
        <v/>
      </c>
      <c r="R139" s="174" t="str">
        <f t="shared" si="90"/>
        <v/>
      </c>
      <c r="S139" s="174"/>
      <c r="T139" s="151">
        <f>VLOOKUP($B139,'BDD Prof. Catedra'!B:G,6,0)</f>
        <v>4</v>
      </c>
      <c r="U139" s="151">
        <v>4</v>
      </c>
      <c r="V139" s="151">
        <f>VLOOKUP($B139,'BDD Prof. Catedra'!$B:$J,9,0)</f>
        <v>2</v>
      </c>
      <c r="W139" s="151">
        <f>U139-V139</f>
        <v>2</v>
      </c>
      <c r="X139" s="169">
        <f>V139/T139</f>
        <v>0.5</v>
      </c>
      <c r="Y139" s="170">
        <f t="shared" si="105"/>
        <v>0.56580326380583323</v>
      </c>
      <c r="Z139" s="170">
        <f t="shared" si="91"/>
        <v>0.47631397208144122</v>
      </c>
      <c r="AA139" s="204" t="s">
        <v>86</v>
      </c>
    </row>
    <row r="140" spans="1:27" customFormat="1" ht="15" customHeight="1" thickBot="1">
      <c r="A140" s="1">
        <v>90</v>
      </c>
      <c r="B140" s="193" t="s">
        <v>210</v>
      </c>
      <c r="C140" s="194" t="s">
        <v>85</v>
      </c>
      <c r="D140" s="210">
        <v>11</v>
      </c>
      <c r="E140" s="210">
        <v>11</v>
      </c>
      <c r="F140" s="210">
        <f>VLOOKUP(B140,'BDD Estudiantes Posgrado'!$A$1:$D$200,4,0)</f>
        <v>4</v>
      </c>
      <c r="G140" s="210">
        <f t="shared" si="101"/>
        <v>7</v>
      </c>
      <c r="H140" s="211">
        <f t="shared" si="102"/>
        <v>0.36363636363636365</v>
      </c>
      <c r="I140" s="212">
        <f t="shared" si="103"/>
        <v>0.40996341300169703</v>
      </c>
      <c r="J140" s="212">
        <f t="shared" si="89"/>
        <v>0.34512226094530613</v>
      </c>
      <c r="K140" s="212" t="s">
        <v>86</v>
      </c>
      <c r="L140" s="218"/>
      <c r="M140" s="218"/>
      <c r="N140" s="218"/>
      <c r="O140" s="218"/>
      <c r="P140" s="219"/>
      <c r="Q140" s="220" t="str">
        <f t="shared" si="104"/>
        <v/>
      </c>
      <c r="R140" s="220" t="str">
        <f t="shared" si="90"/>
        <v/>
      </c>
      <c r="S140" s="220"/>
      <c r="T140" s="210">
        <f>VLOOKUP($B140,'BDD Prof. Catedra'!B:G,6,0)</f>
        <v>4</v>
      </c>
      <c r="U140" s="210">
        <v>4</v>
      </c>
      <c r="V140" s="210">
        <f>VLOOKUP($B140,'BDD Prof. Catedra'!$B:$J,9,0)</f>
        <v>3</v>
      </c>
      <c r="W140" s="210">
        <f>U140-V140</f>
        <v>1</v>
      </c>
      <c r="X140" s="211">
        <f>V140/T140</f>
        <v>0.75</v>
      </c>
      <c r="Y140" s="212">
        <f t="shared" si="105"/>
        <v>0.32666666666666666</v>
      </c>
      <c r="Z140" s="212">
        <f t="shared" si="91"/>
        <v>0.27500000000000002</v>
      </c>
      <c r="AA140" s="227" t="s">
        <v>86</v>
      </c>
    </row>
    <row r="141" spans="1:27" customFormat="1" ht="15" hidden="1" customHeight="1">
      <c r="A141" s="1">
        <v>206</v>
      </c>
      <c r="B141" s="182" t="s">
        <v>211</v>
      </c>
      <c r="C141" s="183" t="s">
        <v>87</v>
      </c>
      <c r="D141" s="213">
        <v>3</v>
      </c>
      <c r="E141" s="213">
        <v>3</v>
      </c>
      <c r="F141" s="213">
        <f>VLOOKUP(B141,'BDD Estudiantes Posgrado'!$A$1:$D$200,4,0)</f>
        <v>0</v>
      </c>
      <c r="G141" s="213">
        <f t="shared" si="101"/>
        <v>3</v>
      </c>
      <c r="H141" s="214">
        <f t="shared" si="102"/>
        <v>0</v>
      </c>
      <c r="I141" s="215" t="str">
        <f t="shared" si="103"/>
        <v/>
      </c>
      <c r="J141" s="215" t="str">
        <f t="shared" si="89"/>
        <v/>
      </c>
      <c r="K141" s="215"/>
      <c r="L141" s="222">
        <f>VLOOKUP($B141,'BDD Prof. Planta'!$B$29:$G$162,6,0)</f>
        <v>13</v>
      </c>
      <c r="M141" s="222">
        <v>13</v>
      </c>
      <c r="N141" s="222">
        <f>VLOOKUP($B141,'BDD Prof. Planta'!$B$29:$L$162,11,0)</f>
        <v>9</v>
      </c>
      <c r="O141" s="222">
        <f t="shared" ref="O141:O147" si="106">M141-N141</f>
        <v>4</v>
      </c>
      <c r="P141" s="223">
        <f t="shared" ref="P141:P147" si="107">N141/L141</f>
        <v>0.69230769230769229</v>
      </c>
      <c r="Q141" s="224">
        <f t="shared" si="104"/>
        <v>0.18860108793527774</v>
      </c>
      <c r="R141" s="224">
        <f t="shared" si="90"/>
        <v>0.15877132402714708</v>
      </c>
      <c r="S141" s="224" t="s">
        <v>86</v>
      </c>
      <c r="T141" s="213"/>
      <c r="U141" s="213"/>
      <c r="V141" s="213"/>
      <c r="W141" s="213"/>
      <c r="X141" s="214"/>
      <c r="Y141" s="215" t="str">
        <f t="shared" si="105"/>
        <v/>
      </c>
      <c r="Z141" s="215" t="str">
        <f t="shared" si="91"/>
        <v/>
      </c>
      <c r="AA141" s="216"/>
    </row>
    <row r="142" spans="1:27" customFormat="1" ht="15" hidden="1" customHeight="1">
      <c r="A142" s="1">
        <v>94</v>
      </c>
      <c r="B142" s="191" t="s">
        <v>212</v>
      </c>
      <c r="C142" s="45" t="s">
        <v>87</v>
      </c>
      <c r="D142" s="151">
        <v>16</v>
      </c>
      <c r="E142" s="151">
        <v>15</v>
      </c>
      <c r="F142" s="151">
        <f>VLOOKUP(B142,'BDD Estudiantes Posgrado'!$A$1:$D$200,4,0)</f>
        <v>9</v>
      </c>
      <c r="G142" s="151">
        <f t="shared" si="101"/>
        <v>6</v>
      </c>
      <c r="H142" s="169">
        <f t="shared" si="102"/>
        <v>0.5625</v>
      </c>
      <c r="I142" s="170">
        <f t="shared" si="103"/>
        <v>0.2231558166808979</v>
      </c>
      <c r="J142" s="170">
        <f t="shared" si="89"/>
        <v>0.18786076404259261</v>
      </c>
      <c r="K142" s="170" t="s">
        <v>86</v>
      </c>
      <c r="L142" s="151">
        <f>VLOOKUP($B142,'BDD Prof. Planta'!$B$29:$G$162,6,0)</f>
        <v>9</v>
      </c>
      <c r="M142" s="151">
        <v>9</v>
      </c>
      <c r="N142" s="151">
        <f>VLOOKUP($B142,'BDD Prof. Planta'!$B$29:$L$162,11,0)</f>
        <v>7</v>
      </c>
      <c r="O142" s="151">
        <f t="shared" si="106"/>
        <v>2</v>
      </c>
      <c r="P142" s="169">
        <f t="shared" si="107"/>
        <v>0.77777777777777779</v>
      </c>
      <c r="Q142" s="170">
        <f t="shared" si="104"/>
        <v>0.18520259177452134</v>
      </c>
      <c r="R142" s="170">
        <f t="shared" si="90"/>
        <v>0.15591034511630622</v>
      </c>
      <c r="S142" s="170" t="s">
        <v>86</v>
      </c>
      <c r="T142" s="149">
        <f>VLOOKUP($B142,'BDD Prof. Catedra'!B:G,6,0)</f>
        <v>2</v>
      </c>
      <c r="U142" s="149">
        <v>2</v>
      </c>
      <c r="V142" s="149">
        <f>VLOOKUP($B142,'BDD Prof. Catedra'!$B:$J,9,0)</f>
        <v>2</v>
      </c>
      <c r="W142" s="149">
        <f>U142-V142</f>
        <v>0</v>
      </c>
      <c r="X142" s="164">
        <f>V142/T142</f>
        <v>1</v>
      </c>
      <c r="Y142" s="165">
        <f t="shared" si="105"/>
        <v>0</v>
      </c>
      <c r="Z142" s="165">
        <f t="shared" si="91"/>
        <v>0</v>
      </c>
      <c r="AA142" s="203" t="s">
        <v>78</v>
      </c>
    </row>
    <row r="143" spans="1:27" customFormat="1" ht="15" hidden="1" customHeight="1">
      <c r="A143" s="1">
        <v>68</v>
      </c>
      <c r="B143" s="191" t="s">
        <v>213</v>
      </c>
      <c r="C143" s="45" t="s">
        <v>88</v>
      </c>
      <c r="D143" s="151">
        <v>77</v>
      </c>
      <c r="E143" s="151">
        <v>64</v>
      </c>
      <c r="F143" s="151">
        <f>VLOOKUP(B143,'BDD Estudiantes Posgrado'!$A$1:$D$200,4,0)</f>
        <v>4</v>
      </c>
      <c r="G143" s="151">
        <f t="shared" si="101"/>
        <v>60</v>
      </c>
      <c r="H143" s="169">
        <f t="shared" si="102"/>
        <v>5.1948051948051951E-2</v>
      </c>
      <c r="I143" s="170">
        <f t="shared" si="103"/>
        <v>0.4802315779090881</v>
      </c>
      <c r="J143" s="170">
        <f t="shared" si="89"/>
        <v>0.40427658344387524</v>
      </c>
      <c r="K143" s="170" t="s">
        <v>86</v>
      </c>
      <c r="L143" s="149">
        <f>VLOOKUP($B143,'BDD Prof. Planta'!$B$29:$G$162,6,0)</f>
        <v>2</v>
      </c>
      <c r="M143" s="149">
        <v>2</v>
      </c>
      <c r="N143" s="149">
        <f>VLOOKUP($B143,'BDD Prof. Planta'!$B$29:$L$162,11,0)</f>
        <v>2</v>
      </c>
      <c r="O143" s="149">
        <f t="shared" si="106"/>
        <v>0</v>
      </c>
      <c r="P143" s="164">
        <f t="shared" si="107"/>
        <v>1</v>
      </c>
      <c r="Q143" s="165">
        <f t="shared" si="104"/>
        <v>0</v>
      </c>
      <c r="R143" s="165">
        <f t="shared" si="90"/>
        <v>0</v>
      </c>
      <c r="S143" s="165" t="s">
        <v>78</v>
      </c>
      <c r="T143" s="149">
        <f>VLOOKUP($B143,'BDD Prof. Catedra'!B:G,6,0)</f>
        <v>4</v>
      </c>
      <c r="U143" s="149">
        <v>4</v>
      </c>
      <c r="V143" s="149">
        <f>VLOOKUP($B143,'BDD Prof. Catedra'!$B:$J,9,0)</f>
        <v>4</v>
      </c>
      <c r="W143" s="149">
        <f>U143-V143</f>
        <v>0</v>
      </c>
      <c r="X143" s="164">
        <f>V143/T143</f>
        <v>1</v>
      </c>
      <c r="Y143" s="165">
        <f t="shared" si="105"/>
        <v>0</v>
      </c>
      <c r="Z143" s="165">
        <f t="shared" si="91"/>
        <v>0</v>
      </c>
      <c r="AA143" s="203" t="s">
        <v>78</v>
      </c>
    </row>
    <row r="144" spans="1:27" customFormat="1" ht="15" hidden="1" customHeight="1">
      <c r="A144" s="1">
        <v>207</v>
      </c>
      <c r="B144" s="191" t="s">
        <v>214</v>
      </c>
      <c r="C144" s="45" t="s">
        <v>77</v>
      </c>
      <c r="D144" s="152"/>
      <c r="E144" s="152"/>
      <c r="F144" s="152"/>
      <c r="G144" s="152"/>
      <c r="H144" s="173"/>
      <c r="I144" s="174"/>
      <c r="J144" s="174" t="str">
        <f t="shared" si="89"/>
        <v/>
      </c>
      <c r="K144" s="174"/>
      <c r="L144" s="149">
        <f>VLOOKUP($B144,'BDD Prof. Planta'!$B$29:$G$162,6,0)</f>
        <v>3</v>
      </c>
      <c r="M144" s="149">
        <v>3</v>
      </c>
      <c r="N144" s="149">
        <f>VLOOKUP($B144,'BDD Prof. Planta'!$B$29:$L$162,11,0)</f>
        <v>3</v>
      </c>
      <c r="O144" s="149">
        <f t="shared" si="106"/>
        <v>0</v>
      </c>
      <c r="P144" s="164">
        <f t="shared" si="107"/>
        <v>1</v>
      </c>
      <c r="Q144" s="165">
        <f t="shared" si="104"/>
        <v>0</v>
      </c>
      <c r="R144" s="165">
        <f t="shared" si="90"/>
        <v>0</v>
      </c>
      <c r="S144" s="165" t="s">
        <v>78</v>
      </c>
      <c r="T144" s="151">
        <f>VLOOKUP($B144,'BDD Prof. Catedra'!B:G,6,0)</f>
        <v>7</v>
      </c>
      <c r="U144" s="151">
        <v>7</v>
      </c>
      <c r="V144" s="151">
        <f>VLOOKUP($B144,'BDD Prof. Catedra'!$B:$J,9,0)</f>
        <v>3</v>
      </c>
      <c r="W144" s="151">
        <f>U144-V144</f>
        <v>4</v>
      </c>
      <c r="X144" s="169">
        <f>V144/T144</f>
        <v>0.42857142857142855</v>
      </c>
      <c r="Y144" s="170">
        <f t="shared" si="105"/>
        <v>0.46197643037521102</v>
      </c>
      <c r="Z144" s="170">
        <f t="shared" si="91"/>
        <v>0.38890872965260115</v>
      </c>
      <c r="AA144" s="204" t="s">
        <v>86</v>
      </c>
    </row>
    <row r="145" spans="1:29" customFormat="1" ht="15" customHeight="1">
      <c r="A145" s="1">
        <v>85</v>
      </c>
      <c r="B145" s="191" t="s">
        <v>215</v>
      </c>
      <c r="C145" s="45" t="s">
        <v>85</v>
      </c>
      <c r="D145" s="151">
        <v>94</v>
      </c>
      <c r="E145" s="151">
        <v>76</v>
      </c>
      <c r="F145" s="151">
        <f>VLOOKUP(B145,'BDD Estudiantes Posgrado'!$A$1:$D$200,4,0)</f>
        <v>50</v>
      </c>
      <c r="G145" s="151">
        <f t="shared" si="101"/>
        <v>26</v>
      </c>
      <c r="H145" s="169">
        <f t="shared" si="102"/>
        <v>0.53191489361702127</v>
      </c>
      <c r="I145" s="170">
        <f t="shared" si="103"/>
        <v>9.5329197594328327E-2</v>
      </c>
      <c r="J145" s="170">
        <f t="shared" si="89"/>
        <v>8.0251620423796799E-2</v>
      </c>
      <c r="K145" s="170" t="s">
        <v>86</v>
      </c>
      <c r="L145" s="151">
        <f>VLOOKUP($B145,'BDD Prof. Planta'!$B$29:$G$162,6,0)</f>
        <v>2</v>
      </c>
      <c r="M145" s="151">
        <v>2</v>
      </c>
      <c r="N145" s="151">
        <f>VLOOKUP($B145,'BDD Prof. Planta'!$B$29:$L$162,11,0)</f>
        <v>1</v>
      </c>
      <c r="O145" s="151">
        <f t="shared" si="106"/>
        <v>1</v>
      </c>
      <c r="P145" s="169">
        <f t="shared" si="107"/>
        <v>0.5</v>
      </c>
      <c r="Q145" s="170">
        <f t="shared" si="104"/>
        <v>0.98</v>
      </c>
      <c r="R145" s="170">
        <f t="shared" si="90"/>
        <v>0.82499999999999996</v>
      </c>
      <c r="S145" s="170" t="s">
        <v>86</v>
      </c>
      <c r="T145" s="151">
        <f>VLOOKUP($B145,'BDD Prof. Catedra'!B:G,6,0)</f>
        <v>7</v>
      </c>
      <c r="U145" s="151">
        <v>7</v>
      </c>
      <c r="V145" s="151">
        <f>VLOOKUP($B145,'BDD Prof. Catedra'!$B:$J,9,0)</f>
        <v>5</v>
      </c>
      <c r="W145" s="151">
        <f>U145-V145</f>
        <v>2</v>
      </c>
      <c r="X145" s="169">
        <f>V145/T145</f>
        <v>0.7142857142857143</v>
      </c>
      <c r="Y145" s="170">
        <f t="shared" si="105"/>
        <v>0.25303491195221789</v>
      </c>
      <c r="Z145" s="170">
        <f t="shared" si="91"/>
        <v>0.2130140840414079</v>
      </c>
      <c r="AA145" s="204" t="s">
        <v>86</v>
      </c>
    </row>
    <row r="146" spans="1:29" customFormat="1" ht="15" customHeight="1">
      <c r="A146" s="1">
        <v>86</v>
      </c>
      <c r="B146" s="191" t="s">
        <v>216</v>
      </c>
      <c r="C146" s="45" t="s">
        <v>85</v>
      </c>
      <c r="D146" s="151">
        <v>11</v>
      </c>
      <c r="E146" s="151">
        <v>11</v>
      </c>
      <c r="F146" s="151">
        <f>VLOOKUP(B146,'BDD Estudiantes Posgrado'!$A$1:$D$200,4,0)</f>
        <v>8</v>
      </c>
      <c r="G146" s="151">
        <f t="shared" si="101"/>
        <v>3</v>
      </c>
      <c r="H146" s="169">
        <f t="shared" si="102"/>
        <v>0.72727272727272729</v>
      </c>
      <c r="I146" s="170">
        <f t="shared" si="103"/>
        <v>0.18977618396416343</v>
      </c>
      <c r="J146" s="170">
        <f t="shared" si="89"/>
        <v>0.15976056303105593</v>
      </c>
      <c r="K146" s="170" t="s">
        <v>100</v>
      </c>
      <c r="L146" s="149">
        <f>VLOOKUP($B146,'BDD Prof. Planta'!$B$29:$G$162,6,0)</f>
        <v>2</v>
      </c>
      <c r="M146" s="149">
        <v>2</v>
      </c>
      <c r="N146" s="149">
        <f>VLOOKUP($B146,'BDD Prof. Planta'!$B$29:$L$162,11,0)</f>
        <v>2</v>
      </c>
      <c r="O146" s="149">
        <f t="shared" si="106"/>
        <v>0</v>
      </c>
      <c r="P146" s="164">
        <f t="shared" si="107"/>
        <v>1</v>
      </c>
      <c r="Q146" s="165">
        <f t="shared" si="104"/>
        <v>0</v>
      </c>
      <c r="R146" s="165">
        <f t="shared" si="90"/>
        <v>0</v>
      </c>
      <c r="S146" s="165" t="s">
        <v>78</v>
      </c>
      <c r="T146" s="152"/>
      <c r="U146" s="152"/>
      <c r="V146" s="152"/>
      <c r="W146" s="152"/>
      <c r="X146" s="173"/>
      <c r="Y146" s="174" t="str">
        <f t="shared" si="105"/>
        <v/>
      </c>
      <c r="Z146" s="174" t="str">
        <f t="shared" si="91"/>
        <v/>
      </c>
      <c r="AA146" s="217"/>
    </row>
    <row r="147" spans="1:29" customFormat="1" ht="15" customHeight="1" thickBot="1">
      <c r="A147" s="1">
        <v>84</v>
      </c>
      <c r="B147" s="193" t="s">
        <v>217</v>
      </c>
      <c r="C147" s="194" t="s">
        <v>85</v>
      </c>
      <c r="D147" s="210">
        <v>12</v>
      </c>
      <c r="E147" s="210">
        <v>12</v>
      </c>
      <c r="F147" s="210">
        <f>VLOOKUP(B147,'BDD Estudiantes Posgrado'!$A$1:$D$200,4,0)</f>
        <v>9</v>
      </c>
      <c r="G147" s="210">
        <f t="shared" si="101"/>
        <v>3</v>
      </c>
      <c r="H147" s="211">
        <f t="shared" si="102"/>
        <v>0.75</v>
      </c>
      <c r="I147" s="212">
        <f t="shared" si="103"/>
        <v>0.17059610283658388</v>
      </c>
      <c r="J147" s="212">
        <f t="shared" si="89"/>
        <v>0.14361406616345071</v>
      </c>
      <c r="K147" s="212" t="s">
        <v>86</v>
      </c>
      <c r="L147" s="199">
        <f>VLOOKUP($B147,'BDD Prof. Planta'!$B$29:$G$162,6,0)</f>
        <v>5</v>
      </c>
      <c r="M147" s="199">
        <v>5</v>
      </c>
      <c r="N147" s="199">
        <f>VLOOKUP($B147,'BDD Prof. Planta'!$B$29:$L$162,11,0)</f>
        <v>4</v>
      </c>
      <c r="O147" s="199">
        <f t="shared" si="106"/>
        <v>1</v>
      </c>
      <c r="P147" s="200">
        <f t="shared" si="107"/>
        <v>0.8</v>
      </c>
      <c r="Q147" s="201">
        <f t="shared" si="104"/>
        <v>0.245</v>
      </c>
      <c r="R147" s="201">
        <f t="shared" si="90"/>
        <v>0.20624999999999999</v>
      </c>
      <c r="S147" s="201" t="s">
        <v>78</v>
      </c>
      <c r="T147" s="195">
        <f>VLOOKUP($B147,'BDD Prof. Catedra'!B:G,6,0)</f>
        <v>2</v>
      </c>
      <c r="U147" s="195">
        <v>2</v>
      </c>
      <c r="V147" s="195">
        <f>VLOOKUP($B147,'BDD Prof. Catedra'!$B:$J,9,0)</f>
        <v>2</v>
      </c>
      <c r="W147" s="195">
        <f t="shared" ref="W147" si="108">U147-V147</f>
        <v>0</v>
      </c>
      <c r="X147" s="197">
        <f>V147/T147</f>
        <v>1</v>
      </c>
      <c r="Y147" s="198">
        <f t="shared" si="105"/>
        <v>0</v>
      </c>
      <c r="Z147" s="198">
        <f t="shared" si="91"/>
        <v>0</v>
      </c>
      <c r="AA147" s="205" t="s">
        <v>78</v>
      </c>
    </row>
    <row r="148" spans="1:29" customFormat="1" ht="10.5" customHeight="1">
      <c r="H148" s="148"/>
      <c r="I148" s="142"/>
      <c r="J148" s="142"/>
      <c r="K148" s="142"/>
      <c r="P148" s="148"/>
      <c r="Q148" s="142"/>
      <c r="R148" s="142"/>
      <c r="S148" s="142"/>
      <c r="X148" s="148"/>
      <c r="Y148" s="142"/>
      <c r="Z148" s="142"/>
      <c r="AA148" s="142"/>
    </row>
    <row r="149" spans="1:29" customFormat="1" ht="17.25" customHeight="1">
      <c r="A149" s="1"/>
      <c r="B149" s="228" t="s">
        <v>218</v>
      </c>
      <c r="C149" s="229"/>
      <c r="D149" s="229">
        <f>SUM(D109:D137)</f>
        <v>723</v>
      </c>
      <c r="E149" s="229">
        <f>SUM(E109:E137)</f>
        <v>675</v>
      </c>
      <c r="F149" s="229">
        <f>SUM(F109:F137)</f>
        <v>429</v>
      </c>
      <c r="G149" s="230">
        <f t="shared" si="60"/>
        <v>246</v>
      </c>
      <c r="H149" s="231">
        <f t="shared" si="61"/>
        <v>0.59336099585062241</v>
      </c>
      <c r="I149" s="232">
        <f t="shared" si="62"/>
        <v>3.0192737834992857E-2</v>
      </c>
      <c r="J149" s="232">
        <f t="shared" ref="J149:J158" si="109">IFERROR((((1.65^2*0.5*0.5*($D149-F149))/(F149*($D149-1)))^0.5),"")</f>
        <v>2.5417355830478678E-2</v>
      </c>
      <c r="K149" s="255"/>
      <c r="L149" s="229">
        <f>SUM(L109:L137)</f>
        <v>136</v>
      </c>
      <c r="M149" s="229">
        <f>SUM(M109:M137)</f>
        <v>135</v>
      </c>
      <c r="N149" s="229">
        <f>SUM(N109:N137)</f>
        <v>101</v>
      </c>
      <c r="O149" s="230">
        <f t="shared" si="92"/>
        <v>34</v>
      </c>
      <c r="P149" s="231">
        <f t="shared" si="93"/>
        <v>0.74264705882352944</v>
      </c>
      <c r="Q149" s="232">
        <f t="shared" ref="Q149:Q156" si="110">IFERROR((((1.96^2*0.5*0.5*($D149-N149))/(N149*($D149-1)))^0.5),"")</f>
        <v>9.0509044973213548E-2</v>
      </c>
      <c r="R149" s="232">
        <f>IFERROR((((1.65^2*0.5*0.5*($L149-N149))/(N149*($L149-1)))^0.5),"")</f>
        <v>4.1798471398139934E-2</v>
      </c>
      <c r="S149" s="255"/>
      <c r="T149" s="229">
        <f>SUM(T109:T137)</f>
        <v>177</v>
      </c>
      <c r="U149" s="229">
        <f>SUM(U109:U137)</f>
        <v>175</v>
      </c>
      <c r="V149" s="229">
        <f>SUM(V109:V137)</f>
        <v>123</v>
      </c>
      <c r="W149" s="230">
        <f t="shared" si="63"/>
        <v>52</v>
      </c>
      <c r="X149" s="231">
        <f t="shared" si="95"/>
        <v>0.69491525423728817</v>
      </c>
      <c r="Y149" s="232">
        <f t="shared" ref="Y149:Y156" si="111">IFERROR((((1.96^2*0.5*0.5*($D149-V149))/(V149*($D149-1)))^0.5),"")</f>
        <v>8.0552782447807336E-2</v>
      </c>
      <c r="Z149" s="232">
        <f>IFERROR((((1.65^2*0.5*0.5*($T149-V149))/(V149*($T149-1)))^0.5),"")</f>
        <v>4.1204242914369159E-2</v>
      </c>
      <c r="AA149" s="258"/>
    </row>
    <row r="150" spans="1:29" customFormat="1" ht="17.25" customHeight="1">
      <c r="A150" s="1"/>
      <c r="B150" s="228" t="s">
        <v>219</v>
      </c>
      <c r="C150" s="229"/>
      <c r="D150" s="229">
        <f>SUM(D141:D147)</f>
        <v>213</v>
      </c>
      <c r="E150" s="229">
        <f>SUM(E141:E147)</f>
        <v>181</v>
      </c>
      <c r="F150" s="229">
        <f>SUM(F141:F147)</f>
        <v>80</v>
      </c>
      <c r="G150" s="230">
        <f t="shared" si="60"/>
        <v>101</v>
      </c>
      <c r="H150" s="231">
        <f t="shared" si="61"/>
        <v>0.37558685446009388</v>
      </c>
      <c r="I150" s="232">
        <f t="shared" si="62"/>
        <v>8.6783861859479852E-2</v>
      </c>
      <c r="J150" s="232">
        <f t="shared" si="109"/>
        <v>7.3057842891909058E-2</v>
      </c>
      <c r="K150" s="256"/>
      <c r="L150" s="229">
        <f>SUM(L141:L147)</f>
        <v>36</v>
      </c>
      <c r="M150" s="229">
        <f>SUM(M141:M147)</f>
        <v>36</v>
      </c>
      <c r="N150" s="229">
        <f>SUM(N141:N147)</f>
        <v>28</v>
      </c>
      <c r="O150" s="230">
        <f t="shared" si="92"/>
        <v>8</v>
      </c>
      <c r="P150" s="231">
        <f t="shared" si="93"/>
        <v>0.77777777777777779</v>
      </c>
      <c r="Q150" s="232">
        <f t="shared" si="110"/>
        <v>0.1730075251935155</v>
      </c>
      <c r="R150" s="232">
        <f t="shared" ref="R150:R158" si="112">IFERROR((((1.65^2*0.5*0.5*($L150-N150))/(N150*($L150-1)))^0.5),"")</f>
        <v>7.4539401989683229E-2</v>
      </c>
      <c r="S150" s="256"/>
      <c r="T150" s="229">
        <f>SUM(T141:T147)</f>
        <v>22</v>
      </c>
      <c r="U150" s="229">
        <f>SUM(U141:U147)</f>
        <v>22</v>
      </c>
      <c r="V150" s="229">
        <f>SUM(V141:V147)</f>
        <v>16</v>
      </c>
      <c r="W150" s="230">
        <f t="shared" si="63"/>
        <v>6</v>
      </c>
      <c r="X150" s="231">
        <f t="shared" si="95"/>
        <v>0.72727272727272729</v>
      </c>
      <c r="Y150" s="232">
        <f t="shared" si="111"/>
        <v>0.23617355506747054</v>
      </c>
      <c r="Z150" s="232">
        <f t="shared" ref="Z150:Z158" si="113">IFERROR((((1.65^2*0.5*0.5*($T150-V150))/(V150*($T150-1)))^0.5),"")</f>
        <v>0.11024526228887505</v>
      </c>
      <c r="AA150" s="258"/>
    </row>
    <row r="151" spans="1:29" customFormat="1" ht="17.25" customHeight="1">
      <c r="A151" s="1"/>
      <c r="B151" s="228" t="s">
        <v>220</v>
      </c>
      <c r="C151" s="229"/>
      <c r="D151" s="229">
        <f>SUM(D138:D140)</f>
        <v>135</v>
      </c>
      <c r="E151" s="229">
        <f>SUM(E138:E140)</f>
        <v>106</v>
      </c>
      <c r="F151" s="229">
        <f>SUM(F138:F140)</f>
        <v>16</v>
      </c>
      <c r="G151" s="230">
        <f t="shared" si="60"/>
        <v>90</v>
      </c>
      <c r="H151" s="231">
        <f t="shared" si="61"/>
        <v>0.11851851851851852</v>
      </c>
      <c r="I151" s="232">
        <f t="shared" si="62"/>
        <v>0.23088045300997126</v>
      </c>
      <c r="J151" s="232">
        <f t="shared" si="109"/>
        <v>0.19436364666655742</v>
      </c>
      <c r="K151" s="256"/>
      <c r="L151" s="229">
        <f>SUM(L138:L140)</f>
        <v>3</v>
      </c>
      <c r="M151" s="229">
        <f>SUM(M138:M140)</f>
        <v>3</v>
      </c>
      <c r="N151" s="229">
        <f>SUM(N138:N140)</f>
        <v>1</v>
      </c>
      <c r="O151" s="230">
        <f t="shared" si="92"/>
        <v>2</v>
      </c>
      <c r="P151" s="231">
        <f t="shared" si="93"/>
        <v>0.33333333333333331</v>
      </c>
      <c r="Q151" s="232">
        <f t="shared" si="110"/>
        <v>0.98</v>
      </c>
      <c r="R151" s="232">
        <f t="shared" si="112"/>
        <v>0.82499999999999996</v>
      </c>
      <c r="S151" s="256"/>
      <c r="T151" s="229">
        <f>SUM(T138:T140)</f>
        <v>12</v>
      </c>
      <c r="U151" s="229">
        <f>SUM(U138:U140)</f>
        <v>12</v>
      </c>
      <c r="V151" s="229">
        <f>SUM(V138:V140)</f>
        <v>7</v>
      </c>
      <c r="W151" s="230">
        <f t="shared" si="63"/>
        <v>5</v>
      </c>
      <c r="X151" s="231">
        <f t="shared" si="95"/>
        <v>0.58333333333333337</v>
      </c>
      <c r="Y151" s="232">
        <f t="shared" si="111"/>
        <v>0.36201756368705434</v>
      </c>
      <c r="Z151" s="232">
        <f t="shared" si="113"/>
        <v>0.21022946646802051</v>
      </c>
      <c r="AA151" s="258"/>
    </row>
    <row r="152" spans="1:29" customFormat="1" ht="17.25" customHeight="1">
      <c r="A152" s="1"/>
      <c r="B152" s="228" t="s">
        <v>221</v>
      </c>
      <c r="C152" s="229"/>
      <c r="D152" s="229">
        <f>SUM(D61:D91)</f>
        <v>879</v>
      </c>
      <c r="E152" s="229">
        <f>SUM(E61:E91)</f>
        <v>784</v>
      </c>
      <c r="F152" s="229">
        <f>SUM(F61:F91)</f>
        <v>640</v>
      </c>
      <c r="G152" s="230">
        <f t="shared" si="60"/>
        <v>144</v>
      </c>
      <c r="H152" s="231">
        <f t="shared" si="61"/>
        <v>0.72810011376564276</v>
      </c>
      <c r="I152" s="232">
        <f t="shared" si="62"/>
        <v>2.0210999029656236E-2</v>
      </c>
      <c r="J152" s="232">
        <f t="shared" si="109"/>
        <v>1.7014361428026932E-2</v>
      </c>
      <c r="K152" s="256"/>
      <c r="L152" s="229">
        <f>SUM(L61:L91)</f>
        <v>43</v>
      </c>
      <c r="M152" s="229">
        <f>SUM(M61:M91)</f>
        <v>43</v>
      </c>
      <c r="N152" s="229">
        <f>SUM(N61:N91)</f>
        <v>37</v>
      </c>
      <c r="O152" s="230">
        <f t="shared" si="92"/>
        <v>6</v>
      </c>
      <c r="P152" s="231">
        <f t="shared" si="93"/>
        <v>0.86046511627906974</v>
      </c>
      <c r="Q152" s="232">
        <f t="shared" si="110"/>
        <v>0.15777347876852171</v>
      </c>
      <c r="R152" s="232">
        <f t="shared" si="112"/>
        <v>5.1263005695099E-2</v>
      </c>
      <c r="S152" s="256"/>
      <c r="T152" s="229">
        <f>SUM(T61:T91)</f>
        <v>168</v>
      </c>
      <c r="U152" s="229">
        <f>SUM(U61:U91)</f>
        <v>165</v>
      </c>
      <c r="V152" s="229">
        <f>SUM(V61:V91)</f>
        <v>105</v>
      </c>
      <c r="W152" s="230">
        <f t="shared" si="63"/>
        <v>60</v>
      </c>
      <c r="X152" s="231">
        <f t="shared" si="95"/>
        <v>0.625</v>
      </c>
      <c r="Y152" s="232">
        <f t="shared" si="111"/>
        <v>8.9795515612672905E-2</v>
      </c>
      <c r="Z152" s="232">
        <f t="shared" si="113"/>
        <v>4.9450574126466175E-2</v>
      </c>
      <c r="AA152" s="258"/>
    </row>
    <row r="153" spans="1:29" customFormat="1" ht="17.25" customHeight="1">
      <c r="A153" s="1"/>
      <c r="B153" s="228" t="s">
        <v>222</v>
      </c>
      <c r="C153" s="229"/>
      <c r="D153" s="229">
        <f>SUM(D92:D95)</f>
        <v>124</v>
      </c>
      <c r="E153" s="229">
        <f>SUM(E92:E95)</f>
        <v>115</v>
      </c>
      <c r="F153" s="229">
        <f>SUM(F92:F95)</f>
        <v>80</v>
      </c>
      <c r="G153" s="230">
        <f t="shared" si="60"/>
        <v>35</v>
      </c>
      <c r="H153" s="231">
        <f t="shared" si="61"/>
        <v>0.64516129032258063</v>
      </c>
      <c r="I153" s="232">
        <f t="shared" si="62"/>
        <v>6.553221760871096E-2</v>
      </c>
      <c r="J153" s="232">
        <f t="shared" si="109"/>
        <v>5.516742808896586E-2</v>
      </c>
      <c r="K153" s="256"/>
      <c r="L153" s="229">
        <f>SUM(L92:L95)</f>
        <v>4</v>
      </c>
      <c r="M153" s="229">
        <f>SUM(M92:M95)</f>
        <v>4</v>
      </c>
      <c r="N153" s="229">
        <f>SUM(N92:N95)</f>
        <v>2</v>
      </c>
      <c r="O153" s="230">
        <f t="shared" si="92"/>
        <v>2</v>
      </c>
      <c r="P153" s="231">
        <f t="shared" si="93"/>
        <v>0.5</v>
      </c>
      <c r="Q153" s="232">
        <f t="shared" si="110"/>
        <v>0.69014196724974608</v>
      </c>
      <c r="R153" s="232">
        <f t="shared" si="112"/>
        <v>0.47631397208144122</v>
      </c>
      <c r="S153" s="256"/>
      <c r="T153" s="229">
        <f>SUM(T92:T95)</f>
        <v>13</v>
      </c>
      <c r="U153" s="229">
        <f>SUM(U92:U95)</f>
        <v>13</v>
      </c>
      <c r="V153" s="229">
        <f>SUM(V92:V95)</f>
        <v>12</v>
      </c>
      <c r="W153" s="230">
        <f t="shared" si="63"/>
        <v>1</v>
      </c>
      <c r="X153" s="231">
        <f t="shared" si="95"/>
        <v>0.92307692307692313</v>
      </c>
      <c r="Y153" s="232">
        <f t="shared" si="111"/>
        <v>0.2699553310435035</v>
      </c>
      <c r="Z153" s="232">
        <f t="shared" si="113"/>
        <v>6.8750000000000006E-2</v>
      </c>
      <c r="AA153" s="258"/>
    </row>
    <row r="154" spans="1:29" customFormat="1" ht="17.25" customHeight="1">
      <c r="A154" s="1"/>
      <c r="B154" s="228" t="s">
        <v>223</v>
      </c>
      <c r="C154" s="229"/>
      <c r="D154" s="229">
        <f>SUM(D96:D108)</f>
        <v>270</v>
      </c>
      <c r="E154" s="229">
        <f t="shared" ref="E154:F154" si="114">SUM(E96:E108)</f>
        <v>262</v>
      </c>
      <c r="F154" s="229">
        <f t="shared" si="114"/>
        <v>202</v>
      </c>
      <c r="G154" s="230">
        <f t="shared" si="60"/>
        <v>60</v>
      </c>
      <c r="H154" s="231">
        <f t="shared" si="61"/>
        <v>0.74814814814814812</v>
      </c>
      <c r="I154" s="232">
        <f t="shared" si="62"/>
        <v>3.4667993568360318E-2</v>
      </c>
      <c r="J154" s="232">
        <f t="shared" si="109"/>
        <v>2.9184790503976796E-2</v>
      </c>
      <c r="K154" s="256"/>
      <c r="L154" s="229">
        <f>SUM(L96:L108)</f>
        <v>13</v>
      </c>
      <c r="M154" s="229">
        <f t="shared" ref="M154:N154" si="115">SUM(M96:M108)</f>
        <v>13</v>
      </c>
      <c r="N154" s="229">
        <f t="shared" si="115"/>
        <v>13</v>
      </c>
      <c r="O154" s="230">
        <f t="shared" si="92"/>
        <v>0</v>
      </c>
      <c r="P154" s="231">
        <f t="shared" si="93"/>
        <v>1</v>
      </c>
      <c r="Q154" s="232">
        <f t="shared" si="110"/>
        <v>0.26567141030914049</v>
      </c>
      <c r="R154" s="232">
        <f t="shared" si="112"/>
        <v>0</v>
      </c>
      <c r="S154" s="256"/>
      <c r="T154" s="229">
        <f>SUM(T96:T108)</f>
        <v>60</v>
      </c>
      <c r="U154" s="229">
        <f t="shared" ref="U154:V154" si="116">SUM(U96:U108)</f>
        <v>60</v>
      </c>
      <c r="V154" s="229">
        <f t="shared" si="116"/>
        <v>46</v>
      </c>
      <c r="W154" s="230">
        <f t="shared" si="63"/>
        <v>14</v>
      </c>
      <c r="X154" s="231">
        <f t="shared" si="95"/>
        <v>0.76666666666666672</v>
      </c>
      <c r="Y154" s="232">
        <f t="shared" si="111"/>
        <v>0.13185452210368764</v>
      </c>
      <c r="Z154" s="232">
        <f t="shared" si="113"/>
        <v>5.9253368513333148E-2</v>
      </c>
      <c r="AA154" s="258"/>
    </row>
    <row r="155" spans="1:29" customFormat="1" ht="17.25" customHeight="1">
      <c r="A155" s="1"/>
      <c r="B155" s="228" t="s">
        <v>224</v>
      </c>
      <c r="C155" s="229"/>
      <c r="D155" s="229">
        <f>SUM(D41:D60)</f>
        <v>291</v>
      </c>
      <c r="E155" s="229">
        <f>SUM(E41:E60)</f>
        <v>278</v>
      </c>
      <c r="F155" s="229">
        <f>SUM(F41:F60)</f>
        <v>188</v>
      </c>
      <c r="G155" s="230">
        <f t="shared" ref="G155:G156" si="117">E155-F155</f>
        <v>90</v>
      </c>
      <c r="H155" s="231">
        <f t="shared" ref="H155:H156" si="118">F155/D155</f>
        <v>0.64604810996563578</v>
      </c>
      <c r="I155" s="232">
        <f t="shared" ref="I155:I156" si="119">IFERROR((((1.96^2*0.5*0.5*($D155-F155))/(F155*($D155-1)))^0.5),"")</f>
        <v>4.2595798552110778E-2</v>
      </c>
      <c r="J155" s="232">
        <f t="shared" si="109"/>
        <v>3.5858707964787136E-2</v>
      </c>
      <c r="K155" s="256"/>
      <c r="L155" s="229">
        <f>SUM(L41:L60)</f>
        <v>26</v>
      </c>
      <c r="M155" s="229">
        <f>SUM(M41:M60)</f>
        <v>26</v>
      </c>
      <c r="N155" s="229">
        <f>SUM(N41:N60)</f>
        <v>23</v>
      </c>
      <c r="O155" s="230">
        <f t="shared" si="92"/>
        <v>3</v>
      </c>
      <c r="P155" s="231">
        <f t="shared" si="93"/>
        <v>0.88461538461538458</v>
      </c>
      <c r="Q155" s="232">
        <f t="shared" si="110"/>
        <v>0.19644028509243314</v>
      </c>
      <c r="R155" s="232">
        <f t="shared" si="112"/>
        <v>5.9590997277455753E-2</v>
      </c>
      <c r="S155" s="256"/>
      <c r="T155" s="229">
        <f>SUM(T41:T60)</f>
        <v>32</v>
      </c>
      <c r="U155" s="229">
        <f>SUM(U41:U60)</f>
        <v>32</v>
      </c>
      <c r="V155" s="229">
        <f>SUM(V41:V60)</f>
        <v>13</v>
      </c>
      <c r="W155" s="230">
        <f t="shared" si="63"/>
        <v>19</v>
      </c>
      <c r="X155" s="231">
        <f t="shared" si="95"/>
        <v>0.40625</v>
      </c>
      <c r="Y155" s="232">
        <f t="shared" si="111"/>
        <v>0.26612017388691545</v>
      </c>
      <c r="Z155" s="232">
        <f t="shared" si="113"/>
        <v>0.17913408344342685</v>
      </c>
      <c r="AA155" s="258"/>
    </row>
    <row r="156" spans="1:29" customFormat="1" ht="17.25" customHeight="1">
      <c r="A156" s="1"/>
      <c r="B156" s="228" t="s">
        <v>225</v>
      </c>
      <c r="C156" s="229"/>
      <c r="D156" s="229">
        <f>SUM(D31:D40)</f>
        <v>186</v>
      </c>
      <c r="E156" s="229">
        <f>SUM(E31:E40)</f>
        <v>177</v>
      </c>
      <c r="F156" s="229">
        <f>SUM(F31:F40)</f>
        <v>129</v>
      </c>
      <c r="G156" s="230">
        <f t="shared" si="117"/>
        <v>48</v>
      </c>
      <c r="H156" s="231">
        <f t="shared" si="118"/>
        <v>0.69354838709677424</v>
      </c>
      <c r="I156" s="232">
        <f t="shared" si="119"/>
        <v>4.7894184643755361E-2</v>
      </c>
      <c r="J156" s="232">
        <f t="shared" si="109"/>
        <v>4.0319084011324662E-2</v>
      </c>
      <c r="K156" s="256"/>
      <c r="L156" s="229">
        <f>SUM(L31:L40)</f>
        <v>57</v>
      </c>
      <c r="M156" s="229">
        <f>SUM(M31:M40)</f>
        <v>57</v>
      </c>
      <c r="N156" s="229">
        <f>SUM(N31:N40)</f>
        <v>46</v>
      </c>
      <c r="O156" s="230">
        <f t="shared" si="92"/>
        <v>11</v>
      </c>
      <c r="P156" s="231">
        <f t="shared" si="93"/>
        <v>0.80701754385964908</v>
      </c>
      <c r="Q156" s="232">
        <f t="shared" si="110"/>
        <v>0.1256971160463663</v>
      </c>
      <c r="R156" s="232">
        <f t="shared" si="112"/>
        <v>5.3910996786686864E-2</v>
      </c>
      <c r="S156" s="256"/>
      <c r="T156" s="229">
        <f>SUM(T31:T40)</f>
        <v>10</v>
      </c>
      <c r="U156" s="229">
        <f>SUM(U31:U40)</f>
        <v>10</v>
      </c>
      <c r="V156" s="229">
        <f>SUM(V31:V40)</f>
        <v>6</v>
      </c>
      <c r="W156" s="230">
        <f t="shared" si="63"/>
        <v>4</v>
      </c>
      <c r="X156" s="231">
        <f t="shared" si="95"/>
        <v>0.6</v>
      </c>
      <c r="Y156" s="232">
        <f t="shared" si="111"/>
        <v>0.39463976046584631</v>
      </c>
      <c r="Z156" s="232">
        <f t="shared" si="113"/>
        <v>0.22453655975512465</v>
      </c>
      <c r="AA156" s="258"/>
    </row>
    <row r="157" spans="1:29" customFormat="1" ht="17.25" customHeight="1" thickBot="1">
      <c r="A157" s="1"/>
      <c r="B157" s="228" t="s">
        <v>226</v>
      </c>
      <c r="C157" s="229"/>
      <c r="D157" s="229">
        <f>SUM(D31:D147)</f>
        <v>2821</v>
      </c>
      <c r="E157" s="229">
        <f>SUM(E31:E147)</f>
        <v>2578</v>
      </c>
      <c r="F157" s="229">
        <f>SUM(F31:F147)</f>
        <v>1764</v>
      </c>
      <c r="G157" s="230">
        <f t="shared" ref="G157" si="120">E157-F157</f>
        <v>814</v>
      </c>
      <c r="H157" s="231">
        <f t="shared" ref="H157" si="121">F157/D157</f>
        <v>0.62531017369727049</v>
      </c>
      <c r="I157" s="232">
        <f t="shared" ref="I157" si="122">IFERROR((((1.96^2*0.5*0.5*($D157-F157))/(F157*($D157-1)))^0.5),"")</f>
        <v>1.428531182591934E-2</v>
      </c>
      <c r="J157" s="232">
        <f t="shared" si="109"/>
        <v>1.2025900261615772E-2</v>
      </c>
      <c r="K157" s="256"/>
      <c r="L157" s="229">
        <f>SUM(L31:L147)</f>
        <v>318</v>
      </c>
      <c r="M157" s="229">
        <f>SUM(M31:M147)</f>
        <v>317</v>
      </c>
      <c r="N157" s="229">
        <f>SUM(N31:N147)</f>
        <v>251</v>
      </c>
      <c r="O157" s="230">
        <f t="shared" si="92"/>
        <v>66</v>
      </c>
      <c r="P157" s="231">
        <f t="shared" si="93"/>
        <v>0.78930817610062898</v>
      </c>
      <c r="Q157" s="232">
        <f t="shared" ref="Q157" si="123">IFERROR((((1.96^2*0.5*0.5*($D157-N157))/(N157*($D157-1)))^0.5),"")</f>
        <v>5.9051539242983432E-2</v>
      </c>
      <c r="R157" s="232">
        <f t="shared" si="112"/>
        <v>2.3940039247167734E-2</v>
      </c>
      <c r="S157" s="256"/>
      <c r="T157" s="229">
        <f>SUM(T31:T147)</f>
        <v>494</v>
      </c>
      <c r="U157" s="229">
        <f>SUM(U31:U147)</f>
        <v>489</v>
      </c>
      <c r="V157" s="229">
        <f>SUM(V31:V147)</f>
        <v>328</v>
      </c>
      <c r="W157" s="230">
        <f t="shared" si="63"/>
        <v>161</v>
      </c>
      <c r="X157" s="231">
        <f t="shared" si="95"/>
        <v>0.66396761133603244</v>
      </c>
      <c r="Y157" s="232">
        <f t="shared" ref="Y157" si="124">IFERROR((((1.96^2*0.5*0.5*($D157-V157))/(V157*($D157-1)))^0.5),"")</f>
        <v>5.0877497184626384E-2</v>
      </c>
      <c r="Z157" s="232">
        <f t="shared" si="113"/>
        <v>2.6433070305181539E-2</v>
      </c>
      <c r="AA157" s="258"/>
    </row>
    <row r="158" spans="1:29" s="141" customFormat="1" ht="20.25" customHeight="1" thickBot="1">
      <c r="A158" s="140"/>
      <c r="B158" s="233" t="s">
        <v>227</v>
      </c>
      <c r="C158" s="234"/>
      <c r="D158" s="234">
        <f>SUM(D3:D147)</f>
        <v>9085</v>
      </c>
      <c r="E158" s="234">
        <f>SUM(E3:E147)</f>
        <v>6082</v>
      </c>
      <c r="F158" s="234">
        <f>SUM(F3:F147)</f>
        <v>5727</v>
      </c>
      <c r="G158" s="235">
        <f>SUM(G3:G147)</f>
        <v>1233</v>
      </c>
      <c r="H158" s="236">
        <f>F158/D158</f>
        <v>0.63037974683544307</v>
      </c>
      <c r="I158" s="237">
        <f>IFERROR((((1.96^2*0.5*0.5*($D158-F158))/(F158*($D158-1)))^0.5),"")</f>
        <v>7.8734353769028802E-3</v>
      </c>
      <c r="J158" s="237">
        <f t="shared" si="109"/>
        <v>6.6281471285151803E-3</v>
      </c>
      <c r="K158" s="257"/>
      <c r="L158" s="234">
        <f>SUM(L3,L9:L147)</f>
        <v>666</v>
      </c>
      <c r="M158" s="234">
        <f>SUM(M3:M3,M9:M147)</f>
        <v>657</v>
      </c>
      <c r="N158" s="234">
        <f>SUM(N3,N9:N147)</f>
        <v>582</v>
      </c>
      <c r="O158" s="234">
        <f>SUM(O3:O3,O9:O137)</f>
        <v>65</v>
      </c>
      <c r="P158" s="236">
        <f>N158/L158</f>
        <v>0.87387387387387383</v>
      </c>
      <c r="Q158" s="237">
        <f t="shared" ref="Q158" si="125">IFERROR((((1.96^2*0.5*0.5*($L158-N158))/(N158*($L158-1)))^0.5),"")</f>
        <v>1.4437546757516484E-2</v>
      </c>
      <c r="R158" s="237">
        <f t="shared" si="112"/>
        <v>1.2154057219337856E-2</v>
      </c>
      <c r="S158" s="257"/>
      <c r="T158" s="234">
        <f>SUM(T3,T9:T147)</f>
        <v>1017</v>
      </c>
      <c r="U158" s="234">
        <f>SUM(U3:U3,U9:U137)</f>
        <v>943</v>
      </c>
      <c r="V158" s="234">
        <f>SUM(V3,V9:V147)</f>
        <v>745</v>
      </c>
      <c r="W158" s="234">
        <f>SUM(W3:W3,W9:W137)</f>
        <v>221</v>
      </c>
      <c r="X158" s="236">
        <f>V158/T158</f>
        <v>0.7325467059980334</v>
      </c>
      <c r="Y158" s="237">
        <f>IFERROR((((1.96^2*0.5*0.5*($T158-V158))/(V158*($T158-1)))^0.5),"")</f>
        <v>1.8577425885288421E-2</v>
      </c>
      <c r="Z158" s="237">
        <f t="shared" si="113"/>
        <v>1.5639159546288719E-2</v>
      </c>
      <c r="AA158" s="258"/>
      <c r="AB158" s="4"/>
      <c r="AC158" s="4"/>
    </row>
    <row r="161" spans="1:27">
      <c r="C161" s="90"/>
    </row>
    <row r="162" spans="1:27" ht="55.5" customHeight="1">
      <c r="B162" s="159" t="s">
        <v>228</v>
      </c>
      <c r="C162" s="159" t="s">
        <v>68</v>
      </c>
      <c r="D162" s="246"/>
      <c r="E162" s="247"/>
      <c r="F162" s="247"/>
      <c r="G162" s="247"/>
      <c r="H162" s="247"/>
      <c r="I162" s="247"/>
      <c r="J162" s="247"/>
      <c r="K162" s="248"/>
      <c r="L162" s="160" t="s">
        <v>69</v>
      </c>
      <c r="M162" s="161" t="s">
        <v>70</v>
      </c>
      <c r="N162" s="179" t="s">
        <v>71</v>
      </c>
      <c r="O162" s="161" t="s">
        <v>229</v>
      </c>
      <c r="P162" s="161" t="s">
        <v>230</v>
      </c>
      <c r="Q162" s="161" t="s">
        <v>74</v>
      </c>
      <c r="R162" s="161" t="s">
        <v>75</v>
      </c>
      <c r="S162" s="162" t="s">
        <v>76</v>
      </c>
      <c r="T162" s="160" t="s">
        <v>69</v>
      </c>
      <c r="U162" s="161" t="s">
        <v>70</v>
      </c>
      <c r="V162" s="179" t="s">
        <v>71</v>
      </c>
      <c r="W162" s="161" t="s">
        <v>229</v>
      </c>
      <c r="X162" s="161" t="s">
        <v>230</v>
      </c>
      <c r="Y162" s="161" t="s">
        <v>74</v>
      </c>
      <c r="Z162" s="161" t="s">
        <v>75</v>
      </c>
      <c r="AA162" s="162" t="s">
        <v>76</v>
      </c>
    </row>
    <row r="163" spans="1:27" customFormat="1">
      <c r="A163">
        <v>150</v>
      </c>
      <c r="B163" s="45" t="s">
        <v>231</v>
      </c>
      <c r="C163" s="45" t="s">
        <v>77</v>
      </c>
      <c r="D163" s="249"/>
      <c r="E163" s="250"/>
      <c r="F163" s="250"/>
      <c r="G163" s="250"/>
      <c r="H163" s="250"/>
      <c r="I163" s="250"/>
      <c r="J163" s="250"/>
      <c r="K163" s="251"/>
      <c r="L163" s="149">
        <f>VLOOKUP($B163,'BDD Prof. Planta'!$B$2:$H$10,6,0)</f>
        <v>8</v>
      </c>
      <c r="M163" s="149">
        <v>8</v>
      </c>
      <c r="N163" s="149">
        <f>VLOOKUP($B163,'BDD Prof. Planta'!$B$2:$H$10,2,0)</f>
        <v>8</v>
      </c>
      <c r="O163" s="149">
        <f>M163-N163</f>
        <v>0</v>
      </c>
      <c r="P163" s="164">
        <f t="shared" ref="P163:P171" si="126">N163/L163</f>
        <v>1</v>
      </c>
      <c r="Q163" s="165">
        <f t="shared" ref="Q163" si="127">IFERROR((((1.96^2*0.5*0.5*($L163-N163))/(N163*($L163-1)))^0.5),"")</f>
        <v>0</v>
      </c>
      <c r="R163" s="165">
        <f>IFERROR((((1.65^2*0.5*0.5*($L163-N163))/(N163*($L163-1)))^0.5),"")</f>
        <v>0</v>
      </c>
      <c r="S163" s="165" t="s">
        <v>78</v>
      </c>
      <c r="T163" s="149">
        <f>VLOOKUP($B163,'BDD Prof. Catedra'!$B$2:$H$10,6,0)</f>
        <v>13</v>
      </c>
      <c r="U163" s="149">
        <v>13</v>
      </c>
      <c r="V163" s="149">
        <f>VLOOKUP($B163,'BDD Prof. Catedra'!$B$2:$H$10,2,0)</f>
        <v>13</v>
      </c>
      <c r="W163" s="149">
        <f>U163-V163</f>
        <v>0</v>
      </c>
      <c r="X163" s="164">
        <f t="shared" ref="X163:X171" si="128">V163/T163</f>
        <v>1</v>
      </c>
      <c r="Y163" s="165">
        <f>IFERROR((((1.96^2*0.5*0.5*($T163-V163))/(V163*($T163-1)))^0.5),"")</f>
        <v>0</v>
      </c>
      <c r="Z163" s="165">
        <f>IFERROR((((1.65^2*0.5*0.5*($T163-V163))/(V163*($T163-1)))^0.5),"")</f>
        <v>0</v>
      </c>
      <c r="AA163" s="165" t="s">
        <v>78</v>
      </c>
    </row>
    <row r="164" spans="1:27" customFormat="1">
      <c r="A164">
        <v>151</v>
      </c>
      <c r="B164" s="45" t="s">
        <v>232</v>
      </c>
      <c r="C164" s="45" t="s">
        <v>77</v>
      </c>
      <c r="D164" s="249"/>
      <c r="E164" s="250"/>
      <c r="F164" s="250"/>
      <c r="G164" s="250"/>
      <c r="H164" s="250"/>
      <c r="I164" s="250"/>
      <c r="J164" s="250"/>
      <c r="K164" s="251"/>
      <c r="L164" s="149">
        <f>VLOOKUP($B164,'BDD Prof. Planta'!$B$2:$H$10,6,0)</f>
        <v>7</v>
      </c>
      <c r="M164" s="149">
        <v>7</v>
      </c>
      <c r="N164" s="149">
        <f>VLOOKUP($B164,'BDD Prof. Planta'!$B$2:$H$10,2,0)</f>
        <v>7</v>
      </c>
      <c r="O164" s="149">
        <f t="shared" ref="O164:O171" si="129">M164-N164</f>
        <v>0</v>
      </c>
      <c r="P164" s="164">
        <f t="shared" si="126"/>
        <v>1</v>
      </c>
      <c r="Q164" s="165">
        <f t="shared" ref="Q164:Q171" si="130">IFERROR((((1.96^2*0.5*0.5*($L164-N164))/(N164*($L164-1)))^0.5),"")</f>
        <v>0</v>
      </c>
      <c r="R164" s="165">
        <f t="shared" ref="R164:R171" si="131">IFERROR((((1.65^2*0.5*0.5*($L164-N164))/(N164*($L164-1)))^0.5),"")</f>
        <v>0</v>
      </c>
      <c r="S164" s="165" t="s">
        <v>78</v>
      </c>
      <c r="T164" s="149">
        <f>VLOOKUP($B164,'BDD Prof. Catedra'!$B$2:$H$10,6,0)</f>
        <v>13</v>
      </c>
      <c r="U164" s="149">
        <v>13</v>
      </c>
      <c r="V164" s="149">
        <f>VLOOKUP($B164,'BDD Prof. Catedra'!$B$2:$H$10,2,0)</f>
        <v>13</v>
      </c>
      <c r="W164" s="149">
        <f t="shared" ref="W164:W171" si="132">U164-V164</f>
        <v>0</v>
      </c>
      <c r="X164" s="164">
        <f t="shared" si="128"/>
        <v>1</v>
      </c>
      <c r="Y164" s="165">
        <f t="shared" ref="Y164:Y171" si="133">IFERROR((((1.96^2*0.5*0.5*($T164-V164))/(V164*($T164-1)))^0.5),"")</f>
        <v>0</v>
      </c>
      <c r="Z164" s="165">
        <f t="shared" ref="Z164:Z171" si="134">IFERROR((((1.65^2*0.5*0.5*($T164-V164))/(V164*($T164-1)))^0.5),"")</f>
        <v>0</v>
      </c>
      <c r="AA164" s="165" t="s">
        <v>78</v>
      </c>
    </row>
    <row r="165" spans="1:27" customFormat="1">
      <c r="A165">
        <v>152</v>
      </c>
      <c r="B165" s="45" t="s">
        <v>233</v>
      </c>
      <c r="C165" s="45" t="s">
        <v>77</v>
      </c>
      <c r="D165" s="249"/>
      <c r="E165" s="250"/>
      <c r="F165" s="250"/>
      <c r="G165" s="250"/>
      <c r="H165" s="250"/>
      <c r="I165" s="250"/>
      <c r="J165" s="250"/>
      <c r="K165" s="251"/>
      <c r="L165" s="149">
        <f>VLOOKUP($B165,'BDD Prof. Planta'!$B$2:$H$10,6,0)</f>
        <v>7</v>
      </c>
      <c r="M165" s="149">
        <v>7</v>
      </c>
      <c r="N165" s="149">
        <f>VLOOKUP($B165,'BDD Prof. Planta'!$B$2:$H$10,2,0)</f>
        <v>7</v>
      </c>
      <c r="O165" s="149">
        <f t="shared" si="129"/>
        <v>0</v>
      </c>
      <c r="P165" s="164">
        <f t="shared" si="126"/>
        <v>1</v>
      </c>
      <c r="Q165" s="165">
        <f t="shared" si="130"/>
        <v>0</v>
      </c>
      <c r="R165" s="165">
        <f t="shared" si="131"/>
        <v>0</v>
      </c>
      <c r="S165" s="165" t="s">
        <v>78</v>
      </c>
      <c r="T165" s="151">
        <f>VLOOKUP($B165,'BDD Prof. Catedra'!$B$2:$H$10,6,0)</f>
        <v>13</v>
      </c>
      <c r="U165" s="151">
        <v>13</v>
      </c>
      <c r="V165" s="151">
        <f>VLOOKUP($B165,'BDD Prof. Catedra'!$B$2:$H$10,2,0)</f>
        <v>10</v>
      </c>
      <c r="W165" s="151">
        <f t="shared" si="132"/>
        <v>3</v>
      </c>
      <c r="X165" s="169">
        <f t="shared" si="128"/>
        <v>0.76923076923076927</v>
      </c>
      <c r="Y165" s="170">
        <f t="shared" si="133"/>
        <v>0.15495160534825059</v>
      </c>
      <c r="Z165" s="170">
        <f t="shared" si="134"/>
        <v>0.13044395348194562</v>
      </c>
      <c r="AA165" s="170" t="s">
        <v>86</v>
      </c>
    </row>
    <row r="166" spans="1:27" customFormat="1">
      <c r="A166">
        <v>153</v>
      </c>
      <c r="B166" s="45" t="s">
        <v>234</v>
      </c>
      <c r="C166" s="45" t="s">
        <v>77</v>
      </c>
      <c r="D166" s="249"/>
      <c r="E166" s="250"/>
      <c r="F166" s="250"/>
      <c r="G166" s="250"/>
      <c r="H166" s="250"/>
      <c r="I166" s="250"/>
      <c r="J166" s="250"/>
      <c r="K166" s="251"/>
      <c r="L166" s="149">
        <f>VLOOKUP($B166,'BDD Prof. Planta'!$B$2:$H$10,6,0)</f>
        <v>3</v>
      </c>
      <c r="M166" s="149">
        <v>3</v>
      </c>
      <c r="N166" s="149">
        <f>VLOOKUP($B166,'BDD Prof. Planta'!$B$2:$H$10,2,0)</f>
        <v>3</v>
      </c>
      <c r="O166" s="149">
        <f t="shared" si="129"/>
        <v>0</v>
      </c>
      <c r="P166" s="164">
        <f t="shared" si="126"/>
        <v>1</v>
      </c>
      <c r="Q166" s="165">
        <f t="shared" si="130"/>
        <v>0</v>
      </c>
      <c r="R166" s="165">
        <f t="shared" si="131"/>
        <v>0</v>
      </c>
      <c r="S166" s="165" t="s">
        <v>78</v>
      </c>
      <c r="T166" s="150">
        <f>VLOOKUP($B166,'BDD Prof. Catedra'!$B$2:$H$10,6,0)</f>
        <v>21</v>
      </c>
      <c r="U166" s="150">
        <v>21</v>
      </c>
      <c r="V166" s="150">
        <f>VLOOKUP($B166,'BDD Prof. Catedra'!$B$2:$H$10,2,0)</f>
        <v>18</v>
      </c>
      <c r="W166" s="150">
        <f t="shared" si="132"/>
        <v>3</v>
      </c>
      <c r="X166" s="166">
        <f t="shared" si="128"/>
        <v>0.8571428571428571</v>
      </c>
      <c r="Y166" s="167">
        <f t="shared" si="133"/>
        <v>8.946135105917713E-2</v>
      </c>
      <c r="Z166" s="167">
        <f t="shared" si="134"/>
        <v>7.5311851656960332E-2</v>
      </c>
      <c r="AA166" s="167" t="s">
        <v>78</v>
      </c>
    </row>
    <row r="167" spans="1:27" customFormat="1">
      <c r="A167">
        <v>154</v>
      </c>
      <c r="B167" s="45" t="s">
        <v>235</v>
      </c>
      <c r="C167" s="45" t="s">
        <v>77</v>
      </c>
      <c r="D167" s="249"/>
      <c r="E167" s="250"/>
      <c r="F167" s="250"/>
      <c r="G167" s="250"/>
      <c r="H167" s="250"/>
      <c r="I167" s="250"/>
      <c r="J167" s="250"/>
      <c r="K167" s="251"/>
      <c r="L167" s="149">
        <f>VLOOKUP($B167,'BDD Prof. Planta'!$B$2:$H$10,6,0)</f>
        <v>2</v>
      </c>
      <c r="M167" s="149">
        <v>2</v>
      </c>
      <c r="N167" s="149">
        <f>VLOOKUP($B167,'BDD Prof. Planta'!$B$2:$H$10,2,0)</f>
        <v>2</v>
      </c>
      <c r="O167" s="149">
        <f t="shared" si="129"/>
        <v>0</v>
      </c>
      <c r="P167" s="164">
        <f t="shared" si="126"/>
        <v>1</v>
      </c>
      <c r="Q167" s="165">
        <f t="shared" si="130"/>
        <v>0</v>
      </c>
      <c r="R167" s="165">
        <f t="shared" si="131"/>
        <v>0</v>
      </c>
      <c r="S167" s="165" t="s">
        <v>78</v>
      </c>
      <c r="T167" s="151">
        <f>VLOOKUP($B167,'BDD Prof. Catedra'!$B$2:$H$10,6,0)</f>
        <v>5</v>
      </c>
      <c r="U167" s="151">
        <v>5</v>
      </c>
      <c r="V167" s="151">
        <f>VLOOKUP($B167,'BDD Prof. Catedra'!$B$2:$H$10,2,0)</f>
        <v>3</v>
      </c>
      <c r="W167" s="151">
        <f t="shared" si="132"/>
        <v>2</v>
      </c>
      <c r="X167" s="169">
        <f t="shared" si="128"/>
        <v>0.6</v>
      </c>
      <c r="Y167" s="170">
        <f t="shared" si="133"/>
        <v>0.40008332465458574</v>
      </c>
      <c r="Z167" s="170">
        <f t="shared" si="134"/>
        <v>0.33680483963268698</v>
      </c>
      <c r="AA167" s="170" t="s">
        <v>86</v>
      </c>
    </row>
    <row r="168" spans="1:27" customFormat="1">
      <c r="A168">
        <v>155</v>
      </c>
      <c r="B168" s="45" t="s">
        <v>236</v>
      </c>
      <c r="C168" s="45" t="s">
        <v>77</v>
      </c>
      <c r="D168" s="249"/>
      <c r="E168" s="250"/>
      <c r="F168" s="250"/>
      <c r="G168" s="250"/>
      <c r="H168" s="250"/>
      <c r="I168" s="250"/>
      <c r="J168" s="250"/>
      <c r="K168" s="251"/>
      <c r="L168" s="149">
        <f>VLOOKUP($B168,'BDD Prof. Planta'!$B$2:$H$10,6,0)</f>
        <v>2</v>
      </c>
      <c r="M168" s="149">
        <v>2</v>
      </c>
      <c r="N168" s="149">
        <f>VLOOKUP($B168,'BDD Prof. Planta'!$B$2:$H$10,2,0)</f>
        <v>2</v>
      </c>
      <c r="O168" s="149">
        <f t="shared" si="129"/>
        <v>0</v>
      </c>
      <c r="P168" s="164">
        <f t="shared" si="126"/>
        <v>1</v>
      </c>
      <c r="Q168" s="165">
        <f t="shared" si="130"/>
        <v>0</v>
      </c>
      <c r="R168" s="165">
        <f t="shared" si="131"/>
        <v>0</v>
      </c>
      <c r="S168" s="165" t="s">
        <v>78</v>
      </c>
      <c r="T168" s="151">
        <f>VLOOKUP($B168,'BDD Prof. Catedra'!$B$2:$H$10,6,0)</f>
        <v>15</v>
      </c>
      <c r="U168" s="151">
        <v>15</v>
      </c>
      <c r="V168" s="151">
        <f>VLOOKUP($B168,'BDD Prof. Catedra'!$B$2:$H$10,2,0)</f>
        <v>6</v>
      </c>
      <c r="W168" s="151">
        <f t="shared" si="132"/>
        <v>9</v>
      </c>
      <c r="X168" s="169">
        <f t="shared" si="128"/>
        <v>0.4</v>
      </c>
      <c r="Y168" s="170">
        <f t="shared" si="133"/>
        <v>0.32078029864690877</v>
      </c>
      <c r="Z168" s="170">
        <f t="shared" si="134"/>
        <v>0.27004463916704052</v>
      </c>
      <c r="AA168" s="170" t="s">
        <v>86</v>
      </c>
    </row>
    <row r="169" spans="1:27" customFormat="1">
      <c r="A169">
        <v>156</v>
      </c>
      <c r="B169" s="45" t="s">
        <v>237</v>
      </c>
      <c r="C169" s="45" t="s">
        <v>77</v>
      </c>
      <c r="D169" s="249"/>
      <c r="E169" s="250"/>
      <c r="F169" s="250"/>
      <c r="G169" s="250"/>
      <c r="H169" s="250"/>
      <c r="I169" s="250"/>
      <c r="J169" s="250"/>
      <c r="K169" s="251"/>
      <c r="L169" s="149">
        <f>VLOOKUP($B169,'BDD Prof. Planta'!$B$2:$H$10,6,0)</f>
        <v>3</v>
      </c>
      <c r="M169" s="149">
        <v>3</v>
      </c>
      <c r="N169" s="149">
        <f>VLOOKUP($B169,'BDD Prof. Planta'!$B$2:$H$10,2,0)</f>
        <v>3</v>
      </c>
      <c r="O169" s="149">
        <f t="shared" si="129"/>
        <v>0</v>
      </c>
      <c r="P169" s="164">
        <f t="shared" si="126"/>
        <v>1</v>
      </c>
      <c r="Q169" s="165">
        <f t="shared" si="130"/>
        <v>0</v>
      </c>
      <c r="R169" s="165">
        <f t="shared" si="131"/>
        <v>0</v>
      </c>
      <c r="S169" s="165" t="s">
        <v>78</v>
      </c>
      <c r="T169" s="150">
        <f>VLOOKUP($B169,'BDD Prof. Catedra'!$B$2:$H$10,6,0)</f>
        <v>13</v>
      </c>
      <c r="U169" s="150">
        <v>13</v>
      </c>
      <c r="V169" s="150">
        <f>VLOOKUP($B169,'BDD Prof. Catedra'!$B$2:$H$10,2,0)</f>
        <v>11</v>
      </c>
      <c r="W169" s="150">
        <f t="shared" si="132"/>
        <v>2</v>
      </c>
      <c r="X169" s="166">
        <f t="shared" si="128"/>
        <v>0.84615384615384615</v>
      </c>
      <c r="Y169" s="167">
        <f t="shared" si="133"/>
        <v>0.12062966115974608</v>
      </c>
      <c r="Z169" s="167">
        <f t="shared" si="134"/>
        <v>0.1015504800579495</v>
      </c>
      <c r="AA169" s="167" t="s">
        <v>78</v>
      </c>
    </row>
    <row r="170" spans="1:27" customFormat="1">
      <c r="A170">
        <v>157</v>
      </c>
      <c r="B170" s="45" t="s">
        <v>238</v>
      </c>
      <c r="C170" s="45" t="s">
        <v>77</v>
      </c>
      <c r="D170" s="249"/>
      <c r="E170" s="250"/>
      <c r="F170" s="250"/>
      <c r="G170" s="250"/>
      <c r="H170" s="250"/>
      <c r="I170" s="250"/>
      <c r="J170" s="250"/>
      <c r="K170" s="251"/>
      <c r="L170" s="149">
        <f>VLOOKUP($B170,'BDD Prof. Planta'!$B$2:$H$10,6,0)</f>
        <v>4</v>
      </c>
      <c r="M170" s="149">
        <v>4</v>
      </c>
      <c r="N170" s="149">
        <f>VLOOKUP($B170,'BDD Prof. Planta'!$B$2:$H$10,2,0)</f>
        <v>4</v>
      </c>
      <c r="O170" s="149">
        <f t="shared" si="129"/>
        <v>0</v>
      </c>
      <c r="P170" s="164">
        <f t="shared" si="126"/>
        <v>1</v>
      </c>
      <c r="Q170" s="165">
        <f t="shared" si="130"/>
        <v>0</v>
      </c>
      <c r="R170" s="165">
        <f t="shared" si="131"/>
        <v>0</v>
      </c>
      <c r="S170" s="165" t="s">
        <v>78</v>
      </c>
      <c r="T170" s="151">
        <f>VLOOKUP($B170,'BDD Prof. Catedra'!$B$2:$H$10,6,0)</f>
        <v>10</v>
      </c>
      <c r="U170" s="151">
        <v>10</v>
      </c>
      <c r="V170" s="151">
        <f>VLOOKUP($B170,'BDD Prof. Catedra'!$B$2:$H$10,2,0)</f>
        <v>7</v>
      </c>
      <c r="W170" s="151">
        <f t="shared" si="132"/>
        <v>3</v>
      </c>
      <c r="X170" s="169">
        <f t="shared" si="128"/>
        <v>0.7</v>
      </c>
      <c r="Y170" s="170">
        <f t="shared" si="133"/>
        <v>0.21385353243127253</v>
      </c>
      <c r="Z170" s="170">
        <f t="shared" si="134"/>
        <v>0.18002975944469368</v>
      </c>
      <c r="AA170" s="170" t="s">
        <v>86</v>
      </c>
    </row>
    <row r="171" spans="1:27" customFormat="1">
      <c r="A171">
        <v>158</v>
      </c>
      <c r="B171" s="45" t="s">
        <v>239</v>
      </c>
      <c r="C171" s="45" t="s">
        <v>77</v>
      </c>
      <c r="D171" s="252"/>
      <c r="E171" s="253"/>
      <c r="F171" s="253"/>
      <c r="G171" s="253"/>
      <c r="H171" s="253"/>
      <c r="I171" s="253"/>
      <c r="J171" s="253"/>
      <c r="K171" s="254"/>
      <c r="L171" s="149">
        <f>VLOOKUP($B171,'BDD Prof. Planta'!$B$2:$H$10,6,0)</f>
        <v>4</v>
      </c>
      <c r="M171" s="149">
        <v>4</v>
      </c>
      <c r="N171" s="149">
        <f>VLOOKUP($B171,'BDD Prof. Planta'!$B$2:$H$10,2,0)</f>
        <v>4</v>
      </c>
      <c r="O171" s="149">
        <f t="shared" si="129"/>
        <v>0</v>
      </c>
      <c r="P171" s="164">
        <f t="shared" si="126"/>
        <v>1</v>
      </c>
      <c r="Q171" s="165">
        <f t="shared" si="130"/>
        <v>0</v>
      </c>
      <c r="R171" s="165">
        <f t="shared" si="131"/>
        <v>0</v>
      </c>
      <c r="S171" s="165" t="s">
        <v>78</v>
      </c>
      <c r="T171" s="149">
        <f>VLOOKUP($B171,'BDD Prof. Catedra'!$B$2:$H$10,6,0)</f>
        <v>9</v>
      </c>
      <c r="U171" s="149">
        <v>9</v>
      </c>
      <c r="V171" s="149">
        <f>VLOOKUP($B171,'BDD Prof. Catedra'!$B$2:$H$10,2,0)</f>
        <v>9</v>
      </c>
      <c r="W171" s="149">
        <f t="shared" si="132"/>
        <v>0</v>
      </c>
      <c r="X171" s="164">
        <f t="shared" si="128"/>
        <v>1</v>
      </c>
      <c r="Y171" s="165">
        <f t="shared" si="133"/>
        <v>0</v>
      </c>
      <c r="Z171" s="165">
        <f t="shared" si="134"/>
        <v>0</v>
      </c>
      <c r="AA171" s="165" t="s">
        <v>78</v>
      </c>
    </row>
  </sheetData>
  <autoFilter ref="A2:AD147" xr:uid="{00000000-0001-0000-0200-000000000000}">
    <filterColumn colId="2">
      <filters>
        <filter val="FACULTAD DE EDUCACIÓN"/>
      </filters>
    </filterColumn>
  </autoFilter>
  <mergeCells count="8">
    <mergeCell ref="AD1:AD2"/>
    <mergeCell ref="T1:Z1"/>
    <mergeCell ref="L1:R1"/>
    <mergeCell ref="D1:J1"/>
    <mergeCell ref="D162:K171"/>
    <mergeCell ref="K149:K158"/>
    <mergeCell ref="S149:S158"/>
    <mergeCell ref="AA149:AA158"/>
  </mergeCells>
  <conditionalFormatting sqref="B1:B1048576">
    <cfRule type="duplicateValues" dxfId="22" priority="1"/>
  </conditionalFormatting>
  <pageMargins left="0.7" right="0.7" top="0.75" bottom="0.75" header="0.3" footer="0.3"/>
  <pageSetup orientation="portrait" r:id="rId1"/>
  <ignoredErrors>
    <ignoredError sqref="T149:Y151 T153:Y153 D152:E152 G152:I152 O152:Q152 W152:Y152 M152 U152 T155:Y156 D154:E154 G154:I154 O154:Q154 W154:Y154 D157 G157:I157 O157:Q157 W157:Y157 D155:I156 D153:I153 D149:I151 L155:Q156 L153:Q153 L149:Q151" formulaRange="1"/>
    <ignoredError sqref="Z3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9"/>
  <sheetViews>
    <sheetView topLeftCell="A223" workbookViewId="0">
      <selection activeCell="A26" sqref="A26"/>
    </sheetView>
  </sheetViews>
  <sheetFormatPr defaultColWidth="11.42578125" defaultRowHeight="15"/>
  <cols>
    <col min="1" max="1" width="86.5703125" bestFit="1" customWidth="1"/>
    <col min="2" max="2" width="22.42578125" bestFit="1" customWidth="1"/>
    <col min="3" max="3" width="6.5703125" bestFit="1" customWidth="1"/>
    <col min="4" max="5" width="12.5703125" bestFit="1" customWidth="1"/>
    <col min="6" max="6" width="87.7109375" bestFit="1" customWidth="1"/>
    <col min="12" max="12" width="18.28515625" bestFit="1" customWidth="1"/>
    <col min="13" max="13" width="22.42578125" bestFit="1" customWidth="1"/>
    <col min="14" max="14" width="6.5703125" bestFit="1" customWidth="1"/>
    <col min="15" max="15" width="12.5703125" bestFit="1" customWidth="1"/>
  </cols>
  <sheetData>
    <row r="1" spans="1:15">
      <c r="A1" s="48" t="s">
        <v>240</v>
      </c>
      <c r="B1" t="s">
        <v>241</v>
      </c>
    </row>
    <row r="3" spans="1:15">
      <c r="A3" s="48" t="s">
        <v>242</v>
      </c>
      <c r="B3" s="48" t="s">
        <v>60</v>
      </c>
    </row>
    <row r="4" spans="1:15">
      <c r="A4" s="48" t="s">
        <v>61</v>
      </c>
      <c r="B4" t="s">
        <v>243</v>
      </c>
      <c r="C4" t="s">
        <v>244</v>
      </c>
      <c r="D4" t="s">
        <v>62</v>
      </c>
      <c r="F4" s="134" t="s">
        <v>61</v>
      </c>
      <c r="G4" s="134" t="s">
        <v>243</v>
      </c>
      <c r="H4" s="134" t="s">
        <v>244</v>
      </c>
      <c r="L4" s="48" t="s">
        <v>245</v>
      </c>
      <c r="M4" s="48" t="s">
        <v>60</v>
      </c>
    </row>
    <row r="5" spans="1:15">
      <c r="A5" s="5" t="s">
        <v>26</v>
      </c>
      <c r="B5">
        <v>1</v>
      </c>
      <c r="D5">
        <v>1</v>
      </c>
      <c r="F5" s="5" t="s">
        <v>26</v>
      </c>
      <c r="G5">
        <v>1</v>
      </c>
      <c r="I5">
        <f>VLOOKUP(F5,'BDD Prof. Planta'!$A$2:$M$177,13,0)</f>
        <v>8</v>
      </c>
      <c r="L5" s="48" t="s">
        <v>61</v>
      </c>
      <c r="M5" t="s">
        <v>243</v>
      </c>
      <c r="N5" t="s">
        <v>244</v>
      </c>
      <c r="O5" t="s">
        <v>62</v>
      </c>
    </row>
    <row r="6" spans="1:15">
      <c r="A6" s="5" t="s">
        <v>24</v>
      </c>
      <c r="B6">
        <v>1</v>
      </c>
      <c r="C6">
        <v>2</v>
      </c>
      <c r="D6">
        <v>3</v>
      </c>
      <c r="F6" s="5" t="s">
        <v>24</v>
      </c>
      <c r="G6">
        <v>1</v>
      </c>
      <c r="H6">
        <v>2</v>
      </c>
      <c r="I6">
        <f>VLOOKUP(F6,'BDD Prof. Planta'!$A$2:$M$177,13,0)</f>
        <v>16</v>
      </c>
      <c r="L6" s="5" t="s">
        <v>246</v>
      </c>
      <c r="M6">
        <v>681</v>
      </c>
      <c r="N6">
        <v>542</v>
      </c>
      <c r="O6">
        <v>1223</v>
      </c>
    </row>
    <row r="7" spans="1:15">
      <c r="A7" s="5" t="s">
        <v>23</v>
      </c>
      <c r="B7">
        <v>2</v>
      </c>
      <c r="C7">
        <v>4</v>
      </c>
      <c r="D7">
        <v>6</v>
      </c>
      <c r="F7" s="5" t="s">
        <v>23</v>
      </c>
      <c r="G7">
        <v>2</v>
      </c>
      <c r="H7">
        <v>4</v>
      </c>
      <c r="I7">
        <f>VLOOKUP(F7,'BDD Prof. Planta'!$A$2:$M$177,13,0)</f>
        <v>14</v>
      </c>
      <c r="L7" s="5" t="s">
        <v>247</v>
      </c>
      <c r="M7">
        <v>279</v>
      </c>
      <c r="N7">
        <v>90</v>
      </c>
      <c r="O7">
        <v>369</v>
      </c>
    </row>
    <row r="8" spans="1:15">
      <c r="A8" s="5" t="s">
        <v>25</v>
      </c>
      <c r="B8">
        <v>3</v>
      </c>
      <c r="C8">
        <v>3</v>
      </c>
      <c r="D8">
        <v>6</v>
      </c>
      <c r="F8" s="5" t="s">
        <v>25</v>
      </c>
      <c r="G8">
        <v>3</v>
      </c>
      <c r="H8">
        <v>3</v>
      </c>
      <c r="I8">
        <f>VLOOKUP(F8,'BDD Prof. Planta'!$A$2:$M$177,13,0)</f>
        <v>14</v>
      </c>
      <c r="L8" s="5" t="s">
        <v>248</v>
      </c>
      <c r="M8">
        <v>1</v>
      </c>
      <c r="O8">
        <v>1</v>
      </c>
    </row>
    <row r="9" spans="1:15">
      <c r="A9" s="5" t="s">
        <v>27</v>
      </c>
      <c r="C9">
        <v>1</v>
      </c>
      <c r="D9">
        <v>1</v>
      </c>
      <c r="F9" s="5" t="s">
        <v>27</v>
      </c>
      <c r="H9">
        <v>1</v>
      </c>
      <c r="I9">
        <f>VLOOKUP(F9,'BDD Prof. Planta'!$A$2:$M$177,13,0)</f>
        <v>26</v>
      </c>
      <c r="L9" s="5" t="s">
        <v>241</v>
      </c>
      <c r="M9">
        <v>60</v>
      </c>
      <c r="N9">
        <v>38</v>
      </c>
      <c r="O9">
        <v>98</v>
      </c>
    </row>
    <row r="10" spans="1:15">
      <c r="A10" s="5" t="s">
        <v>167</v>
      </c>
      <c r="B10">
        <v>1</v>
      </c>
      <c r="D10">
        <v>1</v>
      </c>
      <c r="F10" s="5" t="s">
        <v>139</v>
      </c>
      <c r="G10">
        <v>1</v>
      </c>
      <c r="I10">
        <f>VLOOKUP(F10,'BDD Prof. Planta'!$A$2:$M$177,13,0)</f>
        <v>1</v>
      </c>
      <c r="L10" s="5" t="s">
        <v>62</v>
      </c>
      <c r="M10">
        <v>1021</v>
      </c>
      <c r="N10">
        <v>670</v>
      </c>
      <c r="O10">
        <v>1691</v>
      </c>
    </row>
    <row r="11" spans="1:15">
      <c r="A11" s="5" t="s">
        <v>144</v>
      </c>
      <c r="B11">
        <v>3</v>
      </c>
      <c r="D11">
        <v>3</v>
      </c>
      <c r="F11" s="5" t="s">
        <v>167</v>
      </c>
      <c r="G11">
        <v>1</v>
      </c>
      <c r="I11">
        <f>VLOOKUP(F11,'BDD Prof. Planta'!$A$2:$M$177,13,0)</f>
        <v>0</v>
      </c>
    </row>
    <row r="12" spans="1:15">
      <c r="A12" s="5" t="s">
        <v>159</v>
      </c>
      <c r="B12">
        <v>5</v>
      </c>
      <c r="C12">
        <v>2</v>
      </c>
      <c r="D12">
        <v>7</v>
      </c>
      <c r="F12" s="5" t="s">
        <v>142</v>
      </c>
      <c r="G12">
        <v>1</v>
      </c>
      <c r="I12">
        <f>VLOOKUP(F12,'BDD Prof. Planta'!$A$2:$M$177,13,0)</f>
        <v>1</v>
      </c>
    </row>
    <row r="13" spans="1:15">
      <c r="A13" s="5" t="s">
        <v>163</v>
      </c>
      <c r="B13">
        <v>5</v>
      </c>
      <c r="C13">
        <v>2</v>
      </c>
      <c r="D13">
        <v>7</v>
      </c>
      <c r="F13" s="5" t="s">
        <v>144</v>
      </c>
      <c r="G13">
        <v>3</v>
      </c>
      <c r="I13">
        <f>VLOOKUP(F13,'BDD Prof. Planta'!$A$2:$M$177,13,0)</f>
        <v>0</v>
      </c>
    </row>
    <row r="14" spans="1:15">
      <c r="A14" s="5" t="s">
        <v>169</v>
      </c>
      <c r="B14">
        <v>4</v>
      </c>
      <c r="C14">
        <v>1</v>
      </c>
      <c r="D14">
        <v>5</v>
      </c>
      <c r="F14" s="5" t="s">
        <v>159</v>
      </c>
      <c r="G14">
        <v>5</v>
      </c>
      <c r="H14">
        <v>2</v>
      </c>
      <c r="I14">
        <f>VLOOKUP(F14,'BDD Prof. Planta'!$A$2:$M$177,13,0)</f>
        <v>2</v>
      </c>
    </row>
    <row r="15" spans="1:15">
      <c r="A15" s="5" t="s">
        <v>170</v>
      </c>
      <c r="B15">
        <v>5</v>
      </c>
      <c r="C15">
        <v>2</v>
      </c>
      <c r="D15">
        <v>7</v>
      </c>
      <c r="F15" s="5" t="s">
        <v>163</v>
      </c>
      <c r="G15">
        <v>5</v>
      </c>
      <c r="H15">
        <v>2</v>
      </c>
      <c r="I15">
        <f>VLOOKUP(F15,'BDD Prof. Planta'!$A$2:$M$177,13,0)</f>
        <v>2</v>
      </c>
    </row>
    <row r="16" spans="1:15">
      <c r="A16" s="5" t="s">
        <v>145</v>
      </c>
      <c r="B16">
        <v>4</v>
      </c>
      <c r="C16">
        <v>2</v>
      </c>
      <c r="D16">
        <v>6</v>
      </c>
      <c r="F16" s="5" t="s">
        <v>169</v>
      </c>
      <c r="G16">
        <v>4</v>
      </c>
      <c r="H16">
        <v>1</v>
      </c>
      <c r="I16">
        <f>VLOOKUP(F16,'BDD Prof. Planta'!$A$2:$M$177,13,0)</f>
        <v>2</v>
      </c>
    </row>
    <row r="17" spans="1:9">
      <c r="A17" s="5" t="s">
        <v>146</v>
      </c>
      <c r="B17">
        <v>1</v>
      </c>
      <c r="D17">
        <v>1</v>
      </c>
      <c r="F17" s="5" t="s">
        <v>170</v>
      </c>
      <c r="G17">
        <v>5</v>
      </c>
      <c r="H17">
        <v>2</v>
      </c>
      <c r="I17">
        <f>VLOOKUP(F17,'BDD Prof. Planta'!$A$2:$M$177,13,0)</f>
        <v>2</v>
      </c>
    </row>
    <row r="18" spans="1:9">
      <c r="A18" s="5" t="s">
        <v>173</v>
      </c>
      <c r="B18">
        <v>3</v>
      </c>
      <c r="C18">
        <v>2</v>
      </c>
      <c r="D18">
        <v>5</v>
      </c>
      <c r="F18" s="5" t="s">
        <v>145</v>
      </c>
      <c r="G18">
        <v>4</v>
      </c>
      <c r="H18">
        <v>2</v>
      </c>
      <c r="I18">
        <f>VLOOKUP(F18,'BDD Prof. Planta'!$A$2:$M$177,13,0)</f>
        <v>2</v>
      </c>
    </row>
    <row r="19" spans="1:9">
      <c r="A19" s="5" t="s">
        <v>174</v>
      </c>
      <c r="B19">
        <v>5</v>
      </c>
      <c r="C19">
        <v>1</v>
      </c>
      <c r="D19">
        <v>6</v>
      </c>
      <c r="F19" s="5" t="s">
        <v>173</v>
      </c>
      <c r="G19">
        <v>3</v>
      </c>
      <c r="H19">
        <v>2</v>
      </c>
      <c r="I19">
        <f>VLOOKUP(F19,'BDD Prof. Planta'!$A$2:$M$177,13,0)</f>
        <v>2</v>
      </c>
    </row>
    <row r="20" spans="1:9">
      <c r="A20" s="5" t="s">
        <v>175</v>
      </c>
      <c r="B20">
        <v>4</v>
      </c>
      <c r="C20">
        <v>2</v>
      </c>
      <c r="D20">
        <v>6</v>
      </c>
      <c r="F20" s="5" t="s">
        <v>174</v>
      </c>
      <c r="G20">
        <v>5</v>
      </c>
      <c r="H20">
        <v>1</v>
      </c>
      <c r="I20">
        <f>VLOOKUP(F20,'BDD Prof. Planta'!$A$2:$M$177,13,0)</f>
        <v>2</v>
      </c>
    </row>
    <row r="21" spans="1:9">
      <c r="A21" s="5" t="s">
        <v>157</v>
      </c>
      <c r="B21">
        <v>1</v>
      </c>
      <c r="D21">
        <v>1</v>
      </c>
      <c r="F21" s="5" t="s">
        <v>175</v>
      </c>
      <c r="G21">
        <v>4</v>
      </c>
      <c r="H21">
        <v>2</v>
      </c>
      <c r="I21">
        <f>VLOOKUP(F21,'BDD Prof. Planta'!$A$2:$M$177,13,0)</f>
        <v>2</v>
      </c>
    </row>
    <row r="22" spans="1:9">
      <c r="A22" s="5" t="s">
        <v>148</v>
      </c>
      <c r="C22">
        <v>2</v>
      </c>
      <c r="D22">
        <v>2</v>
      </c>
      <c r="F22" s="5" t="s">
        <v>147</v>
      </c>
      <c r="G22">
        <v>2</v>
      </c>
      <c r="I22">
        <f>VLOOKUP(F22,'BDD Prof. Planta'!$A$2:$M$177,13,0)</f>
        <v>1</v>
      </c>
    </row>
    <row r="23" spans="1:9">
      <c r="A23" s="5" t="s">
        <v>162</v>
      </c>
      <c r="B23">
        <v>2</v>
      </c>
      <c r="D23">
        <v>2</v>
      </c>
      <c r="F23" s="5" t="s">
        <v>157</v>
      </c>
      <c r="G23">
        <v>1</v>
      </c>
      <c r="I23">
        <f>VLOOKUP(F23,'BDD Prof. Planta'!$A$2:$M$177,13,0)</f>
        <v>0</v>
      </c>
    </row>
    <row r="24" spans="1:9">
      <c r="A24" s="5" t="s">
        <v>149</v>
      </c>
      <c r="C24">
        <v>1</v>
      </c>
      <c r="D24">
        <v>1</v>
      </c>
      <c r="F24" s="5" t="s">
        <v>148</v>
      </c>
      <c r="H24">
        <v>2</v>
      </c>
      <c r="I24">
        <f>VLOOKUP(F24,'BDD Prof. Planta'!$A$2:$M$177,13,0)</f>
        <v>2</v>
      </c>
    </row>
    <row r="25" spans="1:9">
      <c r="A25" s="5" t="s">
        <v>152</v>
      </c>
      <c r="C25">
        <v>1</v>
      </c>
      <c r="D25">
        <v>1</v>
      </c>
      <c r="F25" s="5" t="s">
        <v>162</v>
      </c>
      <c r="G25">
        <v>2</v>
      </c>
    </row>
    <row r="26" spans="1:9">
      <c r="A26" s="5" t="s">
        <v>134</v>
      </c>
      <c r="B26">
        <v>1</v>
      </c>
      <c r="D26">
        <v>1</v>
      </c>
      <c r="F26" s="5" t="s">
        <v>149</v>
      </c>
      <c r="H26">
        <v>1</v>
      </c>
      <c r="I26">
        <f>VLOOKUP(F26,'BDD Prof. Planta'!$A$2:$M$177,13,0)</f>
        <v>1</v>
      </c>
    </row>
    <row r="27" spans="1:9">
      <c r="A27" s="5" t="s">
        <v>41</v>
      </c>
      <c r="B27">
        <v>2</v>
      </c>
      <c r="D27">
        <v>2</v>
      </c>
      <c r="F27" s="5" t="s">
        <v>161</v>
      </c>
      <c r="G27">
        <v>1</v>
      </c>
      <c r="I27">
        <f>VLOOKUP(F27,'BDD Prof. Planta'!$A$2:$M$177,13,0)</f>
        <v>0</v>
      </c>
    </row>
    <row r="28" spans="1:9">
      <c r="A28" s="5" t="s">
        <v>28</v>
      </c>
      <c r="C28">
        <v>1</v>
      </c>
      <c r="D28">
        <v>1</v>
      </c>
      <c r="F28" s="5" t="s">
        <v>152</v>
      </c>
      <c r="H28">
        <v>1</v>
      </c>
      <c r="I28">
        <f>VLOOKUP(F28,'BDD Prof. Planta'!$A$2:$M$177,13,0)</f>
        <v>2</v>
      </c>
    </row>
    <row r="29" spans="1:9">
      <c r="A29" s="5" t="s">
        <v>178</v>
      </c>
      <c r="B29">
        <v>1</v>
      </c>
      <c r="D29">
        <v>1</v>
      </c>
      <c r="F29" s="5" t="s">
        <v>134</v>
      </c>
      <c r="G29">
        <v>1</v>
      </c>
      <c r="I29">
        <f>VLOOKUP(F29,'BDD Prof. Planta'!$A$2:$M$177,13,0)</f>
        <v>0</v>
      </c>
    </row>
    <row r="30" spans="1:9">
      <c r="A30" s="5" t="s">
        <v>189</v>
      </c>
      <c r="B30">
        <v>1</v>
      </c>
      <c r="D30">
        <v>1</v>
      </c>
      <c r="F30" s="5" t="s">
        <v>41</v>
      </c>
      <c r="G30">
        <v>2</v>
      </c>
      <c r="I30">
        <f>VLOOKUP(F30,'BDD Prof. Planta'!$A$2:$M$177,13,0)</f>
        <v>7</v>
      </c>
    </row>
    <row r="31" spans="1:9">
      <c r="A31" s="5" t="s">
        <v>190</v>
      </c>
      <c r="B31">
        <v>1</v>
      </c>
      <c r="D31">
        <v>1</v>
      </c>
      <c r="F31" s="5" t="s">
        <v>28</v>
      </c>
      <c r="H31">
        <v>1</v>
      </c>
      <c r="I31">
        <f>VLOOKUP(F31,'BDD Prof. Planta'!$A$2:$M$177,13,0)</f>
        <v>8</v>
      </c>
    </row>
    <row r="32" spans="1:9">
      <c r="A32" s="5" t="s">
        <v>179</v>
      </c>
      <c r="B32">
        <v>1</v>
      </c>
      <c r="D32">
        <v>1</v>
      </c>
      <c r="F32" s="5" t="s">
        <v>178</v>
      </c>
      <c r="G32">
        <v>2</v>
      </c>
      <c r="I32">
        <f>VLOOKUP(F32,'BDD Prof. Planta'!$A$2:$M$177,13,0)</f>
        <v>7</v>
      </c>
    </row>
    <row r="33" spans="1:9">
      <c r="A33" s="5" t="s">
        <v>197</v>
      </c>
      <c r="C33">
        <v>1</v>
      </c>
      <c r="D33">
        <v>1</v>
      </c>
      <c r="F33" s="5" t="s">
        <v>189</v>
      </c>
      <c r="G33">
        <v>1</v>
      </c>
      <c r="I33">
        <f>VLOOKUP(F33,'BDD Prof. Planta'!$A$2:$M$177,13,0)</f>
        <v>1</v>
      </c>
    </row>
    <row r="34" spans="1:9">
      <c r="A34" s="5" t="s">
        <v>212</v>
      </c>
      <c r="C34">
        <v>2</v>
      </c>
      <c r="D34">
        <v>2</v>
      </c>
      <c r="F34" s="5" t="s">
        <v>190</v>
      </c>
      <c r="G34">
        <v>1</v>
      </c>
      <c r="I34">
        <f>VLOOKUP(F34,'BDD Prof. Planta'!$A$2:$M$177,13,0)</f>
        <v>1</v>
      </c>
    </row>
    <row r="35" spans="1:9">
      <c r="A35" s="5" t="s">
        <v>211</v>
      </c>
      <c r="C35">
        <v>1</v>
      </c>
      <c r="D35">
        <v>1</v>
      </c>
      <c r="F35" s="5" t="s">
        <v>179</v>
      </c>
      <c r="G35">
        <v>1</v>
      </c>
      <c r="I35">
        <f>VLOOKUP(F35,'BDD Prof. Planta'!$A$2:$M$177,13,0)</f>
        <v>20</v>
      </c>
    </row>
    <row r="36" spans="1:9">
      <c r="A36" s="5" t="s">
        <v>202</v>
      </c>
      <c r="B36">
        <v>1</v>
      </c>
      <c r="D36">
        <v>1</v>
      </c>
      <c r="F36" s="5" t="s">
        <v>197</v>
      </c>
      <c r="H36">
        <v>1</v>
      </c>
      <c r="I36">
        <f>VLOOKUP(F36,'BDD Prof. Planta'!$A$2:$M$177,13,0)</f>
        <v>7</v>
      </c>
    </row>
    <row r="37" spans="1:9">
      <c r="A37" s="5" t="s">
        <v>204</v>
      </c>
      <c r="B37">
        <v>1</v>
      </c>
      <c r="C37">
        <v>2</v>
      </c>
      <c r="D37">
        <v>3</v>
      </c>
      <c r="F37" s="5" t="s">
        <v>212</v>
      </c>
      <c r="H37">
        <v>2</v>
      </c>
      <c r="I37">
        <f>VLOOKUP(F37,'BDD Prof. Planta'!$A$2:$M$177,13,0)</f>
        <v>7</v>
      </c>
    </row>
    <row r="38" spans="1:9">
      <c r="A38" s="5" t="s">
        <v>217</v>
      </c>
      <c r="B38">
        <v>1</v>
      </c>
      <c r="D38">
        <v>1</v>
      </c>
      <c r="F38" s="5" t="s">
        <v>211</v>
      </c>
      <c r="H38">
        <v>1</v>
      </c>
      <c r="I38">
        <f>VLOOKUP(F38,'BDD Prof. Planta'!$A$2:$M$177,13,0)</f>
        <v>9</v>
      </c>
    </row>
    <row r="39" spans="1:9">
      <c r="A39" s="5" t="s">
        <v>210</v>
      </c>
      <c r="B39">
        <v>1</v>
      </c>
      <c r="D39">
        <v>1</v>
      </c>
      <c r="F39" s="5" t="s">
        <v>199</v>
      </c>
      <c r="G39">
        <v>1</v>
      </c>
      <c r="I39">
        <f>VLOOKUP(F39,'BDD Prof. Planta'!$A$2:$M$177,13,0)</f>
        <v>4</v>
      </c>
    </row>
    <row r="40" spans="1:9">
      <c r="A40" s="5" t="s">
        <v>205</v>
      </c>
      <c r="C40">
        <v>1</v>
      </c>
      <c r="D40">
        <v>1</v>
      </c>
      <c r="F40" s="5" t="s">
        <v>202</v>
      </c>
      <c r="G40">
        <v>1</v>
      </c>
      <c r="I40">
        <f>VLOOKUP(F40,'BDD Prof. Planta'!$A$2:$M$177,13,0)</f>
        <v>2</v>
      </c>
    </row>
    <row r="41" spans="1:9">
      <c r="A41" s="5" t="s">
        <v>206</v>
      </c>
      <c r="C41">
        <v>1</v>
      </c>
      <c r="D41">
        <v>1</v>
      </c>
      <c r="F41" s="5" t="s">
        <v>204</v>
      </c>
      <c r="G41">
        <v>3</v>
      </c>
      <c r="H41">
        <v>2</v>
      </c>
      <c r="I41">
        <f>VLOOKUP(F41,'BDD Prof. Planta'!$A$2:$M$177,13,0)</f>
        <v>4</v>
      </c>
    </row>
    <row r="42" spans="1:9">
      <c r="A42" s="5" t="s">
        <v>62</v>
      </c>
      <c r="B42">
        <v>61</v>
      </c>
      <c r="C42">
        <v>37</v>
      </c>
      <c r="D42">
        <v>98</v>
      </c>
      <c r="F42" s="5" t="s">
        <v>217</v>
      </c>
      <c r="G42">
        <v>1</v>
      </c>
      <c r="H42">
        <v>1</v>
      </c>
      <c r="I42">
        <f>VLOOKUP(F42,'BDD Prof. Planta'!$A$2:$M$177,13,0)</f>
        <v>4</v>
      </c>
    </row>
    <row r="43" spans="1:9">
      <c r="F43" s="5" t="s">
        <v>210</v>
      </c>
      <c r="G43">
        <v>2</v>
      </c>
      <c r="I43">
        <f>VLOOKUP(F43,'BDD Prof. Planta'!$A$2:$M$177,13,0)</f>
        <v>0</v>
      </c>
    </row>
    <row r="44" spans="1:9">
      <c r="F44" s="5" t="s">
        <v>205</v>
      </c>
      <c r="H44">
        <v>1</v>
      </c>
      <c r="I44">
        <f>VLOOKUP(F44,'BDD Prof. Planta'!$A$2:$M$177,13,0)</f>
        <v>8</v>
      </c>
    </row>
    <row r="45" spans="1:9">
      <c r="F45" s="5" t="s">
        <v>206</v>
      </c>
      <c r="H45">
        <v>1</v>
      </c>
      <c r="I45">
        <f>VLOOKUP(F45,'BDD Prof. Planta'!$A$2:$M$177,13,0)</f>
        <v>3</v>
      </c>
    </row>
    <row r="46" spans="1:9">
      <c r="F46" s="135" t="s">
        <v>62</v>
      </c>
      <c r="G46" s="138">
        <v>70</v>
      </c>
      <c r="H46" s="138">
        <v>38</v>
      </c>
    </row>
    <row r="51" spans="1:10">
      <c r="A51" s="48" t="s">
        <v>240</v>
      </c>
      <c r="B51" t="s">
        <v>246</v>
      </c>
    </row>
    <row r="53" spans="1:10">
      <c r="A53" s="48" t="s">
        <v>242</v>
      </c>
      <c r="B53" s="48" t="s">
        <v>60</v>
      </c>
    </row>
    <row r="54" spans="1:10">
      <c r="A54" s="48" t="s">
        <v>61</v>
      </c>
      <c r="B54" t="s">
        <v>243</v>
      </c>
      <c r="C54" t="s">
        <v>244</v>
      </c>
      <c r="D54" t="s">
        <v>62</v>
      </c>
      <c r="F54" s="134" t="s">
        <v>61</v>
      </c>
      <c r="G54" s="134" t="s">
        <v>243</v>
      </c>
      <c r="H54" s="134" t="s">
        <v>244</v>
      </c>
      <c r="I54" s="139" t="s">
        <v>249</v>
      </c>
    </row>
    <row r="55" spans="1:10">
      <c r="A55" s="5" t="s">
        <v>231</v>
      </c>
      <c r="B55">
        <v>13</v>
      </c>
      <c r="C55">
        <v>8</v>
      </c>
      <c r="D55">
        <v>21</v>
      </c>
      <c r="F55" t="s">
        <v>231</v>
      </c>
      <c r="G55">
        <v>13</v>
      </c>
      <c r="H55">
        <v>8</v>
      </c>
      <c r="I55">
        <f>VLOOKUP(F55,'BDD Prof. Catedra'!$A$2:$C$176,3,0)</f>
        <v>13</v>
      </c>
      <c r="J55">
        <f>I55-G55</f>
        <v>0</v>
      </c>
    </row>
    <row r="56" spans="1:10">
      <c r="A56" s="5" t="s">
        <v>232</v>
      </c>
      <c r="B56">
        <v>13</v>
      </c>
      <c r="C56">
        <v>7</v>
      </c>
      <c r="D56">
        <v>20</v>
      </c>
      <c r="F56" t="s">
        <v>232</v>
      </c>
      <c r="G56">
        <v>13</v>
      </c>
      <c r="H56">
        <v>7</v>
      </c>
      <c r="I56">
        <f>VLOOKUP(F56,'BDD Prof. Catedra'!$A$2:$C$176,3,0)</f>
        <v>13</v>
      </c>
      <c r="J56">
        <f t="shared" ref="J56:J119" si="0">I56-G56</f>
        <v>0</v>
      </c>
    </row>
    <row r="57" spans="1:10">
      <c r="A57" s="5" t="s">
        <v>250</v>
      </c>
      <c r="B57">
        <v>5</v>
      </c>
      <c r="C57">
        <v>2</v>
      </c>
      <c r="D57">
        <v>7</v>
      </c>
      <c r="F57" t="s">
        <v>250</v>
      </c>
      <c r="G57">
        <v>5</v>
      </c>
      <c r="H57">
        <v>2</v>
      </c>
      <c r="I57" t="e">
        <f>VLOOKUP(F57,'BDD Prof. Catedra'!$A$2:$C$176,3,0)</f>
        <v>#N/A</v>
      </c>
      <c r="J57" t="e">
        <f t="shared" si="0"/>
        <v>#N/A</v>
      </c>
    </row>
    <row r="58" spans="1:10">
      <c r="A58" s="5" t="s">
        <v>40</v>
      </c>
      <c r="B58">
        <v>4</v>
      </c>
      <c r="C58">
        <v>1</v>
      </c>
      <c r="D58">
        <v>5</v>
      </c>
      <c r="F58" t="s">
        <v>40</v>
      </c>
      <c r="G58">
        <v>4</v>
      </c>
      <c r="H58">
        <v>1</v>
      </c>
      <c r="I58">
        <f>VLOOKUP(F58,'BDD Prof. Catedra'!$A$2:$C$176,3,0)</f>
        <v>4</v>
      </c>
      <c r="J58">
        <f t="shared" si="0"/>
        <v>0</v>
      </c>
    </row>
    <row r="59" spans="1:10">
      <c r="A59" s="5" t="s">
        <v>26</v>
      </c>
      <c r="B59">
        <v>7</v>
      </c>
      <c r="C59">
        <v>8</v>
      </c>
      <c r="D59">
        <v>15</v>
      </c>
      <c r="F59" t="s">
        <v>26</v>
      </c>
      <c r="G59">
        <v>7</v>
      </c>
      <c r="H59">
        <v>8</v>
      </c>
      <c r="I59">
        <f>VLOOKUP(F59,'BDD Prof. Catedra'!$A$2:$C$176,3,0)</f>
        <v>7</v>
      </c>
      <c r="J59">
        <f t="shared" si="0"/>
        <v>0</v>
      </c>
    </row>
    <row r="60" spans="1:10">
      <c r="A60" s="5" t="s">
        <v>24</v>
      </c>
      <c r="B60">
        <v>35</v>
      </c>
      <c r="C60">
        <v>14</v>
      </c>
      <c r="D60">
        <v>49</v>
      </c>
      <c r="F60" t="s">
        <v>24</v>
      </c>
      <c r="G60">
        <v>35</v>
      </c>
      <c r="H60">
        <v>14</v>
      </c>
      <c r="I60">
        <f>VLOOKUP(F60,'BDD Prof. Catedra'!$A$2:$C$176,3,0)</f>
        <v>35</v>
      </c>
      <c r="J60">
        <f t="shared" si="0"/>
        <v>0</v>
      </c>
    </row>
    <row r="61" spans="1:10">
      <c r="A61" s="5" t="s">
        <v>23</v>
      </c>
      <c r="B61">
        <v>19</v>
      </c>
      <c r="C61">
        <v>10</v>
      </c>
      <c r="D61">
        <v>29</v>
      </c>
      <c r="F61" t="s">
        <v>23</v>
      </c>
      <c r="G61">
        <v>19</v>
      </c>
      <c r="H61">
        <v>10</v>
      </c>
      <c r="I61">
        <f>VLOOKUP(F61,'BDD Prof. Catedra'!$A$2:$C$176,3,0)</f>
        <v>19</v>
      </c>
      <c r="J61">
        <f t="shared" si="0"/>
        <v>0</v>
      </c>
    </row>
    <row r="62" spans="1:10">
      <c r="A62" s="5" t="s">
        <v>25</v>
      </c>
      <c r="B62">
        <v>25</v>
      </c>
      <c r="C62">
        <v>11</v>
      </c>
      <c r="D62">
        <v>36</v>
      </c>
      <c r="F62" t="s">
        <v>25</v>
      </c>
      <c r="G62">
        <v>25</v>
      </c>
      <c r="H62">
        <v>11</v>
      </c>
      <c r="I62">
        <f>VLOOKUP(F62,'BDD Prof. Catedra'!$A$2:$C$176,3,0)</f>
        <v>25</v>
      </c>
      <c r="J62">
        <f t="shared" si="0"/>
        <v>0</v>
      </c>
    </row>
    <row r="63" spans="1:10">
      <c r="A63" s="5" t="s">
        <v>251</v>
      </c>
      <c r="B63">
        <v>8</v>
      </c>
      <c r="C63">
        <v>11</v>
      </c>
      <c r="D63">
        <v>19</v>
      </c>
      <c r="F63" t="s">
        <v>251</v>
      </c>
      <c r="G63">
        <v>8</v>
      </c>
      <c r="H63">
        <v>11</v>
      </c>
      <c r="I63">
        <f>VLOOKUP(F63,'BDD Prof. Catedra'!$A$2:$C$176,3,0)</f>
        <v>8</v>
      </c>
      <c r="J63">
        <f t="shared" si="0"/>
        <v>0</v>
      </c>
    </row>
    <row r="64" spans="1:10">
      <c r="A64" s="5" t="s">
        <v>252</v>
      </c>
      <c r="B64">
        <v>22</v>
      </c>
      <c r="C64">
        <v>20</v>
      </c>
      <c r="D64">
        <v>42</v>
      </c>
      <c r="F64" t="s">
        <v>252</v>
      </c>
      <c r="G64">
        <v>22</v>
      </c>
      <c r="H64">
        <v>20</v>
      </c>
      <c r="I64" t="e">
        <f>VLOOKUP(F64,'BDD Prof. Catedra'!$A$2:$C$176,3,0)</f>
        <v>#N/A</v>
      </c>
      <c r="J64" t="e">
        <f t="shared" si="0"/>
        <v>#N/A</v>
      </c>
    </row>
    <row r="65" spans="1:10">
      <c r="A65" s="5" t="s">
        <v>27</v>
      </c>
      <c r="B65">
        <v>24</v>
      </c>
      <c r="C65">
        <v>25</v>
      </c>
      <c r="D65">
        <v>49</v>
      </c>
      <c r="F65" t="s">
        <v>27</v>
      </c>
      <c r="G65">
        <v>24</v>
      </c>
      <c r="H65">
        <v>25</v>
      </c>
      <c r="I65">
        <f>VLOOKUP(F65,'BDD Prof. Catedra'!$A$2:$C$176,3,0)</f>
        <v>24</v>
      </c>
      <c r="J65">
        <f t="shared" si="0"/>
        <v>0</v>
      </c>
    </row>
    <row r="66" spans="1:10">
      <c r="A66" s="5" t="s">
        <v>98</v>
      </c>
      <c r="C66">
        <v>8</v>
      </c>
      <c r="D66">
        <v>8</v>
      </c>
      <c r="F66" t="s">
        <v>98</v>
      </c>
      <c r="H66">
        <v>8</v>
      </c>
      <c r="J66">
        <f t="shared" si="0"/>
        <v>0</v>
      </c>
    </row>
    <row r="67" spans="1:10">
      <c r="A67" s="5" t="s">
        <v>99</v>
      </c>
      <c r="B67">
        <v>1</v>
      </c>
      <c r="C67">
        <v>6</v>
      </c>
      <c r="D67">
        <v>7</v>
      </c>
      <c r="F67" t="s">
        <v>99</v>
      </c>
      <c r="G67">
        <v>1</v>
      </c>
      <c r="H67">
        <v>6</v>
      </c>
      <c r="I67">
        <f>VLOOKUP(F67,'BDD Prof. Catedra'!$A$2:$C$176,3,0)</f>
        <v>1</v>
      </c>
      <c r="J67">
        <f t="shared" si="0"/>
        <v>0</v>
      </c>
    </row>
    <row r="68" spans="1:10">
      <c r="A68" s="5" t="s">
        <v>101</v>
      </c>
      <c r="C68">
        <v>4</v>
      </c>
      <c r="D68">
        <v>4</v>
      </c>
      <c r="F68" t="s">
        <v>101</v>
      </c>
      <c r="H68">
        <v>4</v>
      </c>
      <c r="I68">
        <f>VLOOKUP(F68,'BDD Prof. Catedra'!$A$2:$C$176,3,0)</f>
        <v>0</v>
      </c>
      <c r="J68">
        <f t="shared" si="0"/>
        <v>0</v>
      </c>
    </row>
    <row r="69" spans="1:10">
      <c r="A69" s="5" t="s">
        <v>102</v>
      </c>
      <c r="C69">
        <v>3</v>
      </c>
      <c r="D69">
        <v>3</v>
      </c>
      <c r="F69" t="s">
        <v>102</v>
      </c>
      <c r="H69">
        <v>3</v>
      </c>
      <c r="I69">
        <f>VLOOKUP(F69,'BDD Prof. Catedra'!$A$2:$C$176,3,0)</f>
        <v>0</v>
      </c>
      <c r="J69">
        <f t="shared" si="0"/>
        <v>0</v>
      </c>
    </row>
    <row r="70" spans="1:10">
      <c r="A70" s="5" t="s">
        <v>103</v>
      </c>
      <c r="C70">
        <v>5</v>
      </c>
      <c r="D70">
        <v>5</v>
      </c>
      <c r="F70" t="s">
        <v>103</v>
      </c>
      <c r="H70">
        <v>5</v>
      </c>
      <c r="I70">
        <f>VLOOKUP(F70,'BDD Prof. Catedra'!$A$2:$C$176,3,0)</f>
        <v>0</v>
      </c>
      <c r="J70">
        <f t="shared" si="0"/>
        <v>0</v>
      </c>
    </row>
    <row r="71" spans="1:10">
      <c r="A71" s="5" t="s">
        <v>104</v>
      </c>
      <c r="B71">
        <v>2</v>
      </c>
      <c r="C71">
        <v>4</v>
      </c>
      <c r="D71">
        <v>6</v>
      </c>
      <c r="F71" t="s">
        <v>104</v>
      </c>
      <c r="G71">
        <v>2</v>
      </c>
      <c r="H71">
        <v>4</v>
      </c>
      <c r="I71">
        <f>VLOOKUP(F71,'BDD Prof. Catedra'!$A$2:$C$176,3,0)</f>
        <v>2</v>
      </c>
      <c r="J71">
        <f t="shared" si="0"/>
        <v>0</v>
      </c>
    </row>
    <row r="72" spans="1:10">
      <c r="A72" s="5" t="s">
        <v>105</v>
      </c>
      <c r="C72">
        <v>5</v>
      </c>
      <c r="D72">
        <v>5</v>
      </c>
      <c r="F72" t="s">
        <v>105</v>
      </c>
      <c r="H72">
        <v>5</v>
      </c>
      <c r="I72">
        <f>VLOOKUP(F72,'BDD Prof. Catedra'!$A$2:$C$176,3,0)</f>
        <v>0</v>
      </c>
      <c r="J72">
        <f t="shared" si="0"/>
        <v>0</v>
      </c>
    </row>
    <row r="73" spans="1:10">
      <c r="A73" s="5" t="s">
        <v>106</v>
      </c>
      <c r="B73">
        <v>2</v>
      </c>
      <c r="C73">
        <v>4</v>
      </c>
      <c r="D73">
        <v>6</v>
      </c>
      <c r="F73" t="s">
        <v>106</v>
      </c>
      <c r="G73">
        <v>2</v>
      </c>
      <c r="H73">
        <v>4</v>
      </c>
      <c r="I73">
        <f>VLOOKUP(F73,'BDD Prof. Catedra'!$A$2:$C$176,3,0)</f>
        <v>2</v>
      </c>
      <c r="J73">
        <f t="shared" si="0"/>
        <v>0</v>
      </c>
    </row>
    <row r="74" spans="1:10">
      <c r="A74" s="5" t="s">
        <v>108</v>
      </c>
      <c r="C74">
        <v>2</v>
      </c>
      <c r="D74">
        <v>2</v>
      </c>
      <c r="F74" t="s">
        <v>108</v>
      </c>
      <c r="H74">
        <v>2</v>
      </c>
      <c r="J74">
        <f t="shared" si="0"/>
        <v>0</v>
      </c>
    </row>
    <row r="75" spans="1:10">
      <c r="A75" s="5" t="s">
        <v>107</v>
      </c>
      <c r="B75">
        <v>1</v>
      </c>
      <c r="C75">
        <v>5</v>
      </c>
      <c r="D75">
        <v>6</v>
      </c>
      <c r="F75" t="s">
        <v>107</v>
      </c>
      <c r="G75">
        <v>1</v>
      </c>
      <c r="H75">
        <v>5</v>
      </c>
      <c r="I75">
        <f>VLOOKUP(F75,'BDD Prof. Catedra'!$A$2:$C$176,3,0)</f>
        <v>1</v>
      </c>
      <c r="J75">
        <f t="shared" si="0"/>
        <v>0</v>
      </c>
    </row>
    <row r="76" spans="1:10">
      <c r="A76" s="5" t="s">
        <v>233</v>
      </c>
      <c r="B76">
        <v>10</v>
      </c>
      <c r="C76">
        <v>7</v>
      </c>
      <c r="D76">
        <v>17</v>
      </c>
      <c r="F76" t="s">
        <v>233</v>
      </c>
      <c r="G76">
        <v>10</v>
      </c>
      <c r="H76">
        <v>7</v>
      </c>
      <c r="I76">
        <f>VLOOKUP(F76,'BDD Prof. Catedra'!$A$2:$C$176,3,0)</f>
        <v>10</v>
      </c>
      <c r="J76">
        <f t="shared" si="0"/>
        <v>0</v>
      </c>
    </row>
    <row r="77" spans="1:10">
      <c r="A77" s="5" t="s">
        <v>29</v>
      </c>
      <c r="B77">
        <v>5</v>
      </c>
      <c r="C77">
        <v>14</v>
      </c>
      <c r="D77">
        <v>19</v>
      </c>
      <c r="F77" t="s">
        <v>29</v>
      </c>
      <c r="G77">
        <v>5</v>
      </c>
      <c r="H77">
        <v>14</v>
      </c>
      <c r="I77">
        <f>VLOOKUP(F77,'BDD Prof. Catedra'!$A$2:$C$176,3,0)</f>
        <v>5</v>
      </c>
      <c r="J77">
        <f t="shared" si="0"/>
        <v>0</v>
      </c>
    </row>
    <row r="78" spans="1:10">
      <c r="A78" s="5" t="s">
        <v>109</v>
      </c>
      <c r="C78">
        <v>1</v>
      </c>
      <c r="D78">
        <v>1</v>
      </c>
      <c r="F78" t="s">
        <v>109</v>
      </c>
      <c r="H78">
        <v>1</v>
      </c>
      <c r="I78">
        <f>VLOOKUP(F78,'BDD Prof. Catedra'!$A$2:$C$176,3,0)</f>
        <v>0</v>
      </c>
      <c r="J78">
        <f t="shared" si="0"/>
        <v>0</v>
      </c>
    </row>
    <row r="79" spans="1:10">
      <c r="A79" s="5" t="s">
        <v>110</v>
      </c>
      <c r="B79">
        <v>2</v>
      </c>
      <c r="C79">
        <v>3</v>
      </c>
      <c r="D79">
        <v>5</v>
      </c>
      <c r="F79" t="s">
        <v>110</v>
      </c>
      <c r="G79">
        <v>2</v>
      </c>
      <c r="H79">
        <v>3</v>
      </c>
      <c r="I79">
        <f>VLOOKUP(F79,'BDD Prof. Catedra'!$A$2:$C$176,3,0)</f>
        <v>2</v>
      </c>
      <c r="J79">
        <f t="shared" si="0"/>
        <v>0</v>
      </c>
    </row>
    <row r="80" spans="1:10">
      <c r="A80" s="5" t="s">
        <v>129</v>
      </c>
      <c r="B80">
        <v>3</v>
      </c>
      <c r="C80">
        <v>1</v>
      </c>
      <c r="D80">
        <v>4</v>
      </c>
      <c r="F80" t="s">
        <v>129</v>
      </c>
      <c r="G80">
        <v>3</v>
      </c>
      <c r="H80">
        <v>1</v>
      </c>
      <c r="I80">
        <f>VLOOKUP(F80,'BDD Prof. Catedra'!$A$2:$C$176,3,0)</f>
        <v>3</v>
      </c>
      <c r="J80">
        <f t="shared" si="0"/>
        <v>0</v>
      </c>
    </row>
    <row r="81" spans="1:10">
      <c r="A81" s="5" t="s">
        <v>176</v>
      </c>
      <c r="B81">
        <v>2</v>
      </c>
      <c r="D81">
        <v>2</v>
      </c>
      <c r="F81" t="s">
        <v>176</v>
      </c>
      <c r="G81">
        <v>2</v>
      </c>
      <c r="I81">
        <f>VLOOKUP(F81,'BDD Prof. Catedra'!$A$2:$C$176,3,0)</f>
        <v>2</v>
      </c>
      <c r="J81">
        <f t="shared" si="0"/>
        <v>0</v>
      </c>
    </row>
    <row r="82" spans="1:10">
      <c r="A82" s="5" t="s">
        <v>177</v>
      </c>
      <c r="B82">
        <v>3</v>
      </c>
      <c r="D82">
        <v>3</v>
      </c>
      <c r="F82" t="s">
        <v>177</v>
      </c>
      <c r="G82">
        <v>3</v>
      </c>
      <c r="I82">
        <f>VLOOKUP(F82,'BDD Prof. Catedra'!$A$2:$C$176,3,0)</f>
        <v>3</v>
      </c>
      <c r="J82">
        <f t="shared" si="0"/>
        <v>0</v>
      </c>
    </row>
    <row r="83" spans="1:10">
      <c r="A83" s="5" t="s">
        <v>111</v>
      </c>
      <c r="B83">
        <v>1</v>
      </c>
      <c r="C83">
        <v>1</v>
      </c>
      <c r="D83">
        <v>2</v>
      </c>
      <c r="F83" t="s">
        <v>111</v>
      </c>
      <c r="G83">
        <v>1</v>
      </c>
      <c r="H83">
        <v>1</v>
      </c>
      <c r="I83">
        <f>VLOOKUP(F83,'BDD Prof. Catedra'!$A$2:$C$176,3,0)</f>
        <v>1</v>
      </c>
      <c r="J83">
        <f t="shared" si="0"/>
        <v>0</v>
      </c>
    </row>
    <row r="84" spans="1:10">
      <c r="A84" s="5" t="s">
        <v>131</v>
      </c>
      <c r="B84">
        <v>7</v>
      </c>
      <c r="D84">
        <v>7</v>
      </c>
      <c r="F84" t="s">
        <v>131</v>
      </c>
      <c r="G84">
        <v>7</v>
      </c>
      <c r="I84">
        <f>VLOOKUP(F84,'BDD Prof. Catedra'!$A$2:$C$176,3,0)</f>
        <v>7</v>
      </c>
      <c r="J84">
        <f t="shared" si="0"/>
        <v>0</v>
      </c>
    </row>
    <row r="85" spans="1:10">
      <c r="A85" s="5" t="s">
        <v>132</v>
      </c>
      <c r="B85">
        <v>3</v>
      </c>
      <c r="D85">
        <v>3</v>
      </c>
      <c r="F85" t="s">
        <v>132</v>
      </c>
      <c r="G85">
        <v>3</v>
      </c>
      <c r="I85">
        <f>VLOOKUP(F85,'BDD Prof. Catedra'!$A$2:$C$176,3,0)</f>
        <v>3</v>
      </c>
      <c r="J85">
        <f t="shared" si="0"/>
        <v>0</v>
      </c>
    </row>
    <row r="86" spans="1:10">
      <c r="A86" s="5" t="s">
        <v>137</v>
      </c>
      <c r="B86">
        <v>5</v>
      </c>
      <c r="D86">
        <v>5</v>
      </c>
      <c r="F86" t="s">
        <v>137</v>
      </c>
      <c r="G86">
        <v>3</v>
      </c>
      <c r="I86">
        <f>VLOOKUP(F86,'BDD Prof. Catedra'!$A$2:$C$176,3,0)</f>
        <v>5</v>
      </c>
      <c r="J86">
        <f t="shared" si="0"/>
        <v>2</v>
      </c>
    </row>
    <row r="87" spans="1:10">
      <c r="A87" s="5" t="s">
        <v>153</v>
      </c>
      <c r="B87">
        <v>5</v>
      </c>
      <c r="C87">
        <v>9</v>
      </c>
      <c r="D87">
        <v>14</v>
      </c>
      <c r="F87" t="s">
        <v>153</v>
      </c>
      <c r="G87">
        <v>5</v>
      </c>
      <c r="H87">
        <v>9</v>
      </c>
      <c r="I87">
        <f>VLOOKUP(F87,'BDD Prof. Catedra'!$A$2:$C$176,3,0)</f>
        <v>5</v>
      </c>
      <c r="J87">
        <f t="shared" si="0"/>
        <v>0</v>
      </c>
    </row>
    <row r="88" spans="1:10">
      <c r="A88" s="5" t="s">
        <v>114</v>
      </c>
      <c r="B88">
        <v>2</v>
      </c>
      <c r="C88">
        <v>2</v>
      </c>
      <c r="D88">
        <v>4</v>
      </c>
      <c r="F88" t="s">
        <v>114</v>
      </c>
      <c r="G88">
        <v>2</v>
      </c>
      <c r="H88">
        <v>2</v>
      </c>
      <c r="I88">
        <f>VLOOKUP(F88,'BDD Prof. Catedra'!$A$2:$C$176,3,0)</f>
        <v>2</v>
      </c>
      <c r="J88">
        <f t="shared" si="0"/>
        <v>0</v>
      </c>
    </row>
    <row r="89" spans="1:10">
      <c r="A89" s="5" t="s">
        <v>139</v>
      </c>
      <c r="B89">
        <v>6</v>
      </c>
      <c r="C89">
        <v>1</v>
      </c>
      <c r="D89">
        <v>7</v>
      </c>
      <c r="F89" t="s">
        <v>139</v>
      </c>
      <c r="G89">
        <v>4</v>
      </c>
      <c r="H89">
        <v>1</v>
      </c>
      <c r="I89">
        <f>VLOOKUP(F89,'BDD Prof. Catedra'!$A$2:$C$176,3,0)</f>
        <v>6</v>
      </c>
      <c r="J89">
        <f t="shared" si="0"/>
        <v>2</v>
      </c>
    </row>
    <row r="90" spans="1:10">
      <c r="A90" s="5" t="s">
        <v>156</v>
      </c>
      <c r="B90">
        <v>2</v>
      </c>
      <c r="D90">
        <v>2</v>
      </c>
      <c r="F90" t="s">
        <v>156</v>
      </c>
      <c r="G90">
        <v>1</v>
      </c>
      <c r="I90">
        <f>VLOOKUP(F90,'BDD Prof. Catedra'!$A$2:$C$176,3,0)</f>
        <v>2</v>
      </c>
      <c r="J90">
        <f t="shared" si="0"/>
        <v>1</v>
      </c>
    </row>
    <row r="91" spans="1:10">
      <c r="A91" s="5" t="s">
        <v>167</v>
      </c>
      <c r="B91">
        <v>2</v>
      </c>
      <c r="D91">
        <v>2</v>
      </c>
      <c r="F91" t="s">
        <v>167</v>
      </c>
      <c r="G91">
        <v>2</v>
      </c>
      <c r="I91">
        <f>VLOOKUP(F91,'BDD Prof. Catedra'!$A$2:$C$176,3,0)</f>
        <v>2</v>
      </c>
      <c r="J91">
        <f t="shared" si="0"/>
        <v>0</v>
      </c>
    </row>
    <row r="92" spans="1:10">
      <c r="A92" s="5" t="s">
        <v>168</v>
      </c>
      <c r="B92">
        <v>2</v>
      </c>
      <c r="C92">
        <v>2</v>
      </c>
      <c r="D92">
        <v>4</v>
      </c>
      <c r="F92" t="s">
        <v>168</v>
      </c>
      <c r="G92">
        <v>1</v>
      </c>
      <c r="H92">
        <v>1</v>
      </c>
      <c r="I92">
        <f>VLOOKUP(F92,'BDD Prof. Catedra'!$A$2:$C$176,3,0)</f>
        <v>3</v>
      </c>
      <c r="J92">
        <f t="shared" si="0"/>
        <v>2</v>
      </c>
    </row>
    <row r="93" spans="1:10">
      <c r="A93" s="5" t="s">
        <v>140</v>
      </c>
      <c r="B93">
        <v>3</v>
      </c>
      <c r="C93">
        <v>1</v>
      </c>
      <c r="D93">
        <v>4</v>
      </c>
      <c r="F93" t="s">
        <v>140</v>
      </c>
      <c r="G93">
        <v>2</v>
      </c>
      <c r="I93">
        <f>VLOOKUP(F93,'BDD Prof. Catedra'!$A$2:$C$176,3,0)</f>
        <v>4</v>
      </c>
      <c r="J93">
        <f t="shared" si="0"/>
        <v>2</v>
      </c>
    </row>
    <row r="94" spans="1:10">
      <c r="A94" s="5" t="s">
        <v>166</v>
      </c>
      <c r="B94">
        <v>3</v>
      </c>
      <c r="D94">
        <v>3</v>
      </c>
      <c r="F94" t="s">
        <v>166</v>
      </c>
      <c r="G94">
        <v>3</v>
      </c>
      <c r="I94">
        <f>VLOOKUP(F94,'BDD Prof. Catedra'!$A$2:$C$176,3,0)</f>
        <v>3</v>
      </c>
      <c r="J94">
        <f t="shared" si="0"/>
        <v>0</v>
      </c>
    </row>
    <row r="95" spans="1:10">
      <c r="A95" s="5" t="s">
        <v>164</v>
      </c>
      <c r="B95">
        <v>1</v>
      </c>
      <c r="D95">
        <v>1</v>
      </c>
      <c r="F95" t="s">
        <v>164</v>
      </c>
      <c r="G95">
        <v>1</v>
      </c>
      <c r="I95">
        <f>VLOOKUP(F95,'BDD Prof. Catedra'!$A$2:$C$176,3,0)</f>
        <v>1</v>
      </c>
      <c r="J95">
        <f t="shared" si="0"/>
        <v>0</v>
      </c>
    </row>
    <row r="96" spans="1:10">
      <c r="A96" s="5" t="s">
        <v>135</v>
      </c>
      <c r="B96">
        <v>1</v>
      </c>
      <c r="D96">
        <v>1</v>
      </c>
      <c r="F96" t="s">
        <v>135</v>
      </c>
      <c r="G96">
        <v>1</v>
      </c>
      <c r="I96">
        <f>VLOOKUP(F96,'BDD Prof. Catedra'!$A$2:$C$176,3,0)</f>
        <v>1</v>
      </c>
      <c r="J96">
        <f t="shared" si="0"/>
        <v>0</v>
      </c>
    </row>
    <row r="97" spans="1:10">
      <c r="A97" s="5" t="s">
        <v>141</v>
      </c>
      <c r="B97">
        <v>1</v>
      </c>
      <c r="C97">
        <v>1</v>
      </c>
      <c r="D97">
        <v>2</v>
      </c>
      <c r="F97" t="s">
        <v>141</v>
      </c>
      <c r="G97">
        <v>1</v>
      </c>
      <c r="H97">
        <v>1</v>
      </c>
      <c r="I97">
        <f>VLOOKUP(F97,'BDD Prof. Catedra'!$A$2:$C$176,3,0)</f>
        <v>1</v>
      </c>
      <c r="J97">
        <f t="shared" si="0"/>
        <v>0</v>
      </c>
    </row>
    <row r="98" spans="1:10">
      <c r="A98" s="5" t="s">
        <v>155</v>
      </c>
      <c r="B98">
        <v>3</v>
      </c>
      <c r="D98">
        <v>3</v>
      </c>
      <c r="F98" t="s">
        <v>155</v>
      </c>
      <c r="G98">
        <v>1</v>
      </c>
      <c r="I98">
        <f>VLOOKUP(F98,'BDD Prof. Catedra'!$A$2:$C$176,3,0)</f>
        <v>3</v>
      </c>
      <c r="J98">
        <f t="shared" si="0"/>
        <v>2</v>
      </c>
    </row>
    <row r="99" spans="1:10">
      <c r="A99" s="5" t="s">
        <v>142</v>
      </c>
      <c r="B99">
        <v>2</v>
      </c>
      <c r="C99">
        <v>1</v>
      </c>
      <c r="D99">
        <v>3</v>
      </c>
      <c r="F99" t="s">
        <v>142</v>
      </c>
      <c r="H99">
        <v>1</v>
      </c>
      <c r="I99">
        <f>VLOOKUP(F99,'BDD Prof. Catedra'!$A$2:$C$176,3,0)</f>
        <v>2</v>
      </c>
      <c r="J99">
        <f t="shared" si="0"/>
        <v>2</v>
      </c>
    </row>
    <row r="100" spans="1:10">
      <c r="A100" s="5" t="s">
        <v>143</v>
      </c>
      <c r="B100">
        <v>4</v>
      </c>
      <c r="D100">
        <v>4</v>
      </c>
      <c r="F100" t="s">
        <v>143</v>
      </c>
      <c r="G100">
        <v>3</v>
      </c>
      <c r="I100">
        <f>VLOOKUP(F100,'BDD Prof. Catedra'!$A$2:$C$176,3,0)</f>
        <v>5</v>
      </c>
      <c r="J100">
        <f t="shared" si="0"/>
        <v>2</v>
      </c>
    </row>
    <row r="101" spans="1:10">
      <c r="A101" s="5" t="s">
        <v>144</v>
      </c>
      <c r="B101">
        <v>7</v>
      </c>
      <c r="D101">
        <v>7</v>
      </c>
      <c r="F101" t="s">
        <v>144</v>
      </c>
      <c r="G101">
        <v>7</v>
      </c>
      <c r="I101">
        <f>VLOOKUP(F101,'BDD Prof. Catedra'!$A$2:$C$176,3,0)</f>
        <v>7</v>
      </c>
      <c r="J101">
        <f t="shared" si="0"/>
        <v>0</v>
      </c>
    </row>
    <row r="102" spans="1:10">
      <c r="A102" s="5" t="s">
        <v>136</v>
      </c>
      <c r="C102">
        <v>1</v>
      </c>
      <c r="D102">
        <v>1</v>
      </c>
      <c r="F102" t="s">
        <v>136</v>
      </c>
      <c r="H102">
        <v>1</v>
      </c>
      <c r="I102">
        <f>VLOOKUP(F102,'BDD Prof. Catedra'!$A$2:$C$176,3,0)</f>
        <v>0</v>
      </c>
      <c r="J102">
        <f t="shared" si="0"/>
        <v>0</v>
      </c>
    </row>
    <row r="103" spans="1:10">
      <c r="A103" s="5" t="s">
        <v>163</v>
      </c>
      <c r="B103">
        <v>1</v>
      </c>
      <c r="D103">
        <v>1</v>
      </c>
      <c r="F103" t="s">
        <v>163</v>
      </c>
      <c r="G103">
        <v>1</v>
      </c>
      <c r="I103">
        <f>VLOOKUP(F103,'BDD Prof. Catedra'!$A$2:$C$176,3,0)</f>
        <v>1</v>
      </c>
      <c r="J103">
        <f t="shared" si="0"/>
        <v>0</v>
      </c>
    </row>
    <row r="104" spans="1:10">
      <c r="A104" s="5" t="s">
        <v>169</v>
      </c>
      <c r="B104">
        <v>2</v>
      </c>
      <c r="C104">
        <v>1</v>
      </c>
      <c r="D104">
        <v>3</v>
      </c>
      <c r="F104" t="s">
        <v>169</v>
      </c>
      <c r="G104">
        <v>2</v>
      </c>
      <c r="H104">
        <v>1</v>
      </c>
      <c r="I104">
        <f>VLOOKUP(F104,'BDD Prof. Catedra'!$A$2:$C$176,3,0)</f>
        <v>2</v>
      </c>
      <c r="J104">
        <f t="shared" si="0"/>
        <v>0</v>
      </c>
    </row>
    <row r="105" spans="1:10">
      <c r="A105" s="5" t="s">
        <v>170</v>
      </c>
      <c r="B105">
        <v>1</v>
      </c>
      <c r="D105">
        <v>1</v>
      </c>
      <c r="F105" t="s">
        <v>170</v>
      </c>
      <c r="G105">
        <v>1</v>
      </c>
      <c r="I105">
        <f>VLOOKUP(F105,'BDD Prof. Catedra'!$A$2:$C$176,3,0)</f>
        <v>1</v>
      </c>
      <c r="J105">
        <f t="shared" si="0"/>
        <v>0</v>
      </c>
    </row>
    <row r="106" spans="1:10">
      <c r="A106" s="5" t="s">
        <v>145</v>
      </c>
      <c r="B106">
        <v>4</v>
      </c>
      <c r="D106">
        <v>4</v>
      </c>
      <c r="F106" t="s">
        <v>145</v>
      </c>
      <c r="G106">
        <v>4</v>
      </c>
      <c r="I106">
        <f>VLOOKUP(F106,'BDD Prof. Catedra'!$A$2:$C$176,3,0)</f>
        <v>4</v>
      </c>
      <c r="J106">
        <f t="shared" si="0"/>
        <v>0</v>
      </c>
    </row>
    <row r="107" spans="1:10">
      <c r="A107" s="5" t="s">
        <v>146</v>
      </c>
      <c r="B107">
        <v>2</v>
      </c>
      <c r="C107">
        <v>2</v>
      </c>
      <c r="D107">
        <v>4</v>
      </c>
      <c r="F107" t="s">
        <v>146</v>
      </c>
      <c r="G107">
        <v>1</v>
      </c>
      <c r="I107">
        <f>VLOOKUP(F107,'BDD Prof. Catedra'!$A$2:$C$176,3,0)</f>
        <v>2</v>
      </c>
      <c r="J107">
        <f t="shared" si="0"/>
        <v>1</v>
      </c>
    </row>
    <row r="108" spans="1:10">
      <c r="A108" s="5" t="s">
        <v>173</v>
      </c>
      <c r="B108">
        <v>3</v>
      </c>
      <c r="D108">
        <v>3</v>
      </c>
      <c r="F108" t="s">
        <v>173</v>
      </c>
      <c r="G108">
        <v>3</v>
      </c>
      <c r="I108">
        <f>VLOOKUP(F108,'BDD Prof. Catedra'!$A$2:$C$176,3,0)</f>
        <v>3</v>
      </c>
      <c r="J108">
        <f t="shared" si="0"/>
        <v>0</v>
      </c>
    </row>
    <row r="109" spans="1:10">
      <c r="A109" s="5" t="s">
        <v>174</v>
      </c>
      <c r="B109">
        <v>1</v>
      </c>
      <c r="C109">
        <v>1</v>
      </c>
      <c r="D109">
        <v>2</v>
      </c>
      <c r="F109" t="s">
        <v>174</v>
      </c>
      <c r="G109">
        <v>1</v>
      </c>
      <c r="H109">
        <v>1</v>
      </c>
      <c r="I109">
        <f>VLOOKUP(F109,'BDD Prof. Catedra'!$A$2:$C$176,3,0)</f>
        <v>1</v>
      </c>
      <c r="J109">
        <f t="shared" si="0"/>
        <v>0</v>
      </c>
    </row>
    <row r="110" spans="1:10">
      <c r="A110" s="5" t="s">
        <v>175</v>
      </c>
      <c r="B110">
        <v>2</v>
      </c>
      <c r="D110">
        <v>2</v>
      </c>
      <c r="F110" t="s">
        <v>175</v>
      </c>
      <c r="G110">
        <v>2</v>
      </c>
      <c r="I110">
        <f>VLOOKUP(F110,'BDD Prof. Catedra'!$A$2:$C$176,3,0)</f>
        <v>2</v>
      </c>
      <c r="J110">
        <f t="shared" si="0"/>
        <v>0</v>
      </c>
    </row>
    <row r="111" spans="1:10">
      <c r="A111" s="5" t="s">
        <v>158</v>
      </c>
      <c r="B111">
        <v>3</v>
      </c>
      <c r="D111">
        <v>3</v>
      </c>
      <c r="F111" t="s">
        <v>158</v>
      </c>
      <c r="G111">
        <v>2</v>
      </c>
      <c r="I111">
        <f>VLOOKUP(F111,'BDD Prof. Catedra'!$A$2:$C$176,3,0)</f>
        <v>3</v>
      </c>
      <c r="J111">
        <f t="shared" si="0"/>
        <v>1</v>
      </c>
    </row>
    <row r="112" spans="1:10">
      <c r="A112" s="5" t="s">
        <v>147</v>
      </c>
      <c r="B112">
        <v>2</v>
      </c>
      <c r="C112">
        <v>1</v>
      </c>
      <c r="D112">
        <v>3</v>
      </c>
      <c r="F112" t="s">
        <v>147</v>
      </c>
      <c r="G112">
        <v>1</v>
      </c>
      <c r="H112">
        <v>1</v>
      </c>
      <c r="I112">
        <f>VLOOKUP(F112,'BDD Prof. Catedra'!$A$2:$C$176,3,0)</f>
        <v>2</v>
      </c>
      <c r="J112">
        <f t="shared" si="0"/>
        <v>1</v>
      </c>
    </row>
    <row r="113" spans="1:10">
      <c r="A113" s="5" t="s">
        <v>157</v>
      </c>
      <c r="B113">
        <v>1</v>
      </c>
      <c r="D113">
        <v>1</v>
      </c>
      <c r="F113" t="s">
        <v>157</v>
      </c>
      <c r="G113">
        <v>1</v>
      </c>
      <c r="I113">
        <f>VLOOKUP(F113,'BDD Prof. Catedra'!$A$2:$C$176,3,0)</f>
        <v>1</v>
      </c>
      <c r="J113">
        <f t="shared" si="0"/>
        <v>0</v>
      </c>
    </row>
    <row r="114" spans="1:10">
      <c r="A114" s="5" t="s">
        <v>160</v>
      </c>
      <c r="C114">
        <v>1</v>
      </c>
      <c r="D114">
        <v>1</v>
      </c>
      <c r="F114" t="s">
        <v>160</v>
      </c>
      <c r="H114">
        <v>1</v>
      </c>
      <c r="I114">
        <f>VLOOKUP(F114,'BDD Prof. Catedra'!$A$2:$C$176,3,0)</f>
        <v>0</v>
      </c>
      <c r="J114">
        <f t="shared" si="0"/>
        <v>0</v>
      </c>
    </row>
    <row r="115" spans="1:10">
      <c r="A115" s="5" t="s">
        <v>172</v>
      </c>
      <c r="B115">
        <v>2</v>
      </c>
      <c r="C115">
        <v>1</v>
      </c>
      <c r="D115">
        <v>3</v>
      </c>
      <c r="F115" t="s">
        <v>172</v>
      </c>
      <c r="G115">
        <v>2</v>
      </c>
      <c r="H115">
        <v>1</v>
      </c>
      <c r="I115">
        <f>VLOOKUP(F115,'BDD Prof. Catedra'!$A$2:$C$176,3,0)</f>
        <v>2</v>
      </c>
      <c r="J115">
        <f t="shared" si="0"/>
        <v>0</v>
      </c>
    </row>
    <row r="116" spans="1:10">
      <c r="A116" s="5" t="s">
        <v>149</v>
      </c>
      <c r="B116">
        <v>2</v>
      </c>
      <c r="D116">
        <v>2</v>
      </c>
      <c r="F116" t="s">
        <v>149</v>
      </c>
      <c r="G116">
        <v>2</v>
      </c>
      <c r="I116">
        <f>VLOOKUP(F116,'BDD Prof. Catedra'!$A$2:$C$176,3,0)</f>
        <v>2</v>
      </c>
      <c r="J116">
        <f t="shared" si="0"/>
        <v>0</v>
      </c>
    </row>
    <row r="117" spans="1:10">
      <c r="A117" s="5" t="s">
        <v>115</v>
      </c>
      <c r="C117">
        <v>1</v>
      </c>
      <c r="D117">
        <v>1</v>
      </c>
      <c r="F117" t="s">
        <v>115</v>
      </c>
      <c r="H117">
        <v>1</v>
      </c>
      <c r="I117">
        <f>VLOOKUP(F117,'BDD Prof. Catedra'!$A$2:$C$176,3,0)</f>
        <v>0</v>
      </c>
      <c r="J117">
        <f t="shared" si="0"/>
        <v>0</v>
      </c>
    </row>
    <row r="118" spans="1:10">
      <c r="A118" s="5" t="s">
        <v>150</v>
      </c>
      <c r="B118">
        <v>1</v>
      </c>
      <c r="C118">
        <v>1</v>
      </c>
      <c r="D118">
        <v>2</v>
      </c>
      <c r="F118" t="s">
        <v>150</v>
      </c>
      <c r="G118">
        <v>1</v>
      </c>
      <c r="H118">
        <v>1</v>
      </c>
      <c r="I118">
        <f>VLOOKUP(F118,'BDD Prof. Catedra'!$A$2:$C$176,3,0)</f>
        <v>1</v>
      </c>
      <c r="J118">
        <f t="shared" si="0"/>
        <v>0</v>
      </c>
    </row>
    <row r="119" spans="1:10">
      <c r="A119" s="5" t="s">
        <v>118</v>
      </c>
      <c r="B119">
        <v>1</v>
      </c>
      <c r="C119">
        <v>2</v>
      </c>
      <c r="D119">
        <v>3</v>
      </c>
      <c r="F119" t="s">
        <v>118</v>
      </c>
      <c r="G119">
        <v>1</v>
      </c>
      <c r="H119">
        <v>2</v>
      </c>
      <c r="I119">
        <f>VLOOKUP(F119,'BDD Prof. Catedra'!$A$2:$C$176,3,0)</f>
        <v>1</v>
      </c>
      <c r="J119">
        <f t="shared" si="0"/>
        <v>0</v>
      </c>
    </row>
    <row r="120" spans="1:10">
      <c r="A120" s="5" t="s">
        <v>119</v>
      </c>
      <c r="B120">
        <v>3</v>
      </c>
      <c r="C120">
        <v>4</v>
      </c>
      <c r="D120">
        <v>7</v>
      </c>
      <c r="F120" t="s">
        <v>119</v>
      </c>
      <c r="G120">
        <v>3</v>
      </c>
      <c r="H120">
        <v>4</v>
      </c>
      <c r="I120">
        <f>VLOOKUP(F120,'BDD Prof. Catedra'!$A$2:$C$176,3,0)</f>
        <v>3</v>
      </c>
      <c r="J120">
        <f t="shared" ref="J120:J183" si="1">I120-G120</f>
        <v>0</v>
      </c>
    </row>
    <row r="121" spans="1:10">
      <c r="A121" s="5" t="s">
        <v>120</v>
      </c>
      <c r="B121">
        <v>1</v>
      </c>
      <c r="D121">
        <v>1</v>
      </c>
      <c r="F121" t="s">
        <v>120</v>
      </c>
      <c r="G121">
        <v>1</v>
      </c>
      <c r="I121">
        <f>VLOOKUP(F121,'BDD Prof. Catedra'!$A$2:$C$176,3,0)</f>
        <v>1</v>
      </c>
      <c r="J121">
        <f t="shared" si="1"/>
        <v>0</v>
      </c>
    </row>
    <row r="122" spans="1:10">
      <c r="A122" s="5" t="s">
        <v>121</v>
      </c>
      <c r="C122">
        <v>2</v>
      </c>
      <c r="D122">
        <v>2</v>
      </c>
      <c r="F122" t="s">
        <v>121</v>
      </c>
      <c r="H122">
        <v>2</v>
      </c>
      <c r="I122">
        <f>VLOOKUP(F122,'BDD Prof. Catedra'!$A$2:$C$176,3,0)</f>
        <v>0</v>
      </c>
      <c r="J122">
        <f t="shared" si="1"/>
        <v>0</v>
      </c>
    </row>
    <row r="123" spans="1:10">
      <c r="A123" s="5" t="s">
        <v>122</v>
      </c>
      <c r="B123">
        <v>2</v>
      </c>
      <c r="C123">
        <v>1</v>
      </c>
      <c r="D123">
        <v>3</v>
      </c>
      <c r="F123" t="s">
        <v>122</v>
      </c>
      <c r="G123">
        <v>2</v>
      </c>
      <c r="H123">
        <v>1</v>
      </c>
      <c r="I123">
        <f>VLOOKUP(F123,'BDD Prof. Catedra'!$A$2:$C$176,3,0)</f>
        <v>2</v>
      </c>
      <c r="J123">
        <f t="shared" si="1"/>
        <v>0</v>
      </c>
    </row>
    <row r="124" spans="1:10">
      <c r="A124" s="5" t="s">
        <v>161</v>
      </c>
      <c r="B124">
        <v>3</v>
      </c>
      <c r="D124">
        <v>3</v>
      </c>
      <c r="F124" t="s">
        <v>161</v>
      </c>
      <c r="G124">
        <v>1</v>
      </c>
      <c r="I124">
        <f>VLOOKUP(F124,'BDD Prof. Catedra'!$A$2:$C$176,3,0)</f>
        <v>3</v>
      </c>
      <c r="J124">
        <f t="shared" si="1"/>
        <v>2</v>
      </c>
    </row>
    <row r="125" spans="1:10">
      <c r="A125" s="5" t="s">
        <v>126</v>
      </c>
      <c r="B125">
        <v>1</v>
      </c>
      <c r="C125">
        <v>2</v>
      </c>
      <c r="D125">
        <v>3</v>
      </c>
      <c r="F125" t="s">
        <v>126</v>
      </c>
      <c r="G125">
        <v>1</v>
      </c>
      <c r="H125">
        <v>2</v>
      </c>
      <c r="I125">
        <f>VLOOKUP(F125,'BDD Prof. Catedra'!$A$2:$C$176,3,0)</f>
        <v>1</v>
      </c>
      <c r="J125">
        <f t="shared" si="1"/>
        <v>0</v>
      </c>
    </row>
    <row r="126" spans="1:10">
      <c r="A126" s="5" t="s">
        <v>151</v>
      </c>
      <c r="B126">
        <v>9</v>
      </c>
      <c r="C126">
        <v>3</v>
      </c>
      <c r="D126">
        <v>12</v>
      </c>
      <c r="F126" t="s">
        <v>151</v>
      </c>
      <c r="G126">
        <v>9</v>
      </c>
      <c r="H126">
        <v>3</v>
      </c>
      <c r="I126">
        <f>VLOOKUP(F126,'BDD Prof. Catedra'!$A$2:$C$176,3,0)</f>
        <v>9</v>
      </c>
      <c r="J126">
        <f t="shared" si="1"/>
        <v>0</v>
      </c>
    </row>
    <row r="127" spans="1:10">
      <c r="A127" s="5" t="s">
        <v>152</v>
      </c>
      <c r="B127">
        <v>3</v>
      </c>
      <c r="C127">
        <v>1</v>
      </c>
      <c r="D127">
        <v>4</v>
      </c>
      <c r="F127" t="s">
        <v>152</v>
      </c>
      <c r="G127">
        <v>3</v>
      </c>
      <c r="H127">
        <v>1</v>
      </c>
      <c r="I127">
        <f>VLOOKUP(F127,'BDD Prof. Catedra'!$A$2:$C$176,3,0)</f>
        <v>3</v>
      </c>
      <c r="J127">
        <f t="shared" si="1"/>
        <v>0</v>
      </c>
    </row>
    <row r="128" spans="1:10">
      <c r="A128" s="5" t="s">
        <v>133</v>
      </c>
      <c r="B128">
        <v>3</v>
      </c>
      <c r="D128">
        <v>3</v>
      </c>
      <c r="F128" t="s">
        <v>133</v>
      </c>
      <c r="G128">
        <v>3</v>
      </c>
      <c r="I128">
        <f>VLOOKUP(F128,'BDD Prof. Catedra'!$A$2:$C$176,3,0)</f>
        <v>3</v>
      </c>
      <c r="J128">
        <f t="shared" si="1"/>
        <v>0</v>
      </c>
    </row>
    <row r="129" spans="1:10">
      <c r="A129" s="5" t="s">
        <v>128</v>
      </c>
      <c r="C129">
        <v>2</v>
      </c>
      <c r="D129">
        <v>2</v>
      </c>
      <c r="F129" t="s">
        <v>128</v>
      </c>
      <c r="H129">
        <v>2</v>
      </c>
      <c r="I129">
        <f>VLOOKUP(F129,'BDD Prof. Catedra'!$A$2:$C$176,3,0)</f>
        <v>0</v>
      </c>
      <c r="J129">
        <f t="shared" si="1"/>
        <v>0</v>
      </c>
    </row>
    <row r="130" spans="1:10">
      <c r="A130" s="5" t="s">
        <v>134</v>
      </c>
      <c r="B130">
        <v>3</v>
      </c>
      <c r="D130">
        <v>3</v>
      </c>
      <c r="F130" t="s">
        <v>134</v>
      </c>
      <c r="G130">
        <v>3</v>
      </c>
      <c r="I130">
        <f>VLOOKUP(F130,'BDD Prof. Catedra'!$A$2:$C$176,3,0)</f>
        <v>3</v>
      </c>
      <c r="J130">
        <f t="shared" si="1"/>
        <v>0</v>
      </c>
    </row>
    <row r="131" spans="1:10">
      <c r="A131" s="5" t="s">
        <v>154</v>
      </c>
      <c r="B131">
        <v>3</v>
      </c>
      <c r="C131">
        <v>5</v>
      </c>
      <c r="D131">
        <v>8</v>
      </c>
      <c r="F131" t="s">
        <v>154</v>
      </c>
      <c r="G131">
        <v>3</v>
      </c>
      <c r="H131">
        <v>5</v>
      </c>
      <c r="I131">
        <f>VLOOKUP(F131,'BDD Prof. Catedra'!$A$2:$C$176,3,0)</f>
        <v>3</v>
      </c>
      <c r="J131">
        <f t="shared" si="1"/>
        <v>0</v>
      </c>
    </row>
    <row r="132" spans="1:10">
      <c r="A132" s="5" t="s">
        <v>31</v>
      </c>
      <c r="B132">
        <v>5</v>
      </c>
      <c r="C132">
        <v>5</v>
      </c>
      <c r="D132">
        <v>10</v>
      </c>
      <c r="F132" t="s">
        <v>31</v>
      </c>
      <c r="G132">
        <v>5</v>
      </c>
      <c r="H132">
        <v>5</v>
      </c>
      <c r="I132">
        <f>VLOOKUP(F132,'BDD Prof. Catedra'!$A$2:$C$176,3,0)</f>
        <v>5</v>
      </c>
      <c r="J132">
        <f t="shared" si="1"/>
        <v>0</v>
      </c>
    </row>
    <row r="133" spans="1:10">
      <c r="A133" s="5" t="s">
        <v>234</v>
      </c>
      <c r="B133">
        <v>18</v>
      </c>
      <c r="C133">
        <v>3</v>
      </c>
      <c r="D133">
        <v>21</v>
      </c>
      <c r="F133" t="s">
        <v>234</v>
      </c>
      <c r="G133">
        <v>18</v>
      </c>
      <c r="H133">
        <v>3</v>
      </c>
      <c r="I133">
        <f>VLOOKUP(F133,'BDD Prof. Catedra'!$A$2:$C$176,3,0)</f>
        <v>18</v>
      </c>
      <c r="J133">
        <f t="shared" si="1"/>
        <v>0</v>
      </c>
    </row>
    <row r="134" spans="1:10">
      <c r="A134" s="5" t="s">
        <v>30</v>
      </c>
      <c r="B134">
        <v>3</v>
      </c>
      <c r="C134">
        <v>23</v>
      </c>
      <c r="D134">
        <v>26</v>
      </c>
      <c r="F134" t="s">
        <v>30</v>
      </c>
      <c r="G134">
        <v>3</v>
      </c>
      <c r="H134">
        <v>23</v>
      </c>
      <c r="I134">
        <f>VLOOKUP(F134,'BDD Prof. Catedra'!$A$2:$C$176,3,0)</f>
        <v>3</v>
      </c>
      <c r="J134">
        <f t="shared" si="1"/>
        <v>0</v>
      </c>
    </row>
    <row r="135" spans="1:10">
      <c r="A135" s="5" t="s">
        <v>235</v>
      </c>
      <c r="B135">
        <v>3</v>
      </c>
      <c r="C135">
        <v>2</v>
      </c>
      <c r="D135">
        <v>5</v>
      </c>
      <c r="F135" t="s">
        <v>235</v>
      </c>
      <c r="G135">
        <v>3</v>
      </c>
      <c r="H135">
        <v>2</v>
      </c>
      <c r="I135">
        <f>VLOOKUP(F135,'BDD Prof. Catedra'!$A$2:$C$176,3,0)</f>
        <v>3</v>
      </c>
      <c r="J135">
        <f t="shared" si="1"/>
        <v>0</v>
      </c>
    </row>
    <row r="136" spans="1:10">
      <c r="A136" s="5" t="s">
        <v>32</v>
      </c>
      <c r="B136">
        <v>13</v>
      </c>
      <c r="C136">
        <v>5</v>
      </c>
      <c r="D136">
        <v>18</v>
      </c>
      <c r="F136" t="s">
        <v>32</v>
      </c>
      <c r="G136">
        <v>13</v>
      </c>
      <c r="H136">
        <v>5</v>
      </c>
      <c r="I136">
        <f>VLOOKUP(F136,'BDD Prof. Catedra'!$A$2:$C$176,3,0)</f>
        <v>13</v>
      </c>
      <c r="J136">
        <f t="shared" si="1"/>
        <v>0</v>
      </c>
    </row>
    <row r="137" spans="1:10">
      <c r="A137" s="5" t="s">
        <v>36</v>
      </c>
      <c r="B137">
        <v>3</v>
      </c>
      <c r="C137">
        <v>8</v>
      </c>
      <c r="D137">
        <v>11</v>
      </c>
      <c r="F137" t="s">
        <v>36</v>
      </c>
      <c r="G137">
        <v>3</v>
      </c>
      <c r="H137">
        <v>9</v>
      </c>
      <c r="I137">
        <f>VLOOKUP(F137,'BDD Prof. Catedra'!$A$2:$C$176,3,0)</f>
        <v>3</v>
      </c>
      <c r="J137">
        <f t="shared" si="1"/>
        <v>0</v>
      </c>
    </row>
    <row r="138" spans="1:10">
      <c r="A138" s="5" t="s">
        <v>33</v>
      </c>
      <c r="B138">
        <v>15</v>
      </c>
      <c r="C138">
        <v>19</v>
      </c>
      <c r="D138">
        <v>34</v>
      </c>
      <c r="F138" t="s">
        <v>33</v>
      </c>
      <c r="G138">
        <v>15</v>
      </c>
      <c r="H138">
        <v>19</v>
      </c>
      <c r="I138">
        <f>VLOOKUP(F138,'BDD Prof. Catedra'!$A$2:$C$176,3,0)</f>
        <v>15</v>
      </c>
      <c r="J138">
        <f t="shared" si="1"/>
        <v>0</v>
      </c>
    </row>
    <row r="139" spans="1:10">
      <c r="A139" s="5" t="s">
        <v>34</v>
      </c>
      <c r="B139">
        <v>19</v>
      </c>
      <c r="C139">
        <v>7</v>
      </c>
      <c r="D139">
        <v>26</v>
      </c>
      <c r="F139" t="s">
        <v>34</v>
      </c>
      <c r="G139">
        <v>19</v>
      </c>
      <c r="H139">
        <v>7</v>
      </c>
      <c r="I139">
        <f>VLOOKUP(F139,'BDD Prof. Catedra'!$A$2:$C$176,3,0)</f>
        <v>19</v>
      </c>
      <c r="J139">
        <f t="shared" si="1"/>
        <v>0</v>
      </c>
    </row>
    <row r="140" spans="1:10">
      <c r="A140" s="5" t="s">
        <v>35</v>
      </c>
      <c r="B140">
        <v>9</v>
      </c>
      <c r="C140">
        <v>6</v>
      </c>
      <c r="D140">
        <v>15</v>
      </c>
      <c r="F140" t="s">
        <v>35</v>
      </c>
      <c r="G140">
        <v>9</v>
      </c>
      <c r="H140">
        <v>6</v>
      </c>
      <c r="I140">
        <f>VLOOKUP(F140,'BDD Prof. Catedra'!$A$2:$C$176,3,0)</f>
        <v>9</v>
      </c>
      <c r="J140">
        <f t="shared" si="1"/>
        <v>0</v>
      </c>
    </row>
    <row r="141" spans="1:10">
      <c r="A141" s="5" t="s">
        <v>37</v>
      </c>
      <c r="B141">
        <v>18</v>
      </c>
      <c r="C141">
        <v>12</v>
      </c>
      <c r="D141">
        <v>30</v>
      </c>
      <c r="F141" t="s">
        <v>37</v>
      </c>
      <c r="G141">
        <v>18</v>
      </c>
      <c r="H141">
        <v>12</v>
      </c>
      <c r="I141">
        <f>VLOOKUP(F141,'BDD Prof. Catedra'!$A$2:$C$176,3,0)</f>
        <v>18</v>
      </c>
      <c r="J141">
        <f t="shared" si="1"/>
        <v>0</v>
      </c>
    </row>
    <row r="142" spans="1:10">
      <c r="A142" s="5" t="s">
        <v>236</v>
      </c>
      <c r="B142">
        <v>6</v>
      </c>
      <c r="C142">
        <v>2</v>
      </c>
      <c r="D142">
        <v>8</v>
      </c>
      <c r="F142" s="81" t="s">
        <v>236</v>
      </c>
      <c r="G142" s="81">
        <v>6</v>
      </c>
      <c r="H142" s="81">
        <v>2</v>
      </c>
      <c r="I142" s="81">
        <f>VLOOKUP(F142,'BDD Prof. Catedra'!$A$2:$C$176,3,0)</f>
        <v>6</v>
      </c>
      <c r="J142" s="81">
        <f t="shared" si="1"/>
        <v>0</v>
      </c>
    </row>
    <row r="143" spans="1:10">
      <c r="A143" s="5" t="s">
        <v>41</v>
      </c>
      <c r="B143">
        <v>7</v>
      </c>
      <c r="C143">
        <v>7</v>
      </c>
      <c r="D143">
        <v>14</v>
      </c>
      <c r="F143" t="s">
        <v>41</v>
      </c>
      <c r="G143">
        <v>8</v>
      </c>
      <c r="H143">
        <v>7</v>
      </c>
      <c r="I143">
        <f>VLOOKUP(F143,'BDD Prof. Catedra'!$A$2:$C$176,3,0)</f>
        <v>8</v>
      </c>
      <c r="J143">
        <f t="shared" si="1"/>
        <v>0</v>
      </c>
    </row>
    <row r="144" spans="1:10">
      <c r="A144" s="5" t="s">
        <v>28</v>
      </c>
      <c r="B144">
        <v>13</v>
      </c>
      <c r="C144">
        <v>7</v>
      </c>
      <c r="D144">
        <v>20</v>
      </c>
      <c r="F144" t="s">
        <v>28</v>
      </c>
      <c r="G144">
        <v>13</v>
      </c>
      <c r="H144">
        <v>7</v>
      </c>
      <c r="I144">
        <f>VLOOKUP(F144,'BDD Prof. Catedra'!$A$2:$C$176,3,0)</f>
        <v>13</v>
      </c>
      <c r="J144">
        <f t="shared" si="1"/>
        <v>0</v>
      </c>
    </row>
    <row r="145" spans="1:10">
      <c r="A145" s="5" t="s">
        <v>178</v>
      </c>
      <c r="B145">
        <v>9</v>
      </c>
      <c r="C145">
        <v>7</v>
      </c>
      <c r="D145">
        <v>16</v>
      </c>
      <c r="F145" t="s">
        <v>178</v>
      </c>
      <c r="G145">
        <v>8</v>
      </c>
      <c r="H145">
        <v>7</v>
      </c>
      <c r="I145">
        <f>VLOOKUP(F145,'BDD Prof. Catedra'!$A$2:$C$176,3,0)</f>
        <v>9</v>
      </c>
      <c r="J145">
        <f t="shared" si="1"/>
        <v>1</v>
      </c>
    </row>
    <row r="146" spans="1:10">
      <c r="A146" s="5" t="s">
        <v>181</v>
      </c>
      <c r="B146">
        <v>6</v>
      </c>
      <c r="C146">
        <v>6</v>
      </c>
      <c r="D146">
        <v>12</v>
      </c>
      <c r="F146" t="s">
        <v>181</v>
      </c>
      <c r="G146">
        <v>6</v>
      </c>
      <c r="H146">
        <v>6</v>
      </c>
      <c r="I146">
        <f>VLOOKUP(F146,'BDD Prof. Catedra'!$A$2:$C$176,3,0)</f>
        <v>6</v>
      </c>
      <c r="J146">
        <f t="shared" si="1"/>
        <v>0</v>
      </c>
    </row>
    <row r="147" spans="1:10">
      <c r="A147" s="5" t="s">
        <v>196</v>
      </c>
      <c r="C147">
        <v>2</v>
      </c>
      <c r="D147">
        <v>2</v>
      </c>
      <c r="F147" t="s">
        <v>196</v>
      </c>
      <c r="H147">
        <v>2</v>
      </c>
      <c r="I147">
        <f>VLOOKUP(F147,'BDD Prof. Catedra'!$A$2:$C$176,3,0)</f>
        <v>0</v>
      </c>
      <c r="J147">
        <f t="shared" si="1"/>
        <v>0</v>
      </c>
    </row>
    <row r="148" spans="1:10">
      <c r="A148" s="5" t="s">
        <v>183</v>
      </c>
      <c r="C148">
        <v>2</v>
      </c>
      <c r="D148">
        <v>2</v>
      </c>
      <c r="F148" t="s">
        <v>183</v>
      </c>
      <c r="H148">
        <v>2</v>
      </c>
      <c r="I148">
        <f>VLOOKUP(F148,'BDD Prof. Catedra'!$A$2:$C$176,3,0)</f>
        <v>0</v>
      </c>
      <c r="J148">
        <f t="shared" si="1"/>
        <v>0</v>
      </c>
    </row>
    <row r="149" spans="1:10">
      <c r="A149" s="5" t="s">
        <v>185</v>
      </c>
      <c r="B149">
        <v>5</v>
      </c>
      <c r="C149">
        <v>2</v>
      </c>
      <c r="D149">
        <v>7</v>
      </c>
      <c r="F149" t="s">
        <v>185</v>
      </c>
      <c r="G149">
        <v>5</v>
      </c>
      <c r="H149">
        <v>2</v>
      </c>
      <c r="I149">
        <f>VLOOKUP(F149,'BDD Prof. Catedra'!$A$2:$C$176,3,0)</f>
        <v>5</v>
      </c>
      <c r="J149">
        <f t="shared" si="1"/>
        <v>0</v>
      </c>
    </row>
    <row r="150" spans="1:10">
      <c r="A150" s="5" t="s">
        <v>186</v>
      </c>
      <c r="B150">
        <v>1</v>
      </c>
      <c r="C150">
        <v>1</v>
      </c>
      <c r="D150">
        <v>2</v>
      </c>
      <c r="F150" t="s">
        <v>186</v>
      </c>
      <c r="G150">
        <v>1</v>
      </c>
      <c r="H150">
        <v>1</v>
      </c>
      <c r="I150">
        <f>VLOOKUP(F150,'BDD Prof. Catedra'!$A$2:$C$176,3,0)</f>
        <v>1</v>
      </c>
      <c r="J150">
        <f t="shared" si="1"/>
        <v>0</v>
      </c>
    </row>
    <row r="151" spans="1:10">
      <c r="A151" s="5" t="s">
        <v>187</v>
      </c>
      <c r="B151">
        <v>14</v>
      </c>
      <c r="C151">
        <v>1</v>
      </c>
      <c r="D151">
        <v>15</v>
      </c>
      <c r="F151" t="s">
        <v>187</v>
      </c>
      <c r="G151">
        <v>10</v>
      </c>
      <c r="H151">
        <v>1</v>
      </c>
      <c r="I151">
        <f>VLOOKUP(F151,'BDD Prof. Catedra'!$A$2:$C$176,3,0)</f>
        <v>14</v>
      </c>
      <c r="J151">
        <f t="shared" si="1"/>
        <v>4</v>
      </c>
    </row>
    <row r="152" spans="1:10">
      <c r="A152" s="5" t="s">
        <v>188</v>
      </c>
      <c r="B152">
        <v>4</v>
      </c>
      <c r="C152">
        <v>5</v>
      </c>
      <c r="D152">
        <v>9</v>
      </c>
      <c r="F152" t="s">
        <v>188</v>
      </c>
      <c r="G152">
        <v>1</v>
      </c>
      <c r="H152">
        <v>1</v>
      </c>
      <c r="I152">
        <f>VLOOKUP(F152,'BDD Prof. Catedra'!$A$2:$C$176,3,0)</f>
        <v>4</v>
      </c>
      <c r="J152">
        <f t="shared" si="1"/>
        <v>3</v>
      </c>
    </row>
    <row r="153" spans="1:10">
      <c r="A153" s="5" t="s">
        <v>189</v>
      </c>
      <c r="B153">
        <v>2</v>
      </c>
      <c r="C153">
        <v>1</v>
      </c>
      <c r="D153">
        <v>3</v>
      </c>
      <c r="F153" t="s">
        <v>189</v>
      </c>
      <c r="G153">
        <v>2</v>
      </c>
      <c r="H153">
        <v>1</v>
      </c>
      <c r="I153">
        <f>VLOOKUP(F153,'BDD Prof. Catedra'!$A$2:$C$176,3,0)</f>
        <v>2</v>
      </c>
      <c r="J153">
        <f t="shared" si="1"/>
        <v>0</v>
      </c>
    </row>
    <row r="154" spans="1:10">
      <c r="A154" s="5" t="s">
        <v>209</v>
      </c>
      <c r="B154">
        <v>2</v>
      </c>
      <c r="D154">
        <v>2</v>
      </c>
      <c r="F154" t="s">
        <v>209</v>
      </c>
      <c r="G154">
        <v>2</v>
      </c>
      <c r="I154">
        <f>VLOOKUP(F154,'BDD Prof. Catedra'!$A$2:$C$176,3,0)</f>
        <v>2</v>
      </c>
      <c r="J154">
        <f t="shared" si="1"/>
        <v>0</v>
      </c>
    </row>
    <row r="155" spans="1:10">
      <c r="A155" s="5" t="s">
        <v>216</v>
      </c>
      <c r="C155">
        <v>2</v>
      </c>
      <c r="D155">
        <v>2</v>
      </c>
      <c r="F155" t="s">
        <v>216</v>
      </c>
      <c r="H155">
        <v>1</v>
      </c>
      <c r="I155">
        <f>VLOOKUP(F155,'BDD Prof. Catedra'!$A$2:$C$176,3,0)</f>
        <v>0</v>
      </c>
      <c r="J155">
        <f t="shared" si="1"/>
        <v>0</v>
      </c>
    </row>
    <row r="156" spans="1:10">
      <c r="A156" s="5" t="s">
        <v>190</v>
      </c>
      <c r="B156">
        <v>6</v>
      </c>
      <c r="C156">
        <v>1</v>
      </c>
      <c r="D156">
        <v>7</v>
      </c>
      <c r="F156" t="s">
        <v>190</v>
      </c>
      <c r="G156">
        <v>5</v>
      </c>
      <c r="H156">
        <v>1</v>
      </c>
      <c r="I156">
        <f>VLOOKUP(F156,'BDD Prof. Catedra'!$A$2:$C$176,3,0)</f>
        <v>6</v>
      </c>
      <c r="J156">
        <f t="shared" si="1"/>
        <v>1</v>
      </c>
    </row>
    <row r="157" spans="1:10">
      <c r="A157" s="5" t="s">
        <v>208</v>
      </c>
      <c r="B157">
        <v>2</v>
      </c>
      <c r="C157">
        <v>1</v>
      </c>
      <c r="D157">
        <v>3</v>
      </c>
      <c r="F157" t="s">
        <v>208</v>
      </c>
      <c r="G157">
        <v>2</v>
      </c>
      <c r="H157">
        <v>1</v>
      </c>
      <c r="I157">
        <f>VLOOKUP(F157,'BDD Prof. Catedra'!$A$2:$C$176,3,0)</f>
        <v>2</v>
      </c>
      <c r="J157">
        <f t="shared" si="1"/>
        <v>0</v>
      </c>
    </row>
    <row r="158" spans="1:10">
      <c r="A158" s="5" t="s">
        <v>179</v>
      </c>
      <c r="B158">
        <v>5</v>
      </c>
      <c r="C158">
        <v>20</v>
      </c>
      <c r="D158">
        <v>25</v>
      </c>
      <c r="F158" t="s">
        <v>179</v>
      </c>
      <c r="G158">
        <v>5</v>
      </c>
      <c r="H158">
        <v>20</v>
      </c>
      <c r="I158">
        <f>VLOOKUP(F158,'BDD Prof. Catedra'!$A$2:$C$176,3,0)</f>
        <v>5</v>
      </c>
      <c r="J158">
        <f t="shared" si="1"/>
        <v>0</v>
      </c>
    </row>
    <row r="159" spans="1:10">
      <c r="A159" s="5" t="s">
        <v>191</v>
      </c>
      <c r="B159">
        <v>1</v>
      </c>
      <c r="C159">
        <v>1</v>
      </c>
      <c r="D159">
        <v>2</v>
      </c>
      <c r="F159" t="s">
        <v>191</v>
      </c>
      <c r="G159">
        <v>1</v>
      </c>
      <c r="I159">
        <f>VLOOKUP(F159,'BDD Prof. Catedra'!$A$2:$C$176,3,0)</f>
        <v>1</v>
      </c>
      <c r="J159">
        <f t="shared" si="1"/>
        <v>0</v>
      </c>
    </row>
    <row r="160" spans="1:10">
      <c r="A160" s="5" t="s">
        <v>193</v>
      </c>
      <c r="C160">
        <v>1</v>
      </c>
      <c r="D160">
        <v>1</v>
      </c>
      <c r="F160" t="s">
        <v>193</v>
      </c>
      <c r="H160">
        <v>1</v>
      </c>
      <c r="I160">
        <f>VLOOKUP(F160,'BDD Prof. Catedra'!$A$2:$C$176,3,0)</f>
        <v>0</v>
      </c>
      <c r="J160">
        <f t="shared" si="1"/>
        <v>0</v>
      </c>
    </row>
    <row r="161" spans="1:10">
      <c r="A161" s="5" t="s">
        <v>197</v>
      </c>
      <c r="B161">
        <v>2</v>
      </c>
      <c r="C161">
        <v>6</v>
      </c>
      <c r="D161">
        <v>8</v>
      </c>
      <c r="F161" t="s">
        <v>197</v>
      </c>
      <c r="G161">
        <v>2</v>
      </c>
      <c r="H161">
        <v>6</v>
      </c>
      <c r="I161">
        <f>VLOOKUP(F161,'BDD Prof. Catedra'!$A$2:$C$176,3,0)</f>
        <v>2</v>
      </c>
      <c r="J161">
        <f t="shared" si="1"/>
        <v>0</v>
      </c>
    </row>
    <row r="162" spans="1:10">
      <c r="A162" s="5" t="s">
        <v>212</v>
      </c>
      <c r="B162">
        <v>2</v>
      </c>
      <c r="C162">
        <v>5</v>
      </c>
      <c r="D162">
        <v>7</v>
      </c>
      <c r="F162" t="s">
        <v>212</v>
      </c>
      <c r="G162">
        <v>2</v>
      </c>
      <c r="H162">
        <v>5</v>
      </c>
      <c r="I162">
        <f>VLOOKUP(F162,'BDD Prof. Catedra'!$A$2:$C$176,3,0)</f>
        <v>2</v>
      </c>
      <c r="J162">
        <f t="shared" si="1"/>
        <v>0</v>
      </c>
    </row>
    <row r="163" spans="1:10">
      <c r="A163" s="5" t="s">
        <v>195</v>
      </c>
      <c r="B163">
        <v>2</v>
      </c>
      <c r="C163">
        <v>2</v>
      </c>
      <c r="D163">
        <v>4</v>
      </c>
      <c r="F163" t="s">
        <v>195</v>
      </c>
      <c r="G163">
        <v>2</v>
      </c>
      <c r="H163">
        <v>2</v>
      </c>
      <c r="I163">
        <f>VLOOKUP(F163,'BDD Prof. Catedra'!$A$2:$C$176,3,0)</f>
        <v>2</v>
      </c>
      <c r="J163">
        <f t="shared" si="1"/>
        <v>0</v>
      </c>
    </row>
    <row r="164" spans="1:10">
      <c r="A164" s="5" t="s">
        <v>211</v>
      </c>
      <c r="C164">
        <v>8</v>
      </c>
      <c r="D164">
        <v>8</v>
      </c>
      <c r="F164" t="s">
        <v>211</v>
      </c>
      <c r="H164">
        <v>8</v>
      </c>
      <c r="I164">
        <f>VLOOKUP(F164,'BDD Prof. Catedra'!$A$2:$C$176,3,0)</f>
        <v>0</v>
      </c>
      <c r="J164">
        <f t="shared" si="1"/>
        <v>0</v>
      </c>
    </row>
    <row r="165" spans="1:10">
      <c r="A165" s="5" t="s">
        <v>180</v>
      </c>
      <c r="B165">
        <v>8</v>
      </c>
      <c r="C165">
        <v>3</v>
      </c>
      <c r="D165">
        <v>11</v>
      </c>
      <c r="F165" t="s">
        <v>180</v>
      </c>
      <c r="G165">
        <v>8</v>
      </c>
      <c r="H165">
        <v>3</v>
      </c>
      <c r="I165">
        <f>VLOOKUP(F165,'BDD Prof. Catedra'!$A$2:$C$176,3,0)</f>
        <v>8</v>
      </c>
      <c r="J165">
        <f t="shared" si="1"/>
        <v>0</v>
      </c>
    </row>
    <row r="166" spans="1:10">
      <c r="A166" s="5" t="s">
        <v>198</v>
      </c>
      <c r="B166">
        <v>6</v>
      </c>
      <c r="C166">
        <v>3</v>
      </c>
      <c r="D166">
        <v>9</v>
      </c>
      <c r="F166" t="s">
        <v>198</v>
      </c>
      <c r="G166">
        <v>3</v>
      </c>
      <c r="H166">
        <v>3</v>
      </c>
      <c r="I166">
        <f>VLOOKUP(F166,'BDD Prof. Catedra'!$A$2:$C$176,3,0)</f>
        <v>5</v>
      </c>
      <c r="J166">
        <f t="shared" si="1"/>
        <v>2</v>
      </c>
    </row>
    <row r="167" spans="1:10">
      <c r="A167" s="5" t="s">
        <v>214</v>
      </c>
      <c r="B167">
        <v>3</v>
      </c>
      <c r="C167">
        <v>3</v>
      </c>
      <c r="D167">
        <v>6</v>
      </c>
      <c r="F167" t="s">
        <v>214</v>
      </c>
      <c r="G167">
        <v>3</v>
      </c>
      <c r="H167">
        <v>3</v>
      </c>
      <c r="I167">
        <f>VLOOKUP(F167,'BDD Prof. Catedra'!$A$2:$C$176,3,0)</f>
        <v>3</v>
      </c>
      <c r="J167">
        <f t="shared" si="1"/>
        <v>0</v>
      </c>
    </row>
    <row r="168" spans="1:10">
      <c r="A168" s="5" t="s">
        <v>199</v>
      </c>
      <c r="B168">
        <v>11</v>
      </c>
      <c r="C168">
        <v>4</v>
      </c>
      <c r="D168">
        <v>15</v>
      </c>
      <c r="F168" t="s">
        <v>199</v>
      </c>
      <c r="G168">
        <v>9</v>
      </c>
      <c r="H168">
        <v>4</v>
      </c>
      <c r="I168">
        <f>VLOOKUP(F168,'BDD Prof. Catedra'!$A$2:$C$176,3,0)</f>
        <v>11</v>
      </c>
      <c r="J168">
        <f t="shared" si="1"/>
        <v>2</v>
      </c>
    </row>
    <row r="169" spans="1:10">
      <c r="A169" s="5" t="s">
        <v>200</v>
      </c>
      <c r="B169">
        <v>2</v>
      </c>
      <c r="C169">
        <v>3</v>
      </c>
      <c r="D169">
        <v>5</v>
      </c>
      <c r="F169" t="s">
        <v>200</v>
      </c>
      <c r="G169">
        <v>2</v>
      </c>
      <c r="H169">
        <v>3</v>
      </c>
      <c r="I169">
        <f>VLOOKUP(F169,'BDD Prof. Catedra'!$A$2:$C$176,3,0)</f>
        <v>2</v>
      </c>
      <c r="J169">
        <f t="shared" si="1"/>
        <v>0</v>
      </c>
    </row>
    <row r="170" spans="1:10">
      <c r="A170" s="5" t="s">
        <v>201</v>
      </c>
      <c r="B170">
        <v>8</v>
      </c>
      <c r="C170">
        <v>4</v>
      </c>
      <c r="D170">
        <v>12</v>
      </c>
      <c r="F170" t="s">
        <v>201</v>
      </c>
      <c r="G170">
        <v>6</v>
      </c>
      <c r="H170">
        <v>4</v>
      </c>
      <c r="I170">
        <f>VLOOKUP(F170,'BDD Prof. Catedra'!$A$2:$C$176,3,0)</f>
        <v>8</v>
      </c>
      <c r="J170">
        <f t="shared" si="1"/>
        <v>2</v>
      </c>
    </row>
    <row r="171" spans="1:10">
      <c r="A171" s="5" t="s">
        <v>202</v>
      </c>
      <c r="B171">
        <v>2</v>
      </c>
      <c r="C171">
        <v>2</v>
      </c>
      <c r="D171">
        <v>4</v>
      </c>
      <c r="F171" t="s">
        <v>202</v>
      </c>
      <c r="G171">
        <v>2</v>
      </c>
      <c r="H171">
        <v>2</v>
      </c>
      <c r="I171">
        <f>VLOOKUP(F171,'BDD Prof. Catedra'!$A$2:$C$176,3,0)</f>
        <v>2</v>
      </c>
      <c r="J171">
        <f t="shared" si="1"/>
        <v>0</v>
      </c>
    </row>
    <row r="172" spans="1:10">
      <c r="A172" s="5" t="s">
        <v>204</v>
      </c>
      <c r="B172">
        <v>11</v>
      </c>
      <c r="C172">
        <v>1</v>
      </c>
      <c r="D172">
        <v>12</v>
      </c>
      <c r="F172" t="s">
        <v>204</v>
      </c>
      <c r="G172">
        <v>9</v>
      </c>
      <c r="H172">
        <v>1</v>
      </c>
      <c r="I172">
        <f>VLOOKUP(F172,'BDD Prof. Catedra'!$A$2:$C$176,3,0)</f>
        <v>12</v>
      </c>
      <c r="J172">
        <f t="shared" si="1"/>
        <v>3</v>
      </c>
    </row>
    <row r="173" spans="1:10">
      <c r="A173" s="5" t="s">
        <v>217</v>
      </c>
      <c r="B173">
        <v>1</v>
      </c>
      <c r="C173">
        <v>4</v>
      </c>
      <c r="D173">
        <v>5</v>
      </c>
      <c r="F173" t="s">
        <v>217</v>
      </c>
      <c r="G173">
        <v>1</v>
      </c>
      <c r="H173">
        <v>4</v>
      </c>
      <c r="I173">
        <f>VLOOKUP(F173,'BDD Prof. Catedra'!$A$2:$C$176,3,0)</f>
        <v>1</v>
      </c>
      <c r="J173">
        <f t="shared" si="1"/>
        <v>0</v>
      </c>
    </row>
    <row r="174" spans="1:10">
      <c r="A174" s="5" t="s">
        <v>213</v>
      </c>
      <c r="B174">
        <v>4</v>
      </c>
      <c r="C174">
        <v>2</v>
      </c>
      <c r="D174">
        <v>6</v>
      </c>
      <c r="F174" t="s">
        <v>213</v>
      </c>
      <c r="G174">
        <v>4</v>
      </c>
      <c r="H174">
        <v>2</v>
      </c>
      <c r="I174">
        <f>VLOOKUP(F174,'BDD Prof. Catedra'!$A$2:$C$176,3,0)</f>
        <v>4</v>
      </c>
      <c r="J174">
        <f t="shared" si="1"/>
        <v>0</v>
      </c>
    </row>
    <row r="175" spans="1:10">
      <c r="A175" s="5" t="s">
        <v>192</v>
      </c>
      <c r="B175">
        <v>3</v>
      </c>
      <c r="C175">
        <v>1</v>
      </c>
      <c r="D175">
        <v>4</v>
      </c>
      <c r="F175" t="s">
        <v>192</v>
      </c>
      <c r="G175">
        <v>3</v>
      </c>
      <c r="H175">
        <v>1</v>
      </c>
      <c r="I175">
        <f>VLOOKUP(F175,'BDD Prof. Catedra'!$A$2:$C$176,3,0)</f>
        <v>3</v>
      </c>
      <c r="J175">
        <f t="shared" si="1"/>
        <v>0</v>
      </c>
    </row>
    <row r="176" spans="1:10">
      <c r="A176" s="5" t="s">
        <v>210</v>
      </c>
      <c r="B176">
        <v>2</v>
      </c>
      <c r="D176">
        <v>2</v>
      </c>
      <c r="F176" t="s">
        <v>210</v>
      </c>
      <c r="G176">
        <v>1</v>
      </c>
      <c r="I176">
        <f>VLOOKUP(F176,'BDD Prof. Catedra'!$A$2:$C$176,3,0)</f>
        <v>2</v>
      </c>
      <c r="J176">
        <f t="shared" si="1"/>
        <v>1</v>
      </c>
    </row>
    <row r="177" spans="1:10">
      <c r="A177" s="5" t="s">
        <v>215</v>
      </c>
      <c r="B177">
        <v>5</v>
      </c>
      <c r="C177">
        <v>1</v>
      </c>
      <c r="D177">
        <v>6</v>
      </c>
      <c r="F177" t="s">
        <v>215</v>
      </c>
      <c r="G177">
        <v>3</v>
      </c>
      <c r="I177">
        <f>VLOOKUP(F177,'BDD Prof. Catedra'!$A$2:$C$176,3,0)</f>
        <v>5</v>
      </c>
      <c r="J177">
        <f t="shared" si="1"/>
        <v>2</v>
      </c>
    </row>
    <row r="178" spans="1:10">
      <c r="A178" s="5" t="s">
        <v>184</v>
      </c>
      <c r="B178">
        <v>1</v>
      </c>
      <c r="C178">
        <v>2</v>
      </c>
      <c r="D178">
        <v>3</v>
      </c>
      <c r="F178" t="s">
        <v>184</v>
      </c>
      <c r="G178">
        <v>1</v>
      </c>
      <c r="H178">
        <v>2</v>
      </c>
      <c r="I178">
        <f>VLOOKUP(F178,'BDD Prof. Catedra'!$A$2:$C$176,3,0)</f>
        <v>1</v>
      </c>
      <c r="J178">
        <f t="shared" si="1"/>
        <v>0</v>
      </c>
    </row>
    <row r="179" spans="1:10">
      <c r="A179" s="5" t="s">
        <v>205</v>
      </c>
      <c r="B179">
        <v>1</v>
      </c>
      <c r="C179">
        <v>7</v>
      </c>
      <c r="D179">
        <v>8</v>
      </c>
      <c r="F179" t="s">
        <v>205</v>
      </c>
      <c r="G179">
        <v>1</v>
      </c>
      <c r="H179">
        <v>7</v>
      </c>
      <c r="I179">
        <f>VLOOKUP(F179,'BDD Prof. Catedra'!$A$2:$C$176,3,0)</f>
        <v>1</v>
      </c>
      <c r="J179">
        <f t="shared" si="1"/>
        <v>0</v>
      </c>
    </row>
    <row r="180" spans="1:10">
      <c r="A180" s="5" t="s">
        <v>206</v>
      </c>
      <c r="C180">
        <v>2</v>
      </c>
      <c r="D180">
        <v>2</v>
      </c>
      <c r="F180" t="s">
        <v>206</v>
      </c>
      <c r="H180">
        <v>2</v>
      </c>
      <c r="I180">
        <f>VLOOKUP(F180,'BDD Prof. Catedra'!$A$2:$C$176,3,0)</f>
        <v>0</v>
      </c>
      <c r="J180">
        <f t="shared" si="1"/>
        <v>0</v>
      </c>
    </row>
    <row r="181" spans="1:10">
      <c r="A181" s="5" t="s">
        <v>207</v>
      </c>
      <c r="B181">
        <v>2</v>
      </c>
      <c r="C181">
        <v>2</v>
      </c>
      <c r="D181">
        <v>4</v>
      </c>
      <c r="F181" t="s">
        <v>207</v>
      </c>
      <c r="G181">
        <v>2</v>
      </c>
      <c r="H181">
        <v>2</v>
      </c>
      <c r="I181">
        <f>VLOOKUP(F181,'BDD Prof. Catedra'!$A$2:$C$176,3,0)</f>
        <v>2</v>
      </c>
      <c r="J181">
        <f t="shared" si="1"/>
        <v>0</v>
      </c>
    </row>
    <row r="182" spans="1:10">
      <c r="A182" s="5" t="s">
        <v>194</v>
      </c>
      <c r="B182">
        <v>2</v>
      </c>
      <c r="C182">
        <v>2</v>
      </c>
      <c r="D182">
        <v>4</v>
      </c>
      <c r="F182" t="s">
        <v>194</v>
      </c>
      <c r="G182">
        <v>2</v>
      </c>
      <c r="H182">
        <v>2</v>
      </c>
      <c r="I182">
        <f>VLOOKUP(F182,'BDD Prof. Catedra'!$A$2:$C$176,3,0)</f>
        <v>2</v>
      </c>
      <c r="J182">
        <f t="shared" si="1"/>
        <v>0</v>
      </c>
    </row>
    <row r="183" spans="1:10">
      <c r="A183" s="5" t="s">
        <v>203</v>
      </c>
      <c r="B183">
        <v>4</v>
      </c>
      <c r="C183">
        <v>2</v>
      </c>
      <c r="D183">
        <v>6</v>
      </c>
      <c r="F183" t="s">
        <v>203</v>
      </c>
      <c r="G183">
        <v>4</v>
      </c>
      <c r="H183">
        <v>2</v>
      </c>
      <c r="I183">
        <f>VLOOKUP(F183,'BDD Prof. Catedra'!$A$2:$C$176,3,0)</f>
        <v>4</v>
      </c>
      <c r="J183">
        <f t="shared" si="1"/>
        <v>0</v>
      </c>
    </row>
    <row r="184" spans="1:10">
      <c r="A184" s="5" t="s">
        <v>38</v>
      </c>
      <c r="B184">
        <v>45</v>
      </c>
      <c r="C184">
        <v>48</v>
      </c>
      <c r="D184">
        <v>93</v>
      </c>
      <c r="F184" t="s">
        <v>38</v>
      </c>
      <c r="G184">
        <v>45</v>
      </c>
      <c r="H184">
        <v>48</v>
      </c>
      <c r="I184">
        <f>VLOOKUP(F184,'BDD Prof. Catedra'!$A$2:$C$176,3,0)</f>
        <v>45</v>
      </c>
      <c r="J184">
        <f t="shared" ref="J184:J188" si="2">I184-G184</f>
        <v>0</v>
      </c>
    </row>
    <row r="185" spans="1:10">
      <c r="A185" s="5" t="s">
        <v>237</v>
      </c>
      <c r="B185">
        <v>11</v>
      </c>
      <c r="C185">
        <v>3</v>
      </c>
      <c r="D185">
        <v>14</v>
      </c>
      <c r="F185" s="81" t="s">
        <v>237</v>
      </c>
      <c r="G185" s="81">
        <v>11</v>
      </c>
      <c r="H185" s="81">
        <v>3</v>
      </c>
      <c r="I185" s="81">
        <f>VLOOKUP(F185,'BDD Prof. Catedra'!$A$2:$C$176,3,0)</f>
        <v>11</v>
      </c>
      <c r="J185" s="81">
        <f t="shared" si="2"/>
        <v>0</v>
      </c>
    </row>
    <row r="186" spans="1:10">
      <c r="A186" s="5" t="s">
        <v>238</v>
      </c>
      <c r="B186">
        <v>7</v>
      </c>
      <c r="C186">
        <v>4</v>
      </c>
      <c r="D186">
        <v>11</v>
      </c>
      <c r="F186" t="s">
        <v>238</v>
      </c>
      <c r="G186">
        <v>7</v>
      </c>
      <c r="H186">
        <v>4</v>
      </c>
      <c r="I186">
        <f>VLOOKUP(F186,'BDD Prof. Catedra'!$A$2:$C$176,3,0)</f>
        <v>7</v>
      </c>
      <c r="J186">
        <f t="shared" si="2"/>
        <v>0</v>
      </c>
    </row>
    <row r="187" spans="1:10">
      <c r="A187" s="5" t="s">
        <v>39</v>
      </c>
      <c r="B187">
        <v>13</v>
      </c>
      <c r="C187">
        <v>16</v>
      </c>
      <c r="D187">
        <v>29</v>
      </c>
      <c r="F187" t="s">
        <v>39</v>
      </c>
      <c r="G187">
        <v>13</v>
      </c>
      <c r="H187">
        <v>16</v>
      </c>
      <c r="I187">
        <f>VLOOKUP(F187,'BDD Prof. Catedra'!$A$2:$C$176,3,0)</f>
        <v>13</v>
      </c>
      <c r="J187">
        <f t="shared" si="2"/>
        <v>0</v>
      </c>
    </row>
    <row r="188" spans="1:10">
      <c r="A188" s="5" t="s">
        <v>239</v>
      </c>
      <c r="B188">
        <v>9</v>
      </c>
      <c r="C188">
        <v>4</v>
      </c>
      <c r="D188">
        <v>13</v>
      </c>
      <c r="F188" t="s">
        <v>239</v>
      </c>
      <c r="G188">
        <v>9</v>
      </c>
      <c r="H188">
        <v>4</v>
      </c>
      <c r="I188">
        <f>VLOOKUP(F188,'BDD Prof. Catedra'!$A$2:$C$176,3,0)</f>
        <v>9</v>
      </c>
      <c r="J188">
        <f t="shared" si="2"/>
        <v>0</v>
      </c>
    </row>
    <row r="189" spans="1:10">
      <c r="A189" s="5" t="s">
        <v>62</v>
      </c>
      <c r="B189">
        <v>681</v>
      </c>
      <c r="C189">
        <v>542</v>
      </c>
      <c r="D189">
        <v>1223</v>
      </c>
      <c r="G189">
        <f>SUM(G55:G188)</f>
        <v>644</v>
      </c>
      <c r="H189">
        <f t="shared" ref="H189" si="3">SUM(H55:H188)</f>
        <v>532</v>
      </c>
      <c r="I189" t="e">
        <f>SUM(I55:I188)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78"/>
  <sheetViews>
    <sheetView topLeftCell="B97" workbookViewId="0">
      <selection activeCell="D107" sqref="D107"/>
    </sheetView>
  </sheetViews>
  <sheetFormatPr defaultColWidth="11.42578125" defaultRowHeight="15"/>
  <cols>
    <col min="1" max="1" width="92.42578125" bestFit="1" customWidth="1"/>
    <col min="3" max="3" width="71.42578125" customWidth="1"/>
    <col min="4" max="4" width="11.42578125" customWidth="1"/>
    <col min="5" max="5" width="11.85546875" bestFit="1" customWidth="1"/>
    <col min="7" max="8" width="11.85546875" bestFit="1" customWidth="1"/>
  </cols>
  <sheetData>
    <row r="1" spans="1:4">
      <c r="A1" s="101" t="s">
        <v>253</v>
      </c>
      <c r="B1" s="6" t="s">
        <v>254</v>
      </c>
      <c r="C1" s="6" t="s">
        <v>255</v>
      </c>
      <c r="D1" s="6" t="s">
        <v>256</v>
      </c>
    </row>
    <row r="2" spans="1:4">
      <c r="A2" t="s">
        <v>109</v>
      </c>
      <c r="B2">
        <v>1</v>
      </c>
      <c r="C2" t="s">
        <v>257</v>
      </c>
      <c r="D2">
        <v>7</v>
      </c>
    </row>
    <row r="3" spans="1:4">
      <c r="A3" t="s">
        <v>110</v>
      </c>
      <c r="B3">
        <v>2</v>
      </c>
      <c r="C3" t="s">
        <v>258</v>
      </c>
      <c r="D3">
        <v>23</v>
      </c>
    </row>
    <row r="4" spans="1:4">
      <c r="A4" t="s">
        <v>111</v>
      </c>
      <c r="B4">
        <v>3</v>
      </c>
      <c r="C4" t="s">
        <v>259</v>
      </c>
      <c r="D4">
        <v>4</v>
      </c>
    </row>
    <row r="5" spans="1:4">
      <c r="A5" t="s">
        <v>113</v>
      </c>
      <c r="B5">
        <v>4</v>
      </c>
      <c r="C5" t="s">
        <v>260</v>
      </c>
      <c r="D5">
        <v>1</v>
      </c>
    </row>
    <row r="6" spans="1:4">
      <c r="A6" t="s">
        <v>114</v>
      </c>
      <c r="B6">
        <v>5</v>
      </c>
      <c r="C6" t="s">
        <v>261</v>
      </c>
      <c r="D6">
        <v>10</v>
      </c>
    </row>
    <row r="7" spans="1:4">
      <c r="A7" t="s">
        <v>115</v>
      </c>
      <c r="B7">
        <v>6</v>
      </c>
      <c r="C7" t="s">
        <v>262</v>
      </c>
      <c r="D7">
        <v>10</v>
      </c>
    </row>
    <row r="8" spans="1:4">
      <c r="A8" t="s">
        <v>117</v>
      </c>
      <c r="B8">
        <v>7</v>
      </c>
      <c r="C8" t="s">
        <v>263</v>
      </c>
      <c r="D8">
        <v>10</v>
      </c>
    </row>
    <row r="9" spans="1:4">
      <c r="A9" t="s">
        <v>119</v>
      </c>
      <c r="B9">
        <v>8</v>
      </c>
      <c r="C9" t="s">
        <v>264</v>
      </c>
      <c r="D9">
        <v>20</v>
      </c>
    </row>
    <row r="10" spans="1:4">
      <c r="A10" t="s">
        <v>120</v>
      </c>
      <c r="B10">
        <v>9</v>
      </c>
      <c r="C10" t="s">
        <v>265</v>
      </c>
      <c r="D10">
        <v>12</v>
      </c>
    </row>
    <row r="11" spans="1:4">
      <c r="A11" t="s">
        <v>121</v>
      </c>
      <c r="B11">
        <v>10</v>
      </c>
      <c r="C11" t="s">
        <v>266</v>
      </c>
      <c r="D11">
        <v>17</v>
      </c>
    </row>
    <row r="12" spans="1:4">
      <c r="A12" t="s">
        <v>122</v>
      </c>
      <c r="B12">
        <v>11</v>
      </c>
      <c r="C12" t="s">
        <v>267</v>
      </c>
      <c r="D12">
        <v>8</v>
      </c>
    </row>
    <row r="13" spans="1:4">
      <c r="A13" t="s">
        <v>124</v>
      </c>
      <c r="B13">
        <v>12</v>
      </c>
      <c r="C13" t="s">
        <v>268</v>
      </c>
      <c r="D13">
        <v>15</v>
      </c>
    </row>
    <row r="14" spans="1:4">
      <c r="A14" t="s">
        <v>125</v>
      </c>
      <c r="B14">
        <v>13</v>
      </c>
      <c r="C14" t="s">
        <v>269</v>
      </c>
      <c r="D14">
        <v>6</v>
      </c>
    </row>
    <row r="15" spans="1:4">
      <c r="A15" t="s">
        <v>126</v>
      </c>
      <c r="B15">
        <v>14</v>
      </c>
      <c r="C15" t="s">
        <v>270</v>
      </c>
      <c r="D15">
        <v>16</v>
      </c>
    </row>
    <row r="16" spans="1:4">
      <c r="A16" t="s">
        <v>127</v>
      </c>
      <c r="B16">
        <v>15</v>
      </c>
      <c r="C16" t="s">
        <v>271</v>
      </c>
      <c r="D16">
        <v>4</v>
      </c>
    </row>
    <row r="17" spans="1:4">
      <c r="A17" t="s">
        <v>128</v>
      </c>
      <c r="B17">
        <v>16</v>
      </c>
      <c r="C17" t="s">
        <v>272</v>
      </c>
      <c r="D17">
        <v>1</v>
      </c>
    </row>
    <row r="18" spans="1:4">
      <c r="A18" t="s">
        <v>116</v>
      </c>
      <c r="B18">
        <v>17</v>
      </c>
      <c r="C18" t="s">
        <v>273</v>
      </c>
      <c r="D18">
        <v>3</v>
      </c>
    </row>
    <row r="19" spans="1:4">
      <c r="A19" t="s">
        <v>118</v>
      </c>
      <c r="B19">
        <v>18</v>
      </c>
      <c r="C19" t="s">
        <v>274</v>
      </c>
      <c r="D19">
        <v>13</v>
      </c>
    </row>
    <row r="20" spans="1:4">
      <c r="A20" t="s">
        <v>123</v>
      </c>
      <c r="B20">
        <v>19</v>
      </c>
      <c r="C20" t="s">
        <v>275</v>
      </c>
      <c r="D20">
        <v>3</v>
      </c>
    </row>
    <row r="21" spans="1:4">
      <c r="A21" t="s">
        <v>17</v>
      </c>
      <c r="B21">
        <v>20</v>
      </c>
      <c r="C21" t="s">
        <v>17</v>
      </c>
      <c r="D21">
        <v>66</v>
      </c>
    </row>
    <row r="22" spans="1:4">
      <c r="A22" t="s">
        <v>18</v>
      </c>
      <c r="B22">
        <v>21</v>
      </c>
      <c r="C22" t="s">
        <v>18</v>
      </c>
      <c r="D22">
        <v>147</v>
      </c>
    </row>
    <row r="23" spans="1:4">
      <c r="A23" t="s">
        <v>19</v>
      </c>
      <c r="B23">
        <v>22</v>
      </c>
      <c r="C23" t="s">
        <v>19</v>
      </c>
      <c r="D23">
        <v>223</v>
      </c>
    </row>
    <row r="24" spans="1:4">
      <c r="A24" t="s">
        <v>20</v>
      </c>
      <c r="B24">
        <v>23</v>
      </c>
      <c r="C24" t="s">
        <v>20</v>
      </c>
      <c r="D24">
        <v>299</v>
      </c>
    </row>
    <row r="25" spans="1:4">
      <c r="A25" t="s">
        <v>21</v>
      </c>
      <c r="B25">
        <v>24</v>
      </c>
      <c r="C25" t="s">
        <v>21</v>
      </c>
      <c r="D25">
        <v>141</v>
      </c>
    </row>
    <row r="26" spans="1:4">
      <c r="A26" t="s">
        <v>22</v>
      </c>
      <c r="B26">
        <v>25</v>
      </c>
      <c r="C26" t="s">
        <v>22</v>
      </c>
      <c r="D26">
        <v>131</v>
      </c>
    </row>
    <row r="27" spans="1:4">
      <c r="A27" t="s">
        <v>23</v>
      </c>
      <c r="B27">
        <v>26</v>
      </c>
      <c r="C27" t="s">
        <v>23</v>
      </c>
      <c r="D27">
        <v>112</v>
      </c>
    </row>
    <row r="28" spans="1:4">
      <c r="A28" t="s">
        <v>24</v>
      </c>
      <c r="B28">
        <v>27</v>
      </c>
      <c r="C28" t="s">
        <v>24</v>
      </c>
      <c r="D28">
        <v>267</v>
      </c>
    </row>
    <row r="29" spans="1:4">
      <c r="A29" t="s">
        <v>25</v>
      </c>
      <c r="B29">
        <v>28</v>
      </c>
      <c r="C29" t="s">
        <v>25</v>
      </c>
      <c r="D29">
        <v>196</v>
      </c>
    </row>
    <row r="30" spans="1:4">
      <c r="A30" t="s">
        <v>26</v>
      </c>
      <c r="B30">
        <v>29</v>
      </c>
      <c r="C30" t="s">
        <v>26</v>
      </c>
      <c r="D30">
        <v>68</v>
      </c>
    </row>
    <row r="31" spans="1:4">
      <c r="A31" t="s">
        <v>27</v>
      </c>
      <c r="B31">
        <v>30</v>
      </c>
      <c r="C31" t="s">
        <v>27</v>
      </c>
      <c r="D31">
        <v>190</v>
      </c>
    </row>
    <row r="32" spans="1:4">
      <c r="A32" t="s">
        <v>41</v>
      </c>
      <c r="B32">
        <v>31</v>
      </c>
      <c r="C32" t="s">
        <v>41</v>
      </c>
      <c r="D32">
        <v>11</v>
      </c>
    </row>
    <row r="33" spans="1:4">
      <c r="A33" t="s">
        <v>28</v>
      </c>
      <c r="B33">
        <v>32</v>
      </c>
      <c r="C33" t="s">
        <v>28</v>
      </c>
      <c r="D33">
        <v>54</v>
      </c>
    </row>
    <row r="34" spans="1:4">
      <c r="A34" t="s">
        <v>29</v>
      </c>
      <c r="B34">
        <v>33</v>
      </c>
      <c r="C34" t="s">
        <v>29</v>
      </c>
      <c r="D34">
        <v>132</v>
      </c>
    </row>
    <row r="35" spans="1:4">
      <c r="A35" t="s">
        <v>30</v>
      </c>
      <c r="B35">
        <v>34</v>
      </c>
      <c r="C35" t="s">
        <v>30</v>
      </c>
      <c r="D35">
        <v>182</v>
      </c>
    </row>
    <row r="36" spans="1:4">
      <c r="A36" t="s">
        <v>31</v>
      </c>
      <c r="B36">
        <v>35</v>
      </c>
      <c r="C36" t="s">
        <v>31</v>
      </c>
      <c r="D36">
        <v>31</v>
      </c>
    </row>
    <row r="37" spans="1:4">
      <c r="A37" t="s">
        <v>32</v>
      </c>
      <c r="B37">
        <v>36</v>
      </c>
      <c r="C37" t="s">
        <v>32</v>
      </c>
      <c r="D37">
        <v>101</v>
      </c>
    </row>
    <row r="38" spans="1:4">
      <c r="A38" t="s">
        <v>36</v>
      </c>
      <c r="B38">
        <v>37</v>
      </c>
      <c r="C38" s="144" t="s">
        <v>276</v>
      </c>
      <c r="D38">
        <f>F147+F148</f>
        <v>35</v>
      </c>
    </row>
    <row r="39" spans="1:4">
      <c r="A39" t="s">
        <v>33</v>
      </c>
      <c r="B39">
        <v>38</v>
      </c>
      <c r="C39" t="s">
        <v>33</v>
      </c>
      <c r="D39">
        <v>185</v>
      </c>
    </row>
    <row r="40" spans="1:4">
      <c r="A40" t="s">
        <v>34</v>
      </c>
      <c r="B40">
        <v>39</v>
      </c>
      <c r="C40" t="s">
        <v>34</v>
      </c>
      <c r="D40">
        <v>209</v>
      </c>
    </row>
    <row r="41" spans="1:4">
      <c r="A41" t="s">
        <v>35</v>
      </c>
      <c r="B41">
        <v>40</v>
      </c>
      <c r="C41" t="s">
        <v>35</v>
      </c>
      <c r="D41">
        <v>136</v>
      </c>
    </row>
    <row r="42" spans="1:4">
      <c r="A42" t="s">
        <v>37</v>
      </c>
      <c r="B42">
        <v>41</v>
      </c>
      <c r="C42" t="s">
        <v>37</v>
      </c>
      <c r="D42">
        <v>139</v>
      </c>
    </row>
    <row r="43" spans="1:4">
      <c r="A43" t="s">
        <v>38</v>
      </c>
      <c r="B43">
        <v>42</v>
      </c>
      <c r="C43" t="s">
        <v>38</v>
      </c>
      <c r="D43">
        <v>679</v>
      </c>
    </row>
    <row r="44" spans="1:4">
      <c r="A44" t="s">
        <v>39</v>
      </c>
      <c r="B44">
        <v>43</v>
      </c>
      <c r="C44" t="s">
        <v>39</v>
      </c>
      <c r="D44">
        <v>205</v>
      </c>
    </row>
    <row r="45" spans="1:4">
      <c r="A45" t="s">
        <v>98</v>
      </c>
      <c r="B45">
        <v>44</v>
      </c>
      <c r="C45" t="s">
        <v>277</v>
      </c>
      <c r="D45">
        <v>9</v>
      </c>
    </row>
    <row r="46" spans="1:4">
      <c r="A46" t="s">
        <v>198</v>
      </c>
      <c r="B46">
        <v>45</v>
      </c>
      <c r="C46" t="s">
        <v>278</v>
      </c>
      <c r="D46">
        <v>23</v>
      </c>
    </row>
    <row r="47" spans="1:4">
      <c r="A47" t="s">
        <v>200</v>
      </c>
      <c r="B47">
        <v>46</v>
      </c>
      <c r="C47" t="s">
        <v>279</v>
      </c>
      <c r="D47">
        <v>23</v>
      </c>
    </row>
    <row r="48" spans="1:4">
      <c r="A48" t="s">
        <v>201</v>
      </c>
      <c r="B48">
        <v>47</v>
      </c>
      <c r="C48" t="s">
        <v>280</v>
      </c>
      <c r="D48">
        <v>46</v>
      </c>
    </row>
    <row r="49" spans="1:4">
      <c r="A49" t="s">
        <v>202</v>
      </c>
      <c r="B49">
        <v>48</v>
      </c>
      <c r="C49" t="s">
        <v>281</v>
      </c>
      <c r="D49">
        <v>4</v>
      </c>
    </row>
    <row r="50" spans="1:4">
      <c r="A50" t="s">
        <v>199</v>
      </c>
      <c r="B50">
        <v>49</v>
      </c>
      <c r="C50" t="s">
        <v>282</v>
      </c>
      <c r="D50">
        <v>33</v>
      </c>
    </row>
    <row r="51" spans="1:4">
      <c r="A51" t="s">
        <v>101</v>
      </c>
      <c r="B51">
        <v>50</v>
      </c>
      <c r="C51" t="s">
        <v>283</v>
      </c>
      <c r="D51">
        <v>6</v>
      </c>
    </row>
    <row r="52" spans="1:4">
      <c r="A52" t="s">
        <v>183</v>
      </c>
      <c r="B52">
        <v>51</v>
      </c>
      <c r="C52" t="s">
        <v>284</v>
      </c>
      <c r="D52">
        <v>7</v>
      </c>
    </row>
    <row r="53" spans="1:4">
      <c r="A53" t="s">
        <v>184</v>
      </c>
      <c r="B53">
        <v>52</v>
      </c>
      <c r="C53" t="s">
        <v>285</v>
      </c>
      <c r="D53">
        <v>4</v>
      </c>
    </row>
    <row r="54" spans="1:4">
      <c r="A54" t="s">
        <v>102</v>
      </c>
      <c r="B54">
        <v>53</v>
      </c>
      <c r="C54" t="s">
        <v>286</v>
      </c>
      <c r="D54">
        <v>3</v>
      </c>
    </row>
    <row r="55" spans="1:4">
      <c r="A55" t="s">
        <v>186</v>
      </c>
      <c r="B55">
        <v>54</v>
      </c>
      <c r="C55" t="s">
        <v>287</v>
      </c>
      <c r="D55">
        <v>14</v>
      </c>
    </row>
    <row r="56" spans="1:4">
      <c r="A56" t="s">
        <v>187</v>
      </c>
      <c r="B56">
        <v>55</v>
      </c>
      <c r="C56" t="s">
        <v>288</v>
      </c>
      <c r="D56">
        <v>1</v>
      </c>
    </row>
    <row r="57" spans="1:4">
      <c r="A57" t="s">
        <v>188</v>
      </c>
      <c r="B57">
        <v>56</v>
      </c>
      <c r="C57" t="s">
        <v>289</v>
      </c>
      <c r="D57">
        <v>16</v>
      </c>
    </row>
    <row r="58" spans="1:4">
      <c r="A58" t="s">
        <v>185</v>
      </c>
      <c r="B58">
        <v>57</v>
      </c>
      <c r="C58" t="s">
        <v>290</v>
      </c>
      <c r="D58">
        <v>45</v>
      </c>
    </row>
    <row r="59" spans="1:4">
      <c r="A59" t="s">
        <v>103</v>
      </c>
      <c r="B59">
        <v>58</v>
      </c>
      <c r="C59" t="s">
        <v>291</v>
      </c>
      <c r="D59">
        <v>36</v>
      </c>
    </row>
    <row r="60" spans="1:4">
      <c r="A60" t="s">
        <v>106</v>
      </c>
      <c r="B60">
        <v>59</v>
      </c>
      <c r="C60" t="s">
        <v>292</v>
      </c>
      <c r="D60">
        <v>25</v>
      </c>
    </row>
    <row r="61" spans="1:4">
      <c r="A61" t="s">
        <v>189</v>
      </c>
      <c r="B61">
        <v>60</v>
      </c>
      <c r="C61" t="s">
        <v>293</v>
      </c>
      <c r="D61">
        <v>5</v>
      </c>
    </row>
    <row r="62" spans="1:4">
      <c r="A62" t="s">
        <v>191</v>
      </c>
      <c r="B62">
        <v>61</v>
      </c>
      <c r="C62" t="s">
        <v>294</v>
      </c>
      <c r="D62">
        <v>12</v>
      </c>
    </row>
    <row r="63" spans="1:4">
      <c r="B63" s="100">
        <v>62</v>
      </c>
      <c r="C63" s="100" t="s">
        <v>295</v>
      </c>
    </row>
    <row r="64" spans="1:4">
      <c r="A64" t="s">
        <v>296</v>
      </c>
      <c r="B64">
        <v>63</v>
      </c>
      <c r="C64" t="s">
        <v>297</v>
      </c>
    </row>
    <row r="65" spans="1:4">
      <c r="A65" t="s">
        <v>190</v>
      </c>
      <c r="B65">
        <v>64</v>
      </c>
      <c r="C65" t="s">
        <v>298</v>
      </c>
      <c r="D65">
        <v>3</v>
      </c>
    </row>
    <row r="66" spans="1:4">
      <c r="A66" t="s">
        <v>192</v>
      </c>
      <c r="B66">
        <v>65</v>
      </c>
      <c r="C66" t="s">
        <v>299</v>
      </c>
      <c r="D66">
        <v>11</v>
      </c>
    </row>
    <row r="67" spans="1:4">
      <c r="A67" t="s">
        <v>104</v>
      </c>
      <c r="B67">
        <v>66</v>
      </c>
      <c r="C67" t="s">
        <v>300</v>
      </c>
      <c r="D67">
        <v>12</v>
      </c>
    </row>
    <row r="68" spans="1:4">
      <c r="A68" t="s">
        <v>197</v>
      </c>
      <c r="B68">
        <v>67</v>
      </c>
      <c r="C68" t="s">
        <v>301</v>
      </c>
      <c r="D68">
        <v>7</v>
      </c>
    </row>
    <row r="69" spans="1:4">
      <c r="A69" t="s">
        <v>213</v>
      </c>
      <c r="B69">
        <v>68</v>
      </c>
      <c r="C69" t="s">
        <v>302</v>
      </c>
      <c r="D69">
        <v>4</v>
      </c>
    </row>
    <row r="70" spans="1:4">
      <c r="A70" t="s">
        <v>203</v>
      </c>
      <c r="B70">
        <v>69</v>
      </c>
      <c r="C70" t="s">
        <v>303</v>
      </c>
      <c r="D70">
        <v>4</v>
      </c>
    </row>
    <row r="71" spans="1:4">
      <c r="A71" t="s">
        <v>99</v>
      </c>
      <c r="B71">
        <v>70</v>
      </c>
      <c r="C71" t="s">
        <v>304</v>
      </c>
      <c r="D71">
        <v>7</v>
      </c>
    </row>
    <row r="72" spans="1:4">
      <c r="A72" t="s">
        <v>108</v>
      </c>
      <c r="B72">
        <v>71</v>
      </c>
      <c r="C72" t="s">
        <v>305</v>
      </c>
      <c r="D72">
        <v>13</v>
      </c>
    </row>
    <row r="73" spans="1:4">
      <c r="A73" t="s">
        <v>105</v>
      </c>
      <c r="B73">
        <v>72</v>
      </c>
      <c r="C73" t="s">
        <v>306</v>
      </c>
      <c r="D73">
        <v>7</v>
      </c>
    </row>
    <row r="74" spans="1:4">
      <c r="A74" t="s">
        <v>179</v>
      </c>
      <c r="B74">
        <v>73</v>
      </c>
      <c r="C74" t="s">
        <v>307</v>
      </c>
      <c r="D74">
        <v>16</v>
      </c>
    </row>
    <row r="75" spans="1:4">
      <c r="A75" t="s">
        <v>180</v>
      </c>
      <c r="B75">
        <v>74</v>
      </c>
      <c r="C75" t="s">
        <v>308</v>
      </c>
      <c r="D75">
        <v>4</v>
      </c>
    </row>
    <row r="76" spans="1:4">
      <c r="A76" t="s">
        <v>178</v>
      </c>
      <c r="B76">
        <v>75</v>
      </c>
      <c r="C76" t="s">
        <v>309</v>
      </c>
      <c r="D76">
        <v>32</v>
      </c>
    </row>
    <row r="77" spans="1:4">
      <c r="A77" t="s">
        <v>196</v>
      </c>
      <c r="B77">
        <v>76</v>
      </c>
      <c r="C77" t="s">
        <v>310</v>
      </c>
      <c r="D77">
        <v>5</v>
      </c>
    </row>
    <row r="78" spans="1:4">
      <c r="A78" t="s">
        <v>195</v>
      </c>
      <c r="B78">
        <v>77</v>
      </c>
      <c r="C78" t="s">
        <v>311</v>
      </c>
    </row>
    <row r="79" spans="1:4">
      <c r="A79" t="s">
        <v>193</v>
      </c>
      <c r="B79">
        <v>78</v>
      </c>
      <c r="C79" t="s">
        <v>312</v>
      </c>
      <c r="D79">
        <v>3</v>
      </c>
    </row>
    <row r="80" spans="1:4">
      <c r="A80" t="s">
        <v>194</v>
      </c>
      <c r="B80">
        <v>79</v>
      </c>
      <c r="C80" t="s">
        <v>313</v>
      </c>
      <c r="D80">
        <v>1</v>
      </c>
    </row>
    <row r="81" spans="1:5">
      <c r="A81" t="s">
        <v>205</v>
      </c>
      <c r="B81">
        <v>80</v>
      </c>
      <c r="C81" t="s">
        <v>314</v>
      </c>
      <c r="D81">
        <v>13</v>
      </c>
    </row>
    <row r="82" spans="1:5">
      <c r="A82" t="s">
        <v>204</v>
      </c>
      <c r="B82">
        <v>81</v>
      </c>
      <c r="C82" t="s">
        <v>315</v>
      </c>
      <c r="D82">
        <v>17</v>
      </c>
    </row>
    <row r="83" spans="1:5">
      <c r="A83" t="s">
        <v>207</v>
      </c>
      <c r="B83">
        <v>82</v>
      </c>
      <c r="C83" t="s">
        <v>316</v>
      </c>
      <c r="D83">
        <v>10</v>
      </c>
    </row>
    <row r="84" spans="1:5">
      <c r="A84" t="s">
        <v>317</v>
      </c>
      <c r="B84">
        <v>83</v>
      </c>
      <c r="C84" t="s">
        <v>318</v>
      </c>
    </row>
    <row r="85" spans="1:5">
      <c r="A85" t="s">
        <v>217</v>
      </c>
      <c r="B85">
        <v>84</v>
      </c>
      <c r="C85" t="s">
        <v>319</v>
      </c>
      <c r="D85">
        <v>9</v>
      </c>
    </row>
    <row r="86" spans="1:5">
      <c r="A86" t="s">
        <v>215</v>
      </c>
      <c r="B86">
        <v>85</v>
      </c>
      <c r="C86" t="s">
        <v>320</v>
      </c>
      <c r="D86">
        <v>50</v>
      </c>
    </row>
    <row r="87" spans="1:5">
      <c r="A87" t="s">
        <v>216</v>
      </c>
      <c r="B87">
        <v>86</v>
      </c>
      <c r="C87" t="s">
        <v>321</v>
      </c>
      <c r="D87">
        <v>8</v>
      </c>
    </row>
    <row r="88" spans="1:5">
      <c r="B88" s="100">
        <v>87</v>
      </c>
      <c r="C88" s="100" t="s">
        <v>322</v>
      </c>
    </row>
    <row r="89" spans="1:5">
      <c r="A89" t="s">
        <v>209</v>
      </c>
      <c r="B89">
        <v>88</v>
      </c>
      <c r="C89" t="s">
        <v>323</v>
      </c>
      <c r="D89">
        <v>8</v>
      </c>
      <c r="E89" t="s">
        <v>324</v>
      </c>
    </row>
    <row r="90" spans="1:5">
      <c r="A90" t="s">
        <v>208</v>
      </c>
      <c r="B90">
        <v>89</v>
      </c>
      <c r="C90" t="s">
        <v>325</v>
      </c>
      <c r="D90">
        <v>4</v>
      </c>
    </row>
    <row r="91" spans="1:5">
      <c r="B91" s="100">
        <v>90</v>
      </c>
      <c r="C91" s="100" t="s">
        <v>326</v>
      </c>
    </row>
    <row r="92" spans="1:5">
      <c r="A92" t="s">
        <v>210</v>
      </c>
      <c r="B92">
        <v>91</v>
      </c>
      <c r="C92" t="s">
        <v>327</v>
      </c>
      <c r="D92">
        <v>4</v>
      </c>
    </row>
    <row r="93" spans="1:5">
      <c r="B93" s="100">
        <v>92</v>
      </c>
      <c r="C93" s="100" t="s">
        <v>328</v>
      </c>
    </row>
    <row r="94" spans="1:5">
      <c r="B94" s="100">
        <v>93</v>
      </c>
      <c r="C94" s="100" t="s">
        <v>329</v>
      </c>
    </row>
    <row r="95" spans="1:5">
      <c r="A95" t="s">
        <v>212</v>
      </c>
      <c r="B95">
        <v>94</v>
      </c>
      <c r="C95" t="s">
        <v>330</v>
      </c>
      <c r="D95">
        <v>9</v>
      </c>
    </row>
    <row r="96" spans="1:5">
      <c r="A96" t="s">
        <v>181</v>
      </c>
      <c r="B96">
        <v>95</v>
      </c>
      <c r="C96" t="s">
        <v>331</v>
      </c>
      <c r="D96">
        <v>52</v>
      </c>
    </row>
    <row r="97" spans="1:4">
      <c r="A97" t="s">
        <v>135</v>
      </c>
      <c r="B97">
        <v>96</v>
      </c>
      <c r="C97" t="s">
        <v>332</v>
      </c>
      <c r="D97">
        <v>13</v>
      </c>
    </row>
    <row r="98" spans="1:4">
      <c r="A98" t="s">
        <v>129</v>
      </c>
      <c r="B98">
        <v>97</v>
      </c>
      <c r="C98" t="s">
        <v>333</v>
      </c>
      <c r="D98">
        <v>5</v>
      </c>
    </row>
    <row r="99" spans="1:4">
      <c r="A99" t="s">
        <v>130</v>
      </c>
      <c r="B99">
        <v>98</v>
      </c>
      <c r="C99" t="s">
        <v>334</v>
      </c>
      <c r="D99">
        <v>3</v>
      </c>
    </row>
    <row r="100" spans="1:4">
      <c r="A100" t="s">
        <v>131</v>
      </c>
      <c r="B100">
        <v>99</v>
      </c>
      <c r="C100" t="s">
        <v>335</v>
      </c>
      <c r="D100">
        <v>2</v>
      </c>
    </row>
    <row r="101" spans="1:4">
      <c r="A101" t="s">
        <v>132</v>
      </c>
      <c r="B101">
        <v>100</v>
      </c>
      <c r="C101" t="s">
        <v>336</v>
      </c>
      <c r="D101">
        <v>1</v>
      </c>
    </row>
    <row r="102" spans="1:4">
      <c r="A102" t="s">
        <v>133</v>
      </c>
      <c r="B102">
        <v>101</v>
      </c>
      <c r="C102" t="s">
        <v>337</v>
      </c>
      <c r="D102">
        <v>3</v>
      </c>
    </row>
    <row r="103" spans="1:4">
      <c r="A103" t="s">
        <v>134</v>
      </c>
      <c r="B103">
        <v>102</v>
      </c>
      <c r="C103" t="s">
        <v>338</v>
      </c>
      <c r="D103">
        <v>13</v>
      </c>
    </row>
    <row r="104" spans="1:4">
      <c r="A104" t="s">
        <v>136</v>
      </c>
      <c r="B104">
        <v>103</v>
      </c>
      <c r="C104" t="s">
        <v>339</v>
      </c>
      <c r="D104">
        <v>1</v>
      </c>
    </row>
    <row r="105" spans="1:4">
      <c r="A105" t="s">
        <v>153</v>
      </c>
      <c r="B105">
        <v>104</v>
      </c>
      <c r="C105" t="s">
        <v>340</v>
      </c>
      <c r="D105">
        <v>10</v>
      </c>
    </row>
    <row r="106" spans="1:4">
      <c r="A106" t="s">
        <v>154</v>
      </c>
      <c r="B106">
        <v>105</v>
      </c>
      <c r="C106" t="s">
        <v>341</v>
      </c>
      <c r="D106">
        <v>12</v>
      </c>
    </row>
    <row r="107" spans="1:4">
      <c r="A107" t="s">
        <v>112</v>
      </c>
      <c r="B107" s="100">
        <v>106</v>
      </c>
      <c r="C107" s="100" t="s">
        <v>342</v>
      </c>
      <c r="D107">
        <v>5</v>
      </c>
    </row>
    <row r="108" spans="1:4">
      <c r="A108" t="s">
        <v>151</v>
      </c>
      <c r="B108">
        <v>107</v>
      </c>
      <c r="C108" t="s">
        <v>343</v>
      </c>
      <c r="D108">
        <v>14</v>
      </c>
    </row>
    <row r="109" spans="1:4">
      <c r="A109" t="s">
        <v>152</v>
      </c>
      <c r="B109">
        <v>108</v>
      </c>
      <c r="C109" t="s">
        <v>344</v>
      </c>
      <c r="D109">
        <v>16</v>
      </c>
    </row>
    <row r="110" spans="1:4">
      <c r="B110" s="100">
        <v>109</v>
      </c>
      <c r="C110" s="100" t="s">
        <v>345</v>
      </c>
    </row>
    <row r="111" spans="1:4">
      <c r="A111" t="s">
        <v>147</v>
      </c>
      <c r="B111">
        <v>110</v>
      </c>
      <c r="C111" t="s">
        <v>346</v>
      </c>
      <c r="D111">
        <v>27</v>
      </c>
    </row>
    <row r="112" spans="1:4">
      <c r="A112" t="s">
        <v>140</v>
      </c>
      <c r="B112">
        <v>111</v>
      </c>
      <c r="C112" t="s">
        <v>347</v>
      </c>
      <c r="D112">
        <v>62</v>
      </c>
    </row>
    <row r="113" spans="1:4">
      <c r="A113" t="s">
        <v>141</v>
      </c>
      <c r="B113">
        <v>112</v>
      </c>
      <c r="C113" t="s">
        <v>348</v>
      </c>
      <c r="D113">
        <v>26</v>
      </c>
    </row>
    <row r="114" spans="1:4">
      <c r="A114" t="s">
        <v>146</v>
      </c>
      <c r="B114">
        <v>113</v>
      </c>
      <c r="C114" t="s">
        <v>349</v>
      </c>
      <c r="D114">
        <v>33</v>
      </c>
    </row>
    <row r="115" spans="1:4">
      <c r="A115" t="s">
        <v>145</v>
      </c>
      <c r="B115">
        <v>114</v>
      </c>
      <c r="C115" t="s">
        <v>350</v>
      </c>
      <c r="D115">
        <v>96</v>
      </c>
    </row>
    <row r="116" spans="1:4">
      <c r="A116" t="s">
        <v>148</v>
      </c>
      <c r="B116">
        <v>115</v>
      </c>
      <c r="C116" t="s">
        <v>351</v>
      </c>
      <c r="D116">
        <v>33</v>
      </c>
    </row>
    <row r="117" spans="1:4">
      <c r="A117" t="s">
        <v>149</v>
      </c>
      <c r="B117">
        <v>116</v>
      </c>
      <c r="C117" t="s">
        <v>352</v>
      </c>
      <c r="D117">
        <v>16</v>
      </c>
    </row>
    <row r="118" spans="1:4">
      <c r="A118" t="s">
        <v>139</v>
      </c>
      <c r="B118">
        <v>117</v>
      </c>
      <c r="C118" t="s">
        <v>353</v>
      </c>
      <c r="D118">
        <v>27</v>
      </c>
    </row>
    <row r="119" spans="1:4">
      <c r="A119" t="s">
        <v>144</v>
      </c>
      <c r="B119">
        <v>118</v>
      </c>
      <c r="C119" t="s">
        <v>354</v>
      </c>
      <c r="D119">
        <v>18</v>
      </c>
    </row>
    <row r="120" spans="1:4">
      <c r="A120" t="s">
        <v>142</v>
      </c>
      <c r="B120">
        <v>119</v>
      </c>
      <c r="C120" t="s">
        <v>355</v>
      </c>
      <c r="D120">
        <v>45</v>
      </c>
    </row>
    <row r="121" spans="1:4">
      <c r="A121" t="s">
        <v>143</v>
      </c>
      <c r="B121">
        <v>120</v>
      </c>
      <c r="C121" t="s">
        <v>356</v>
      </c>
      <c r="D121">
        <v>28</v>
      </c>
    </row>
    <row r="122" spans="1:4">
      <c r="A122" t="s">
        <v>176</v>
      </c>
      <c r="B122">
        <v>121</v>
      </c>
      <c r="C122" t="s">
        <v>357</v>
      </c>
    </row>
    <row r="123" spans="1:4">
      <c r="A123" t="s">
        <v>177</v>
      </c>
      <c r="B123">
        <v>122</v>
      </c>
      <c r="C123" t="s">
        <v>358</v>
      </c>
      <c r="D123">
        <v>6</v>
      </c>
    </row>
    <row r="124" spans="1:4">
      <c r="A124" t="s">
        <v>161</v>
      </c>
      <c r="B124">
        <v>123</v>
      </c>
      <c r="C124" t="s">
        <v>359</v>
      </c>
      <c r="D124">
        <v>10</v>
      </c>
    </row>
    <row r="125" spans="1:4">
      <c r="A125" t="s">
        <v>163</v>
      </c>
      <c r="B125">
        <v>124</v>
      </c>
      <c r="C125" t="s">
        <v>360</v>
      </c>
      <c r="D125">
        <v>45</v>
      </c>
    </row>
    <row r="126" spans="1:4">
      <c r="A126" t="s">
        <v>162</v>
      </c>
      <c r="B126" s="100">
        <v>125</v>
      </c>
      <c r="C126" s="100" t="s">
        <v>361</v>
      </c>
      <c r="D126">
        <v>1</v>
      </c>
    </row>
    <row r="127" spans="1:4">
      <c r="A127" t="s">
        <v>164</v>
      </c>
      <c r="B127">
        <v>126</v>
      </c>
      <c r="C127" t="s">
        <v>362</v>
      </c>
      <c r="D127">
        <v>24</v>
      </c>
    </row>
    <row r="128" spans="1:4">
      <c r="A128" t="s">
        <v>168</v>
      </c>
      <c r="B128">
        <v>127</v>
      </c>
      <c r="C128" t="s">
        <v>363</v>
      </c>
      <c r="D128">
        <v>39</v>
      </c>
    </row>
    <row r="129" spans="1:4">
      <c r="A129" t="s">
        <v>165</v>
      </c>
      <c r="B129">
        <v>128</v>
      </c>
      <c r="C129" t="s">
        <v>364</v>
      </c>
    </row>
    <row r="130" spans="1:4">
      <c r="A130" t="s">
        <v>166</v>
      </c>
      <c r="B130">
        <v>129</v>
      </c>
      <c r="C130" t="s">
        <v>365</v>
      </c>
      <c r="D130">
        <v>11</v>
      </c>
    </row>
    <row r="131" spans="1:4">
      <c r="B131" s="100">
        <v>130</v>
      </c>
      <c r="C131" s="100" t="s">
        <v>366</v>
      </c>
    </row>
    <row r="132" spans="1:4">
      <c r="A132" t="s">
        <v>174</v>
      </c>
      <c r="B132">
        <v>131</v>
      </c>
      <c r="C132" t="s">
        <v>367</v>
      </c>
      <c r="D132">
        <v>24</v>
      </c>
    </row>
    <row r="133" spans="1:4">
      <c r="A133" t="s">
        <v>173</v>
      </c>
      <c r="B133">
        <v>132</v>
      </c>
      <c r="C133" t="s">
        <v>368</v>
      </c>
      <c r="D133">
        <v>17</v>
      </c>
    </row>
    <row r="134" spans="1:4">
      <c r="A134" t="s">
        <v>175</v>
      </c>
      <c r="B134">
        <v>133</v>
      </c>
      <c r="C134" t="s">
        <v>369</v>
      </c>
      <c r="D134">
        <v>19</v>
      </c>
    </row>
    <row r="135" spans="1:4">
      <c r="A135" t="s">
        <v>170</v>
      </c>
      <c r="B135">
        <v>134</v>
      </c>
      <c r="C135" t="s">
        <v>370</v>
      </c>
      <c r="D135">
        <v>41</v>
      </c>
    </row>
    <row r="136" spans="1:4">
      <c r="A136" t="s">
        <v>171</v>
      </c>
      <c r="B136">
        <v>135</v>
      </c>
      <c r="C136" t="s">
        <v>371</v>
      </c>
      <c r="D136">
        <v>6</v>
      </c>
    </row>
    <row r="137" spans="1:4">
      <c r="A137" t="s">
        <v>172</v>
      </c>
      <c r="B137">
        <v>136</v>
      </c>
      <c r="C137" t="s">
        <v>372</v>
      </c>
      <c r="D137">
        <v>15</v>
      </c>
    </row>
    <row r="138" spans="1:4">
      <c r="B138" s="100">
        <v>137</v>
      </c>
      <c r="C138" s="100" t="s">
        <v>373</v>
      </c>
    </row>
    <row r="139" spans="1:4">
      <c r="A139" t="s">
        <v>167</v>
      </c>
      <c r="B139">
        <v>138</v>
      </c>
      <c r="C139" t="s">
        <v>374</v>
      </c>
      <c r="D139">
        <v>12</v>
      </c>
    </row>
    <row r="140" spans="1:4">
      <c r="A140" t="s">
        <v>169</v>
      </c>
      <c r="B140">
        <v>139</v>
      </c>
      <c r="C140" t="s">
        <v>375</v>
      </c>
      <c r="D140">
        <v>12</v>
      </c>
    </row>
    <row r="141" spans="1:4">
      <c r="B141" s="100">
        <v>140</v>
      </c>
      <c r="C141" s="100" t="s">
        <v>376</v>
      </c>
    </row>
    <row r="142" spans="1:4">
      <c r="B142" s="100">
        <v>141</v>
      </c>
      <c r="C142" s="100" t="s">
        <v>377</v>
      </c>
    </row>
    <row r="143" spans="1:4">
      <c r="B143" s="100">
        <v>142</v>
      </c>
      <c r="C143" s="100" t="s">
        <v>378</v>
      </c>
    </row>
    <row r="144" spans="1:4">
      <c r="B144" s="100">
        <v>143</v>
      </c>
      <c r="C144" s="100" t="s">
        <v>379</v>
      </c>
    </row>
    <row r="145" spans="1:6">
      <c r="B145" s="75">
        <v>144</v>
      </c>
      <c r="C145" s="75" t="s">
        <v>380</v>
      </c>
    </row>
    <row r="146" spans="1:6">
      <c r="B146">
        <v>145</v>
      </c>
      <c r="C146" t="s">
        <v>381</v>
      </c>
    </row>
    <row r="147" spans="1:6">
      <c r="B147">
        <v>146</v>
      </c>
      <c r="C147" s="144" t="s">
        <v>43</v>
      </c>
      <c r="F147" s="144">
        <v>22</v>
      </c>
    </row>
    <row r="148" spans="1:6">
      <c r="B148">
        <v>147</v>
      </c>
      <c r="C148" s="144" t="s">
        <v>42</v>
      </c>
      <c r="F148" s="144">
        <v>13</v>
      </c>
    </row>
    <row r="149" spans="1:6">
      <c r="A149" t="s">
        <v>40</v>
      </c>
      <c r="B149">
        <v>148</v>
      </c>
      <c r="C149" t="s">
        <v>40</v>
      </c>
      <c r="D149">
        <v>24</v>
      </c>
    </row>
    <row r="150" spans="1:6">
      <c r="A150" t="s">
        <v>158</v>
      </c>
      <c r="B150" s="75">
        <v>149</v>
      </c>
      <c r="C150" s="75" t="s">
        <v>158</v>
      </c>
      <c r="D150">
        <v>17</v>
      </c>
    </row>
    <row r="151" spans="1:6">
      <c r="A151" t="s">
        <v>156</v>
      </c>
      <c r="B151">
        <v>150</v>
      </c>
      <c r="C151" t="s">
        <v>382</v>
      </c>
      <c r="D151">
        <v>17</v>
      </c>
    </row>
    <row r="152" spans="1:6">
      <c r="A152" t="s">
        <v>157</v>
      </c>
      <c r="B152">
        <v>151</v>
      </c>
      <c r="C152" t="s">
        <v>383</v>
      </c>
      <c r="D152">
        <v>17</v>
      </c>
    </row>
    <row r="153" spans="1:6">
      <c r="A153" t="s">
        <v>160</v>
      </c>
      <c r="B153" s="100">
        <v>152</v>
      </c>
      <c r="C153" s="100" t="s">
        <v>384</v>
      </c>
      <c r="D153">
        <v>7</v>
      </c>
    </row>
    <row r="154" spans="1:6">
      <c r="A154" t="str">
        <f>UPPER(C154)</f>
        <v>MAESTRÍA EN PSICOLOGÍA CLÍNICA DE LA NIÑEZ Y LA ADOLESCENCIA</v>
      </c>
      <c r="B154">
        <v>153</v>
      </c>
      <c r="C154" t="s">
        <v>385</v>
      </c>
      <c r="D154">
        <v>18</v>
      </c>
    </row>
    <row r="155" spans="1:6">
      <c r="A155" t="s">
        <v>211</v>
      </c>
      <c r="B155">
        <v>154</v>
      </c>
      <c r="C155" t="s">
        <v>386</v>
      </c>
    </row>
    <row r="156" spans="1:6">
      <c r="A156" t="s">
        <v>137</v>
      </c>
      <c r="B156">
        <v>155</v>
      </c>
      <c r="C156" t="s">
        <v>387</v>
      </c>
      <c r="D156">
        <v>14</v>
      </c>
    </row>
    <row r="157" spans="1:6">
      <c r="A157" t="s">
        <v>155</v>
      </c>
      <c r="B157">
        <v>156</v>
      </c>
      <c r="C157" t="s">
        <v>388</v>
      </c>
      <c r="D157">
        <v>22</v>
      </c>
    </row>
    <row r="158" spans="1:6">
      <c r="A158" t="s">
        <v>150</v>
      </c>
      <c r="B158">
        <v>157</v>
      </c>
      <c r="C158" t="s">
        <v>389</v>
      </c>
      <c r="D158">
        <v>10</v>
      </c>
    </row>
    <row r="159" spans="1:6">
      <c r="A159" t="s">
        <v>390</v>
      </c>
      <c r="B159" s="64">
        <v>158</v>
      </c>
      <c r="C159" s="64" t="s">
        <v>391</v>
      </c>
      <c r="D159" s="64"/>
      <c r="E159">
        <v>1</v>
      </c>
    </row>
    <row r="160" spans="1:6">
      <c r="A160" t="s">
        <v>392</v>
      </c>
      <c r="B160">
        <v>159</v>
      </c>
      <c r="C160" t="s">
        <v>393</v>
      </c>
    </row>
    <row r="161" spans="1:4">
      <c r="A161" t="s">
        <v>394</v>
      </c>
      <c r="B161">
        <v>160</v>
      </c>
      <c r="C161" t="s">
        <v>395</v>
      </c>
    </row>
    <row r="162" spans="1:4">
      <c r="A162" t="s">
        <v>214</v>
      </c>
      <c r="B162">
        <v>161</v>
      </c>
      <c r="C162" t="s">
        <v>396</v>
      </c>
    </row>
    <row r="163" spans="1:4">
      <c r="A163" t="s">
        <v>397</v>
      </c>
      <c r="B163">
        <v>162</v>
      </c>
      <c r="C163" t="s">
        <v>398</v>
      </c>
    </row>
    <row r="164" spans="1:4">
      <c r="A164" t="s">
        <v>399</v>
      </c>
      <c r="B164" s="100">
        <v>163</v>
      </c>
      <c r="C164" s="100" t="s">
        <v>400</v>
      </c>
    </row>
    <row r="165" spans="1:4">
      <c r="B165">
        <v>164</v>
      </c>
      <c r="C165" t="s">
        <v>401</v>
      </c>
    </row>
    <row r="166" spans="1:4">
      <c r="A166" t="str">
        <f>UPPER(C166)</f>
        <v>ESPECIALIZACIÓN EN GERENCIA ESTRATÉGICA - BOGOTÁ</v>
      </c>
      <c r="B166">
        <v>165</v>
      </c>
      <c r="C166" t="s">
        <v>402</v>
      </c>
      <c r="D166">
        <v>32</v>
      </c>
    </row>
    <row r="167" spans="1:4">
      <c r="A167" t="str">
        <f>UPPER(C167)</f>
        <v>DOCTORADO EN PSICOLOGÍA</v>
      </c>
      <c r="B167">
        <v>166</v>
      </c>
      <c r="C167" t="s">
        <v>403</v>
      </c>
      <c r="D167">
        <v>11</v>
      </c>
    </row>
    <row r="168" spans="1:4">
      <c r="C168" t="s">
        <v>404</v>
      </c>
    </row>
    <row r="169" spans="1:4">
      <c r="A169" s="100" t="s">
        <v>405</v>
      </c>
    </row>
    <row r="170" spans="1:4">
      <c r="C170" s="6" t="s">
        <v>55</v>
      </c>
      <c r="D170" s="6">
        <f>SUM(D2:D169)</f>
        <v>5727</v>
      </c>
    </row>
    <row r="175" spans="1:4">
      <c r="B175" t="s">
        <v>406</v>
      </c>
      <c r="D175" t="s">
        <v>407</v>
      </c>
    </row>
    <row r="176" spans="1:4">
      <c r="B176">
        <v>146</v>
      </c>
      <c r="C176" t="s">
        <v>43</v>
      </c>
      <c r="D176">
        <v>37</v>
      </c>
    </row>
    <row r="177" spans="2:4">
      <c r="B177">
        <v>147</v>
      </c>
      <c r="C177" t="s">
        <v>42</v>
      </c>
      <c r="D177">
        <v>37</v>
      </c>
    </row>
    <row r="178" spans="2:4">
      <c r="B178">
        <v>158</v>
      </c>
      <c r="C178" t="s">
        <v>391</v>
      </c>
      <c r="D178">
        <v>88</v>
      </c>
    </row>
  </sheetData>
  <autoFilter ref="A1:D169" xr:uid="{00000000-0009-0000-0000-000012000000}"/>
  <conditionalFormatting sqref="A166:A167 A169:A1048576 A1:A164">
    <cfRule type="duplicateValues" dxfId="21" priority="1"/>
    <cfRule type="duplicateValues" dxfId="20" priority="2"/>
  </conditionalFormatting>
  <pageMargins left="0.7" right="0.7" top="0.75" bottom="0.75" header="0.3" footer="0.3"/>
  <pageSetup paperSize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67"/>
  <sheetViews>
    <sheetView topLeftCell="B1" zoomScale="80" zoomScaleNormal="80" workbookViewId="0">
      <pane ySplit="1" topLeftCell="A121" activePane="bottomLeft" state="frozen"/>
      <selection pane="bottomLeft" activeCell="G134" sqref="G134"/>
      <selection activeCell="J19" sqref="J19"/>
    </sheetView>
  </sheetViews>
  <sheetFormatPr defaultColWidth="8.85546875" defaultRowHeight="15"/>
  <cols>
    <col min="1" max="1" width="49.7109375" customWidth="1"/>
    <col min="2" max="2" width="93.140625" bestFit="1" customWidth="1"/>
    <col min="3" max="3" width="6.28515625" bestFit="1" customWidth="1"/>
    <col min="5" max="5" width="4.5703125" customWidth="1"/>
    <col min="6" max="6" width="59.5703125" bestFit="1" customWidth="1"/>
    <col min="9" max="9" width="11.42578125" customWidth="1"/>
    <col min="10" max="10" width="67.140625" bestFit="1" customWidth="1"/>
    <col min="11" max="11" width="12.28515625" customWidth="1"/>
    <col min="12" max="12" width="13.42578125" customWidth="1"/>
    <col min="13" max="14" width="0" hidden="1" customWidth="1"/>
  </cols>
  <sheetData>
    <row r="1" spans="1:18" ht="56.25">
      <c r="B1" s="123" t="s">
        <v>408</v>
      </c>
      <c r="C1" s="123" t="s">
        <v>409</v>
      </c>
      <c r="D1" s="123" t="s">
        <v>410</v>
      </c>
      <c r="E1" s="123"/>
      <c r="F1" s="123" t="s">
        <v>411</v>
      </c>
      <c r="G1" s="123"/>
      <c r="H1" s="123"/>
      <c r="I1" s="124" t="s">
        <v>412</v>
      </c>
      <c r="J1" s="123" t="s">
        <v>68</v>
      </c>
      <c r="K1" s="124" t="s">
        <v>413</v>
      </c>
      <c r="L1" s="124" t="s">
        <v>414</v>
      </c>
      <c r="M1" s="132" t="s">
        <v>415</v>
      </c>
      <c r="N1" s="132" t="s">
        <v>416</v>
      </c>
    </row>
    <row r="2" spans="1:18">
      <c r="A2" t="str">
        <f>B2</f>
        <v>ADMINISTRACIÓN Y ORGANIZACIONES</v>
      </c>
      <c r="B2" s="64" t="s">
        <v>231</v>
      </c>
      <c r="C2" s="64">
        <v>8</v>
      </c>
      <c r="F2" t="s">
        <v>417</v>
      </c>
      <c r="G2">
        <v>8</v>
      </c>
      <c r="I2">
        <v>2</v>
      </c>
      <c r="J2" t="s">
        <v>77</v>
      </c>
      <c r="K2">
        <v>0</v>
      </c>
      <c r="L2">
        <f>K2+C2</f>
        <v>8</v>
      </c>
      <c r="M2">
        <f>IFERROR(VLOOKUP(A2,'Ajustes profesores'!$G$5:$I$151,3,0),0)</f>
        <v>8</v>
      </c>
      <c r="N2">
        <f>G2-M2</f>
        <v>0</v>
      </c>
      <c r="R2">
        <v>0</v>
      </c>
    </row>
    <row r="3" spans="1:18">
      <c r="A3" t="str">
        <f t="shared" ref="A3:A10" si="0">B3</f>
        <v>ARTES CULINARIAS Y CIENCIAS DE LA ALIMENTACIÓN</v>
      </c>
      <c r="B3" s="64" t="s">
        <v>232</v>
      </c>
      <c r="C3" s="64">
        <v>7</v>
      </c>
      <c r="F3" t="s">
        <v>418</v>
      </c>
      <c r="G3">
        <v>7</v>
      </c>
      <c r="I3">
        <v>2</v>
      </c>
      <c r="J3" t="s">
        <v>77</v>
      </c>
      <c r="K3">
        <v>0</v>
      </c>
      <c r="L3">
        <f t="shared" ref="L3:L66" si="1">K3+C3</f>
        <v>7</v>
      </c>
      <c r="M3">
        <f>IFERROR(VLOOKUP(A3,'Ajustes profesores'!$G$5:$I$151,3,0),0)</f>
        <v>7</v>
      </c>
      <c r="N3">
        <f t="shared" ref="N3:N66" si="2">G3-M3</f>
        <v>0</v>
      </c>
      <c r="R3">
        <v>0</v>
      </c>
    </row>
    <row r="4" spans="1:18">
      <c r="A4" t="str">
        <f t="shared" si="0"/>
        <v>ECONOMÍA</v>
      </c>
      <c r="B4" s="64" t="s">
        <v>233</v>
      </c>
      <c r="C4" s="64">
        <v>7</v>
      </c>
      <c r="F4" t="s">
        <v>419</v>
      </c>
      <c r="G4">
        <v>7</v>
      </c>
      <c r="I4">
        <v>2</v>
      </c>
      <c r="J4" t="s">
        <v>77</v>
      </c>
      <c r="K4">
        <v>0</v>
      </c>
      <c r="L4">
        <f t="shared" si="1"/>
        <v>7</v>
      </c>
      <c r="M4">
        <f>IFERROR(VLOOKUP(A4,'Ajustes profesores'!$G$5:$I$151,3,0),0)</f>
        <v>7</v>
      </c>
      <c r="N4">
        <f t="shared" si="2"/>
        <v>0</v>
      </c>
      <c r="R4">
        <v>0</v>
      </c>
    </row>
    <row r="5" spans="1:18">
      <c r="A5" t="str">
        <f t="shared" si="0"/>
        <v>FINANZAS</v>
      </c>
      <c r="B5" s="64" t="s">
        <v>234</v>
      </c>
      <c r="C5" s="64">
        <v>3</v>
      </c>
      <c r="F5" t="s">
        <v>234</v>
      </c>
      <c r="G5">
        <v>3</v>
      </c>
      <c r="I5">
        <v>2</v>
      </c>
      <c r="J5" t="s">
        <v>77</v>
      </c>
      <c r="K5">
        <v>0</v>
      </c>
      <c r="L5">
        <f t="shared" si="1"/>
        <v>3</v>
      </c>
      <c r="M5">
        <f>IFERROR(VLOOKUP(A5,'Ajustes profesores'!$G$5:$I$151,3,0),0)</f>
        <v>3</v>
      </c>
      <c r="N5">
        <f t="shared" si="2"/>
        <v>0</v>
      </c>
      <c r="R5">
        <v>0</v>
      </c>
    </row>
    <row r="6" spans="1:18">
      <c r="A6" t="str">
        <f t="shared" si="0"/>
        <v>GESTIÓN DE OPERACIONES</v>
      </c>
      <c r="B6" s="64" t="s">
        <v>235</v>
      </c>
      <c r="C6" s="64">
        <v>2</v>
      </c>
      <c r="F6" t="s">
        <v>420</v>
      </c>
      <c r="G6">
        <v>2</v>
      </c>
      <c r="I6">
        <v>2</v>
      </c>
      <c r="J6" t="s">
        <v>77</v>
      </c>
      <c r="K6">
        <v>0</v>
      </c>
      <c r="L6">
        <f t="shared" si="1"/>
        <v>2</v>
      </c>
      <c r="M6">
        <f>IFERROR(VLOOKUP(A6,'Ajustes profesores'!$G$5:$I$151,3,0),0)</f>
        <v>2</v>
      </c>
      <c r="N6">
        <f t="shared" si="2"/>
        <v>0</v>
      </c>
      <c r="R6">
        <v>0</v>
      </c>
    </row>
    <row r="7" spans="1:18">
      <c r="A7" t="str">
        <f t="shared" si="0"/>
        <v>INNOVACIÓN Y EMPRENDIMIENTO</v>
      </c>
      <c r="B7" s="64" t="s">
        <v>236</v>
      </c>
      <c r="C7" s="64">
        <v>2</v>
      </c>
      <c r="F7" t="s">
        <v>421</v>
      </c>
      <c r="G7">
        <v>2</v>
      </c>
      <c r="I7">
        <v>2</v>
      </c>
      <c r="J7" t="s">
        <v>77</v>
      </c>
      <c r="K7">
        <v>0</v>
      </c>
      <c r="L7">
        <f t="shared" si="1"/>
        <v>2</v>
      </c>
      <c r="M7">
        <f>IFERROR(VLOOKUP(A7,'Ajustes profesores'!$G$5:$I$151,3,0),0)</f>
        <v>2</v>
      </c>
      <c r="N7">
        <f t="shared" si="2"/>
        <v>0</v>
      </c>
      <c r="R7">
        <v>0</v>
      </c>
    </row>
    <row r="8" spans="1:18">
      <c r="A8" t="str">
        <f t="shared" si="0"/>
        <v>MERCADEO</v>
      </c>
      <c r="B8" s="64" t="s">
        <v>237</v>
      </c>
      <c r="C8" s="64">
        <v>3</v>
      </c>
      <c r="F8" t="s">
        <v>237</v>
      </c>
      <c r="G8">
        <v>3</v>
      </c>
      <c r="I8">
        <v>2</v>
      </c>
      <c r="J8" t="s">
        <v>77</v>
      </c>
      <c r="K8">
        <v>0</v>
      </c>
      <c r="L8">
        <f t="shared" si="1"/>
        <v>3</v>
      </c>
      <c r="M8">
        <f>IFERROR(VLOOKUP(A8,'Ajustes profesores'!$G$5:$I$151,3,0),0)</f>
        <v>3</v>
      </c>
      <c r="N8">
        <f t="shared" si="2"/>
        <v>0</v>
      </c>
      <c r="R8">
        <v>0</v>
      </c>
    </row>
    <row r="9" spans="1:18">
      <c r="A9" t="str">
        <f t="shared" si="0"/>
        <v>NEGOCIACIÓN Y COMERCIO INTERNACIONAL</v>
      </c>
      <c r="B9" s="64" t="s">
        <v>238</v>
      </c>
      <c r="C9" s="64">
        <v>4</v>
      </c>
      <c r="F9" t="s">
        <v>422</v>
      </c>
      <c r="G9">
        <v>4</v>
      </c>
      <c r="I9">
        <v>2</v>
      </c>
      <c r="J9" t="s">
        <v>77</v>
      </c>
      <c r="K9">
        <v>0</v>
      </c>
      <c r="L9">
        <f t="shared" si="1"/>
        <v>4</v>
      </c>
      <c r="M9">
        <f>IFERROR(VLOOKUP(A9,'Ajustes profesores'!$G$5:$I$151,3,0),0)</f>
        <v>4</v>
      </c>
      <c r="N9">
        <f t="shared" si="2"/>
        <v>0</v>
      </c>
      <c r="R9">
        <v>0</v>
      </c>
    </row>
    <row r="10" spans="1:18">
      <c r="A10" t="str">
        <f t="shared" si="0"/>
        <v>SERVICIO, HOSPITALIDAD Y CALIDAD</v>
      </c>
      <c r="B10" s="64" t="s">
        <v>239</v>
      </c>
      <c r="C10" s="64">
        <v>4</v>
      </c>
      <c r="D10">
        <f>SUM(C2:C10)</f>
        <v>40</v>
      </c>
      <c r="F10" t="s">
        <v>239</v>
      </c>
      <c r="G10">
        <v>4</v>
      </c>
      <c r="H10">
        <f>SUM(G2:G10)</f>
        <v>40</v>
      </c>
      <c r="I10">
        <v>2</v>
      </c>
      <c r="J10" t="s">
        <v>77</v>
      </c>
      <c r="K10">
        <v>0</v>
      </c>
      <c r="L10">
        <f t="shared" si="1"/>
        <v>4</v>
      </c>
      <c r="M10">
        <f>IFERROR(VLOOKUP(A10,'Ajustes profesores'!$G$5:$I$151,3,0),0)</f>
        <v>4</v>
      </c>
      <c r="N10">
        <f t="shared" si="2"/>
        <v>0</v>
      </c>
      <c r="R10">
        <v>0</v>
      </c>
    </row>
    <row r="11" spans="1:18">
      <c r="A11" t="s">
        <v>24</v>
      </c>
      <c r="B11" s="64" t="s">
        <v>423</v>
      </c>
      <c r="C11" s="64">
        <v>14</v>
      </c>
      <c r="F11" t="s">
        <v>424</v>
      </c>
      <c r="G11">
        <v>16</v>
      </c>
      <c r="I11">
        <v>3</v>
      </c>
      <c r="J11" t="s">
        <v>83</v>
      </c>
      <c r="K11">
        <v>2</v>
      </c>
      <c r="L11">
        <f t="shared" si="1"/>
        <v>16</v>
      </c>
      <c r="M11">
        <f>IFERROR(VLOOKUP(A11,'Ajustes profesores'!$G$5:$I$151,3,0),0)</f>
        <v>16</v>
      </c>
      <c r="N11">
        <f t="shared" si="2"/>
        <v>0</v>
      </c>
      <c r="R11">
        <v>2</v>
      </c>
    </row>
    <row r="12" spans="1:18">
      <c r="A12" t="s">
        <v>23</v>
      </c>
      <c r="B12" s="64" t="s">
        <v>425</v>
      </c>
      <c r="C12" s="64">
        <v>10</v>
      </c>
      <c r="F12" t="s">
        <v>426</v>
      </c>
      <c r="G12">
        <v>15</v>
      </c>
      <c r="I12">
        <v>3</v>
      </c>
      <c r="J12" t="s">
        <v>83</v>
      </c>
      <c r="K12">
        <v>4</v>
      </c>
      <c r="L12">
        <f t="shared" si="1"/>
        <v>14</v>
      </c>
      <c r="M12">
        <f>IFERROR(VLOOKUP(A12,'Ajustes profesores'!$G$5:$I$151,3,0),0)</f>
        <v>14</v>
      </c>
      <c r="N12">
        <f t="shared" si="2"/>
        <v>1</v>
      </c>
      <c r="R12">
        <v>4</v>
      </c>
    </row>
    <row r="13" spans="1:18">
      <c r="A13" t="s">
        <v>25</v>
      </c>
      <c r="B13" s="64" t="s">
        <v>427</v>
      </c>
      <c r="C13" s="64">
        <v>11</v>
      </c>
      <c r="F13" t="s">
        <v>428</v>
      </c>
      <c r="G13">
        <v>14</v>
      </c>
      <c r="I13">
        <v>3</v>
      </c>
      <c r="J13" t="s">
        <v>83</v>
      </c>
      <c r="K13">
        <v>3</v>
      </c>
      <c r="L13">
        <f t="shared" si="1"/>
        <v>14</v>
      </c>
      <c r="M13">
        <f>IFERROR(VLOOKUP(A13,'Ajustes profesores'!$G$5:$I$151,3,0),0)</f>
        <v>14</v>
      </c>
      <c r="N13">
        <f t="shared" si="2"/>
        <v>0</v>
      </c>
      <c r="R13">
        <v>3</v>
      </c>
    </row>
    <row r="14" spans="1:18">
      <c r="A14" t="s">
        <v>26</v>
      </c>
      <c r="B14" s="64" t="s">
        <v>429</v>
      </c>
      <c r="C14" s="64">
        <v>8</v>
      </c>
      <c r="F14" t="s">
        <v>430</v>
      </c>
      <c r="G14">
        <v>8</v>
      </c>
      <c r="I14">
        <v>4</v>
      </c>
      <c r="J14" t="s">
        <v>84</v>
      </c>
      <c r="K14">
        <v>0</v>
      </c>
      <c r="L14">
        <f t="shared" si="1"/>
        <v>8</v>
      </c>
      <c r="M14">
        <f>IFERROR(VLOOKUP(A14,'Ajustes profesores'!$G$5:$I$151,3,0),0)</f>
        <v>8</v>
      </c>
      <c r="N14">
        <f t="shared" si="2"/>
        <v>0</v>
      </c>
      <c r="R14">
        <v>0</v>
      </c>
    </row>
    <row r="15" spans="1:18">
      <c r="A15" t="s">
        <v>27</v>
      </c>
      <c r="B15" s="64" t="s">
        <v>431</v>
      </c>
      <c r="C15" s="64">
        <v>25</v>
      </c>
      <c r="F15" t="s">
        <v>431</v>
      </c>
      <c r="G15">
        <v>26</v>
      </c>
      <c r="I15">
        <v>4</v>
      </c>
      <c r="J15" t="s">
        <v>84</v>
      </c>
      <c r="K15">
        <v>1</v>
      </c>
      <c r="L15">
        <f t="shared" si="1"/>
        <v>26</v>
      </c>
      <c r="M15">
        <f>IFERROR(VLOOKUP(A15,'Ajustes profesores'!$G$5:$I$151,3,0),0)</f>
        <v>26</v>
      </c>
      <c r="N15">
        <f t="shared" si="2"/>
        <v>0</v>
      </c>
      <c r="R15">
        <v>1</v>
      </c>
    </row>
    <row r="16" spans="1:18">
      <c r="A16" t="s">
        <v>41</v>
      </c>
      <c r="B16" s="64" t="s">
        <v>432</v>
      </c>
      <c r="C16" s="64">
        <v>7</v>
      </c>
      <c r="F16" t="s">
        <v>432</v>
      </c>
      <c r="G16">
        <v>8</v>
      </c>
      <c r="I16">
        <v>5</v>
      </c>
      <c r="J16" t="s">
        <v>85</v>
      </c>
      <c r="K16">
        <v>0</v>
      </c>
      <c r="L16">
        <f t="shared" si="1"/>
        <v>7</v>
      </c>
      <c r="M16">
        <f>IFERROR(VLOOKUP(A16,'Ajustes profesores'!$G$5:$I$151,3,0),0)</f>
        <v>7</v>
      </c>
      <c r="N16">
        <f t="shared" si="2"/>
        <v>1</v>
      </c>
      <c r="R16">
        <v>0</v>
      </c>
    </row>
    <row r="17" spans="1:18">
      <c r="A17" t="s">
        <v>28</v>
      </c>
      <c r="B17" s="64" t="s">
        <v>433</v>
      </c>
      <c r="C17" s="64">
        <v>7</v>
      </c>
      <c r="F17" t="s">
        <v>434</v>
      </c>
      <c r="G17">
        <v>9</v>
      </c>
      <c r="I17">
        <v>5</v>
      </c>
      <c r="J17" t="s">
        <v>85</v>
      </c>
      <c r="K17">
        <v>1</v>
      </c>
      <c r="L17">
        <f t="shared" si="1"/>
        <v>8</v>
      </c>
      <c r="M17">
        <f>IFERROR(VLOOKUP(A17,'Ajustes profesores'!$G$5:$I$151,3,0),0)</f>
        <v>8</v>
      </c>
      <c r="N17">
        <f t="shared" si="2"/>
        <v>1</v>
      </c>
      <c r="R17">
        <v>1</v>
      </c>
    </row>
    <row r="18" spans="1:18">
      <c r="A18" t="s">
        <v>29</v>
      </c>
      <c r="B18" s="64" t="s">
        <v>435</v>
      </c>
      <c r="C18" s="64">
        <v>14</v>
      </c>
      <c r="F18" t="s">
        <v>436</v>
      </c>
      <c r="G18">
        <v>14</v>
      </c>
      <c r="I18">
        <v>6</v>
      </c>
      <c r="J18" t="s">
        <v>87</v>
      </c>
      <c r="K18">
        <v>0</v>
      </c>
      <c r="L18">
        <f t="shared" si="1"/>
        <v>14</v>
      </c>
      <c r="M18">
        <f>IFERROR(VLOOKUP(A18,'Ajustes profesores'!$G$5:$I$151,3,0),0)</f>
        <v>14</v>
      </c>
      <c r="N18">
        <f t="shared" si="2"/>
        <v>0</v>
      </c>
      <c r="R18">
        <v>0</v>
      </c>
    </row>
    <row r="19" spans="1:18">
      <c r="A19" t="s">
        <v>30</v>
      </c>
      <c r="B19" s="64" t="s">
        <v>437</v>
      </c>
      <c r="C19" s="64">
        <v>23</v>
      </c>
      <c r="F19" t="s">
        <v>437</v>
      </c>
      <c r="G19">
        <v>23</v>
      </c>
      <c r="I19">
        <v>6</v>
      </c>
      <c r="J19" t="s">
        <v>87</v>
      </c>
      <c r="K19">
        <v>0</v>
      </c>
      <c r="L19">
        <f t="shared" si="1"/>
        <v>23</v>
      </c>
      <c r="M19">
        <f>IFERROR(VLOOKUP(A19,'Ajustes profesores'!$G$5:$I$151,3,0),0)</f>
        <v>23</v>
      </c>
      <c r="N19">
        <f t="shared" si="2"/>
        <v>0</v>
      </c>
      <c r="R19">
        <v>0</v>
      </c>
    </row>
    <row r="20" spans="1:18">
      <c r="A20" t="s">
        <v>31</v>
      </c>
      <c r="B20" s="64" t="s">
        <v>438</v>
      </c>
      <c r="C20" s="64">
        <v>5</v>
      </c>
      <c r="F20" t="s">
        <v>439</v>
      </c>
      <c r="G20">
        <v>5</v>
      </c>
      <c r="I20">
        <v>7</v>
      </c>
      <c r="J20" t="s">
        <v>88</v>
      </c>
      <c r="K20">
        <v>0</v>
      </c>
      <c r="L20">
        <f t="shared" si="1"/>
        <v>5</v>
      </c>
      <c r="M20">
        <f>IFERROR(VLOOKUP(A20,'Ajustes profesores'!$G$5:$I$151,3,0),0)</f>
        <v>5</v>
      </c>
      <c r="N20">
        <f t="shared" si="2"/>
        <v>0</v>
      </c>
      <c r="R20">
        <v>0</v>
      </c>
    </row>
    <row r="21" spans="1:18">
      <c r="A21" t="s">
        <v>32</v>
      </c>
      <c r="B21" s="64" t="s">
        <v>440</v>
      </c>
      <c r="C21" s="64">
        <v>5</v>
      </c>
      <c r="F21" t="s">
        <v>441</v>
      </c>
      <c r="G21">
        <v>5</v>
      </c>
      <c r="I21">
        <v>8</v>
      </c>
      <c r="J21" t="s">
        <v>89</v>
      </c>
      <c r="K21">
        <v>0</v>
      </c>
      <c r="L21">
        <f t="shared" si="1"/>
        <v>5</v>
      </c>
      <c r="M21">
        <f>IFERROR(VLOOKUP(A21,'Ajustes profesores'!$G$5:$I$151,3,0),0)</f>
        <v>5</v>
      </c>
      <c r="N21">
        <f t="shared" si="2"/>
        <v>0</v>
      </c>
      <c r="R21">
        <v>0</v>
      </c>
    </row>
    <row r="22" spans="1:18">
      <c r="B22" s="64" t="s">
        <v>442</v>
      </c>
      <c r="C22" s="64"/>
      <c r="G22">
        <v>0</v>
      </c>
      <c r="K22">
        <v>0</v>
      </c>
      <c r="L22">
        <f t="shared" si="1"/>
        <v>0</v>
      </c>
      <c r="M22">
        <f>IFERROR(VLOOKUP(A22,'Ajustes profesores'!$G$5:$I$151,3,0),0)</f>
        <v>0</v>
      </c>
      <c r="N22">
        <f t="shared" si="2"/>
        <v>0</v>
      </c>
      <c r="R22">
        <v>0</v>
      </c>
    </row>
    <row r="23" spans="1:18">
      <c r="A23" t="s">
        <v>33</v>
      </c>
      <c r="B23" s="64" t="s">
        <v>443</v>
      </c>
      <c r="C23" s="64">
        <v>19</v>
      </c>
      <c r="F23" t="s">
        <v>444</v>
      </c>
      <c r="G23">
        <v>21</v>
      </c>
      <c r="I23">
        <v>8</v>
      </c>
      <c r="J23" t="s">
        <v>89</v>
      </c>
      <c r="K23">
        <v>0</v>
      </c>
      <c r="L23">
        <f t="shared" si="1"/>
        <v>19</v>
      </c>
      <c r="M23">
        <f>IFERROR(VLOOKUP(A23,'Ajustes profesores'!$G$5:$I$151,3,0),0)</f>
        <v>19</v>
      </c>
      <c r="N23">
        <f t="shared" si="2"/>
        <v>2</v>
      </c>
      <c r="R23">
        <v>0</v>
      </c>
    </row>
    <row r="24" spans="1:18">
      <c r="A24" t="s">
        <v>34</v>
      </c>
      <c r="B24" s="64" t="s">
        <v>445</v>
      </c>
      <c r="C24" s="64">
        <v>7</v>
      </c>
      <c r="F24" t="s">
        <v>446</v>
      </c>
      <c r="G24">
        <v>7</v>
      </c>
      <c r="I24">
        <v>8</v>
      </c>
      <c r="J24" t="s">
        <v>89</v>
      </c>
      <c r="K24">
        <v>0</v>
      </c>
      <c r="L24">
        <f t="shared" si="1"/>
        <v>7</v>
      </c>
      <c r="M24">
        <f>IFERROR(VLOOKUP(A24,'Ajustes profesores'!$G$5:$I$151,3,0),0)</f>
        <v>7</v>
      </c>
      <c r="N24">
        <f t="shared" si="2"/>
        <v>0</v>
      </c>
      <c r="R24">
        <v>0</v>
      </c>
    </row>
    <row r="25" spans="1:18">
      <c r="A25" t="s">
        <v>35</v>
      </c>
      <c r="B25" s="64" t="s">
        <v>447</v>
      </c>
      <c r="C25" s="64">
        <v>6</v>
      </c>
      <c r="F25" t="s">
        <v>448</v>
      </c>
      <c r="G25">
        <v>6</v>
      </c>
      <c r="I25">
        <v>8</v>
      </c>
      <c r="J25" t="s">
        <v>89</v>
      </c>
      <c r="K25">
        <v>0</v>
      </c>
      <c r="L25">
        <f t="shared" si="1"/>
        <v>6</v>
      </c>
      <c r="M25">
        <f>IFERROR(VLOOKUP(A25,'Ajustes profesores'!$G$5:$I$151,3,0),0)</f>
        <v>6</v>
      </c>
      <c r="N25">
        <f t="shared" si="2"/>
        <v>0</v>
      </c>
      <c r="R25">
        <v>0</v>
      </c>
    </row>
    <row r="26" spans="1:18">
      <c r="A26" t="s">
        <v>37</v>
      </c>
      <c r="B26" s="64" t="s">
        <v>449</v>
      </c>
      <c r="C26" s="64">
        <v>12</v>
      </c>
      <c r="F26" t="s">
        <v>450</v>
      </c>
      <c r="G26">
        <v>13</v>
      </c>
      <c r="I26">
        <v>8</v>
      </c>
      <c r="J26" t="s">
        <v>89</v>
      </c>
      <c r="K26">
        <v>0</v>
      </c>
      <c r="L26">
        <f t="shared" si="1"/>
        <v>12</v>
      </c>
      <c r="M26">
        <f>IFERROR(VLOOKUP(A26,'Ajustes profesores'!$G$5:$I$151,3,0),0)</f>
        <v>12</v>
      </c>
      <c r="N26">
        <f t="shared" si="2"/>
        <v>1</v>
      </c>
      <c r="R26">
        <v>0</v>
      </c>
    </row>
    <row r="27" spans="1:18">
      <c r="A27" t="s">
        <v>38</v>
      </c>
      <c r="B27" s="64" t="s">
        <v>451</v>
      </c>
      <c r="C27" s="64">
        <v>48</v>
      </c>
      <c r="F27" t="s">
        <v>451</v>
      </c>
      <c r="G27">
        <v>53</v>
      </c>
      <c r="I27">
        <v>1</v>
      </c>
      <c r="J27" t="s">
        <v>90</v>
      </c>
      <c r="K27">
        <v>0</v>
      </c>
      <c r="L27">
        <f t="shared" si="1"/>
        <v>48</v>
      </c>
      <c r="M27">
        <f>IFERROR(VLOOKUP(A27,'Ajustes profesores'!$G$5:$I$151,3,0),0)</f>
        <v>48</v>
      </c>
      <c r="N27">
        <f t="shared" si="2"/>
        <v>5</v>
      </c>
      <c r="R27">
        <v>0</v>
      </c>
    </row>
    <row r="28" spans="1:18">
      <c r="A28" t="s">
        <v>39</v>
      </c>
      <c r="B28" s="64" t="s">
        <v>452</v>
      </c>
      <c r="C28" s="64">
        <v>16</v>
      </c>
      <c r="F28" t="s">
        <v>453</v>
      </c>
      <c r="G28">
        <v>17</v>
      </c>
      <c r="I28">
        <v>9</v>
      </c>
      <c r="J28" t="s">
        <v>91</v>
      </c>
      <c r="K28">
        <v>0</v>
      </c>
      <c r="L28">
        <f t="shared" si="1"/>
        <v>16</v>
      </c>
      <c r="M28">
        <f>IFERROR(VLOOKUP(A28,'Ajustes profesores'!$G$5:$I$151,3,0),0)</f>
        <v>16</v>
      </c>
      <c r="N28">
        <f t="shared" si="2"/>
        <v>1</v>
      </c>
      <c r="R28">
        <v>0</v>
      </c>
    </row>
    <row r="29" spans="1:18">
      <c r="A29" t="str">
        <f t="shared" ref="A29:A92" si="3">B29</f>
        <v>MAESTRÍA EN COMUNICACIÓN ESTRATÉGICA</v>
      </c>
      <c r="B29" t="s">
        <v>183</v>
      </c>
      <c r="C29">
        <v>2</v>
      </c>
      <c r="F29" t="s">
        <v>454</v>
      </c>
      <c r="G29">
        <v>5</v>
      </c>
      <c r="I29">
        <v>3</v>
      </c>
      <c r="J29" t="s">
        <v>83</v>
      </c>
      <c r="K29">
        <v>0</v>
      </c>
      <c r="L29">
        <f t="shared" si="1"/>
        <v>2</v>
      </c>
      <c r="M29">
        <f>IFERROR(VLOOKUP(A29,'Ajustes profesores'!$G$5:$I$151,3,0),0)</f>
        <v>2</v>
      </c>
      <c r="N29">
        <f t="shared" si="2"/>
        <v>3</v>
      </c>
      <c r="R29">
        <v>0</v>
      </c>
    </row>
    <row r="30" spans="1:18">
      <c r="A30" t="str">
        <f t="shared" si="3"/>
        <v>MAESTRÍA EN PERIODISMO Y COMUNICACIÓN DIGITAL</v>
      </c>
      <c r="B30" t="s">
        <v>184</v>
      </c>
      <c r="C30">
        <v>2</v>
      </c>
      <c r="F30" t="s">
        <v>455</v>
      </c>
      <c r="G30">
        <v>4</v>
      </c>
      <c r="I30">
        <v>3</v>
      </c>
      <c r="J30" t="s">
        <v>83</v>
      </c>
      <c r="K30">
        <v>0</v>
      </c>
      <c r="L30">
        <f t="shared" si="1"/>
        <v>2</v>
      </c>
      <c r="M30">
        <f>IFERROR(VLOOKUP(A30,'Ajustes profesores'!$G$5:$I$151,3,0),0)</f>
        <v>2</v>
      </c>
      <c r="N30">
        <f t="shared" si="2"/>
        <v>2</v>
      </c>
      <c r="R30">
        <v>0</v>
      </c>
    </row>
    <row r="31" spans="1:18">
      <c r="A31" t="str">
        <f t="shared" si="3"/>
        <v>MAESTRÍA EN CONTRATACIÓN ESTATAL</v>
      </c>
      <c r="B31" t="s">
        <v>185</v>
      </c>
      <c r="C31">
        <v>2</v>
      </c>
      <c r="F31" t="s">
        <v>456</v>
      </c>
      <c r="G31">
        <v>3</v>
      </c>
      <c r="I31">
        <v>4</v>
      </c>
      <c r="J31" t="s">
        <v>84</v>
      </c>
      <c r="K31">
        <v>0</v>
      </c>
      <c r="L31">
        <f t="shared" si="1"/>
        <v>2</v>
      </c>
      <c r="M31">
        <f>IFERROR(VLOOKUP(A31,'Ajustes profesores'!$G$5:$I$151,3,0),0)</f>
        <v>2</v>
      </c>
      <c r="N31">
        <f t="shared" si="2"/>
        <v>1</v>
      </c>
      <c r="R31">
        <v>0</v>
      </c>
    </row>
    <row r="32" spans="1:18">
      <c r="A32" t="str">
        <f t="shared" si="3"/>
        <v>MAESTRÍA EN DERECHO CONSTITUCIONAL</v>
      </c>
      <c r="B32" t="s">
        <v>186</v>
      </c>
      <c r="C32">
        <v>1</v>
      </c>
      <c r="F32" t="s">
        <v>457</v>
      </c>
      <c r="G32">
        <v>2</v>
      </c>
      <c r="I32">
        <v>4</v>
      </c>
      <c r="J32" t="s">
        <v>84</v>
      </c>
      <c r="K32">
        <v>0</v>
      </c>
      <c r="L32">
        <f t="shared" si="1"/>
        <v>1</v>
      </c>
      <c r="M32">
        <f>IFERROR(VLOOKUP(A32,'Ajustes profesores'!$G$5:$I$151,3,0),0)</f>
        <v>1</v>
      </c>
      <c r="N32">
        <f t="shared" si="2"/>
        <v>1</v>
      </c>
      <c r="R32">
        <v>0</v>
      </c>
    </row>
    <row r="33" spans="1:18">
      <c r="A33" t="str">
        <f t="shared" si="3"/>
        <v>MAESTRÍA EN DERECHO DE LA EMPRESA Y DE LOS NEGOCIOS</v>
      </c>
      <c r="B33" t="s">
        <v>187</v>
      </c>
      <c r="C33">
        <v>1</v>
      </c>
      <c r="F33" t="s">
        <v>458</v>
      </c>
      <c r="G33">
        <v>2</v>
      </c>
      <c r="I33">
        <v>4</v>
      </c>
      <c r="J33" t="s">
        <v>84</v>
      </c>
      <c r="K33">
        <v>0</v>
      </c>
      <c r="L33">
        <f t="shared" si="1"/>
        <v>1</v>
      </c>
      <c r="M33">
        <f>IFERROR(VLOOKUP(A33,'Ajustes profesores'!$G$5:$I$151,3,0),0)</f>
        <v>1</v>
      </c>
      <c r="N33">
        <f t="shared" si="2"/>
        <v>1</v>
      </c>
      <c r="R33">
        <v>0</v>
      </c>
    </row>
    <row r="34" spans="1:18">
      <c r="A34" t="str">
        <f t="shared" si="3"/>
        <v>MAESTRÍA EN DERECHO INTERNACIONAL</v>
      </c>
      <c r="B34" t="s">
        <v>188</v>
      </c>
      <c r="C34">
        <v>5</v>
      </c>
      <c r="F34" t="s">
        <v>459</v>
      </c>
      <c r="G34">
        <v>6</v>
      </c>
      <c r="I34">
        <v>4</v>
      </c>
      <c r="J34" t="s">
        <v>84</v>
      </c>
      <c r="K34">
        <v>0</v>
      </c>
      <c r="L34">
        <f t="shared" si="1"/>
        <v>5</v>
      </c>
      <c r="M34">
        <f>IFERROR(VLOOKUP(A34,'Ajustes profesores'!$G$5:$I$151,3,0),0)</f>
        <v>5</v>
      </c>
      <c r="N34">
        <f t="shared" si="2"/>
        <v>1</v>
      </c>
      <c r="R34">
        <v>0</v>
      </c>
    </row>
    <row r="35" spans="1:18">
      <c r="A35" t="str">
        <f t="shared" si="3"/>
        <v>MAESTRÍA EN DESARROLLO INFANTIL</v>
      </c>
      <c r="B35" t="s">
        <v>189</v>
      </c>
      <c r="C35">
        <v>1</v>
      </c>
      <c r="F35" t="s">
        <v>460</v>
      </c>
      <c r="G35">
        <v>1</v>
      </c>
      <c r="I35">
        <v>5</v>
      </c>
      <c r="J35" t="s">
        <v>85</v>
      </c>
      <c r="K35">
        <v>0</v>
      </c>
      <c r="L35">
        <f t="shared" si="1"/>
        <v>1</v>
      </c>
      <c r="M35">
        <f>IFERROR(VLOOKUP(A35,'Ajustes profesores'!$G$5:$I$151,3,0),0)</f>
        <v>1</v>
      </c>
      <c r="N35">
        <f t="shared" si="2"/>
        <v>0</v>
      </c>
      <c r="R35">
        <v>0</v>
      </c>
    </row>
    <row r="36" spans="1:18">
      <c r="A36" t="str">
        <f t="shared" si="3"/>
        <v>MAESTRÍA EN DIDÁCTICA DEL INGLÉS CON ÉNFASIS EN AMBIENTES DE APRENDIZAJE AUTÓNOMO</v>
      </c>
      <c r="B36" t="s">
        <v>461</v>
      </c>
      <c r="G36">
        <v>0</v>
      </c>
      <c r="K36">
        <v>0</v>
      </c>
      <c r="L36">
        <f t="shared" si="1"/>
        <v>0</v>
      </c>
      <c r="M36">
        <f>IFERROR(VLOOKUP(A36,'Ajustes profesores'!$G$5:$I$151,3,0),0)</f>
        <v>0</v>
      </c>
      <c r="N36">
        <f t="shared" si="2"/>
        <v>0</v>
      </c>
      <c r="R36">
        <v>0</v>
      </c>
    </row>
    <row r="37" spans="1:18">
      <c r="A37" t="str">
        <f t="shared" si="3"/>
        <v>MAESTRÍA EN DIRECCIÓN Y GESTIÓN DE INSTITUCIONES EDUCATIVAS</v>
      </c>
      <c r="B37" t="s">
        <v>190</v>
      </c>
      <c r="C37">
        <v>1</v>
      </c>
      <c r="F37" t="s">
        <v>462</v>
      </c>
      <c r="G37">
        <v>2</v>
      </c>
      <c r="I37">
        <v>5</v>
      </c>
      <c r="J37" t="s">
        <v>85</v>
      </c>
      <c r="K37">
        <v>0</v>
      </c>
      <c r="L37">
        <f t="shared" si="1"/>
        <v>1</v>
      </c>
      <c r="M37">
        <f>IFERROR(VLOOKUP(A37,'Ajustes profesores'!$G$5:$I$151,3,0),0)</f>
        <v>1</v>
      </c>
      <c r="N37">
        <f t="shared" si="2"/>
        <v>1</v>
      </c>
      <c r="R37">
        <v>0</v>
      </c>
    </row>
    <row r="38" spans="1:18">
      <c r="A38" t="str">
        <f t="shared" si="3"/>
        <v>MAESTRÍA EN EDUCACIÓN</v>
      </c>
      <c r="B38" t="s">
        <v>191</v>
      </c>
      <c r="C38">
        <v>1</v>
      </c>
      <c r="F38" t="s">
        <v>463</v>
      </c>
      <c r="G38">
        <v>3</v>
      </c>
      <c r="I38">
        <v>5</v>
      </c>
      <c r="J38" t="s">
        <v>85</v>
      </c>
      <c r="K38">
        <v>0</v>
      </c>
      <c r="L38">
        <f t="shared" si="1"/>
        <v>1</v>
      </c>
      <c r="M38">
        <f>IFERROR(VLOOKUP(A38,'Ajustes profesores'!$G$5:$I$151,3,0),0)</f>
        <v>1</v>
      </c>
      <c r="N38">
        <f t="shared" si="2"/>
        <v>2</v>
      </c>
      <c r="R38">
        <v>0</v>
      </c>
    </row>
    <row r="39" spans="1:18">
      <c r="A39" t="str">
        <f t="shared" si="3"/>
        <v>MAESTRÍA EN PEDAGOGÍA</v>
      </c>
      <c r="B39" t="s">
        <v>192</v>
      </c>
      <c r="C39">
        <v>1</v>
      </c>
      <c r="F39" t="s">
        <v>464</v>
      </c>
      <c r="G39">
        <v>2</v>
      </c>
      <c r="I39">
        <v>5</v>
      </c>
      <c r="J39" t="s">
        <v>85</v>
      </c>
      <c r="K39">
        <v>0</v>
      </c>
      <c r="L39">
        <f t="shared" si="1"/>
        <v>1</v>
      </c>
      <c r="M39">
        <f>IFERROR(VLOOKUP(A39,'Ajustes profesores'!$G$5:$I$151,3,0),0)</f>
        <v>1</v>
      </c>
      <c r="N39">
        <f t="shared" si="2"/>
        <v>1</v>
      </c>
      <c r="R39">
        <v>0</v>
      </c>
    </row>
    <row r="40" spans="1:18">
      <c r="A40" t="str">
        <f t="shared" si="3"/>
        <v>MAESTRÍA EN ENFERMERÍA PRESENCIAL</v>
      </c>
      <c r="B40" t="s">
        <v>197</v>
      </c>
      <c r="C40">
        <v>6</v>
      </c>
      <c r="F40" t="s">
        <v>465</v>
      </c>
      <c r="G40">
        <v>8</v>
      </c>
      <c r="I40">
        <v>6</v>
      </c>
      <c r="J40" t="s">
        <v>87</v>
      </c>
      <c r="K40">
        <v>1</v>
      </c>
      <c r="L40">
        <f t="shared" si="1"/>
        <v>7</v>
      </c>
      <c r="M40">
        <f>IFERROR(VLOOKUP(A40,'Ajustes profesores'!$G$5:$I$151,3,0),0)</f>
        <v>7</v>
      </c>
      <c r="N40">
        <f t="shared" si="2"/>
        <v>1</v>
      </c>
      <c r="R40">
        <v>1</v>
      </c>
    </row>
    <row r="41" spans="1:18">
      <c r="A41" t="str">
        <f t="shared" si="3"/>
        <v>MAESTRÍA EN LINGÜÍSTICA PANHISPÁNICA - VIRTUAL</v>
      </c>
      <c r="B41" t="s">
        <v>213</v>
      </c>
      <c r="C41">
        <v>2</v>
      </c>
      <c r="F41" t="s">
        <v>466</v>
      </c>
      <c r="G41">
        <v>2</v>
      </c>
      <c r="I41">
        <v>7</v>
      </c>
      <c r="J41" t="s">
        <v>88</v>
      </c>
      <c r="K41">
        <v>0</v>
      </c>
      <c r="L41">
        <f t="shared" si="1"/>
        <v>2</v>
      </c>
      <c r="M41">
        <f>IFERROR(VLOOKUP(A41,'Ajustes profesores'!$G$5:$I$151,3,0),0)</f>
        <v>2</v>
      </c>
      <c r="N41">
        <f t="shared" si="2"/>
        <v>0</v>
      </c>
      <c r="R41">
        <v>0</v>
      </c>
    </row>
    <row r="42" spans="1:18">
      <c r="A42" t="str">
        <f t="shared" si="3"/>
        <v>MAESTRÍA EN TEOLOGÍA</v>
      </c>
      <c r="B42" t="s">
        <v>203</v>
      </c>
      <c r="C42">
        <v>2</v>
      </c>
      <c r="F42" t="s">
        <v>467</v>
      </c>
      <c r="G42">
        <v>2</v>
      </c>
      <c r="I42">
        <v>7</v>
      </c>
      <c r="J42" t="s">
        <v>88</v>
      </c>
      <c r="K42">
        <v>0</v>
      </c>
      <c r="L42">
        <f t="shared" si="1"/>
        <v>2</v>
      </c>
      <c r="M42">
        <f>IFERROR(VLOOKUP(A42,'Ajustes profesores'!$G$5:$I$151,3,0),0)</f>
        <v>2</v>
      </c>
      <c r="N42">
        <f t="shared" si="2"/>
        <v>0</v>
      </c>
      <c r="R42">
        <v>0</v>
      </c>
    </row>
    <row r="43" spans="1:18">
      <c r="A43" t="str">
        <f t="shared" si="3"/>
        <v>MAESTRÍA EN ANALÍTICA APLICADA</v>
      </c>
      <c r="B43" t="s">
        <v>178</v>
      </c>
      <c r="C43">
        <v>7</v>
      </c>
      <c r="F43" t="s">
        <v>468</v>
      </c>
      <c r="G43">
        <v>7</v>
      </c>
      <c r="I43">
        <v>8</v>
      </c>
      <c r="J43" t="s">
        <v>89</v>
      </c>
      <c r="K43">
        <v>0</v>
      </c>
      <c r="L43">
        <f t="shared" si="1"/>
        <v>7</v>
      </c>
      <c r="M43">
        <f>IFERROR(VLOOKUP(A43,'Ajustes profesores'!$G$5:$I$151,3,0),0)</f>
        <v>7</v>
      </c>
      <c r="N43">
        <f t="shared" si="2"/>
        <v>0</v>
      </c>
      <c r="R43">
        <v>0</v>
      </c>
    </row>
    <row r="44" spans="1:18">
      <c r="A44" t="str">
        <f t="shared" si="3"/>
        <v>MAESTRÍA EN DISEÑO Y GESTIÓN DE PROCESOS</v>
      </c>
      <c r="B44" t="s">
        <v>179</v>
      </c>
      <c r="C44">
        <v>20</v>
      </c>
      <c r="F44" t="s">
        <v>469</v>
      </c>
      <c r="G44">
        <v>24</v>
      </c>
      <c r="I44">
        <v>8</v>
      </c>
      <c r="J44" t="s">
        <v>89</v>
      </c>
      <c r="K44">
        <v>0</v>
      </c>
      <c r="L44">
        <f t="shared" si="1"/>
        <v>20</v>
      </c>
      <c r="M44">
        <f>IFERROR(VLOOKUP(A44,'Ajustes profesores'!$G$5:$I$151,3,0),0)</f>
        <v>20</v>
      </c>
      <c r="N44">
        <f t="shared" si="2"/>
        <v>4</v>
      </c>
      <c r="R44">
        <v>0</v>
      </c>
    </row>
    <row r="45" spans="1:18">
      <c r="A45" t="str">
        <f t="shared" si="3"/>
        <v>MAESTRÍA EN GERENCIA DE INGENIERÍA</v>
      </c>
      <c r="B45" t="s">
        <v>180</v>
      </c>
      <c r="C45">
        <v>3</v>
      </c>
      <c r="F45" t="s">
        <v>470</v>
      </c>
      <c r="G45">
        <v>4</v>
      </c>
      <c r="I45">
        <v>8</v>
      </c>
      <c r="J45" t="s">
        <v>89</v>
      </c>
      <c r="K45">
        <v>0</v>
      </c>
      <c r="L45">
        <f t="shared" si="1"/>
        <v>3</v>
      </c>
      <c r="M45">
        <f>IFERROR(VLOOKUP(A45,'Ajustes profesores'!$G$5:$I$151,3,0),0)</f>
        <v>3</v>
      </c>
      <c r="N45">
        <f t="shared" si="2"/>
        <v>1</v>
      </c>
      <c r="R45">
        <v>0</v>
      </c>
    </row>
    <row r="46" spans="1:18">
      <c r="A46" t="str">
        <f t="shared" si="3"/>
        <v>MAESTRÍA EN BIOÉTICA</v>
      </c>
      <c r="B46" t="s">
        <v>196</v>
      </c>
      <c r="C46">
        <v>2</v>
      </c>
      <c r="F46" t="s">
        <v>471</v>
      </c>
      <c r="G46">
        <v>3</v>
      </c>
      <c r="I46">
        <v>1</v>
      </c>
      <c r="J46" t="s">
        <v>90</v>
      </c>
      <c r="K46">
        <v>0</v>
      </c>
      <c r="L46">
        <f t="shared" si="1"/>
        <v>2</v>
      </c>
      <c r="M46">
        <f>IFERROR(VLOOKUP(A46,'Ajustes profesores'!$G$5:$I$151,3,0),0)</f>
        <v>2</v>
      </c>
      <c r="N46">
        <f t="shared" si="2"/>
        <v>1</v>
      </c>
      <c r="R46">
        <v>0</v>
      </c>
    </row>
    <row r="47" spans="1:18">
      <c r="A47" t="str">
        <f t="shared" si="3"/>
        <v>MAESTRÍA EN EDUCACIÓN MÉDICA</v>
      </c>
      <c r="B47" t="s">
        <v>193</v>
      </c>
      <c r="C47">
        <v>1</v>
      </c>
      <c r="F47" t="s">
        <v>472</v>
      </c>
      <c r="G47">
        <v>2</v>
      </c>
      <c r="I47">
        <v>1</v>
      </c>
      <c r="J47" t="s">
        <v>90</v>
      </c>
      <c r="K47">
        <v>0</v>
      </c>
      <c r="L47">
        <f t="shared" si="1"/>
        <v>1</v>
      </c>
      <c r="M47">
        <f>IFERROR(VLOOKUP(A47,'Ajustes profesores'!$G$5:$I$151,3,0),0)</f>
        <v>1</v>
      </c>
      <c r="N47">
        <f t="shared" si="2"/>
        <v>1</v>
      </c>
      <c r="R47">
        <v>0</v>
      </c>
    </row>
    <row r="48" spans="1:18">
      <c r="A48" t="str">
        <f t="shared" si="3"/>
        <v>MAESTRÍA EN EPIDEMIOLOGÍA</v>
      </c>
      <c r="B48" t="s">
        <v>195</v>
      </c>
      <c r="C48">
        <v>2</v>
      </c>
      <c r="F48" t="s">
        <v>473</v>
      </c>
      <c r="G48">
        <v>5</v>
      </c>
      <c r="I48">
        <v>1</v>
      </c>
      <c r="J48" t="s">
        <v>90</v>
      </c>
      <c r="K48">
        <v>0</v>
      </c>
      <c r="L48">
        <f t="shared" si="1"/>
        <v>2</v>
      </c>
      <c r="M48">
        <f>IFERROR(VLOOKUP(A48,'Ajustes profesores'!$G$5:$I$151,3,0),0)</f>
        <v>2</v>
      </c>
      <c r="N48">
        <f t="shared" si="2"/>
        <v>3</v>
      </c>
      <c r="R48">
        <v>0</v>
      </c>
    </row>
    <row r="49" spans="1:18">
      <c r="A49" t="str">
        <f t="shared" si="3"/>
        <v>MAESTRÍA EN GERENCIA Y DESARROLLO DE PERSONAS</v>
      </c>
      <c r="B49" t="s">
        <v>204</v>
      </c>
      <c r="C49">
        <v>1</v>
      </c>
      <c r="F49" t="s">
        <v>474</v>
      </c>
      <c r="G49">
        <v>4</v>
      </c>
      <c r="I49">
        <v>9</v>
      </c>
      <c r="J49" t="s">
        <v>91</v>
      </c>
      <c r="K49">
        <v>2</v>
      </c>
      <c r="L49">
        <f t="shared" si="1"/>
        <v>3</v>
      </c>
      <c r="M49">
        <f>IFERROR(VLOOKUP(A49,'Ajustes profesores'!$G$5:$I$151,3,0),0)</f>
        <v>4</v>
      </c>
      <c r="N49">
        <f t="shared" si="2"/>
        <v>0</v>
      </c>
      <c r="R49">
        <v>3</v>
      </c>
    </row>
    <row r="50" spans="1:18">
      <c r="A50" t="str">
        <f t="shared" si="3"/>
        <v>MAESTRÍA EN PSICOLOGÍA</v>
      </c>
      <c r="B50" t="s">
        <v>205</v>
      </c>
      <c r="C50">
        <v>7</v>
      </c>
      <c r="F50" t="s">
        <v>475</v>
      </c>
      <c r="G50">
        <v>14</v>
      </c>
      <c r="I50">
        <v>9</v>
      </c>
      <c r="J50" t="s">
        <v>91</v>
      </c>
      <c r="K50">
        <v>1</v>
      </c>
      <c r="L50">
        <f t="shared" si="1"/>
        <v>8</v>
      </c>
      <c r="M50">
        <f>IFERROR(VLOOKUP(A50,'Ajustes profesores'!$G$5:$I$151,3,0),0)</f>
        <v>8</v>
      </c>
      <c r="N50">
        <f t="shared" si="2"/>
        <v>6</v>
      </c>
      <c r="R50">
        <v>1</v>
      </c>
    </row>
    <row r="51" spans="1:18">
      <c r="A51" t="str">
        <f t="shared" si="3"/>
        <v>MAESTRÍA EN PSICOLOGÍA DE LA SALUD Y LA DISCAPACIDAD</v>
      </c>
      <c r="B51" t="s">
        <v>207</v>
      </c>
      <c r="C51">
        <v>2</v>
      </c>
      <c r="F51" t="s">
        <v>476</v>
      </c>
      <c r="G51">
        <v>2</v>
      </c>
      <c r="I51">
        <v>9</v>
      </c>
      <c r="J51" t="s">
        <v>91</v>
      </c>
      <c r="K51">
        <v>0</v>
      </c>
      <c r="L51">
        <f t="shared" si="1"/>
        <v>2</v>
      </c>
      <c r="M51">
        <f>IFERROR(VLOOKUP(A51,'Ajustes profesores'!$G$5:$I$151,3,0),0)</f>
        <v>2</v>
      </c>
      <c r="N51">
        <f t="shared" si="2"/>
        <v>0</v>
      </c>
      <c r="R51">
        <v>0</v>
      </c>
    </row>
    <row r="52" spans="1:18">
      <c r="A52" t="str">
        <f t="shared" si="3"/>
        <v>MAESTRÍA EN GERENCIA DE INVERSIÓN</v>
      </c>
      <c r="B52" t="s">
        <v>198</v>
      </c>
      <c r="C52">
        <v>3</v>
      </c>
      <c r="F52" t="s">
        <v>477</v>
      </c>
      <c r="G52">
        <v>3</v>
      </c>
      <c r="I52">
        <v>2</v>
      </c>
      <c r="J52" t="s">
        <v>77</v>
      </c>
      <c r="K52">
        <v>0</v>
      </c>
      <c r="L52">
        <f t="shared" si="1"/>
        <v>3</v>
      </c>
      <c r="M52">
        <f>IFERROR(VLOOKUP(A52,'Ajustes profesores'!$G$5:$I$151,3,0),0)</f>
        <v>3</v>
      </c>
      <c r="N52">
        <f t="shared" si="2"/>
        <v>0</v>
      </c>
      <c r="R52">
        <v>0</v>
      </c>
    </row>
    <row r="53" spans="1:18">
      <c r="A53" t="str">
        <f t="shared" si="3"/>
        <v>MAESTRÍA EN GERENCIA DE OPERACIONES</v>
      </c>
      <c r="B53" t="s">
        <v>200</v>
      </c>
      <c r="C53">
        <v>3</v>
      </c>
      <c r="F53" t="s">
        <v>478</v>
      </c>
      <c r="G53">
        <v>3</v>
      </c>
      <c r="I53">
        <v>2</v>
      </c>
      <c r="J53" t="s">
        <v>77</v>
      </c>
      <c r="K53">
        <v>0</v>
      </c>
      <c r="L53">
        <f t="shared" si="1"/>
        <v>3</v>
      </c>
      <c r="M53">
        <f>IFERROR(VLOOKUP(A53,'Ajustes profesores'!$G$5:$I$151,3,0),0)</f>
        <v>3</v>
      </c>
      <c r="N53">
        <f t="shared" si="2"/>
        <v>0</v>
      </c>
      <c r="R53">
        <v>0</v>
      </c>
    </row>
    <row r="54" spans="1:18">
      <c r="A54" t="str">
        <f t="shared" si="3"/>
        <v>MAESTRÍA EN GERENCIA ESTRATÉGICA</v>
      </c>
      <c r="B54" t="s">
        <v>201</v>
      </c>
      <c r="C54">
        <v>4</v>
      </c>
      <c r="F54" t="s">
        <v>479</v>
      </c>
      <c r="G54">
        <v>4</v>
      </c>
      <c r="I54">
        <v>2</v>
      </c>
      <c r="J54" t="s">
        <v>77</v>
      </c>
      <c r="K54">
        <v>0</v>
      </c>
      <c r="L54">
        <f t="shared" si="1"/>
        <v>4</v>
      </c>
      <c r="M54">
        <f>IFERROR(VLOOKUP(A54,'Ajustes profesores'!$G$5:$I$151,3,0),0)</f>
        <v>4</v>
      </c>
      <c r="N54">
        <f t="shared" si="2"/>
        <v>0</v>
      </c>
      <c r="R54">
        <v>0</v>
      </c>
    </row>
    <row r="55" spans="1:18">
      <c r="A55" t="str">
        <f t="shared" si="3"/>
        <v>MAESTRÍA EN GERENCIA INTERNACIONAL</v>
      </c>
      <c r="B55" t="s">
        <v>202</v>
      </c>
      <c r="C55">
        <v>2</v>
      </c>
      <c r="F55" t="s">
        <v>480</v>
      </c>
      <c r="G55">
        <v>2</v>
      </c>
      <c r="I55">
        <v>2</v>
      </c>
      <c r="J55" t="s">
        <v>77</v>
      </c>
      <c r="K55">
        <v>0</v>
      </c>
      <c r="L55">
        <f t="shared" si="1"/>
        <v>2</v>
      </c>
      <c r="M55">
        <f>IFERROR(VLOOKUP(A55,'Ajustes profesores'!$G$5:$I$151,3,0),0)</f>
        <v>2</v>
      </c>
      <c r="N55">
        <f t="shared" si="2"/>
        <v>0</v>
      </c>
      <c r="R55">
        <v>0</v>
      </c>
    </row>
    <row r="56" spans="1:18">
      <c r="A56" t="str">
        <f t="shared" si="3"/>
        <v>MAESTRÍA EN DIDÁCTICA DEL INGLÉS PARA EL APRENDIZAJE AUTODIRIGIDO</v>
      </c>
      <c r="B56" t="s">
        <v>296</v>
      </c>
      <c r="F56" t="s">
        <v>481</v>
      </c>
      <c r="G56">
        <v>0</v>
      </c>
      <c r="I56">
        <v>5</v>
      </c>
      <c r="J56" t="s">
        <v>85</v>
      </c>
      <c r="K56">
        <v>0</v>
      </c>
      <c r="L56">
        <f t="shared" si="1"/>
        <v>0</v>
      </c>
      <c r="M56">
        <f>IFERROR(VLOOKUP(A56,'Ajustes profesores'!$G$5:$I$151,3,0),0)</f>
        <v>0</v>
      </c>
      <c r="N56">
        <f t="shared" si="2"/>
        <v>0</v>
      </c>
      <c r="R56">
        <v>0</v>
      </c>
    </row>
    <row r="57" spans="1:18">
      <c r="A57" t="str">
        <f t="shared" si="3"/>
        <v>MAESTRÍA EN INNOVACIÓN EDUCATIVA MEDIADA POR TIC - VIRTUAL</v>
      </c>
      <c r="B57" t="s">
        <v>217</v>
      </c>
      <c r="C57">
        <v>4</v>
      </c>
      <c r="F57" t="s">
        <v>482</v>
      </c>
      <c r="G57">
        <v>5</v>
      </c>
      <c r="I57">
        <v>5</v>
      </c>
      <c r="J57" t="s">
        <v>85</v>
      </c>
      <c r="K57">
        <v>0</v>
      </c>
      <c r="L57">
        <f t="shared" si="1"/>
        <v>4</v>
      </c>
      <c r="M57">
        <f>IFERROR(VLOOKUP(A57,'Ajustes profesores'!$G$5:$I$151,3,0),0)</f>
        <v>4</v>
      </c>
      <c r="N57">
        <f t="shared" si="2"/>
        <v>1</v>
      </c>
      <c r="R57">
        <v>0</v>
      </c>
    </row>
    <row r="58" spans="1:18">
      <c r="A58" t="str">
        <f t="shared" si="3"/>
        <v>MAESTRÍA EN PEDAGOGÍA E INVESTIGACIÓN EN EL AULA</v>
      </c>
      <c r="B58" t="s">
        <v>397</v>
      </c>
      <c r="F58" t="s">
        <v>483</v>
      </c>
      <c r="G58">
        <v>0</v>
      </c>
      <c r="I58">
        <v>5</v>
      </c>
      <c r="J58" t="s">
        <v>85</v>
      </c>
      <c r="K58">
        <v>0</v>
      </c>
      <c r="L58">
        <f t="shared" si="1"/>
        <v>0</v>
      </c>
      <c r="M58">
        <f>IFERROR(VLOOKUP(A58,'Ajustes profesores'!$G$5:$I$151,3,0),0)</f>
        <v>0</v>
      </c>
      <c r="N58">
        <f t="shared" si="2"/>
        <v>0</v>
      </c>
      <c r="R58">
        <v>0</v>
      </c>
    </row>
    <row r="59" spans="1:18">
      <c r="A59" s="100" t="str">
        <f t="shared" si="3"/>
        <v>MAESTRÍA EN PROYECTOS EDUCATIVOS MEDIADOS POR TIC</v>
      </c>
      <c r="B59" s="100" t="s">
        <v>317</v>
      </c>
      <c r="C59" s="100"/>
      <c r="D59" s="100"/>
      <c r="E59" s="100"/>
      <c r="F59" s="100" t="s">
        <v>484</v>
      </c>
      <c r="G59" s="100">
        <v>0</v>
      </c>
      <c r="H59" s="100"/>
      <c r="I59" s="100">
        <v>5</v>
      </c>
      <c r="J59" s="100" t="s">
        <v>85</v>
      </c>
      <c r="K59" s="100">
        <v>0</v>
      </c>
      <c r="L59" s="100">
        <f t="shared" si="1"/>
        <v>0</v>
      </c>
      <c r="M59">
        <f>IFERROR(VLOOKUP(A59,'Ajustes profesores'!$G$5:$I$151,3,0),0)</f>
        <v>0</v>
      </c>
      <c r="N59">
        <f t="shared" si="2"/>
        <v>0</v>
      </c>
      <c r="O59" s="100" t="s">
        <v>485</v>
      </c>
      <c r="R59" s="100">
        <v>0</v>
      </c>
    </row>
    <row r="60" spans="1:18">
      <c r="A60" t="str">
        <f t="shared" si="3"/>
        <v>MAESTRÍA EN ASESORÍA FAMILIAR Y GESTIÓN DE PROGRAMAS PARA LA FAMILIA</v>
      </c>
      <c r="B60" t="s">
        <v>181</v>
      </c>
      <c r="C60">
        <v>6</v>
      </c>
      <c r="F60" t="s">
        <v>486</v>
      </c>
      <c r="G60">
        <v>6</v>
      </c>
      <c r="I60">
        <v>10</v>
      </c>
      <c r="J60" t="s">
        <v>182</v>
      </c>
      <c r="K60">
        <v>0</v>
      </c>
      <c r="L60">
        <f t="shared" si="1"/>
        <v>6</v>
      </c>
      <c r="M60">
        <f>IFERROR(VLOOKUP(A60,'Ajustes profesores'!$G$5:$I$151,3,0),0)</f>
        <v>6</v>
      </c>
      <c r="N60">
        <f t="shared" si="2"/>
        <v>0</v>
      </c>
      <c r="R60">
        <v>0</v>
      </c>
    </row>
    <row r="61" spans="1:18">
      <c r="A61" t="str">
        <f t="shared" si="3"/>
        <v>MAESTRÍA EN ENFERMERÍA VIRTUAL</v>
      </c>
      <c r="B61" t="s">
        <v>212</v>
      </c>
      <c r="C61">
        <v>5</v>
      </c>
      <c r="F61" t="s">
        <v>487</v>
      </c>
      <c r="G61">
        <v>9</v>
      </c>
      <c r="I61">
        <v>6</v>
      </c>
      <c r="J61" t="s">
        <v>87</v>
      </c>
      <c r="K61">
        <v>2</v>
      </c>
      <c r="L61">
        <f t="shared" si="1"/>
        <v>7</v>
      </c>
      <c r="M61">
        <f>IFERROR(VLOOKUP(A61,'Ajustes profesores'!$G$5:$I$151,3,0),0)</f>
        <v>7</v>
      </c>
      <c r="N61">
        <f t="shared" si="2"/>
        <v>2</v>
      </c>
      <c r="R61">
        <v>2</v>
      </c>
    </row>
    <row r="62" spans="1:18">
      <c r="A62" t="str">
        <f t="shared" si="3"/>
        <v>ESPECIALIZACIÓN EN ANESTESIOLOGÍA Y MEDICINA PERIOPERATORIA</v>
      </c>
      <c r="B62" t="s">
        <v>109</v>
      </c>
      <c r="C62">
        <v>1</v>
      </c>
      <c r="F62" t="s">
        <v>488</v>
      </c>
      <c r="G62">
        <v>1</v>
      </c>
      <c r="I62">
        <v>1</v>
      </c>
      <c r="J62" t="s">
        <v>90</v>
      </c>
      <c r="K62">
        <v>0</v>
      </c>
      <c r="L62">
        <f t="shared" si="1"/>
        <v>1</v>
      </c>
      <c r="M62">
        <f>IFERROR(VLOOKUP(A62,'Ajustes profesores'!$G$5:$I$151,3,0),0)</f>
        <v>1</v>
      </c>
      <c r="N62">
        <f t="shared" si="2"/>
        <v>0</v>
      </c>
      <c r="R62">
        <v>0</v>
      </c>
    </row>
    <row r="63" spans="1:18">
      <c r="A63" t="str">
        <f t="shared" si="3"/>
        <v>ESPECIALIZACIÓN EN CIRUGÍA GENERAL</v>
      </c>
      <c r="B63" t="s">
        <v>110</v>
      </c>
      <c r="C63">
        <v>3</v>
      </c>
      <c r="F63" t="s">
        <v>489</v>
      </c>
      <c r="G63">
        <v>3</v>
      </c>
      <c r="I63">
        <v>1</v>
      </c>
      <c r="J63" t="s">
        <v>90</v>
      </c>
      <c r="K63">
        <v>0</v>
      </c>
      <c r="L63">
        <f t="shared" si="1"/>
        <v>3</v>
      </c>
      <c r="M63">
        <f>IFERROR(VLOOKUP(A63,'Ajustes profesores'!$G$5:$I$151,3,0),0)</f>
        <v>3</v>
      </c>
      <c r="N63">
        <f t="shared" si="2"/>
        <v>0</v>
      </c>
      <c r="R63">
        <v>0</v>
      </c>
    </row>
    <row r="64" spans="1:18">
      <c r="A64" t="str">
        <f t="shared" si="3"/>
        <v>ESPECIALIZACIÓN EN CUIDADO INTENSIVO PEDIÁTRICO</v>
      </c>
      <c r="B64" t="s">
        <v>111</v>
      </c>
      <c r="C64">
        <v>1</v>
      </c>
      <c r="F64" t="s">
        <v>490</v>
      </c>
      <c r="G64">
        <v>1</v>
      </c>
      <c r="I64">
        <v>1</v>
      </c>
      <c r="J64" t="s">
        <v>90</v>
      </c>
      <c r="K64">
        <v>0</v>
      </c>
      <c r="L64">
        <f t="shared" si="1"/>
        <v>1</v>
      </c>
      <c r="M64">
        <f>IFERROR(VLOOKUP(A64,'Ajustes profesores'!$G$5:$I$151,3,0),0)</f>
        <v>1</v>
      </c>
      <c r="N64">
        <f t="shared" si="2"/>
        <v>0</v>
      </c>
      <c r="R64">
        <v>0</v>
      </c>
    </row>
    <row r="65" spans="1:18">
      <c r="A65" t="str">
        <f t="shared" si="3"/>
        <v>ESPECIALIZACIÓN EN ELECTROFISIOLOGÍA CARDIOVASCULAR</v>
      </c>
      <c r="B65" t="s">
        <v>113</v>
      </c>
      <c r="G65">
        <v>0</v>
      </c>
      <c r="K65">
        <v>0</v>
      </c>
      <c r="L65">
        <f t="shared" si="1"/>
        <v>0</v>
      </c>
      <c r="M65">
        <f>IFERROR(VLOOKUP(A65,'Ajustes profesores'!$G$5:$I$151,3,0),0)</f>
        <v>0</v>
      </c>
      <c r="N65">
        <f t="shared" si="2"/>
        <v>0</v>
      </c>
      <c r="R65">
        <v>0</v>
      </c>
    </row>
    <row r="66" spans="1:18">
      <c r="A66" t="str">
        <f t="shared" si="3"/>
        <v>ESPECIALIZACIÓN EN FARMACOLOGÍA CLÍNICA</v>
      </c>
      <c r="B66" t="s">
        <v>114</v>
      </c>
      <c r="C66">
        <v>2</v>
      </c>
      <c r="F66" t="s">
        <v>491</v>
      </c>
      <c r="G66">
        <v>3</v>
      </c>
      <c r="I66">
        <v>1</v>
      </c>
      <c r="J66" t="s">
        <v>90</v>
      </c>
      <c r="K66">
        <v>0</v>
      </c>
      <c r="L66">
        <f t="shared" si="1"/>
        <v>2</v>
      </c>
      <c r="M66">
        <f>IFERROR(VLOOKUP(A66,'Ajustes profesores'!$G$5:$I$151,3,0),0)</f>
        <v>2</v>
      </c>
      <c r="N66">
        <f t="shared" si="2"/>
        <v>1</v>
      </c>
      <c r="R66">
        <v>0</v>
      </c>
    </row>
    <row r="67" spans="1:18">
      <c r="A67" t="str">
        <f t="shared" si="3"/>
        <v>ESPECIALIZACIÓN EN GINECOLOGÍA Y OBSTETRICIA</v>
      </c>
      <c r="B67" t="s">
        <v>115</v>
      </c>
      <c r="C67">
        <v>1</v>
      </c>
      <c r="F67" t="s">
        <v>492</v>
      </c>
      <c r="G67">
        <v>1</v>
      </c>
      <c r="I67">
        <v>1</v>
      </c>
      <c r="J67" t="s">
        <v>90</v>
      </c>
      <c r="K67">
        <v>0</v>
      </c>
      <c r="L67">
        <f t="shared" ref="L67:L130" si="4">K67+C67</f>
        <v>1</v>
      </c>
      <c r="M67">
        <f>IFERROR(VLOOKUP(A67,'Ajustes profesores'!$G$5:$I$151,3,0),0)</f>
        <v>1</v>
      </c>
      <c r="N67">
        <f t="shared" ref="N67:N130" si="5">G67-M67</f>
        <v>0</v>
      </c>
      <c r="R67">
        <v>0</v>
      </c>
    </row>
    <row r="68" spans="1:18">
      <c r="A68" t="str">
        <f t="shared" si="3"/>
        <v>ESPECIALIZACIÓN EN MEDICINA CRÍTICA</v>
      </c>
      <c r="B68" t="s">
        <v>117</v>
      </c>
      <c r="G68">
        <v>0</v>
      </c>
      <c r="K68">
        <v>0</v>
      </c>
      <c r="L68">
        <f t="shared" si="4"/>
        <v>0</v>
      </c>
      <c r="M68">
        <f>IFERROR(VLOOKUP(A68,'Ajustes profesores'!$G$5:$I$151,3,0),0)</f>
        <v>0</v>
      </c>
      <c r="N68">
        <f t="shared" si="5"/>
        <v>0</v>
      </c>
      <c r="R68">
        <v>0</v>
      </c>
    </row>
    <row r="69" spans="1:18">
      <c r="A69" t="str">
        <f t="shared" si="3"/>
        <v>ESPECIALIZACIÓN EN MEDICINA DEL DOLOR Y CUIDADOS PALIATIVOS</v>
      </c>
      <c r="B69" t="s">
        <v>118</v>
      </c>
      <c r="C69">
        <v>2</v>
      </c>
      <c r="F69" t="s">
        <v>493</v>
      </c>
      <c r="G69">
        <v>2</v>
      </c>
      <c r="I69">
        <v>1</v>
      </c>
      <c r="J69" t="s">
        <v>90</v>
      </c>
      <c r="K69">
        <v>0</v>
      </c>
      <c r="L69">
        <f t="shared" si="4"/>
        <v>2</v>
      </c>
      <c r="M69">
        <f>IFERROR(VLOOKUP(A69,'Ajustes profesores'!$G$5:$I$151,3,0),0)</f>
        <v>2</v>
      </c>
      <c r="N69">
        <f t="shared" si="5"/>
        <v>0</v>
      </c>
      <c r="R69">
        <v>0</v>
      </c>
    </row>
    <row r="70" spans="1:18">
      <c r="A70" t="str">
        <f t="shared" si="3"/>
        <v>ESPECIALIZACIÓN EN MEDICINA FAMILIAR Y COMUNITARIA</v>
      </c>
      <c r="B70" t="s">
        <v>119</v>
      </c>
      <c r="C70">
        <v>4</v>
      </c>
      <c r="F70" t="s">
        <v>494</v>
      </c>
      <c r="G70">
        <v>4</v>
      </c>
      <c r="I70">
        <v>1</v>
      </c>
      <c r="J70" t="s">
        <v>90</v>
      </c>
      <c r="K70">
        <v>0</v>
      </c>
      <c r="L70">
        <f t="shared" si="4"/>
        <v>4</v>
      </c>
      <c r="M70">
        <f>IFERROR(VLOOKUP(A70,'Ajustes profesores'!$G$5:$I$151,3,0),0)</f>
        <v>4</v>
      </c>
      <c r="N70">
        <f t="shared" si="5"/>
        <v>0</v>
      </c>
      <c r="R70">
        <v>0</v>
      </c>
    </row>
    <row r="71" spans="1:18">
      <c r="A71" t="str">
        <f t="shared" si="3"/>
        <v>ESPECIALIZACIÓN EN MEDICINA FÍSICA Y REHABILITACIÓN</v>
      </c>
      <c r="B71" t="s">
        <v>120</v>
      </c>
      <c r="G71">
        <v>0</v>
      </c>
      <c r="K71">
        <v>0</v>
      </c>
      <c r="L71">
        <f t="shared" si="4"/>
        <v>0</v>
      </c>
      <c r="M71">
        <f>IFERROR(VLOOKUP(A71,'Ajustes profesores'!$G$5:$I$151,3,0),0)</f>
        <v>0</v>
      </c>
      <c r="N71">
        <f t="shared" si="5"/>
        <v>0</v>
      </c>
      <c r="R71">
        <v>0</v>
      </c>
    </row>
    <row r="72" spans="1:18">
      <c r="A72" t="str">
        <f t="shared" si="3"/>
        <v>ESPECIALIZACIÓN EN MEDICINA INTERNA</v>
      </c>
      <c r="B72" t="s">
        <v>121</v>
      </c>
      <c r="C72">
        <v>2</v>
      </c>
      <c r="F72" t="s">
        <v>495</v>
      </c>
      <c r="G72">
        <v>2</v>
      </c>
      <c r="I72">
        <v>1</v>
      </c>
      <c r="J72" t="s">
        <v>90</v>
      </c>
      <c r="K72">
        <v>0</v>
      </c>
      <c r="L72">
        <f t="shared" si="4"/>
        <v>2</v>
      </c>
      <c r="M72">
        <f>IFERROR(VLOOKUP(A72,'Ajustes profesores'!$G$5:$I$151,3,0),0)</f>
        <v>2</v>
      </c>
      <c r="N72">
        <f t="shared" si="5"/>
        <v>0</v>
      </c>
      <c r="R72">
        <v>0</v>
      </c>
    </row>
    <row r="73" spans="1:18">
      <c r="A73" t="str">
        <f t="shared" si="3"/>
        <v>ESPECIALIZACIÓN EN NEUMOLOGÍA</v>
      </c>
      <c r="B73" t="s">
        <v>122</v>
      </c>
      <c r="C73">
        <v>1</v>
      </c>
      <c r="F73" t="s">
        <v>122</v>
      </c>
      <c r="G73">
        <v>1</v>
      </c>
      <c r="K73">
        <v>0</v>
      </c>
      <c r="L73">
        <f t="shared" si="4"/>
        <v>1</v>
      </c>
      <c r="M73">
        <f>IFERROR(VLOOKUP(A73,'Ajustes profesores'!$G$5:$I$151,3,0),0)</f>
        <v>1</v>
      </c>
      <c r="N73">
        <f t="shared" si="5"/>
        <v>0</v>
      </c>
      <c r="R73">
        <v>0</v>
      </c>
    </row>
    <row r="74" spans="1:18">
      <c r="A74" t="str">
        <f t="shared" si="3"/>
        <v>ESPECIALIZACIÓN EN NEUROLOGÍA</v>
      </c>
      <c r="B74" t="s">
        <v>124</v>
      </c>
      <c r="G74">
        <v>0</v>
      </c>
      <c r="K74">
        <v>0</v>
      </c>
      <c r="L74">
        <f t="shared" si="4"/>
        <v>0</v>
      </c>
      <c r="M74">
        <f>IFERROR(VLOOKUP(A74,'Ajustes profesores'!$G$5:$I$151,3,0),0)</f>
        <v>0</v>
      </c>
      <c r="N74">
        <f t="shared" si="5"/>
        <v>0</v>
      </c>
      <c r="R74">
        <v>0</v>
      </c>
    </row>
    <row r="75" spans="1:18">
      <c r="A75" t="str">
        <f t="shared" si="3"/>
        <v>ESPECIALIZACIÓN EN OFTALMOLOGÍA</v>
      </c>
      <c r="B75" t="s">
        <v>125</v>
      </c>
      <c r="G75">
        <v>0</v>
      </c>
      <c r="K75">
        <v>0</v>
      </c>
      <c r="L75">
        <f t="shared" si="4"/>
        <v>0</v>
      </c>
      <c r="M75">
        <f>IFERROR(VLOOKUP(A75,'Ajustes profesores'!$G$5:$I$151,3,0),0)</f>
        <v>0</v>
      </c>
      <c r="N75">
        <f t="shared" si="5"/>
        <v>0</v>
      </c>
      <c r="R75">
        <v>0</v>
      </c>
    </row>
    <row r="76" spans="1:18">
      <c r="A76" t="str">
        <f t="shared" si="3"/>
        <v>ESPECIALIZACIÓN EN PEDIATRÍA</v>
      </c>
      <c r="B76" t="s">
        <v>126</v>
      </c>
      <c r="C76">
        <v>2</v>
      </c>
      <c r="F76" t="s">
        <v>496</v>
      </c>
      <c r="G76">
        <v>3</v>
      </c>
      <c r="I76">
        <v>1</v>
      </c>
      <c r="J76" t="s">
        <v>90</v>
      </c>
      <c r="K76">
        <v>0</v>
      </c>
      <c r="L76">
        <f t="shared" si="4"/>
        <v>2</v>
      </c>
      <c r="M76">
        <f>IFERROR(VLOOKUP(A76,'Ajustes profesores'!$G$5:$I$151,3,0),0)</f>
        <v>2</v>
      </c>
      <c r="N76">
        <f t="shared" si="5"/>
        <v>1</v>
      </c>
      <c r="R76">
        <v>0</v>
      </c>
    </row>
    <row r="77" spans="1:18">
      <c r="A77" t="str">
        <f t="shared" si="3"/>
        <v>ESPECIALIZACIÓN EN RADIOLOGÍA E IMÁGENES DIAGNÓSTICAS</v>
      </c>
      <c r="B77" t="s">
        <v>127</v>
      </c>
      <c r="G77">
        <v>0</v>
      </c>
      <c r="K77">
        <v>0</v>
      </c>
      <c r="L77">
        <f t="shared" si="4"/>
        <v>0</v>
      </c>
      <c r="M77">
        <f>IFERROR(VLOOKUP(A77,'Ajustes profesores'!$G$5:$I$151,3,0),0)</f>
        <v>0</v>
      </c>
      <c r="N77">
        <f t="shared" si="5"/>
        <v>0</v>
      </c>
      <c r="R77">
        <v>0</v>
      </c>
    </row>
    <row r="78" spans="1:18">
      <c r="A78" t="str">
        <f t="shared" si="3"/>
        <v>ESPECIALIZACIÓN EN REUMATOLOGÍA</v>
      </c>
      <c r="B78" t="s">
        <v>128</v>
      </c>
      <c r="C78">
        <v>2</v>
      </c>
      <c r="F78" t="s">
        <v>497</v>
      </c>
      <c r="G78">
        <v>2</v>
      </c>
      <c r="I78">
        <v>1</v>
      </c>
      <c r="J78" t="s">
        <v>90</v>
      </c>
      <c r="K78">
        <v>0</v>
      </c>
      <c r="L78">
        <f t="shared" si="4"/>
        <v>2</v>
      </c>
      <c r="M78">
        <f>IFERROR(VLOOKUP(A78,'Ajustes profesores'!$G$5:$I$151,3,0),0)</f>
        <v>2</v>
      </c>
      <c r="N78">
        <f t="shared" si="5"/>
        <v>0</v>
      </c>
      <c r="R78">
        <v>0</v>
      </c>
    </row>
    <row r="79" spans="1:18">
      <c r="A79" t="str">
        <f t="shared" si="3"/>
        <v>DOCTORADO EN COMUNICACIÓN</v>
      </c>
      <c r="B79" t="s">
        <v>101</v>
      </c>
      <c r="C79">
        <v>4</v>
      </c>
      <c r="F79" t="s">
        <v>498</v>
      </c>
      <c r="G79">
        <v>5</v>
      </c>
      <c r="I79">
        <v>3</v>
      </c>
      <c r="J79" t="s">
        <v>83</v>
      </c>
      <c r="K79">
        <v>0</v>
      </c>
      <c r="L79">
        <f t="shared" si="4"/>
        <v>4</v>
      </c>
      <c r="M79">
        <f>IFERROR(VLOOKUP(A79,'Ajustes profesores'!$G$5:$I$151,3,0),0)</f>
        <v>4</v>
      </c>
      <c r="N79">
        <f t="shared" si="5"/>
        <v>1</v>
      </c>
      <c r="R79">
        <v>0</v>
      </c>
    </row>
    <row r="80" spans="1:18">
      <c r="A80" t="str">
        <f t="shared" si="3"/>
        <v>DOCTORADO EN DERECHO</v>
      </c>
      <c r="B80" t="s">
        <v>102</v>
      </c>
      <c r="C80">
        <v>3</v>
      </c>
      <c r="F80" t="s">
        <v>102</v>
      </c>
      <c r="G80">
        <v>3</v>
      </c>
      <c r="I80">
        <v>4</v>
      </c>
      <c r="J80" t="s">
        <v>84</v>
      </c>
      <c r="K80">
        <v>0</v>
      </c>
      <c r="L80">
        <f t="shared" si="4"/>
        <v>3</v>
      </c>
      <c r="M80">
        <f>IFERROR(VLOOKUP(A80,'Ajustes profesores'!$G$5:$I$151,3,0),0)</f>
        <v>3</v>
      </c>
      <c r="N80">
        <f t="shared" si="5"/>
        <v>0</v>
      </c>
      <c r="R80">
        <v>0</v>
      </c>
    </row>
    <row r="81" spans="1:18">
      <c r="A81" t="str">
        <f t="shared" si="3"/>
        <v>DOCTORADO EN EDUCACIÓN</v>
      </c>
      <c r="B81" t="s">
        <v>103</v>
      </c>
      <c r="C81">
        <v>5</v>
      </c>
      <c r="F81" t="s">
        <v>499</v>
      </c>
      <c r="G81">
        <v>6</v>
      </c>
      <c r="I81">
        <v>5</v>
      </c>
      <c r="J81" t="s">
        <v>85</v>
      </c>
      <c r="K81">
        <v>0</v>
      </c>
      <c r="L81">
        <f t="shared" si="4"/>
        <v>5</v>
      </c>
      <c r="M81">
        <f>IFERROR(VLOOKUP(A81,'Ajustes profesores'!$G$5:$I$151,3,0),0)</f>
        <v>5</v>
      </c>
      <c r="N81">
        <f t="shared" si="5"/>
        <v>1</v>
      </c>
      <c r="R81">
        <v>0</v>
      </c>
    </row>
    <row r="82" spans="1:18">
      <c r="A82" t="str">
        <f t="shared" si="3"/>
        <v>DOCTORADO EN ENFERMERÍA</v>
      </c>
      <c r="B82" t="s">
        <v>104</v>
      </c>
      <c r="C82">
        <v>4</v>
      </c>
      <c r="F82" t="s">
        <v>500</v>
      </c>
      <c r="G82">
        <v>4</v>
      </c>
      <c r="I82">
        <v>6</v>
      </c>
      <c r="J82" t="s">
        <v>87</v>
      </c>
      <c r="K82">
        <v>0</v>
      </c>
      <c r="L82">
        <f t="shared" si="4"/>
        <v>4</v>
      </c>
      <c r="M82">
        <f>IFERROR(VLOOKUP(A82,'Ajustes profesores'!$G$5:$I$151,3,0),0)</f>
        <v>4</v>
      </c>
      <c r="N82">
        <f t="shared" si="5"/>
        <v>0</v>
      </c>
      <c r="R82">
        <v>0</v>
      </c>
    </row>
    <row r="83" spans="1:18">
      <c r="A83" t="str">
        <f t="shared" si="3"/>
        <v>ESPECIALIZACIÓN EN GERENCIA DE LA COMUNICACIÓN ORGANIZACIONAL</v>
      </c>
      <c r="B83" t="s">
        <v>135</v>
      </c>
      <c r="G83">
        <v>0</v>
      </c>
      <c r="K83">
        <v>0</v>
      </c>
      <c r="L83">
        <f t="shared" si="4"/>
        <v>0</v>
      </c>
      <c r="M83">
        <f>IFERROR(VLOOKUP(A83,'Ajustes profesores'!$G$5:$I$151,3,0),0)</f>
        <v>0</v>
      </c>
      <c r="N83">
        <f t="shared" si="5"/>
        <v>0</v>
      </c>
      <c r="R83">
        <v>0</v>
      </c>
    </row>
    <row r="84" spans="1:18">
      <c r="A84" t="str">
        <f t="shared" si="3"/>
        <v>ESPECIALIZACIÓN EN CONTRATACIÓN ESTATAL</v>
      </c>
      <c r="B84" t="s">
        <v>129</v>
      </c>
      <c r="C84">
        <v>1</v>
      </c>
      <c r="F84" t="s">
        <v>501</v>
      </c>
      <c r="G84">
        <v>2</v>
      </c>
      <c r="I84">
        <v>4</v>
      </c>
      <c r="J84" t="s">
        <v>84</v>
      </c>
      <c r="K84">
        <v>0</v>
      </c>
      <c r="L84">
        <f t="shared" si="4"/>
        <v>1</v>
      </c>
      <c r="M84">
        <f>IFERROR(VLOOKUP(A84,'Ajustes profesores'!$G$5:$I$151,3,0),0)</f>
        <v>1</v>
      </c>
      <c r="N84">
        <f t="shared" si="5"/>
        <v>1</v>
      </c>
      <c r="R84">
        <v>0</v>
      </c>
    </row>
    <row r="85" spans="1:18">
      <c r="A85" t="str">
        <f t="shared" si="3"/>
        <v>ESPECIALIZACIÓN EN DERECHO COMERCIAL</v>
      </c>
      <c r="B85" t="s">
        <v>130</v>
      </c>
      <c r="G85">
        <v>0</v>
      </c>
      <c r="K85">
        <v>0</v>
      </c>
      <c r="L85">
        <f t="shared" si="4"/>
        <v>0</v>
      </c>
      <c r="M85">
        <f>IFERROR(VLOOKUP(A85,'Ajustes profesores'!$G$5:$I$151,3,0),0)</f>
        <v>0</v>
      </c>
      <c r="N85">
        <f t="shared" si="5"/>
        <v>0</v>
      </c>
      <c r="R85">
        <v>0</v>
      </c>
    </row>
    <row r="86" spans="1:18">
      <c r="A86" t="str">
        <f t="shared" si="3"/>
        <v>ESPECIALIZACIÓN EN DERECHO TRIBUTARIO</v>
      </c>
      <c r="B86" t="s">
        <v>131</v>
      </c>
      <c r="G86">
        <v>0</v>
      </c>
      <c r="K86">
        <v>0</v>
      </c>
      <c r="L86">
        <f t="shared" si="4"/>
        <v>0</v>
      </c>
      <c r="M86">
        <f>IFERROR(VLOOKUP(A86,'Ajustes profesores'!$G$5:$I$151,3,0),0)</f>
        <v>0</v>
      </c>
      <c r="N86">
        <f t="shared" si="5"/>
        <v>0</v>
      </c>
      <c r="R86">
        <v>0</v>
      </c>
    </row>
    <row r="87" spans="1:18">
      <c r="A87" t="str">
        <f t="shared" si="3"/>
        <v>ESPECIALIZACIÓN EN DERECHO Y EMPRESA</v>
      </c>
      <c r="B87" t="s">
        <v>132</v>
      </c>
      <c r="F87" t="s">
        <v>502</v>
      </c>
      <c r="G87">
        <v>1</v>
      </c>
      <c r="I87">
        <v>4</v>
      </c>
      <c r="J87" t="s">
        <v>84</v>
      </c>
      <c r="K87">
        <v>0</v>
      </c>
      <c r="L87">
        <f t="shared" si="4"/>
        <v>0</v>
      </c>
      <c r="M87">
        <f>IFERROR(VLOOKUP(A87,'Ajustes profesores'!$G$5:$I$151,3,0),0)</f>
        <v>0</v>
      </c>
      <c r="N87">
        <f t="shared" si="5"/>
        <v>1</v>
      </c>
      <c r="R87">
        <v>0</v>
      </c>
    </row>
    <row r="88" spans="1:18">
      <c r="A88" t="str">
        <f t="shared" si="3"/>
        <v>ESPECIALIZACIÓN EN RESPONSABILIDAD CIVIL Y DEL ESTADO</v>
      </c>
      <c r="B88" t="s">
        <v>133</v>
      </c>
      <c r="F88" t="s">
        <v>503</v>
      </c>
      <c r="G88">
        <v>1</v>
      </c>
      <c r="I88">
        <v>4</v>
      </c>
      <c r="J88" t="s">
        <v>84</v>
      </c>
      <c r="K88">
        <v>0</v>
      </c>
      <c r="L88">
        <f t="shared" si="4"/>
        <v>0</v>
      </c>
      <c r="M88">
        <f>IFERROR(VLOOKUP(A88,'Ajustes profesores'!$G$5:$I$151,3,0),0)</f>
        <v>0</v>
      </c>
      <c r="N88">
        <f t="shared" si="5"/>
        <v>1</v>
      </c>
      <c r="R88">
        <v>0</v>
      </c>
    </row>
    <row r="89" spans="1:18">
      <c r="A89" t="str">
        <f t="shared" si="3"/>
        <v>ESPECIALIZACIÓN EN SEGUROS Y SEGURIDAD SOCIAL</v>
      </c>
      <c r="B89" t="s">
        <v>134</v>
      </c>
      <c r="G89">
        <v>0</v>
      </c>
      <c r="K89">
        <v>0</v>
      </c>
      <c r="L89">
        <f t="shared" si="4"/>
        <v>0</v>
      </c>
      <c r="M89">
        <f>IFERROR(VLOOKUP(A89,'Ajustes profesores'!$G$5:$I$151,3,0),0)</f>
        <v>0</v>
      </c>
      <c r="N89">
        <f t="shared" si="5"/>
        <v>0</v>
      </c>
      <c r="R89">
        <v>0</v>
      </c>
    </row>
    <row r="90" spans="1:18">
      <c r="A90" t="str">
        <f t="shared" si="3"/>
        <v>ESPECIALIZACIÓN EN GERENCIA EDUCATIVA</v>
      </c>
      <c r="B90" t="s">
        <v>136</v>
      </c>
      <c r="C90">
        <v>1</v>
      </c>
      <c r="F90" t="s">
        <v>504</v>
      </c>
      <c r="G90">
        <v>2</v>
      </c>
      <c r="I90">
        <v>5</v>
      </c>
      <c r="J90" t="s">
        <v>85</v>
      </c>
      <c r="K90">
        <v>0</v>
      </c>
      <c r="L90">
        <f t="shared" si="4"/>
        <v>1</v>
      </c>
      <c r="M90">
        <f>IFERROR(VLOOKUP(A90,'Ajustes profesores'!$G$5:$I$151,3,0),0)</f>
        <v>1</v>
      </c>
      <c r="N90">
        <f t="shared" si="5"/>
        <v>1</v>
      </c>
      <c r="R90">
        <v>0</v>
      </c>
    </row>
    <row r="91" spans="1:18">
      <c r="A91" t="str">
        <f t="shared" si="3"/>
        <v>ESPECIALIZACIÓN EN ENFERMERÍA EN CUIDADO CRÍTICO</v>
      </c>
      <c r="B91" t="s">
        <v>153</v>
      </c>
      <c r="C91">
        <v>9</v>
      </c>
      <c r="F91" t="s">
        <v>505</v>
      </c>
      <c r="G91">
        <v>10</v>
      </c>
      <c r="I91">
        <v>6</v>
      </c>
      <c r="J91" t="s">
        <v>87</v>
      </c>
      <c r="K91">
        <v>0</v>
      </c>
      <c r="L91">
        <f t="shared" si="4"/>
        <v>9</v>
      </c>
      <c r="M91">
        <f>IFERROR(VLOOKUP(A91,'Ajustes profesores'!$G$5:$I$151,3,0),0)</f>
        <v>9</v>
      </c>
      <c r="N91">
        <f t="shared" si="5"/>
        <v>1</v>
      </c>
      <c r="R91">
        <v>0</v>
      </c>
    </row>
    <row r="92" spans="1:18">
      <c r="A92" t="str">
        <f t="shared" si="3"/>
        <v>ESPECIALIZACIÓN EN TERAPIA MANUAL ORTOPÉDICA</v>
      </c>
      <c r="B92" t="s">
        <v>154</v>
      </c>
      <c r="C92">
        <v>5</v>
      </c>
      <c r="F92" t="s">
        <v>506</v>
      </c>
      <c r="G92">
        <v>5</v>
      </c>
      <c r="I92">
        <v>6</v>
      </c>
      <c r="J92" t="s">
        <v>87</v>
      </c>
      <c r="K92">
        <v>0</v>
      </c>
      <c r="L92">
        <f t="shared" si="4"/>
        <v>5</v>
      </c>
      <c r="M92">
        <f>IFERROR(VLOOKUP(A92,'Ajustes profesores'!$G$5:$I$151,3,0),0)</f>
        <v>5</v>
      </c>
      <c r="N92">
        <f t="shared" si="5"/>
        <v>0</v>
      </c>
      <c r="R92">
        <v>0</v>
      </c>
    </row>
    <row r="93" spans="1:18">
      <c r="A93" t="str">
        <f t="shared" ref="A93:A128" si="6">B93</f>
        <v>ESPECIALIZACIÓN EN BIOÉTICA - CHÍA</v>
      </c>
      <c r="B93" s="100" t="s">
        <v>112</v>
      </c>
      <c r="C93" s="100"/>
      <c r="D93" s="100"/>
      <c r="E93" s="100"/>
      <c r="F93" s="100" t="s">
        <v>112</v>
      </c>
      <c r="G93" s="100">
        <v>3</v>
      </c>
      <c r="H93" s="100"/>
      <c r="I93" s="100"/>
      <c r="J93" s="100"/>
      <c r="K93">
        <v>2</v>
      </c>
      <c r="L93">
        <f t="shared" si="4"/>
        <v>2</v>
      </c>
      <c r="M93">
        <f>IFERROR(VLOOKUP(A93,'Ajustes profesores'!$G$5:$I$151,3,0),0)</f>
        <v>0</v>
      </c>
      <c r="N93">
        <f t="shared" si="5"/>
        <v>3</v>
      </c>
      <c r="R93">
        <v>0</v>
      </c>
    </row>
    <row r="94" spans="1:18">
      <c r="A94" t="str">
        <f t="shared" si="6"/>
        <v>ESPECIALIZACIÓN EN PSICOLOGÍA CLÍNICA DE LA NIÑEZ Y LA ADOLESCENCIA</v>
      </c>
      <c r="B94" t="s">
        <v>151</v>
      </c>
      <c r="C94">
        <v>3</v>
      </c>
      <c r="F94" t="s">
        <v>507</v>
      </c>
      <c r="G94">
        <v>3</v>
      </c>
      <c r="I94">
        <v>9</v>
      </c>
      <c r="J94" t="s">
        <v>91</v>
      </c>
      <c r="K94">
        <v>0</v>
      </c>
      <c r="L94">
        <f t="shared" si="4"/>
        <v>3</v>
      </c>
      <c r="M94">
        <f>IFERROR(VLOOKUP(A94,'Ajustes profesores'!$G$5:$I$151,3,0),0)</f>
        <v>3</v>
      </c>
      <c r="N94">
        <f t="shared" si="5"/>
        <v>0</v>
      </c>
      <c r="R94">
        <v>0</v>
      </c>
    </row>
    <row r="95" spans="1:18">
      <c r="A95" t="str">
        <f t="shared" si="6"/>
        <v>ESPECIALIZACIÓN EN PSICOLOGÍA EDUCATIVA</v>
      </c>
      <c r="B95" t="s">
        <v>152</v>
      </c>
      <c r="C95">
        <v>1</v>
      </c>
      <c r="F95" t="s">
        <v>508</v>
      </c>
      <c r="G95">
        <v>2</v>
      </c>
      <c r="I95">
        <v>9</v>
      </c>
      <c r="J95" t="s">
        <v>91</v>
      </c>
      <c r="K95">
        <v>1</v>
      </c>
      <c r="L95">
        <f t="shared" si="4"/>
        <v>2</v>
      </c>
      <c r="M95">
        <f>IFERROR(VLOOKUP(A95,'Ajustes profesores'!$G$5:$I$151,3,0),0)</f>
        <v>2</v>
      </c>
      <c r="N95">
        <f t="shared" si="5"/>
        <v>0</v>
      </c>
      <c r="R95">
        <v>1</v>
      </c>
    </row>
    <row r="96" spans="1:18">
      <c r="A96" t="str">
        <f t="shared" si="6"/>
        <v>ESPECIALIZACIÓN EN FINANZAS CORPORATIVAS CHÍA</v>
      </c>
      <c r="B96" t="s">
        <v>139</v>
      </c>
      <c r="C96">
        <v>1</v>
      </c>
      <c r="F96" t="s">
        <v>509</v>
      </c>
      <c r="G96">
        <v>1</v>
      </c>
      <c r="I96">
        <v>11</v>
      </c>
      <c r="J96" t="s">
        <v>138</v>
      </c>
      <c r="K96">
        <v>0</v>
      </c>
      <c r="L96">
        <f t="shared" si="4"/>
        <v>1</v>
      </c>
      <c r="M96">
        <f>IFERROR(VLOOKUP(A96,'Ajustes profesores'!$G$5:$I$151,3,0),0)</f>
        <v>1</v>
      </c>
      <c r="N96">
        <f t="shared" si="5"/>
        <v>0</v>
      </c>
      <c r="R96">
        <v>0</v>
      </c>
    </row>
    <row r="97" spans="1:18">
      <c r="A97" t="str">
        <f t="shared" si="6"/>
        <v>ESPECIALIZACIÓN EN GERENCIA COMERCIAL CHÍA</v>
      </c>
      <c r="B97" t="s">
        <v>140</v>
      </c>
      <c r="C97">
        <v>1</v>
      </c>
      <c r="F97" t="s">
        <v>510</v>
      </c>
      <c r="G97">
        <v>1</v>
      </c>
      <c r="I97">
        <v>11</v>
      </c>
      <c r="J97" t="s">
        <v>138</v>
      </c>
      <c r="K97">
        <v>0</v>
      </c>
      <c r="L97">
        <f t="shared" si="4"/>
        <v>1</v>
      </c>
      <c r="M97">
        <f>IFERROR(VLOOKUP(A97,'Ajustes profesores'!$G$5:$I$151,3,0),0)</f>
        <v>1</v>
      </c>
      <c r="N97">
        <f t="shared" si="5"/>
        <v>0</v>
      </c>
      <c r="R97">
        <v>0</v>
      </c>
    </row>
    <row r="98" spans="1:18">
      <c r="A98" t="str">
        <f t="shared" si="6"/>
        <v>ESPECIALIZACIÓN EN GERENCIA DE PRODUCCIÓN Y OPERACIONES CHÍA</v>
      </c>
      <c r="B98" t="s">
        <v>141</v>
      </c>
      <c r="C98">
        <v>1</v>
      </c>
      <c r="F98" t="s">
        <v>511</v>
      </c>
      <c r="G98">
        <v>1</v>
      </c>
      <c r="I98">
        <v>11</v>
      </c>
      <c r="J98" t="s">
        <v>138</v>
      </c>
      <c r="K98">
        <v>0</v>
      </c>
      <c r="L98">
        <f t="shared" si="4"/>
        <v>1</v>
      </c>
      <c r="M98">
        <f>IFERROR(VLOOKUP(A98,'Ajustes profesores'!$G$5:$I$151,3,0),0)</f>
        <v>1</v>
      </c>
      <c r="N98">
        <f t="shared" si="5"/>
        <v>0</v>
      </c>
      <c r="R98">
        <v>0</v>
      </c>
    </row>
    <row r="99" spans="1:18">
      <c r="A99" t="str">
        <f t="shared" si="6"/>
        <v>ESPECIALIZACIÓN EN GERENCIA DE PROYECTOS CON ENFOQUE EN HABILIDADES DIRECTIVAS CHÍA</v>
      </c>
      <c r="B99" t="s">
        <v>142</v>
      </c>
      <c r="C99">
        <v>1</v>
      </c>
      <c r="F99" t="s">
        <v>512</v>
      </c>
      <c r="G99">
        <v>1</v>
      </c>
      <c r="I99">
        <v>11</v>
      </c>
      <c r="J99" t="s">
        <v>138</v>
      </c>
      <c r="K99">
        <v>0</v>
      </c>
      <c r="L99">
        <f t="shared" si="4"/>
        <v>1</v>
      </c>
      <c r="M99">
        <f>IFERROR(VLOOKUP(A99,'Ajustes profesores'!$G$5:$I$151,3,0),0)</f>
        <v>1</v>
      </c>
      <c r="N99">
        <f t="shared" si="5"/>
        <v>0</v>
      </c>
      <c r="R99">
        <v>0</v>
      </c>
    </row>
    <row r="100" spans="1:18">
      <c r="A100" t="str">
        <f t="shared" si="6"/>
        <v>ESPECIALIZACIÓN EN GERENCIA DEL SERVICIO CHÍA</v>
      </c>
      <c r="B100" t="s">
        <v>144</v>
      </c>
      <c r="G100">
        <v>0</v>
      </c>
      <c r="K100">
        <v>0</v>
      </c>
      <c r="L100">
        <f t="shared" si="4"/>
        <v>0</v>
      </c>
      <c r="M100">
        <f>IFERROR(VLOOKUP(A100,'Ajustes profesores'!$G$5:$I$151,3,0),0)</f>
        <v>0</v>
      </c>
      <c r="N100">
        <f t="shared" si="5"/>
        <v>0</v>
      </c>
      <c r="R100">
        <v>0</v>
      </c>
    </row>
    <row r="101" spans="1:18">
      <c r="A101" t="str">
        <f t="shared" si="6"/>
        <v>ESPECIALIZACIÓN EN GERENCIA ESTRATÉGICA CHÍA</v>
      </c>
      <c r="B101" t="s">
        <v>145</v>
      </c>
      <c r="G101">
        <v>2</v>
      </c>
      <c r="K101" s="81">
        <v>2</v>
      </c>
      <c r="L101">
        <f t="shared" si="4"/>
        <v>2</v>
      </c>
      <c r="M101">
        <f>IFERROR(VLOOKUP(A101,'Ajustes profesores'!$G$5:$I$151,3,0),0)</f>
        <v>2</v>
      </c>
      <c r="N101">
        <f t="shared" si="5"/>
        <v>0</v>
      </c>
      <c r="R101" s="81">
        <v>2</v>
      </c>
    </row>
    <row r="102" spans="1:18">
      <c r="A102" t="str">
        <f t="shared" si="6"/>
        <v>ESPECIALIZACIÓN EN GERENCIA ESTRATÉGICA DE MARCA CHÍA</v>
      </c>
      <c r="B102" t="s">
        <v>146</v>
      </c>
      <c r="C102">
        <v>2</v>
      </c>
      <c r="F102" t="s">
        <v>513</v>
      </c>
      <c r="G102">
        <v>2</v>
      </c>
      <c r="I102">
        <v>11</v>
      </c>
      <c r="J102" t="s">
        <v>138</v>
      </c>
      <c r="K102">
        <v>0</v>
      </c>
      <c r="L102">
        <f t="shared" si="4"/>
        <v>2</v>
      </c>
      <c r="M102">
        <f>IFERROR(VLOOKUP(A102,'Ajustes profesores'!$G$5:$I$151,3,0),0)</f>
        <v>2</v>
      </c>
      <c r="N102">
        <f t="shared" si="5"/>
        <v>0</v>
      </c>
      <c r="R102">
        <v>0</v>
      </c>
    </row>
    <row r="103" spans="1:18">
      <c r="A103" t="str">
        <f t="shared" si="6"/>
        <v>ESPECIALIZACIÓN EN GERENCIA FINANCIERA INTERNACIONAL CHÍA</v>
      </c>
      <c r="B103" t="s">
        <v>147</v>
      </c>
      <c r="C103">
        <v>1</v>
      </c>
      <c r="F103" t="s">
        <v>514</v>
      </c>
      <c r="G103">
        <v>1</v>
      </c>
      <c r="I103">
        <v>11</v>
      </c>
      <c r="J103" t="s">
        <v>138</v>
      </c>
      <c r="K103">
        <v>0</v>
      </c>
      <c r="L103">
        <f t="shared" si="4"/>
        <v>1</v>
      </c>
      <c r="M103">
        <f>IFERROR(VLOOKUP(A103,'Ajustes profesores'!$G$5:$I$151,3,0),0)</f>
        <v>1</v>
      </c>
      <c r="N103">
        <f t="shared" si="5"/>
        <v>0</v>
      </c>
      <c r="R103">
        <v>0</v>
      </c>
    </row>
    <row r="104" spans="1:18">
      <c r="A104" t="str">
        <f t="shared" si="6"/>
        <v>ESPECIALIZACIÓN EN GERENCIA LOGÍSTICA CHÍA</v>
      </c>
      <c r="B104" t="s">
        <v>148</v>
      </c>
      <c r="F104" t="s">
        <v>515</v>
      </c>
      <c r="G104">
        <v>3</v>
      </c>
      <c r="I104">
        <v>11</v>
      </c>
      <c r="J104" t="s">
        <v>138</v>
      </c>
      <c r="K104" s="81">
        <v>2</v>
      </c>
      <c r="L104">
        <f t="shared" si="4"/>
        <v>2</v>
      </c>
      <c r="M104">
        <f>IFERROR(VLOOKUP(A104,'Ajustes profesores'!$G$5:$I$151,3,0),0)</f>
        <v>2</v>
      </c>
      <c r="N104">
        <f t="shared" si="5"/>
        <v>1</v>
      </c>
      <c r="R104" s="81">
        <v>2</v>
      </c>
    </row>
    <row r="105" spans="1:18">
      <c r="A105" t="str">
        <f t="shared" si="6"/>
        <v>ESPECIALIZACIÓN EN GESTIÓN PARA EL DESARROLLO HUMANO EN LA ORGANIZACIÓN CHÍA</v>
      </c>
      <c r="B105" t="s">
        <v>149</v>
      </c>
      <c r="F105" t="s">
        <v>516</v>
      </c>
      <c r="G105">
        <v>1</v>
      </c>
      <c r="I105">
        <v>11</v>
      </c>
      <c r="J105" t="s">
        <v>138</v>
      </c>
      <c r="K105" s="81">
        <v>1</v>
      </c>
      <c r="L105">
        <f t="shared" si="4"/>
        <v>1</v>
      </c>
      <c r="M105">
        <f>IFERROR(VLOOKUP(A105,'Ajustes profesores'!$G$5:$I$151,3,0),0)</f>
        <v>1</v>
      </c>
      <c r="N105">
        <f t="shared" si="5"/>
        <v>0</v>
      </c>
      <c r="R105" s="81">
        <v>1</v>
      </c>
    </row>
    <row r="106" spans="1:18">
      <c r="A106" t="str">
        <f t="shared" si="6"/>
        <v>ESPECIALIZACIÓN EN DESARROLLO PERSONAL Y FAMILIAR</v>
      </c>
      <c r="B106" t="s">
        <v>517</v>
      </c>
      <c r="G106">
        <v>0</v>
      </c>
      <c r="K106">
        <v>0</v>
      </c>
      <c r="L106">
        <f t="shared" si="4"/>
        <v>0</v>
      </c>
      <c r="M106">
        <f>IFERROR(VLOOKUP(A106,'Ajustes profesores'!$G$5:$I$151,3,0),0)</f>
        <v>0</v>
      </c>
      <c r="N106">
        <f t="shared" si="5"/>
        <v>0</v>
      </c>
      <c r="R106">
        <v>0</v>
      </c>
    </row>
    <row r="107" spans="1:18">
      <c r="A107" t="str">
        <f t="shared" si="6"/>
        <v>ESPECIALIZACIÓN EN PEDAGOGÍA E INVESTIGACIÓN EN EL AULA</v>
      </c>
      <c r="B107" t="s">
        <v>405</v>
      </c>
      <c r="F107" t="s">
        <v>518</v>
      </c>
      <c r="G107">
        <v>0</v>
      </c>
      <c r="I107">
        <v>5</v>
      </c>
      <c r="J107" t="s">
        <v>85</v>
      </c>
      <c r="K107">
        <v>0</v>
      </c>
      <c r="L107">
        <f t="shared" si="4"/>
        <v>0</v>
      </c>
      <c r="M107">
        <f>IFERROR(VLOOKUP(A107,'Ajustes profesores'!$G$5:$I$151,3,0),0)</f>
        <v>0</v>
      </c>
      <c r="N107">
        <f t="shared" si="5"/>
        <v>0</v>
      </c>
      <c r="R107">
        <v>0</v>
      </c>
    </row>
    <row r="108" spans="1:18">
      <c r="A108" t="str">
        <f t="shared" si="6"/>
        <v>ESPECIALIZACIÓN EN CONTRATACIÓN ESTATAL - IBAGUÉ</v>
      </c>
      <c r="B108" t="s">
        <v>176</v>
      </c>
      <c r="G108">
        <v>0</v>
      </c>
      <c r="K108">
        <v>0</v>
      </c>
      <c r="L108">
        <f t="shared" si="4"/>
        <v>0</v>
      </c>
      <c r="M108">
        <f>IFERROR(VLOOKUP(A108,'Ajustes profesores'!$G$5:$I$151,3,0),0)</f>
        <v>0</v>
      </c>
      <c r="N108">
        <f t="shared" si="5"/>
        <v>0</v>
      </c>
      <c r="R108">
        <v>0</v>
      </c>
    </row>
    <row r="109" spans="1:18">
      <c r="A109" t="str">
        <f t="shared" si="6"/>
        <v>ESPECIALIZACIÓN EN CONTRATACIÓN ESTATAL - NEIVA</v>
      </c>
      <c r="B109" t="s">
        <v>177</v>
      </c>
      <c r="G109">
        <v>0</v>
      </c>
      <c r="K109">
        <v>0</v>
      </c>
      <c r="L109">
        <f t="shared" si="4"/>
        <v>0</v>
      </c>
      <c r="M109">
        <f>IFERROR(VLOOKUP(A109,'Ajustes profesores'!$G$5:$I$151,3,0),0)</f>
        <v>0</v>
      </c>
      <c r="N109">
        <f t="shared" si="5"/>
        <v>0</v>
      </c>
      <c r="R109">
        <v>0</v>
      </c>
    </row>
    <row r="110" spans="1:18">
      <c r="A110" t="str">
        <f t="shared" si="6"/>
        <v>ESPECIALIZACIÓN EN GERENCIA COMERCIAL BARRANQUILLA</v>
      </c>
      <c r="B110" t="s">
        <v>167</v>
      </c>
      <c r="G110">
        <v>0</v>
      </c>
      <c r="K110">
        <v>0</v>
      </c>
      <c r="L110">
        <f t="shared" si="4"/>
        <v>0</v>
      </c>
      <c r="M110">
        <f>IFERROR(VLOOKUP(A110,'Ajustes profesores'!$G$5:$I$151,3,0),0)</f>
        <v>0</v>
      </c>
      <c r="N110">
        <f t="shared" si="5"/>
        <v>0</v>
      </c>
      <c r="R110">
        <v>0</v>
      </c>
    </row>
    <row r="111" spans="1:18">
      <c r="A111" t="str">
        <f t="shared" si="6"/>
        <v>ESPECIALIZACIÓN EN GERENCIA COMERCIAL BUCARAMANGA</v>
      </c>
      <c r="B111" t="s">
        <v>168</v>
      </c>
      <c r="C111">
        <v>2</v>
      </c>
      <c r="F111" t="s">
        <v>519</v>
      </c>
      <c r="G111">
        <v>2</v>
      </c>
      <c r="I111">
        <v>11</v>
      </c>
      <c r="J111" t="s">
        <v>138</v>
      </c>
      <c r="K111">
        <v>0</v>
      </c>
      <c r="L111">
        <f t="shared" si="4"/>
        <v>2</v>
      </c>
      <c r="M111">
        <f>IFERROR(VLOOKUP(A111,'Ajustes profesores'!$G$5:$I$151,3,0),0)</f>
        <v>2</v>
      </c>
      <c r="N111">
        <f t="shared" si="5"/>
        <v>0</v>
      </c>
      <c r="R111">
        <v>0</v>
      </c>
    </row>
    <row r="112" spans="1:18">
      <c r="A112" t="str">
        <f t="shared" si="6"/>
        <v>ESPECIALIZACIÓN EN GERENCIA COMERCIAL IBAGUÉ</v>
      </c>
      <c r="B112" t="s">
        <v>165</v>
      </c>
      <c r="G112">
        <v>0</v>
      </c>
      <c r="K112">
        <v>0</v>
      </c>
      <c r="L112">
        <f t="shared" si="4"/>
        <v>0</v>
      </c>
      <c r="M112">
        <f>IFERROR(VLOOKUP(A112,'Ajustes profesores'!$G$5:$I$151,3,0),0)</f>
        <v>0</v>
      </c>
      <c r="N112">
        <f t="shared" si="5"/>
        <v>0</v>
      </c>
      <c r="R112">
        <v>0</v>
      </c>
    </row>
    <row r="113" spans="1:18">
      <c r="A113" t="str">
        <f t="shared" si="6"/>
        <v>ESPECIALIZACIÓN EN GERENCIA COMERCIAL MEDELLÍN</v>
      </c>
      <c r="B113" t="s">
        <v>166</v>
      </c>
      <c r="G113">
        <v>0</v>
      </c>
      <c r="K113">
        <v>0</v>
      </c>
      <c r="L113">
        <f t="shared" si="4"/>
        <v>0</v>
      </c>
      <c r="M113">
        <f>IFERROR(VLOOKUP(A113,'Ajustes profesores'!$G$5:$I$151,3,0),0)</f>
        <v>0</v>
      </c>
      <c r="N113">
        <f t="shared" si="5"/>
        <v>0</v>
      </c>
      <c r="R113">
        <v>0</v>
      </c>
    </row>
    <row r="114" spans="1:18">
      <c r="A114" t="str">
        <f t="shared" si="6"/>
        <v>ESPECIALIZACIÓN EN GERENCIA COMERCIAL VILLAVICENCIO</v>
      </c>
      <c r="B114" t="s">
        <v>520</v>
      </c>
      <c r="G114">
        <v>0</v>
      </c>
      <c r="K114">
        <v>0</v>
      </c>
      <c r="L114">
        <f t="shared" si="4"/>
        <v>0</v>
      </c>
      <c r="M114">
        <f>IFERROR(VLOOKUP(A114,'Ajustes profesores'!$G$5:$I$151,3,0),0)</f>
        <v>0</v>
      </c>
      <c r="N114">
        <f t="shared" si="5"/>
        <v>0</v>
      </c>
      <c r="R114">
        <v>0</v>
      </c>
    </row>
    <row r="115" spans="1:18">
      <c r="A115" t="str">
        <f t="shared" si="6"/>
        <v>ESPECIALIZACIÓN EN GERENCIA ESTRATÉGICA BARRANQUILLA</v>
      </c>
      <c r="B115" t="s">
        <v>169</v>
      </c>
      <c r="C115">
        <v>1</v>
      </c>
      <c r="F115" t="s">
        <v>521</v>
      </c>
      <c r="G115">
        <v>2</v>
      </c>
      <c r="I115">
        <v>11</v>
      </c>
      <c r="J115" t="s">
        <v>138</v>
      </c>
      <c r="K115" s="81">
        <v>1</v>
      </c>
      <c r="L115">
        <f t="shared" si="4"/>
        <v>2</v>
      </c>
      <c r="M115">
        <f>IFERROR(VLOOKUP(A115,'Ajustes profesores'!$G$5:$I$151,3,0),0)</f>
        <v>2</v>
      </c>
      <c r="N115">
        <f t="shared" si="5"/>
        <v>0</v>
      </c>
      <c r="R115" s="81">
        <v>1</v>
      </c>
    </row>
    <row r="116" spans="1:18">
      <c r="A116" t="str">
        <f t="shared" si="6"/>
        <v>ESPECIALIZACIÓN EN GERENCIA ESTRATÉGICA BUCARAMANGA</v>
      </c>
      <c r="B116" t="s">
        <v>170</v>
      </c>
      <c r="G116">
        <v>2</v>
      </c>
      <c r="K116" s="81">
        <v>2</v>
      </c>
      <c r="L116">
        <f t="shared" si="4"/>
        <v>2</v>
      </c>
      <c r="M116">
        <f>IFERROR(VLOOKUP(A116,'Ajustes profesores'!$G$5:$I$151,3,0),0)</f>
        <v>2</v>
      </c>
      <c r="N116">
        <f t="shared" si="5"/>
        <v>0</v>
      </c>
      <c r="R116" s="81">
        <v>2</v>
      </c>
    </row>
    <row r="117" spans="1:18">
      <c r="A117" t="str">
        <f t="shared" si="6"/>
        <v>ESPECIALIZACIÓN EN GERENCIA ESTRATÉGICA IBAGUÉ</v>
      </c>
      <c r="B117" t="s">
        <v>173</v>
      </c>
      <c r="G117">
        <v>2</v>
      </c>
      <c r="K117" s="81">
        <v>2</v>
      </c>
      <c r="L117">
        <f t="shared" si="4"/>
        <v>2</v>
      </c>
      <c r="M117">
        <f>IFERROR(VLOOKUP(A117,'Ajustes profesores'!$G$5:$I$151,3,0),0)</f>
        <v>2</v>
      </c>
      <c r="N117">
        <f t="shared" si="5"/>
        <v>0</v>
      </c>
      <c r="R117" s="81">
        <v>2</v>
      </c>
    </row>
    <row r="118" spans="1:18">
      <c r="A118" t="str">
        <f t="shared" si="6"/>
        <v>ESPECIALIZACIÓN EN GERENCIA ESTRATÉGICA MEDELLÍN</v>
      </c>
      <c r="B118" t="s">
        <v>174</v>
      </c>
      <c r="C118">
        <v>1</v>
      </c>
      <c r="F118" t="s">
        <v>522</v>
      </c>
      <c r="G118">
        <v>2</v>
      </c>
      <c r="I118">
        <v>11</v>
      </c>
      <c r="J118" t="s">
        <v>138</v>
      </c>
      <c r="K118" s="81">
        <v>1</v>
      </c>
      <c r="L118">
        <f t="shared" si="4"/>
        <v>2</v>
      </c>
      <c r="M118">
        <f>IFERROR(VLOOKUP(A118,'Ajustes profesores'!$G$5:$I$151,3,0),0)</f>
        <v>2</v>
      </c>
      <c r="N118">
        <f t="shared" si="5"/>
        <v>0</v>
      </c>
      <c r="R118" s="81">
        <v>1</v>
      </c>
    </row>
    <row r="119" spans="1:18">
      <c r="A119" t="str">
        <f t="shared" si="6"/>
        <v>ESPECIALIZACIÓN EN GERENCIA ESTRATÉGICA VILLAVICENCIO</v>
      </c>
      <c r="B119" t="s">
        <v>175</v>
      </c>
      <c r="G119">
        <v>2</v>
      </c>
      <c r="K119" s="81">
        <v>2</v>
      </c>
      <c r="L119">
        <f t="shared" si="4"/>
        <v>2</v>
      </c>
      <c r="M119">
        <f>IFERROR(VLOOKUP(A119,'Ajustes profesores'!$G$5:$I$151,3,0),0)</f>
        <v>2</v>
      </c>
      <c r="N119">
        <f t="shared" si="5"/>
        <v>0</v>
      </c>
      <c r="R119" s="81">
        <v>2</v>
      </c>
    </row>
    <row r="120" spans="1:18">
      <c r="A120" t="str">
        <f t="shared" si="6"/>
        <v>ESPECIALIZACIÓN EN GERENCIA LOGÍSTICA BARRANQUILLA</v>
      </c>
      <c r="B120" t="s">
        <v>523</v>
      </c>
      <c r="G120">
        <v>0</v>
      </c>
      <c r="K120">
        <v>0</v>
      </c>
      <c r="L120">
        <f t="shared" si="4"/>
        <v>0</v>
      </c>
      <c r="M120">
        <f>IFERROR(VLOOKUP(A120,'Ajustes profesores'!$G$5:$I$151,3,0),0)</f>
        <v>0</v>
      </c>
      <c r="N120">
        <f t="shared" si="5"/>
        <v>0</v>
      </c>
      <c r="R120">
        <v>0</v>
      </c>
    </row>
    <row r="121" spans="1:18">
      <c r="A121" t="str">
        <f t="shared" si="6"/>
        <v>ESPECIALIZACIÓN EN GERENCIA LOGÍSTICA BUCARAMANGA</v>
      </c>
      <c r="B121" t="s">
        <v>171</v>
      </c>
      <c r="G121">
        <v>0</v>
      </c>
      <c r="K121">
        <v>0</v>
      </c>
      <c r="L121">
        <f t="shared" si="4"/>
        <v>0</v>
      </c>
      <c r="M121">
        <f>IFERROR(VLOOKUP(A121,'Ajustes profesores'!$G$5:$I$151,3,0),0)</f>
        <v>0</v>
      </c>
      <c r="N121">
        <f t="shared" si="5"/>
        <v>0</v>
      </c>
      <c r="R121">
        <v>0</v>
      </c>
    </row>
    <row r="122" spans="1:18">
      <c r="A122" t="str">
        <f t="shared" si="6"/>
        <v>ESPECIALIZACIÓN EN GESTIÓN PARA EL DESARROLLO HUMANO EN LA ORGANIZACIÓN BUCARAMANGA</v>
      </c>
      <c r="B122" t="s">
        <v>172</v>
      </c>
      <c r="C122">
        <v>1</v>
      </c>
      <c r="F122" t="s">
        <v>524</v>
      </c>
      <c r="G122">
        <v>1</v>
      </c>
      <c r="I122">
        <v>11</v>
      </c>
      <c r="J122" t="s">
        <v>138</v>
      </c>
      <c r="K122">
        <v>0</v>
      </c>
      <c r="L122">
        <f t="shared" si="4"/>
        <v>1</v>
      </c>
      <c r="M122">
        <f>IFERROR(VLOOKUP(A122,'Ajustes profesores'!$G$5:$I$151,3,0),0)</f>
        <v>1</v>
      </c>
      <c r="N122">
        <f t="shared" si="5"/>
        <v>0</v>
      </c>
      <c r="R122">
        <v>0</v>
      </c>
    </row>
    <row r="123" spans="1:18">
      <c r="A123" t="str">
        <f t="shared" si="6"/>
        <v>MAESTRÍA EN DIRECCIÓN Y GESTIÓN DE INSTITUCIONES EDUCATIVAS GUAJIRA</v>
      </c>
      <c r="B123" t="s">
        <v>392</v>
      </c>
      <c r="F123" t="s">
        <v>525</v>
      </c>
      <c r="G123">
        <v>0</v>
      </c>
      <c r="I123">
        <v>5</v>
      </c>
      <c r="J123" t="s">
        <v>85</v>
      </c>
      <c r="K123">
        <v>0</v>
      </c>
      <c r="L123">
        <f t="shared" si="4"/>
        <v>0</v>
      </c>
      <c r="M123">
        <f>IFERROR(VLOOKUP(A123,'Ajustes profesores'!$G$5:$I$151,3,0),0)</f>
        <v>0</v>
      </c>
      <c r="N123">
        <f t="shared" si="5"/>
        <v>0</v>
      </c>
      <c r="R123">
        <v>0</v>
      </c>
    </row>
    <row r="124" spans="1:18">
      <c r="A124" t="str">
        <f t="shared" si="6"/>
        <v>MAESTRÍA EN DIRECCIÓN Y GESTIÓN DE INSTITUCIONES EDUCATIVAS HUILA</v>
      </c>
      <c r="B124" t="s">
        <v>526</v>
      </c>
      <c r="G124">
        <v>0</v>
      </c>
      <c r="K124">
        <v>0</v>
      </c>
      <c r="L124">
        <f t="shared" si="4"/>
        <v>0</v>
      </c>
      <c r="M124">
        <f>IFERROR(VLOOKUP(A124,'Ajustes profesores'!$G$5:$I$151,3,0),0)</f>
        <v>0</v>
      </c>
      <c r="N124">
        <f t="shared" si="5"/>
        <v>0</v>
      </c>
      <c r="R124">
        <v>0</v>
      </c>
    </row>
    <row r="125" spans="1:18">
      <c r="A125" t="str">
        <f t="shared" si="6"/>
        <v>MAESTRÍA EN PEDAGOGÍA HUILA</v>
      </c>
      <c r="B125" t="s">
        <v>399</v>
      </c>
      <c r="G125">
        <v>0</v>
      </c>
      <c r="K125">
        <v>0</v>
      </c>
      <c r="L125">
        <f t="shared" si="4"/>
        <v>0</v>
      </c>
      <c r="M125">
        <f>IFERROR(VLOOKUP(A125,'Ajustes profesores'!$G$5:$I$151,3,0),0)</f>
        <v>0</v>
      </c>
      <c r="N125">
        <f t="shared" si="5"/>
        <v>0</v>
      </c>
      <c r="R125">
        <v>0</v>
      </c>
    </row>
    <row r="126" spans="1:18">
      <c r="A126" t="str">
        <f t="shared" si="6"/>
        <v>MAESTRIA INFORMÁTICA EDUCATIVA</v>
      </c>
      <c r="B126" t="s">
        <v>527</v>
      </c>
      <c r="G126">
        <v>0</v>
      </c>
      <c r="K126">
        <v>0</v>
      </c>
      <c r="L126">
        <f t="shared" si="4"/>
        <v>0</v>
      </c>
      <c r="M126">
        <f>IFERROR(VLOOKUP(A126,'Ajustes profesores'!$G$5:$I$151,3,0),0)</f>
        <v>0</v>
      </c>
      <c r="N126">
        <f t="shared" si="5"/>
        <v>0</v>
      </c>
      <c r="R126">
        <v>0</v>
      </c>
    </row>
    <row r="127" spans="1:18">
      <c r="A127" t="str">
        <f t="shared" si="6"/>
        <v>DEPARTAMENTO LENGUAS Y CULTURAS EXTRANJERAS</v>
      </c>
      <c r="B127" t="s">
        <v>528</v>
      </c>
      <c r="G127">
        <v>0</v>
      </c>
      <c r="K127">
        <v>0</v>
      </c>
      <c r="L127">
        <f t="shared" si="4"/>
        <v>0</v>
      </c>
      <c r="M127">
        <f>IFERROR(VLOOKUP(A127,'Ajustes profesores'!$G$5:$I$151,3,0),0)</f>
        <v>0</v>
      </c>
      <c r="N127">
        <f t="shared" si="5"/>
        <v>0</v>
      </c>
      <c r="R127">
        <v>0</v>
      </c>
    </row>
    <row r="128" spans="1:18">
      <c r="A128" t="str">
        <f t="shared" si="6"/>
        <v>CORE CURRICULUM PERSONA Y CULTURA</v>
      </c>
      <c r="B128" s="64" t="s">
        <v>95</v>
      </c>
      <c r="C128" s="64">
        <v>11</v>
      </c>
      <c r="F128" t="s">
        <v>95</v>
      </c>
      <c r="G128">
        <v>11</v>
      </c>
      <c r="I128">
        <v>13</v>
      </c>
      <c r="J128" t="s">
        <v>95</v>
      </c>
      <c r="K128">
        <v>0</v>
      </c>
      <c r="L128">
        <f t="shared" si="4"/>
        <v>11</v>
      </c>
      <c r="M128">
        <f>IFERROR(VLOOKUP(A128,'Ajustes profesores'!$G$5:$I$151,3,0),0)</f>
        <v>11</v>
      </c>
      <c r="N128">
        <f t="shared" si="5"/>
        <v>0</v>
      </c>
      <c r="R128">
        <v>0</v>
      </c>
    </row>
    <row r="129" spans="1:18">
      <c r="A129" t="str">
        <f t="shared" ref="A129:A134" si="7">B129</f>
        <v>CORE CURRICULUM PERSONA Y CULTURA (INSTITUTO DE LA FAMILIA)</v>
      </c>
      <c r="B129" t="s">
        <v>529</v>
      </c>
      <c r="G129">
        <v>0</v>
      </c>
      <c r="K129">
        <v>0</v>
      </c>
      <c r="L129">
        <f t="shared" si="4"/>
        <v>0</v>
      </c>
      <c r="M129">
        <f>IFERROR(VLOOKUP(A129,'Ajustes profesores'!$G$5:$I$151,3,0),0)</f>
        <v>0</v>
      </c>
      <c r="N129">
        <f t="shared" si="5"/>
        <v>0</v>
      </c>
      <c r="R129">
        <v>0</v>
      </c>
    </row>
    <row r="130" spans="1:18">
      <c r="A130" t="str">
        <f t="shared" si="7"/>
        <v>MAESTRÍA EN GERENCIA DE LA INNOVACIÓN</v>
      </c>
      <c r="B130" t="s">
        <v>199</v>
      </c>
      <c r="C130">
        <v>4</v>
      </c>
      <c r="F130" t="s">
        <v>530</v>
      </c>
      <c r="G130">
        <v>4</v>
      </c>
      <c r="I130">
        <v>2</v>
      </c>
      <c r="J130" t="s">
        <v>77</v>
      </c>
      <c r="K130">
        <v>0</v>
      </c>
      <c r="L130">
        <f t="shared" si="4"/>
        <v>4</v>
      </c>
      <c r="M130">
        <f>IFERROR(VLOOKUP(A130,'Ajustes profesores'!$G$5:$I$151,3,0),0)</f>
        <v>4</v>
      </c>
      <c r="N130">
        <f t="shared" si="5"/>
        <v>0</v>
      </c>
      <c r="R130">
        <v>0</v>
      </c>
    </row>
    <row r="131" spans="1:18">
      <c r="A131" t="str">
        <f t="shared" si="7"/>
        <v>DOCTORADO EN ADMINISTRACIÓN DE ORGANIZACIONES</v>
      </c>
      <c r="B131" t="s">
        <v>98</v>
      </c>
      <c r="C131">
        <v>8</v>
      </c>
      <c r="F131" t="s">
        <v>531</v>
      </c>
      <c r="G131">
        <v>8</v>
      </c>
      <c r="I131">
        <v>2</v>
      </c>
      <c r="J131" t="s">
        <v>77</v>
      </c>
      <c r="K131">
        <v>0</v>
      </c>
      <c r="L131">
        <f t="shared" ref="L131:L166" si="8">K131+C131</f>
        <v>8</v>
      </c>
      <c r="M131">
        <f>IFERROR(VLOOKUP(A131,'Ajustes profesores'!$G$5:$I$151,3,0),0)</f>
        <v>8</v>
      </c>
      <c r="N131">
        <f t="shared" ref="N131:N166" si="9">G131-M131</f>
        <v>0</v>
      </c>
      <c r="R131">
        <v>0</v>
      </c>
    </row>
    <row r="132" spans="1:18">
      <c r="A132" t="str">
        <f t="shared" si="7"/>
        <v>ESPECIALIZACIÓN EN GASTROENTEROLOGÍA</v>
      </c>
      <c r="B132" t="s">
        <v>116</v>
      </c>
      <c r="G132">
        <v>0</v>
      </c>
      <c r="K132">
        <v>0</v>
      </c>
      <c r="L132">
        <f t="shared" si="8"/>
        <v>0</v>
      </c>
      <c r="M132">
        <f>IFERROR(VLOOKUP(A132,'Ajustes profesores'!$G$5:$I$151,3,0),0)</f>
        <v>0</v>
      </c>
      <c r="N132">
        <f t="shared" si="9"/>
        <v>0</v>
      </c>
      <c r="R132">
        <v>0</v>
      </c>
    </row>
    <row r="133" spans="1:18">
      <c r="A133" t="str">
        <f t="shared" si="7"/>
        <v>MAESTRÍA EN SALUD PÚBLICA</v>
      </c>
      <c r="B133" t="s">
        <v>194</v>
      </c>
      <c r="C133">
        <v>2</v>
      </c>
      <c r="F133" t="s">
        <v>532</v>
      </c>
      <c r="G133">
        <v>4</v>
      </c>
      <c r="I133">
        <v>1</v>
      </c>
      <c r="J133" t="s">
        <v>90</v>
      </c>
      <c r="K133">
        <v>0</v>
      </c>
      <c r="L133">
        <f t="shared" si="8"/>
        <v>2</v>
      </c>
      <c r="M133">
        <f>IFERROR(VLOOKUP(A133,'Ajustes profesores'!$G$5:$I$151,3,0),0)</f>
        <v>2</v>
      </c>
      <c r="N133">
        <f t="shared" si="9"/>
        <v>2</v>
      </c>
      <c r="R133">
        <v>0</v>
      </c>
    </row>
    <row r="134" spans="1:18">
      <c r="A134" t="str">
        <f t="shared" si="7"/>
        <v>DOCTORADO EN BIOCIENCIAS</v>
      </c>
      <c r="B134" t="s">
        <v>99</v>
      </c>
      <c r="C134">
        <v>6</v>
      </c>
      <c r="F134" t="s">
        <v>99</v>
      </c>
      <c r="G134">
        <v>10</v>
      </c>
      <c r="I134">
        <v>8</v>
      </c>
      <c r="J134" t="s">
        <v>89</v>
      </c>
      <c r="K134">
        <v>0</v>
      </c>
      <c r="L134">
        <f t="shared" si="8"/>
        <v>6</v>
      </c>
      <c r="M134">
        <f>IFERROR(VLOOKUP(A134,'Ajustes profesores'!$G$5:$I$151,3,0),0)</f>
        <v>6</v>
      </c>
      <c r="N134">
        <f t="shared" si="9"/>
        <v>4</v>
      </c>
      <c r="R134">
        <v>0</v>
      </c>
    </row>
    <row r="135" spans="1:18">
      <c r="A135" t="s">
        <v>36</v>
      </c>
      <c r="B135" s="64" t="s">
        <v>533</v>
      </c>
      <c r="C135" s="64">
        <v>9</v>
      </c>
      <c r="F135" t="s">
        <v>534</v>
      </c>
      <c r="G135">
        <v>11</v>
      </c>
      <c r="I135">
        <v>8</v>
      </c>
      <c r="J135" t="s">
        <v>89</v>
      </c>
      <c r="K135">
        <v>0</v>
      </c>
      <c r="L135">
        <f t="shared" si="8"/>
        <v>9</v>
      </c>
      <c r="M135">
        <f>IFERROR(VLOOKUP(A135,'Ajustes profesores'!$G$5:$I$151,3,0),0)</f>
        <v>8</v>
      </c>
      <c r="N135">
        <f t="shared" si="9"/>
        <v>3</v>
      </c>
      <c r="R135">
        <v>0</v>
      </c>
    </row>
    <row r="136" spans="1:18">
      <c r="A136" t="s">
        <v>40</v>
      </c>
      <c r="B136" s="64" t="s">
        <v>535</v>
      </c>
      <c r="C136" s="64">
        <v>1</v>
      </c>
      <c r="F136" t="s">
        <v>535</v>
      </c>
      <c r="G136">
        <v>1</v>
      </c>
      <c r="I136">
        <v>8</v>
      </c>
      <c r="J136" t="s">
        <v>89</v>
      </c>
      <c r="K136">
        <v>0</v>
      </c>
      <c r="L136">
        <f t="shared" si="8"/>
        <v>1</v>
      </c>
      <c r="M136">
        <f>IFERROR(VLOOKUP(A136,'Ajustes profesores'!$G$5:$I$151,3,0),0)</f>
        <v>1</v>
      </c>
      <c r="N136">
        <f t="shared" si="9"/>
        <v>0</v>
      </c>
      <c r="R136">
        <v>0</v>
      </c>
    </row>
    <row r="137" spans="1:18">
      <c r="A137" t="str">
        <f t="shared" ref="A137:A138" si="10">B137</f>
        <v>Centro de Tecnología para la Academia</v>
      </c>
      <c r="B137" s="64" t="s">
        <v>96</v>
      </c>
      <c r="C137" s="64">
        <v>2</v>
      </c>
      <c r="F137" t="s">
        <v>536</v>
      </c>
      <c r="G137">
        <v>3</v>
      </c>
      <c r="I137">
        <v>16</v>
      </c>
      <c r="J137" t="s">
        <v>536</v>
      </c>
      <c r="K137">
        <v>0</v>
      </c>
      <c r="L137">
        <f t="shared" si="8"/>
        <v>2</v>
      </c>
      <c r="M137">
        <f>IFERROR(VLOOKUP(A137,'Ajustes profesores'!$G$5:$I$151,3,0),0)</f>
        <v>0</v>
      </c>
      <c r="N137">
        <f t="shared" si="9"/>
        <v>3</v>
      </c>
      <c r="R137">
        <v>0</v>
      </c>
    </row>
    <row r="138" spans="1:18">
      <c r="A138" t="str">
        <f t="shared" si="10"/>
        <v>CENTRO INTERNACIONAL DE LENGUAS Y CULTURAS EXTRANJERAS</v>
      </c>
      <c r="B138" s="64" t="s">
        <v>93</v>
      </c>
      <c r="C138" s="64">
        <v>20</v>
      </c>
      <c r="F138" t="s">
        <v>93</v>
      </c>
      <c r="G138">
        <v>22</v>
      </c>
      <c r="I138">
        <v>15</v>
      </c>
      <c r="J138" t="s">
        <v>93</v>
      </c>
      <c r="K138">
        <v>0</v>
      </c>
      <c r="L138">
        <f t="shared" si="8"/>
        <v>20</v>
      </c>
      <c r="M138">
        <f>IFERROR(VLOOKUP(A138,'Ajustes profesores'!$G$5:$I$151,3,0),0)</f>
        <v>20</v>
      </c>
      <c r="N138">
        <f t="shared" si="9"/>
        <v>2</v>
      </c>
      <c r="R138">
        <v>0</v>
      </c>
    </row>
    <row r="139" spans="1:18">
      <c r="A139" t="str">
        <f t="shared" ref="A139:A166" si="11">B139</f>
        <v>DOCTORADO EN LOGÍSTICA Y GESTIÓN DE CADENA DE SUMINISTRO</v>
      </c>
      <c r="B139" t="s">
        <v>108</v>
      </c>
      <c r="C139">
        <v>2</v>
      </c>
      <c r="F139" t="s">
        <v>537</v>
      </c>
      <c r="G139">
        <v>2</v>
      </c>
      <c r="I139">
        <v>8</v>
      </c>
      <c r="J139" t="s">
        <v>89</v>
      </c>
      <c r="K139">
        <v>0</v>
      </c>
      <c r="L139">
        <f t="shared" si="8"/>
        <v>2</v>
      </c>
      <c r="M139">
        <f>IFERROR(VLOOKUP(A139,'Ajustes profesores'!$G$5:$I$151,3,0),0)</f>
        <v>2</v>
      </c>
      <c r="N139">
        <f t="shared" si="9"/>
        <v>0</v>
      </c>
      <c r="R139">
        <v>0</v>
      </c>
    </row>
    <row r="140" spans="1:18">
      <c r="A140" t="str">
        <f t="shared" si="11"/>
        <v>DOCTORADO EN INGENIERÍA</v>
      </c>
      <c r="B140" t="s">
        <v>105</v>
      </c>
      <c r="C140">
        <v>5</v>
      </c>
      <c r="F140" t="s">
        <v>538</v>
      </c>
      <c r="G140">
        <v>5</v>
      </c>
      <c r="I140">
        <v>8</v>
      </c>
      <c r="J140" t="s">
        <v>89</v>
      </c>
      <c r="K140">
        <v>0</v>
      </c>
      <c r="L140">
        <f t="shared" si="8"/>
        <v>5</v>
      </c>
      <c r="M140">
        <f>IFERROR(VLOOKUP(A140,'Ajustes profesores'!$G$5:$I$151,3,0),0)</f>
        <v>5</v>
      </c>
      <c r="N140">
        <f t="shared" si="9"/>
        <v>0</v>
      </c>
      <c r="R140">
        <v>0</v>
      </c>
    </row>
    <row r="141" spans="1:18">
      <c r="A141" t="str">
        <f t="shared" si="11"/>
        <v>ESPECIALIZACIÓN EN GERENCIA FINANCIERA INTERNACIONAL -BOGOTÁ</v>
      </c>
      <c r="B141" t="s">
        <v>158</v>
      </c>
      <c r="G141">
        <v>0</v>
      </c>
      <c r="K141">
        <v>0</v>
      </c>
      <c r="L141">
        <f t="shared" si="8"/>
        <v>0</v>
      </c>
      <c r="M141">
        <f>IFERROR(VLOOKUP(A141,'Ajustes profesores'!$G$5:$I$151,3,0),0)</f>
        <v>0</v>
      </c>
      <c r="N141">
        <f t="shared" si="9"/>
        <v>0</v>
      </c>
      <c r="R141">
        <v>0</v>
      </c>
    </row>
    <row r="142" spans="1:18">
      <c r="A142" t="str">
        <f t="shared" si="11"/>
        <v>ESPECIALIZACIÓN EN GERENCIA COMERCIAL - BOGOTÁ</v>
      </c>
      <c r="B142" t="s">
        <v>156</v>
      </c>
      <c r="G142">
        <v>0</v>
      </c>
      <c r="K142">
        <v>0</v>
      </c>
      <c r="L142">
        <f t="shared" si="8"/>
        <v>0</v>
      </c>
      <c r="M142">
        <f>IFERROR(VLOOKUP(A142,'Ajustes profesores'!$G$5:$I$151,3,0),0)</f>
        <v>0</v>
      </c>
      <c r="N142">
        <f t="shared" si="9"/>
        <v>0</v>
      </c>
      <c r="R142">
        <v>0</v>
      </c>
    </row>
    <row r="143" spans="1:18">
      <c r="A143" t="str">
        <f t="shared" si="11"/>
        <v>ESPECIALIZACIÓN EN GERENCIA LOGÍSTICA - BOGOTÁ</v>
      </c>
      <c r="B143" t="s">
        <v>157</v>
      </c>
      <c r="G143">
        <v>0</v>
      </c>
      <c r="K143">
        <v>0</v>
      </c>
      <c r="L143">
        <f t="shared" si="8"/>
        <v>0</v>
      </c>
      <c r="M143">
        <f>IFERROR(VLOOKUP(A143,'Ajustes profesores'!$G$5:$I$151,3,0),0)</f>
        <v>0</v>
      </c>
      <c r="N143">
        <f t="shared" si="9"/>
        <v>0</v>
      </c>
      <c r="R143">
        <v>0</v>
      </c>
    </row>
    <row r="144" spans="1:18">
      <c r="A144" t="str">
        <f t="shared" si="11"/>
        <v>ESPECIALIZACIÓN EN GESTIÓN PARA EL DESARROLLO HUMANO EN LA ORGANIZACIÓN - BOGOTÁ</v>
      </c>
      <c r="B144" t="s">
        <v>160</v>
      </c>
      <c r="C144">
        <v>1</v>
      </c>
      <c r="F144" t="s">
        <v>539</v>
      </c>
      <c r="G144">
        <v>1</v>
      </c>
      <c r="I144">
        <v>11</v>
      </c>
      <c r="J144" t="s">
        <v>138</v>
      </c>
      <c r="K144">
        <v>0</v>
      </c>
      <c r="L144">
        <f t="shared" si="8"/>
        <v>1</v>
      </c>
      <c r="M144">
        <f>IFERROR(VLOOKUP(A144,'Ajustes profesores'!$G$5:$I$151,3,0),0)</f>
        <v>1</v>
      </c>
      <c r="N144">
        <f t="shared" si="9"/>
        <v>0</v>
      </c>
      <c r="R144">
        <v>0</v>
      </c>
    </row>
    <row r="145" spans="1:18">
      <c r="A145" t="str">
        <f t="shared" si="11"/>
        <v>DOCTORADO EN INNOVACIÓN EDUCATIVA CON USO DE TIC</v>
      </c>
      <c r="B145" t="s">
        <v>106</v>
      </c>
      <c r="C145">
        <v>4</v>
      </c>
      <c r="F145" t="s">
        <v>540</v>
      </c>
      <c r="G145">
        <v>4</v>
      </c>
      <c r="I145">
        <v>5</v>
      </c>
      <c r="J145" t="s">
        <v>85</v>
      </c>
      <c r="K145">
        <v>0</v>
      </c>
      <c r="L145">
        <f t="shared" si="8"/>
        <v>4</v>
      </c>
      <c r="M145">
        <f>IFERROR(VLOOKUP(A145,'Ajustes profesores'!$G$5:$I$151,3,0),0)</f>
        <v>4</v>
      </c>
      <c r="N145">
        <f t="shared" si="9"/>
        <v>0</v>
      </c>
      <c r="R145">
        <v>0</v>
      </c>
    </row>
    <row r="146" spans="1:18">
      <c r="A146" t="str">
        <f t="shared" si="11"/>
        <v>ESPECIALIZACIÓN EN EMPRENDIMIENTO Y NEGOCIOS DIGITALES- CHÍA</v>
      </c>
      <c r="B146" t="s">
        <v>137</v>
      </c>
      <c r="G146">
        <v>0</v>
      </c>
      <c r="K146">
        <v>0</v>
      </c>
      <c r="L146">
        <f t="shared" si="8"/>
        <v>0</v>
      </c>
      <c r="M146">
        <f>IFERROR(VLOOKUP(A146,'Ajustes profesores'!$G$5:$I$151,3,0),0)</f>
        <v>0</v>
      </c>
      <c r="N146">
        <f t="shared" si="9"/>
        <v>0</v>
      </c>
      <c r="R146">
        <v>0</v>
      </c>
    </row>
    <row r="147" spans="1:18">
      <c r="A147" t="str">
        <f t="shared" si="11"/>
        <v>ESPECIALIZACIÓN EN GERENCIA COMERCIAL VIRTUAL</v>
      </c>
      <c r="B147" t="s">
        <v>164</v>
      </c>
      <c r="F147" t="s">
        <v>541</v>
      </c>
      <c r="G147">
        <v>1</v>
      </c>
      <c r="I147">
        <v>11</v>
      </c>
      <c r="J147" t="s">
        <v>138</v>
      </c>
      <c r="K147">
        <v>0</v>
      </c>
      <c r="L147">
        <f t="shared" si="8"/>
        <v>0</v>
      </c>
      <c r="M147">
        <f>IFERROR(VLOOKUP(A147,'Ajustes profesores'!$G$5:$I$151,3,0),0)</f>
        <v>0</v>
      </c>
      <c r="N147">
        <f t="shared" si="9"/>
        <v>1</v>
      </c>
      <c r="R147">
        <v>0</v>
      </c>
    </row>
    <row r="148" spans="1:18">
      <c r="A148" t="str">
        <f t="shared" si="11"/>
        <v>ESPECIALIZACIÓN EN GERENCIA DE PROYECTOS CON ENFOQUE EN HABILIDADES DIRECTIVAS - BOGOTÁ</v>
      </c>
      <c r="B148" t="s">
        <v>155</v>
      </c>
      <c r="G148">
        <v>0</v>
      </c>
      <c r="K148">
        <v>0</v>
      </c>
      <c r="L148">
        <f t="shared" si="8"/>
        <v>0</v>
      </c>
      <c r="M148">
        <f>IFERROR(VLOOKUP(A148,'Ajustes profesores'!$G$5:$I$151,3,0),0)</f>
        <v>0</v>
      </c>
      <c r="N148">
        <f t="shared" si="9"/>
        <v>0</v>
      </c>
      <c r="R148">
        <v>0</v>
      </c>
    </row>
    <row r="149" spans="1:18">
      <c r="A149" t="str">
        <f t="shared" si="11"/>
        <v>ESPECIALIZACIÓN EN GERENCIA DE RIESGOS - CHÍA</v>
      </c>
      <c r="B149" t="s">
        <v>143</v>
      </c>
      <c r="G149">
        <v>0</v>
      </c>
      <c r="K149">
        <v>0</v>
      </c>
      <c r="L149">
        <f t="shared" si="8"/>
        <v>0</v>
      </c>
      <c r="M149">
        <f>IFERROR(VLOOKUP(A149,'Ajustes profesores'!$G$5:$I$151,3,0),0)</f>
        <v>0</v>
      </c>
      <c r="N149">
        <f t="shared" si="9"/>
        <v>0</v>
      </c>
      <c r="R149">
        <v>0</v>
      </c>
    </row>
    <row r="150" spans="1:18">
      <c r="A150" t="str">
        <f t="shared" si="11"/>
        <v>ESPECIALIZACIÓN EN GERENCIA ESTRATÉGICA - VIRTUAL</v>
      </c>
      <c r="B150" t="s">
        <v>163</v>
      </c>
      <c r="G150">
        <v>2</v>
      </c>
      <c r="K150" s="81">
        <v>2</v>
      </c>
      <c r="L150">
        <f t="shared" si="8"/>
        <v>2</v>
      </c>
      <c r="M150">
        <f>IFERROR(VLOOKUP(A150,'Ajustes profesores'!$G$5:$I$151,3,0),0)</f>
        <v>2</v>
      </c>
      <c r="N150">
        <f t="shared" si="9"/>
        <v>0</v>
      </c>
      <c r="R150" s="81">
        <v>2</v>
      </c>
    </row>
    <row r="151" spans="1:18">
      <c r="A151" t="str">
        <f t="shared" si="11"/>
        <v>ESPECIALIZACIÓN EN LIDERAZGO Y COACHING- CHÍA</v>
      </c>
      <c r="B151" t="s">
        <v>150</v>
      </c>
      <c r="C151">
        <v>1</v>
      </c>
      <c r="F151" t="s">
        <v>542</v>
      </c>
      <c r="G151">
        <v>1</v>
      </c>
      <c r="I151">
        <v>11</v>
      </c>
      <c r="J151" t="s">
        <v>138</v>
      </c>
      <c r="K151">
        <v>0</v>
      </c>
      <c r="L151">
        <f t="shared" si="8"/>
        <v>1</v>
      </c>
      <c r="M151">
        <f>IFERROR(VLOOKUP(A151,'Ajustes profesores'!$G$5:$I$151,3,0),0)</f>
        <v>1</v>
      </c>
      <c r="N151">
        <f t="shared" si="9"/>
        <v>0</v>
      </c>
      <c r="R151">
        <v>0</v>
      </c>
    </row>
    <row r="152" spans="1:18">
      <c r="A152" t="str">
        <f t="shared" si="11"/>
        <v>ESPECIALIZACIÓN EN NEUMOLOGÍA PEDIÁTRICA</v>
      </c>
      <c r="B152" t="s">
        <v>123</v>
      </c>
      <c r="G152">
        <v>0</v>
      </c>
      <c r="K152">
        <v>0</v>
      </c>
      <c r="L152">
        <f t="shared" si="8"/>
        <v>0</v>
      </c>
      <c r="M152">
        <f>IFERROR(VLOOKUP(A152,'Ajustes profesores'!$G$5:$I$151,3,0),0)</f>
        <v>0</v>
      </c>
      <c r="N152">
        <f t="shared" si="9"/>
        <v>0</v>
      </c>
      <c r="R152">
        <v>0</v>
      </c>
    </row>
    <row r="153" spans="1:18">
      <c r="A153" t="str">
        <f t="shared" si="11"/>
        <v>ESPECIALIZACIÓN EN PEDAGOGÍA E INVESTIGACIÓN EN EL AULA - VIRTUAL</v>
      </c>
      <c r="B153" t="s">
        <v>161</v>
      </c>
      <c r="G153">
        <v>1</v>
      </c>
      <c r="K153">
        <v>0</v>
      </c>
      <c r="L153">
        <f t="shared" si="8"/>
        <v>0</v>
      </c>
      <c r="M153">
        <f>IFERROR(VLOOKUP(A153,'Ajustes profesores'!$G$5:$I$151,3,0),0)</f>
        <v>0</v>
      </c>
      <c r="N153">
        <f t="shared" si="9"/>
        <v>1</v>
      </c>
      <c r="R153">
        <v>0</v>
      </c>
    </row>
    <row r="154" spans="1:18">
      <c r="A154" t="str">
        <f t="shared" si="11"/>
        <v>MAESTRÍA EN DESARROLLO INFANTIL - GUAJIRA</v>
      </c>
      <c r="B154" t="s">
        <v>390</v>
      </c>
      <c r="G154">
        <v>0</v>
      </c>
      <c r="K154">
        <v>0</v>
      </c>
      <c r="L154">
        <f t="shared" si="8"/>
        <v>0</v>
      </c>
      <c r="M154">
        <f>IFERROR(VLOOKUP(A154,'Ajustes profesores'!$G$5:$I$151,3,0),0)</f>
        <v>0</v>
      </c>
      <c r="N154">
        <f t="shared" si="9"/>
        <v>0</v>
      </c>
      <c r="R154">
        <v>0</v>
      </c>
    </row>
    <row r="155" spans="1:18">
      <c r="A155" t="str">
        <f t="shared" si="11"/>
        <v>MAESTRÍA EN DESARROLLO INFANTIL - RIOHACHA</v>
      </c>
      <c r="B155" t="s">
        <v>209</v>
      </c>
      <c r="F155" t="s">
        <v>543</v>
      </c>
      <c r="G155">
        <v>1</v>
      </c>
      <c r="I155">
        <v>5</v>
      </c>
      <c r="J155" t="s">
        <v>85</v>
      </c>
      <c r="K155">
        <v>0</v>
      </c>
      <c r="L155">
        <f t="shared" si="8"/>
        <v>0</v>
      </c>
      <c r="M155">
        <f>IFERROR(VLOOKUP(A155,'Ajustes profesores'!$G$5:$I$151,3,0),0)</f>
        <v>0</v>
      </c>
      <c r="N155">
        <f t="shared" si="9"/>
        <v>1</v>
      </c>
      <c r="R155">
        <v>0</v>
      </c>
    </row>
    <row r="156" spans="1:18">
      <c r="A156" t="str">
        <f t="shared" si="11"/>
        <v>MAESTRÍA EN DIDÁCTICA DEL INGLÉS PARA EL APRENDIZAJE AUTODIRIGIDO - VIRTUAL</v>
      </c>
      <c r="B156" t="s">
        <v>216</v>
      </c>
      <c r="C156">
        <v>2</v>
      </c>
      <c r="F156" t="s">
        <v>544</v>
      </c>
      <c r="G156">
        <v>2</v>
      </c>
      <c r="I156">
        <v>5</v>
      </c>
      <c r="J156" t="s">
        <v>85</v>
      </c>
      <c r="K156">
        <v>0</v>
      </c>
      <c r="L156">
        <f t="shared" si="8"/>
        <v>2</v>
      </c>
      <c r="M156">
        <f>IFERROR(VLOOKUP(A156,'Ajustes profesores'!$G$5:$I$151,3,0),0)</f>
        <v>2</v>
      </c>
      <c r="N156">
        <f t="shared" si="9"/>
        <v>0</v>
      </c>
      <c r="R156">
        <v>0</v>
      </c>
    </row>
    <row r="157" spans="1:18">
      <c r="A157" t="str">
        <f t="shared" si="11"/>
        <v>MAESTRÍA EN DIRECCIÓN Y GESTIÓN DE INSTITUCIONES EDUCATIVAS - RIOHACHA</v>
      </c>
      <c r="B157" t="s">
        <v>208</v>
      </c>
      <c r="C157">
        <v>1</v>
      </c>
      <c r="G157">
        <v>2</v>
      </c>
      <c r="K157">
        <v>0</v>
      </c>
      <c r="L157">
        <f t="shared" si="8"/>
        <v>1</v>
      </c>
      <c r="M157">
        <f>IFERROR(VLOOKUP(A157,'Ajustes profesores'!$G$5:$I$151,3,0),0)</f>
        <v>1</v>
      </c>
      <c r="N157">
        <f t="shared" si="9"/>
        <v>1</v>
      </c>
      <c r="R157">
        <v>0</v>
      </c>
    </row>
    <row r="158" spans="1:18">
      <c r="A158" t="str">
        <f t="shared" si="11"/>
        <v>MAESTRÍA EN FISIOTERAPIA</v>
      </c>
      <c r="B158" t="s">
        <v>394</v>
      </c>
      <c r="F158" t="s">
        <v>545</v>
      </c>
      <c r="G158">
        <v>0</v>
      </c>
      <c r="I158">
        <v>6</v>
      </c>
      <c r="J158" t="s">
        <v>87</v>
      </c>
      <c r="K158">
        <v>0</v>
      </c>
      <c r="L158">
        <f t="shared" si="8"/>
        <v>0</v>
      </c>
      <c r="M158">
        <f>IFERROR(VLOOKUP(A158,'Ajustes profesores'!$G$5:$I$151,3,0),0)</f>
        <v>0</v>
      </c>
      <c r="N158">
        <f t="shared" si="9"/>
        <v>0</v>
      </c>
      <c r="R158">
        <v>0</v>
      </c>
    </row>
    <row r="159" spans="1:18">
      <c r="A159" t="str">
        <f t="shared" si="11"/>
        <v>MAESTRÍA EN FISIOTERAPIA - VIRTUAL</v>
      </c>
      <c r="B159" t="s">
        <v>211</v>
      </c>
      <c r="C159">
        <v>8</v>
      </c>
      <c r="F159" t="s">
        <v>546</v>
      </c>
      <c r="G159">
        <v>13</v>
      </c>
      <c r="I159">
        <v>6</v>
      </c>
      <c r="J159" t="s">
        <v>87</v>
      </c>
      <c r="K159">
        <v>1</v>
      </c>
      <c r="L159">
        <f t="shared" si="8"/>
        <v>9</v>
      </c>
      <c r="M159">
        <f>IFERROR(VLOOKUP(A159,'Ajustes profesores'!$G$5:$I$151,3,0),0)</f>
        <v>9</v>
      </c>
      <c r="N159">
        <f t="shared" si="9"/>
        <v>4</v>
      </c>
      <c r="R159">
        <v>1</v>
      </c>
    </row>
    <row r="160" spans="1:18">
      <c r="A160" t="str">
        <f t="shared" si="11"/>
        <v>MAESTRÍA EN GERENCIA DE INVERSIÓN - VIRTUAL</v>
      </c>
      <c r="B160" t="s">
        <v>214</v>
      </c>
      <c r="C160">
        <v>3</v>
      </c>
      <c r="F160" t="s">
        <v>547</v>
      </c>
      <c r="G160">
        <v>3</v>
      </c>
      <c r="I160">
        <v>2</v>
      </c>
      <c r="J160" t="s">
        <v>77</v>
      </c>
      <c r="K160">
        <v>0</v>
      </c>
      <c r="L160">
        <f t="shared" si="8"/>
        <v>3</v>
      </c>
      <c r="M160">
        <f>IFERROR(VLOOKUP(A160,'Ajustes profesores'!$G$5:$I$151,3,0),0)</f>
        <v>3</v>
      </c>
      <c r="N160">
        <f t="shared" si="9"/>
        <v>0</v>
      </c>
      <c r="R160">
        <v>0</v>
      </c>
    </row>
    <row r="161" spans="1:18">
      <c r="A161" t="str">
        <f t="shared" si="11"/>
        <v>MAESTRÍA EN PEDAGOGÍA - NEIVA</v>
      </c>
      <c r="B161" t="s">
        <v>210</v>
      </c>
      <c r="G161">
        <v>0</v>
      </c>
      <c r="K161">
        <v>0</v>
      </c>
      <c r="L161">
        <f t="shared" si="8"/>
        <v>0</v>
      </c>
      <c r="M161">
        <f>IFERROR(VLOOKUP(A161,'Ajustes profesores'!$G$5:$I$151,3,0),0)</f>
        <v>0</v>
      </c>
      <c r="N161">
        <f t="shared" si="9"/>
        <v>0</v>
      </c>
      <c r="R161">
        <v>0</v>
      </c>
    </row>
    <row r="162" spans="1:18">
      <c r="A162" t="str">
        <f t="shared" si="11"/>
        <v>MAESTRÍA EN PEDAGOGÍA E INVESTIGACIÓN EN AULA - VIRTUAL</v>
      </c>
      <c r="B162" t="s">
        <v>215</v>
      </c>
      <c r="C162">
        <v>1</v>
      </c>
      <c r="F162" t="s">
        <v>548</v>
      </c>
      <c r="G162">
        <v>2</v>
      </c>
      <c r="I162">
        <v>5</v>
      </c>
      <c r="J162" t="s">
        <v>85</v>
      </c>
      <c r="K162">
        <v>0</v>
      </c>
      <c r="L162">
        <f t="shared" si="8"/>
        <v>1</v>
      </c>
      <c r="M162">
        <f>IFERROR(VLOOKUP(A162,'Ajustes profesores'!$G$5:$I$151,3,0),0)</f>
        <v>1</v>
      </c>
      <c r="N162">
        <f t="shared" si="9"/>
        <v>1</v>
      </c>
      <c r="R162">
        <v>0</v>
      </c>
    </row>
    <row r="163" spans="1:18">
      <c r="A163" t="str">
        <f t="shared" si="11"/>
        <v>DOCTORADO EN PSICOLOGÍA</v>
      </c>
      <c r="B163" s="1" t="s">
        <v>107</v>
      </c>
      <c r="C163">
        <v>5</v>
      </c>
      <c r="F163" s="1" t="s">
        <v>107</v>
      </c>
      <c r="G163">
        <v>10</v>
      </c>
      <c r="K163">
        <v>0</v>
      </c>
      <c r="L163">
        <f t="shared" si="8"/>
        <v>5</v>
      </c>
      <c r="M163">
        <f>IFERROR(VLOOKUP(A163,'Ajustes profesores'!$G$5:$I$151,3,0),0)</f>
        <v>5</v>
      </c>
      <c r="N163">
        <f t="shared" si="9"/>
        <v>5</v>
      </c>
      <c r="R163">
        <v>0</v>
      </c>
    </row>
    <row r="164" spans="1:18">
      <c r="A164" t="str">
        <f t="shared" si="11"/>
        <v>MAESTRÍA EN PSICOLOGÍA CLÍNICA DE LA NIÑEZ Y LA ADOLESCENCIA</v>
      </c>
      <c r="B164" s="1" t="s">
        <v>206</v>
      </c>
      <c r="C164">
        <v>2</v>
      </c>
      <c r="F164" s="1" t="s">
        <v>206</v>
      </c>
      <c r="G164">
        <v>5</v>
      </c>
      <c r="K164">
        <v>1</v>
      </c>
      <c r="L164">
        <f t="shared" si="8"/>
        <v>3</v>
      </c>
      <c r="M164">
        <f>IFERROR(VLOOKUP(A164,'Ajustes profesores'!$G$5:$I$151,3,0),0)</f>
        <v>3</v>
      </c>
      <c r="N164">
        <f t="shared" si="9"/>
        <v>2</v>
      </c>
      <c r="R164">
        <v>1</v>
      </c>
    </row>
    <row r="165" spans="1:18">
      <c r="B165" t="s">
        <v>549</v>
      </c>
      <c r="F165" t="s">
        <v>549</v>
      </c>
    </row>
    <row r="166" spans="1:18">
      <c r="A166" t="str">
        <f t="shared" si="11"/>
        <v>ESPECIALIZACIÓN EN GERENCIA ESTRATÉGICA - BOGOTÁ</v>
      </c>
      <c r="B166" s="100" t="s">
        <v>159</v>
      </c>
      <c r="C166" s="100"/>
      <c r="D166" s="100"/>
      <c r="E166" s="100"/>
      <c r="F166" s="100" t="s">
        <v>159</v>
      </c>
      <c r="G166" s="100">
        <v>2</v>
      </c>
      <c r="H166" s="100"/>
      <c r="I166" s="100"/>
      <c r="J166" s="100"/>
      <c r="K166" s="100">
        <v>2</v>
      </c>
      <c r="L166">
        <f t="shared" si="8"/>
        <v>2</v>
      </c>
      <c r="M166">
        <f>IFERROR(VLOOKUP(A166,'Ajustes profesores'!$G$5:$I$151,3,0),0)</f>
        <v>2</v>
      </c>
      <c r="N166">
        <f t="shared" si="9"/>
        <v>0</v>
      </c>
      <c r="R166">
        <v>2</v>
      </c>
    </row>
    <row r="167" spans="1:18">
      <c r="C167">
        <f>SUM(C2:C166)</f>
        <v>543</v>
      </c>
      <c r="G167">
        <f>SUM(G2:G166)</f>
        <v>666</v>
      </c>
      <c r="K167">
        <f>SUM(K2:K166)</f>
        <v>39</v>
      </c>
      <c r="L167">
        <f>SUM(K167,C167)</f>
        <v>582</v>
      </c>
    </row>
  </sheetData>
  <autoFilter ref="A1:P167" xr:uid="{00000000-0009-0000-0000-000010000000}"/>
  <conditionalFormatting sqref="B163">
    <cfRule type="duplicateValues" dxfId="19" priority="8"/>
  </conditionalFormatting>
  <conditionalFormatting sqref="B164">
    <cfRule type="duplicateValues" dxfId="18" priority="6"/>
  </conditionalFormatting>
  <conditionalFormatting sqref="B165">
    <cfRule type="duplicateValues" dxfId="17" priority="3"/>
    <cfRule type="duplicateValues" dxfId="16" priority="4"/>
  </conditionalFormatting>
  <conditionalFormatting sqref="F163">
    <cfRule type="duplicateValues" dxfId="15" priority="7"/>
  </conditionalFormatting>
  <conditionalFormatting sqref="F164">
    <cfRule type="duplicateValues" dxfId="14" priority="5"/>
  </conditionalFormatting>
  <conditionalFormatting sqref="F165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78"/>
  <sheetViews>
    <sheetView topLeftCell="C1" zoomScale="80" zoomScaleNormal="80" workbookViewId="0">
      <pane ySplit="1" topLeftCell="A37" activePane="bottomLeft" state="frozen"/>
      <selection pane="bottomLeft" activeCell="G49" sqref="G49"/>
      <selection activeCell="J19" sqref="J19"/>
    </sheetView>
  </sheetViews>
  <sheetFormatPr defaultColWidth="8.85546875" defaultRowHeight="15"/>
  <cols>
    <col min="1" max="1" width="32.7109375" hidden="1" customWidth="1"/>
    <col min="2" max="2" width="93.140625" bestFit="1" customWidth="1"/>
    <col min="3" max="3" width="6.28515625" bestFit="1" customWidth="1"/>
    <col min="6" max="6" width="59.5703125" bestFit="1" customWidth="1"/>
    <col min="9" max="10" width="13.5703125" customWidth="1"/>
    <col min="12" max="12" width="12.85546875" hidden="1" customWidth="1"/>
    <col min="13" max="13" width="0" hidden="1" customWidth="1"/>
    <col min="14" max="14" width="49.140625" bestFit="1" customWidth="1"/>
  </cols>
  <sheetData>
    <row r="1" spans="1:15" ht="57" thickBot="1">
      <c r="B1" s="119" t="s">
        <v>408</v>
      </c>
      <c r="C1" s="119" t="s">
        <v>409</v>
      </c>
      <c r="D1" s="119" t="s">
        <v>410</v>
      </c>
      <c r="E1" s="118"/>
      <c r="F1" s="119" t="s">
        <v>411</v>
      </c>
      <c r="G1" s="119"/>
      <c r="H1" s="119"/>
      <c r="I1" s="124" t="s">
        <v>413</v>
      </c>
      <c r="J1" s="124" t="s">
        <v>414</v>
      </c>
      <c r="L1" s="132" t="s">
        <v>415</v>
      </c>
      <c r="M1" s="132" t="s">
        <v>416</v>
      </c>
    </row>
    <row r="2" spans="1:15">
      <c r="A2" t="str">
        <f>B2</f>
        <v>ADMINISTRACIÓN Y ORGANIZACIONES</v>
      </c>
      <c r="B2" s="3" t="s">
        <v>231</v>
      </c>
      <c r="C2" s="84">
        <v>13</v>
      </c>
      <c r="D2" s="84"/>
      <c r="F2" s="84" t="s">
        <v>417</v>
      </c>
      <c r="G2" s="85">
        <v>13</v>
      </c>
      <c r="I2">
        <v>0</v>
      </c>
      <c r="J2">
        <f>I2+C2</f>
        <v>13</v>
      </c>
      <c r="L2">
        <f>IFERROR(VLOOKUP(A2,'Ajustes profesores'!$G$5:$H$151,2,0),0)</f>
        <v>13</v>
      </c>
      <c r="M2">
        <f>G2-L2</f>
        <v>0</v>
      </c>
      <c r="O2">
        <v>0</v>
      </c>
    </row>
    <row r="3" spans="1:15">
      <c r="A3" t="str">
        <f t="shared" ref="A3:A10" si="0">B3</f>
        <v>ARTES CULINARIAS Y CIENCIAS DE LA ALIMENTACIÓN</v>
      </c>
      <c r="B3" s="1" t="s">
        <v>232</v>
      </c>
      <c r="C3">
        <v>13</v>
      </c>
      <c r="F3" t="s">
        <v>418</v>
      </c>
      <c r="G3" s="86">
        <v>13</v>
      </c>
      <c r="I3">
        <v>0</v>
      </c>
      <c r="J3">
        <f t="shared" ref="J3:J66" si="1">I3+C3</f>
        <v>13</v>
      </c>
      <c r="L3">
        <f>IFERROR(VLOOKUP(A3,'Ajustes profesores'!$G$5:$H$151,2,0),0)</f>
        <v>13</v>
      </c>
      <c r="M3">
        <f t="shared" ref="M3:M66" si="2">G3-L3</f>
        <v>0</v>
      </c>
      <c r="O3">
        <v>0</v>
      </c>
    </row>
    <row r="4" spans="1:15">
      <c r="A4" t="str">
        <f t="shared" si="0"/>
        <v>ECONOMÍA</v>
      </c>
      <c r="B4" s="1" t="s">
        <v>233</v>
      </c>
      <c r="C4">
        <v>10</v>
      </c>
      <c r="F4" t="s">
        <v>419</v>
      </c>
      <c r="G4" s="86">
        <v>13</v>
      </c>
      <c r="I4">
        <v>0</v>
      </c>
      <c r="J4">
        <f t="shared" si="1"/>
        <v>10</v>
      </c>
      <c r="L4">
        <f>IFERROR(VLOOKUP(A4,'Ajustes profesores'!$G$5:$H$151,2,0),0)</f>
        <v>10</v>
      </c>
      <c r="M4">
        <f t="shared" si="2"/>
        <v>3</v>
      </c>
      <c r="O4">
        <v>0</v>
      </c>
    </row>
    <row r="5" spans="1:15">
      <c r="A5" t="str">
        <f t="shared" si="0"/>
        <v>FINANZAS</v>
      </c>
      <c r="B5" s="1" t="s">
        <v>234</v>
      </c>
      <c r="C5">
        <v>18</v>
      </c>
      <c r="F5" t="s">
        <v>234</v>
      </c>
      <c r="G5" s="86">
        <v>21</v>
      </c>
      <c r="I5">
        <v>0</v>
      </c>
      <c r="J5">
        <f t="shared" si="1"/>
        <v>18</v>
      </c>
      <c r="L5">
        <f>IFERROR(VLOOKUP(A5,'Ajustes profesores'!$G$5:$H$151,2,0),0)</f>
        <v>18</v>
      </c>
      <c r="M5">
        <f t="shared" si="2"/>
        <v>3</v>
      </c>
      <c r="O5">
        <v>0</v>
      </c>
    </row>
    <row r="6" spans="1:15">
      <c r="A6" t="str">
        <f t="shared" si="0"/>
        <v>GESTIÓN DE OPERACIONES</v>
      </c>
      <c r="B6" s="1" t="s">
        <v>235</v>
      </c>
      <c r="C6">
        <v>3</v>
      </c>
      <c r="F6" t="s">
        <v>420</v>
      </c>
      <c r="G6" s="86">
        <v>5</v>
      </c>
      <c r="I6">
        <v>0</v>
      </c>
      <c r="J6">
        <f t="shared" si="1"/>
        <v>3</v>
      </c>
      <c r="L6">
        <f>IFERROR(VLOOKUP(A6,'Ajustes profesores'!$G$5:$H$151,2,0),0)</f>
        <v>3</v>
      </c>
      <c r="M6">
        <f t="shared" si="2"/>
        <v>2</v>
      </c>
      <c r="O6">
        <v>0</v>
      </c>
    </row>
    <row r="7" spans="1:15">
      <c r="A7" t="str">
        <f t="shared" si="0"/>
        <v>INNOVACIÓN Y EMPRENDIMIENTO</v>
      </c>
      <c r="B7" s="1" t="s">
        <v>236</v>
      </c>
      <c r="C7">
        <v>6</v>
      </c>
      <c r="F7" t="s">
        <v>421</v>
      </c>
      <c r="G7" s="86">
        <v>15</v>
      </c>
      <c r="I7">
        <v>0</v>
      </c>
      <c r="J7">
        <f t="shared" si="1"/>
        <v>6</v>
      </c>
      <c r="L7">
        <f>IFERROR(VLOOKUP(A7,'Ajustes profesores'!$G$5:$H$151,2,0),0)</f>
        <v>6</v>
      </c>
      <c r="M7">
        <f t="shared" si="2"/>
        <v>9</v>
      </c>
      <c r="O7">
        <v>0</v>
      </c>
    </row>
    <row r="8" spans="1:15">
      <c r="A8" t="str">
        <f t="shared" si="0"/>
        <v>MERCADEO</v>
      </c>
      <c r="B8" s="1" t="s">
        <v>237</v>
      </c>
      <c r="C8">
        <v>11</v>
      </c>
      <c r="F8" t="s">
        <v>237</v>
      </c>
      <c r="G8" s="86">
        <v>13</v>
      </c>
      <c r="I8">
        <v>0</v>
      </c>
      <c r="J8">
        <f t="shared" si="1"/>
        <v>11</v>
      </c>
      <c r="L8">
        <f>IFERROR(VLOOKUP(A8,'Ajustes profesores'!$G$5:$H$151,2,0),0)</f>
        <v>11</v>
      </c>
      <c r="M8">
        <f t="shared" si="2"/>
        <v>2</v>
      </c>
      <c r="O8">
        <v>0</v>
      </c>
    </row>
    <row r="9" spans="1:15">
      <c r="A9" t="str">
        <f t="shared" si="0"/>
        <v>NEGOCIACIÓN Y COMERCIO INTERNACIONAL</v>
      </c>
      <c r="B9" s="1" t="s">
        <v>238</v>
      </c>
      <c r="C9">
        <v>7</v>
      </c>
      <c r="F9" t="s">
        <v>422</v>
      </c>
      <c r="G9" s="86">
        <v>10</v>
      </c>
      <c r="I9">
        <v>0</v>
      </c>
      <c r="J9">
        <f t="shared" si="1"/>
        <v>7</v>
      </c>
      <c r="L9">
        <f>IFERROR(VLOOKUP(A9,'Ajustes profesores'!$G$5:$H$151,2,0),0)</f>
        <v>7</v>
      </c>
      <c r="M9">
        <f t="shared" si="2"/>
        <v>3</v>
      </c>
      <c r="O9">
        <v>0</v>
      </c>
    </row>
    <row r="10" spans="1:15">
      <c r="A10" t="str">
        <f t="shared" si="0"/>
        <v>SERVICIO, HOSPITALIDAD Y CALIDAD</v>
      </c>
      <c r="B10" s="1" t="s">
        <v>239</v>
      </c>
      <c r="C10">
        <v>9</v>
      </c>
      <c r="D10">
        <f>SUM(C2:C10)</f>
        <v>90</v>
      </c>
      <c r="F10" t="s">
        <v>239</v>
      </c>
      <c r="G10" s="86">
        <v>9</v>
      </c>
      <c r="H10">
        <f>SUM(G2:G10)</f>
        <v>112</v>
      </c>
      <c r="I10">
        <v>0</v>
      </c>
      <c r="J10">
        <f t="shared" si="1"/>
        <v>9</v>
      </c>
      <c r="L10">
        <f>IFERROR(VLOOKUP(A10,'Ajustes profesores'!$G$5:$H$151,2,0),0)</f>
        <v>9</v>
      </c>
      <c r="M10">
        <f t="shared" si="2"/>
        <v>0</v>
      </c>
      <c r="O10">
        <v>0</v>
      </c>
    </row>
    <row r="11" spans="1:15">
      <c r="A11" t="s">
        <v>24</v>
      </c>
      <c r="B11" s="1" t="s">
        <v>423</v>
      </c>
      <c r="C11">
        <v>35</v>
      </c>
      <c r="F11" t="s">
        <v>424</v>
      </c>
      <c r="G11" s="86">
        <v>41</v>
      </c>
      <c r="I11">
        <v>1</v>
      </c>
      <c r="J11">
        <f t="shared" si="1"/>
        <v>36</v>
      </c>
      <c r="L11">
        <f>IFERROR(VLOOKUP(A11,'Ajustes profesores'!$G$5:$H$151,2,0),0)</f>
        <v>36</v>
      </c>
      <c r="M11">
        <f t="shared" si="2"/>
        <v>5</v>
      </c>
      <c r="O11">
        <v>1</v>
      </c>
    </row>
    <row r="12" spans="1:15">
      <c r="A12" t="s">
        <v>23</v>
      </c>
      <c r="B12" s="1" t="s">
        <v>425</v>
      </c>
      <c r="C12">
        <v>19</v>
      </c>
      <c r="F12" t="s">
        <v>426</v>
      </c>
      <c r="G12" s="86">
        <v>23</v>
      </c>
      <c r="I12">
        <v>2</v>
      </c>
      <c r="J12">
        <f t="shared" si="1"/>
        <v>21</v>
      </c>
      <c r="L12">
        <f>IFERROR(VLOOKUP(A12,'Ajustes profesores'!$G$5:$H$151,2,0),0)</f>
        <v>21</v>
      </c>
      <c r="M12">
        <f t="shared" si="2"/>
        <v>2</v>
      </c>
      <c r="O12">
        <v>2</v>
      </c>
    </row>
    <row r="13" spans="1:15">
      <c r="A13" t="s">
        <v>25</v>
      </c>
      <c r="B13" s="1" t="s">
        <v>427</v>
      </c>
      <c r="C13">
        <v>25</v>
      </c>
      <c r="F13" t="s">
        <v>428</v>
      </c>
      <c r="G13" s="86">
        <v>35</v>
      </c>
      <c r="I13">
        <v>3</v>
      </c>
      <c r="J13">
        <f t="shared" si="1"/>
        <v>28</v>
      </c>
      <c r="L13">
        <f>IFERROR(VLOOKUP(A13,'Ajustes profesores'!$G$5:$H$151,2,0),0)</f>
        <v>28</v>
      </c>
      <c r="M13">
        <f t="shared" si="2"/>
        <v>7</v>
      </c>
      <c r="O13">
        <v>3</v>
      </c>
    </row>
    <row r="14" spans="1:15">
      <c r="A14" t="s">
        <v>26</v>
      </c>
      <c r="B14" s="1" t="s">
        <v>429</v>
      </c>
      <c r="C14">
        <v>7</v>
      </c>
      <c r="F14" t="s">
        <v>430</v>
      </c>
      <c r="G14" s="86">
        <v>8</v>
      </c>
      <c r="I14">
        <v>1</v>
      </c>
      <c r="J14">
        <f t="shared" si="1"/>
        <v>8</v>
      </c>
      <c r="L14">
        <f>IFERROR(VLOOKUP(A14,'Ajustes profesores'!$G$5:$H$151,2,0),0)</f>
        <v>8</v>
      </c>
      <c r="M14">
        <f t="shared" si="2"/>
        <v>0</v>
      </c>
      <c r="O14">
        <v>1</v>
      </c>
    </row>
    <row r="15" spans="1:15">
      <c r="A15" t="s">
        <v>27</v>
      </c>
      <c r="B15" s="1" t="s">
        <v>431</v>
      </c>
      <c r="C15">
        <v>24</v>
      </c>
      <c r="F15" t="s">
        <v>431</v>
      </c>
      <c r="G15" s="86">
        <v>24</v>
      </c>
      <c r="I15">
        <v>0</v>
      </c>
      <c r="J15">
        <f t="shared" si="1"/>
        <v>24</v>
      </c>
      <c r="L15">
        <f>IFERROR(VLOOKUP(A15,'Ajustes profesores'!$G$5:$H$151,2,0),0)</f>
        <v>24</v>
      </c>
      <c r="M15">
        <f t="shared" si="2"/>
        <v>0</v>
      </c>
      <c r="O15">
        <v>0</v>
      </c>
    </row>
    <row r="16" spans="1:15">
      <c r="A16" t="s">
        <v>41</v>
      </c>
      <c r="B16" s="1" t="s">
        <v>432</v>
      </c>
      <c r="C16">
        <v>8</v>
      </c>
      <c r="F16" t="s">
        <v>432</v>
      </c>
      <c r="G16" s="86">
        <v>12</v>
      </c>
      <c r="I16">
        <v>2</v>
      </c>
      <c r="J16">
        <f t="shared" si="1"/>
        <v>10</v>
      </c>
      <c r="L16">
        <f>IFERROR(VLOOKUP(A16,'Ajustes profesores'!$G$5:$H$151,2,0),0)</f>
        <v>10</v>
      </c>
      <c r="M16">
        <f t="shared" si="2"/>
        <v>2</v>
      </c>
      <c r="O16">
        <v>2</v>
      </c>
    </row>
    <row r="17" spans="1:15">
      <c r="A17" t="s">
        <v>28</v>
      </c>
      <c r="B17" s="1" t="s">
        <v>433</v>
      </c>
      <c r="C17">
        <v>13</v>
      </c>
      <c r="F17" t="s">
        <v>434</v>
      </c>
      <c r="G17" s="86">
        <v>15</v>
      </c>
      <c r="I17">
        <v>0</v>
      </c>
      <c r="J17">
        <f t="shared" si="1"/>
        <v>13</v>
      </c>
      <c r="L17">
        <f>IFERROR(VLOOKUP(A17,'Ajustes profesores'!$G$5:$H$151,2,0),0)</f>
        <v>13</v>
      </c>
      <c r="M17">
        <f t="shared" si="2"/>
        <v>2</v>
      </c>
      <c r="O17">
        <v>0</v>
      </c>
    </row>
    <row r="18" spans="1:15">
      <c r="A18" t="s">
        <v>29</v>
      </c>
      <c r="B18" s="1" t="s">
        <v>435</v>
      </c>
      <c r="C18">
        <v>5</v>
      </c>
      <c r="F18" t="s">
        <v>436</v>
      </c>
      <c r="G18" s="86">
        <v>6</v>
      </c>
      <c r="I18">
        <v>0</v>
      </c>
      <c r="J18">
        <f t="shared" si="1"/>
        <v>5</v>
      </c>
      <c r="L18">
        <f>IFERROR(VLOOKUP(A18,'Ajustes profesores'!$G$5:$H$151,2,0),0)</f>
        <v>5</v>
      </c>
      <c r="M18">
        <f t="shared" si="2"/>
        <v>1</v>
      </c>
      <c r="O18">
        <v>0</v>
      </c>
    </row>
    <row r="19" spans="1:15">
      <c r="A19" t="s">
        <v>30</v>
      </c>
      <c r="B19" s="1" t="s">
        <v>437</v>
      </c>
      <c r="C19">
        <v>3</v>
      </c>
      <c r="F19" t="s">
        <v>437</v>
      </c>
      <c r="G19" s="86">
        <v>3</v>
      </c>
      <c r="I19">
        <v>0</v>
      </c>
      <c r="J19">
        <f t="shared" si="1"/>
        <v>3</v>
      </c>
      <c r="L19">
        <f>IFERROR(VLOOKUP(A19,'Ajustes profesores'!$G$5:$H$151,2,0),0)</f>
        <v>3</v>
      </c>
      <c r="M19">
        <f t="shared" si="2"/>
        <v>0</v>
      </c>
      <c r="O19">
        <v>0</v>
      </c>
    </row>
    <row r="20" spans="1:15">
      <c r="A20" t="s">
        <v>31</v>
      </c>
      <c r="B20" s="1" t="s">
        <v>438</v>
      </c>
      <c r="C20">
        <v>5</v>
      </c>
      <c r="F20" t="s">
        <v>439</v>
      </c>
      <c r="G20" s="86">
        <v>5</v>
      </c>
      <c r="I20">
        <v>0</v>
      </c>
      <c r="J20">
        <f t="shared" si="1"/>
        <v>5</v>
      </c>
      <c r="L20">
        <f>IFERROR(VLOOKUP(A20,'Ajustes profesores'!$G$5:$H$151,2,0),0)</f>
        <v>5</v>
      </c>
      <c r="M20">
        <f t="shared" si="2"/>
        <v>0</v>
      </c>
      <c r="O20">
        <v>0</v>
      </c>
    </row>
    <row r="21" spans="1:15">
      <c r="A21" t="s">
        <v>32</v>
      </c>
      <c r="B21" s="1" t="s">
        <v>440</v>
      </c>
      <c r="C21">
        <v>13</v>
      </c>
      <c r="F21" t="s">
        <v>441</v>
      </c>
      <c r="G21" s="86">
        <v>13</v>
      </c>
      <c r="I21">
        <v>0</v>
      </c>
      <c r="J21">
        <f t="shared" si="1"/>
        <v>13</v>
      </c>
      <c r="L21">
        <f>IFERROR(VLOOKUP(A21,'Ajustes profesores'!$G$5:$H$151,2,0),0)</f>
        <v>13</v>
      </c>
      <c r="M21">
        <f t="shared" si="2"/>
        <v>0</v>
      </c>
      <c r="O21">
        <v>0</v>
      </c>
    </row>
    <row r="22" spans="1:15">
      <c r="A22" t="str">
        <f>B22</f>
        <v>INGENIERÍA DE PRODUCCIÓN AGROINDUSTRIAL</v>
      </c>
      <c r="B22" s="1" t="s">
        <v>442</v>
      </c>
      <c r="G22" s="86">
        <v>0</v>
      </c>
      <c r="I22">
        <v>0</v>
      </c>
      <c r="J22">
        <f t="shared" si="1"/>
        <v>0</v>
      </c>
      <c r="L22">
        <f>IFERROR(VLOOKUP(A22,'Ajustes profesores'!$G$5:$H$151,2,0),0)</f>
        <v>0</v>
      </c>
      <c r="M22">
        <f t="shared" si="2"/>
        <v>0</v>
      </c>
      <c r="O22">
        <v>0</v>
      </c>
    </row>
    <row r="23" spans="1:15">
      <c r="A23" t="s">
        <v>33</v>
      </c>
      <c r="B23" s="1" t="s">
        <v>443</v>
      </c>
      <c r="C23">
        <v>15</v>
      </c>
      <c r="F23" t="s">
        <v>444</v>
      </c>
      <c r="G23" s="86">
        <v>21</v>
      </c>
      <c r="I23">
        <v>0</v>
      </c>
      <c r="J23">
        <f t="shared" si="1"/>
        <v>15</v>
      </c>
      <c r="L23">
        <f>IFERROR(VLOOKUP(A23,'Ajustes profesores'!$G$5:$H$151,2,0),0)</f>
        <v>15</v>
      </c>
      <c r="M23">
        <f t="shared" si="2"/>
        <v>6</v>
      </c>
      <c r="O23">
        <v>0</v>
      </c>
    </row>
    <row r="24" spans="1:15">
      <c r="A24" t="s">
        <v>34</v>
      </c>
      <c r="B24" s="1" t="s">
        <v>445</v>
      </c>
      <c r="C24">
        <v>19</v>
      </c>
      <c r="F24" t="s">
        <v>446</v>
      </c>
      <c r="G24" s="86">
        <v>34</v>
      </c>
      <c r="I24">
        <v>0</v>
      </c>
      <c r="J24">
        <f t="shared" si="1"/>
        <v>19</v>
      </c>
      <c r="L24">
        <f>IFERROR(VLOOKUP(A24,'Ajustes profesores'!$G$5:$H$151,2,0),0)</f>
        <v>19</v>
      </c>
      <c r="M24">
        <f t="shared" si="2"/>
        <v>15</v>
      </c>
      <c r="O24">
        <v>0</v>
      </c>
    </row>
    <row r="25" spans="1:15">
      <c r="A25" t="s">
        <v>35</v>
      </c>
      <c r="B25" s="1" t="s">
        <v>447</v>
      </c>
      <c r="C25">
        <v>9</v>
      </c>
      <c r="F25" t="s">
        <v>448</v>
      </c>
      <c r="G25" s="86">
        <v>12</v>
      </c>
      <c r="I25">
        <v>0</v>
      </c>
      <c r="J25">
        <f t="shared" si="1"/>
        <v>9</v>
      </c>
      <c r="L25">
        <f>IFERROR(VLOOKUP(A25,'Ajustes profesores'!$G$5:$H$151,2,0),0)</f>
        <v>9</v>
      </c>
      <c r="M25">
        <f t="shared" si="2"/>
        <v>3</v>
      </c>
      <c r="O25">
        <v>0</v>
      </c>
    </row>
    <row r="26" spans="1:15">
      <c r="A26" t="s">
        <v>37</v>
      </c>
      <c r="B26" s="1" t="s">
        <v>449</v>
      </c>
      <c r="C26">
        <v>18</v>
      </c>
      <c r="F26" t="s">
        <v>450</v>
      </c>
      <c r="G26" s="86">
        <v>27</v>
      </c>
      <c r="I26">
        <v>0</v>
      </c>
      <c r="J26">
        <f t="shared" si="1"/>
        <v>18</v>
      </c>
      <c r="L26">
        <f>IFERROR(VLOOKUP(A26,'Ajustes profesores'!$G$5:$H$151,2,0),0)</f>
        <v>18</v>
      </c>
      <c r="M26">
        <f t="shared" si="2"/>
        <v>9</v>
      </c>
      <c r="O26">
        <v>0</v>
      </c>
    </row>
    <row r="27" spans="1:15">
      <c r="A27" t="s">
        <v>38</v>
      </c>
      <c r="B27" s="1" t="s">
        <v>451</v>
      </c>
      <c r="C27">
        <v>45</v>
      </c>
      <c r="F27" t="s">
        <v>451</v>
      </c>
      <c r="G27" s="86">
        <v>70</v>
      </c>
      <c r="I27">
        <v>0</v>
      </c>
      <c r="J27">
        <f t="shared" si="1"/>
        <v>45</v>
      </c>
      <c r="L27">
        <f>IFERROR(VLOOKUP(A27,'Ajustes profesores'!$G$5:$H$151,2,0),0)</f>
        <v>45</v>
      </c>
      <c r="M27">
        <f t="shared" si="2"/>
        <v>25</v>
      </c>
      <c r="O27">
        <v>0</v>
      </c>
    </row>
    <row r="28" spans="1:15" ht="15.75" thickBot="1">
      <c r="A28" t="s">
        <v>39</v>
      </c>
      <c r="B28" s="2" t="s">
        <v>452</v>
      </c>
      <c r="C28" s="87">
        <v>13</v>
      </c>
      <c r="D28" s="87"/>
      <c r="F28" s="87" t="s">
        <v>453</v>
      </c>
      <c r="G28" s="88">
        <v>14</v>
      </c>
      <c r="I28">
        <v>0</v>
      </c>
      <c r="J28">
        <f t="shared" si="1"/>
        <v>13</v>
      </c>
      <c r="L28">
        <f>IFERROR(VLOOKUP(A28,'Ajustes profesores'!$G$5:$H$151,2,0),0)</f>
        <v>13</v>
      </c>
      <c r="M28">
        <f t="shared" si="2"/>
        <v>1</v>
      </c>
      <c r="O28">
        <v>0</v>
      </c>
    </row>
    <row r="29" spans="1:15">
      <c r="A29" t="str">
        <f t="shared" ref="A29:A92" si="3">B29</f>
        <v>MAESTRÍA EN COMUNICACIÓN ESTRATÉGICA</v>
      </c>
      <c r="B29" t="s">
        <v>183</v>
      </c>
      <c r="F29" t="s">
        <v>550</v>
      </c>
      <c r="G29">
        <v>2</v>
      </c>
      <c r="I29">
        <v>0</v>
      </c>
      <c r="J29">
        <f t="shared" si="1"/>
        <v>0</v>
      </c>
      <c r="L29">
        <f>IFERROR(VLOOKUP(A29,'Ajustes profesores'!$G$5:$H$151,2,0),0)</f>
        <v>0</v>
      </c>
      <c r="M29">
        <f t="shared" si="2"/>
        <v>2</v>
      </c>
      <c r="O29">
        <v>0</v>
      </c>
    </row>
    <row r="30" spans="1:15">
      <c r="A30" t="str">
        <f t="shared" si="3"/>
        <v>MAESTRÍA EN PERIODISMO Y COMUNICACIÓN DIGITAL</v>
      </c>
      <c r="B30" t="s">
        <v>184</v>
      </c>
      <c r="C30">
        <v>1</v>
      </c>
      <c r="F30" t="s">
        <v>551</v>
      </c>
      <c r="G30">
        <v>1</v>
      </c>
      <c r="I30">
        <v>0</v>
      </c>
      <c r="J30">
        <f t="shared" si="1"/>
        <v>1</v>
      </c>
      <c r="L30">
        <f>IFERROR(VLOOKUP(A30,'Ajustes profesores'!$G$5:$H$151,2,0),0)</f>
        <v>1</v>
      </c>
      <c r="M30">
        <f t="shared" si="2"/>
        <v>0</v>
      </c>
      <c r="O30">
        <v>0</v>
      </c>
    </row>
    <row r="31" spans="1:15">
      <c r="A31" t="str">
        <f t="shared" si="3"/>
        <v>MAESTRÍA EN CONTRATACIÓN ESTATAL</v>
      </c>
      <c r="B31" t="s">
        <v>185</v>
      </c>
      <c r="C31">
        <v>5</v>
      </c>
      <c r="F31" t="s">
        <v>456</v>
      </c>
      <c r="G31">
        <v>16</v>
      </c>
      <c r="I31">
        <v>0</v>
      </c>
      <c r="J31">
        <f t="shared" si="1"/>
        <v>5</v>
      </c>
      <c r="L31">
        <f>IFERROR(VLOOKUP(A31,'Ajustes profesores'!$G$5:$H$151,2,0),0)</f>
        <v>5</v>
      </c>
      <c r="M31">
        <f t="shared" si="2"/>
        <v>11</v>
      </c>
      <c r="O31">
        <v>0</v>
      </c>
    </row>
    <row r="32" spans="1:15">
      <c r="A32" t="str">
        <f t="shared" si="3"/>
        <v>MAESTRÍA EN DERECHO CONSTITUCIONAL</v>
      </c>
      <c r="B32" t="s">
        <v>186</v>
      </c>
      <c r="C32">
        <v>1</v>
      </c>
      <c r="F32" t="s">
        <v>457</v>
      </c>
      <c r="G32">
        <v>8</v>
      </c>
      <c r="I32">
        <v>0</v>
      </c>
      <c r="J32">
        <f t="shared" si="1"/>
        <v>1</v>
      </c>
      <c r="L32">
        <f>IFERROR(VLOOKUP(A32,'Ajustes profesores'!$G$5:$H$151,2,0),0)</f>
        <v>1</v>
      </c>
      <c r="M32">
        <f t="shared" si="2"/>
        <v>7</v>
      </c>
      <c r="O32">
        <v>0</v>
      </c>
    </row>
    <row r="33" spans="1:15">
      <c r="A33" t="str">
        <f t="shared" si="3"/>
        <v>MAESTRÍA EN DERECHO DE LA EMPRESA Y DE LOS NEGOCIOS</v>
      </c>
      <c r="B33" t="s">
        <v>187</v>
      </c>
      <c r="C33">
        <v>14</v>
      </c>
      <c r="F33" t="s">
        <v>458</v>
      </c>
      <c r="G33">
        <v>15</v>
      </c>
      <c r="I33">
        <v>0</v>
      </c>
      <c r="J33">
        <f t="shared" si="1"/>
        <v>14</v>
      </c>
      <c r="L33">
        <f>IFERROR(VLOOKUP(A33,'Ajustes profesores'!$G$5:$H$151,2,0),0)</f>
        <v>14</v>
      </c>
      <c r="M33">
        <f t="shared" si="2"/>
        <v>1</v>
      </c>
      <c r="O33">
        <v>0</v>
      </c>
    </row>
    <row r="34" spans="1:15">
      <c r="A34" t="str">
        <f t="shared" si="3"/>
        <v>MAESTRÍA EN DERECHO INTERNACIONAL</v>
      </c>
      <c r="B34" t="s">
        <v>188</v>
      </c>
      <c r="C34">
        <v>4</v>
      </c>
      <c r="F34" t="s">
        <v>459</v>
      </c>
      <c r="G34">
        <v>6</v>
      </c>
      <c r="I34">
        <v>0</v>
      </c>
      <c r="J34">
        <f t="shared" si="1"/>
        <v>4</v>
      </c>
      <c r="L34">
        <f>IFERROR(VLOOKUP(A34,'Ajustes profesores'!$G$5:$H$151,2,0),0)</f>
        <v>4</v>
      </c>
      <c r="M34">
        <f t="shared" si="2"/>
        <v>2</v>
      </c>
      <c r="O34">
        <v>0</v>
      </c>
    </row>
    <row r="35" spans="1:15">
      <c r="A35" t="str">
        <f t="shared" si="3"/>
        <v>MAESTRÍA EN DESARROLLO INFANTIL</v>
      </c>
      <c r="B35" t="s">
        <v>189</v>
      </c>
      <c r="C35">
        <v>2</v>
      </c>
      <c r="F35" t="s">
        <v>552</v>
      </c>
      <c r="G35">
        <v>3</v>
      </c>
      <c r="I35">
        <v>1</v>
      </c>
      <c r="J35">
        <f t="shared" si="1"/>
        <v>3</v>
      </c>
      <c r="L35">
        <f>IFERROR(VLOOKUP(A35,'Ajustes profesores'!$G$5:$H$151,2,0),0)</f>
        <v>3</v>
      </c>
      <c r="M35">
        <f t="shared" si="2"/>
        <v>0</v>
      </c>
      <c r="O35">
        <v>1</v>
      </c>
    </row>
    <row r="36" spans="1:15">
      <c r="A36" t="str">
        <f t="shared" si="3"/>
        <v>MAESTRÍA EN DIDÁCTICA DEL INGLÉS CON ÉNFASIS EN AMBIENTES DE APRENDIZAJE AUTÓNOMO</v>
      </c>
      <c r="B36" t="s">
        <v>461</v>
      </c>
      <c r="G36">
        <v>0</v>
      </c>
      <c r="I36">
        <v>0</v>
      </c>
      <c r="J36">
        <f t="shared" si="1"/>
        <v>0</v>
      </c>
      <c r="L36">
        <f>IFERROR(VLOOKUP(A36,'Ajustes profesores'!$G$5:$H$151,2,0),0)</f>
        <v>0</v>
      </c>
      <c r="M36">
        <f t="shared" si="2"/>
        <v>0</v>
      </c>
      <c r="O36">
        <v>0</v>
      </c>
    </row>
    <row r="37" spans="1:15">
      <c r="A37" t="str">
        <f t="shared" si="3"/>
        <v>MAESTRÍA EN DIRECCIÓN Y GESTIÓN DE INSTITUCIONES EDUCATIVAS</v>
      </c>
      <c r="B37" t="s">
        <v>190</v>
      </c>
      <c r="C37">
        <v>6</v>
      </c>
      <c r="F37" t="s">
        <v>553</v>
      </c>
      <c r="G37">
        <v>9</v>
      </c>
      <c r="I37">
        <v>1</v>
      </c>
      <c r="J37">
        <f t="shared" si="1"/>
        <v>7</v>
      </c>
      <c r="L37">
        <f>IFERROR(VLOOKUP(A37,'Ajustes profesores'!$G$5:$H$151,2,0),0)</f>
        <v>7</v>
      </c>
      <c r="M37">
        <f t="shared" si="2"/>
        <v>2</v>
      </c>
      <c r="O37">
        <v>1</v>
      </c>
    </row>
    <row r="38" spans="1:15">
      <c r="A38" t="str">
        <f t="shared" si="3"/>
        <v>MAESTRÍA EN EDUCACIÓN</v>
      </c>
      <c r="B38" t="s">
        <v>191</v>
      </c>
      <c r="C38">
        <v>1</v>
      </c>
      <c r="F38" t="s">
        <v>554</v>
      </c>
      <c r="G38">
        <v>1</v>
      </c>
      <c r="I38">
        <v>0</v>
      </c>
      <c r="J38">
        <f t="shared" si="1"/>
        <v>1</v>
      </c>
      <c r="L38">
        <f>IFERROR(VLOOKUP(A38,'Ajustes profesores'!$G$5:$H$151,2,0),0)</f>
        <v>1</v>
      </c>
      <c r="M38">
        <f t="shared" si="2"/>
        <v>0</v>
      </c>
      <c r="O38">
        <v>0</v>
      </c>
    </row>
    <row r="39" spans="1:15">
      <c r="A39" t="str">
        <f t="shared" si="3"/>
        <v>MAESTRÍA EN PEDAGOGÍA</v>
      </c>
      <c r="B39" t="s">
        <v>192</v>
      </c>
      <c r="C39">
        <v>3</v>
      </c>
      <c r="F39" t="s">
        <v>555</v>
      </c>
      <c r="G39">
        <v>3</v>
      </c>
      <c r="I39">
        <v>0</v>
      </c>
      <c r="J39">
        <f t="shared" si="1"/>
        <v>3</v>
      </c>
      <c r="L39">
        <f>IFERROR(VLOOKUP(A39,'Ajustes profesores'!$G$5:$H$151,2,0),0)</f>
        <v>3</v>
      </c>
      <c r="M39">
        <f t="shared" si="2"/>
        <v>0</v>
      </c>
      <c r="O39">
        <v>0</v>
      </c>
    </row>
    <row r="40" spans="1:15">
      <c r="A40" t="str">
        <f t="shared" si="3"/>
        <v>MAESTRÍA EN ENFERMERÍA PRESENCIAL</v>
      </c>
      <c r="B40" t="s">
        <v>197</v>
      </c>
      <c r="C40">
        <v>2</v>
      </c>
      <c r="F40" t="s">
        <v>556</v>
      </c>
      <c r="G40">
        <v>2</v>
      </c>
      <c r="I40">
        <v>0</v>
      </c>
      <c r="J40">
        <f t="shared" si="1"/>
        <v>2</v>
      </c>
      <c r="L40">
        <f>IFERROR(VLOOKUP(A40,'Ajustes profesores'!$G$5:$H$151,2,0),0)</f>
        <v>2</v>
      </c>
      <c r="M40">
        <f t="shared" si="2"/>
        <v>0</v>
      </c>
      <c r="O40">
        <v>0</v>
      </c>
    </row>
    <row r="41" spans="1:15">
      <c r="A41" t="str">
        <f t="shared" si="3"/>
        <v>MAESTRÍA EN LINGÜÍSTICA PANHISPÁNICA - VIRTUAL</v>
      </c>
      <c r="B41" t="s">
        <v>213</v>
      </c>
      <c r="C41">
        <v>4</v>
      </c>
      <c r="F41" t="s">
        <v>557</v>
      </c>
      <c r="G41">
        <v>4</v>
      </c>
      <c r="I41">
        <v>0</v>
      </c>
      <c r="J41">
        <f t="shared" si="1"/>
        <v>4</v>
      </c>
      <c r="L41">
        <f>IFERROR(VLOOKUP(A41,'Ajustes profesores'!$G$5:$H$151,2,0),0)</f>
        <v>4</v>
      </c>
      <c r="M41">
        <f t="shared" si="2"/>
        <v>0</v>
      </c>
      <c r="O41">
        <v>0</v>
      </c>
    </row>
    <row r="42" spans="1:15">
      <c r="A42" t="str">
        <f t="shared" si="3"/>
        <v>MAESTRÍA EN TEOLOGÍA</v>
      </c>
      <c r="B42" t="s">
        <v>203</v>
      </c>
      <c r="C42">
        <v>4</v>
      </c>
      <c r="F42" t="s">
        <v>558</v>
      </c>
      <c r="G42">
        <v>4</v>
      </c>
      <c r="I42">
        <v>0</v>
      </c>
      <c r="J42">
        <f t="shared" si="1"/>
        <v>4</v>
      </c>
      <c r="L42">
        <f>IFERROR(VLOOKUP(A42,'Ajustes profesores'!$G$5:$H$151,2,0),0)</f>
        <v>4</v>
      </c>
      <c r="M42">
        <f t="shared" si="2"/>
        <v>0</v>
      </c>
      <c r="O42">
        <v>0</v>
      </c>
    </row>
    <row r="43" spans="1:15">
      <c r="A43" t="str">
        <f t="shared" si="3"/>
        <v>MAESTRÍA EN ANALÍTICA APLICADA</v>
      </c>
      <c r="B43" t="s">
        <v>178</v>
      </c>
      <c r="C43">
        <v>9</v>
      </c>
      <c r="F43" t="s">
        <v>559</v>
      </c>
      <c r="G43">
        <v>13</v>
      </c>
      <c r="I43">
        <v>1</v>
      </c>
      <c r="J43">
        <f t="shared" si="1"/>
        <v>10</v>
      </c>
      <c r="L43">
        <f>IFERROR(VLOOKUP(A43,'Ajustes profesores'!$G$5:$H$151,2,0),0)</f>
        <v>10</v>
      </c>
      <c r="M43">
        <f t="shared" si="2"/>
        <v>3</v>
      </c>
      <c r="O43">
        <v>1</v>
      </c>
    </row>
    <row r="44" spans="1:15">
      <c r="A44" t="str">
        <f t="shared" si="3"/>
        <v>MAESTRÍA EN DISEÑO Y GESTIÓN DE PROCESOS</v>
      </c>
      <c r="B44" t="s">
        <v>179</v>
      </c>
      <c r="C44">
        <v>5</v>
      </c>
      <c r="F44" t="s">
        <v>560</v>
      </c>
      <c r="G44">
        <v>10</v>
      </c>
      <c r="I44">
        <v>1</v>
      </c>
      <c r="J44">
        <f t="shared" si="1"/>
        <v>6</v>
      </c>
      <c r="L44">
        <f>IFERROR(VLOOKUP(A44,'Ajustes profesores'!$G$5:$H$151,2,0),0)</f>
        <v>6</v>
      </c>
      <c r="M44">
        <f t="shared" si="2"/>
        <v>4</v>
      </c>
      <c r="O44">
        <v>1</v>
      </c>
    </row>
    <row r="45" spans="1:15">
      <c r="A45" t="str">
        <f t="shared" si="3"/>
        <v>MAESTRÍA EN GERENCIA DE INGENIERÍA</v>
      </c>
      <c r="B45" t="s">
        <v>180</v>
      </c>
      <c r="C45">
        <v>8</v>
      </c>
      <c r="F45" t="s">
        <v>561</v>
      </c>
      <c r="G45">
        <v>8</v>
      </c>
      <c r="I45">
        <v>0</v>
      </c>
      <c r="J45">
        <f t="shared" si="1"/>
        <v>8</v>
      </c>
      <c r="L45">
        <f>IFERROR(VLOOKUP(A45,'Ajustes profesores'!$G$5:$H$151,2,0),0)</f>
        <v>8</v>
      </c>
      <c r="M45">
        <f t="shared" si="2"/>
        <v>0</v>
      </c>
      <c r="O45">
        <v>0</v>
      </c>
    </row>
    <row r="46" spans="1:15">
      <c r="A46" t="str">
        <f t="shared" si="3"/>
        <v>MAESTRÍA EN BIOÉTICA</v>
      </c>
      <c r="B46" t="s">
        <v>196</v>
      </c>
      <c r="G46">
        <v>0</v>
      </c>
      <c r="I46">
        <v>0</v>
      </c>
      <c r="J46">
        <f t="shared" si="1"/>
        <v>0</v>
      </c>
      <c r="L46">
        <f>IFERROR(VLOOKUP(A46,'Ajustes profesores'!$G$5:$H$151,2,0),0)</f>
        <v>0</v>
      </c>
      <c r="M46">
        <f t="shared" si="2"/>
        <v>0</v>
      </c>
      <c r="O46">
        <v>0</v>
      </c>
    </row>
    <row r="47" spans="1:15">
      <c r="A47" t="str">
        <f t="shared" si="3"/>
        <v>MAESTRÍA EN EDUCACIÓN MÉDICA</v>
      </c>
      <c r="B47" t="s">
        <v>193</v>
      </c>
      <c r="F47" t="s">
        <v>562</v>
      </c>
      <c r="G47">
        <v>2</v>
      </c>
      <c r="I47">
        <v>0</v>
      </c>
      <c r="J47">
        <f t="shared" si="1"/>
        <v>0</v>
      </c>
      <c r="L47">
        <f>IFERROR(VLOOKUP(A47,'Ajustes profesores'!$G$5:$H$151,2,0),0)</f>
        <v>0</v>
      </c>
      <c r="M47">
        <f t="shared" si="2"/>
        <v>2</v>
      </c>
      <c r="O47">
        <v>0</v>
      </c>
    </row>
    <row r="48" spans="1:15">
      <c r="A48" t="str">
        <f t="shared" si="3"/>
        <v>MAESTRÍA EN EPIDEMIOLOGÍA</v>
      </c>
      <c r="B48" t="s">
        <v>195</v>
      </c>
      <c r="C48">
        <v>2</v>
      </c>
      <c r="F48" t="s">
        <v>563</v>
      </c>
      <c r="G48">
        <v>2</v>
      </c>
      <c r="I48">
        <v>0</v>
      </c>
      <c r="J48">
        <f t="shared" si="1"/>
        <v>2</v>
      </c>
      <c r="L48">
        <f>IFERROR(VLOOKUP(A48,'Ajustes profesores'!$G$5:$H$151,2,0),0)</f>
        <v>2</v>
      </c>
      <c r="M48">
        <f t="shared" si="2"/>
        <v>0</v>
      </c>
      <c r="O48">
        <v>0</v>
      </c>
    </row>
    <row r="49" spans="1:15">
      <c r="A49" t="str">
        <f t="shared" si="3"/>
        <v>MAESTRÍA EN GERENCIA Y DESARROLLO DE PERSONAS</v>
      </c>
      <c r="B49" t="s">
        <v>204</v>
      </c>
      <c r="C49">
        <v>12</v>
      </c>
      <c r="F49" t="s">
        <v>564</v>
      </c>
      <c r="G49">
        <v>14</v>
      </c>
      <c r="I49">
        <v>0</v>
      </c>
      <c r="J49">
        <f t="shared" si="1"/>
        <v>12</v>
      </c>
      <c r="L49">
        <f>IFERROR(VLOOKUP(A49,'Ajustes profesores'!$G$5:$H$151,2,0),0)</f>
        <v>11</v>
      </c>
      <c r="M49">
        <f t="shared" si="2"/>
        <v>3</v>
      </c>
      <c r="O49">
        <v>0</v>
      </c>
    </row>
    <row r="50" spans="1:15">
      <c r="A50" t="str">
        <f t="shared" si="3"/>
        <v>MAESTRÍA EN PSICOLOGÍA</v>
      </c>
      <c r="B50" t="s">
        <v>205</v>
      </c>
      <c r="C50">
        <v>1</v>
      </c>
      <c r="F50" t="s">
        <v>475</v>
      </c>
      <c r="G50">
        <v>1</v>
      </c>
      <c r="I50">
        <v>0</v>
      </c>
      <c r="J50">
        <f t="shared" si="1"/>
        <v>1</v>
      </c>
      <c r="L50">
        <f>IFERROR(VLOOKUP(A50,'Ajustes profesores'!$G$5:$H$151,2,0),0)</f>
        <v>1</v>
      </c>
      <c r="M50">
        <f t="shared" si="2"/>
        <v>0</v>
      </c>
      <c r="O50">
        <v>0</v>
      </c>
    </row>
    <row r="51" spans="1:15">
      <c r="A51" t="str">
        <f t="shared" si="3"/>
        <v>MAESTRÍA EN PSICOLOGÍA DE LA SALUD Y LA DISCAPACIDAD</v>
      </c>
      <c r="B51" t="s">
        <v>207</v>
      </c>
      <c r="C51">
        <v>2</v>
      </c>
      <c r="F51" t="s">
        <v>476</v>
      </c>
      <c r="G51">
        <v>2</v>
      </c>
      <c r="I51">
        <v>0</v>
      </c>
      <c r="J51">
        <f t="shared" si="1"/>
        <v>2</v>
      </c>
      <c r="L51">
        <f>IFERROR(VLOOKUP(A51,'Ajustes profesores'!$G$5:$H$151,2,0),0)</f>
        <v>2</v>
      </c>
      <c r="M51">
        <f t="shared" si="2"/>
        <v>0</v>
      </c>
      <c r="O51">
        <v>0</v>
      </c>
    </row>
    <row r="52" spans="1:15">
      <c r="A52" t="str">
        <f t="shared" si="3"/>
        <v>MAESTRÍA EN GERENCIA DE INVERSIÓN</v>
      </c>
      <c r="B52" t="s">
        <v>198</v>
      </c>
      <c r="C52">
        <v>5</v>
      </c>
      <c r="F52" t="s">
        <v>565</v>
      </c>
      <c r="G52">
        <v>6</v>
      </c>
      <c r="I52">
        <v>0</v>
      </c>
      <c r="J52">
        <f t="shared" si="1"/>
        <v>5</v>
      </c>
      <c r="L52">
        <f>IFERROR(VLOOKUP(A52,'Ajustes profesores'!$G$5:$H$151,2,0),0)</f>
        <v>5</v>
      </c>
      <c r="M52">
        <f t="shared" si="2"/>
        <v>1</v>
      </c>
      <c r="O52">
        <v>0</v>
      </c>
    </row>
    <row r="53" spans="1:15">
      <c r="A53" t="str">
        <f t="shared" si="3"/>
        <v>MAESTRÍA EN GERENCIA DE OPERACIONES</v>
      </c>
      <c r="B53" t="s">
        <v>200</v>
      </c>
      <c r="C53">
        <v>2</v>
      </c>
      <c r="F53" t="s">
        <v>566</v>
      </c>
      <c r="G53">
        <v>6</v>
      </c>
      <c r="I53">
        <v>0</v>
      </c>
      <c r="J53">
        <f t="shared" si="1"/>
        <v>2</v>
      </c>
      <c r="L53">
        <f>IFERROR(VLOOKUP(A53,'Ajustes profesores'!$G$5:$H$151,2,0),0)</f>
        <v>2</v>
      </c>
      <c r="M53">
        <f t="shared" si="2"/>
        <v>4</v>
      </c>
      <c r="O53">
        <v>0</v>
      </c>
    </row>
    <row r="54" spans="1:15">
      <c r="A54" t="str">
        <f t="shared" si="3"/>
        <v>MAESTRÍA EN GERENCIA ESTRATÉGICA</v>
      </c>
      <c r="B54" t="s">
        <v>201</v>
      </c>
      <c r="C54">
        <v>8</v>
      </c>
      <c r="F54" t="s">
        <v>567</v>
      </c>
      <c r="G54">
        <v>9</v>
      </c>
      <c r="I54">
        <v>0</v>
      </c>
      <c r="J54">
        <f t="shared" si="1"/>
        <v>8</v>
      </c>
      <c r="L54">
        <f>IFERROR(VLOOKUP(A54,'Ajustes profesores'!$G$5:$H$151,2,0),0)</f>
        <v>8</v>
      </c>
      <c r="M54">
        <f t="shared" si="2"/>
        <v>1</v>
      </c>
      <c r="O54">
        <v>0</v>
      </c>
    </row>
    <row r="55" spans="1:15">
      <c r="A55" t="str">
        <f t="shared" si="3"/>
        <v>MAESTRÍA EN GERENCIA INTERNACIONAL</v>
      </c>
      <c r="B55" t="s">
        <v>202</v>
      </c>
      <c r="C55">
        <v>2</v>
      </c>
      <c r="F55" t="s">
        <v>568</v>
      </c>
      <c r="G55">
        <v>4</v>
      </c>
      <c r="I55">
        <v>1</v>
      </c>
      <c r="J55">
        <f t="shared" si="1"/>
        <v>3</v>
      </c>
      <c r="L55">
        <f>IFERROR(VLOOKUP(A55,'Ajustes profesores'!$G$5:$H$151,2,0),0)</f>
        <v>3</v>
      </c>
      <c r="M55">
        <f t="shared" si="2"/>
        <v>1</v>
      </c>
      <c r="O55">
        <v>1</v>
      </c>
    </row>
    <row r="56" spans="1:15">
      <c r="A56" t="str">
        <f t="shared" si="3"/>
        <v>MAESTRÍA EN DIDÁCTICA DEL INGLÉS PARA EL APRENDIZAJE AUTODIRIGIDO</v>
      </c>
      <c r="B56" t="s">
        <v>296</v>
      </c>
      <c r="G56">
        <v>0</v>
      </c>
      <c r="I56">
        <v>0</v>
      </c>
      <c r="J56">
        <f t="shared" si="1"/>
        <v>0</v>
      </c>
      <c r="L56">
        <f>IFERROR(VLOOKUP(A56,'Ajustes profesores'!$G$5:$H$151,2,0),0)</f>
        <v>0</v>
      </c>
      <c r="M56">
        <f t="shared" si="2"/>
        <v>0</v>
      </c>
      <c r="O56">
        <v>0</v>
      </c>
    </row>
    <row r="57" spans="1:15">
      <c r="A57" t="str">
        <f t="shared" si="3"/>
        <v>MAESTRÍA EN INNOVACIÓN EDUCATIVA MEDIADA POR TIC - VIRTUAL</v>
      </c>
      <c r="B57" t="s">
        <v>217</v>
      </c>
      <c r="C57">
        <v>1</v>
      </c>
      <c r="F57" t="s">
        <v>217</v>
      </c>
      <c r="G57">
        <v>2</v>
      </c>
      <c r="I57">
        <v>1</v>
      </c>
      <c r="J57">
        <f t="shared" si="1"/>
        <v>2</v>
      </c>
      <c r="L57">
        <f>IFERROR(VLOOKUP(A57,'Ajustes profesores'!$G$5:$H$151,2,0),0)</f>
        <v>2</v>
      </c>
      <c r="M57">
        <f t="shared" si="2"/>
        <v>0</v>
      </c>
      <c r="N57" t="s">
        <v>569</v>
      </c>
      <c r="O57">
        <v>1</v>
      </c>
    </row>
    <row r="58" spans="1:15">
      <c r="A58" t="str">
        <f t="shared" si="3"/>
        <v>MAESTRÍA EN PEDAGOGÍA E INVESTIGACIÓN EN EL AULA</v>
      </c>
      <c r="B58" t="s">
        <v>397</v>
      </c>
      <c r="F58" t="s">
        <v>570</v>
      </c>
      <c r="G58">
        <v>0</v>
      </c>
      <c r="I58">
        <v>0</v>
      </c>
      <c r="J58">
        <f t="shared" si="1"/>
        <v>0</v>
      </c>
      <c r="L58">
        <f>IFERROR(VLOOKUP(A58,'Ajustes profesores'!$G$5:$H$151,2,0),0)</f>
        <v>0</v>
      </c>
      <c r="M58">
        <f t="shared" si="2"/>
        <v>0</v>
      </c>
      <c r="O58">
        <v>0</v>
      </c>
    </row>
    <row r="59" spans="1:15">
      <c r="A59" s="100" t="str">
        <f t="shared" si="3"/>
        <v>MAESTRÍA EN PROYECTOS EDUCATIVOS MEDIADOS POR TIC</v>
      </c>
      <c r="B59" s="100" t="s">
        <v>317</v>
      </c>
      <c r="C59" s="100"/>
      <c r="D59" s="100"/>
      <c r="E59" s="100"/>
      <c r="F59" s="100" t="s">
        <v>571</v>
      </c>
      <c r="G59" s="100">
        <v>0</v>
      </c>
      <c r="H59" s="100"/>
      <c r="I59" s="100">
        <v>0</v>
      </c>
      <c r="J59" s="100">
        <f t="shared" si="1"/>
        <v>0</v>
      </c>
      <c r="K59" s="100"/>
      <c r="L59">
        <f>IFERROR(VLOOKUP(A59,'Ajustes profesores'!$G$5:$H$151,2,0),0)</f>
        <v>0</v>
      </c>
      <c r="M59">
        <f t="shared" si="2"/>
        <v>0</v>
      </c>
      <c r="N59" t="s">
        <v>572</v>
      </c>
      <c r="O59">
        <v>0</v>
      </c>
    </row>
    <row r="60" spans="1:15">
      <c r="A60" t="str">
        <f t="shared" si="3"/>
        <v>MAESTRÍA EN ASESORÍA FAMILIAR Y GESTIÓN DE PROGRAMAS PARA LA FAMILIA</v>
      </c>
      <c r="B60" t="s">
        <v>181</v>
      </c>
      <c r="C60">
        <v>6</v>
      </c>
      <c r="G60">
        <v>6</v>
      </c>
      <c r="I60">
        <v>0</v>
      </c>
      <c r="J60">
        <f t="shared" si="1"/>
        <v>6</v>
      </c>
      <c r="L60">
        <f>IFERROR(VLOOKUP(A60,'Ajustes profesores'!$G$5:$H$151,2,0),0)</f>
        <v>6</v>
      </c>
      <c r="M60">
        <f t="shared" si="2"/>
        <v>0</v>
      </c>
      <c r="O60">
        <v>0</v>
      </c>
    </row>
    <row r="61" spans="1:15">
      <c r="A61" t="str">
        <f t="shared" si="3"/>
        <v>MAESTRÍA EN ENFERMERÍA VIRTUAL</v>
      </c>
      <c r="B61" t="s">
        <v>212</v>
      </c>
      <c r="C61">
        <v>2</v>
      </c>
      <c r="F61" t="s">
        <v>573</v>
      </c>
      <c r="G61">
        <v>2</v>
      </c>
      <c r="I61">
        <v>0</v>
      </c>
      <c r="J61">
        <f t="shared" si="1"/>
        <v>2</v>
      </c>
      <c r="L61">
        <f>IFERROR(VLOOKUP(A61,'Ajustes profesores'!$G$5:$H$151,2,0),0)</f>
        <v>2</v>
      </c>
      <c r="M61">
        <f t="shared" si="2"/>
        <v>0</v>
      </c>
      <c r="O61">
        <v>0</v>
      </c>
    </row>
    <row r="62" spans="1:15">
      <c r="A62" t="str">
        <f t="shared" si="3"/>
        <v>ESPECIALIZACIÓN EN ANESTESIOLOGÍA Y MEDICINA PERIOPERATORIA</v>
      </c>
      <c r="B62" t="s">
        <v>109</v>
      </c>
      <c r="G62">
        <v>0</v>
      </c>
      <c r="I62">
        <v>0</v>
      </c>
      <c r="J62">
        <f t="shared" si="1"/>
        <v>0</v>
      </c>
      <c r="L62">
        <f>IFERROR(VLOOKUP(A62,'Ajustes profesores'!$G$5:$H$151,2,0),0)</f>
        <v>0</v>
      </c>
      <c r="M62">
        <f t="shared" si="2"/>
        <v>0</v>
      </c>
      <c r="O62">
        <v>0</v>
      </c>
    </row>
    <row r="63" spans="1:15">
      <c r="A63" t="str">
        <f t="shared" si="3"/>
        <v>ESPECIALIZACIÓN EN CIRUGÍA GENERAL</v>
      </c>
      <c r="B63" t="s">
        <v>110</v>
      </c>
      <c r="C63">
        <v>2</v>
      </c>
      <c r="F63" t="s">
        <v>574</v>
      </c>
      <c r="G63">
        <v>3</v>
      </c>
      <c r="I63">
        <v>0</v>
      </c>
      <c r="J63">
        <f t="shared" si="1"/>
        <v>2</v>
      </c>
      <c r="L63">
        <f>IFERROR(VLOOKUP(A63,'Ajustes profesores'!$G$5:$H$151,2,0),0)</f>
        <v>2</v>
      </c>
      <c r="M63">
        <f t="shared" si="2"/>
        <v>1</v>
      </c>
      <c r="O63">
        <v>0</v>
      </c>
    </row>
    <row r="64" spans="1:15">
      <c r="A64" t="str">
        <f t="shared" si="3"/>
        <v>ESPECIALIZACIÓN EN CUIDADO INTENSIVO PEDIÁTRICO</v>
      </c>
      <c r="B64" t="s">
        <v>111</v>
      </c>
      <c r="C64">
        <v>1</v>
      </c>
      <c r="F64" t="s">
        <v>575</v>
      </c>
      <c r="G64">
        <v>1</v>
      </c>
      <c r="I64">
        <v>0</v>
      </c>
      <c r="J64">
        <f t="shared" si="1"/>
        <v>1</v>
      </c>
      <c r="L64">
        <f>IFERROR(VLOOKUP(A64,'Ajustes profesores'!$G$5:$H$151,2,0),0)</f>
        <v>1</v>
      </c>
      <c r="M64">
        <f t="shared" si="2"/>
        <v>0</v>
      </c>
      <c r="O64">
        <v>0</v>
      </c>
    </row>
    <row r="65" spans="1:15">
      <c r="A65" t="str">
        <f t="shared" si="3"/>
        <v>ESPECIALIZACIÓN EN ELECTROFISIOLOGÍA CARDIOVASCULAR</v>
      </c>
      <c r="B65" t="s">
        <v>113</v>
      </c>
      <c r="F65" t="s">
        <v>576</v>
      </c>
      <c r="G65">
        <v>1</v>
      </c>
      <c r="I65">
        <v>0</v>
      </c>
      <c r="J65">
        <f t="shared" si="1"/>
        <v>0</v>
      </c>
      <c r="L65">
        <f>IFERROR(VLOOKUP(A65,'Ajustes profesores'!$G$5:$H$151,2,0),0)</f>
        <v>0</v>
      </c>
      <c r="M65">
        <f t="shared" si="2"/>
        <v>1</v>
      </c>
      <c r="O65">
        <v>0</v>
      </c>
    </row>
    <row r="66" spans="1:15">
      <c r="A66" t="str">
        <f t="shared" si="3"/>
        <v>ESPECIALIZACIÓN EN FARMACOLOGÍA CLÍNICA</v>
      </c>
      <c r="B66" t="s">
        <v>114</v>
      </c>
      <c r="C66">
        <v>2</v>
      </c>
      <c r="F66" t="s">
        <v>577</v>
      </c>
      <c r="G66">
        <v>4</v>
      </c>
      <c r="I66">
        <v>0</v>
      </c>
      <c r="J66">
        <f t="shared" si="1"/>
        <v>2</v>
      </c>
      <c r="L66">
        <f>IFERROR(VLOOKUP(A66,'Ajustes profesores'!$G$5:$H$151,2,0),0)</f>
        <v>2</v>
      </c>
      <c r="M66">
        <f t="shared" si="2"/>
        <v>2</v>
      </c>
      <c r="O66">
        <v>0</v>
      </c>
    </row>
    <row r="67" spans="1:15">
      <c r="A67" t="str">
        <f t="shared" si="3"/>
        <v>ESPECIALIZACIÓN EN GINECOLOGÍA Y OBSTETRICIA</v>
      </c>
      <c r="B67" t="s">
        <v>115</v>
      </c>
      <c r="G67">
        <v>0</v>
      </c>
      <c r="I67">
        <v>0</v>
      </c>
      <c r="J67">
        <f t="shared" ref="J67:J130" si="4">I67+C67</f>
        <v>0</v>
      </c>
      <c r="L67">
        <f>IFERROR(VLOOKUP(A67,'Ajustes profesores'!$G$5:$H$151,2,0),0)</f>
        <v>0</v>
      </c>
      <c r="M67">
        <f t="shared" ref="M67:M130" si="5">G67-L67</f>
        <v>0</v>
      </c>
      <c r="O67">
        <v>0</v>
      </c>
    </row>
    <row r="68" spans="1:15">
      <c r="A68" t="str">
        <f t="shared" si="3"/>
        <v>ESPECIALIZACIÓN EN MEDICINA CRÍTICA</v>
      </c>
      <c r="B68" t="s">
        <v>117</v>
      </c>
      <c r="F68" t="s">
        <v>578</v>
      </c>
      <c r="G68">
        <v>1</v>
      </c>
      <c r="I68">
        <v>0</v>
      </c>
      <c r="J68">
        <f t="shared" si="4"/>
        <v>0</v>
      </c>
      <c r="L68">
        <f>IFERROR(VLOOKUP(A68,'Ajustes profesores'!$G$5:$H$151,2,0),0)</f>
        <v>0</v>
      </c>
      <c r="M68">
        <f t="shared" si="5"/>
        <v>1</v>
      </c>
      <c r="O68">
        <v>0</v>
      </c>
    </row>
    <row r="69" spans="1:15">
      <c r="A69" t="str">
        <f t="shared" si="3"/>
        <v>ESPECIALIZACIÓN EN MEDICINA DEL DOLOR Y CUIDADOS PALIATIVOS</v>
      </c>
      <c r="B69" t="s">
        <v>118</v>
      </c>
      <c r="C69">
        <v>1</v>
      </c>
      <c r="F69" t="s">
        <v>579</v>
      </c>
      <c r="G69">
        <v>1</v>
      </c>
      <c r="I69">
        <v>0</v>
      </c>
      <c r="J69">
        <f t="shared" si="4"/>
        <v>1</v>
      </c>
      <c r="L69">
        <f>IFERROR(VLOOKUP(A69,'Ajustes profesores'!$G$5:$H$151,2,0),0)</f>
        <v>1</v>
      </c>
      <c r="M69">
        <f t="shared" si="5"/>
        <v>0</v>
      </c>
      <c r="O69">
        <v>0</v>
      </c>
    </row>
    <row r="70" spans="1:15">
      <c r="A70" t="str">
        <f t="shared" si="3"/>
        <v>ESPECIALIZACIÓN EN MEDICINA FAMILIAR Y COMUNITARIA</v>
      </c>
      <c r="B70" t="s">
        <v>119</v>
      </c>
      <c r="C70">
        <v>3</v>
      </c>
      <c r="F70" t="s">
        <v>580</v>
      </c>
      <c r="G70">
        <v>10</v>
      </c>
      <c r="I70">
        <v>0</v>
      </c>
      <c r="J70">
        <f t="shared" si="4"/>
        <v>3</v>
      </c>
      <c r="L70">
        <f>IFERROR(VLOOKUP(A70,'Ajustes profesores'!$G$5:$H$151,2,0),0)</f>
        <v>3</v>
      </c>
      <c r="M70">
        <f t="shared" si="5"/>
        <v>7</v>
      </c>
      <c r="O70">
        <v>0</v>
      </c>
    </row>
    <row r="71" spans="1:15">
      <c r="A71" t="str">
        <f t="shared" si="3"/>
        <v>ESPECIALIZACIÓN EN MEDICINA FÍSICA Y REHABILITACIÓN</v>
      </c>
      <c r="B71" t="s">
        <v>120</v>
      </c>
      <c r="C71">
        <v>1</v>
      </c>
      <c r="F71" t="s">
        <v>581</v>
      </c>
      <c r="G71">
        <v>1</v>
      </c>
      <c r="I71">
        <v>0</v>
      </c>
      <c r="J71">
        <f t="shared" si="4"/>
        <v>1</v>
      </c>
      <c r="L71">
        <f>IFERROR(VLOOKUP(A71,'Ajustes profesores'!$G$5:$H$151,2,0),0)</f>
        <v>1</v>
      </c>
      <c r="M71">
        <f t="shared" si="5"/>
        <v>0</v>
      </c>
      <c r="O71">
        <v>0</v>
      </c>
    </row>
    <row r="72" spans="1:15">
      <c r="A72" t="str">
        <f t="shared" si="3"/>
        <v>ESPECIALIZACIÓN EN MEDICINA INTERNA</v>
      </c>
      <c r="B72" t="s">
        <v>121</v>
      </c>
      <c r="G72">
        <v>0</v>
      </c>
      <c r="I72">
        <v>0</v>
      </c>
      <c r="J72">
        <f t="shared" si="4"/>
        <v>0</v>
      </c>
      <c r="L72">
        <f>IFERROR(VLOOKUP(A72,'Ajustes profesores'!$G$5:$H$151,2,0),0)</f>
        <v>0</v>
      </c>
      <c r="M72">
        <f t="shared" si="5"/>
        <v>0</v>
      </c>
      <c r="O72">
        <v>0</v>
      </c>
    </row>
    <row r="73" spans="1:15">
      <c r="A73" t="str">
        <f t="shared" si="3"/>
        <v>ESPECIALIZACIÓN EN NEUMOLOGÍA</v>
      </c>
      <c r="B73" t="s">
        <v>122</v>
      </c>
      <c r="C73">
        <v>2</v>
      </c>
      <c r="F73" t="s">
        <v>582</v>
      </c>
      <c r="G73">
        <v>2</v>
      </c>
      <c r="I73">
        <v>0</v>
      </c>
      <c r="J73">
        <f t="shared" si="4"/>
        <v>2</v>
      </c>
      <c r="L73">
        <f>IFERROR(VLOOKUP(A73,'Ajustes profesores'!$G$5:$H$151,2,0),0)</f>
        <v>2</v>
      </c>
      <c r="M73">
        <f t="shared" si="5"/>
        <v>0</v>
      </c>
      <c r="O73">
        <v>0</v>
      </c>
    </row>
    <row r="74" spans="1:15">
      <c r="A74" t="str">
        <f t="shared" si="3"/>
        <v>ESPECIALIZACIÓN EN NEUROLOGÍA</v>
      </c>
      <c r="B74" t="s">
        <v>124</v>
      </c>
      <c r="F74" t="s">
        <v>583</v>
      </c>
      <c r="G74">
        <v>2</v>
      </c>
      <c r="I74">
        <v>0</v>
      </c>
      <c r="J74">
        <f t="shared" si="4"/>
        <v>0</v>
      </c>
      <c r="L74">
        <f>IFERROR(VLOOKUP(A74,'Ajustes profesores'!$G$5:$H$151,2,0),0)</f>
        <v>0</v>
      </c>
      <c r="M74">
        <f t="shared" si="5"/>
        <v>2</v>
      </c>
      <c r="O74">
        <v>0</v>
      </c>
    </row>
    <row r="75" spans="1:15">
      <c r="A75" t="str">
        <f t="shared" si="3"/>
        <v>ESPECIALIZACIÓN EN OFTALMOLOGÍA</v>
      </c>
      <c r="B75" t="s">
        <v>125</v>
      </c>
      <c r="F75" t="s">
        <v>584</v>
      </c>
      <c r="G75">
        <v>1</v>
      </c>
      <c r="I75">
        <v>0</v>
      </c>
      <c r="J75">
        <f t="shared" si="4"/>
        <v>0</v>
      </c>
      <c r="L75">
        <f>IFERROR(VLOOKUP(A75,'Ajustes profesores'!$G$5:$H$151,2,0),0)</f>
        <v>0</v>
      </c>
      <c r="M75">
        <f t="shared" si="5"/>
        <v>1</v>
      </c>
      <c r="O75">
        <v>0</v>
      </c>
    </row>
    <row r="76" spans="1:15">
      <c r="A76" t="str">
        <f t="shared" si="3"/>
        <v>ESPECIALIZACIÓN EN PEDIATRÍA</v>
      </c>
      <c r="B76" t="s">
        <v>126</v>
      </c>
      <c r="C76">
        <v>1</v>
      </c>
      <c r="F76" t="s">
        <v>585</v>
      </c>
      <c r="G76">
        <v>2</v>
      </c>
      <c r="I76">
        <v>0</v>
      </c>
      <c r="J76">
        <f t="shared" si="4"/>
        <v>1</v>
      </c>
      <c r="L76">
        <f>IFERROR(VLOOKUP(A76,'Ajustes profesores'!$G$5:$H$151,2,0),0)</f>
        <v>1</v>
      </c>
      <c r="M76">
        <f t="shared" si="5"/>
        <v>1</v>
      </c>
      <c r="O76">
        <v>0</v>
      </c>
    </row>
    <row r="77" spans="1:15">
      <c r="A77" t="str">
        <f t="shared" si="3"/>
        <v>ESPECIALIZACIÓN EN RADIOLOGÍA E IMÁGENES DIAGNÓSTICAS</v>
      </c>
      <c r="B77" t="s">
        <v>127</v>
      </c>
      <c r="F77" t="s">
        <v>586</v>
      </c>
      <c r="G77">
        <v>1</v>
      </c>
      <c r="I77">
        <v>0</v>
      </c>
      <c r="J77">
        <f t="shared" si="4"/>
        <v>0</v>
      </c>
      <c r="L77">
        <f>IFERROR(VLOOKUP(A77,'Ajustes profesores'!$G$5:$H$151,2,0),0)</f>
        <v>0</v>
      </c>
      <c r="M77">
        <f t="shared" si="5"/>
        <v>1</v>
      </c>
      <c r="O77">
        <v>0</v>
      </c>
    </row>
    <row r="78" spans="1:15">
      <c r="A78" t="str">
        <f t="shared" si="3"/>
        <v>ESPECIALIZACIÓN EN REUMATOLOGÍA</v>
      </c>
      <c r="B78" t="s">
        <v>128</v>
      </c>
      <c r="G78">
        <v>0</v>
      </c>
      <c r="I78">
        <v>0</v>
      </c>
      <c r="J78">
        <f t="shared" si="4"/>
        <v>0</v>
      </c>
      <c r="L78">
        <f>IFERROR(VLOOKUP(A78,'Ajustes profesores'!$G$5:$H$151,2,0),0)</f>
        <v>0</v>
      </c>
      <c r="M78">
        <f t="shared" si="5"/>
        <v>0</v>
      </c>
      <c r="O78">
        <v>0</v>
      </c>
    </row>
    <row r="79" spans="1:15">
      <c r="A79" t="str">
        <f t="shared" si="3"/>
        <v>DOCTORADO EN COMUNICACIÓN</v>
      </c>
      <c r="B79" t="s">
        <v>101</v>
      </c>
      <c r="G79">
        <v>0</v>
      </c>
      <c r="I79">
        <v>0</v>
      </c>
      <c r="J79">
        <f t="shared" si="4"/>
        <v>0</v>
      </c>
      <c r="L79">
        <f>IFERROR(VLOOKUP(A79,'Ajustes profesores'!$G$5:$H$151,2,0),0)</f>
        <v>0</v>
      </c>
      <c r="M79">
        <f t="shared" si="5"/>
        <v>0</v>
      </c>
      <c r="O79">
        <v>0</v>
      </c>
    </row>
    <row r="80" spans="1:15">
      <c r="A80" t="str">
        <f t="shared" si="3"/>
        <v>DOCTORADO EN DERECHO</v>
      </c>
      <c r="B80" t="s">
        <v>102</v>
      </c>
      <c r="F80" t="s">
        <v>102</v>
      </c>
      <c r="G80">
        <v>1</v>
      </c>
      <c r="I80">
        <v>0</v>
      </c>
      <c r="J80">
        <f t="shared" si="4"/>
        <v>0</v>
      </c>
      <c r="L80">
        <f>IFERROR(VLOOKUP(A80,'Ajustes profesores'!$G$5:$H$151,2,0),0)</f>
        <v>0</v>
      </c>
      <c r="M80">
        <f t="shared" si="5"/>
        <v>1</v>
      </c>
      <c r="O80">
        <v>0</v>
      </c>
    </row>
    <row r="81" spans="1:15">
      <c r="A81" t="str">
        <f t="shared" si="3"/>
        <v>DOCTORADO EN EDUCACIÓN</v>
      </c>
      <c r="B81" t="s">
        <v>103</v>
      </c>
      <c r="G81">
        <v>0</v>
      </c>
      <c r="I81">
        <v>0</v>
      </c>
      <c r="J81">
        <f t="shared" si="4"/>
        <v>0</v>
      </c>
      <c r="L81">
        <f>IFERROR(VLOOKUP(A81,'Ajustes profesores'!$G$5:$H$151,2,0),0)</f>
        <v>0</v>
      </c>
      <c r="M81">
        <f t="shared" si="5"/>
        <v>0</v>
      </c>
      <c r="O81">
        <v>0</v>
      </c>
    </row>
    <row r="82" spans="1:15">
      <c r="A82" t="str">
        <f t="shared" si="3"/>
        <v>DOCTORADO EN ENFERMERÍA</v>
      </c>
      <c r="B82" t="s">
        <v>104</v>
      </c>
      <c r="C82">
        <v>2</v>
      </c>
      <c r="F82" t="s">
        <v>587</v>
      </c>
      <c r="G82">
        <v>2</v>
      </c>
      <c r="I82">
        <v>0</v>
      </c>
      <c r="J82">
        <f t="shared" si="4"/>
        <v>2</v>
      </c>
      <c r="L82">
        <f>IFERROR(VLOOKUP(A82,'Ajustes profesores'!$G$5:$H$151,2,0),0)</f>
        <v>2</v>
      </c>
      <c r="M82">
        <f t="shared" si="5"/>
        <v>0</v>
      </c>
      <c r="O82">
        <v>0</v>
      </c>
    </row>
    <row r="83" spans="1:15">
      <c r="A83" t="str">
        <f t="shared" si="3"/>
        <v>ESPECIALIZACIÓN EN GERENCIA DE LA COMUNICACIÓN ORGANIZACIONAL</v>
      </c>
      <c r="B83" t="s">
        <v>135</v>
      </c>
      <c r="C83">
        <v>1</v>
      </c>
      <c r="F83" t="s">
        <v>588</v>
      </c>
      <c r="G83">
        <v>3</v>
      </c>
      <c r="I83">
        <v>0</v>
      </c>
      <c r="J83">
        <f t="shared" si="4"/>
        <v>1</v>
      </c>
      <c r="L83">
        <f>IFERROR(VLOOKUP(A83,'Ajustes profesores'!$G$5:$H$151,2,0),0)</f>
        <v>1</v>
      </c>
      <c r="M83">
        <f t="shared" si="5"/>
        <v>2</v>
      </c>
      <c r="O83">
        <v>0</v>
      </c>
    </row>
    <row r="84" spans="1:15">
      <c r="A84" t="str">
        <f t="shared" si="3"/>
        <v>ESPECIALIZACIÓN EN CONTRATACIÓN ESTATAL</v>
      </c>
      <c r="B84" t="s">
        <v>129</v>
      </c>
      <c r="C84">
        <v>3</v>
      </c>
      <c r="F84" t="s">
        <v>589</v>
      </c>
      <c r="G84">
        <v>8</v>
      </c>
      <c r="I84">
        <v>0</v>
      </c>
      <c r="J84">
        <f t="shared" si="4"/>
        <v>3</v>
      </c>
      <c r="L84">
        <f>IFERROR(VLOOKUP(A84,'Ajustes profesores'!$G$5:$H$151,2,0),0)</f>
        <v>3</v>
      </c>
      <c r="M84">
        <f t="shared" si="5"/>
        <v>5</v>
      </c>
      <c r="O84">
        <v>0</v>
      </c>
    </row>
    <row r="85" spans="1:15">
      <c r="A85" t="str">
        <f t="shared" si="3"/>
        <v>ESPECIALIZACIÓN EN DERECHO COMERCIAL</v>
      </c>
      <c r="B85" t="s">
        <v>130</v>
      </c>
      <c r="F85" t="s">
        <v>590</v>
      </c>
      <c r="G85">
        <v>2</v>
      </c>
      <c r="I85">
        <v>0</v>
      </c>
      <c r="J85">
        <f t="shared" si="4"/>
        <v>0</v>
      </c>
      <c r="L85">
        <f>IFERROR(VLOOKUP(A85,'Ajustes profesores'!$G$5:$H$151,2,0),0)</f>
        <v>0</v>
      </c>
      <c r="M85">
        <f t="shared" si="5"/>
        <v>2</v>
      </c>
      <c r="O85">
        <v>0</v>
      </c>
    </row>
    <row r="86" spans="1:15">
      <c r="A86" t="str">
        <f t="shared" si="3"/>
        <v>ESPECIALIZACIÓN EN DERECHO TRIBUTARIO</v>
      </c>
      <c r="B86" t="s">
        <v>131</v>
      </c>
      <c r="C86">
        <v>7</v>
      </c>
      <c r="F86" t="s">
        <v>591</v>
      </c>
      <c r="G86">
        <v>16</v>
      </c>
      <c r="I86">
        <v>0</v>
      </c>
      <c r="J86">
        <f t="shared" si="4"/>
        <v>7</v>
      </c>
      <c r="L86">
        <f>IFERROR(VLOOKUP(A86,'Ajustes profesores'!$G$5:$H$151,2,0),0)</f>
        <v>7</v>
      </c>
      <c r="M86">
        <f t="shared" si="5"/>
        <v>9</v>
      </c>
      <c r="O86">
        <v>0</v>
      </c>
    </row>
    <row r="87" spans="1:15">
      <c r="A87" t="str">
        <f t="shared" si="3"/>
        <v>ESPECIALIZACIÓN EN DERECHO Y EMPRESA</v>
      </c>
      <c r="B87" t="s">
        <v>132</v>
      </c>
      <c r="C87">
        <v>3</v>
      </c>
      <c r="F87" t="s">
        <v>592</v>
      </c>
      <c r="G87">
        <v>5</v>
      </c>
      <c r="I87">
        <v>0</v>
      </c>
      <c r="J87">
        <f t="shared" si="4"/>
        <v>3</v>
      </c>
      <c r="L87">
        <f>IFERROR(VLOOKUP(A87,'Ajustes profesores'!$G$5:$H$151,2,0),0)</f>
        <v>3</v>
      </c>
      <c r="M87">
        <f t="shared" si="5"/>
        <v>2</v>
      </c>
      <c r="O87">
        <v>0</v>
      </c>
    </row>
    <row r="88" spans="1:15">
      <c r="A88" t="str">
        <f t="shared" si="3"/>
        <v>ESPECIALIZACIÓN EN RESPONSABILIDAD CIVIL Y DEL ESTADO</v>
      </c>
      <c r="B88" t="s">
        <v>133</v>
      </c>
      <c r="C88">
        <v>3</v>
      </c>
      <c r="F88" t="s">
        <v>593</v>
      </c>
      <c r="G88">
        <v>7</v>
      </c>
      <c r="I88">
        <v>0</v>
      </c>
      <c r="J88">
        <f t="shared" si="4"/>
        <v>3</v>
      </c>
      <c r="L88">
        <f>IFERROR(VLOOKUP(A88,'Ajustes profesores'!$G$5:$H$151,2,0),0)</f>
        <v>3</v>
      </c>
      <c r="M88">
        <f t="shared" si="5"/>
        <v>4</v>
      </c>
      <c r="O88">
        <v>0</v>
      </c>
    </row>
    <row r="89" spans="1:15">
      <c r="A89" t="str">
        <f t="shared" si="3"/>
        <v>ESPECIALIZACIÓN EN SEGUROS Y SEGURIDAD SOCIAL</v>
      </c>
      <c r="B89" t="s">
        <v>134</v>
      </c>
      <c r="C89">
        <v>3</v>
      </c>
      <c r="F89" t="s">
        <v>594</v>
      </c>
      <c r="G89">
        <v>19</v>
      </c>
      <c r="I89">
        <v>1</v>
      </c>
      <c r="J89">
        <f t="shared" si="4"/>
        <v>4</v>
      </c>
      <c r="L89">
        <f>IFERROR(VLOOKUP(A89,'Ajustes profesores'!$G$5:$H$151,2,0),0)</f>
        <v>4</v>
      </c>
      <c r="M89">
        <f t="shared" si="5"/>
        <v>15</v>
      </c>
      <c r="O89">
        <v>1</v>
      </c>
    </row>
    <row r="90" spans="1:15">
      <c r="A90" t="str">
        <f t="shared" si="3"/>
        <v>ESPECIALIZACIÓN EN GERENCIA EDUCATIVA</v>
      </c>
      <c r="B90" t="s">
        <v>136</v>
      </c>
      <c r="F90" t="s">
        <v>595</v>
      </c>
      <c r="G90">
        <v>2</v>
      </c>
      <c r="I90">
        <v>0</v>
      </c>
      <c r="J90">
        <f t="shared" si="4"/>
        <v>0</v>
      </c>
      <c r="L90">
        <f>IFERROR(VLOOKUP(A90,'Ajustes profesores'!$G$5:$H$151,2,0),0)</f>
        <v>0</v>
      </c>
      <c r="M90">
        <f t="shared" si="5"/>
        <v>2</v>
      </c>
      <c r="O90">
        <v>0</v>
      </c>
    </row>
    <row r="91" spans="1:15">
      <c r="A91" t="str">
        <f t="shared" si="3"/>
        <v>ESPECIALIZACIÓN EN ENFERMERÍA EN CUIDADO CRÍTICO</v>
      </c>
      <c r="B91" t="s">
        <v>153</v>
      </c>
      <c r="C91">
        <v>5</v>
      </c>
      <c r="F91" t="s">
        <v>596</v>
      </c>
      <c r="G91">
        <v>6</v>
      </c>
      <c r="I91">
        <v>0</v>
      </c>
      <c r="J91">
        <f t="shared" si="4"/>
        <v>5</v>
      </c>
      <c r="L91">
        <f>IFERROR(VLOOKUP(A91,'Ajustes profesores'!$G$5:$H$151,2,0),0)</f>
        <v>5</v>
      </c>
      <c r="M91">
        <f t="shared" si="5"/>
        <v>1</v>
      </c>
      <c r="O91">
        <v>0</v>
      </c>
    </row>
    <row r="92" spans="1:15">
      <c r="A92" t="str">
        <f t="shared" si="3"/>
        <v>ESPECIALIZACIÓN EN TERAPIA MANUAL ORTOPÉDICA</v>
      </c>
      <c r="B92" t="s">
        <v>154</v>
      </c>
      <c r="C92">
        <v>3</v>
      </c>
      <c r="F92" t="s">
        <v>597</v>
      </c>
      <c r="G92">
        <v>3</v>
      </c>
      <c r="I92">
        <v>0</v>
      </c>
      <c r="J92">
        <f t="shared" si="4"/>
        <v>3</v>
      </c>
      <c r="L92">
        <f>IFERROR(VLOOKUP(A92,'Ajustes profesores'!$G$5:$H$151,2,0),0)</f>
        <v>3</v>
      </c>
      <c r="M92">
        <f t="shared" si="5"/>
        <v>0</v>
      </c>
      <c r="O92">
        <v>0</v>
      </c>
    </row>
    <row r="93" spans="1:15">
      <c r="A93" t="str">
        <f t="shared" ref="A93:A128" si="6">B93</f>
        <v>ESPECIALIZACIÓN EN BIOÉTICA</v>
      </c>
      <c r="B93" t="s">
        <v>598</v>
      </c>
      <c r="G93">
        <v>0</v>
      </c>
      <c r="I93">
        <v>0</v>
      </c>
      <c r="J93">
        <f t="shared" si="4"/>
        <v>0</v>
      </c>
      <c r="L93">
        <f>IFERROR(VLOOKUP(A93,'Ajustes profesores'!$G$5:$H$151,2,0),0)</f>
        <v>0</v>
      </c>
      <c r="M93">
        <f t="shared" si="5"/>
        <v>0</v>
      </c>
      <c r="O93">
        <v>0</v>
      </c>
    </row>
    <row r="94" spans="1:15">
      <c r="A94" t="str">
        <f t="shared" si="6"/>
        <v>ESPECIALIZACIÓN EN PSICOLOGÍA CLÍNICA DE LA NIÑEZ Y LA ADOLESCENCIA</v>
      </c>
      <c r="B94" t="s">
        <v>151</v>
      </c>
      <c r="C94">
        <v>9</v>
      </c>
      <c r="F94" t="s">
        <v>599</v>
      </c>
      <c r="G94">
        <v>9</v>
      </c>
      <c r="I94">
        <v>0</v>
      </c>
      <c r="J94">
        <f t="shared" si="4"/>
        <v>9</v>
      </c>
      <c r="L94">
        <f>IFERROR(VLOOKUP(A94,'Ajustes profesores'!$G$5:$H$151,2,0),0)</f>
        <v>9</v>
      </c>
      <c r="M94">
        <f t="shared" si="5"/>
        <v>0</v>
      </c>
      <c r="O94">
        <v>0</v>
      </c>
    </row>
    <row r="95" spans="1:15">
      <c r="A95" t="str">
        <f t="shared" si="6"/>
        <v>ESPECIALIZACIÓN EN PSICOLOGÍA EDUCATIVA</v>
      </c>
      <c r="B95" t="s">
        <v>152</v>
      </c>
      <c r="C95">
        <v>3</v>
      </c>
      <c r="F95" t="s">
        <v>508</v>
      </c>
      <c r="G95">
        <v>3</v>
      </c>
      <c r="I95">
        <v>0</v>
      </c>
      <c r="J95">
        <f t="shared" si="4"/>
        <v>3</v>
      </c>
      <c r="L95">
        <f>IFERROR(VLOOKUP(A95,'Ajustes profesores'!$G$5:$H$151,2,0),0)</f>
        <v>3</v>
      </c>
      <c r="M95">
        <f t="shared" si="5"/>
        <v>0</v>
      </c>
      <c r="O95">
        <v>0</v>
      </c>
    </row>
    <row r="96" spans="1:15">
      <c r="A96" t="str">
        <f t="shared" si="6"/>
        <v>ESPECIALIZACIÓN EN FINANZAS CORPORATIVAS CHÍA</v>
      </c>
      <c r="B96" t="s">
        <v>139</v>
      </c>
      <c r="C96">
        <v>6</v>
      </c>
      <c r="F96" t="s">
        <v>600</v>
      </c>
      <c r="G96">
        <v>6</v>
      </c>
      <c r="I96">
        <v>0</v>
      </c>
      <c r="J96">
        <f t="shared" si="4"/>
        <v>6</v>
      </c>
      <c r="L96">
        <f>IFERROR(VLOOKUP(A96,'Ajustes profesores'!$G$5:$H$151,2,0),0)</f>
        <v>6</v>
      </c>
      <c r="M96">
        <f t="shared" si="5"/>
        <v>0</v>
      </c>
      <c r="O96">
        <v>0</v>
      </c>
    </row>
    <row r="97" spans="1:15">
      <c r="A97" t="str">
        <f t="shared" si="6"/>
        <v>ESPECIALIZACIÓN EN GERENCIA COMERCIAL CHÍA</v>
      </c>
      <c r="B97" t="s">
        <v>140</v>
      </c>
      <c r="C97">
        <v>4</v>
      </c>
      <c r="F97" t="s">
        <v>601</v>
      </c>
      <c r="G97">
        <v>4</v>
      </c>
      <c r="I97">
        <v>0</v>
      </c>
      <c r="J97">
        <f t="shared" si="4"/>
        <v>4</v>
      </c>
      <c r="L97">
        <f>IFERROR(VLOOKUP(A97,'Ajustes profesores'!$G$5:$H$151,2,0),0)</f>
        <v>4</v>
      </c>
      <c r="M97">
        <f t="shared" si="5"/>
        <v>0</v>
      </c>
      <c r="O97">
        <v>0</v>
      </c>
    </row>
    <row r="98" spans="1:15">
      <c r="A98" t="str">
        <f t="shared" si="6"/>
        <v>ESPECIALIZACIÓN EN GERENCIA DE PRODUCCIÓN Y OPERACIONES CHÍA</v>
      </c>
      <c r="B98" t="s">
        <v>141</v>
      </c>
      <c r="C98">
        <v>1</v>
      </c>
      <c r="F98" t="s">
        <v>602</v>
      </c>
      <c r="G98">
        <v>2</v>
      </c>
      <c r="I98">
        <v>0</v>
      </c>
      <c r="J98">
        <f t="shared" si="4"/>
        <v>1</v>
      </c>
      <c r="L98">
        <f>IFERROR(VLOOKUP(A98,'Ajustes profesores'!$G$5:$H$151,2,0),0)</f>
        <v>1</v>
      </c>
      <c r="M98">
        <f t="shared" si="5"/>
        <v>1</v>
      </c>
      <c r="O98">
        <v>0</v>
      </c>
    </row>
    <row r="99" spans="1:15">
      <c r="A99" t="str">
        <f t="shared" si="6"/>
        <v>ESPECIALIZACIÓN EN GERENCIA DE PROYECTOS CON ENFOQUE EN HABILIDADES DIRECTIVAS CHÍA</v>
      </c>
      <c r="B99" t="s">
        <v>142</v>
      </c>
      <c r="C99">
        <v>2</v>
      </c>
      <c r="F99" t="s">
        <v>603</v>
      </c>
      <c r="G99">
        <v>3</v>
      </c>
      <c r="I99">
        <v>0</v>
      </c>
      <c r="J99">
        <f t="shared" si="4"/>
        <v>2</v>
      </c>
      <c r="L99">
        <f>IFERROR(VLOOKUP(A99,'Ajustes profesores'!$G$5:$H$151,2,0),0)</f>
        <v>2</v>
      </c>
      <c r="M99">
        <f t="shared" si="5"/>
        <v>1</v>
      </c>
      <c r="O99">
        <v>0</v>
      </c>
    </row>
    <row r="100" spans="1:15">
      <c r="A100" t="str">
        <f t="shared" si="6"/>
        <v>ESPECIALIZACIÓN EN GERENCIA DEL SERVICIO CHÍA</v>
      </c>
      <c r="B100" t="s">
        <v>144</v>
      </c>
      <c r="C100">
        <v>7</v>
      </c>
      <c r="F100" t="s">
        <v>604</v>
      </c>
      <c r="G100">
        <v>14</v>
      </c>
      <c r="I100">
        <v>3</v>
      </c>
      <c r="J100">
        <f t="shared" si="4"/>
        <v>10</v>
      </c>
      <c r="L100">
        <f>IFERROR(VLOOKUP(A100,'Ajustes profesores'!$G$5:$H$151,2,0),0)</f>
        <v>10</v>
      </c>
      <c r="M100">
        <f t="shared" si="5"/>
        <v>4</v>
      </c>
      <c r="O100">
        <v>3</v>
      </c>
    </row>
    <row r="101" spans="1:15">
      <c r="A101" t="str">
        <f t="shared" si="6"/>
        <v>ESPECIALIZACIÓN EN GERENCIA ESTRATÉGICA CHÍA</v>
      </c>
      <c r="B101" t="s">
        <v>145</v>
      </c>
      <c r="C101">
        <v>4</v>
      </c>
      <c r="F101" t="s">
        <v>605</v>
      </c>
      <c r="G101">
        <v>8</v>
      </c>
      <c r="I101" s="81">
        <v>4</v>
      </c>
      <c r="J101">
        <f t="shared" si="4"/>
        <v>8</v>
      </c>
      <c r="L101">
        <f>IFERROR(VLOOKUP(A101,'Ajustes profesores'!$G$5:$H$151,2,0),0)</f>
        <v>8</v>
      </c>
      <c r="M101">
        <f t="shared" si="5"/>
        <v>0</v>
      </c>
      <c r="O101">
        <v>4</v>
      </c>
    </row>
    <row r="102" spans="1:15">
      <c r="A102" t="str">
        <f t="shared" si="6"/>
        <v>ESPECIALIZACIÓN EN GERENCIA ESTRATÉGICA DE MARCA CHÍA</v>
      </c>
      <c r="B102" t="s">
        <v>146</v>
      </c>
      <c r="C102">
        <v>2</v>
      </c>
      <c r="F102" t="s">
        <v>606</v>
      </c>
      <c r="G102">
        <v>4</v>
      </c>
      <c r="I102" s="81">
        <v>1</v>
      </c>
      <c r="J102">
        <f t="shared" si="4"/>
        <v>3</v>
      </c>
      <c r="L102">
        <f>IFERROR(VLOOKUP(A102,'Ajustes profesores'!$G$5:$H$151,2,0),0)</f>
        <v>3</v>
      </c>
      <c r="M102">
        <f t="shared" si="5"/>
        <v>1</v>
      </c>
      <c r="O102">
        <v>1</v>
      </c>
    </row>
    <row r="103" spans="1:15">
      <c r="A103" t="str">
        <f t="shared" si="6"/>
        <v>ESPECIALIZACIÓN EN GERENCIA FINANCIERA INTERNACIONAL CHÍA</v>
      </c>
      <c r="B103" t="s">
        <v>147</v>
      </c>
      <c r="C103">
        <v>2</v>
      </c>
      <c r="F103" t="s">
        <v>607</v>
      </c>
      <c r="G103">
        <v>3</v>
      </c>
      <c r="I103">
        <v>0</v>
      </c>
      <c r="J103">
        <f t="shared" si="4"/>
        <v>2</v>
      </c>
      <c r="L103">
        <f>IFERROR(VLOOKUP(A103,'Ajustes profesores'!$G$5:$H$151,2,0),0)</f>
        <v>2</v>
      </c>
      <c r="M103">
        <f t="shared" si="5"/>
        <v>1</v>
      </c>
      <c r="O103">
        <v>0</v>
      </c>
    </row>
    <row r="104" spans="1:15">
      <c r="A104" t="str">
        <f t="shared" si="6"/>
        <v>ESPECIALIZACIÓN EN GERENCIA LOGÍSTICA CHÍA</v>
      </c>
      <c r="B104" t="s">
        <v>148</v>
      </c>
      <c r="F104" t="s">
        <v>608</v>
      </c>
      <c r="G104">
        <v>2</v>
      </c>
      <c r="I104">
        <v>0</v>
      </c>
      <c r="J104">
        <f t="shared" si="4"/>
        <v>0</v>
      </c>
      <c r="L104">
        <f>IFERROR(VLOOKUP(A104,'Ajustes profesores'!$G$5:$H$151,2,0),0)</f>
        <v>0</v>
      </c>
      <c r="M104">
        <f t="shared" si="5"/>
        <v>2</v>
      </c>
      <c r="O104">
        <v>0</v>
      </c>
    </row>
    <row r="105" spans="1:15">
      <c r="A105" t="str">
        <f t="shared" si="6"/>
        <v>ESPECIALIZACIÓN EN GESTIÓN PARA EL DESARROLLO HUMANO EN LA ORGANIZACIÓN CHÍA</v>
      </c>
      <c r="B105" t="s">
        <v>149</v>
      </c>
      <c r="C105">
        <v>2</v>
      </c>
      <c r="F105" t="s">
        <v>609</v>
      </c>
      <c r="G105">
        <v>6</v>
      </c>
      <c r="I105">
        <v>0</v>
      </c>
      <c r="J105">
        <f t="shared" si="4"/>
        <v>2</v>
      </c>
      <c r="L105">
        <f>IFERROR(VLOOKUP(A105,'Ajustes profesores'!$G$5:$H$151,2,0),0)</f>
        <v>2</v>
      </c>
      <c r="M105">
        <f t="shared" si="5"/>
        <v>4</v>
      </c>
      <c r="O105">
        <v>0</v>
      </c>
    </row>
    <row r="106" spans="1:15">
      <c r="A106" t="str">
        <f t="shared" si="6"/>
        <v>ESPECIALIZACIÓN EN DESARROLLO PERSONAL Y FAMILIAR</v>
      </c>
      <c r="B106" t="s">
        <v>517</v>
      </c>
      <c r="G106">
        <v>0</v>
      </c>
      <c r="I106">
        <v>0</v>
      </c>
      <c r="J106">
        <f t="shared" si="4"/>
        <v>0</v>
      </c>
      <c r="L106">
        <f>IFERROR(VLOOKUP(A106,'Ajustes profesores'!$G$5:$H$151,2,0),0)</f>
        <v>0</v>
      </c>
      <c r="M106">
        <f t="shared" si="5"/>
        <v>0</v>
      </c>
      <c r="O106">
        <v>0</v>
      </c>
    </row>
    <row r="107" spans="1:15">
      <c r="A107" t="str">
        <f t="shared" si="6"/>
        <v>ESPECIALIZACIÓN EN PEDAGOGÍA E INVESTIGACIÓN EN EL AULA</v>
      </c>
      <c r="B107" t="s">
        <v>405</v>
      </c>
      <c r="F107" t="s">
        <v>610</v>
      </c>
      <c r="G107">
        <v>0</v>
      </c>
      <c r="I107">
        <v>0</v>
      </c>
      <c r="J107">
        <f t="shared" si="4"/>
        <v>0</v>
      </c>
      <c r="L107">
        <f>IFERROR(VLOOKUP(A107,'Ajustes profesores'!$G$5:$H$151,2,0),0)</f>
        <v>0</v>
      </c>
      <c r="M107">
        <f t="shared" si="5"/>
        <v>0</v>
      </c>
      <c r="O107">
        <v>0</v>
      </c>
    </row>
    <row r="108" spans="1:15">
      <c r="A108" t="str">
        <f t="shared" si="6"/>
        <v>ESPECIALIZACIÓN EN CONTRATACIÓN ESTATAL - IBAGUÉ</v>
      </c>
      <c r="B108" t="s">
        <v>176</v>
      </c>
      <c r="C108">
        <v>2</v>
      </c>
      <c r="F108" t="s">
        <v>611</v>
      </c>
      <c r="G108">
        <v>5</v>
      </c>
      <c r="I108">
        <v>0</v>
      </c>
      <c r="J108">
        <f t="shared" si="4"/>
        <v>2</v>
      </c>
      <c r="L108">
        <f>IFERROR(VLOOKUP(A108,'Ajustes profesores'!$G$5:$H$151,2,0),0)</f>
        <v>2</v>
      </c>
      <c r="M108">
        <f t="shared" si="5"/>
        <v>3</v>
      </c>
      <c r="O108">
        <v>0</v>
      </c>
    </row>
    <row r="109" spans="1:15">
      <c r="A109" t="str">
        <f t="shared" si="6"/>
        <v>ESPECIALIZACIÓN EN CONTRATACIÓN ESTATAL - NEIVA</v>
      </c>
      <c r="B109" t="s">
        <v>177</v>
      </c>
      <c r="C109">
        <v>3</v>
      </c>
      <c r="F109" t="s">
        <v>612</v>
      </c>
      <c r="G109">
        <v>9</v>
      </c>
      <c r="I109">
        <v>0</v>
      </c>
      <c r="J109">
        <f t="shared" si="4"/>
        <v>3</v>
      </c>
      <c r="L109">
        <f>IFERROR(VLOOKUP(A109,'Ajustes profesores'!$G$5:$H$151,2,0),0)</f>
        <v>3</v>
      </c>
      <c r="M109">
        <f t="shared" si="5"/>
        <v>6</v>
      </c>
      <c r="O109">
        <v>0</v>
      </c>
    </row>
    <row r="110" spans="1:15">
      <c r="A110" t="str">
        <f t="shared" si="6"/>
        <v>ESPECIALIZACIÓN EN GERENCIA COMERCIAL BARRANQUILLA</v>
      </c>
      <c r="B110" t="s">
        <v>167</v>
      </c>
      <c r="C110">
        <v>2</v>
      </c>
      <c r="F110" t="s">
        <v>613</v>
      </c>
      <c r="G110">
        <v>3</v>
      </c>
      <c r="I110">
        <v>1</v>
      </c>
      <c r="J110">
        <f t="shared" si="4"/>
        <v>3</v>
      </c>
      <c r="L110">
        <f>IFERROR(VLOOKUP(A110,'Ajustes profesores'!$G$5:$H$151,2,0),0)</f>
        <v>3</v>
      </c>
      <c r="M110">
        <f t="shared" si="5"/>
        <v>0</v>
      </c>
      <c r="O110">
        <v>1</v>
      </c>
    </row>
    <row r="111" spans="1:15">
      <c r="A111" t="str">
        <f t="shared" si="6"/>
        <v>ESPECIALIZACIÓN EN GERENCIA COMERCIAL BUCARAMANGA</v>
      </c>
      <c r="B111" t="s">
        <v>168</v>
      </c>
      <c r="C111">
        <v>3</v>
      </c>
      <c r="F111" t="s">
        <v>614</v>
      </c>
      <c r="G111">
        <v>3</v>
      </c>
      <c r="I111">
        <v>0</v>
      </c>
      <c r="J111">
        <f t="shared" si="4"/>
        <v>3</v>
      </c>
      <c r="L111">
        <f>IFERROR(VLOOKUP(A111,'Ajustes profesores'!$G$5:$H$151,2,0),0)</f>
        <v>3</v>
      </c>
      <c r="M111">
        <f t="shared" si="5"/>
        <v>0</v>
      </c>
      <c r="O111">
        <v>0</v>
      </c>
    </row>
    <row r="112" spans="1:15">
      <c r="A112" t="str">
        <f t="shared" si="6"/>
        <v>ESPECIALIZACIÓN EN GERENCIA COMERCIAL IBAGUÉ</v>
      </c>
      <c r="B112" t="s">
        <v>165</v>
      </c>
      <c r="F112" t="s">
        <v>615</v>
      </c>
      <c r="G112">
        <v>3</v>
      </c>
      <c r="I112">
        <v>0</v>
      </c>
      <c r="J112">
        <f t="shared" si="4"/>
        <v>0</v>
      </c>
      <c r="L112">
        <f>IFERROR(VLOOKUP(A112,'Ajustes profesores'!$G$5:$H$151,2,0),0)</f>
        <v>0</v>
      </c>
      <c r="M112">
        <f t="shared" si="5"/>
        <v>3</v>
      </c>
      <c r="O112">
        <v>0</v>
      </c>
    </row>
    <row r="113" spans="1:15">
      <c r="A113" t="str">
        <f t="shared" si="6"/>
        <v>ESPECIALIZACIÓN EN GERENCIA COMERCIAL MEDELLÍN</v>
      </c>
      <c r="B113" t="s">
        <v>166</v>
      </c>
      <c r="C113">
        <v>3</v>
      </c>
      <c r="F113" t="s">
        <v>616</v>
      </c>
      <c r="G113">
        <v>3</v>
      </c>
      <c r="I113">
        <v>0</v>
      </c>
      <c r="J113">
        <f t="shared" si="4"/>
        <v>3</v>
      </c>
      <c r="L113">
        <f>IFERROR(VLOOKUP(A113,'Ajustes profesores'!$G$5:$H$151,2,0),0)</f>
        <v>3</v>
      </c>
      <c r="M113">
        <f t="shared" si="5"/>
        <v>0</v>
      </c>
      <c r="O113">
        <v>0</v>
      </c>
    </row>
    <row r="114" spans="1:15">
      <c r="A114" t="str">
        <f t="shared" si="6"/>
        <v>ESPECIALIZACIÓN EN GERENCIA COMERCIAL VILLAVICENCIO</v>
      </c>
      <c r="B114" t="s">
        <v>520</v>
      </c>
      <c r="G114">
        <v>0</v>
      </c>
      <c r="I114">
        <v>0</v>
      </c>
      <c r="J114">
        <f t="shared" si="4"/>
        <v>0</v>
      </c>
      <c r="L114">
        <f>IFERROR(VLOOKUP(A114,'Ajustes profesores'!$G$5:$H$151,2,0),0)</f>
        <v>0</v>
      </c>
      <c r="M114">
        <f t="shared" si="5"/>
        <v>0</v>
      </c>
      <c r="O114">
        <v>0</v>
      </c>
    </row>
    <row r="115" spans="1:15">
      <c r="A115" t="str">
        <f t="shared" si="6"/>
        <v>ESPECIALIZACIÓN EN GERENCIA ESTRATÉGICA BARRANQUILLA</v>
      </c>
      <c r="B115" t="s">
        <v>169</v>
      </c>
      <c r="C115">
        <v>2</v>
      </c>
      <c r="F115" t="s">
        <v>617</v>
      </c>
      <c r="G115">
        <v>6</v>
      </c>
      <c r="I115" s="81">
        <v>4</v>
      </c>
      <c r="J115">
        <f t="shared" si="4"/>
        <v>6</v>
      </c>
      <c r="L115">
        <f>IFERROR(VLOOKUP(A115,'Ajustes profesores'!$G$5:$H$151,2,0),0)</f>
        <v>6</v>
      </c>
      <c r="M115">
        <f t="shared" si="5"/>
        <v>0</v>
      </c>
      <c r="O115">
        <v>4</v>
      </c>
    </row>
    <row r="116" spans="1:15">
      <c r="A116" t="str">
        <f t="shared" si="6"/>
        <v>ESPECIALIZACIÓN EN GERENCIA ESTRATÉGICA BUCARAMANGA</v>
      </c>
      <c r="B116" t="s">
        <v>170</v>
      </c>
      <c r="C116">
        <v>1</v>
      </c>
      <c r="F116" t="s">
        <v>618</v>
      </c>
      <c r="G116">
        <v>6</v>
      </c>
      <c r="I116" s="81">
        <v>5</v>
      </c>
      <c r="J116">
        <f t="shared" si="4"/>
        <v>6</v>
      </c>
      <c r="L116">
        <f>IFERROR(VLOOKUP(A116,'Ajustes profesores'!$G$5:$H$151,2,0),0)</f>
        <v>6</v>
      </c>
      <c r="M116">
        <f t="shared" si="5"/>
        <v>0</v>
      </c>
      <c r="O116">
        <v>5</v>
      </c>
    </row>
    <row r="117" spans="1:15">
      <c r="A117" t="str">
        <f t="shared" si="6"/>
        <v>ESPECIALIZACIÓN EN GERENCIA ESTRATÉGICA IBAGUÉ</v>
      </c>
      <c r="B117" t="s">
        <v>173</v>
      </c>
      <c r="C117">
        <v>3</v>
      </c>
      <c r="F117" t="s">
        <v>619</v>
      </c>
      <c r="G117">
        <v>6</v>
      </c>
      <c r="I117" s="81">
        <v>3</v>
      </c>
      <c r="J117">
        <f t="shared" si="4"/>
        <v>6</v>
      </c>
      <c r="L117">
        <f>IFERROR(VLOOKUP(A117,'Ajustes profesores'!$G$5:$H$151,2,0),0)</f>
        <v>6</v>
      </c>
      <c r="M117">
        <f t="shared" si="5"/>
        <v>0</v>
      </c>
      <c r="O117">
        <v>3</v>
      </c>
    </row>
    <row r="118" spans="1:15">
      <c r="A118" t="str">
        <f t="shared" si="6"/>
        <v>ESPECIALIZACIÓN EN GERENCIA ESTRATÉGICA MEDELLÍN</v>
      </c>
      <c r="B118" t="s">
        <v>174</v>
      </c>
      <c r="C118">
        <v>1</v>
      </c>
      <c r="F118" t="s">
        <v>620</v>
      </c>
      <c r="G118">
        <v>6</v>
      </c>
      <c r="I118" s="81">
        <v>5</v>
      </c>
      <c r="J118">
        <f t="shared" si="4"/>
        <v>6</v>
      </c>
      <c r="L118">
        <f>IFERROR(VLOOKUP(A118,'Ajustes profesores'!$G$5:$H$151,2,0),0)</f>
        <v>6</v>
      </c>
      <c r="M118">
        <f t="shared" si="5"/>
        <v>0</v>
      </c>
      <c r="O118">
        <v>5</v>
      </c>
    </row>
    <row r="119" spans="1:15">
      <c r="A119" t="str">
        <f t="shared" si="6"/>
        <v>ESPECIALIZACIÓN EN GERENCIA ESTRATÉGICA VILLAVICENCIO</v>
      </c>
      <c r="B119" t="s">
        <v>175</v>
      </c>
      <c r="C119">
        <v>2</v>
      </c>
      <c r="F119" t="s">
        <v>621</v>
      </c>
      <c r="G119">
        <v>6</v>
      </c>
      <c r="I119" s="81">
        <v>4</v>
      </c>
      <c r="J119">
        <f t="shared" si="4"/>
        <v>6</v>
      </c>
      <c r="L119">
        <f>IFERROR(VLOOKUP(A119,'Ajustes profesores'!$G$5:$H$151,2,0),0)</f>
        <v>6</v>
      </c>
      <c r="M119">
        <f t="shared" si="5"/>
        <v>0</v>
      </c>
      <c r="O119">
        <v>4</v>
      </c>
    </row>
    <row r="120" spans="1:15">
      <c r="A120" t="str">
        <f t="shared" si="6"/>
        <v>ESPECIALIZACIÓN EN GERENCIA LOGÍSTICA BARRANQUILLA</v>
      </c>
      <c r="B120" t="s">
        <v>523</v>
      </c>
      <c r="G120">
        <v>0</v>
      </c>
      <c r="I120">
        <v>0</v>
      </c>
      <c r="J120">
        <f t="shared" si="4"/>
        <v>0</v>
      </c>
      <c r="L120">
        <f>IFERROR(VLOOKUP(A120,'Ajustes profesores'!$G$5:$H$151,2,0),0)</f>
        <v>0</v>
      </c>
      <c r="M120">
        <f t="shared" si="5"/>
        <v>0</v>
      </c>
      <c r="O120">
        <v>0</v>
      </c>
    </row>
    <row r="121" spans="1:15">
      <c r="A121" t="str">
        <f t="shared" si="6"/>
        <v>ESPECIALIZACIÓN EN GERENCIA LOGÍSTICA BUCARAMANGA</v>
      </c>
      <c r="B121" t="s">
        <v>171</v>
      </c>
      <c r="F121" t="s">
        <v>622</v>
      </c>
      <c r="G121">
        <v>1</v>
      </c>
      <c r="I121">
        <v>0</v>
      </c>
      <c r="J121">
        <f t="shared" si="4"/>
        <v>0</v>
      </c>
      <c r="L121">
        <f>IFERROR(VLOOKUP(A121,'Ajustes profesores'!$G$5:$H$151,2,0),0)</f>
        <v>0</v>
      </c>
      <c r="M121">
        <f t="shared" si="5"/>
        <v>1</v>
      </c>
      <c r="O121">
        <v>0</v>
      </c>
    </row>
    <row r="122" spans="1:15">
      <c r="A122" t="str">
        <f t="shared" si="6"/>
        <v>ESPECIALIZACIÓN EN GESTIÓN PARA EL DESARROLLO HUMANO EN LA ORGANIZACIÓN BUCARAMANGA</v>
      </c>
      <c r="B122" t="s">
        <v>172</v>
      </c>
      <c r="C122">
        <v>2</v>
      </c>
      <c r="F122" t="s">
        <v>623</v>
      </c>
      <c r="G122">
        <v>3</v>
      </c>
      <c r="I122">
        <v>0</v>
      </c>
      <c r="J122">
        <f t="shared" si="4"/>
        <v>2</v>
      </c>
      <c r="L122">
        <f>IFERROR(VLOOKUP(A122,'Ajustes profesores'!$G$5:$H$151,2,0),0)</f>
        <v>2</v>
      </c>
      <c r="M122">
        <f t="shared" si="5"/>
        <v>1</v>
      </c>
      <c r="O122">
        <v>0</v>
      </c>
    </row>
    <row r="123" spans="1:15">
      <c r="A123" t="str">
        <f t="shared" si="6"/>
        <v>MAESTRÍA EN DIRECCIÓN Y GESTIÓN DE INSTITUCIONES EDUCATIVAS GUAJIRA</v>
      </c>
      <c r="B123" t="s">
        <v>392</v>
      </c>
      <c r="G123">
        <v>0</v>
      </c>
      <c r="I123">
        <v>0</v>
      </c>
      <c r="J123">
        <f t="shared" si="4"/>
        <v>0</v>
      </c>
      <c r="L123">
        <f>IFERROR(VLOOKUP(A123,'Ajustes profesores'!$G$5:$H$151,2,0),0)</f>
        <v>0</v>
      </c>
      <c r="M123">
        <f t="shared" si="5"/>
        <v>0</v>
      </c>
      <c r="O123">
        <v>0</v>
      </c>
    </row>
    <row r="124" spans="1:15">
      <c r="A124" t="str">
        <f t="shared" si="6"/>
        <v>MAESTRÍA EN DIRECCIÓN Y GESTIÓN DE INSTITUCIONES EDUCATIVAS HUILA</v>
      </c>
      <c r="B124" t="s">
        <v>526</v>
      </c>
      <c r="G124">
        <v>0</v>
      </c>
      <c r="I124">
        <v>0</v>
      </c>
      <c r="J124">
        <f t="shared" si="4"/>
        <v>0</v>
      </c>
      <c r="L124">
        <f>IFERROR(VLOOKUP(A124,'Ajustes profesores'!$G$5:$H$151,2,0),0)</f>
        <v>0</v>
      </c>
      <c r="M124">
        <f t="shared" si="5"/>
        <v>0</v>
      </c>
      <c r="O124">
        <v>0</v>
      </c>
    </row>
    <row r="125" spans="1:15">
      <c r="A125" t="str">
        <f t="shared" si="6"/>
        <v>MAESTRÍA EN PEDAGOGÍA HUILA</v>
      </c>
      <c r="B125" t="s">
        <v>399</v>
      </c>
      <c r="F125" t="s">
        <v>624</v>
      </c>
      <c r="G125">
        <v>0</v>
      </c>
      <c r="I125">
        <v>0</v>
      </c>
      <c r="J125">
        <f t="shared" si="4"/>
        <v>0</v>
      </c>
      <c r="L125">
        <f>IFERROR(VLOOKUP(A125,'Ajustes profesores'!$G$5:$H$151,2,0),0)</f>
        <v>0</v>
      </c>
      <c r="M125">
        <f t="shared" si="5"/>
        <v>0</v>
      </c>
      <c r="O125">
        <v>0</v>
      </c>
    </row>
    <row r="126" spans="1:15">
      <c r="A126" t="str">
        <f t="shared" si="6"/>
        <v>INFORMÁTICA EDUCATIVA</v>
      </c>
      <c r="B126" t="s">
        <v>625</v>
      </c>
      <c r="G126">
        <v>0</v>
      </c>
      <c r="I126">
        <v>0</v>
      </c>
      <c r="J126">
        <f t="shared" si="4"/>
        <v>0</v>
      </c>
      <c r="L126">
        <f>IFERROR(VLOOKUP(A126,'Ajustes profesores'!$G$5:$H$151,2,0),0)</f>
        <v>0</v>
      </c>
      <c r="M126">
        <f t="shared" si="5"/>
        <v>0</v>
      </c>
      <c r="O126">
        <v>0</v>
      </c>
    </row>
    <row r="127" spans="1:15">
      <c r="A127" t="str">
        <f t="shared" si="6"/>
        <v>DEPARTAMENTO LENGUAS Y CULTURAS EXTRANJERAS</v>
      </c>
      <c r="B127" t="s">
        <v>528</v>
      </c>
      <c r="G127">
        <v>0</v>
      </c>
      <c r="I127">
        <v>0</v>
      </c>
      <c r="J127">
        <f t="shared" si="4"/>
        <v>0</v>
      </c>
      <c r="L127">
        <f>IFERROR(VLOOKUP(A127,'Ajustes profesores'!$G$5:$H$151,2,0),0)</f>
        <v>0</v>
      </c>
      <c r="M127">
        <f t="shared" si="5"/>
        <v>0</v>
      </c>
      <c r="O127">
        <v>0</v>
      </c>
    </row>
    <row r="128" spans="1:15">
      <c r="A128" t="str">
        <f t="shared" si="6"/>
        <v>CORE CURRICULUM PERSONA Y CULTURA</v>
      </c>
      <c r="B128" t="s">
        <v>95</v>
      </c>
      <c r="C128">
        <v>8</v>
      </c>
      <c r="F128" t="s">
        <v>95</v>
      </c>
      <c r="G128">
        <v>10</v>
      </c>
      <c r="I128">
        <v>0</v>
      </c>
      <c r="J128">
        <f t="shared" si="4"/>
        <v>8</v>
      </c>
      <c r="L128">
        <f>IFERROR(VLOOKUP(A128,'Ajustes profesores'!$G$5:$H$151,2,0),0)</f>
        <v>8</v>
      </c>
      <c r="M128">
        <f t="shared" si="5"/>
        <v>2</v>
      </c>
      <c r="O128">
        <v>0</v>
      </c>
    </row>
    <row r="129" spans="1:15">
      <c r="A129" t="str">
        <f t="shared" ref="A129:A134" si="7">B129</f>
        <v>CORE CURRICULUM PERSONA Y CULTURA (INSTITUTO DE LA FAMILIA)</v>
      </c>
      <c r="B129" t="s">
        <v>529</v>
      </c>
      <c r="G129">
        <v>0</v>
      </c>
      <c r="I129">
        <v>0</v>
      </c>
      <c r="J129">
        <f t="shared" si="4"/>
        <v>0</v>
      </c>
      <c r="L129">
        <f>IFERROR(VLOOKUP(A129,'Ajustes profesores'!$G$5:$H$151,2,0),0)</f>
        <v>0</v>
      </c>
      <c r="M129">
        <f t="shared" si="5"/>
        <v>0</v>
      </c>
      <c r="O129">
        <v>0</v>
      </c>
    </row>
    <row r="130" spans="1:15">
      <c r="A130" t="str">
        <f t="shared" si="7"/>
        <v>MAESTRÍA EN GERENCIA DE LA INNOVACIÓN</v>
      </c>
      <c r="B130" t="s">
        <v>199</v>
      </c>
      <c r="C130">
        <v>11</v>
      </c>
      <c r="F130" t="s">
        <v>626</v>
      </c>
      <c r="G130">
        <v>14</v>
      </c>
      <c r="I130">
        <v>0</v>
      </c>
      <c r="J130">
        <f t="shared" si="4"/>
        <v>11</v>
      </c>
      <c r="L130">
        <f>IFERROR(VLOOKUP(A130,'Ajustes profesores'!$G$5:$H$151,2,0),0)</f>
        <v>11</v>
      </c>
      <c r="M130">
        <f t="shared" si="5"/>
        <v>3</v>
      </c>
      <c r="O130">
        <v>0</v>
      </c>
    </row>
    <row r="131" spans="1:15">
      <c r="A131" t="str">
        <f t="shared" si="7"/>
        <v>DOCTORADO EN ADMINISTRACIÓN DE LAS ORGANIZACIONES</v>
      </c>
      <c r="B131" t="s">
        <v>627</v>
      </c>
      <c r="G131">
        <v>0</v>
      </c>
      <c r="I131">
        <v>0</v>
      </c>
      <c r="J131">
        <f t="shared" ref="J131:J162" si="8">I131+C131</f>
        <v>0</v>
      </c>
      <c r="L131">
        <f>IFERROR(VLOOKUP(A131,'Ajustes profesores'!$G$5:$H$151,2,0),0)</f>
        <v>0</v>
      </c>
      <c r="M131">
        <f t="shared" ref="M131:M176" si="9">G131-L131</f>
        <v>0</v>
      </c>
      <c r="O131">
        <v>0</v>
      </c>
    </row>
    <row r="132" spans="1:15">
      <c r="A132" t="str">
        <f t="shared" si="7"/>
        <v>ESPECIALIZACIÓN EN GASTROENTEROLOGÍA</v>
      </c>
      <c r="B132" t="s">
        <v>116</v>
      </c>
      <c r="F132" t="s">
        <v>628</v>
      </c>
      <c r="G132">
        <v>1</v>
      </c>
      <c r="I132">
        <v>0</v>
      </c>
      <c r="J132">
        <f t="shared" si="8"/>
        <v>0</v>
      </c>
      <c r="L132">
        <f>IFERROR(VLOOKUP(A132,'Ajustes profesores'!$G$5:$H$151,2,0),0)</f>
        <v>0</v>
      </c>
      <c r="M132">
        <f t="shared" si="9"/>
        <v>1</v>
      </c>
      <c r="O132">
        <v>0</v>
      </c>
    </row>
    <row r="133" spans="1:15">
      <c r="A133" t="str">
        <f t="shared" si="7"/>
        <v>MAESTRÍA EN SALUD PÚBLICA</v>
      </c>
      <c r="B133" t="s">
        <v>194</v>
      </c>
      <c r="C133">
        <v>2</v>
      </c>
      <c r="F133" t="s">
        <v>629</v>
      </c>
      <c r="G133">
        <v>4</v>
      </c>
      <c r="I133">
        <v>0</v>
      </c>
      <c r="J133">
        <f t="shared" si="8"/>
        <v>2</v>
      </c>
      <c r="L133">
        <f>IFERROR(VLOOKUP(A133,'Ajustes profesores'!$G$5:$H$151,2,0),0)</f>
        <v>2</v>
      </c>
      <c r="M133">
        <f t="shared" si="9"/>
        <v>2</v>
      </c>
      <c r="O133">
        <v>0</v>
      </c>
    </row>
    <row r="134" spans="1:15">
      <c r="A134" t="str">
        <f t="shared" si="7"/>
        <v>DOCTORADO EN BIOCIENCIAS</v>
      </c>
      <c r="B134" t="s">
        <v>99</v>
      </c>
      <c r="C134">
        <v>1</v>
      </c>
      <c r="F134" t="s">
        <v>99</v>
      </c>
      <c r="G134">
        <v>1</v>
      </c>
      <c r="I134">
        <v>0</v>
      </c>
      <c r="J134">
        <f t="shared" si="8"/>
        <v>1</v>
      </c>
      <c r="L134">
        <f>IFERROR(VLOOKUP(A134,'Ajustes profesores'!$G$5:$H$151,2,0),0)</f>
        <v>1</v>
      </c>
      <c r="M134">
        <f t="shared" si="9"/>
        <v>0</v>
      </c>
      <c r="O134">
        <v>0</v>
      </c>
    </row>
    <row r="135" spans="1:15">
      <c r="A135" t="s">
        <v>36</v>
      </c>
      <c r="B135" t="s">
        <v>533</v>
      </c>
      <c r="C135">
        <v>3</v>
      </c>
      <c r="F135" t="s">
        <v>534</v>
      </c>
      <c r="G135">
        <v>4</v>
      </c>
      <c r="I135">
        <v>0</v>
      </c>
      <c r="J135">
        <f t="shared" si="8"/>
        <v>3</v>
      </c>
      <c r="L135">
        <f>IFERROR(VLOOKUP(A135,'Ajustes profesores'!$G$5:$H$151,2,0),0)</f>
        <v>3</v>
      </c>
      <c r="M135">
        <f t="shared" si="9"/>
        <v>1</v>
      </c>
      <c r="O135">
        <v>0</v>
      </c>
    </row>
    <row r="136" spans="1:15">
      <c r="A136" t="s">
        <v>40</v>
      </c>
      <c r="B136" t="s">
        <v>535</v>
      </c>
      <c r="C136">
        <v>4</v>
      </c>
      <c r="F136" t="s">
        <v>535</v>
      </c>
      <c r="G136">
        <v>4</v>
      </c>
      <c r="I136">
        <v>0</v>
      </c>
      <c r="J136">
        <f t="shared" si="8"/>
        <v>4</v>
      </c>
      <c r="L136">
        <f>IFERROR(VLOOKUP(A136,'Ajustes profesores'!$G$5:$H$151,2,0),0)</f>
        <v>4</v>
      </c>
      <c r="M136">
        <f t="shared" si="9"/>
        <v>0</v>
      </c>
      <c r="O136">
        <v>0</v>
      </c>
    </row>
    <row r="137" spans="1:15">
      <c r="A137" t="str">
        <f t="shared" ref="A137:A138" si="10">B137</f>
        <v>Centro de Tecnología para la Academia</v>
      </c>
      <c r="B137" t="s">
        <v>96</v>
      </c>
      <c r="C137">
        <v>5</v>
      </c>
      <c r="F137" t="s">
        <v>630</v>
      </c>
      <c r="G137">
        <v>5</v>
      </c>
      <c r="I137">
        <v>0</v>
      </c>
      <c r="J137">
        <f t="shared" si="8"/>
        <v>5</v>
      </c>
      <c r="L137">
        <f>IFERROR(VLOOKUP(A137,'Ajustes profesores'!$G$5:$H$151,2,0),0)</f>
        <v>0</v>
      </c>
      <c r="M137">
        <f t="shared" si="9"/>
        <v>5</v>
      </c>
      <c r="O137">
        <v>0</v>
      </c>
    </row>
    <row r="138" spans="1:15">
      <c r="A138" t="str">
        <f t="shared" si="10"/>
        <v>CENTRO INTERNACIONAL DE LENGUAS Y CULTURAS EXTRANJERAS</v>
      </c>
      <c r="B138" t="s">
        <v>93</v>
      </c>
      <c r="C138">
        <v>22</v>
      </c>
      <c r="F138" t="s">
        <v>93</v>
      </c>
      <c r="G138">
        <v>25</v>
      </c>
      <c r="I138">
        <v>0</v>
      </c>
      <c r="J138">
        <f t="shared" si="8"/>
        <v>22</v>
      </c>
      <c r="L138">
        <f>IFERROR(VLOOKUP(A138,'Ajustes profesores'!$G$5:$H$151,2,0),0)</f>
        <v>22</v>
      </c>
      <c r="M138">
        <f t="shared" si="9"/>
        <v>3</v>
      </c>
      <c r="O138">
        <v>0</v>
      </c>
    </row>
    <row r="139" spans="1:15">
      <c r="A139" t="str">
        <f t="shared" ref="A139:A178" si="11">B139</f>
        <v>DOCTORADO EN LOGÍSTICA</v>
      </c>
      <c r="B139" t="s">
        <v>631</v>
      </c>
      <c r="G139">
        <v>0</v>
      </c>
      <c r="I139">
        <v>0</v>
      </c>
      <c r="J139">
        <f t="shared" si="8"/>
        <v>0</v>
      </c>
      <c r="L139">
        <f>IFERROR(VLOOKUP(A139,'Ajustes profesores'!$G$5:$H$151,2,0),0)</f>
        <v>0</v>
      </c>
      <c r="M139">
        <f t="shared" si="9"/>
        <v>0</v>
      </c>
      <c r="O139">
        <v>0</v>
      </c>
    </row>
    <row r="140" spans="1:15">
      <c r="A140" t="str">
        <f t="shared" si="11"/>
        <v>DOCTORADO EN INGENIERÍA</v>
      </c>
      <c r="B140" t="s">
        <v>105</v>
      </c>
      <c r="G140">
        <v>0</v>
      </c>
      <c r="I140">
        <v>0</v>
      </c>
      <c r="J140">
        <f t="shared" si="8"/>
        <v>0</v>
      </c>
      <c r="L140">
        <f>IFERROR(VLOOKUP(A140,'Ajustes profesores'!$G$5:$H$151,2,0),0)</f>
        <v>0</v>
      </c>
      <c r="M140">
        <f t="shared" si="9"/>
        <v>0</v>
      </c>
      <c r="O140">
        <v>0</v>
      </c>
    </row>
    <row r="141" spans="1:15">
      <c r="A141" t="str">
        <f t="shared" si="11"/>
        <v>ESPECIALIZACIÓN EN GERENCIA FINANCIERA INTERNACIONAL -BOGOTÁ</v>
      </c>
      <c r="B141" t="s">
        <v>158</v>
      </c>
      <c r="C141">
        <v>3</v>
      </c>
      <c r="F141" t="s">
        <v>632</v>
      </c>
      <c r="G141">
        <v>4</v>
      </c>
      <c r="I141">
        <v>0</v>
      </c>
      <c r="J141">
        <f t="shared" si="8"/>
        <v>3</v>
      </c>
      <c r="L141">
        <f>IFERROR(VLOOKUP(A141,'Ajustes profesores'!$G$5:$H$151,2,0),0)</f>
        <v>3</v>
      </c>
      <c r="M141">
        <f t="shared" si="9"/>
        <v>1</v>
      </c>
      <c r="O141">
        <v>0</v>
      </c>
    </row>
    <row r="142" spans="1:15">
      <c r="A142" t="str">
        <f t="shared" si="11"/>
        <v>ESPECIALIZACIÓN EN GERENCIA COMERCIAL - BOGOTÁ</v>
      </c>
      <c r="B142" t="s">
        <v>156</v>
      </c>
      <c r="C142">
        <v>2</v>
      </c>
      <c r="F142" t="s">
        <v>633</v>
      </c>
      <c r="G142">
        <v>3</v>
      </c>
      <c r="I142">
        <v>0</v>
      </c>
      <c r="J142">
        <f t="shared" si="8"/>
        <v>2</v>
      </c>
      <c r="L142">
        <f>IFERROR(VLOOKUP(A142,'Ajustes profesores'!$G$5:$H$151,2,0),0)</f>
        <v>2</v>
      </c>
      <c r="M142">
        <f t="shared" si="9"/>
        <v>1</v>
      </c>
      <c r="O142">
        <v>0</v>
      </c>
    </row>
    <row r="143" spans="1:15">
      <c r="A143" t="str">
        <f t="shared" si="11"/>
        <v>ESPECIALIZACIÓN EN GERENCIA LOGÍSTICA - BOGOTÁ</v>
      </c>
      <c r="B143" t="s">
        <v>157</v>
      </c>
      <c r="C143">
        <v>1</v>
      </c>
      <c r="F143" t="s">
        <v>634</v>
      </c>
      <c r="G143">
        <v>3</v>
      </c>
      <c r="I143">
        <v>1</v>
      </c>
      <c r="J143">
        <f t="shared" si="8"/>
        <v>2</v>
      </c>
      <c r="L143">
        <f>IFERROR(VLOOKUP(A143,'Ajustes profesores'!$G$5:$H$151,2,0),0)</f>
        <v>2</v>
      </c>
      <c r="M143">
        <f t="shared" si="9"/>
        <v>1</v>
      </c>
      <c r="O143">
        <v>1</v>
      </c>
    </row>
    <row r="144" spans="1:15">
      <c r="A144" t="str">
        <f t="shared" si="11"/>
        <v>ESPECIALIZACIÓN EN GESTIÓN PARA EL DESARROLLO HUMANO EN LA ORGANIZACIÓN - BOGOTÁ</v>
      </c>
      <c r="B144" t="s">
        <v>160</v>
      </c>
      <c r="F144" t="s">
        <v>635</v>
      </c>
      <c r="G144">
        <v>2</v>
      </c>
      <c r="I144">
        <v>0</v>
      </c>
      <c r="J144">
        <f t="shared" si="8"/>
        <v>0</v>
      </c>
      <c r="L144">
        <f>IFERROR(VLOOKUP(A144,'Ajustes profesores'!$G$5:$H$151,2,0),0)</f>
        <v>0</v>
      </c>
      <c r="M144">
        <f t="shared" si="9"/>
        <v>2</v>
      </c>
      <c r="O144">
        <v>0</v>
      </c>
    </row>
    <row r="145" spans="1:15">
      <c r="A145" t="str">
        <f t="shared" si="11"/>
        <v>DOCTORADO EN INNOVACIÓN EDUCATIVA CON USO DE TIC</v>
      </c>
      <c r="B145" t="s">
        <v>106</v>
      </c>
      <c r="C145">
        <v>2</v>
      </c>
      <c r="F145" t="s">
        <v>636</v>
      </c>
      <c r="G145">
        <v>2</v>
      </c>
      <c r="I145">
        <v>0</v>
      </c>
      <c r="J145">
        <f t="shared" si="8"/>
        <v>2</v>
      </c>
      <c r="L145">
        <f>IFERROR(VLOOKUP(A145,'Ajustes profesores'!$G$5:$H$151,2,0),0)</f>
        <v>2</v>
      </c>
      <c r="M145">
        <f t="shared" si="9"/>
        <v>0</v>
      </c>
      <c r="O145">
        <v>0</v>
      </c>
    </row>
    <row r="146" spans="1:15">
      <c r="A146" t="str">
        <f t="shared" si="11"/>
        <v>ESPECIALIZACIÓN EN EMPRENDIMIENTO Y NEGOCIOS DIGITALES- CHÍA</v>
      </c>
      <c r="B146" t="s">
        <v>137</v>
      </c>
      <c r="C146">
        <v>5</v>
      </c>
      <c r="F146" t="s">
        <v>637</v>
      </c>
      <c r="G146">
        <v>5</v>
      </c>
      <c r="I146">
        <v>0</v>
      </c>
      <c r="J146">
        <f t="shared" si="8"/>
        <v>5</v>
      </c>
      <c r="L146">
        <f>IFERROR(VLOOKUP(A146,'Ajustes profesores'!$G$5:$H$151,2,0),0)</f>
        <v>5</v>
      </c>
      <c r="M146">
        <f t="shared" si="9"/>
        <v>0</v>
      </c>
      <c r="O146">
        <v>0</v>
      </c>
    </row>
    <row r="147" spans="1:15">
      <c r="A147" t="str">
        <f t="shared" si="11"/>
        <v>ESPECIALIZACIÓN EN GERENCIA COMERCIAL VIRTUAL</v>
      </c>
      <c r="B147" t="s">
        <v>164</v>
      </c>
      <c r="C147">
        <v>1</v>
      </c>
      <c r="F147" t="s">
        <v>638</v>
      </c>
      <c r="G147">
        <v>2</v>
      </c>
      <c r="I147">
        <v>0</v>
      </c>
      <c r="J147">
        <f t="shared" si="8"/>
        <v>1</v>
      </c>
      <c r="L147">
        <f>IFERROR(VLOOKUP(A147,'Ajustes profesores'!$G$5:$H$151,2,0),0)</f>
        <v>1</v>
      </c>
      <c r="M147">
        <f t="shared" si="9"/>
        <v>1</v>
      </c>
      <c r="O147">
        <v>0</v>
      </c>
    </row>
    <row r="148" spans="1:15">
      <c r="A148" t="str">
        <f t="shared" si="11"/>
        <v>ESPECIALIZACIÓN EN GERENCIA DE PROYECTOS CON ENFOQUE EN HABILIDADES DIRECTIVAS - BOGOTÁ</v>
      </c>
      <c r="B148" t="s">
        <v>155</v>
      </c>
      <c r="C148">
        <v>3</v>
      </c>
      <c r="F148" t="s">
        <v>639</v>
      </c>
      <c r="G148">
        <v>4</v>
      </c>
      <c r="I148">
        <v>0</v>
      </c>
      <c r="J148">
        <f t="shared" si="8"/>
        <v>3</v>
      </c>
      <c r="L148">
        <f>IFERROR(VLOOKUP(A148,'Ajustes profesores'!$G$5:$H$151,2,0),0)</f>
        <v>3</v>
      </c>
      <c r="M148">
        <f t="shared" si="9"/>
        <v>1</v>
      </c>
      <c r="O148">
        <v>0</v>
      </c>
    </row>
    <row r="149" spans="1:15">
      <c r="A149" t="str">
        <f t="shared" si="11"/>
        <v>ESPECIALIZACIÓN EN GERENCIA DE RIESGOS - CHÍA</v>
      </c>
      <c r="B149" t="s">
        <v>143</v>
      </c>
      <c r="C149">
        <v>5</v>
      </c>
      <c r="F149" t="s">
        <v>640</v>
      </c>
      <c r="G149">
        <v>5</v>
      </c>
      <c r="I149">
        <v>0</v>
      </c>
      <c r="J149">
        <f t="shared" si="8"/>
        <v>5</v>
      </c>
      <c r="L149">
        <f>IFERROR(VLOOKUP(A149,'Ajustes profesores'!$G$5:$H$151,2,0),0)</f>
        <v>5</v>
      </c>
      <c r="M149">
        <f t="shared" si="9"/>
        <v>0</v>
      </c>
      <c r="O149">
        <v>0</v>
      </c>
    </row>
    <row r="150" spans="1:15">
      <c r="A150" t="str">
        <f t="shared" si="11"/>
        <v>ESPECIALIZACIÓN EN GERENCIA ESTRATÉGICA - VIRTUAL</v>
      </c>
      <c r="B150" t="s">
        <v>163</v>
      </c>
      <c r="C150">
        <v>1</v>
      </c>
      <c r="F150" t="s">
        <v>641</v>
      </c>
      <c r="G150">
        <v>6</v>
      </c>
      <c r="I150" s="81">
        <v>5</v>
      </c>
      <c r="J150">
        <f t="shared" si="8"/>
        <v>6</v>
      </c>
      <c r="L150">
        <f>IFERROR(VLOOKUP(A150,'Ajustes profesores'!$G$5:$H$151,2,0),0)</f>
        <v>6</v>
      </c>
      <c r="M150">
        <f t="shared" si="9"/>
        <v>0</v>
      </c>
      <c r="O150">
        <v>5</v>
      </c>
    </row>
    <row r="151" spans="1:15">
      <c r="A151" t="str">
        <f t="shared" si="11"/>
        <v>ESPECIALIZACIÓN EN LIDERAZGO Y COACHING- CHÍA</v>
      </c>
      <c r="B151" t="s">
        <v>150</v>
      </c>
      <c r="C151">
        <v>1</v>
      </c>
      <c r="F151" t="s">
        <v>642</v>
      </c>
      <c r="G151">
        <v>2</v>
      </c>
      <c r="I151">
        <v>0</v>
      </c>
      <c r="J151">
        <f t="shared" si="8"/>
        <v>1</v>
      </c>
      <c r="L151">
        <f>IFERROR(VLOOKUP(A151,'Ajustes profesores'!$G$5:$H$151,2,0),0)</f>
        <v>1</v>
      </c>
      <c r="M151">
        <f t="shared" si="9"/>
        <v>1</v>
      </c>
      <c r="O151">
        <v>0</v>
      </c>
    </row>
    <row r="152" spans="1:15">
      <c r="A152" t="str">
        <f t="shared" si="11"/>
        <v>ESPECIALIZACIÓN EN NEUMOLOGÍA PEDIÁTRICA</v>
      </c>
      <c r="B152" t="s">
        <v>123</v>
      </c>
      <c r="F152" t="s">
        <v>643</v>
      </c>
      <c r="G152">
        <v>1</v>
      </c>
      <c r="I152">
        <v>0</v>
      </c>
      <c r="J152">
        <f t="shared" si="8"/>
        <v>0</v>
      </c>
      <c r="L152">
        <f>IFERROR(VLOOKUP(A152,'Ajustes profesores'!$G$5:$H$151,2,0),0)</f>
        <v>0</v>
      </c>
      <c r="M152">
        <f t="shared" si="9"/>
        <v>1</v>
      </c>
      <c r="O152">
        <v>0</v>
      </c>
    </row>
    <row r="153" spans="1:15">
      <c r="A153" t="str">
        <f t="shared" si="11"/>
        <v>ESPECIALIZACIÓN EN PEDAGOGÍA E INVESTIGACIÓN EN EL AULA - VIRTUAL</v>
      </c>
      <c r="B153" t="s">
        <v>161</v>
      </c>
      <c r="C153">
        <v>3</v>
      </c>
      <c r="F153" t="s">
        <v>644</v>
      </c>
      <c r="G153">
        <v>3</v>
      </c>
      <c r="I153">
        <v>0</v>
      </c>
      <c r="J153">
        <f t="shared" si="8"/>
        <v>3</v>
      </c>
      <c r="L153">
        <f>IFERROR(VLOOKUP(A153,'Ajustes profesores'!$G$5:$H$151,2,0),0)</f>
        <v>3</v>
      </c>
      <c r="M153">
        <f t="shared" si="9"/>
        <v>0</v>
      </c>
      <c r="O153">
        <v>0</v>
      </c>
    </row>
    <row r="154" spans="1:15">
      <c r="A154" t="str">
        <f t="shared" si="11"/>
        <v>MAESTRÍA EN DESARROLLO INFANTIL - GUAJIRA</v>
      </c>
      <c r="B154" t="s">
        <v>390</v>
      </c>
      <c r="F154" t="s">
        <v>645</v>
      </c>
      <c r="G154">
        <v>0</v>
      </c>
      <c r="I154">
        <v>0</v>
      </c>
      <c r="J154">
        <f t="shared" si="8"/>
        <v>0</v>
      </c>
      <c r="L154">
        <f>IFERROR(VLOOKUP(A154,'Ajustes profesores'!$G$5:$H$151,2,0),0)</f>
        <v>0</v>
      </c>
      <c r="M154">
        <f t="shared" si="9"/>
        <v>0</v>
      </c>
      <c r="O154">
        <v>0</v>
      </c>
    </row>
    <row r="155" spans="1:15">
      <c r="A155" t="str">
        <f t="shared" si="11"/>
        <v>MAESTRÍA EN DESARROLLO INFANTIL - RIOHACHA</v>
      </c>
      <c r="B155" t="s">
        <v>209</v>
      </c>
      <c r="C155">
        <v>2</v>
      </c>
      <c r="F155" t="s">
        <v>646</v>
      </c>
      <c r="G155">
        <v>4</v>
      </c>
      <c r="I155">
        <v>0</v>
      </c>
      <c r="J155">
        <f t="shared" si="8"/>
        <v>2</v>
      </c>
      <c r="L155">
        <f>IFERROR(VLOOKUP(A155,'Ajustes profesores'!$G$5:$H$151,2,0),0)</f>
        <v>2</v>
      </c>
      <c r="M155">
        <f t="shared" si="9"/>
        <v>2</v>
      </c>
      <c r="O155">
        <v>0</v>
      </c>
    </row>
    <row r="156" spans="1:15">
      <c r="A156" t="str">
        <f t="shared" si="11"/>
        <v>MAESTRÍA EN DIDÁCTICA DEL INGLÉS PARA EL APRENDIZAJE AUTODIRIGIDO - VIRTUAL</v>
      </c>
      <c r="B156" t="s">
        <v>216</v>
      </c>
      <c r="G156">
        <v>0</v>
      </c>
      <c r="I156">
        <v>0</v>
      </c>
      <c r="J156">
        <f t="shared" si="8"/>
        <v>0</v>
      </c>
      <c r="L156">
        <f>IFERROR(VLOOKUP(A156,'Ajustes profesores'!$G$5:$H$151,2,0),0)</f>
        <v>0</v>
      </c>
      <c r="M156">
        <f t="shared" si="9"/>
        <v>0</v>
      </c>
      <c r="O156">
        <v>0</v>
      </c>
    </row>
    <row r="157" spans="1:15">
      <c r="A157" t="str">
        <f t="shared" si="11"/>
        <v>MAESTRÍA EN DIRECCIÓN Y GESTIÓN DE INSTITUCIONES EDUCATIVAS - RIOHACHA</v>
      </c>
      <c r="B157" t="s">
        <v>208</v>
      </c>
      <c r="C157">
        <v>2</v>
      </c>
      <c r="F157" t="s">
        <v>647</v>
      </c>
      <c r="G157">
        <v>4</v>
      </c>
      <c r="I157">
        <v>0</v>
      </c>
      <c r="J157">
        <f t="shared" si="8"/>
        <v>2</v>
      </c>
      <c r="L157">
        <f>IFERROR(VLOOKUP(A157,'Ajustes profesores'!$G$5:$H$151,2,0),0)</f>
        <v>2</v>
      </c>
      <c r="M157">
        <f t="shared" si="9"/>
        <v>2</v>
      </c>
      <c r="O157">
        <v>0</v>
      </c>
    </row>
    <row r="158" spans="1:15">
      <c r="A158" t="str">
        <f t="shared" si="11"/>
        <v>MAESTRÍA EN FISIOTERAPIA</v>
      </c>
      <c r="B158" t="s">
        <v>394</v>
      </c>
      <c r="G158">
        <v>0</v>
      </c>
      <c r="I158">
        <v>0</v>
      </c>
      <c r="J158">
        <f t="shared" si="8"/>
        <v>0</v>
      </c>
      <c r="L158">
        <f>IFERROR(VLOOKUP(A158,'Ajustes profesores'!$G$5:$H$151,2,0),0)</f>
        <v>0</v>
      </c>
      <c r="M158">
        <f t="shared" si="9"/>
        <v>0</v>
      </c>
      <c r="O158">
        <v>0</v>
      </c>
    </row>
    <row r="159" spans="1:15">
      <c r="A159" t="str">
        <f t="shared" si="11"/>
        <v>MAESTRÍA EN FISIOTERAPIA - VIRTUAL</v>
      </c>
      <c r="B159" t="s">
        <v>211</v>
      </c>
      <c r="G159">
        <v>0</v>
      </c>
      <c r="I159">
        <v>0</v>
      </c>
      <c r="J159">
        <f t="shared" si="8"/>
        <v>0</v>
      </c>
      <c r="L159">
        <f>IFERROR(VLOOKUP(A159,'Ajustes profesores'!$G$5:$H$151,2,0),0)</f>
        <v>0</v>
      </c>
      <c r="M159">
        <f t="shared" si="9"/>
        <v>0</v>
      </c>
      <c r="O159">
        <v>0</v>
      </c>
    </row>
    <row r="160" spans="1:15">
      <c r="A160" t="str">
        <f t="shared" si="11"/>
        <v>MAESTRÍA EN GERENCIA DE INVERSIÓN - VIRTUAL</v>
      </c>
      <c r="B160" t="s">
        <v>214</v>
      </c>
      <c r="C160">
        <v>3</v>
      </c>
      <c r="F160" t="s">
        <v>648</v>
      </c>
      <c r="G160">
        <v>7</v>
      </c>
      <c r="I160">
        <v>0</v>
      </c>
      <c r="J160">
        <f t="shared" si="8"/>
        <v>3</v>
      </c>
      <c r="L160">
        <f>IFERROR(VLOOKUP(A160,'Ajustes profesores'!$G$5:$H$151,2,0),0)</f>
        <v>3</v>
      </c>
      <c r="M160">
        <f t="shared" si="9"/>
        <v>4</v>
      </c>
      <c r="O160">
        <v>0</v>
      </c>
    </row>
    <row r="161" spans="1:15">
      <c r="A161" t="str">
        <f t="shared" si="11"/>
        <v>MAESTRÍA EN PEDAGOGÍA - NEIVA</v>
      </c>
      <c r="B161" t="s">
        <v>210</v>
      </c>
      <c r="C161">
        <v>2</v>
      </c>
      <c r="F161" t="s">
        <v>649</v>
      </c>
      <c r="G161">
        <v>4</v>
      </c>
      <c r="I161">
        <v>1</v>
      </c>
      <c r="J161">
        <f t="shared" si="8"/>
        <v>3</v>
      </c>
      <c r="L161">
        <f>IFERROR(VLOOKUP(A161,'Ajustes profesores'!$G$5:$H$151,2,0),0)</f>
        <v>3</v>
      </c>
      <c r="M161">
        <f t="shared" si="9"/>
        <v>1</v>
      </c>
      <c r="O161">
        <v>1</v>
      </c>
    </row>
    <row r="162" spans="1:15">
      <c r="A162" t="str">
        <f t="shared" si="11"/>
        <v>MAESTRÍA EN PEDAGOGÍA E INVESTIGACIÓN EN AULA - VIRTUAL</v>
      </c>
      <c r="B162" t="s">
        <v>215</v>
      </c>
      <c r="C162">
        <v>5</v>
      </c>
      <c r="F162" t="s">
        <v>650</v>
      </c>
      <c r="G162">
        <v>7</v>
      </c>
      <c r="I162">
        <v>0</v>
      </c>
      <c r="J162">
        <f t="shared" si="8"/>
        <v>5</v>
      </c>
      <c r="L162">
        <f>IFERROR(VLOOKUP(A162,'Ajustes profesores'!$G$5:$H$151,2,0),0)</f>
        <v>5</v>
      </c>
      <c r="M162">
        <f t="shared" si="9"/>
        <v>2</v>
      </c>
      <c r="O162">
        <v>0</v>
      </c>
    </row>
    <row r="163" spans="1:15">
      <c r="A163" t="str">
        <f t="shared" si="11"/>
        <v>ESPECIALIZACIÓN EN GESTIÓN PARA EL DESARROLLO HUMANO EN LA ORGANIZACIÓN - VIRTUAL</v>
      </c>
      <c r="B163" t="s">
        <v>162</v>
      </c>
      <c r="G163">
        <v>2</v>
      </c>
      <c r="I163">
        <v>2</v>
      </c>
      <c r="J163">
        <f>I163+C163</f>
        <v>2</v>
      </c>
      <c r="L163">
        <f>IFERROR(VLOOKUP(A163,'Ajustes profesores'!$G$5:$H$151,2,0),0)</f>
        <v>2</v>
      </c>
      <c r="M163">
        <f t="shared" si="9"/>
        <v>0</v>
      </c>
      <c r="O163">
        <v>2</v>
      </c>
    </row>
    <row r="164" spans="1:15">
      <c r="A164" t="str">
        <f t="shared" si="11"/>
        <v>DOCTORADO EN PSICOLOGÍA</v>
      </c>
      <c r="B164" t="s">
        <v>107</v>
      </c>
      <c r="C164" s="6">
        <v>1</v>
      </c>
      <c r="F164" t="s">
        <v>107</v>
      </c>
      <c r="G164">
        <v>4</v>
      </c>
      <c r="I164">
        <v>0</v>
      </c>
      <c r="J164">
        <f t="shared" ref="J164:J175" si="12">I164+C164</f>
        <v>1</v>
      </c>
      <c r="L164">
        <f>IFERROR(VLOOKUP(A164,'Ajustes profesores'!$G$5:$H$151,2,0),0)</f>
        <v>1</v>
      </c>
      <c r="M164">
        <f t="shared" si="9"/>
        <v>3</v>
      </c>
      <c r="O164">
        <v>0</v>
      </c>
    </row>
    <row r="165" spans="1:15">
      <c r="A165" t="str">
        <f t="shared" si="11"/>
        <v>MAESTRÍA EN PSICOLOGÍA CLÍNICA DE LA NIÑEZ Y LA ADOLESCENCIA</v>
      </c>
      <c r="B165" t="s">
        <v>206</v>
      </c>
      <c r="F165" t="s">
        <v>206</v>
      </c>
      <c r="G165">
        <v>6</v>
      </c>
      <c r="I165">
        <v>0</v>
      </c>
      <c r="J165">
        <f t="shared" si="12"/>
        <v>0</v>
      </c>
      <c r="L165">
        <f>IFERROR(VLOOKUP(A165,'Ajustes profesores'!$G$5:$H$151,2,0),0)</f>
        <v>0</v>
      </c>
      <c r="M165">
        <f t="shared" si="9"/>
        <v>6</v>
      </c>
      <c r="O165">
        <v>0</v>
      </c>
    </row>
    <row r="166" spans="1:15">
      <c r="A166" t="str">
        <f t="shared" si="11"/>
        <v>MAESTRÍA EN PEDAGOGÍA - RIOHACHA</v>
      </c>
      <c r="B166" t="s">
        <v>651</v>
      </c>
      <c r="F166" t="s">
        <v>651</v>
      </c>
      <c r="G166">
        <v>0</v>
      </c>
      <c r="I166">
        <v>0</v>
      </c>
      <c r="J166">
        <f t="shared" si="12"/>
        <v>0</v>
      </c>
      <c r="L166">
        <f>IFERROR(VLOOKUP(A166,'Ajustes profesores'!$G$5:$H$151,2,0),0)</f>
        <v>0</v>
      </c>
      <c r="M166">
        <f t="shared" si="9"/>
        <v>0</v>
      </c>
      <c r="O166">
        <v>0</v>
      </c>
    </row>
    <row r="167" spans="1:15">
      <c r="A167" t="str">
        <f t="shared" si="11"/>
        <v>MAESTRÍA EN DIRECCIÓN Y GESTIÓN DE INSTITUCIONES EDUCATIVAS - NEIVA</v>
      </c>
      <c r="B167" t="s">
        <v>652</v>
      </c>
      <c r="F167" t="s">
        <v>652</v>
      </c>
      <c r="G167">
        <v>0</v>
      </c>
      <c r="I167">
        <v>0</v>
      </c>
      <c r="J167">
        <f t="shared" si="12"/>
        <v>0</v>
      </c>
      <c r="L167">
        <f>IFERROR(VLOOKUP(A167,'Ajustes profesores'!$G$5:$H$151,2,0),0)</f>
        <v>0</v>
      </c>
      <c r="M167">
        <f t="shared" si="9"/>
        <v>0</v>
      </c>
      <c r="O167">
        <v>0</v>
      </c>
    </row>
    <row r="168" spans="1:15">
      <c r="A168" t="str">
        <f t="shared" si="11"/>
        <v>MAESTRÍA EN PEDAGOGÍA - VALLEDUPAR</v>
      </c>
      <c r="B168" t="s">
        <v>653</v>
      </c>
      <c r="F168" t="s">
        <v>653</v>
      </c>
      <c r="G168">
        <v>0</v>
      </c>
      <c r="I168">
        <v>0</v>
      </c>
      <c r="J168">
        <f t="shared" si="12"/>
        <v>0</v>
      </c>
      <c r="L168">
        <f>IFERROR(VLOOKUP(A168,'Ajustes profesores'!$G$5:$H$151,2,0),0)</f>
        <v>0</v>
      </c>
      <c r="M168">
        <f t="shared" si="9"/>
        <v>0</v>
      </c>
      <c r="O168">
        <v>0</v>
      </c>
    </row>
    <row r="169" spans="1:15">
      <c r="A169" t="str">
        <f t="shared" si="11"/>
        <v>MAESTRÍA EN DIRECCIÓN Y GESTIÓN DE INSTITUCIONES EDUCATIVAS - VALLEDUPAR</v>
      </c>
      <c r="B169" t="s">
        <v>654</v>
      </c>
      <c r="F169" t="s">
        <v>654</v>
      </c>
      <c r="G169">
        <v>0</v>
      </c>
      <c r="I169">
        <v>0</v>
      </c>
      <c r="J169">
        <f t="shared" si="12"/>
        <v>0</v>
      </c>
      <c r="L169">
        <f>IFERROR(VLOOKUP(A169,'Ajustes profesores'!$G$5:$H$151,2,0),0)</f>
        <v>0</v>
      </c>
      <c r="M169">
        <f t="shared" si="9"/>
        <v>0</v>
      </c>
      <c r="O169">
        <v>0</v>
      </c>
    </row>
    <row r="170" spans="1:15">
      <c r="A170" t="str">
        <f t="shared" si="11"/>
        <v>MAESTRÍA EN ASESORÍA FAMILIAR Y GESTIÓN DE PROGRAMAS PARA LA FAMILIA - VIRTUAL</v>
      </c>
      <c r="B170" t="s">
        <v>655</v>
      </c>
      <c r="F170" t="s">
        <v>655</v>
      </c>
      <c r="G170">
        <v>0</v>
      </c>
      <c r="I170">
        <v>0</v>
      </c>
      <c r="J170">
        <f t="shared" si="12"/>
        <v>0</v>
      </c>
      <c r="L170">
        <f>IFERROR(VLOOKUP(A170,'Ajustes profesores'!$G$5:$H$151,2,0),0)</f>
        <v>0</v>
      </c>
      <c r="M170">
        <f t="shared" si="9"/>
        <v>0</v>
      </c>
      <c r="O170">
        <v>0</v>
      </c>
    </row>
    <row r="171" spans="1:15">
      <c r="A171" s="137" t="s">
        <v>656</v>
      </c>
      <c r="B171" t="s">
        <v>657</v>
      </c>
      <c r="F171" t="s">
        <v>213</v>
      </c>
      <c r="G171">
        <v>0</v>
      </c>
      <c r="I171">
        <v>0</v>
      </c>
      <c r="J171">
        <f t="shared" si="12"/>
        <v>0</v>
      </c>
      <c r="L171">
        <f>IFERROR(VLOOKUP(A171,'Ajustes profesores'!$G$5:$H$151,2,0),0)</f>
        <v>0</v>
      </c>
      <c r="M171">
        <f t="shared" si="9"/>
        <v>0</v>
      </c>
      <c r="O171">
        <v>0</v>
      </c>
    </row>
    <row r="172" spans="1:15">
      <c r="A172" t="str">
        <f t="shared" si="11"/>
        <v>ESPECIALIZACIÓN EN CONTRATACIÓN ESTATAL - IBAGUÉ, TOLIMA</v>
      </c>
      <c r="B172" t="s">
        <v>658</v>
      </c>
      <c r="F172" t="s">
        <v>658</v>
      </c>
      <c r="G172">
        <v>0</v>
      </c>
      <c r="I172">
        <v>0</v>
      </c>
      <c r="J172">
        <f t="shared" si="12"/>
        <v>0</v>
      </c>
      <c r="L172">
        <f>IFERROR(VLOOKUP(A172,'Ajustes profesores'!$G$5:$H$151,2,0),0)</f>
        <v>0</v>
      </c>
      <c r="M172">
        <f t="shared" si="9"/>
        <v>0</v>
      </c>
      <c r="O172">
        <v>0</v>
      </c>
    </row>
    <row r="173" spans="1:15">
      <c r="A173" t="str">
        <f t="shared" si="11"/>
        <v>ESPECIALIZACIÓN EN GERENCIA COMERCIAL - IBAGUÉ, TOLIMA</v>
      </c>
      <c r="B173" t="s">
        <v>659</v>
      </c>
      <c r="F173" t="s">
        <v>659</v>
      </c>
      <c r="G173">
        <v>0</v>
      </c>
      <c r="I173">
        <v>0</v>
      </c>
      <c r="J173">
        <f t="shared" si="12"/>
        <v>0</v>
      </c>
      <c r="L173">
        <f>IFERROR(VLOOKUP(A173,'Ajustes profesores'!$G$5:$H$151,2,0),0)</f>
        <v>0</v>
      </c>
      <c r="M173">
        <f t="shared" si="9"/>
        <v>0</v>
      </c>
      <c r="O173">
        <v>0</v>
      </c>
    </row>
    <row r="174" spans="1:15">
      <c r="A174" t="str">
        <f t="shared" si="11"/>
        <v>ESPECIALIZACIÓN EN GESTIÓN PARA EL DESARROLLO HUMANO ORGANIZACIONAL - VIRTUAL</v>
      </c>
      <c r="B174" t="s">
        <v>660</v>
      </c>
      <c r="F174" t="s">
        <v>660</v>
      </c>
      <c r="G174">
        <v>0</v>
      </c>
      <c r="I174">
        <v>0</v>
      </c>
      <c r="J174">
        <f t="shared" si="12"/>
        <v>0</v>
      </c>
      <c r="L174">
        <f>IFERROR(VLOOKUP(A174,'Ajustes profesores'!$G$5:$H$151,2,0),0)</f>
        <v>0</v>
      </c>
      <c r="M174">
        <f t="shared" si="9"/>
        <v>0</v>
      </c>
      <c r="O174">
        <v>0</v>
      </c>
    </row>
    <row r="175" spans="1:15">
      <c r="A175" s="137" t="s">
        <v>656</v>
      </c>
      <c r="B175" t="s">
        <v>661</v>
      </c>
      <c r="F175" t="s">
        <v>107</v>
      </c>
      <c r="G175">
        <v>0</v>
      </c>
      <c r="I175">
        <v>0</v>
      </c>
      <c r="J175">
        <f t="shared" si="12"/>
        <v>0</v>
      </c>
      <c r="L175">
        <f>IFERROR(VLOOKUP(A175,'Ajustes profesores'!$G$5:$H$151,2,0),0)</f>
        <v>0</v>
      </c>
      <c r="M175">
        <f t="shared" si="9"/>
        <v>0</v>
      </c>
      <c r="O175">
        <v>0</v>
      </c>
    </row>
    <row r="176" spans="1:15">
      <c r="A176" t="str">
        <f t="shared" si="11"/>
        <v xml:space="preserve">EXECUTIVE MBA	</v>
      </c>
      <c r="B176" t="s">
        <v>549</v>
      </c>
      <c r="C176">
        <v>2</v>
      </c>
      <c r="F176" t="s">
        <v>549</v>
      </c>
      <c r="L176">
        <f>IFERROR(VLOOKUP(A176,'Ajustes profesores'!$G$5:$H$151,2,0),0)</f>
        <v>0</v>
      </c>
      <c r="M176">
        <f t="shared" si="9"/>
        <v>0</v>
      </c>
    </row>
    <row r="177" spans="1:15">
      <c r="B177" s="75" t="s">
        <v>159</v>
      </c>
      <c r="C177" s="75"/>
      <c r="D177" s="75"/>
      <c r="E177" s="75"/>
      <c r="F177" s="75" t="s">
        <v>159</v>
      </c>
      <c r="G177" s="75">
        <v>5</v>
      </c>
      <c r="H177" s="75"/>
      <c r="I177" s="75">
        <v>5</v>
      </c>
      <c r="J177" s="75">
        <f t="shared" ref="J177" si="13">I177+C177</f>
        <v>5</v>
      </c>
      <c r="N177" t="s">
        <v>662</v>
      </c>
      <c r="O177">
        <v>5</v>
      </c>
    </row>
    <row r="178" spans="1:15">
      <c r="A178" t="str">
        <f t="shared" si="11"/>
        <v>TOTAL</v>
      </c>
      <c r="B178" t="s">
        <v>55</v>
      </c>
      <c r="C178">
        <f>SUM(C2:C175)</f>
        <v>685</v>
      </c>
      <c r="F178" t="s">
        <v>55</v>
      </c>
      <c r="G178">
        <f>SUM(G2:G177)</f>
        <v>1017</v>
      </c>
      <c r="I178">
        <f>SUM(I2:I177)</f>
        <v>60</v>
      </c>
      <c r="J178">
        <f>SUM(I178,C178)</f>
        <v>745</v>
      </c>
      <c r="M178">
        <f>SUM(M2:M176)</f>
        <v>278</v>
      </c>
    </row>
  </sheetData>
  <autoFilter ref="B1:S178" xr:uid="{00000000-0009-0000-0000-000011000000}"/>
  <conditionalFormatting sqref="A1:A1048576">
    <cfRule type="duplicateValues" dxfId="11" priority="4"/>
  </conditionalFormatting>
  <conditionalFormatting sqref="B1:B1048576">
    <cfRule type="duplicateValues" dxfId="10" priority="1"/>
  </conditionalFormatting>
  <conditionalFormatting sqref="B165:B178">
    <cfRule type="duplicateValues" dxfId="9" priority="91"/>
  </conditionalFormatting>
  <conditionalFormatting sqref="F165:F175">
    <cfRule type="duplicateValues" dxfId="8" priority="5"/>
  </conditionalFormatting>
  <conditionalFormatting sqref="F176:F178">
    <cfRule type="duplicateValues" dxfId="7" priority="2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683"/>
  <sheetViews>
    <sheetView zoomScale="70" zoomScaleNormal="70" workbookViewId="0">
      <pane ySplit="1" topLeftCell="A1621" activePane="bottomLeft" state="frozen"/>
      <selection pane="bottomLeft" activeCell="B1680" sqref="B1680:G1680"/>
      <selection activeCell="B1" sqref="B1"/>
    </sheetView>
  </sheetViews>
  <sheetFormatPr defaultColWidth="25.85546875" defaultRowHeight="15"/>
  <cols>
    <col min="1" max="1" width="43.42578125" customWidth="1"/>
    <col min="2" max="2" width="40.5703125" customWidth="1"/>
    <col min="3" max="3" width="32.7109375" hidden="1" customWidth="1"/>
    <col min="4" max="4" width="70.140625" customWidth="1"/>
    <col min="5" max="5" width="10" customWidth="1"/>
    <col min="6" max="6" width="13.85546875" bestFit="1" customWidth="1"/>
    <col min="7" max="7" width="19.140625" bestFit="1" customWidth="1"/>
    <col min="8" max="8" width="17.85546875" hidden="1" customWidth="1"/>
    <col min="9" max="9" width="15" bestFit="1" customWidth="1"/>
    <col min="10" max="10" width="76.28515625" bestFit="1" customWidth="1"/>
    <col min="11" max="11" width="170.7109375" bestFit="1" customWidth="1"/>
    <col min="12" max="12" width="62.42578125" bestFit="1" customWidth="1"/>
    <col min="13" max="13" width="10.5703125" bestFit="1" customWidth="1"/>
    <col min="14" max="14" width="62.42578125" bestFit="1" customWidth="1"/>
    <col min="15" max="15" width="21.42578125" bestFit="1" customWidth="1"/>
    <col min="23" max="23" width="104.28515625" bestFit="1" customWidth="1"/>
  </cols>
  <sheetData>
    <row r="1" spans="1:14">
      <c r="A1" s="6" t="s">
        <v>663</v>
      </c>
      <c r="B1" s="101" t="s">
        <v>664</v>
      </c>
      <c r="C1" s="101" t="s">
        <v>665</v>
      </c>
      <c r="D1" s="101" t="s">
        <v>67</v>
      </c>
      <c r="E1" s="101" t="s">
        <v>666</v>
      </c>
      <c r="F1" s="101" t="s">
        <v>667</v>
      </c>
      <c r="G1" s="101" t="s">
        <v>240</v>
      </c>
      <c r="H1" s="101" t="s">
        <v>668</v>
      </c>
      <c r="I1" s="101" t="s">
        <v>669</v>
      </c>
      <c r="J1" s="101" t="s">
        <v>68</v>
      </c>
      <c r="K1" s="101" t="s">
        <v>670</v>
      </c>
      <c r="L1" s="49"/>
      <c r="M1" s="120"/>
    </row>
    <row r="2" spans="1:14">
      <c r="A2" t="s">
        <v>671</v>
      </c>
      <c r="B2" t="s">
        <v>672</v>
      </c>
      <c r="C2" t="s">
        <v>673</v>
      </c>
      <c r="D2" t="s">
        <v>137</v>
      </c>
      <c r="E2">
        <f>_xlfn.XLOOKUP(D2,'Resumen Estudiantes y Profesore'!B:B,'Resumen Estudiantes y Profesore'!A:A)</f>
        <v>202</v>
      </c>
      <c r="F2" t="s">
        <v>243</v>
      </c>
      <c r="G2" t="s">
        <v>246</v>
      </c>
      <c r="H2" t="s">
        <v>246</v>
      </c>
      <c r="I2" t="s">
        <v>674</v>
      </c>
      <c r="J2" t="s">
        <v>138</v>
      </c>
      <c r="K2" s="120" t="s">
        <v>675</v>
      </c>
      <c r="N2" s="49"/>
    </row>
    <row r="3" spans="1:14">
      <c r="A3" t="s">
        <v>676</v>
      </c>
      <c r="B3" t="s">
        <v>677</v>
      </c>
      <c r="C3" t="s">
        <v>678</v>
      </c>
      <c r="D3" t="s">
        <v>180</v>
      </c>
      <c r="E3">
        <f>_xlfn.XLOOKUP(D3,'Resumen Estudiantes y Profesore'!B:B,'Resumen Estudiantes y Profesore'!A:A)</f>
        <v>74</v>
      </c>
      <c r="F3" t="s">
        <v>243</v>
      </c>
      <c r="G3" t="s">
        <v>246</v>
      </c>
      <c r="H3" t="s">
        <v>246</v>
      </c>
      <c r="I3" t="s">
        <v>674</v>
      </c>
      <c r="J3" t="s">
        <v>89</v>
      </c>
      <c r="K3" s="120" t="s">
        <v>679</v>
      </c>
      <c r="N3" s="49"/>
    </row>
    <row r="4" spans="1:14">
      <c r="A4" t="s">
        <v>680</v>
      </c>
      <c r="B4" t="s">
        <v>681</v>
      </c>
      <c r="C4" t="s">
        <v>448</v>
      </c>
      <c r="D4" t="s">
        <v>35</v>
      </c>
      <c r="E4">
        <f>_xlfn.XLOOKUP(D4,'Resumen Estudiantes y Profesore'!B:B,'Resumen Estudiantes y Profesore'!A:A)</f>
        <v>40</v>
      </c>
      <c r="F4" t="s">
        <v>243</v>
      </c>
      <c r="G4" t="s">
        <v>246</v>
      </c>
      <c r="H4" t="s">
        <v>246</v>
      </c>
      <c r="I4" t="s">
        <v>682</v>
      </c>
      <c r="J4" t="s">
        <v>89</v>
      </c>
      <c r="K4" s="120" t="s">
        <v>683</v>
      </c>
      <c r="N4" s="49"/>
    </row>
    <row r="5" spans="1:14">
      <c r="A5" t="s">
        <v>684</v>
      </c>
      <c r="B5" t="s">
        <v>685</v>
      </c>
      <c r="C5" t="s">
        <v>432</v>
      </c>
      <c r="D5" t="s">
        <v>41</v>
      </c>
      <c r="E5">
        <f>_xlfn.XLOOKUP(D5,'Resumen Estudiantes y Profesore'!B:B,'Resumen Estudiantes y Profesore'!A:A)</f>
        <v>31</v>
      </c>
      <c r="F5" t="s">
        <v>243</v>
      </c>
      <c r="G5" t="s">
        <v>246</v>
      </c>
      <c r="H5" t="s">
        <v>246</v>
      </c>
      <c r="I5" t="s">
        <v>682</v>
      </c>
      <c r="J5" t="s">
        <v>85</v>
      </c>
      <c r="K5" s="120" t="s">
        <v>686</v>
      </c>
      <c r="N5" s="49"/>
    </row>
    <row r="6" spans="1:14">
      <c r="A6" t="s">
        <v>687</v>
      </c>
      <c r="B6" t="s">
        <v>688</v>
      </c>
      <c r="C6" t="s">
        <v>451</v>
      </c>
      <c r="D6" t="s">
        <v>38</v>
      </c>
      <c r="E6">
        <f>_xlfn.XLOOKUP(D6,'Resumen Estudiantes y Profesore'!B:B,'Resumen Estudiantes y Profesore'!A:A)</f>
        <v>42</v>
      </c>
      <c r="F6" t="s">
        <v>243</v>
      </c>
      <c r="G6" t="s">
        <v>246</v>
      </c>
      <c r="H6" t="s">
        <v>246</v>
      </c>
      <c r="I6" t="s">
        <v>682</v>
      </c>
      <c r="J6" t="s">
        <v>90</v>
      </c>
      <c r="K6" s="120" t="s">
        <v>689</v>
      </c>
      <c r="N6" s="49"/>
    </row>
    <row r="7" spans="1:14">
      <c r="A7" t="s">
        <v>690</v>
      </c>
      <c r="B7" t="s">
        <v>691</v>
      </c>
      <c r="C7" t="s">
        <v>692</v>
      </c>
      <c r="D7" t="s">
        <v>133</v>
      </c>
      <c r="E7">
        <f>_xlfn.XLOOKUP(D7,'Resumen Estudiantes y Profesore'!B:B,'Resumen Estudiantes y Profesore'!A:A)</f>
        <v>101</v>
      </c>
      <c r="F7" t="s">
        <v>243</v>
      </c>
      <c r="G7" t="s">
        <v>246</v>
      </c>
      <c r="H7" t="s">
        <v>246</v>
      </c>
      <c r="I7" t="s">
        <v>674</v>
      </c>
      <c r="J7" t="s">
        <v>84</v>
      </c>
      <c r="K7" s="120" t="s">
        <v>693</v>
      </c>
      <c r="N7" s="49"/>
    </row>
    <row r="8" spans="1:14">
      <c r="A8" t="s">
        <v>694</v>
      </c>
      <c r="B8" t="s">
        <v>695</v>
      </c>
      <c r="C8" t="s">
        <v>696</v>
      </c>
      <c r="D8" t="s">
        <v>164</v>
      </c>
      <c r="E8">
        <f>_xlfn.XLOOKUP(D8,'Resumen Estudiantes y Profesore'!B:B,'Resumen Estudiantes y Profesore'!A:A)</f>
        <v>126</v>
      </c>
      <c r="F8" t="s">
        <v>243</v>
      </c>
      <c r="G8" t="s">
        <v>246</v>
      </c>
      <c r="H8" t="s">
        <v>246</v>
      </c>
      <c r="I8" t="s">
        <v>674</v>
      </c>
      <c r="J8" t="s">
        <v>138</v>
      </c>
      <c r="K8" s="120" t="s">
        <v>697</v>
      </c>
      <c r="N8" s="49"/>
    </row>
    <row r="9" spans="1:14">
      <c r="A9" t="s">
        <v>694</v>
      </c>
      <c r="B9" t="s">
        <v>698</v>
      </c>
      <c r="C9" t="s">
        <v>699</v>
      </c>
      <c r="D9" t="s">
        <v>144</v>
      </c>
      <c r="E9">
        <f>_xlfn.XLOOKUP(D9,'Resumen Estudiantes y Profesore'!B:B,'Resumen Estudiantes y Profesore'!A:A)</f>
        <v>118</v>
      </c>
      <c r="F9" t="s">
        <v>243</v>
      </c>
      <c r="G9" t="s">
        <v>246</v>
      </c>
      <c r="H9" t="s">
        <v>246</v>
      </c>
      <c r="I9" t="s">
        <v>674</v>
      </c>
      <c r="J9" t="s">
        <v>138</v>
      </c>
      <c r="K9" s="120" t="s">
        <v>700</v>
      </c>
      <c r="N9" s="49"/>
    </row>
    <row r="10" spans="1:14">
      <c r="A10" t="s">
        <v>694</v>
      </c>
      <c r="B10" t="s">
        <v>701</v>
      </c>
      <c r="C10" t="s">
        <v>702</v>
      </c>
      <c r="D10" t="s">
        <v>150</v>
      </c>
      <c r="E10">
        <f>_xlfn.XLOOKUP(D10,'Resumen Estudiantes y Profesore'!B:B,'Resumen Estudiantes y Profesore'!A:A)</f>
        <v>203</v>
      </c>
      <c r="F10" t="s">
        <v>243</v>
      </c>
      <c r="G10" t="s">
        <v>246</v>
      </c>
      <c r="H10" t="s">
        <v>246</v>
      </c>
      <c r="I10" t="s">
        <v>674</v>
      </c>
      <c r="J10" t="s">
        <v>138</v>
      </c>
      <c r="K10" s="120" t="s">
        <v>703</v>
      </c>
      <c r="N10" s="49"/>
    </row>
    <row r="11" spans="1:14">
      <c r="A11" t="s">
        <v>704</v>
      </c>
      <c r="B11" t="s">
        <v>705</v>
      </c>
      <c r="C11" t="s">
        <v>458</v>
      </c>
      <c r="D11" t="s">
        <v>187</v>
      </c>
      <c r="E11">
        <f>_xlfn.XLOOKUP(D11,'Resumen Estudiantes y Profesore'!B:B,'Resumen Estudiantes y Profesore'!A:A)</f>
        <v>55</v>
      </c>
      <c r="F11" t="s">
        <v>243</v>
      </c>
      <c r="G11" t="s">
        <v>246</v>
      </c>
      <c r="H11" t="s">
        <v>246</v>
      </c>
      <c r="I11" t="s">
        <v>674</v>
      </c>
      <c r="J11" t="s">
        <v>84</v>
      </c>
      <c r="K11" s="120" t="s">
        <v>706</v>
      </c>
      <c r="N11" s="49"/>
    </row>
    <row r="12" spans="1:14">
      <c r="A12" t="s">
        <v>707</v>
      </c>
      <c r="B12" t="s">
        <v>708</v>
      </c>
      <c r="C12" t="s">
        <v>709</v>
      </c>
      <c r="D12" t="s">
        <v>153</v>
      </c>
      <c r="E12">
        <f>_xlfn.XLOOKUP(D12,'Resumen Estudiantes y Profesore'!B:B,'Resumen Estudiantes y Profesore'!A:A)</f>
        <v>104</v>
      </c>
      <c r="F12" t="s">
        <v>243</v>
      </c>
      <c r="G12" t="s">
        <v>246</v>
      </c>
      <c r="H12" t="s">
        <v>246</v>
      </c>
      <c r="I12" t="s">
        <v>674</v>
      </c>
      <c r="J12" t="s">
        <v>87</v>
      </c>
      <c r="K12" s="120" t="s">
        <v>710</v>
      </c>
      <c r="N12" s="49"/>
    </row>
    <row r="13" spans="1:14">
      <c r="A13" t="s">
        <v>707</v>
      </c>
      <c r="B13" t="s">
        <v>711</v>
      </c>
      <c r="C13" t="s">
        <v>712</v>
      </c>
      <c r="D13" t="s">
        <v>154</v>
      </c>
      <c r="E13">
        <f>_xlfn.XLOOKUP(D13,'Resumen Estudiantes y Profesore'!B:B,'Resumen Estudiantes y Profesore'!A:A)</f>
        <v>105</v>
      </c>
      <c r="F13" t="s">
        <v>243</v>
      </c>
      <c r="G13" t="s">
        <v>246</v>
      </c>
      <c r="H13" t="s">
        <v>246</v>
      </c>
      <c r="I13" t="s">
        <v>674</v>
      </c>
      <c r="J13" t="s">
        <v>87</v>
      </c>
      <c r="K13" s="120" t="s">
        <v>713</v>
      </c>
      <c r="N13" s="49"/>
    </row>
    <row r="14" spans="1:14">
      <c r="A14" t="s">
        <v>707</v>
      </c>
      <c r="B14" t="s">
        <v>714</v>
      </c>
      <c r="C14" t="s">
        <v>715</v>
      </c>
      <c r="D14" t="s">
        <v>197</v>
      </c>
      <c r="E14">
        <f>_xlfn.XLOOKUP(D14,'Resumen Estudiantes y Profesore'!B:B,'Resumen Estudiantes y Profesore'!A:A)</f>
        <v>67</v>
      </c>
      <c r="F14" t="s">
        <v>243</v>
      </c>
      <c r="G14" t="s">
        <v>246</v>
      </c>
      <c r="H14" t="s">
        <v>246</v>
      </c>
      <c r="I14" t="s">
        <v>674</v>
      </c>
      <c r="J14" t="s">
        <v>87</v>
      </c>
      <c r="K14" s="120" t="s">
        <v>716</v>
      </c>
      <c r="N14" s="49"/>
    </row>
    <row r="15" spans="1:14">
      <c r="A15" t="s">
        <v>707</v>
      </c>
      <c r="B15" t="s">
        <v>717</v>
      </c>
      <c r="C15" t="s">
        <v>718</v>
      </c>
      <c r="D15" t="s">
        <v>212</v>
      </c>
      <c r="E15">
        <f>_xlfn.XLOOKUP(D15,'Resumen Estudiantes y Profesore'!B:B,'Resumen Estudiantes y Profesore'!A:A)</f>
        <v>94</v>
      </c>
      <c r="F15" t="s">
        <v>243</v>
      </c>
      <c r="G15" t="s">
        <v>246</v>
      </c>
      <c r="H15" t="s">
        <v>246</v>
      </c>
      <c r="I15" t="s">
        <v>674</v>
      </c>
      <c r="J15" t="s">
        <v>87</v>
      </c>
      <c r="K15" s="120" t="s">
        <v>719</v>
      </c>
      <c r="N15" s="49"/>
    </row>
    <row r="16" spans="1:14">
      <c r="A16" t="s">
        <v>707</v>
      </c>
      <c r="B16" t="s">
        <v>720</v>
      </c>
      <c r="C16" t="s">
        <v>721</v>
      </c>
      <c r="D16" t="s">
        <v>181</v>
      </c>
      <c r="E16">
        <f>_xlfn.XLOOKUP(D16,'Resumen Estudiantes y Profesore'!B:B,'Resumen Estudiantes y Profesore'!A:A)</f>
        <v>95</v>
      </c>
      <c r="F16" t="s">
        <v>243</v>
      </c>
      <c r="G16" t="s">
        <v>246</v>
      </c>
      <c r="H16" t="s">
        <v>246</v>
      </c>
      <c r="I16" t="s">
        <v>674</v>
      </c>
      <c r="J16" t="s">
        <v>182</v>
      </c>
      <c r="K16" s="120" t="s">
        <v>722</v>
      </c>
      <c r="N16" s="49"/>
    </row>
    <row r="17" spans="1:14">
      <c r="A17" t="s">
        <v>723</v>
      </c>
      <c r="B17" t="s">
        <v>724</v>
      </c>
      <c r="C17" t="s">
        <v>458</v>
      </c>
      <c r="D17" t="s">
        <v>187</v>
      </c>
      <c r="E17">
        <f>_xlfn.XLOOKUP(D17,'Resumen Estudiantes y Profesore'!B:B,'Resumen Estudiantes y Profesore'!A:A)</f>
        <v>55</v>
      </c>
      <c r="F17" t="s">
        <v>243</v>
      </c>
      <c r="G17" t="s">
        <v>246</v>
      </c>
      <c r="H17" t="s">
        <v>246</v>
      </c>
      <c r="I17" t="s">
        <v>674</v>
      </c>
      <c r="J17" t="s">
        <v>84</v>
      </c>
      <c r="K17" s="120" t="s">
        <v>725</v>
      </c>
      <c r="N17" s="49"/>
    </row>
    <row r="18" spans="1:14">
      <c r="A18" t="s">
        <v>726</v>
      </c>
      <c r="B18" t="s">
        <v>727</v>
      </c>
      <c r="C18" t="s">
        <v>428</v>
      </c>
      <c r="D18" t="s">
        <v>25</v>
      </c>
      <c r="E18">
        <f>_xlfn.XLOOKUP(D18,'Resumen Estudiantes y Profesore'!B:B,'Resumen Estudiantes y Profesore'!A:A)</f>
        <v>28</v>
      </c>
      <c r="F18" t="s">
        <v>243</v>
      </c>
      <c r="G18" t="s">
        <v>246</v>
      </c>
      <c r="H18" t="s">
        <v>246</v>
      </c>
      <c r="I18" t="s">
        <v>682</v>
      </c>
      <c r="J18" t="s">
        <v>83</v>
      </c>
      <c r="K18" s="120" t="s">
        <v>728</v>
      </c>
      <c r="N18" s="49"/>
    </row>
    <row r="19" spans="1:14">
      <c r="A19" t="s">
        <v>729</v>
      </c>
      <c r="B19" t="s">
        <v>730</v>
      </c>
      <c r="C19" t="s">
        <v>450</v>
      </c>
      <c r="D19" t="s">
        <v>37</v>
      </c>
      <c r="E19">
        <f>_xlfn.XLOOKUP(D19,'Resumen Estudiantes y Profesore'!B:B,'Resumen Estudiantes y Profesore'!A:A)</f>
        <v>41</v>
      </c>
      <c r="F19" t="s">
        <v>243</v>
      </c>
      <c r="G19" t="s">
        <v>246</v>
      </c>
      <c r="H19" t="s">
        <v>246</v>
      </c>
      <c r="I19" t="s">
        <v>682</v>
      </c>
      <c r="J19" t="s">
        <v>89</v>
      </c>
      <c r="K19" s="120" t="s">
        <v>731</v>
      </c>
      <c r="N19" s="49"/>
    </row>
    <row r="20" spans="1:14">
      <c r="A20" t="s">
        <v>732</v>
      </c>
      <c r="B20" t="s">
        <v>733</v>
      </c>
      <c r="C20" t="s">
        <v>450</v>
      </c>
      <c r="D20" t="s">
        <v>37</v>
      </c>
      <c r="E20">
        <f>_xlfn.XLOOKUP(D20,'Resumen Estudiantes y Profesore'!B:B,'Resumen Estudiantes y Profesore'!A:A)</f>
        <v>41</v>
      </c>
      <c r="F20" t="s">
        <v>243</v>
      </c>
      <c r="G20" t="s">
        <v>246</v>
      </c>
      <c r="H20" t="s">
        <v>246</v>
      </c>
      <c r="I20" t="s">
        <v>682</v>
      </c>
      <c r="J20" t="s">
        <v>89</v>
      </c>
      <c r="K20" s="120" t="s">
        <v>734</v>
      </c>
      <c r="N20" s="49"/>
    </row>
    <row r="21" spans="1:14">
      <c r="A21" t="s">
        <v>735</v>
      </c>
      <c r="B21" t="s">
        <v>736</v>
      </c>
      <c r="C21" t="s">
        <v>428</v>
      </c>
      <c r="D21" t="s">
        <v>25</v>
      </c>
      <c r="E21">
        <f>_xlfn.XLOOKUP(D21,'Resumen Estudiantes y Profesore'!B:B,'Resumen Estudiantes y Profesore'!A:A)</f>
        <v>28</v>
      </c>
      <c r="F21" t="s">
        <v>243</v>
      </c>
      <c r="G21" t="s">
        <v>246</v>
      </c>
      <c r="H21" t="s">
        <v>246</v>
      </c>
      <c r="I21" t="s">
        <v>682</v>
      </c>
      <c r="J21" t="s">
        <v>83</v>
      </c>
      <c r="K21" s="120" t="s">
        <v>737</v>
      </c>
      <c r="N21" s="49"/>
    </row>
    <row r="22" spans="1:14">
      <c r="A22" s="49" t="s">
        <v>738</v>
      </c>
      <c r="B22" t="s">
        <v>739</v>
      </c>
      <c r="C22" t="s">
        <v>740</v>
      </c>
      <c r="D22" t="s">
        <v>172</v>
      </c>
      <c r="E22">
        <f>_xlfn.XLOOKUP(D22,'Resumen Estudiantes y Profesore'!B:B,'Resumen Estudiantes y Profesore'!A:A)</f>
        <v>136</v>
      </c>
      <c r="F22" t="s">
        <v>243</v>
      </c>
      <c r="G22" t="s">
        <v>246</v>
      </c>
      <c r="H22" t="s">
        <v>246</v>
      </c>
      <c r="I22" t="s">
        <v>674</v>
      </c>
      <c r="J22" t="s">
        <v>138</v>
      </c>
      <c r="K22" s="120" t="s">
        <v>741</v>
      </c>
      <c r="N22" s="49"/>
    </row>
    <row r="23" spans="1:14">
      <c r="A23" t="s">
        <v>742</v>
      </c>
      <c r="B23" t="s">
        <v>743</v>
      </c>
      <c r="C23" t="s">
        <v>721</v>
      </c>
      <c r="D23" t="s">
        <v>181</v>
      </c>
      <c r="E23">
        <f>_xlfn.XLOOKUP(D23,'Resumen Estudiantes y Profesore'!B:B,'Resumen Estudiantes y Profesore'!A:A)</f>
        <v>95</v>
      </c>
      <c r="F23" t="s">
        <v>243</v>
      </c>
      <c r="G23" t="s">
        <v>246</v>
      </c>
      <c r="H23" t="s">
        <v>246</v>
      </c>
      <c r="I23" t="s">
        <v>674</v>
      </c>
      <c r="J23" t="s">
        <v>182</v>
      </c>
      <c r="K23" s="120" t="s">
        <v>744</v>
      </c>
      <c r="N23" s="49"/>
    </row>
    <row r="24" spans="1:14">
      <c r="A24" t="s">
        <v>745</v>
      </c>
      <c r="B24" t="s">
        <v>746</v>
      </c>
      <c r="C24" t="s">
        <v>747</v>
      </c>
      <c r="D24" t="s">
        <v>178</v>
      </c>
      <c r="E24">
        <f>_xlfn.XLOOKUP(D24,'Resumen Estudiantes y Profesore'!B:B,'Resumen Estudiantes y Profesore'!A:A)</f>
        <v>75</v>
      </c>
      <c r="F24" t="s">
        <v>243</v>
      </c>
      <c r="G24" t="s">
        <v>246</v>
      </c>
      <c r="H24" t="s">
        <v>246</v>
      </c>
      <c r="I24" t="s">
        <v>674</v>
      </c>
      <c r="J24" t="s">
        <v>89</v>
      </c>
      <c r="K24" s="120" t="s">
        <v>748</v>
      </c>
      <c r="N24" s="49"/>
    </row>
    <row r="25" spans="1:14">
      <c r="A25" t="s">
        <v>749</v>
      </c>
      <c r="B25" t="s">
        <v>750</v>
      </c>
      <c r="C25" t="s">
        <v>93</v>
      </c>
      <c r="D25" t="s">
        <v>93</v>
      </c>
      <c r="E25">
        <f>_xlfn.XLOOKUP(D25,'Resumen Estudiantes y Profesore'!B:B,'Resumen Estudiantes y Profesore'!A:A)</f>
        <v>210</v>
      </c>
      <c r="F25" t="s">
        <v>243</v>
      </c>
      <c r="G25" t="s">
        <v>246</v>
      </c>
      <c r="H25" t="s">
        <v>246</v>
      </c>
      <c r="I25" t="s">
        <v>682</v>
      </c>
      <c r="J25" t="s">
        <v>93</v>
      </c>
      <c r="K25" s="120" t="s">
        <v>751</v>
      </c>
      <c r="N25" s="49"/>
    </row>
    <row r="26" spans="1:14">
      <c r="A26" t="s">
        <v>752</v>
      </c>
      <c r="B26" t="s">
        <v>753</v>
      </c>
      <c r="C26" t="s">
        <v>234</v>
      </c>
      <c r="D26" t="s">
        <v>234</v>
      </c>
      <c r="E26">
        <f>_xlfn.XLOOKUP(D26,'Resumen Estudiantes y Profesore'!B:B,'Resumen Estudiantes y Profesore'!A:A)</f>
        <v>153</v>
      </c>
      <c r="F26" t="s">
        <v>243</v>
      </c>
      <c r="G26" t="s">
        <v>246</v>
      </c>
      <c r="H26" t="s">
        <v>246</v>
      </c>
      <c r="I26" t="s">
        <v>682</v>
      </c>
      <c r="J26" t="s">
        <v>77</v>
      </c>
      <c r="K26" s="120" t="s">
        <v>754</v>
      </c>
      <c r="N26" s="49"/>
    </row>
    <row r="27" spans="1:14">
      <c r="A27" t="s">
        <v>755</v>
      </c>
      <c r="B27" t="s">
        <v>756</v>
      </c>
      <c r="C27" t="s">
        <v>417</v>
      </c>
      <c r="D27" t="s">
        <v>231</v>
      </c>
      <c r="E27">
        <f>_xlfn.XLOOKUP(D27,'Resumen Estudiantes y Profesore'!B:B,'Resumen Estudiantes y Profesore'!A:A)</f>
        <v>150</v>
      </c>
      <c r="F27" t="s">
        <v>243</v>
      </c>
      <c r="G27" t="s">
        <v>246</v>
      </c>
      <c r="H27" t="s">
        <v>246</v>
      </c>
      <c r="I27" t="s">
        <v>682</v>
      </c>
      <c r="J27" t="s">
        <v>77</v>
      </c>
      <c r="K27" s="120" t="s">
        <v>757</v>
      </c>
      <c r="N27" s="49"/>
    </row>
    <row r="28" spans="1:14">
      <c r="A28" t="s">
        <v>758</v>
      </c>
      <c r="B28" t="s">
        <v>759</v>
      </c>
      <c r="C28" t="s">
        <v>458</v>
      </c>
      <c r="D28" t="s">
        <v>187</v>
      </c>
      <c r="E28">
        <f>_xlfn.XLOOKUP(D28,'Resumen Estudiantes y Profesore'!B:B,'Resumen Estudiantes y Profesore'!A:A)</f>
        <v>55</v>
      </c>
      <c r="F28" t="s">
        <v>243</v>
      </c>
      <c r="G28" t="s">
        <v>246</v>
      </c>
      <c r="H28" t="s">
        <v>246</v>
      </c>
      <c r="I28" t="s">
        <v>674</v>
      </c>
      <c r="J28" t="s">
        <v>84</v>
      </c>
      <c r="K28" s="120" t="s">
        <v>760</v>
      </c>
      <c r="N28" s="49"/>
    </row>
    <row r="29" spans="1:14">
      <c r="A29" t="s">
        <v>761</v>
      </c>
      <c r="B29" t="s">
        <v>762</v>
      </c>
      <c r="C29" t="s">
        <v>431</v>
      </c>
      <c r="D29" t="s">
        <v>27</v>
      </c>
      <c r="E29">
        <f>_xlfn.XLOOKUP(D29,'Resumen Estudiantes y Profesore'!B:B,'Resumen Estudiantes y Profesore'!A:A)</f>
        <v>30</v>
      </c>
      <c r="F29" t="s">
        <v>243</v>
      </c>
      <c r="G29" t="s">
        <v>246</v>
      </c>
      <c r="H29" t="s">
        <v>246</v>
      </c>
      <c r="I29" t="s">
        <v>682</v>
      </c>
      <c r="J29" t="s">
        <v>84</v>
      </c>
      <c r="K29" s="120" t="s">
        <v>763</v>
      </c>
      <c r="N29" s="49"/>
    </row>
    <row r="30" spans="1:14">
      <c r="A30" t="s">
        <v>764</v>
      </c>
      <c r="B30" t="s">
        <v>765</v>
      </c>
      <c r="C30" t="s">
        <v>721</v>
      </c>
      <c r="D30" t="s">
        <v>181</v>
      </c>
      <c r="E30">
        <f>_xlfn.XLOOKUP(D30,'Resumen Estudiantes y Profesore'!B:B,'Resumen Estudiantes y Profesore'!A:A)</f>
        <v>95</v>
      </c>
      <c r="F30" t="s">
        <v>243</v>
      </c>
      <c r="G30" t="s">
        <v>246</v>
      </c>
      <c r="H30" t="s">
        <v>246</v>
      </c>
      <c r="I30" t="s">
        <v>674</v>
      </c>
      <c r="J30" t="s">
        <v>182</v>
      </c>
      <c r="K30" s="120" t="s">
        <v>766</v>
      </c>
      <c r="N30" s="49"/>
    </row>
    <row r="31" spans="1:14">
      <c r="A31" t="s">
        <v>767</v>
      </c>
      <c r="B31" t="s">
        <v>768</v>
      </c>
      <c r="C31" t="s">
        <v>431</v>
      </c>
      <c r="D31" t="s">
        <v>27</v>
      </c>
      <c r="E31">
        <f>_xlfn.XLOOKUP(D31,'Resumen Estudiantes y Profesore'!B:B,'Resumen Estudiantes y Profesore'!A:A)</f>
        <v>30</v>
      </c>
      <c r="F31" t="s">
        <v>243</v>
      </c>
      <c r="G31" t="s">
        <v>246</v>
      </c>
      <c r="H31" t="s">
        <v>246</v>
      </c>
      <c r="I31" t="s">
        <v>682</v>
      </c>
      <c r="J31" t="s">
        <v>84</v>
      </c>
      <c r="K31" s="120" t="s">
        <v>769</v>
      </c>
      <c r="N31" s="49"/>
    </row>
    <row r="32" spans="1:14">
      <c r="A32" t="s">
        <v>770</v>
      </c>
      <c r="B32" t="s">
        <v>771</v>
      </c>
      <c r="C32" t="s">
        <v>424</v>
      </c>
      <c r="D32" t="s">
        <v>24</v>
      </c>
      <c r="E32">
        <f>_xlfn.XLOOKUP(D32,'Resumen Estudiantes y Profesore'!B:B,'Resumen Estudiantes y Profesore'!A:A)</f>
        <v>27</v>
      </c>
      <c r="F32" t="s">
        <v>243</v>
      </c>
      <c r="G32" t="s">
        <v>246</v>
      </c>
      <c r="H32" t="s">
        <v>246</v>
      </c>
      <c r="I32" t="s">
        <v>682</v>
      </c>
      <c r="J32" t="s">
        <v>83</v>
      </c>
      <c r="K32" s="120" t="s">
        <v>772</v>
      </c>
      <c r="N32" s="49"/>
    </row>
    <row r="33" spans="1:23">
      <c r="A33" t="s">
        <v>773</v>
      </c>
      <c r="B33" t="s">
        <v>774</v>
      </c>
      <c r="C33" t="s">
        <v>237</v>
      </c>
      <c r="D33" t="s">
        <v>237</v>
      </c>
      <c r="E33">
        <f>_xlfn.XLOOKUP(D33,'Resumen Estudiantes y Profesore'!B:B,'Resumen Estudiantes y Profesore'!A:A)</f>
        <v>156</v>
      </c>
      <c r="F33" t="s">
        <v>243</v>
      </c>
      <c r="G33" t="s">
        <v>246</v>
      </c>
      <c r="H33" t="s">
        <v>246</v>
      </c>
      <c r="I33" t="s">
        <v>682</v>
      </c>
      <c r="J33" t="s">
        <v>77</v>
      </c>
      <c r="K33" s="120" t="s">
        <v>775</v>
      </c>
      <c r="N33" s="49"/>
    </row>
    <row r="34" spans="1:23" s="81" customFormat="1">
      <c r="A34" t="s">
        <v>776</v>
      </c>
      <c r="B34" t="s">
        <v>777</v>
      </c>
      <c r="C34" t="s">
        <v>428</v>
      </c>
      <c r="D34" t="s">
        <v>25</v>
      </c>
      <c r="E34">
        <f>_xlfn.XLOOKUP(D34,'Resumen Estudiantes y Profesore'!B:B,'Resumen Estudiantes y Profesore'!A:A)</f>
        <v>28</v>
      </c>
      <c r="F34" t="s">
        <v>243</v>
      </c>
      <c r="G34" t="s">
        <v>246</v>
      </c>
      <c r="H34" t="s">
        <v>246</v>
      </c>
      <c r="I34" t="s">
        <v>682</v>
      </c>
      <c r="J34" t="s">
        <v>83</v>
      </c>
      <c r="K34" s="120" t="s">
        <v>778</v>
      </c>
      <c r="L34"/>
      <c r="M34"/>
      <c r="N34" s="49"/>
      <c r="O34"/>
      <c r="P34"/>
      <c r="Q34"/>
      <c r="R34"/>
      <c r="S34"/>
      <c r="T34"/>
      <c r="U34"/>
      <c r="V34"/>
      <c r="W34"/>
    </row>
    <row r="35" spans="1:23">
      <c r="A35" t="s">
        <v>779</v>
      </c>
      <c r="B35" t="s">
        <v>780</v>
      </c>
      <c r="C35" t="s">
        <v>781</v>
      </c>
      <c r="D35" t="s">
        <v>131</v>
      </c>
      <c r="E35">
        <f>_xlfn.XLOOKUP(D35,'Resumen Estudiantes y Profesore'!B:B,'Resumen Estudiantes y Profesore'!A:A)</f>
        <v>99</v>
      </c>
      <c r="F35" t="s">
        <v>243</v>
      </c>
      <c r="G35" t="s">
        <v>246</v>
      </c>
      <c r="H35" t="s">
        <v>246</v>
      </c>
      <c r="I35" t="s">
        <v>674</v>
      </c>
      <c r="J35" t="s">
        <v>84</v>
      </c>
      <c r="K35" s="120" t="s">
        <v>782</v>
      </c>
      <c r="N35" s="49"/>
    </row>
    <row r="36" spans="1:23">
      <c r="A36" t="s">
        <v>783</v>
      </c>
      <c r="B36" t="s">
        <v>784</v>
      </c>
      <c r="C36" t="s">
        <v>785</v>
      </c>
      <c r="D36" t="s">
        <v>198</v>
      </c>
      <c r="E36">
        <f>_xlfn.XLOOKUP(D36,'Resumen Estudiantes y Profesore'!B:B,'Resumen Estudiantes y Profesore'!A:A)</f>
        <v>45</v>
      </c>
      <c r="F36" t="s">
        <v>243</v>
      </c>
      <c r="G36" t="s">
        <v>246</v>
      </c>
      <c r="H36" t="s">
        <v>246</v>
      </c>
      <c r="I36" t="s">
        <v>674</v>
      </c>
      <c r="J36" t="s">
        <v>77</v>
      </c>
      <c r="K36" s="120" t="s">
        <v>786</v>
      </c>
      <c r="N36" s="49"/>
    </row>
    <row r="37" spans="1:23">
      <c r="A37" t="s">
        <v>783</v>
      </c>
      <c r="B37" t="s">
        <v>787</v>
      </c>
      <c r="C37" t="s">
        <v>788</v>
      </c>
      <c r="D37" t="s">
        <v>214</v>
      </c>
      <c r="E37">
        <f>_xlfn.XLOOKUP(D37,'Resumen Estudiantes y Profesore'!B:B,'Resumen Estudiantes y Profesore'!A:A)</f>
        <v>207</v>
      </c>
      <c r="F37" t="s">
        <v>243</v>
      </c>
      <c r="G37" t="s">
        <v>246</v>
      </c>
      <c r="H37" t="s">
        <v>246</v>
      </c>
      <c r="I37" t="s">
        <v>674</v>
      </c>
      <c r="J37" t="s">
        <v>77</v>
      </c>
      <c r="K37" s="120" t="s">
        <v>789</v>
      </c>
      <c r="N37" s="49"/>
    </row>
    <row r="38" spans="1:23">
      <c r="A38" t="s">
        <v>790</v>
      </c>
      <c r="B38" t="s">
        <v>791</v>
      </c>
      <c r="C38" t="s">
        <v>417</v>
      </c>
      <c r="D38" t="s">
        <v>231</v>
      </c>
      <c r="E38">
        <f>_xlfn.XLOOKUP(D38,'Resumen Estudiantes y Profesore'!B:B,'Resumen Estudiantes y Profesore'!A:A)</f>
        <v>150</v>
      </c>
      <c r="F38" t="s">
        <v>243</v>
      </c>
      <c r="G38" t="s">
        <v>246</v>
      </c>
      <c r="H38" t="s">
        <v>246</v>
      </c>
      <c r="I38" t="s">
        <v>682</v>
      </c>
      <c r="J38" t="s">
        <v>77</v>
      </c>
      <c r="K38" s="120" t="s">
        <v>792</v>
      </c>
      <c r="N38" s="49"/>
    </row>
    <row r="39" spans="1:23">
      <c r="A39" t="s">
        <v>793</v>
      </c>
      <c r="B39" t="s">
        <v>794</v>
      </c>
      <c r="C39" t="s">
        <v>747</v>
      </c>
      <c r="D39" t="s">
        <v>178</v>
      </c>
      <c r="E39">
        <f>_xlfn.XLOOKUP(D39,'Resumen Estudiantes y Profesore'!B:B,'Resumen Estudiantes y Profesore'!A:A)</f>
        <v>75</v>
      </c>
      <c r="F39" t="s">
        <v>243</v>
      </c>
      <c r="G39" t="s">
        <v>246</v>
      </c>
      <c r="H39" t="s">
        <v>246</v>
      </c>
      <c r="I39" t="s">
        <v>674</v>
      </c>
      <c r="J39" t="s">
        <v>89</v>
      </c>
      <c r="K39" s="120" t="s">
        <v>795</v>
      </c>
      <c r="N39" s="49"/>
    </row>
    <row r="40" spans="1:23">
      <c r="A40" t="s">
        <v>793</v>
      </c>
      <c r="B40" t="s">
        <v>796</v>
      </c>
      <c r="C40" t="s">
        <v>444</v>
      </c>
      <c r="D40" t="s">
        <v>33</v>
      </c>
      <c r="E40">
        <f>_xlfn.XLOOKUP(D40,'Resumen Estudiantes y Profesore'!B:B,'Resumen Estudiantes y Profesore'!A:A)</f>
        <v>38</v>
      </c>
      <c r="F40" t="s">
        <v>243</v>
      </c>
      <c r="G40" t="s">
        <v>246</v>
      </c>
      <c r="H40" t="s">
        <v>246</v>
      </c>
      <c r="I40" t="s">
        <v>682</v>
      </c>
      <c r="J40" t="s">
        <v>89</v>
      </c>
      <c r="K40" s="120" t="s">
        <v>797</v>
      </c>
      <c r="N40" s="49"/>
    </row>
    <row r="41" spans="1:23">
      <c r="A41" t="s">
        <v>798</v>
      </c>
      <c r="B41" t="s">
        <v>799</v>
      </c>
      <c r="C41" t="s">
        <v>428</v>
      </c>
      <c r="D41" t="s">
        <v>25</v>
      </c>
      <c r="E41">
        <f>_xlfn.XLOOKUP(D41,'Resumen Estudiantes y Profesore'!B:B,'Resumen Estudiantes y Profesore'!A:A)</f>
        <v>28</v>
      </c>
      <c r="F41" t="s">
        <v>243</v>
      </c>
      <c r="G41" t="s">
        <v>246</v>
      </c>
      <c r="H41" t="s">
        <v>246</v>
      </c>
      <c r="I41" t="s">
        <v>682</v>
      </c>
      <c r="J41" t="s">
        <v>83</v>
      </c>
      <c r="K41" s="120" t="s">
        <v>800</v>
      </c>
      <c r="N41" s="49"/>
    </row>
    <row r="42" spans="1:23">
      <c r="A42" t="s">
        <v>801</v>
      </c>
      <c r="B42" t="s">
        <v>802</v>
      </c>
      <c r="C42" t="s">
        <v>453</v>
      </c>
      <c r="D42" t="s">
        <v>39</v>
      </c>
      <c r="E42">
        <f>_xlfn.XLOOKUP(D42,'Resumen Estudiantes y Profesore'!B:B,'Resumen Estudiantes y Profesore'!A:A)</f>
        <v>43</v>
      </c>
      <c r="F42" t="s">
        <v>243</v>
      </c>
      <c r="G42" t="s">
        <v>246</v>
      </c>
      <c r="H42" t="s">
        <v>246</v>
      </c>
      <c r="I42" t="s">
        <v>682</v>
      </c>
      <c r="J42" t="s">
        <v>91</v>
      </c>
      <c r="K42" s="120" t="s">
        <v>803</v>
      </c>
      <c r="N42" s="49"/>
    </row>
    <row r="43" spans="1:23">
      <c r="A43" t="s">
        <v>804</v>
      </c>
      <c r="B43" t="s">
        <v>805</v>
      </c>
      <c r="C43" t="s">
        <v>431</v>
      </c>
      <c r="D43" t="s">
        <v>27</v>
      </c>
      <c r="E43">
        <f>_xlfn.XLOOKUP(D43,'Resumen Estudiantes y Profesore'!B:B,'Resumen Estudiantes y Profesore'!A:A)</f>
        <v>30</v>
      </c>
      <c r="F43" t="s">
        <v>243</v>
      </c>
      <c r="G43" t="s">
        <v>246</v>
      </c>
      <c r="H43" t="s">
        <v>246</v>
      </c>
      <c r="I43" t="s">
        <v>682</v>
      </c>
      <c r="J43" t="s">
        <v>84</v>
      </c>
      <c r="K43" s="120" t="s">
        <v>806</v>
      </c>
      <c r="N43" s="49"/>
    </row>
    <row r="44" spans="1:23">
      <c r="A44" t="s">
        <v>807</v>
      </c>
      <c r="B44" t="s">
        <v>808</v>
      </c>
      <c r="C44" t="s">
        <v>678</v>
      </c>
      <c r="D44" t="s">
        <v>180</v>
      </c>
      <c r="E44">
        <f>_xlfn.XLOOKUP(D44,'Resumen Estudiantes y Profesore'!B:B,'Resumen Estudiantes y Profesore'!A:A)</f>
        <v>74</v>
      </c>
      <c r="F44" t="s">
        <v>243</v>
      </c>
      <c r="G44" t="s">
        <v>246</v>
      </c>
      <c r="H44" t="s">
        <v>246</v>
      </c>
      <c r="I44" t="s">
        <v>674</v>
      </c>
      <c r="J44" t="s">
        <v>89</v>
      </c>
      <c r="K44" s="120" t="s">
        <v>809</v>
      </c>
      <c r="N44" s="49"/>
    </row>
    <row r="45" spans="1:23">
      <c r="A45" t="s">
        <v>807</v>
      </c>
      <c r="B45" t="s">
        <v>810</v>
      </c>
      <c r="C45" t="s">
        <v>444</v>
      </c>
      <c r="D45" t="s">
        <v>33</v>
      </c>
      <c r="E45">
        <f>_xlfn.XLOOKUP(D45,'Resumen Estudiantes y Profesore'!B:B,'Resumen Estudiantes y Profesore'!A:A)</f>
        <v>38</v>
      </c>
      <c r="F45" t="s">
        <v>243</v>
      </c>
      <c r="G45" t="s">
        <v>246</v>
      </c>
      <c r="H45" t="s">
        <v>246</v>
      </c>
      <c r="I45" t="s">
        <v>682</v>
      </c>
      <c r="J45" t="s">
        <v>89</v>
      </c>
      <c r="K45" s="120" t="s">
        <v>811</v>
      </c>
      <c r="N45" s="49"/>
    </row>
    <row r="46" spans="1:23">
      <c r="A46" t="s">
        <v>812</v>
      </c>
      <c r="B46" t="s">
        <v>813</v>
      </c>
      <c r="C46" t="s">
        <v>464</v>
      </c>
      <c r="D46" t="s">
        <v>192</v>
      </c>
      <c r="E46">
        <f>_xlfn.XLOOKUP(D46,'Resumen Estudiantes y Profesore'!B:B,'Resumen Estudiantes y Profesore'!A:A)</f>
        <v>65</v>
      </c>
      <c r="F46" t="s">
        <v>243</v>
      </c>
      <c r="G46" t="s">
        <v>246</v>
      </c>
      <c r="H46" t="s">
        <v>246</v>
      </c>
      <c r="I46" t="s">
        <v>674</v>
      </c>
      <c r="J46" t="s">
        <v>85</v>
      </c>
      <c r="K46" s="120" t="s">
        <v>814</v>
      </c>
      <c r="N46" s="49"/>
    </row>
    <row r="47" spans="1:23">
      <c r="A47" t="s">
        <v>815</v>
      </c>
      <c r="B47" t="s">
        <v>816</v>
      </c>
      <c r="C47" t="s">
        <v>234</v>
      </c>
      <c r="D47" t="s">
        <v>234</v>
      </c>
      <c r="E47">
        <f>_xlfn.XLOOKUP(D47,'Resumen Estudiantes y Profesore'!B:B,'Resumen Estudiantes y Profesore'!A:A)</f>
        <v>153</v>
      </c>
      <c r="F47" t="s">
        <v>243</v>
      </c>
      <c r="G47" t="s">
        <v>246</v>
      </c>
      <c r="H47" t="s">
        <v>246</v>
      </c>
      <c r="I47" t="s">
        <v>682</v>
      </c>
      <c r="J47" t="s">
        <v>77</v>
      </c>
      <c r="K47" s="120" t="s">
        <v>817</v>
      </c>
      <c r="N47" s="49"/>
    </row>
    <row r="48" spans="1:23">
      <c r="A48" t="s">
        <v>818</v>
      </c>
      <c r="B48" t="s">
        <v>819</v>
      </c>
      <c r="C48" t="s">
        <v>446</v>
      </c>
      <c r="D48" t="s">
        <v>34</v>
      </c>
      <c r="E48">
        <f>_xlfn.XLOOKUP(D48,'Resumen Estudiantes y Profesore'!B:B,'Resumen Estudiantes y Profesore'!A:A)</f>
        <v>39</v>
      </c>
      <c r="F48" t="s">
        <v>243</v>
      </c>
      <c r="G48" t="s">
        <v>246</v>
      </c>
      <c r="H48" t="s">
        <v>246</v>
      </c>
      <c r="I48" t="s">
        <v>682</v>
      </c>
      <c r="J48" t="s">
        <v>89</v>
      </c>
      <c r="K48" s="120" t="s">
        <v>820</v>
      </c>
      <c r="N48" s="49"/>
    </row>
    <row r="49" spans="1:23" s="81" customFormat="1">
      <c r="A49" t="s">
        <v>821</v>
      </c>
      <c r="B49" t="s">
        <v>822</v>
      </c>
      <c r="C49" t="s">
        <v>453</v>
      </c>
      <c r="D49" t="s">
        <v>39</v>
      </c>
      <c r="E49">
        <f>_xlfn.XLOOKUP(D49,'Resumen Estudiantes y Profesore'!B:B,'Resumen Estudiantes y Profesore'!A:A)</f>
        <v>43</v>
      </c>
      <c r="F49" t="s">
        <v>243</v>
      </c>
      <c r="G49" t="s">
        <v>246</v>
      </c>
      <c r="H49" t="s">
        <v>246</v>
      </c>
      <c r="I49" t="s">
        <v>682</v>
      </c>
      <c r="J49" t="s">
        <v>91</v>
      </c>
      <c r="K49" s="120" t="s">
        <v>823</v>
      </c>
      <c r="L49"/>
      <c r="M49"/>
      <c r="N49" s="49"/>
      <c r="O49"/>
      <c r="P49"/>
      <c r="Q49"/>
      <c r="R49"/>
      <c r="S49"/>
      <c r="T49"/>
      <c r="U49"/>
      <c r="V49"/>
      <c r="W49"/>
    </row>
    <row r="50" spans="1:23">
      <c r="A50" t="s">
        <v>824</v>
      </c>
      <c r="B50" t="s">
        <v>825</v>
      </c>
      <c r="C50" t="s">
        <v>237</v>
      </c>
      <c r="D50" t="s">
        <v>237</v>
      </c>
      <c r="E50">
        <f>_xlfn.XLOOKUP(D50,'Resumen Estudiantes y Profesore'!B:B,'Resumen Estudiantes y Profesore'!A:A)</f>
        <v>156</v>
      </c>
      <c r="F50" t="s">
        <v>243</v>
      </c>
      <c r="G50" t="s">
        <v>246</v>
      </c>
      <c r="H50" t="s">
        <v>246</v>
      </c>
      <c r="I50" t="s">
        <v>682</v>
      </c>
      <c r="J50" t="s">
        <v>77</v>
      </c>
      <c r="K50" s="120" t="s">
        <v>826</v>
      </c>
      <c r="N50" s="49"/>
    </row>
    <row r="51" spans="1:23">
      <c r="A51" t="s">
        <v>827</v>
      </c>
      <c r="B51" t="s">
        <v>828</v>
      </c>
      <c r="C51" t="s">
        <v>418</v>
      </c>
      <c r="D51" t="s">
        <v>232</v>
      </c>
      <c r="E51">
        <f>_xlfn.XLOOKUP(D51,'Resumen Estudiantes y Profesore'!B:B,'Resumen Estudiantes y Profesore'!A:A)</f>
        <v>151</v>
      </c>
      <c r="F51" t="s">
        <v>243</v>
      </c>
      <c r="G51" t="s">
        <v>246</v>
      </c>
      <c r="H51" t="s">
        <v>246</v>
      </c>
      <c r="I51" t="s">
        <v>682</v>
      </c>
      <c r="J51" t="s">
        <v>77</v>
      </c>
      <c r="K51" s="120" t="s">
        <v>829</v>
      </c>
      <c r="N51" s="49"/>
    </row>
    <row r="52" spans="1:23">
      <c r="A52" t="s">
        <v>830</v>
      </c>
      <c r="B52" t="s">
        <v>831</v>
      </c>
      <c r="C52" t="s">
        <v>234</v>
      </c>
      <c r="D52" t="s">
        <v>234</v>
      </c>
      <c r="E52">
        <f>_xlfn.XLOOKUP(D52,'Resumen Estudiantes y Profesore'!B:B,'Resumen Estudiantes y Profesore'!A:A)</f>
        <v>153</v>
      </c>
      <c r="F52" t="s">
        <v>243</v>
      </c>
      <c r="G52" t="s">
        <v>246</v>
      </c>
      <c r="H52" t="s">
        <v>246</v>
      </c>
      <c r="I52" t="s">
        <v>682</v>
      </c>
      <c r="J52" t="s">
        <v>77</v>
      </c>
      <c r="K52" s="120" t="s">
        <v>832</v>
      </c>
      <c r="N52" s="49"/>
    </row>
    <row r="53" spans="1:23">
      <c r="A53" t="s">
        <v>833</v>
      </c>
      <c r="B53" t="s">
        <v>834</v>
      </c>
      <c r="C53" t="s">
        <v>444</v>
      </c>
      <c r="D53" t="s">
        <v>33</v>
      </c>
      <c r="E53">
        <f>_xlfn.XLOOKUP(D53,'Resumen Estudiantes y Profesore'!B:B,'Resumen Estudiantes y Profesore'!A:A)</f>
        <v>38</v>
      </c>
      <c r="F53" t="s">
        <v>243</v>
      </c>
      <c r="G53" t="s">
        <v>246</v>
      </c>
      <c r="H53" t="s">
        <v>246</v>
      </c>
      <c r="I53" t="s">
        <v>682</v>
      </c>
      <c r="J53" t="s">
        <v>89</v>
      </c>
      <c r="K53" s="120" t="s">
        <v>835</v>
      </c>
      <c r="N53" s="49"/>
    </row>
    <row r="54" spans="1:23">
      <c r="A54" t="s">
        <v>836</v>
      </c>
      <c r="B54" t="s">
        <v>837</v>
      </c>
      <c r="C54" t="s">
        <v>458</v>
      </c>
      <c r="D54" t="s">
        <v>187</v>
      </c>
      <c r="E54">
        <f>_xlfn.XLOOKUP(D54,'Resumen Estudiantes y Profesore'!B:B,'Resumen Estudiantes y Profesore'!A:A)</f>
        <v>55</v>
      </c>
      <c r="F54" t="s">
        <v>243</v>
      </c>
      <c r="G54" t="s">
        <v>246</v>
      </c>
      <c r="H54" t="s">
        <v>246</v>
      </c>
      <c r="I54" t="s">
        <v>674</v>
      </c>
      <c r="J54" t="s">
        <v>84</v>
      </c>
      <c r="K54" s="120" t="s">
        <v>838</v>
      </c>
      <c r="N54" s="49"/>
    </row>
    <row r="55" spans="1:23">
      <c r="A55" t="s">
        <v>839</v>
      </c>
      <c r="B55" t="s">
        <v>840</v>
      </c>
      <c r="C55" t="s">
        <v>612</v>
      </c>
      <c r="D55" t="s">
        <v>177</v>
      </c>
      <c r="E55">
        <f>_xlfn.XLOOKUP(D55,'Resumen Estudiantes y Profesore'!B:B,'Resumen Estudiantes y Profesore'!A:A)</f>
        <v>122</v>
      </c>
      <c r="F55" t="s">
        <v>243</v>
      </c>
      <c r="G55" t="s">
        <v>246</v>
      </c>
      <c r="H55" t="s">
        <v>246</v>
      </c>
      <c r="I55" t="s">
        <v>674</v>
      </c>
      <c r="J55" t="s">
        <v>84</v>
      </c>
      <c r="K55" s="120" t="s">
        <v>841</v>
      </c>
      <c r="N55" s="49"/>
    </row>
    <row r="56" spans="1:23">
      <c r="A56" t="s">
        <v>842</v>
      </c>
      <c r="B56" t="s">
        <v>843</v>
      </c>
      <c r="C56" t="s">
        <v>747</v>
      </c>
      <c r="D56" t="s">
        <v>178</v>
      </c>
      <c r="E56">
        <f>_xlfn.XLOOKUP(D56,'Resumen Estudiantes y Profesore'!B:B,'Resumen Estudiantes y Profesore'!A:A)</f>
        <v>75</v>
      </c>
      <c r="F56" t="s">
        <v>243</v>
      </c>
      <c r="G56" t="s">
        <v>246</v>
      </c>
      <c r="H56" t="s">
        <v>246</v>
      </c>
      <c r="I56" t="s">
        <v>674</v>
      </c>
      <c r="J56" t="s">
        <v>89</v>
      </c>
      <c r="K56" s="120" t="s">
        <v>844</v>
      </c>
      <c r="N56" s="49"/>
    </row>
    <row r="57" spans="1:23">
      <c r="A57" t="s">
        <v>845</v>
      </c>
      <c r="B57" t="s">
        <v>846</v>
      </c>
      <c r="C57" t="s">
        <v>451</v>
      </c>
      <c r="D57" t="s">
        <v>38</v>
      </c>
      <c r="E57">
        <f>_xlfn.XLOOKUP(D57,'Resumen Estudiantes y Profesore'!B:B,'Resumen Estudiantes y Profesore'!A:A)</f>
        <v>42</v>
      </c>
      <c r="F57" t="s">
        <v>243</v>
      </c>
      <c r="G57" t="s">
        <v>246</v>
      </c>
      <c r="H57" t="s">
        <v>246</v>
      </c>
      <c r="I57" t="s">
        <v>682</v>
      </c>
      <c r="J57" t="s">
        <v>90</v>
      </c>
      <c r="K57" s="120" t="s">
        <v>847</v>
      </c>
      <c r="N57" s="49"/>
    </row>
    <row r="58" spans="1:23">
      <c r="A58" t="s">
        <v>848</v>
      </c>
      <c r="B58" t="s">
        <v>849</v>
      </c>
      <c r="C58" t="s">
        <v>93</v>
      </c>
      <c r="D58" t="s">
        <v>93</v>
      </c>
      <c r="E58">
        <f>_xlfn.XLOOKUP(D58,'Resumen Estudiantes y Profesore'!B:B,'Resumen Estudiantes y Profesore'!A:A)</f>
        <v>210</v>
      </c>
      <c r="F58" t="s">
        <v>243</v>
      </c>
      <c r="G58" t="s">
        <v>246</v>
      </c>
      <c r="H58" t="s">
        <v>246</v>
      </c>
      <c r="I58" t="s">
        <v>682</v>
      </c>
      <c r="J58" t="s">
        <v>93</v>
      </c>
      <c r="K58" s="120" t="s">
        <v>850</v>
      </c>
      <c r="N58" s="49"/>
    </row>
    <row r="59" spans="1:23">
      <c r="A59" t="s">
        <v>851</v>
      </c>
      <c r="B59" t="s">
        <v>852</v>
      </c>
      <c r="C59" t="s">
        <v>93</v>
      </c>
      <c r="D59" t="s">
        <v>93</v>
      </c>
      <c r="E59">
        <f>_xlfn.XLOOKUP(D59,'Resumen Estudiantes y Profesore'!B:B,'Resumen Estudiantes y Profesore'!A:A)</f>
        <v>210</v>
      </c>
      <c r="F59" t="s">
        <v>243</v>
      </c>
      <c r="G59" t="s">
        <v>246</v>
      </c>
      <c r="H59" t="s">
        <v>246</v>
      </c>
      <c r="I59" t="s">
        <v>682</v>
      </c>
      <c r="J59" t="s">
        <v>93</v>
      </c>
      <c r="K59" s="120" t="s">
        <v>853</v>
      </c>
      <c r="N59" s="49"/>
    </row>
    <row r="60" spans="1:23">
      <c r="A60" t="s">
        <v>854</v>
      </c>
      <c r="B60" t="s">
        <v>855</v>
      </c>
      <c r="C60" t="s">
        <v>434</v>
      </c>
      <c r="D60" t="s">
        <v>28</v>
      </c>
      <c r="E60">
        <f>_xlfn.XLOOKUP(D60,'Resumen Estudiantes y Profesore'!B:B,'Resumen Estudiantes y Profesore'!A:A)</f>
        <v>32</v>
      </c>
      <c r="F60" t="s">
        <v>243</v>
      </c>
      <c r="G60" t="s">
        <v>246</v>
      </c>
      <c r="H60" t="s">
        <v>246</v>
      </c>
      <c r="I60" t="s">
        <v>682</v>
      </c>
      <c r="J60" t="s">
        <v>85</v>
      </c>
      <c r="K60" s="120" t="s">
        <v>856</v>
      </c>
      <c r="N60" s="49"/>
    </row>
    <row r="61" spans="1:23">
      <c r="A61" t="s">
        <v>857</v>
      </c>
      <c r="B61" t="s">
        <v>858</v>
      </c>
      <c r="C61" t="s">
        <v>859</v>
      </c>
      <c r="D61" t="s">
        <v>201</v>
      </c>
      <c r="E61">
        <f>_xlfn.XLOOKUP(D61,'Resumen Estudiantes y Profesore'!B:B,'Resumen Estudiantes y Profesore'!A:A)</f>
        <v>47</v>
      </c>
      <c r="F61" t="s">
        <v>243</v>
      </c>
      <c r="G61" t="s">
        <v>246</v>
      </c>
      <c r="H61" t="s">
        <v>246</v>
      </c>
      <c r="I61" t="s">
        <v>674</v>
      </c>
      <c r="J61" t="s">
        <v>77</v>
      </c>
      <c r="K61" s="120" t="s">
        <v>860</v>
      </c>
      <c r="N61" s="49"/>
    </row>
    <row r="62" spans="1:23">
      <c r="A62" t="s">
        <v>861</v>
      </c>
      <c r="B62" t="s">
        <v>862</v>
      </c>
      <c r="C62" t="s">
        <v>93</v>
      </c>
      <c r="D62" t="s">
        <v>93</v>
      </c>
      <c r="E62">
        <f>_xlfn.XLOOKUP(D62,'Resumen Estudiantes y Profesore'!B:B,'Resumen Estudiantes y Profesore'!A:A)</f>
        <v>210</v>
      </c>
      <c r="F62" t="s">
        <v>243</v>
      </c>
      <c r="G62" t="s">
        <v>246</v>
      </c>
      <c r="H62" t="s">
        <v>246</v>
      </c>
      <c r="I62" t="s">
        <v>682</v>
      </c>
      <c r="J62" t="s">
        <v>93</v>
      </c>
      <c r="K62" s="120" t="s">
        <v>863</v>
      </c>
      <c r="N62" s="49"/>
    </row>
    <row r="63" spans="1:23">
      <c r="A63" t="s">
        <v>864</v>
      </c>
      <c r="B63" t="s">
        <v>865</v>
      </c>
      <c r="C63" t="s">
        <v>95</v>
      </c>
      <c r="D63" t="s">
        <v>251</v>
      </c>
      <c r="E63">
        <f>_xlfn.XLOOKUP(D63,'Resumen Estudiantes y Profesore'!B:B,'Resumen Estudiantes y Profesore'!A:A)</f>
        <v>211</v>
      </c>
      <c r="F63" t="s">
        <v>243</v>
      </c>
      <c r="G63" t="s">
        <v>246</v>
      </c>
      <c r="H63" t="s">
        <v>246</v>
      </c>
      <c r="I63" t="s">
        <v>682</v>
      </c>
      <c r="J63" t="s">
        <v>95</v>
      </c>
      <c r="K63" s="120" t="s">
        <v>866</v>
      </c>
      <c r="N63" s="49"/>
    </row>
    <row r="64" spans="1:23">
      <c r="A64" t="s">
        <v>867</v>
      </c>
      <c r="B64" t="s">
        <v>868</v>
      </c>
      <c r="C64" t="s">
        <v>721</v>
      </c>
      <c r="D64" t="s">
        <v>181</v>
      </c>
      <c r="E64">
        <f>_xlfn.XLOOKUP(D64,'Resumen Estudiantes y Profesore'!B:B,'Resumen Estudiantes y Profesore'!A:A)</f>
        <v>95</v>
      </c>
      <c r="F64" t="s">
        <v>243</v>
      </c>
      <c r="G64" t="s">
        <v>246</v>
      </c>
      <c r="H64" t="s">
        <v>246</v>
      </c>
      <c r="I64" t="s">
        <v>674</v>
      </c>
      <c r="J64" t="s">
        <v>182</v>
      </c>
      <c r="K64" s="120" t="s">
        <v>869</v>
      </c>
      <c r="N64" s="49"/>
    </row>
    <row r="65" spans="1:23">
      <c r="A65" t="s">
        <v>870</v>
      </c>
      <c r="B65" t="s">
        <v>871</v>
      </c>
      <c r="C65" t="s">
        <v>450</v>
      </c>
      <c r="D65" t="s">
        <v>37</v>
      </c>
      <c r="E65">
        <f>_xlfn.XLOOKUP(D65,'Resumen Estudiantes y Profesore'!B:B,'Resumen Estudiantes y Profesore'!A:A)</f>
        <v>41</v>
      </c>
      <c r="F65" t="s">
        <v>243</v>
      </c>
      <c r="G65" t="s">
        <v>246</v>
      </c>
      <c r="H65" t="s">
        <v>246</v>
      </c>
      <c r="I65" t="s">
        <v>682</v>
      </c>
      <c r="J65" t="s">
        <v>89</v>
      </c>
      <c r="K65" s="120" t="s">
        <v>872</v>
      </c>
      <c r="N65" s="49"/>
    </row>
    <row r="66" spans="1:23">
      <c r="A66" t="s">
        <v>873</v>
      </c>
      <c r="B66" t="s">
        <v>874</v>
      </c>
      <c r="C66" t="s">
        <v>446</v>
      </c>
      <c r="D66" t="s">
        <v>34</v>
      </c>
      <c r="E66">
        <f>_xlfn.XLOOKUP(D66,'Resumen Estudiantes y Profesore'!B:B,'Resumen Estudiantes y Profesore'!A:A)</f>
        <v>39</v>
      </c>
      <c r="F66" t="s">
        <v>243</v>
      </c>
      <c r="G66" t="s">
        <v>246</v>
      </c>
      <c r="H66" t="s">
        <v>246</v>
      </c>
      <c r="I66" t="s">
        <v>682</v>
      </c>
      <c r="J66" t="s">
        <v>89</v>
      </c>
      <c r="K66" s="120" t="s">
        <v>875</v>
      </c>
      <c r="N66" s="49"/>
    </row>
    <row r="67" spans="1:23">
      <c r="A67" t="s">
        <v>876</v>
      </c>
      <c r="B67" t="s">
        <v>877</v>
      </c>
      <c r="C67" t="s">
        <v>878</v>
      </c>
      <c r="D67" t="s">
        <v>202</v>
      </c>
      <c r="E67">
        <f>_xlfn.XLOOKUP(D67,'Resumen Estudiantes y Profesore'!B:B,'Resumen Estudiantes y Profesore'!A:A)</f>
        <v>48</v>
      </c>
      <c r="F67" t="s">
        <v>243</v>
      </c>
      <c r="G67" t="s">
        <v>246</v>
      </c>
      <c r="H67" t="s">
        <v>246</v>
      </c>
      <c r="I67" t="s">
        <v>674</v>
      </c>
      <c r="J67" t="s">
        <v>77</v>
      </c>
      <c r="K67" s="120" t="s">
        <v>879</v>
      </c>
      <c r="N67" s="49"/>
    </row>
    <row r="68" spans="1:23">
      <c r="A68" t="s">
        <v>880</v>
      </c>
      <c r="B68" t="s">
        <v>881</v>
      </c>
      <c r="C68" t="s">
        <v>882</v>
      </c>
      <c r="D68" t="s">
        <v>143</v>
      </c>
      <c r="E68">
        <f>_xlfn.XLOOKUP(D68,'Resumen Estudiantes y Profesore'!B:B,'Resumen Estudiantes y Profesore'!A:A)</f>
        <v>120</v>
      </c>
      <c r="F68" t="s">
        <v>243</v>
      </c>
      <c r="G68" t="s">
        <v>246</v>
      </c>
      <c r="H68" t="s">
        <v>246</v>
      </c>
      <c r="I68" t="s">
        <v>674</v>
      </c>
      <c r="J68" t="s">
        <v>138</v>
      </c>
      <c r="K68" s="120" t="s">
        <v>883</v>
      </c>
      <c r="N68" s="49"/>
    </row>
    <row r="69" spans="1:23">
      <c r="A69" t="s">
        <v>884</v>
      </c>
      <c r="B69" t="s">
        <v>885</v>
      </c>
      <c r="C69" t="s">
        <v>699</v>
      </c>
      <c r="D69" t="s">
        <v>144</v>
      </c>
      <c r="E69">
        <f>_xlfn.XLOOKUP(D69,'Resumen Estudiantes y Profesore'!B:B,'Resumen Estudiantes y Profesore'!A:A)</f>
        <v>118</v>
      </c>
      <c r="F69" t="s">
        <v>243</v>
      </c>
      <c r="G69" t="s">
        <v>246</v>
      </c>
      <c r="H69" t="s">
        <v>246</v>
      </c>
      <c r="I69" t="s">
        <v>674</v>
      </c>
      <c r="J69" t="s">
        <v>138</v>
      </c>
      <c r="K69" s="120" t="s">
        <v>886</v>
      </c>
      <c r="N69" s="49"/>
    </row>
    <row r="70" spans="1:23">
      <c r="A70" t="s">
        <v>884</v>
      </c>
      <c r="B70" t="s">
        <v>887</v>
      </c>
      <c r="C70" t="s">
        <v>888</v>
      </c>
      <c r="D70" t="s">
        <v>149</v>
      </c>
      <c r="E70">
        <f>_xlfn.XLOOKUP(D70,'Resumen Estudiantes y Profesore'!B:B,'Resumen Estudiantes y Profesore'!A:A)</f>
        <v>141</v>
      </c>
      <c r="F70" t="s">
        <v>243</v>
      </c>
      <c r="G70" t="s">
        <v>246</v>
      </c>
      <c r="H70" t="s">
        <v>246</v>
      </c>
      <c r="I70" t="s">
        <v>674</v>
      </c>
      <c r="J70" t="s">
        <v>138</v>
      </c>
      <c r="K70" s="120" t="s">
        <v>889</v>
      </c>
      <c r="N70" s="49"/>
    </row>
    <row r="71" spans="1:23">
      <c r="A71" t="s">
        <v>890</v>
      </c>
      <c r="B71" t="s">
        <v>891</v>
      </c>
      <c r="C71" t="s">
        <v>95</v>
      </c>
      <c r="D71" t="s">
        <v>251</v>
      </c>
      <c r="E71">
        <f>_xlfn.XLOOKUP(D71,'Resumen Estudiantes y Profesore'!B:B,'Resumen Estudiantes y Profesore'!A:A)</f>
        <v>211</v>
      </c>
      <c r="F71" t="s">
        <v>243</v>
      </c>
      <c r="G71" t="s">
        <v>246</v>
      </c>
      <c r="H71" t="s">
        <v>246</v>
      </c>
      <c r="I71" t="s">
        <v>682</v>
      </c>
      <c r="J71" t="s">
        <v>95</v>
      </c>
      <c r="K71" s="120" t="s">
        <v>892</v>
      </c>
      <c r="N71" s="49"/>
    </row>
    <row r="72" spans="1:23">
      <c r="A72" t="s">
        <v>893</v>
      </c>
      <c r="B72" t="s">
        <v>894</v>
      </c>
      <c r="C72" t="s">
        <v>419</v>
      </c>
      <c r="D72" t="s">
        <v>233</v>
      </c>
      <c r="E72">
        <f>_xlfn.XLOOKUP(D72,'Resumen Estudiantes y Profesore'!B:B,'Resumen Estudiantes y Profesore'!A:A)</f>
        <v>152</v>
      </c>
      <c r="F72" t="s">
        <v>243</v>
      </c>
      <c r="G72" t="s">
        <v>246</v>
      </c>
      <c r="H72" t="s">
        <v>246</v>
      </c>
      <c r="I72" t="s">
        <v>682</v>
      </c>
      <c r="J72" t="s">
        <v>77</v>
      </c>
      <c r="K72" s="120" t="s">
        <v>895</v>
      </c>
      <c r="N72" s="49"/>
    </row>
    <row r="73" spans="1:23">
      <c r="A73" t="s">
        <v>896</v>
      </c>
      <c r="B73" t="s">
        <v>897</v>
      </c>
      <c r="C73" t="s">
        <v>237</v>
      </c>
      <c r="D73" t="s">
        <v>237</v>
      </c>
      <c r="E73">
        <f>_xlfn.XLOOKUP(D73,'Resumen Estudiantes y Profesore'!B:B,'Resumen Estudiantes y Profesore'!A:A)</f>
        <v>156</v>
      </c>
      <c r="F73" t="s">
        <v>243</v>
      </c>
      <c r="G73" t="s">
        <v>246</v>
      </c>
      <c r="H73" t="s">
        <v>246</v>
      </c>
      <c r="I73" t="s">
        <v>682</v>
      </c>
      <c r="J73" t="s">
        <v>77</v>
      </c>
      <c r="K73" s="120" t="s">
        <v>898</v>
      </c>
      <c r="N73" s="49"/>
    </row>
    <row r="74" spans="1:23">
      <c r="A74" t="s">
        <v>899</v>
      </c>
      <c r="B74" t="s">
        <v>900</v>
      </c>
      <c r="C74" t="s">
        <v>418</v>
      </c>
      <c r="D74" t="s">
        <v>232</v>
      </c>
      <c r="E74">
        <f>_xlfn.XLOOKUP(D74,'Resumen Estudiantes y Profesore'!B:B,'Resumen Estudiantes y Profesore'!A:A)</f>
        <v>151</v>
      </c>
      <c r="F74" t="s">
        <v>243</v>
      </c>
      <c r="G74" t="s">
        <v>246</v>
      </c>
      <c r="H74" t="s">
        <v>246</v>
      </c>
      <c r="I74" t="s">
        <v>682</v>
      </c>
      <c r="J74" t="s">
        <v>77</v>
      </c>
      <c r="K74" s="120" t="s">
        <v>901</v>
      </c>
      <c r="N74" s="49"/>
    </row>
    <row r="75" spans="1:23">
      <c r="A75" t="s">
        <v>902</v>
      </c>
      <c r="B75" t="s">
        <v>903</v>
      </c>
      <c r="C75" t="s">
        <v>781</v>
      </c>
      <c r="D75" t="s">
        <v>131</v>
      </c>
      <c r="E75">
        <f>_xlfn.XLOOKUP(D75,'Resumen Estudiantes y Profesore'!B:B,'Resumen Estudiantes y Profesore'!A:A)</f>
        <v>99</v>
      </c>
      <c r="F75" t="s">
        <v>243</v>
      </c>
      <c r="G75" t="s">
        <v>246</v>
      </c>
      <c r="H75" t="s">
        <v>246</v>
      </c>
      <c r="I75" t="s">
        <v>674</v>
      </c>
      <c r="J75" t="s">
        <v>84</v>
      </c>
      <c r="K75" s="120" t="s">
        <v>904</v>
      </c>
      <c r="N75" s="49"/>
    </row>
    <row r="76" spans="1:23">
      <c r="A76" t="s">
        <v>905</v>
      </c>
      <c r="B76" t="s">
        <v>906</v>
      </c>
      <c r="C76" t="s">
        <v>460</v>
      </c>
      <c r="D76" t="s">
        <v>189</v>
      </c>
      <c r="E76">
        <f>_xlfn.XLOOKUP(D76,'Resumen Estudiantes y Profesore'!B:B,'Resumen Estudiantes y Profesore'!A:A)</f>
        <v>60</v>
      </c>
      <c r="F76" t="s">
        <v>243</v>
      </c>
      <c r="G76" t="s">
        <v>246</v>
      </c>
      <c r="H76" t="s">
        <v>246</v>
      </c>
      <c r="I76" t="s">
        <v>674</v>
      </c>
      <c r="J76" t="s">
        <v>85</v>
      </c>
      <c r="K76" s="120" t="s">
        <v>907</v>
      </c>
      <c r="N76" s="49"/>
    </row>
    <row r="77" spans="1:23">
      <c r="A77" t="s">
        <v>905</v>
      </c>
      <c r="B77" t="s">
        <v>908</v>
      </c>
      <c r="C77" t="s">
        <v>909</v>
      </c>
      <c r="D77" t="s">
        <v>209</v>
      </c>
      <c r="E77">
        <f>_xlfn.XLOOKUP(D77,'Resumen Estudiantes y Profesore'!B:B,'Resumen Estudiantes y Profesore'!A:A)</f>
        <v>88</v>
      </c>
      <c r="F77" t="s">
        <v>243</v>
      </c>
      <c r="G77" t="s">
        <v>246</v>
      </c>
      <c r="H77" t="s">
        <v>246</v>
      </c>
      <c r="I77" t="s">
        <v>674</v>
      </c>
      <c r="J77" t="s">
        <v>85</v>
      </c>
      <c r="K77" s="120" t="s">
        <v>910</v>
      </c>
      <c r="N77" s="49"/>
    </row>
    <row r="78" spans="1:23">
      <c r="A78" t="s">
        <v>905</v>
      </c>
      <c r="B78" t="s">
        <v>911</v>
      </c>
      <c r="C78" t="s">
        <v>434</v>
      </c>
      <c r="D78" t="s">
        <v>28</v>
      </c>
      <c r="E78">
        <f>_xlfn.XLOOKUP(D78,'Resumen Estudiantes y Profesore'!B:B,'Resumen Estudiantes y Profesore'!A:A)</f>
        <v>32</v>
      </c>
      <c r="F78" t="s">
        <v>243</v>
      </c>
      <c r="G78" t="s">
        <v>246</v>
      </c>
      <c r="H78" t="s">
        <v>246</v>
      </c>
      <c r="I78" t="s">
        <v>682</v>
      </c>
      <c r="J78" t="s">
        <v>85</v>
      </c>
      <c r="K78" s="120" t="s">
        <v>912</v>
      </c>
      <c r="N78" s="49"/>
    </row>
    <row r="79" spans="1:23">
      <c r="A79" t="s">
        <v>913</v>
      </c>
      <c r="B79" t="s">
        <v>914</v>
      </c>
      <c r="C79" t="s">
        <v>426</v>
      </c>
      <c r="D79" t="s">
        <v>23</v>
      </c>
      <c r="E79">
        <f>_xlfn.XLOOKUP(D79,'Resumen Estudiantes y Profesore'!B:B,'Resumen Estudiantes y Profesore'!A:A)</f>
        <v>26</v>
      </c>
      <c r="F79" t="s">
        <v>243</v>
      </c>
      <c r="G79" t="s">
        <v>246</v>
      </c>
      <c r="H79" t="s">
        <v>246</v>
      </c>
      <c r="I79" t="s">
        <v>682</v>
      </c>
      <c r="J79" t="s">
        <v>83</v>
      </c>
      <c r="K79" s="120" t="s">
        <v>915</v>
      </c>
      <c r="N79" s="49"/>
    </row>
    <row r="80" spans="1:23" s="81" customFormat="1">
      <c r="A80" t="s">
        <v>916</v>
      </c>
      <c r="B80" t="s">
        <v>917</v>
      </c>
      <c r="C80" t="s">
        <v>535</v>
      </c>
      <c r="D80" t="s">
        <v>40</v>
      </c>
      <c r="E80">
        <f>_xlfn.XLOOKUP(D80,'Resumen Estudiantes y Profesore'!B:B,'Resumen Estudiantes y Profesore'!A:A)</f>
        <v>200</v>
      </c>
      <c r="F80" t="s">
        <v>243</v>
      </c>
      <c r="G80" t="s">
        <v>246</v>
      </c>
      <c r="H80" t="s">
        <v>246</v>
      </c>
      <c r="I80" t="s">
        <v>682</v>
      </c>
      <c r="J80" t="s">
        <v>89</v>
      </c>
      <c r="K80" s="120" t="s">
        <v>918</v>
      </c>
      <c r="L80"/>
      <c r="M80"/>
      <c r="N80" s="49"/>
      <c r="O80"/>
      <c r="P80"/>
      <c r="Q80"/>
      <c r="R80"/>
      <c r="S80"/>
      <c r="T80"/>
      <c r="U80"/>
      <c r="V80"/>
      <c r="W80"/>
    </row>
    <row r="81" spans="1:14">
      <c r="A81" t="s">
        <v>919</v>
      </c>
      <c r="B81" t="s">
        <v>920</v>
      </c>
      <c r="C81" t="s">
        <v>921</v>
      </c>
      <c r="D81" t="s">
        <v>203</v>
      </c>
      <c r="E81">
        <f>_xlfn.XLOOKUP(D81,'Resumen Estudiantes y Profesore'!B:B,'Resumen Estudiantes y Profesore'!A:A)</f>
        <v>69</v>
      </c>
      <c r="F81" t="s">
        <v>243</v>
      </c>
      <c r="G81" t="s">
        <v>246</v>
      </c>
      <c r="H81" t="s">
        <v>246</v>
      </c>
      <c r="I81" t="s">
        <v>674</v>
      </c>
      <c r="J81" t="s">
        <v>88</v>
      </c>
      <c r="K81" s="120" t="s">
        <v>922</v>
      </c>
      <c r="N81" s="49"/>
    </row>
    <row r="82" spans="1:14">
      <c r="A82" t="s">
        <v>923</v>
      </c>
      <c r="B82" t="s">
        <v>924</v>
      </c>
      <c r="C82" t="s">
        <v>476</v>
      </c>
      <c r="D82" t="s">
        <v>207</v>
      </c>
      <c r="E82">
        <f>_xlfn.XLOOKUP(D82,'Resumen Estudiantes y Profesore'!B:B,'Resumen Estudiantes y Profesore'!A:A)</f>
        <v>82</v>
      </c>
      <c r="F82" t="s">
        <v>243</v>
      </c>
      <c r="G82" t="s">
        <v>246</v>
      </c>
      <c r="H82" t="s">
        <v>246</v>
      </c>
      <c r="I82" t="s">
        <v>674</v>
      </c>
      <c r="J82" t="s">
        <v>91</v>
      </c>
      <c r="K82" s="120" t="s">
        <v>925</v>
      </c>
      <c r="N82" s="49"/>
    </row>
    <row r="83" spans="1:14">
      <c r="A83" t="s">
        <v>926</v>
      </c>
      <c r="B83" t="s">
        <v>927</v>
      </c>
      <c r="C83" t="s">
        <v>93</v>
      </c>
      <c r="D83" t="s">
        <v>93</v>
      </c>
      <c r="E83">
        <f>_xlfn.XLOOKUP(D83,'Resumen Estudiantes y Profesore'!B:B,'Resumen Estudiantes y Profesore'!A:A)</f>
        <v>210</v>
      </c>
      <c r="F83" t="s">
        <v>243</v>
      </c>
      <c r="G83" t="s">
        <v>246</v>
      </c>
      <c r="H83" t="s">
        <v>246</v>
      </c>
      <c r="I83" t="s">
        <v>682</v>
      </c>
      <c r="J83" t="s">
        <v>93</v>
      </c>
      <c r="K83" s="120" t="s">
        <v>928</v>
      </c>
      <c r="N83" s="49"/>
    </row>
    <row r="84" spans="1:14">
      <c r="A84" t="s">
        <v>929</v>
      </c>
      <c r="B84" t="s">
        <v>930</v>
      </c>
      <c r="C84" t="s">
        <v>747</v>
      </c>
      <c r="D84" t="s">
        <v>178</v>
      </c>
      <c r="E84">
        <f>_xlfn.XLOOKUP(D84,'Resumen Estudiantes y Profesore'!B:B,'Resumen Estudiantes y Profesore'!A:A)</f>
        <v>75</v>
      </c>
      <c r="F84" t="s">
        <v>243</v>
      </c>
      <c r="G84" t="s">
        <v>246</v>
      </c>
      <c r="H84" t="s">
        <v>246</v>
      </c>
      <c r="I84" t="s">
        <v>674</v>
      </c>
      <c r="J84" t="s">
        <v>89</v>
      </c>
      <c r="K84" s="120" t="s">
        <v>931</v>
      </c>
      <c r="N84" s="49"/>
    </row>
    <row r="85" spans="1:14">
      <c r="A85" t="s">
        <v>932</v>
      </c>
      <c r="B85" t="s">
        <v>933</v>
      </c>
      <c r="C85" t="s">
        <v>934</v>
      </c>
      <c r="D85" t="s">
        <v>184</v>
      </c>
      <c r="E85">
        <f>_xlfn.XLOOKUP(D85,'Resumen Estudiantes y Profesore'!B:B,'Resumen Estudiantes y Profesore'!A:A)</f>
        <v>52</v>
      </c>
      <c r="F85" t="s">
        <v>243</v>
      </c>
      <c r="G85" t="s">
        <v>246</v>
      </c>
      <c r="H85" t="s">
        <v>246</v>
      </c>
      <c r="I85" t="s">
        <v>674</v>
      </c>
      <c r="J85" t="s">
        <v>83</v>
      </c>
      <c r="K85" s="120" t="s">
        <v>935</v>
      </c>
      <c r="N85" s="49"/>
    </row>
    <row r="86" spans="1:14">
      <c r="A86" t="s">
        <v>932</v>
      </c>
      <c r="B86" t="s">
        <v>936</v>
      </c>
      <c r="C86" t="s">
        <v>424</v>
      </c>
      <c r="D86" t="s">
        <v>24</v>
      </c>
      <c r="E86">
        <f>_xlfn.XLOOKUP(D86,'Resumen Estudiantes y Profesore'!B:B,'Resumen Estudiantes y Profesore'!A:A)</f>
        <v>27</v>
      </c>
      <c r="F86" t="s">
        <v>243</v>
      </c>
      <c r="G86" t="s">
        <v>246</v>
      </c>
      <c r="H86" t="s">
        <v>246</v>
      </c>
      <c r="I86" t="s">
        <v>682</v>
      </c>
      <c r="J86" t="s">
        <v>83</v>
      </c>
      <c r="K86" s="120" t="s">
        <v>937</v>
      </c>
      <c r="N86" s="49"/>
    </row>
    <row r="87" spans="1:14">
      <c r="A87" t="s">
        <v>932</v>
      </c>
      <c r="B87" t="s">
        <v>938</v>
      </c>
      <c r="C87" t="s">
        <v>428</v>
      </c>
      <c r="D87" t="s">
        <v>25</v>
      </c>
      <c r="E87">
        <f>_xlfn.XLOOKUP(D87,'Resumen Estudiantes y Profesore'!B:B,'Resumen Estudiantes y Profesore'!A:A)</f>
        <v>28</v>
      </c>
      <c r="F87" t="s">
        <v>243</v>
      </c>
      <c r="G87" t="s">
        <v>246</v>
      </c>
      <c r="H87" t="s">
        <v>246</v>
      </c>
      <c r="I87" t="s">
        <v>682</v>
      </c>
      <c r="J87" t="s">
        <v>83</v>
      </c>
      <c r="K87" s="120" t="s">
        <v>939</v>
      </c>
      <c r="N87" s="49"/>
    </row>
    <row r="88" spans="1:14">
      <c r="A88" t="s">
        <v>932</v>
      </c>
      <c r="B88" t="s">
        <v>940</v>
      </c>
      <c r="C88" t="s">
        <v>426</v>
      </c>
      <c r="D88" t="s">
        <v>23</v>
      </c>
      <c r="E88">
        <f>_xlfn.XLOOKUP(D88,'Resumen Estudiantes y Profesore'!B:B,'Resumen Estudiantes y Profesore'!A:A)</f>
        <v>26</v>
      </c>
      <c r="F88" t="s">
        <v>243</v>
      </c>
      <c r="G88" t="s">
        <v>246</v>
      </c>
      <c r="H88" t="s">
        <v>246</v>
      </c>
      <c r="I88" t="s">
        <v>682</v>
      </c>
      <c r="J88" t="s">
        <v>83</v>
      </c>
      <c r="K88" s="120" t="s">
        <v>941</v>
      </c>
      <c r="N88" s="49"/>
    </row>
    <row r="89" spans="1:14">
      <c r="A89" t="s">
        <v>942</v>
      </c>
      <c r="B89" t="s">
        <v>943</v>
      </c>
      <c r="C89" t="s">
        <v>944</v>
      </c>
      <c r="D89" t="s">
        <v>122</v>
      </c>
      <c r="E89">
        <f>_xlfn.XLOOKUP(D89,'Resumen Estudiantes y Profesore'!B:B,'Resumen Estudiantes y Profesore'!A:A)</f>
        <v>11</v>
      </c>
      <c r="F89" t="s">
        <v>243</v>
      </c>
      <c r="G89" t="s">
        <v>246</v>
      </c>
      <c r="H89" t="s">
        <v>246</v>
      </c>
      <c r="I89" t="s">
        <v>674</v>
      </c>
      <c r="J89" t="s">
        <v>90</v>
      </c>
      <c r="K89" s="120" t="s">
        <v>945</v>
      </c>
      <c r="N89" s="49"/>
    </row>
    <row r="90" spans="1:14">
      <c r="A90" t="s">
        <v>946</v>
      </c>
      <c r="B90" t="s">
        <v>947</v>
      </c>
      <c r="C90" t="s">
        <v>441</v>
      </c>
      <c r="D90" t="s">
        <v>32</v>
      </c>
      <c r="E90">
        <f>_xlfn.XLOOKUP(D90,'Resumen Estudiantes y Profesore'!B:B,'Resumen Estudiantes y Profesore'!A:A)</f>
        <v>36</v>
      </c>
      <c r="F90" t="s">
        <v>243</v>
      </c>
      <c r="G90" t="s">
        <v>246</v>
      </c>
      <c r="H90" t="s">
        <v>246</v>
      </c>
      <c r="I90" t="s">
        <v>682</v>
      </c>
      <c r="J90" t="s">
        <v>89</v>
      </c>
      <c r="K90" s="120" t="s">
        <v>948</v>
      </c>
      <c r="N90" s="49"/>
    </row>
    <row r="91" spans="1:14">
      <c r="A91" t="s">
        <v>949</v>
      </c>
      <c r="B91" t="s">
        <v>950</v>
      </c>
      <c r="C91" t="s">
        <v>951</v>
      </c>
      <c r="D91" t="s">
        <v>114</v>
      </c>
      <c r="E91">
        <f>_xlfn.XLOOKUP(D91,'Resumen Estudiantes y Profesore'!B:B,'Resumen Estudiantes y Profesore'!A:A)</f>
        <v>5</v>
      </c>
      <c r="F91" t="s">
        <v>243</v>
      </c>
      <c r="G91" t="s">
        <v>246</v>
      </c>
      <c r="H91" t="s">
        <v>246</v>
      </c>
      <c r="I91" t="s">
        <v>674</v>
      </c>
      <c r="J91" t="s">
        <v>90</v>
      </c>
      <c r="K91" s="120" t="s">
        <v>952</v>
      </c>
      <c r="N91" s="49"/>
    </row>
    <row r="92" spans="1:14">
      <c r="A92" t="s">
        <v>953</v>
      </c>
      <c r="B92" t="s">
        <v>954</v>
      </c>
      <c r="C92" t="s">
        <v>437</v>
      </c>
      <c r="D92" t="s">
        <v>30</v>
      </c>
      <c r="E92">
        <f>_xlfn.XLOOKUP(D92,'Resumen Estudiantes y Profesore'!B:B,'Resumen Estudiantes y Profesore'!A:A)</f>
        <v>34</v>
      </c>
      <c r="F92" t="s">
        <v>243</v>
      </c>
      <c r="G92" t="s">
        <v>246</v>
      </c>
      <c r="H92" t="s">
        <v>246</v>
      </c>
      <c r="I92" t="s">
        <v>682</v>
      </c>
      <c r="J92" t="s">
        <v>87</v>
      </c>
      <c r="K92" s="120" t="s">
        <v>955</v>
      </c>
      <c r="N92" s="49"/>
    </row>
    <row r="93" spans="1:14">
      <c r="A93" t="s">
        <v>956</v>
      </c>
      <c r="B93" t="s">
        <v>957</v>
      </c>
      <c r="C93" t="s">
        <v>958</v>
      </c>
      <c r="D93" t="s">
        <v>174</v>
      </c>
      <c r="E93">
        <f>_xlfn.XLOOKUP(D93,'Resumen Estudiantes y Profesore'!B:B,'Resumen Estudiantes y Profesore'!A:A)</f>
        <v>131</v>
      </c>
      <c r="F93" t="s">
        <v>243</v>
      </c>
      <c r="G93" t="s">
        <v>246</v>
      </c>
      <c r="H93" t="s">
        <v>246</v>
      </c>
      <c r="I93" t="s">
        <v>674</v>
      </c>
      <c r="J93" t="s">
        <v>138</v>
      </c>
      <c r="K93" s="120" t="s">
        <v>959</v>
      </c>
      <c r="N93" s="49"/>
    </row>
    <row r="94" spans="1:14">
      <c r="A94" t="s">
        <v>960</v>
      </c>
      <c r="B94" t="s">
        <v>961</v>
      </c>
      <c r="C94" t="s">
        <v>699</v>
      </c>
      <c r="D94" t="s">
        <v>144</v>
      </c>
      <c r="E94">
        <f>_xlfn.XLOOKUP(D94,'Resumen Estudiantes y Profesore'!B:B,'Resumen Estudiantes y Profesore'!A:A)</f>
        <v>118</v>
      </c>
      <c r="F94" t="s">
        <v>243</v>
      </c>
      <c r="G94" t="s">
        <v>246</v>
      </c>
      <c r="H94" t="s">
        <v>246</v>
      </c>
      <c r="I94" t="s">
        <v>674</v>
      </c>
      <c r="J94" t="s">
        <v>138</v>
      </c>
      <c r="K94" s="120" t="s">
        <v>962</v>
      </c>
      <c r="N94" s="49"/>
    </row>
    <row r="95" spans="1:14">
      <c r="A95" t="s">
        <v>963</v>
      </c>
      <c r="B95" t="s">
        <v>964</v>
      </c>
      <c r="C95" t="s">
        <v>239</v>
      </c>
      <c r="D95" t="s">
        <v>239</v>
      </c>
      <c r="E95">
        <f>_xlfn.XLOOKUP(D95,'Resumen Estudiantes y Profesore'!B:B,'Resumen Estudiantes y Profesore'!A:A)</f>
        <v>158</v>
      </c>
      <c r="F95" t="s">
        <v>243</v>
      </c>
      <c r="G95" t="s">
        <v>246</v>
      </c>
      <c r="H95" t="s">
        <v>246</v>
      </c>
      <c r="I95" t="s">
        <v>682</v>
      </c>
      <c r="J95" t="s">
        <v>77</v>
      </c>
      <c r="K95" s="120" t="s">
        <v>965</v>
      </c>
      <c r="N95" s="49"/>
    </row>
    <row r="96" spans="1:14">
      <c r="A96" t="s">
        <v>966</v>
      </c>
      <c r="B96" t="s">
        <v>967</v>
      </c>
      <c r="C96" t="s">
        <v>968</v>
      </c>
      <c r="D96" t="s">
        <v>137</v>
      </c>
      <c r="E96">
        <f>_xlfn.XLOOKUP(D96,'Resumen Estudiantes y Profesore'!B:B,'Resumen Estudiantes y Profesore'!A:A)</f>
        <v>202</v>
      </c>
      <c r="F96" t="s">
        <v>243</v>
      </c>
      <c r="G96" t="s">
        <v>246</v>
      </c>
      <c r="H96" t="s">
        <v>246</v>
      </c>
      <c r="I96" t="s">
        <v>674</v>
      </c>
      <c r="J96" t="s">
        <v>138</v>
      </c>
      <c r="K96" s="120" t="s">
        <v>969</v>
      </c>
      <c r="N96" s="49"/>
    </row>
    <row r="97" spans="1:14">
      <c r="A97" t="s">
        <v>970</v>
      </c>
      <c r="B97" t="s">
        <v>971</v>
      </c>
      <c r="C97" t="s">
        <v>431</v>
      </c>
      <c r="D97" t="s">
        <v>27</v>
      </c>
      <c r="E97">
        <f>_xlfn.XLOOKUP(D97,'Resumen Estudiantes y Profesore'!B:B,'Resumen Estudiantes y Profesore'!A:A)</f>
        <v>30</v>
      </c>
      <c r="F97" t="s">
        <v>243</v>
      </c>
      <c r="G97" t="s">
        <v>246</v>
      </c>
      <c r="H97" t="s">
        <v>246</v>
      </c>
      <c r="I97" t="s">
        <v>682</v>
      </c>
      <c r="J97" t="s">
        <v>84</v>
      </c>
      <c r="K97" s="120" t="s">
        <v>972</v>
      </c>
      <c r="N97" s="49"/>
    </row>
    <row r="98" spans="1:14">
      <c r="A98" t="s">
        <v>973</v>
      </c>
      <c r="B98" t="s">
        <v>974</v>
      </c>
      <c r="C98" t="s">
        <v>975</v>
      </c>
      <c r="D98" t="s">
        <v>145</v>
      </c>
      <c r="E98">
        <f>_xlfn.XLOOKUP(D98,'Resumen Estudiantes y Profesore'!B:B,'Resumen Estudiantes y Profesore'!A:A)</f>
        <v>114</v>
      </c>
      <c r="F98" t="s">
        <v>243</v>
      </c>
      <c r="G98" t="s">
        <v>246</v>
      </c>
      <c r="H98" t="s">
        <v>246</v>
      </c>
      <c r="I98" t="s">
        <v>674</v>
      </c>
      <c r="J98" t="s">
        <v>138</v>
      </c>
      <c r="K98" s="120" t="s">
        <v>976</v>
      </c>
      <c r="N98" s="49"/>
    </row>
    <row r="99" spans="1:14">
      <c r="A99" t="s">
        <v>973</v>
      </c>
      <c r="B99" t="s">
        <v>977</v>
      </c>
      <c r="C99" t="s">
        <v>978</v>
      </c>
      <c r="D99" t="s">
        <v>170</v>
      </c>
      <c r="E99">
        <f>_xlfn.XLOOKUP(D99,'Resumen Estudiantes y Profesore'!B:B,'Resumen Estudiantes y Profesore'!A:A)</f>
        <v>134</v>
      </c>
      <c r="F99" t="s">
        <v>243</v>
      </c>
      <c r="G99" t="s">
        <v>246</v>
      </c>
      <c r="H99" t="s">
        <v>246</v>
      </c>
      <c r="I99" t="s">
        <v>674</v>
      </c>
      <c r="J99" t="s">
        <v>138</v>
      </c>
      <c r="K99" s="120" t="s">
        <v>979</v>
      </c>
      <c r="N99" s="49"/>
    </row>
    <row r="100" spans="1:14">
      <c r="A100" t="s">
        <v>980</v>
      </c>
      <c r="B100" t="s">
        <v>981</v>
      </c>
      <c r="C100" t="s">
        <v>418</v>
      </c>
      <c r="D100" t="s">
        <v>232</v>
      </c>
      <c r="E100">
        <f>_xlfn.XLOOKUP(D100,'Resumen Estudiantes y Profesore'!B:B,'Resumen Estudiantes y Profesore'!A:A)</f>
        <v>151</v>
      </c>
      <c r="F100" t="s">
        <v>243</v>
      </c>
      <c r="G100" t="s">
        <v>246</v>
      </c>
      <c r="H100" t="s">
        <v>246</v>
      </c>
      <c r="I100" t="s">
        <v>682</v>
      </c>
      <c r="J100" t="s">
        <v>77</v>
      </c>
      <c r="K100" s="120" t="s">
        <v>982</v>
      </c>
      <c r="N100" s="49"/>
    </row>
    <row r="101" spans="1:14">
      <c r="A101" t="s">
        <v>983</v>
      </c>
      <c r="B101" t="s">
        <v>984</v>
      </c>
      <c r="C101" t="s">
        <v>944</v>
      </c>
      <c r="D101" t="s">
        <v>122</v>
      </c>
      <c r="E101">
        <f>_xlfn.XLOOKUP(D101,'Resumen Estudiantes y Profesore'!B:B,'Resumen Estudiantes y Profesore'!A:A)</f>
        <v>11</v>
      </c>
      <c r="F101" t="s">
        <v>243</v>
      </c>
      <c r="G101" t="s">
        <v>246</v>
      </c>
      <c r="H101" t="s">
        <v>246</v>
      </c>
      <c r="I101" t="s">
        <v>674</v>
      </c>
      <c r="J101" t="s">
        <v>90</v>
      </c>
      <c r="K101" s="120" t="s">
        <v>985</v>
      </c>
      <c r="N101" s="49"/>
    </row>
    <row r="102" spans="1:14">
      <c r="A102" t="s">
        <v>986</v>
      </c>
      <c r="B102" t="s">
        <v>987</v>
      </c>
      <c r="C102" t="s">
        <v>457</v>
      </c>
      <c r="D102" t="s">
        <v>186</v>
      </c>
      <c r="E102">
        <f>_xlfn.XLOOKUP(D102,'Resumen Estudiantes y Profesore'!B:B,'Resumen Estudiantes y Profesore'!A:A)</f>
        <v>54</v>
      </c>
      <c r="F102" t="s">
        <v>243</v>
      </c>
      <c r="G102" t="s">
        <v>246</v>
      </c>
      <c r="H102" t="s">
        <v>246</v>
      </c>
      <c r="I102" t="s">
        <v>674</v>
      </c>
      <c r="J102" t="s">
        <v>84</v>
      </c>
      <c r="K102" s="120" t="s">
        <v>988</v>
      </c>
      <c r="N102" s="49"/>
    </row>
    <row r="103" spans="1:14">
      <c r="A103" t="s">
        <v>989</v>
      </c>
      <c r="B103" t="s">
        <v>990</v>
      </c>
      <c r="C103" t="s">
        <v>424</v>
      </c>
      <c r="D103" t="s">
        <v>24</v>
      </c>
      <c r="E103">
        <f>_xlfn.XLOOKUP(D103,'Resumen Estudiantes y Profesore'!B:B,'Resumen Estudiantes y Profesore'!A:A)</f>
        <v>27</v>
      </c>
      <c r="F103" t="s">
        <v>243</v>
      </c>
      <c r="G103" t="s">
        <v>246</v>
      </c>
      <c r="H103" t="s">
        <v>246</v>
      </c>
      <c r="I103" t="s">
        <v>682</v>
      </c>
      <c r="J103" t="s">
        <v>83</v>
      </c>
      <c r="K103" s="120" t="s">
        <v>991</v>
      </c>
      <c r="N103" s="49"/>
    </row>
    <row r="104" spans="1:14">
      <c r="A104" t="s">
        <v>992</v>
      </c>
      <c r="B104" t="s">
        <v>993</v>
      </c>
      <c r="C104" t="s">
        <v>436</v>
      </c>
      <c r="D104" t="s">
        <v>29</v>
      </c>
      <c r="E104">
        <f>_xlfn.XLOOKUP(D104,'Resumen Estudiantes y Profesore'!B:B,'Resumen Estudiantes y Profesore'!A:A)</f>
        <v>33</v>
      </c>
      <c r="F104" t="s">
        <v>243</v>
      </c>
      <c r="G104" t="s">
        <v>246</v>
      </c>
      <c r="H104" t="s">
        <v>246</v>
      </c>
      <c r="I104" t="s">
        <v>682</v>
      </c>
      <c r="J104" t="s">
        <v>87</v>
      </c>
      <c r="K104" s="120" t="s">
        <v>994</v>
      </c>
      <c r="N104" s="49"/>
    </row>
    <row r="105" spans="1:14">
      <c r="A105" t="s">
        <v>995</v>
      </c>
      <c r="B105" t="s">
        <v>996</v>
      </c>
      <c r="C105" t="s">
        <v>421</v>
      </c>
      <c r="D105" t="s">
        <v>236</v>
      </c>
      <c r="E105">
        <f>_xlfn.XLOOKUP(D105,'Resumen Estudiantes y Profesore'!B:B,'Resumen Estudiantes y Profesore'!A:A)</f>
        <v>155</v>
      </c>
      <c r="F105" t="s">
        <v>243</v>
      </c>
      <c r="G105" t="s">
        <v>246</v>
      </c>
      <c r="H105" t="s">
        <v>246</v>
      </c>
      <c r="I105" t="s">
        <v>682</v>
      </c>
      <c r="J105" t="s">
        <v>77</v>
      </c>
      <c r="K105" s="120" t="s">
        <v>997</v>
      </c>
      <c r="N105" s="49"/>
    </row>
    <row r="106" spans="1:14">
      <c r="A106" t="s">
        <v>998</v>
      </c>
      <c r="B106" t="s">
        <v>999</v>
      </c>
      <c r="C106" t="s">
        <v>434</v>
      </c>
      <c r="D106" t="s">
        <v>28</v>
      </c>
      <c r="E106">
        <f>_xlfn.XLOOKUP(D106,'Resumen Estudiantes y Profesore'!B:B,'Resumen Estudiantes y Profesore'!A:A)</f>
        <v>32</v>
      </c>
      <c r="F106" t="s">
        <v>243</v>
      </c>
      <c r="G106" t="s">
        <v>246</v>
      </c>
      <c r="H106" t="s">
        <v>246</v>
      </c>
      <c r="I106" t="s">
        <v>682</v>
      </c>
      <c r="J106" t="s">
        <v>85</v>
      </c>
      <c r="K106" s="120" t="s">
        <v>1000</v>
      </c>
      <c r="N106" s="49"/>
    </row>
    <row r="107" spans="1:14">
      <c r="A107" t="s">
        <v>1001</v>
      </c>
      <c r="B107" t="s">
        <v>1002</v>
      </c>
      <c r="C107" t="s">
        <v>426</v>
      </c>
      <c r="D107" t="s">
        <v>23</v>
      </c>
      <c r="E107">
        <f>_xlfn.XLOOKUP(D107,'Resumen Estudiantes y Profesore'!B:B,'Resumen Estudiantes y Profesore'!A:A)</f>
        <v>26</v>
      </c>
      <c r="F107" t="s">
        <v>243</v>
      </c>
      <c r="G107" t="s">
        <v>246</v>
      </c>
      <c r="H107" t="s">
        <v>246</v>
      </c>
      <c r="I107" t="s">
        <v>682</v>
      </c>
      <c r="J107" t="s">
        <v>83</v>
      </c>
      <c r="K107" s="120" t="s">
        <v>1003</v>
      </c>
      <c r="N107" s="49"/>
    </row>
    <row r="108" spans="1:14">
      <c r="A108" t="s">
        <v>1004</v>
      </c>
      <c r="B108" t="s">
        <v>1005</v>
      </c>
      <c r="C108" t="s">
        <v>446</v>
      </c>
      <c r="D108" t="s">
        <v>34</v>
      </c>
      <c r="E108">
        <f>_xlfn.XLOOKUP(D108,'Resumen Estudiantes y Profesore'!B:B,'Resumen Estudiantes y Profesore'!A:A)</f>
        <v>39</v>
      </c>
      <c r="F108" t="s">
        <v>243</v>
      </c>
      <c r="G108" t="s">
        <v>246</v>
      </c>
      <c r="H108" t="s">
        <v>246</v>
      </c>
      <c r="I108" t="s">
        <v>682</v>
      </c>
      <c r="J108" t="s">
        <v>89</v>
      </c>
      <c r="K108" s="120" t="s">
        <v>1006</v>
      </c>
      <c r="N108" s="49"/>
    </row>
    <row r="109" spans="1:14">
      <c r="A109" t="s">
        <v>1007</v>
      </c>
      <c r="B109" t="s">
        <v>1008</v>
      </c>
      <c r="C109" t="s">
        <v>456</v>
      </c>
      <c r="D109" t="s">
        <v>185</v>
      </c>
      <c r="E109">
        <f>_xlfn.XLOOKUP(D109,'Resumen Estudiantes y Profesore'!B:B,'Resumen Estudiantes y Profesore'!A:A)</f>
        <v>57</v>
      </c>
      <c r="F109" t="s">
        <v>243</v>
      </c>
      <c r="G109" t="s">
        <v>246</v>
      </c>
      <c r="H109" t="s">
        <v>246</v>
      </c>
      <c r="I109" t="s">
        <v>674</v>
      </c>
      <c r="J109" t="s">
        <v>84</v>
      </c>
      <c r="K109" s="120" t="s">
        <v>1009</v>
      </c>
      <c r="N109" s="49"/>
    </row>
    <row r="110" spans="1:14">
      <c r="A110" t="s">
        <v>1010</v>
      </c>
      <c r="B110" t="s">
        <v>1011</v>
      </c>
      <c r="C110" t="s">
        <v>458</v>
      </c>
      <c r="D110" t="s">
        <v>187</v>
      </c>
      <c r="E110">
        <f>_xlfn.XLOOKUP(D110,'Resumen Estudiantes y Profesore'!B:B,'Resumen Estudiantes y Profesore'!A:A)</f>
        <v>55</v>
      </c>
      <c r="F110" t="s">
        <v>243</v>
      </c>
      <c r="G110" t="s">
        <v>246</v>
      </c>
      <c r="H110" t="s">
        <v>246</v>
      </c>
      <c r="I110" t="s">
        <v>674</v>
      </c>
      <c r="J110" t="s">
        <v>84</v>
      </c>
      <c r="K110" s="120" t="s">
        <v>1012</v>
      </c>
      <c r="N110" s="49"/>
    </row>
    <row r="111" spans="1:14">
      <c r="A111" t="s">
        <v>1013</v>
      </c>
      <c r="B111" t="s">
        <v>1014</v>
      </c>
      <c r="C111" t="s">
        <v>439</v>
      </c>
      <c r="D111" t="s">
        <v>31</v>
      </c>
      <c r="E111">
        <f>_xlfn.XLOOKUP(D111,'Resumen Estudiantes y Profesore'!B:B,'Resumen Estudiantes y Profesore'!A:A)</f>
        <v>35</v>
      </c>
      <c r="F111" t="s">
        <v>243</v>
      </c>
      <c r="G111" t="s">
        <v>246</v>
      </c>
      <c r="H111" t="s">
        <v>246</v>
      </c>
      <c r="I111" t="s">
        <v>682</v>
      </c>
      <c r="J111" t="s">
        <v>88</v>
      </c>
      <c r="K111" s="120" t="s">
        <v>1015</v>
      </c>
      <c r="N111" s="49"/>
    </row>
    <row r="112" spans="1:14">
      <c r="A112" t="s">
        <v>1016</v>
      </c>
      <c r="B112" t="s">
        <v>1017</v>
      </c>
      <c r="C112" t="s">
        <v>431</v>
      </c>
      <c r="D112" t="s">
        <v>27</v>
      </c>
      <c r="E112">
        <f>_xlfn.XLOOKUP(D112,'Resumen Estudiantes y Profesore'!B:B,'Resumen Estudiantes y Profesore'!A:A)</f>
        <v>30</v>
      </c>
      <c r="F112" t="s">
        <v>243</v>
      </c>
      <c r="G112" t="s">
        <v>246</v>
      </c>
      <c r="H112" t="s">
        <v>246</v>
      </c>
      <c r="I112" t="s">
        <v>682</v>
      </c>
      <c r="J112" t="s">
        <v>84</v>
      </c>
      <c r="K112" s="120" t="s">
        <v>1018</v>
      </c>
      <c r="N112" s="49"/>
    </row>
    <row r="113" spans="1:23">
      <c r="A113" t="s">
        <v>1019</v>
      </c>
      <c r="B113" t="s">
        <v>1020</v>
      </c>
      <c r="C113" t="s">
        <v>451</v>
      </c>
      <c r="D113" t="s">
        <v>38</v>
      </c>
      <c r="E113">
        <f>_xlfn.XLOOKUP(D113,'Resumen Estudiantes y Profesore'!B:B,'Resumen Estudiantes y Profesore'!A:A)</f>
        <v>42</v>
      </c>
      <c r="F113" t="s">
        <v>243</v>
      </c>
      <c r="G113" t="s">
        <v>246</v>
      </c>
      <c r="H113" t="s">
        <v>246</v>
      </c>
      <c r="I113" t="s">
        <v>682</v>
      </c>
      <c r="J113" t="s">
        <v>90</v>
      </c>
      <c r="K113" s="120" t="s">
        <v>1021</v>
      </c>
      <c r="N113" s="49"/>
    </row>
    <row r="114" spans="1:23">
      <c r="A114" t="s">
        <v>1022</v>
      </c>
      <c r="B114" t="s">
        <v>1023</v>
      </c>
      <c r="C114" t="s">
        <v>446</v>
      </c>
      <c r="D114" t="s">
        <v>34</v>
      </c>
      <c r="E114">
        <f>_xlfn.XLOOKUP(D114,'Resumen Estudiantes y Profesore'!B:B,'Resumen Estudiantes y Profesore'!A:A)</f>
        <v>39</v>
      </c>
      <c r="F114" t="s">
        <v>243</v>
      </c>
      <c r="G114" t="s">
        <v>246</v>
      </c>
      <c r="H114" t="s">
        <v>246</v>
      </c>
      <c r="I114" t="s">
        <v>682</v>
      </c>
      <c r="J114" t="s">
        <v>89</v>
      </c>
      <c r="K114" s="120" t="s">
        <v>1024</v>
      </c>
      <c r="N114" s="49"/>
    </row>
    <row r="115" spans="1:23">
      <c r="A115" t="s">
        <v>1025</v>
      </c>
      <c r="B115" t="s">
        <v>1026</v>
      </c>
      <c r="C115" t="s">
        <v>234</v>
      </c>
      <c r="D115" t="s">
        <v>234</v>
      </c>
      <c r="E115">
        <f>_xlfn.XLOOKUP(D115,'Resumen Estudiantes y Profesore'!B:B,'Resumen Estudiantes y Profesore'!A:A)</f>
        <v>153</v>
      </c>
      <c r="F115" t="s">
        <v>243</v>
      </c>
      <c r="G115" t="s">
        <v>246</v>
      </c>
      <c r="H115" t="s">
        <v>246</v>
      </c>
      <c r="I115" t="s">
        <v>682</v>
      </c>
      <c r="J115" t="s">
        <v>77</v>
      </c>
      <c r="K115" s="120" t="s">
        <v>1027</v>
      </c>
      <c r="N115" s="49"/>
    </row>
    <row r="116" spans="1:23">
      <c r="A116" t="s">
        <v>1028</v>
      </c>
      <c r="B116" t="s">
        <v>1029</v>
      </c>
      <c r="C116" t="s">
        <v>424</v>
      </c>
      <c r="D116" t="s">
        <v>24</v>
      </c>
      <c r="E116">
        <f>_xlfn.XLOOKUP(D116,'Resumen Estudiantes y Profesore'!B:B,'Resumen Estudiantes y Profesore'!A:A)</f>
        <v>27</v>
      </c>
      <c r="F116" t="s">
        <v>243</v>
      </c>
      <c r="G116" t="s">
        <v>246</v>
      </c>
      <c r="H116" t="s">
        <v>246</v>
      </c>
      <c r="I116" t="s">
        <v>682</v>
      </c>
      <c r="J116" t="s">
        <v>83</v>
      </c>
      <c r="K116" s="120" t="s">
        <v>1030</v>
      </c>
      <c r="N116" s="49"/>
    </row>
    <row r="117" spans="1:23">
      <c r="A117" t="s">
        <v>1028</v>
      </c>
      <c r="B117" t="s">
        <v>1031</v>
      </c>
      <c r="C117" t="s">
        <v>428</v>
      </c>
      <c r="D117" t="s">
        <v>25</v>
      </c>
      <c r="E117">
        <f>_xlfn.XLOOKUP(D117,'Resumen Estudiantes y Profesore'!B:B,'Resumen Estudiantes y Profesore'!A:A)</f>
        <v>28</v>
      </c>
      <c r="F117" t="s">
        <v>243</v>
      </c>
      <c r="G117" t="s">
        <v>246</v>
      </c>
      <c r="H117" t="s">
        <v>246</v>
      </c>
      <c r="I117" t="s">
        <v>682</v>
      </c>
      <c r="J117" t="s">
        <v>83</v>
      </c>
      <c r="K117" s="120" t="s">
        <v>1032</v>
      </c>
      <c r="N117" s="49"/>
    </row>
    <row r="118" spans="1:23">
      <c r="A118" t="s">
        <v>1028</v>
      </c>
      <c r="B118" t="s">
        <v>1033</v>
      </c>
      <c r="C118" t="s">
        <v>426</v>
      </c>
      <c r="D118" t="s">
        <v>23</v>
      </c>
      <c r="E118">
        <f>_xlfn.XLOOKUP(D118,'Resumen Estudiantes y Profesore'!B:B,'Resumen Estudiantes y Profesore'!A:A)</f>
        <v>26</v>
      </c>
      <c r="F118" t="s">
        <v>243</v>
      </c>
      <c r="G118" t="s">
        <v>246</v>
      </c>
      <c r="H118" t="s">
        <v>246</v>
      </c>
      <c r="I118" t="s">
        <v>682</v>
      </c>
      <c r="J118" t="s">
        <v>83</v>
      </c>
      <c r="K118" s="120" t="s">
        <v>1034</v>
      </c>
      <c r="N118" s="49"/>
    </row>
    <row r="119" spans="1:23">
      <c r="A119" t="s">
        <v>1035</v>
      </c>
      <c r="B119" t="s">
        <v>1036</v>
      </c>
      <c r="C119" t="s">
        <v>459</v>
      </c>
      <c r="D119" t="s">
        <v>188</v>
      </c>
      <c r="E119">
        <f>_xlfn.XLOOKUP(D119,'Resumen Estudiantes y Profesore'!B:B,'Resumen Estudiantes y Profesore'!A:A)</f>
        <v>56</v>
      </c>
      <c r="F119" t="s">
        <v>243</v>
      </c>
      <c r="G119" t="s">
        <v>246</v>
      </c>
      <c r="H119" t="s">
        <v>246</v>
      </c>
      <c r="I119" t="s">
        <v>674</v>
      </c>
      <c r="J119" t="s">
        <v>84</v>
      </c>
      <c r="K119" s="120" t="s">
        <v>1037</v>
      </c>
      <c r="N119" s="49"/>
    </row>
    <row r="120" spans="1:23">
      <c r="A120" t="s">
        <v>1038</v>
      </c>
      <c r="B120" t="s">
        <v>1039</v>
      </c>
      <c r="C120" t="s">
        <v>451</v>
      </c>
      <c r="D120" t="s">
        <v>38</v>
      </c>
      <c r="E120">
        <f>_xlfn.XLOOKUP(D120,'Resumen Estudiantes y Profesore'!B:B,'Resumen Estudiantes y Profesore'!A:A)</f>
        <v>42</v>
      </c>
      <c r="F120" t="s">
        <v>243</v>
      </c>
      <c r="G120" t="s">
        <v>246</v>
      </c>
      <c r="H120" t="s">
        <v>246</v>
      </c>
      <c r="I120" t="s">
        <v>682</v>
      </c>
      <c r="J120" t="s">
        <v>90</v>
      </c>
      <c r="K120" s="120" t="s">
        <v>1040</v>
      </c>
      <c r="N120" s="49"/>
    </row>
    <row r="121" spans="1:23">
      <c r="A121" t="s">
        <v>1041</v>
      </c>
      <c r="B121" t="s">
        <v>1042</v>
      </c>
      <c r="C121" t="s">
        <v>462</v>
      </c>
      <c r="D121" t="s">
        <v>190</v>
      </c>
      <c r="E121">
        <f>_xlfn.XLOOKUP(D121,'Resumen Estudiantes y Profesore'!B:B,'Resumen Estudiantes y Profesore'!A:A)</f>
        <v>64</v>
      </c>
      <c r="F121" t="s">
        <v>243</v>
      </c>
      <c r="G121" t="s">
        <v>246</v>
      </c>
      <c r="H121" t="s">
        <v>246</v>
      </c>
      <c r="I121" t="s">
        <v>674</v>
      </c>
      <c r="J121" t="s">
        <v>85</v>
      </c>
      <c r="K121" s="120" t="s">
        <v>1043</v>
      </c>
      <c r="N121" s="49"/>
    </row>
    <row r="122" spans="1:23">
      <c r="A122" t="s">
        <v>1044</v>
      </c>
      <c r="B122" t="s">
        <v>1045</v>
      </c>
      <c r="C122" t="s">
        <v>1046</v>
      </c>
      <c r="D122" t="s">
        <v>213</v>
      </c>
      <c r="E122">
        <f>_xlfn.XLOOKUP(D122,'Resumen Estudiantes y Profesore'!B:B,'Resumen Estudiantes y Profesore'!A:A)</f>
        <v>68</v>
      </c>
      <c r="F122" t="s">
        <v>243</v>
      </c>
      <c r="G122" t="s">
        <v>246</v>
      </c>
      <c r="H122" t="s">
        <v>246</v>
      </c>
      <c r="I122" t="s">
        <v>674</v>
      </c>
      <c r="J122" t="s">
        <v>88</v>
      </c>
      <c r="K122" s="120" t="s">
        <v>1047</v>
      </c>
      <c r="N122" s="49"/>
    </row>
    <row r="123" spans="1:23">
      <c r="A123" t="s">
        <v>1048</v>
      </c>
      <c r="B123" t="s">
        <v>1049</v>
      </c>
      <c r="C123" t="s">
        <v>428</v>
      </c>
      <c r="D123" t="s">
        <v>25</v>
      </c>
      <c r="E123">
        <f>_xlfn.XLOOKUP(D123,'Resumen Estudiantes y Profesore'!B:B,'Resumen Estudiantes y Profesore'!A:A)</f>
        <v>28</v>
      </c>
      <c r="F123" t="s">
        <v>243</v>
      </c>
      <c r="G123" t="s">
        <v>246</v>
      </c>
      <c r="H123" t="s">
        <v>246</v>
      </c>
      <c r="I123" t="s">
        <v>682</v>
      </c>
      <c r="J123" t="s">
        <v>83</v>
      </c>
      <c r="K123" s="120" t="s">
        <v>1050</v>
      </c>
      <c r="N123" s="49"/>
    </row>
    <row r="124" spans="1:23">
      <c r="A124" t="s">
        <v>1051</v>
      </c>
      <c r="B124" t="s">
        <v>1052</v>
      </c>
      <c r="C124" t="s">
        <v>424</v>
      </c>
      <c r="D124" t="s">
        <v>24</v>
      </c>
      <c r="E124">
        <f>_xlfn.XLOOKUP(D124,'Resumen Estudiantes y Profesore'!B:B,'Resumen Estudiantes y Profesore'!A:A)</f>
        <v>27</v>
      </c>
      <c r="F124" t="s">
        <v>243</v>
      </c>
      <c r="G124" t="s">
        <v>246</v>
      </c>
      <c r="H124" t="s">
        <v>246</v>
      </c>
      <c r="I124" t="s">
        <v>682</v>
      </c>
      <c r="J124" t="s">
        <v>83</v>
      </c>
      <c r="K124" s="120" t="s">
        <v>1053</v>
      </c>
      <c r="N124" s="49"/>
    </row>
    <row r="125" spans="1:23">
      <c r="A125" t="s">
        <v>1051</v>
      </c>
      <c r="B125" t="s">
        <v>1054</v>
      </c>
      <c r="C125" t="s">
        <v>428</v>
      </c>
      <c r="D125" t="s">
        <v>25</v>
      </c>
      <c r="E125">
        <f>_xlfn.XLOOKUP(D125,'Resumen Estudiantes y Profesore'!B:B,'Resumen Estudiantes y Profesore'!A:A)</f>
        <v>28</v>
      </c>
      <c r="F125" t="s">
        <v>243</v>
      </c>
      <c r="G125" t="s">
        <v>246</v>
      </c>
      <c r="H125" t="s">
        <v>246</v>
      </c>
      <c r="I125" t="s">
        <v>682</v>
      </c>
      <c r="J125" t="s">
        <v>83</v>
      </c>
      <c r="K125" s="120" t="s">
        <v>1055</v>
      </c>
      <c r="N125" s="49"/>
    </row>
    <row r="126" spans="1:23">
      <c r="A126" t="s">
        <v>1051</v>
      </c>
      <c r="B126" t="s">
        <v>1056</v>
      </c>
      <c r="C126" t="s">
        <v>426</v>
      </c>
      <c r="D126" t="s">
        <v>23</v>
      </c>
      <c r="E126">
        <f>_xlfn.XLOOKUP(D126,'Resumen Estudiantes y Profesore'!B:B,'Resumen Estudiantes y Profesore'!A:A)</f>
        <v>26</v>
      </c>
      <c r="F126" t="s">
        <v>243</v>
      </c>
      <c r="G126" t="s">
        <v>246</v>
      </c>
      <c r="H126" t="s">
        <v>246</v>
      </c>
      <c r="I126" t="s">
        <v>682</v>
      </c>
      <c r="J126" t="s">
        <v>83</v>
      </c>
      <c r="K126" s="120" t="s">
        <v>1057</v>
      </c>
      <c r="N126" s="49"/>
    </row>
    <row r="127" spans="1:23">
      <c r="A127" t="s">
        <v>1058</v>
      </c>
      <c r="B127" t="s">
        <v>1059</v>
      </c>
      <c r="C127" t="s">
        <v>95</v>
      </c>
      <c r="D127" t="s">
        <v>251</v>
      </c>
      <c r="E127">
        <f>_xlfn.XLOOKUP(D127,'Resumen Estudiantes y Profesore'!B:B,'Resumen Estudiantes y Profesore'!A:A)</f>
        <v>211</v>
      </c>
      <c r="F127" t="s">
        <v>243</v>
      </c>
      <c r="G127" t="s">
        <v>246</v>
      </c>
      <c r="H127" t="s">
        <v>246</v>
      </c>
      <c r="I127" t="s">
        <v>682</v>
      </c>
      <c r="J127" t="s">
        <v>95</v>
      </c>
      <c r="K127" s="120" t="s">
        <v>1060</v>
      </c>
      <c r="N127" s="49"/>
    </row>
    <row r="128" spans="1:23" s="81" customFormat="1">
      <c r="A128" t="s">
        <v>1061</v>
      </c>
      <c r="B128" t="s">
        <v>1062</v>
      </c>
      <c r="C128" t="s">
        <v>1063</v>
      </c>
      <c r="D128" t="s">
        <v>129</v>
      </c>
      <c r="E128">
        <f>_xlfn.XLOOKUP(D128,'Resumen Estudiantes y Profesore'!B:B,'Resumen Estudiantes y Profesore'!A:A)</f>
        <v>97</v>
      </c>
      <c r="F128" t="s">
        <v>243</v>
      </c>
      <c r="G128" t="s">
        <v>246</v>
      </c>
      <c r="H128" t="s">
        <v>246</v>
      </c>
      <c r="I128" t="s">
        <v>674</v>
      </c>
      <c r="J128" t="s">
        <v>84</v>
      </c>
      <c r="K128" s="120" t="s">
        <v>1064</v>
      </c>
      <c r="L128"/>
      <c r="M128"/>
      <c r="N128" s="49"/>
      <c r="O128"/>
      <c r="P128"/>
      <c r="Q128"/>
      <c r="R128"/>
      <c r="S128"/>
      <c r="T128"/>
      <c r="U128"/>
      <c r="V128"/>
      <c r="W128"/>
    </row>
    <row r="129" spans="1:23" s="81" customFormat="1">
      <c r="A129" t="s">
        <v>1065</v>
      </c>
      <c r="B129" t="s">
        <v>1066</v>
      </c>
      <c r="C129" t="s">
        <v>878</v>
      </c>
      <c r="D129" t="s">
        <v>202</v>
      </c>
      <c r="E129">
        <f>_xlfn.XLOOKUP(D129,'Resumen Estudiantes y Profesore'!B:B,'Resumen Estudiantes y Profesore'!A:A)</f>
        <v>48</v>
      </c>
      <c r="F129" t="s">
        <v>243</v>
      </c>
      <c r="G129" t="s">
        <v>246</v>
      </c>
      <c r="H129" t="s">
        <v>246</v>
      </c>
      <c r="I129" t="s">
        <v>674</v>
      </c>
      <c r="J129" t="s">
        <v>77</v>
      </c>
      <c r="K129" s="120" t="s">
        <v>1067</v>
      </c>
      <c r="L129"/>
      <c r="M129"/>
      <c r="N129" s="49"/>
      <c r="O129"/>
      <c r="P129"/>
      <c r="Q129"/>
      <c r="R129"/>
      <c r="S129"/>
      <c r="T129"/>
      <c r="U129"/>
      <c r="V129"/>
      <c r="W129"/>
    </row>
    <row r="130" spans="1:23" s="81" customFormat="1">
      <c r="A130" t="s">
        <v>1068</v>
      </c>
      <c r="B130" t="s">
        <v>1069</v>
      </c>
      <c r="C130" t="s">
        <v>444</v>
      </c>
      <c r="D130" t="s">
        <v>33</v>
      </c>
      <c r="E130">
        <f>_xlfn.XLOOKUP(D130,'Resumen Estudiantes y Profesore'!B:B,'Resumen Estudiantes y Profesore'!A:A)</f>
        <v>38</v>
      </c>
      <c r="F130" t="s">
        <v>243</v>
      </c>
      <c r="G130" t="s">
        <v>246</v>
      </c>
      <c r="H130" t="s">
        <v>246</v>
      </c>
      <c r="I130" t="s">
        <v>682</v>
      </c>
      <c r="J130" t="s">
        <v>89</v>
      </c>
      <c r="K130" s="120" t="s">
        <v>1070</v>
      </c>
      <c r="L130"/>
      <c r="M130"/>
      <c r="N130" s="49"/>
      <c r="O130"/>
      <c r="P130"/>
      <c r="Q130"/>
      <c r="R130"/>
      <c r="S130"/>
      <c r="T130"/>
      <c r="U130"/>
      <c r="V130"/>
      <c r="W130"/>
    </row>
    <row r="131" spans="1:23">
      <c r="A131" t="s">
        <v>1071</v>
      </c>
      <c r="B131" t="s">
        <v>1072</v>
      </c>
      <c r="C131" t="s">
        <v>535</v>
      </c>
      <c r="D131" t="s">
        <v>40</v>
      </c>
      <c r="E131">
        <f>_xlfn.XLOOKUP(D131,'Resumen Estudiantes y Profesore'!B:B,'Resumen Estudiantes y Profesore'!A:A)</f>
        <v>200</v>
      </c>
      <c r="F131" t="s">
        <v>243</v>
      </c>
      <c r="G131" t="s">
        <v>246</v>
      </c>
      <c r="H131" t="s">
        <v>246</v>
      </c>
      <c r="I131" t="s">
        <v>682</v>
      </c>
      <c r="J131" t="s">
        <v>89</v>
      </c>
      <c r="K131" s="120" t="s">
        <v>1073</v>
      </c>
      <c r="N131" s="49"/>
    </row>
    <row r="132" spans="1:23" s="81" customFormat="1">
      <c r="A132" t="s">
        <v>1074</v>
      </c>
      <c r="B132" t="s">
        <v>1075</v>
      </c>
      <c r="C132" t="s">
        <v>474</v>
      </c>
      <c r="D132" t="s">
        <v>204</v>
      </c>
      <c r="E132">
        <f>_xlfn.XLOOKUP(D132,'Resumen Estudiantes y Profesore'!B:B,'Resumen Estudiantes y Profesore'!A:A)</f>
        <v>81</v>
      </c>
      <c r="F132" t="s">
        <v>243</v>
      </c>
      <c r="G132" t="s">
        <v>246</v>
      </c>
      <c r="H132" t="s">
        <v>246</v>
      </c>
      <c r="I132" t="s">
        <v>674</v>
      </c>
      <c r="J132" t="s">
        <v>91</v>
      </c>
      <c r="K132" s="120" t="s">
        <v>1076</v>
      </c>
      <c r="L132"/>
      <c r="M132"/>
      <c r="N132" s="49"/>
      <c r="O132"/>
      <c r="P132"/>
      <c r="Q132"/>
      <c r="R132"/>
      <c r="S132"/>
      <c r="T132"/>
      <c r="U132"/>
      <c r="V132"/>
      <c r="W132"/>
    </row>
    <row r="133" spans="1:23">
      <c r="A133" t="s">
        <v>1077</v>
      </c>
      <c r="B133" t="s">
        <v>1078</v>
      </c>
      <c r="C133" t="s">
        <v>451</v>
      </c>
      <c r="D133" t="s">
        <v>38</v>
      </c>
      <c r="E133">
        <f>_xlfn.XLOOKUP(D133,'Resumen Estudiantes y Profesore'!B:B,'Resumen Estudiantes y Profesore'!A:A)</f>
        <v>42</v>
      </c>
      <c r="F133" t="s">
        <v>243</v>
      </c>
      <c r="G133" t="s">
        <v>246</v>
      </c>
      <c r="H133" t="s">
        <v>246</v>
      </c>
      <c r="I133" t="s">
        <v>682</v>
      </c>
      <c r="J133" t="s">
        <v>90</v>
      </c>
      <c r="K133" s="120" t="s">
        <v>1079</v>
      </c>
      <c r="N133" s="49"/>
    </row>
    <row r="134" spans="1:23">
      <c r="A134" t="s">
        <v>1080</v>
      </c>
      <c r="B134" t="s">
        <v>1081</v>
      </c>
      <c r="C134" t="s">
        <v>1063</v>
      </c>
      <c r="D134" t="s">
        <v>129</v>
      </c>
      <c r="E134">
        <f>_xlfn.XLOOKUP(D134,'Resumen Estudiantes y Profesore'!B:B,'Resumen Estudiantes y Profesore'!A:A)</f>
        <v>97</v>
      </c>
      <c r="F134" t="s">
        <v>243</v>
      </c>
      <c r="G134" t="s">
        <v>246</v>
      </c>
      <c r="H134" t="s">
        <v>246</v>
      </c>
      <c r="I134" t="s">
        <v>674</v>
      </c>
      <c r="J134" t="s">
        <v>84</v>
      </c>
      <c r="K134" s="120" t="s">
        <v>1082</v>
      </c>
      <c r="N134" s="49"/>
    </row>
    <row r="135" spans="1:23" s="81" customFormat="1">
      <c r="A135" t="s">
        <v>1083</v>
      </c>
      <c r="B135" t="s">
        <v>1084</v>
      </c>
      <c r="C135" t="s">
        <v>611</v>
      </c>
      <c r="D135" t="s">
        <v>176</v>
      </c>
      <c r="E135">
        <f>_xlfn.XLOOKUP(D135,'Resumen Estudiantes y Profesore'!B:B,'Resumen Estudiantes y Profesore'!A:A)</f>
        <v>121</v>
      </c>
      <c r="F135" t="s">
        <v>243</v>
      </c>
      <c r="G135" t="s">
        <v>246</v>
      </c>
      <c r="H135" t="s">
        <v>246</v>
      </c>
      <c r="I135" t="s">
        <v>674</v>
      </c>
      <c r="J135" t="s">
        <v>84</v>
      </c>
      <c r="K135" s="120" t="s">
        <v>1085</v>
      </c>
      <c r="L135"/>
      <c r="M135"/>
      <c r="N135" s="49"/>
      <c r="O135"/>
      <c r="P135"/>
      <c r="Q135"/>
      <c r="R135"/>
      <c r="S135"/>
      <c r="T135"/>
      <c r="U135"/>
      <c r="V135"/>
      <c r="W135"/>
    </row>
    <row r="136" spans="1:23" s="81" customFormat="1">
      <c r="A136" t="s">
        <v>1083</v>
      </c>
      <c r="B136" t="s">
        <v>1086</v>
      </c>
      <c r="C136" t="s">
        <v>456</v>
      </c>
      <c r="D136" t="s">
        <v>185</v>
      </c>
      <c r="E136">
        <f>_xlfn.XLOOKUP(D136,'Resumen Estudiantes y Profesore'!B:B,'Resumen Estudiantes y Profesore'!A:A)</f>
        <v>57</v>
      </c>
      <c r="F136" t="s">
        <v>243</v>
      </c>
      <c r="G136" t="s">
        <v>246</v>
      </c>
      <c r="H136" t="s">
        <v>246</v>
      </c>
      <c r="I136" t="s">
        <v>674</v>
      </c>
      <c r="J136" t="s">
        <v>84</v>
      </c>
      <c r="K136" s="120" t="s">
        <v>1087</v>
      </c>
      <c r="L136"/>
      <c r="M136"/>
      <c r="N136" s="49"/>
      <c r="O136"/>
      <c r="P136"/>
      <c r="Q136"/>
      <c r="R136"/>
      <c r="S136"/>
      <c r="T136"/>
      <c r="U136"/>
      <c r="V136"/>
      <c r="W136"/>
    </row>
    <row r="137" spans="1:23">
      <c r="A137" t="s">
        <v>1083</v>
      </c>
      <c r="B137" t="s">
        <v>1088</v>
      </c>
      <c r="C137" t="s">
        <v>431</v>
      </c>
      <c r="D137" t="s">
        <v>27</v>
      </c>
      <c r="E137">
        <f>_xlfn.XLOOKUP(D137,'Resumen Estudiantes y Profesore'!B:B,'Resumen Estudiantes y Profesore'!A:A)</f>
        <v>30</v>
      </c>
      <c r="F137" t="s">
        <v>243</v>
      </c>
      <c r="G137" t="s">
        <v>246</v>
      </c>
      <c r="H137" t="s">
        <v>246</v>
      </c>
      <c r="I137" t="s">
        <v>682</v>
      </c>
      <c r="J137" t="s">
        <v>84</v>
      </c>
      <c r="K137" s="120" t="s">
        <v>1089</v>
      </c>
      <c r="N137" s="49"/>
    </row>
    <row r="138" spans="1:23">
      <c r="A138" t="s">
        <v>1083</v>
      </c>
      <c r="B138" t="s">
        <v>1090</v>
      </c>
      <c r="C138" t="s">
        <v>441</v>
      </c>
      <c r="D138" t="s">
        <v>32</v>
      </c>
      <c r="E138">
        <f>_xlfn.XLOOKUP(D138,'Resumen Estudiantes y Profesore'!B:B,'Resumen Estudiantes y Profesore'!A:A)</f>
        <v>36</v>
      </c>
      <c r="F138" t="s">
        <v>243</v>
      </c>
      <c r="G138" t="s">
        <v>246</v>
      </c>
      <c r="H138" t="s">
        <v>246</v>
      </c>
      <c r="I138" t="s">
        <v>682</v>
      </c>
      <c r="J138" t="s">
        <v>89</v>
      </c>
      <c r="K138" s="120" t="s">
        <v>1091</v>
      </c>
      <c r="N138" s="49"/>
    </row>
    <row r="139" spans="1:23">
      <c r="A139" t="s">
        <v>1092</v>
      </c>
      <c r="B139" t="s">
        <v>1093</v>
      </c>
      <c r="C139" t="s">
        <v>1094</v>
      </c>
      <c r="D139" t="s">
        <v>199</v>
      </c>
      <c r="E139">
        <f>_xlfn.XLOOKUP(D139,'Resumen Estudiantes y Profesore'!B:B,'Resumen Estudiantes y Profesore'!A:A)</f>
        <v>49</v>
      </c>
      <c r="F139" t="s">
        <v>243</v>
      </c>
      <c r="G139" t="s">
        <v>246</v>
      </c>
      <c r="H139" t="s">
        <v>246</v>
      </c>
      <c r="I139" t="s">
        <v>674</v>
      </c>
      <c r="J139" t="s">
        <v>77</v>
      </c>
      <c r="K139" s="120" t="s">
        <v>1095</v>
      </c>
      <c r="N139" s="49"/>
    </row>
    <row r="140" spans="1:23">
      <c r="A140" t="s">
        <v>1096</v>
      </c>
      <c r="B140" t="s">
        <v>1097</v>
      </c>
      <c r="C140" t="s">
        <v>419</v>
      </c>
      <c r="D140" t="s">
        <v>233</v>
      </c>
      <c r="E140">
        <f>_xlfn.XLOOKUP(D140,'Resumen Estudiantes y Profesore'!B:B,'Resumen Estudiantes y Profesore'!A:A)</f>
        <v>152</v>
      </c>
      <c r="F140" t="s">
        <v>243</v>
      </c>
      <c r="G140" t="s">
        <v>246</v>
      </c>
      <c r="H140" t="s">
        <v>246</v>
      </c>
      <c r="I140" t="s">
        <v>682</v>
      </c>
      <c r="J140" t="s">
        <v>77</v>
      </c>
      <c r="K140" s="120" t="s">
        <v>1098</v>
      </c>
      <c r="N140" s="49"/>
    </row>
    <row r="141" spans="1:23">
      <c r="A141" t="s">
        <v>1099</v>
      </c>
      <c r="B141" t="s">
        <v>1100</v>
      </c>
      <c r="C141" t="s">
        <v>430</v>
      </c>
      <c r="D141" t="s">
        <v>26</v>
      </c>
      <c r="E141">
        <f>_xlfn.XLOOKUP(D141,'Resumen Estudiantes y Profesore'!B:B,'Resumen Estudiantes y Profesore'!A:A)</f>
        <v>29</v>
      </c>
      <c r="F141" t="s">
        <v>243</v>
      </c>
      <c r="G141" t="s">
        <v>246</v>
      </c>
      <c r="H141" t="s">
        <v>246</v>
      </c>
      <c r="I141" t="s">
        <v>682</v>
      </c>
      <c r="J141" t="s">
        <v>84</v>
      </c>
      <c r="K141" s="120" t="s">
        <v>1101</v>
      </c>
      <c r="N141" s="49"/>
    </row>
    <row r="142" spans="1:23">
      <c r="A142" t="s">
        <v>1102</v>
      </c>
      <c r="B142" t="s">
        <v>1103</v>
      </c>
      <c r="C142" t="s">
        <v>747</v>
      </c>
      <c r="D142" t="s">
        <v>178</v>
      </c>
      <c r="E142">
        <f>_xlfn.XLOOKUP(D142,'Resumen Estudiantes y Profesore'!B:B,'Resumen Estudiantes y Profesore'!A:A)</f>
        <v>75</v>
      </c>
      <c r="F142" t="s">
        <v>243</v>
      </c>
      <c r="G142" t="s">
        <v>246</v>
      </c>
      <c r="H142" t="s">
        <v>246</v>
      </c>
      <c r="I142" t="s">
        <v>674</v>
      </c>
      <c r="J142" t="s">
        <v>89</v>
      </c>
      <c r="K142" s="120" t="s">
        <v>1104</v>
      </c>
      <c r="N142" s="49"/>
    </row>
    <row r="143" spans="1:23">
      <c r="A143" t="s">
        <v>1105</v>
      </c>
      <c r="B143" t="s">
        <v>1106</v>
      </c>
      <c r="C143" t="s">
        <v>446</v>
      </c>
      <c r="D143" t="s">
        <v>34</v>
      </c>
      <c r="E143">
        <f>_xlfn.XLOOKUP(D143,'Resumen Estudiantes y Profesore'!B:B,'Resumen Estudiantes y Profesore'!A:A)</f>
        <v>39</v>
      </c>
      <c r="F143" t="s">
        <v>243</v>
      </c>
      <c r="G143" t="s">
        <v>246</v>
      </c>
      <c r="H143" t="s">
        <v>246</v>
      </c>
      <c r="I143" t="s">
        <v>682</v>
      </c>
      <c r="J143" t="s">
        <v>89</v>
      </c>
      <c r="K143" s="120" t="s">
        <v>1107</v>
      </c>
      <c r="N143" s="49"/>
    </row>
    <row r="144" spans="1:23">
      <c r="A144" t="s">
        <v>1108</v>
      </c>
      <c r="B144" t="s">
        <v>1109</v>
      </c>
      <c r="C144" t="s">
        <v>239</v>
      </c>
      <c r="D144" t="s">
        <v>239</v>
      </c>
      <c r="E144">
        <f>_xlfn.XLOOKUP(D144,'Resumen Estudiantes y Profesore'!B:B,'Resumen Estudiantes y Profesore'!A:A)</f>
        <v>158</v>
      </c>
      <c r="F144" t="s">
        <v>243</v>
      </c>
      <c r="G144" t="s">
        <v>246</v>
      </c>
      <c r="H144" t="s">
        <v>246</v>
      </c>
      <c r="I144" t="s">
        <v>682</v>
      </c>
      <c r="J144" t="s">
        <v>77</v>
      </c>
      <c r="K144" s="120" t="s">
        <v>1110</v>
      </c>
      <c r="N144" s="49"/>
    </row>
    <row r="145" spans="1:14">
      <c r="A145" t="s">
        <v>1111</v>
      </c>
      <c r="B145" t="s">
        <v>1112</v>
      </c>
      <c r="C145" t="s">
        <v>451</v>
      </c>
      <c r="D145" t="s">
        <v>38</v>
      </c>
      <c r="E145">
        <f>_xlfn.XLOOKUP(D145,'Resumen Estudiantes y Profesore'!B:B,'Resumen Estudiantes y Profesore'!A:A)</f>
        <v>42</v>
      </c>
      <c r="F145" t="s">
        <v>243</v>
      </c>
      <c r="G145" t="s">
        <v>246</v>
      </c>
      <c r="H145" t="s">
        <v>246</v>
      </c>
      <c r="I145" t="s">
        <v>682</v>
      </c>
      <c r="J145" t="s">
        <v>90</v>
      </c>
      <c r="K145" s="120" t="s">
        <v>1113</v>
      </c>
      <c r="N145" s="49"/>
    </row>
    <row r="146" spans="1:14">
      <c r="A146" t="s">
        <v>1114</v>
      </c>
      <c r="B146" t="s">
        <v>1115</v>
      </c>
      <c r="C146" t="s">
        <v>453</v>
      </c>
      <c r="D146" t="s">
        <v>39</v>
      </c>
      <c r="E146">
        <f>_xlfn.XLOOKUP(D146,'Resumen Estudiantes y Profesore'!B:B,'Resumen Estudiantes y Profesore'!A:A)</f>
        <v>43</v>
      </c>
      <c r="F146" t="s">
        <v>243</v>
      </c>
      <c r="G146" t="s">
        <v>246</v>
      </c>
      <c r="H146" t="s">
        <v>246</v>
      </c>
      <c r="I146" t="s">
        <v>682</v>
      </c>
      <c r="J146" t="s">
        <v>91</v>
      </c>
      <c r="K146" s="120" t="s">
        <v>1116</v>
      </c>
      <c r="N146" s="49"/>
    </row>
    <row r="147" spans="1:14">
      <c r="A147" t="s">
        <v>1117</v>
      </c>
      <c r="B147" t="s">
        <v>1118</v>
      </c>
      <c r="C147" t="s">
        <v>1119</v>
      </c>
      <c r="D147" t="s">
        <v>119</v>
      </c>
      <c r="E147">
        <f>_xlfn.XLOOKUP(D147,'Resumen Estudiantes y Profesore'!B:B,'Resumen Estudiantes y Profesore'!A:A)</f>
        <v>8</v>
      </c>
      <c r="F147" t="s">
        <v>243</v>
      </c>
      <c r="G147" t="s">
        <v>246</v>
      </c>
      <c r="H147" t="s">
        <v>246</v>
      </c>
      <c r="I147" t="s">
        <v>674</v>
      </c>
      <c r="J147" t="s">
        <v>90</v>
      </c>
      <c r="K147" s="120" t="s">
        <v>1120</v>
      </c>
      <c r="N147" s="49"/>
    </row>
    <row r="148" spans="1:14">
      <c r="A148" t="s">
        <v>1117</v>
      </c>
      <c r="B148" t="s">
        <v>1121</v>
      </c>
      <c r="C148" t="s">
        <v>1122</v>
      </c>
      <c r="D148" t="s">
        <v>194</v>
      </c>
      <c r="E148">
        <f>_xlfn.XLOOKUP(D148,'Resumen Estudiantes y Profesore'!B:B,'Resumen Estudiantes y Profesore'!A:A)</f>
        <v>79</v>
      </c>
      <c r="F148" t="s">
        <v>243</v>
      </c>
      <c r="G148" t="s">
        <v>246</v>
      </c>
      <c r="H148" t="s">
        <v>246</v>
      </c>
      <c r="I148" t="s">
        <v>674</v>
      </c>
      <c r="J148" t="s">
        <v>90</v>
      </c>
      <c r="K148" s="120" t="s">
        <v>1123</v>
      </c>
      <c r="N148" s="49"/>
    </row>
    <row r="149" spans="1:14">
      <c r="A149" t="s">
        <v>1117</v>
      </c>
      <c r="B149" t="s">
        <v>1124</v>
      </c>
      <c r="C149" t="s">
        <v>451</v>
      </c>
      <c r="D149" t="s">
        <v>38</v>
      </c>
      <c r="E149">
        <f>_xlfn.XLOOKUP(D149,'Resumen Estudiantes y Profesore'!B:B,'Resumen Estudiantes y Profesore'!A:A)</f>
        <v>42</v>
      </c>
      <c r="F149" t="s">
        <v>243</v>
      </c>
      <c r="G149" t="s">
        <v>246</v>
      </c>
      <c r="H149" t="s">
        <v>246</v>
      </c>
      <c r="I149" t="s">
        <v>682</v>
      </c>
      <c r="J149" t="s">
        <v>90</v>
      </c>
      <c r="K149" s="120" t="s">
        <v>1125</v>
      </c>
      <c r="N149" s="49"/>
    </row>
    <row r="150" spans="1:14">
      <c r="A150" t="s">
        <v>1126</v>
      </c>
      <c r="B150" t="s">
        <v>1127</v>
      </c>
      <c r="C150" t="s">
        <v>692</v>
      </c>
      <c r="D150" t="s">
        <v>133</v>
      </c>
      <c r="E150">
        <f>_xlfn.XLOOKUP(D150,'Resumen Estudiantes y Profesore'!B:B,'Resumen Estudiantes y Profesore'!A:A)</f>
        <v>101</v>
      </c>
      <c r="F150" t="s">
        <v>243</v>
      </c>
      <c r="G150" t="s">
        <v>246</v>
      </c>
      <c r="H150" t="s">
        <v>246</v>
      </c>
      <c r="I150" t="s">
        <v>674</v>
      </c>
      <c r="J150" t="s">
        <v>84</v>
      </c>
      <c r="K150" s="120" t="s">
        <v>1128</v>
      </c>
      <c r="N150" s="49"/>
    </row>
    <row r="151" spans="1:14">
      <c r="A151" t="s">
        <v>1129</v>
      </c>
      <c r="B151" t="s">
        <v>1130</v>
      </c>
      <c r="C151" t="s">
        <v>439</v>
      </c>
      <c r="D151" t="s">
        <v>31</v>
      </c>
      <c r="E151">
        <f>_xlfn.XLOOKUP(D151,'Resumen Estudiantes y Profesore'!B:B,'Resumen Estudiantes y Profesore'!A:A)</f>
        <v>35</v>
      </c>
      <c r="F151" t="s">
        <v>243</v>
      </c>
      <c r="G151" t="s">
        <v>246</v>
      </c>
      <c r="H151" t="s">
        <v>246</v>
      </c>
      <c r="I151" t="s">
        <v>682</v>
      </c>
      <c r="J151" t="s">
        <v>88</v>
      </c>
      <c r="K151" s="120" t="s">
        <v>1131</v>
      </c>
      <c r="N151" s="49"/>
    </row>
    <row r="152" spans="1:14">
      <c r="A152" t="s">
        <v>1132</v>
      </c>
      <c r="B152" t="s">
        <v>1133</v>
      </c>
      <c r="C152" t="s">
        <v>450</v>
      </c>
      <c r="D152" t="s">
        <v>37</v>
      </c>
      <c r="E152">
        <f>_xlfn.XLOOKUP(D152,'Resumen Estudiantes y Profesore'!B:B,'Resumen Estudiantes y Profesore'!A:A)</f>
        <v>41</v>
      </c>
      <c r="F152" t="s">
        <v>243</v>
      </c>
      <c r="G152" t="s">
        <v>246</v>
      </c>
      <c r="H152" t="s">
        <v>246</v>
      </c>
      <c r="I152" t="s">
        <v>682</v>
      </c>
      <c r="J152" t="s">
        <v>89</v>
      </c>
      <c r="K152" s="120" t="s">
        <v>1134</v>
      </c>
      <c r="N152" s="49"/>
    </row>
    <row r="153" spans="1:14">
      <c r="A153" t="s">
        <v>1135</v>
      </c>
      <c r="B153" t="s">
        <v>1136</v>
      </c>
      <c r="C153" t="s">
        <v>239</v>
      </c>
      <c r="D153" t="s">
        <v>239</v>
      </c>
      <c r="E153">
        <f>_xlfn.XLOOKUP(D153,'Resumen Estudiantes y Profesore'!B:B,'Resumen Estudiantes y Profesore'!A:A)</f>
        <v>158</v>
      </c>
      <c r="F153" t="s">
        <v>243</v>
      </c>
      <c r="G153" t="s">
        <v>246</v>
      </c>
      <c r="H153" t="s">
        <v>246</v>
      </c>
      <c r="I153" t="s">
        <v>682</v>
      </c>
      <c r="J153" t="s">
        <v>77</v>
      </c>
      <c r="K153" s="120" t="s">
        <v>1137</v>
      </c>
      <c r="N153" s="49"/>
    </row>
    <row r="154" spans="1:14">
      <c r="A154" t="s">
        <v>1138</v>
      </c>
      <c r="B154" t="s">
        <v>1139</v>
      </c>
      <c r="C154" t="s">
        <v>446</v>
      </c>
      <c r="D154" t="s">
        <v>34</v>
      </c>
      <c r="E154">
        <f>_xlfn.XLOOKUP(D154,'Resumen Estudiantes y Profesore'!B:B,'Resumen Estudiantes y Profesore'!A:A)</f>
        <v>39</v>
      </c>
      <c r="F154" t="s">
        <v>243</v>
      </c>
      <c r="G154" t="s">
        <v>246</v>
      </c>
      <c r="H154" t="s">
        <v>246</v>
      </c>
      <c r="I154" t="s">
        <v>682</v>
      </c>
      <c r="J154" t="s">
        <v>89</v>
      </c>
      <c r="K154" s="120" t="s">
        <v>1140</v>
      </c>
      <c r="N154" s="49"/>
    </row>
    <row r="155" spans="1:14">
      <c r="A155" t="s">
        <v>1141</v>
      </c>
      <c r="B155" t="s">
        <v>1142</v>
      </c>
      <c r="C155" t="s">
        <v>417</v>
      </c>
      <c r="D155" t="s">
        <v>231</v>
      </c>
      <c r="E155">
        <f>_xlfn.XLOOKUP(D155,'Resumen Estudiantes y Profesore'!B:B,'Resumen Estudiantes y Profesore'!A:A)</f>
        <v>150</v>
      </c>
      <c r="F155" t="s">
        <v>243</v>
      </c>
      <c r="G155" t="s">
        <v>246</v>
      </c>
      <c r="H155" t="s">
        <v>246</v>
      </c>
      <c r="I155" t="s">
        <v>682</v>
      </c>
      <c r="J155" t="s">
        <v>77</v>
      </c>
      <c r="K155" s="120" t="s">
        <v>1143</v>
      </c>
      <c r="N155" s="49"/>
    </row>
    <row r="156" spans="1:14">
      <c r="A156" t="s">
        <v>1144</v>
      </c>
      <c r="B156" t="s">
        <v>1145</v>
      </c>
      <c r="C156" t="s">
        <v>424</v>
      </c>
      <c r="D156" t="s">
        <v>24</v>
      </c>
      <c r="E156">
        <f>_xlfn.XLOOKUP(D156,'Resumen Estudiantes y Profesore'!B:B,'Resumen Estudiantes y Profesore'!A:A)</f>
        <v>27</v>
      </c>
      <c r="F156" t="s">
        <v>243</v>
      </c>
      <c r="G156" t="s">
        <v>246</v>
      </c>
      <c r="H156" t="s">
        <v>246</v>
      </c>
      <c r="I156" t="s">
        <v>682</v>
      </c>
      <c r="J156" t="s">
        <v>83</v>
      </c>
      <c r="K156" s="120" t="s">
        <v>1146</v>
      </c>
      <c r="N156" s="49"/>
    </row>
    <row r="157" spans="1:14">
      <c r="A157" t="s">
        <v>1144</v>
      </c>
      <c r="B157" t="s">
        <v>1147</v>
      </c>
      <c r="C157" t="s">
        <v>428</v>
      </c>
      <c r="D157" t="s">
        <v>25</v>
      </c>
      <c r="E157">
        <f>_xlfn.XLOOKUP(D157,'Resumen Estudiantes y Profesore'!B:B,'Resumen Estudiantes y Profesore'!A:A)</f>
        <v>28</v>
      </c>
      <c r="F157" t="s">
        <v>243</v>
      </c>
      <c r="G157" t="s">
        <v>246</v>
      </c>
      <c r="H157" t="s">
        <v>246</v>
      </c>
      <c r="I157" t="s">
        <v>682</v>
      </c>
      <c r="J157" t="s">
        <v>83</v>
      </c>
      <c r="K157" s="120" t="s">
        <v>1148</v>
      </c>
      <c r="N157" s="49"/>
    </row>
    <row r="158" spans="1:14">
      <c r="A158" t="s">
        <v>1144</v>
      </c>
      <c r="B158" t="s">
        <v>1149</v>
      </c>
      <c r="C158" t="s">
        <v>426</v>
      </c>
      <c r="D158" t="s">
        <v>23</v>
      </c>
      <c r="E158">
        <f>_xlfn.XLOOKUP(D158,'Resumen Estudiantes y Profesore'!B:B,'Resumen Estudiantes y Profesore'!A:A)</f>
        <v>26</v>
      </c>
      <c r="F158" t="s">
        <v>243</v>
      </c>
      <c r="G158" t="s">
        <v>246</v>
      </c>
      <c r="H158" t="s">
        <v>246</v>
      </c>
      <c r="I158" t="s">
        <v>682</v>
      </c>
      <c r="J158" t="s">
        <v>83</v>
      </c>
      <c r="K158" s="120" t="s">
        <v>1150</v>
      </c>
      <c r="N158" s="49"/>
    </row>
    <row r="159" spans="1:14">
      <c r="A159" t="s">
        <v>1151</v>
      </c>
      <c r="B159" t="s">
        <v>1152</v>
      </c>
      <c r="C159" t="s">
        <v>421</v>
      </c>
      <c r="D159" t="s">
        <v>236</v>
      </c>
      <c r="E159">
        <f>_xlfn.XLOOKUP(D159,'Resumen Estudiantes y Profesore'!B:B,'Resumen Estudiantes y Profesore'!A:A)</f>
        <v>155</v>
      </c>
      <c r="F159" t="s">
        <v>243</v>
      </c>
      <c r="G159" t="s">
        <v>246</v>
      </c>
      <c r="H159" t="s">
        <v>246</v>
      </c>
      <c r="I159" t="s">
        <v>682</v>
      </c>
      <c r="J159" t="s">
        <v>77</v>
      </c>
      <c r="K159" s="120" t="s">
        <v>1153</v>
      </c>
      <c r="N159" s="49"/>
    </row>
    <row r="160" spans="1:14">
      <c r="A160" t="s">
        <v>1154</v>
      </c>
      <c r="B160" t="s">
        <v>1155</v>
      </c>
      <c r="C160" t="s">
        <v>611</v>
      </c>
      <c r="D160" t="s">
        <v>176</v>
      </c>
      <c r="E160">
        <f>_xlfn.XLOOKUP(D160,'Resumen Estudiantes y Profesore'!B:B,'Resumen Estudiantes y Profesore'!A:A)</f>
        <v>121</v>
      </c>
      <c r="F160" t="s">
        <v>243</v>
      </c>
      <c r="G160" t="s">
        <v>246</v>
      </c>
      <c r="H160" t="s">
        <v>246</v>
      </c>
      <c r="I160" t="s">
        <v>674</v>
      </c>
      <c r="J160" t="s">
        <v>84</v>
      </c>
      <c r="K160" s="120" t="s">
        <v>1156</v>
      </c>
      <c r="N160" s="49"/>
    </row>
    <row r="161" spans="1:14">
      <c r="A161" t="s">
        <v>1154</v>
      </c>
      <c r="B161" t="s">
        <v>1157</v>
      </c>
      <c r="C161" t="s">
        <v>456</v>
      </c>
      <c r="D161" t="s">
        <v>185</v>
      </c>
      <c r="E161">
        <f>_xlfn.XLOOKUP(D161,'Resumen Estudiantes y Profesore'!B:B,'Resumen Estudiantes y Profesore'!A:A)</f>
        <v>57</v>
      </c>
      <c r="F161" t="s">
        <v>243</v>
      </c>
      <c r="G161" t="s">
        <v>246</v>
      </c>
      <c r="H161" t="s">
        <v>246</v>
      </c>
      <c r="I161" t="s">
        <v>674</v>
      </c>
      <c r="J161" t="s">
        <v>84</v>
      </c>
      <c r="K161" s="120" t="s">
        <v>1158</v>
      </c>
      <c r="N161" s="49"/>
    </row>
    <row r="162" spans="1:14">
      <c r="A162" t="s">
        <v>1159</v>
      </c>
      <c r="B162" t="s">
        <v>1160</v>
      </c>
      <c r="C162" t="s">
        <v>428</v>
      </c>
      <c r="D162" t="s">
        <v>25</v>
      </c>
      <c r="E162">
        <f>_xlfn.XLOOKUP(D162,'Resumen Estudiantes y Profesore'!B:B,'Resumen Estudiantes y Profesore'!A:A)</f>
        <v>28</v>
      </c>
      <c r="F162" t="s">
        <v>243</v>
      </c>
      <c r="G162" t="s">
        <v>246</v>
      </c>
      <c r="H162" t="s">
        <v>246</v>
      </c>
      <c r="I162" t="s">
        <v>682</v>
      </c>
      <c r="J162" t="s">
        <v>83</v>
      </c>
      <c r="K162" s="120" t="s">
        <v>1161</v>
      </c>
      <c r="N162" s="49"/>
    </row>
    <row r="163" spans="1:14">
      <c r="A163" t="s">
        <v>1162</v>
      </c>
      <c r="B163" t="s">
        <v>1163</v>
      </c>
      <c r="C163" t="s">
        <v>508</v>
      </c>
      <c r="D163" t="s">
        <v>152</v>
      </c>
      <c r="E163">
        <f>_xlfn.XLOOKUP(D163,'Resumen Estudiantes y Profesore'!B:B,'Resumen Estudiantes y Profesore'!A:A)</f>
        <v>108</v>
      </c>
      <c r="F163" t="s">
        <v>243</v>
      </c>
      <c r="G163" t="s">
        <v>246</v>
      </c>
      <c r="H163" t="s">
        <v>246</v>
      </c>
      <c r="I163" t="s">
        <v>674</v>
      </c>
      <c r="J163" t="s">
        <v>91</v>
      </c>
      <c r="K163" s="120" t="s">
        <v>1164</v>
      </c>
      <c r="N163" s="49"/>
    </row>
    <row r="164" spans="1:14">
      <c r="A164" t="s">
        <v>1165</v>
      </c>
      <c r="B164" t="s">
        <v>1166</v>
      </c>
      <c r="C164" t="s">
        <v>237</v>
      </c>
      <c r="D164" t="s">
        <v>237</v>
      </c>
      <c r="E164">
        <f>_xlfn.XLOOKUP(D164,'Resumen Estudiantes y Profesore'!B:B,'Resumen Estudiantes y Profesore'!A:A)</f>
        <v>156</v>
      </c>
      <c r="F164" t="s">
        <v>243</v>
      </c>
      <c r="G164" t="s">
        <v>246</v>
      </c>
      <c r="H164" t="s">
        <v>246</v>
      </c>
      <c r="I164" t="s">
        <v>682</v>
      </c>
      <c r="J164" t="s">
        <v>77</v>
      </c>
      <c r="K164" s="120" t="s">
        <v>1167</v>
      </c>
      <c r="N164" s="49"/>
    </row>
    <row r="165" spans="1:14">
      <c r="A165" t="s">
        <v>1168</v>
      </c>
      <c r="B165" t="s">
        <v>1169</v>
      </c>
      <c r="C165" t="s">
        <v>234</v>
      </c>
      <c r="D165" t="s">
        <v>234</v>
      </c>
      <c r="E165">
        <f>_xlfn.XLOOKUP(D165,'Resumen Estudiantes y Profesore'!B:B,'Resumen Estudiantes y Profesore'!A:A)</f>
        <v>153</v>
      </c>
      <c r="F165" t="s">
        <v>243</v>
      </c>
      <c r="G165" t="s">
        <v>246</v>
      </c>
      <c r="H165" t="s">
        <v>246</v>
      </c>
      <c r="I165" t="s">
        <v>682</v>
      </c>
      <c r="J165" t="s">
        <v>77</v>
      </c>
      <c r="K165" s="120" t="s">
        <v>1170</v>
      </c>
      <c r="N165" s="49"/>
    </row>
    <row r="166" spans="1:14">
      <c r="A166" t="s">
        <v>1171</v>
      </c>
      <c r="B166" t="s">
        <v>1172</v>
      </c>
      <c r="C166" t="s">
        <v>678</v>
      </c>
      <c r="D166" t="s">
        <v>180</v>
      </c>
      <c r="E166">
        <f>_xlfn.XLOOKUP(D166,'Resumen Estudiantes y Profesore'!B:B,'Resumen Estudiantes y Profesore'!A:A)</f>
        <v>74</v>
      </c>
      <c r="F166" t="s">
        <v>243</v>
      </c>
      <c r="G166" t="s">
        <v>246</v>
      </c>
      <c r="H166" t="s">
        <v>246</v>
      </c>
      <c r="I166" t="s">
        <v>674</v>
      </c>
      <c r="J166" t="s">
        <v>89</v>
      </c>
      <c r="K166" s="120" t="s">
        <v>1173</v>
      </c>
      <c r="N166" s="49"/>
    </row>
    <row r="167" spans="1:14">
      <c r="A167" t="s">
        <v>1174</v>
      </c>
      <c r="B167" t="s">
        <v>1175</v>
      </c>
      <c r="C167" t="s">
        <v>450</v>
      </c>
      <c r="D167" t="s">
        <v>37</v>
      </c>
      <c r="E167">
        <f>_xlfn.XLOOKUP(D167,'Resumen Estudiantes y Profesore'!B:B,'Resumen Estudiantes y Profesore'!A:A)</f>
        <v>41</v>
      </c>
      <c r="F167" t="s">
        <v>243</v>
      </c>
      <c r="G167" t="s">
        <v>246</v>
      </c>
      <c r="H167" t="s">
        <v>246</v>
      </c>
      <c r="I167" t="s">
        <v>682</v>
      </c>
      <c r="J167" t="s">
        <v>89</v>
      </c>
      <c r="K167" s="120" t="s">
        <v>1176</v>
      </c>
      <c r="N167" s="49"/>
    </row>
    <row r="168" spans="1:14">
      <c r="A168" t="s">
        <v>1177</v>
      </c>
      <c r="B168" t="s">
        <v>1178</v>
      </c>
      <c r="C168" t="s">
        <v>451</v>
      </c>
      <c r="D168" t="s">
        <v>38</v>
      </c>
      <c r="E168">
        <f>_xlfn.XLOOKUP(D168,'Resumen Estudiantes y Profesore'!B:B,'Resumen Estudiantes y Profesore'!A:A)</f>
        <v>42</v>
      </c>
      <c r="F168" t="s">
        <v>243</v>
      </c>
      <c r="G168" t="s">
        <v>246</v>
      </c>
      <c r="H168" t="s">
        <v>246</v>
      </c>
      <c r="I168" t="s">
        <v>682</v>
      </c>
      <c r="J168" t="s">
        <v>90</v>
      </c>
      <c r="K168" s="120" t="s">
        <v>1179</v>
      </c>
      <c r="N168" s="49"/>
    </row>
    <row r="169" spans="1:14">
      <c r="A169" t="s">
        <v>1180</v>
      </c>
      <c r="B169" t="s">
        <v>1181</v>
      </c>
      <c r="C169" t="s">
        <v>451</v>
      </c>
      <c r="D169" t="s">
        <v>38</v>
      </c>
      <c r="E169">
        <f>_xlfn.XLOOKUP(D169,'Resumen Estudiantes y Profesore'!B:B,'Resumen Estudiantes y Profesore'!A:A)</f>
        <v>42</v>
      </c>
      <c r="F169" t="s">
        <v>243</v>
      </c>
      <c r="G169" t="s">
        <v>246</v>
      </c>
      <c r="H169" t="s">
        <v>246</v>
      </c>
      <c r="I169" t="s">
        <v>682</v>
      </c>
      <c r="J169" t="s">
        <v>90</v>
      </c>
      <c r="K169" s="120" t="s">
        <v>1182</v>
      </c>
      <c r="N169" s="49"/>
    </row>
    <row r="170" spans="1:14">
      <c r="A170" t="s">
        <v>1183</v>
      </c>
      <c r="B170" t="s">
        <v>1184</v>
      </c>
      <c r="C170" t="s">
        <v>431</v>
      </c>
      <c r="D170" t="s">
        <v>27</v>
      </c>
      <c r="E170">
        <f>_xlfn.XLOOKUP(D170,'Resumen Estudiantes y Profesore'!B:B,'Resumen Estudiantes y Profesore'!A:A)</f>
        <v>30</v>
      </c>
      <c r="F170" t="s">
        <v>243</v>
      </c>
      <c r="G170" t="s">
        <v>246</v>
      </c>
      <c r="H170" t="s">
        <v>246</v>
      </c>
      <c r="I170" t="s">
        <v>682</v>
      </c>
      <c r="J170" t="s">
        <v>84</v>
      </c>
      <c r="K170" s="120" t="s">
        <v>1185</v>
      </c>
      <c r="N170" s="49"/>
    </row>
    <row r="171" spans="1:14">
      <c r="A171" t="s">
        <v>1186</v>
      </c>
      <c r="B171" t="s">
        <v>1187</v>
      </c>
      <c r="C171" t="s">
        <v>1094</v>
      </c>
      <c r="D171" t="s">
        <v>199</v>
      </c>
      <c r="E171">
        <f>_xlfn.XLOOKUP(D171,'Resumen Estudiantes y Profesore'!B:B,'Resumen Estudiantes y Profesore'!A:A)</f>
        <v>49</v>
      </c>
      <c r="F171" t="s">
        <v>243</v>
      </c>
      <c r="G171" t="s">
        <v>246</v>
      </c>
      <c r="H171" t="s">
        <v>246</v>
      </c>
      <c r="I171" t="s">
        <v>674</v>
      </c>
      <c r="J171" t="s">
        <v>77</v>
      </c>
      <c r="K171" s="120" t="s">
        <v>1188</v>
      </c>
      <c r="N171" s="49"/>
    </row>
    <row r="172" spans="1:14">
      <c r="A172" t="s">
        <v>1189</v>
      </c>
      <c r="B172" t="s">
        <v>1190</v>
      </c>
      <c r="C172" t="s">
        <v>507</v>
      </c>
      <c r="D172" t="s">
        <v>151</v>
      </c>
      <c r="E172">
        <f>_xlfn.XLOOKUP(D172,'Resumen Estudiantes y Profesore'!B:B,'Resumen Estudiantes y Profesore'!A:A)</f>
        <v>107</v>
      </c>
      <c r="F172" t="s">
        <v>243</v>
      </c>
      <c r="G172" t="s">
        <v>246</v>
      </c>
      <c r="H172" t="s">
        <v>246</v>
      </c>
      <c r="I172" t="s">
        <v>674</v>
      </c>
      <c r="J172" t="s">
        <v>91</v>
      </c>
      <c r="K172" s="120" t="s">
        <v>1191</v>
      </c>
      <c r="N172" s="49"/>
    </row>
    <row r="173" spans="1:14">
      <c r="A173" t="s">
        <v>1189</v>
      </c>
      <c r="B173" t="s">
        <v>1192</v>
      </c>
      <c r="C173" t="s">
        <v>453</v>
      </c>
      <c r="D173" t="s">
        <v>39</v>
      </c>
      <c r="E173">
        <f>_xlfn.XLOOKUP(D173,'Resumen Estudiantes y Profesore'!B:B,'Resumen Estudiantes y Profesore'!A:A)</f>
        <v>43</v>
      </c>
      <c r="F173" t="s">
        <v>243</v>
      </c>
      <c r="G173" t="s">
        <v>246</v>
      </c>
      <c r="H173" t="s">
        <v>246</v>
      </c>
      <c r="I173" t="s">
        <v>682</v>
      </c>
      <c r="J173" t="s">
        <v>91</v>
      </c>
      <c r="K173" s="120" t="s">
        <v>1193</v>
      </c>
      <c r="N173" s="49"/>
    </row>
    <row r="174" spans="1:14">
      <c r="A174" t="s">
        <v>1194</v>
      </c>
      <c r="B174" t="s">
        <v>1195</v>
      </c>
      <c r="C174" t="s">
        <v>451</v>
      </c>
      <c r="D174" t="s">
        <v>38</v>
      </c>
      <c r="E174">
        <f>_xlfn.XLOOKUP(D174,'Resumen Estudiantes y Profesore'!B:B,'Resumen Estudiantes y Profesore'!A:A)</f>
        <v>42</v>
      </c>
      <c r="F174" t="s">
        <v>243</v>
      </c>
      <c r="G174" t="s">
        <v>246</v>
      </c>
      <c r="H174" t="s">
        <v>246</v>
      </c>
      <c r="I174" t="s">
        <v>682</v>
      </c>
      <c r="J174" t="s">
        <v>90</v>
      </c>
      <c r="K174" s="120" t="s">
        <v>1196</v>
      </c>
      <c r="N174" s="49"/>
    </row>
    <row r="175" spans="1:14">
      <c r="A175" t="s">
        <v>1197</v>
      </c>
      <c r="B175" t="s">
        <v>1198</v>
      </c>
      <c r="C175" t="s">
        <v>446</v>
      </c>
      <c r="D175" t="s">
        <v>34</v>
      </c>
      <c r="E175">
        <f>_xlfn.XLOOKUP(D175,'Resumen Estudiantes y Profesore'!B:B,'Resumen Estudiantes y Profesore'!A:A)</f>
        <v>39</v>
      </c>
      <c r="F175" t="s">
        <v>243</v>
      </c>
      <c r="G175" t="s">
        <v>246</v>
      </c>
      <c r="H175" t="s">
        <v>246</v>
      </c>
      <c r="I175" t="s">
        <v>682</v>
      </c>
      <c r="J175" t="s">
        <v>89</v>
      </c>
      <c r="K175" s="120" t="s">
        <v>1199</v>
      </c>
      <c r="N175" s="49"/>
    </row>
    <row r="176" spans="1:14">
      <c r="A176" t="s">
        <v>1200</v>
      </c>
      <c r="B176" t="s">
        <v>1201</v>
      </c>
      <c r="C176" t="s">
        <v>1202</v>
      </c>
      <c r="D176" t="s">
        <v>158</v>
      </c>
      <c r="E176">
        <f>_xlfn.XLOOKUP(D176,'Resumen Estudiantes y Profesore'!B:B,'Resumen Estudiantes y Profesore'!A:A)</f>
        <v>204</v>
      </c>
      <c r="F176" t="s">
        <v>243</v>
      </c>
      <c r="G176" t="s">
        <v>246</v>
      </c>
      <c r="H176" t="s">
        <v>247</v>
      </c>
      <c r="I176" t="s">
        <v>674</v>
      </c>
      <c r="J176" t="s">
        <v>138</v>
      </c>
      <c r="K176" s="120" t="s">
        <v>1203</v>
      </c>
      <c r="N176" s="49"/>
    </row>
    <row r="177" spans="1:23">
      <c r="A177" t="s">
        <v>1204</v>
      </c>
      <c r="B177" t="s">
        <v>1205</v>
      </c>
      <c r="C177" t="s">
        <v>535</v>
      </c>
      <c r="D177" t="s">
        <v>40</v>
      </c>
      <c r="E177">
        <f>_xlfn.XLOOKUP(D177,'Resumen Estudiantes y Profesore'!B:B,'Resumen Estudiantes y Profesore'!A:A)</f>
        <v>200</v>
      </c>
      <c r="F177" t="s">
        <v>243</v>
      </c>
      <c r="G177" t="s">
        <v>246</v>
      </c>
      <c r="H177" t="s">
        <v>246</v>
      </c>
      <c r="I177" t="s">
        <v>682</v>
      </c>
      <c r="J177" t="s">
        <v>89</v>
      </c>
      <c r="K177" s="120" t="s">
        <v>1206</v>
      </c>
      <c r="N177" s="49"/>
    </row>
    <row r="178" spans="1:23">
      <c r="A178" t="s">
        <v>1207</v>
      </c>
      <c r="B178" t="s">
        <v>1208</v>
      </c>
      <c r="C178" t="s">
        <v>431</v>
      </c>
      <c r="D178" t="s">
        <v>27</v>
      </c>
      <c r="E178">
        <f>_xlfn.XLOOKUP(D178,'Resumen Estudiantes y Profesore'!B:B,'Resumen Estudiantes y Profesore'!A:A)</f>
        <v>30</v>
      </c>
      <c r="F178" t="s">
        <v>243</v>
      </c>
      <c r="G178" t="s">
        <v>246</v>
      </c>
      <c r="H178" t="s">
        <v>246</v>
      </c>
      <c r="I178" t="s">
        <v>682</v>
      </c>
      <c r="J178" t="s">
        <v>84</v>
      </c>
      <c r="K178" s="120" t="s">
        <v>1209</v>
      </c>
      <c r="N178" s="49"/>
    </row>
    <row r="179" spans="1:23">
      <c r="A179" t="s">
        <v>1210</v>
      </c>
      <c r="B179" t="s">
        <v>1211</v>
      </c>
      <c r="C179" t="s">
        <v>444</v>
      </c>
      <c r="D179" t="s">
        <v>33</v>
      </c>
      <c r="E179">
        <f>_xlfn.XLOOKUP(D179,'Resumen Estudiantes y Profesore'!B:B,'Resumen Estudiantes y Profesore'!A:A)</f>
        <v>38</v>
      </c>
      <c r="F179" t="s">
        <v>243</v>
      </c>
      <c r="G179" t="s">
        <v>246</v>
      </c>
      <c r="H179" t="s">
        <v>246</v>
      </c>
      <c r="I179" t="s">
        <v>682</v>
      </c>
      <c r="J179" t="s">
        <v>89</v>
      </c>
      <c r="K179" s="120" t="s">
        <v>1212</v>
      </c>
      <c r="N179" s="49"/>
    </row>
    <row r="180" spans="1:23">
      <c r="A180" s="75" t="s">
        <v>1213</v>
      </c>
      <c r="B180" t="s">
        <v>1214</v>
      </c>
      <c r="C180" t="s">
        <v>1215</v>
      </c>
      <c r="D180" t="s">
        <v>139</v>
      </c>
      <c r="E180">
        <f>_xlfn.XLOOKUP(D180,'Resumen Estudiantes y Profesore'!B:B,'Resumen Estudiantes y Profesore'!A:A)</f>
        <v>117</v>
      </c>
      <c r="F180" t="s">
        <v>243</v>
      </c>
      <c r="G180" t="s">
        <v>246</v>
      </c>
      <c r="H180" t="s">
        <v>246</v>
      </c>
      <c r="I180" t="s">
        <v>674</v>
      </c>
      <c r="J180" t="s">
        <v>138</v>
      </c>
      <c r="K180" s="120" t="s">
        <v>1216</v>
      </c>
      <c r="L180" s="81"/>
      <c r="M180" s="81"/>
      <c r="N180" s="49"/>
      <c r="O180" s="81"/>
      <c r="P180" s="81"/>
      <c r="Q180" s="81"/>
      <c r="R180" s="81"/>
      <c r="S180" s="81"/>
      <c r="T180" s="81"/>
      <c r="U180" s="81"/>
      <c r="V180" s="81"/>
      <c r="W180" s="81"/>
    </row>
    <row r="181" spans="1:23">
      <c r="A181" t="s">
        <v>1213</v>
      </c>
      <c r="B181" t="s">
        <v>1217</v>
      </c>
      <c r="C181" t="s">
        <v>1218</v>
      </c>
      <c r="D181" t="s">
        <v>147</v>
      </c>
      <c r="E181">
        <f>_xlfn.XLOOKUP(D181,'Resumen Estudiantes y Profesore'!B:B,'Resumen Estudiantes y Profesore'!A:A)</f>
        <v>110</v>
      </c>
      <c r="F181" t="s">
        <v>243</v>
      </c>
      <c r="G181" t="s">
        <v>246</v>
      </c>
      <c r="H181" t="s">
        <v>246</v>
      </c>
      <c r="I181" t="s">
        <v>674</v>
      </c>
      <c r="J181" t="s">
        <v>138</v>
      </c>
      <c r="K181" s="120" t="s">
        <v>1219</v>
      </c>
      <c r="N181" s="49"/>
    </row>
    <row r="182" spans="1:23">
      <c r="A182" t="s">
        <v>1220</v>
      </c>
      <c r="B182" t="s">
        <v>1221</v>
      </c>
      <c r="C182" t="s">
        <v>1222</v>
      </c>
      <c r="D182" t="s">
        <v>156</v>
      </c>
      <c r="E182">
        <f>_xlfn.XLOOKUP(D182,'Resumen Estudiantes y Profesore'!B:B,'Resumen Estudiantes y Profesore'!A:A)</f>
        <v>145</v>
      </c>
      <c r="F182" t="s">
        <v>243</v>
      </c>
      <c r="G182" t="s">
        <v>246</v>
      </c>
      <c r="H182" t="s">
        <v>246</v>
      </c>
      <c r="I182" t="s">
        <v>674</v>
      </c>
      <c r="J182" t="s">
        <v>138</v>
      </c>
      <c r="K182" s="120" t="s">
        <v>1223</v>
      </c>
      <c r="N182" s="49"/>
    </row>
    <row r="183" spans="1:23">
      <c r="A183" t="s">
        <v>1224</v>
      </c>
      <c r="B183" t="s">
        <v>1225</v>
      </c>
      <c r="C183" t="s">
        <v>1226</v>
      </c>
      <c r="D183" t="s">
        <v>132</v>
      </c>
      <c r="E183">
        <f>_xlfn.XLOOKUP(D183,'Resumen Estudiantes y Profesore'!B:B,'Resumen Estudiantes y Profesore'!A:A)</f>
        <v>100</v>
      </c>
      <c r="F183" t="s">
        <v>243</v>
      </c>
      <c r="G183" t="s">
        <v>246</v>
      </c>
      <c r="H183" t="s">
        <v>246</v>
      </c>
      <c r="I183" t="s">
        <v>674</v>
      </c>
      <c r="J183" t="s">
        <v>84</v>
      </c>
      <c r="K183" s="120" t="s">
        <v>1227</v>
      </c>
      <c r="N183" s="49"/>
    </row>
    <row r="184" spans="1:23">
      <c r="A184" t="s">
        <v>1224</v>
      </c>
      <c r="B184" t="s">
        <v>1228</v>
      </c>
      <c r="C184" t="s">
        <v>458</v>
      </c>
      <c r="D184" t="s">
        <v>187</v>
      </c>
      <c r="E184">
        <f>_xlfn.XLOOKUP(D184,'Resumen Estudiantes y Profesore'!B:B,'Resumen Estudiantes y Profesore'!A:A)</f>
        <v>55</v>
      </c>
      <c r="F184" t="s">
        <v>243</v>
      </c>
      <c r="G184" t="s">
        <v>246</v>
      </c>
      <c r="H184" t="s">
        <v>246</v>
      </c>
      <c r="I184" t="s">
        <v>674</v>
      </c>
      <c r="J184" t="s">
        <v>84</v>
      </c>
      <c r="K184" s="120" t="s">
        <v>1229</v>
      </c>
      <c r="N184" s="49"/>
    </row>
    <row r="185" spans="1:23">
      <c r="A185" t="s">
        <v>1230</v>
      </c>
      <c r="B185" t="s">
        <v>1231</v>
      </c>
      <c r="C185" t="s">
        <v>451</v>
      </c>
      <c r="D185" t="s">
        <v>38</v>
      </c>
      <c r="E185">
        <f>_xlfn.XLOOKUP(D185,'Resumen Estudiantes y Profesore'!B:B,'Resumen Estudiantes y Profesore'!A:A)</f>
        <v>42</v>
      </c>
      <c r="F185" t="s">
        <v>243</v>
      </c>
      <c r="G185" t="s">
        <v>246</v>
      </c>
      <c r="H185" t="s">
        <v>246</v>
      </c>
      <c r="I185" t="s">
        <v>682</v>
      </c>
      <c r="J185" t="s">
        <v>90</v>
      </c>
      <c r="K185" s="120" t="s">
        <v>1232</v>
      </c>
      <c r="N185" s="49"/>
    </row>
    <row r="186" spans="1:23">
      <c r="A186" t="s">
        <v>1233</v>
      </c>
      <c r="B186" t="s">
        <v>1234</v>
      </c>
      <c r="C186" t="s">
        <v>1226</v>
      </c>
      <c r="D186" t="s">
        <v>132</v>
      </c>
      <c r="E186">
        <f>_xlfn.XLOOKUP(D186,'Resumen Estudiantes y Profesore'!B:B,'Resumen Estudiantes y Profesore'!A:A)</f>
        <v>100</v>
      </c>
      <c r="F186" t="s">
        <v>243</v>
      </c>
      <c r="G186" t="s">
        <v>246</v>
      </c>
      <c r="H186" t="s">
        <v>246</v>
      </c>
      <c r="I186" t="s">
        <v>674</v>
      </c>
      <c r="J186" t="s">
        <v>84</v>
      </c>
      <c r="K186" s="120" t="s">
        <v>1235</v>
      </c>
      <c r="N186" s="49"/>
    </row>
    <row r="187" spans="1:23">
      <c r="A187" t="s">
        <v>1236</v>
      </c>
      <c r="B187" t="s">
        <v>1237</v>
      </c>
      <c r="C187" t="s">
        <v>451</v>
      </c>
      <c r="D187" t="s">
        <v>38</v>
      </c>
      <c r="E187">
        <f>_xlfn.XLOOKUP(D187,'Resumen Estudiantes y Profesore'!B:B,'Resumen Estudiantes y Profesore'!A:A)</f>
        <v>42</v>
      </c>
      <c r="F187" t="s">
        <v>243</v>
      </c>
      <c r="G187" t="s">
        <v>246</v>
      </c>
      <c r="H187" t="s">
        <v>246</v>
      </c>
      <c r="I187" t="s">
        <v>682</v>
      </c>
      <c r="J187" t="s">
        <v>90</v>
      </c>
      <c r="K187" s="120" t="s">
        <v>1238</v>
      </c>
      <c r="N187" s="49"/>
    </row>
    <row r="188" spans="1:23">
      <c r="A188" t="s">
        <v>1239</v>
      </c>
      <c r="B188" t="s">
        <v>1240</v>
      </c>
      <c r="C188" t="s">
        <v>441</v>
      </c>
      <c r="D188" t="s">
        <v>32</v>
      </c>
      <c r="E188">
        <f>_xlfn.XLOOKUP(D188,'Resumen Estudiantes y Profesore'!B:B,'Resumen Estudiantes y Profesore'!A:A)</f>
        <v>36</v>
      </c>
      <c r="F188" t="s">
        <v>243</v>
      </c>
      <c r="G188" t="s">
        <v>246</v>
      </c>
      <c r="H188" t="s">
        <v>246</v>
      </c>
      <c r="I188" t="s">
        <v>682</v>
      </c>
      <c r="J188" t="s">
        <v>89</v>
      </c>
      <c r="K188" s="120" t="s">
        <v>1241</v>
      </c>
      <c r="N188" s="49"/>
    </row>
    <row r="189" spans="1:23">
      <c r="A189" t="s">
        <v>1242</v>
      </c>
      <c r="B189" t="s">
        <v>1243</v>
      </c>
      <c r="C189" t="s">
        <v>1244</v>
      </c>
      <c r="D189" t="s">
        <v>175</v>
      </c>
      <c r="E189">
        <f>_xlfn.XLOOKUP(D189,'Resumen Estudiantes y Profesore'!B:B,'Resumen Estudiantes y Profesore'!A:A)</f>
        <v>133</v>
      </c>
      <c r="F189" t="s">
        <v>243</v>
      </c>
      <c r="G189" t="s">
        <v>246</v>
      </c>
      <c r="H189" t="s">
        <v>246</v>
      </c>
      <c r="I189" t="s">
        <v>674</v>
      </c>
      <c r="J189" t="s">
        <v>138</v>
      </c>
      <c r="K189" s="120" t="s">
        <v>1245</v>
      </c>
      <c r="N189" s="49"/>
    </row>
    <row r="190" spans="1:23">
      <c r="A190" t="s">
        <v>1246</v>
      </c>
      <c r="B190" t="s">
        <v>1247</v>
      </c>
      <c r="C190" t="s">
        <v>451</v>
      </c>
      <c r="D190" t="s">
        <v>38</v>
      </c>
      <c r="E190">
        <f>_xlfn.XLOOKUP(D190,'Resumen Estudiantes y Profesore'!B:B,'Resumen Estudiantes y Profesore'!A:A)</f>
        <v>42</v>
      </c>
      <c r="F190" t="s">
        <v>243</v>
      </c>
      <c r="G190" t="s">
        <v>246</v>
      </c>
      <c r="H190" t="s">
        <v>246</v>
      </c>
      <c r="I190" t="s">
        <v>682</v>
      </c>
      <c r="J190" t="s">
        <v>90</v>
      </c>
      <c r="K190" s="120" t="s">
        <v>1248</v>
      </c>
      <c r="N190" s="49"/>
    </row>
    <row r="191" spans="1:23">
      <c r="A191" t="s">
        <v>1249</v>
      </c>
      <c r="B191" t="s">
        <v>1250</v>
      </c>
      <c r="C191" t="s">
        <v>93</v>
      </c>
      <c r="D191" t="s">
        <v>93</v>
      </c>
      <c r="E191">
        <f>_xlfn.XLOOKUP(D191,'Resumen Estudiantes y Profesore'!B:B,'Resumen Estudiantes y Profesore'!A:A)</f>
        <v>210</v>
      </c>
      <c r="F191" t="s">
        <v>243</v>
      </c>
      <c r="G191" t="s">
        <v>246</v>
      </c>
      <c r="H191" t="s">
        <v>246</v>
      </c>
      <c r="I191" t="s">
        <v>682</v>
      </c>
      <c r="J191" t="s">
        <v>93</v>
      </c>
      <c r="K191" s="120" t="s">
        <v>1251</v>
      </c>
      <c r="N191" s="49"/>
    </row>
    <row r="192" spans="1:23">
      <c r="A192" t="s">
        <v>1252</v>
      </c>
      <c r="B192" t="s">
        <v>1253</v>
      </c>
      <c r="C192" t="s">
        <v>424</v>
      </c>
      <c r="D192" t="s">
        <v>24</v>
      </c>
      <c r="E192">
        <f>_xlfn.XLOOKUP(D192,'Resumen Estudiantes y Profesore'!B:B,'Resumen Estudiantes y Profesore'!A:A)</f>
        <v>27</v>
      </c>
      <c r="F192" t="s">
        <v>243</v>
      </c>
      <c r="G192" t="s">
        <v>246</v>
      </c>
      <c r="H192" t="s">
        <v>246</v>
      </c>
      <c r="I192" t="s">
        <v>682</v>
      </c>
      <c r="J192" t="s">
        <v>83</v>
      </c>
      <c r="K192" s="120" t="s">
        <v>1254</v>
      </c>
      <c r="N192" s="49"/>
    </row>
    <row r="193" spans="1:14">
      <c r="A193" t="s">
        <v>1255</v>
      </c>
      <c r="B193" t="s">
        <v>1256</v>
      </c>
      <c r="C193" t="s">
        <v>1226</v>
      </c>
      <c r="D193" t="s">
        <v>132</v>
      </c>
      <c r="E193">
        <f>_xlfn.XLOOKUP(D193,'Resumen Estudiantes y Profesore'!B:B,'Resumen Estudiantes y Profesore'!A:A)</f>
        <v>100</v>
      </c>
      <c r="F193" t="s">
        <v>243</v>
      </c>
      <c r="G193" t="s">
        <v>246</v>
      </c>
      <c r="H193" t="s">
        <v>246</v>
      </c>
      <c r="I193" t="s">
        <v>674</v>
      </c>
      <c r="J193" t="s">
        <v>84</v>
      </c>
      <c r="K193" s="120" t="s">
        <v>1257</v>
      </c>
      <c r="N193" s="49"/>
    </row>
    <row r="194" spans="1:14">
      <c r="A194" t="s">
        <v>1255</v>
      </c>
      <c r="B194" t="s">
        <v>1258</v>
      </c>
      <c r="C194" t="s">
        <v>458</v>
      </c>
      <c r="D194" t="s">
        <v>187</v>
      </c>
      <c r="E194">
        <f>_xlfn.XLOOKUP(D194,'Resumen Estudiantes y Profesore'!B:B,'Resumen Estudiantes y Profesore'!A:A)</f>
        <v>55</v>
      </c>
      <c r="F194" t="s">
        <v>243</v>
      </c>
      <c r="G194" t="s">
        <v>246</v>
      </c>
      <c r="H194" t="s">
        <v>246</v>
      </c>
      <c r="I194" t="s">
        <v>674</v>
      </c>
      <c r="J194" t="s">
        <v>84</v>
      </c>
      <c r="K194" s="120" t="s">
        <v>1259</v>
      </c>
      <c r="N194" s="49"/>
    </row>
    <row r="195" spans="1:14">
      <c r="A195" t="s">
        <v>1260</v>
      </c>
      <c r="B195" t="s">
        <v>1261</v>
      </c>
      <c r="C195" t="s">
        <v>450</v>
      </c>
      <c r="D195" t="s">
        <v>37</v>
      </c>
      <c r="E195">
        <f>_xlfn.XLOOKUP(D195,'Resumen Estudiantes y Profesore'!B:B,'Resumen Estudiantes y Profesore'!A:A)</f>
        <v>41</v>
      </c>
      <c r="F195" t="s">
        <v>243</v>
      </c>
      <c r="G195" t="s">
        <v>246</v>
      </c>
      <c r="H195" t="s">
        <v>246</v>
      </c>
      <c r="I195" t="s">
        <v>682</v>
      </c>
      <c r="J195" t="s">
        <v>89</v>
      </c>
      <c r="K195" s="120" t="s">
        <v>1262</v>
      </c>
      <c r="N195" s="49"/>
    </row>
    <row r="196" spans="1:14">
      <c r="A196" t="s">
        <v>1263</v>
      </c>
      <c r="B196" t="s">
        <v>1264</v>
      </c>
      <c r="C196" t="s">
        <v>430</v>
      </c>
      <c r="D196" t="s">
        <v>26</v>
      </c>
      <c r="E196">
        <f>_xlfn.XLOOKUP(D196,'Resumen Estudiantes y Profesore'!B:B,'Resumen Estudiantes y Profesore'!A:A)</f>
        <v>29</v>
      </c>
      <c r="F196" t="s">
        <v>243</v>
      </c>
      <c r="G196" t="s">
        <v>246</v>
      </c>
      <c r="H196" t="s">
        <v>246</v>
      </c>
      <c r="I196" t="s">
        <v>682</v>
      </c>
      <c r="J196" t="s">
        <v>84</v>
      </c>
      <c r="K196" s="120" t="s">
        <v>1265</v>
      </c>
      <c r="N196" s="49"/>
    </row>
    <row r="197" spans="1:14">
      <c r="A197" t="s">
        <v>1266</v>
      </c>
      <c r="B197" t="s">
        <v>1267</v>
      </c>
      <c r="C197" t="s">
        <v>431</v>
      </c>
      <c r="D197" t="s">
        <v>27</v>
      </c>
      <c r="E197">
        <f>_xlfn.XLOOKUP(D197,'Resumen Estudiantes y Profesore'!B:B,'Resumen Estudiantes y Profesore'!A:A)</f>
        <v>30</v>
      </c>
      <c r="F197" t="s">
        <v>243</v>
      </c>
      <c r="G197" t="s">
        <v>246</v>
      </c>
      <c r="H197" t="s">
        <v>246</v>
      </c>
      <c r="I197" t="s">
        <v>682</v>
      </c>
      <c r="J197" t="s">
        <v>84</v>
      </c>
      <c r="K197" s="120" t="s">
        <v>1268</v>
      </c>
      <c r="N197" s="49"/>
    </row>
    <row r="198" spans="1:14">
      <c r="A198" t="s">
        <v>1269</v>
      </c>
      <c r="B198" t="s">
        <v>1270</v>
      </c>
      <c r="C198" t="s">
        <v>448</v>
      </c>
      <c r="D198" t="s">
        <v>35</v>
      </c>
      <c r="E198">
        <f>_xlfn.XLOOKUP(D198,'Resumen Estudiantes y Profesore'!B:B,'Resumen Estudiantes y Profesore'!A:A)</f>
        <v>40</v>
      </c>
      <c r="F198" t="s">
        <v>243</v>
      </c>
      <c r="G198" t="s">
        <v>246</v>
      </c>
      <c r="H198" t="s">
        <v>246</v>
      </c>
      <c r="I198" t="s">
        <v>682</v>
      </c>
      <c r="J198" t="s">
        <v>89</v>
      </c>
      <c r="K198" s="120" t="s">
        <v>1271</v>
      </c>
      <c r="N198" s="49"/>
    </row>
    <row r="199" spans="1:14">
      <c r="A199" t="s">
        <v>1272</v>
      </c>
      <c r="B199" t="s">
        <v>1273</v>
      </c>
      <c r="C199" t="s">
        <v>451</v>
      </c>
      <c r="D199" t="s">
        <v>38</v>
      </c>
      <c r="E199">
        <f>_xlfn.XLOOKUP(D199,'Resumen Estudiantes y Profesore'!B:B,'Resumen Estudiantes y Profesore'!A:A)</f>
        <v>42</v>
      </c>
      <c r="F199" t="s">
        <v>243</v>
      </c>
      <c r="G199" t="s">
        <v>246</v>
      </c>
      <c r="H199" t="s">
        <v>246</v>
      </c>
      <c r="I199" t="s">
        <v>682</v>
      </c>
      <c r="J199" t="s">
        <v>90</v>
      </c>
      <c r="K199" s="120" t="s">
        <v>1274</v>
      </c>
      <c r="N199" s="49"/>
    </row>
    <row r="200" spans="1:14">
      <c r="A200" t="s">
        <v>1275</v>
      </c>
      <c r="B200" t="s">
        <v>1276</v>
      </c>
      <c r="C200" t="s">
        <v>1277</v>
      </c>
      <c r="D200" t="s">
        <v>126</v>
      </c>
      <c r="E200">
        <f>_xlfn.XLOOKUP(D200,'Resumen Estudiantes y Profesore'!B:B,'Resumen Estudiantes y Profesore'!A:A)</f>
        <v>14</v>
      </c>
      <c r="F200" t="s">
        <v>243</v>
      </c>
      <c r="G200" t="s">
        <v>246</v>
      </c>
      <c r="H200" t="s">
        <v>246</v>
      </c>
      <c r="I200" t="s">
        <v>674</v>
      </c>
      <c r="J200" t="s">
        <v>90</v>
      </c>
      <c r="K200" s="120" t="s">
        <v>1278</v>
      </c>
      <c r="N200" s="49"/>
    </row>
    <row r="201" spans="1:14">
      <c r="A201" t="s">
        <v>1279</v>
      </c>
      <c r="B201" t="s">
        <v>1280</v>
      </c>
      <c r="C201" t="s">
        <v>456</v>
      </c>
      <c r="D201" t="s">
        <v>185</v>
      </c>
      <c r="E201">
        <f>_xlfn.XLOOKUP(D201,'Resumen Estudiantes y Profesore'!B:B,'Resumen Estudiantes y Profesore'!A:A)</f>
        <v>57</v>
      </c>
      <c r="F201" t="s">
        <v>243</v>
      </c>
      <c r="G201" t="s">
        <v>246</v>
      </c>
      <c r="H201" t="s">
        <v>246</v>
      </c>
      <c r="I201" t="s">
        <v>674</v>
      </c>
      <c r="J201" t="s">
        <v>84</v>
      </c>
      <c r="K201" s="120" t="s">
        <v>1281</v>
      </c>
      <c r="N201" s="49"/>
    </row>
    <row r="202" spans="1:14">
      <c r="A202" t="s">
        <v>1282</v>
      </c>
      <c r="B202" t="s">
        <v>1283</v>
      </c>
      <c r="C202" t="s">
        <v>781</v>
      </c>
      <c r="D202" t="s">
        <v>131</v>
      </c>
      <c r="E202">
        <f>_xlfn.XLOOKUP(D202,'Resumen Estudiantes y Profesore'!B:B,'Resumen Estudiantes y Profesore'!A:A)</f>
        <v>99</v>
      </c>
      <c r="F202" t="s">
        <v>243</v>
      </c>
      <c r="G202" t="s">
        <v>246</v>
      </c>
      <c r="H202" t="s">
        <v>246</v>
      </c>
      <c r="I202" t="s">
        <v>674</v>
      </c>
      <c r="J202" t="s">
        <v>84</v>
      </c>
      <c r="K202" s="120" t="s">
        <v>1284</v>
      </c>
      <c r="N202" s="49"/>
    </row>
    <row r="203" spans="1:14">
      <c r="A203" t="s">
        <v>1285</v>
      </c>
      <c r="B203" t="s">
        <v>1286</v>
      </c>
      <c r="C203" t="s">
        <v>450</v>
      </c>
      <c r="D203" t="s">
        <v>37</v>
      </c>
      <c r="E203">
        <f>_xlfn.XLOOKUP(D203,'Resumen Estudiantes y Profesore'!B:B,'Resumen Estudiantes y Profesore'!A:A)</f>
        <v>41</v>
      </c>
      <c r="F203" t="s">
        <v>243</v>
      </c>
      <c r="G203" t="s">
        <v>246</v>
      </c>
      <c r="H203" t="s">
        <v>246</v>
      </c>
      <c r="I203" t="s">
        <v>682</v>
      </c>
      <c r="J203" t="s">
        <v>89</v>
      </c>
      <c r="K203" s="120" t="s">
        <v>1287</v>
      </c>
      <c r="N203" s="49"/>
    </row>
    <row r="204" spans="1:14">
      <c r="A204" t="s">
        <v>1288</v>
      </c>
      <c r="B204" t="s">
        <v>1289</v>
      </c>
      <c r="C204" t="s">
        <v>1290</v>
      </c>
      <c r="D204" t="s">
        <v>110</v>
      </c>
      <c r="E204">
        <f>_xlfn.XLOOKUP(D204,'Resumen Estudiantes y Profesore'!B:B,'Resumen Estudiantes y Profesore'!A:A)</f>
        <v>2</v>
      </c>
      <c r="F204" t="s">
        <v>243</v>
      </c>
      <c r="G204" t="s">
        <v>246</v>
      </c>
      <c r="H204" t="s">
        <v>246</v>
      </c>
      <c r="I204" t="s">
        <v>674</v>
      </c>
      <c r="J204" t="s">
        <v>90</v>
      </c>
      <c r="K204" s="120" t="s">
        <v>1291</v>
      </c>
      <c r="N204" s="49"/>
    </row>
    <row r="205" spans="1:14">
      <c r="A205" t="s">
        <v>1292</v>
      </c>
      <c r="B205" t="s">
        <v>1293</v>
      </c>
      <c r="C205" t="s">
        <v>441</v>
      </c>
      <c r="D205" t="s">
        <v>32</v>
      </c>
      <c r="E205">
        <f>_xlfn.XLOOKUP(D205,'Resumen Estudiantes y Profesore'!B:B,'Resumen Estudiantes y Profesore'!A:A)</f>
        <v>36</v>
      </c>
      <c r="F205" t="s">
        <v>243</v>
      </c>
      <c r="G205" t="s">
        <v>246</v>
      </c>
      <c r="H205" t="s">
        <v>246</v>
      </c>
      <c r="I205" t="s">
        <v>682</v>
      </c>
      <c r="J205" t="s">
        <v>89</v>
      </c>
      <c r="K205" s="120" t="s">
        <v>1294</v>
      </c>
      <c r="N205" s="49"/>
    </row>
    <row r="206" spans="1:14">
      <c r="A206" t="s">
        <v>1295</v>
      </c>
      <c r="B206" t="s">
        <v>1296</v>
      </c>
      <c r="C206" t="s">
        <v>453</v>
      </c>
      <c r="D206" t="s">
        <v>39</v>
      </c>
      <c r="E206">
        <f>_xlfn.XLOOKUP(D206,'Resumen Estudiantes y Profesore'!B:B,'Resumen Estudiantes y Profesore'!A:A)</f>
        <v>43</v>
      </c>
      <c r="F206" t="s">
        <v>243</v>
      </c>
      <c r="G206" t="s">
        <v>246</v>
      </c>
      <c r="H206" t="s">
        <v>246</v>
      </c>
      <c r="I206" t="s">
        <v>682</v>
      </c>
      <c r="J206" t="s">
        <v>91</v>
      </c>
      <c r="K206" s="120" t="s">
        <v>1297</v>
      </c>
      <c r="N206" s="49"/>
    </row>
    <row r="207" spans="1:14">
      <c r="A207" t="s">
        <v>1298</v>
      </c>
      <c r="B207" t="s">
        <v>1299</v>
      </c>
      <c r="C207" t="s">
        <v>921</v>
      </c>
      <c r="D207" t="s">
        <v>203</v>
      </c>
      <c r="E207">
        <f>_xlfn.XLOOKUP(D207,'Resumen Estudiantes y Profesore'!B:B,'Resumen Estudiantes y Profesore'!A:A)</f>
        <v>69</v>
      </c>
      <c r="F207" t="s">
        <v>243</v>
      </c>
      <c r="G207" t="s">
        <v>246</v>
      </c>
      <c r="H207" t="s">
        <v>246</v>
      </c>
      <c r="I207" t="s">
        <v>674</v>
      </c>
      <c r="J207" t="s">
        <v>88</v>
      </c>
      <c r="K207" s="120" t="s">
        <v>1300</v>
      </c>
      <c r="N207" s="49"/>
    </row>
    <row r="208" spans="1:14">
      <c r="A208" t="s">
        <v>1301</v>
      </c>
      <c r="B208" t="s">
        <v>1302</v>
      </c>
      <c r="C208" t="s">
        <v>1215</v>
      </c>
      <c r="D208" t="s">
        <v>139</v>
      </c>
      <c r="E208">
        <f>_xlfn.XLOOKUP(D208,'Resumen Estudiantes y Profesore'!B:B,'Resumen Estudiantes y Profesore'!A:A)</f>
        <v>117</v>
      </c>
      <c r="F208" t="s">
        <v>243</v>
      </c>
      <c r="G208" t="s">
        <v>246</v>
      </c>
      <c r="H208" t="s">
        <v>246</v>
      </c>
      <c r="I208" t="s">
        <v>674</v>
      </c>
      <c r="J208" t="s">
        <v>138</v>
      </c>
      <c r="K208" s="120" t="s">
        <v>1303</v>
      </c>
      <c r="N208" s="49"/>
    </row>
    <row r="209" spans="1:23">
      <c r="A209" t="s">
        <v>1301</v>
      </c>
      <c r="B209" t="s">
        <v>1304</v>
      </c>
      <c r="C209" t="s">
        <v>1202</v>
      </c>
      <c r="D209" t="s">
        <v>158</v>
      </c>
      <c r="E209">
        <f>_xlfn.XLOOKUP(D209,'Resumen Estudiantes y Profesore'!B:B,'Resumen Estudiantes y Profesore'!A:A)</f>
        <v>204</v>
      </c>
      <c r="F209" t="s">
        <v>243</v>
      </c>
      <c r="G209" t="s">
        <v>246</v>
      </c>
      <c r="H209" t="s">
        <v>246</v>
      </c>
      <c r="I209" t="s">
        <v>674</v>
      </c>
      <c r="J209" t="s">
        <v>138</v>
      </c>
      <c r="K209" s="120" t="s">
        <v>1305</v>
      </c>
      <c r="N209" s="49"/>
    </row>
    <row r="210" spans="1:23">
      <c r="A210" t="s">
        <v>1306</v>
      </c>
      <c r="B210" t="s">
        <v>1307</v>
      </c>
      <c r="C210" t="s">
        <v>417</v>
      </c>
      <c r="D210" t="s">
        <v>231</v>
      </c>
      <c r="E210">
        <f>_xlfn.XLOOKUP(D210,'Resumen Estudiantes y Profesore'!B:B,'Resumen Estudiantes y Profesore'!A:A)</f>
        <v>150</v>
      </c>
      <c r="F210" t="s">
        <v>243</v>
      </c>
      <c r="G210" t="s">
        <v>246</v>
      </c>
      <c r="H210" t="s">
        <v>246</v>
      </c>
      <c r="I210" t="s">
        <v>682</v>
      </c>
      <c r="J210" t="s">
        <v>77</v>
      </c>
      <c r="K210" s="120" t="s">
        <v>1308</v>
      </c>
      <c r="N210" s="49"/>
    </row>
    <row r="211" spans="1:23">
      <c r="A211" t="s">
        <v>1309</v>
      </c>
      <c r="B211" t="s">
        <v>1310</v>
      </c>
      <c r="C211" t="s">
        <v>458</v>
      </c>
      <c r="D211" t="s">
        <v>187</v>
      </c>
      <c r="E211">
        <f>_xlfn.XLOOKUP(D211,'Resumen Estudiantes y Profesore'!B:B,'Resumen Estudiantes y Profesore'!A:A)</f>
        <v>55</v>
      </c>
      <c r="F211" t="s">
        <v>243</v>
      </c>
      <c r="G211" t="s">
        <v>246</v>
      </c>
      <c r="H211" t="s">
        <v>246</v>
      </c>
      <c r="I211" t="s">
        <v>674</v>
      </c>
      <c r="J211" t="s">
        <v>84</v>
      </c>
      <c r="K211" s="120" t="s">
        <v>1311</v>
      </c>
      <c r="N211" s="49"/>
    </row>
    <row r="212" spans="1:23">
      <c r="A212" t="s">
        <v>1312</v>
      </c>
      <c r="B212" t="s">
        <v>1313</v>
      </c>
      <c r="C212" t="s">
        <v>458</v>
      </c>
      <c r="D212" t="s">
        <v>187</v>
      </c>
      <c r="E212">
        <f>_xlfn.XLOOKUP(D212,'Resumen Estudiantes y Profesore'!B:B,'Resumen Estudiantes y Profesore'!A:A)</f>
        <v>55</v>
      </c>
      <c r="F212" t="s">
        <v>243</v>
      </c>
      <c r="G212" t="s">
        <v>246</v>
      </c>
      <c r="H212" t="s">
        <v>246</v>
      </c>
      <c r="I212" t="s">
        <v>674</v>
      </c>
      <c r="J212" t="s">
        <v>84</v>
      </c>
      <c r="K212" s="120" t="s">
        <v>1314</v>
      </c>
      <c r="N212" s="49"/>
    </row>
    <row r="213" spans="1:23">
      <c r="A213" t="s">
        <v>1315</v>
      </c>
      <c r="B213" t="s">
        <v>1316</v>
      </c>
      <c r="C213" t="s">
        <v>1215</v>
      </c>
      <c r="D213" t="s">
        <v>139</v>
      </c>
      <c r="E213">
        <f>_xlfn.XLOOKUP(D213,'Resumen Estudiantes y Profesore'!B:B,'Resumen Estudiantes y Profesore'!A:A)</f>
        <v>117</v>
      </c>
      <c r="F213" t="s">
        <v>243</v>
      </c>
      <c r="G213" t="s">
        <v>246</v>
      </c>
      <c r="H213" t="s">
        <v>246</v>
      </c>
      <c r="I213" t="s">
        <v>674</v>
      </c>
      <c r="J213" t="s">
        <v>138</v>
      </c>
      <c r="K213" s="120" t="s">
        <v>1317</v>
      </c>
      <c r="N213" s="49"/>
    </row>
    <row r="214" spans="1:23">
      <c r="A214" t="s">
        <v>1318</v>
      </c>
      <c r="B214" t="s">
        <v>1319</v>
      </c>
      <c r="C214" t="s">
        <v>451</v>
      </c>
      <c r="D214" t="s">
        <v>38</v>
      </c>
      <c r="E214">
        <f>_xlfn.XLOOKUP(D214,'Resumen Estudiantes y Profesore'!B:B,'Resumen Estudiantes y Profesore'!A:A)</f>
        <v>42</v>
      </c>
      <c r="F214" t="s">
        <v>243</v>
      </c>
      <c r="G214" t="s">
        <v>246</v>
      </c>
      <c r="H214" t="s">
        <v>246</v>
      </c>
      <c r="I214" t="s">
        <v>682</v>
      </c>
      <c r="J214" t="s">
        <v>90</v>
      </c>
      <c r="K214" s="120" t="s">
        <v>1320</v>
      </c>
      <c r="N214" s="49"/>
    </row>
    <row r="215" spans="1:23">
      <c r="A215" t="s">
        <v>1321</v>
      </c>
      <c r="B215" t="s">
        <v>1322</v>
      </c>
      <c r="C215" t="s">
        <v>432</v>
      </c>
      <c r="D215" t="s">
        <v>41</v>
      </c>
      <c r="E215">
        <f>_xlfn.XLOOKUP(D215,'Resumen Estudiantes y Profesore'!B:B,'Resumen Estudiantes y Profesore'!A:A)</f>
        <v>31</v>
      </c>
      <c r="F215" t="s">
        <v>243</v>
      </c>
      <c r="G215" t="s">
        <v>246</v>
      </c>
      <c r="H215" t="s">
        <v>246</v>
      </c>
      <c r="I215" t="s">
        <v>682</v>
      </c>
      <c r="J215" t="s">
        <v>85</v>
      </c>
      <c r="K215" s="120" t="s">
        <v>1323</v>
      </c>
      <c r="N215" s="49"/>
    </row>
    <row r="216" spans="1:23">
      <c r="A216" t="s">
        <v>1321</v>
      </c>
      <c r="B216" t="s">
        <v>1324</v>
      </c>
      <c r="C216" t="s">
        <v>434</v>
      </c>
      <c r="D216" t="s">
        <v>28</v>
      </c>
      <c r="E216">
        <f>_xlfn.XLOOKUP(D216,'Resumen Estudiantes y Profesore'!B:B,'Resumen Estudiantes y Profesore'!A:A)</f>
        <v>32</v>
      </c>
      <c r="F216" t="s">
        <v>243</v>
      </c>
      <c r="G216" t="s">
        <v>246</v>
      </c>
      <c r="H216" t="s">
        <v>246</v>
      </c>
      <c r="I216" t="s">
        <v>682</v>
      </c>
      <c r="J216" t="s">
        <v>85</v>
      </c>
      <c r="K216" s="120" t="s">
        <v>1325</v>
      </c>
      <c r="N216" s="49"/>
    </row>
    <row r="217" spans="1:23">
      <c r="A217" t="s">
        <v>1326</v>
      </c>
      <c r="B217" t="s">
        <v>1327</v>
      </c>
      <c r="C217" t="s">
        <v>237</v>
      </c>
      <c r="D217" t="s">
        <v>237</v>
      </c>
      <c r="E217">
        <f>_xlfn.XLOOKUP(D217,'Resumen Estudiantes y Profesore'!B:B,'Resumen Estudiantes y Profesore'!A:A)</f>
        <v>156</v>
      </c>
      <c r="F217" t="s">
        <v>243</v>
      </c>
      <c r="G217" t="s">
        <v>246</v>
      </c>
      <c r="H217" t="s">
        <v>246</v>
      </c>
      <c r="I217" t="s">
        <v>682</v>
      </c>
      <c r="J217" t="s">
        <v>77</v>
      </c>
      <c r="K217" s="120" t="s">
        <v>1328</v>
      </c>
      <c r="N217" s="49"/>
    </row>
    <row r="218" spans="1:23">
      <c r="A218" t="s">
        <v>1329</v>
      </c>
      <c r="B218" t="s">
        <v>1330</v>
      </c>
      <c r="C218" t="s">
        <v>419</v>
      </c>
      <c r="D218" t="s">
        <v>233</v>
      </c>
      <c r="E218">
        <f>_xlfn.XLOOKUP(D218,'Resumen Estudiantes y Profesore'!B:B,'Resumen Estudiantes y Profesore'!A:A)</f>
        <v>152</v>
      </c>
      <c r="F218" t="s">
        <v>243</v>
      </c>
      <c r="G218" t="s">
        <v>246</v>
      </c>
      <c r="H218" t="s">
        <v>246</v>
      </c>
      <c r="I218" t="s">
        <v>682</v>
      </c>
      <c r="J218" t="s">
        <v>77</v>
      </c>
      <c r="K218" s="120" t="s">
        <v>1331</v>
      </c>
      <c r="N218" s="49"/>
    </row>
    <row r="219" spans="1:23" s="81" customFormat="1">
      <c r="A219" t="s">
        <v>1332</v>
      </c>
      <c r="B219" t="s">
        <v>1333</v>
      </c>
      <c r="C219" t="s">
        <v>1119</v>
      </c>
      <c r="D219" t="s">
        <v>119</v>
      </c>
      <c r="E219">
        <f>_xlfn.XLOOKUP(D219,'Resumen Estudiantes y Profesore'!B:B,'Resumen Estudiantes y Profesore'!A:A)</f>
        <v>8</v>
      </c>
      <c r="F219" t="s">
        <v>243</v>
      </c>
      <c r="G219" t="s">
        <v>246</v>
      </c>
      <c r="H219" t="s">
        <v>246</v>
      </c>
      <c r="I219" t="s">
        <v>674</v>
      </c>
      <c r="J219" t="s">
        <v>90</v>
      </c>
      <c r="K219" s="120" t="s">
        <v>1334</v>
      </c>
      <c r="L219"/>
      <c r="M219"/>
      <c r="N219" s="49"/>
      <c r="O219"/>
      <c r="P219"/>
      <c r="Q219"/>
      <c r="R219"/>
      <c r="S219"/>
      <c r="T219"/>
      <c r="U219"/>
      <c r="V219"/>
      <c r="W219"/>
    </row>
    <row r="220" spans="1:23">
      <c r="A220" t="s">
        <v>1335</v>
      </c>
      <c r="B220" t="s">
        <v>1336</v>
      </c>
      <c r="C220" t="s">
        <v>785</v>
      </c>
      <c r="D220" t="s">
        <v>198</v>
      </c>
      <c r="E220">
        <f>_xlfn.XLOOKUP(D220,'Resumen Estudiantes y Profesore'!B:B,'Resumen Estudiantes y Profesore'!A:A)</f>
        <v>45</v>
      </c>
      <c r="F220" t="s">
        <v>243</v>
      </c>
      <c r="G220" t="s">
        <v>246</v>
      </c>
      <c r="H220" t="s">
        <v>246</v>
      </c>
      <c r="I220" t="s">
        <v>674</v>
      </c>
      <c r="J220" t="s">
        <v>77</v>
      </c>
      <c r="K220" s="120" t="s">
        <v>1337</v>
      </c>
      <c r="N220" s="49"/>
    </row>
    <row r="221" spans="1:23">
      <c r="A221" t="s">
        <v>1335</v>
      </c>
      <c r="B221" t="s">
        <v>1338</v>
      </c>
      <c r="C221" t="s">
        <v>788</v>
      </c>
      <c r="D221" t="s">
        <v>214</v>
      </c>
      <c r="E221">
        <f>_xlfn.XLOOKUP(D221,'Resumen Estudiantes y Profesore'!B:B,'Resumen Estudiantes y Profesore'!A:A)</f>
        <v>207</v>
      </c>
      <c r="F221" t="s">
        <v>243</v>
      </c>
      <c r="G221" t="s">
        <v>246</v>
      </c>
      <c r="H221" t="s">
        <v>246</v>
      </c>
      <c r="I221" t="s">
        <v>674</v>
      </c>
      <c r="J221" t="s">
        <v>77</v>
      </c>
      <c r="K221" s="120" t="s">
        <v>1339</v>
      </c>
      <c r="N221" s="49"/>
    </row>
    <row r="222" spans="1:23">
      <c r="A222" t="s">
        <v>1340</v>
      </c>
      <c r="B222" t="s">
        <v>1341</v>
      </c>
      <c r="C222" t="s">
        <v>417</v>
      </c>
      <c r="D222" t="s">
        <v>231</v>
      </c>
      <c r="E222">
        <f>_xlfn.XLOOKUP(D222,'Resumen Estudiantes y Profesore'!B:B,'Resumen Estudiantes y Profesore'!A:A)</f>
        <v>150</v>
      </c>
      <c r="F222" t="s">
        <v>243</v>
      </c>
      <c r="G222" t="s">
        <v>246</v>
      </c>
      <c r="H222" t="s">
        <v>246</v>
      </c>
      <c r="I222" t="s">
        <v>682</v>
      </c>
      <c r="J222" t="s">
        <v>77</v>
      </c>
      <c r="K222" s="120" t="s">
        <v>1342</v>
      </c>
      <c r="N222" s="49"/>
    </row>
    <row r="223" spans="1:23">
      <c r="A223" t="s">
        <v>1343</v>
      </c>
      <c r="B223" t="s">
        <v>1344</v>
      </c>
      <c r="C223" t="s">
        <v>464</v>
      </c>
      <c r="D223" t="s">
        <v>192</v>
      </c>
      <c r="E223">
        <f>_xlfn.XLOOKUP(D223,'Resumen Estudiantes y Profesore'!B:B,'Resumen Estudiantes y Profesore'!A:A)</f>
        <v>65</v>
      </c>
      <c r="F223" t="s">
        <v>243</v>
      </c>
      <c r="G223" t="s">
        <v>246</v>
      </c>
      <c r="H223" t="s">
        <v>246</v>
      </c>
      <c r="I223" t="s">
        <v>674</v>
      </c>
      <c r="J223" t="s">
        <v>85</v>
      </c>
      <c r="K223" s="120" t="s">
        <v>1345</v>
      </c>
      <c r="N223" s="49"/>
    </row>
    <row r="224" spans="1:23">
      <c r="A224" t="s">
        <v>1343</v>
      </c>
      <c r="B224" t="s">
        <v>1346</v>
      </c>
      <c r="C224" t="s">
        <v>1347</v>
      </c>
      <c r="D224" t="s">
        <v>210</v>
      </c>
      <c r="E224">
        <f>_xlfn.XLOOKUP(D224,'Resumen Estudiantes y Profesore'!B:B,'Resumen Estudiantes y Profesore'!A:A)</f>
        <v>90</v>
      </c>
      <c r="F224" t="s">
        <v>243</v>
      </c>
      <c r="G224" t="s">
        <v>246</v>
      </c>
      <c r="H224" t="s">
        <v>246</v>
      </c>
      <c r="I224" t="s">
        <v>674</v>
      </c>
      <c r="J224" t="s">
        <v>85</v>
      </c>
      <c r="K224" s="120" t="s">
        <v>1348</v>
      </c>
      <c r="N224" s="49"/>
    </row>
    <row r="225" spans="1:14">
      <c r="A225" t="s">
        <v>1343</v>
      </c>
      <c r="B225" t="s">
        <v>1349</v>
      </c>
      <c r="C225" t="s">
        <v>432</v>
      </c>
      <c r="D225" t="s">
        <v>41</v>
      </c>
      <c r="E225">
        <f>_xlfn.XLOOKUP(D225,'Resumen Estudiantes y Profesore'!B:B,'Resumen Estudiantes y Profesore'!A:A)</f>
        <v>31</v>
      </c>
      <c r="F225" t="s">
        <v>243</v>
      </c>
      <c r="G225" t="s">
        <v>246</v>
      </c>
      <c r="H225" t="s">
        <v>246</v>
      </c>
      <c r="I225" t="s">
        <v>682</v>
      </c>
      <c r="J225" t="s">
        <v>85</v>
      </c>
      <c r="K225" s="120" t="s">
        <v>1350</v>
      </c>
      <c r="N225" s="49"/>
    </row>
    <row r="226" spans="1:14">
      <c r="A226" t="s">
        <v>1351</v>
      </c>
      <c r="B226" t="s">
        <v>1352</v>
      </c>
      <c r="C226" t="s">
        <v>921</v>
      </c>
      <c r="D226" t="s">
        <v>203</v>
      </c>
      <c r="E226">
        <f>_xlfn.XLOOKUP(D226,'Resumen Estudiantes y Profesore'!B:B,'Resumen Estudiantes y Profesore'!A:A)</f>
        <v>69</v>
      </c>
      <c r="F226" t="s">
        <v>243</v>
      </c>
      <c r="G226" t="s">
        <v>246</v>
      </c>
      <c r="H226" t="s">
        <v>246</v>
      </c>
      <c r="I226" t="s">
        <v>674</v>
      </c>
      <c r="J226" t="s">
        <v>88</v>
      </c>
      <c r="K226" s="120" t="s">
        <v>1353</v>
      </c>
      <c r="N226" s="49"/>
    </row>
    <row r="227" spans="1:14">
      <c r="A227" t="s">
        <v>1354</v>
      </c>
      <c r="B227" t="s">
        <v>1355</v>
      </c>
      <c r="C227" t="s">
        <v>239</v>
      </c>
      <c r="D227" t="s">
        <v>239</v>
      </c>
      <c r="E227">
        <f>_xlfn.XLOOKUP(D227,'Resumen Estudiantes y Profesore'!B:B,'Resumen Estudiantes y Profesore'!A:A)</f>
        <v>158</v>
      </c>
      <c r="F227" t="s">
        <v>243</v>
      </c>
      <c r="G227" t="s">
        <v>246</v>
      </c>
      <c r="H227" t="s">
        <v>246</v>
      </c>
      <c r="I227" t="s">
        <v>682</v>
      </c>
      <c r="J227" t="s">
        <v>77</v>
      </c>
      <c r="K227" s="120" t="s">
        <v>1356</v>
      </c>
      <c r="N227" s="49"/>
    </row>
    <row r="228" spans="1:14">
      <c r="A228" t="s">
        <v>1357</v>
      </c>
      <c r="B228" t="s">
        <v>1358</v>
      </c>
      <c r="C228" t="s">
        <v>1215</v>
      </c>
      <c r="D228" t="s">
        <v>139</v>
      </c>
      <c r="E228">
        <f>_xlfn.XLOOKUP(D228,'Resumen Estudiantes y Profesore'!B:B,'Resumen Estudiantes y Profesore'!A:A)</f>
        <v>117</v>
      </c>
      <c r="F228" t="s">
        <v>243</v>
      </c>
      <c r="G228" t="s">
        <v>246</v>
      </c>
      <c r="H228" t="s">
        <v>246</v>
      </c>
      <c r="I228" t="s">
        <v>674</v>
      </c>
      <c r="J228" t="s">
        <v>138</v>
      </c>
      <c r="K228" s="120" t="s">
        <v>1359</v>
      </c>
      <c r="N228" s="49"/>
    </row>
    <row r="229" spans="1:14">
      <c r="A229" t="s">
        <v>1357</v>
      </c>
      <c r="B229" t="s">
        <v>1360</v>
      </c>
      <c r="C229" t="s">
        <v>1202</v>
      </c>
      <c r="D229" t="s">
        <v>158</v>
      </c>
      <c r="E229">
        <f>_xlfn.XLOOKUP(D229,'Resumen Estudiantes y Profesore'!B:B,'Resumen Estudiantes y Profesore'!A:A)</f>
        <v>204</v>
      </c>
      <c r="F229" t="s">
        <v>243</v>
      </c>
      <c r="G229" t="s">
        <v>246</v>
      </c>
      <c r="H229" t="s">
        <v>246</v>
      </c>
      <c r="I229" t="s">
        <v>674</v>
      </c>
      <c r="J229" t="s">
        <v>138</v>
      </c>
      <c r="K229" s="120" t="s">
        <v>1361</v>
      </c>
      <c r="N229" s="49"/>
    </row>
    <row r="230" spans="1:14">
      <c r="A230" t="s">
        <v>1362</v>
      </c>
      <c r="B230" t="s">
        <v>1363</v>
      </c>
      <c r="C230" t="s">
        <v>448</v>
      </c>
      <c r="D230" t="s">
        <v>35</v>
      </c>
      <c r="E230">
        <f>_xlfn.XLOOKUP(D230,'Resumen Estudiantes y Profesore'!B:B,'Resumen Estudiantes y Profesore'!A:A)</f>
        <v>40</v>
      </c>
      <c r="F230" t="s">
        <v>243</v>
      </c>
      <c r="G230" t="s">
        <v>246</v>
      </c>
      <c r="H230" t="s">
        <v>246</v>
      </c>
      <c r="I230" t="s">
        <v>682</v>
      </c>
      <c r="J230" t="s">
        <v>89</v>
      </c>
      <c r="K230" s="120" t="s">
        <v>1364</v>
      </c>
      <c r="N230" s="49"/>
    </row>
    <row r="231" spans="1:14">
      <c r="A231" t="s">
        <v>1365</v>
      </c>
      <c r="B231" t="s">
        <v>1366</v>
      </c>
      <c r="C231" t="s">
        <v>451</v>
      </c>
      <c r="D231" t="s">
        <v>38</v>
      </c>
      <c r="E231">
        <f>_xlfn.XLOOKUP(D231,'Resumen Estudiantes y Profesore'!B:B,'Resumen Estudiantes y Profesore'!A:A)</f>
        <v>42</v>
      </c>
      <c r="F231" t="s">
        <v>243</v>
      </c>
      <c r="G231" t="s">
        <v>246</v>
      </c>
      <c r="H231" t="s">
        <v>246</v>
      </c>
      <c r="I231" t="s">
        <v>682</v>
      </c>
      <c r="J231" t="s">
        <v>90</v>
      </c>
      <c r="K231" s="120" t="s">
        <v>1367</v>
      </c>
      <c r="N231" s="49"/>
    </row>
    <row r="232" spans="1:14">
      <c r="A232" t="s">
        <v>1368</v>
      </c>
      <c r="B232" t="s">
        <v>1369</v>
      </c>
      <c r="C232" t="s">
        <v>424</v>
      </c>
      <c r="D232" t="s">
        <v>24</v>
      </c>
      <c r="E232">
        <f>_xlfn.XLOOKUP(D232,'Resumen Estudiantes y Profesore'!B:B,'Resumen Estudiantes y Profesore'!A:A)</f>
        <v>27</v>
      </c>
      <c r="F232" t="s">
        <v>243</v>
      </c>
      <c r="G232" t="s">
        <v>246</v>
      </c>
      <c r="H232" t="s">
        <v>246</v>
      </c>
      <c r="I232" t="s">
        <v>682</v>
      </c>
      <c r="J232" t="s">
        <v>83</v>
      </c>
      <c r="K232" s="120" t="s">
        <v>1370</v>
      </c>
      <c r="N232" s="49"/>
    </row>
    <row r="233" spans="1:14">
      <c r="A233" t="s">
        <v>1368</v>
      </c>
      <c r="B233" t="s">
        <v>1371</v>
      </c>
      <c r="C233" t="s">
        <v>428</v>
      </c>
      <c r="D233" t="s">
        <v>25</v>
      </c>
      <c r="E233">
        <f>_xlfn.XLOOKUP(D233,'Resumen Estudiantes y Profesore'!B:B,'Resumen Estudiantes y Profesore'!A:A)</f>
        <v>28</v>
      </c>
      <c r="F233" t="s">
        <v>243</v>
      </c>
      <c r="G233" t="s">
        <v>246</v>
      </c>
      <c r="H233" t="s">
        <v>246</v>
      </c>
      <c r="I233" t="s">
        <v>682</v>
      </c>
      <c r="J233" t="s">
        <v>83</v>
      </c>
      <c r="K233" s="120" t="s">
        <v>1372</v>
      </c>
      <c r="N233" s="49"/>
    </row>
    <row r="234" spans="1:14">
      <c r="A234" t="s">
        <v>1373</v>
      </c>
      <c r="B234" t="s">
        <v>1374</v>
      </c>
      <c r="C234" t="s">
        <v>508</v>
      </c>
      <c r="D234" t="s">
        <v>152</v>
      </c>
      <c r="E234">
        <f>_xlfn.XLOOKUP(D234,'Resumen Estudiantes y Profesore'!B:B,'Resumen Estudiantes y Profesore'!A:A)</f>
        <v>108</v>
      </c>
      <c r="F234" t="s">
        <v>243</v>
      </c>
      <c r="G234" t="s">
        <v>246</v>
      </c>
      <c r="H234" t="s">
        <v>246</v>
      </c>
      <c r="I234" t="s">
        <v>674</v>
      </c>
      <c r="J234" t="s">
        <v>91</v>
      </c>
      <c r="K234" s="120" t="s">
        <v>1375</v>
      </c>
      <c r="N234" s="49"/>
    </row>
    <row r="235" spans="1:14">
      <c r="A235" t="s">
        <v>1373</v>
      </c>
      <c r="B235" t="s">
        <v>1376</v>
      </c>
      <c r="C235" t="s">
        <v>476</v>
      </c>
      <c r="D235" t="s">
        <v>207</v>
      </c>
      <c r="E235">
        <f>_xlfn.XLOOKUP(D235,'Resumen Estudiantes y Profesore'!B:B,'Resumen Estudiantes y Profesore'!A:A)</f>
        <v>82</v>
      </c>
      <c r="F235" t="s">
        <v>243</v>
      </c>
      <c r="G235" t="s">
        <v>246</v>
      </c>
      <c r="H235" t="s">
        <v>246</v>
      </c>
      <c r="I235" t="s">
        <v>674</v>
      </c>
      <c r="J235" t="s">
        <v>91</v>
      </c>
      <c r="K235" s="120" t="s">
        <v>1377</v>
      </c>
      <c r="N235" s="49"/>
    </row>
    <row r="236" spans="1:14">
      <c r="A236" t="s">
        <v>1378</v>
      </c>
      <c r="B236" t="s">
        <v>1379</v>
      </c>
      <c r="C236" t="s">
        <v>93</v>
      </c>
      <c r="D236" t="s">
        <v>93</v>
      </c>
      <c r="E236">
        <f>_xlfn.XLOOKUP(D236,'Resumen Estudiantes y Profesore'!B:B,'Resumen Estudiantes y Profesore'!A:A)</f>
        <v>210</v>
      </c>
      <c r="F236" t="s">
        <v>243</v>
      </c>
      <c r="G236" t="s">
        <v>246</v>
      </c>
      <c r="H236" t="s">
        <v>246</v>
      </c>
      <c r="I236" t="s">
        <v>682</v>
      </c>
      <c r="J236" t="s">
        <v>93</v>
      </c>
      <c r="K236" s="120" t="s">
        <v>1380</v>
      </c>
      <c r="N236" s="49"/>
    </row>
    <row r="237" spans="1:14">
      <c r="A237" t="s">
        <v>1381</v>
      </c>
      <c r="B237" t="s">
        <v>1382</v>
      </c>
      <c r="C237" t="s">
        <v>93</v>
      </c>
      <c r="D237" t="s">
        <v>93</v>
      </c>
      <c r="E237">
        <f>_xlfn.XLOOKUP(D237,'Resumen Estudiantes y Profesore'!B:B,'Resumen Estudiantes y Profesore'!A:A)</f>
        <v>210</v>
      </c>
      <c r="F237" t="s">
        <v>243</v>
      </c>
      <c r="G237" t="s">
        <v>246</v>
      </c>
      <c r="H237" t="s">
        <v>246</v>
      </c>
      <c r="I237" t="s">
        <v>682</v>
      </c>
      <c r="J237" t="s">
        <v>93</v>
      </c>
      <c r="K237" s="120" t="s">
        <v>1383</v>
      </c>
      <c r="N237" s="49"/>
    </row>
    <row r="238" spans="1:14">
      <c r="A238" t="s">
        <v>1384</v>
      </c>
      <c r="B238" t="s">
        <v>1385</v>
      </c>
      <c r="C238" t="s">
        <v>451</v>
      </c>
      <c r="D238" t="s">
        <v>38</v>
      </c>
      <c r="E238">
        <f>_xlfn.XLOOKUP(D238,'Resumen Estudiantes y Profesore'!B:B,'Resumen Estudiantes y Profesore'!A:A)</f>
        <v>42</v>
      </c>
      <c r="F238" t="s">
        <v>243</v>
      </c>
      <c r="G238" t="s">
        <v>246</v>
      </c>
      <c r="H238" t="s">
        <v>246</v>
      </c>
      <c r="I238" t="s">
        <v>682</v>
      </c>
      <c r="J238" t="s">
        <v>90</v>
      </c>
      <c r="K238" s="120" t="s">
        <v>1386</v>
      </c>
      <c r="N238" s="49"/>
    </row>
    <row r="239" spans="1:14">
      <c r="A239" t="s">
        <v>1387</v>
      </c>
      <c r="B239" t="s">
        <v>1388</v>
      </c>
      <c r="C239" t="s">
        <v>712</v>
      </c>
      <c r="D239" t="s">
        <v>154</v>
      </c>
      <c r="E239">
        <f>_xlfn.XLOOKUP(D239,'Resumen Estudiantes y Profesore'!B:B,'Resumen Estudiantes y Profesore'!A:A)</f>
        <v>105</v>
      </c>
      <c r="F239" t="s">
        <v>243</v>
      </c>
      <c r="G239" t="s">
        <v>246</v>
      </c>
      <c r="H239" t="s">
        <v>246</v>
      </c>
      <c r="I239" t="s">
        <v>674</v>
      </c>
      <c r="J239" t="s">
        <v>87</v>
      </c>
      <c r="K239" s="120" t="s">
        <v>1389</v>
      </c>
      <c r="N239" s="49"/>
    </row>
    <row r="240" spans="1:14">
      <c r="A240" t="s">
        <v>1390</v>
      </c>
      <c r="B240" t="s">
        <v>1391</v>
      </c>
      <c r="C240" t="s">
        <v>975</v>
      </c>
      <c r="D240" t="s">
        <v>145</v>
      </c>
      <c r="E240">
        <f>_xlfn.XLOOKUP(D240,'Resumen Estudiantes y Profesore'!B:B,'Resumen Estudiantes y Profesore'!A:A)</f>
        <v>114</v>
      </c>
      <c r="F240" t="s">
        <v>243</v>
      </c>
      <c r="G240" t="s">
        <v>246</v>
      </c>
      <c r="H240" t="s">
        <v>246</v>
      </c>
      <c r="I240" t="s">
        <v>674</v>
      </c>
      <c r="J240" t="s">
        <v>138</v>
      </c>
      <c r="K240" s="120" t="s">
        <v>1392</v>
      </c>
      <c r="N240" s="49"/>
    </row>
    <row r="241" spans="1:23" s="81" customFormat="1">
      <c r="A241" t="s">
        <v>1390</v>
      </c>
      <c r="B241" t="s">
        <v>1393</v>
      </c>
      <c r="C241" t="s">
        <v>1394</v>
      </c>
      <c r="D241" t="s">
        <v>173</v>
      </c>
      <c r="E241">
        <f>_xlfn.XLOOKUP(D241,'Resumen Estudiantes y Profesore'!B:B,'Resumen Estudiantes y Profesore'!A:A)</f>
        <v>132</v>
      </c>
      <c r="F241" t="s">
        <v>243</v>
      </c>
      <c r="G241" t="s">
        <v>246</v>
      </c>
      <c r="H241" t="s">
        <v>246</v>
      </c>
      <c r="I241" t="s">
        <v>674</v>
      </c>
      <c r="J241" t="s">
        <v>138</v>
      </c>
      <c r="K241" s="120" t="s">
        <v>1395</v>
      </c>
      <c r="L241"/>
      <c r="M241"/>
      <c r="N241" s="49"/>
      <c r="O241"/>
      <c r="P241"/>
      <c r="Q241"/>
      <c r="R241"/>
      <c r="S241"/>
      <c r="T241"/>
      <c r="U241"/>
      <c r="V241"/>
      <c r="W241"/>
    </row>
    <row r="242" spans="1:23">
      <c r="A242" t="s">
        <v>1390</v>
      </c>
      <c r="B242" t="s">
        <v>1396</v>
      </c>
      <c r="C242" t="s">
        <v>968</v>
      </c>
      <c r="D242" t="s">
        <v>137</v>
      </c>
      <c r="E242">
        <f>_xlfn.XLOOKUP(D242,'Resumen Estudiantes y Profesore'!B:B,'Resumen Estudiantes y Profesore'!A:A)</f>
        <v>202</v>
      </c>
      <c r="F242" t="s">
        <v>243</v>
      </c>
      <c r="G242" t="s">
        <v>246</v>
      </c>
      <c r="H242" t="s">
        <v>246</v>
      </c>
      <c r="I242" t="s">
        <v>674</v>
      </c>
      <c r="J242" t="s">
        <v>138</v>
      </c>
      <c r="K242" s="120" t="s">
        <v>1397</v>
      </c>
      <c r="N242" s="49"/>
    </row>
    <row r="243" spans="1:23">
      <c r="A243" t="s">
        <v>1398</v>
      </c>
      <c r="B243" t="s">
        <v>1399</v>
      </c>
      <c r="C243" t="s">
        <v>459</v>
      </c>
      <c r="D243" t="s">
        <v>188</v>
      </c>
      <c r="E243">
        <f>_xlfn.XLOOKUP(D243,'Resumen Estudiantes y Profesore'!B:B,'Resumen Estudiantes y Profesore'!A:A)</f>
        <v>56</v>
      </c>
      <c r="F243" t="s">
        <v>243</v>
      </c>
      <c r="G243" t="s">
        <v>246</v>
      </c>
      <c r="H243" t="s">
        <v>246</v>
      </c>
      <c r="I243" t="s">
        <v>674</v>
      </c>
      <c r="J243" t="s">
        <v>84</v>
      </c>
      <c r="K243" s="120" t="s">
        <v>1400</v>
      </c>
      <c r="N243" s="49"/>
    </row>
    <row r="244" spans="1:23">
      <c r="A244" t="s">
        <v>1401</v>
      </c>
      <c r="B244" t="s">
        <v>1402</v>
      </c>
      <c r="C244" t="s">
        <v>418</v>
      </c>
      <c r="D244" t="s">
        <v>232</v>
      </c>
      <c r="E244">
        <f>_xlfn.XLOOKUP(D244,'Resumen Estudiantes y Profesore'!B:B,'Resumen Estudiantes y Profesore'!A:A)</f>
        <v>151</v>
      </c>
      <c r="F244" t="s">
        <v>243</v>
      </c>
      <c r="G244" t="s">
        <v>246</v>
      </c>
      <c r="H244" t="s">
        <v>246</v>
      </c>
      <c r="I244" t="s">
        <v>682</v>
      </c>
      <c r="J244" t="s">
        <v>77</v>
      </c>
      <c r="K244" s="120" t="s">
        <v>1403</v>
      </c>
      <c r="N244" s="49"/>
    </row>
    <row r="245" spans="1:23">
      <c r="A245" t="s">
        <v>1404</v>
      </c>
      <c r="B245" t="s">
        <v>1405</v>
      </c>
      <c r="C245" t="s">
        <v>237</v>
      </c>
      <c r="D245" t="s">
        <v>237</v>
      </c>
      <c r="E245">
        <f>_xlfn.XLOOKUP(D245,'Resumen Estudiantes y Profesore'!B:B,'Resumen Estudiantes y Profesore'!A:A)</f>
        <v>156</v>
      </c>
      <c r="F245" t="s">
        <v>243</v>
      </c>
      <c r="G245" t="s">
        <v>246</v>
      </c>
      <c r="H245" t="s">
        <v>246</v>
      </c>
      <c r="I245" t="s">
        <v>682</v>
      </c>
      <c r="J245" t="s">
        <v>77</v>
      </c>
      <c r="K245" s="120" t="s">
        <v>1406</v>
      </c>
      <c r="N245" s="49"/>
    </row>
    <row r="246" spans="1:23">
      <c r="A246" t="s">
        <v>1407</v>
      </c>
      <c r="B246" t="s">
        <v>1408</v>
      </c>
      <c r="C246" t="s">
        <v>507</v>
      </c>
      <c r="D246" t="s">
        <v>151</v>
      </c>
      <c r="E246">
        <f>_xlfn.XLOOKUP(D246,'Resumen Estudiantes y Profesore'!B:B,'Resumen Estudiantes y Profesore'!A:A)</f>
        <v>107</v>
      </c>
      <c r="F246" t="s">
        <v>243</v>
      </c>
      <c r="G246" t="s">
        <v>246</v>
      </c>
      <c r="H246" t="s">
        <v>246</v>
      </c>
      <c r="I246" t="s">
        <v>674</v>
      </c>
      <c r="J246" t="s">
        <v>91</v>
      </c>
      <c r="K246" s="120" t="s">
        <v>1409</v>
      </c>
      <c r="N246" s="49"/>
    </row>
    <row r="247" spans="1:23">
      <c r="A247" t="s">
        <v>1410</v>
      </c>
      <c r="B247" t="s">
        <v>1411</v>
      </c>
      <c r="C247" t="s">
        <v>474</v>
      </c>
      <c r="D247" t="s">
        <v>204</v>
      </c>
      <c r="E247">
        <f>_xlfn.XLOOKUP(D247,'Resumen Estudiantes y Profesore'!B:B,'Resumen Estudiantes y Profesore'!A:A)</f>
        <v>81</v>
      </c>
      <c r="F247" t="s">
        <v>243</v>
      </c>
      <c r="G247" t="s">
        <v>246</v>
      </c>
      <c r="H247" t="s">
        <v>246</v>
      </c>
      <c r="I247" t="s">
        <v>674</v>
      </c>
      <c r="J247" t="s">
        <v>91</v>
      </c>
      <c r="K247" s="120" t="s">
        <v>1412</v>
      </c>
      <c r="N247" s="49"/>
    </row>
    <row r="248" spans="1:23">
      <c r="A248" t="s">
        <v>1413</v>
      </c>
      <c r="B248" t="s">
        <v>1414</v>
      </c>
      <c r="C248" t="s">
        <v>474</v>
      </c>
      <c r="D248" t="s">
        <v>204</v>
      </c>
      <c r="E248">
        <f>_xlfn.XLOOKUP(D248,'Resumen Estudiantes y Profesore'!B:B,'Resumen Estudiantes y Profesore'!A:A)</f>
        <v>81</v>
      </c>
      <c r="F248" t="s">
        <v>243</v>
      </c>
      <c r="G248" t="s">
        <v>246</v>
      </c>
      <c r="H248" t="s">
        <v>246</v>
      </c>
      <c r="I248" t="s">
        <v>674</v>
      </c>
      <c r="J248" t="s">
        <v>91</v>
      </c>
      <c r="K248" s="120" t="s">
        <v>1415</v>
      </c>
      <c r="N248" s="49"/>
    </row>
    <row r="249" spans="1:23">
      <c r="A249" t="s">
        <v>1413</v>
      </c>
      <c r="B249" t="s">
        <v>1416</v>
      </c>
      <c r="C249" t="s">
        <v>453</v>
      </c>
      <c r="D249" t="s">
        <v>39</v>
      </c>
      <c r="E249">
        <f>_xlfn.XLOOKUP(D249,'Resumen Estudiantes y Profesore'!B:B,'Resumen Estudiantes y Profesore'!A:A)</f>
        <v>43</v>
      </c>
      <c r="F249" t="s">
        <v>243</v>
      </c>
      <c r="G249" t="s">
        <v>246</v>
      </c>
      <c r="H249" t="s">
        <v>246</v>
      </c>
      <c r="I249" t="s">
        <v>682</v>
      </c>
      <c r="J249" t="s">
        <v>91</v>
      </c>
      <c r="K249" s="120" t="s">
        <v>1417</v>
      </c>
      <c r="N249" s="49"/>
    </row>
    <row r="250" spans="1:23">
      <c r="A250" t="s">
        <v>1418</v>
      </c>
      <c r="B250" t="s">
        <v>1419</v>
      </c>
      <c r="C250" t="s">
        <v>785</v>
      </c>
      <c r="D250" t="s">
        <v>198</v>
      </c>
      <c r="E250">
        <f>_xlfn.XLOOKUP(D250,'Resumen Estudiantes y Profesore'!B:B,'Resumen Estudiantes y Profesore'!A:A)</f>
        <v>45</v>
      </c>
      <c r="F250" t="s">
        <v>243</v>
      </c>
      <c r="G250" t="s">
        <v>246</v>
      </c>
      <c r="H250" t="s">
        <v>246</v>
      </c>
      <c r="I250" t="s">
        <v>674</v>
      </c>
      <c r="J250" t="s">
        <v>77</v>
      </c>
      <c r="K250" s="120" t="s">
        <v>1420</v>
      </c>
      <c r="N250" s="49"/>
    </row>
    <row r="251" spans="1:23">
      <c r="A251" t="s">
        <v>1418</v>
      </c>
      <c r="B251" t="s">
        <v>1421</v>
      </c>
      <c r="C251" t="s">
        <v>788</v>
      </c>
      <c r="D251" t="s">
        <v>214</v>
      </c>
      <c r="E251">
        <f>_xlfn.XLOOKUP(D251,'Resumen Estudiantes y Profesore'!B:B,'Resumen Estudiantes y Profesore'!A:A)</f>
        <v>207</v>
      </c>
      <c r="F251" t="s">
        <v>243</v>
      </c>
      <c r="G251" t="s">
        <v>246</v>
      </c>
      <c r="H251" t="s">
        <v>246</v>
      </c>
      <c r="I251" t="s">
        <v>674</v>
      </c>
      <c r="J251" t="s">
        <v>77</v>
      </c>
      <c r="K251" s="120" t="s">
        <v>1422</v>
      </c>
      <c r="N251" s="49"/>
    </row>
    <row r="252" spans="1:23">
      <c r="A252" t="s">
        <v>1423</v>
      </c>
      <c r="B252" t="s">
        <v>1424</v>
      </c>
      <c r="C252" t="s">
        <v>446</v>
      </c>
      <c r="D252" t="s">
        <v>34</v>
      </c>
      <c r="E252">
        <f>_xlfn.XLOOKUP(D252,'Resumen Estudiantes y Profesore'!B:B,'Resumen Estudiantes y Profesore'!A:A)</f>
        <v>39</v>
      </c>
      <c r="F252" t="s">
        <v>243</v>
      </c>
      <c r="G252" t="s">
        <v>246</v>
      </c>
      <c r="H252" t="s">
        <v>246</v>
      </c>
      <c r="I252" t="s">
        <v>682</v>
      </c>
      <c r="J252" t="s">
        <v>89</v>
      </c>
      <c r="K252" s="120" t="s">
        <v>1425</v>
      </c>
      <c r="N252" s="49"/>
    </row>
    <row r="253" spans="1:23">
      <c r="A253" t="s">
        <v>1426</v>
      </c>
      <c r="B253" t="s">
        <v>1427</v>
      </c>
      <c r="C253" t="s">
        <v>421</v>
      </c>
      <c r="D253" t="s">
        <v>236</v>
      </c>
      <c r="E253">
        <f>_xlfn.XLOOKUP(D253,'Resumen Estudiantes y Profesore'!B:B,'Resumen Estudiantes y Profesore'!A:A)</f>
        <v>155</v>
      </c>
      <c r="F253" t="s">
        <v>243</v>
      </c>
      <c r="G253" t="s">
        <v>246</v>
      </c>
      <c r="H253" t="s">
        <v>246</v>
      </c>
      <c r="I253" t="s">
        <v>682</v>
      </c>
      <c r="J253" t="s">
        <v>77</v>
      </c>
      <c r="K253" s="120" t="s">
        <v>1428</v>
      </c>
      <c r="N253" s="49"/>
    </row>
    <row r="254" spans="1:23">
      <c r="A254" t="s">
        <v>1429</v>
      </c>
      <c r="B254" t="s">
        <v>1430</v>
      </c>
      <c r="C254" t="s">
        <v>448</v>
      </c>
      <c r="D254" t="s">
        <v>35</v>
      </c>
      <c r="E254">
        <f>_xlfn.XLOOKUP(D254,'Resumen Estudiantes y Profesore'!B:B,'Resumen Estudiantes y Profesore'!A:A)</f>
        <v>40</v>
      </c>
      <c r="F254" t="s">
        <v>243</v>
      </c>
      <c r="G254" t="s">
        <v>246</v>
      </c>
      <c r="H254" t="s">
        <v>246</v>
      </c>
      <c r="I254" t="s">
        <v>682</v>
      </c>
      <c r="J254" t="s">
        <v>89</v>
      </c>
      <c r="K254" s="120" t="s">
        <v>1431</v>
      </c>
      <c r="N254" s="49"/>
    </row>
    <row r="255" spans="1:23">
      <c r="A255" t="s">
        <v>1432</v>
      </c>
      <c r="B255" t="s">
        <v>1433</v>
      </c>
      <c r="C255" t="s">
        <v>1434</v>
      </c>
      <c r="D255" t="s">
        <v>195</v>
      </c>
      <c r="E255">
        <f>_xlfn.XLOOKUP(D255,'Resumen Estudiantes y Profesore'!B:B,'Resumen Estudiantes y Profesore'!A:A)</f>
        <v>77</v>
      </c>
      <c r="F255" t="s">
        <v>243</v>
      </c>
      <c r="G255" t="s">
        <v>246</v>
      </c>
      <c r="H255" t="s">
        <v>246</v>
      </c>
      <c r="I255" t="s">
        <v>674</v>
      </c>
      <c r="J255" t="s">
        <v>90</v>
      </c>
      <c r="K255" s="120" t="s">
        <v>1435</v>
      </c>
      <c r="N255" s="49"/>
    </row>
    <row r="256" spans="1:23">
      <c r="A256" t="s">
        <v>1436</v>
      </c>
      <c r="B256" t="s">
        <v>1437</v>
      </c>
      <c r="C256" t="s">
        <v>451</v>
      </c>
      <c r="D256" t="s">
        <v>38</v>
      </c>
      <c r="E256">
        <f>_xlfn.XLOOKUP(D256,'Resumen Estudiantes y Profesore'!B:B,'Resumen Estudiantes y Profesore'!A:A)</f>
        <v>42</v>
      </c>
      <c r="F256" t="s">
        <v>243</v>
      </c>
      <c r="G256" t="s">
        <v>246</v>
      </c>
      <c r="H256" t="s">
        <v>246</v>
      </c>
      <c r="I256" t="s">
        <v>682</v>
      </c>
      <c r="J256" t="s">
        <v>90</v>
      </c>
      <c r="K256" s="120" t="s">
        <v>1438</v>
      </c>
      <c r="N256" s="49"/>
    </row>
    <row r="257" spans="1:14">
      <c r="A257" t="s">
        <v>1439</v>
      </c>
      <c r="B257" t="s">
        <v>1440</v>
      </c>
      <c r="C257" t="s">
        <v>450</v>
      </c>
      <c r="D257" t="s">
        <v>37</v>
      </c>
      <c r="E257">
        <f>_xlfn.XLOOKUP(D257,'Resumen Estudiantes y Profesore'!B:B,'Resumen Estudiantes y Profesore'!A:A)</f>
        <v>41</v>
      </c>
      <c r="F257" t="s">
        <v>243</v>
      </c>
      <c r="G257" t="s">
        <v>246</v>
      </c>
      <c r="H257" t="s">
        <v>246</v>
      </c>
      <c r="I257" t="s">
        <v>682</v>
      </c>
      <c r="J257" t="s">
        <v>89</v>
      </c>
      <c r="K257" s="120" t="s">
        <v>1441</v>
      </c>
      <c r="N257" s="49"/>
    </row>
    <row r="258" spans="1:14">
      <c r="A258" t="s">
        <v>1442</v>
      </c>
      <c r="B258" t="s">
        <v>1443</v>
      </c>
      <c r="C258" t="s">
        <v>441</v>
      </c>
      <c r="D258" t="s">
        <v>32</v>
      </c>
      <c r="E258">
        <f>_xlfn.XLOOKUP(D258,'Resumen Estudiantes y Profesore'!B:B,'Resumen Estudiantes y Profesore'!A:A)</f>
        <v>36</v>
      </c>
      <c r="F258" t="s">
        <v>243</v>
      </c>
      <c r="G258" t="s">
        <v>246</v>
      </c>
      <c r="H258" t="s">
        <v>246</v>
      </c>
      <c r="I258" t="s">
        <v>682</v>
      </c>
      <c r="J258" t="s">
        <v>89</v>
      </c>
      <c r="K258" s="120" t="s">
        <v>1444</v>
      </c>
      <c r="N258" s="49"/>
    </row>
    <row r="259" spans="1:14">
      <c r="A259" t="s">
        <v>1445</v>
      </c>
      <c r="B259" t="s">
        <v>1446</v>
      </c>
      <c r="C259" t="s">
        <v>1447</v>
      </c>
      <c r="D259" t="s">
        <v>111</v>
      </c>
      <c r="E259">
        <f>_xlfn.XLOOKUP(D259,'Resumen Estudiantes y Profesore'!B:B,'Resumen Estudiantes y Profesore'!A:A)</f>
        <v>3</v>
      </c>
      <c r="F259" t="s">
        <v>243</v>
      </c>
      <c r="G259" t="s">
        <v>246</v>
      </c>
      <c r="H259" t="s">
        <v>246</v>
      </c>
      <c r="I259" t="s">
        <v>674</v>
      </c>
      <c r="J259" t="s">
        <v>90</v>
      </c>
      <c r="K259" s="120" t="s">
        <v>1448</v>
      </c>
      <c r="N259" s="49"/>
    </row>
    <row r="260" spans="1:14">
      <c r="A260" t="s">
        <v>1449</v>
      </c>
      <c r="B260" t="s">
        <v>1450</v>
      </c>
      <c r="C260" t="s">
        <v>451</v>
      </c>
      <c r="D260" t="s">
        <v>38</v>
      </c>
      <c r="E260">
        <f>_xlfn.XLOOKUP(D260,'Resumen Estudiantes y Profesore'!B:B,'Resumen Estudiantes y Profesore'!A:A)</f>
        <v>42</v>
      </c>
      <c r="F260" t="s">
        <v>243</v>
      </c>
      <c r="G260" t="s">
        <v>246</v>
      </c>
      <c r="H260" t="s">
        <v>246</v>
      </c>
      <c r="I260" t="s">
        <v>682</v>
      </c>
      <c r="J260" t="s">
        <v>90</v>
      </c>
      <c r="K260" s="120" t="s">
        <v>1451</v>
      </c>
      <c r="N260" s="49"/>
    </row>
    <row r="261" spans="1:14">
      <c r="A261" t="s">
        <v>1452</v>
      </c>
      <c r="B261" t="s">
        <v>1453</v>
      </c>
      <c r="C261" t="s">
        <v>1454</v>
      </c>
      <c r="D261" t="s">
        <v>157</v>
      </c>
      <c r="E261">
        <f>_xlfn.XLOOKUP(D261,'Resumen Estudiantes y Profesore'!B:B,'Resumen Estudiantes y Profesore'!A:A)</f>
        <v>143</v>
      </c>
      <c r="F261" t="s">
        <v>243</v>
      </c>
      <c r="G261" t="s">
        <v>246</v>
      </c>
      <c r="H261" t="s">
        <v>246</v>
      </c>
      <c r="I261" t="s">
        <v>674</v>
      </c>
      <c r="J261" t="s">
        <v>138</v>
      </c>
      <c r="K261" s="120" t="s">
        <v>1455</v>
      </c>
      <c r="N261" s="49"/>
    </row>
    <row r="262" spans="1:14">
      <c r="A262" t="s">
        <v>1456</v>
      </c>
      <c r="B262" t="s">
        <v>1457</v>
      </c>
      <c r="C262" t="s">
        <v>424</v>
      </c>
      <c r="D262" t="s">
        <v>24</v>
      </c>
      <c r="E262">
        <f>_xlfn.XLOOKUP(D262,'Resumen Estudiantes y Profesore'!B:B,'Resumen Estudiantes y Profesore'!A:A)</f>
        <v>27</v>
      </c>
      <c r="F262" t="s">
        <v>243</v>
      </c>
      <c r="G262" t="s">
        <v>246</v>
      </c>
      <c r="H262" t="s">
        <v>246</v>
      </c>
      <c r="I262" t="s">
        <v>682</v>
      </c>
      <c r="J262" t="s">
        <v>83</v>
      </c>
      <c r="K262" s="120" t="s">
        <v>1458</v>
      </c>
      <c r="N262" s="49"/>
    </row>
    <row r="263" spans="1:14">
      <c r="A263" t="s">
        <v>1459</v>
      </c>
      <c r="B263" t="s">
        <v>1460</v>
      </c>
      <c r="C263" t="s">
        <v>1461</v>
      </c>
      <c r="D263" t="s">
        <v>200</v>
      </c>
      <c r="E263">
        <f>_xlfn.XLOOKUP(D263,'Resumen Estudiantes y Profesore'!B:B,'Resumen Estudiantes y Profesore'!A:A)</f>
        <v>46</v>
      </c>
      <c r="F263" t="s">
        <v>243</v>
      </c>
      <c r="G263" t="s">
        <v>246</v>
      </c>
      <c r="H263" t="s">
        <v>246</v>
      </c>
      <c r="I263" t="s">
        <v>674</v>
      </c>
      <c r="J263" t="s">
        <v>77</v>
      </c>
      <c r="K263" s="120" t="s">
        <v>1462</v>
      </c>
      <c r="N263" s="49"/>
    </row>
    <row r="264" spans="1:14">
      <c r="A264" t="s">
        <v>1463</v>
      </c>
      <c r="B264" t="s">
        <v>1464</v>
      </c>
      <c r="C264" t="s">
        <v>434</v>
      </c>
      <c r="D264" t="s">
        <v>28</v>
      </c>
      <c r="E264">
        <f>_xlfn.XLOOKUP(D264,'Resumen Estudiantes y Profesore'!B:B,'Resumen Estudiantes y Profesore'!A:A)</f>
        <v>32</v>
      </c>
      <c r="F264" t="s">
        <v>243</v>
      </c>
      <c r="G264" t="s">
        <v>246</v>
      </c>
      <c r="H264" t="s">
        <v>246</v>
      </c>
      <c r="I264" t="s">
        <v>682</v>
      </c>
      <c r="J264" t="s">
        <v>85</v>
      </c>
      <c r="K264" s="120" t="s">
        <v>1465</v>
      </c>
      <c r="N264" s="49"/>
    </row>
    <row r="265" spans="1:14">
      <c r="A265" t="s">
        <v>1466</v>
      </c>
      <c r="B265" t="s">
        <v>1467</v>
      </c>
      <c r="C265" t="s">
        <v>451</v>
      </c>
      <c r="D265" t="s">
        <v>38</v>
      </c>
      <c r="E265">
        <f>_xlfn.XLOOKUP(D265,'Resumen Estudiantes y Profesore'!B:B,'Resumen Estudiantes y Profesore'!A:A)</f>
        <v>42</v>
      </c>
      <c r="F265" t="s">
        <v>243</v>
      </c>
      <c r="G265" t="s">
        <v>246</v>
      </c>
      <c r="H265" t="s">
        <v>246</v>
      </c>
      <c r="I265" t="s">
        <v>682</v>
      </c>
      <c r="J265" t="s">
        <v>90</v>
      </c>
      <c r="K265" s="120" t="s">
        <v>1468</v>
      </c>
      <c r="N265" s="49"/>
    </row>
    <row r="266" spans="1:14">
      <c r="A266" t="s">
        <v>1469</v>
      </c>
      <c r="B266" t="s">
        <v>1470</v>
      </c>
      <c r="C266" t="s">
        <v>630</v>
      </c>
      <c r="D266" t="s">
        <v>536</v>
      </c>
      <c r="E266" t="e">
        <f>_xlfn.XLOOKUP(D266,'Resumen Estudiantes y Profesore'!B:B,'Resumen Estudiantes y Profesore'!A:A)</f>
        <v>#N/A</v>
      </c>
      <c r="F266" t="s">
        <v>243</v>
      </c>
      <c r="G266" t="s">
        <v>246</v>
      </c>
      <c r="H266" t="s">
        <v>246</v>
      </c>
      <c r="I266" t="s">
        <v>682</v>
      </c>
      <c r="J266" t="s">
        <v>1471</v>
      </c>
      <c r="K266" s="120" t="s">
        <v>1472</v>
      </c>
      <c r="N266" s="49"/>
    </row>
    <row r="267" spans="1:14">
      <c r="A267" t="s">
        <v>1473</v>
      </c>
      <c r="B267" t="s">
        <v>1474</v>
      </c>
      <c r="C267" t="s">
        <v>428</v>
      </c>
      <c r="D267" t="s">
        <v>25</v>
      </c>
      <c r="E267">
        <f>_xlfn.XLOOKUP(D267,'Resumen Estudiantes y Profesore'!B:B,'Resumen Estudiantes y Profesore'!A:A)</f>
        <v>28</v>
      </c>
      <c r="F267" t="s">
        <v>243</v>
      </c>
      <c r="G267" t="s">
        <v>246</v>
      </c>
      <c r="H267" t="s">
        <v>246</v>
      </c>
      <c r="I267" t="s">
        <v>682</v>
      </c>
      <c r="J267" t="s">
        <v>83</v>
      </c>
      <c r="K267" s="120" t="s">
        <v>1475</v>
      </c>
      <c r="N267" s="49"/>
    </row>
    <row r="268" spans="1:14">
      <c r="A268" t="s">
        <v>1476</v>
      </c>
      <c r="B268" t="s">
        <v>1477</v>
      </c>
      <c r="C268" t="s">
        <v>446</v>
      </c>
      <c r="D268" t="s">
        <v>34</v>
      </c>
      <c r="E268">
        <f>_xlfn.XLOOKUP(D268,'Resumen Estudiantes y Profesore'!B:B,'Resumen Estudiantes y Profesore'!A:A)</f>
        <v>39</v>
      </c>
      <c r="F268" t="s">
        <v>243</v>
      </c>
      <c r="G268" t="s">
        <v>246</v>
      </c>
      <c r="H268" t="s">
        <v>246</v>
      </c>
      <c r="I268" t="s">
        <v>682</v>
      </c>
      <c r="J268" t="s">
        <v>89</v>
      </c>
      <c r="K268" s="120" t="s">
        <v>1478</v>
      </c>
      <c r="N268" s="49"/>
    </row>
    <row r="269" spans="1:14">
      <c r="A269" t="s">
        <v>1479</v>
      </c>
      <c r="B269" t="s">
        <v>1480</v>
      </c>
      <c r="C269" t="s">
        <v>424</v>
      </c>
      <c r="D269" t="s">
        <v>24</v>
      </c>
      <c r="E269">
        <f>_xlfn.XLOOKUP(D269,'Resumen Estudiantes y Profesore'!B:B,'Resumen Estudiantes y Profesore'!A:A)</f>
        <v>27</v>
      </c>
      <c r="F269" t="s">
        <v>243</v>
      </c>
      <c r="G269" t="s">
        <v>246</v>
      </c>
      <c r="H269" t="s">
        <v>246</v>
      </c>
      <c r="I269" t="s">
        <v>682</v>
      </c>
      <c r="J269" t="s">
        <v>83</v>
      </c>
      <c r="K269" s="120" t="s">
        <v>1481</v>
      </c>
      <c r="N269" s="49"/>
    </row>
    <row r="270" spans="1:14">
      <c r="A270" t="s">
        <v>1482</v>
      </c>
      <c r="B270" t="s">
        <v>1483</v>
      </c>
      <c r="C270" t="s">
        <v>430</v>
      </c>
      <c r="D270" t="s">
        <v>26</v>
      </c>
      <c r="E270">
        <f>_xlfn.XLOOKUP(D270,'Resumen Estudiantes y Profesore'!B:B,'Resumen Estudiantes y Profesore'!A:A)</f>
        <v>29</v>
      </c>
      <c r="F270" t="s">
        <v>243</v>
      </c>
      <c r="G270" t="s">
        <v>246</v>
      </c>
      <c r="H270" t="s">
        <v>246</v>
      </c>
      <c r="I270" t="s">
        <v>682</v>
      </c>
      <c r="J270" t="s">
        <v>84</v>
      </c>
      <c r="K270" s="120" t="s">
        <v>1484</v>
      </c>
      <c r="N270" s="49"/>
    </row>
    <row r="271" spans="1:14">
      <c r="A271" t="s">
        <v>1485</v>
      </c>
      <c r="B271" t="s">
        <v>1486</v>
      </c>
      <c r="C271" t="s">
        <v>93</v>
      </c>
      <c r="D271" t="s">
        <v>93</v>
      </c>
      <c r="E271">
        <f>_xlfn.XLOOKUP(D271,'Resumen Estudiantes y Profesore'!B:B,'Resumen Estudiantes y Profesore'!A:A)</f>
        <v>210</v>
      </c>
      <c r="F271" t="s">
        <v>243</v>
      </c>
      <c r="G271" t="s">
        <v>246</v>
      </c>
      <c r="H271" t="s">
        <v>246</v>
      </c>
      <c r="I271" t="s">
        <v>682</v>
      </c>
      <c r="J271" t="s">
        <v>93</v>
      </c>
      <c r="K271" s="120" t="s">
        <v>1487</v>
      </c>
      <c r="N271" s="49"/>
    </row>
    <row r="272" spans="1:14">
      <c r="A272" t="s">
        <v>1488</v>
      </c>
      <c r="B272" t="s">
        <v>1489</v>
      </c>
      <c r="C272" t="s">
        <v>1490</v>
      </c>
      <c r="D272" t="s">
        <v>142</v>
      </c>
      <c r="E272">
        <f>_xlfn.XLOOKUP(D272,'Resumen Estudiantes y Profesore'!B:B,'Resumen Estudiantes y Profesore'!A:A)</f>
        <v>119</v>
      </c>
      <c r="F272" t="s">
        <v>243</v>
      </c>
      <c r="G272" t="s">
        <v>246</v>
      </c>
      <c r="H272" t="s">
        <v>247</v>
      </c>
      <c r="I272" t="s">
        <v>674</v>
      </c>
      <c r="J272" t="s">
        <v>138</v>
      </c>
      <c r="K272" s="120" t="s">
        <v>1491</v>
      </c>
      <c r="N272" s="49"/>
    </row>
    <row r="273" spans="1:14">
      <c r="A273" t="s">
        <v>1492</v>
      </c>
      <c r="B273" t="s">
        <v>1493</v>
      </c>
      <c r="C273" t="s">
        <v>419</v>
      </c>
      <c r="D273" t="s">
        <v>233</v>
      </c>
      <c r="E273">
        <f>_xlfn.XLOOKUP(D273,'Resumen Estudiantes y Profesore'!B:B,'Resumen Estudiantes y Profesore'!A:A)</f>
        <v>152</v>
      </c>
      <c r="F273" t="s">
        <v>243</v>
      </c>
      <c r="G273" t="s">
        <v>246</v>
      </c>
      <c r="H273" t="s">
        <v>246</v>
      </c>
      <c r="I273" t="s">
        <v>682</v>
      </c>
      <c r="J273" t="s">
        <v>77</v>
      </c>
      <c r="K273" s="120" t="s">
        <v>1494</v>
      </c>
      <c r="N273" s="49"/>
    </row>
    <row r="274" spans="1:14">
      <c r="A274" t="s">
        <v>1495</v>
      </c>
      <c r="B274" t="s">
        <v>1496</v>
      </c>
      <c r="C274" t="s">
        <v>417</v>
      </c>
      <c r="D274" t="s">
        <v>231</v>
      </c>
      <c r="E274">
        <f>_xlfn.XLOOKUP(D274,'Resumen Estudiantes y Profesore'!B:B,'Resumen Estudiantes y Profesore'!A:A)</f>
        <v>150</v>
      </c>
      <c r="F274" t="s">
        <v>243</v>
      </c>
      <c r="G274" t="s">
        <v>246</v>
      </c>
      <c r="H274" t="s">
        <v>246</v>
      </c>
      <c r="I274" t="s">
        <v>682</v>
      </c>
      <c r="J274" t="s">
        <v>77</v>
      </c>
      <c r="K274" s="120" t="s">
        <v>1497</v>
      </c>
      <c r="N274" s="49"/>
    </row>
    <row r="275" spans="1:14">
      <c r="A275" t="s">
        <v>1498</v>
      </c>
      <c r="B275" t="s">
        <v>1499</v>
      </c>
      <c r="C275" t="s">
        <v>234</v>
      </c>
      <c r="D275" t="s">
        <v>234</v>
      </c>
      <c r="E275">
        <f>_xlfn.XLOOKUP(D275,'Resumen Estudiantes y Profesore'!B:B,'Resumen Estudiantes y Profesore'!A:A)</f>
        <v>153</v>
      </c>
      <c r="F275" t="s">
        <v>243</v>
      </c>
      <c r="G275" t="s">
        <v>246</v>
      </c>
      <c r="H275" t="s">
        <v>246</v>
      </c>
      <c r="I275" t="s">
        <v>682</v>
      </c>
      <c r="J275" t="s">
        <v>77</v>
      </c>
      <c r="K275" s="120" t="s">
        <v>1500</v>
      </c>
      <c r="N275" s="49"/>
    </row>
    <row r="276" spans="1:14">
      <c r="A276" t="s">
        <v>1501</v>
      </c>
      <c r="B276" t="s">
        <v>1502</v>
      </c>
      <c r="C276" t="s">
        <v>1094</v>
      </c>
      <c r="D276" t="s">
        <v>199</v>
      </c>
      <c r="E276">
        <f>_xlfn.XLOOKUP(D276,'Resumen Estudiantes y Profesore'!B:B,'Resumen Estudiantes y Profesore'!A:A)</f>
        <v>49</v>
      </c>
      <c r="F276" t="s">
        <v>243</v>
      </c>
      <c r="G276" t="s">
        <v>246</v>
      </c>
      <c r="H276" t="s">
        <v>246</v>
      </c>
      <c r="I276" t="s">
        <v>674</v>
      </c>
      <c r="J276" t="s">
        <v>77</v>
      </c>
      <c r="K276" s="120" t="s">
        <v>1503</v>
      </c>
      <c r="N276" s="49"/>
    </row>
    <row r="277" spans="1:14">
      <c r="A277" t="s">
        <v>1501</v>
      </c>
      <c r="B277" t="s">
        <v>1504</v>
      </c>
      <c r="C277" t="s">
        <v>859</v>
      </c>
      <c r="D277" t="s">
        <v>201</v>
      </c>
      <c r="E277">
        <f>_xlfn.XLOOKUP(D277,'Resumen Estudiantes y Profesore'!B:B,'Resumen Estudiantes y Profesore'!A:A)</f>
        <v>47</v>
      </c>
      <c r="F277" t="s">
        <v>243</v>
      </c>
      <c r="G277" t="s">
        <v>246</v>
      </c>
      <c r="H277" t="s">
        <v>246</v>
      </c>
      <c r="I277" t="s">
        <v>674</v>
      </c>
      <c r="J277" t="s">
        <v>77</v>
      </c>
      <c r="K277" s="120" t="s">
        <v>1505</v>
      </c>
      <c r="N277" s="49"/>
    </row>
    <row r="278" spans="1:14">
      <c r="A278" t="s">
        <v>1501</v>
      </c>
      <c r="B278" t="s">
        <v>1506</v>
      </c>
      <c r="C278" t="s">
        <v>417</v>
      </c>
      <c r="D278" t="s">
        <v>231</v>
      </c>
      <c r="E278">
        <f>_xlfn.XLOOKUP(D278,'Resumen Estudiantes y Profesore'!B:B,'Resumen Estudiantes y Profesore'!A:A)</f>
        <v>150</v>
      </c>
      <c r="F278" t="s">
        <v>243</v>
      </c>
      <c r="G278" t="s">
        <v>246</v>
      </c>
      <c r="H278" t="s">
        <v>246</v>
      </c>
      <c r="I278" t="s">
        <v>682</v>
      </c>
      <c r="J278" t="s">
        <v>77</v>
      </c>
      <c r="K278" s="120" t="s">
        <v>1507</v>
      </c>
      <c r="N278" s="49"/>
    </row>
    <row r="279" spans="1:14">
      <c r="A279" t="s">
        <v>1508</v>
      </c>
      <c r="B279" t="s">
        <v>1509</v>
      </c>
      <c r="C279" t="s">
        <v>1063</v>
      </c>
      <c r="D279" t="s">
        <v>129</v>
      </c>
      <c r="E279">
        <f>_xlfn.XLOOKUP(D279,'Resumen Estudiantes y Profesore'!B:B,'Resumen Estudiantes y Profesore'!A:A)</f>
        <v>97</v>
      </c>
      <c r="F279" t="s">
        <v>243</v>
      </c>
      <c r="G279" t="s">
        <v>246</v>
      </c>
      <c r="H279" t="s">
        <v>246</v>
      </c>
      <c r="I279" t="s">
        <v>674</v>
      </c>
      <c r="J279" t="s">
        <v>84</v>
      </c>
      <c r="K279" s="120" t="s">
        <v>1510</v>
      </c>
      <c r="N279" s="49"/>
    </row>
    <row r="280" spans="1:14">
      <c r="A280" t="s">
        <v>1511</v>
      </c>
      <c r="B280" t="s">
        <v>1512</v>
      </c>
      <c r="C280" t="s">
        <v>507</v>
      </c>
      <c r="D280" t="s">
        <v>151</v>
      </c>
      <c r="E280">
        <f>_xlfn.XLOOKUP(D280,'Resumen Estudiantes y Profesore'!B:B,'Resumen Estudiantes y Profesore'!A:A)</f>
        <v>107</v>
      </c>
      <c r="F280" t="s">
        <v>243</v>
      </c>
      <c r="G280" t="s">
        <v>246</v>
      </c>
      <c r="H280" t="s">
        <v>246</v>
      </c>
      <c r="I280" t="s">
        <v>674</v>
      </c>
      <c r="J280" t="s">
        <v>91</v>
      </c>
      <c r="K280" s="120" t="s">
        <v>1513</v>
      </c>
      <c r="N280" s="49"/>
    </row>
    <row r="281" spans="1:14">
      <c r="A281" t="s">
        <v>1514</v>
      </c>
      <c r="B281" t="s">
        <v>1515</v>
      </c>
      <c r="C281" t="s">
        <v>448</v>
      </c>
      <c r="D281" t="s">
        <v>35</v>
      </c>
      <c r="E281">
        <f>_xlfn.XLOOKUP(D281,'Resumen Estudiantes y Profesore'!B:B,'Resumen Estudiantes y Profesore'!A:A)</f>
        <v>40</v>
      </c>
      <c r="F281" t="s">
        <v>243</v>
      </c>
      <c r="G281" t="s">
        <v>246</v>
      </c>
      <c r="H281" t="s">
        <v>246</v>
      </c>
      <c r="I281" t="s">
        <v>682</v>
      </c>
      <c r="J281" t="s">
        <v>89</v>
      </c>
      <c r="K281" s="120" t="s">
        <v>1516</v>
      </c>
      <c r="N281" s="49"/>
    </row>
    <row r="282" spans="1:14">
      <c r="A282" t="s">
        <v>1517</v>
      </c>
      <c r="B282" t="s">
        <v>1518</v>
      </c>
      <c r="C282" t="s">
        <v>237</v>
      </c>
      <c r="D282" t="s">
        <v>237</v>
      </c>
      <c r="E282">
        <f>_xlfn.XLOOKUP(D282,'Resumen Estudiantes y Profesore'!B:B,'Resumen Estudiantes y Profesore'!A:A)</f>
        <v>156</v>
      </c>
      <c r="F282" t="s">
        <v>243</v>
      </c>
      <c r="G282" t="s">
        <v>246</v>
      </c>
      <c r="H282" t="s">
        <v>246</v>
      </c>
      <c r="I282" t="s">
        <v>682</v>
      </c>
      <c r="J282" t="s">
        <v>77</v>
      </c>
      <c r="K282" s="120" t="s">
        <v>1519</v>
      </c>
      <c r="N282" s="49"/>
    </row>
    <row r="283" spans="1:14">
      <c r="A283" t="s">
        <v>1520</v>
      </c>
      <c r="B283" t="s">
        <v>1521</v>
      </c>
      <c r="C283" t="s">
        <v>1046</v>
      </c>
      <c r="D283" t="s">
        <v>213</v>
      </c>
      <c r="E283">
        <f>_xlfn.XLOOKUP(D283,'Resumen Estudiantes y Profesore'!B:B,'Resumen Estudiantes y Profesore'!A:A)</f>
        <v>68</v>
      </c>
      <c r="F283" t="s">
        <v>243</v>
      </c>
      <c r="G283" t="s">
        <v>246</v>
      </c>
      <c r="H283" t="s">
        <v>246</v>
      </c>
      <c r="I283" t="s">
        <v>674</v>
      </c>
      <c r="J283" t="s">
        <v>88</v>
      </c>
      <c r="K283" s="120" t="s">
        <v>1522</v>
      </c>
      <c r="N283" s="49"/>
    </row>
    <row r="284" spans="1:14">
      <c r="A284" t="s">
        <v>1523</v>
      </c>
      <c r="B284" t="s">
        <v>1524</v>
      </c>
      <c r="C284" t="s">
        <v>1119</v>
      </c>
      <c r="D284" t="s">
        <v>119</v>
      </c>
      <c r="E284">
        <f>_xlfn.XLOOKUP(D284,'Resumen Estudiantes y Profesore'!B:B,'Resumen Estudiantes y Profesore'!A:A)</f>
        <v>8</v>
      </c>
      <c r="F284" t="s">
        <v>243</v>
      </c>
      <c r="G284" t="s">
        <v>246</v>
      </c>
      <c r="H284" t="s">
        <v>246</v>
      </c>
      <c r="I284" t="s">
        <v>674</v>
      </c>
      <c r="J284" t="s">
        <v>90</v>
      </c>
      <c r="K284" s="120" t="s">
        <v>1525</v>
      </c>
      <c r="N284" s="49"/>
    </row>
    <row r="285" spans="1:14">
      <c r="A285" t="s">
        <v>1526</v>
      </c>
      <c r="B285" t="s">
        <v>1527</v>
      </c>
      <c r="C285" t="s">
        <v>444</v>
      </c>
      <c r="D285" t="s">
        <v>33</v>
      </c>
      <c r="E285">
        <f>_xlfn.XLOOKUP(D285,'Resumen Estudiantes y Profesore'!B:B,'Resumen Estudiantes y Profesore'!A:A)</f>
        <v>38</v>
      </c>
      <c r="F285" t="s">
        <v>243</v>
      </c>
      <c r="G285" t="s">
        <v>246</v>
      </c>
      <c r="H285" t="s">
        <v>246</v>
      </c>
      <c r="I285" t="s">
        <v>682</v>
      </c>
      <c r="J285" t="s">
        <v>89</v>
      </c>
      <c r="K285" s="120" t="s">
        <v>1528</v>
      </c>
      <c r="N285" s="49"/>
    </row>
    <row r="286" spans="1:14">
      <c r="A286" t="s">
        <v>1529</v>
      </c>
      <c r="B286" t="s">
        <v>1530</v>
      </c>
      <c r="C286" t="s">
        <v>417</v>
      </c>
      <c r="D286" t="s">
        <v>231</v>
      </c>
      <c r="E286">
        <f>_xlfn.XLOOKUP(D286,'Resumen Estudiantes y Profesore'!B:B,'Resumen Estudiantes y Profesore'!A:A)</f>
        <v>150</v>
      </c>
      <c r="F286" t="s">
        <v>243</v>
      </c>
      <c r="G286" t="s">
        <v>246</v>
      </c>
      <c r="H286" t="s">
        <v>246</v>
      </c>
      <c r="I286" t="s">
        <v>682</v>
      </c>
      <c r="J286" t="s">
        <v>77</v>
      </c>
      <c r="K286" s="120" t="s">
        <v>1531</v>
      </c>
      <c r="N286" s="49"/>
    </row>
    <row r="287" spans="1:14">
      <c r="A287" t="s">
        <v>1532</v>
      </c>
      <c r="B287" t="s">
        <v>1533</v>
      </c>
      <c r="C287" t="s">
        <v>424</v>
      </c>
      <c r="D287" t="s">
        <v>24</v>
      </c>
      <c r="E287">
        <f>_xlfn.XLOOKUP(D287,'Resumen Estudiantes y Profesore'!B:B,'Resumen Estudiantes y Profesore'!A:A)</f>
        <v>27</v>
      </c>
      <c r="F287" t="s">
        <v>243</v>
      </c>
      <c r="G287" t="s">
        <v>246</v>
      </c>
      <c r="H287" t="s">
        <v>246</v>
      </c>
      <c r="I287" t="s">
        <v>682</v>
      </c>
      <c r="J287" t="s">
        <v>83</v>
      </c>
      <c r="K287" s="120" t="s">
        <v>1534</v>
      </c>
      <c r="N287" s="49"/>
    </row>
    <row r="288" spans="1:14">
      <c r="A288" t="s">
        <v>1532</v>
      </c>
      <c r="B288" t="s">
        <v>1535</v>
      </c>
      <c r="C288" t="s">
        <v>428</v>
      </c>
      <c r="D288" t="s">
        <v>25</v>
      </c>
      <c r="E288">
        <f>_xlfn.XLOOKUP(D288,'Resumen Estudiantes y Profesore'!B:B,'Resumen Estudiantes y Profesore'!A:A)</f>
        <v>28</v>
      </c>
      <c r="F288" t="s">
        <v>243</v>
      </c>
      <c r="G288" t="s">
        <v>246</v>
      </c>
      <c r="H288" t="s">
        <v>246</v>
      </c>
      <c r="I288" t="s">
        <v>682</v>
      </c>
      <c r="J288" t="s">
        <v>83</v>
      </c>
      <c r="K288" s="120" t="s">
        <v>1536</v>
      </c>
      <c r="N288" s="49"/>
    </row>
    <row r="289" spans="1:14">
      <c r="A289" t="s">
        <v>1532</v>
      </c>
      <c r="B289" t="s">
        <v>1537</v>
      </c>
      <c r="C289" t="s">
        <v>426</v>
      </c>
      <c r="D289" t="s">
        <v>23</v>
      </c>
      <c r="E289">
        <f>_xlfn.XLOOKUP(D289,'Resumen Estudiantes y Profesore'!B:B,'Resumen Estudiantes y Profesore'!A:A)</f>
        <v>26</v>
      </c>
      <c r="F289" t="s">
        <v>243</v>
      </c>
      <c r="G289" t="s">
        <v>246</v>
      </c>
      <c r="H289" t="s">
        <v>246</v>
      </c>
      <c r="I289" t="s">
        <v>682</v>
      </c>
      <c r="J289" t="s">
        <v>83</v>
      </c>
      <c r="K289" s="120" t="s">
        <v>1538</v>
      </c>
      <c r="N289" s="49"/>
    </row>
    <row r="290" spans="1:14">
      <c r="A290" t="s">
        <v>1539</v>
      </c>
      <c r="B290" t="s">
        <v>1540</v>
      </c>
      <c r="C290" t="s">
        <v>424</v>
      </c>
      <c r="D290" t="s">
        <v>24</v>
      </c>
      <c r="E290">
        <f>_xlfn.XLOOKUP(D290,'Resumen Estudiantes y Profesore'!B:B,'Resumen Estudiantes y Profesore'!A:A)</f>
        <v>27</v>
      </c>
      <c r="F290" t="s">
        <v>243</v>
      </c>
      <c r="G290" t="s">
        <v>246</v>
      </c>
      <c r="H290" t="s">
        <v>246</v>
      </c>
      <c r="I290" t="s">
        <v>682</v>
      </c>
      <c r="J290" t="s">
        <v>83</v>
      </c>
      <c r="K290" s="120" t="s">
        <v>1541</v>
      </c>
      <c r="N290" s="49"/>
    </row>
    <row r="291" spans="1:14">
      <c r="A291" t="s">
        <v>1542</v>
      </c>
      <c r="B291" t="s">
        <v>1543</v>
      </c>
      <c r="C291" t="s">
        <v>434</v>
      </c>
      <c r="D291" t="s">
        <v>28</v>
      </c>
      <c r="E291">
        <f>_xlfn.XLOOKUP(D291,'Resumen Estudiantes y Profesore'!B:B,'Resumen Estudiantes y Profesore'!A:A)</f>
        <v>32</v>
      </c>
      <c r="F291" t="s">
        <v>243</v>
      </c>
      <c r="G291" t="s">
        <v>246</v>
      </c>
      <c r="H291" t="s">
        <v>246</v>
      </c>
      <c r="I291" t="s">
        <v>682</v>
      </c>
      <c r="J291" t="s">
        <v>85</v>
      </c>
      <c r="K291" s="120" t="s">
        <v>1544</v>
      </c>
      <c r="N291" s="49"/>
    </row>
    <row r="292" spans="1:14">
      <c r="A292" t="s">
        <v>1545</v>
      </c>
      <c r="B292" t="s">
        <v>1546</v>
      </c>
      <c r="C292" t="s">
        <v>781</v>
      </c>
      <c r="D292" t="s">
        <v>131</v>
      </c>
      <c r="E292">
        <f>_xlfn.XLOOKUP(D292,'Resumen Estudiantes y Profesore'!B:B,'Resumen Estudiantes y Profesore'!A:A)</f>
        <v>99</v>
      </c>
      <c r="F292" t="s">
        <v>243</v>
      </c>
      <c r="G292" t="s">
        <v>246</v>
      </c>
      <c r="H292" t="s">
        <v>246</v>
      </c>
      <c r="I292" t="s">
        <v>674</v>
      </c>
      <c r="J292" t="s">
        <v>84</v>
      </c>
      <c r="K292" s="120" t="s">
        <v>1547</v>
      </c>
      <c r="N292" s="49"/>
    </row>
    <row r="293" spans="1:14">
      <c r="A293" t="s">
        <v>1548</v>
      </c>
      <c r="B293" t="s">
        <v>1549</v>
      </c>
      <c r="C293" t="s">
        <v>434</v>
      </c>
      <c r="D293" t="s">
        <v>28</v>
      </c>
      <c r="E293">
        <f>_xlfn.XLOOKUP(D293,'Resumen Estudiantes y Profesore'!B:B,'Resumen Estudiantes y Profesore'!A:A)</f>
        <v>32</v>
      </c>
      <c r="F293" t="s">
        <v>243</v>
      </c>
      <c r="G293" t="s">
        <v>246</v>
      </c>
      <c r="H293" t="s">
        <v>246</v>
      </c>
      <c r="I293" t="s">
        <v>682</v>
      </c>
      <c r="J293" t="s">
        <v>85</v>
      </c>
      <c r="K293" s="120" t="s">
        <v>1550</v>
      </c>
      <c r="N293" s="49"/>
    </row>
    <row r="294" spans="1:14">
      <c r="A294" t="s">
        <v>1551</v>
      </c>
      <c r="B294" t="s">
        <v>1552</v>
      </c>
      <c r="C294" t="s">
        <v>424</v>
      </c>
      <c r="D294" t="s">
        <v>24</v>
      </c>
      <c r="E294">
        <f>_xlfn.XLOOKUP(D294,'Resumen Estudiantes y Profesore'!B:B,'Resumen Estudiantes y Profesore'!A:A)</f>
        <v>27</v>
      </c>
      <c r="F294" t="s">
        <v>243</v>
      </c>
      <c r="G294" t="s">
        <v>246</v>
      </c>
      <c r="H294" t="s">
        <v>246</v>
      </c>
      <c r="I294" t="s">
        <v>682</v>
      </c>
      <c r="J294" t="s">
        <v>83</v>
      </c>
      <c r="K294" s="120" t="s">
        <v>1553</v>
      </c>
      <c r="N294" s="49"/>
    </row>
    <row r="295" spans="1:14">
      <c r="A295" t="s">
        <v>1551</v>
      </c>
      <c r="B295" t="s">
        <v>1554</v>
      </c>
      <c r="C295" t="s">
        <v>426</v>
      </c>
      <c r="D295" t="s">
        <v>23</v>
      </c>
      <c r="E295">
        <f>_xlfn.XLOOKUP(D295,'Resumen Estudiantes y Profesore'!B:B,'Resumen Estudiantes y Profesore'!A:A)</f>
        <v>26</v>
      </c>
      <c r="F295" t="s">
        <v>243</v>
      </c>
      <c r="G295" t="s">
        <v>246</v>
      </c>
      <c r="H295" t="s">
        <v>246</v>
      </c>
      <c r="I295" t="s">
        <v>682</v>
      </c>
      <c r="J295" t="s">
        <v>83</v>
      </c>
      <c r="K295" s="120" t="s">
        <v>1555</v>
      </c>
      <c r="N295" s="49"/>
    </row>
    <row r="296" spans="1:14">
      <c r="A296" t="s">
        <v>1556</v>
      </c>
      <c r="B296" t="s">
        <v>1557</v>
      </c>
      <c r="C296" t="s">
        <v>446</v>
      </c>
      <c r="D296" t="s">
        <v>34</v>
      </c>
      <c r="E296">
        <f>_xlfn.XLOOKUP(D296,'Resumen Estudiantes y Profesore'!B:B,'Resumen Estudiantes y Profesore'!A:A)</f>
        <v>39</v>
      </c>
      <c r="F296" t="s">
        <v>243</v>
      </c>
      <c r="G296" t="s">
        <v>246</v>
      </c>
      <c r="H296" t="s">
        <v>246</v>
      </c>
      <c r="I296" t="s">
        <v>682</v>
      </c>
      <c r="J296" t="s">
        <v>89</v>
      </c>
      <c r="K296" s="120" t="s">
        <v>1558</v>
      </c>
      <c r="N296" s="49"/>
    </row>
    <row r="297" spans="1:14">
      <c r="A297" t="s">
        <v>1559</v>
      </c>
      <c r="B297" t="s">
        <v>1560</v>
      </c>
      <c r="C297" t="s">
        <v>474</v>
      </c>
      <c r="D297" t="s">
        <v>204</v>
      </c>
      <c r="E297">
        <f>_xlfn.XLOOKUP(D297,'Resumen Estudiantes y Profesore'!B:B,'Resumen Estudiantes y Profesore'!A:A)</f>
        <v>81</v>
      </c>
      <c r="F297" t="s">
        <v>243</v>
      </c>
      <c r="G297" t="s">
        <v>246</v>
      </c>
      <c r="H297" t="s">
        <v>246</v>
      </c>
      <c r="I297" t="s">
        <v>674</v>
      </c>
      <c r="J297" t="s">
        <v>91</v>
      </c>
      <c r="K297" s="120" t="s">
        <v>1561</v>
      </c>
      <c r="N297" s="49"/>
    </row>
    <row r="298" spans="1:14">
      <c r="A298" t="s">
        <v>1562</v>
      </c>
      <c r="B298" t="s">
        <v>1563</v>
      </c>
      <c r="C298" t="s">
        <v>418</v>
      </c>
      <c r="D298" t="s">
        <v>232</v>
      </c>
      <c r="E298">
        <f>_xlfn.XLOOKUP(D298,'Resumen Estudiantes y Profesore'!B:B,'Resumen Estudiantes y Profesore'!A:A)</f>
        <v>151</v>
      </c>
      <c r="F298" t="s">
        <v>243</v>
      </c>
      <c r="G298" t="s">
        <v>246</v>
      </c>
      <c r="H298" t="s">
        <v>246</v>
      </c>
      <c r="I298" t="s">
        <v>682</v>
      </c>
      <c r="J298" t="s">
        <v>77</v>
      </c>
      <c r="K298" s="120" t="s">
        <v>1564</v>
      </c>
      <c r="N298" s="49"/>
    </row>
    <row r="299" spans="1:14">
      <c r="A299" t="s">
        <v>1565</v>
      </c>
      <c r="B299" t="s">
        <v>1566</v>
      </c>
      <c r="C299" t="s">
        <v>430</v>
      </c>
      <c r="D299" t="s">
        <v>26</v>
      </c>
      <c r="E299">
        <f>_xlfn.XLOOKUP(D299,'Resumen Estudiantes y Profesore'!B:B,'Resumen Estudiantes y Profesore'!A:A)</f>
        <v>29</v>
      </c>
      <c r="F299" t="s">
        <v>243</v>
      </c>
      <c r="G299" t="s">
        <v>246</v>
      </c>
      <c r="H299" t="s">
        <v>246</v>
      </c>
      <c r="I299" t="s">
        <v>682</v>
      </c>
      <c r="J299" t="s">
        <v>84</v>
      </c>
      <c r="K299" s="120" t="s">
        <v>1567</v>
      </c>
      <c r="N299" s="49"/>
    </row>
    <row r="300" spans="1:14">
      <c r="A300" t="s">
        <v>1568</v>
      </c>
      <c r="B300" t="s">
        <v>1569</v>
      </c>
      <c r="C300" t="s">
        <v>439</v>
      </c>
      <c r="D300" t="s">
        <v>31</v>
      </c>
      <c r="E300">
        <f>_xlfn.XLOOKUP(D300,'Resumen Estudiantes y Profesore'!B:B,'Resumen Estudiantes y Profesore'!A:A)</f>
        <v>35</v>
      </c>
      <c r="F300" t="s">
        <v>243</v>
      </c>
      <c r="G300" t="s">
        <v>246</v>
      </c>
      <c r="H300" t="s">
        <v>246</v>
      </c>
      <c r="I300" t="s">
        <v>682</v>
      </c>
      <c r="J300" t="s">
        <v>88</v>
      </c>
      <c r="K300" s="120" t="s">
        <v>1570</v>
      </c>
      <c r="N300" s="49"/>
    </row>
    <row r="301" spans="1:14">
      <c r="A301" t="s">
        <v>1571</v>
      </c>
      <c r="B301" t="s">
        <v>1572</v>
      </c>
      <c r="C301" t="s">
        <v>1573</v>
      </c>
      <c r="D301" t="s">
        <v>134</v>
      </c>
      <c r="E301">
        <f>_xlfn.XLOOKUP(D301,'Resumen Estudiantes y Profesore'!B:B,'Resumen Estudiantes y Profesore'!A:A)</f>
        <v>102</v>
      </c>
      <c r="F301" t="s">
        <v>243</v>
      </c>
      <c r="G301" t="s">
        <v>246</v>
      </c>
      <c r="H301" t="s">
        <v>246</v>
      </c>
      <c r="I301" t="s">
        <v>674</v>
      </c>
      <c r="J301" t="s">
        <v>84</v>
      </c>
      <c r="K301" s="120" t="s">
        <v>1574</v>
      </c>
      <c r="N301" s="49"/>
    </row>
    <row r="302" spans="1:14">
      <c r="A302" t="s">
        <v>1575</v>
      </c>
      <c r="B302" t="s">
        <v>1576</v>
      </c>
      <c r="C302" t="s">
        <v>534</v>
      </c>
      <c r="D302" t="s">
        <v>36</v>
      </c>
      <c r="E302">
        <f>_xlfn.XLOOKUP(D302,'Resumen Estudiantes y Profesore'!B:B,'Resumen Estudiantes y Profesore'!A:A)</f>
        <v>37</v>
      </c>
      <c r="F302" t="s">
        <v>243</v>
      </c>
      <c r="G302" t="s">
        <v>246</v>
      </c>
      <c r="H302" t="s">
        <v>246</v>
      </c>
      <c r="I302" t="s">
        <v>682</v>
      </c>
      <c r="J302" t="s">
        <v>89</v>
      </c>
      <c r="K302" s="120" t="s">
        <v>1577</v>
      </c>
      <c r="N302" s="49"/>
    </row>
    <row r="303" spans="1:14">
      <c r="A303" t="s">
        <v>1578</v>
      </c>
      <c r="B303" t="s">
        <v>1579</v>
      </c>
      <c r="C303" t="s">
        <v>419</v>
      </c>
      <c r="D303" t="s">
        <v>233</v>
      </c>
      <c r="E303">
        <f>_xlfn.XLOOKUP(D303,'Resumen Estudiantes y Profesore'!B:B,'Resumen Estudiantes y Profesore'!A:A)</f>
        <v>152</v>
      </c>
      <c r="F303" t="s">
        <v>243</v>
      </c>
      <c r="G303" t="s">
        <v>246</v>
      </c>
      <c r="H303" t="s">
        <v>246</v>
      </c>
      <c r="I303" t="s">
        <v>682</v>
      </c>
      <c r="J303" t="s">
        <v>77</v>
      </c>
      <c r="K303" s="120" t="s">
        <v>1580</v>
      </c>
      <c r="N303" s="49"/>
    </row>
    <row r="304" spans="1:14">
      <c r="A304" t="s">
        <v>1581</v>
      </c>
      <c r="B304" t="s">
        <v>1582</v>
      </c>
      <c r="C304" t="s">
        <v>431</v>
      </c>
      <c r="D304" t="s">
        <v>27</v>
      </c>
      <c r="E304">
        <f>_xlfn.XLOOKUP(D304,'Resumen Estudiantes y Profesore'!B:B,'Resumen Estudiantes y Profesore'!A:A)</f>
        <v>30</v>
      </c>
      <c r="F304" t="s">
        <v>243</v>
      </c>
      <c r="G304" t="s">
        <v>246</v>
      </c>
      <c r="H304" t="s">
        <v>246</v>
      </c>
      <c r="I304" t="s">
        <v>682</v>
      </c>
      <c r="J304" t="s">
        <v>84</v>
      </c>
      <c r="K304" s="120" t="s">
        <v>1583</v>
      </c>
      <c r="N304" s="49"/>
    </row>
    <row r="305" spans="1:14">
      <c r="A305" t="s">
        <v>1584</v>
      </c>
      <c r="B305" t="s">
        <v>1585</v>
      </c>
      <c r="C305" t="s">
        <v>1490</v>
      </c>
      <c r="D305" t="s">
        <v>142</v>
      </c>
      <c r="E305">
        <f>_xlfn.XLOOKUP(D305,'Resumen Estudiantes y Profesore'!B:B,'Resumen Estudiantes y Profesore'!A:A)</f>
        <v>119</v>
      </c>
      <c r="F305" t="s">
        <v>243</v>
      </c>
      <c r="G305" t="s">
        <v>246</v>
      </c>
      <c r="H305" t="s">
        <v>246</v>
      </c>
      <c r="I305" t="s">
        <v>674</v>
      </c>
      <c r="J305" t="s">
        <v>138</v>
      </c>
      <c r="K305" s="120" t="s">
        <v>1586</v>
      </c>
      <c r="N305" s="49"/>
    </row>
    <row r="306" spans="1:14">
      <c r="A306" t="s">
        <v>1587</v>
      </c>
      <c r="B306" t="s">
        <v>1588</v>
      </c>
      <c r="C306" t="s">
        <v>951</v>
      </c>
      <c r="D306" t="s">
        <v>114</v>
      </c>
      <c r="E306">
        <f>_xlfn.XLOOKUP(D306,'Resumen Estudiantes y Profesore'!B:B,'Resumen Estudiantes y Profesore'!A:A)</f>
        <v>5</v>
      </c>
      <c r="F306" t="s">
        <v>243</v>
      </c>
      <c r="G306" t="s">
        <v>246</v>
      </c>
      <c r="H306" t="s">
        <v>246</v>
      </c>
      <c r="I306" t="s">
        <v>674</v>
      </c>
      <c r="J306" t="s">
        <v>90</v>
      </c>
      <c r="K306" s="120" t="s">
        <v>1589</v>
      </c>
      <c r="N306" s="49"/>
    </row>
    <row r="307" spans="1:14">
      <c r="A307" t="s">
        <v>1590</v>
      </c>
      <c r="B307" t="s">
        <v>1591</v>
      </c>
      <c r="C307" t="s">
        <v>448</v>
      </c>
      <c r="D307" t="s">
        <v>35</v>
      </c>
      <c r="E307">
        <f>_xlfn.XLOOKUP(D307,'Resumen Estudiantes y Profesore'!B:B,'Resumen Estudiantes y Profesore'!A:A)</f>
        <v>40</v>
      </c>
      <c r="F307" t="s">
        <v>243</v>
      </c>
      <c r="G307" t="s">
        <v>246</v>
      </c>
      <c r="H307" t="s">
        <v>246</v>
      </c>
      <c r="I307" t="s">
        <v>682</v>
      </c>
      <c r="J307" t="s">
        <v>89</v>
      </c>
      <c r="K307" s="120" t="s">
        <v>1592</v>
      </c>
      <c r="N307" s="49"/>
    </row>
    <row r="308" spans="1:14">
      <c r="A308" t="s">
        <v>1593</v>
      </c>
      <c r="B308" t="s">
        <v>1594</v>
      </c>
      <c r="C308" t="s">
        <v>439</v>
      </c>
      <c r="D308" t="s">
        <v>31</v>
      </c>
      <c r="E308">
        <f>_xlfn.XLOOKUP(D308,'Resumen Estudiantes y Profesore'!B:B,'Resumen Estudiantes y Profesore'!A:A)</f>
        <v>35</v>
      </c>
      <c r="F308" t="s">
        <v>243</v>
      </c>
      <c r="G308" t="s">
        <v>246</v>
      </c>
      <c r="H308" t="s">
        <v>246</v>
      </c>
      <c r="I308" t="s">
        <v>682</v>
      </c>
      <c r="J308" t="s">
        <v>88</v>
      </c>
      <c r="K308" s="120" t="s">
        <v>1595</v>
      </c>
      <c r="N308" s="49"/>
    </row>
    <row r="309" spans="1:14">
      <c r="A309" t="s">
        <v>1596</v>
      </c>
      <c r="B309" t="s">
        <v>1597</v>
      </c>
      <c r="C309" t="s">
        <v>462</v>
      </c>
      <c r="D309" t="s">
        <v>190</v>
      </c>
      <c r="E309">
        <f>_xlfn.XLOOKUP(D309,'Resumen Estudiantes y Profesore'!B:B,'Resumen Estudiantes y Profesore'!A:A)</f>
        <v>64</v>
      </c>
      <c r="F309" t="s">
        <v>243</v>
      </c>
      <c r="G309" t="s">
        <v>246</v>
      </c>
      <c r="H309" t="s">
        <v>246</v>
      </c>
      <c r="I309" t="s">
        <v>674</v>
      </c>
      <c r="J309" t="s">
        <v>85</v>
      </c>
      <c r="K309" s="120" t="s">
        <v>1598</v>
      </c>
      <c r="N309" s="49"/>
    </row>
    <row r="310" spans="1:14">
      <c r="A310" t="s">
        <v>1599</v>
      </c>
      <c r="B310" t="s">
        <v>1600</v>
      </c>
      <c r="C310" t="s">
        <v>1394</v>
      </c>
      <c r="D310" t="s">
        <v>173</v>
      </c>
      <c r="E310">
        <f>_xlfn.XLOOKUP(D310,'Resumen Estudiantes y Profesore'!B:B,'Resumen Estudiantes y Profesore'!A:A)</f>
        <v>132</v>
      </c>
      <c r="F310" t="s">
        <v>243</v>
      </c>
      <c r="G310" t="s">
        <v>246</v>
      </c>
      <c r="H310" t="s">
        <v>246</v>
      </c>
      <c r="I310" t="s">
        <v>674</v>
      </c>
      <c r="J310" t="s">
        <v>138</v>
      </c>
      <c r="K310" s="120" t="s">
        <v>1601</v>
      </c>
      <c r="N310" s="49"/>
    </row>
    <row r="311" spans="1:14">
      <c r="A311" t="s">
        <v>1602</v>
      </c>
      <c r="B311" t="s">
        <v>1603</v>
      </c>
      <c r="C311" t="s">
        <v>450</v>
      </c>
      <c r="D311" t="s">
        <v>37</v>
      </c>
      <c r="E311">
        <f>_xlfn.XLOOKUP(D311,'Resumen Estudiantes y Profesore'!B:B,'Resumen Estudiantes y Profesore'!A:A)</f>
        <v>41</v>
      </c>
      <c r="F311" t="s">
        <v>243</v>
      </c>
      <c r="G311" t="s">
        <v>246</v>
      </c>
      <c r="H311" t="s">
        <v>246</v>
      </c>
      <c r="I311" t="s">
        <v>682</v>
      </c>
      <c r="J311" t="s">
        <v>89</v>
      </c>
      <c r="K311" s="120" t="s">
        <v>1604</v>
      </c>
      <c r="N311" s="49"/>
    </row>
    <row r="312" spans="1:14">
      <c r="A312" t="s">
        <v>1605</v>
      </c>
      <c r="B312" t="s">
        <v>1606</v>
      </c>
      <c r="C312" t="s">
        <v>507</v>
      </c>
      <c r="D312" t="s">
        <v>151</v>
      </c>
      <c r="E312">
        <f>_xlfn.XLOOKUP(D312,'Resumen Estudiantes y Profesore'!B:B,'Resumen Estudiantes y Profesore'!A:A)</f>
        <v>107</v>
      </c>
      <c r="F312" t="s">
        <v>243</v>
      </c>
      <c r="G312" t="s">
        <v>246</v>
      </c>
      <c r="H312" t="s">
        <v>246</v>
      </c>
      <c r="I312" t="s">
        <v>674</v>
      </c>
      <c r="J312" t="s">
        <v>91</v>
      </c>
      <c r="K312" s="120" t="s">
        <v>1607</v>
      </c>
      <c r="N312" s="49"/>
    </row>
    <row r="313" spans="1:14">
      <c r="A313" t="s">
        <v>1608</v>
      </c>
      <c r="B313" t="s">
        <v>1609</v>
      </c>
      <c r="C313" t="s">
        <v>1244</v>
      </c>
      <c r="D313" t="s">
        <v>175</v>
      </c>
      <c r="E313">
        <f>_xlfn.XLOOKUP(D313,'Resumen Estudiantes y Profesore'!B:B,'Resumen Estudiantes y Profesore'!A:A)</f>
        <v>133</v>
      </c>
      <c r="F313" t="s">
        <v>243</v>
      </c>
      <c r="G313" t="s">
        <v>246</v>
      </c>
      <c r="H313" t="s">
        <v>246</v>
      </c>
      <c r="I313" t="s">
        <v>674</v>
      </c>
      <c r="J313" t="s">
        <v>138</v>
      </c>
      <c r="K313" s="120" t="s">
        <v>1610</v>
      </c>
      <c r="N313" s="49"/>
    </row>
    <row r="314" spans="1:14">
      <c r="A314" t="s">
        <v>1611</v>
      </c>
      <c r="B314" t="s">
        <v>1612</v>
      </c>
      <c r="C314" t="s">
        <v>431</v>
      </c>
      <c r="D314" t="s">
        <v>27</v>
      </c>
      <c r="E314">
        <f>_xlfn.XLOOKUP(D314,'Resumen Estudiantes y Profesore'!B:B,'Resumen Estudiantes y Profesore'!A:A)</f>
        <v>30</v>
      </c>
      <c r="F314" t="s">
        <v>243</v>
      </c>
      <c r="G314" t="s">
        <v>246</v>
      </c>
      <c r="H314" t="s">
        <v>246</v>
      </c>
      <c r="I314" t="s">
        <v>682</v>
      </c>
      <c r="J314" t="s">
        <v>84</v>
      </c>
      <c r="K314" s="120" t="s">
        <v>1613</v>
      </c>
      <c r="N314" s="49"/>
    </row>
    <row r="315" spans="1:14">
      <c r="A315" t="s">
        <v>1614</v>
      </c>
      <c r="B315" t="s">
        <v>1615</v>
      </c>
      <c r="C315" t="s">
        <v>422</v>
      </c>
      <c r="D315" t="s">
        <v>238</v>
      </c>
      <c r="E315">
        <f>_xlfn.XLOOKUP(D315,'Resumen Estudiantes y Profesore'!B:B,'Resumen Estudiantes y Profesore'!A:A)</f>
        <v>157</v>
      </c>
      <c r="F315" t="s">
        <v>243</v>
      </c>
      <c r="G315" t="s">
        <v>246</v>
      </c>
      <c r="H315" t="s">
        <v>246</v>
      </c>
      <c r="I315" t="s">
        <v>682</v>
      </c>
      <c r="J315" t="s">
        <v>77</v>
      </c>
      <c r="K315" s="120" t="s">
        <v>1616</v>
      </c>
      <c r="N315" s="49"/>
    </row>
    <row r="316" spans="1:14">
      <c r="A316" t="s">
        <v>1617</v>
      </c>
      <c r="B316" t="s">
        <v>1618</v>
      </c>
      <c r="C316" t="s">
        <v>418</v>
      </c>
      <c r="D316" t="s">
        <v>232</v>
      </c>
      <c r="E316">
        <f>_xlfn.XLOOKUP(D316,'Resumen Estudiantes y Profesore'!B:B,'Resumen Estudiantes y Profesore'!A:A)</f>
        <v>151</v>
      </c>
      <c r="F316" t="s">
        <v>243</v>
      </c>
      <c r="G316" t="s">
        <v>246</v>
      </c>
      <c r="H316" t="s">
        <v>246</v>
      </c>
      <c r="I316" t="s">
        <v>682</v>
      </c>
      <c r="J316" t="s">
        <v>77</v>
      </c>
      <c r="K316" s="120" t="s">
        <v>1619</v>
      </c>
      <c r="N316" s="49"/>
    </row>
    <row r="317" spans="1:14">
      <c r="A317" t="s">
        <v>1620</v>
      </c>
      <c r="B317" t="s">
        <v>1621</v>
      </c>
      <c r="C317" t="s">
        <v>450</v>
      </c>
      <c r="D317" t="s">
        <v>37</v>
      </c>
      <c r="E317">
        <f>_xlfn.XLOOKUP(D317,'Resumen Estudiantes y Profesore'!B:B,'Resumen Estudiantes y Profesore'!A:A)</f>
        <v>41</v>
      </c>
      <c r="F317" t="s">
        <v>243</v>
      </c>
      <c r="G317" t="s">
        <v>246</v>
      </c>
      <c r="H317" t="s">
        <v>246</v>
      </c>
      <c r="I317" t="s">
        <v>682</v>
      </c>
      <c r="J317" t="s">
        <v>89</v>
      </c>
      <c r="K317" s="120" t="s">
        <v>1622</v>
      </c>
      <c r="N317" s="49"/>
    </row>
    <row r="318" spans="1:14">
      <c r="A318" t="s">
        <v>1623</v>
      </c>
      <c r="B318" t="s">
        <v>1624</v>
      </c>
      <c r="C318" t="s">
        <v>1625</v>
      </c>
      <c r="D318" t="s">
        <v>208</v>
      </c>
      <c r="E318">
        <f>_xlfn.XLOOKUP(D318,'Resumen Estudiantes y Profesore'!B:B,'Resumen Estudiantes y Profesore'!A:A)</f>
        <v>89</v>
      </c>
      <c r="F318" t="s">
        <v>243</v>
      </c>
      <c r="G318" t="s">
        <v>246</v>
      </c>
      <c r="H318" t="s">
        <v>246</v>
      </c>
      <c r="I318" t="s">
        <v>674</v>
      </c>
      <c r="J318" t="s">
        <v>85</v>
      </c>
      <c r="K318" s="120" t="s">
        <v>1626</v>
      </c>
      <c r="N318" s="49"/>
    </row>
    <row r="319" spans="1:14">
      <c r="A319" t="s">
        <v>1627</v>
      </c>
      <c r="B319" t="s">
        <v>1628</v>
      </c>
      <c r="C319" t="s">
        <v>419</v>
      </c>
      <c r="D319" t="s">
        <v>233</v>
      </c>
      <c r="E319">
        <f>_xlfn.XLOOKUP(D319,'Resumen Estudiantes y Profesore'!B:B,'Resumen Estudiantes y Profesore'!A:A)</f>
        <v>152</v>
      </c>
      <c r="F319" t="s">
        <v>243</v>
      </c>
      <c r="G319" t="s">
        <v>246</v>
      </c>
      <c r="H319" t="s">
        <v>246</v>
      </c>
      <c r="I319" t="s">
        <v>682</v>
      </c>
      <c r="J319" t="s">
        <v>77</v>
      </c>
      <c r="K319" s="120" t="s">
        <v>1629</v>
      </c>
      <c r="N319" s="49"/>
    </row>
    <row r="320" spans="1:14">
      <c r="A320" t="s">
        <v>1630</v>
      </c>
      <c r="B320" t="s">
        <v>1631</v>
      </c>
      <c r="C320" t="s">
        <v>441</v>
      </c>
      <c r="D320" t="s">
        <v>32</v>
      </c>
      <c r="E320">
        <f>_xlfn.XLOOKUP(D320,'Resumen Estudiantes y Profesore'!B:B,'Resumen Estudiantes y Profesore'!A:A)</f>
        <v>36</v>
      </c>
      <c r="F320" t="s">
        <v>243</v>
      </c>
      <c r="G320" t="s">
        <v>246</v>
      </c>
      <c r="H320" t="s">
        <v>246</v>
      </c>
      <c r="I320" t="s">
        <v>682</v>
      </c>
      <c r="J320" t="s">
        <v>89</v>
      </c>
      <c r="K320" s="120" t="s">
        <v>1632</v>
      </c>
      <c r="N320" s="49"/>
    </row>
    <row r="321" spans="1:14">
      <c r="A321" t="s">
        <v>1633</v>
      </c>
      <c r="B321" t="s">
        <v>1634</v>
      </c>
      <c r="C321" t="s">
        <v>422</v>
      </c>
      <c r="D321" t="s">
        <v>238</v>
      </c>
      <c r="E321">
        <f>_xlfn.XLOOKUP(D321,'Resumen Estudiantes y Profesore'!B:B,'Resumen Estudiantes y Profesore'!A:A)</f>
        <v>157</v>
      </c>
      <c r="F321" t="s">
        <v>243</v>
      </c>
      <c r="G321" t="s">
        <v>246</v>
      </c>
      <c r="H321" t="s">
        <v>246</v>
      </c>
      <c r="I321" t="s">
        <v>682</v>
      </c>
      <c r="J321" t="s">
        <v>77</v>
      </c>
      <c r="K321" s="120" t="s">
        <v>1635</v>
      </c>
      <c r="N321" s="49"/>
    </row>
    <row r="322" spans="1:14">
      <c r="A322" t="s">
        <v>1636</v>
      </c>
      <c r="B322" t="s">
        <v>1637</v>
      </c>
      <c r="C322" t="s">
        <v>1094</v>
      </c>
      <c r="D322" t="s">
        <v>199</v>
      </c>
      <c r="E322">
        <f>_xlfn.XLOOKUP(D322,'Resumen Estudiantes y Profesore'!B:B,'Resumen Estudiantes y Profesore'!A:A)</f>
        <v>49</v>
      </c>
      <c r="F322" t="s">
        <v>243</v>
      </c>
      <c r="G322" t="s">
        <v>246</v>
      </c>
      <c r="H322" t="s">
        <v>246</v>
      </c>
      <c r="I322" t="s">
        <v>674</v>
      </c>
      <c r="J322" t="s">
        <v>77</v>
      </c>
      <c r="K322" s="120" t="s">
        <v>1638</v>
      </c>
      <c r="N322" s="49"/>
    </row>
    <row r="323" spans="1:14">
      <c r="A323" t="s">
        <v>1636</v>
      </c>
      <c r="B323" t="s">
        <v>1639</v>
      </c>
      <c r="C323" t="s">
        <v>421</v>
      </c>
      <c r="D323" t="s">
        <v>236</v>
      </c>
      <c r="E323">
        <f>_xlfn.XLOOKUP(D323,'Resumen Estudiantes y Profesore'!B:B,'Resumen Estudiantes y Profesore'!A:A)</f>
        <v>155</v>
      </c>
      <c r="F323" t="s">
        <v>243</v>
      </c>
      <c r="G323" t="s">
        <v>246</v>
      </c>
      <c r="H323" t="s">
        <v>246</v>
      </c>
      <c r="I323" t="s">
        <v>682</v>
      </c>
      <c r="J323" t="s">
        <v>77</v>
      </c>
      <c r="K323" s="120" t="s">
        <v>1640</v>
      </c>
      <c r="N323" s="49"/>
    </row>
    <row r="324" spans="1:14">
      <c r="A324" t="s">
        <v>1641</v>
      </c>
      <c r="B324" t="s">
        <v>1642</v>
      </c>
      <c r="C324" t="s">
        <v>431</v>
      </c>
      <c r="D324" t="s">
        <v>27</v>
      </c>
      <c r="E324">
        <f>_xlfn.XLOOKUP(D324,'Resumen Estudiantes y Profesore'!B:B,'Resumen Estudiantes y Profesore'!A:A)</f>
        <v>30</v>
      </c>
      <c r="F324" t="s">
        <v>243</v>
      </c>
      <c r="G324" t="s">
        <v>246</v>
      </c>
      <c r="H324" t="s">
        <v>246</v>
      </c>
      <c r="I324" t="s">
        <v>682</v>
      </c>
      <c r="J324" t="s">
        <v>84</v>
      </c>
      <c r="K324" s="120" t="s">
        <v>1643</v>
      </c>
      <c r="N324" s="49"/>
    </row>
    <row r="325" spans="1:14">
      <c r="A325" t="s">
        <v>1644</v>
      </c>
      <c r="B325" t="s">
        <v>1645</v>
      </c>
      <c r="C325" t="s">
        <v>424</v>
      </c>
      <c r="D325" t="s">
        <v>24</v>
      </c>
      <c r="E325">
        <f>_xlfn.XLOOKUP(D325,'Resumen Estudiantes y Profesore'!B:B,'Resumen Estudiantes y Profesore'!A:A)</f>
        <v>27</v>
      </c>
      <c r="F325" t="s">
        <v>243</v>
      </c>
      <c r="G325" t="s">
        <v>246</v>
      </c>
      <c r="H325" t="s">
        <v>246</v>
      </c>
      <c r="I325" t="s">
        <v>682</v>
      </c>
      <c r="J325" t="s">
        <v>83</v>
      </c>
      <c r="K325" s="120" t="s">
        <v>1646</v>
      </c>
      <c r="N325" s="49"/>
    </row>
    <row r="326" spans="1:14">
      <c r="A326" t="s">
        <v>1647</v>
      </c>
      <c r="B326" t="s">
        <v>1648</v>
      </c>
      <c r="C326" t="s">
        <v>234</v>
      </c>
      <c r="D326" t="s">
        <v>234</v>
      </c>
      <c r="E326">
        <f>_xlfn.XLOOKUP(D326,'Resumen Estudiantes y Profesore'!B:B,'Resumen Estudiantes y Profesore'!A:A)</f>
        <v>153</v>
      </c>
      <c r="F326" t="s">
        <v>243</v>
      </c>
      <c r="G326" t="s">
        <v>246</v>
      </c>
      <c r="H326" t="s">
        <v>246</v>
      </c>
      <c r="I326" t="s">
        <v>682</v>
      </c>
      <c r="J326" t="s">
        <v>77</v>
      </c>
      <c r="K326" s="120" t="s">
        <v>1649</v>
      </c>
      <c r="N326" s="49"/>
    </row>
    <row r="327" spans="1:14">
      <c r="A327" t="s">
        <v>1650</v>
      </c>
      <c r="B327" t="s">
        <v>1651</v>
      </c>
      <c r="C327" t="s">
        <v>1652</v>
      </c>
      <c r="D327" t="s">
        <v>155</v>
      </c>
      <c r="E327">
        <f>_xlfn.XLOOKUP(D327,'Resumen Estudiantes y Profesore'!B:B,'Resumen Estudiantes y Profesore'!A:A)</f>
        <v>208</v>
      </c>
      <c r="F327" t="s">
        <v>243</v>
      </c>
      <c r="G327" t="s">
        <v>246</v>
      </c>
      <c r="H327" t="s">
        <v>247</v>
      </c>
      <c r="I327" t="s">
        <v>674</v>
      </c>
      <c r="J327" t="s">
        <v>138</v>
      </c>
      <c r="K327" s="120" t="s">
        <v>1653</v>
      </c>
      <c r="N327" s="49"/>
    </row>
    <row r="328" spans="1:14">
      <c r="A328" t="s">
        <v>1654</v>
      </c>
      <c r="B328" t="s">
        <v>1655</v>
      </c>
      <c r="C328" t="s">
        <v>444</v>
      </c>
      <c r="D328" t="s">
        <v>33</v>
      </c>
      <c r="E328">
        <f>_xlfn.XLOOKUP(D328,'Resumen Estudiantes y Profesore'!B:B,'Resumen Estudiantes y Profesore'!A:A)</f>
        <v>38</v>
      </c>
      <c r="F328" t="s">
        <v>243</v>
      </c>
      <c r="G328" t="s">
        <v>246</v>
      </c>
      <c r="H328" t="s">
        <v>246</v>
      </c>
      <c r="I328" t="s">
        <v>682</v>
      </c>
      <c r="J328" t="s">
        <v>89</v>
      </c>
      <c r="K328" s="120" t="s">
        <v>1656</v>
      </c>
      <c r="N328" s="49"/>
    </row>
    <row r="329" spans="1:14">
      <c r="A329" t="s">
        <v>1657</v>
      </c>
      <c r="B329" t="s">
        <v>1658</v>
      </c>
      <c r="C329" t="s">
        <v>441</v>
      </c>
      <c r="D329" t="s">
        <v>32</v>
      </c>
      <c r="E329">
        <f>_xlfn.XLOOKUP(D329,'Resumen Estudiantes y Profesore'!B:B,'Resumen Estudiantes y Profesore'!A:A)</f>
        <v>36</v>
      </c>
      <c r="F329" t="s">
        <v>243</v>
      </c>
      <c r="G329" t="s">
        <v>246</v>
      </c>
      <c r="H329" t="s">
        <v>246</v>
      </c>
      <c r="I329" t="s">
        <v>682</v>
      </c>
      <c r="J329" t="s">
        <v>89</v>
      </c>
      <c r="K329" s="120" t="s">
        <v>1659</v>
      </c>
      <c r="N329" s="49"/>
    </row>
    <row r="330" spans="1:14">
      <c r="A330" t="s">
        <v>1660</v>
      </c>
      <c r="B330" t="s">
        <v>1661</v>
      </c>
      <c r="C330" t="s">
        <v>418</v>
      </c>
      <c r="D330" t="s">
        <v>232</v>
      </c>
      <c r="E330">
        <f>_xlfn.XLOOKUP(D330,'Resumen Estudiantes y Profesore'!B:B,'Resumen Estudiantes y Profesore'!A:A)</f>
        <v>151</v>
      </c>
      <c r="F330" t="s">
        <v>243</v>
      </c>
      <c r="G330" t="s">
        <v>246</v>
      </c>
      <c r="H330" t="s">
        <v>246</v>
      </c>
      <c r="I330" t="s">
        <v>682</v>
      </c>
      <c r="J330" t="s">
        <v>77</v>
      </c>
      <c r="K330" s="120" t="s">
        <v>1662</v>
      </c>
      <c r="N330" s="49"/>
    </row>
    <row r="331" spans="1:14">
      <c r="A331" t="s">
        <v>1663</v>
      </c>
      <c r="B331" t="s">
        <v>1664</v>
      </c>
      <c r="C331" t="s">
        <v>437</v>
      </c>
      <c r="D331" t="s">
        <v>30</v>
      </c>
      <c r="E331">
        <f>_xlfn.XLOOKUP(D331,'Resumen Estudiantes y Profesore'!B:B,'Resumen Estudiantes y Profesore'!A:A)</f>
        <v>34</v>
      </c>
      <c r="F331" t="s">
        <v>243</v>
      </c>
      <c r="G331" t="s">
        <v>246</v>
      </c>
      <c r="H331" t="s">
        <v>246</v>
      </c>
      <c r="I331" t="s">
        <v>682</v>
      </c>
      <c r="J331" t="s">
        <v>87</v>
      </c>
      <c r="K331" s="120" t="s">
        <v>1665</v>
      </c>
      <c r="N331" s="49"/>
    </row>
    <row r="332" spans="1:14">
      <c r="A332" t="s">
        <v>1666</v>
      </c>
      <c r="B332" t="s">
        <v>1667</v>
      </c>
      <c r="C332" t="s">
        <v>448</v>
      </c>
      <c r="D332" t="s">
        <v>35</v>
      </c>
      <c r="E332">
        <f>_xlfn.XLOOKUP(D332,'Resumen Estudiantes y Profesore'!B:B,'Resumen Estudiantes y Profesore'!A:A)</f>
        <v>40</v>
      </c>
      <c r="F332" t="s">
        <v>243</v>
      </c>
      <c r="G332" t="s">
        <v>246</v>
      </c>
      <c r="H332" t="s">
        <v>246</v>
      </c>
      <c r="I332" t="s">
        <v>682</v>
      </c>
      <c r="J332" t="s">
        <v>89</v>
      </c>
      <c r="K332" s="120" t="s">
        <v>1668</v>
      </c>
      <c r="N332" s="49"/>
    </row>
    <row r="333" spans="1:14">
      <c r="A333" t="s">
        <v>1669</v>
      </c>
      <c r="B333" t="s">
        <v>1670</v>
      </c>
      <c r="C333" t="s">
        <v>234</v>
      </c>
      <c r="D333" t="s">
        <v>234</v>
      </c>
      <c r="E333">
        <f>_xlfn.XLOOKUP(D333,'Resumen Estudiantes y Profesore'!B:B,'Resumen Estudiantes y Profesore'!A:A)</f>
        <v>153</v>
      </c>
      <c r="F333" t="s">
        <v>243</v>
      </c>
      <c r="G333" t="s">
        <v>246</v>
      </c>
      <c r="H333" t="s">
        <v>246</v>
      </c>
      <c r="I333" t="s">
        <v>682</v>
      </c>
      <c r="J333" t="s">
        <v>77</v>
      </c>
      <c r="K333" s="120" t="s">
        <v>1671</v>
      </c>
      <c r="N333" s="49"/>
    </row>
    <row r="334" spans="1:14">
      <c r="A334" t="s">
        <v>1672</v>
      </c>
      <c r="B334" t="s">
        <v>1673</v>
      </c>
      <c r="C334" t="s">
        <v>422</v>
      </c>
      <c r="D334" t="s">
        <v>238</v>
      </c>
      <c r="E334">
        <f>_xlfn.XLOOKUP(D334,'Resumen Estudiantes y Profesore'!B:B,'Resumen Estudiantes y Profesore'!A:A)</f>
        <v>157</v>
      </c>
      <c r="F334" t="s">
        <v>243</v>
      </c>
      <c r="G334" t="s">
        <v>246</v>
      </c>
      <c r="H334" t="s">
        <v>246</v>
      </c>
      <c r="I334" t="s">
        <v>682</v>
      </c>
      <c r="J334" t="s">
        <v>77</v>
      </c>
      <c r="K334" s="120" t="s">
        <v>1674</v>
      </c>
      <c r="N334" s="49"/>
    </row>
    <row r="335" spans="1:14">
      <c r="A335" t="s">
        <v>1675</v>
      </c>
      <c r="B335" t="s">
        <v>1676</v>
      </c>
      <c r="C335" t="s">
        <v>630</v>
      </c>
      <c r="D335" t="s">
        <v>536</v>
      </c>
      <c r="E335" t="e">
        <f>_xlfn.XLOOKUP(D335,'Resumen Estudiantes y Profesore'!B:B,'Resumen Estudiantes y Profesore'!A:A)</f>
        <v>#N/A</v>
      </c>
      <c r="F335" t="s">
        <v>243</v>
      </c>
      <c r="G335" t="s">
        <v>246</v>
      </c>
      <c r="H335" t="s">
        <v>246</v>
      </c>
      <c r="I335" t="s">
        <v>682</v>
      </c>
      <c r="J335" t="s">
        <v>1471</v>
      </c>
      <c r="K335" s="120" t="s">
        <v>1677</v>
      </c>
      <c r="N335" s="49"/>
    </row>
    <row r="336" spans="1:14">
      <c r="A336" t="s">
        <v>1678</v>
      </c>
      <c r="B336" t="s">
        <v>1679</v>
      </c>
      <c r="C336" t="s">
        <v>424</v>
      </c>
      <c r="D336" t="s">
        <v>24</v>
      </c>
      <c r="E336">
        <f>_xlfn.XLOOKUP(D336,'Resumen Estudiantes y Profesore'!B:B,'Resumen Estudiantes y Profesore'!A:A)</f>
        <v>27</v>
      </c>
      <c r="F336" t="s">
        <v>243</v>
      </c>
      <c r="G336" t="s">
        <v>246</v>
      </c>
      <c r="H336" t="s">
        <v>246</v>
      </c>
      <c r="I336" t="s">
        <v>682</v>
      </c>
      <c r="J336" t="s">
        <v>83</v>
      </c>
      <c r="K336" s="120" t="s">
        <v>1680</v>
      </c>
      <c r="N336" s="49"/>
    </row>
    <row r="337" spans="1:14">
      <c r="A337" t="s">
        <v>1678</v>
      </c>
      <c r="B337" t="s">
        <v>1681</v>
      </c>
      <c r="C337" t="s">
        <v>428</v>
      </c>
      <c r="D337" t="s">
        <v>25</v>
      </c>
      <c r="E337">
        <f>_xlfn.XLOOKUP(D337,'Resumen Estudiantes y Profesore'!B:B,'Resumen Estudiantes y Profesore'!A:A)</f>
        <v>28</v>
      </c>
      <c r="F337" t="s">
        <v>243</v>
      </c>
      <c r="G337" t="s">
        <v>246</v>
      </c>
      <c r="H337" t="s">
        <v>246</v>
      </c>
      <c r="I337" t="s">
        <v>682</v>
      </c>
      <c r="J337" t="s">
        <v>83</v>
      </c>
      <c r="K337" s="120" t="s">
        <v>1682</v>
      </c>
      <c r="N337" s="49"/>
    </row>
    <row r="338" spans="1:14">
      <c r="A338" t="s">
        <v>1678</v>
      </c>
      <c r="B338" t="s">
        <v>1683</v>
      </c>
      <c r="C338" t="s">
        <v>426</v>
      </c>
      <c r="D338" t="s">
        <v>23</v>
      </c>
      <c r="E338">
        <f>_xlfn.XLOOKUP(D338,'Resumen Estudiantes y Profesore'!B:B,'Resumen Estudiantes y Profesore'!A:A)</f>
        <v>26</v>
      </c>
      <c r="F338" t="s">
        <v>243</v>
      </c>
      <c r="G338" t="s">
        <v>246</v>
      </c>
      <c r="H338" t="s">
        <v>246</v>
      </c>
      <c r="I338" t="s">
        <v>682</v>
      </c>
      <c r="J338" t="s">
        <v>83</v>
      </c>
      <c r="K338" s="120" t="s">
        <v>1684</v>
      </c>
      <c r="N338" s="49"/>
    </row>
    <row r="339" spans="1:14">
      <c r="A339" t="s">
        <v>1685</v>
      </c>
      <c r="B339" t="s">
        <v>1686</v>
      </c>
      <c r="C339" t="s">
        <v>747</v>
      </c>
      <c r="D339" t="s">
        <v>178</v>
      </c>
      <c r="E339">
        <f>_xlfn.XLOOKUP(D339,'Resumen Estudiantes y Profesore'!B:B,'Resumen Estudiantes y Profesore'!A:A)</f>
        <v>75</v>
      </c>
      <c r="F339" t="s">
        <v>243</v>
      </c>
      <c r="G339" t="s">
        <v>246</v>
      </c>
      <c r="H339" t="s">
        <v>246</v>
      </c>
      <c r="I339" t="s">
        <v>674</v>
      </c>
      <c r="J339" t="s">
        <v>89</v>
      </c>
      <c r="K339" s="120" t="s">
        <v>1687</v>
      </c>
      <c r="N339" s="49"/>
    </row>
    <row r="340" spans="1:14">
      <c r="A340" t="s">
        <v>1688</v>
      </c>
      <c r="B340" t="s">
        <v>1689</v>
      </c>
      <c r="C340" t="s">
        <v>518</v>
      </c>
      <c r="D340" t="s">
        <v>161</v>
      </c>
      <c r="E340">
        <f>_xlfn.XLOOKUP(D340,'Resumen Estudiantes y Profesore'!B:B,'Resumen Estudiantes y Profesore'!A:A)</f>
        <v>123</v>
      </c>
      <c r="F340" t="s">
        <v>243</v>
      </c>
      <c r="G340" t="s">
        <v>246</v>
      </c>
      <c r="H340" t="s">
        <v>246</v>
      </c>
      <c r="I340" t="s">
        <v>674</v>
      </c>
      <c r="J340" t="s">
        <v>85</v>
      </c>
      <c r="K340" s="120" t="s">
        <v>1690</v>
      </c>
      <c r="N340" s="49"/>
    </row>
    <row r="341" spans="1:14">
      <c r="A341" t="s">
        <v>1688</v>
      </c>
      <c r="B341" t="s">
        <v>1691</v>
      </c>
      <c r="C341" t="s">
        <v>432</v>
      </c>
      <c r="D341" t="s">
        <v>41</v>
      </c>
      <c r="E341">
        <f>_xlfn.XLOOKUP(D341,'Resumen Estudiantes y Profesore'!B:B,'Resumen Estudiantes y Profesore'!A:A)</f>
        <v>31</v>
      </c>
      <c r="F341" t="s">
        <v>243</v>
      </c>
      <c r="G341" t="s">
        <v>246</v>
      </c>
      <c r="H341" t="s">
        <v>246</v>
      </c>
      <c r="I341" t="s">
        <v>682</v>
      </c>
      <c r="J341" t="s">
        <v>85</v>
      </c>
      <c r="K341" s="120" t="s">
        <v>1692</v>
      </c>
      <c r="N341" s="49"/>
    </row>
    <row r="342" spans="1:14">
      <c r="A342" t="s">
        <v>1693</v>
      </c>
      <c r="B342" t="s">
        <v>1694</v>
      </c>
      <c r="C342" t="s">
        <v>474</v>
      </c>
      <c r="D342" t="s">
        <v>204</v>
      </c>
      <c r="E342">
        <f>_xlfn.XLOOKUP(D342,'Resumen Estudiantes y Profesore'!B:B,'Resumen Estudiantes y Profesore'!A:A)</f>
        <v>81</v>
      </c>
      <c r="F342" t="s">
        <v>243</v>
      </c>
      <c r="G342" t="s">
        <v>246</v>
      </c>
      <c r="H342" t="s">
        <v>246</v>
      </c>
      <c r="I342" t="s">
        <v>674</v>
      </c>
      <c r="J342" t="s">
        <v>91</v>
      </c>
      <c r="K342" s="120" t="s">
        <v>1695</v>
      </c>
      <c r="N342" s="49"/>
    </row>
    <row r="343" spans="1:14">
      <c r="A343" t="s">
        <v>1696</v>
      </c>
      <c r="B343" t="s">
        <v>1697</v>
      </c>
      <c r="C343" t="s">
        <v>234</v>
      </c>
      <c r="D343" t="s">
        <v>234</v>
      </c>
      <c r="E343">
        <f>_xlfn.XLOOKUP(D343,'Resumen Estudiantes y Profesore'!B:B,'Resumen Estudiantes y Profesore'!A:A)</f>
        <v>153</v>
      </c>
      <c r="F343" t="s">
        <v>243</v>
      </c>
      <c r="G343" t="s">
        <v>246</v>
      </c>
      <c r="H343" t="s">
        <v>246</v>
      </c>
      <c r="I343" t="s">
        <v>682</v>
      </c>
      <c r="J343" t="s">
        <v>77</v>
      </c>
      <c r="K343" s="120" t="s">
        <v>1698</v>
      </c>
      <c r="N343" s="49"/>
    </row>
    <row r="344" spans="1:14">
      <c r="A344" t="s">
        <v>1699</v>
      </c>
      <c r="B344" t="s">
        <v>1700</v>
      </c>
      <c r="C344" t="s">
        <v>419</v>
      </c>
      <c r="D344" t="s">
        <v>233</v>
      </c>
      <c r="E344">
        <f>_xlfn.XLOOKUP(D344,'Resumen Estudiantes y Profesore'!B:B,'Resumen Estudiantes y Profesore'!A:A)</f>
        <v>152</v>
      </c>
      <c r="F344" t="s">
        <v>243</v>
      </c>
      <c r="G344" t="s">
        <v>246</v>
      </c>
      <c r="H344" t="s">
        <v>246</v>
      </c>
      <c r="I344" t="s">
        <v>682</v>
      </c>
      <c r="J344" t="s">
        <v>77</v>
      </c>
      <c r="K344" s="120" t="s">
        <v>1701</v>
      </c>
      <c r="N344" s="49"/>
    </row>
    <row r="345" spans="1:14">
      <c r="A345" t="s">
        <v>1702</v>
      </c>
      <c r="B345" t="s">
        <v>1703</v>
      </c>
      <c r="C345" t="s">
        <v>424</v>
      </c>
      <c r="D345" t="s">
        <v>24</v>
      </c>
      <c r="E345">
        <f>_xlfn.XLOOKUP(D345,'Resumen Estudiantes y Profesore'!B:B,'Resumen Estudiantes y Profesore'!A:A)</f>
        <v>27</v>
      </c>
      <c r="F345" t="s">
        <v>243</v>
      </c>
      <c r="G345" t="s">
        <v>246</v>
      </c>
      <c r="H345" t="s">
        <v>246</v>
      </c>
      <c r="I345" t="s">
        <v>682</v>
      </c>
      <c r="J345" t="s">
        <v>83</v>
      </c>
      <c r="K345" s="120" t="s">
        <v>1704</v>
      </c>
      <c r="N345" s="49"/>
    </row>
    <row r="346" spans="1:14">
      <c r="A346" t="s">
        <v>1705</v>
      </c>
      <c r="B346" t="s">
        <v>1706</v>
      </c>
      <c r="C346" t="s">
        <v>424</v>
      </c>
      <c r="D346" t="s">
        <v>24</v>
      </c>
      <c r="E346">
        <f>_xlfn.XLOOKUP(D346,'Resumen Estudiantes y Profesore'!B:B,'Resumen Estudiantes y Profesore'!A:A)</f>
        <v>27</v>
      </c>
      <c r="F346" t="s">
        <v>243</v>
      </c>
      <c r="G346" t="s">
        <v>246</v>
      </c>
      <c r="H346" t="s">
        <v>246</v>
      </c>
      <c r="I346" t="s">
        <v>682</v>
      </c>
      <c r="J346" t="s">
        <v>83</v>
      </c>
      <c r="K346" s="120" t="s">
        <v>1707</v>
      </c>
      <c r="N346" s="49"/>
    </row>
    <row r="347" spans="1:14">
      <c r="A347" t="s">
        <v>1708</v>
      </c>
      <c r="B347" t="s">
        <v>1709</v>
      </c>
      <c r="C347" t="s">
        <v>424</v>
      </c>
      <c r="D347" t="s">
        <v>24</v>
      </c>
      <c r="E347">
        <f>_xlfn.XLOOKUP(D347,'Resumen Estudiantes y Profesore'!B:B,'Resumen Estudiantes y Profesore'!A:A)</f>
        <v>27</v>
      </c>
      <c r="F347" t="s">
        <v>243</v>
      </c>
      <c r="G347" t="s">
        <v>246</v>
      </c>
      <c r="H347" t="s">
        <v>246</v>
      </c>
      <c r="I347" t="s">
        <v>682</v>
      </c>
      <c r="J347" t="s">
        <v>83</v>
      </c>
      <c r="K347" s="120" t="s">
        <v>1710</v>
      </c>
      <c r="N347" s="49"/>
    </row>
    <row r="348" spans="1:14">
      <c r="A348" t="s">
        <v>1711</v>
      </c>
      <c r="B348" t="s">
        <v>1712</v>
      </c>
      <c r="C348" t="s">
        <v>474</v>
      </c>
      <c r="D348" t="s">
        <v>204</v>
      </c>
      <c r="E348">
        <f>_xlfn.XLOOKUP(D348,'Resumen Estudiantes y Profesore'!B:B,'Resumen Estudiantes y Profesore'!A:A)</f>
        <v>81</v>
      </c>
      <c r="F348" t="s">
        <v>243</v>
      </c>
      <c r="G348" t="s">
        <v>246</v>
      </c>
      <c r="H348" t="s">
        <v>246</v>
      </c>
      <c r="I348" t="s">
        <v>674</v>
      </c>
      <c r="J348" t="s">
        <v>91</v>
      </c>
      <c r="K348" s="120" t="s">
        <v>1713</v>
      </c>
      <c r="N348" s="49"/>
    </row>
    <row r="349" spans="1:14">
      <c r="A349" t="s">
        <v>1714</v>
      </c>
      <c r="B349" t="s">
        <v>1715</v>
      </c>
      <c r="C349" t="s">
        <v>1716</v>
      </c>
      <c r="D349" t="s">
        <v>140</v>
      </c>
      <c r="E349">
        <f>_xlfn.XLOOKUP(D349,'Resumen Estudiantes y Profesore'!B:B,'Resumen Estudiantes y Profesore'!A:A)</f>
        <v>111</v>
      </c>
      <c r="F349" t="s">
        <v>243</v>
      </c>
      <c r="G349" t="s">
        <v>246</v>
      </c>
      <c r="H349" t="s">
        <v>246</v>
      </c>
      <c r="I349" t="s">
        <v>674</v>
      </c>
      <c r="J349" t="s">
        <v>138</v>
      </c>
      <c r="K349" s="120" t="s">
        <v>1717</v>
      </c>
      <c r="N349" s="49"/>
    </row>
    <row r="350" spans="1:14">
      <c r="A350" t="s">
        <v>1714</v>
      </c>
      <c r="B350" t="s">
        <v>1718</v>
      </c>
      <c r="C350" t="s">
        <v>699</v>
      </c>
      <c r="D350" t="s">
        <v>144</v>
      </c>
      <c r="E350">
        <f>_xlfn.XLOOKUP(D350,'Resumen Estudiantes y Profesore'!B:B,'Resumen Estudiantes y Profesore'!A:A)</f>
        <v>118</v>
      </c>
      <c r="F350" t="s">
        <v>243</v>
      </c>
      <c r="G350" t="s">
        <v>246</v>
      </c>
      <c r="H350" t="s">
        <v>246</v>
      </c>
      <c r="I350" t="s">
        <v>674</v>
      </c>
      <c r="J350" t="s">
        <v>138</v>
      </c>
      <c r="K350" s="120" t="s">
        <v>1719</v>
      </c>
      <c r="N350" s="49"/>
    </row>
    <row r="351" spans="1:14">
      <c r="A351" t="s">
        <v>1720</v>
      </c>
      <c r="B351" t="s">
        <v>1721</v>
      </c>
      <c r="C351" t="s">
        <v>417</v>
      </c>
      <c r="D351" t="s">
        <v>231</v>
      </c>
      <c r="E351">
        <f>_xlfn.XLOOKUP(D351,'Resumen Estudiantes y Profesore'!B:B,'Resumen Estudiantes y Profesore'!A:A)</f>
        <v>150</v>
      </c>
      <c r="F351" t="s">
        <v>243</v>
      </c>
      <c r="G351" t="s">
        <v>246</v>
      </c>
      <c r="H351" t="s">
        <v>246</v>
      </c>
      <c r="I351" t="s">
        <v>682</v>
      </c>
      <c r="J351" t="s">
        <v>77</v>
      </c>
      <c r="K351" s="120" t="s">
        <v>1722</v>
      </c>
      <c r="N351" s="49"/>
    </row>
    <row r="352" spans="1:14">
      <c r="A352" t="s">
        <v>1723</v>
      </c>
      <c r="B352" t="s">
        <v>1724</v>
      </c>
      <c r="C352" t="s">
        <v>431</v>
      </c>
      <c r="D352" t="s">
        <v>27</v>
      </c>
      <c r="E352">
        <f>_xlfn.XLOOKUP(D352,'Resumen Estudiantes y Profesore'!B:B,'Resumen Estudiantes y Profesore'!A:A)</f>
        <v>30</v>
      </c>
      <c r="F352" t="s">
        <v>243</v>
      </c>
      <c r="G352" t="s">
        <v>246</v>
      </c>
      <c r="H352" t="s">
        <v>246</v>
      </c>
      <c r="I352" t="s">
        <v>682</v>
      </c>
      <c r="J352" t="s">
        <v>84</v>
      </c>
      <c r="K352" s="120" t="s">
        <v>1725</v>
      </c>
      <c r="N352" s="49"/>
    </row>
    <row r="353" spans="1:14">
      <c r="A353" t="s">
        <v>1726</v>
      </c>
      <c r="B353" t="s">
        <v>1727</v>
      </c>
      <c r="C353" t="s">
        <v>234</v>
      </c>
      <c r="D353" t="s">
        <v>234</v>
      </c>
      <c r="E353">
        <f>_xlfn.XLOOKUP(D353,'Resumen Estudiantes y Profesore'!B:B,'Resumen Estudiantes y Profesore'!A:A)</f>
        <v>153</v>
      </c>
      <c r="F353" t="s">
        <v>243</v>
      </c>
      <c r="G353" t="s">
        <v>246</v>
      </c>
      <c r="H353" t="s">
        <v>246</v>
      </c>
      <c r="I353" t="s">
        <v>682</v>
      </c>
      <c r="J353" t="s">
        <v>77</v>
      </c>
      <c r="K353" s="120" t="s">
        <v>1728</v>
      </c>
      <c r="N353" s="49"/>
    </row>
    <row r="354" spans="1:14">
      <c r="A354" t="s">
        <v>1729</v>
      </c>
      <c r="B354" t="s">
        <v>1730</v>
      </c>
      <c r="C354" t="s">
        <v>432</v>
      </c>
      <c r="D354" t="s">
        <v>41</v>
      </c>
      <c r="E354">
        <f>_xlfn.XLOOKUP(D354,'Resumen Estudiantes y Profesore'!B:B,'Resumen Estudiantes y Profesore'!A:A)</f>
        <v>31</v>
      </c>
      <c r="F354" t="s">
        <v>243</v>
      </c>
      <c r="G354" t="s">
        <v>247</v>
      </c>
      <c r="H354" t="s">
        <v>247</v>
      </c>
      <c r="I354" t="s">
        <v>682</v>
      </c>
      <c r="J354" t="s">
        <v>85</v>
      </c>
      <c r="K354" s="120" t="s">
        <v>1731</v>
      </c>
      <c r="N354" s="49"/>
    </row>
    <row r="355" spans="1:14">
      <c r="A355" t="s">
        <v>1732</v>
      </c>
      <c r="B355" t="s">
        <v>1733</v>
      </c>
      <c r="C355" t="s">
        <v>446</v>
      </c>
      <c r="D355" t="s">
        <v>34</v>
      </c>
      <c r="E355">
        <f>_xlfn.XLOOKUP(D355,'Resumen Estudiantes y Profesore'!B:B,'Resumen Estudiantes y Profesore'!A:A)</f>
        <v>39</v>
      </c>
      <c r="F355" t="s">
        <v>243</v>
      </c>
      <c r="G355" t="s">
        <v>247</v>
      </c>
      <c r="H355" t="s">
        <v>247</v>
      </c>
      <c r="I355" t="s">
        <v>682</v>
      </c>
      <c r="J355" t="s">
        <v>89</v>
      </c>
      <c r="K355" s="120" t="s">
        <v>1734</v>
      </c>
      <c r="N355" s="49"/>
    </row>
    <row r="356" spans="1:14">
      <c r="A356" t="s">
        <v>1735</v>
      </c>
      <c r="B356" t="s">
        <v>1736</v>
      </c>
      <c r="C356" t="s">
        <v>446</v>
      </c>
      <c r="D356" t="s">
        <v>34</v>
      </c>
      <c r="E356">
        <f>_xlfn.XLOOKUP(D356,'Resumen Estudiantes y Profesore'!B:B,'Resumen Estudiantes y Profesore'!A:A)</f>
        <v>39</v>
      </c>
      <c r="F356" t="s">
        <v>243</v>
      </c>
      <c r="G356" t="s">
        <v>247</v>
      </c>
      <c r="H356" t="s">
        <v>247</v>
      </c>
      <c r="I356" t="s">
        <v>682</v>
      </c>
      <c r="J356" t="s">
        <v>89</v>
      </c>
      <c r="K356" s="120" t="s">
        <v>1737</v>
      </c>
      <c r="N356" s="49"/>
    </row>
    <row r="357" spans="1:14">
      <c r="A357" t="s">
        <v>1738</v>
      </c>
      <c r="B357" t="s">
        <v>1739</v>
      </c>
      <c r="C357" t="s">
        <v>450</v>
      </c>
      <c r="D357" t="s">
        <v>37</v>
      </c>
      <c r="E357">
        <f>_xlfn.XLOOKUP(D357,'Resumen Estudiantes y Profesore'!B:B,'Resumen Estudiantes y Profesore'!A:A)</f>
        <v>41</v>
      </c>
      <c r="F357" t="s">
        <v>243</v>
      </c>
      <c r="G357" t="s">
        <v>247</v>
      </c>
      <c r="H357" t="s">
        <v>247</v>
      </c>
      <c r="I357" t="s">
        <v>682</v>
      </c>
      <c r="J357" t="s">
        <v>89</v>
      </c>
      <c r="K357" s="120" t="s">
        <v>1740</v>
      </c>
      <c r="N357" s="49"/>
    </row>
    <row r="358" spans="1:14">
      <c r="A358" t="s">
        <v>1741</v>
      </c>
      <c r="B358" t="s">
        <v>1742</v>
      </c>
      <c r="C358" t="s">
        <v>237</v>
      </c>
      <c r="D358" t="s">
        <v>237</v>
      </c>
      <c r="E358">
        <f>_xlfn.XLOOKUP(D358,'Resumen Estudiantes y Profesore'!B:B,'Resumen Estudiantes y Profesore'!A:A)</f>
        <v>156</v>
      </c>
      <c r="F358" t="s">
        <v>243</v>
      </c>
      <c r="G358" t="s">
        <v>247</v>
      </c>
      <c r="H358" t="s">
        <v>247</v>
      </c>
      <c r="I358" t="s">
        <v>682</v>
      </c>
      <c r="J358" t="s">
        <v>77</v>
      </c>
      <c r="K358" s="120" t="s">
        <v>1743</v>
      </c>
      <c r="N358" s="49"/>
    </row>
    <row r="359" spans="1:14">
      <c r="A359" t="s">
        <v>1744</v>
      </c>
      <c r="B359" t="s">
        <v>1745</v>
      </c>
      <c r="C359" t="s">
        <v>424</v>
      </c>
      <c r="D359" t="s">
        <v>24</v>
      </c>
      <c r="E359">
        <f>_xlfn.XLOOKUP(D359,'Resumen Estudiantes y Profesore'!B:B,'Resumen Estudiantes y Profesore'!A:A)</f>
        <v>27</v>
      </c>
      <c r="F359" t="s">
        <v>243</v>
      </c>
      <c r="G359" t="s">
        <v>247</v>
      </c>
      <c r="H359" t="s">
        <v>247</v>
      </c>
      <c r="I359" t="s">
        <v>682</v>
      </c>
      <c r="J359" t="s">
        <v>83</v>
      </c>
      <c r="K359" s="120" t="s">
        <v>1746</v>
      </c>
      <c r="N359" s="49"/>
    </row>
    <row r="360" spans="1:14">
      <c r="A360" t="s">
        <v>1747</v>
      </c>
      <c r="B360" t="s">
        <v>1748</v>
      </c>
      <c r="C360" t="s">
        <v>421</v>
      </c>
      <c r="D360" t="s">
        <v>236</v>
      </c>
      <c r="E360">
        <f>_xlfn.XLOOKUP(D360,'Resumen Estudiantes y Profesore'!B:B,'Resumen Estudiantes y Profesore'!A:A)</f>
        <v>155</v>
      </c>
      <c r="F360" t="s">
        <v>243</v>
      </c>
      <c r="G360" t="s">
        <v>247</v>
      </c>
      <c r="H360" t="s">
        <v>247</v>
      </c>
      <c r="I360" t="s">
        <v>682</v>
      </c>
      <c r="J360" t="s">
        <v>77</v>
      </c>
      <c r="K360" s="120" t="s">
        <v>1749</v>
      </c>
      <c r="N360" s="49"/>
    </row>
    <row r="361" spans="1:14">
      <c r="A361" t="s">
        <v>1750</v>
      </c>
      <c r="B361" t="s">
        <v>1751</v>
      </c>
      <c r="C361" t="s">
        <v>93</v>
      </c>
      <c r="D361" t="s">
        <v>93</v>
      </c>
      <c r="E361">
        <f>_xlfn.XLOOKUP(D361,'Resumen Estudiantes y Profesore'!B:B,'Resumen Estudiantes y Profesore'!A:A)</f>
        <v>210</v>
      </c>
      <c r="F361" t="s">
        <v>243</v>
      </c>
      <c r="G361" t="s">
        <v>247</v>
      </c>
      <c r="H361" t="s">
        <v>247</v>
      </c>
      <c r="I361" t="s">
        <v>682</v>
      </c>
      <c r="J361" t="s">
        <v>93</v>
      </c>
      <c r="K361" s="120" t="s">
        <v>1752</v>
      </c>
      <c r="N361" s="49"/>
    </row>
    <row r="362" spans="1:14">
      <c r="A362" t="s">
        <v>1753</v>
      </c>
      <c r="B362" t="s">
        <v>1754</v>
      </c>
      <c r="C362" t="s">
        <v>95</v>
      </c>
      <c r="D362" t="s">
        <v>251</v>
      </c>
      <c r="E362">
        <f>_xlfn.XLOOKUP(D362,'Resumen Estudiantes y Profesore'!B:B,'Resumen Estudiantes y Profesore'!A:A)</f>
        <v>211</v>
      </c>
      <c r="F362" t="s">
        <v>243</v>
      </c>
      <c r="G362" t="s">
        <v>247</v>
      </c>
      <c r="H362" t="s">
        <v>247</v>
      </c>
      <c r="I362" t="s">
        <v>682</v>
      </c>
      <c r="J362" t="s">
        <v>95</v>
      </c>
      <c r="K362" s="120" t="s">
        <v>1755</v>
      </c>
      <c r="N362" s="49"/>
    </row>
    <row r="363" spans="1:14">
      <c r="A363" t="s">
        <v>1756</v>
      </c>
      <c r="B363" t="s">
        <v>1757</v>
      </c>
      <c r="C363" t="s">
        <v>448</v>
      </c>
      <c r="D363" t="s">
        <v>35</v>
      </c>
      <c r="E363">
        <f>_xlfn.XLOOKUP(D363,'Resumen Estudiantes y Profesore'!B:B,'Resumen Estudiantes y Profesore'!A:A)</f>
        <v>40</v>
      </c>
      <c r="F363" t="s">
        <v>243</v>
      </c>
      <c r="G363" t="s">
        <v>247</v>
      </c>
      <c r="H363" t="s">
        <v>247</v>
      </c>
      <c r="I363" t="s">
        <v>682</v>
      </c>
      <c r="J363" t="s">
        <v>89</v>
      </c>
      <c r="K363" s="120" t="s">
        <v>1758</v>
      </c>
      <c r="N363" s="49"/>
    </row>
    <row r="364" spans="1:14">
      <c r="A364" t="s">
        <v>1759</v>
      </c>
      <c r="B364" t="s">
        <v>1760</v>
      </c>
      <c r="C364" t="s">
        <v>419</v>
      </c>
      <c r="D364" t="s">
        <v>233</v>
      </c>
      <c r="E364">
        <f>_xlfn.XLOOKUP(D364,'Resumen Estudiantes y Profesore'!B:B,'Resumen Estudiantes y Profesore'!A:A)</f>
        <v>152</v>
      </c>
      <c r="F364" t="s">
        <v>243</v>
      </c>
      <c r="G364" t="s">
        <v>247</v>
      </c>
      <c r="H364" t="s">
        <v>247</v>
      </c>
      <c r="I364" t="s">
        <v>682</v>
      </c>
      <c r="J364" t="s">
        <v>77</v>
      </c>
      <c r="K364" s="120" t="s">
        <v>1761</v>
      </c>
      <c r="N364" s="49"/>
    </row>
    <row r="365" spans="1:14">
      <c r="A365" t="s">
        <v>1762</v>
      </c>
      <c r="B365" t="s">
        <v>1763</v>
      </c>
      <c r="C365" t="s">
        <v>446</v>
      </c>
      <c r="D365" t="s">
        <v>34</v>
      </c>
      <c r="E365">
        <f>_xlfn.XLOOKUP(D365,'Resumen Estudiantes y Profesore'!B:B,'Resumen Estudiantes y Profesore'!A:A)</f>
        <v>39</v>
      </c>
      <c r="F365" t="s">
        <v>243</v>
      </c>
      <c r="G365" t="s">
        <v>247</v>
      </c>
      <c r="H365" t="s">
        <v>247</v>
      </c>
      <c r="I365" t="s">
        <v>682</v>
      </c>
      <c r="J365" t="s">
        <v>89</v>
      </c>
      <c r="K365" s="120" t="s">
        <v>1764</v>
      </c>
      <c r="N365" s="49"/>
    </row>
    <row r="366" spans="1:14">
      <c r="A366" t="s">
        <v>1765</v>
      </c>
      <c r="B366" t="s">
        <v>1766</v>
      </c>
      <c r="C366" t="s">
        <v>424</v>
      </c>
      <c r="D366" t="s">
        <v>24</v>
      </c>
      <c r="E366">
        <f>_xlfn.XLOOKUP(D366,'Resumen Estudiantes y Profesore'!B:B,'Resumen Estudiantes y Profesore'!A:A)</f>
        <v>27</v>
      </c>
      <c r="F366" t="s">
        <v>243</v>
      </c>
      <c r="G366" t="s">
        <v>247</v>
      </c>
      <c r="H366" t="s">
        <v>247</v>
      </c>
      <c r="I366" t="s">
        <v>682</v>
      </c>
      <c r="J366" t="s">
        <v>83</v>
      </c>
      <c r="K366" s="120" t="s">
        <v>1767</v>
      </c>
      <c r="N366" s="49"/>
    </row>
    <row r="367" spans="1:14">
      <c r="A367" t="s">
        <v>1768</v>
      </c>
      <c r="B367" t="s">
        <v>1769</v>
      </c>
      <c r="C367" t="s">
        <v>446</v>
      </c>
      <c r="D367" t="s">
        <v>34</v>
      </c>
      <c r="E367">
        <f>_xlfn.XLOOKUP(D367,'Resumen Estudiantes y Profesore'!B:B,'Resumen Estudiantes y Profesore'!A:A)</f>
        <v>39</v>
      </c>
      <c r="F367" t="s">
        <v>243</v>
      </c>
      <c r="G367" t="s">
        <v>247</v>
      </c>
      <c r="H367" t="s">
        <v>247</v>
      </c>
      <c r="I367" t="s">
        <v>682</v>
      </c>
      <c r="J367" t="s">
        <v>89</v>
      </c>
      <c r="K367" s="120" t="s">
        <v>1770</v>
      </c>
      <c r="N367" s="49"/>
    </row>
    <row r="368" spans="1:14">
      <c r="A368" t="s">
        <v>1771</v>
      </c>
      <c r="B368" t="s">
        <v>1772</v>
      </c>
      <c r="C368" t="s">
        <v>451</v>
      </c>
      <c r="D368" t="s">
        <v>38</v>
      </c>
      <c r="E368">
        <f>_xlfn.XLOOKUP(D368,'Resumen Estudiantes y Profesore'!B:B,'Resumen Estudiantes y Profesore'!A:A)</f>
        <v>42</v>
      </c>
      <c r="F368" t="s">
        <v>243</v>
      </c>
      <c r="G368" t="s">
        <v>247</v>
      </c>
      <c r="H368" t="s">
        <v>247</v>
      </c>
      <c r="I368" t="s">
        <v>682</v>
      </c>
      <c r="J368" t="s">
        <v>90</v>
      </c>
      <c r="K368" s="120" t="s">
        <v>1773</v>
      </c>
      <c r="N368" s="49"/>
    </row>
    <row r="369" spans="1:23">
      <c r="A369" t="s">
        <v>1774</v>
      </c>
      <c r="B369" t="s">
        <v>1775</v>
      </c>
      <c r="C369" t="s">
        <v>448</v>
      </c>
      <c r="D369" t="s">
        <v>35</v>
      </c>
      <c r="E369">
        <f>_xlfn.XLOOKUP(D369,'Resumen Estudiantes y Profesore'!B:B,'Resumen Estudiantes y Profesore'!A:A)</f>
        <v>40</v>
      </c>
      <c r="F369" t="s">
        <v>243</v>
      </c>
      <c r="G369" t="s">
        <v>247</v>
      </c>
      <c r="H369" t="s">
        <v>247</v>
      </c>
      <c r="I369" t="s">
        <v>682</v>
      </c>
      <c r="J369" t="s">
        <v>89</v>
      </c>
      <c r="K369" s="120" t="s">
        <v>1776</v>
      </c>
      <c r="N369" s="49"/>
    </row>
    <row r="370" spans="1:23">
      <c r="A370" t="s">
        <v>1777</v>
      </c>
      <c r="B370" t="s">
        <v>1778</v>
      </c>
      <c r="C370" t="s">
        <v>451</v>
      </c>
      <c r="D370" t="s">
        <v>38</v>
      </c>
      <c r="E370">
        <f>_xlfn.XLOOKUP(D370,'Resumen Estudiantes y Profesore'!B:B,'Resumen Estudiantes y Profesore'!A:A)</f>
        <v>42</v>
      </c>
      <c r="F370" t="s">
        <v>243</v>
      </c>
      <c r="G370" t="s">
        <v>247</v>
      </c>
      <c r="H370" t="s">
        <v>247</v>
      </c>
      <c r="I370" t="s">
        <v>682</v>
      </c>
      <c r="J370" t="s">
        <v>90</v>
      </c>
      <c r="K370" s="120" t="s">
        <v>1779</v>
      </c>
      <c r="N370" s="49"/>
    </row>
    <row r="371" spans="1:23" s="81" customFormat="1">
      <c r="A371" t="s">
        <v>1092</v>
      </c>
      <c r="B371" t="s">
        <v>1780</v>
      </c>
      <c r="C371" t="s">
        <v>421</v>
      </c>
      <c r="D371" t="s">
        <v>236</v>
      </c>
      <c r="E371">
        <f>_xlfn.XLOOKUP(D371,'Resumen Estudiantes y Profesore'!B:B,'Resumen Estudiantes y Profesore'!A:A)</f>
        <v>155</v>
      </c>
      <c r="F371" t="s">
        <v>243</v>
      </c>
      <c r="G371" t="s">
        <v>247</v>
      </c>
      <c r="H371" t="s">
        <v>247</v>
      </c>
      <c r="I371" t="s">
        <v>682</v>
      </c>
      <c r="J371" t="s">
        <v>77</v>
      </c>
      <c r="K371" s="120" t="s">
        <v>1781</v>
      </c>
      <c r="L371"/>
      <c r="M371"/>
      <c r="N371" s="49"/>
      <c r="O371"/>
      <c r="P371"/>
      <c r="Q371"/>
      <c r="R371"/>
      <c r="S371"/>
      <c r="T371"/>
      <c r="U371"/>
      <c r="V371"/>
      <c r="W371"/>
    </row>
    <row r="372" spans="1:23">
      <c r="A372" t="s">
        <v>1782</v>
      </c>
      <c r="B372" t="s">
        <v>1783</v>
      </c>
      <c r="C372" t="s">
        <v>448</v>
      </c>
      <c r="D372" t="s">
        <v>35</v>
      </c>
      <c r="E372">
        <f>_xlfn.XLOOKUP(D372,'Resumen Estudiantes y Profesore'!B:B,'Resumen Estudiantes y Profesore'!A:A)</f>
        <v>40</v>
      </c>
      <c r="F372" t="s">
        <v>243</v>
      </c>
      <c r="G372" t="s">
        <v>247</v>
      </c>
      <c r="H372" t="s">
        <v>247</v>
      </c>
      <c r="I372" t="s">
        <v>682</v>
      </c>
      <c r="J372" t="s">
        <v>89</v>
      </c>
      <c r="K372" s="120" t="s">
        <v>1784</v>
      </c>
      <c r="N372" s="49"/>
    </row>
    <row r="373" spans="1:23">
      <c r="A373" t="s">
        <v>1785</v>
      </c>
      <c r="B373" t="s">
        <v>1786</v>
      </c>
      <c r="C373" t="s">
        <v>424</v>
      </c>
      <c r="D373" t="s">
        <v>24</v>
      </c>
      <c r="E373">
        <f>_xlfn.XLOOKUP(D373,'Resumen Estudiantes y Profesore'!B:B,'Resumen Estudiantes y Profesore'!A:A)</f>
        <v>27</v>
      </c>
      <c r="F373" t="s">
        <v>243</v>
      </c>
      <c r="G373" t="s">
        <v>247</v>
      </c>
      <c r="H373" t="s">
        <v>247</v>
      </c>
      <c r="I373" t="s">
        <v>682</v>
      </c>
      <c r="J373" t="s">
        <v>83</v>
      </c>
      <c r="K373" s="120" t="s">
        <v>1787</v>
      </c>
      <c r="N373" s="49"/>
    </row>
    <row r="374" spans="1:23">
      <c r="A374" t="s">
        <v>1788</v>
      </c>
      <c r="B374" t="s">
        <v>1789</v>
      </c>
      <c r="C374" t="s">
        <v>450</v>
      </c>
      <c r="D374" t="s">
        <v>37</v>
      </c>
      <c r="E374">
        <f>_xlfn.XLOOKUP(D374,'Resumen Estudiantes y Profesore'!B:B,'Resumen Estudiantes y Profesore'!A:A)</f>
        <v>41</v>
      </c>
      <c r="F374" t="s">
        <v>243</v>
      </c>
      <c r="G374" t="s">
        <v>247</v>
      </c>
      <c r="H374" t="s">
        <v>247</v>
      </c>
      <c r="I374" t="s">
        <v>682</v>
      </c>
      <c r="J374" t="s">
        <v>89</v>
      </c>
      <c r="K374" s="120" t="s">
        <v>1790</v>
      </c>
      <c r="N374" s="49"/>
    </row>
    <row r="375" spans="1:23">
      <c r="A375" t="s">
        <v>1791</v>
      </c>
      <c r="B375" t="s">
        <v>1792</v>
      </c>
      <c r="C375" t="s">
        <v>419</v>
      </c>
      <c r="D375" t="s">
        <v>233</v>
      </c>
      <c r="E375">
        <f>_xlfn.XLOOKUP(D375,'Resumen Estudiantes y Profesore'!B:B,'Resumen Estudiantes y Profesore'!A:A)</f>
        <v>152</v>
      </c>
      <c r="F375" t="s">
        <v>243</v>
      </c>
      <c r="G375" t="s">
        <v>247</v>
      </c>
      <c r="H375" t="s">
        <v>247</v>
      </c>
      <c r="I375" t="s">
        <v>682</v>
      </c>
      <c r="J375" t="s">
        <v>77</v>
      </c>
      <c r="K375" s="120" t="s">
        <v>1793</v>
      </c>
      <c r="N375" s="49"/>
    </row>
    <row r="376" spans="1:23">
      <c r="A376" t="s">
        <v>1794</v>
      </c>
      <c r="B376" t="s">
        <v>1795</v>
      </c>
      <c r="C376" t="s">
        <v>446</v>
      </c>
      <c r="D376" t="s">
        <v>34</v>
      </c>
      <c r="E376">
        <f>_xlfn.XLOOKUP(D376,'Resumen Estudiantes y Profesore'!B:B,'Resumen Estudiantes y Profesore'!A:A)</f>
        <v>39</v>
      </c>
      <c r="F376" t="s">
        <v>243</v>
      </c>
      <c r="G376" t="s">
        <v>247</v>
      </c>
      <c r="H376" t="s">
        <v>247</v>
      </c>
      <c r="I376" t="s">
        <v>682</v>
      </c>
      <c r="J376" t="s">
        <v>89</v>
      </c>
      <c r="K376" s="120" t="s">
        <v>1796</v>
      </c>
      <c r="N376" s="49"/>
    </row>
    <row r="377" spans="1:23">
      <c r="A377" t="s">
        <v>1797</v>
      </c>
      <c r="B377" t="s">
        <v>1798</v>
      </c>
      <c r="C377" t="s">
        <v>451</v>
      </c>
      <c r="D377" t="s">
        <v>38</v>
      </c>
      <c r="E377">
        <f>_xlfn.XLOOKUP(D377,'Resumen Estudiantes y Profesore'!B:B,'Resumen Estudiantes y Profesore'!A:A)</f>
        <v>42</v>
      </c>
      <c r="F377" t="s">
        <v>243</v>
      </c>
      <c r="G377" t="s">
        <v>247</v>
      </c>
      <c r="H377" t="s">
        <v>247</v>
      </c>
      <c r="I377" t="s">
        <v>682</v>
      </c>
      <c r="J377" t="s">
        <v>90</v>
      </c>
      <c r="K377" s="120" t="s">
        <v>1799</v>
      </c>
      <c r="N377" s="49"/>
    </row>
    <row r="378" spans="1:23">
      <c r="A378" t="s">
        <v>1800</v>
      </c>
      <c r="B378" t="s">
        <v>1801</v>
      </c>
      <c r="C378" t="s">
        <v>444</v>
      </c>
      <c r="D378" t="s">
        <v>33</v>
      </c>
      <c r="E378">
        <f>_xlfn.XLOOKUP(D378,'Resumen Estudiantes y Profesore'!B:B,'Resumen Estudiantes y Profesore'!A:A)</f>
        <v>38</v>
      </c>
      <c r="F378" t="s">
        <v>243</v>
      </c>
      <c r="G378" t="s">
        <v>247</v>
      </c>
      <c r="H378" t="s">
        <v>247</v>
      </c>
      <c r="I378" t="s">
        <v>682</v>
      </c>
      <c r="J378" t="s">
        <v>89</v>
      </c>
      <c r="K378" s="120" t="s">
        <v>1802</v>
      </c>
      <c r="N378" s="49"/>
    </row>
    <row r="379" spans="1:23">
      <c r="A379" t="s">
        <v>1803</v>
      </c>
      <c r="B379" t="s">
        <v>1804</v>
      </c>
      <c r="C379" t="s">
        <v>428</v>
      </c>
      <c r="D379" t="s">
        <v>25</v>
      </c>
      <c r="E379">
        <f>_xlfn.XLOOKUP(D379,'Resumen Estudiantes y Profesore'!B:B,'Resumen Estudiantes y Profesore'!A:A)</f>
        <v>28</v>
      </c>
      <c r="F379" t="s">
        <v>243</v>
      </c>
      <c r="G379" t="s">
        <v>247</v>
      </c>
      <c r="H379" t="s">
        <v>247</v>
      </c>
      <c r="I379" t="s">
        <v>682</v>
      </c>
      <c r="J379" t="s">
        <v>83</v>
      </c>
      <c r="K379" s="120" t="s">
        <v>1805</v>
      </c>
      <c r="N379" s="49"/>
    </row>
    <row r="380" spans="1:23">
      <c r="A380" t="s">
        <v>1806</v>
      </c>
      <c r="B380" t="s">
        <v>1807</v>
      </c>
      <c r="C380" t="s">
        <v>444</v>
      </c>
      <c r="D380" t="s">
        <v>33</v>
      </c>
      <c r="E380">
        <f>_xlfn.XLOOKUP(D380,'Resumen Estudiantes y Profesore'!B:B,'Resumen Estudiantes y Profesore'!A:A)</f>
        <v>38</v>
      </c>
      <c r="F380" t="s">
        <v>243</v>
      </c>
      <c r="G380" t="s">
        <v>247</v>
      </c>
      <c r="H380" t="s">
        <v>247</v>
      </c>
      <c r="I380" t="s">
        <v>682</v>
      </c>
      <c r="J380" t="s">
        <v>89</v>
      </c>
      <c r="K380" s="120" t="s">
        <v>1808</v>
      </c>
      <c r="N380" s="49"/>
    </row>
    <row r="381" spans="1:23">
      <c r="A381" t="s">
        <v>1809</v>
      </c>
      <c r="B381" t="s">
        <v>1810</v>
      </c>
      <c r="C381" t="s">
        <v>428</v>
      </c>
      <c r="D381" t="s">
        <v>25</v>
      </c>
      <c r="E381">
        <f>_xlfn.XLOOKUP(D381,'Resumen Estudiantes y Profesore'!B:B,'Resumen Estudiantes y Profesore'!A:A)</f>
        <v>28</v>
      </c>
      <c r="F381" t="s">
        <v>243</v>
      </c>
      <c r="G381" t="s">
        <v>247</v>
      </c>
      <c r="H381" t="s">
        <v>247</v>
      </c>
      <c r="I381" t="s">
        <v>682</v>
      </c>
      <c r="J381" t="s">
        <v>83</v>
      </c>
      <c r="K381" s="120" t="s">
        <v>1811</v>
      </c>
      <c r="N381" s="49"/>
    </row>
    <row r="382" spans="1:23">
      <c r="A382" t="s">
        <v>1812</v>
      </c>
      <c r="B382" t="s">
        <v>1813</v>
      </c>
      <c r="C382" t="s">
        <v>419</v>
      </c>
      <c r="D382" t="s">
        <v>233</v>
      </c>
      <c r="E382">
        <f>_xlfn.XLOOKUP(D382,'Resumen Estudiantes y Profesore'!B:B,'Resumen Estudiantes y Profesore'!A:A)</f>
        <v>152</v>
      </c>
      <c r="F382" t="s">
        <v>243</v>
      </c>
      <c r="G382" t="s">
        <v>247</v>
      </c>
      <c r="H382" t="s">
        <v>247</v>
      </c>
      <c r="I382" t="s">
        <v>682</v>
      </c>
      <c r="J382" t="s">
        <v>77</v>
      </c>
      <c r="K382" s="120" t="s">
        <v>1814</v>
      </c>
      <c r="N382" s="49"/>
    </row>
    <row r="383" spans="1:23">
      <c r="A383" t="s">
        <v>1815</v>
      </c>
      <c r="B383" t="s">
        <v>1816</v>
      </c>
      <c r="C383" t="s">
        <v>446</v>
      </c>
      <c r="D383" t="s">
        <v>34</v>
      </c>
      <c r="E383">
        <f>_xlfn.XLOOKUP(D383,'Resumen Estudiantes y Profesore'!B:B,'Resumen Estudiantes y Profesore'!A:A)</f>
        <v>39</v>
      </c>
      <c r="F383" t="s">
        <v>243</v>
      </c>
      <c r="G383" t="s">
        <v>247</v>
      </c>
      <c r="H383" t="s">
        <v>247</v>
      </c>
      <c r="I383" t="s">
        <v>682</v>
      </c>
      <c r="J383" t="s">
        <v>89</v>
      </c>
      <c r="K383" s="120" t="s">
        <v>1817</v>
      </c>
      <c r="N383" s="49"/>
    </row>
    <row r="384" spans="1:23">
      <c r="A384" t="s">
        <v>1818</v>
      </c>
      <c r="B384" t="s">
        <v>1819</v>
      </c>
      <c r="C384" t="s">
        <v>446</v>
      </c>
      <c r="D384" t="s">
        <v>34</v>
      </c>
      <c r="E384">
        <f>_xlfn.XLOOKUP(D384,'Resumen Estudiantes y Profesore'!B:B,'Resumen Estudiantes y Profesore'!A:A)</f>
        <v>39</v>
      </c>
      <c r="F384" t="s">
        <v>243</v>
      </c>
      <c r="G384" t="s">
        <v>247</v>
      </c>
      <c r="H384" t="s">
        <v>247</v>
      </c>
      <c r="I384" t="s">
        <v>682</v>
      </c>
      <c r="J384" t="s">
        <v>89</v>
      </c>
      <c r="K384" s="120" t="s">
        <v>1820</v>
      </c>
      <c r="N384" s="49"/>
    </row>
    <row r="385" spans="1:14">
      <c r="A385" t="s">
        <v>1821</v>
      </c>
      <c r="B385" t="s">
        <v>1822</v>
      </c>
      <c r="C385" t="s">
        <v>234</v>
      </c>
      <c r="D385" t="s">
        <v>234</v>
      </c>
      <c r="E385">
        <f>_xlfn.XLOOKUP(D385,'Resumen Estudiantes y Profesore'!B:B,'Resumen Estudiantes y Profesore'!A:A)</f>
        <v>153</v>
      </c>
      <c r="F385" t="s">
        <v>243</v>
      </c>
      <c r="G385" t="s">
        <v>247</v>
      </c>
      <c r="H385" t="s">
        <v>247</v>
      </c>
      <c r="I385" t="s">
        <v>682</v>
      </c>
      <c r="J385" t="s">
        <v>77</v>
      </c>
      <c r="K385" s="120" t="s">
        <v>1823</v>
      </c>
      <c r="N385" s="49"/>
    </row>
    <row r="386" spans="1:14">
      <c r="A386" t="s">
        <v>1824</v>
      </c>
      <c r="B386" t="s">
        <v>1825</v>
      </c>
      <c r="C386" t="s">
        <v>428</v>
      </c>
      <c r="D386" t="s">
        <v>25</v>
      </c>
      <c r="E386">
        <f>_xlfn.XLOOKUP(D386,'Resumen Estudiantes y Profesore'!B:B,'Resumen Estudiantes y Profesore'!A:A)</f>
        <v>28</v>
      </c>
      <c r="F386" t="s">
        <v>243</v>
      </c>
      <c r="G386" t="s">
        <v>247</v>
      </c>
      <c r="H386" t="s">
        <v>247</v>
      </c>
      <c r="I386" t="s">
        <v>682</v>
      </c>
      <c r="J386" t="s">
        <v>83</v>
      </c>
      <c r="K386" s="120" t="s">
        <v>1826</v>
      </c>
      <c r="N386" s="49"/>
    </row>
    <row r="387" spans="1:14">
      <c r="A387" t="s">
        <v>1827</v>
      </c>
      <c r="B387" t="s">
        <v>1828</v>
      </c>
      <c r="C387" t="s">
        <v>421</v>
      </c>
      <c r="D387" t="s">
        <v>236</v>
      </c>
      <c r="E387">
        <f>_xlfn.XLOOKUP(D387,'Resumen Estudiantes y Profesore'!B:B,'Resumen Estudiantes y Profesore'!A:A)</f>
        <v>155</v>
      </c>
      <c r="F387" t="s">
        <v>243</v>
      </c>
      <c r="G387" t="s">
        <v>247</v>
      </c>
      <c r="H387" t="s">
        <v>247</v>
      </c>
      <c r="I387" t="s">
        <v>682</v>
      </c>
      <c r="J387" t="s">
        <v>77</v>
      </c>
      <c r="K387" s="120" t="s">
        <v>1829</v>
      </c>
      <c r="N387" s="49"/>
    </row>
    <row r="388" spans="1:14">
      <c r="A388" t="s">
        <v>1830</v>
      </c>
      <c r="B388" t="s">
        <v>1831</v>
      </c>
      <c r="C388" t="s">
        <v>422</v>
      </c>
      <c r="D388" t="s">
        <v>238</v>
      </c>
      <c r="E388">
        <f>_xlfn.XLOOKUP(D388,'Resumen Estudiantes y Profesore'!B:B,'Resumen Estudiantes y Profesore'!A:A)</f>
        <v>157</v>
      </c>
      <c r="F388" t="s">
        <v>243</v>
      </c>
      <c r="G388" t="s">
        <v>247</v>
      </c>
      <c r="H388" t="s">
        <v>247</v>
      </c>
      <c r="I388" t="s">
        <v>682</v>
      </c>
      <c r="J388" t="s">
        <v>77</v>
      </c>
      <c r="K388" s="120" t="s">
        <v>1832</v>
      </c>
      <c r="N388" s="49"/>
    </row>
    <row r="389" spans="1:14">
      <c r="A389" t="s">
        <v>1833</v>
      </c>
      <c r="B389" t="s">
        <v>1834</v>
      </c>
      <c r="C389" t="s">
        <v>446</v>
      </c>
      <c r="D389" t="s">
        <v>34</v>
      </c>
      <c r="E389">
        <f>_xlfn.XLOOKUP(D389,'Resumen Estudiantes y Profesore'!B:B,'Resumen Estudiantes y Profesore'!A:A)</f>
        <v>39</v>
      </c>
      <c r="F389" t="s">
        <v>243</v>
      </c>
      <c r="G389" t="s">
        <v>247</v>
      </c>
      <c r="H389" t="s">
        <v>247</v>
      </c>
      <c r="I389" t="s">
        <v>682</v>
      </c>
      <c r="J389" t="s">
        <v>89</v>
      </c>
      <c r="K389" s="120" t="s">
        <v>1835</v>
      </c>
      <c r="N389" s="49"/>
    </row>
    <row r="390" spans="1:14">
      <c r="A390" t="s">
        <v>1836</v>
      </c>
      <c r="B390" t="s">
        <v>1837</v>
      </c>
      <c r="C390" t="s">
        <v>424</v>
      </c>
      <c r="D390" t="s">
        <v>24</v>
      </c>
      <c r="E390">
        <f>_xlfn.XLOOKUP(D390,'Resumen Estudiantes y Profesore'!B:B,'Resumen Estudiantes y Profesore'!A:A)</f>
        <v>27</v>
      </c>
      <c r="F390" t="s">
        <v>243</v>
      </c>
      <c r="G390" t="s">
        <v>247</v>
      </c>
      <c r="H390" t="s">
        <v>247</v>
      </c>
      <c r="I390" t="s">
        <v>682</v>
      </c>
      <c r="J390" t="s">
        <v>83</v>
      </c>
      <c r="K390" s="120" t="s">
        <v>1838</v>
      </c>
      <c r="N390" s="49"/>
    </row>
    <row r="391" spans="1:14">
      <c r="A391" t="s">
        <v>1839</v>
      </c>
      <c r="B391" t="s">
        <v>1840</v>
      </c>
      <c r="C391" t="s">
        <v>234</v>
      </c>
      <c r="D391" t="s">
        <v>234</v>
      </c>
      <c r="E391">
        <f>_xlfn.XLOOKUP(D391,'Resumen Estudiantes y Profesore'!B:B,'Resumen Estudiantes y Profesore'!A:A)</f>
        <v>153</v>
      </c>
      <c r="F391" t="s">
        <v>243</v>
      </c>
      <c r="G391" t="s">
        <v>247</v>
      </c>
      <c r="H391" t="s">
        <v>247</v>
      </c>
      <c r="I391" t="s">
        <v>682</v>
      </c>
      <c r="J391" t="s">
        <v>77</v>
      </c>
      <c r="K391" s="120" t="s">
        <v>1841</v>
      </c>
      <c r="N391" s="49"/>
    </row>
    <row r="392" spans="1:14">
      <c r="A392" t="s">
        <v>1842</v>
      </c>
      <c r="B392" t="s">
        <v>1843</v>
      </c>
      <c r="C392" t="s">
        <v>420</v>
      </c>
      <c r="D392" t="s">
        <v>235</v>
      </c>
      <c r="E392">
        <f>_xlfn.XLOOKUP(D392,'Resumen Estudiantes y Profesore'!B:B,'Resumen Estudiantes y Profesore'!A:A)</f>
        <v>154</v>
      </c>
      <c r="F392" t="s">
        <v>243</v>
      </c>
      <c r="G392" t="s">
        <v>247</v>
      </c>
      <c r="H392" t="s">
        <v>247</v>
      </c>
      <c r="I392" t="s">
        <v>682</v>
      </c>
      <c r="J392" t="s">
        <v>77</v>
      </c>
      <c r="K392" s="120" t="s">
        <v>1844</v>
      </c>
      <c r="N392" s="49"/>
    </row>
    <row r="393" spans="1:14">
      <c r="A393" t="s">
        <v>1845</v>
      </c>
      <c r="B393" t="s">
        <v>1846</v>
      </c>
      <c r="C393" t="s">
        <v>450</v>
      </c>
      <c r="D393" t="s">
        <v>37</v>
      </c>
      <c r="E393">
        <f>_xlfn.XLOOKUP(D393,'Resumen Estudiantes y Profesore'!B:B,'Resumen Estudiantes y Profesore'!A:A)</f>
        <v>41</v>
      </c>
      <c r="F393" t="s">
        <v>243</v>
      </c>
      <c r="G393" t="s">
        <v>247</v>
      </c>
      <c r="H393" t="s">
        <v>247</v>
      </c>
      <c r="I393" t="s">
        <v>682</v>
      </c>
      <c r="J393" t="s">
        <v>89</v>
      </c>
      <c r="K393" s="120" t="s">
        <v>1847</v>
      </c>
      <c r="N393" s="49"/>
    </row>
    <row r="394" spans="1:14">
      <c r="A394" t="s">
        <v>1848</v>
      </c>
      <c r="B394" t="s">
        <v>1849</v>
      </c>
      <c r="C394" t="s">
        <v>93</v>
      </c>
      <c r="D394" t="s">
        <v>93</v>
      </c>
      <c r="E394">
        <f>_xlfn.XLOOKUP(D394,'Resumen Estudiantes y Profesore'!B:B,'Resumen Estudiantes y Profesore'!A:A)</f>
        <v>210</v>
      </c>
      <c r="F394" t="s">
        <v>243</v>
      </c>
      <c r="G394" t="s">
        <v>247</v>
      </c>
      <c r="H394" t="s">
        <v>247</v>
      </c>
      <c r="I394" t="s">
        <v>682</v>
      </c>
      <c r="J394" t="s">
        <v>93</v>
      </c>
      <c r="K394" s="120" t="s">
        <v>1850</v>
      </c>
      <c r="N394" s="49"/>
    </row>
    <row r="395" spans="1:14">
      <c r="A395" t="s">
        <v>1851</v>
      </c>
      <c r="B395" t="s">
        <v>1852</v>
      </c>
      <c r="C395" t="s">
        <v>237</v>
      </c>
      <c r="D395" t="s">
        <v>237</v>
      </c>
      <c r="E395">
        <f>_xlfn.XLOOKUP(D395,'Resumen Estudiantes y Profesore'!B:B,'Resumen Estudiantes y Profesore'!A:A)</f>
        <v>156</v>
      </c>
      <c r="F395" t="s">
        <v>243</v>
      </c>
      <c r="G395" t="s">
        <v>247</v>
      </c>
      <c r="H395" t="s">
        <v>247</v>
      </c>
      <c r="I395" t="s">
        <v>682</v>
      </c>
      <c r="J395" t="s">
        <v>77</v>
      </c>
      <c r="K395" s="120" t="s">
        <v>1853</v>
      </c>
      <c r="N395" s="49"/>
    </row>
    <row r="396" spans="1:14">
      <c r="A396" t="s">
        <v>1854</v>
      </c>
      <c r="B396" t="s">
        <v>1855</v>
      </c>
      <c r="C396" t="s">
        <v>444</v>
      </c>
      <c r="D396" t="s">
        <v>33</v>
      </c>
      <c r="E396">
        <f>_xlfn.XLOOKUP(D396,'Resumen Estudiantes y Profesore'!B:B,'Resumen Estudiantes y Profesore'!A:A)</f>
        <v>38</v>
      </c>
      <c r="F396" t="s">
        <v>243</v>
      </c>
      <c r="G396" t="s">
        <v>247</v>
      </c>
      <c r="H396" t="s">
        <v>247</v>
      </c>
      <c r="I396" t="s">
        <v>682</v>
      </c>
      <c r="J396" t="s">
        <v>89</v>
      </c>
      <c r="K396" s="120" t="s">
        <v>1856</v>
      </c>
      <c r="N396" s="49"/>
    </row>
    <row r="397" spans="1:14">
      <c r="A397" t="s">
        <v>1857</v>
      </c>
      <c r="B397" t="s">
        <v>1858</v>
      </c>
      <c r="C397" t="s">
        <v>446</v>
      </c>
      <c r="D397" t="s">
        <v>34</v>
      </c>
      <c r="E397">
        <f>_xlfn.XLOOKUP(D397,'Resumen Estudiantes y Profesore'!B:B,'Resumen Estudiantes y Profesore'!A:A)</f>
        <v>39</v>
      </c>
      <c r="F397" t="s">
        <v>243</v>
      </c>
      <c r="G397" t="s">
        <v>247</v>
      </c>
      <c r="H397" t="s">
        <v>247</v>
      </c>
      <c r="I397" t="s">
        <v>682</v>
      </c>
      <c r="J397" t="s">
        <v>89</v>
      </c>
      <c r="K397" s="120" t="s">
        <v>1859</v>
      </c>
      <c r="N397" s="49"/>
    </row>
    <row r="398" spans="1:14">
      <c r="A398" t="s">
        <v>1860</v>
      </c>
      <c r="B398" t="s">
        <v>1861</v>
      </c>
      <c r="C398" t="s">
        <v>421</v>
      </c>
      <c r="D398" t="s">
        <v>236</v>
      </c>
      <c r="E398">
        <f>_xlfn.XLOOKUP(D398,'Resumen Estudiantes y Profesore'!B:B,'Resumen Estudiantes y Profesore'!A:A)</f>
        <v>155</v>
      </c>
      <c r="F398" t="s">
        <v>243</v>
      </c>
      <c r="G398" t="s">
        <v>247</v>
      </c>
      <c r="H398" t="s">
        <v>247</v>
      </c>
      <c r="I398" t="s">
        <v>682</v>
      </c>
      <c r="J398" t="s">
        <v>77</v>
      </c>
      <c r="K398" s="120" t="s">
        <v>1862</v>
      </c>
      <c r="N398" s="49"/>
    </row>
    <row r="399" spans="1:14">
      <c r="A399" t="s">
        <v>1863</v>
      </c>
      <c r="B399" t="s">
        <v>1864</v>
      </c>
      <c r="C399" t="s">
        <v>450</v>
      </c>
      <c r="D399" t="s">
        <v>37</v>
      </c>
      <c r="E399">
        <f>_xlfn.XLOOKUP(D399,'Resumen Estudiantes y Profesore'!B:B,'Resumen Estudiantes y Profesore'!A:A)</f>
        <v>41</v>
      </c>
      <c r="F399" t="s">
        <v>243</v>
      </c>
      <c r="G399" t="s">
        <v>247</v>
      </c>
      <c r="H399" t="s">
        <v>247</v>
      </c>
      <c r="I399" t="s">
        <v>682</v>
      </c>
      <c r="J399" t="s">
        <v>89</v>
      </c>
      <c r="K399" s="120" t="s">
        <v>1865</v>
      </c>
      <c r="N399" s="49"/>
    </row>
    <row r="400" spans="1:14">
      <c r="A400" t="s">
        <v>1866</v>
      </c>
      <c r="B400" t="s">
        <v>1867</v>
      </c>
      <c r="C400" t="s">
        <v>420</v>
      </c>
      <c r="D400" t="s">
        <v>235</v>
      </c>
      <c r="E400">
        <f>_xlfn.XLOOKUP(D400,'Resumen Estudiantes y Profesore'!B:B,'Resumen Estudiantes y Profesore'!A:A)</f>
        <v>154</v>
      </c>
      <c r="F400" t="s">
        <v>243</v>
      </c>
      <c r="G400" t="s">
        <v>247</v>
      </c>
      <c r="H400" t="s">
        <v>247</v>
      </c>
      <c r="I400" t="s">
        <v>682</v>
      </c>
      <c r="J400" t="s">
        <v>77</v>
      </c>
      <c r="K400" s="120" t="s">
        <v>1868</v>
      </c>
      <c r="N400" s="49"/>
    </row>
    <row r="401" spans="1:14">
      <c r="A401" t="s">
        <v>1869</v>
      </c>
      <c r="B401" t="s">
        <v>1870</v>
      </c>
      <c r="C401" t="s">
        <v>428</v>
      </c>
      <c r="D401" t="s">
        <v>25</v>
      </c>
      <c r="E401">
        <f>_xlfn.XLOOKUP(D401,'Resumen Estudiantes y Profesore'!B:B,'Resumen Estudiantes y Profesore'!A:A)</f>
        <v>28</v>
      </c>
      <c r="F401" t="s">
        <v>243</v>
      </c>
      <c r="G401" t="s">
        <v>247</v>
      </c>
      <c r="H401" t="s">
        <v>247</v>
      </c>
      <c r="I401" t="s">
        <v>682</v>
      </c>
      <c r="J401" t="s">
        <v>83</v>
      </c>
      <c r="K401" s="120" t="s">
        <v>1871</v>
      </c>
      <c r="N401" s="49"/>
    </row>
    <row r="402" spans="1:14">
      <c r="A402" t="s">
        <v>1872</v>
      </c>
      <c r="B402" t="s">
        <v>1873</v>
      </c>
      <c r="C402" t="s">
        <v>446</v>
      </c>
      <c r="D402" t="s">
        <v>34</v>
      </c>
      <c r="E402">
        <f>_xlfn.XLOOKUP(D402,'Resumen Estudiantes y Profesore'!B:B,'Resumen Estudiantes y Profesore'!A:A)</f>
        <v>39</v>
      </c>
      <c r="F402" t="s">
        <v>243</v>
      </c>
      <c r="G402" t="s">
        <v>247</v>
      </c>
      <c r="H402" t="s">
        <v>247</v>
      </c>
      <c r="I402" t="s">
        <v>682</v>
      </c>
      <c r="J402" t="s">
        <v>89</v>
      </c>
      <c r="K402" s="120" t="s">
        <v>1874</v>
      </c>
      <c r="N402" s="49"/>
    </row>
    <row r="403" spans="1:14">
      <c r="A403" t="s">
        <v>1875</v>
      </c>
      <c r="B403" t="s">
        <v>1876</v>
      </c>
      <c r="C403" t="s">
        <v>428</v>
      </c>
      <c r="D403" t="s">
        <v>25</v>
      </c>
      <c r="E403">
        <f>_xlfn.XLOOKUP(D403,'Resumen Estudiantes y Profesore'!B:B,'Resumen Estudiantes y Profesore'!A:A)</f>
        <v>28</v>
      </c>
      <c r="F403" t="s">
        <v>243</v>
      </c>
      <c r="G403" t="s">
        <v>247</v>
      </c>
      <c r="H403" t="s">
        <v>247</v>
      </c>
      <c r="I403" t="s">
        <v>682</v>
      </c>
      <c r="J403" t="s">
        <v>83</v>
      </c>
      <c r="K403" s="120" t="s">
        <v>1877</v>
      </c>
      <c r="N403" s="49"/>
    </row>
    <row r="404" spans="1:14">
      <c r="A404" t="s">
        <v>1878</v>
      </c>
      <c r="B404" t="s">
        <v>1879</v>
      </c>
      <c r="C404" t="s">
        <v>234</v>
      </c>
      <c r="D404" t="s">
        <v>234</v>
      </c>
      <c r="E404">
        <f>_xlfn.XLOOKUP(D404,'Resumen Estudiantes y Profesore'!B:B,'Resumen Estudiantes y Profesore'!A:A)</f>
        <v>153</v>
      </c>
      <c r="F404" t="s">
        <v>243</v>
      </c>
      <c r="G404" t="s">
        <v>247</v>
      </c>
      <c r="H404" t="s">
        <v>247</v>
      </c>
      <c r="I404" t="s">
        <v>682</v>
      </c>
      <c r="J404" t="s">
        <v>77</v>
      </c>
      <c r="K404" s="120" t="s">
        <v>1880</v>
      </c>
      <c r="N404" s="49"/>
    </row>
    <row r="405" spans="1:14">
      <c r="A405" t="s">
        <v>1881</v>
      </c>
      <c r="B405" t="s">
        <v>1882</v>
      </c>
      <c r="C405" t="s">
        <v>451</v>
      </c>
      <c r="D405" t="s">
        <v>38</v>
      </c>
      <c r="E405">
        <f>_xlfn.XLOOKUP(D405,'Resumen Estudiantes y Profesore'!B:B,'Resumen Estudiantes y Profesore'!A:A)</f>
        <v>42</v>
      </c>
      <c r="F405" t="s">
        <v>243</v>
      </c>
      <c r="G405" t="s">
        <v>247</v>
      </c>
      <c r="H405" t="s">
        <v>247</v>
      </c>
      <c r="I405" t="s">
        <v>682</v>
      </c>
      <c r="J405" t="s">
        <v>90</v>
      </c>
      <c r="K405" s="120" t="s">
        <v>1883</v>
      </c>
      <c r="N405" s="49"/>
    </row>
    <row r="406" spans="1:14">
      <c r="A406" t="s">
        <v>1884</v>
      </c>
      <c r="B406" t="s">
        <v>1885</v>
      </c>
      <c r="C406" t="s">
        <v>453</v>
      </c>
      <c r="D406" t="s">
        <v>39</v>
      </c>
      <c r="E406">
        <f>_xlfn.XLOOKUP(D406,'Resumen Estudiantes y Profesore'!B:B,'Resumen Estudiantes y Profesore'!A:A)</f>
        <v>43</v>
      </c>
      <c r="F406" t="s">
        <v>243</v>
      </c>
      <c r="G406" t="s">
        <v>247</v>
      </c>
      <c r="H406" t="s">
        <v>247</v>
      </c>
      <c r="I406" t="s">
        <v>682</v>
      </c>
      <c r="J406" t="s">
        <v>91</v>
      </c>
      <c r="K406" s="120" t="s">
        <v>1886</v>
      </c>
      <c r="N406" s="49"/>
    </row>
    <row r="407" spans="1:14">
      <c r="A407" t="s">
        <v>1887</v>
      </c>
      <c r="B407" t="s">
        <v>1888</v>
      </c>
      <c r="C407" t="s">
        <v>421</v>
      </c>
      <c r="D407" t="s">
        <v>236</v>
      </c>
      <c r="E407">
        <f>_xlfn.XLOOKUP(D407,'Resumen Estudiantes y Profesore'!B:B,'Resumen Estudiantes y Profesore'!A:A)</f>
        <v>155</v>
      </c>
      <c r="F407" t="s">
        <v>243</v>
      </c>
      <c r="G407" t="s">
        <v>247</v>
      </c>
      <c r="H407" t="s">
        <v>247</v>
      </c>
      <c r="I407" t="s">
        <v>682</v>
      </c>
      <c r="J407" t="s">
        <v>77</v>
      </c>
      <c r="K407" s="120" t="s">
        <v>1889</v>
      </c>
      <c r="N407" s="49"/>
    </row>
    <row r="408" spans="1:14">
      <c r="A408" t="s">
        <v>1890</v>
      </c>
      <c r="B408" t="s">
        <v>1891</v>
      </c>
      <c r="C408" t="s">
        <v>446</v>
      </c>
      <c r="D408" t="s">
        <v>34</v>
      </c>
      <c r="E408">
        <f>_xlfn.XLOOKUP(D408,'Resumen Estudiantes y Profesore'!B:B,'Resumen Estudiantes y Profesore'!A:A)</f>
        <v>39</v>
      </c>
      <c r="F408" t="s">
        <v>243</v>
      </c>
      <c r="G408" t="s">
        <v>247</v>
      </c>
      <c r="H408" t="s">
        <v>247</v>
      </c>
      <c r="I408" t="s">
        <v>682</v>
      </c>
      <c r="J408" t="s">
        <v>89</v>
      </c>
      <c r="K408" s="120" t="s">
        <v>1892</v>
      </c>
      <c r="N408" s="49"/>
    </row>
    <row r="409" spans="1:14">
      <c r="A409" t="s">
        <v>1893</v>
      </c>
      <c r="B409" t="s">
        <v>1894</v>
      </c>
      <c r="C409" t="s">
        <v>450</v>
      </c>
      <c r="D409" t="s">
        <v>37</v>
      </c>
      <c r="E409">
        <f>_xlfn.XLOOKUP(D409,'Resumen Estudiantes y Profesore'!B:B,'Resumen Estudiantes y Profesore'!A:A)</f>
        <v>41</v>
      </c>
      <c r="F409" t="s">
        <v>243</v>
      </c>
      <c r="G409" t="s">
        <v>247</v>
      </c>
      <c r="H409" t="s">
        <v>247</v>
      </c>
      <c r="I409" t="s">
        <v>682</v>
      </c>
      <c r="J409" t="s">
        <v>89</v>
      </c>
      <c r="K409" s="120" t="s">
        <v>1895</v>
      </c>
      <c r="N409" s="49"/>
    </row>
    <row r="410" spans="1:14">
      <c r="A410" t="s">
        <v>1896</v>
      </c>
      <c r="B410" t="s">
        <v>1897</v>
      </c>
      <c r="C410" t="s">
        <v>446</v>
      </c>
      <c r="D410" t="s">
        <v>34</v>
      </c>
      <c r="E410">
        <f>_xlfn.XLOOKUP(D410,'Resumen Estudiantes y Profesore'!B:B,'Resumen Estudiantes y Profesore'!A:A)</f>
        <v>39</v>
      </c>
      <c r="F410" t="s">
        <v>243</v>
      </c>
      <c r="G410" t="s">
        <v>247</v>
      </c>
      <c r="H410" t="s">
        <v>247</v>
      </c>
      <c r="I410" t="s">
        <v>682</v>
      </c>
      <c r="J410" t="s">
        <v>89</v>
      </c>
      <c r="K410" s="120" t="s">
        <v>1898</v>
      </c>
      <c r="N410" s="49"/>
    </row>
    <row r="411" spans="1:14">
      <c r="A411" t="s">
        <v>1899</v>
      </c>
      <c r="B411" t="s">
        <v>1900</v>
      </c>
      <c r="C411" t="s">
        <v>450</v>
      </c>
      <c r="D411" t="s">
        <v>37</v>
      </c>
      <c r="E411">
        <f>_xlfn.XLOOKUP(D411,'Resumen Estudiantes y Profesore'!B:B,'Resumen Estudiantes y Profesore'!A:A)</f>
        <v>41</v>
      </c>
      <c r="F411" t="s">
        <v>243</v>
      </c>
      <c r="G411" t="s">
        <v>247</v>
      </c>
      <c r="H411" t="s">
        <v>247</v>
      </c>
      <c r="I411" t="s">
        <v>682</v>
      </c>
      <c r="J411" t="s">
        <v>89</v>
      </c>
      <c r="K411" s="120" t="s">
        <v>1901</v>
      </c>
      <c r="N411" s="49"/>
    </row>
    <row r="412" spans="1:14">
      <c r="A412" t="s">
        <v>1902</v>
      </c>
      <c r="B412" t="s">
        <v>1903</v>
      </c>
      <c r="C412" t="s">
        <v>421</v>
      </c>
      <c r="D412" t="s">
        <v>236</v>
      </c>
      <c r="E412">
        <f>_xlfn.XLOOKUP(D412,'Resumen Estudiantes y Profesore'!B:B,'Resumen Estudiantes y Profesore'!A:A)</f>
        <v>155</v>
      </c>
      <c r="F412" t="s">
        <v>243</v>
      </c>
      <c r="G412" t="s">
        <v>247</v>
      </c>
      <c r="H412" t="s">
        <v>247</v>
      </c>
      <c r="I412" t="s">
        <v>682</v>
      </c>
      <c r="J412" t="s">
        <v>77</v>
      </c>
      <c r="K412" s="120" t="s">
        <v>1904</v>
      </c>
      <c r="N412" s="49"/>
    </row>
    <row r="413" spans="1:14">
      <c r="A413" t="s">
        <v>1905</v>
      </c>
      <c r="B413" t="s">
        <v>1906</v>
      </c>
      <c r="C413" t="s">
        <v>421</v>
      </c>
      <c r="D413" t="s">
        <v>236</v>
      </c>
      <c r="E413">
        <f>_xlfn.XLOOKUP(D413,'Resumen Estudiantes y Profesore'!B:B,'Resumen Estudiantes y Profesore'!A:A)</f>
        <v>155</v>
      </c>
      <c r="F413" t="s">
        <v>243</v>
      </c>
      <c r="G413" t="s">
        <v>247</v>
      </c>
      <c r="H413" t="s">
        <v>247</v>
      </c>
      <c r="I413" t="s">
        <v>682</v>
      </c>
      <c r="J413" t="s">
        <v>77</v>
      </c>
      <c r="K413" s="120" t="s">
        <v>1907</v>
      </c>
      <c r="N413" s="49"/>
    </row>
    <row r="414" spans="1:14">
      <c r="A414" t="s">
        <v>1908</v>
      </c>
      <c r="B414" t="s">
        <v>1909</v>
      </c>
      <c r="C414" t="s">
        <v>95</v>
      </c>
      <c r="D414" t="s">
        <v>251</v>
      </c>
      <c r="E414">
        <f>_xlfn.XLOOKUP(D414,'Resumen Estudiantes y Profesore'!B:B,'Resumen Estudiantes y Profesore'!A:A)</f>
        <v>211</v>
      </c>
      <c r="F414" t="s">
        <v>243</v>
      </c>
      <c r="G414" t="s">
        <v>247</v>
      </c>
      <c r="H414" t="s">
        <v>247</v>
      </c>
      <c r="I414" t="s">
        <v>682</v>
      </c>
      <c r="J414" t="s">
        <v>95</v>
      </c>
      <c r="K414" s="120" t="s">
        <v>1910</v>
      </c>
      <c r="N414" s="49"/>
    </row>
    <row r="415" spans="1:14">
      <c r="A415" t="s">
        <v>1911</v>
      </c>
      <c r="B415" t="s">
        <v>1912</v>
      </c>
      <c r="C415" t="s">
        <v>450</v>
      </c>
      <c r="D415" t="s">
        <v>37</v>
      </c>
      <c r="E415">
        <f>_xlfn.XLOOKUP(D415,'Resumen Estudiantes y Profesore'!B:B,'Resumen Estudiantes y Profesore'!A:A)</f>
        <v>41</v>
      </c>
      <c r="F415" t="s">
        <v>243</v>
      </c>
      <c r="G415" t="s">
        <v>247</v>
      </c>
      <c r="H415" t="s">
        <v>247</v>
      </c>
      <c r="I415" t="s">
        <v>682</v>
      </c>
      <c r="J415" t="s">
        <v>89</v>
      </c>
      <c r="K415" s="120" t="s">
        <v>1913</v>
      </c>
      <c r="N415" s="49"/>
    </row>
    <row r="416" spans="1:14">
      <c r="A416" t="s">
        <v>1914</v>
      </c>
      <c r="B416" t="s">
        <v>1915</v>
      </c>
      <c r="C416" t="s">
        <v>421</v>
      </c>
      <c r="D416" t="s">
        <v>236</v>
      </c>
      <c r="E416">
        <f>_xlfn.XLOOKUP(D416,'Resumen Estudiantes y Profesore'!B:B,'Resumen Estudiantes y Profesore'!A:A)</f>
        <v>155</v>
      </c>
      <c r="F416" t="s">
        <v>243</v>
      </c>
      <c r="G416" t="s">
        <v>247</v>
      </c>
      <c r="H416" t="s">
        <v>247</v>
      </c>
      <c r="I416" t="s">
        <v>682</v>
      </c>
      <c r="J416" t="s">
        <v>77</v>
      </c>
      <c r="K416" s="120" t="s">
        <v>1916</v>
      </c>
      <c r="N416" s="49"/>
    </row>
    <row r="417" spans="1:23">
      <c r="A417" t="s">
        <v>1917</v>
      </c>
      <c r="B417" t="s">
        <v>1918</v>
      </c>
      <c r="C417" t="s">
        <v>434</v>
      </c>
      <c r="D417" t="s">
        <v>28</v>
      </c>
      <c r="E417">
        <f>_xlfn.XLOOKUP(D417,'Resumen Estudiantes y Profesore'!B:B,'Resumen Estudiantes y Profesore'!A:A)</f>
        <v>32</v>
      </c>
      <c r="F417" t="s">
        <v>243</v>
      </c>
      <c r="G417" t="s">
        <v>247</v>
      </c>
      <c r="H417" t="s">
        <v>247</v>
      </c>
      <c r="I417" t="s">
        <v>682</v>
      </c>
      <c r="J417" t="s">
        <v>85</v>
      </c>
      <c r="K417" s="120" t="s">
        <v>1919</v>
      </c>
      <c r="N417" s="49"/>
    </row>
    <row r="418" spans="1:23">
      <c r="A418" t="s">
        <v>1920</v>
      </c>
      <c r="B418" t="s">
        <v>1921</v>
      </c>
      <c r="C418" t="s">
        <v>428</v>
      </c>
      <c r="D418" t="s">
        <v>25</v>
      </c>
      <c r="E418">
        <f>_xlfn.XLOOKUP(D418,'Resumen Estudiantes y Profesore'!B:B,'Resumen Estudiantes y Profesore'!A:A)</f>
        <v>28</v>
      </c>
      <c r="F418" t="s">
        <v>243</v>
      </c>
      <c r="G418" t="s">
        <v>247</v>
      </c>
      <c r="H418" t="s">
        <v>247</v>
      </c>
      <c r="I418" t="s">
        <v>682</v>
      </c>
      <c r="J418" t="s">
        <v>83</v>
      </c>
      <c r="K418" s="120" t="s">
        <v>1922</v>
      </c>
      <c r="N418" s="49"/>
    </row>
    <row r="419" spans="1:23">
      <c r="A419" t="s">
        <v>1923</v>
      </c>
      <c r="B419" t="s">
        <v>1924</v>
      </c>
      <c r="C419" t="s">
        <v>422</v>
      </c>
      <c r="D419" t="s">
        <v>238</v>
      </c>
      <c r="E419">
        <f>_xlfn.XLOOKUP(D419,'Resumen Estudiantes y Profesore'!B:B,'Resumen Estudiantes y Profesore'!A:A)</f>
        <v>157</v>
      </c>
      <c r="F419" t="s">
        <v>243</v>
      </c>
      <c r="G419" t="s">
        <v>247</v>
      </c>
      <c r="H419" t="s">
        <v>247</v>
      </c>
      <c r="I419" t="s">
        <v>682</v>
      </c>
      <c r="J419" t="s">
        <v>77</v>
      </c>
      <c r="K419" s="120" t="s">
        <v>1925</v>
      </c>
      <c r="N419" s="49"/>
    </row>
    <row r="420" spans="1:23">
      <c r="A420" t="s">
        <v>1926</v>
      </c>
      <c r="B420" t="s">
        <v>1927</v>
      </c>
      <c r="C420" t="s">
        <v>432</v>
      </c>
      <c r="D420" t="s">
        <v>41</v>
      </c>
      <c r="E420">
        <f>_xlfn.XLOOKUP(D420,'Resumen Estudiantes y Profesore'!B:B,'Resumen Estudiantes y Profesore'!A:A)</f>
        <v>31</v>
      </c>
      <c r="F420" t="s">
        <v>243</v>
      </c>
      <c r="G420" t="s">
        <v>247</v>
      </c>
      <c r="H420" t="s">
        <v>247</v>
      </c>
      <c r="I420" t="s">
        <v>682</v>
      </c>
      <c r="J420" t="s">
        <v>85</v>
      </c>
      <c r="K420" s="120" t="s">
        <v>1928</v>
      </c>
      <c r="N420" s="49"/>
    </row>
    <row r="421" spans="1:23">
      <c r="A421" t="s">
        <v>1929</v>
      </c>
      <c r="B421" t="s">
        <v>1930</v>
      </c>
      <c r="C421" t="s">
        <v>450</v>
      </c>
      <c r="D421" t="s">
        <v>37</v>
      </c>
      <c r="E421">
        <f>_xlfn.XLOOKUP(D421,'Resumen Estudiantes y Profesore'!B:B,'Resumen Estudiantes y Profesore'!A:A)</f>
        <v>41</v>
      </c>
      <c r="F421" t="s">
        <v>243</v>
      </c>
      <c r="G421" t="s">
        <v>247</v>
      </c>
      <c r="H421" t="s">
        <v>247</v>
      </c>
      <c r="I421" t="s">
        <v>682</v>
      </c>
      <c r="J421" t="s">
        <v>89</v>
      </c>
      <c r="K421" s="120" t="s">
        <v>1931</v>
      </c>
      <c r="N421" s="49"/>
    </row>
    <row r="422" spans="1:23">
      <c r="A422" t="s">
        <v>1932</v>
      </c>
      <c r="B422" t="s">
        <v>1933</v>
      </c>
      <c r="C422" t="s">
        <v>428</v>
      </c>
      <c r="D422" t="s">
        <v>25</v>
      </c>
      <c r="E422">
        <f>_xlfn.XLOOKUP(D422,'Resumen Estudiantes y Profesore'!B:B,'Resumen Estudiantes y Profesore'!A:A)</f>
        <v>28</v>
      </c>
      <c r="F422" t="s">
        <v>243</v>
      </c>
      <c r="G422" t="s">
        <v>247</v>
      </c>
      <c r="H422" t="s">
        <v>247</v>
      </c>
      <c r="I422" t="s">
        <v>682</v>
      </c>
      <c r="J422" t="s">
        <v>83</v>
      </c>
      <c r="K422" s="120" t="s">
        <v>1934</v>
      </c>
      <c r="N422" s="49"/>
    </row>
    <row r="423" spans="1:23">
      <c r="A423" t="s">
        <v>1935</v>
      </c>
      <c r="B423" t="s">
        <v>1936</v>
      </c>
      <c r="C423" t="s">
        <v>444</v>
      </c>
      <c r="D423" t="s">
        <v>33</v>
      </c>
      <c r="E423">
        <f>_xlfn.XLOOKUP(D423,'Resumen Estudiantes y Profesore'!B:B,'Resumen Estudiantes y Profesore'!A:A)</f>
        <v>38</v>
      </c>
      <c r="F423" t="s">
        <v>243</v>
      </c>
      <c r="G423" t="s">
        <v>247</v>
      </c>
      <c r="H423" t="s">
        <v>247</v>
      </c>
      <c r="I423" t="s">
        <v>682</v>
      </c>
      <c r="J423" t="s">
        <v>89</v>
      </c>
      <c r="K423" s="120" t="s">
        <v>1937</v>
      </c>
      <c r="N423" s="49"/>
    </row>
    <row r="424" spans="1:23">
      <c r="A424" t="s">
        <v>1938</v>
      </c>
      <c r="B424" t="s">
        <v>1939</v>
      </c>
      <c r="C424" t="s">
        <v>446</v>
      </c>
      <c r="D424" t="s">
        <v>34</v>
      </c>
      <c r="E424">
        <f>_xlfn.XLOOKUP(D424,'Resumen Estudiantes y Profesore'!B:B,'Resumen Estudiantes y Profesore'!A:A)</f>
        <v>39</v>
      </c>
      <c r="F424" t="s">
        <v>243</v>
      </c>
      <c r="G424" t="s">
        <v>247</v>
      </c>
      <c r="H424" t="s">
        <v>247</v>
      </c>
      <c r="I424" t="s">
        <v>682</v>
      </c>
      <c r="J424" t="s">
        <v>89</v>
      </c>
      <c r="K424" s="120" t="s">
        <v>1940</v>
      </c>
      <c r="N424" s="49"/>
    </row>
    <row r="425" spans="1:23">
      <c r="A425" t="s">
        <v>1941</v>
      </c>
      <c r="B425" t="s">
        <v>1942</v>
      </c>
      <c r="C425" t="s">
        <v>446</v>
      </c>
      <c r="D425" t="s">
        <v>34</v>
      </c>
      <c r="E425">
        <f>_xlfn.XLOOKUP(D425,'Resumen Estudiantes y Profesore'!B:B,'Resumen Estudiantes y Profesore'!A:A)</f>
        <v>39</v>
      </c>
      <c r="F425" t="s">
        <v>243</v>
      </c>
      <c r="G425" t="s">
        <v>247</v>
      </c>
      <c r="H425" t="s">
        <v>247</v>
      </c>
      <c r="I425" t="s">
        <v>682</v>
      </c>
      <c r="J425" t="s">
        <v>89</v>
      </c>
      <c r="K425" s="120" t="s">
        <v>1943</v>
      </c>
      <c r="N425" s="49"/>
      <c r="W425" s="49" t="s">
        <v>1944</v>
      </c>
    </row>
    <row r="426" spans="1:23">
      <c r="A426" t="s">
        <v>1945</v>
      </c>
      <c r="B426" t="s">
        <v>1946</v>
      </c>
      <c r="C426" t="s">
        <v>446</v>
      </c>
      <c r="D426" t="s">
        <v>34</v>
      </c>
      <c r="E426">
        <f>_xlfn.XLOOKUP(D426,'Resumen Estudiantes y Profesore'!B:B,'Resumen Estudiantes y Profesore'!A:A)</f>
        <v>39</v>
      </c>
      <c r="F426" t="s">
        <v>243</v>
      </c>
      <c r="G426" t="s">
        <v>247</v>
      </c>
      <c r="H426" t="s">
        <v>247</v>
      </c>
      <c r="I426" t="s">
        <v>682</v>
      </c>
      <c r="J426" t="s">
        <v>89</v>
      </c>
      <c r="K426" s="120" t="s">
        <v>1947</v>
      </c>
      <c r="N426" s="49"/>
    </row>
    <row r="427" spans="1:23">
      <c r="A427" t="s">
        <v>1948</v>
      </c>
      <c r="B427" t="s">
        <v>1949</v>
      </c>
      <c r="C427" t="s">
        <v>422</v>
      </c>
      <c r="D427" t="s">
        <v>238</v>
      </c>
      <c r="E427">
        <f>_xlfn.XLOOKUP(D427,'Resumen Estudiantes y Profesore'!B:B,'Resumen Estudiantes y Profesore'!A:A)</f>
        <v>157</v>
      </c>
      <c r="F427" t="s">
        <v>243</v>
      </c>
      <c r="G427" t="s">
        <v>247</v>
      </c>
      <c r="H427" t="s">
        <v>247</v>
      </c>
      <c r="I427" t="s">
        <v>682</v>
      </c>
      <c r="J427" t="s">
        <v>77</v>
      </c>
      <c r="K427" s="120" t="s">
        <v>1950</v>
      </c>
      <c r="N427" s="49"/>
    </row>
    <row r="428" spans="1:23">
      <c r="A428" t="s">
        <v>1951</v>
      </c>
      <c r="B428" t="s">
        <v>1952</v>
      </c>
      <c r="C428" t="s">
        <v>421</v>
      </c>
      <c r="D428" t="s">
        <v>236</v>
      </c>
      <c r="E428">
        <f>_xlfn.XLOOKUP(D428,'Resumen Estudiantes y Profesore'!B:B,'Resumen Estudiantes y Profesore'!A:A)</f>
        <v>155</v>
      </c>
      <c r="F428" t="s">
        <v>243</v>
      </c>
      <c r="G428" t="s">
        <v>247</v>
      </c>
      <c r="H428" t="s">
        <v>247</v>
      </c>
      <c r="I428" t="s">
        <v>682</v>
      </c>
      <c r="J428" t="s">
        <v>77</v>
      </c>
      <c r="K428" s="120" t="s">
        <v>1953</v>
      </c>
      <c r="N428" s="49"/>
    </row>
    <row r="429" spans="1:23">
      <c r="A429" t="s">
        <v>1954</v>
      </c>
      <c r="B429" t="s">
        <v>1955</v>
      </c>
      <c r="C429" t="s">
        <v>426</v>
      </c>
      <c r="D429" t="s">
        <v>23</v>
      </c>
      <c r="E429">
        <f>_xlfn.XLOOKUP(D429,'Resumen Estudiantes y Profesore'!B:B,'Resumen Estudiantes y Profesore'!A:A)</f>
        <v>26</v>
      </c>
      <c r="F429" t="s">
        <v>243</v>
      </c>
      <c r="G429" t="s">
        <v>247</v>
      </c>
      <c r="H429" t="s">
        <v>247</v>
      </c>
      <c r="I429" t="s">
        <v>682</v>
      </c>
      <c r="J429" t="s">
        <v>83</v>
      </c>
      <c r="K429" s="120" t="s">
        <v>1956</v>
      </c>
      <c r="N429" s="49"/>
    </row>
    <row r="430" spans="1:23">
      <c r="A430" t="s">
        <v>1957</v>
      </c>
      <c r="B430" t="s">
        <v>1958</v>
      </c>
      <c r="C430" t="s">
        <v>436</v>
      </c>
      <c r="D430" t="s">
        <v>29</v>
      </c>
      <c r="E430">
        <f>_xlfn.XLOOKUP(D430,'Resumen Estudiantes y Profesore'!B:B,'Resumen Estudiantes y Profesore'!A:A)</f>
        <v>33</v>
      </c>
      <c r="F430" t="s">
        <v>243</v>
      </c>
      <c r="G430" t="s">
        <v>247</v>
      </c>
      <c r="H430" t="s">
        <v>247</v>
      </c>
      <c r="I430" t="s">
        <v>682</v>
      </c>
      <c r="J430" t="s">
        <v>87</v>
      </c>
      <c r="K430" s="120" t="s">
        <v>1959</v>
      </c>
      <c r="N430" s="49"/>
    </row>
    <row r="431" spans="1:23">
      <c r="A431" t="s">
        <v>1960</v>
      </c>
      <c r="B431" t="s">
        <v>1961</v>
      </c>
      <c r="C431" t="s">
        <v>450</v>
      </c>
      <c r="D431" t="s">
        <v>37</v>
      </c>
      <c r="E431">
        <f>_xlfn.XLOOKUP(D431,'Resumen Estudiantes y Profesore'!B:B,'Resumen Estudiantes y Profesore'!A:A)</f>
        <v>41</v>
      </c>
      <c r="F431" t="s">
        <v>243</v>
      </c>
      <c r="G431" t="s">
        <v>247</v>
      </c>
      <c r="H431" t="s">
        <v>247</v>
      </c>
      <c r="I431" t="s">
        <v>682</v>
      </c>
      <c r="J431" t="s">
        <v>89</v>
      </c>
      <c r="K431" s="120" t="s">
        <v>1962</v>
      </c>
      <c r="N431" s="49"/>
    </row>
    <row r="432" spans="1:23">
      <c r="A432" t="s">
        <v>1963</v>
      </c>
      <c r="B432" t="s">
        <v>1964</v>
      </c>
      <c r="C432" t="s">
        <v>434</v>
      </c>
      <c r="D432" t="s">
        <v>28</v>
      </c>
      <c r="E432">
        <f>_xlfn.XLOOKUP(D432,'Resumen Estudiantes y Profesore'!B:B,'Resumen Estudiantes y Profesore'!A:A)</f>
        <v>32</v>
      </c>
      <c r="F432" t="s">
        <v>243</v>
      </c>
      <c r="G432" t="s">
        <v>247</v>
      </c>
      <c r="H432" t="s">
        <v>247</v>
      </c>
      <c r="I432" t="s">
        <v>682</v>
      </c>
      <c r="J432" t="s">
        <v>85</v>
      </c>
      <c r="K432" s="120" t="s">
        <v>1965</v>
      </c>
      <c r="N432" s="49"/>
    </row>
    <row r="433" spans="1:14">
      <c r="A433" t="s">
        <v>1966</v>
      </c>
      <c r="B433" t="s">
        <v>1967</v>
      </c>
      <c r="C433" t="s">
        <v>444</v>
      </c>
      <c r="D433" t="s">
        <v>33</v>
      </c>
      <c r="E433">
        <f>_xlfn.XLOOKUP(D433,'Resumen Estudiantes y Profesore'!B:B,'Resumen Estudiantes y Profesore'!A:A)</f>
        <v>38</v>
      </c>
      <c r="F433" t="s">
        <v>243</v>
      </c>
      <c r="G433" t="s">
        <v>247</v>
      </c>
      <c r="H433" t="s">
        <v>247</v>
      </c>
      <c r="I433" t="s">
        <v>682</v>
      </c>
      <c r="J433" t="s">
        <v>89</v>
      </c>
      <c r="K433" s="120" t="s">
        <v>1968</v>
      </c>
      <c r="N433" s="49"/>
    </row>
    <row r="434" spans="1:14">
      <c r="A434" t="s">
        <v>1969</v>
      </c>
      <c r="B434" t="s">
        <v>1970</v>
      </c>
      <c r="C434" t="s">
        <v>93</v>
      </c>
      <c r="D434" t="s">
        <v>93</v>
      </c>
      <c r="E434">
        <f>_xlfn.XLOOKUP(D434,'Resumen Estudiantes y Profesore'!B:B,'Resumen Estudiantes y Profesore'!A:A)</f>
        <v>210</v>
      </c>
      <c r="F434" t="s">
        <v>243</v>
      </c>
      <c r="G434" t="s">
        <v>247</v>
      </c>
      <c r="H434" t="s">
        <v>247</v>
      </c>
      <c r="I434" t="s">
        <v>682</v>
      </c>
      <c r="J434" t="s">
        <v>93</v>
      </c>
      <c r="K434" s="120" t="s">
        <v>1971</v>
      </c>
      <c r="N434" s="49"/>
    </row>
    <row r="435" spans="1:14">
      <c r="A435" t="s">
        <v>1920</v>
      </c>
      <c r="B435" t="s">
        <v>1972</v>
      </c>
      <c r="C435" t="s">
        <v>424</v>
      </c>
      <c r="D435" t="s">
        <v>24</v>
      </c>
      <c r="E435">
        <f>_xlfn.XLOOKUP(D435,'Resumen Estudiantes y Profesore'!B:B,'Resumen Estudiantes y Profesore'!A:A)</f>
        <v>27</v>
      </c>
      <c r="F435" t="s">
        <v>243</v>
      </c>
      <c r="G435" t="s">
        <v>247</v>
      </c>
      <c r="H435" t="s">
        <v>247</v>
      </c>
      <c r="I435" t="s">
        <v>682</v>
      </c>
      <c r="J435" t="s">
        <v>83</v>
      </c>
      <c r="K435" s="120" t="s">
        <v>1973</v>
      </c>
      <c r="N435" s="49"/>
    </row>
    <row r="436" spans="1:14">
      <c r="A436" t="s">
        <v>1974</v>
      </c>
      <c r="B436" t="s">
        <v>1975</v>
      </c>
      <c r="C436" t="s">
        <v>426</v>
      </c>
      <c r="D436" t="s">
        <v>23</v>
      </c>
      <c r="E436">
        <f>_xlfn.XLOOKUP(D436,'Resumen Estudiantes y Profesore'!B:B,'Resumen Estudiantes y Profesore'!A:A)</f>
        <v>26</v>
      </c>
      <c r="F436" t="s">
        <v>243</v>
      </c>
      <c r="G436" t="s">
        <v>247</v>
      </c>
      <c r="H436" t="s">
        <v>247</v>
      </c>
      <c r="I436" t="s">
        <v>682</v>
      </c>
      <c r="J436" t="s">
        <v>83</v>
      </c>
      <c r="K436" s="120" t="s">
        <v>1976</v>
      </c>
      <c r="N436" s="49"/>
    </row>
    <row r="437" spans="1:14">
      <c r="A437" t="s">
        <v>1977</v>
      </c>
      <c r="B437" t="s">
        <v>1978</v>
      </c>
      <c r="C437" t="s">
        <v>451</v>
      </c>
      <c r="D437" t="s">
        <v>38</v>
      </c>
      <c r="E437">
        <f>_xlfn.XLOOKUP(D437,'Resumen Estudiantes y Profesore'!B:B,'Resumen Estudiantes y Profesore'!A:A)</f>
        <v>42</v>
      </c>
      <c r="F437" t="s">
        <v>243</v>
      </c>
      <c r="G437" t="s">
        <v>247</v>
      </c>
      <c r="H437" t="s">
        <v>247</v>
      </c>
      <c r="I437" t="s">
        <v>682</v>
      </c>
      <c r="J437" t="s">
        <v>90</v>
      </c>
      <c r="K437" s="120" t="s">
        <v>1979</v>
      </c>
      <c r="N437" s="49"/>
    </row>
    <row r="438" spans="1:14">
      <c r="A438" t="s">
        <v>1332</v>
      </c>
      <c r="B438" t="s">
        <v>1980</v>
      </c>
      <c r="C438" t="s">
        <v>451</v>
      </c>
      <c r="D438" t="s">
        <v>38</v>
      </c>
      <c r="E438">
        <f>_xlfn.XLOOKUP(D438,'Resumen Estudiantes y Profesore'!B:B,'Resumen Estudiantes y Profesore'!A:A)</f>
        <v>42</v>
      </c>
      <c r="F438" t="s">
        <v>243</v>
      </c>
      <c r="G438" t="s">
        <v>247</v>
      </c>
      <c r="H438" t="s">
        <v>247</v>
      </c>
      <c r="I438" t="s">
        <v>682</v>
      </c>
      <c r="J438" t="s">
        <v>90</v>
      </c>
      <c r="K438" s="120" t="s">
        <v>1981</v>
      </c>
      <c r="N438" s="49"/>
    </row>
    <row r="439" spans="1:14">
      <c r="A439" t="s">
        <v>949</v>
      </c>
      <c r="B439" t="s">
        <v>1982</v>
      </c>
      <c r="C439" t="s">
        <v>451</v>
      </c>
      <c r="D439" t="s">
        <v>38</v>
      </c>
      <c r="E439">
        <f>_xlfn.XLOOKUP(D439,'Resumen Estudiantes y Profesore'!B:B,'Resumen Estudiantes y Profesore'!A:A)</f>
        <v>42</v>
      </c>
      <c r="F439" t="s">
        <v>243</v>
      </c>
      <c r="G439" t="s">
        <v>247</v>
      </c>
      <c r="H439" t="s">
        <v>247</v>
      </c>
      <c r="I439" t="s">
        <v>682</v>
      </c>
      <c r="J439" t="s">
        <v>90</v>
      </c>
      <c r="K439" s="120" t="s">
        <v>1983</v>
      </c>
      <c r="N439" s="49"/>
    </row>
    <row r="440" spans="1:14">
      <c r="A440" t="s">
        <v>1984</v>
      </c>
      <c r="B440" t="s">
        <v>1985</v>
      </c>
      <c r="C440" t="s">
        <v>451</v>
      </c>
      <c r="D440" t="s">
        <v>38</v>
      </c>
      <c r="E440">
        <f>_xlfn.XLOOKUP(D440,'Resumen Estudiantes y Profesore'!B:B,'Resumen Estudiantes y Profesore'!A:A)</f>
        <v>42</v>
      </c>
      <c r="F440" t="s">
        <v>243</v>
      </c>
      <c r="G440" t="s">
        <v>247</v>
      </c>
      <c r="H440" t="s">
        <v>247</v>
      </c>
      <c r="I440" t="s">
        <v>682</v>
      </c>
      <c r="J440" t="s">
        <v>90</v>
      </c>
      <c r="K440" s="120" t="s">
        <v>1986</v>
      </c>
      <c r="N440" s="49"/>
    </row>
    <row r="441" spans="1:14">
      <c r="A441" t="s">
        <v>1987</v>
      </c>
      <c r="B441" t="s">
        <v>1988</v>
      </c>
      <c r="C441" t="s">
        <v>451</v>
      </c>
      <c r="D441" t="s">
        <v>38</v>
      </c>
      <c r="E441">
        <f>_xlfn.XLOOKUP(D441,'Resumen Estudiantes y Profesore'!B:B,'Resumen Estudiantes y Profesore'!A:A)</f>
        <v>42</v>
      </c>
      <c r="F441" t="s">
        <v>243</v>
      </c>
      <c r="G441" t="s">
        <v>247</v>
      </c>
      <c r="H441" t="s">
        <v>247</v>
      </c>
      <c r="I441" t="s">
        <v>682</v>
      </c>
      <c r="J441" t="s">
        <v>90</v>
      </c>
      <c r="K441" s="120" t="s">
        <v>1989</v>
      </c>
      <c r="N441" s="49"/>
    </row>
    <row r="442" spans="1:14">
      <c r="A442" t="s">
        <v>1990</v>
      </c>
      <c r="B442" t="s">
        <v>1991</v>
      </c>
      <c r="C442" t="s">
        <v>451</v>
      </c>
      <c r="D442" t="s">
        <v>38</v>
      </c>
      <c r="E442">
        <f>_xlfn.XLOOKUP(D442,'Resumen Estudiantes y Profesore'!B:B,'Resumen Estudiantes y Profesore'!A:A)</f>
        <v>42</v>
      </c>
      <c r="F442" t="s">
        <v>243</v>
      </c>
      <c r="G442" t="s">
        <v>247</v>
      </c>
      <c r="H442" t="s">
        <v>247</v>
      </c>
      <c r="I442" t="s">
        <v>682</v>
      </c>
      <c r="J442" t="s">
        <v>90</v>
      </c>
      <c r="K442" s="120" t="s">
        <v>1992</v>
      </c>
      <c r="N442" s="49"/>
    </row>
    <row r="443" spans="1:14">
      <c r="A443" t="s">
        <v>1993</v>
      </c>
      <c r="B443" t="s">
        <v>1994</v>
      </c>
      <c r="C443" t="s">
        <v>451</v>
      </c>
      <c r="D443" t="s">
        <v>38</v>
      </c>
      <c r="E443">
        <f>_xlfn.XLOOKUP(D443,'Resumen Estudiantes y Profesore'!B:B,'Resumen Estudiantes y Profesore'!A:A)</f>
        <v>42</v>
      </c>
      <c r="F443" t="s">
        <v>243</v>
      </c>
      <c r="G443" t="s">
        <v>247</v>
      </c>
      <c r="H443" t="s">
        <v>247</v>
      </c>
      <c r="I443" t="s">
        <v>682</v>
      </c>
      <c r="J443" t="s">
        <v>90</v>
      </c>
      <c r="K443" s="120" t="s">
        <v>1995</v>
      </c>
      <c r="N443" s="49"/>
    </row>
    <row r="444" spans="1:14">
      <c r="A444" t="s">
        <v>1996</v>
      </c>
      <c r="B444" t="s">
        <v>1997</v>
      </c>
      <c r="C444" t="s">
        <v>451</v>
      </c>
      <c r="D444" t="s">
        <v>38</v>
      </c>
      <c r="E444">
        <f>_xlfn.XLOOKUP(D444,'Resumen Estudiantes y Profesore'!B:B,'Resumen Estudiantes y Profesore'!A:A)</f>
        <v>42</v>
      </c>
      <c r="F444" t="s">
        <v>243</v>
      </c>
      <c r="G444" t="s">
        <v>247</v>
      </c>
      <c r="H444" t="s">
        <v>247</v>
      </c>
      <c r="I444" t="s">
        <v>682</v>
      </c>
      <c r="J444" t="s">
        <v>90</v>
      </c>
      <c r="K444" s="120" t="s">
        <v>1998</v>
      </c>
      <c r="N444" s="49"/>
    </row>
    <row r="445" spans="1:14">
      <c r="A445" t="s">
        <v>1999</v>
      </c>
      <c r="B445" t="s">
        <v>2000</v>
      </c>
      <c r="C445" t="s">
        <v>451</v>
      </c>
      <c r="D445" t="s">
        <v>38</v>
      </c>
      <c r="E445">
        <f>_xlfn.XLOOKUP(D445,'Resumen Estudiantes y Profesore'!B:B,'Resumen Estudiantes y Profesore'!A:A)</f>
        <v>42</v>
      </c>
      <c r="F445" t="s">
        <v>243</v>
      </c>
      <c r="G445" t="s">
        <v>247</v>
      </c>
      <c r="H445" t="s">
        <v>247</v>
      </c>
      <c r="I445" t="s">
        <v>682</v>
      </c>
      <c r="J445" t="s">
        <v>90</v>
      </c>
      <c r="K445" s="120" t="s">
        <v>2001</v>
      </c>
      <c r="N445" s="49"/>
    </row>
    <row r="446" spans="1:14">
      <c r="A446" t="s">
        <v>2002</v>
      </c>
      <c r="B446" t="s">
        <v>2003</v>
      </c>
      <c r="C446" t="s">
        <v>451</v>
      </c>
      <c r="D446" t="s">
        <v>38</v>
      </c>
      <c r="E446">
        <f>_xlfn.XLOOKUP(D446,'Resumen Estudiantes y Profesore'!B:B,'Resumen Estudiantes y Profesore'!A:A)</f>
        <v>42</v>
      </c>
      <c r="F446" t="s">
        <v>243</v>
      </c>
      <c r="G446" t="s">
        <v>247</v>
      </c>
      <c r="H446" t="s">
        <v>247</v>
      </c>
      <c r="I446" t="s">
        <v>682</v>
      </c>
      <c r="J446" t="s">
        <v>90</v>
      </c>
      <c r="K446" s="120" t="s">
        <v>2004</v>
      </c>
      <c r="N446" s="49"/>
    </row>
    <row r="447" spans="1:14">
      <c r="A447" t="s">
        <v>2005</v>
      </c>
      <c r="B447" t="s">
        <v>2006</v>
      </c>
      <c r="C447" t="s">
        <v>451</v>
      </c>
      <c r="D447" t="s">
        <v>38</v>
      </c>
      <c r="E447">
        <f>_xlfn.XLOOKUP(D447,'Resumen Estudiantes y Profesore'!B:B,'Resumen Estudiantes y Profesore'!A:A)</f>
        <v>42</v>
      </c>
      <c r="F447" t="s">
        <v>243</v>
      </c>
      <c r="G447" t="s">
        <v>247</v>
      </c>
      <c r="H447" t="s">
        <v>247</v>
      </c>
      <c r="I447" t="s">
        <v>682</v>
      </c>
      <c r="J447" t="s">
        <v>90</v>
      </c>
      <c r="K447" s="120" t="s">
        <v>2007</v>
      </c>
      <c r="N447" s="49"/>
    </row>
    <row r="448" spans="1:14">
      <c r="A448" t="s">
        <v>2008</v>
      </c>
      <c r="B448" t="s">
        <v>2009</v>
      </c>
      <c r="C448" t="s">
        <v>451</v>
      </c>
      <c r="D448" t="s">
        <v>38</v>
      </c>
      <c r="E448">
        <f>_xlfn.XLOOKUP(D448,'Resumen Estudiantes y Profesore'!B:B,'Resumen Estudiantes y Profesore'!A:A)</f>
        <v>42</v>
      </c>
      <c r="F448" t="s">
        <v>243</v>
      </c>
      <c r="G448" t="s">
        <v>247</v>
      </c>
      <c r="H448" t="s">
        <v>247</v>
      </c>
      <c r="I448" t="s">
        <v>682</v>
      </c>
      <c r="J448" t="s">
        <v>90</v>
      </c>
      <c r="K448" s="120" t="s">
        <v>2010</v>
      </c>
      <c r="N448" s="49"/>
    </row>
    <row r="449" spans="1:14">
      <c r="A449" t="s">
        <v>2011</v>
      </c>
      <c r="B449" t="s">
        <v>2012</v>
      </c>
      <c r="C449" t="s">
        <v>451</v>
      </c>
      <c r="D449" t="s">
        <v>38</v>
      </c>
      <c r="E449">
        <f>_xlfn.XLOOKUP(D449,'Resumen Estudiantes y Profesore'!B:B,'Resumen Estudiantes y Profesore'!A:A)</f>
        <v>42</v>
      </c>
      <c r="F449" t="s">
        <v>243</v>
      </c>
      <c r="G449" t="s">
        <v>247</v>
      </c>
      <c r="H449" t="s">
        <v>247</v>
      </c>
      <c r="I449" t="s">
        <v>682</v>
      </c>
      <c r="J449" t="s">
        <v>90</v>
      </c>
      <c r="K449" s="120" t="s">
        <v>2013</v>
      </c>
      <c r="N449" s="49"/>
    </row>
    <row r="450" spans="1:14">
      <c r="A450" t="s">
        <v>2014</v>
      </c>
      <c r="B450" t="s">
        <v>2015</v>
      </c>
      <c r="C450" t="s">
        <v>451</v>
      </c>
      <c r="D450" t="s">
        <v>38</v>
      </c>
      <c r="E450">
        <f>_xlfn.XLOOKUP(D450,'Resumen Estudiantes y Profesore'!B:B,'Resumen Estudiantes y Profesore'!A:A)</f>
        <v>42</v>
      </c>
      <c r="F450" t="s">
        <v>243</v>
      </c>
      <c r="G450" t="s">
        <v>247</v>
      </c>
      <c r="H450" t="s">
        <v>247</v>
      </c>
      <c r="I450" t="s">
        <v>682</v>
      </c>
      <c r="J450" t="s">
        <v>90</v>
      </c>
      <c r="K450" s="120" t="s">
        <v>2016</v>
      </c>
      <c r="N450" s="49"/>
    </row>
    <row r="451" spans="1:14">
      <c r="A451" t="s">
        <v>2017</v>
      </c>
      <c r="B451" t="s">
        <v>2018</v>
      </c>
      <c r="C451" t="s">
        <v>451</v>
      </c>
      <c r="D451" t="s">
        <v>38</v>
      </c>
      <c r="E451">
        <f>_xlfn.XLOOKUP(D451,'Resumen Estudiantes y Profesore'!B:B,'Resumen Estudiantes y Profesore'!A:A)</f>
        <v>42</v>
      </c>
      <c r="F451" t="s">
        <v>243</v>
      </c>
      <c r="G451" t="s">
        <v>247</v>
      </c>
      <c r="H451" t="s">
        <v>247</v>
      </c>
      <c r="I451" t="s">
        <v>682</v>
      </c>
      <c r="J451" t="s">
        <v>90</v>
      </c>
      <c r="K451" s="120" t="s">
        <v>2019</v>
      </c>
      <c r="N451" s="49"/>
    </row>
    <row r="452" spans="1:14">
      <c r="A452" t="s">
        <v>2020</v>
      </c>
      <c r="B452" t="s">
        <v>2021</v>
      </c>
      <c r="C452" t="s">
        <v>451</v>
      </c>
      <c r="D452" t="s">
        <v>38</v>
      </c>
      <c r="E452">
        <f>_xlfn.XLOOKUP(D452,'Resumen Estudiantes y Profesore'!B:B,'Resumen Estudiantes y Profesore'!A:A)</f>
        <v>42</v>
      </c>
      <c r="F452" t="s">
        <v>243</v>
      </c>
      <c r="G452" t="s">
        <v>247</v>
      </c>
      <c r="H452" t="s">
        <v>247</v>
      </c>
      <c r="I452" t="s">
        <v>682</v>
      </c>
      <c r="J452" t="s">
        <v>90</v>
      </c>
      <c r="K452" s="120" t="s">
        <v>2022</v>
      </c>
      <c r="N452" s="49"/>
    </row>
    <row r="453" spans="1:14">
      <c r="A453" t="s">
        <v>2023</v>
      </c>
      <c r="B453" t="s">
        <v>2024</v>
      </c>
      <c r="C453" t="s">
        <v>451</v>
      </c>
      <c r="D453" t="s">
        <v>38</v>
      </c>
      <c r="E453">
        <f>_xlfn.XLOOKUP(D453,'Resumen Estudiantes y Profesore'!B:B,'Resumen Estudiantes y Profesore'!A:A)</f>
        <v>42</v>
      </c>
      <c r="F453" t="s">
        <v>243</v>
      </c>
      <c r="G453" t="s">
        <v>247</v>
      </c>
      <c r="H453" t="s">
        <v>247</v>
      </c>
      <c r="I453" t="s">
        <v>682</v>
      </c>
      <c r="J453" t="s">
        <v>90</v>
      </c>
      <c r="K453" s="120" t="s">
        <v>2025</v>
      </c>
      <c r="N453" s="49"/>
    </row>
    <row r="454" spans="1:14">
      <c r="A454" t="s">
        <v>2026</v>
      </c>
      <c r="B454" t="s">
        <v>2027</v>
      </c>
      <c r="C454" t="s">
        <v>451</v>
      </c>
      <c r="D454" t="s">
        <v>38</v>
      </c>
      <c r="E454">
        <f>_xlfn.XLOOKUP(D454,'Resumen Estudiantes y Profesore'!B:B,'Resumen Estudiantes y Profesore'!A:A)</f>
        <v>42</v>
      </c>
      <c r="F454" t="s">
        <v>243</v>
      </c>
      <c r="G454" t="s">
        <v>247</v>
      </c>
      <c r="H454" t="s">
        <v>247</v>
      </c>
      <c r="I454" t="s">
        <v>682</v>
      </c>
      <c r="J454" t="s">
        <v>90</v>
      </c>
      <c r="K454" s="120" t="s">
        <v>2028</v>
      </c>
      <c r="N454" s="49"/>
    </row>
    <row r="455" spans="1:14">
      <c r="A455" t="s">
        <v>2029</v>
      </c>
      <c r="B455" t="s">
        <v>2030</v>
      </c>
      <c r="C455" t="s">
        <v>451</v>
      </c>
      <c r="D455" t="s">
        <v>38</v>
      </c>
      <c r="E455">
        <f>_xlfn.XLOOKUP(D455,'Resumen Estudiantes y Profesore'!B:B,'Resumen Estudiantes y Profesore'!A:A)</f>
        <v>42</v>
      </c>
      <c r="F455" t="s">
        <v>243</v>
      </c>
      <c r="G455" t="s">
        <v>247</v>
      </c>
      <c r="H455" t="s">
        <v>247</v>
      </c>
      <c r="I455" t="s">
        <v>682</v>
      </c>
      <c r="J455" t="s">
        <v>90</v>
      </c>
      <c r="K455" s="120" t="s">
        <v>2031</v>
      </c>
      <c r="N455" s="49"/>
    </row>
    <row r="456" spans="1:14">
      <c r="A456" t="s">
        <v>2032</v>
      </c>
      <c r="B456" t="s">
        <v>2033</v>
      </c>
      <c r="C456" t="s">
        <v>451</v>
      </c>
      <c r="D456" t="s">
        <v>38</v>
      </c>
      <c r="E456">
        <f>_xlfn.XLOOKUP(D456,'Resumen Estudiantes y Profesore'!B:B,'Resumen Estudiantes y Profesore'!A:A)</f>
        <v>42</v>
      </c>
      <c r="F456" t="s">
        <v>243</v>
      </c>
      <c r="G456" t="s">
        <v>247</v>
      </c>
      <c r="H456" t="s">
        <v>247</v>
      </c>
      <c r="I456" t="s">
        <v>682</v>
      </c>
      <c r="J456" t="s">
        <v>90</v>
      </c>
      <c r="K456" s="120" t="s">
        <v>2034</v>
      </c>
      <c r="N456" s="49"/>
    </row>
    <row r="457" spans="1:14">
      <c r="A457" t="s">
        <v>2035</v>
      </c>
      <c r="B457" t="s">
        <v>2036</v>
      </c>
      <c r="C457" t="s">
        <v>451</v>
      </c>
      <c r="D457" t="s">
        <v>38</v>
      </c>
      <c r="E457">
        <f>_xlfn.XLOOKUP(D457,'Resumen Estudiantes y Profesore'!B:B,'Resumen Estudiantes y Profesore'!A:A)</f>
        <v>42</v>
      </c>
      <c r="F457" t="s">
        <v>243</v>
      </c>
      <c r="G457" t="s">
        <v>247</v>
      </c>
      <c r="H457" t="s">
        <v>247</v>
      </c>
      <c r="I457" t="s">
        <v>682</v>
      </c>
      <c r="J457" t="s">
        <v>90</v>
      </c>
      <c r="K457" s="120" t="s">
        <v>2037</v>
      </c>
      <c r="N457" s="49"/>
    </row>
    <row r="458" spans="1:14">
      <c r="A458" t="s">
        <v>2038</v>
      </c>
      <c r="B458" t="s">
        <v>2039</v>
      </c>
      <c r="C458" t="s">
        <v>1573</v>
      </c>
      <c r="D458" t="s">
        <v>134</v>
      </c>
      <c r="E458">
        <f>_xlfn.XLOOKUP(D458,'Resumen Estudiantes y Profesore'!B:B,'Resumen Estudiantes y Profesore'!A:A)</f>
        <v>102</v>
      </c>
      <c r="F458" t="s">
        <v>243</v>
      </c>
      <c r="G458" t="s">
        <v>247</v>
      </c>
      <c r="H458" t="s">
        <v>247</v>
      </c>
      <c r="I458" t="s">
        <v>674</v>
      </c>
      <c r="J458" t="s">
        <v>84</v>
      </c>
      <c r="K458" s="120" t="s">
        <v>2040</v>
      </c>
      <c r="N458" s="49"/>
    </row>
    <row r="459" spans="1:14">
      <c r="A459" t="s">
        <v>2041</v>
      </c>
      <c r="B459" t="s">
        <v>2042</v>
      </c>
      <c r="C459" t="s">
        <v>781</v>
      </c>
      <c r="D459" t="s">
        <v>131</v>
      </c>
      <c r="E459">
        <f>_xlfn.XLOOKUP(D459,'Resumen Estudiantes y Profesore'!B:B,'Resumen Estudiantes y Profesore'!A:A)</f>
        <v>99</v>
      </c>
      <c r="F459" t="s">
        <v>243</v>
      </c>
      <c r="G459" t="s">
        <v>247</v>
      </c>
      <c r="H459" t="s">
        <v>247</v>
      </c>
      <c r="I459" t="s">
        <v>674</v>
      </c>
      <c r="J459" t="s">
        <v>84</v>
      </c>
      <c r="K459" s="120" t="s">
        <v>2043</v>
      </c>
      <c r="N459" s="49"/>
    </row>
    <row r="460" spans="1:14">
      <c r="A460" t="s">
        <v>2044</v>
      </c>
      <c r="B460" t="s">
        <v>2045</v>
      </c>
      <c r="C460" t="s">
        <v>2046</v>
      </c>
      <c r="D460" t="s">
        <v>179</v>
      </c>
      <c r="E460">
        <f>_xlfn.XLOOKUP(D460,'Resumen Estudiantes y Profesore'!B:B,'Resumen Estudiantes y Profesore'!A:A)</f>
        <v>73</v>
      </c>
      <c r="F460" t="s">
        <v>243</v>
      </c>
      <c r="G460" t="s">
        <v>247</v>
      </c>
      <c r="H460" t="s">
        <v>247</v>
      </c>
      <c r="I460" t="s">
        <v>674</v>
      </c>
      <c r="J460" t="s">
        <v>89</v>
      </c>
      <c r="K460" s="120" t="s">
        <v>2047</v>
      </c>
      <c r="N460" s="49"/>
    </row>
    <row r="461" spans="1:14">
      <c r="A461" t="s">
        <v>2048</v>
      </c>
      <c r="B461" t="s">
        <v>2049</v>
      </c>
      <c r="C461" t="s">
        <v>543</v>
      </c>
      <c r="D461" t="s">
        <v>209</v>
      </c>
      <c r="E461">
        <f>_xlfn.XLOOKUP(D461,'Resumen Estudiantes y Profesore'!B:B,'Resumen Estudiantes y Profesore'!A:A)</f>
        <v>88</v>
      </c>
      <c r="F461" t="s">
        <v>243</v>
      </c>
      <c r="G461" t="s">
        <v>247</v>
      </c>
      <c r="H461" t="s">
        <v>247</v>
      </c>
      <c r="I461" t="s">
        <v>674</v>
      </c>
      <c r="J461" t="s">
        <v>85</v>
      </c>
      <c r="K461" s="120" t="s">
        <v>2050</v>
      </c>
      <c r="N461" s="49"/>
    </row>
    <row r="462" spans="1:14">
      <c r="A462" t="s">
        <v>2051</v>
      </c>
      <c r="B462" t="s">
        <v>2052</v>
      </c>
      <c r="C462" t="s">
        <v>2046</v>
      </c>
      <c r="D462" t="s">
        <v>179</v>
      </c>
      <c r="E462">
        <f>_xlfn.XLOOKUP(D462,'Resumen Estudiantes y Profesore'!B:B,'Resumen Estudiantes y Profesore'!A:A)</f>
        <v>73</v>
      </c>
      <c r="F462" t="s">
        <v>243</v>
      </c>
      <c r="G462" t="s">
        <v>247</v>
      </c>
      <c r="H462" t="s">
        <v>247</v>
      </c>
      <c r="I462" t="s">
        <v>674</v>
      </c>
      <c r="J462" t="s">
        <v>89</v>
      </c>
      <c r="K462" s="120" t="s">
        <v>2053</v>
      </c>
      <c r="N462" s="49"/>
    </row>
    <row r="463" spans="1:14">
      <c r="A463" t="s">
        <v>761</v>
      </c>
      <c r="B463" t="s">
        <v>2054</v>
      </c>
      <c r="C463" t="s">
        <v>456</v>
      </c>
      <c r="D463" t="s">
        <v>185</v>
      </c>
      <c r="E463">
        <f>_xlfn.XLOOKUP(D463,'Resumen Estudiantes y Profesore'!B:B,'Resumen Estudiantes y Profesore'!A:A)</f>
        <v>57</v>
      </c>
      <c r="F463" t="s">
        <v>243</v>
      </c>
      <c r="G463" t="s">
        <v>247</v>
      </c>
      <c r="H463" t="s">
        <v>247</v>
      </c>
      <c r="I463" t="s">
        <v>674</v>
      </c>
      <c r="J463" t="s">
        <v>84</v>
      </c>
      <c r="K463" s="120" t="s">
        <v>2055</v>
      </c>
      <c r="N463" s="49"/>
    </row>
    <row r="464" spans="1:14">
      <c r="A464" t="s">
        <v>2056</v>
      </c>
      <c r="B464" t="s">
        <v>2057</v>
      </c>
      <c r="C464" t="s">
        <v>2058</v>
      </c>
      <c r="D464" t="s">
        <v>136</v>
      </c>
      <c r="E464">
        <f>_xlfn.XLOOKUP(D464,'Resumen Estudiantes y Profesore'!B:B,'Resumen Estudiantes y Profesore'!A:A)</f>
        <v>103</v>
      </c>
      <c r="F464" t="s">
        <v>243</v>
      </c>
      <c r="G464" t="s">
        <v>247</v>
      </c>
      <c r="H464" t="s">
        <v>247</v>
      </c>
      <c r="I464" t="s">
        <v>674</v>
      </c>
      <c r="J464" t="s">
        <v>85</v>
      </c>
      <c r="K464" s="120" t="s">
        <v>2059</v>
      </c>
      <c r="N464" s="49"/>
    </row>
    <row r="465" spans="1:14">
      <c r="A465" t="s">
        <v>2060</v>
      </c>
      <c r="B465" t="s">
        <v>2061</v>
      </c>
      <c r="C465" t="s">
        <v>673</v>
      </c>
      <c r="D465" t="s">
        <v>137</v>
      </c>
      <c r="E465">
        <f>_xlfn.XLOOKUP(D465,'Resumen Estudiantes y Profesore'!B:B,'Resumen Estudiantes y Profesore'!A:A)</f>
        <v>202</v>
      </c>
      <c r="F465" t="s">
        <v>243</v>
      </c>
      <c r="G465" t="s">
        <v>246</v>
      </c>
      <c r="H465" t="s">
        <v>247</v>
      </c>
      <c r="I465" t="s">
        <v>674</v>
      </c>
      <c r="J465" t="s">
        <v>138</v>
      </c>
      <c r="K465" s="120" t="s">
        <v>2062</v>
      </c>
      <c r="N465" s="49"/>
    </row>
    <row r="466" spans="1:14">
      <c r="A466" t="s">
        <v>2063</v>
      </c>
      <c r="B466" t="s">
        <v>2064</v>
      </c>
      <c r="C466" t="s">
        <v>2065</v>
      </c>
      <c r="D466" t="s">
        <v>124</v>
      </c>
      <c r="E466">
        <f>_xlfn.XLOOKUP(D466,'Resumen Estudiantes y Profesore'!B:B,'Resumen Estudiantes y Profesore'!A:A)</f>
        <v>12</v>
      </c>
      <c r="F466" t="s">
        <v>243</v>
      </c>
      <c r="G466" t="s">
        <v>247</v>
      </c>
      <c r="H466" t="s">
        <v>247</v>
      </c>
      <c r="I466" t="s">
        <v>674</v>
      </c>
      <c r="J466" t="s">
        <v>90</v>
      </c>
      <c r="K466" s="120" t="s">
        <v>2066</v>
      </c>
      <c r="N466" s="49"/>
    </row>
    <row r="467" spans="1:14">
      <c r="A467" t="s">
        <v>2067</v>
      </c>
      <c r="B467" t="s">
        <v>2068</v>
      </c>
      <c r="C467" t="s">
        <v>611</v>
      </c>
      <c r="D467" t="s">
        <v>176</v>
      </c>
      <c r="E467">
        <f>_xlfn.XLOOKUP(D467,'Resumen Estudiantes y Profesore'!B:B,'Resumen Estudiantes y Profesore'!A:A)</f>
        <v>121</v>
      </c>
      <c r="F467" t="s">
        <v>243</v>
      </c>
      <c r="G467" t="s">
        <v>247</v>
      </c>
      <c r="H467" t="s">
        <v>247</v>
      </c>
      <c r="I467" t="s">
        <v>674</v>
      </c>
      <c r="J467" t="s">
        <v>84</v>
      </c>
      <c r="K467" s="120" t="s">
        <v>2069</v>
      </c>
      <c r="N467" s="49"/>
    </row>
    <row r="468" spans="1:14">
      <c r="A468" t="s">
        <v>2070</v>
      </c>
      <c r="B468" t="s">
        <v>2071</v>
      </c>
      <c r="C468" t="s">
        <v>1119</v>
      </c>
      <c r="D468" t="s">
        <v>119</v>
      </c>
      <c r="E468">
        <f>_xlfn.XLOOKUP(D468,'Resumen Estudiantes y Profesore'!B:B,'Resumen Estudiantes y Profesore'!A:A)</f>
        <v>8</v>
      </c>
      <c r="F468" t="s">
        <v>243</v>
      </c>
      <c r="G468" t="s">
        <v>247</v>
      </c>
      <c r="H468" t="s">
        <v>247</v>
      </c>
      <c r="I468" t="s">
        <v>674</v>
      </c>
      <c r="J468" t="s">
        <v>90</v>
      </c>
      <c r="K468" s="120" t="s">
        <v>2072</v>
      </c>
      <c r="N468" s="49"/>
    </row>
    <row r="469" spans="1:14">
      <c r="A469" t="s">
        <v>2073</v>
      </c>
      <c r="B469" t="s">
        <v>2074</v>
      </c>
      <c r="C469" t="s">
        <v>2075</v>
      </c>
      <c r="D469" t="s">
        <v>116</v>
      </c>
      <c r="E469">
        <f>_xlfn.XLOOKUP(D469,'Resumen Estudiantes y Profesore'!B:B,'Resumen Estudiantes y Profesore'!A:A)</f>
        <v>17</v>
      </c>
      <c r="F469" t="s">
        <v>243</v>
      </c>
      <c r="G469" t="s">
        <v>247</v>
      </c>
      <c r="H469" t="s">
        <v>247</v>
      </c>
      <c r="I469" t="s">
        <v>674</v>
      </c>
      <c r="J469" t="s">
        <v>90</v>
      </c>
      <c r="K469" s="120" t="s">
        <v>2076</v>
      </c>
      <c r="N469" s="49"/>
    </row>
    <row r="470" spans="1:14">
      <c r="A470" t="s">
        <v>2077</v>
      </c>
      <c r="B470" t="s">
        <v>2078</v>
      </c>
      <c r="C470" t="s">
        <v>888</v>
      </c>
      <c r="D470" t="s">
        <v>149</v>
      </c>
      <c r="E470">
        <f>_xlfn.XLOOKUP(D470,'Resumen Estudiantes y Profesore'!B:B,'Resumen Estudiantes y Profesore'!A:A)</f>
        <v>141</v>
      </c>
      <c r="F470" t="s">
        <v>243</v>
      </c>
      <c r="G470" t="s">
        <v>247</v>
      </c>
      <c r="H470" t="s">
        <v>247</v>
      </c>
      <c r="I470" t="s">
        <v>674</v>
      </c>
      <c r="J470" t="s">
        <v>138</v>
      </c>
      <c r="K470" s="120" t="s">
        <v>2079</v>
      </c>
      <c r="N470" s="49"/>
    </row>
    <row r="471" spans="1:14">
      <c r="A471" t="s">
        <v>1747</v>
      </c>
      <c r="B471" t="s">
        <v>2080</v>
      </c>
      <c r="C471" t="s">
        <v>1094</v>
      </c>
      <c r="D471" t="s">
        <v>199</v>
      </c>
      <c r="E471">
        <f>_xlfn.XLOOKUP(D471,'Resumen Estudiantes y Profesore'!B:B,'Resumen Estudiantes y Profesore'!A:A)</f>
        <v>49</v>
      </c>
      <c r="F471" t="s">
        <v>243</v>
      </c>
      <c r="G471" t="s">
        <v>246</v>
      </c>
      <c r="H471" t="s">
        <v>247</v>
      </c>
      <c r="I471" t="s">
        <v>674</v>
      </c>
      <c r="J471" t="s">
        <v>77</v>
      </c>
      <c r="K471" s="120" t="s">
        <v>2081</v>
      </c>
      <c r="N471" s="49"/>
    </row>
    <row r="472" spans="1:14">
      <c r="A472" t="s">
        <v>845</v>
      </c>
      <c r="B472" t="s">
        <v>2082</v>
      </c>
      <c r="C472" t="s">
        <v>1119</v>
      </c>
      <c r="D472" t="s">
        <v>119</v>
      </c>
      <c r="E472">
        <f>_xlfn.XLOOKUP(D472,'Resumen Estudiantes y Profesore'!B:B,'Resumen Estudiantes y Profesore'!A:A)</f>
        <v>8</v>
      </c>
      <c r="F472" t="s">
        <v>243</v>
      </c>
      <c r="G472" t="s">
        <v>247</v>
      </c>
      <c r="H472" t="s">
        <v>247</v>
      </c>
      <c r="I472" t="s">
        <v>674</v>
      </c>
      <c r="J472" t="s">
        <v>90</v>
      </c>
      <c r="K472" s="120" t="s">
        <v>2083</v>
      </c>
      <c r="N472" s="49"/>
    </row>
    <row r="473" spans="1:14">
      <c r="A473" t="s">
        <v>2084</v>
      </c>
      <c r="B473" t="s">
        <v>2085</v>
      </c>
      <c r="C473" t="s">
        <v>888</v>
      </c>
      <c r="D473" t="s">
        <v>149</v>
      </c>
      <c r="E473">
        <f>_xlfn.XLOOKUP(D473,'Resumen Estudiantes y Profesore'!B:B,'Resumen Estudiantes y Profesore'!A:A)</f>
        <v>141</v>
      </c>
      <c r="F473" t="s">
        <v>243</v>
      </c>
      <c r="G473" t="s">
        <v>247</v>
      </c>
      <c r="H473" t="s">
        <v>247</v>
      </c>
      <c r="I473" t="s">
        <v>674</v>
      </c>
      <c r="J473" t="s">
        <v>138</v>
      </c>
      <c r="K473" s="120" t="s">
        <v>2086</v>
      </c>
      <c r="N473" s="49"/>
    </row>
    <row r="474" spans="1:14">
      <c r="A474" t="s">
        <v>2087</v>
      </c>
      <c r="B474" t="s">
        <v>2088</v>
      </c>
      <c r="C474" t="s">
        <v>2089</v>
      </c>
      <c r="D474" t="s">
        <v>160</v>
      </c>
      <c r="E474">
        <f>_xlfn.XLOOKUP(D474,'Resumen Estudiantes y Profesore'!B:B,'Resumen Estudiantes y Profesore'!A:A)</f>
        <v>209</v>
      </c>
      <c r="F474" t="s">
        <v>243</v>
      </c>
      <c r="G474" t="s">
        <v>247</v>
      </c>
      <c r="H474" t="s">
        <v>247</v>
      </c>
      <c r="I474" t="s">
        <v>674</v>
      </c>
      <c r="J474" t="s">
        <v>138</v>
      </c>
      <c r="K474" s="120" t="s">
        <v>2090</v>
      </c>
      <c r="N474" s="49"/>
    </row>
    <row r="475" spans="1:14">
      <c r="A475" t="s">
        <v>2091</v>
      </c>
      <c r="B475" t="s">
        <v>2092</v>
      </c>
      <c r="C475" t="s">
        <v>888</v>
      </c>
      <c r="D475" t="s">
        <v>149</v>
      </c>
      <c r="E475">
        <f>_xlfn.XLOOKUP(D475,'Resumen Estudiantes y Profesore'!B:B,'Resumen Estudiantes y Profesore'!A:A)</f>
        <v>141</v>
      </c>
      <c r="F475" t="s">
        <v>243</v>
      </c>
      <c r="G475" t="s">
        <v>247</v>
      </c>
      <c r="H475" t="s">
        <v>247</v>
      </c>
      <c r="I475" t="s">
        <v>674</v>
      </c>
      <c r="J475" t="s">
        <v>138</v>
      </c>
      <c r="K475" s="120" t="s">
        <v>2093</v>
      </c>
      <c r="N475" s="49"/>
    </row>
    <row r="476" spans="1:14">
      <c r="A476" t="s">
        <v>2094</v>
      </c>
      <c r="B476" t="s">
        <v>2095</v>
      </c>
      <c r="C476" t="s">
        <v>781</v>
      </c>
      <c r="D476" t="s">
        <v>131</v>
      </c>
      <c r="E476">
        <f>_xlfn.XLOOKUP(D476,'Resumen Estudiantes y Profesore'!B:B,'Resumen Estudiantes y Profesore'!A:A)</f>
        <v>99</v>
      </c>
      <c r="F476" t="s">
        <v>243</v>
      </c>
      <c r="G476" t="s">
        <v>247</v>
      </c>
      <c r="H476" t="s">
        <v>247</v>
      </c>
      <c r="I476" t="s">
        <v>674</v>
      </c>
      <c r="J476" t="s">
        <v>84</v>
      </c>
      <c r="K476" s="120" t="s">
        <v>2096</v>
      </c>
      <c r="N476" s="49"/>
    </row>
    <row r="477" spans="1:14">
      <c r="A477" t="s">
        <v>2097</v>
      </c>
      <c r="B477" t="s">
        <v>2098</v>
      </c>
      <c r="C477" t="s">
        <v>2099</v>
      </c>
      <c r="D477" t="s">
        <v>113</v>
      </c>
      <c r="E477">
        <f>_xlfn.XLOOKUP(D477,'Resumen Estudiantes y Profesore'!B:B,'Resumen Estudiantes y Profesore'!A:A)</f>
        <v>4</v>
      </c>
      <c r="F477" t="s">
        <v>243</v>
      </c>
      <c r="G477" t="s">
        <v>247</v>
      </c>
      <c r="H477" t="s">
        <v>247</v>
      </c>
      <c r="I477" t="s">
        <v>674</v>
      </c>
      <c r="J477" t="s">
        <v>90</v>
      </c>
      <c r="K477" s="120" t="s">
        <v>2100</v>
      </c>
      <c r="N477" s="49"/>
    </row>
    <row r="478" spans="1:14">
      <c r="A478" t="s">
        <v>2101</v>
      </c>
      <c r="B478" t="s">
        <v>2102</v>
      </c>
      <c r="C478" t="s">
        <v>1119</v>
      </c>
      <c r="D478" t="s">
        <v>119</v>
      </c>
      <c r="E478">
        <f>_xlfn.XLOOKUP(D478,'Resumen Estudiantes y Profesore'!B:B,'Resumen Estudiantes y Profesore'!A:A)</f>
        <v>8</v>
      </c>
      <c r="F478" t="s">
        <v>243</v>
      </c>
      <c r="G478" t="s">
        <v>247</v>
      </c>
      <c r="H478" t="s">
        <v>247</v>
      </c>
      <c r="I478" t="s">
        <v>674</v>
      </c>
      <c r="J478" t="s">
        <v>90</v>
      </c>
      <c r="K478" s="120" t="s">
        <v>2103</v>
      </c>
      <c r="N478" s="49"/>
    </row>
    <row r="479" spans="1:14">
      <c r="A479" t="s">
        <v>2104</v>
      </c>
      <c r="B479" t="s">
        <v>2105</v>
      </c>
      <c r="C479" t="s">
        <v>458</v>
      </c>
      <c r="D479" t="s">
        <v>187</v>
      </c>
      <c r="E479">
        <f>_xlfn.XLOOKUP(D479,'Resumen Estudiantes y Profesore'!B:B,'Resumen Estudiantes y Profesore'!A:A)</f>
        <v>55</v>
      </c>
      <c r="F479" t="s">
        <v>243</v>
      </c>
      <c r="G479" t="s">
        <v>246</v>
      </c>
      <c r="H479" t="s">
        <v>247</v>
      </c>
      <c r="I479" t="s">
        <v>674</v>
      </c>
      <c r="J479" t="s">
        <v>84</v>
      </c>
      <c r="K479" s="120" t="s">
        <v>2106</v>
      </c>
      <c r="N479" s="49"/>
    </row>
    <row r="480" spans="1:14">
      <c r="A480" t="s">
        <v>2107</v>
      </c>
      <c r="B480" t="s">
        <v>2108</v>
      </c>
      <c r="C480" t="s">
        <v>1063</v>
      </c>
      <c r="D480" t="s">
        <v>129</v>
      </c>
      <c r="E480">
        <f>_xlfn.XLOOKUP(D480,'Resumen Estudiantes y Profesore'!B:B,'Resumen Estudiantes y Profesore'!A:A)</f>
        <v>97</v>
      </c>
      <c r="F480" t="s">
        <v>243</v>
      </c>
      <c r="G480" t="s">
        <v>247</v>
      </c>
      <c r="H480" t="s">
        <v>247</v>
      </c>
      <c r="I480" t="s">
        <v>674</v>
      </c>
      <c r="J480" t="s">
        <v>84</v>
      </c>
      <c r="K480" s="120" t="s">
        <v>2109</v>
      </c>
      <c r="N480" s="49"/>
    </row>
    <row r="481" spans="1:23">
      <c r="A481" t="s">
        <v>2110</v>
      </c>
      <c r="B481" t="s">
        <v>2111</v>
      </c>
      <c r="C481" t="s">
        <v>421</v>
      </c>
      <c r="D481" t="s">
        <v>236</v>
      </c>
      <c r="E481">
        <f>_xlfn.XLOOKUP(D481,'Resumen Estudiantes y Profesore'!B:B,'Resumen Estudiantes y Profesore'!A:A)</f>
        <v>155</v>
      </c>
      <c r="F481" t="s">
        <v>243</v>
      </c>
      <c r="G481" t="s">
        <v>246</v>
      </c>
      <c r="H481" t="s">
        <v>246</v>
      </c>
      <c r="I481" t="s">
        <v>682</v>
      </c>
      <c r="J481" t="s">
        <v>77</v>
      </c>
      <c r="K481" s="120" t="s">
        <v>2112</v>
      </c>
      <c r="N481" s="49"/>
    </row>
    <row r="482" spans="1:23">
      <c r="A482" t="s">
        <v>2113</v>
      </c>
      <c r="B482" t="s">
        <v>2114</v>
      </c>
      <c r="C482" t="s">
        <v>2115</v>
      </c>
      <c r="D482" t="s">
        <v>117</v>
      </c>
      <c r="E482">
        <f>_xlfn.XLOOKUP(D482,'Resumen Estudiantes y Profesore'!B:B,'Resumen Estudiantes y Profesore'!A:A)</f>
        <v>7</v>
      </c>
      <c r="F482" t="s">
        <v>243</v>
      </c>
      <c r="G482" t="s">
        <v>247</v>
      </c>
      <c r="H482" t="s">
        <v>247</v>
      </c>
      <c r="I482" t="s">
        <v>674</v>
      </c>
      <c r="J482" t="s">
        <v>90</v>
      </c>
      <c r="K482" s="120" t="s">
        <v>2116</v>
      </c>
      <c r="N482" s="49"/>
    </row>
    <row r="483" spans="1:23">
      <c r="A483" t="s">
        <v>2117</v>
      </c>
      <c r="B483" t="s">
        <v>2118</v>
      </c>
      <c r="C483" t="s">
        <v>709</v>
      </c>
      <c r="D483" t="s">
        <v>153</v>
      </c>
      <c r="E483">
        <f>_xlfn.XLOOKUP(D483,'Resumen Estudiantes y Profesore'!B:B,'Resumen Estudiantes y Profesore'!A:A)</f>
        <v>104</v>
      </c>
      <c r="F483" t="s">
        <v>243</v>
      </c>
      <c r="G483" t="s">
        <v>247</v>
      </c>
      <c r="H483" t="s">
        <v>247</v>
      </c>
      <c r="I483" t="s">
        <v>674</v>
      </c>
      <c r="J483" t="s">
        <v>87</v>
      </c>
      <c r="K483" s="120" t="s">
        <v>2119</v>
      </c>
      <c r="N483" s="49"/>
    </row>
    <row r="484" spans="1:23">
      <c r="A484" t="s">
        <v>2120</v>
      </c>
      <c r="B484" t="s">
        <v>2121</v>
      </c>
      <c r="C484" t="s">
        <v>2122</v>
      </c>
      <c r="D484" t="s">
        <v>209</v>
      </c>
      <c r="E484">
        <f>_xlfn.XLOOKUP(D484,'Resumen Estudiantes y Profesore'!B:B,'Resumen Estudiantes y Profesore'!A:A)</f>
        <v>88</v>
      </c>
      <c r="F484" t="s">
        <v>243</v>
      </c>
      <c r="G484" t="s">
        <v>247</v>
      </c>
      <c r="H484" t="s">
        <v>247</v>
      </c>
      <c r="I484" t="s">
        <v>674</v>
      </c>
      <c r="J484" t="s">
        <v>85</v>
      </c>
      <c r="K484" s="120" t="s">
        <v>2123</v>
      </c>
      <c r="N484" s="49"/>
    </row>
    <row r="485" spans="1:23">
      <c r="A485" t="s">
        <v>2124</v>
      </c>
      <c r="B485" t="s">
        <v>2125</v>
      </c>
      <c r="C485" t="s">
        <v>1573</v>
      </c>
      <c r="D485" t="s">
        <v>134</v>
      </c>
      <c r="E485">
        <f>_xlfn.XLOOKUP(D485,'Resumen Estudiantes y Profesore'!B:B,'Resumen Estudiantes y Profesore'!A:A)</f>
        <v>102</v>
      </c>
      <c r="F485" t="s">
        <v>243</v>
      </c>
      <c r="G485" t="s">
        <v>247</v>
      </c>
      <c r="H485" t="s">
        <v>247</v>
      </c>
      <c r="I485" t="s">
        <v>674</v>
      </c>
      <c r="J485" t="s">
        <v>84</v>
      </c>
      <c r="K485" s="120" t="s">
        <v>2126</v>
      </c>
      <c r="N485" s="49"/>
    </row>
    <row r="486" spans="1:23">
      <c r="A486" t="s">
        <v>2127</v>
      </c>
      <c r="B486" t="s">
        <v>2128</v>
      </c>
      <c r="C486" t="s">
        <v>785</v>
      </c>
      <c r="D486" t="s">
        <v>198</v>
      </c>
      <c r="E486">
        <f>_xlfn.XLOOKUP(D486,'Resumen Estudiantes y Profesore'!B:B,'Resumen Estudiantes y Profesore'!A:A)</f>
        <v>45</v>
      </c>
      <c r="F486" t="s">
        <v>243</v>
      </c>
      <c r="G486" t="s">
        <v>246</v>
      </c>
      <c r="H486" t="s">
        <v>247</v>
      </c>
      <c r="I486" t="s">
        <v>674</v>
      </c>
      <c r="J486" t="s">
        <v>77</v>
      </c>
      <c r="K486" s="120" t="s">
        <v>2129</v>
      </c>
      <c r="N486" s="49"/>
    </row>
    <row r="487" spans="1:23">
      <c r="A487" t="s">
        <v>2130</v>
      </c>
      <c r="B487" t="s">
        <v>2131</v>
      </c>
      <c r="C487" t="s">
        <v>747</v>
      </c>
      <c r="D487" t="s">
        <v>178</v>
      </c>
      <c r="E487">
        <f>_xlfn.XLOOKUP(D487,'Resumen Estudiantes y Profesore'!B:B,'Resumen Estudiantes y Profesore'!A:A)</f>
        <v>75</v>
      </c>
      <c r="F487" t="s">
        <v>243</v>
      </c>
      <c r="G487" t="s">
        <v>247</v>
      </c>
      <c r="H487" t="s">
        <v>247</v>
      </c>
      <c r="I487" t="s">
        <v>674</v>
      </c>
      <c r="J487" t="s">
        <v>89</v>
      </c>
      <c r="K487" s="120" t="s">
        <v>2132</v>
      </c>
      <c r="N487" s="49"/>
    </row>
    <row r="488" spans="1:23">
      <c r="A488" t="s">
        <v>2133</v>
      </c>
      <c r="B488" t="s">
        <v>2134</v>
      </c>
      <c r="C488" t="s">
        <v>781</v>
      </c>
      <c r="D488" t="s">
        <v>131</v>
      </c>
      <c r="E488">
        <f>_xlfn.XLOOKUP(D488,'Resumen Estudiantes y Profesore'!B:B,'Resumen Estudiantes y Profesore'!A:A)</f>
        <v>99</v>
      </c>
      <c r="F488" t="s">
        <v>243</v>
      </c>
      <c r="G488" t="s">
        <v>247</v>
      </c>
      <c r="H488" t="s">
        <v>247</v>
      </c>
      <c r="I488" t="s">
        <v>674</v>
      </c>
      <c r="J488" t="s">
        <v>84</v>
      </c>
      <c r="K488" s="120" t="s">
        <v>2135</v>
      </c>
      <c r="N488" s="49"/>
    </row>
    <row r="489" spans="1:23">
      <c r="A489" t="s">
        <v>2136</v>
      </c>
      <c r="B489" t="s">
        <v>2137</v>
      </c>
      <c r="C489" t="s">
        <v>692</v>
      </c>
      <c r="D489" t="s">
        <v>133</v>
      </c>
      <c r="E489">
        <f>_xlfn.XLOOKUP(D489,'Resumen Estudiantes y Profesore'!B:B,'Resumen Estudiantes y Profesore'!A:A)</f>
        <v>101</v>
      </c>
      <c r="F489" t="s">
        <v>243</v>
      </c>
      <c r="G489" t="s">
        <v>247</v>
      </c>
      <c r="H489" t="s">
        <v>247</v>
      </c>
      <c r="I489" t="s">
        <v>674</v>
      </c>
      <c r="J489" t="s">
        <v>84</v>
      </c>
      <c r="K489" s="120" t="s">
        <v>2138</v>
      </c>
      <c r="N489" s="49"/>
    </row>
    <row r="490" spans="1:23">
      <c r="A490" t="s">
        <v>2139</v>
      </c>
      <c r="B490" t="s">
        <v>2140</v>
      </c>
      <c r="C490" t="s">
        <v>458</v>
      </c>
      <c r="D490" t="s">
        <v>187</v>
      </c>
      <c r="E490">
        <f>_xlfn.XLOOKUP(D490,'Resumen Estudiantes y Profesore'!B:B,'Resumen Estudiantes y Profesore'!A:A)</f>
        <v>55</v>
      </c>
      <c r="F490" t="s">
        <v>243</v>
      </c>
      <c r="G490" t="s">
        <v>246</v>
      </c>
      <c r="H490" t="s">
        <v>247</v>
      </c>
      <c r="I490" t="s">
        <v>674</v>
      </c>
      <c r="J490" t="s">
        <v>84</v>
      </c>
      <c r="K490" s="120" t="s">
        <v>2141</v>
      </c>
      <c r="N490" s="49"/>
    </row>
    <row r="491" spans="1:23">
      <c r="A491" t="s">
        <v>2142</v>
      </c>
      <c r="B491" t="s">
        <v>2143</v>
      </c>
      <c r="C491" t="s">
        <v>424</v>
      </c>
      <c r="D491" t="s">
        <v>24</v>
      </c>
      <c r="E491">
        <f>_xlfn.XLOOKUP(D491,'Resumen Estudiantes y Profesore'!B:B,'Resumen Estudiantes y Profesore'!A:A)</f>
        <v>27</v>
      </c>
      <c r="F491" t="s">
        <v>243</v>
      </c>
      <c r="G491" t="s">
        <v>246</v>
      </c>
      <c r="H491" t="s">
        <v>246</v>
      </c>
      <c r="I491" t="s">
        <v>682</v>
      </c>
      <c r="J491" t="s">
        <v>83</v>
      </c>
      <c r="K491" s="120" t="s">
        <v>2144</v>
      </c>
      <c r="N491" s="49"/>
    </row>
    <row r="492" spans="1:23">
      <c r="A492" t="s">
        <v>1791</v>
      </c>
      <c r="B492" t="s">
        <v>2145</v>
      </c>
      <c r="C492" t="s">
        <v>859</v>
      </c>
      <c r="D492" t="s">
        <v>201</v>
      </c>
      <c r="E492">
        <f>_xlfn.XLOOKUP(D492,'Resumen Estudiantes y Profesore'!B:B,'Resumen Estudiantes y Profesore'!A:A)</f>
        <v>47</v>
      </c>
      <c r="F492" t="s">
        <v>243</v>
      </c>
      <c r="G492" t="s">
        <v>246</v>
      </c>
      <c r="H492" t="s">
        <v>247</v>
      </c>
      <c r="I492" t="s">
        <v>674</v>
      </c>
      <c r="J492" t="s">
        <v>77</v>
      </c>
      <c r="K492" s="120" t="s">
        <v>2146</v>
      </c>
      <c r="N492" s="49"/>
    </row>
    <row r="493" spans="1:23">
      <c r="A493" t="s">
        <v>2147</v>
      </c>
      <c r="B493" t="s">
        <v>2148</v>
      </c>
      <c r="C493" t="s">
        <v>1652</v>
      </c>
      <c r="D493" t="s">
        <v>155</v>
      </c>
      <c r="E493">
        <f>_xlfn.XLOOKUP(D493,'Resumen Estudiantes y Profesore'!B:B,'Resumen Estudiantes y Profesore'!A:A)</f>
        <v>208</v>
      </c>
      <c r="F493" t="s">
        <v>243</v>
      </c>
      <c r="G493" t="s">
        <v>247</v>
      </c>
      <c r="H493" t="s">
        <v>247</v>
      </c>
      <c r="I493" t="s">
        <v>674</v>
      </c>
      <c r="J493" t="s">
        <v>138</v>
      </c>
      <c r="K493" s="120" t="s">
        <v>2149</v>
      </c>
      <c r="N493" s="49"/>
    </row>
    <row r="494" spans="1:23" s="81" customFormat="1">
      <c r="A494" t="s">
        <v>2150</v>
      </c>
      <c r="B494" t="s">
        <v>2151</v>
      </c>
      <c r="C494" t="s">
        <v>1122</v>
      </c>
      <c r="D494" t="s">
        <v>194</v>
      </c>
      <c r="E494">
        <f>_xlfn.XLOOKUP(D494,'Resumen Estudiantes y Profesore'!B:B,'Resumen Estudiantes y Profesore'!A:A)</f>
        <v>79</v>
      </c>
      <c r="F494" t="s">
        <v>243</v>
      </c>
      <c r="G494" t="s">
        <v>247</v>
      </c>
      <c r="H494" t="s">
        <v>247</v>
      </c>
      <c r="I494" t="s">
        <v>674</v>
      </c>
      <c r="J494" t="s">
        <v>90</v>
      </c>
      <c r="K494" s="120" t="s">
        <v>2152</v>
      </c>
      <c r="L494"/>
      <c r="M494"/>
      <c r="N494" s="49"/>
      <c r="O494"/>
      <c r="P494"/>
      <c r="Q494"/>
      <c r="R494"/>
      <c r="S494"/>
      <c r="T494"/>
      <c r="U494"/>
      <c r="V494"/>
      <c r="W494"/>
    </row>
    <row r="495" spans="1:23">
      <c r="A495" t="s">
        <v>2153</v>
      </c>
      <c r="B495" t="s">
        <v>2154</v>
      </c>
      <c r="C495" t="s">
        <v>458</v>
      </c>
      <c r="D495" t="s">
        <v>187</v>
      </c>
      <c r="E495">
        <f>_xlfn.XLOOKUP(D495,'Resumen Estudiantes y Profesore'!B:B,'Resumen Estudiantes y Profesore'!A:A)</f>
        <v>55</v>
      </c>
      <c r="F495" t="s">
        <v>243</v>
      </c>
      <c r="G495" t="s">
        <v>246</v>
      </c>
      <c r="H495" t="s">
        <v>247</v>
      </c>
      <c r="I495" t="s">
        <v>674</v>
      </c>
      <c r="J495" t="s">
        <v>84</v>
      </c>
      <c r="K495" s="120" t="s">
        <v>2155</v>
      </c>
      <c r="N495" s="49"/>
    </row>
    <row r="496" spans="1:23">
      <c r="A496" t="s">
        <v>2156</v>
      </c>
      <c r="B496" t="s">
        <v>2156</v>
      </c>
      <c r="C496" t="s">
        <v>2157</v>
      </c>
      <c r="D496" t="s">
        <v>123</v>
      </c>
      <c r="E496">
        <f>_xlfn.XLOOKUP(D496,'Resumen Estudiantes y Profesore'!B:B,'Resumen Estudiantes y Profesore'!A:A)</f>
        <v>19</v>
      </c>
      <c r="F496" t="s">
        <v>243</v>
      </c>
      <c r="G496" t="s">
        <v>247</v>
      </c>
      <c r="H496" t="s">
        <v>247</v>
      </c>
      <c r="I496" t="s">
        <v>674</v>
      </c>
      <c r="J496" t="s">
        <v>90</v>
      </c>
      <c r="K496" s="120" t="s">
        <v>2158</v>
      </c>
      <c r="N496" s="49"/>
    </row>
    <row r="497" spans="1:14">
      <c r="A497" t="s">
        <v>2159</v>
      </c>
      <c r="B497" t="s">
        <v>2160</v>
      </c>
      <c r="C497" t="s">
        <v>692</v>
      </c>
      <c r="D497" t="s">
        <v>133</v>
      </c>
      <c r="E497">
        <f>_xlfn.XLOOKUP(D497,'Resumen Estudiantes y Profesore'!B:B,'Resumen Estudiantes y Profesore'!A:A)</f>
        <v>101</v>
      </c>
      <c r="F497" t="s">
        <v>243</v>
      </c>
      <c r="G497" t="s">
        <v>247</v>
      </c>
      <c r="H497" t="s">
        <v>247</v>
      </c>
      <c r="I497" t="s">
        <v>674</v>
      </c>
      <c r="J497" t="s">
        <v>84</v>
      </c>
      <c r="K497" s="120" t="s">
        <v>2161</v>
      </c>
      <c r="N497" s="49"/>
    </row>
    <row r="498" spans="1:14">
      <c r="A498" t="s">
        <v>2162</v>
      </c>
      <c r="B498" t="s">
        <v>2163</v>
      </c>
      <c r="C498" t="s">
        <v>1461</v>
      </c>
      <c r="D498" t="s">
        <v>200</v>
      </c>
      <c r="E498">
        <f>_xlfn.XLOOKUP(D498,'Resumen Estudiantes y Profesore'!B:B,'Resumen Estudiantes y Profesore'!A:A)</f>
        <v>46</v>
      </c>
      <c r="F498" t="s">
        <v>243</v>
      </c>
      <c r="G498" t="s">
        <v>247</v>
      </c>
      <c r="H498" t="s">
        <v>247</v>
      </c>
      <c r="I498" t="s">
        <v>674</v>
      </c>
      <c r="J498" t="s">
        <v>77</v>
      </c>
      <c r="K498" s="120" t="s">
        <v>2164</v>
      </c>
      <c r="N498" s="49"/>
    </row>
    <row r="499" spans="1:14">
      <c r="A499" t="s">
        <v>2165</v>
      </c>
      <c r="B499" t="s">
        <v>2166</v>
      </c>
      <c r="C499" t="s">
        <v>458</v>
      </c>
      <c r="D499" t="s">
        <v>187</v>
      </c>
      <c r="E499">
        <f>_xlfn.XLOOKUP(D499,'Resumen Estudiantes y Profesore'!B:B,'Resumen Estudiantes y Profesore'!A:A)</f>
        <v>55</v>
      </c>
      <c r="F499" t="s">
        <v>243</v>
      </c>
      <c r="G499" t="s">
        <v>246</v>
      </c>
      <c r="H499" t="s">
        <v>247</v>
      </c>
      <c r="I499" t="s">
        <v>674</v>
      </c>
      <c r="J499" t="s">
        <v>84</v>
      </c>
      <c r="K499" s="120" t="s">
        <v>2167</v>
      </c>
      <c r="N499" s="49"/>
    </row>
    <row r="500" spans="1:14">
      <c r="A500" t="s">
        <v>2168</v>
      </c>
      <c r="B500" t="s">
        <v>2169</v>
      </c>
      <c r="C500" t="s">
        <v>2170</v>
      </c>
      <c r="D500" t="s">
        <v>130</v>
      </c>
      <c r="E500">
        <f>_xlfn.XLOOKUP(D500,'Resumen Estudiantes y Profesore'!B:B,'Resumen Estudiantes y Profesore'!A:A)</f>
        <v>98</v>
      </c>
      <c r="F500" t="s">
        <v>243</v>
      </c>
      <c r="G500" t="s">
        <v>247</v>
      </c>
      <c r="H500" t="s">
        <v>247</v>
      </c>
      <c r="I500" t="s">
        <v>674</v>
      </c>
      <c r="J500" t="s">
        <v>84</v>
      </c>
      <c r="K500" s="120" t="s">
        <v>2171</v>
      </c>
      <c r="N500" s="49"/>
    </row>
    <row r="501" spans="1:14">
      <c r="A501" t="s">
        <v>2172</v>
      </c>
      <c r="B501" t="s">
        <v>2173</v>
      </c>
      <c r="C501" t="s">
        <v>2065</v>
      </c>
      <c r="D501" t="s">
        <v>124</v>
      </c>
      <c r="E501">
        <f>_xlfn.XLOOKUP(D501,'Resumen Estudiantes y Profesore'!B:B,'Resumen Estudiantes y Profesore'!A:A)</f>
        <v>12</v>
      </c>
      <c r="F501" t="s">
        <v>243</v>
      </c>
      <c r="G501" t="s">
        <v>247</v>
      </c>
      <c r="H501" t="s">
        <v>247</v>
      </c>
      <c r="I501" t="s">
        <v>674</v>
      </c>
      <c r="J501" t="s">
        <v>90</v>
      </c>
      <c r="K501" s="120" t="s">
        <v>2174</v>
      </c>
      <c r="N501" s="49"/>
    </row>
    <row r="502" spans="1:14">
      <c r="A502" t="s">
        <v>2142</v>
      </c>
      <c r="B502" t="s">
        <v>2175</v>
      </c>
      <c r="C502" t="s">
        <v>428</v>
      </c>
      <c r="D502" t="s">
        <v>25</v>
      </c>
      <c r="E502">
        <f>_xlfn.XLOOKUP(D502,'Resumen Estudiantes y Profesore'!B:B,'Resumen Estudiantes y Profesore'!A:A)</f>
        <v>28</v>
      </c>
      <c r="F502" t="s">
        <v>243</v>
      </c>
      <c r="G502" t="s">
        <v>246</v>
      </c>
      <c r="H502" t="s">
        <v>246</v>
      </c>
      <c r="I502" t="s">
        <v>682</v>
      </c>
      <c r="J502" t="s">
        <v>83</v>
      </c>
      <c r="K502" s="120" t="s">
        <v>2176</v>
      </c>
      <c r="N502" s="49"/>
    </row>
    <row r="503" spans="1:14">
      <c r="A503" t="s">
        <v>2177</v>
      </c>
      <c r="B503" t="s">
        <v>2178</v>
      </c>
      <c r="C503" t="s">
        <v>1573</v>
      </c>
      <c r="D503" t="s">
        <v>134</v>
      </c>
      <c r="E503">
        <f>_xlfn.XLOOKUP(D503,'Resumen Estudiantes y Profesore'!B:B,'Resumen Estudiantes y Profesore'!A:A)</f>
        <v>102</v>
      </c>
      <c r="F503" t="s">
        <v>243</v>
      </c>
      <c r="G503" t="s">
        <v>247</v>
      </c>
      <c r="H503" t="s">
        <v>247</v>
      </c>
      <c r="I503" t="s">
        <v>674</v>
      </c>
      <c r="J503" t="s">
        <v>84</v>
      </c>
      <c r="K503" s="120" t="s">
        <v>2179</v>
      </c>
      <c r="N503" s="49"/>
    </row>
    <row r="504" spans="1:14">
      <c r="A504" t="s">
        <v>2180</v>
      </c>
      <c r="B504" t="s">
        <v>2181</v>
      </c>
      <c r="C504" t="s">
        <v>1573</v>
      </c>
      <c r="D504" t="s">
        <v>134</v>
      </c>
      <c r="E504">
        <f>_xlfn.XLOOKUP(D504,'Resumen Estudiantes y Profesore'!B:B,'Resumen Estudiantes y Profesore'!A:A)</f>
        <v>102</v>
      </c>
      <c r="F504" t="s">
        <v>243</v>
      </c>
      <c r="G504" t="s">
        <v>247</v>
      </c>
      <c r="H504" t="s">
        <v>247</v>
      </c>
      <c r="I504" t="s">
        <v>674</v>
      </c>
      <c r="J504" t="s">
        <v>84</v>
      </c>
      <c r="K504" s="120" t="s">
        <v>2182</v>
      </c>
      <c r="N504" s="49"/>
    </row>
    <row r="505" spans="1:14">
      <c r="A505" t="s">
        <v>2183</v>
      </c>
      <c r="B505" t="s">
        <v>2184</v>
      </c>
      <c r="C505" t="s">
        <v>747</v>
      </c>
      <c r="D505" t="s">
        <v>178</v>
      </c>
      <c r="E505">
        <f>_xlfn.XLOOKUP(D505,'Resumen Estudiantes y Profesore'!B:B,'Resumen Estudiantes y Profesore'!A:A)</f>
        <v>75</v>
      </c>
      <c r="F505" t="s">
        <v>243</v>
      </c>
      <c r="G505" t="s">
        <v>247</v>
      </c>
      <c r="H505" t="s">
        <v>247</v>
      </c>
      <c r="I505" t="s">
        <v>674</v>
      </c>
      <c r="J505" t="s">
        <v>89</v>
      </c>
      <c r="K505" s="120" t="s">
        <v>2185</v>
      </c>
      <c r="N505" s="49"/>
    </row>
    <row r="506" spans="1:14">
      <c r="A506" t="s">
        <v>2186</v>
      </c>
      <c r="B506" t="s">
        <v>2187</v>
      </c>
      <c r="C506" t="s">
        <v>1119</v>
      </c>
      <c r="D506" t="s">
        <v>119</v>
      </c>
      <c r="E506">
        <f>_xlfn.XLOOKUP(D506,'Resumen Estudiantes y Profesore'!B:B,'Resumen Estudiantes y Profesore'!A:A)</f>
        <v>8</v>
      </c>
      <c r="F506" t="s">
        <v>243</v>
      </c>
      <c r="G506" t="s">
        <v>247</v>
      </c>
      <c r="H506" t="s">
        <v>247</v>
      </c>
      <c r="I506" t="s">
        <v>674</v>
      </c>
      <c r="J506" t="s">
        <v>90</v>
      </c>
      <c r="K506" s="120" t="s">
        <v>2188</v>
      </c>
      <c r="N506" s="49"/>
    </row>
    <row r="507" spans="1:14">
      <c r="A507" t="s">
        <v>2142</v>
      </c>
      <c r="B507" t="s">
        <v>2189</v>
      </c>
      <c r="C507" t="s">
        <v>426</v>
      </c>
      <c r="D507" t="s">
        <v>23</v>
      </c>
      <c r="E507">
        <f>_xlfn.XLOOKUP(D507,'Resumen Estudiantes y Profesore'!B:B,'Resumen Estudiantes y Profesore'!A:A)</f>
        <v>26</v>
      </c>
      <c r="F507" t="s">
        <v>243</v>
      </c>
      <c r="G507" t="s">
        <v>246</v>
      </c>
      <c r="H507" t="s">
        <v>246</v>
      </c>
      <c r="I507" t="s">
        <v>682</v>
      </c>
      <c r="J507" t="s">
        <v>83</v>
      </c>
      <c r="K507" s="120" t="s">
        <v>2190</v>
      </c>
      <c r="N507" s="49"/>
    </row>
    <row r="508" spans="1:14">
      <c r="A508" t="s">
        <v>2191</v>
      </c>
      <c r="B508" t="s">
        <v>2192</v>
      </c>
      <c r="C508" t="s">
        <v>1573</v>
      </c>
      <c r="D508" t="s">
        <v>134</v>
      </c>
      <c r="E508">
        <f>_xlfn.XLOOKUP(D508,'Resumen Estudiantes y Profesore'!B:B,'Resumen Estudiantes y Profesore'!A:A)</f>
        <v>102</v>
      </c>
      <c r="F508" t="s">
        <v>243</v>
      </c>
      <c r="G508" t="s">
        <v>247</v>
      </c>
      <c r="H508" t="s">
        <v>247</v>
      </c>
      <c r="I508" t="s">
        <v>674</v>
      </c>
      <c r="J508" t="s">
        <v>84</v>
      </c>
      <c r="K508" s="120" t="s">
        <v>2193</v>
      </c>
      <c r="N508" s="49"/>
    </row>
    <row r="509" spans="1:14">
      <c r="A509" t="s">
        <v>2194</v>
      </c>
      <c r="B509" t="s">
        <v>2195</v>
      </c>
      <c r="C509" t="s">
        <v>1119</v>
      </c>
      <c r="D509" t="s">
        <v>119</v>
      </c>
      <c r="E509">
        <f>_xlfn.XLOOKUP(D509,'Resumen Estudiantes y Profesore'!B:B,'Resumen Estudiantes y Profesore'!A:A)</f>
        <v>8</v>
      </c>
      <c r="F509" t="s">
        <v>243</v>
      </c>
      <c r="G509" t="s">
        <v>247</v>
      </c>
      <c r="H509" t="s">
        <v>247</v>
      </c>
      <c r="I509" t="s">
        <v>674</v>
      </c>
      <c r="J509" t="s">
        <v>90</v>
      </c>
      <c r="K509" s="120" t="s">
        <v>2196</v>
      </c>
      <c r="N509" s="49"/>
    </row>
    <row r="510" spans="1:14">
      <c r="A510" t="s">
        <v>1436</v>
      </c>
      <c r="B510" t="s">
        <v>2197</v>
      </c>
      <c r="C510" t="s">
        <v>2198</v>
      </c>
      <c r="D510" t="s">
        <v>125</v>
      </c>
      <c r="E510">
        <f>_xlfn.XLOOKUP(D510,'Resumen Estudiantes y Profesore'!B:B,'Resumen Estudiantes y Profesore'!A:A)</f>
        <v>13</v>
      </c>
      <c r="F510" t="s">
        <v>243</v>
      </c>
      <c r="G510" t="s">
        <v>247</v>
      </c>
      <c r="H510" t="s">
        <v>247</v>
      </c>
      <c r="I510" t="s">
        <v>674</v>
      </c>
      <c r="J510" t="s">
        <v>90</v>
      </c>
      <c r="K510" s="120" t="s">
        <v>2199</v>
      </c>
      <c r="N510" s="49"/>
    </row>
    <row r="511" spans="1:14">
      <c r="A511" t="s">
        <v>2200</v>
      </c>
      <c r="B511" t="s">
        <v>2201</v>
      </c>
      <c r="C511" t="s">
        <v>692</v>
      </c>
      <c r="D511" t="s">
        <v>133</v>
      </c>
      <c r="E511">
        <f>_xlfn.XLOOKUP(D511,'Resumen Estudiantes y Profesore'!B:B,'Resumen Estudiantes y Profesore'!A:A)</f>
        <v>101</v>
      </c>
      <c r="F511" t="s">
        <v>243</v>
      </c>
      <c r="G511" t="s">
        <v>247</v>
      </c>
      <c r="H511" t="s">
        <v>247</v>
      </c>
      <c r="I511" t="s">
        <v>674</v>
      </c>
      <c r="J511" t="s">
        <v>84</v>
      </c>
      <c r="K511" s="120" t="s">
        <v>2202</v>
      </c>
      <c r="N511" s="49"/>
    </row>
    <row r="512" spans="1:14">
      <c r="A512" t="s">
        <v>1463</v>
      </c>
      <c r="B512" t="s">
        <v>2203</v>
      </c>
      <c r="C512" t="s">
        <v>483</v>
      </c>
      <c r="D512" t="s">
        <v>215</v>
      </c>
      <c r="E512">
        <f>_xlfn.XLOOKUP(D512,'Resumen Estudiantes y Profesore'!B:B,'Resumen Estudiantes y Profesore'!A:A)</f>
        <v>85</v>
      </c>
      <c r="F512" t="s">
        <v>243</v>
      </c>
      <c r="G512" t="s">
        <v>247</v>
      </c>
      <c r="H512" t="s">
        <v>247</v>
      </c>
      <c r="I512" t="s">
        <v>674</v>
      </c>
      <c r="J512" t="s">
        <v>85</v>
      </c>
      <c r="K512" s="120" t="s">
        <v>2204</v>
      </c>
      <c r="N512" s="49"/>
    </row>
    <row r="513" spans="1:14">
      <c r="A513" t="s">
        <v>2205</v>
      </c>
      <c r="B513" t="s">
        <v>2206</v>
      </c>
      <c r="C513" t="s">
        <v>781</v>
      </c>
      <c r="D513" t="s">
        <v>131</v>
      </c>
      <c r="E513">
        <f>_xlfn.XLOOKUP(D513,'Resumen Estudiantes y Profesore'!B:B,'Resumen Estudiantes y Profesore'!A:A)</f>
        <v>99</v>
      </c>
      <c r="F513" t="s">
        <v>243</v>
      </c>
      <c r="G513" t="s">
        <v>247</v>
      </c>
      <c r="H513" t="s">
        <v>247</v>
      </c>
      <c r="I513" t="s">
        <v>674</v>
      </c>
      <c r="J513" t="s">
        <v>84</v>
      </c>
      <c r="K513" s="120" t="s">
        <v>2207</v>
      </c>
      <c r="N513" s="49"/>
    </row>
    <row r="514" spans="1:14">
      <c r="A514" t="s">
        <v>2208</v>
      </c>
      <c r="B514" t="s">
        <v>2209</v>
      </c>
      <c r="C514" t="s">
        <v>2210</v>
      </c>
      <c r="D514" t="s">
        <v>148</v>
      </c>
      <c r="E514">
        <f>_xlfn.XLOOKUP(D514,'Resumen Estudiantes y Profesore'!B:B,'Resumen Estudiantes y Profesore'!A:A)</f>
        <v>115</v>
      </c>
      <c r="F514" t="s">
        <v>243</v>
      </c>
      <c r="G514" t="s">
        <v>247</v>
      </c>
      <c r="H514" t="s">
        <v>247</v>
      </c>
      <c r="I514" t="s">
        <v>674</v>
      </c>
      <c r="J514" t="s">
        <v>138</v>
      </c>
      <c r="K514" s="120" t="s">
        <v>2211</v>
      </c>
      <c r="N514" s="49"/>
    </row>
    <row r="515" spans="1:14">
      <c r="A515" t="s">
        <v>2212</v>
      </c>
      <c r="B515" t="s">
        <v>2213</v>
      </c>
      <c r="C515" t="s">
        <v>1222</v>
      </c>
      <c r="D515" t="s">
        <v>156</v>
      </c>
      <c r="E515">
        <f>_xlfn.XLOOKUP(D515,'Resumen Estudiantes y Profesore'!B:B,'Resumen Estudiantes y Profesore'!A:A)</f>
        <v>145</v>
      </c>
      <c r="F515" t="s">
        <v>243</v>
      </c>
      <c r="G515" t="s">
        <v>247</v>
      </c>
      <c r="H515" t="s">
        <v>247</v>
      </c>
      <c r="I515" t="s">
        <v>674</v>
      </c>
      <c r="J515" t="s">
        <v>138</v>
      </c>
      <c r="K515" s="120" t="s">
        <v>2214</v>
      </c>
      <c r="N515" s="49"/>
    </row>
    <row r="516" spans="1:14">
      <c r="A516" t="s">
        <v>1482</v>
      </c>
      <c r="B516" t="s">
        <v>2215</v>
      </c>
      <c r="C516" t="s">
        <v>612</v>
      </c>
      <c r="D516" t="s">
        <v>177</v>
      </c>
      <c r="E516">
        <f>_xlfn.XLOOKUP(D516,'Resumen Estudiantes y Profesore'!B:B,'Resumen Estudiantes y Profesore'!A:A)</f>
        <v>122</v>
      </c>
      <c r="F516" t="s">
        <v>243</v>
      </c>
      <c r="G516" t="s">
        <v>247</v>
      </c>
      <c r="H516" t="s">
        <v>247</v>
      </c>
      <c r="I516" t="s">
        <v>674</v>
      </c>
      <c r="J516" t="s">
        <v>84</v>
      </c>
      <c r="K516" s="120" t="s">
        <v>2216</v>
      </c>
      <c r="N516" s="49"/>
    </row>
    <row r="517" spans="1:14">
      <c r="A517" t="s">
        <v>2217</v>
      </c>
      <c r="B517" t="s">
        <v>2218</v>
      </c>
      <c r="C517" t="s">
        <v>702</v>
      </c>
      <c r="D517" t="s">
        <v>150</v>
      </c>
      <c r="E517">
        <f>_xlfn.XLOOKUP(D517,'Resumen Estudiantes y Profesore'!B:B,'Resumen Estudiantes y Profesore'!A:A)</f>
        <v>203</v>
      </c>
      <c r="F517" t="s">
        <v>243</v>
      </c>
      <c r="G517" t="s">
        <v>247</v>
      </c>
      <c r="H517" t="s">
        <v>247</v>
      </c>
      <c r="I517" t="s">
        <v>674</v>
      </c>
      <c r="J517" t="s">
        <v>138</v>
      </c>
      <c r="K517" s="120" t="s">
        <v>2219</v>
      </c>
      <c r="N517" s="49"/>
    </row>
    <row r="518" spans="1:14">
      <c r="A518" t="s">
        <v>2220</v>
      </c>
      <c r="B518" t="s">
        <v>2221</v>
      </c>
      <c r="C518" t="s">
        <v>457</v>
      </c>
      <c r="D518" t="s">
        <v>186</v>
      </c>
      <c r="E518">
        <f>_xlfn.XLOOKUP(D518,'Resumen Estudiantes y Profesore'!B:B,'Resumen Estudiantes y Profesore'!A:A)</f>
        <v>54</v>
      </c>
      <c r="F518" t="s">
        <v>243</v>
      </c>
      <c r="G518" t="s">
        <v>247</v>
      </c>
      <c r="H518" t="s">
        <v>247</v>
      </c>
      <c r="I518" t="s">
        <v>674</v>
      </c>
      <c r="J518" t="s">
        <v>84</v>
      </c>
      <c r="K518" s="120" t="s">
        <v>2222</v>
      </c>
      <c r="N518" s="49"/>
    </row>
    <row r="519" spans="1:14">
      <c r="A519" t="s">
        <v>1488</v>
      </c>
      <c r="B519" t="s">
        <v>2223</v>
      </c>
      <c r="C519" t="s">
        <v>2210</v>
      </c>
      <c r="D519" t="s">
        <v>148</v>
      </c>
      <c r="E519">
        <f>_xlfn.XLOOKUP(D519,'Resumen Estudiantes y Profesore'!B:B,'Resumen Estudiantes y Profesore'!A:A)</f>
        <v>115</v>
      </c>
      <c r="F519" t="s">
        <v>243</v>
      </c>
      <c r="G519" t="s">
        <v>247</v>
      </c>
      <c r="H519" t="s">
        <v>247</v>
      </c>
      <c r="I519" t="s">
        <v>674</v>
      </c>
      <c r="J519" t="s">
        <v>138</v>
      </c>
      <c r="K519" s="120" t="s">
        <v>2224</v>
      </c>
      <c r="N519" s="49"/>
    </row>
    <row r="520" spans="1:14">
      <c r="A520" t="s">
        <v>1495</v>
      </c>
      <c r="B520" t="s">
        <v>2225</v>
      </c>
      <c r="C520" t="s">
        <v>859</v>
      </c>
      <c r="D520" t="s">
        <v>201</v>
      </c>
      <c r="E520">
        <f>_xlfn.XLOOKUP(D520,'Resumen Estudiantes y Profesore'!B:B,'Resumen Estudiantes y Profesore'!A:A)</f>
        <v>47</v>
      </c>
      <c r="F520" t="s">
        <v>243</v>
      </c>
      <c r="G520" t="s">
        <v>246</v>
      </c>
      <c r="H520" t="s">
        <v>247</v>
      </c>
      <c r="I520" t="s">
        <v>674</v>
      </c>
      <c r="J520" t="s">
        <v>77</v>
      </c>
      <c r="K520" s="120" t="s">
        <v>2226</v>
      </c>
      <c r="N520" s="49"/>
    </row>
    <row r="521" spans="1:14">
      <c r="A521" t="s">
        <v>2227</v>
      </c>
      <c r="B521" t="s">
        <v>2228</v>
      </c>
      <c r="C521" t="s">
        <v>2229</v>
      </c>
      <c r="D521" t="s">
        <v>193</v>
      </c>
      <c r="E521">
        <f>_xlfn.XLOOKUP(D521,'Resumen Estudiantes y Profesore'!B:B,'Resumen Estudiantes y Profesore'!A:A)</f>
        <v>78</v>
      </c>
      <c r="F521" t="s">
        <v>243</v>
      </c>
      <c r="G521" t="s">
        <v>247</v>
      </c>
      <c r="H521" t="s">
        <v>247</v>
      </c>
      <c r="I521" t="s">
        <v>674</v>
      </c>
      <c r="J521" t="s">
        <v>90</v>
      </c>
      <c r="K521" s="120" t="s">
        <v>2230</v>
      </c>
      <c r="N521" s="49"/>
    </row>
    <row r="522" spans="1:14">
      <c r="A522" t="s">
        <v>2231</v>
      </c>
      <c r="B522" t="s">
        <v>2232</v>
      </c>
      <c r="C522" t="s">
        <v>1573</v>
      </c>
      <c r="D522" t="s">
        <v>134</v>
      </c>
      <c r="E522">
        <f>_xlfn.XLOOKUP(D522,'Resumen Estudiantes y Profesore'!B:B,'Resumen Estudiantes y Profesore'!A:A)</f>
        <v>102</v>
      </c>
      <c r="F522" t="s">
        <v>243</v>
      </c>
      <c r="G522" t="s">
        <v>247</v>
      </c>
      <c r="H522" t="s">
        <v>247</v>
      </c>
      <c r="I522" t="s">
        <v>674</v>
      </c>
      <c r="J522" t="s">
        <v>84</v>
      </c>
      <c r="K522" s="120" t="s">
        <v>2233</v>
      </c>
      <c r="N522" s="49"/>
    </row>
    <row r="523" spans="1:14">
      <c r="A523" t="s">
        <v>2234</v>
      </c>
      <c r="B523" t="s">
        <v>2235</v>
      </c>
      <c r="C523" t="s">
        <v>1226</v>
      </c>
      <c r="D523" t="s">
        <v>132</v>
      </c>
      <c r="E523">
        <f>_xlfn.XLOOKUP(D523,'Resumen Estudiantes y Profesore'!B:B,'Resumen Estudiantes y Profesore'!A:A)</f>
        <v>100</v>
      </c>
      <c r="F523" t="s">
        <v>243</v>
      </c>
      <c r="G523" t="s">
        <v>247</v>
      </c>
      <c r="H523" t="s">
        <v>247</v>
      </c>
      <c r="I523" t="s">
        <v>674</v>
      </c>
      <c r="J523" t="s">
        <v>84</v>
      </c>
      <c r="K523" s="120" t="s">
        <v>2236</v>
      </c>
      <c r="N523" s="49"/>
    </row>
    <row r="524" spans="1:14">
      <c r="A524" t="s">
        <v>2237</v>
      </c>
      <c r="B524" t="s">
        <v>2238</v>
      </c>
      <c r="C524" t="s">
        <v>2046</v>
      </c>
      <c r="D524" t="s">
        <v>179</v>
      </c>
      <c r="E524">
        <f>_xlfn.XLOOKUP(D524,'Resumen Estudiantes y Profesore'!B:B,'Resumen Estudiantes y Profesore'!A:A)</f>
        <v>73</v>
      </c>
      <c r="F524" t="s">
        <v>243</v>
      </c>
      <c r="G524" t="s">
        <v>247</v>
      </c>
      <c r="H524" t="s">
        <v>247</v>
      </c>
      <c r="I524" t="s">
        <v>674</v>
      </c>
      <c r="J524" t="s">
        <v>89</v>
      </c>
      <c r="K524" s="120" t="s">
        <v>2239</v>
      </c>
      <c r="N524" s="49"/>
    </row>
    <row r="525" spans="1:14">
      <c r="A525" t="s">
        <v>2240</v>
      </c>
      <c r="B525" t="s">
        <v>2241</v>
      </c>
      <c r="C525" t="s">
        <v>1573</v>
      </c>
      <c r="D525" t="s">
        <v>134</v>
      </c>
      <c r="E525">
        <f>_xlfn.XLOOKUP(D525,'Resumen Estudiantes y Profesore'!B:B,'Resumen Estudiantes y Profesore'!A:A)</f>
        <v>102</v>
      </c>
      <c r="F525" t="s">
        <v>243</v>
      </c>
      <c r="G525" t="s">
        <v>247</v>
      </c>
      <c r="H525" t="s">
        <v>247</v>
      </c>
      <c r="I525" t="s">
        <v>674</v>
      </c>
      <c r="J525" t="s">
        <v>84</v>
      </c>
      <c r="K525" s="120" t="s">
        <v>2242</v>
      </c>
      <c r="N525" s="49"/>
    </row>
    <row r="526" spans="1:14">
      <c r="A526" t="s">
        <v>1584</v>
      </c>
      <c r="B526" t="s">
        <v>2243</v>
      </c>
      <c r="C526" t="s">
        <v>699</v>
      </c>
      <c r="D526" t="s">
        <v>144</v>
      </c>
      <c r="E526">
        <f>_xlfn.XLOOKUP(D526,'Resumen Estudiantes y Profesore'!B:B,'Resumen Estudiantes y Profesore'!A:A)</f>
        <v>118</v>
      </c>
      <c r="F526" t="s">
        <v>243</v>
      </c>
      <c r="G526" t="s">
        <v>247</v>
      </c>
      <c r="H526" t="s">
        <v>247</v>
      </c>
      <c r="I526" t="s">
        <v>674</v>
      </c>
      <c r="J526" t="s">
        <v>138</v>
      </c>
      <c r="K526" s="120" t="s">
        <v>2244</v>
      </c>
      <c r="N526" s="49"/>
    </row>
    <row r="527" spans="1:14">
      <c r="A527" t="s">
        <v>1821</v>
      </c>
      <c r="B527" t="s">
        <v>2245</v>
      </c>
      <c r="C527" t="s">
        <v>785</v>
      </c>
      <c r="D527" t="s">
        <v>198</v>
      </c>
      <c r="E527">
        <f>_xlfn.XLOOKUP(D527,'Resumen Estudiantes y Profesore'!B:B,'Resumen Estudiantes y Profesore'!A:A)</f>
        <v>45</v>
      </c>
      <c r="F527" t="s">
        <v>243</v>
      </c>
      <c r="G527" t="s">
        <v>246</v>
      </c>
      <c r="H527" t="s">
        <v>247</v>
      </c>
      <c r="I527" t="s">
        <v>674</v>
      </c>
      <c r="J527" t="s">
        <v>77</v>
      </c>
      <c r="K527" s="120" t="s">
        <v>2246</v>
      </c>
      <c r="N527" s="49"/>
    </row>
    <row r="528" spans="1:14">
      <c r="A528" t="s">
        <v>1596</v>
      </c>
      <c r="B528" t="s">
        <v>2247</v>
      </c>
      <c r="C528" t="s">
        <v>504</v>
      </c>
      <c r="D528" t="s">
        <v>136</v>
      </c>
      <c r="E528">
        <f>_xlfn.XLOOKUP(D528,'Resumen Estudiantes y Profesore'!B:B,'Resumen Estudiantes y Profesore'!A:A)</f>
        <v>103</v>
      </c>
      <c r="F528" t="s">
        <v>243</v>
      </c>
      <c r="G528" t="s">
        <v>247</v>
      </c>
      <c r="H528" t="s">
        <v>247</v>
      </c>
      <c r="I528" t="s">
        <v>674</v>
      </c>
      <c r="J528" t="s">
        <v>85</v>
      </c>
      <c r="K528" s="120" t="s">
        <v>2248</v>
      </c>
      <c r="N528" s="49"/>
    </row>
    <row r="529" spans="1:14">
      <c r="A529" t="s">
        <v>2249</v>
      </c>
      <c r="B529" t="s">
        <v>2250</v>
      </c>
      <c r="C529" t="s">
        <v>1625</v>
      </c>
      <c r="D529" t="s">
        <v>208</v>
      </c>
      <c r="E529">
        <f>_xlfn.XLOOKUP(D529,'Resumen Estudiantes y Profesore'!B:B,'Resumen Estudiantes y Profesore'!A:A)</f>
        <v>89</v>
      </c>
      <c r="F529" t="s">
        <v>243</v>
      </c>
      <c r="G529" t="s">
        <v>247</v>
      </c>
      <c r="H529" t="s">
        <v>247</v>
      </c>
      <c r="I529" t="s">
        <v>674</v>
      </c>
      <c r="J529" t="s">
        <v>85</v>
      </c>
      <c r="K529" s="120" t="s">
        <v>2251</v>
      </c>
      <c r="N529" s="49"/>
    </row>
    <row r="530" spans="1:14">
      <c r="A530" t="s">
        <v>2252</v>
      </c>
      <c r="B530" t="s">
        <v>2253</v>
      </c>
      <c r="C530" t="s">
        <v>2046</v>
      </c>
      <c r="D530" t="s">
        <v>179</v>
      </c>
      <c r="E530">
        <f>_xlfn.XLOOKUP(D530,'Resumen Estudiantes y Profesore'!B:B,'Resumen Estudiantes y Profesore'!A:A)</f>
        <v>73</v>
      </c>
      <c r="F530" t="s">
        <v>243</v>
      </c>
      <c r="G530" t="s">
        <v>246</v>
      </c>
      <c r="H530" t="s">
        <v>246</v>
      </c>
      <c r="I530" t="s">
        <v>674</v>
      </c>
      <c r="J530" t="s">
        <v>89</v>
      </c>
      <c r="K530" s="120" t="s">
        <v>2254</v>
      </c>
      <c r="N530" s="49"/>
    </row>
    <row r="531" spans="1:14">
      <c r="A531" t="s">
        <v>2255</v>
      </c>
      <c r="B531" t="s">
        <v>2256</v>
      </c>
      <c r="C531" t="s">
        <v>1094</v>
      </c>
      <c r="D531" t="s">
        <v>199</v>
      </c>
      <c r="E531">
        <f>_xlfn.XLOOKUP(D531,'Resumen Estudiantes y Profesore'!B:B,'Resumen Estudiantes y Profesore'!A:A)</f>
        <v>49</v>
      </c>
      <c r="F531" t="s">
        <v>243</v>
      </c>
      <c r="G531" t="s">
        <v>247</v>
      </c>
      <c r="H531" t="s">
        <v>247</v>
      </c>
      <c r="I531" t="s">
        <v>674</v>
      </c>
      <c r="J531" t="s">
        <v>77</v>
      </c>
      <c r="K531" s="120" t="s">
        <v>2257</v>
      </c>
      <c r="N531" s="49"/>
    </row>
    <row r="532" spans="1:14">
      <c r="A532" t="s">
        <v>2258</v>
      </c>
      <c r="B532" t="s">
        <v>2259</v>
      </c>
      <c r="C532" t="s">
        <v>612</v>
      </c>
      <c r="D532" t="s">
        <v>177</v>
      </c>
      <c r="E532">
        <f>_xlfn.XLOOKUP(D532,'Resumen Estudiantes y Profesore'!B:B,'Resumen Estudiantes y Profesore'!A:A)</f>
        <v>122</v>
      </c>
      <c r="F532" t="s">
        <v>243</v>
      </c>
      <c r="G532" t="s">
        <v>247</v>
      </c>
      <c r="H532" t="s">
        <v>247</v>
      </c>
      <c r="I532" t="s">
        <v>674</v>
      </c>
      <c r="J532" t="s">
        <v>84</v>
      </c>
      <c r="K532" s="120" t="s">
        <v>2260</v>
      </c>
      <c r="N532" s="49"/>
    </row>
    <row r="533" spans="1:14">
      <c r="A533" t="s">
        <v>2261</v>
      </c>
      <c r="B533" t="s">
        <v>2262</v>
      </c>
      <c r="C533" t="s">
        <v>1573</v>
      </c>
      <c r="D533" t="s">
        <v>134</v>
      </c>
      <c r="E533">
        <f>_xlfn.XLOOKUP(D533,'Resumen Estudiantes y Profesore'!B:B,'Resumen Estudiantes y Profesore'!A:A)</f>
        <v>102</v>
      </c>
      <c r="F533" t="s">
        <v>243</v>
      </c>
      <c r="G533" t="s">
        <v>247</v>
      </c>
      <c r="H533" t="s">
        <v>247</v>
      </c>
      <c r="I533" t="s">
        <v>674</v>
      </c>
      <c r="J533" t="s">
        <v>84</v>
      </c>
      <c r="K533" s="120" t="s">
        <v>2263</v>
      </c>
      <c r="N533" s="49"/>
    </row>
    <row r="534" spans="1:14">
      <c r="A534" t="s">
        <v>2264</v>
      </c>
      <c r="B534" t="s">
        <v>2265</v>
      </c>
      <c r="C534" t="s">
        <v>2266</v>
      </c>
      <c r="D534" t="s">
        <v>127</v>
      </c>
      <c r="E534">
        <f>_xlfn.XLOOKUP(D534,'Resumen Estudiantes y Profesore'!B:B,'Resumen Estudiantes y Profesore'!A:A)</f>
        <v>15</v>
      </c>
      <c r="F534" t="s">
        <v>243</v>
      </c>
      <c r="G534" t="s">
        <v>247</v>
      </c>
      <c r="H534" t="s">
        <v>247</v>
      </c>
      <c r="I534" t="s">
        <v>674</v>
      </c>
      <c r="J534" t="s">
        <v>90</v>
      </c>
      <c r="K534" s="120" t="s">
        <v>2267</v>
      </c>
      <c r="N534" s="49"/>
    </row>
    <row r="535" spans="1:14">
      <c r="A535" t="s">
        <v>2268</v>
      </c>
      <c r="B535" t="s">
        <v>2269</v>
      </c>
      <c r="C535" t="s">
        <v>2089</v>
      </c>
      <c r="D535" t="s">
        <v>160</v>
      </c>
      <c r="E535">
        <f>_xlfn.XLOOKUP(D535,'Resumen Estudiantes y Profesore'!B:B,'Resumen Estudiantes y Profesore'!A:A)</f>
        <v>209</v>
      </c>
      <c r="F535" t="s">
        <v>243</v>
      </c>
      <c r="G535" t="s">
        <v>247</v>
      </c>
      <c r="H535" t="s">
        <v>247</v>
      </c>
      <c r="I535" t="s">
        <v>674</v>
      </c>
      <c r="J535" t="s">
        <v>138</v>
      </c>
      <c r="K535" s="120" t="s">
        <v>2270</v>
      </c>
      <c r="N535" s="49"/>
    </row>
    <row r="536" spans="1:14">
      <c r="A536" t="s">
        <v>1723</v>
      </c>
      <c r="B536" t="s">
        <v>2271</v>
      </c>
      <c r="C536" t="s">
        <v>781</v>
      </c>
      <c r="D536" t="s">
        <v>131</v>
      </c>
      <c r="E536">
        <f>_xlfn.XLOOKUP(D536,'Resumen Estudiantes y Profesore'!B:B,'Resumen Estudiantes y Profesore'!A:A)</f>
        <v>99</v>
      </c>
      <c r="F536" t="s">
        <v>243</v>
      </c>
      <c r="G536" t="s">
        <v>247</v>
      </c>
      <c r="H536" t="s">
        <v>247</v>
      </c>
      <c r="I536" t="s">
        <v>674</v>
      </c>
      <c r="J536" t="s">
        <v>84</v>
      </c>
      <c r="K536" s="120" t="s">
        <v>2272</v>
      </c>
      <c r="N536" s="49"/>
    </row>
    <row r="537" spans="1:14">
      <c r="A537" t="s">
        <v>2273</v>
      </c>
      <c r="B537" t="s">
        <v>2274</v>
      </c>
      <c r="C537" t="s">
        <v>462</v>
      </c>
      <c r="D537" t="s">
        <v>190</v>
      </c>
      <c r="E537">
        <f>_xlfn.XLOOKUP(D537,'Resumen Estudiantes y Profesore'!B:B,'Resumen Estudiantes y Profesore'!A:A)</f>
        <v>64</v>
      </c>
      <c r="F537" t="s">
        <v>243</v>
      </c>
      <c r="G537" t="s">
        <v>247</v>
      </c>
      <c r="H537" t="s">
        <v>247</v>
      </c>
      <c r="I537" t="s">
        <v>674</v>
      </c>
      <c r="J537" t="s">
        <v>85</v>
      </c>
      <c r="K537" s="120" t="s">
        <v>2275</v>
      </c>
      <c r="N537" s="49"/>
    </row>
    <row r="538" spans="1:14">
      <c r="A538" t="s">
        <v>2276</v>
      </c>
      <c r="B538" t="s">
        <v>2277</v>
      </c>
      <c r="C538" t="s">
        <v>2278</v>
      </c>
      <c r="D538" t="s">
        <v>165</v>
      </c>
      <c r="E538">
        <f>_xlfn.XLOOKUP(D538,'Resumen Estudiantes y Profesore'!B:B,'Resumen Estudiantes y Profesore'!A:A)</f>
        <v>128</v>
      </c>
      <c r="F538" t="s">
        <v>243</v>
      </c>
      <c r="G538" t="s">
        <v>247</v>
      </c>
      <c r="H538" t="s">
        <v>247</v>
      </c>
      <c r="I538" t="s">
        <v>674</v>
      </c>
      <c r="J538" t="s">
        <v>138</v>
      </c>
      <c r="K538" s="120" t="s">
        <v>2279</v>
      </c>
      <c r="N538" s="49"/>
    </row>
    <row r="539" spans="1:14">
      <c r="A539" t="s">
        <v>2280</v>
      </c>
      <c r="B539" t="s">
        <v>2281</v>
      </c>
      <c r="C539" t="s">
        <v>1573</v>
      </c>
      <c r="D539" t="s">
        <v>134</v>
      </c>
      <c r="E539">
        <f>_xlfn.XLOOKUP(D539,'Resumen Estudiantes y Profesore'!B:B,'Resumen Estudiantes y Profesore'!A:A)</f>
        <v>102</v>
      </c>
      <c r="F539" t="s">
        <v>243</v>
      </c>
      <c r="G539" t="s">
        <v>247</v>
      </c>
      <c r="H539" t="s">
        <v>247</v>
      </c>
      <c r="I539" t="s">
        <v>674</v>
      </c>
      <c r="J539" t="s">
        <v>84</v>
      </c>
      <c r="K539" s="120" t="s">
        <v>2282</v>
      </c>
      <c r="N539" s="49"/>
    </row>
    <row r="540" spans="1:14">
      <c r="A540" t="s">
        <v>2283</v>
      </c>
      <c r="B540" t="s">
        <v>2284</v>
      </c>
      <c r="C540" t="s">
        <v>456</v>
      </c>
      <c r="D540" t="s">
        <v>185</v>
      </c>
      <c r="E540">
        <f>_xlfn.XLOOKUP(D540,'Resumen Estudiantes y Profesore'!B:B,'Resumen Estudiantes y Profesore'!A:A)</f>
        <v>57</v>
      </c>
      <c r="F540" t="s">
        <v>243</v>
      </c>
      <c r="G540" t="s">
        <v>247</v>
      </c>
      <c r="H540" t="s">
        <v>247</v>
      </c>
      <c r="I540" t="s">
        <v>674</v>
      </c>
      <c r="J540" t="s">
        <v>84</v>
      </c>
      <c r="K540" s="120" t="s">
        <v>2285</v>
      </c>
      <c r="N540" s="49"/>
    </row>
    <row r="541" spans="1:14">
      <c r="A541" t="s">
        <v>2286</v>
      </c>
      <c r="B541" t="s">
        <v>2287</v>
      </c>
      <c r="C541" t="s">
        <v>456</v>
      </c>
      <c r="D541" t="s">
        <v>185</v>
      </c>
      <c r="E541">
        <f>_xlfn.XLOOKUP(D541,'Resumen Estudiantes y Profesore'!B:B,'Resumen Estudiantes y Profesore'!A:A)</f>
        <v>57</v>
      </c>
      <c r="F541" t="s">
        <v>243</v>
      </c>
      <c r="G541" t="s">
        <v>247</v>
      </c>
      <c r="H541" t="s">
        <v>247</v>
      </c>
      <c r="I541" t="s">
        <v>674</v>
      </c>
      <c r="J541" t="s">
        <v>84</v>
      </c>
      <c r="K541" s="120" t="s">
        <v>2288</v>
      </c>
      <c r="N541" s="49"/>
    </row>
    <row r="542" spans="1:14">
      <c r="A542" t="s">
        <v>2289</v>
      </c>
      <c r="B542" t="s">
        <v>2290</v>
      </c>
      <c r="C542" t="s">
        <v>2229</v>
      </c>
      <c r="D542" t="s">
        <v>193</v>
      </c>
      <c r="E542">
        <f>_xlfn.XLOOKUP(D542,'Resumen Estudiantes y Profesore'!B:B,'Resumen Estudiantes y Profesore'!A:A)</f>
        <v>78</v>
      </c>
      <c r="F542" t="s">
        <v>243</v>
      </c>
      <c r="G542" t="s">
        <v>247</v>
      </c>
      <c r="H542" t="s">
        <v>247</v>
      </c>
      <c r="I542" t="s">
        <v>674</v>
      </c>
      <c r="J542" t="s">
        <v>90</v>
      </c>
      <c r="K542" s="120" t="s">
        <v>2291</v>
      </c>
      <c r="N542" s="49"/>
    </row>
    <row r="543" spans="1:14">
      <c r="A543" t="s">
        <v>2292</v>
      </c>
      <c r="B543" t="s">
        <v>2293</v>
      </c>
      <c r="C543" t="s">
        <v>1226</v>
      </c>
      <c r="D543" t="s">
        <v>132</v>
      </c>
      <c r="E543">
        <f>_xlfn.XLOOKUP(D543,'Resumen Estudiantes y Profesore'!B:B,'Resumen Estudiantes y Profesore'!A:A)</f>
        <v>100</v>
      </c>
      <c r="F543" t="s">
        <v>243</v>
      </c>
      <c r="G543" t="s">
        <v>247</v>
      </c>
      <c r="H543" t="s">
        <v>247</v>
      </c>
      <c r="I543" t="s">
        <v>674</v>
      </c>
      <c r="J543" t="s">
        <v>84</v>
      </c>
      <c r="K543" s="120" t="s">
        <v>2294</v>
      </c>
      <c r="N543" s="49"/>
    </row>
    <row r="544" spans="1:14">
      <c r="A544" t="s">
        <v>2295</v>
      </c>
      <c r="B544" t="s">
        <v>2296</v>
      </c>
      <c r="C544" t="s">
        <v>1119</v>
      </c>
      <c r="D544" t="s">
        <v>119</v>
      </c>
      <c r="E544">
        <f>_xlfn.XLOOKUP(D544,'Resumen Estudiantes y Profesore'!B:B,'Resumen Estudiantes y Profesore'!A:A)</f>
        <v>8</v>
      </c>
      <c r="F544" t="s">
        <v>243</v>
      </c>
      <c r="G544" t="s">
        <v>247</v>
      </c>
      <c r="H544" t="s">
        <v>247</v>
      </c>
      <c r="I544" t="s">
        <v>674</v>
      </c>
      <c r="J544" t="s">
        <v>90</v>
      </c>
      <c r="K544" s="120" t="s">
        <v>2297</v>
      </c>
      <c r="N544" s="49"/>
    </row>
    <row r="545" spans="1:14">
      <c r="A545" t="s">
        <v>2298</v>
      </c>
      <c r="B545" t="s">
        <v>2299</v>
      </c>
      <c r="C545" t="s">
        <v>1119</v>
      </c>
      <c r="D545" t="s">
        <v>119</v>
      </c>
      <c r="E545">
        <f>_xlfn.XLOOKUP(D545,'Resumen Estudiantes y Profesore'!B:B,'Resumen Estudiantes y Profesore'!A:A)</f>
        <v>8</v>
      </c>
      <c r="F545" t="s">
        <v>243</v>
      </c>
      <c r="G545" t="s">
        <v>247</v>
      </c>
      <c r="H545" t="s">
        <v>247</v>
      </c>
      <c r="I545" t="s">
        <v>674</v>
      </c>
      <c r="J545" t="s">
        <v>90</v>
      </c>
      <c r="K545" s="120" t="s">
        <v>2300</v>
      </c>
      <c r="N545" s="49"/>
    </row>
    <row r="546" spans="1:14">
      <c r="A546" t="s">
        <v>2301</v>
      </c>
      <c r="B546" t="s">
        <v>2302</v>
      </c>
      <c r="C546" t="s">
        <v>612</v>
      </c>
      <c r="D546" t="s">
        <v>177</v>
      </c>
      <c r="E546">
        <f>_xlfn.XLOOKUP(D546,'Resumen Estudiantes y Profesore'!B:B,'Resumen Estudiantes y Profesore'!A:A)</f>
        <v>122</v>
      </c>
      <c r="F546" t="s">
        <v>243</v>
      </c>
      <c r="G546" t="s">
        <v>247</v>
      </c>
      <c r="H546" t="s">
        <v>247</v>
      </c>
      <c r="I546" t="s">
        <v>674</v>
      </c>
      <c r="J546" t="s">
        <v>84</v>
      </c>
      <c r="K546" s="120" t="s">
        <v>2303</v>
      </c>
      <c r="N546" s="49"/>
    </row>
    <row r="547" spans="1:14">
      <c r="A547" t="s">
        <v>2304</v>
      </c>
      <c r="B547" t="s">
        <v>2305</v>
      </c>
      <c r="C547" t="s">
        <v>781</v>
      </c>
      <c r="D547" t="s">
        <v>131</v>
      </c>
      <c r="E547">
        <f>_xlfn.XLOOKUP(D547,'Resumen Estudiantes y Profesore'!B:B,'Resumen Estudiantes y Profesore'!A:A)</f>
        <v>99</v>
      </c>
      <c r="F547" t="s">
        <v>243</v>
      </c>
      <c r="G547" t="s">
        <v>247</v>
      </c>
      <c r="H547" t="s">
        <v>247</v>
      </c>
      <c r="I547" t="s">
        <v>674</v>
      </c>
      <c r="J547" t="s">
        <v>84</v>
      </c>
      <c r="K547" s="120" t="s">
        <v>2306</v>
      </c>
      <c r="N547" s="49"/>
    </row>
    <row r="548" spans="1:14">
      <c r="A548" t="s">
        <v>2307</v>
      </c>
      <c r="B548" t="s">
        <v>2308</v>
      </c>
      <c r="C548" t="s">
        <v>2309</v>
      </c>
      <c r="D548" t="s">
        <v>161</v>
      </c>
      <c r="E548">
        <f>_xlfn.XLOOKUP(D548,'Resumen Estudiantes y Profesore'!B:B,'Resumen Estudiantes y Profesore'!A:A)</f>
        <v>123</v>
      </c>
      <c r="F548" t="s">
        <v>243</v>
      </c>
      <c r="G548" t="s">
        <v>246</v>
      </c>
      <c r="H548" t="s">
        <v>247</v>
      </c>
      <c r="I548" t="s">
        <v>674</v>
      </c>
      <c r="J548" t="s">
        <v>85</v>
      </c>
      <c r="K548" s="120" t="s">
        <v>2310</v>
      </c>
      <c r="N548" s="49"/>
    </row>
    <row r="549" spans="1:14">
      <c r="A549" t="s">
        <v>2311</v>
      </c>
      <c r="B549" t="s">
        <v>2312</v>
      </c>
      <c r="C549" t="s">
        <v>456</v>
      </c>
      <c r="D549" t="s">
        <v>185</v>
      </c>
      <c r="E549">
        <f>_xlfn.XLOOKUP(D549,'Resumen Estudiantes y Profesore'!B:B,'Resumen Estudiantes y Profesore'!A:A)</f>
        <v>57</v>
      </c>
      <c r="F549" t="s">
        <v>243</v>
      </c>
      <c r="G549" t="s">
        <v>247</v>
      </c>
      <c r="H549" t="s">
        <v>247</v>
      </c>
      <c r="I549" t="s">
        <v>674</v>
      </c>
      <c r="J549" t="s">
        <v>84</v>
      </c>
      <c r="K549" s="120" t="s">
        <v>2313</v>
      </c>
      <c r="N549" s="49"/>
    </row>
    <row r="550" spans="1:14">
      <c r="A550" t="s">
        <v>2314</v>
      </c>
      <c r="B550" t="s">
        <v>2315</v>
      </c>
      <c r="C550" t="s">
        <v>456</v>
      </c>
      <c r="D550" t="s">
        <v>185</v>
      </c>
      <c r="E550">
        <f>_xlfn.XLOOKUP(D550,'Resumen Estudiantes y Profesore'!B:B,'Resumen Estudiantes y Profesore'!A:A)</f>
        <v>57</v>
      </c>
      <c r="F550" t="s">
        <v>243</v>
      </c>
      <c r="G550" t="s">
        <v>247</v>
      </c>
      <c r="H550" t="s">
        <v>247</v>
      </c>
      <c r="I550" t="s">
        <v>674</v>
      </c>
      <c r="J550" t="s">
        <v>84</v>
      </c>
      <c r="K550" s="120" t="s">
        <v>2316</v>
      </c>
      <c r="N550" s="49"/>
    </row>
    <row r="551" spans="1:14">
      <c r="A551" t="s">
        <v>2317</v>
      </c>
      <c r="B551" t="s">
        <v>2318</v>
      </c>
      <c r="C551" t="s">
        <v>459</v>
      </c>
      <c r="D551" t="s">
        <v>188</v>
      </c>
      <c r="E551">
        <f>_xlfn.XLOOKUP(D551,'Resumen Estudiantes y Profesore'!B:B,'Resumen Estudiantes y Profesore'!A:A)</f>
        <v>56</v>
      </c>
      <c r="F551" t="s">
        <v>243</v>
      </c>
      <c r="G551" t="s">
        <v>247</v>
      </c>
      <c r="H551" t="s">
        <v>247</v>
      </c>
      <c r="I551" t="s">
        <v>674</v>
      </c>
      <c r="J551" t="s">
        <v>84</v>
      </c>
      <c r="K551" s="120" t="s">
        <v>2319</v>
      </c>
      <c r="N551" s="49"/>
    </row>
    <row r="552" spans="1:14">
      <c r="A552" t="s">
        <v>1866</v>
      </c>
      <c r="B552" t="s">
        <v>2320</v>
      </c>
      <c r="C552" t="s">
        <v>1461</v>
      </c>
      <c r="D552" t="s">
        <v>200</v>
      </c>
      <c r="E552">
        <f>_xlfn.XLOOKUP(D552,'Resumen Estudiantes y Profesore'!B:B,'Resumen Estudiantes y Profesore'!A:A)</f>
        <v>46</v>
      </c>
      <c r="F552" t="s">
        <v>243</v>
      </c>
      <c r="G552" t="s">
        <v>247</v>
      </c>
      <c r="H552" t="s">
        <v>247</v>
      </c>
      <c r="I552" t="s">
        <v>674</v>
      </c>
      <c r="J552" t="s">
        <v>77</v>
      </c>
      <c r="K552" s="120" t="s">
        <v>2321</v>
      </c>
      <c r="N552" s="49"/>
    </row>
    <row r="553" spans="1:14">
      <c r="A553" t="s">
        <v>2322</v>
      </c>
      <c r="B553" t="s">
        <v>2323</v>
      </c>
      <c r="C553" t="s">
        <v>951</v>
      </c>
      <c r="D553" t="s">
        <v>114</v>
      </c>
      <c r="E553">
        <f>_xlfn.XLOOKUP(D553,'Resumen Estudiantes y Profesore'!B:B,'Resumen Estudiantes y Profesore'!A:A)</f>
        <v>5</v>
      </c>
      <c r="F553" t="s">
        <v>243</v>
      </c>
      <c r="G553" t="s">
        <v>247</v>
      </c>
      <c r="H553" t="s">
        <v>247</v>
      </c>
      <c r="I553" t="s">
        <v>674</v>
      </c>
      <c r="J553" t="s">
        <v>90</v>
      </c>
      <c r="K553" s="120" t="s">
        <v>2324</v>
      </c>
      <c r="N553" s="49"/>
    </row>
    <row r="554" spans="1:14">
      <c r="A554" t="s">
        <v>2325</v>
      </c>
      <c r="B554" t="s">
        <v>2326</v>
      </c>
      <c r="C554" t="s">
        <v>1461</v>
      </c>
      <c r="D554" t="s">
        <v>200</v>
      </c>
      <c r="E554">
        <f>_xlfn.XLOOKUP(D554,'Resumen Estudiantes y Profesore'!B:B,'Resumen Estudiantes y Profesore'!A:A)</f>
        <v>46</v>
      </c>
      <c r="F554" t="s">
        <v>243</v>
      </c>
      <c r="G554" t="s">
        <v>247</v>
      </c>
      <c r="H554" t="s">
        <v>247</v>
      </c>
      <c r="I554" t="s">
        <v>674</v>
      </c>
      <c r="J554" t="s">
        <v>77</v>
      </c>
      <c r="K554" s="120" t="s">
        <v>2327</v>
      </c>
      <c r="N554" s="49"/>
    </row>
    <row r="555" spans="1:14">
      <c r="A555" t="s">
        <v>2328</v>
      </c>
      <c r="B555" t="s">
        <v>2329</v>
      </c>
      <c r="C555" t="s">
        <v>2330</v>
      </c>
      <c r="D555" t="s">
        <v>141</v>
      </c>
      <c r="E555">
        <f>_xlfn.XLOOKUP(D555,'Resumen Estudiantes y Profesore'!B:B,'Resumen Estudiantes y Profesore'!A:A)</f>
        <v>112</v>
      </c>
      <c r="F555" t="s">
        <v>243</v>
      </c>
      <c r="G555" t="s">
        <v>247</v>
      </c>
      <c r="H555" t="s">
        <v>247</v>
      </c>
      <c r="I555" t="s">
        <v>674</v>
      </c>
      <c r="J555" t="s">
        <v>138</v>
      </c>
      <c r="K555" s="120" t="s">
        <v>2331</v>
      </c>
      <c r="N555" s="49"/>
    </row>
    <row r="556" spans="1:14">
      <c r="A556" t="s">
        <v>2252</v>
      </c>
      <c r="B556" t="s">
        <v>2332</v>
      </c>
      <c r="C556" t="s">
        <v>678</v>
      </c>
      <c r="D556" t="s">
        <v>180</v>
      </c>
      <c r="E556">
        <f>_xlfn.XLOOKUP(D556,'Resumen Estudiantes y Profesore'!B:B,'Resumen Estudiantes y Profesore'!A:A)</f>
        <v>74</v>
      </c>
      <c r="F556" t="s">
        <v>243</v>
      </c>
      <c r="G556" t="s">
        <v>246</v>
      </c>
      <c r="H556" t="s">
        <v>246</v>
      </c>
      <c r="I556" t="s">
        <v>674</v>
      </c>
      <c r="J556" t="s">
        <v>89</v>
      </c>
      <c r="K556" s="120" t="s">
        <v>2333</v>
      </c>
      <c r="N556" s="49"/>
    </row>
    <row r="557" spans="1:14">
      <c r="A557" t="s">
        <v>2334</v>
      </c>
      <c r="B557" t="s">
        <v>2335</v>
      </c>
      <c r="C557" t="s">
        <v>951</v>
      </c>
      <c r="D557" t="s">
        <v>114</v>
      </c>
      <c r="E557">
        <f>_xlfn.XLOOKUP(D557,'Resumen Estudiantes y Profesore'!B:B,'Resumen Estudiantes y Profesore'!A:A)</f>
        <v>5</v>
      </c>
      <c r="F557" t="s">
        <v>243</v>
      </c>
      <c r="G557" t="s">
        <v>247</v>
      </c>
      <c r="H557" t="s">
        <v>247</v>
      </c>
      <c r="I557" t="s">
        <v>674</v>
      </c>
      <c r="J557" t="s">
        <v>90</v>
      </c>
      <c r="K557" s="120" t="s">
        <v>2336</v>
      </c>
      <c r="N557" s="49"/>
    </row>
    <row r="558" spans="1:14">
      <c r="A558" t="s">
        <v>2337</v>
      </c>
      <c r="B558" t="s">
        <v>2338</v>
      </c>
      <c r="C558" t="s">
        <v>457</v>
      </c>
      <c r="D558" t="s">
        <v>186</v>
      </c>
      <c r="E558">
        <f>_xlfn.XLOOKUP(D558,'Resumen Estudiantes y Profesore'!B:B,'Resumen Estudiantes y Profesore'!A:A)</f>
        <v>54</v>
      </c>
      <c r="F558" t="s">
        <v>243</v>
      </c>
      <c r="G558" t="s">
        <v>247</v>
      </c>
      <c r="H558" t="s">
        <v>247</v>
      </c>
      <c r="I558" t="s">
        <v>674</v>
      </c>
      <c r="J558" t="s">
        <v>84</v>
      </c>
      <c r="K558" s="120" t="s">
        <v>2339</v>
      </c>
      <c r="N558" s="49"/>
    </row>
    <row r="559" spans="1:14">
      <c r="A559" t="s">
        <v>2340</v>
      </c>
      <c r="B559" t="s">
        <v>2341</v>
      </c>
      <c r="C559" t="s">
        <v>1063</v>
      </c>
      <c r="D559" t="s">
        <v>129</v>
      </c>
      <c r="E559">
        <f>_xlfn.XLOOKUP(D559,'Resumen Estudiantes y Profesore'!B:B,'Resumen Estudiantes y Profesore'!A:A)</f>
        <v>97</v>
      </c>
      <c r="F559" t="s">
        <v>243</v>
      </c>
      <c r="G559" t="s">
        <v>247</v>
      </c>
      <c r="H559" t="s">
        <v>247</v>
      </c>
      <c r="I559" t="s">
        <v>674</v>
      </c>
      <c r="J559" t="s">
        <v>84</v>
      </c>
      <c r="K559" s="120" t="s">
        <v>2342</v>
      </c>
      <c r="N559" s="49"/>
    </row>
    <row r="560" spans="1:14">
      <c r="A560" t="s">
        <v>2343</v>
      </c>
      <c r="B560" t="s">
        <v>2344</v>
      </c>
      <c r="C560" t="s">
        <v>1290</v>
      </c>
      <c r="D560" t="s">
        <v>110</v>
      </c>
      <c r="E560">
        <f>_xlfn.XLOOKUP(D560,'Resumen Estudiantes y Profesore'!B:B,'Resumen Estudiantes y Profesore'!A:A)</f>
        <v>2</v>
      </c>
      <c r="F560" t="s">
        <v>243</v>
      </c>
      <c r="G560" t="s">
        <v>247</v>
      </c>
      <c r="H560" t="s">
        <v>247</v>
      </c>
      <c r="I560" t="s">
        <v>674</v>
      </c>
      <c r="J560" t="s">
        <v>90</v>
      </c>
      <c r="K560" s="120" t="s">
        <v>2345</v>
      </c>
      <c r="N560" s="49"/>
    </row>
    <row r="561" spans="1:14">
      <c r="A561" t="s">
        <v>2346</v>
      </c>
      <c r="B561" t="s">
        <v>2347</v>
      </c>
      <c r="C561" t="s">
        <v>2046</v>
      </c>
      <c r="D561" t="s">
        <v>179</v>
      </c>
      <c r="E561">
        <f>_xlfn.XLOOKUP(D561,'Resumen Estudiantes y Profesore'!B:B,'Resumen Estudiantes y Profesore'!A:A)</f>
        <v>73</v>
      </c>
      <c r="F561" t="s">
        <v>243</v>
      </c>
      <c r="G561" t="s">
        <v>247</v>
      </c>
      <c r="H561" t="s">
        <v>247</v>
      </c>
      <c r="I561" t="s">
        <v>674</v>
      </c>
      <c r="J561" t="s">
        <v>89</v>
      </c>
      <c r="K561" s="120" t="s">
        <v>2348</v>
      </c>
      <c r="N561" s="49"/>
    </row>
    <row r="562" spans="1:14">
      <c r="A562" t="s">
        <v>1884</v>
      </c>
      <c r="B562" t="s">
        <v>2349</v>
      </c>
      <c r="C562" t="s">
        <v>474</v>
      </c>
      <c r="D562" t="s">
        <v>204</v>
      </c>
      <c r="E562">
        <f>_xlfn.XLOOKUP(D562,'Resumen Estudiantes y Profesore'!B:B,'Resumen Estudiantes y Profesore'!A:A)</f>
        <v>81</v>
      </c>
      <c r="F562" t="s">
        <v>243</v>
      </c>
      <c r="G562" t="s">
        <v>247</v>
      </c>
      <c r="H562" t="s">
        <v>247</v>
      </c>
      <c r="I562" t="s">
        <v>674</v>
      </c>
      <c r="J562" t="s">
        <v>91</v>
      </c>
      <c r="K562" s="120" t="s">
        <v>2350</v>
      </c>
      <c r="N562" s="49"/>
    </row>
    <row r="563" spans="1:14">
      <c r="A563" t="s">
        <v>2351</v>
      </c>
      <c r="B563" t="s">
        <v>2352</v>
      </c>
      <c r="C563" t="s">
        <v>458</v>
      </c>
      <c r="D563" t="s">
        <v>187</v>
      </c>
      <c r="E563">
        <f>_xlfn.XLOOKUP(D563,'Resumen Estudiantes y Profesore'!B:B,'Resumen Estudiantes y Profesore'!A:A)</f>
        <v>55</v>
      </c>
      <c r="F563" t="s">
        <v>243</v>
      </c>
      <c r="G563" t="s">
        <v>247</v>
      </c>
      <c r="H563" t="s">
        <v>247</v>
      </c>
      <c r="I563" t="s">
        <v>674</v>
      </c>
      <c r="J563" t="s">
        <v>84</v>
      </c>
      <c r="K563" s="120" t="s">
        <v>2353</v>
      </c>
      <c r="N563" s="49"/>
    </row>
    <row r="564" spans="1:14">
      <c r="A564" t="s">
        <v>2354</v>
      </c>
      <c r="B564" t="s">
        <v>2355</v>
      </c>
      <c r="C564" t="s">
        <v>1094</v>
      </c>
      <c r="D564" t="s">
        <v>199</v>
      </c>
      <c r="E564">
        <f>_xlfn.XLOOKUP(D564,'Resumen Estudiantes y Profesore'!B:B,'Resumen Estudiantes y Profesore'!A:A)</f>
        <v>49</v>
      </c>
      <c r="F564" t="s">
        <v>243</v>
      </c>
      <c r="G564" t="s">
        <v>247</v>
      </c>
      <c r="H564" t="s">
        <v>247</v>
      </c>
      <c r="I564" t="s">
        <v>674</v>
      </c>
      <c r="J564" t="s">
        <v>77</v>
      </c>
      <c r="K564" s="120" t="s">
        <v>2356</v>
      </c>
      <c r="N564" s="49"/>
    </row>
    <row r="565" spans="1:14">
      <c r="A565" t="s">
        <v>2357</v>
      </c>
      <c r="B565" t="s">
        <v>2358</v>
      </c>
      <c r="C565" t="s">
        <v>1573</v>
      </c>
      <c r="D565" t="s">
        <v>134</v>
      </c>
      <c r="E565">
        <f>_xlfn.XLOOKUP(D565,'Resumen Estudiantes y Profesore'!B:B,'Resumen Estudiantes y Profesore'!A:A)</f>
        <v>102</v>
      </c>
      <c r="F565" t="s">
        <v>243</v>
      </c>
      <c r="G565" t="s">
        <v>247</v>
      </c>
      <c r="H565" t="s">
        <v>247</v>
      </c>
      <c r="I565" t="s">
        <v>674</v>
      </c>
      <c r="J565" t="s">
        <v>84</v>
      </c>
      <c r="K565" s="120" t="s">
        <v>2359</v>
      </c>
      <c r="N565" s="49"/>
    </row>
    <row r="566" spans="1:14">
      <c r="A566" t="s">
        <v>1905</v>
      </c>
      <c r="B566" t="s">
        <v>2360</v>
      </c>
      <c r="C566" t="s">
        <v>1094</v>
      </c>
      <c r="D566" t="s">
        <v>199</v>
      </c>
      <c r="E566">
        <f>_xlfn.XLOOKUP(D566,'Resumen Estudiantes y Profesore'!B:B,'Resumen Estudiantes y Profesore'!A:A)</f>
        <v>49</v>
      </c>
      <c r="F566" t="s">
        <v>243</v>
      </c>
      <c r="G566" t="s">
        <v>247</v>
      </c>
      <c r="H566" t="s">
        <v>247</v>
      </c>
      <c r="I566" t="s">
        <v>674</v>
      </c>
      <c r="J566" t="s">
        <v>77</v>
      </c>
      <c r="K566" s="120" t="s">
        <v>2361</v>
      </c>
      <c r="N566" s="49"/>
    </row>
    <row r="567" spans="1:14">
      <c r="A567" t="s">
        <v>2362</v>
      </c>
      <c r="B567" t="s">
        <v>2363</v>
      </c>
      <c r="C567" t="s">
        <v>457</v>
      </c>
      <c r="D567" t="s">
        <v>186</v>
      </c>
      <c r="E567">
        <f>_xlfn.XLOOKUP(D567,'Resumen Estudiantes y Profesore'!B:B,'Resumen Estudiantes y Profesore'!A:A)</f>
        <v>54</v>
      </c>
      <c r="F567" t="s">
        <v>243</v>
      </c>
      <c r="G567" t="s">
        <v>247</v>
      </c>
      <c r="H567" t="s">
        <v>247</v>
      </c>
      <c r="I567" t="s">
        <v>674</v>
      </c>
      <c r="J567" t="s">
        <v>84</v>
      </c>
      <c r="K567" s="120" t="s">
        <v>2364</v>
      </c>
      <c r="N567" s="49"/>
    </row>
    <row r="568" spans="1:14">
      <c r="A568" t="s">
        <v>2365</v>
      </c>
      <c r="B568" t="s">
        <v>2366</v>
      </c>
      <c r="C568" t="s">
        <v>781</v>
      </c>
      <c r="D568" t="s">
        <v>131</v>
      </c>
      <c r="E568">
        <f>_xlfn.XLOOKUP(D568,'Resumen Estudiantes y Profesore'!B:B,'Resumen Estudiantes y Profesore'!A:A)</f>
        <v>99</v>
      </c>
      <c r="F568" t="s">
        <v>243</v>
      </c>
      <c r="G568" t="s">
        <v>247</v>
      </c>
      <c r="H568" t="s">
        <v>247</v>
      </c>
      <c r="I568" t="s">
        <v>674</v>
      </c>
      <c r="J568" t="s">
        <v>84</v>
      </c>
      <c r="K568" s="120" t="s">
        <v>2367</v>
      </c>
      <c r="N568" s="49"/>
    </row>
    <row r="569" spans="1:14">
      <c r="A569" t="s">
        <v>2368</v>
      </c>
      <c r="B569" t="s">
        <v>2369</v>
      </c>
      <c r="C569" t="s">
        <v>699</v>
      </c>
      <c r="D569" t="s">
        <v>144</v>
      </c>
      <c r="E569">
        <f>_xlfn.XLOOKUP(D569,'Resumen Estudiantes y Profesore'!B:B,'Resumen Estudiantes y Profesore'!A:A)</f>
        <v>118</v>
      </c>
      <c r="F569" t="s">
        <v>243</v>
      </c>
      <c r="G569" t="s">
        <v>247</v>
      </c>
      <c r="H569" t="s">
        <v>247</v>
      </c>
      <c r="I569" t="s">
        <v>674</v>
      </c>
      <c r="J569" t="s">
        <v>138</v>
      </c>
      <c r="K569" s="120" t="s">
        <v>2370</v>
      </c>
      <c r="N569" s="49"/>
    </row>
    <row r="570" spans="1:14">
      <c r="A570" t="s">
        <v>2371</v>
      </c>
      <c r="B570" t="s">
        <v>2372</v>
      </c>
      <c r="C570" t="s">
        <v>781</v>
      </c>
      <c r="D570" t="s">
        <v>131</v>
      </c>
      <c r="E570">
        <f>_xlfn.XLOOKUP(D570,'Resumen Estudiantes y Profesore'!B:B,'Resumen Estudiantes y Profesore'!A:A)</f>
        <v>99</v>
      </c>
      <c r="F570" t="s">
        <v>243</v>
      </c>
      <c r="G570" t="s">
        <v>247</v>
      </c>
      <c r="H570" t="s">
        <v>247</v>
      </c>
      <c r="I570" t="s">
        <v>674</v>
      </c>
      <c r="J570" t="s">
        <v>84</v>
      </c>
      <c r="K570" s="120" t="s">
        <v>2373</v>
      </c>
      <c r="N570" s="49"/>
    </row>
    <row r="571" spans="1:14">
      <c r="A571" t="s">
        <v>2374</v>
      </c>
      <c r="B571" t="s">
        <v>2375</v>
      </c>
      <c r="C571" t="s">
        <v>1063</v>
      </c>
      <c r="D571" t="s">
        <v>129</v>
      </c>
      <c r="E571">
        <f>_xlfn.XLOOKUP(D571,'Resumen Estudiantes y Profesore'!B:B,'Resumen Estudiantes y Profesore'!A:A)</f>
        <v>97</v>
      </c>
      <c r="F571" t="s">
        <v>243</v>
      </c>
      <c r="G571" t="s">
        <v>247</v>
      </c>
      <c r="H571" t="s">
        <v>247</v>
      </c>
      <c r="I571" t="s">
        <v>674</v>
      </c>
      <c r="J571" t="s">
        <v>84</v>
      </c>
      <c r="K571" s="120" t="s">
        <v>2376</v>
      </c>
      <c r="N571" s="49"/>
    </row>
    <row r="572" spans="1:14">
      <c r="A572" t="s">
        <v>2377</v>
      </c>
      <c r="B572" t="s">
        <v>2378</v>
      </c>
      <c r="C572" t="s">
        <v>456</v>
      </c>
      <c r="D572" t="s">
        <v>185</v>
      </c>
      <c r="E572">
        <f>_xlfn.XLOOKUP(D572,'Resumen Estudiantes y Profesore'!B:B,'Resumen Estudiantes y Profesore'!A:A)</f>
        <v>57</v>
      </c>
      <c r="F572" t="s">
        <v>243</v>
      </c>
      <c r="G572" t="s">
        <v>247</v>
      </c>
      <c r="H572" t="s">
        <v>247</v>
      </c>
      <c r="I572" t="s">
        <v>674</v>
      </c>
      <c r="J572" t="s">
        <v>84</v>
      </c>
      <c r="K572" s="120" t="s">
        <v>2379</v>
      </c>
      <c r="N572" s="49"/>
    </row>
    <row r="573" spans="1:14">
      <c r="A573" t="s">
        <v>2380</v>
      </c>
      <c r="B573" t="s">
        <v>2381</v>
      </c>
      <c r="C573" t="s">
        <v>1716</v>
      </c>
      <c r="D573" t="s">
        <v>140</v>
      </c>
      <c r="E573">
        <f>_xlfn.XLOOKUP(D573,'Resumen Estudiantes y Profesore'!B:B,'Resumen Estudiantes y Profesore'!A:A)</f>
        <v>111</v>
      </c>
      <c r="F573" t="s">
        <v>243</v>
      </c>
      <c r="G573" t="s">
        <v>246</v>
      </c>
      <c r="H573" t="s">
        <v>247</v>
      </c>
      <c r="I573" t="s">
        <v>674</v>
      </c>
      <c r="J573" t="s">
        <v>138</v>
      </c>
      <c r="K573" s="120" t="s">
        <v>2382</v>
      </c>
      <c r="N573" s="49"/>
    </row>
    <row r="574" spans="1:14">
      <c r="A574" t="s">
        <v>2383</v>
      </c>
      <c r="B574" t="s">
        <v>2384</v>
      </c>
      <c r="C574" t="s">
        <v>1222</v>
      </c>
      <c r="D574" t="s">
        <v>156</v>
      </c>
      <c r="E574">
        <f>_xlfn.XLOOKUP(D574,'Resumen Estudiantes y Profesore'!B:B,'Resumen Estudiantes y Profesore'!A:A)</f>
        <v>145</v>
      </c>
      <c r="F574" t="s">
        <v>243</v>
      </c>
      <c r="G574" t="s">
        <v>246</v>
      </c>
      <c r="H574" t="s">
        <v>247</v>
      </c>
      <c r="I574" t="s">
        <v>674</v>
      </c>
      <c r="J574" t="s">
        <v>138</v>
      </c>
      <c r="K574" s="120" t="s">
        <v>2385</v>
      </c>
      <c r="N574" s="49"/>
    </row>
    <row r="575" spans="1:14">
      <c r="A575" t="s">
        <v>2386</v>
      </c>
      <c r="B575" t="s">
        <v>2387</v>
      </c>
      <c r="C575" t="s">
        <v>692</v>
      </c>
      <c r="D575" t="s">
        <v>133</v>
      </c>
      <c r="E575">
        <f>_xlfn.XLOOKUP(D575,'Resumen Estudiantes y Profesore'!B:B,'Resumen Estudiantes y Profesore'!A:A)</f>
        <v>101</v>
      </c>
      <c r="F575" t="s">
        <v>243</v>
      </c>
      <c r="G575" t="s">
        <v>247</v>
      </c>
      <c r="H575" t="s">
        <v>247</v>
      </c>
      <c r="I575" t="s">
        <v>674</v>
      </c>
      <c r="J575" t="s">
        <v>84</v>
      </c>
      <c r="K575" s="120" t="s">
        <v>2388</v>
      </c>
      <c r="N575" s="49"/>
    </row>
    <row r="576" spans="1:14">
      <c r="A576" t="s">
        <v>2389</v>
      </c>
      <c r="B576" t="s">
        <v>2390</v>
      </c>
      <c r="C576" t="s">
        <v>1063</v>
      </c>
      <c r="D576" t="s">
        <v>129</v>
      </c>
      <c r="E576">
        <f>_xlfn.XLOOKUP(D576,'Resumen Estudiantes y Profesore'!B:B,'Resumen Estudiantes y Profesore'!A:A)</f>
        <v>97</v>
      </c>
      <c r="F576" t="s">
        <v>243</v>
      </c>
      <c r="G576" t="s">
        <v>247</v>
      </c>
      <c r="H576" t="s">
        <v>247</v>
      </c>
      <c r="I576" t="s">
        <v>674</v>
      </c>
      <c r="J576" t="s">
        <v>84</v>
      </c>
      <c r="K576" s="120" t="s">
        <v>2391</v>
      </c>
      <c r="N576" s="49"/>
    </row>
    <row r="577" spans="1:14">
      <c r="A577" t="s">
        <v>2392</v>
      </c>
      <c r="B577" t="s">
        <v>2393</v>
      </c>
      <c r="C577" t="s">
        <v>1063</v>
      </c>
      <c r="D577" t="s">
        <v>129</v>
      </c>
      <c r="E577">
        <f>_xlfn.XLOOKUP(D577,'Resumen Estudiantes y Profesore'!B:B,'Resumen Estudiantes y Profesore'!A:A)</f>
        <v>97</v>
      </c>
      <c r="F577" t="s">
        <v>243</v>
      </c>
      <c r="G577" t="s">
        <v>247</v>
      </c>
      <c r="H577" t="s">
        <v>247</v>
      </c>
      <c r="I577" t="s">
        <v>674</v>
      </c>
      <c r="J577" t="s">
        <v>84</v>
      </c>
      <c r="K577" s="120" t="s">
        <v>2394</v>
      </c>
      <c r="N577" s="49"/>
    </row>
    <row r="578" spans="1:14">
      <c r="A578" t="s">
        <v>2395</v>
      </c>
      <c r="B578" t="s">
        <v>2396</v>
      </c>
      <c r="C578" t="s">
        <v>462</v>
      </c>
      <c r="D578" t="s">
        <v>190</v>
      </c>
      <c r="E578">
        <f>_xlfn.XLOOKUP(D578,'Resumen Estudiantes y Profesore'!B:B,'Resumen Estudiantes y Profesore'!A:A)</f>
        <v>64</v>
      </c>
      <c r="F578" t="s">
        <v>243</v>
      </c>
      <c r="G578" t="s">
        <v>247</v>
      </c>
      <c r="H578" t="s">
        <v>247</v>
      </c>
      <c r="I578" t="s">
        <v>674</v>
      </c>
      <c r="J578" t="s">
        <v>85</v>
      </c>
      <c r="K578" s="120" t="s">
        <v>2397</v>
      </c>
      <c r="N578" s="49"/>
    </row>
    <row r="579" spans="1:14">
      <c r="A579" t="s">
        <v>2398</v>
      </c>
      <c r="B579" t="s">
        <v>2399</v>
      </c>
      <c r="C579" t="s">
        <v>102</v>
      </c>
      <c r="D579" t="s">
        <v>102</v>
      </c>
      <c r="E579">
        <f>_xlfn.XLOOKUP(D579,'Resumen Estudiantes y Profesore'!B:B,'Resumen Estudiantes y Profesore'!A:A)</f>
        <v>53</v>
      </c>
      <c r="F579" t="s">
        <v>243</v>
      </c>
      <c r="G579" t="s">
        <v>247</v>
      </c>
      <c r="H579" t="s">
        <v>247</v>
      </c>
      <c r="I579" t="s">
        <v>674</v>
      </c>
      <c r="J579" t="s">
        <v>84</v>
      </c>
      <c r="K579" s="120" t="s">
        <v>2400</v>
      </c>
      <c r="N579" s="49"/>
    </row>
    <row r="580" spans="1:14">
      <c r="A580" t="s">
        <v>2401</v>
      </c>
      <c r="B580" t="s">
        <v>2402</v>
      </c>
      <c r="C580" t="s">
        <v>2170</v>
      </c>
      <c r="D580" t="s">
        <v>130</v>
      </c>
      <c r="E580">
        <f>_xlfn.XLOOKUP(D580,'Resumen Estudiantes y Profesore'!B:B,'Resumen Estudiantes y Profesore'!A:A)</f>
        <v>98</v>
      </c>
      <c r="F580" t="s">
        <v>243</v>
      </c>
      <c r="G580" t="s">
        <v>247</v>
      </c>
      <c r="H580" t="s">
        <v>247</v>
      </c>
      <c r="I580" t="s">
        <v>674</v>
      </c>
      <c r="J580" t="s">
        <v>84</v>
      </c>
      <c r="K580" s="120" t="s">
        <v>2403</v>
      </c>
      <c r="N580" s="49"/>
    </row>
    <row r="581" spans="1:14">
      <c r="A581" t="s">
        <v>2404</v>
      </c>
      <c r="B581" t="s">
        <v>2405</v>
      </c>
      <c r="C581" t="s">
        <v>747</v>
      </c>
      <c r="D581" t="s">
        <v>178</v>
      </c>
      <c r="E581">
        <f>_xlfn.XLOOKUP(D581,'Resumen Estudiantes y Profesore'!B:B,'Resumen Estudiantes y Profesore'!A:A)</f>
        <v>75</v>
      </c>
      <c r="F581" t="s">
        <v>243</v>
      </c>
      <c r="G581" t="s">
        <v>247</v>
      </c>
      <c r="H581" t="s">
        <v>247</v>
      </c>
      <c r="I581" t="s">
        <v>674</v>
      </c>
      <c r="J581" t="s">
        <v>89</v>
      </c>
      <c r="K581" s="120" t="s">
        <v>2406</v>
      </c>
      <c r="N581" s="49"/>
    </row>
    <row r="582" spans="1:14">
      <c r="A582" t="s">
        <v>2407</v>
      </c>
      <c r="B582" t="s">
        <v>2408</v>
      </c>
      <c r="C582" t="s">
        <v>2278</v>
      </c>
      <c r="D582" t="s">
        <v>165</v>
      </c>
      <c r="E582">
        <f>_xlfn.XLOOKUP(D582,'Resumen Estudiantes y Profesore'!B:B,'Resumen Estudiantes y Profesore'!A:A)</f>
        <v>128</v>
      </c>
      <c r="F582" t="s">
        <v>243</v>
      </c>
      <c r="G582" t="s">
        <v>247</v>
      </c>
      <c r="H582" t="s">
        <v>247</v>
      </c>
      <c r="I582" t="s">
        <v>674</v>
      </c>
      <c r="J582" t="s">
        <v>138</v>
      </c>
      <c r="K582" s="120" t="s">
        <v>2409</v>
      </c>
      <c r="N582" s="49"/>
    </row>
    <row r="583" spans="1:14">
      <c r="A583" t="s">
        <v>2410</v>
      </c>
      <c r="B583" t="s">
        <v>2411</v>
      </c>
      <c r="C583" t="s">
        <v>781</v>
      </c>
      <c r="D583" t="s">
        <v>131</v>
      </c>
      <c r="E583">
        <f>_xlfn.XLOOKUP(D583,'Resumen Estudiantes y Profesore'!B:B,'Resumen Estudiantes y Profesore'!A:A)</f>
        <v>99</v>
      </c>
      <c r="F583" t="s">
        <v>243</v>
      </c>
      <c r="G583" t="s">
        <v>247</v>
      </c>
      <c r="H583" t="s">
        <v>247</v>
      </c>
      <c r="I583" t="s">
        <v>674</v>
      </c>
      <c r="J583" t="s">
        <v>84</v>
      </c>
      <c r="K583" s="120" t="s">
        <v>2412</v>
      </c>
      <c r="N583" s="49"/>
    </row>
    <row r="584" spans="1:14">
      <c r="A584" t="s">
        <v>2413</v>
      </c>
      <c r="B584" t="s">
        <v>2414</v>
      </c>
      <c r="C584" t="s">
        <v>2415</v>
      </c>
      <c r="D584" t="s">
        <v>183</v>
      </c>
      <c r="E584">
        <f>_xlfn.XLOOKUP(D584,'Resumen Estudiantes y Profesore'!B:B,'Resumen Estudiantes y Profesore'!A:A)</f>
        <v>51</v>
      </c>
      <c r="F584" t="s">
        <v>243</v>
      </c>
      <c r="G584" t="s">
        <v>247</v>
      </c>
      <c r="H584" t="s">
        <v>247</v>
      </c>
      <c r="I584" t="s">
        <v>674</v>
      </c>
      <c r="J584" t="s">
        <v>83</v>
      </c>
      <c r="K584" s="120" t="s">
        <v>2416</v>
      </c>
      <c r="N584" s="49"/>
    </row>
    <row r="585" spans="1:14">
      <c r="A585" t="s">
        <v>2417</v>
      </c>
      <c r="B585" t="s">
        <v>2418</v>
      </c>
      <c r="C585" t="s">
        <v>888</v>
      </c>
      <c r="D585" t="s">
        <v>149</v>
      </c>
      <c r="E585">
        <f>_xlfn.XLOOKUP(D585,'Resumen Estudiantes y Profesore'!B:B,'Resumen Estudiantes y Profesore'!A:A)</f>
        <v>141</v>
      </c>
      <c r="F585" t="s">
        <v>243</v>
      </c>
      <c r="G585" t="s">
        <v>247</v>
      </c>
      <c r="H585" t="s">
        <v>247</v>
      </c>
      <c r="I585" t="s">
        <v>674</v>
      </c>
      <c r="J585" t="s">
        <v>138</v>
      </c>
      <c r="K585" s="120" t="s">
        <v>2419</v>
      </c>
      <c r="N585" s="49"/>
    </row>
    <row r="586" spans="1:14">
      <c r="A586" t="s">
        <v>2420</v>
      </c>
      <c r="B586" t="s">
        <v>2421</v>
      </c>
      <c r="C586" t="s">
        <v>2422</v>
      </c>
      <c r="D586" t="s">
        <v>135</v>
      </c>
      <c r="E586">
        <f>_xlfn.XLOOKUP(D586,'Resumen Estudiantes y Profesore'!B:B,'Resumen Estudiantes y Profesore'!A:A)</f>
        <v>96</v>
      </c>
      <c r="F586" t="s">
        <v>243</v>
      </c>
      <c r="G586" t="s">
        <v>247</v>
      </c>
      <c r="H586" t="s">
        <v>247</v>
      </c>
      <c r="I586" t="s">
        <v>674</v>
      </c>
      <c r="J586" t="s">
        <v>83</v>
      </c>
      <c r="K586" s="120" t="s">
        <v>2423</v>
      </c>
      <c r="N586" s="49"/>
    </row>
    <row r="587" spans="1:14">
      <c r="A587" t="s">
        <v>2424</v>
      </c>
      <c r="B587" t="s">
        <v>2425</v>
      </c>
      <c r="C587" t="s">
        <v>457</v>
      </c>
      <c r="D587" t="s">
        <v>186</v>
      </c>
      <c r="E587">
        <f>_xlfn.XLOOKUP(D587,'Resumen Estudiantes y Profesore'!B:B,'Resumen Estudiantes y Profesore'!A:A)</f>
        <v>54</v>
      </c>
      <c r="F587" t="s">
        <v>243</v>
      </c>
      <c r="G587" t="s">
        <v>247</v>
      </c>
      <c r="H587" t="s">
        <v>247</v>
      </c>
      <c r="I587" t="s">
        <v>674</v>
      </c>
      <c r="J587" t="s">
        <v>84</v>
      </c>
      <c r="K587" s="120" t="s">
        <v>2426</v>
      </c>
      <c r="N587" s="49"/>
    </row>
    <row r="588" spans="1:14">
      <c r="A588" t="s">
        <v>2427</v>
      </c>
      <c r="B588" t="s">
        <v>2428</v>
      </c>
      <c r="C588" t="s">
        <v>2278</v>
      </c>
      <c r="D588" t="s">
        <v>165</v>
      </c>
      <c r="E588">
        <f>_xlfn.XLOOKUP(D588,'Resumen Estudiantes y Profesore'!B:B,'Resumen Estudiantes y Profesore'!A:A)</f>
        <v>128</v>
      </c>
      <c r="F588" t="s">
        <v>243</v>
      </c>
      <c r="G588" t="s">
        <v>247</v>
      </c>
      <c r="H588" t="s">
        <v>247</v>
      </c>
      <c r="I588" t="s">
        <v>674</v>
      </c>
      <c r="J588" t="s">
        <v>138</v>
      </c>
      <c r="K588" s="120" t="s">
        <v>2429</v>
      </c>
      <c r="N588" s="49"/>
    </row>
    <row r="589" spans="1:14">
      <c r="A589" t="s">
        <v>2430</v>
      </c>
      <c r="B589" t="s">
        <v>2431</v>
      </c>
      <c r="C589" t="s">
        <v>785</v>
      </c>
      <c r="D589" t="s">
        <v>198</v>
      </c>
      <c r="E589">
        <f>_xlfn.XLOOKUP(D589,'Resumen Estudiantes y Profesore'!B:B,'Resumen Estudiantes y Profesore'!A:A)</f>
        <v>45</v>
      </c>
      <c r="F589" t="s">
        <v>243</v>
      </c>
      <c r="G589" t="s">
        <v>247</v>
      </c>
      <c r="H589" t="s">
        <v>247</v>
      </c>
      <c r="I589" t="s">
        <v>674</v>
      </c>
      <c r="J589" t="s">
        <v>77</v>
      </c>
      <c r="K589" s="120" t="s">
        <v>2432</v>
      </c>
      <c r="N589" s="49"/>
    </row>
    <row r="590" spans="1:14">
      <c r="A590" t="s">
        <v>2433</v>
      </c>
      <c r="B590" t="s">
        <v>2434</v>
      </c>
      <c r="C590" t="s">
        <v>2435</v>
      </c>
      <c r="D590" t="s">
        <v>168</v>
      </c>
      <c r="E590">
        <f>_xlfn.XLOOKUP(D590,'Resumen Estudiantes y Profesore'!B:B,'Resumen Estudiantes y Profesore'!A:A)</f>
        <v>127</v>
      </c>
      <c r="F590" t="s">
        <v>243</v>
      </c>
      <c r="G590" t="s">
        <v>246</v>
      </c>
      <c r="H590" t="s">
        <v>247</v>
      </c>
      <c r="I590" t="s">
        <v>674</v>
      </c>
      <c r="J590" t="s">
        <v>138</v>
      </c>
      <c r="K590" s="120" t="s">
        <v>2436</v>
      </c>
      <c r="N590" s="49"/>
    </row>
    <row r="591" spans="1:14">
      <c r="A591" t="s">
        <v>2437</v>
      </c>
      <c r="B591" t="s">
        <v>2438</v>
      </c>
      <c r="C591" t="s">
        <v>1277</v>
      </c>
      <c r="D591" t="s">
        <v>126</v>
      </c>
      <c r="E591">
        <f>_xlfn.XLOOKUP(D591,'Resumen Estudiantes y Profesore'!B:B,'Resumen Estudiantes y Profesore'!A:A)</f>
        <v>14</v>
      </c>
      <c r="F591" t="s">
        <v>243</v>
      </c>
      <c r="G591" t="s">
        <v>247</v>
      </c>
      <c r="H591" t="s">
        <v>247</v>
      </c>
      <c r="I591" t="s">
        <v>674</v>
      </c>
      <c r="J591" t="s">
        <v>90</v>
      </c>
      <c r="K591" s="120" t="s">
        <v>2439</v>
      </c>
      <c r="N591" s="49"/>
    </row>
    <row r="592" spans="1:14">
      <c r="A592" t="s">
        <v>2440</v>
      </c>
      <c r="B592" t="s">
        <v>2441</v>
      </c>
      <c r="C592" t="s">
        <v>1573</v>
      </c>
      <c r="D592" t="s">
        <v>134</v>
      </c>
      <c r="E592">
        <f>_xlfn.XLOOKUP(D592,'Resumen Estudiantes y Profesore'!B:B,'Resumen Estudiantes y Profesore'!A:A)</f>
        <v>102</v>
      </c>
      <c r="F592" t="s">
        <v>243</v>
      </c>
      <c r="G592" t="s">
        <v>247</v>
      </c>
      <c r="H592" t="s">
        <v>247</v>
      </c>
      <c r="I592" t="s">
        <v>674</v>
      </c>
      <c r="J592" t="s">
        <v>84</v>
      </c>
      <c r="K592" s="120" t="s">
        <v>2442</v>
      </c>
      <c r="N592" s="49"/>
    </row>
    <row r="593" spans="1:23" s="81" customFormat="1">
      <c r="A593" t="s">
        <v>2443</v>
      </c>
      <c r="B593" t="s">
        <v>2444</v>
      </c>
      <c r="C593" t="s">
        <v>1573</v>
      </c>
      <c r="D593" t="s">
        <v>134</v>
      </c>
      <c r="E593">
        <f>_xlfn.XLOOKUP(D593,'Resumen Estudiantes y Profesore'!B:B,'Resumen Estudiantes y Profesore'!A:A)</f>
        <v>102</v>
      </c>
      <c r="F593" t="s">
        <v>243</v>
      </c>
      <c r="G593" t="s">
        <v>247</v>
      </c>
      <c r="H593" t="s">
        <v>247</v>
      </c>
      <c r="I593" t="s">
        <v>674</v>
      </c>
      <c r="J593" t="s">
        <v>84</v>
      </c>
      <c r="K593" s="120" t="s">
        <v>2445</v>
      </c>
      <c r="L593"/>
      <c r="M593"/>
      <c r="N593" s="49"/>
      <c r="O593"/>
      <c r="P593"/>
      <c r="Q593"/>
      <c r="R593"/>
      <c r="S593"/>
      <c r="T593"/>
      <c r="U593"/>
      <c r="V593"/>
      <c r="W593"/>
    </row>
    <row r="594" spans="1:23">
      <c r="A594" t="s">
        <v>2446</v>
      </c>
      <c r="B594" t="s">
        <v>2447</v>
      </c>
      <c r="C594" t="s">
        <v>456</v>
      </c>
      <c r="D594" t="s">
        <v>185</v>
      </c>
      <c r="E594">
        <f>_xlfn.XLOOKUP(D594,'Resumen Estudiantes y Profesore'!B:B,'Resumen Estudiantes y Profesore'!A:A)</f>
        <v>57</v>
      </c>
      <c r="F594" t="s">
        <v>243</v>
      </c>
      <c r="G594" t="s">
        <v>247</v>
      </c>
      <c r="H594" t="s">
        <v>247</v>
      </c>
      <c r="I594" t="s">
        <v>674</v>
      </c>
      <c r="J594" t="s">
        <v>84</v>
      </c>
      <c r="K594" s="120" t="s">
        <v>2448</v>
      </c>
      <c r="N594" s="49"/>
    </row>
    <row r="595" spans="1:23">
      <c r="A595" t="s">
        <v>2449</v>
      </c>
      <c r="B595" t="s">
        <v>2450</v>
      </c>
      <c r="C595" t="s">
        <v>2422</v>
      </c>
      <c r="D595" t="s">
        <v>135</v>
      </c>
      <c r="E595">
        <f>_xlfn.XLOOKUP(D595,'Resumen Estudiantes y Profesore'!B:B,'Resumen Estudiantes y Profesore'!A:A)</f>
        <v>96</v>
      </c>
      <c r="F595" t="s">
        <v>243</v>
      </c>
      <c r="G595" t="s">
        <v>247</v>
      </c>
      <c r="H595" t="s">
        <v>247</v>
      </c>
      <c r="I595" t="s">
        <v>674</v>
      </c>
      <c r="J595" t="s">
        <v>83</v>
      </c>
      <c r="K595" s="120" t="s">
        <v>2451</v>
      </c>
      <c r="N595" s="49"/>
    </row>
    <row r="596" spans="1:23">
      <c r="A596" t="s">
        <v>2452</v>
      </c>
      <c r="B596" t="s">
        <v>2453</v>
      </c>
      <c r="C596" t="s">
        <v>1573</v>
      </c>
      <c r="D596" t="s">
        <v>134</v>
      </c>
      <c r="E596">
        <f>_xlfn.XLOOKUP(D596,'Resumen Estudiantes y Profesore'!B:B,'Resumen Estudiantes y Profesore'!A:A)</f>
        <v>102</v>
      </c>
      <c r="F596" t="s">
        <v>243</v>
      </c>
      <c r="G596" t="s">
        <v>247</v>
      </c>
      <c r="H596" t="s">
        <v>247</v>
      </c>
      <c r="I596" t="s">
        <v>674</v>
      </c>
      <c r="J596" t="s">
        <v>84</v>
      </c>
      <c r="K596" s="120" t="s">
        <v>2454</v>
      </c>
      <c r="N596" s="49"/>
    </row>
    <row r="597" spans="1:23">
      <c r="A597" t="s">
        <v>2048</v>
      </c>
      <c r="B597" t="s">
        <v>2455</v>
      </c>
      <c r="C597" t="s">
        <v>1122</v>
      </c>
      <c r="D597" t="s">
        <v>194</v>
      </c>
      <c r="E597">
        <f>_xlfn.XLOOKUP(D597,'Resumen Estudiantes y Profesore'!B:B,'Resumen Estudiantes y Profesore'!A:A)</f>
        <v>79</v>
      </c>
      <c r="F597" t="s">
        <v>243</v>
      </c>
      <c r="G597" t="s">
        <v>247</v>
      </c>
      <c r="H597" t="s">
        <v>247</v>
      </c>
      <c r="I597" t="s">
        <v>674</v>
      </c>
      <c r="J597" t="s">
        <v>90</v>
      </c>
      <c r="K597" s="120" t="s">
        <v>2456</v>
      </c>
      <c r="N597" s="49"/>
    </row>
    <row r="598" spans="1:23">
      <c r="A598" t="s">
        <v>2457</v>
      </c>
      <c r="B598" s="49" t="s">
        <v>2458</v>
      </c>
      <c r="C598" t="s">
        <v>699</v>
      </c>
      <c r="D598" t="s">
        <v>144</v>
      </c>
      <c r="E598">
        <f>_xlfn.XLOOKUP(D598,'Resumen Estudiantes y Profesore'!B:B,'Resumen Estudiantes y Profesore'!A:A)</f>
        <v>118</v>
      </c>
      <c r="F598" t="s">
        <v>243</v>
      </c>
      <c r="G598" t="s">
        <v>247</v>
      </c>
      <c r="H598" t="s">
        <v>247</v>
      </c>
      <c r="I598" t="s">
        <v>674</v>
      </c>
      <c r="J598" t="s">
        <v>138</v>
      </c>
      <c r="K598" s="120" t="s">
        <v>2459</v>
      </c>
      <c r="N598" s="49"/>
    </row>
    <row r="599" spans="1:23">
      <c r="A599" t="s">
        <v>2067</v>
      </c>
      <c r="B599" t="s">
        <v>2460</v>
      </c>
      <c r="C599" t="s">
        <v>456</v>
      </c>
      <c r="D599" t="s">
        <v>185</v>
      </c>
      <c r="E599">
        <f>_xlfn.XLOOKUP(D599,'Resumen Estudiantes y Profesore'!B:B,'Resumen Estudiantes y Profesore'!A:A)</f>
        <v>57</v>
      </c>
      <c r="F599" t="s">
        <v>243</v>
      </c>
      <c r="G599" t="s">
        <v>247</v>
      </c>
      <c r="H599" t="s">
        <v>247</v>
      </c>
      <c r="I599" t="s">
        <v>674</v>
      </c>
      <c r="J599" t="s">
        <v>84</v>
      </c>
      <c r="K599" s="120" t="s">
        <v>2461</v>
      </c>
      <c r="N599" s="49"/>
    </row>
    <row r="600" spans="1:23">
      <c r="A600" t="s">
        <v>2462</v>
      </c>
      <c r="B600" t="s">
        <v>2463</v>
      </c>
      <c r="C600" t="s">
        <v>788</v>
      </c>
      <c r="D600" t="s">
        <v>214</v>
      </c>
      <c r="E600">
        <f>_xlfn.XLOOKUP(D600,'Resumen Estudiantes y Profesore'!B:B,'Resumen Estudiantes y Profesore'!A:A)</f>
        <v>207</v>
      </c>
      <c r="F600" t="s">
        <v>243</v>
      </c>
      <c r="G600" t="s">
        <v>247</v>
      </c>
      <c r="H600" t="s">
        <v>247</v>
      </c>
      <c r="I600" t="s">
        <v>674</v>
      </c>
      <c r="J600" t="s">
        <v>77</v>
      </c>
      <c r="K600" s="120" t="s">
        <v>2464</v>
      </c>
      <c r="N600" s="49"/>
    </row>
    <row r="601" spans="1:23">
      <c r="A601" t="s">
        <v>2465</v>
      </c>
      <c r="B601" t="s">
        <v>2466</v>
      </c>
      <c r="C601" t="s">
        <v>788</v>
      </c>
      <c r="D601" t="s">
        <v>214</v>
      </c>
      <c r="E601">
        <f>_xlfn.XLOOKUP(D601,'Resumen Estudiantes y Profesore'!B:B,'Resumen Estudiantes y Profesore'!A:A)</f>
        <v>207</v>
      </c>
      <c r="F601" t="s">
        <v>243</v>
      </c>
      <c r="G601" t="s">
        <v>247</v>
      </c>
      <c r="H601" t="s">
        <v>247</v>
      </c>
      <c r="I601" t="s">
        <v>674</v>
      </c>
      <c r="J601" t="s">
        <v>77</v>
      </c>
      <c r="K601" s="120" t="s">
        <v>2467</v>
      </c>
      <c r="N601" s="49"/>
    </row>
    <row r="602" spans="1:23">
      <c r="A602" t="s">
        <v>2107</v>
      </c>
      <c r="B602" t="s">
        <v>2468</v>
      </c>
      <c r="C602" t="s">
        <v>611</v>
      </c>
      <c r="D602" t="s">
        <v>176</v>
      </c>
      <c r="E602">
        <f>_xlfn.XLOOKUP(D602,'Resumen Estudiantes y Profesore'!B:B,'Resumen Estudiantes y Profesore'!A:A)</f>
        <v>121</v>
      </c>
      <c r="F602" t="s">
        <v>243</v>
      </c>
      <c r="G602" t="s">
        <v>247</v>
      </c>
      <c r="H602" t="s">
        <v>247</v>
      </c>
      <c r="I602" t="s">
        <v>674</v>
      </c>
      <c r="J602" t="s">
        <v>84</v>
      </c>
      <c r="K602" s="120" t="s">
        <v>2469</v>
      </c>
      <c r="N602" s="49"/>
    </row>
    <row r="603" spans="1:23">
      <c r="A603" t="s">
        <v>1061</v>
      </c>
      <c r="B603" t="s">
        <v>2470</v>
      </c>
      <c r="C603" t="s">
        <v>456</v>
      </c>
      <c r="D603" t="s">
        <v>185</v>
      </c>
      <c r="E603">
        <f>_xlfn.XLOOKUP(D603,'Resumen Estudiantes y Profesore'!B:B,'Resumen Estudiantes y Profesore'!A:A)</f>
        <v>57</v>
      </c>
      <c r="F603" t="s">
        <v>243</v>
      </c>
      <c r="G603" t="s">
        <v>247</v>
      </c>
      <c r="H603" t="s">
        <v>247</v>
      </c>
      <c r="I603" t="s">
        <v>674</v>
      </c>
      <c r="J603" t="s">
        <v>84</v>
      </c>
      <c r="K603" s="120" t="s">
        <v>2471</v>
      </c>
      <c r="N603" s="49"/>
    </row>
    <row r="604" spans="1:23">
      <c r="A604" t="s">
        <v>2472</v>
      </c>
      <c r="B604" t="s">
        <v>2473</v>
      </c>
      <c r="C604" t="s">
        <v>611</v>
      </c>
      <c r="D604" t="s">
        <v>176</v>
      </c>
      <c r="E604">
        <f>_xlfn.XLOOKUP(D604,'Resumen Estudiantes y Profesore'!B:B,'Resumen Estudiantes y Profesore'!A:A)</f>
        <v>121</v>
      </c>
      <c r="F604" t="s">
        <v>243</v>
      </c>
      <c r="G604" t="s">
        <v>247</v>
      </c>
      <c r="H604" t="s">
        <v>247</v>
      </c>
      <c r="I604" t="s">
        <v>674</v>
      </c>
      <c r="J604" t="s">
        <v>84</v>
      </c>
      <c r="K604" s="120" t="s">
        <v>2474</v>
      </c>
      <c r="N604" s="49"/>
    </row>
    <row r="605" spans="1:23">
      <c r="A605" t="s">
        <v>2127</v>
      </c>
      <c r="B605" t="s">
        <v>2475</v>
      </c>
      <c r="C605" t="s">
        <v>788</v>
      </c>
      <c r="D605" t="s">
        <v>214</v>
      </c>
      <c r="E605">
        <f>_xlfn.XLOOKUP(D605,'Resumen Estudiantes y Profesore'!B:B,'Resumen Estudiantes y Profesore'!A:A)</f>
        <v>207</v>
      </c>
      <c r="F605" t="s">
        <v>243</v>
      </c>
      <c r="G605" t="s">
        <v>247</v>
      </c>
      <c r="H605" t="s">
        <v>247</v>
      </c>
      <c r="I605" t="s">
        <v>674</v>
      </c>
      <c r="J605" t="s">
        <v>77</v>
      </c>
      <c r="K605" s="120" t="s">
        <v>2476</v>
      </c>
      <c r="N605" s="49"/>
    </row>
    <row r="606" spans="1:23">
      <c r="A606" t="s">
        <v>2168</v>
      </c>
      <c r="B606" t="s">
        <v>2477</v>
      </c>
      <c r="C606" t="s">
        <v>1573</v>
      </c>
      <c r="D606" t="s">
        <v>134</v>
      </c>
      <c r="E606">
        <f>_xlfn.XLOOKUP(D606,'Resumen Estudiantes y Profesore'!B:B,'Resumen Estudiantes y Profesore'!A:A)</f>
        <v>102</v>
      </c>
      <c r="F606" t="s">
        <v>243</v>
      </c>
      <c r="G606" t="s">
        <v>247</v>
      </c>
      <c r="H606" t="s">
        <v>247</v>
      </c>
      <c r="I606" t="s">
        <v>674</v>
      </c>
      <c r="J606" t="s">
        <v>84</v>
      </c>
      <c r="K606" s="120" t="s">
        <v>2478</v>
      </c>
      <c r="N606" s="49"/>
    </row>
    <row r="607" spans="1:23">
      <c r="A607" t="s">
        <v>1315</v>
      </c>
      <c r="B607" t="s">
        <v>2479</v>
      </c>
      <c r="C607" t="s">
        <v>1202</v>
      </c>
      <c r="D607" t="s">
        <v>158</v>
      </c>
      <c r="E607">
        <f>_xlfn.XLOOKUP(D607,'Resumen Estudiantes y Profesore'!B:B,'Resumen Estudiantes y Profesore'!A:A)</f>
        <v>204</v>
      </c>
      <c r="F607" t="s">
        <v>243</v>
      </c>
      <c r="G607" t="s">
        <v>247</v>
      </c>
      <c r="H607" t="s">
        <v>247</v>
      </c>
      <c r="I607" t="s">
        <v>674</v>
      </c>
      <c r="J607" t="s">
        <v>138</v>
      </c>
      <c r="K607" s="120" t="s">
        <v>2480</v>
      </c>
      <c r="N607" s="49"/>
    </row>
    <row r="608" spans="1:23">
      <c r="A608" t="s">
        <v>2208</v>
      </c>
      <c r="B608" t="s">
        <v>2481</v>
      </c>
      <c r="C608" t="s">
        <v>2482</v>
      </c>
      <c r="D608" t="s">
        <v>171</v>
      </c>
      <c r="E608">
        <f>_xlfn.XLOOKUP(D608,'Resumen Estudiantes y Profesore'!B:B,'Resumen Estudiantes y Profesore'!A:A)</f>
        <v>135</v>
      </c>
      <c r="F608" t="s">
        <v>243</v>
      </c>
      <c r="G608" t="s">
        <v>247</v>
      </c>
      <c r="H608" t="s">
        <v>247</v>
      </c>
      <c r="I608" t="s">
        <v>674</v>
      </c>
      <c r="J608" t="s">
        <v>138</v>
      </c>
      <c r="K608" s="120" t="s">
        <v>2483</v>
      </c>
      <c r="N608" s="49"/>
    </row>
    <row r="609" spans="1:14">
      <c r="A609" t="s">
        <v>2212</v>
      </c>
      <c r="B609" t="s">
        <v>2484</v>
      </c>
      <c r="C609" t="s">
        <v>2485</v>
      </c>
      <c r="D609" t="s">
        <v>146</v>
      </c>
      <c r="E609">
        <f>_xlfn.XLOOKUP(D609,'Resumen Estudiantes y Profesore'!B:B,'Resumen Estudiantes y Profesore'!A:A)</f>
        <v>113</v>
      </c>
      <c r="F609" t="s">
        <v>243</v>
      </c>
      <c r="G609" t="s">
        <v>247</v>
      </c>
      <c r="H609" t="s">
        <v>247</v>
      </c>
      <c r="I609" t="s">
        <v>674</v>
      </c>
      <c r="J609" t="s">
        <v>138</v>
      </c>
      <c r="K609" s="120" t="s">
        <v>2486</v>
      </c>
      <c r="N609" s="49"/>
    </row>
    <row r="610" spans="1:14">
      <c r="A610" t="s">
        <v>1482</v>
      </c>
      <c r="B610" t="s">
        <v>2487</v>
      </c>
      <c r="C610" t="s">
        <v>456</v>
      </c>
      <c r="D610" t="s">
        <v>185</v>
      </c>
      <c r="E610">
        <f>_xlfn.XLOOKUP(D610,'Resumen Estudiantes y Profesore'!B:B,'Resumen Estudiantes y Profesore'!A:A)</f>
        <v>57</v>
      </c>
      <c r="F610" t="s">
        <v>243</v>
      </c>
      <c r="G610" t="s">
        <v>247</v>
      </c>
      <c r="H610" t="s">
        <v>247</v>
      </c>
      <c r="I610" t="s">
        <v>674</v>
      </c>
      <c r="J610" t="s">
        <v>84</v>
      </c>
      <c r="K610" s="120" t="s">
        <v>2488</v>
      </c>
      <c r="N610" s="49"/>
    </row>
    <row r="611" spans="1:14">
      <c r="A611" t="s">
        <v>2489</v>
      </c>
      <c r="B611" t="s">
        <v>2490</v>
      </c>
      <c r="C611" t="s">
        <v>699</v>
      </c>
      <c r="D611" t="s">
        <v>144</v>
      </c>
      <c r="E611">
        <f>_xlfn.XLOOKUP(D611,'Resumen Estudiantes y Profesore'!B:B,'Resumen Estudiantes y Profesore'!A:A)</f>
        <v>118</v>
      </c>
      <c r="F611" t="s">
        <v>243</v>
      </c>
      <c r="G611" t="s">
        <v>247</v>
      </c>
      <c r="H611" t="s">
        <v>247</v>
      </c>
      <c r="I611" t="s">
        <v>674</v>
      </c>
      <c r="J611" t="s">
        <v>138</v>
      </c>
      <c r="K611" s="120" t="s">
        <v>2491</v>
      </c>
      <c r="N611" s="49"/>
    </row>
    <row r="612" spans="1:14">
      <c r="A612" t="s">
        <v>2258</v>
      </c>
      <c r="B612" t="s">
        <v>2492</v>
      </c>
      <c r="C612" t="s">
        <v>457</v>
      </c>
      <c r="D612" t="s">
        <v>186</v>
      </c>
      <c r="E612">
        <f>_xlfn.XLOOKUP(D612,'Resumen Estudiantes y Profesore'!B:B,'Resumen Estudiantes y Profesore'!A:A)</f>
        <v>54</v>
      </c>
      <c r="F612" t="s">
        <v>243</v>
      </c>
      <c r="G612" t="s">
        <v>247</v>
      </c>
      <c r="H612" t="s">
        <v>247</v>
      </c>
      <c r="I612" t="s">
        <v>674</v>
      </c>
      <c r="J612" t="s">
        <v>84</v>
      </c>
      <c r="K612" s="120" t="s">
        <v>2493</v>
      </c>
      <c r="N612" s="49"/>
    </row>
    <row r="613" spans="1:14">
      <c r="A613" t="s">
        <v>2276</v>
      </c>
      <c r="B613" t="s">
        <v>2494</v>
      </c>
      <c r="C613" t="s">
        <v>2485</v>
      </c>
      <c r="D613" t="s">
        <v>146</v>
      </c>
      <c r="E613">
        <f>_xlfn.XLOOKUP(D613,'Resumen Estudiantes y Profesore'!B:B,'Resumen Estudiantes y Profesore'!A:A)</f>
        <v>113</v>
      </c>
      <c r="F613" t="s">
        <v>243</v>
      </c>
      <c r="G613" t="s">
        <v>246</v>
      </c>
      <c r="H613" t="s">
        <v>247</v>
      </c>
      <c r="I613" t="s">
        <v>674</v>
      </c>
      <c r="J613" t="s">
        <v>138</v>
      </c>
      <c r="K613" s="120" t="s">
        <v>2495</v>
      </c>
      <c r="N613" s="49"/>
    </row>
    <row r="614" spans="1:14">
      <c r="A614" t="s">
        <v>2307</v>
      </c>
      <c r="B614" t="s">
        <v>2496</v>
      </c>
      <c r="C614" t="s">
        <v>2497</v>
      </c>
      <c r="D614" t="s">
        <v>210</v>
      </c>
      <c r="E614">
        <f>_xlfn.XLOOKUP(D614,'Resumen Estudiantes y Profesore'!B:B,'Resumen Estudiantes y Profesore'!A:A)</f>
        <v>90</v>
      </c>
      <c r="F614" t="s">
        <v>243</v>
      </c>
      <c r="G614" t="s">
        <v>247</v>
      </c>
      <c r="H614" t="s">
        <v>247</v>
      </c>
      <c r="I614" t="s">
        <v>674</v>
      </c>
      <c r="J614" t="s">
        <v>85</v>
      </c>
      <c r="K614" s="120" t="s">
        <v>2498</v>
      </c>
      <c r="N614" s="49"/>
    </row>
    <row r="615" spans="1:14">
      <c r="A615" t="s">
        <v>2325</v>
      </c>
      <c r="B615" t="s">
        <v>2499</v>
      </c>
      <c r="C615" t="s">
        <v>859</v>
      </c>
      <c r="D615" t="s">
        <v>201</v>
      </c>
      <c r="E615">
        <f>_xlfn.XLOOKUP(D615,'Resumen Estudiantes y Profesore'!B:B,'Resumen Estudiantes y Profesore'!A:A)</f>
        <v>47</v>
      </c>
      <c r="F615" t="s">
        <v>243</v>
      </c>
      <c r="G615" t="s">
        <v>247</v>
      </c>
      <c r="H615" t="s">
        <v>247</v>
      </c>
      <c r="I615" t="s">
        <v>674</v>
      </c>
      <c r="J615" t="s">
        <v>77</v>
      </c>
      <c r="K615" s="120" t="s">
        <v>2500</v>
      </c>
      <c r="N615" s="49"/>
    </row>
    <row r="616" spans="1:14">
      <c r="A616" t="s">
        <v>2328</v>
      </c>
      <c r="B616" t="s">
        <v>2501</v>
      </c>
      <c r="C616" t="s">
        <v>1454</v>
      </c>
      <c r="D616" t="s">
        <v>157</v>
      </c>
      <c r="E616">
        <f>_xlfn.XLOOKUP(D616,'Resumen Estudiantes y Profesore'!B:B,'Resumen Estudiantes y Profesore'!A:A)</f>
        <v>143</v>
      </c>
      <c r="F616" t="s">
        <v>243</v>
      </c>
      <c r="G616" t="s">
        <v>247</v>
      </c>
      <c r="H616" t="s">
        <v>247</v>
      </c>
      <c r="I616" t="s">
        <v>674</v>
      </c>
      <c r="J616" t="s">
        <v>138</v>
      </c>
      <c r="K616" s="120" t="s">
        <v>2502</v>
      </c>
      <c r="N616" s="49"/>
    </row>
    <row r="617" spans="1:14">
      <c r="A617" t="s">
        <v>2340</v>
      </c>
      <c r="B617" t="s">
        <v>2503</v>
      </c>
      <c r="C617" t="s">
        <v>612</v>
      </c>
      <c r="D617" t="s">
        <v>177</v>
      </c>
      <c r="E617">
        <f>_xlfn.XLOOKUP(D617,'Resumen Estudiantes y Profesore'!B:B,'Resumen Estudiantes y Profesore'!A:A)</f>
        <v>122</v>
      </c>
      <c r="F617" t="s">
        <v>243</v>
      </c>
      <c r="G617" t="s">
        <v>247</v>
      </c>
      <c r="H617" t="s">
        <v>247</v>
      </c>
      <c r="I617" t="s">
        <v>674</v>
      </c>
      <c r="J617" t="s">
        <v>84</v>
      </c>
      <c r="K617" s="120" t="s">
        <v>2504</v>
      </c>
      <c r="N617" s="49"/>
    </row>
    <row r="618" spans="1:14">
      <c r="A618" t="s">
        <v>2357</v>
      </c>
      <c r="B618" t="s">
        <v>2505</v>
      </c>
      <c r="C618" t="s">
        <v>459</v>
      </c>
      <c r="D618" t="s">
        <v>188</v>
      </c>
      <c r="E618">
        <f>_xlfn.XLOOKUP(D618,'Resumen Estudiantes y Profesore'!B:B,'Resumen Estudiantes y Profesore'!A:A)</f>
        <v>56</v>
      </c>
      <c r="F618" t="s">
        <v>243</v>
      </c>
      <c r="G618" t="s">
        <v>247</v>
      </c>
      <c r="H618" t="s">
        <v>247</v>
      </c>
      <c r="I618" t="s">
        <v>674</v>
      </c>
      <c r="J618" t="s">
        <v>84</v>
      </c>
      <c r="K618" s="120" t="s">
        <v>2506</v>
      </c>
      <c r="N618" s="49"/>
    </row>
    <row r="619" spans="1:14">
      <c r="A619" t="s">
        <v>2368</v>
      </c>
      <c r="B619" t="s">
        <v>2507</v>
      </c>
      <c r="C619" t="s">
        <v>740</v>
      </c>
      <c r="D619" t="s">
        <v>172</v>
      </c>
      <c r="E619">
        <f>_xlfn.XLOOKUP(D619,'Resumen Estudiantes y Profesore'!B:B,'Resumen Estudiantes y Profesore'!A:A)</f>
        <v>136</v>
      </c>
      <c r="F619" t="s">
        <v>243</v>
      </c>
      <c r="G619" t="s">
        <v>247</v>
      </c>
      <c r="H619" t="s">
        <v>247</v>
      </c>
      <c r="I619" t="s">
        <v>674</v>
      </c>
      <c r="J619" t="s">
        <v>138</v>
      </c>
      <c r="K619" s="120" t="s">
        <v>2508</v>
      </c>
      <c r="N619" s="49"/>
    </row>
    <row r="620" spans="1:14">
      <c r="A620" t="s">
        <v>2374</v>
      </c>
      <c r="B620" t="s">
        <v>2509</v>
      </c>
      <c r="C620" t="s">
        <v>612</v>
      </c>
      <c r="D620" t="s">
        <v>177</v>
      </c>
      <c r="E620">
        <f>_xlfn.XLOOKUP(D620,'Resumen Estudiantes y Profesore'!B:B,'Resumen Estudiantes y Profesore'!A:A)</f>
        <v>122</v>
      </c>
      <c r="F620" t="s">
        <v>243</v>
      </c>
      <c r="G620" t="s">
        <v>247</v>
      </c>
      <c r="H620" t="s">
        <v>247</v>
      </c>
      <c r="I620" t="s">
        <v>674</v>
      </c>
      <c r="J620" t="s">
        <v>84</v>
      </c>
      <c r="K620" s="120" t="s">
        <v>2510</v>
      </c>
      <c r="N620" s="49"/>
    </row>
    <row r="621" spans="1:14">
      <c r="A621" t="s">
        <v>2383</v>
      </c>
      <c r="B621" t="s">
        <v>2511</v>
      </c>
      <c r="C621" t="s">
        <v>696</v>
      </c>
      <c r="D621" t="s">
        <v>164</v>
      </c>
      <c r="E621">
        <f>_xlfn.XLOOKUP(D621,'Resumen Estudiantes y Profesore'!B:B,'Resumen Estudiantes y Profesore'!A:A)</f>
        <v>126</v>
      </c>
      <c r="F621" t="s">
        <v>243</v>
      </c>
      <c r="G621" t="s">
        <v>247</v>
      </c>
      <c r="H621" t="s">
        <v>247</v>
      </c>
      <c r="I621" t="s">
        <v>674</v>
      </c>
      <c r="J621" t="s">
        <v>138</v>
      </c>
      <c r="K621" s="120" t="s">
        <v>2512</v>
      </c>
      <c r="N621" s="49"/>
    </row>
    <row r="622" spans="1:14">
      <c r="A622" t="s">
        <v>2392</v>
      </c>
      <c r="B622" t="s">
        <v>2513</v>
      </c>
      <c r="C622" t="s">
        <v>612</v>
      </c>
      <c r="D622" t="s">
        <v>177</v>
      </c>
      <c r="E622">
        <f>_xlfn.XLOOKUP(D622,'Resumen Estudiantes y Profesore'!B:B,'Resumen Estudiantes y Profesore'!A:A)</f>
        <v>122</v>
      </c>
      <c r="F622" t="s">
        <v>243</v>
      </c>
      <c r="G622" t="s">
        <v>247</v>
      </c>
      <c r="H622" t="s">
        <v>247</v>
      </c>
      <c r="I622" t="s">
        <v>674</v>
      </c>
      <c r="J622" t="s">
        <v>84</v>
      </c>
      <c r="K622" s="120" t="s">
        <v>2514</v>
      </c>
      <c r="N622" s="49"/>
    </row>
    <row r="623" spans="1:14">
      <c r="A623" t="s">
        <v>2395</v>
      </c>
      <c r="B623" t="s">
        <v>2515</v>
      </c>
      <c r="C623" t="s">
        <v>1625</v>
      </c>
      <c r="D623" t="s">
        <v>208</v>
      </c>
      <c r="E623">
        <f>_xlfn.XLOOKUP(D623,'Resumen Estudiantes y Profesore'!B:B,'Resumen Estudiantes y Profesore'!A:A)</f>
        <v>89</v>
      </c>
      <c r="F623" t="s">
        <v>243</v>
      </c>
      <c r="G623" t="s">
        <v>247</v>
      </c>
      <c r="H623" t="s">
        <v>247</v>
      </c>
      <c r="I623" t="s">
        <v>674</v>
      </c>
      <c r="J623" t="s">
        <v>85</v>
      </c>
      <c r="K623" s="120" t="s">
        <v>2516</v>
      </c>
      <c r="N623" s="49"/>
    </row>
    <row r="624" spans="1:14">
      <c r="A624" t="s">
        <v>2398</v>
      </c>
      <c r="B624" t="s">
        <v>2517</v>
      </c>
      <c r="C624" t="s">
        <v>457</v>
      </c>
      <c r="D624" t="s">
        <v>186</v>
      </c>
      <c r="E624">
        <f>_xlfn.XLOOKUP(D624,'Resumen Estudiantes y Profesore'!B:B,'Resumen Estudiantes y Profesore'!A:A)</f>
        <v>54</v>
      </c>
      <c r="F624" t="s">
        <v>243</v>
      </c>
      <c r="G624" t="s">
        <v>247</v>
      </c>
      <c r="H624" t="s">
        <v>247</v>
      </c>
      <c r="I624" t="s">
        <v>674</v>
      </c>
      <c r="J624" t="s">
        <v>84</v>
      </c>
      <c r="K624" s="120" t="s">
        <v>2518</v>
      </c>
      <c r="N624" s="49"/>
    </row>
    <row r="625" spans="1:23">
      <c r="A625" t="s">
        <v>2401</v>
      </c>
      <c r="B625" t="s">
        <v>2519</v>
      </c>
      <c r="C625" t="s">
        <v>1573</v>
      </c>
      <c r="D625" t="s">
        <v>134</v>
      </c>
      <c r="E625">
        <f>_xlfn.XLOOKUP(D625,'Resumen Estudiantes y Profesore'!B:B,'Resumen Estudiantes y Profesore'!A:A)</f>
        <v>102</v>
      </c>
      <c r="F625" t="s">
        <v>243</v>
      </c>
      <c r="G625" t="s">
        <v>247</v>
      </c>
      <c r="H625" t="s">
        <v>247</v>
      </c>
      <c r="I625" t="s">
        <v>674</v>
      </c>
      <c r="J625" t="s">
        <v>84</v>
      </c>
      <c r="K625" s="120" t="s">
        <v>2520</v>
      </c>
      <c r="N625" s="49"/>
    </row>
    <row r="626" spans="1:23">
      <c r="A626" t="s">
        <v>2430</v>
      </c>
      <c r="B626" t="s">
        <v>2521</v>
      </c>
      <c r="C626" t="s">
        <v>788</v>
      </c>
      <c r="D626" t="s">
        <v>214</v>
      </c>
      <c r="E626">
        <f>_xlfn.XLOOKUP(D626,'Resumen Estudiantes y Profesore'!B:B,'Resumen Estudiantes y Profesore'!A:A)</f>
        <v>207</v>
      </c>
      <c r="F626" t="s">
        <v>243</v>
      </c>
      <c r="G626" t="s">
        <v>247</v>
      </c>
      <c r="H626" t="s">
        <v>247</v>
      </c>
      <c r="I626" t="s">
        <v>674</v>
      </c>
      <c r="J626" t="s">
        <v>77</v>
      </c>
      <c r="K626" s="120" t="s">
        <v>2522</v>
      </c>
      <c r="N626" s="49"/>
    </row>
    <row r="627" spans="1:23">
      <c r="A627" t="s">
        <v>2446</v>
      </c>
      <c r="B627" t="s">
        <v>2523</v>
      </c>
      <c r="C627" t="s">
        <v>457</v>
      </c>
      <c r="D627" t="s">
        <v>186</v>
      </c>
      <c r="E627">
        <f>_xlfn.XLOOKUP(D627,'Resumen Estudiantes y Profesore'!B:B,'Resumen Estudiantes y Profesore'!A:A)</f>
        <v>54</v>
      </c>
      <c r="F627" t="s">
        <v>243</v>
      </c>
      <c r="G627" t="s">
        <v>247</v>
      </c>
      <c r="H627" t="s">
        <v>247</v>
      </c>
      <c r="I627" t="s">
        <v>674</v>
      </c>
      <c r="J627" t="s">
        <v>84</v>
      </c>
      <c r="K627" s="120" t="s">
        <v>2524</v>
      </c>
      <c r="N627" s="49"/>
    </row>
    <row r="628" spans="1:23">
      <c r="A628" t="s">
        <v>2525</v>
      </c>
      <c r="B628" t="s">
        <v>2526</v>
      </c>
      <c r="C628" t="s">
        <v>1218</v>
      </c>
      <c r="D628" t="s">
        <v>147</v>
      </c>
      <c r="E628">
        <f>_xlfn.XLOOKUP(D628,'Resumen Estudiantes y Profesore'!B:B,'Resumen Estudiantes y Profesore'!A:A)</f>
        <v>110</v>
      </c>
      <c r="F628" t="s">
        <v>243</v>
      </c>
      <c r="G628" t="s">
        <v>247</v>
      </c>
      <c r="H628" t="s">
        <v>247</v>
      </c>
      <c r="I628" t="s">
        <v>674</v>
      </c>
      <c r="J628" t="s">
        <v>138</v>
      </c>
      <c r="K628" s="120" t="s">
        <v>2527</v>
      </c>
      <c r="N628" s="49"/>
    </row>
    <row r="629" spans="1:23">
      <c r="A629" t="s">
        <v>2449</v>
      </c>
      <c r="B629" t="s">
        <v>2528</v>
      </c>
      <c r="C629" t="s">
        <v>2415</v>
      </c>
      <c r="D629" t="s">
        <v>183</v>
      </c>
      <c r="E629">
        <f>_xlfn.XLOOKUP(D629,'Resumen Estudiantes y Profesore'!B:B,'Resumen Estudiantes y Profesore'!A:A)</f>
        <v>51</v>
      </c>
      <c r="F629" t="s">
        <v>243</v>
      </c>
      <c r="G629" t="s">
        <v>247</v>
      </c>
      <c r="H629" t="s">
        <v>247</v>
      </c>
      <c r="I629" t="s">
        <v>674</v>
      </c>
      <c r="J629" t="s">
        <v>83</v>
      </c>
      <c r="K629" s="120" t="s">
        <v>2529</v>
      </c>
      <c r="N629" s="49"/>
    </row>
    <row r="630" spans="1:23">
      <c r="A630" t="s">
        <v>2457</v>
      </c>
      <c r="B630" t="s">
        <v>2530</v>
      </c>
      <c r="C630" t="s">
        <v>1490</v>
      </c>
      <c r="D630" t="s">
        <v>142</v>
      </c>
      <c r="E630">
        <f>_xlfn.XLOOKUP(D630,'Resumen Estudiantes y Profesore'!B:B,'Resumen Estudiantes y Profesore'!A:A)</f>
        <v>119</v>
      </c>
      <c r="F630" t="s">
        <v>243</v>
      </c>
      <c r="G630" t="s">
        <v>247</v>
      </c>
      <c r="H630" t="s">
        <v>247</v>
      </c>
      <c r="I630" t="s">
        <v>674</v>
      </c>
      <c r="J630" t="s">
        <v>138</v>
      </c>
      <c r="K630" s="120" t="s">
        <v>2531</v>
      </c>
      <c r="N630" s="49"/>
    </row>
    <row r="631" spans="1:23">
      <c r="A631" t="s">
        <v>2462</v>
      </c>
      <c r="B631" t="s">
        <v>2532</v>
      </c>
      <c r="C631" t="s">
        <v>878</v>
      </c>
      <c r="D631" t="s">
        <v>202</v>
      </c>
      <c r="E631">
        <f>_xlfn.XLOOKUP(D631,'Resumen Estudiantes y Profesore'!B:B,'Resumen Estudiantes y Profesore'!A:A)</f>
        <v>48</v>
      </c>
      <c r="F631" t="s">
        <v>243</v>
      </c>
      <c r="G631" t="s">
        <v>247</v>
      </c>
      <c r="H631" t="s">
        <v>247</v>
      </c>
      <c r="I631" t="s">
        <v>674</v>
      </c>
      <c r="J631" t="s">
        <v>77</v>
      </c>
      <c r="K631" s="120" t="s">
        <v>2533</v>
      </c>
      <c r="N631" s="49"/>
    </row>
    <row r="632" spans="1:23">
      <c r="A632" t="s">
        <v>1688</v>
      </c>
      <c r="B632" t="s">
        <v>2534</v>
      </c>
      <c r="C632" t="s">
        <v>2535</v>
      </c>
      <c r="D632" t="s">
        <v>215</v>
      </c>
      <c r="E632">
        <f>_xlfn.XLOOKUP(D632,'Resumen Estudiantes y Profesore'!B:B,'Resumen Estudiantes y Profesore'!A:A)</f>
        <v>85</v>
      </c>
      <c r="F632" t="s">
        <v>243</v>
      </c>
      <c r="G632" t="s">
        <v>246</v>
      </c>
      <c r="H632" t="s">
        <v>247</v>
      </c>
      <c r="I632" t="s">
        <v>674</v>
      </c>
      <c r="J632" t="s">
        <v>85</v>
      </c>
      <c r="K632" s="120" t="s">
        <v>2536</v>
      </c>
      <c r="N632" s="49"/>
    </row>
    <row r="633" spans="1:23">
      <c r="A633" t="s">
        <v>2307</v>
      </c>
      <c r="B633" t="s">
        <v>2537</v>
      </c>
      <c r="C633" t="s">
        <v>2535</v>
      </c>
      <c r="D633" t="s">
        <v>215</v>
      </c>
      <c r="E633">
        <f>_xlfn.XLOOKUP(D633,'Resumen Estudiantes y Profesore'!B:B,'Resumen Estudiantes y Profesore'!A:A)</f>
        <v>85</v>
      </c>
      <c r="F633" t="s">
        <v>243</v>
      </c>
      <c r="G633" t="s">
        <v>246</v>
      </c>
      <c r="H633" t="s">
        <v>247</v>
      </c>
      <c r="I633" t="s">
        <v>674</v>
      </c>
      <c r="J633" t="s">
        <v>85</v>
      </c>
      <c r="K633" s="120" t="s">
        <v>2538</v>
      </c>
      <c r="N633" s="49"/>
    </row>
    <row r="634" spans="1:23">
      <c r="A634" t="s">
        <v>2340</v>
      </c>
      <c r="B634" t="s">
        <v>2539</v>
      </c>
      <c r="C634" t="s">
        <v>456</v>
      </c>
      <c r="D634" t="s">
        <v>185</v>
      </c>
      <c r="E634">
        <f>_xlfn.XLOOKUP(D634,'Resumen Estudiantes y Profesore'!B:B,'Resumen Estudiantes y Profesore'!A:A)</f>
        <v>57</v>
      </c>
      <c r="F634" t="s">
        <v>243</v>
      </c>
      <c r="G634" t="s">
        <v>247</v>
      </c>
      <c r="H634" t="s">
        <v>247</v>
      </c>
      <c r="I634" t="s">
        <v>674</v>
      </c>
      <c r="J634" t="s">
        <v>84</v>
      </c>
      <c r="K634" s="120" t="s">
        <v>2540</v>
      </c>
      <c r="N634" s="49"/>
    </row>
    <row r="635" spans="1:23" s="81" customFormat="1">
      <c r="A635" t="s">
        <v>2430</v>
      </c>
      <c r="B635" t="s">
        <v>2541</v>
      </c>
      <c r="C635" t="s">
        <v>1461</v>
      </c>
      <c r="D635" t="s">
        <v>200</v>
      </c>
      <c r="E635">
        <f>_xlfn.XLOOKUP(D635,'Resumen Estudiantes y Profesore'!B:B,'Resumen Estudiantes y Profesore'!A:A)</f>
        <v>46</v>
      </c>
      <c r="F635" t="s">
        <v>243</v>
      </c>
      <c r="G635" t="s">
        <v>247</v>
      </c>
      <c r="H635" t="s">
        <v>247</v>
      </c>
      <c r="I635" t="s">
        <v>674</v>
      </c>
      <c r="J635" t="s">
        <v>77</v>
      </c>
      <c r="K635" s="120" t="s">
        <v>2542</v>
      </c>
      <c r="L635"/>
      <c r="M635"/>
      <c r="N635" s="49"/>
      <c r="O635"/>
      <c r="P635"/>
      <c r="Q635"/>
      <c r="R635"/>
      <c r="S635"/>
      <c r="T635"/>
      <c r="U635"/>
      <c r="V635"/>
      <c r="W635"/>
    </row>
    <row r="636" spans="1:23">
      <c r="A636" t="s">
        <v>1688</v>
      </c>
      <c r="B636" t="s">
        <v>2543</v>
      </c>
      <c r="C636" t="s">
        <v>483</v>
      </c>
      <c r="D636" t="s">
        <v>215</v>
      </c>
      <c r="E636">
        <f>_xlfn.XLOOKUP(D636,'Resumen Estudiantes y Profesore'!B:B,'Resumen Estudiantes y Profesore'!A:A)</f>
        <v>85</v>
      </c>
      <c r="F636" t="s">
        <v>243</v>
      </c>
      <c r="G636" t="s">
        <v>247</v>
      </c>
      <c r="H636" t="s">
        <v>247</v>
      </c>
      <c r="I636" t="s">
        <v>674</v>
      </c>
      <c r="J636" t="s">
        <v>85</v>
      </c>
      <c r="K636" s="120" t="s">
        <v>2544</v>
      </c>
      <c r="N636" s="49"/>
    </row>
    <row r="637" spans="1:23">
      <c r="A637" t="s">
        <v>2430</v>
      </c>
      <c r="B637" t="s">
        <v>2545</v>
      </c>
      <c r="C637" t="s">
        <v>474</v>
      </c>
      <c r="D637" t="s">
        <v>204</v>
      </c>
      <c r="E637">
        <f>_xlfn.XLOOKUP(D637,'Resumen Estudiantes y Profesore'!B:B,'Resumen Estudiantes y Profesore'!A:A)</f>
        <v>81</v>
      </c>
      <c r="F637" t="s">
        <v>243</v>
      </c>
      <c r="G637" t="s">
        <v>247</v>
      </c>
      <c r="H637" t="s">
        <v>247</v>
      </c>
      <c r="I637" t="s">
        <v>674</v>
      </c>
      <c r="J637" t="s">
        <v>91</v>
      </c>
      <c r="K637" s="120" t="s">
        <v>2546</v>
      </c>
      <c r="N637" s="49"/>
    </row>
    <row r="638" spans="1:23">
      <c r="A638" t="s">
        <v>2547</v>
      </c>
      <c r="B638" t="s">
        <v>2548</v>
      </c>
      <c r="C638" t="s">
        <v>2549</v>
      </c>
      <c r="D638" t="s">
        <v>107</v>
      </c>
      <c r="E638">
        <f>_xlfn.XLOOKUP(D638,'Resumen Estudiantes y Profesore'!B:B,'Resumen Estudiantes y Profesore'!A:A)</f>
        <v>201</v>
      </c>
      <c r="F638" t="s">
        <v>243</v>
      </c>
      <c r="G638" t="s">
        <v>247</v>
      </c>
      <c r="H638" t="s">
        <v>247</v>
      </c>
      <c r="I638" t="s">
        <v>674</v>
      </c>
      <c r="J638" t="s">
        <v>91</v>
      </c>
      <c r="K638" s="120" t="s">
        <v>2550</v>
      </c>
      <c r="N638" s="49"/>
    </row>
    <row r="639" spans="1:23">
      <c r="A639" t="s">
        <v>821</v>
      </c>
      <c r="B639" t="s">
        <v>2551</v>
      </c>
      <c r="C639" t="s">
        <v>2552</v>
      </c>
      <c r="D639" t="s">
        <v>206</v>
      </c>
      <c r="E639">
        <f>_xlfn.XLOOKUP(D639,'Resumen Estudiantes y Profesore'!B:B,'Resumen Estudiantes y Profesore'!A:A)</f>
        <v>205</v>
      </c>
      <c r="F639" t="s">
        <v>243</v>
      </c>
      <c r="G639" t="s">
        <v>247</v>
      </c>
      <c r="H639" t="s">
        <v>247</v>
      </c>
      <c r="I639" t="s">
        <v>674</v>
      </c>
      <c r="J639" t="s">
        <v>91</v>
      </c>
      <c r="K639" s="120" t="s">
        <v>2553</v>
      </c>
      <c r="N639" s="49"/>
    </row>
    <row r="640" spans="1:23">
      <c r="A640" t="s">
        <v>2554</v>
      </c>
      <c r="B640" t="s">
        <v>2555</v>
      </c>
      <c r="C640" t="s">
        <v>2549</v>
      </c>
      <c r="D640" t="s">
        <v>107</v>
      </c>
      <c r="E640">
        <f>_xlfn.XLOOKUP(D640,'Resumen Estudiantes y Profesore'!B:B,'Resumen Estudiantes y Profesore'!A:A)</f>
        <v>201</v>
      </c>
      <c r="F640" t="s">
        <v>243</v>
      </c>
      <c r="G640" t="s">
        <v>247</v>
      </c>
      <c r="H640" t="s">
        <v>247</v>
      </c>
      <c r="I640" t="s">
        <v>674</v>
      </c>
      <c r="J640" t="s">
        <v>91</v>
      </c>
      <c r="K640" s="120" t="s">
        <v>2556</v>
      </c>
      <c r="N640" s="49"/>
    </row>
    <row r="641" spans="1:23">
      <c r="A641" t="s">
        <v>2557</v>
      </c>
      <c r="B641" t="s">
        <v>2558</v>
      </c>
      <c r="C641" t="s">
        <v>2549</v>
      </c>
      <c r="D641" t="s">
        <v>107</v>
      </c>
      <c r="E641">
        <f>_xlfn.XLOOKUP(D641,'Resumen Estudiantes y Profesore'!B:B,'Resumen Estudiantes y Profesore'!A:A)</f>
        <v>201</v>
      </c>
      <c r="F641" t="s">
        <v>243</v>
      </c>
      <c r="G641" t="s">
        <v>247</v>
      </c>
      <c r="H641" t="s">
        <v>247</v>
      </c>
      <c r="I641" t="s">
        <v>674</v>
      </c>
      <c r="J641" t="s">
        <v>91</v>
      </c>
      <c r="K641" s="120" t="s">
        <v>2559</v>
      </c>
      <c r="N641" s="49"/>
    </row>
    <row r="642" spans="1:23">
      <c r="A642" t="s">
        <v>2560</v>
      </c>
      <c r="B642" t="s">
        <v>2561</v>
      </c>
      <c r="C642" t="s">
        <v>2552</v>
      </c>
      <c r="D642" t="s">
        <v>206</v>
      </c>
      <c r="E642">
        <f>_xlfn.XLOOKUP(D642,'Resumen Estudiantes y Profesore'!B:B,'Resumen Estudiantes y Profesore'!A:A)</f>
        <v>205</v>
      </c>
      <c r="F642" t="s">
        <v>243</v>
      </c>
      <c r="G642" t="s">
        <v>247</v>
      </c>
      <c r="H642" t="s">
        <v>247</v>
      </c>
      <c r="I642" t="s">
        <v>674</v>
      </c>
      <c r="J642" t="s">
        <v>91</v>
      </c>
      <c r="K642" s="120" t="s">
        <v>2562</v>
      </c>
      <c r="N642" s="49"/>
    </row>
    <row r="643" spans="1:23">
      <c r="A643" t="s">
        <v>1605</v>
      </c>
      <c r="B643" t="s">
        <v>2563</v>
      </c>
      <c r="C643" t="s">
        <v>2552</v>
      </c>
      <c r="D643" t="s">
        <v>206</v>
      </c>
      <c r="E643">
        <f>_xlfn.XLOOKUP(D643,'Resumen Estudiantes y Profesore'!B:B,'Resumen Estudiantes y Profesore'!A:A)</f>
        <v>205</v>
      </c>
      <c r="F643" t="s">
        <v>243</v>
      </c>
      <c r="G643" t="s">
        <v>247</v>
      </c>
      <c r="H643" t="s">
        <v>247</v>
      </c>
      <c r="I643" t="s">
        <v>674</v>
      </c>
      <c r="J643" t="s">
        <v>91</v>
      </c>
      <c r="K643" s="120" t="s">
        <v>2564</v>
      </c>
      <c r="N643" s="49"/>
    </row>
    <row r="644" spans="1:23">
      <c r="A644" t="s">
        <v>2565</v>
      </c>
      <c r="B644" t="s">
        <v>2566</v>
      </c>
      <c r="C644" t="s">
        <v>2552</v>
      </c>
      <c r="D644" t="s">
        <v>206</v>
      </c>
      <c r="E644">
        <f>_xlfn.XLOOKUP(D644,'Resumen Estudiantes y Profesore'!B:B,'Resumen Estudiantes y Profesore'!A:A)</f>
        <v>205</v>
      </c>
      <c r="F644" t="s">
        <v>243</v>
      </c>
      <c r="G644" t="s">
        <v>247</v>
      </c>
      <c r="H644" t="s">
        <v>247</v>
      </c>
      <c r="I644" t="s">
        <v>674</v>
      </c>
      <c r="J644" t="s">
        <v>91</v>
      </c>
      <c r="K644" s="120" t="s">
        <v>2567</v>
      </c>
      <c r="N644" s="49"/>
    </row>
    <row r="645" spans="1:23">
      <c r="A645" t="s">
        <v>2568</v>
      </c>
      <c r="B645" t="s">
        <v>2569</v>
      </c>
      <c r="C645" t="s">
        <v>2552</v>
      </c>
      <c r="D645" t="s">
        <v>206</v>
      </c>
      <c r="E645">
        <f>_xlfn.XLOOKUP(D645,'Resumen Estudiantes y Profesore'!B:B,'Resumen Estudiantes y Profesore'!A:A)</f>
        <v>205</v>
      </c>
      <c r="F645" t="s">
        <v>243</v>
      </c>
      <c r="G645" t="s">
        <v>247</v>
      </c>
      <c r="H645" t="s">
        <v>247</v>
      </c>
      <c r="I645" t="s">
        <v>674</v>
      </c>
      <c r="J645" t="s">
        <v>91</v>
      </c>
      <c r="K645" s="120" t="s">
        <v>2570</v>
      </c>
      <c r="N645" s="49"/>
    </row>
    <row r="646" spans="1:23">
      <c r="A646" t="s">
        <v>2571</v>
      </c>
      <c r="B646" t="s">
        <v>2572</v>
      </c>
      <c r="C646" t="s">
        <v>2552</v>
      </c>
      <c r="D646" t="s">
        <v>206</v>
      </c>
      <c r="E646">
        <f>_xlfn.XLOOKUP(D646,'Resumen Estudiantes y Profesore'!B:B,'Resumen Estudiantes y Profesore'!A:A)</f>
        <v>205</v>
      </c>
      <c r="F646" t="s">
        <v>243</v>
      </c>
      <c r="G646" t="s">
        <v>247</v>
      </c>
      <c r="H646" t="s">
        <v>247</v>
      </c>
      <c r="I646" t="s">
        <v>674</v>
      </c>
      <c r="J646" t="s">
        <v>91</v>
      </c>
      <c r="K646" s="120" t="s">
        <v>2573</v>
      </c>
      <c r="N646" s="49"/>
    </row>
    <row r="647" spans="1:23">
      <c r="A647" t="s">
        <v>2574</v>
      </c>
      <c r="B647" t="s">
        <v>2575</v>
      </c>
      <c r="C647" t="s">
        <v>968</v>
      </c>
      <c r="D647" t="s">
        <v>137</v>
      </c>
      <c r="E647">
        <f>_xlfn.XLOOKUP(D647,'Resumen Estudiantes y Profesore'!B:B,'Resumen Estudiantes y Profesore'!A:A)</f>
        <v>202</v>
      </c>
      <c r="F647" t="s">
        <v>243</v>
      </c>
      <c r="G647" t="s">
        <v>246</v>
      </c>
      <c r="H647" t="e">
        <v>#N/A</v>
      </c>
      <c r="I647" t="s">
        <v>674</v>
      </c>
      <c r="J647" t="s">
        <v>138</v>
      </c>
      <c r="K647" s="120" t="s">
        <v>2576</v>
      </c>
      <c r="N647" s="49"/>
    </row>
    <row r="648" spans="1:23">
      <c r="A648" s="64" t="s">
        <v>2577</v>
      </c>
      <c r="B648" t="s">
        <v>2578</v>
      </c>
      <c r="C648" t="s">
        <v>515</v>
      </c>
      <c r="D648" t="s">
        <v>148</v>
      </c>
      <c r="E648">
        <f>_xlfn.XLOOKUP(D648,'Resumen Estudiantes y Profesore'!B:B,'Resumen Estudiantes y Profesore'!A:A)</f>
        <v>115</v>
      </c>
      <c r="F648" t="s">
        <v>244</v>
      </c>
      <c r="G648" t="s">
        <v>241</v>
      </c>
      <c r="H648" t="s">
        <v>247</v>
      </c>
      <c r="I648" t="s">
        <v>674</v>
      </c>
      <c r="J648" t="s">
        <v>138</v>
      </c>
      <c r="K648" s="120" t="s">
        <v>2579</v>
      </c>
      <c r="L648" s="81"/>
      <c r="M648" s="81"/>
      <c r="N648" s="49"/>
      <c r="O648" s="81"/>
      <c r="P648" s="81"/>
      <c r="Q648" s="81"/>
      <c r="R648" s="81"/>
      <c r="S648" s="81"/>
      <c r="T648" s="81"/>
      <c r="U648" s="81"/>
      <c r="V648" s="81"/>
      <c r="W648" s="81"/>
    </row>
    <row r="649" spans="1:23">
      <c r="A649" s="64" t="s">
        <v>2580</v>
      </c>
      <c r="B649" t="s">
        <v>2581</v>
      </c>
      <c r="C649" t="s">
        <v>487</v>
      </c>
      <c r="D649" t="s">
        <v>212</v>
      </c>
      <c r="E649">
        <f>_xlfn.XLOOKUP(D649,'Resumen Estudiantes y Profesore'!B:B,'Resumen Estudiantes y Profesore'!A:A)</f>
        <v>94</v>
      </c>
      <c r="F649" t="s">
        <v>244</v>
      </c>
      <c r="G649" t="s">
        <v>241</v>
      </c>
      <c r="H649" t="s">
        <v>247</v>
      </c>
      <c r="I649" t="s">
        <v>674</v>
      </c>
      <c r="J649" t="s">
        <v>87</v>
      </c>
      <c r="K649" s="120" t="s">
        <v>2582</v>
      </c>
      <c r="L649" s="81"/>
      <c r="M649" s="81"/>
      <c r="N649" s="49"/>
      <c r="O649" s="81"/>
      <c r="P649" s="81"/>
      <c r="Q649" s="81"/>
      <c r="R649" s="81"/>
      <c r="S649" s="81"/>
      <c r="T649" s="81"/>
      <c r="U649" s="81"/>
      <c r="V649" s="81"/>
      <c r="W649" s="81"/>
    </row>
    <row r="650" spans="1:23">
      <c r="A650" s="64" t="s">
        <v>2580</v>
      </c>
      <c r="B650" t="s">
        <v>2583</v>
      </c>
      <c r="C650" t="s">
        <v>545</v>
      </c>
      <c r="D650" t="s">
        <v>211</v>
      </c>
      <c r="E650">
        <f>_xlfn.XLOOKUP(D650,'Resumen Estudiantes y Profesore'!B:B,'Resumen Estudiantes y Profesore'!A:A)</f>
        <v>206</v>
      </c>
      <c r="F650" t="s">
        <v>244</v>
      </c>
      <c r="G650" t="s">
        <v>241</v>
      </c>
      <c r="H650" t="s">
        <v>247</v>
      </c>
      <c r="I650" t="s">
        <v>674</v>
      </c>
      <c r="J650" t="s">
        <v>87</v>
      </c>
      <c r="K650" s="120" t="s">
        <v>2584</v>
      </c>
      <c r="L650" s="81"/>
      <c r="M650" s="81"/>
      <c r="N650" s="49"/>
      <c r="O650" s="81"/>
      <c r="P650" s="81"/>
      <c r="Q650" s="81"/>
      <c r="R650" s="81"/>
      <c r="S650" s="81"/>
      <c r="T650" s="81"/>
      <c r="U650" s="81"/>
      <c r="V650" s="81"/>
      <c r="W650" s="81"/>
    </row>
    <row r="651" spans="1:23">
      <c r="A651" s="64" t="s">
        <v>2585</v>
      </c>
      <c r="B651" t="s">
        <v>2586</v>
      </c>
      <c r="C651" t="s">
        <v>465</v>
      </c>
      <c r="D651" t="s">
        <v>197</v>
      </c>
      <c r="E651">
        <f>_xlfn.XLOOKUP(D651,'Resumen Estudiantes y Profesore'!B:B,'Resumen Estudiantes y Profesore'!A:A)</f>
        <v>67</v>
      </c>
      <c r="F651" t="s">
        <v>244</v>
      </c>
      <c r="G651" t="s">
        <v>241</v>
      </c>
      <c r="H651" t="s">
        <v>247</v>
      </c>
      <c r="I651" t="s">
        <v>674</v>
      </c>
      <c r="J651" t="s">
        <v>87</v>
      </c>
      <c r="K651" s="120" t="s">
        <v>2587</v>
      </c>
      <c r="L651" s="81"/>
      <c r="M651" s="81"/>
      <c r="N651" s="49"/>
      <c r="O651" s="81"/>
      <c r="P651" s="81"/>
      <c r="Q651" s="81"/>
      <c r="R651" s="81"/>
      <c r="S651" s="81"/>
      <c r="T651" s="81"/>
      <c r="U651" s="81"/>
      <c r="V651" s="81"/>
      <c r="W651" s="81"/>
    </row>
    <row r="652" spans="1:23">
      <c r="A652" s="64" t="s">
        <v>2585</v>
      </c>
      <c r="B652" t="s">
        <v>2588</v>
      </c>
      <c r="C652" t="s">
        <v>487</v>
      </c>
      <c r="D652" t="s">
        <v>212</v>
      </c>
      <c r="E652">
        <f>_xlfn.XLOOKUP(D652,'Resumen Estudiantes y Profesore'!B:B,'Resumen Estudiantes y Profesore'!A:A)</f>
        <v>94</v>
      </c>
      <c r="F652" t="s">
        <v>244</v>
      </c>
      <c r="G652" t="s">
        <v>241</v>
      </c>
      <c r="H652" t="s">
        <v>247</v>
      </c>
      <c r="I652" t="s">
        <v>674</v>
      </c>
      <c r="J652" t="s">
        <v>87</v>
      </c>
      <c r="K652" s="120" t="s">
        <v>2589</v>
      </c>
      <c r="L652" s="81"/>
      <c r="M652" s="81"/>
      <c r="N652" s="49"/>
      <c r="O652" s="81"/>
      <c r="P652" s="81"/>
      <c r="Q652" s="81"/>
      <c r="R652" s="81"/>
      <c r="S652" s="81"/>
      <c r="T652" s="81"/>
      <c r="U652" s="81"/>
      <c r="V652" s="81"/>
      <c r="W652" s="81"/>
    </row>
    <row r="653" spans="1:23">
      <c r="A653" s="64" t="s">
        <v>738</v>
      </c>
      <c r="B653" t="s">
        <v>2590</v>
      </c>
      <c r="C653" t="s">
        <v>2591</v>
      </c>
      <c r="D653" t="s">
        <v>167</v>
      </c>
      <c r="E653">
        <f>_xlfn.XLOOKUP(D653,'Resumen Estudiantes y Profesore'!B:B,'Resumen Estudiantes y Profesore'!A:A)</f>
        <v>138</v>
      </c>
      <c r="F653" t="s">
        <v>243</v>
      </c>
      <c r="G653" t="s">
        <v>241</v>
      </c>
      <c r="H653" t="s">
        <v>247</v>
      </c>
      <c r="I653" t="s">
        <v>674</v>
      </c>
      <c r="J653" t="s">
        <v>138</v>
      </c>
      <c r="K653" s="120" t="s">
        <v>2592</v>
      </c>
      <c r="L653" s="81"/>
      <c r="M653" s="81"/>
      <c r="N653" s="49"/>
      <c r="O653" s="81"/>
      <c r="P653" s="81"/>
      <c r="Q653" s="81"/>
      <c r="R653" s="81"/>
      <c r="S653" s="81"/>
      <c r="T653" s="81"/>
      <c r="U653" s="81"/>
      <c r="V653" s="81"/>
      <c r="W653" s="81"/>
    </row>
    <row r="654" spans="1:23">
      <c r="A654" s="64" t="s">
        <v>738</v>
      </c>
      <c r="B654" t="s">
        <v>2593</v>
      </c>
      <c r="C654" t="s">
        <v>699</v>
      </c>
      <c r="D654" t="s">
        <v>144</v>
      </c>
      <c r="E654">
        <f>_xlfn.XLOOKUP(D654,'Resumen Estudiantes y Profesore'!B:B,'Resumen Estudiantes y Profesore'!A:A)</f>
        <v>118</v>
      </c>
      <c r="F654" t="s">
        <v>243</v>
      </c>
      <c r="G654" t="s">
        <v>241</v>
      </c>
      <c r="H654" t="s">
        <v>247</v>
      </c>
      <c r="I654" t="s">
        <v>674</v>
      </c>
      <c r="J654" t="s">
        <v>138</v>
      </c>
      <c r="K654" s="120" t="s">
        <v>2594</v>
      </c>
      <c r="L654" s="81"/>
      <c r="M654" s="81"/>
      <c r="N654" s="49"/>
      <c r="O654" s="81"/>
      <c r="P654" s="81"/>
      <c r="Q654" s="81"/>
      <c r="R654" s="81"/>
      <c r="S654" s="81"/>
      <c r="T654" s="81"/>
      <c r="U654" s="81"/>
      <c r="V654" s="81"/>
      <c r="W654" s="81"/>
    </row>
    <row r="655" spans="1:23">
      <c r="A655" s="64" t="s">
        <v>807</v>
      </c>
      <c r="B655" t="s">
        <v>2595</v>
      </c>
      <c r="C655" t="s">
        <v>747</v>
      </c>
      <c r="D655" t="s">
        <v>178</v>
      </c>
      <c r="E655">
        <f>_xlfn.XLOOKUP(D655,'Resumen Estudiantes y Profesore'!B:B,'Resumen Estudiantes y Profesore'!A:A)</f>
        <v>75</v>
      </c>
      <c r="F655" t="s">
        <v>243</v>
      </c>
      <c r="G655" t="s">
        <v>241</v>
      </c>
      <c r="H655" t="s">
        <v>247</v>
      </c>
      <c r="I655" t="s">
        <v>674</v>
      </c>
      <c r="J655" t="s">
        <v>89</v>
      </c>
      <c r="K655" s="120" t="s">
        <v>2596</v>
      </c>
      <c r="L655" s="81"/>
      <c r="M655" s="81"/>
      <c r="N655" s="49"/>
      <c r="O655" s="81"/>
      <c r="P655" s="81"/>
      <c r="Q655" s="81"/>
      <c r="R655" s="81"/>
      <c r="S655" s="81"/>
      <c r="T655" s="81"/>
      <c r="U655" s="81"/>
      <c r="V655" s="81"/>
      <c r="W655" s="81"/>
    </row>
    <row r="656" spans="1:23">
      <c r="A656" s="64" t="s">
        <v>807</v>
      </c>
      <c r="B656" t="s">
        <v>2597</v>
      </c>
      <c r="C656" t="s">
        <v>2046</v>
      </c>
      <c r="D656" t="s">
        <v>179</v>
      </c>
      <c r="E656">
        <f>_xlfn.XLOOKUP(D656,'Resumen Estudiantes y Profesore'!B:B,'Resumen Estudiantes y Profesore'!A:A)</f>
        <v>73</v>
      </c>
      <c r="F656" t="s">
        <v>243</v>
      </c>
      <c r="G656" t="s">
        <v>241</v>
      </c>
      <c r="H656" t="s">
        <v>247</v>
      </c>
      <c r="I656" t="s">
        <v>674</v>
      </c>
      <c r="J656" t="s">
        <v>89</v>
      </c>
      <c r="K656" s="120" t="s">
        <v>2598</v>
      </c>
      <c r="L656" s="81"/>
      <c r="M656" s="81"/>
      <c r="N656" s="49"/>
      <c r="O656" s="81"/>
      <c r="P656" s="81"/>
      <c r="Q656" s="81"/>
      <c r="R656" s="81"/>
      <c r="S656" s="81"/>
      <c r="T656" s="81"/>
      <c r="U656" s="81"/>
      <c r="V656" s="81"/>
      <c r="W656" s="81"/>
    </row>
    <row r="657" spans="1:23">
      <c r="A657" t="s">
        <v>812</v>
      </c>
      <c r="B657" t="s">
        <v>2599</v>
      </c>
      <c r="C657" t="s">
        <v>2497</v>
      </c>
      <c r="D657" t="s">
        <v>210</v>
      </c>
      <c r="E657">
        <f>_xlfn.XLOOKUP(D657,'Resumen Estudiantes y Profesore'!B:B,'Resumen Estudiantes y Profesore'!A:A)</f>
        <v>90</v>
      </c>
      <c r="F657" t="s">
        <v>243</v>
      </c>
      <c r="G657" t="s">
        <v>246</v>
      </c>
      <c r="H657" t="s">
        <v>247</v>
      </c>
      <c r="I657" t="s">
        <v>674</v>
      </c>
      <c r="J657" t="s">
        <v>85</v>
      </c>
      <c r="K657" s="120" t="s">
        <v>2600</v>
      </c>
      <c r="L657" s="81"/>
      <c r="M657" s="81"/>
      <c r="N657" s="49"/>
      <c r="O657" s="81"/>
      <c r="P657" s="81"/>
      <c r="Q657" s="81"/>
      <c r="R657" s="81"/>
      <c r="S657" s="81"/>
      <c r="T657" s="81"/>
      <c r="U657" s="81"/>
      <c r="V657" s="81"/>
      <c r="W657" s="81"/>
    </row>
    <row r="658" spans="1:23">
      <c r="A658" s="64" t="s">
        <v>2601</v>
      </c>
      <c r="B658" t="s">
        <v>2602</v>
      </c>
      <c r="C658" t="s">
        <v>475</v>
      </c>
      <c r="D658" t="s">
        <v>205</v>
      </c>
      <c r="E658">
        <f>_xlfn.XLOOKUP(D658,'Resumen Estudiantes y Profesore'!B:B,'Resumen Estudiantes y Profesore'!A:A)</f>
        <v>80</v>
      </c>
      <c r="F658" t="s">
        <v>244</v>
      </c>
      <c r="G658" t="s">
        <v>241</v>
      </c>
      <c r="H658" t="s">
        <v>247</v>
      </c>
      <c r="I658" t="s">
        <v>674</v>
      </c>
      <c r="J658" t="s">
        <v>91</v>
      </c>
      <c r="K658" s="120" t="s">
        <v>2603</v>
      </c>
      <c r="L658" s="81"/>
      <c r="M658" s="81"/>
      <c r="N658" s="49"/>
      <c r="O658" s="81"/>
      <c r="P658" s="81"/>
      <c r="Q658" s="81"/>
      <c r="R658" s="81"/>
      <c r="S658" s="81"/>
      <c r="T658" s="81"/>
      <c r="U658" s="81"/>
      <c r="V658" s="81"/>
      <c r="W658" s="81"/>
    </row>
    <row r="659" spans="1:23">
      <c r="A659" t="s">
        <v>2604</v>
      </c>
      <c r="B659" t="s">
        <v>2605</v>
      </c>
      <c r="C659" t="s">
        <v>421</v>
      </c>
      <c r="D659" t="s">
        <v>236</v>
      </c>
      <c r="E659">
        <f>_xlfn.XLOOKUP(D659,'Resumen Estudiantes y Profesore'!B:B,'Resumen Estudiantes y Profesore'!A:A)</f>
        <v>155</v>
      </c>
      <c r="F659" t="s">
        <v>243</v>
      </c>
      <c r="G659" t="s">
        <v>246</v>
      </c>
      <c r="H659" t="s">
        <v>246</v>
      </c>
      <c r="I659" t="s">
        <v>682</v>
      </c>
      <c r="J659" t="s">
        <v>77</v>
      </c>
      <c r="K659" s="120" t="s">
        <v>2606</v>
      </c>
      <c r="N659" s="49"/>
    </row>
    <row r="660" spans="1:23">
      <c r="A660" s="64" t="s">
        <v>2607</v>
      </c>
      <c r="B660" t="s">
        <v>2608</v>
      </c>
      <c r="C660" t="s">
        <v>474</v>
      </c>
      <c r="D660" t="s">
        <v>204</v>
      </c>
      <c r="E660">
        <f>_xlfn.XLOOKUP(D660,'Resumen Estudiantes y Profesore'!B:B,'Resumen Estudiantes y Profesore'!A:A)</f>
        <v>81</v>
      </c>
      <c r="F660" t="s">
        <v>244</v>
      </c>
      <c r="G660" t="s">
        <v>241</v>
      </c>
      <c r="H660" t="s">
        <v>247</v>
      </c>
      <c r="I660" t="s">
        <v>674</v>
      </c>
      <c r="J660" t="s">
        <v>91</v>
      </c>
      <c r="K660" s="120" t="s">
        <v>2609</v>
      </c>
      <c r="L660" s="81"/>
      <c r="M660" s="81"/>
      <c r="N660" s="49"/>
      <c r="O660" s="81"/>
      <c r="P660" s="81"/>
      <c r="Q660" s="81"/>
      <c r="R660" s="81"/>
      <c r="S660" s="81"/>
      <c r="T660" s="81"/>
      <c r="U660" s="81"/>
      <c r="V660" s="81"/>
      <c r="W660" s="81"/>
    </row>
    <row r="661" spans="1:23">
      <c r="A661" s="64" t="s">
        <v>2607</v>
      </c>
      <c r="B661" t="s">
        <v>2610</v>
      </c>
      <c r="C661" t="s">
        <v>2552</v>
      </c>
      <c r="D661" t="s">
        <v>206</v>
      </c>
      <c r="E661">
        <f>_xlfn.XLOOKUP(D661,'Resumen Estudiantes y Profesore'!B:B,'Resumen Estudiantes y Profesore'!A:A)</f>
        <v>205</v>
      </c>
      <c r="F661" t="s">
        <v>244</v>
      </c>
      <c r="G661" t="s">
        <v>241</v>
      </c>
      <c r="H661" t="s">
        <v>247</v>
      </c>
      <c r="I661" t="s">
        <v>674</v>
      </c>
      <c r="J661" t="s">
        <v>91</v>
      </c>
      <c r="K661" s="120" t="s">
        <v>2611</v>
      </c>
      <c r="L661" s="81"/>
      <c r="M661" s="81"/>
      <c r="N661" s="49"/>
      <c r="O661" s="81"/>
      <c r="P661" s="81"/>
      <c r="Q661" s="81"/>
      <c r="R661" s="81"/>
      <c r="S661" s="81"/>
      <c r="T661" s="81"/>
      <c r="U661" s="81"/>
      <c r="V661" s="81"/>
      <c r="W661" s="81"/>
    </row>
    <row r="662" spans="1:23">
      <c r="A662" s="64" t="s">
        <v>1126</v>
      </c>
      <c r="B662" t="s">
        <v>2612</v>
      </c>
      <c r="C662" t="s">
        <v>1573</v>
      </c>
      <c r="D662" t="s">
        <v>134</v>
      </c>
      <c r="E662">
        <f>_xlfn.XLOOKUP(D662,'Resumen Estudiantes y Profesore'!B:B,'Resumen Estudiantes y Profesore'!A:A)</f>
        <v>102</v>
      </c>
      <c r="F662" t="s">
        <v>243</v>
      </c>
      <c r="G662" t="s">
        <v>241</v>
      </c>
      <c r="H662" t="s">
        <v>247</v>
      </c>
      <c r="I662" t="s">
        <v>674</v>
      </c>
      <c r="J662" t="s">
        <v>84</v>
      </c>
      <c r="K662" s="120" t="s">
        <v>2613</v>
      </c>
      <c r="L662" s="81"/>
      <c r="M662" s="81"/>
      <c r="N662" s="49"/>
      <c r="O662" s="81"/>
      <c r="P662" s="81"/>
      <c r="Q662" s="81"/>
      <c r="R662" s="81"/>
      <c r="S662" s="81"/>
      <c r="T662" s="81"/>
      <c r="U662" s="81"/>
      <c r="V662" s="81"/>
      <c r="W662" s="81"/>
    </row>
    <row r="663" spans="1:23">
      <c r="A663" s="64" t="s">
        <v>1159</v>
      </c>
      <c r="B663" t="s">
        <v>2614</v>
      </c>
      <c r="C663" t="s">
        <v>424</v>
      </c>
      <c r="D663" t="s">
        <v>24</v>
      </c>
      <c r="E663">
        <f>_xlfn.XLOOKUP(D663,'Resumen Estudiantes y Profesore'!B:B,'Resumen Estudiantes y Profesore'!A:A)</f>
        <v>27</v>
      </c>
      <c r="F663" t="s">
        <v>243</v>
      </c>
      <c r="G663" t="s">
        <v>241</v>
      </c>
      <c r="H663" t="s">
        <v>247</v>
      </c>
      <c r="I663" t="s">
        <v>682</v>
      </c>
      <c r="J663" t="s">
        <v>83</v>
      </c>
      <c r="K663" s="120" t="s">
        <v>2615</v>
      </c>
      <c r="L663" s="81"/>
      <c r="M663" s="81"/>
      <c r="N663" s="49"/>
      <c r="O663" s="81"/>
      <c r="P663" s="81"/>
      <c r="Q663" s="81"/>
      <c r="R663" s="81"/>
      <c r="S663" s="81"/>
      <c r="T663" s="81"/>
      <c r="U663" s="81"/>
      <c r="V663" s="81"/>
      <c r="W663" s="81"/>
    </row>
    <row r="664" spans="1:23">
      <c r="A664" t="s">
        <v>2616</v>
      </c>
      <c r="B664" t="s">
        <v>2617</v>
      </c>
      <c r="C664" t="s">
        <v>507</v>
      </c>
      <c r="D664" t="s">
        <v>151</v>
      </c>
      <c r="E664">
        <f>_xlfn.XLOOKUP(D664,'Resumen Estudiantes y Profesore'!B:B,'Resumen Estudiantes y Profesore'!A:A)</f>
        <v>107</v>
      </c>
      <c r="F664" t="s">
        <v>243</v>
      </c>
      <c r="G664" t="s">
        <v>246</v>
      </c>
      <c r="H664" t="s">
        <v>246</v>
      </c>
      <c r="I664" t="s">
        <v>674</v>
      </c>
      <c r="J664" t="s">
        <v>91</v>
      </c>
      <c r="K664" s="120" t="s">
        <v>2618</v>
      </c>
      <c r="N664" s="49"/>
    </row>
    <row r="665" spans="1:23">
      <c r="A665" t="s">
        <v>2619</v>
      </c>
      <c r="B665" t="s">
        <v>2620</v>
      </c>
      <c r="C665" t="s">
        <v>1094</v>
      </c>
      <c r="D665" t="s">
        <v>199</v>
      </c>
      <c r="E665">
        <f>_xlfn.XLOOKUP(D665,'Resumen Estudiantes y Profesore'!B:B,'Resumen Estudiantes y Profesore'!A:A)</f>
        <v>49</v>
      </c>
      <c r="F665" t="s">
        <v>243</v>
      </c>
      <c r="G665" t="s">
        <v>246</v>
      </c>
      <c r="H665" t="s">
        <v>247</v>
      </c>
      <c r="I665" t="s">
        <v>674</v>
      </c>
      <c r="J665" t="s">
        <v>77</v>
      </c>
      <c r="K665" s="120" t="s">
        <v>2621</v>
      </c>
      <c r="L665" s="81"/>
      <c r="M665" s="81"/>
      <c r="N665" s="49"/>
      <c r="O665" s="81"/>
      <c r="P665" s="81"/>
      <c r="Q665" s="81"/>
      <c r="R665" s="81"/>
      <c r="S665" s="81"/>
      <c r="T665" s="81"/>
      <c r="U665" s="81"/>
      <c r="V665" s="81"/>
      <c r="W665" s="81"/>
    </row>
    <row r="666" spans="1:23">
      <c r="A666" s="64" t="s">
        <v>1159</v>
      </c>
      <c r="B666" t="s">
        <v>2622</v>
      </c>
      <c r="C666" t="s">
        <v>426</v>
      </c>
      <c r="D666" t="s">
        <v>23</v>
      </c>
      <c r="E666">
        <f>_xlfn.XLOOKUP(D666,'Resumen Estudiantes y Profesore'!B:B,'Resumen Estudiantes y Profesore'!A:A)</f>
        <v>26</v>
      </c>
      <c r="F666" t="s">
        <v>243</v>
      </c>
      <c r="G666" t="s">
        <v>241</v>
      </c>
      <c r="H666" t="s">
        <v>247</v>
      </c>
      <c r="I666" t="s">
        <v>682</v>
      </c>
      <c r="J666" t="s">
        <v>83</v>
      </c>
      <c r="K666" s="120" t="s">
        <v>2623</v>
      </c>
      <c r="L666" s="81"/>
      <c r="M666" s="81"/>
      <c r="N666" s="49"/>
      <c r="O666" s="81"/>
      <c r="P666" s="81"/>
      <c r="Q666" s="81"/>
      <c r="R666" s="81"/>
      <c r="S666" s="81"/>
      <c r="T666" s="81"/>
      <c r="U666" s="81"/>
      <c r="V666" s="81"/>
      <c r="W666" s="81"/>
    </row>
    <row r="667" spans="1:23">
      <c r="A667" s="64" t="s">
        <v>1220</v>
      </c>
      <c r="B667" t="s">
        <v>2624</v>
      </c>
      <c r="C667" t="s">
        <v>699</v>
      </c>
      <c r="D667" t="s">
        <v>144</v>
      </c>
      <c r="E667">
        <f>_xlfn.XLOOKUP(D667,'Resumen Estudiantes y Profesore'!B:B,'Resumen Estudiantes y Profesore'!A:A)</f>
        <v>118</v>
      </c>
      <c r="F667" t="s">
        <v>243</v>
      </c>
      <c r="G667" t="s">
        <v>241</v>
      </c>
      <c r="H667" t="s">
        <v>247</v>
      </c>
      <c r="I667" t="s">
        <v>674</v>
      </c>
      <c r="J667" t="s">
        <v>138</v>
      </c>
      <c r="K667" s="120" t="s">
        <v>2625</v>
      </c>
      <c r="L667" s="81"/>
      <c r="M667" s="81"/>
      <c r="N667" s="49"/>
      <c r="O667" s="81"/>
      <c r="P667" s="81"/>
      <c r="Q667" s="81"/>
      <c r="R667" s="81"/>
      <c r="S667" s="81"/>
      <c r="T667" s="81"/>
      <c r="U667" s="81"/>
      <c r="V667" s="81"/>
      <c r="W667" s="81"/>
    </row>
    <row r="668" spans="1:23">
      <c r="A668" s="64" t="s">
        <v>1220</v>
      </c>
      <c r="B668" t="s">
        <v>2626</v>
      </c>
      <c r="C668" t="s">
        <v>1454</v>
      </c>
      <c r="D668" t="s">
        <v>157</v>
      </c>
      <c r="E668">
        <f>_xlfn.XLOOKUP(D668,'Resumen Estudiantes y Profesore'!B:B,'Resumen Estudiantes y Profesore'!A:A)</f>
        <v>143</v>
      </c>
      <c r="F668" t="s">
        <v>243</v>
      </c>
      <c r="G668" t="s">
        <v>241</v>
      </c>
      <c r="H668" t="s">
        <v>247</v>
      </c>
      <c r="I668" t="s">
        <v>674</v>
      </c>
      <c r="J668" t="s">
        <v>138</v>
      </c>
      <c r="K668" s="120" t="s">
        <v>2627</v>
      </c>
      <c r="L668" s="81"/>
      <c r="M668" s="81"/>
      <c r="N668" s="49"/>
      <c r="O668" s="81"/>
      <c r="P668" s="81"/>
      <c r="Q668" s="81"/>
      <c r="R668" s="81"/>
      <c r="S668" s="81"/>
      <c r="T668" s="81"/>
      <c r="U668" s="81"/>
      <c r="V668" s="81"/>
      <c r="W668" s="81"/>
    </row>
    <row r="669" spans="1:23">
      <c r="A669" s="64" t="s">
        <v>2628</v>
      </c>
      <c r="B669" t="s">
        <v>2629</v>
      </c>
      <c r="C669" t="s">
        <v>474</v>
      </c>
      <c r="D669" t="s">
        <v>204</v>
      </c>
      <c r="E669">
        <f>_xlfn.XLOOKUP(D669,'Resumen Estudiantes y Profesore'!B:B,'Resumen Estudiantes y Profesore'!A:A)</f>
        <v>81</v>
      </c>
      <c r="F669" t="s">
        <v>244</v>
      </c>
      <c r="G669" t="s">
        <v>241</v>
      </c>
      <c r="H669" t="s">
        <v>247</v>
      </c>
      <c r="I669" t="s">
        <v>674</v>
      </c>
      <c r="J669" t="s">
        <v>91</v>
      </c>
      <c r="K669" s="120" t="s">
        <v>2630</v>
      </c>
      <c r="L669" s="81"/>
      <c r="M669" s="81"/>
      <c r="N669" s="49"/>
      <c r="O669" s="81"/>
      <c r="P669" s="81"/>
      <c r="Q669" s="81"/>
      <c r="R669" s="81"/>
      <c r="S669" s="81"/>
      <c r="T669" s="81"/>
      <c r="U669" s="81"/>
      <c r="V669" s="81"/>
      <c r="W669" s="81"/>
    </row>
    <row r="670" spans="1:23">
      <c r="A670" s="64" t="s">
        <v>1343</v>
      </c>
      <c r="B670" t="s">
        <v>2631</v>
      </c>
      <c r="C670" t="s">
        <v>484</v>
      </c>
      <c r="D670" t="s">
        <v>217</v>
      </c>
      <c r="E670">
        <f>_xlfn.XLOOKUP(D670,'Resumen Estudiantes y Profesore'!B:B,'Resumen Estudiantes y Profesore'!A:A)</f>
        <v>84</v>
      </c>
      <c r="F670" t="s">
        <v>243</v>
      </c>
      <c r="G670" t="s">
        <v>241</v>
      </c>
      <c r="H670" t="s">
        <v>247</v>
      </c>
      <c r="I670" t="s">
        <v>674</v>
      </c>
      <c r="J670" t="s">
        <v>85</v>
      </c>
      <c r="K670" s="120" t="s">
        <v>2632</v>
      </c>
      <c r="L670" s="100" t="s">
        <v>317</v>
      </c>
      <c r="M670" s="81" t="s">
        <v>2633</v>
      </c>
      <c r="N670" s="49"/>
      <c r="O670" s="81"/>
      <c r="P670" s="81"/>
      <c r="Q670" s="81"/>
      <c r="R670" s="81"/>
      <c r="S670" s="81"/>
      <c r="T670" s="81"/>
      <c r="U670" s="81"/>
      <c r="V670" s="81"/>
      <c r="W670" s="81"/>
    </row>
    <row r="671" spans="1:23">
      <c r="A671" t="s">
        <v>2634</v>
      </c>
      <c r="B671" t="s">
        <v>2635</v>
      </c>
      <c r="C671" t="s">
        <v>1218</v>
      </c>
      <c r="D671" t="s">
        <v>147</v>
      </c>
      <c r="E671">
        <f>_xlfn.XLOOKUP(D671,'Resumen Estudiantes y Profesore'!B:B,'Resumen Estudiantes y Profesore'!A:A)</f>
        <v>110</v>
      </c>
      <c r="F671" t="s">
        <v>243</v>
      </c>
      <c r="G671" t="s">
        <v>246</v>
      </c>
      <c r="H671" t="s">
        <v>247</v>
      </c>
      <c r="I671" t="s">
        <v>674</v>
      </c>
      <c r="J671" t="s">
        <v>138</v>
      </c>
      <c r="K671" s="120" t="s">
        <v>2636</v>
      </c>
      <c r="L671" s="81"/>
      <c r="M671" s="81"/>
      <c r="N671" s="49"/>
      <c r="O671" s="81"/>
      <c r="P671" s="81"/>
      <c r="Q671" s="81"/>
      <c r="R671" s="81"/>
      <c r="S671" s="81"/>
      <c r="T671" s="81"/>
      <c r="U671" s="81"/>
      <c r="V671" s="81"/>
      <c r="W671" s="81"/>
    </row>
    <row r="672" spans="1:23">
      <c r="A672" s="64" t="s">
        <v>1463</v>
      </c>
      <c r="B672" t="s">
        <v>2637</v>
      </c>
      <c r="C672" t="s">
        <v>432</v>
      </c>
      <c r="D672" t="s">
        <v>41</v>
      </c>
      <c r="E672">
        <f>_xlfn.XLOOKUP(D672,'Resumen Estudiantes y Profesore'!B:B,'Resumen Estudiantes y Profesore'!A:A)</f>
        <v>31</v>
      </c>
      <c r="F672" t="s">
        <v>243</v>
      </c>
      <c r="G672" t="s">
        <v>241</v>
      </c>
      <c r="H672" t="s">
        <v>247</v>
      </c>
      <c r="I672" t="s">
        <v>682</v>
      </c>
      <c r="J672" t="s">
        <v>85</v>
      </c>
      <c r="K672" s="120" t="s">
        <v>2638</v>
      </c>
      <c r="L672" s="81"/>
      <c r="M672" s="81"/>
      <c r="N672" s="49"/>
      <c r="O672" s="81"/>
      <c r="P672" s="81"/>
      <c r="Q672" s="81"/>
      <c r="R672" s="81"/>
      <c r="S672" s="81"/>
      <c r="T672" s="81"/>
      <c r="U672" s="81"/>
      <c r="V672" s="81"/>
      <c r="W672" s="81"/>
    </row>
    <row r="673" spans="1:23">
      <c r="A673" s="145" t="s">
        <v>2639</v>
      </c>
      <c r="B673" t="s">
        <v>2640</v>
      </c>
      <c r="C673" t="s">
        <v>474</v>
      </c>
      <c r="D673" t="s">
        <v>204</v>
      </c>
      <c r="E673">
        <f>_xlfn.XLOOKUP(D673,'Resumen Estudiantes y Profesore'!B:B,'Resumen Estudiantes y Profesore'!A:A)</f>
        <v>81</v>
      </c>
      <c r="F673" t="s">
        <v>244</v>
      </c>
      <c r="G673" t="s">
        <v>241</v>
      </c>
      <c r="H673" t="s">
        <v>247</v>
      </c>
      <c r="I673" t="s">
        <v>674</v>
      </c>
      <c r="J673" t="s">
        <v>91</v>
      </c>
      <c r="K673" s="120" t="s">
        <v>2641</v>
      </c>
      <c r="L673" s="81"/>
      <c r="M673" s="81"/>
      <c r="N673" s="49"/>
      <c r="O673" s="81"/>
      <c r="P673" s="81"/>
      <c r="Q673" s="81"/>
      <c r="R673" s="81"/>
      <c r="S673" s="81"/>
      <c r="T673" s="81"/>
      <c r="U673" s="81"/>
      <c r="V673" s="81"/>
      <c r="W673" s="81"/>
    </row>
    <row r="674" spans="1:23">
      <c r="A674" s="64" t="s">
        <v>1551</v>
      </c>
      <c r="B674" t="s">
        <v>2642</v>
      </c>
      <c r="C674" t="s">
        <v>428</v>
      </c>
      <c r="D674" t="s">
        <v>25</v>
      </c>
      <c r="E674">
        <f>_xlfn.XLOOKUP(D674,'Resumen Estudiantes y Profesore'!B:B,'Resumen Estudiantes y Profesore'!A:A)</f>
        <v>28</v>
      </c>
      <c r="F674" t="s">
        <v>243</v>
      </c>
      <c r="G674" t="s">
        <v>241</v>
      </c>
      <c r="H674" t="s">
        <v>247</v>
      </c>
      <c r="I674" t="s">
        <v>682</v>
      </c>
      <c r="J674" t="s">
        <v>83</v>
      </c>
      <c r="K674" s="120" t="s">
        <v>2643</v>
      </c>
      <c r="L674" s="81"/>
      <c r="M674" s="81"/>
      <c r="N674" s="49"/>
      <c r="O674" s="81"/>
      <c r="P674" s="81"/>
      <c r="Q674" s="81"/>
      <c r="R674" s="81"/>
      <c r="S674" s="81"/>
      <c r="T674" s="81"/>
      <c r="U674" s="81"/>
      <c r="V674" s="81"/>
      <c r="W674" s="81"/>
    </row>
    <row r="675" spans="1:23">
      <c r="A675" s="64" t="s">
        <v>1623</v>
      </c>
      <c r="B675" t="s">
        <v>2644</v>
      </c>
      <c r="C675" t="s">
        <v>462</v>
      </c>
      <c r="D675" t="s">
        <v>190</v>
      </c>
      <c r="E675">
        <f>_xlfn.XLOOKUP(D675,'Resumen Estudiantes y Profesore'!B:B,'Resumen Estudiantes y Profesore'!A:A)</f>
        <v>64</v>
      </c>
      <c r="F675" t="s">
        <v>243</v>
      </c>
      <c r="G675" t="s">
        <v>241</v>
      </c>
      <c r="H675" t="s">
        <v>247</v>
      </c>
      <c r="I675" t="s">
        <v>674</v>
      </c>
      <c r="J675" t="s">
        <v>85</v>
      </c>
      <c r="K675" s="120" t="s">
        <v>2645</v>
      </c>
      <c r="L675" s="81"/>
      <c r="M675" s="81"/>
      <c r="N675" s="49"/>
      <c r="O675" s="81"/>
      <c r="P675" s="81"/>
      <c r="Q675" s="81"/>
      <c r="R675" s="81"/>
      <c r="S675" s="81"/>
      <c r="T675" s="81"/>
      <c r="U675" s="81"/>
      <c r="V675" s="81"/>
      <c r="W675" s="81"/>
    </row>
    <row r="676" spans="1:23">
      <c r="A676" s="145" t="s">
        <v>2646</v>
      </c>
      <c r="B676" t="s">
        <v>2647</v>
      </c>
      <c r="C676" t="s">
        <v>431</v>
      </c>
      <c r="D676" t="s">
        <v>27</v>
      </c>
      <c r="E676">
        <f>_xlfn.XLOOKUP(D676,'Resumen Estudiantes y Profesore'!B:B,'Resumen Estudiantes y Profesore'!A:A)</f>
        <v>30</v>
      </c>
      <c r="F676" t="s">
        <v>244</v>
      </c>
      <c r="G676" t="s">
        <v>241</v>
      </c>
      <c r="H676" t="s">
        <v>247</v>
      </c>
      <c r="I676" t="s">
        <v>682</v>
      </c>
      <c r="J676" t="s">
        <v>84</v>
      </c>
      <c r="K676" s="120" t="s">
        <v>2648</v>
      </c>
      <c r="L676" s="81"/>
      <c r="M676" s="81"/>
      <c r="N676" s="49"/>
      <c r="O676" s="81"/>
      <c r="P676" s="81"/>
      <c r="Q676" s="81"/>
      <c r="R676" s="81"/>
      <c r="S676" s="81"/>
      <c r="T676" s="81"/>
      <c r="U676" s="81"/>
      <c r="V676" s="81"/>
      <c r="W676" s="81"/>
    </row>
    <row r="677" spans="1:23">
      <c r="A677" s="64" t="s">
        <v>2649</v>
      </c>
      <c r="B677" t="s">
        <v>2650</v>
      </c>
      <c r="C677" t="s">
        <v>428</v>
      </c>
      <c r="D677" t="s">
        <v>25</v>
      </c>
      <c r="E677">
        <f>_xlfn.XLOOKUP(D677,'Resumen Estudiantes y Profesore'!B:B,'Resumen Estudiantes y Profesore'!A:A)</f>
        <v>28</v>
      </c>
      <c r="F677" t="s">
        <v>244</v>
      </c>
      <c r="G677" t="s">
        <v>241</v>
      </c>
      <c r="H677" t="s">
        <v>247</v>
      </c>
      <c r="I677" t="s">
        <v>682</v>
      </c>
      <c r="J677" t="s">
        <v>83</v>
      </c>
      <c r="K677" s="120" t="s">
        <v>2651</v>
      </c>
      <c r="L677" s="81"/>
      <c r="M677" s="81"/>
      <c r="N677" s="49"/>
      <c r="O677" s="81"/>
      <c r="P677" s="81"/>
      <c r="Q677" s="81"/>
      <c r="R677" s="81"/>
      <c r="S677" s="81"/>
      <c r="T677" s="81"/>
      <c r="U677" s="81"/>
      <c r="V677" s="81"/>
      <c r="W677" s="81"/>
    </row>
    <row r="678" spans="1:23" s="81" customFormat="1">
      <c r="A678" t="s">
        <v>2619</v>
      </c>
      <c r="B678" t="s">
        <v>2652</v>
      </c>
      <c r="C678" t="s">
        <v>474</v>
      </c>
      <c r="D678" t="s">
        <v>204</v>
      </c>
      <c r="E678">
        <f>_xlfn.XLOOKUP(D678,'Resumen Estudiantes y Profesore'!B:B,'Resumen Estudiantes y Profesore'!A:A)</f>
        <v>81</v>
      </c>
      <c r="F678" t="s">
        <v>243</v>
      </c>
      <c r="G678" t="s">
        <v>246</v>
      </c>
      <c r="H678" t="s">
        <v>247</v>
      </c>
      <c r="I678" t="s">
        <v>674</v>
      </c>
      <c r="J678" t="s">
        <v>91</v>
      </c>
      <c r="K678" s="120" t="s">
        <v>2653</v>
      </c>
      <c r="N678" s="49"/>
    </row>
    <row r="679" spans="1:23">
      <c r="A679" s="64" t="s">
        <v>2649</v>
      </c>
      <c r="B679" t="s">
        <v>2654</v>
      </c>
      <c r="C679" t="s">
        <v>426</v>
      </c>
      <c r="D679" t="s">
        <v>23</v>
      </c>
      <c r="E679">
        <f>_xlfn.XLOOKUP(D679,'Resumen Estudiantes y Profesore'!B:B,'Resumen Estudiantes y Profesore'!A:A)</f>
        <v>26</v>
      </c>
      <c r="F679" t="s">
        <v>244</v>
      </c>
      <c r="G679" t="s">
        <v>241</v>
      </c>
      <c r="H679" t="s">
        <v>247</v>
      </c>
      <c r="I679" t="s">
        <v>682</v>
      </c>
      <c r="J679" t="s">
        <v>83</v>
      </c>
      <c r="K679" s="120" t="s">
        <v>2655</v>
      </c>
      <c r="L679" s="81"/>
      <c r="M679" s="81"/>
      <c r="N679" s="49"/>
      <c r="O679" s="81"/>
      <c r="P679" s="81"/>
      <c r="Q679" s="81"/>
      <c r="R679" s="81"/>
      <c r="S679" s="81"/>
      <c r="T679" s="81"/>
      <c r="U679" s="81"/>
      <c r="V679" s="81"/>
      <c r="W679" s="81"/>
    </row>
    <row r="680" spans="1:23">
      <c r="A680" t="s">
        <v>1688</v>
      </c>
      <c r="B680" t="s">
        <v>2656</v>
      </c>
      <c r="C680" t="s">
        <v>2309</v>
      </c>
      <c r="D680" t="s">
        <v>161</v>
      </c>
      <c r="E680">
        <f>_xlfn.XLOOKUP(D680,'Resumen Estudiantes y Profesore'!B:B,'Resumen Estudiantes y Profesore'!A:A)</f>
        <v>123</v>
      </c>
      <c r="F680" t="s">
        <v>243</v>
      </c>
      <c r="G680" t="s">
        <v>246</v>
      </c>
      <c r="H680" t="s">
        <v>247</v>
      </c>
      <c r="I680" t="s">
        <v>674</v>
      </c>
      <c r="J680" t="s">
        <v>85</v>
      </c>
      <c r="K680" s="120" t="s">
        <v>2657</v>
      </c>
      <c r="L680" s="81"/>
      <c r="M680" s="81"/>
      <c r="N680" s="49"/>
      <c r="O680" s="81"/>
      <c r="P680" s="81"/>
      <c r="Q680" s="81"/>
      <c r="R680" s="81"/>
      <c r="S680" s="81"/>
      <c r="T680" s="81"/>
      <c r="U680" s="81"/>
      <c r="V680" s="81"/>
      <c r="W680" s="81"/>
    </row>
    <row r="681" spans="1:23">
      <c r="A681" s="64" t="s">
        <v>2658</v>
      </c>
      <c r="B681" t="s">
        <v>2659</v>
      </c>
      <c r="C681" t="s">
        <v>428</v>
      </c>
      <c r="D681" t="s">
        <v>25</v>
      </c>
      <c r="E681">
        <f>_xlfn.XLOOKUP(D681,'Resumen Estudiantes y Profesore'!B:B,'Resumen Estudiantes y Profesore'!A:A)</f>
        <v>28</v>
      </c>
      <c r="F681" t="s">
        <v>244</v>
      </c>
      <c r="G681" t="s">
        <v>241</v>
      </c>
      <c r="H681" t="s">
        <v>247</v>
      </c>
      <c r="I681" t="s">
        <v>682</v>
      </c>
      <c r="J681" t="s">
        <v>83</v>
      </c>
      <c r="K681" s="120" t="s">
        <v>2660</v>
      </c>
      <c r="L681" s="81"/>
      <c r="M681" s="81"/>
      <c r="N681" s="49"/>
      <c r="O681" s="81"/>
      <c r="P681" s="81"/>
      <c r="Q681" s="81"/>
      <c r="R681" s="81"/>
      <c r="S681" s="81"/>
      <c r="T681" s="81"/>
      <c r="U681" s="81"/>
      <c r="V681" s="81"/>
      <c r="W681" s="81"/>
    </row>
    <row r="682" spans="1:23">
      <c r="A682" s="64" t="s">
        <v>2658</v>
      </c>
      <c r="B682" t="s">
        <v>2661</v>
      </c>
      <c r="C682" t="s">
        <v>426</v>
      </c>
      <c r="D682" t="s">
        <v>23</v>
      </c>
      <c r="E682">
        <f>_xlfn.XLOOKUP(D682,'Resumen Estudiantes y Profesore'!B:B,'Resumen Estudiantes y Profesore'!A:A)</f>
        <v>26</v>
      </c>
      <c r="F682" t="s">
        <v>244</v>
      </c>
      <c r="G682" t="s">
        <v>241</v>
      </c>
      <c r="H682" t="s">
        <v>247</v>
      </c>
      <c r="I682" t="s">
        <v>682</v>
      </c>
      <c r="J682" t="s">
        <v>83</v>
      </c>
      <c r="K682" s="120" t="s">
        <v>2662</v>
      </c>
      <c r="L682" s="81"/>
      <c r="M682" s="81"/>
      <c r="N682" s="49"/>
      <c r="O682" s="81"/>
      <c r="P682" s="81"/>
      <c r="Q682" s="81"/>
      <c r="R682" s="81"/>
      <c r="S682" s="81"/>
      <c r="T682" s="81"/>
      <c r="U682" s="81"/>
      <c r="V682" s="81"/>
      <c r="W682" s="81"/>
    </row>
    <row r="683" spans="1:23">
      <c r="A683" s="64" t="s">
        <v>2663</v>
      </c>
      <c r="B683" t="s">
        <v>2664</v>
      </c>
      <c r="C683" t="s">
        <v>434</v>
      </c>
      <c r="D683" t="s">
        <v>28</v>
      </c>
      <c r="E683">
        <f>_xlfn.XLOOKUP(D683,'Resumen Estudiantes y Profesore'!B:B,'Resumen Estudiantes y Profesore'!A:A)</f>
        <v>32</v>
      </c>
      <c r="F683" t="s">
        <v>244</v>
      </c>
      <c r="G683" t="s">
        <v>241</v>
      </c>
      <c r="H683" t="s">
        <v>247</v>
      </c>
      <c r="I683" t="s">
        <v>682</v>
      </c>
      <c r="J683" t="s">
        <v>85</v>
      </c>
      <c r="K683" s="120" t="s">
        <v>2665</v>
      </c>
      <c r="L683" s="81"/>
      <c r="M683" s="81"/>
      <c r="N683" s="49"/>
      <c r="O683" s="81"/>
      <c r="P683" s="81"/>
      <c r="Q683" s="81"/>
      <c r="R683" s="81"/>
      <c r="S683" s="81"/>
      <c r="T683" s="81"/>
      <c r="U683" s="81"/>
      <c r="V683" s="81"/>
      <c r="W683" s="81"/>
    </row>
    <row r="684" spans="1:23">
      <c r="A684" s="64" t="s">
        <v>2307</v>
      </c>
      <c r="B684" t="s">
        <v>2666</v>
      </c>
      <c r="C684" t="s">
        <v>432</v>
      </c>
      <c r="D684" t="s">
        <v>41</v>
      </c>
      <c r="E684">
        <f>_xlfn.XLOOKUP(D684,'Resumen Estudiantes y Profesore'!B:B,'Resumen Estudiantes y Profesore'!A:A)</f>
        <v>31</v>
      </c>
      <c r="F684" t="s">
        <v>243</v>
      </c>
      <c r="G684" t="s">
        <v>241</v>
      </c>
      <c r="H684" t="s">
        <v>247</v>
      </c>
      <c r="I684" t="s">
        <v>682</v>
      </c>
      <c r="J684" t="s">
        <v>85</v>
      </c>
      <c r="K684" s="120" t="s">
        <v>2667</v>
      </c>
      <c r="L684" s="81"/>
      <c r="M684" s="81"/>
      <c r="N684" s="49"/>
      <c r="O684" s="81"/>
      <c r="P684" s="81"/>
      <c r="Q684" s="81"/>
      <c r="R684" s="81"/>
      <c r="S684" s="81"/>
      <c r="T684" s="81"/>
      <c r="U684" s="81"/>
      <c r="V684" s="81"/>
      <c r="W684" s="81"/>
    </row>
    <row r="685" spans="1:23">
      <c r="A685" s="64" t="s">
        <v>2668</v>
      </c>
      <c r="B685" t="s">
        <v>2669</v>
      </c>
      <c r="C685" t="s">
        <v>428</v>
      </c>
      <c r="D685" t="s">
        <v>25</v>
      </c>
      <c r="E685">
        <f>_xlfn.XLOOKUP(D685,'Resumen Estudiantes y Profesore'!B:B,'Resumen Estudiantes y Profesore'!A:A)</f>
        <v>28</v>
      </c>
      <c r="F685" t="s">
        <v>244</v>
      </c>
      <c r="G685" t="s">
        <v>241</v>
      </c>
      <c r="H685" t="s">
        <v>247</v>
      </c>
      <c r="I685" t="s">
        <v>682</v>
      </c>
      <c r="J685" t="s">
        <v>83</v>
      </c>
      <c r="K685" s="120" t="s">
        <v>2670</v>
      </c>
      <c r="L685" s="81"/>
      <c r="M685" s="81"/>
      <c r="N685" s="49"/>
      <c r="O685" s="81"/>
      <c r="P685" s="81"/>
      <c r="Q685" s="81"/>
      <c r="R685" s="81"/>
      <c r="S685" s="81"/>
      <c r="T685" s="81"/>
      <c r="U685" s="81"/>
      <c r="V685" s="81"/>
      <c r="W685" s="81"/>
    </row>
    <row r="686" spans="1:23">
      <c r="A686" s="64" t="s">
        <v>2671</v>
      </c>
      <c r="B686" t="s">
        <v>2672</v>
      </c>
      <c r="C686" t="s">
        <v>978</v>
      </c>
      <c r="D686" t="s">
        <v>170</v>
      </c>
      <c r="E686">
        <f>_xlfn.XLOOKUP(D686,'Resumen Estudiantes y Profesore'!B:B,'Resumen Estudiantes y Profesore'!A:A)</f>
        <v>134</v>
      </c>
      <c r="F686" t="s">
        <v>243</v>
      </c>
      <c r="G686" t="s">
        <v>241</v>
      </c>
      <c r="H686" t="s">
        <v>247</v>
      </c>
      <c r="I686" t="s">
        <v>674</v>
      </c>
      <c r="J686" t="s">
        <v>138</v>
      </c>
      <c r="K686" s="120" t="s">
        <v>2673</v>
      </c>
      <c r="L686" s="81"/>
      <c r="M686" s="81"/>
      <c r="N686" s="49"/>
      <c r="O686" s="81"/>
      <c r="P686" s="81"/>
      <c r="Q686" s="81"/>
      <c r="R686" s="81"/>
      <c r="S686" s="81"/>
      <c r="T686" s="81"/>
      <c r="U686" s="81"/>
      <c r="V686" s="81"/>
      <c r="W686" s="81"/>
    </row>
    <row r="687" spans="1:23">
      <c r="A687" s="64" t="s">
        <v>2674</v>
      </c>
      <c r="B687" t="s">
        <v>2675</v>
      </c>
      <c r="C687" t="s">
        <v>430</v>
      </c>
      <c r="D687" t="s">
        <v>26</v>
      </c>
      <c r="E687">
        <f>_xlfn.XLOOKUP(D687,'Resumen Estudiantes y Profesore'!B:B,'Resumen Estudiantes y Profesore'!A:A)</f>
        <v>29</v>
      </c>
      <c r="F687" t="s">
        <v>243</v>
      </c>
      <c r="G687" t="s">
        <v>241</v>
      </c>
      <c r="H687" t="s">
        <v>247</v>
      </c>
      <c r="I687" t="s">
        <v>682</v>
      </c>
      <c r="J687" t="s">
        <v>84</v>
      </c>
      <c r="K687" s="120" t="s">
        <v>2676</v>
      </c>
      <c r="L687" s="81"/>
      <c r="M687" s="81"/>
      <c r="N687" s="49"/>
      <c r="O687" s="81"/>
      <c r="P687" s="81"/>
      <c r="Q687" s="81"/>
      <c r="R687" s="81"/>
      <c r="S687" s="81"/>
      <c r="T687" s="81"/>
      <c r="U687" s="81"/>
      <c r="V687" s="81"/>
      <c r="W687" s="81"/>
    </row>
    <row r="688" spans="1:23">
      <c r="A688" s="64" t="s">
        <v>2677</v>
      </c>
      <c r="B688" t="s">
        <v>2678</v>
      </c>
      <c r="C688" t="s">
        <v>460</v>
      </c>
      <c r="D688" t="s">
        <v>189</v>
      </c>
      <c r="E688">
        <f>_xlfn.XLOOKUP(D688,'Resumen Estudiantes y Profesore'!B:B,'Resumen Estudiantes y Profesore'!A:A)</f>
        <v>60</v>
      </c>
      <c r="F688" t="s">
        <v>243</v>
      </c>
      <c r="G688" t="s">
        <v>241</v>
      </c>
      <c r="H688" t="s">
        <v>247</v>
      </c>
      <c r="I688" t="s">
        <v>674</v>
      </c>
      <c r="J688" t="s">
        <v>85</v>
      </c>
      <c r="K688" s="120" t="s">
        <v>2679</v>
      </c>
      <c r="L688" s="81"/>
      <c r="M688" s="81"/>
      <c r="N688" s="49"/>
      <c r="O688" s="81"/>
      <c r="P688" s="81"/>
      <c r="Q688" s="81"/>
      <c r="R688" s="81"/>
      <c r="S688" s="81"/>
      <c r="T688" s="81"/>
      <c r="U688" s="81"/>
      <c r="V688" s="81"/>
      <c r="W688" s="81"/>
    </row>
    <row r="689" spans="1:23">
      <c r="A689" s="64" t="s">
        <v>2680</v>
      </c>
      <c r="B689" t="s">
        <v>2681</v>
      </c>
      <c r="C689" t="s">
        <v>424</v>
      </c>
      <c r="D689" t="s">
        <v>24</v>
      </c>
      <c r="E689">
        <f>_xlfn.XLOOKUP(D689,'Resumen Estudiantes y Profesore'!B:B,'Resumen Estudiantes y Profesore'!A:A)</f>
        <v>27</v>
      </c>
      <c r="F689" t="s">
        <v>244</v>
      </c>
      <c r="G689" t="s">
        <v>241</v>
      </c>
      <c r="H689" t="s">
        <v>247</v>
      </c>
      <c r="I689" t="s">
        <v>682</v>
      </c>
      <c r="J689" t="s">
        <v>83</v>
      </c>
      <c r="K689" s="120" t="s">
        <v>2682</v>
      </c>
      <c r="L689" s="81"/>
      <c r="M689" s="81"/>
      <c r="N689" s="49"/>
      <c r="O689" s="81"/>
      <c r="P689" s="81"/>
      <c r="Q689" s="81"/>
      <c r="R689" s="81"/>
      <c r="S689" s="81"/>
      <c r="T689" s="81"/>
      <c r="U689" s="81"/>
      <c r="V689" s="81"/>
      <c r="W689" s="81"/>
    </row>
    <row r="690" spans="1:23">
      <c r="A690" s="64" t="s">
        <v>2680</v>
      </c>
      <c r="B690" t="s">
        <v>2683</v>
      </c>
      <c r="C690" t="s">
        <v>426</v>
      </c>
      <c r="D690" t="s">
        <v>23</v>
      </c>
      <c r="E690">
        <f>_xlfn.XLOOKUP(D690,'Resumen Estudiantes y Profesore'!B:B,'Resumen Estudiantes y Profesore'!A:A)</f>
        <v>26</v>
      </c>
      <c r="F690" t="s">
        <v>244</v>
      </c>
      <c r="G690" t="s">
        <v>241</v>
      </c>
      <c r="H690" t="s">
        <v>247</v>
      </c>
      <c r="I690" t="s">
        <v>682</v>
      </c>
      <c r="J690" t="s">
        <v>83</v>
      </c>
      <c r="K690" s="120" t="s">
        <v>2684</v>
      </c>
      <c r="L690" s="81"/>
      <c r="M690" s="81"/>
      <c r="N690" s="49"/>
      <c r="O690" s="81"/>
      <c r="P690" s="81"/>
      <c r="Q690" s="81"/>
      <c r="R690" s="81"/>
      <c r="S690" s="81"/>
      <c r="T690" s="81"/>
      <c r="U690" s="81"/>
      <c r="V690" s="81"/>
      <c r="W690" s="81"/>
    </row>
    <row r="691" spans="1:23">
      <c r="A691" s="64" t="s">
        <v>2685</v>
      </c>
      <c r="B691" t="s">
        <v>2686</v>
      </c>
      <c r="C691" t="s">
        <v>428</v>
      </c>
      <c r="D691" t="s">
        <v>25</v>
      </c>
      <c r="E691">
        <f>_xlfn.XLOOKUP(D691,'Resumen Estudiantes y Profesore'!B:B,'Resumen Estudiantes y Profesore'!A:A)</f>
        <v>28</v>
      </c>
      <c r="F691" t="s">
        <v>243</v>
      </c>
      <c r="G691" t="s">
        <v>241</v>
      </c>
      <c r="H691" t="s">
        <v>247</v>
      </c>
      <c r="I691" t="s">
        <v>682</v>
      </c>
      <c r="J691" t="s">
        <v>83</v>
      </c>
      <c r="K691" s="120" t="s">
        <v>2687</v>
      </c>
      <c r="L691" s="81"/>
      <c r="M691" s="81"/>
      <c r="N691" s="49"/>
      <c r="O691" s="81"/>
      <c r="P691" s="81"/>
      <c r="Q691" s="81"/>
      <c r="R691" s="81"/>
      <c r="S691" s="81"/>
      <c r="T691" s="81"/>
      <c r="U691" s="81"/>
      <c r="V691" s="81"/>
      <c r="W691" s="81"/>
    </row>
    <row r="692" spans="1:23">
      <c r="A692" s="64" t="s">
        <v>2685</v>
      </c>
      <c r="B692" t="s">
        <v>2688</v>
      </c>
      <c r="C692" t="s">
        <v>426</v>
      </c>
      <c r="D692" t="s">
        <v>23</v>
      </c>
      <c r="E692">
        <f>_xlfn.XLOOKUP(D692,'Resumen Estudiantes y Profesore'!B:B,'Resumen Estudiantes y Profesore'!A:A)</f>
        <v>26</v>
      </c>
      <c r="F692" t="s">
        <v>243</v>
      </c>
      <c r="G692" t="s">
        <v>241</v>
      </c>
      <c r="H692" t="s">
        <v>247</v>
      </c>
      <c r="I692" t="s">
        <v>682</v>
      </c>
      <c r="J692" t="s">
        <v>83</v>
      </c>
      <c r="K692" s="120" t="s">
        <v>2689</v>
      </c>
      <c r="L692" s="81"/>
      <c r="M692" s="81"/>
      <c r="N692" s="49"/>
      <c r="O692" s="81"/>
      <c r="P692" s="81"/>
      <c r="Q692" s="81"/>
      <c r="R692" s="81"/>
      <c r="S692" s="81"/>
      <c r="T692" s="81"/>
      <c r="U692" s="81"/>
      <c r="V692" s="81"/>
      <c r="W692" s="81"/>
    </row>
    <row r="693" spans="1:23">
      <c r="A693" s="64" t="s">
        <v>2690</v>
      </c>
      <c r="B693" t="s">
        <v>2691</v>
      </c>
      <c r="C693" t="s">
        <v>424</v>
      </c>
      <c r="D693" t="s">
        <v>24</v>
      </c>
      <c r="E693">
        <f>_xlfn.XLOOKUP(D693,'Resumen Estudiantes y Profesore'!B:B,'Resumen Estudiantes y Profesore'!A:A)</f>
        <v>27</v>
      </c>
      <c r="F693" t="s">
        <v>244</v>
      </c>
      <c r="G693" t="s">
        <v>241</v>
      </c>
      <c r="H693" t="s">
        <v>247</v>
      </c>
      <c r="I693" t="s">
        <v>682</v>
      </c>
      <c r="J693" t="s">
        <v>83</v>
      </c>
      <c r="K693" s="120" t="s">
        <v>2692</v>
      </c>
      <c r="L693" s="81"/>
      <c r="M693" s="81"/>
      <c r="N693" s="49"/>
      <c r="O693" s="81"/>
      <c r="P693" s="81"/>
      <c r="Q693" s="81"/>
      <c r="R693" s="81"/>
      <c r="S693" s="81"/>
      <c r="T693" s="81"/>
      <c r="U693" s="81"/>
      <c r="V693" s="81"/>
      <c r="W693" s="81"/>
    </row>
    <row r="694" spans="1:23">
      <c r="A694" s="64" t="s">
        <v>2690</v>
      </c>
      <c r="B694" t="s">
        <v>2693</v>
      </c>
      <c r="C694" t="s">
        <v>426</v>
      </c>
      <c r="D694" t="s">
        <v>23</v>
      </c>
      <c r="E694">
        <f>_xlfn.XLOOKUP(D694,'Resumen Estudiantes y Profesore'!B:B,'Resumen Estudiantes y Profesore'!A:A)</f>
        <v>26</v>
      </c>
      <c r="F694" t="s">
        <v>244</v>
      </c>
      <c r="G694" t="s">
        <v>241</v>
      </c>
      <c r="H694" t="s">
        <v>247</v>
      </c>
      <c r="I694" t="s">
        <v>682</v>
      </c>
      <c r="J694" t="s">
        <v>83</v>
      </c>
      <c r="K694" s="120" t="s">
        <v>2694</v>
      </c>
      <c r="L694" s="81"/>
      <c r="M694" s="81"/>
      <c r="N694" s="49"/>
      <c r="O694" s="81"/>
      <c r="P694" s="81"/>
      <c r="Q694" s="81"/>
      <c r="R694" s="81"/>
      <c r="S694" s="81"/>
      <c r="T694" s="81"/>
      <c r="U694" s="81"/>
      <c r="V694" s="81"/>
      <c r="W694" s="81"/>
    </row>
    <row r="695" spans="1:23">
      <c r="A695" s="64" t="s">
        <v>2695</v>
      </c>
      <c r="B695" s="49" t="s">
        <v>2696</v>
      </c>
      <c r="C695" t="s">
        <v>1347</v>
      </c>
      <c r="D695" t="s">
        <v>210</v>
      </c>
      <c r="E695">
        <f>_xlfn.XLOOKUP(D695,'Resumen Estudiantes y Profesore'!B:B,'Resumen Estudiantes y Profesore'!A:A)</f>
        <v>90</v>
      </c>
      <c r="F695" t="s">
        <v>243</v>
      </c>
      <c r="G695" t="s">
        <v>241</v>
      </c>
      <c r="H695" t="s">
        <v>247</v>
      </c>
      <c r="I695" t="s">
        <v>674</v>
      </c>
      <c r="J695" t="s">
        <v>85</v>
      </c>
      <c r="K695" s="120" t="s">
        <v>2697</v>
      </c>
      <c r="L695" s="81"/>
      <c r="M695" s="81"/>
      <c r="N695" s="49"/>
      <c r="O695" s="81"/>
      <c r="P695" s="81"/>
      <c r="Q695" s="81"/>
      <c r="R695" s="81"/>
      <c r="S695" s="81"/>
      <c r="T695" s="81"/>
      <c r="U695" s="81"/>
      <c r="V695" s="81"/>
      <c r="W695" s="81"/>
    </row>
    <row r="696" spans="1:23">
      <c r="A696" s="64" t="s">
        <v>2698</v>
      </c>
      <c r="B696" t="s">
        <v>2699</v>
      </c>
      <c r="C696" t="s">
        <v>508</v>
      </c>
      <c r="D696" t="s">
        <v>152</v>
      </c>
      <c r="E696">
        <f>_xlfn.XLOOKUP(D696,'Resumen Estudiantes y Profesore'!B:B,'Resumen Estudiantes y Profesore'!A:A)</f>
        <v>108</v>
      </c>
      <c r="F696" t="s">
        <v>244</v>
      </c>
      <c r="G696" t="s">
        <v>241</v>
      </c>
      <c r="H696" t="s">
        <v>247</v>
      </c>
      <c r="I696" t="s">
        <v>674</v>
      </c>
      <c r="J696" t="s">
        <v>91</v>
      </c>
      <c r="K696" s="120" t="s">
        <v>2700</v>
      </c>
      <c r="L696" s="81"/>
      <c r="M696" s="81"/>
      <c r="N696" s="49"/>
      <c r="O696" s="81"/>
      <c r="P696" s="81"/>
      <c r="Q696" s="81"/>
      <c r="R696" s="81"/>
      <c r="S696" s="81"/>
      <c r="T696" s="81"/>
      <c r="U696" s="81"/>
      <c r="V696" s="81"/>
      <c r="W696" s="81"/>
    </row>
    <row r="697" spans="1:23">
      <c r="A697" s="64" t="s">
        <v>2701</v>
      </c>
      <c r="B697" t="s">
        <v>2702</v>
      </c>
      <c r="C697" t="s">
        <v>699</v>
      </c>
      <c r="D697" t="s">
        <v>144</v>
      </c>
      <c r="E697">
        <f>_xlfn.XLOOKUP(D697,'Resumen Estudiantes y Profesore'!B:B,'Resumen Estudiantes y Profesore'!A:A)</f>
        <v>118</v>
      </c>
      <c r="F697" t="s">
        <v>243</v>
      </c>
      <c r="G697" t="s">
        <v>241</v>
      </c>
      <c r="H697" t="s">
        <v>247</v>
      </c>
      <c r="I697" t="s">
        <v>674</v>
      </c>
      <c r="J697" t="s">
        <v>138</v>
      </c>
      <c r="K697" s="120" t="s">
        <v>2703</v>
      </c>
      <c r="L697" s="81"/>
      <c r="M697" s="81"/>
      <c r="N697" s="49"/>
      <c r="O697" s="81"/>
      <c r="P697" s="81"/>
      <c r="Q697" s="81"/>
      <c r="R697" s="81"/>
      <c r="S697" s="81"/>
      <c r="T697" s="81"/>
      <c r="U697" s="81"/>
      <c r="V697" s="81"/>
      <c r="W697" s="81"/>
    </row>
    <row r="698" spans="1:23">
      <c r="A698" s="64" t="s">
        <v>2704</v>
      </c>
      <c r="B698" t="s">
        <v>2705</v>
      </c>
      <c r="C698" t="s">
        <v>515</v>
      </c>
      <c r="D698" t="s">
        <v>148</v>
      </c>
      <c r="E698">
        <f>_xlfn.XLOOKUP(D698,'Resumen Estudiantes y Profesore'!B:B,'Resumen Estudiantes y Profesore'!A:A)</f>
        <v>115</v>
      </c>
      <c r="F698" t="s">
        <v>244</v>
      </c>
      <c r="G698" t="s">
        <v>241</v>
      </c>
      <c r="H698" t="s">
        <v>247</v>
      </c>
      <c r="I698" t="s">
        <v>674</v>
      </c>
      <c r="J698" t="s">
        <v>138</v>
      </c>
      <c r="K698" s="120" t="s">
        <v>2706</v>
      </c>
      <c r="L698" s="81"/>
      <c r="M698" s="81"/>
      <c r="N698" s="49"/>
      <c r="O698" s="81"/>
      <c r="P698" s="81"/>
      <c r="Q698" s="81"/>
      <c r="R698" s="81"/>
      <c r="S698" s="81"/>
      <c r="T698" s="81"/>
      <c r="U698" s="81"/>
      <c r="V698" s="81"/>
      <c r="W698" s="81"/>
    </row>
    <row r="699" spans="1:23">
      <c r="A699" s="64" t="s">
        <v>2704</v>
      </c>
      <c r="B699" t="s">
        <v>2707</v>
      </c>
      <c r="C699" t="s">
        <v>516</v>
      </c>
      <c r="D699" t="s">
        <v>149</v>
      </c>
      <c r="E699">
        <f>_xlfn.XLOOKUP(D699,'Resumen Estudiantes y Profesore'!B:B,'Resumen Estudiantes y Profesore'!A:A)</f>
        <v>141</v>
      </c>
      <c r="F699" t="s">
        <v>244</v>
      </c>
      <c r="G699" t="s">
        <v>241</v>
      </c>
      <c r="H699" t="s">
        <v>247</v>
      </c>
      <c r="I699" t="s">
        <v>674</v>
      </c>
      <c r="J699" t="s">
        <v>138</v>
      </c>
      <c r="K699" s="120" t="s">
        <v>2708</v>
      </c>
      <c r="L699" s="81"/>
      <c r="M699" s="81"/>
      <c r="N699" s="49"/>
      <c r="O699" s="81"/>
      <c r="P699" s="81"/>
      <c r="Q699" s="81"/>
      <c r="R699" s="81"/>
      <c r="S699" s="81"/>
      <c r="T699" s="81"/>
      <c r="U699" s="81"/>
      <c r="V699" s="81"/>
      <c r="W699" s="81"/>
    </row>
    <row r="700" spans="1:23">
      <c r="A700" s="145" t="s">
        <v>2709</v>
      </c>
      <c r="B700" t="s">
        <v>2710</v>
      </c>
      <c r="C700" t="s">
        <v>428</v>
      </c>
      <c r="D700" t="s">
        <v>25</v>
      </c>
      <c r="E700">
        <f>_xlfn.XLOOKUP(D700,'Resumen Estudiantes y Profesore'!B:B,'Resumen Estudiantes y Profesore'!A:A)</f>
        <v>28</v>
      </c>
      <c r="F700" t="s">
        <v>243</v>
      </c>
      <c r="G700" t="s">
        <v>241</v>
      </c>
      <c r="H700" t="s">
        <v>247</v>
      </c>
      <c r="I700" t="s">
        <v>682</v>
      </c>
      <c r="J700" t="s">
        <v>83</v>
      </c>
      <c r="K700" s="120" t="s">
        <v>2711</v>
      </c>
      <c r="L700" s="81"/>
      <c r="M700" s="81"/>
      <c r="N700" s="49"/>
      <c r="O700" s="81"/>
      <c r="P700" s="81"/>
      <c r="Q700" s="81"/>
      <c r="R700" s="81"/>
      <c r="S700" s="81"/>
      <c r="T700" s="81"/>
      <c r="U700" s="81"/>
      <c r="V700" s="81"/>
      <c r="W700" s="81"/>
    </row>
    <row r="701" spans="1:23">
      <c r="A701" s="64" t="s">
        <v>2619</v>
      </c>
      <c r="B701" t="s">
        <v>2712</v>
      </c>
      <c r="C701" t="s">
        <v>878</v>
      </c>
      <c r="D701" t="s">
        <v>202</v>
      </c>
      <c r="E701">
        <f>_xlfn.XLOOKUP(D701,'Resumen Estudiantes y Profesore'!B:B,'Resumen Estudiantes y Profesore'!A:A)</f>
        <v>48</v>
      </c>
      <c r="F701" t="s">
        <v>243</v>
      </c>
      <c r="G701" t="s">
        <v>241</v>
      </c>
      <c r="H701" t="s">
        <v>247</v>
      </c>
      <c r="I701" t="s">
        <v>674</v>
      </c>
      <c r="J701" t="s">
        <v>77</v>
      </c>
      <c r="K701" s="120" t="s">
        <v>2713</v>
      </c>
      <c r="L701" s="81"/>
      <c r="M701" s="81"/>
      <c r="N701" s="49"/>
      <c r="O701" s="81"/>
      <c r="P701" s="81"/>
      <c r="Q701" s="81"/>
      <c r="R701" s="81"/>
      <c r="S701" s="81"/>
      <c r="T701" s="81"/>
      <c r="U701" s="81"/>
      <c r="V701" s="81"/>
      <c r="W701" s="81"/>
    </row>
    <row r="702" spans="1:23">
      <c r="A702" s="64" t="s">
        <v>2714</v>
      </c>
      <c r="D702" t="s">
        <v>163</v>
      </c>
      <c r="E702">
        <f>_xlfn.XLOOKUP(D702,'Resumen Estudiantes y Profesore'!B:B,'Resumen Estudiantes y Profesore'!A:A)</f>
        <v>124</v>
      </c>
      <c r="F702" t="s">
        <v>243</v>
      </c>
      <c r="G702" t="s">
        <v>241</v>
      </c>
      <c r="I702" t="s">
        <v>674</v>
      </c>
      <c r="J702" t="s">
        <v>138</v>
      </c>
      <c r="N702" s="49"/>
    </row>
    <row r="703" spans="1:23">
      <c r="A703" s="64" t="s">
        <v>2714</v>
      </c>
      <c r="D703" t="s">
        <v>169</v>
      </c>
      <c r="E703">
        <f>_xlfn.XLOOKUP(D703,'Resumen Estudiantes y Profesore'!B:B,'Resumen Estudiantes y Profesore'!A:A)</f>
        <v>139</v>
      </c>
      <c r="F703" t="s">
        <v>243</v>
      </c>
      <c r="G703" t="s">
        <v>241</v>
      </c>
      <c r="I703" t="s">
        <v>674</v>
      </c>
      <c r="J703" t="s">
        <v>138</v>
      </c>
      <c r="N703" s="49"/>
    </row>
    <row r="704" spans="1:23">
      <c r="A704" s="64" t="s">
        <v>2714</v>
      </c>
      <c r="D704" t="s">
        <v>170</v>
      </c>
      <c r="E704">
        <f>_xlfn.XLOOKUP(D704,'Resumen Estudiantes y Profesore'!B:B,'Resumen Estudiantes y Profesore'!A:A)</f>
        <v>134</v>
      </c>
      <c r="F704" t="s">
        <v>243</v>
      </c>
      <c r="G704" t="s">
        <v>241</v>
      </c>
      <c r="I704" t="s">
        <v>674</v>
      </c>
      <c r="J704" t="s">
        <v>138</v>
      </c>
      <c r="N704" s="49"/>
    </row>
    <row r="705" spans="1:23" s="81" customFormat="1">
      <c r="A705" s="64" t="s">
        <v>2714</v>
      </c>
      <c r="B705"/>
      <c r="C705"/>
      <c r="D705" t="s">
        <v>145</v>
      </c>
      <c r="E705">
        <f>_xlfn.XLOOKUP(D705,'Resumen Estudiantes y Profesore'!B:B,'Resumen Estudiantes y Profesore'!A:A)</f>
        <v>114</v>
      </c>
      <c r="F705" t="s">
        <v>243</v>
      </c>
      <c r="G705" t="s">
        <v>241</v>
      </c>
      <c r="H705"/>
      <c r="I705" t="s">
        <v>674</v>
      </c>
      <c r="J705" t="s">
        <v>138</v>
      </c>
      <c r="K705"/>
      <c r="L705"/>
      <c r="M705"/>
      <c r="N705" s="49"/>
      <c r="O705"/>
      <c r="P705"/>
      <c r="Q705"/>
      <c r="R705"/>
      <c r="S705"/>
      <c r="T705"/>
      <c r="U705"/>
      <c r="V705"/>
      <c r="W705"/>
    </row>
    <row r="706" spans="1:23">
      <c r="A706" s="64" t="s">
        <v>2714</v>
      </c>
      <c r="D706" t="s">
        <v>174</v>
      </c>
      <c r="E706">
        <f>_xlfn.XLOOKUP(D706,'Resumen Estudiantes y Profesore'!B:B,'Resumen Estudiantes y Profesore'!A:A)</f>
        <v>131</v>
      </c>
      <c r="F706" t="s">
        <v>243</v>
      </c>
      <c r="G706" t="s">
        <v>241</v>
      </c>
      <c r="I706" t="s">
        <v>674</v>
      </c>
      <c r="J706" t="s">
        <v>138</v>
      </c>
      <c r="N706" s="49"/>
    </row>
    <row r="707" spans="1:23">
      <c r="A707" s="64" t="s">
        <v>2714</v>
      </c>
      <c r="D707" t="s">
        <v>175</v>
      </c>
      <c r="E707">
        <f>_xlfn.XLOOKUP(D707,'Resumen Estudiantes y Profesore'!B:B,'Resumen Estudiantes y Profesore'!A:A)</f>
        <v>133</v>
      </c>
      <c r="F707" t="s">
        <v>243</v>
      </c>
      <c r="G707" t="s">
        <v>241</v>
      </c>
      <c r="I707" t="s">
        <v>674</v>
      </c>
      <c r="J707" t="s">
        <v>138</v>
      </c>
      <c r="N707" s="49"/>
    </row>
    <row r="708" spans="1:23">
      <c r="A708" s="64" t="s">
        <v>2714</v>
      </c>
      <c r="D708" t="s">
        <v>159</v>
      </c>
      <c r="E708">
        <f>_xlfn.XLOOKUP(D708,'Resumen Estudiantes y Profesore'!B:B,'Resumen Estudiantes y Profesore'!A:A)</f>
        <v>140</v>
      </c>
      <c r="F708" t="s">
        <v>243</v>
      </c>
      <c r="G708" t="s">
        <v>241</v>
      </c>
      <c r="I708" t="s">
        <v>674</v>
      </c>
      <c r="J708" t="s">
        <v>138</v>
      </c>
      <c r="N708" s="49"/>
    </row>
    <row r="709" spans="1:23">
      <c r="A709" s="64" t="s">
        <v>1608</v>
      </c>
      <c r="D709" t="s">
        <v>163</v>
      </c>
      <c r="E709">
        <f>_xlfn.XLOOKUP(D709,'Resumen Estudiantes y Profesore'!B:B,'Resumen Estudiantes y Profesore'!A:A)</f>
        <v>124</v>
      </c>
      <c r="F709" t="s">
        <v>243</v>
      </c>
      <c r="G709" t="s">
        <v>241</v>
      </c>
      <c r="I709" t="s">
        <v>674</v>
      </c>
      <c r="J709" t="s">
        <v>138</v>
      </c>
      <c r="N709" s="49"/>
    </row>
    <row r="710" spans="1:23">
      <c r="A710" s="64" t="s">
        <v>1608</v>
      </c>
      <c r="D710" t="s">
        <v>169</v>
      </c>
      <c r="E710">
        <f>_xlfn.XLOOKUP(D710,'Resumen Estudiantes y Profesore'!B:B,'Resumen Estudiantes y Profesore'!A:A)</f>
        <v>139</v>
      </c>
      <c r="F710" t="s">
        <v>243</v>
      </c>
      <c r="G710" t="s">
        <v>241</v>
      </c>
      <c r="I710" t="s">
        <v>674</v>
      </c>
      <c r="J710" t="s">
        <v>138</v>
      </c>
      <c r="N710" s="49"/>
    </row>
    <row r="711" spans="1:23">
      <c r="A711" s="64" t="s">
        <v>1608</v>
      </c>
      <c r="D711" t="s">
        <v>170</v>
      </c>
      <c r="E711">
        <f>_xlfn.XLOOKUP(D711,'Resumen Estudiantes y Profesore'!B:B,'Resumen Estudiantes y Profesore'!A:A)</f>
        <v>134</v>
      </c>
      <c r="F711" t="s">
        <v>243</v>
      </c>
      <c r="G711" t="s">
        <v>241</v>
      </c>
      <c r="I711" t="s">
        <v>674</v>
      </c>
      <c r="J711" t="s">
        <v>138</v>
      </c>
      <c r="N711" s="49"/>
    </row>
    <row r="712" spans="1:23">
      <c r="A712" s="64" t="s">
        <v>1608</v>
      </c>
      <c r="D712" t="s">
        <v>145</v>
      </c>
      <c r="E712">
        <f>_xlfn.XLOOKUP(D712,'Resumen Estudiantes y Profesore'!B:B,'Resumen Estudiantes y Profesore'!A:A)</f>
        <v>114</v>
      </c>
      <c r="F712" t="s">
        <v>243</v>
      </c>
      <c r="G712" t="s">
        <v>241</v>
      </c>
      <c r="I712" t="s">
        <v>674</v>
      </c>
      <c r="J712" t="s">
        <v>138</v>
      </c>
      <c r="N712" s="49"/>
    </row>
    <row r="713" spans="1:23" s="81" customFormat="1">
      <c r="A713" s="64" t="s">
        <v>1608</v>
      </c>
      <c r="B713"/>
      <c r="C713"/>
      <c r="D713" t="s">
        <v>174</v>
      </c>
      <c r="E713">
        <f>_xlfn.XLOOKUP(D713,'Resumen Estudiantes y Profesore'!B:B,'Resumen Estudiantes y Profesore'!A:A)</f>
        <v>131</v>
      </c>
      <c r="F713" t="s">
        <v>243</v>
      </c>
      <c r="G713" t="s">
        <v>241</v>
      </c>
      <c r="H713"/>
      <c r="I713" t="s">
        <v>674</v>
      </c>
      <c r="J713" t="s">
        <v>138</v>
      </c>
      <c r="K713"/>
      <c r="L713"/>
      <c r="M713"/>
      <c r="N713" s="49"/>
      <c r="O713"/>
      <c r="P713"/>
      <c r="Q713"/>
      <c r="R713"/>
      <c r="S713"/>
      <c r="T713"/>
      <c r="U713"/>
      <c r="V713"/>
      <c r="W713"/>
    </row>
    <row r="714" spans="1:23" s="81" customFormat="1">
      <c r="A714" t="s">
        <v>2715</v>
      </c>
      <c r="B714" t="s">
        <v>2716</v>
      </c>
      <c r="C714" t="s">
        <v>95</v>
      </c>
      <c r="D714" t="s">
        <v>251</v>
      </c>
      <c r="E714">
        <f>_xlfn.XLOOKUP(D714,'Resumen Estudiantes y Profesore'!B:B,'Resumen Estudiantes y Profesore'!A:A)</f>
        <v>211</v>
      </c>
      <c r="F714" t="s">
        <v>243</v>
      </c>
      <c r="G714" t="s">
        <v>246</v>
      </c>
      <c r="H714" t="s">
        <v>246</v>
      </c>
      <c r="I714" t="s">
        <v>682</v>
      </c>
      <c r="J714" t="s">
        <v>95</v>
      </c>
      <c r="K714" s="120" t="s">
        <v>2717</v>
      </c>
      <c r="L714"/>
      <c r="M714"/>
      <c r="N714" s="49"/>
      <c r="O714"/>
      <c r="P714"/>
      <c r="Q714"/>
      <c r="R714"/>
      <c r="S714"/>
      <c r="T714"/>
      <c r="U714"/>
      <c r="V714"/>
      <c r="W714"/>
    </row>
    <row r="715" spans="1:23">
      <c r="A715" t="s">
        <v>2718</v>
      </c>
      <c r="B715" t="s">
        <v>2719</v>
      </c>
      <c r="C715" t="s">
        <v>418</v>
      </c>
      <c r="D715" t="s">
        <v>232</v>
      </c>
      <c r="E715">
        <f>_xlfn.XLOOKUP(D715,'Resumen Estudiantes y Profesore'!B:B,'Resumen Estudiantes y Profesore'!A:A)</f>
        <v>151</v>
      </c>
      <c r="F715" t="s">
        <v>243</v>
      </c>
      <c r="G715" t="s">
        <v>246</v>
      </c>
      <c r="H715" t="s">
        <v>246</v>
      </c>
      <c r="I715" t="s">
        <v>682</v>
      </c>
      <c r="J715" t="s">
        <v>77</v>
      </c>
      <c r="K715" s="120" t="s">
        <v>2720</v>
      </c>
      <c r="N715" s="49"/>
    </row>
    <row r="716" spans="1:23">
      <c r="A716" t="s">
        <v>2721</v>
      </c>
      <c r="B716" t="s">
        <v>2722</v>
      </c>
      <c r="C716" t="s">
        <v>450</v>
      </c>
      <c r="D716" t="s">
        <v>37</v>
      </c>
      <c r="E716">
        <f>_xlfn.XLOOKUP(D716,'Resumen Estudiantes y Profesore'!B:B,'Resumen Estudiantes y Profesore'!A:A)</f>
        <v>41</v>
      </c>
      <c r="F716" t="s">
        <v>243</v>
      </c>
      <c r="G716" t="s">
        <v>246</v>
      </c>
      <c r="H716" t="s">
        <v>246</v>
      </c>
      <c r="I716" t="s">
        <v>682</v>
      </c>
      <c r="J716" t="s">
        <v>89</v>
      </c>
      <c r="K716" s="120" t="s">
        <v>2723</v>
      </c>
      <c r="N716" s="49"/>
    </row>
    <row r="717" spans="1:23" s="81" customFormat="1">
      <c r="A717" t="s">
        <v>2724</v>
      </c>
      <c r="B717" t="s">
        <v>2725</v>
      </c>
      <c r="C717" t="s">
        <v>2330</v>
      </c>
      <c r="D717" t="s">
        <v>141</v>
      </c>
      <c r="E717">
        <f>_xlfn.XLOOKUP(D717,'Resumen Estudiantes y Profesore'!B:B,'Resumen Estudiantes y Profesore'!A:A)</f>
        <v>112</v>
      </c>
      <c r="F717" t="s">
        <v>243</v>
      </c>
      <c r="G717" t="s">
        <v>246</v>
      </c>
      <c r="H717" t="s">
        <v>246</v>
      </c>
      <c r="I717" t="s">
        <v>674</v>
      </c>
      <c r="J717" t="s">
        <v>138</v>
      </c>
      <c r="K717" s="120" t="s">
        <v>2726</v>
      </c>
      <c r="L717"/>
      <c r="M717"/>
      <c r="N717" s="49"/>
      <c r="O717"/>
      <c r="P717"/>
      <c r="Q717"/>
      <c r="R717"/>
      <c r="S717"/>
      <c r="T717"/>
      <c r="U717"/>
      <c r="V717"/>
      <c r="W717"/>
    </row>
    <row r="718" spans="1:23">
      <c r="A718" t="s">
        <v>2727</v>
      </c>
      <c r="B718" t="s">
        <v>2728</v>
      </c>
      <c r="C718" t="s">
        <v>975</v>
      </c>
      <c r="D718" t="s">
        <v>145</v>
      </c>
      <c r="E718">
        <f>_xlfn.XLOOKUP(D718,'Resumen Estudiantes y Profesore'!B:B,'Resumen Estudiantes y Profesore'!A:A)</f>
        <v>114</v>
      </c>
      <c r="F718" t="s">
        <v>243</v>
      </c>
      <c r="G718" t="s">
        <v>246</v>
      </c>
      <c r="H718" t="s">
        <v>246</v>
      </c>
      <c r="I718" t="s">
        <v>674</v>
      </c>
      <c r="J718" t="s">
        <v>138</v>
      </c>
      <c r="K718" s="120" t="s">
        <v>2729</v>
      </c>
      <c r="N718" s="49"/>
    </row>
    <row r="719" spans="1:23">
      <c r="A719" t="s">
        <v>1842</v>
      </c>
      <c r="B719" t="s">
        <v>2730</v>
      </c>
      <c r="C719" t="s">
        <v>859</v>
      </c>
      <c r="D719" t="s">
        <v>201</v>
      </c>
      <c r="E719">
        <f>_xlfn.XLOOKUP(D719,'Resumen Estudiantes y Profesore'!B:B,'Resumen Estudiantes y Profesore'!A:A)</f>
        <v>47</v>
      </c>
      <c r="F719" t="s">
        <v>243</v>
      </c>
      <c r="G719" t="s">
        <v>246</v>
      </c>
      <c r="H719" t="s">
        <v>246</v>
      </c>
      <c r="I719" t="s">
        <v>674</v>
      </c>
      <c r="J719" t="s">
        <v>77</v>
      </c>
      <c r="K719" s="120" t="s">
        <v>2731</v>
      </c>
      <c r="N719" s="49"/>
    </row>
    <row r="720" spans="1:23">
      <c r="A720" t="s">
        <v>1842</v>
      </c>
      <c r="B720" t="s">
        <v>2732</v>
      </c>
      <c r="C720" t="s">
        <v>747</v>
      </c>
      <c r="D720" t="s">
        <v>178</v>
      </c>
      <c r="E720">
        <f>_xlfn.XLOOKUP(D720,'Resumen Estudiantes y Profesore'!B:B,'Resumen Estudiantes y Profesore'!A:A)</f>
        <v>75</v>
      </c>
      <c r="F720" t="s">
        <v>243</v>
      </c>
      <c r="G720" t="s">
        <v>246</v>
      </c>
      <c r="H720" t="s">
        <v>246</v>
      </c>
      <c r="I720" t="s">
        <v>674</v>
      </c>
      <c r="J720" t="s">
        <v>89</v>
      </c>
      <c r="K720" s="120" t="s">
        <v>2733</v>
      </c>
      <c r="N720" s="49"/>
    </row>
    <row r="721" spans="1:23">
      <c r="A721" t="s">
        <v>2734</v>
      </c>
      <c r="B721" t="s">
        <v>2735</v>
      </c>
      <c r="C721" t="s">
        <v>428</v>
      </c>
      <c r="D721" t="s">
        <v>25</v>
      </c>
      <c r="E721">
        <f>_xlfn.XLOOKUP(D721,'Resumen Estudiantes y Profesore'!B:B,'Resumen Estudiantes y Profesore'!A:A)</f>
        <v>28</v>
      </c>
      <c r="F721" t="s">
        <v>243</v>
      </c>
      <c r="G721" t="s">
        <v>246</v>
      </c>
      <c r="H721" t="s">
        <v>246</v>
      </c>
      <c r="I721" t="s">
        <v>682</v>
      </c>
      <c r="J721" t="s">
        <v>83</v>
      </c>
      <c r="K721" s="120" t="s">
        <v>2736</v>
      </c>
      <c r="N721" s="49"/>
    </row>
    <row r="722" spans="1:23">
      <c r="A722" t="s">
        <v>2737</v>
      </c>
      <c r="B722" t="s">
        <v>2738</v>
      </c>
      <c r="C722" t="s">
        <v>446</v>
      </c>
      <c r="D722" t="s">
        <v>34</v>
      </c>
      <c r="E722">
        <f>_xlfn.XLOOKUP(D722,'Resumen Estudiantes y Profesore'!B:B,'Resumen Estudiantes y Profesore'!A:A)</f>
        <v>39</v>
      </c>
      <c r="F722" t="s">
        <v>243</v>
      </c>
      <c r="G722" t="s">
        <v>246</v>
      </c>
      <c r="H722" t="s">
        <v>246</v>
      </c>
      <c r="I722" t="s">
        <v>682</v>
      </c>
      <c r="J722" t="s">
        <v>89</v>
      </c>
      <c r="K722" s="120" t="s">
        <v>2739</v>
      </c>
      <c r="N722" s="49"/>
    </row>
    <row r="723" spans="1:23">
      <c r="A723" t="s">
        <v>2740</v>
      </c>
      <c r="B723" t="s">
        <v>2741</v>
      </c>
      <c r="C723" t="s">
        <v>424</v>
      </c>
      <c r="D723" t="s">
        <v>24</v>
      </c>
      <c r="E723">
        <f>_xlfn.XLOOKUP(D723,'Resumen Estudiantes y Profesore'!B:B,'Resumen Estudiantes y Profesore'!A:A)</f>
        <v>27</v>
      </c>
      <c r="F723" t="s">
        <v>243</v>
      </c>
      <c r="G723" t="s">
        <v>246</v>
      </c>
      <c r="H723" t="s">
        <v>246</v>
      </c>
      <c r="I723" t="s">
        <v>682</v>
      </c>
      <c r="J723" t="s">
        <v>83</v>
      </c>
      <c r="K723" s="120" t="s">
        <v>2742</v>
      </c>
      <c r="N723" s="49"/>
    </row>
    <row r="724" spans="1:23">
      <c r="A724" t="s">
        <v>2743</v>
      </c>
      <c r="B724" t="s">
        <v>2744</v>
      </c>
      <c r="C724" t="s">
        <v>2046</v>
      </c>
      <c r="D724" t="s">
        <v>179</v>
      </c>
      <c r="E724">
        <f>_xlfn.XLOOKUP(D724,'Resumen Estudiantes y Profesore'!B:B,'Resumen Estudiantes y Profesore'!A:A)</f>
        <v>73</v>
      </c>
      <c r="F724" t="s">
        <v>243</v>
      </c>
      <c r="G724" t="s">
        <v>246</v>
      </c>
      <c r="H724" t="s">
        <v>246</v>
      </c>
      <c r="I724" t="s">
        <v>674</v>
      </c>
      <c r="J724" t="s">
        <v>89</v>
      </c>
      <c r="K724" s="120" t="s">
        <v>2745</v>
      </c>
      <c r="N724" s="49"/>
    </row>
    <row r="725" spans="1:23">
      <c r="A725" t="s">
        <v>2746</v>
      </c>
      <c r="B725" t="s">
        <v>2747</v>
      </c>
      <c r="C725" t="s">
        <v>237</v>
      </c>
      <c r="D725" t="s">
        <v>237</v>
      </c>
      <c r="E725">
        <f>_xlfn.XLOOKUP(D725,'Resumen Estudiantes y Profesore'!B:B,'Resumen Estudiantes y Profesore'!A:A)</f>
        <v>156</v>
      </c>
      <c r="F725" t="s">
        <v>243</v>
      </c>
      <c r="G725" t="s">
        <v>246</v>
      </c>
      <c r="H725" t="s">
        <v>246</v>
      </c>
      <c r="I725" t="s">
        <v>682</v>
      </c>
      <c r="J725" t="s">
        <v>77</v>
      </c>
      <c r="K725" s="120" t="s">
        <v>2748</v>
      </c>
      <c r="N725" s="49"/>
    </row>
    <row r="726" spans="1:23">
      <c r="A726" t="s">
        <v>2749</v>
      </c>
      <c r="B726" t="s">
        <v>2750</v>
      </c>
      <c r="C726" t="s">
        <v>1094</v>
      </c>
      <c r="D726" t="s">
        <v>199</v>
      </c>
      <c r="E726">
        <f>_xlfn.XLOOKUP(D726,'Resumen Estudiantes y Profesore'!B:B,'Resumen Estudiantes y Profesore'!A:A)</f>
        <v>49</v>
      </c>
      <c r="F726" t="s">
        <v>243</v>
      </c>
      <c r="G726" t="s">
        <v>246</v>
      </c>
      <c r="H726" t="s">
        <v>246</v>
      </c>
      <c r="I726" t="s">
        <v>674</v>
      </c>
      <c r="J726" t="s">
        <v>77</v>
      </c>
      <c r="K726" s="120" t="s">
        <v>2751</v>
      </c>
      <c r="N726" s="49"/>
    </row>
    <row r="727" spans="1:23" s="81" customFormat="1">
      <c r="A727" t="s">
        <v>2752</v>
      </c>
      <c r="B727" t="s">
        <v>2753</v>
      </c>
      <c r="C727" t="s">
        <v>450</v>
      </c>
      <c r="D727" t="s">
        <v>37</v>
      </c>
      <c r="E727">
        <f>_xlfn.XLOOKUP(D727,'Resumen Estudiantes y Profesore'!B:B,'Resumen Estudiantes y Profesore'!A:A)</f>
        <v>41</v>
      </c>
      <c r="F727" t="s">
        <v>243</v>
      </c>
      <c r="G727" t="s">
        <v>246</v>
      </c>
      <c r="H727" t="s">
        <v>246</v>
      </c>
      <c r="I727" t="s">
        <v>682</v>
      </c>
      <c r="J727" t="s">
        <v>89</v>
      </c>
      <c r="K727" s="120" t="s">
        <v>2754</v>
      </c>
      <c r="L727"/>
      <c r="M727"/>
      <c r="N727" s="49"/>
      <c r="O727"/>
      <c r="P727"/>
      <c r="Q727"/>
      <c r="R727"/>
      <c r="S727"/>
      <c r="T727"/>
      <c r="U727"/>
      <c r="V727"/>
      <c r="W727"/>
    </row>
    <row r="728" spans="1:23">
      <c r="A728" t="s">
        <v>2755</v>
      </c>
      <c r="B728" t="s">
        <v>2756</v>
      </c>
      <c r="C728" t="s">
        <v>1122</v>
      </c>
      <c r="D728" t="s">
        <v>194</v>
      </c>
      <c r="E728">
        <f>_xlfn.XLOOKUP(D728,'Resumen Estudiantes y Profesore'!B:B,'Resumen Estudiantes y Profesore'!A:A)</f>
        <v>79</v>
      </c>
      <c r="F728" t="s">
        <v>243</v>
      </c>
      <c r="G728" t="s">
        <v>246</v>
      </c>
      <c r="H728" t="s">
        <v>246</v>
      </c>
      <c r="I728" t="s">
        <v>674</v>
      </c>
      <c r="J728" t="s">
        <v>90</v>
      </c>
      <c r="K728" s="120" t="s">
        <v>2757</v>
      </c>
      <c r="N728" s="49"/>
    </row>
    <row r="729" spans="1:23">
      <c r="A729" t="s">
        <v>2755</v>
      </c>
      <c r="B729" t="s">
        <v>2758</v>
      </c>
      <c r="C729" t="s">
        <v>451</v>
      </c>
      <c r="D729" t="s">
        <v>38</v>
      </c>
      <c r="E729">
        <f>_xlfn.XLOOKUP(D729,'Resumen Estudiantes y Profesore'!B:B,'Resumen Estudiantes y Profesore'!A:A)</f>
        <v>42</v>
      </c>
      <c r="F729" t="s">
        <v>243</v>
      </c>
      <c r="G729" t="s">
        <v>246</v>
      </c>
      <c r="H729" t="s">
        <v>246</v>
      </c>
      <c r="I729" t="s">
        <v>682</v>
      </c>
      <c r="J729" t="s">
        <v>90</v>
      </c>
      <c r="K729" s="120" t="s">
        <v>2759</v>
      </c>
      <c r="N729" s="49"/>
    </row>
    <row r="730" spans="1:23">
      <c r="A730" t="s">
        <v>2760</v>
      </c>
      <c r="B730" t="s">
        <v>2761</v>
      </c>
      <c r="C730" t="s">
        <v>237</v>
      </c>
      <c r="D730" t="s">
        <v>237</v>
      </c>
      <c r="E730">
        <f>_xlfn.XLOOKUP(D730,'Resumen Estudiantes y Profesore'!B:B,'Resumen Estudiantes y Profesore'!A:A)</f>
        <v>156</v>
      </c>
      <c r="F730" t="s">
        <v>243</v>
      </c>
      <c r="G730" t="s">
        <v>246</v>
      </c>
      <c r="H730" t="s">
        <v>246</v>
      </c>
      <c r="I730" t="s">
        <v>682</v>
      </c>
      <c r="J730" t="s">
        <v>77</v>
      </c>
      <c r="K730" s="120" t="s">
        <v>2762</v>
      </c>
      <c r="N730" s="49"/>
    </row>
    <row r="731" spans="1:23">
      <c r="A731" t="s">
        <v>2763</v>
      </c>
      <c r="B731" t="s">
        <v>2764</v>
      </c>
      <c r="C731" t="s">
        <v>630</v>
      </c>
      <c r="D731" t="s">
        <v>536</v>
      </c>
      <c r="E731" t="e">
        <f>_xlfn.XLOOKUP(D731,'Resumen Estudiantes y Profesore'!B:B,'Resumen Estudiantes y Profesore'!A:A)</f>
        <v>#N/A</v>
      </c>
      <c r="F731" t="s">
        <v>243</v>
      </c>
      <c r="G731" t="s">
        <v>246</v>
      </c>
      <c r="H731" t="s">
        <v>246</v>
      </c>
      <c r="I731" t="s">
        <v>682</v>
      </c>
      <c r="J731" t="s">
        <v>1471</v>
      </c>
      <c r="K731" s="120" t="s">
        <v>2765</v>
      </c>
      <c r="N731" s="49"/>
    </row>
    <row r="732" spans="1:23">
      <c r="A732" t="s">
        <v>2766</v>
      </c>
      <c r="B732" t="s">
        <v>2767</v>
      </c>
      <c r="C732" t="s">
        <v>451</v>
      </c>
      <c r="D732" t="s">
        <v>38</v>
      </c>
      <c r="E732">
        <f>_xlfn.XLOOKUP(D732,'Resumen Estudiantes y Profesore'!B:B,'Resumen Estudiantes y Profesore'!A:A)</f>
        <v>42</v>
      </c>
      <c r="F732" t="s">
        <v>243</v>
      </c>
      <c r="G732" t="s">
        <v>246</v>
      </c>
      <c r="H732" t="s">
        <v>246</v>
      </c>
      <c r="I732" t="s">
        <v>682</v>
      </c>
      <c r="J732" t="s">
        <v>90</v>
      </c>
      <c r="K732" s="120" t="s">
        <v>2768</v>
      </c>
      <c r="N732" s="49"/>
    </row>
    <row r="733" spans="1:23">
      <c r="A733" t="s">
        <v>2769</v>
      </c>
      <c r="B733" t="s">
        <v>2770</v>
      </c>
      <c r="C733" t="s">
        <v>444</v>
      </c>
      <c r="D733" t="s">
        <v>33</v>
      </c>
      <c r="E733">
        <f>_xlfn.XLOOKUP(D733,'Resumen Estudiantes y Profesore'!B:B,'Resumen Estudiantes y Profesore'!A:A)</f>
        <v>38</v>
      </c>
      <c r="F733" t="s">
        <v>243</v>
      </c>
      <c r="G733" t="s">
        <v>246</v>
      </c>
      <c r="H733" t="s">
        <v>246</v>
      </c>
      <c r="I733" t="s">
        <v>682</v>
      </c>
      <c r="J733" t="s">
        <v>89</v>
      </c>
      <c r="K733" s="120" t="s">
        <v>2771</v>
      </c>
      <c r="N733" s="49"/>
    </row>
    <row r="734" spans="1:23">
      <c r="A734" t="s">
        <v>2772</v>
      </c>
      <c r="B734" t="s">
        <v>2773</v>
      </c>
      <c r="C734" t="s">
        <v>93</v>
      </c>
      <c r="D734" t="s">
        <v>93</v>
      </c>
      <c r="E734">
        <f>_xlfn.XLOOKUP(D734,'Resumen Estudiantes y Profesore'!B:B,'Resumen Estudiantes y Profesore'!A:A)</f>
        <v>210</v>
      </c>
      <c r="F734" t="s">
        <v>243</v>
      </c>
      <c r="G734" t="s">
        <v>246</v>
      </c>
      <c r="H734" t="s">
        <v>246</v>
      </c>
      <c r="I734" t="s">
        <v>682</v>
      </c>
      <c r="J734" t="s">
        <v>93</v>
      </c>
      <c r="K734" s="120" t="s">
        <v>2774</v>
      </c>
      <c r="N734" s="49"/>
    </row>
    <row r="735" spans="1:23">
      <c r="A735" t="s">
        <v>2775</v>
      </c>
      <c r="B735" t="s">
        <v>2776</v>
      </c>
      <c r="C735" t="s">
        <v>93</v>
      </c>
      <c r="D735" t="s">
        <v>93</v>
      </c>
      <c r="E735">
        <f>_xlfn.XLOOKUP(D735,'Resumen Estudiantes y Profesore'!B:B,'Resumen Estudiantes y Profesore'!A:A)</f>
        <v>210</v>
      </c>
      <c r="F735" t="s">
        <v>243</v>
      </c>
      <c r="G735" t="s">
        <v>246</v>
      </c>
      <c r="H735" t="s">
        <v>246</v>
      </c>
      <c r="I735" t="s">
        <v>682</v>
      </c>
      <c r="J735" t="s">
        <v>93</v>
      </c>
      <c r="K735" s="120" t="s">
        <v>2777</v>
      </c>
      <c r="N735" s="49"/>
    </row>
    <row r="736" spans="1:23">
      <c r="A736" t="s">
        <v>2778</v>
      </c>
      <c r="B736" t="s">
        <v>2779</v>
      </c>
      <c r="C736" t="s">
        <v>451</v>
      </c>
      <c r="D736" t="s">
        <v>38</v>
      </c>
      <c r="E736">
        <f>_xlfn.XLOOKUP(D736,'Resumen Estudiantes y Profesore'!B:B,'Resumen Estudiantes y Profesore'!A:A)</f>
        <v>42</v>
      </c>
      <c r="F736" t="s">
        <v>243</v>
      </c>
      <c r="G736" t="s">
        <v>246</v>
      </c>
      <c r="H736" t="s">
        <v>246</v>
      </c>
      <c r="I736" t="s">
        <v>682</v>
      </c>
      <c r="J736" t="s">
        <v>90</v>
      </c>
      <c r="K736" s="120" t="s">
        <v>2780</v>
      </c>
      <c r="N736" s="49"/>
    </row>
    <row r="737" spans="1:23" s="81" customFormat="1">
      <c r="A737" t="s">
        <v>2781</v>
      </c>
      <c r="B737" t="s">
        <v>2782</v>
      </c>
      <c r="C737" t="s">
        <v>436</v>
      </c>
      <c r="D737" t="s">
        <v>29</v>
      </c>
      <c r="E737">
        <f>_xlfn.XLOOKUP(D737,'Resumen Estudiantes y Profesore'!B:B,'Resumen Estudiantes y Profesore'!A:A)</f>
        <v>33</v>
      </c>
      <c r="F737" t="s">
        <v>243</v>
      </c>
      <c r="G737" t="s">
        <v>246</v>
      </c>
      <c r="H737" t="s">
        <v>246</v>
      </c>
      <c r="I737" t="s">
        <v>682</v>
      </c>
      <c r="J737" t="s">
        <v>87</v>
      </c>
      <c r="K737" s="120" t="s">
        <v>2783</v>
      </c>
      <c r="L737"/>
      <c r="M737"/>
      <c r="N737" s="49"/>
      <c r="O737"/>
      <c r="P737"/>
      <c r="Q737"/>
      <c r="R737"/>
      <c r="S737"/>
      <c r="T737"/>
      <c r="U737"/>
      <c r="V737"/>
      <c r="W737"/>
    </row>
    <row r="738" spans="1:23">
      <c r="A738" t="s">
        <v>2784</v>
      </c>
      <c r="B738" t="s">
        <v>2785</v>
      </c>
      <c r="C738" t="s">
        <v>93</v>
      </c>
      <c r="D738" t="s">
        <v>93</v>
      </c>
      <c r="E738">
        <f>_xlfn.XLOOKUP(D738,'Resumen Estudiantes y Profesore'!B:B,'Resumen Estudiantes y Profesore'!A:A)</f>
        <v>210</v>
      </c>
      <c r="F738" t="s">
        <v>243</v>
      </c>
      <c r="G738" t="s">
        <v>246</v>
      </c>
      <c r="H738" t="s">
        <v>246</v>
      </c>
      <c r="I738" t="s">
        <v>682</v>
      </c>
      <c r="J738" t="s">
        <v>93</v>
      </c>
      <c r="K738" s="120" t="s">
        <v>2786</v>
      </c>
      <c r="N738" s="49"/>
    </row>
    <row r="739" spans="1:23">
      <c r="A739" t="s">
        <v>2787</v>
      </c>
      <c r="B739" t="s">
        <v>2788</v>
      </c>
      <c r="C739" t="s">
        <v>441</v>
      </c>
      <c r="D739" t="s">
        <v>32</v>
      </c>
      <c r="E739">
        <f>_xlfn.XLOOKUP(D739,'Resumen Estudiantes y Profesore'!B:B,'Resumen Estudiantes y Profesore'!A:A)</f>
        <v>36</v>
      </c>
      <c r="F739" t="s">
        <v>243</v>
      </c>
      <c r="G739" t="s">
        <v>246</v>
      </c>
      <c r="H739" t="s">
        <v>246</v>
      </c>
      <c r="I739" t="s">
        <v>682</v>
      </c>
      <c r="J739" t="s">
        <v>89</v>
      </c>
      <c r="K739" s="120" t="s">
        <v>2789</v>
      </c>
      <c r="N739" s="49"/>
    </row>
    <row r="740" spans="1:23">
      <c r="A740" t="s">
        <v>2790</v>
      </c>
      <c r="B740" t="s">
        <v>2791</v>
      </c>
      <c r="C740" t="s">
        <v>2591</v>
      </c>
      <c r="D740" t="s">
        <v>167</v>
      </c>
      <c r="E740">
        <f>_xlfn.XLOOKUP(D740,'Resumen Estudiantes y Profesore'!B:B,'Resumen Estudiantes y Profesore'!A:A)</f>
        <v>138</v>
      </c>
      <c r="F740" t="s">
        <v>243</v>
      </c>
      <c r="G740" t="s">
        <v>246</v>
      </c>
      <c r="H740" t="s">
        <v>246</v>
      </c>
      <c r="I740" t="s">
        <v>674</v>
      </c>
      <c r="J740" t="s">
        <v>138</v>
      </c>
      <c r="K740" s="120" t="s">
        <v>2792</v>
      </c>
      <c r="N740" s="49"/>
    </row>
    <row r="741" spans="1:23">
      <c r="A741" t="s">
        <v>2790</v>
      </c>
      <c r="B741" t="s">
        <v>2793</v>
      </c>
      <c r="C741" t="s">
        <v>699</v>
      </c>
      <c r="D741" t="s">
        <v>144</v>
      </c>
      <c r="E741">
        <f>_xlfn.XLOOKUP(D741,'Resumen Estudiantes y Profesore'!B:B,'Resumen Estudiantes y Profesore'!A:A)</f>
        <v>118</v>
      </c>
      <c r="F741" t="s">
        <v>243</v>
      </c>
      <c r="G741" t="s">
        <v>246</v>
      </c>
      <c r="H741" t="s">
        <v>246</v>
      </c>
      <c r="I741" t="s">
        <v>674</v>
      </c>
      <c r="J741" t="s">
        <v>138</v>
      </c>
      <c r="K741" s="120" t="s">
        <v>2794</v>
      </c>
      <c r="N741" s="49"/>
    </row>
    <row r="742" spans="1:23">
      <c r="A742" t="s">
        <v>2790</v>
      </c>
      <c r="B742" t="s">
        <v>2795</v>
      </c>
      <c r="C742" t="s">
        <v>2485</v>
      </c>
      <c r="D742" t="s">
        <v>146</v>
      </c>
      <c r="E742">
        <f>_xlfn.XLOOKUP(D742,'Resumen Estudiantes y Profesore'!B:B,'Resumen Estudiantes y Profesore'!A:A)</f>
        <v>113</v>
      </c>
      <c r="F742" t="s">
        <v>243</v>
      </c>
      <c r="G742" t="s">
        <v>246</v>
      </c>
      <c r="H742" t="s">
        <v>246</v>
      </c>
      <c r="I742" t="s">
        <v>674</v>
      </c>
      <c r="J742" t="s">
        <v>138</v>
      </c>
      <c r="K742" s="120" t="s">
        <v>2796</v>
      </c>
      <c r="N742" s="49"/>
    </row>
    <row r="743" spans="1:23">
      <c r="A743" t="s">
        <v>2307</v>
      </c>
      <c r="B743" t="s">
        <v>2797</v>
      </c>
      <c r="C743" t="s">
        <v>434</v>
      </c>
      <c r="D743" t="s">
        <v>28</v>
      </c>
      <c r="E743">
        <f>_xlfn.XLOOKUP(D743,'Resumen Estudiantes y Profesore'!B:B,'Resumen Estudiantes y Profesore'!A:A)</f>
        <v>32</v>
      </c>
      <c r="F743" t="s">
        <v>243</v>
      </c>
      <c r="G743" t="s">
        <v>246</v>
      </c>
      <c r="H743" t="s">
        <v>246</v>
      </c>
      <c r="I743" t="s">
        <v>682</v>
      </c>
      <c r="J743" t="s">
        <v>85</v>
      </c>
      <c r="K743" s="120" t="s">
        <v>2798</v>
      </c>
      <c r="N743" s="49"/>
    </row>
    <row r="744" spans="1:23">
      <c r="A744" t="s">
        <v>2799</v>
      </c>
      <c r="B744" t="s">
        <v>2800</v>
      </c>
      <c r="C744" t="s">
        <v>451</v>
      </c>
      <c r="D744" t="s">
        <v>38</v>
      </c>
      <c r="E744">
        <f>_xlfn.XLOOKUP(D744,'Resumen Estudiantes y Profesore'!B:B,'Resumen Estudiantes y Profesore'!A:A)</f>
        <v>42</v>
      </c>
      <c r="F744" t="s">
        <v>243</v>
      </c>
      <c r="G744" t="s">
        <v>246</v>
      </c>
      <c r="H744" t="s">
        <v>246</v>
      </c>
      <c r="I744" t="s">
        <v>682</v>
      </c>
      <c r="J744" t="s">
        <v>90</v>
      </c>
      <c r="K744" s="120" t="s">
        <v>2801</v>
      </c>
      <c r="N744" s="49"/>
    </row>
    <row r="745" spans="1:23">
      <c r="A745" t="s">
        <v>2802</v>
      </c>
      <c r="B745" t="s">
        <v>2803</v>
      </c>
      <c r="C745" t="s">
        <v>692</v>
      </c>
      <c r="D745" t="s">
        <v>133</v>
      </c>
      <c r="E745">
        <f>_xlfn.XLOOKUP(D745,'Resumen Estudiantes y Profesore'!B:B,'Resumen Estudiantes y Profesore'!A:A)</f>
        <v>101</v>
      </c>
      <c r="F745" t="s">
        <v>243</v>
      </c>
      <c r="G745" t="s">
        <v>246</v>
      </c>
      <c r="H745" t="s">
        <v>246</v>
      </c>
      <c r="I745" t="s">
        <v>674</v>
      </c>
      <c r="J745" t="s">
        <v>84</v>
      </c>
      <c r="K745" s="120" t="s">
        <v>2804</v>
      </c>
      <c r="N745" s="49"/>
    </row>
    <row r="746" spans="1:23">
      <c r="A746" t="s">
        <v>2805</v>
      </c>
      <c r="B746" t="s">
        <v>2806</v>
      </c>
      <c r="C746" t="s">
        <v>432</v>
      </c>
      <c r="D746" t="s">
        <v>41</v>
      </c>
      <c r="E746">
        <f>_xlfn.XLOOKUP(D746,'Resumen Estudiantes y Profesore'!B:B,'Resumen Estudiantes y Profesore'!A:A)</f>
        <v>31</v>
      </c>
      <c r="F746" t="s">
        <v>243</v>
      </c>
      <c r="G746" t="s">
        <v>246</v>
      </c>
      <c r="H746" t="s">
        <v>246</v>
      </c>
      <c r="I746" t="s">
        <v>682</v>
      </c>
      <c r="J746" t="s">
        <v>85</v>
      </c>
      <c r="K746" s="120" t="s">
        <v>2807</v>
      </c>
      <c r="N746" s="49"/>
    </row>
    <row r="747" spans="1:23">
      <c r="A747" t="s">
        <v>2805</v>
      </c>
      <c r="B747" t="s">
        <v>2808</v>
      </c>
      <c r="C747" t="s">
        <v>434</v>
      </c>
      <c r="D747" t="s">
        <v>28</v>
      </c>
      <c r="E747">
        <f>_xlfn.XLOOKUP(D747,'Resumen Estudiantes y Profesore'!B:B,'Resumen Estudiantes y Profesore'!A:A)</f>
        <v>32</v>
      </c>
      <c r="F747" t="s">
        <v>243</v>
      </c>
      <c r="G747" t="s">
        <v>246</v>
      </c>
      <c r="H747" t="s">
        <v>246</v>
      </c>
      <c r="I747" t="s">
        <v>682</v>
      </c>
      <c r="J747" t="s">
        <v>85</v>
      </c>
      <c r="K747" s="120" t="s">
        <v>2809</v>
      </c>
      <c r="N747" s="49"/>
    </row>
    <row r="748" spans="1:23">
      <c r="A748" t="s">
        <v>2810</v>
      </c>
      <c r="B748" t="s">
        <v>2811</v>
      </c>
      <c r="C748" t="s">
        <v>444</v>
      </c>
      <c r="D748" t="s">
        <v>33</v>
      </c>
      <c r="E748">
        <f>_xlfn.XLOOKUP(D748,'Resumen Estudiantes y Profesore'!B:B,'Resumen Estudiantes y Profesore'!A:A)</f>
        <v>38</v>
      </c>
      <c r="F748" t="s">
        <v>243</v>
      </c>
      <c r="G748" t="s">
        <v>246</v>
      </c>
      <c r="H748" t="s">
        <v>246</v>
      </c>
      <c r="I748" t="s">
        <v>682</v>
      </c>
      <c r="J748" t="s">
        <v>89</v>
      </c>
      <c r="K748" s="120" t="s">
        <v>2812</v>
      </c>
      <c r="N748" s="49"/>
    </row>
    <row r="749" spans="1:23">
      <c r="A749" t="s">
        <v>2813</v>
      </c>
      <c r="B749" t="s">
        <v>2814</v>
      </c>
      <c r="C749" t="s">
        <v>1716</v>
      </c>
      <c r="D749" t="s">
        <v>140</v>
      </c>
      <c r="E749">
        <f>_xlfn.XLOOKUP(D749,'Resumen Estudiantes y Profesore'!B:B,'Resumen Estudiantes y Profesore'!A:A)</f>
        <v>111</v>
      </c>
      <c r="F749" t="s">
        <v>243</v>
      </c>
      <c r="G749" t="s">
        <v>246</v>
      </c>
      <c r="H749" t="s">
        <v>246</v>
      </c>
      <c r="I749" t="s">
        <v>674</v>
      </c>
      <c r="J749" t="s">
        <v>138</v>
      </c>
      <c r="K749" s="120" t="s">
        <v>2815</v>
      </c>
      <c r="N749" s="49"/>
    </row>
    <row r="750" spans="1:23">
      <c r="A750" t="s">
        <v>2816</v>
      </c>
      <c r="B750" t="s">
        <v>2817</v>
      </c>
      <c r="C750" t="s">
        <v>540</v>
      </c>
      <c r="D750" t="s">
        <v>106</v>
      </c>
      <c r="E750">
        <f>_xlfn.XLOOKUP(D750,'Resumen Estudiantes y Profesore'!B:B,'Resumen Estudiantes y Profesore'!A:A)</f>
        <v>59</v>
      </c>
      <c r="F750" t="s">
        <v>243</v>
      </c>
      <c r="G750" t="s">
        <v>246</v>
      </c>
      <c r="H750" t="s">
        <v>246</v>
      </c>
      <c r="I750" t="s">
        <v>674</v>
      </c>
      <c r="J750" t="s">
        <v>85</v>
      </c>
      <c r="K750" s="120" t="s">
        <v>2818</v>
      </c>
      <c r="N750" s="49"/>
    </row>
    <row r="751" spans="1:23">
      <c r="A751" t="s">
        <v>2816</v>
      </c>
      <c r="B751" t="s">
        <v>2819</v>
      </c>
      <c r="C751" t="s">
        <v>460</v>
      </c>
      <c r="D751" t="s">
        <v>189</v>
      </c>
      <c r="E751">
        <f>_xlfn.XLOOKUP(D751,'Resumen Estudiantes y Profesore'!B:B,'Resumen Estudiantes y Profesore'!A:A)</f>
        <v>60</v>
      </c>
      <c r="F751" t="s">
        <v>243</v>
      </c>
      <c r="G751" t="s">
        <v>246</v>
      </c>
      <c r="H751" t="s">
        <v>246</v>
      </c>
      <c r="I751" t="s">
        <v>674</v>
      </c>
      <c r="J751" t="s">
        <v>85</v>
      </c>
      <c r="K751" s="120" t="s">
        <v>2820</v>
      </c>
      <c r="N751" s="49"/>
    </row>
    <row r="752" spans="1:23">
      <c r="A752" t="s">
        <v>2816</v>
      </c>
      <c r="B752" t="s">
        <v>2821</v>
      </c>
      <c r="C752" t="s">
        <v>2535</v>
      </c>
      <c r="D752" t="s">
        <v>215</v>
      </c>
      <c r="E752">
        <f>_xlfn.XLOOKUP(D752,'Resumen Estudiantes y Profesore'!B:B,'Resumen Estudiantes y Profesore'!A:A)</f>
        <v>85</v>
      </c>
      <c r="F752" t="s">
        <v>243</v>
      </c>
      <c r="G752" t="s">
        <v>246</v>
      </c>
      <c r="H752" t="s">
        <v>246</v>
      </c>
      <c r="I752" t="s">
        <v>674</v>
      </c>
      <c r="J752" t="s">
        <v>85</v>
      </c>
      <c r="K752" s="120" t="s">
        <v>2822</v>
      </c>
      <c r="N752" s="49"/>
    </row>
    <row r="753" spans="1:23">
      <c r="A753" t="s">
        <v>2816</v>
      </c>
      <c r="B753" t="s">
        <v>2823</v>
      </c>
      <c r="C753" t="s">
        <v>483</v>
      </c>
      <c r="D753" t="s">
        <v>215</v>
      </c>
      <c r="E753">
        <f>_xlfn.XLOOKUP(D753,'Resumen Estudiantes y Profesore'!B:B,'Resumen Estudiantes y Profesore'!A:A)</f>
        <v>85</v>
      </c>
      <c r="F753" t="s">
        <v>243</v>
      </c>
      <c r="G753" t="s">
        <v>246</v>
      </c>
      <c r="H753" t="s">
        <v>246</v>
      </c>
      <c r="I753" t="s">
        <v>674</v>
      </c>
      <c r="J753" t="s">
        <v>85</v>
      </c>
      <c r="K753" s="120" t="s">
        <v>2824</v>
      </c>
      <c r="N753" s="49"/>
    </row>
    <row r="754" spans="1:23">
      <c r="A754" t="s">
        <v>2825</v>
      </c>
      <c r="B754" t="s">
        <v>2826</v>
      </c>
      <c r="C754" t="s">
        <v>2827</v>
      </c>
      <c r="D754" t="s">
        <v>120</v>
      </c>
      <c r="E754">
        <f>_xlfn.XLOOKUP(D754,'Resumen Estudiantes y Profesore'!B:B,'Resumen Estudiantes y Profesore'!A:A)</f>
        <v>9</v>
      </c>
      <c r="F754" t="s">
        <v>243</v>
      </c>
      <c r="G754" t="s">
        <v>246</v>
      </c>
      <c r="H754" t="s">
        <v>246</v>
      </c>
      <c r="I754" t="s">
        <v>674</v>
      </c>
      <c r="J754" t="s">
        <v>90</v>
      </c>
      <c r="K754" s="120" t="s">
        <v>2828</v>
      </c>
      <c r="N754" s="49"/>
    </row>
    <row r="755" spans="1:23">
      <c r="A755" t="s">
        <v>2829</v>
      </c>
      <c r="B755" t="s">
        <v>2830</v>
      </c>
      <c r="C755" t="s">
        <v>441</v>
      </c>
      <c r="D755" t="s">
        <v>32</v>
      </c>
      <c r="E755">
        <f>_xlfn.XLOOKUP(D755,'Resumen Estudiantes y Profesore'!B:B,'Resumen Estudiantes y Profesore'!A:A)</f>
        <v>36</v>
      </c>
      <c r="F755" t="s">
        <v>243</v>
      </c>
      <c r="G755" t="s">
        <v>246</v>
      </c>
      <c r="H755" t="s">
        <v>246</v>
      </c>
      <c r="I755" t="s">
        <v>682</v>
      </c>
      <c r="J755" t="s">
        <v>89</v>
      </c>
      <c r="K755" s="120" t="s">
        <v>2831</v>
      </c>
      <c r="N755" s="49"/>
    </row>
    <row r="756" spans="1:23">
      <c r="A756" t="s">
        <v>2832</v>
      </c>
      <c r="B756" t="s">
        <v>2833</v>
      </c>
      <c r="C756" t="s">
        <v>1046</v>
      </c>
      <c r="D756" t="s">
        <v>213</v>
      </c>
      <c r="E756">
        <f>_xlfn.XLOOKUP(D756,'Resumen Estudiantes y Profesore'!B:B,'Resumen Estudiantes y Profesore'!A:A)</f>
        <v>68</v>
      </c>
      <c r="F756" t="s">
        <v>243</v>
      </c>
      <c r="G756" t="s">
        <v>246</v>
      </c>
      <c r="H756" t="s">
        <v>246</v>
      </c>
      <c r="I756" t="s">
        <v>674</v>
      </c>
      <c r="J756" t="s">
        <v>88</v>
      </c>
      <c r="K756" s="120" t="s">
        <v>2834</v>
      </c>
      <c r="N756" s="49"/>
    </row>
    <row r="757" spans="1:23">
      <c r="A757" t="s">
        <v>2835</v>
      </c>
      <c r="B757" t="s">
        <v>2836</v>
      </c>
      <c r="C757" t="s">
        <v>678</v>
      </c>
      <c r="D757" t="s">
        <v>180</v>
      </c>
      <c r="E757">
        <f>_xlfn.XLOOKUP(D757,'Resumen Estudiantes y Profesore'!B:B,'Resumen Estudiantes y Profesore'!A:A)</f>
        <v>74</v>
      </c>
      <c r="F757" t="s">
        <v>243</v>
      </c>
      <c r="G757" t="s">
        <v>246</v>
      </c>
      <c r="H757" t="s">
        <v>246</v>
      </c>
      <c r="I757" t="s">
        <v>674</v>
      </c>
      <c r="J757" t="s">
        <v>89</v>
      </c>
      <c r="K757" s="120" t="s">
        <v>2837</v>
      </c>
      <c r="N757" s="49"/>
    </row>
    <row r="758" spans="1:23">
      <c r="A758" t="s">
        <v>2838</v>
      </c>
      <c r="B758" t="s">
        <v>2839</v>
      </c>
      <c r="C758" t="s">
        <v>453</v>
      </c>
      <c r="D758" t="s">
        <v>39</v>
      </c>
      <c r="E758">
        <f>_xlfn.XLOOKUP(D758,'Resumen Estudiantes y Profesore'!B:B,'Resumen Estudiantes y Profesore'!A:A)</f>
        <v>43</v>
      </c>
      <c r="F758" t="s">
        <v>243</v>
      </c>
      <c r="G758" t="s">
        <v>246</v>
      </c>
      <c r="H758" t="s">
        <v>246</v>
      </c>
      <c r="I758" t="s">
        <v>682</v>
      </c>
      <c r="J758" t="s">
        <v>91</v>
      </c>
      <c r="K758" s="120" t="s">
        <v>2840</v>
      </c>
      <c r="N758" s="49"/>
    </row>
    <row r="759" spans="1:23">
      <c r="A759" t="s">
        <v>2841</v>
      </c>
      <c r="B759" t="s">
        <v>2842</v>
      </c>
      <c r="C759" t="s">
        <v>451</v>
      </c>
      <c r="D759" t="s">
        <v>38</v>
      </c>
      <c r="E759">
        <f>_xlfn.XLOOKUP(D759,'Resumen Estudiantes y Profesore'!B:B,'Resumen Estudiantes y Profesore'!A:A)</f>
        <v>42</v>
      </c>
      <c r="F759" t="s">
        <v>243</v>
      </c>
      <c r="G759" t="s">
        <v>246</v>
      </c>
      <c r="H759" t="s">
        <v>246</v>
      </c>
      <c r="I759" t="s">
        <v>682</v>
      </c>
      <c r="J759" t="s">
        <v>90</v>
      </c>
      <c r="K759" s="120" t="s">
        <v>2843</v>
      </c>
      <c r="N759" s="49"/>
    </row>
    <row r="760" spans="1:23">
      <c r="A760" t="s">
        <v>1857</v>
      </c>
      <c r="B760" t="s">
        <v>2844</v>
      </c>
      <c r="C760" t="s">
        <v>2046</v>
      </c>
      <c r="D760" t="s">
        <v>179</v>
      </c>
      <c r="E760">
        <f>_xlfn.XLOOKUP(D760,'Resumen Estudiantes y Profesore'!B:B,'Resumen Estudiantes y Profesore'!A:A)</f>
        <v>73</v>
      </c>
      <c r="F760" t="s">
        <v>243</v>
      </c>
      <c r="G760" t="s">
        <v>246</v>
      </c>
      <c r="H760" t="s">
        <v>246</v>
      </c>
      <c r="I760" t="s">
        <v>674</v>
      </c>
      <c r="J760" t="s">
        <v>89</v>
      </c>
      <c r="K760" s="120" t="s">
        <v>2845</v>
      </c>
      <c r="N760" s="49"/>
    </row>
    <row r="761" spans="1:23">
      <c r="A761" t="s">
        <v>2846</v>
      </c>
      <c r="B761" t="s">
        <v>2847</v>
      </c>
      <c r="C761" t="s">
        <v>444</v>
      </c>
      <c r="D761" t="s">
        <v>33</v>
      </c>
      <c r="E761">
        <f>_xlfn.XLOOKUP(D761,'Resumen Estudiantes y Profesore'!B:B,'Resumen Estudiantes y Profesore'!A:A)</f>
        <v>38</v>
      </c>
      <c r="F761" t="s">
        <v>243</v>
      </c>
      <c r="G761" t="s">
        <v>246</v>
      </c>
      <c r="H761" t="s">
        <v>246</v>
      </c>
      <c r="I761" t="s">
        <v>682</v>
      </c>
      <c r="J761" t="s">
        <v>89</v>
      </c>
      <c r="K761" s="120" t="s">
        <v>2848</v>
      </c>
      <c r="N761" s="49"/>
    </row>
    <row r="762" spans="1:23" s="81" customFormat="1">
      <c r="A762" t="s">
        <v>2849</v>
      </c>
      <c r="B762" t="s">
        <v>2850</v>
      </c>
      <c r="C762" t="s">
        <v>237</v>
      </c>
      <c r="D762" t="s">
        <v>237</v>
      </c>
      <c r="E762">
        <f>_xlfn.XLOOKUP(D762,'Resumen Estudiantes y Profesore'!B:B,'Resumen Estudiantes y Profesore'!A:A)</f>
        <v>156</v>
      </c>
      <c r="F762" t="s">
        <v>243</v>
      </c>
      <c r="G762" t="s">
        <v>246</v>
      </c>
      <c r="H762" t="s">
        <v>246</v>
      </c>
      <c r="I762" t="s">
        <v>682</v>
      </c>
      <c r="J762" t="s">
        <v>77</v>
      </c>
      <c r="K762" s="120" t="s">
        <v>2851</v>
      </c>
      <c r="L762"/>
      <c r="M762"/>
      <c r="N762" s="49"/>
      <c r="O762"/>
      <c r="P762"/>
      <c r="Q762"/>
      <c r="R762"/>
      <c r="S762"/>
      <c r="T762"/>
      <c r="U762"/>
      <c r="V762"/>
      <c r="W762"/>
    </row>
    <row r="763" spans="1:23">
      <c r="A763" t="s">
        <v>2852</v>
      </c>
      <c r="B763" t="s">
        <v>2853</v>
      </c>
      <c r="C763" t="s">
        <v>93</v>
      </c>
      <c r="D763" t="s">
        <v>93</v>
      </c>
      <c r="E763">
        <f>_xlfn.XLOOKUP(D763,'Resumen Estudiantes y Profesore'!B:B,'Resumen Estudiantes y Profesore'!A:A)</f>
        <v>210</v>
      </c>
      <c r="F763" t="s">
        <v>243</v>
      </c>
      <c r="G763" t="s">
        <v>246</v>
      </c>
      <c r="H763" t="s">
        <v>246</v>
      </c>
      <c r="I763" t="s">
        <v>682</v>
      </c>
      <c r="J763" t="s">
        <v>93</v>
      </c>
      <c r="K763" s="120" t="s">
        <v>2854</v>
      </c>
      <c r="N763" s="49"/>
    </row>
    <row r="764" spans="1:23">
      <c r="A764" t="s">
        <v>2855</v>
      </c>
      <c r="B764" t="s">
        <v>2856</v>
      </c>
      <c r="C764" t="s">
        <v>1094</v>
      </c>
      <c r="D764" t="s">
        <v>199</v>
      </c>
      <c r="E764">
        <f>_xlfn.XLOOKUP(D764,'Resumen Estudiantes y Profesore'!B:B,'Resumen Estudiantes y Profesore'!A:A)</f>
        <v>49</v>
      </c>
      <c r="F764" t="s">
        <v>243</v>
      </c>
      <c r="G764" t="s">
        <v>246</v>
      </c>
      <c r="H764" t="s">
        <v>246</v>
      </c>
      <c r="I764" t="s">
        <v>674</v>
      </c>
      <c r="J764" t="s">
        <v>77</v>
      </c>
      <c r="K764" s="120" t="s">
        <v>2857</v>
      </c>
      <c r="N764" s="49"/>
    </row>
    <row r="765" spans="1:23">
      <c r="A765" t="s">
        <v>2855</v>
      </c>
      <c r="B765" t="s">
        <v>2858</v>
      </c>
      <c r="C765" t="s">
        <v>1461</v>
      </c>
      <c r="D765" t="s">
        <v>200</v>
      </c>
      <c r="E765">
        <f>_xlfn.XLOOKUP(D765,'Resumen Estudiantes y Profesore'!B:B,'Resumen Estudiantes y Profesore'!A:A)</f>
        <v>46</v>
      </c>
      <c r="F765" t="s">
        <v>243</v>
      </c>
      <c r="G765" t="s">
        <v>246</v>
      </c>
      <c r="H765" t="s">
        <v>246</v>
      </c>
      <c r="I765" t="s">
        <v>674</v>
      </c>
      <c r="J765" t="s">
        <v>77</v>
      </c>
      <c r="K765" s="120" t="s">
        <v>2859</v>
      </c>
      <c r="N765" s="49"/>
    </row>
    <row r="766" spans="1:23">
      <c r="A766" t="s">
        <v>2855</v>
      </c>
      <c r="B766" t="s">
        <v>2860</v>
      </c>
      <c r="C766" t="s">
        <v>859</v>
      </c>
      <c r="D766" t="s">
        <v>201</v>
      </c>
      <c r="E766">
        <f>_xlfn.XLOOKUP(D766,'Resumen Estudiantes y Profesore'!B:B,'Resumen Estudiantes y Profesore'!A:A)</f>
        <v>47</v>
      </c>
      <c r="F766" t="s">
        <v>243</v>
      </c>
      <c r="G766" t="s">
        <v>246</v>
      </c>
      <c r="H766" t="s">
        <v>246</v>
      </c>
      <c r="I766" t="s">
        <v>674</v>
      </c>
      <c r="J766" t="s">
        <v>77</v>
      </c>
      <c r="K766" s="120" t="s">
        <v>2861</v>
      </c>
      <c r="N766" s="49"/>
    </row>
    <row r="767" spans="1:23">
      <c r="A767" t="s">
        <v>2855</v>
      </c>
      <c r="B767" t="s">
        <v>2862</v>
      </c>
      <c r="C767" t="s">
        <v>239</v>
      </c>
      <c r="D767" t="s">
        <v>239</v>
      </c>
      <c r="E767">
        <f>_xlfn.XLOOKUP(D767,'Resumen Estudiantes y Profesore'!B:B,'Resumen Estudiantes y Profesore'!A:A)</f>
        <v>158</v>
      </c>
      <c r="F767" t="s">
        <v>243</v>
      </c>
      <c r="G767" t="s">
        <v>246</v>
      </c>
      <c r="H767" t="s">
        <v>246</v>
      </c>
      <c r="I767" t="s">
        <v>682</v>
      </c>
      <c r="J767" t="s">
        <v>77</v>
      </c>
      <c r="K767" s="120" t="s">
        <v>2863</v>
      </c>
      <c r="N767" s="49"/>
    </row>
    <row r="768" spans="1:23" s="81" customFormat="1">
      <c r="A768" t="s">
        <v>2864</v>
      </c>
      <c r="B768" t="s">
        <v>2865</v>
      </c>
      <c r="C768" t="s">
        <v>434</v>
      </c>
      <c r="D768" t="s">
        <v>28</v>
      </c>
      <c r="E768">
        <f>_xlfn.XLOOKUP(D768,'Resumen Estudiantes y Profesore'!B:B,'Resumen Estudiantes y Profesore'!A:A)</f>
        <v>32</v>
      </c>
      <c r="F768" t="s">
        <v>243</v>
      </c>
      <c r="G768" t="s">
        <v>246</v>
      </c>
      <c r="H768" t="s">
        <v>246</v>
      </c>
      <c r="I768" t="s">
        <v>682</v>
      </c>
      <c r="J768" t="s">
        <v>85</v>
      </c>
      <c r="K768" s="120" t="s">
        <v>2866</v>
      </c>
      <c r="L768"/>
      <c r="M768"/>
      <c r="N768" s="49"/>
      <c r="O768"/>
      <c r="P768"/>
      <c r="Q768"/>
      <c r="R768"/>
      <c r="S768"/>
      <c r="T768"/>
      <c r="U768"/>
      <c r="V768"/>
      <c r="W768"/>
    </row>
    <row r="769" spans="1:23" s="81" customFormat="1">
      <c r="A769" t="s">
        <v>2867</v>
      </c>
      <c r="B769" t="s">
        <v>2868</v>
      </c>
      <c r="C769" t="s">
        <v>721</v>
      </c>
      <c r="D769" t="s">
        <v>181</v>
      </c>
      <c r="E769">
        <f>_xlfn.XLOOKUP(D769,'Resumen Estudiantes y Profesore'!B:B,'Resumen Estudiantes y Profesore'!A:A)</f>
        <v>95</v>
      </c>
      <c r="F769" t="s">
        <v>243</v>
      </c>
      <c r="G769" t="s">
        <v>246</v>
      </c>
      <c r="H769" t="s">
        <v>246</v>
      </c>
      <c r="I769" t="s">
        <v>674</v>
      </c>
      <c r="J769" t="s">
        <v>182</v>
      </c>
      <c r="K769" s="120" t="s">
        <v>2869</v>
      </c>
      <c r="L769"/>
      <c r="M769"/>
      <c r="N769" s="49"/>
      <c r="O769"/>
      <c r="P769"/>
      <c r="Q769"/>
      <c r="R769"/>
      <c r="S769"/>
      <c r="T769"/>
      <c r="U769"/>
      <c r="V769"/>
      <c r="W769"/>
    </row>
    <row r="770" spans="1:23">
      <c r="A770" t="s">
        <v>2870</v>
      </c>
      <c r="B770" t="s">
        <v>2871</v>
      </c>
      <c r="C770" t="s">
        <v>424</v>
      </c>
      <c r="D770" t="s">
        <v>24</v>
      </c>
      <c r="E770">
        <f>_xlfn.XLOOKUP(D770,'Resumen Estudiantes y Profesore'!B:B,'Resumen Estudiantes y Profesore'!A:A)</f>
        <v>27</v>
      </c>
      <c r="F770" t="s">
        <v>243</v>
      </c>
      <c r="G770" t="s">
        <v>246</v>
      </c>
      <c r="H770" t="s">
        <v>246</v>
      </c>
      <c r="I770" t="s">
        <v>682</v>
      </c>
      <c r="J770" t="s">
        <v>83</v>
      </c>
      <c r="K770" s="120" t="s">
        <v>2872</v>
      </c>
      <c r="N770" s="49"/>
    </row>
    <row r="771" spans="1:23">
      <c r="A771" t="s">
        <v>2873</v>
      </c>
      <c r="B771" t="s">
        <v>2874</v>
      </c>
      <c r="C771" t="s">
        <v>234</v>
      </c>
      <c r="D771" t="s">
        <v>234</v>
      </c>
      <c r="E771">
        <f>_xlfn.XLOOKUP(D771,'Resumen Estudiantes y Profesore'!B:B,'Resumen Estudiantes y Profesore'!A:A)</f>
        <v>153</v>
      </c>
      <c r="F771" t="s">
        <v>243</v>
      </c>
      <c r="G771" t="s">
        <v>246</v>
      </c>
      <c r="H771" t="s">
        <v>246</v>
      </c>
      <c r="I771" t="s">
        <v>682</v>
      </c>
      <c r="J771" t="s">
        <v>77</v>
      </c>
      <c r="K771" s="120" t="s">
        <v>2875</v>
      </c>
      <c r="N771" s="49"/>
    </row>
    <row r="772" spans="1:23">
      <c r="A772" t="s">
        <v>2876</v>
      </c>
      <c r="B772" t="s">
        <v>2877</v>
      </c>
      <c r="C772" t="s">
        <v>474</v>
      </c>
      <c r="D772" t="s">
        <v>204</v>
      </c>
      <c r="E772">
        <f>_xlfn.XLOOKUP(D772,'Resumen Estudiantes y Profesore'!B:B,'Resumen Estudiantes y Profesore'!A:A)</f>
        <v>81</v>
      </c>
      <c r="F772" t="s">
        <v>243</v>
      </c>
      <c r="G772" t="s">
        <v>246</v>
      </c>
      <c r="H772" t="s">
        <v>246</v>
      </c>
      <c r="I772" t="s">
        <v>674</v>
      </c>
      <c r="J772" t="s">
        <v>91</v>
      </c>
      <c r="K772" s="120" t="s">
        <v>2878</v>
      </c>
      <c r="N772" s="49"/>
    </row>
    <row r="773" spans="1:23" s="81" customFormat="1">
      <c r="A773" t="s">
        <v>2879</v>
      </c>
      <c r="B773" t="s">
        <v>2880</v>
      </c>
      <c r="C773" t="s">
        <v>463</v>
      </c>
      <c r="D773" t="s">
        <v>191</v>
      </c>
      <c r="E773">
        <f>_xlfn.XLOOKUP(D773,'Resumen Estudiantes y Profesore'!B:B,'Resumen Estudiantes y Profesore'!A:A)</f>
        <v>61</v>
      </c>
      <c r="F773" t="s">
        <v>243</v>
      </c>
      <c r="G773" t="s">
        <v>246</v>
      </c>
      <c r="H773" t="s">
        <v>246</v>
      </c>
      <c r="I773" t="s">
        <v>674</v>
      </c>
      <c r="J773" t="s">
        <v>85</v>
      </c>
      <c r="K773" s="120" t="s">
        <v>2881</v>
      </c>
      <c r="L773"/>
      <c r="M773"/>
      <c r="N773" s="49"/>
      <c r="O773"/>
      <c r="P773"/>
      <c r="Q773"/>
      <c r="R773"/>
      <c r="S773"/>
      <c r="T773"/>
      <c r="U773"/>
      <c r="V773"/>
      <c r="W773"/>
    </row>
    <row r="774" spans="1:23">
      <c r="A774" t="s">
        <v>1860</v>
      </c>
      <c r="B774" t="s">
        <v>2882</v>
      </c>
      <c r="C774" t="s">
        <v>1094</v>
      </c>
      <c r="D774" t="s">
        <v>199</v>
      </c>
      <c r="E774">
        <f>_xlfn.XLOOKUP(D774,'Resumen Estudiantes y Profesore'!B:B,'Resumen Estudiantes y Profesore'!A:A)</f>
        <v>49</v>
      </c>
      <c r="F774" t="s">
        <v>243</v>
      </c>
      <c r="G774" t="s">
        <v>246</v>
      </c>
      <c r="H774" t="s">
        <v>246</v>
      </c>
      <c r="I774" t="s">
        <v>674</v>
      </c>
      <c r="J774" t="s">
        <v>77</v>
      </c>
      <c r="K774" s="120" t="s">
        <v>2883</v>
      </c>
      <c r="N774" s="49"/>
    </row>
    <row r="775" spans="1:23">
      <c r="A775" t="s">
        <v>2884</v>
      </c>
      <c r="B775" t="s">
        <v>2885</v>
      </c>
      <c r="C775" t="s">
        <v>441</v>
      </c>
      <c r="D775" t="s">
        <v>32</v>
      </c>
      <c r="E775">
        <f>_xlfn.XLOOKUP(D775,'Resumen Estudiantes y Profesore'!B:B,'Resumen Estudiantes y Profesore'!A:A)</f>
        <v>36</v>
      </c>
      <c r="F775" t="s">
        <v>243</v>
      </c>
      <c r="G775" t="s">
        <v>246</v>
      </c>
      <c r="H775" t="s">
        <v>246</v>
      </c>
      <c r="I775" t="s">
        <v>682</v>
      </c>
      <c r="J775" t="s">
        <v>89</v>
      </c>
      <c r="K775" s="120" t="s">
        <v>2886</v>
      </c>
      <c r="N775" s="49"/>
    </row>
    <row r="776" spans="1:23">
      <c r="A776" t="s">
        <v>2887</v>
      </c>
      <c r="B776" t="s">
        <v>2888</v>
      </c>
      <c r="C776" t="s">
        <v>419</v>
      </c>
      <c r="D776" t="s">
        <v>233</v>
      </c>
      <c r="E776">
        <f>_xlfn.XLOOKUP(D776,'Resumen Estudiantes y Profesore'!B:B,'Resumen Estudiantes y Profesore'!A:A)</f>
        <v>152</v>
      </c>
      <c r="F776" t="s">
        <v>243</v>
      </c>
      <c r="G776" t="s">
        <v>246</v>
      </c>
      <c r="H776" t="s">
        <v>246</v>
      </c>
      <c r="I776" t="s">
        <v>682</v>
      </c>
      <c r="J776" t="s">
        <v>77</v>
      </c>
      <c r="K776" s="120" t="s">
        <v>2889</v>
      </c>
      <c r="N776" s="49"/>
    </row>
    <row r="777" spans="1:23">
      <c r="A777" t="s">
        <v>2890</v>
      </c>
      <c r="B777" t="s">
        <v>2891</v>
      </c>
      <c r="C777" t="s">
        <v>535</v>
      </c>
      <c r="D777" t="s">
        <v>40</v>
      </c>
      <c r="E777">
        <f>_xlfn.XLOOKUP(D777,'Resumen Estudiantes y Profesore'!B:B,'Resumen Estudiantes y Profesore'!A:A)</f>
        <v>200</v>
      </c>
      <c r="F777" t="s">
        <v>243</v>
      </c>
      <c r="G777" t="s">
        <v>246</v>
      </c>
      <c r="H777" t="s">
        <v>246</v>
      </c>
      <c r="I777" t="s">
        <v>682</v>
      </c>
      <c r="J777" t="s">
        <v>89</v>
      </c>
      <c r="K777" s="120" t="s">
        <v>2892</v>
      </c>
      <c r="N777" s="49"/>
    </row>
    <row r="778" spans="1:23">
      <c r="A778" t="s">
        <v>2893</v>
      </c>
      <c r="B778" t="s">
        <v>2894</v>
      </c>
      <c r="C778" t="s">
        <v>431</v>
      </c>
      <c r="D778" t="s">
        <v>27</v>
      </c>
      <c r="E778">
        <f>_xlfn.XLOOKUP(D778,'Resumen Estudiantes y Profesore'!B:B,'Resumen Estudiantes y Profesore'!A:A)</f>
        <v>30</v>
      </c>
      <c r="F778" t="s">
        <v>243</v>
      </c>
      <c r="G778" t="s">
        <v>246</v>
      </c>
      <c r="H778" t="s">
        <v>246</v>
      </c>
      <c r="I778" t="s">
        <v>682</v>
      </c>
      <c r="J778" t="s">
        <v>84</v>
      </c>
      <c r="K778" s="120" t="s">
        <v>2895</v>
      </c>
      <c r="N778" s="49"/>
    </row>
    <row r="779" spans="1:23">
      <c r="A779" t="s">
        <v>2896</v>
      </c>
      <c r="B779" t="s">
        <v>2897</v>
      </c>
      <c r="C779" t="s">
        <v>1094</v>
      </c>
      <c r="D779" t="s">
        <v>199</v>
      </c>
      <c r="E779">
        <f>_xlfn.XLOOKUP(D779,'Resumen Estudiantes y Profesore'!B:B,'Resumen Estudiantes y Profesore'!A:A)</f>
        <v>49</v>
      </c>
      <c r="F779" t="s">
        <v>243</v>
      </c>
      <c r="G779" t="s">
        <v>246</v>
      </c>
      <c r="H779" t="s">
        <v>246</v>
      </c>
      <c r="I779" t="s">
        <v>674</v>
      </c>
      <c r="J779" t="s">
        <v>77</v>
      </c>
      <c r="K779" s="120" t="s">
        <v>2898</v>
      </c>
      <c r="N779" s="49"/>
    </row>
    <row r="780" spans="1:23">
      <c r="A780" t="s">
        <v>2896</v>
      </c>
      <c r="B780" t="s">
        <v>2899</v>
      </c>
      <c r="C780" t="s">
        <v>422</v>
      </c>
      <c r="D780" t="s">
        <v>238</v>
      </c>
      <c r="E780">
        <f>_xlfn.XLOOKUP(D780,'Resumen Estudiantes y Profesore'!B:B,'Resumen Estudiantes y Profesore'!A:A)</f>
        <v>157</v>
      </c>
      <c r="F780" t="s">
        <v>243</v>
      </c>
      <c r="G780" t="s">
        <v>246</v>
      </c>
      <c r="H780" t="s">
        <v>246</v>
      </c>
      <c r="I780" t="s">
        <v>682</v>
      </c>
      <c r="J780" t="s">
        <v>77</v>
      </c>
      <c r="K780" s="120" t="s">
        <v>2900</v>
      </c>
      <c r="N780" s="49"/>
    </row>
    <row r="781" spans="1:23">
      <c r="A781" t="s">
        <v>2901</v>
      </c>
      <c r="B781" t="s">
        <v>2902</v>
      </c>
      <c r="C781" t="s">
        <v>448</v>
      </c>
      <c r="D781" t="s">
        <v>35</v>
      </c>
      <c r="E781">
        <f>_xlfn.XLOOKUP(D781,'Resumen Estudiantes y Profesore'!B:B,'Resumen Estudiantes y Profesore'!A:A)</f>
        <v>40</v>
      </c>
      <c r="F781" t="s">
        <v>243</v>
      </c>
      <c r="G781" t="s">
        <v>246</v>
      </c>
      <c r="H781" t="s">
        <v>246</v>
      </c>
      <c r="I781" t="s">
        <v>682</v>
      </c>
      <c r="J781" t="s">
        <v>89</v>
      </c>
      <c r="K781" s="120" t="s">
        <v>2903</v>
      </c>
      <c r="N781" s="49"/>
    </row>
    <row r="782" spans="1:23">
      <c r="A782" t="s">
        <v>2671</v>
      </c>
      <c r="B782" t="s">
        <v>2904</v>
      </c>
      <c r="C782" t="s">
        <v>2905</v>
      </c>
      <c r="D782" t="s">
        <v>169</v>
      </c>
      <c r="E782">
        <f>_xlfn.XLOOKUP(D782,'Resumen Estudiantes y Profesore'!B:B,'Resumen Estudiantes y Profesore'!A:A)</f>
        <v>139</v>
      </c>
      <c r="F782" t="s">
        <v>243</v>
      </c>
      <c r="G782" t="s">
        <v>246</v>
      </c>
      <c r="H782" t="s">
        <v>246</v>
      </c>
      <c r="I782" t="s">
        <v>674</v>
      </c>
      <c r="J782" t="s">
        <v>138</v>
      </c>
      <c r="K782" s="120" t="s">
        <v>2906</v>
      </c>
      <c r="N782" s="49"/>
    </row>
    <row r="783" spans="1:23">
      <c r="A783" t="s">
        <v>2634</v>
      </c>
      <c r="B783" t="s">
        <v>2907</v>
      </c>
      <c r="C783" t="s">
        <v>1215</v>
      </c>
      <c r="D783" t="s">
        <v>139</v>
      </c>
      <c r="E783">
        <f>_xlfn.XLOOKUP(D783,'Resumen Estudiantes y Profesore'!B:B,'Resumen Estudiantes y Profesore'!A:A)</f>
        <v>117</v>
      </c>
      <c r="F783" t="s">
        <v>243</v>
      </c>
      <c r="G783" t="s">
        <v>246</v>
      </c>
      <c r="H783" t="s">
        <v>246</v>
      </c>
      <c r="I783" t="s">
        <v>674</v>
      </c>
      <c r="J783" t="s">
        <v>138</v>
      </c>
      <c r="K783" s="120" t="s">
        <v>2908</v>
      </c>
      <c r="N783" s="49"/>
    </row>
    <row r="784" spans="1:23">
      <c r="A784" t="s">
        <v>2674</v>
      </c>
      <c r="B784" t="s">
        <v>2909</v>
      </c>
      <c r="C784" t="s">
        <v>431</v>
      </c>
      <c r="D784" t="s">
        <v>27</v>
      </c>
      <c r="E784">
        <f>_xlfn.XLOOKUP(D784,'Resumen Estudiantes y Profesore'!B:B,'Resumen Estudiantes y Profesore'!A:A)</f>
        <v>30</v>
      </c>
      <c r="F784" t="s">
        <v>243</v>
      </c>
      <c r="G784" t="s">
        <v>246</v>
      </c>
      <c r="H784" t="s">
        <v>246</v>
      </c>
      <c r="I784" t="s">
        <v>682</v>
      </c>
      <c r="J784" t="s">
        <v>84</v>
      </c>
      <c r="K784" s="120" t="s">
        <v>2910</v>
      </c>
      <c r="N784" s="49"/>
    </row>
    <row r="785" spans="1:23">
      <c r="A785" t="s">
        <v>2325</v>
      </c>
      <c r="B785" t="s">
        <v>2911</v>
      </c>
      <c r="C785" t="s">
        <v>420</v>
      </c>
      <c r="D785" t="s">
        <v>235</v>
      </c>
      <c r="E785">
        <f>_xlfn.XLOOKUP(D785,'Resumen Estudiantes y Profesore'!B:B,'Resumen Estudiantes y Profesore'!A:A)</f>
        <v>154</v>
      </c>
      <c r="F785" t="s">
        <v>243</v>
      </c>
      <c r="G785" t="s">
        <v>246</v>
      </c>
      <c r="H785" t="s">
        <v>246</v>
      </c>
      <c r="I785" t="s">
        <v>682</v>
      </c>
      <c r="J785" t="s">
        <v>77</v>
      </c>
      <c r="K785" s="120" t="s">
        <v>2912</v>
      </c>
      <c r="N785" s="49"/>
    </row>
    <row r="786" spans="1:23">
      <c r="A786" t="s">
        <v>2328</v>
      </c>
      <c r="B786" t="s">
        <v>2913</v>
      </c>
      <c r="C786" t="s">
        <v>1652</v>
      </c>
      <c r="D786" t="s">
        <v>155</v>
      </c>
      <c r="E786">
        <f>_xlfn.XLOOKUP(D786,'Resumen Estudiantes y Profesore'!B:B,'Resumen Estudiantes y Profesore'!A:A)</f>
        <v>208</v>
      </c>
      <c r="F786" t="s">
        <v>243</v>
      </c>
      <c r="G786" t="s">
        <v>246</v>
      </c>
      <c r="H786" t="s">
        <v>247</v>
      </c>
      <c r="I786" t="s">
        <v>674</v>
      </c>
      <c r="J786" t="s">
        <v>138</v>
      </c>
      <c r="K786" s="120" t="s">
        <v>2914</v>
      </c>
      <c r="N786" s="49"/>
    </row>
    <row r="787" spans="1:23">
      <c r="A787" t="s">
        <v>2915</v>
      </c>
      <c r="B787" t="s">
        <v>2916</v>
      </c>
      <c r="C787" t="s">
        <v>446</v>
      </c>
      <c r="D787" t="s">
        <v>34</v>
      </c>
      <c r="E787">
        <f>_xlfn.XLOOKUP(D787,'Resumen Estudiantes y Profesore'!B:B,'Resumen Estudiantes y Profesore'!A:A)</f>
        <v>39</v>
      </c>
      <c r="F787" t="s">
        <v>243</v>
      </c>
      <c r="G787" t="s">
        <v>246</v>
      </c>
      <c r="H787" t="s">
        <v>246</v>
      </c>
      <c r="I787" t="s">
        <v>682</v>
      </c>
      <c r="J787" t="s">
        <v>89</v>
      </c>
      <c r="K787" s="120" t="s">
        <v>2917</v>
      </c>
      <c r="N787" s="49"/>
    </row>
    <row r="788" spans="1:23">
      <c r="A788" t="s">
        <v>2918</v>
      </c>
      <c r="B788" t="s">
        <v>2919</v>
      </c>
      <c r="C788" t="s">
        <v>239</v>
      </c>
      <c r="D788" t="s">
        <v>239</v>
      </c>
      <c r="E788">
        <f>_xlfn.XLOOKUP(D788,'Resumen Estudiantes y Profesore'!B:B,'Resumen Estudiantes y Profesore'!A:A)</f>
        <v>158</v>
      </c>
      <c r="F788" t="s">
        <v>243</v>
      </c>
      <c r="G788" t="s">
        <v>246</v>
      </c>
      <c r="H788" t="s">
        <v>246</v>
      </c>
      <c r="I788" t="s">
        <v>682</v>
      </c>
      <c r="J788" t="s">
        <v>77</v>
      </c>
      <c r="K788" s="120" t="s">
        <v>2920</v>
      </c>
      <c r="N788" s="49"/>
    </row>
    <row r="789" spans="1:23">
      <c r="A789" t="s">
        <v>2921</v>
      </c>
      <c r="B789" t="s">
        <v>2922</v>
      </c>
      <c r="C789" t="s">
        <v>234</v>
      </c>
      <c r="D789" t="s">
        <v>234</v>
      </c>
      <c r="E789">
        <f>_xlfn.XLOOKUP(D789,'Resumen Estudiantes y Profesore'!B:B,'Resumen Estudiantes y Profesore'!A:A)</f>
        <v>153</v>
      </c>
      <c r="F789" t="s">
        <v>243</v>
      </c>
      <c r="G789" t="s">
        <v>246</v>
      </c>
      <c r="H789" t="s">
        <v>246</v>
      </c>
      <c r="I789" t="s">
        <v>682</v>
      </c>
      <c r="J789" t="s">
        <v>77</v>
      </c>
      <c r="K789" s="120" t="s">
        <v>2923</v>
      </c>
      <c r="N789" s="49"/>
    </row>
    <row r="790" spans="1:23">
      <c r="A790" t="s">
        <v>2924</v>
      </c>
      <c r="B790" t="s">
        <v>2925</v>
      </c>
      <c r="C790" t="s">
        <v>2926</v>
      </c>
      <c r="D790" t="s">
        <v>99</v>
      </c>
      <c r="E790">
        <f>_xlfn.XLOOKUP(D790,'Resumen Estudiantes y Profesore'!B:B,'Resumen Estudiantes y Profesore'!A:A)</f>
        <v>70</v>
      </c>
      <c r="F790" t="s">
        <v>243</v>
      </c>
      <c r="G790" t="s">
        <v>246</v>
      </c>
      <c r="H790" t="s">
        <v>246</v>
      </c>
      <c r="I790" t="s">
        <v>674</v>
      </c>
      <c r="J790" t="s">
        <v>89</v>
      </c>
      <c r="K790" s="120" t="s">
        <v>2927</v>
      </c>
      <c r="N790" s="49"/>
    </row>
    <row r="791" spans="1:23">
      <c r="A791" t="s">
        <v>2928</v>
      </c>
      <c r="B791" t="s">
        <v>2929</v>
      </c>
      <c r="C791" t="s">
        <v>474</v>
      </c>
      <c r="D791" t="s">
        <v>204</v>
      </c>
      <c r="E791">
        <f>_xlfn.XLOOKUP(D791,'Resumen Estudiantes y Profesore'!B:B,'Resumen Estudiantes y Profesore'!A:A)</f>
        <v>81</v>
      </c>
      <c r="F791" t="s">
        <v>243</v>
      </c>
      <c r="G791" t="s">
        <v>246</v>
      </c>
      <c r="H791" t="s">
        <v>246</v>
      </c>
      <c r="I791" t="s">
        <v>674</v>
      </c>
      <c r="J791" t="s">
        <v>91</v>
      </c>
      <c r="K791" s="120" t="s">
        <v>2930</v>
      </c>
      <c r="N791" s="49"/>
    </row>
    <row r="792" spans="1:23" s="81" customFormat="1">
      <c r="A792" t="s">
        <v>2677</v>
      </c>
      <c r="B792" t="s">
        <v>2931</v>
      </c>
      <c r="C792" t="s">
        <v>543</v>
      </c>
      <c r="D792" t="s">
        <v>209</v>
      </c>
      <c r="E792">
        <f>_xlfn.XLOOKUP(D792,'Resumen Estudiantes y Profesore'!B:B,'Resumen Estudiantes y Profesore'!A:A)</f>
        <v>88</v>
      </c>
      <c r="F792" t="s">
        <v>243</v>
      </c>
      <c r="G792" t="s">
        <v>246</v>
      </c>
      <c r="H792" t="s">
        <v>246</v>
      </c>
      <c r="I792" t="s">
        <v>674</v>
      </c>
      <c r="J792" t="s">
        <v>85</v>
      </c>
      <c r="K792" s="120" t="s">
        <v>2932</v>
      </c>
      <c r="L792"/>
      <c r="M792"/>
      <c r="N792" s="49"/>
      <c r="O792"/>
      <c r="P792"/>
      <c r="Q792"/>
      <c r="R792"/>
      <c r="S792"/>
      <c r="T792"/>
      <c r="U792"/>
      <c r="V792"/>
      <c r="W792"/>
    </row>
    <row r="793" spans="1:23">
      <c r="A793" t="s">
        <v>2677</v>
      </c>
      <c r="B793" t="s">
        <v>2933</v>
      </c>
      <c r="C793" t="s">
        <v>484</v>
      </c>
      <c r="D793" t="s">
        <v>217</v>
      </c>
      <c r="E793">
        <f>_xlfn.XLOOKUP(D793,'Resumen Estudiantes y Profesore'!B:B,'Resumen Estudiantes y Profesore'!A:A)</f>
        <v>84</v>
      </c>
      <c r="F793" t="s">
        <v>243</v>
      </c>
      <c r="G793" t="s">
        <v>246</v>
      </c>
      <c r="H793" t="s">
        <v>246</v>
      </c>
      <c r="I793" t="s">
        <v>674</v>
      </c>
      <c r="J793" t="s">
        <v>85</v>
      </c>
      <c r="K793" s="120" t="s">
        <v>2934</v>
      </c>
      <c r="L793" s="100" t="s">
        <v>317</v>
      </c>
      <c r="M793" s="81" t="s">
        <v>2633</v>
      </c>
      <c r="N793" s="49"/>
    </row>
    <row r="794" spans="1:23">
      <c r="A794" t="s">
        <v>2935</v>
      </c>
      <c r="B794" t="s">
        <v>2936</v>
      </c>
      <c r="C794" t="s">
        <v>451</v>
      </c>
      <c r="D794" t="s">
        <v>38</v>
      </c>
      <c r="E794">
        <f>_xlfn.XLOOKUP(D794,'Resumen Estudiantes y Profesore'!B:B,'Resumen Estudiantes y Profesore'!A:A)</f>
        <v>42</v>
      </c>
      <c r="F794" t="s">
        <v>243</v>
      </c>
      <c r="G794" t="s">
        <v>246</v>
      </c>
      <c r="H794" t="s">
        <v>246</v>
      </c>
      <c r="I794" t="s">
        <v>682</v>
      </c>
      <c r="J794" t="s">
        <v>90</v>
      </c>
      <c r="K794" s="120" t="s">
        <v>2937</v>
      </c>
      <c r="N794" s="49"/>
    </row>
    <row r="795" spans="1:23">
      <c r="A795" t="s">
        <v>2938</v>
      </c>
      <c r="B795" t="s">
        <v>2939</v>
      </c>
      <c r="C795" t="s">
        <v>444</v>
      </c>
      <c r="D795" t="s">
        <v>33</v>
      </c>
      <c r="E795">
        <f>_xlfn.XLOOKUP(D795,'Resumen Estudiantes y Profesore'!B:B,'Resumen Estudiantes y Profesore'!A:A)</f>
        <v>38</v>
      </c>
      <c r="F795" t="s">
        <v>243</v>
      </c>
      <c r="G795" t="s">
        <v>246</v>
      </c>
      <c r="H795" t="s">
        <v>246</v>
      </c>
      <c r="I795" t="s">
        <v>682</v>
      </c>
      <c r="J795" t="s">
        <v>89</v>
      </c>
      <c r="K795" s="120" t="s">
        <v>2940</v>
      </c>
      <c r="N795" s="49"/>
    </row>
    <row r="796" spans="1:23">
      <c r="A796" t="s">
        <v>2941</v>
      </c>
      <c r="B796" t="s">
        <v>2942</v>
      </c>
      <c r="C796" t="s">
        <v>462</v>
      </c>
      <c r="D796" t="s">
        <v>190</v>
      </c>
      <c r="E796">
        <f>_xlfn.XLOOKUP(D796,'Resumen Estudiantes y Profesore'!B:B,'Resumen Estudiantes y Profesore'!A:A)</f>
        <v>64</v>
      </c>
      <c r="F796" t="s">
        <v>243</v>
      </c>
      <c r="G796" t="s">
        <v>246</v>
      </c>
      <c r="H796" t="s">
        <v>246</v>
      </c>
      <c r="I796" t="s">
        <v>674</v>
      </c>
      <c r="J796" t="s">
        <v>85</v>
      </c>
      <c r="K796" s="120" t="s">
        <v>2943</v>
      </c>
      <c r="N796" s="49"/>
    </row>
    <row r="797" spans="1:23">
      <c r="A797" t="s">
        <v>2944</v>
      </c>
      <c r="B797" t="s">
        <v>2945</v>
      </c>
      <c r="C797" t="s">
        <v>2946</v>
      </c>
      <c r="D797" t="s">
        <v>163</v>
      </c>
      <c r="E797">
        <f>_xlfn.XLOOKUP(D797,'Resumen Estudiantes y Profesore'!B:B,'Resumen Estudiantes y Profesore'!A:A)</f>
        <v>124</v>
      </c>
      <c r="F797" t="s">
        <v>243</v>
      </c>
      <c r="G797" t="s">
        <v>246</v>
      </c>
      <c r="H797" t="s">
        <v>246</v>
      </c>
      <c r="I797" t="s">
        <v>674</v>
      </c>
      <c r="J797" t="s">
        <v>138</v>
      </c>
      <c r="K797" s="120" t="s">
        <v>2947</v>
      </c>
      <c r="N797" s="49"/>
    </row>
    <row r="798" spans="1:23">
      <c r="A798" t="s">
        <v>2948</v>
      </c>
      <c r="B798" t="s">
        <v>2949</v>
      </c>
      <c r="C798" t="s">
        <v>2950</v>
      </c>
      <c r="D798" t="s">
        <v>166</v>
      </c>
      <c r="E798">
        <f>_xlfn.XLOOKUP(D798,'Resumen Estudiantes y Profesore'!B:B,'Resumen Estudiantes y Profesore'!A:A)</f>
        <v>129</v>
      </c>
      <c r="F798" t="s">
        <v>243</v>
      </c>
      <c r="G798" t="s">
        <v>246</v>
      </c>
      <c r="H798" t="s">
        <v>246</v>
      </c>
      <c r="I798" t="s">
        <v>674</v>
      </c>
      <c r="J798" t="s">
        <v>138</v>
      </c>
      <c r="K798" s="120" t="s">
        <v>2951</v>
      </c>
      <c r="N798" s="49"/>
    </row>
    <row r="799" spans="1:23">
      <c r="A799" t="s">
        <v>2952</v>
      </c>
      <c r="B799" t="s">
        <v>2953</v>
      </c>
      <c r="C799" t="s">
        <v>431</v>
      </c>
      <c r="D799" t="s">
        <v>27</v>
      </c>
      <c r="E799">
        <f>_xlfn.XLOOKUP(D799,'Resumen Estudiantes y Profesore'!B:B,'Resumen Estudiantes y Profesore'!A:A)</f>
        <v>30</v>
      </c>
      <c r="F799" t="s">
        <v>243</v>
      </c>
      <c r="G799" t="s">
        <v>246</v>
      </c>
      <c r="H799" t="s">
        <v>246</v>
      </c>
      <c r="I799" t="s">
        <v>682</v>
      </c>
      <c r="J799" t="s">
        <v>84</v>
      </c>
      <c r="K799" s="120" t="s">
        <v>2954</v>
      </c>
      <c r="N799" s="49"/>
    </row>
    <row r="800" spans="1:23">
      <c r="A800" t="s">
        <v>2955</v>
      </c>
      <c r="B800" t="s">
        <v>2956</v>
      </c>
      <c r="C800" t="s">
        <v>507</v>
      </c>
      <c r="D800" t="s">
        <v>151</v>
      </c>
      <c r="E800">
        <f>_xlfn.XLOOKUP(D800,'Resumen Estudiantes y Profesore'!B:B,'Resumen Estudiantes y Profesore'!A:A)</f>
        <v>107</v>
      </c>
      <c r="F800" t="s">
        <v>243</v>
      </c>
      <c r="G800" t="s">
        <v>246</v>
      </c>
      <c r="H800" t="s">
        <v>246</v>
      </c>
      <c r="I800" t="s">
        <v>674</v>
      </c>
      <c r="J800" t="s">
        <v>91</v>
      </c>
      <c r="K800" s="120" t="s">
        <v>2957</v>
      </c>
      <c r="N800" s="49"/>
    </row>
    <row r="801" spans="1:23">
      <c r="A801" t="s">
        <v>2955</v>
      </c>
      <c r="B801" t="s">
        <v>2958</v>
      </c>
      <c r="C801" t="s">
        <v>453</v>
      </c>
      <c r="D801" t="s">
        <v>39</v>
      </c>
      <c r="E801">
        <f>_xlfn.XLOOKUP(D801,'Resumen Estudiantes y Profesore'!B:B,'Resumen Estudiantes y Profesore'!A:A)</f>
        <v>43</v>
      </c>
      <c r="F801" t="s">
        <v>243</v>
      </c>
      <c r="G801" t="s">
        <v>246</v>
      </c>
      <c r="H801" t="s">
        <v>246</v>
      </c>
      <c r="I801" t="s">
        <v>682</v>
      </c>
      <c r="J801" t="s">
        <v>91</v>
      </c>
      <c r="K801" s="120" t="s">
        <v>2959</v>
      </c>
      <c r="N801" s="49"/>
    </row>
    <row r="802" spans="1:23">
      <c r="A802" t="s">
        <v>2685</v>
      </c>
      <c r="B802" t="s">
        <v>2960</v>
      </c>
      <c r="C802" t="s">
        <v>424</v>
      </c>
      <c r="D802" t="s">
        <v>24</v>
      </c>
      <c r="E802">
        <f>_xlfn.XLOOKUP(D802,'Resumen Estudiantes y Profesore'!B:B,'Resumen Estudiantes y Profesore'!A:A)</f>
        <v>27</v>
      </c>
      <c r="F802" t="s">
        <v>243</v>
      </c>
      <c r="G802" t="s">
        <v>246</v>
      </c>
      <c r="H802" t="s">
        <v>246</v>
      </c>
      <c r="I802" t="s">
        <v>682</v>
      </c>
      <c r="J802" t="s">
        <v>83</v>
      </c>
      <c r="K802" s="120" t="s">
        <v>2961</v>
      </c>
      <c r="N802" s="49"/>
    </row>
    <row r="803" spans="1:23">
      <c r="A803" t="s">
        <v>2962</v>
      </c>
      <c r="B803" t="s">
        <v>2963</v>
      </c>
      <c r="C803" t="s">
        <v>234</v>
      </c>
      <c r="D803" t="s">
        <v>234</v>
      </c>
      <c r="E803">
        <f>_xlfn.XLOOKUP(D803,'Resumen Estudiantes y Profesore'!B:B,'Resumen Estudiantes y Profesore'!A:A)</f>
        <v>153</v>
      </c>
      <c r="F803" t="s">
        <v>243</v>
      </c>
      <c r="G803" t="s">
        <v>246</v>
      </c>
      <c r="H803" t="s">
        <v>246</v>
      </c>
      <c r="I803" t="s">
        <v>682</v>
      </c>
      <c r="J803" t="s">
        <v>77</v>
      </c>
      <c r="K803" s="120" t="s">
        <v>2964</v>
      </c>
      <c r="N803" s="49"/>
    </row>
    <row r="804" spans="1:23" s="81" customFormat="1">
      <c r="A804" t="s">
        <v>2965</v>
      </c>
      <c r="B804" t="s">
        <v>2966</v>
      </c>
      <c r="C804" t="s">
        <v>234</v>
      </c>
      <c r="D804" t="s">
        <v>234</v>
      </c>
      <c r="E804">
        <f>_xlfn.XLOOKUP(D804,'Resumen Estudiantes y Profesore'!B:B,'Resumen Estudiantes y Profesore'!A:A)</f>
        <v>153</v>
      </c>
      <c r="F804" t="s">
        <v>243</v>
      </c>
      <c r="G804" t="s">
        <v>246</v>
      </c>
      <c r="H804" t="s">
        <v>246</v>
      </c>
      <c r="I804" t="s">
        <v>682</v>
      </c>
      <c r="J804" t="s">
        <v>77</v>
      </c>
      <c r="K804" s="120" t="s">
        <v>2967</v>
      </c>
      <c r="L804"/>
      <c r="M804"/>
      <c r="N804" s="49"/>
      <c r="O804"/>
      <c r="P804"/>
      <c r="Q804"/>
      <c r="R804"/>
      <c r="S804"/>
      <c r="T804"/>
      <c r="U804"/>
      <c r="V804"/>
      <c r="W804"/>
    </row>
    <row r="805" spans="1:23" s="81" customFormat="1">
      <c r="A805" t="s">
        <v>2968</v>
      </c>
      <c r="B805" t="s">
        <v>2969</v>
      </c>
      <c r="C805" t="s">
        <v>474</v>
      </c>
      <c r="D805" t="s">
        <v>204</v>
      </c>
      <c r="E805">
        <f>_xlfn.XLOOKUP(D805,'Resumen Estudiantes y Profesore'!B:B,'Resumen Estudiantes y Profesore'!A:A)</f>
        <v>81</v>
      </c>
      <c r="F805" t="s">
        <v>243</v>
      </c>
      <c r="G805" t="s">
        <v>246</v>
      </c>
      <c r="H805" t="s">
        <v>246</v>
      </c>
      <c r="I805" t="s">
        <v>674</v>
      </c>
      <c r="J805" t="s">
        <v>91</v>
      </c>
      <c r="K805" s="120" t="s">
        <v>2970</v>
      </c>
      <c r="L805"/>
      <c r="M805"/>
      <c r="N805" s="49"/>
      <c r="O805"/>
      <c r="P805"/>
      <c r="Q805"/>
      <c r="R805"/>
      <c r="S805"/>
      <c r="T805"/>
      <c r="U805"/>
      <c r="V805"/>
      <c r="W805"/>
    </row>
    <row r="806" spans="1:23" s="81" customFormat="1">
      <c r="A806" t="s">
        <v>2968</v>
      </c>
      <c r="B806" t="s">
        <v>2971</v>
      </c>
      <c r="C806" t="s">
        <v>417</v>
      </c>
      <c r="D806" t="s">
        <v>231</v>
      </c>
      <c r="E806">
        <f>_xlfn.XLOOKUP(D806,'Resumen Estudiantes y Profesore'!B:B,'Resumen Estudiantes y Profesore'!A:A)</f>
        <v>150</v>
      </c>
      <c r="F806" t="s">
        <v>243</v>
      </c>
      <c r="G806" t="s">
        <v>246</v>
      </c>
      <c r="H806" t="s">
        <v>246</v>
      </c>
      <c r="I806" t="s">
        <v>682</v>
      </c>
      <c r="J806" t="s">
        <v>77</v>
      </c>
      <c r="K806" s="120" t="s">
        <v>2972</v>
      </c>
      <c r="L806"/>
      <c r="M806"/>
      <c r="N806" s="49"/>
      <c r="O806"/>
      <c r="P806"/>
      <c r="Q806"/>
      <c r="R806"/>
      <c r="S806"/>
      <c r="T806"/>
      <c r="U806"/>
      <c r="V806"/>
      <c r="W806"/>
    </row>
    <row r="807" spans="1:23">
      <c r="A807" t="s">
        <v>2973</v>
      </c>
      <c r="B807" t="s">
        <v>2974</v>
      </c>
      <c r="C807" t="s">
        <v>93</v>
      </c>
      <c r="D807" t="s">
        <v>93</v>
      </c>
      <c r="E807">
        <f>_xlfn.XLOOKUP(D807,'Resumen Estudiantes y Profesore'!B:B,'Resumen Estudiantes y Profesore'!A:A)</f>
        <v>210</v>
      </c>
      <c r="F807" t="s">
        <v>243</v>
      </c>
      <c r="G807" t="s">
        <v>246</v>
      </c>
      <c r="H807" t="s">
        <v>246</v>
      </c>
      <c r="I807" t="s">
        <v>682</v>
      </c>
      <c r="J807" t="s">
        <v>93</v>
      </c>
      <c r="K807" s="120" t="s">
        <v>2975</v>
      </c>
      <c r="N807" s="49"/>
    </row>
    <row r="808" spans="1:23">
      <c r="A808" t="s">
        <v>2976</v>
      </c>
      <c r="B808" t="s">
        <v>2977</v>
      </c>
      <c r="C808" t="s">
        <v>237</v>
      </c>
      <c r="D808" t="s">
        <v>237</v>
      </c>
      <c r="E808">
        <f>_xlfn.XLOOKUP(D808,'Resumen Estudiantes y Profesore'!B:B,'Resumen Estudiantes y Profesore'!A:A)</f>
        <v>156</v>
      </c>
      <c r="F808" t="s">
        <v>243</v>
      </c>
      <c r="G808" t="s">
        <v>246</v>
      </c>
      <c r="H808" t="s">
        <v>246</v>
      </c>
      <c r="I808" t="s">
        <v>682</v>
      </c>
      <c r="J808" t="s">
        <v>77</v>
      </c>
      <c r="K808" s="120" t="s">
        <v>2978</v>
      </c>
      <c r="N808" s="49"/>
    </row>
    <row r="809" spans="1:23">
      <c r="A809" t="s">
        <v>2979</v>
      </c>
      <c r="B809" t="s">
        <v>2980</v>
      </c>
      <c r="C809" t="s">
        <v>430</v>
      </c>
      <c r="D809" t="s">
        <v>26</v>
      </c>
      <c r="E809">
        <f>_xlfn.XLOOKUP(D809,'Resumen Estudiantes y Profesore'!B:B,'Resumen Estudiantes y Profesore'!A:A)</f>
        <v>29</v>
      </c>
      <c r="F809" t="s">
        <v>243</v>
      </c>
      <c r="G809" t="s">
        <v>246</v>
      </c>
      <c r="H809" t="s">
        <v>246</v>
      </c>
      <c r="I809" t="s">
        <v>682</v>
      </c>
      <c r="J809" t="s">
        <v>84</v>
      </c>
      <c r="K809" s="120" t="s">
        <v>2981</v>
      </c>
      <c r="N809" s="49"/>
    </row>
    <row r="810" spans="1:23">
      <c r="A810" t="s">
        <v>2982</v>
      </c>
      <c r="B810" t="s">
        <v>2983</v>
      </c>
      <c r="C810" t="s">
        <v>93</v>
      </c>
      <c r="D810" t="s">
        <v>93</v>
      </c>
      <c r="E810">
        <f>_xlfn.XLOOKUP(D810,'Resumen Estudiantes y Profesore'!B:B,'Resumen Estudiantes y Profesore'!A:A)</f>
        <v>210</v>
      </c>
      <c r="F810" t="s">
        <v>243</v>
      </c>
      <c r="G810" t="s">
        <v>246</v>
      </c>
      <c r="H810" t="s">
        <v>246</v>
      </c>
      <c r="I810" t="s">
        <v>682</v>
      </c>
      <c r="J810" t="s">
        <v>93</v>
      </c>
      <c r="K810" s="120" t="s">
        <v>2984</v>
      </c>
      <c r="N810" s="49"/>
    </row>
    <row r="811" spans="1:23">
      <c r="A811" t="s">
        <v>2985</v>
      </c>
      <c r="B811" t="s">
        <v>2986</v>
      </c>
      <c r="C811" t="s">
        <v>424</v>
      </c>
      <c r="D811" t="s">
        <v>24</v>
      </c>
      <c r="E811">
        <f>_xlfn.XLOOKUP(D811,'Resumen Estudiantes y Profesore'!B:B,'Resumen Estudiantes y Profesore'!A:A)</f>
        <v>27</v>
      </c>
      <c r="F811" t="s">
        <v>243</v>
      </c>
      <c r="G811" t="s">
        <v>246</v>
      </c>
      <c r="H811" t="s">
        <v>246</v>
      </c>
      <c r="I811" t="s">
        <v>682</v>
      </c>
      <c r="J811" t="s">
        <v>83</v>
      </c>
      <c r="K811" s="120" t="s">
        <v>2987</v>
      </c>
      <c r="N811" s="49"/>
    </row>
    <row r="812" spans="1:23">
      <c r="A812" t="s">
        <v>2988</v>
      </c>
      <c r="B812" t="s">
        <v>2989</v>
      </c>
      <c r="C812" t="s">
        <v>453</v>
      </c>
      <c r="D812" t="s">
        <v>39</v>
      </c>
      <c r="E812">
        <f>_xlfn.XLOOKUP(D812,'Resumen Estudiantes y Profesore'!B:B,'Resumen Estudiantes y Profesore'!A:A)</f>
        <v>43</v>
      </c>
      <c r="F812" t="s">
        <v>243</v>
      </c>
      <c r="G812" t="s">
        <v>246</v>
      </c>
      <c r="H812" t="s">
        <v>246</v>
      </c>
      <c r="I812" t="s">
        <v>682</v>
      </c>
      <c r="J812" t="s">
        <v>91</v>
      </c>
      <c r="K812" s="120" t="s">
        <v>2990</v>
      </c>
      <c r="N812" s="49"/>
    </row>
    <row r="813" spans="1:23">
      <c r="A813" t="s">
        <v>2695</v>
      </c>
      <c r="B813" t="s">
        <v>2991</v>
      </c>
      <c r="C813" t="s">
        <v>464</v>
      </c>
      <c r="D813" t="s">
        <v>192</v>
      </c>
      <c r="E813">
        <f>_xlfn.XLOOKUP(D813,'Resumen Estudiantes y Profesore'!B:B,'Resumen Estudiantes y Profesore'!A:A)</f>
        <v>65</v>
      </c>
      <c r="F813" t="s">
        <v>243</v>
      </c>
      <c r="G813" t="s">
        <v>246</v>
      </c>
      <c r="H813" t="s">
        <v>246</v>
      </c>
      <c r="I813" t="s">
        <v>674</v>
      </c>
      <c r="J813" t="s">
        <v>85</v>
      </c>
      <c r="K813" s="120" t="s">
        <v>2992</v>
      </c>
      <c r="N813" s="49"/>
    </row>
    <row r="814" spans="1:23">
      <c r="A814" t="s">
        <v>2695</v>
      </c>
      <c r="B814" t="s">
        <v>2993</v>
      </c>
      <c r="C814" t="s">
        <v>418</v>
      </c>
      <c r="D814" t="s">
        <v>232</v>
      </c>
      <c r="E814">
        <f>_xlfn.XLOOKUP(D814,'Resumen Estudiantes y Profesore'!B:B,'Resumen Estudiantes y Profesore'!A:A)</f>
        <v>151</v>
      </c>
      <c r="F814" t="s">
        <v>243</v>
      </c>
      <c r="G814" t="s">
        <v>246</v>
      </c>
      <c r="H814" t="s">
        <v>246</v>
      </c>
      <c r="I814" t="s">
        <v>682</v>
      </c>
      <c r="J814" t="s">
        <v>77</v>
      </c>
      <c r="K814" s="120" t="s">
        <v>2994</v>
      </c>
      <c r="N814" s="49"/>
    </row>
    <row r="815" spans="1:23">
      <c r="A815" t="s">
        <v>2995</v>
      </c>
      <c r="B815" t="s">
        <v>2996</v>
      </c>
      <c r="C815" t="s">
        <v>451</v>
      </c>
      <c r="D815" t="s">
        <v>38</v>
      </c>
      <c r="E815">
        <f>_xlfn.XLOOKUP(D815,'Resumen Estudiantes y Profesore'!B:B,'Resumen Estudiantes y Profesore'!A:A)</f>
        <v>42</v>
      </c>
      <c r="F815" t="s">
        <v>243</v>
      </c>
      <c r="G815" t="s">
        <v>246</v>
      </c>
      <c r="H815" t="s">
        <v>246</v>
      </c>
      <c r="I815" t="s">
        <v>682</v>
      </c>
      <c r="J815" t="s">
        <v>90</v>
      </c>
      <c r="K815" s="120" t="s">
        <v>2997</v>
      </c>
      <c r="N815" s="49"/>
    </row>
    <row r="816" spans="1:23">
      <c r="A816" t="s">
        <v>2998</v>
      </c>
      <c r="B816" t="s">
        <v>2999</v>
      </c>
      <c r="C816" t="s">
        <v>95</v>
      </c>
      <c r="D816" t="s">
        <v>251</v>
      </c>
      <c r="E816">
        <f>_xlfn.XLOOKUP(D816,'Resumen Estudiantes y Profesore'!B:B,'Resumen Estudiantes y Profesore'!A:A)</f>
        <v>211</v>
      </c>
      <c r="F816" t="s">
        <v>243</v>
      </c>
      <c r="G816" t="s">
        <v>246</v>
      </c>
      <c r="H816" t="s">
        <v>246</v>
      </c>
      <c r="I816" t="s">
        <v>682</v>
      </c>
      <c r="J816" t="s">
        <v>95</v>
      </c>
      <c r="K816" s="120" t="s">
        <v>3000</v>
      </c>
      <c r="N816" s="49"/>
    </row>
    <row r="817" spans="1:23" s="81" customFormat="1">
      <c r="A817" t="s">
        <v>3001</v>
      </c>
      <c r="B817" t="s">
        <v>3002</v>
      </c>
      <c r="C817" t="s">
        <v>3003</v>
      </c>
      <c r="D817" t="s">
        <v>104</v>
      </c>
      <c r="E817">
        <f>_xlfn.XLOOKUP(D817,'Resumen Estudiantes y Profesore'!B:B,'Resumen Estudiantes y Profesore'!A:A)</f>
        <v>66</v>
      </c>
      <c r="F817" t="s">
        <v>243</v>
      </c>
      <c r="G817" t="s">
        <v>246</v>
      </c>
      <c r="H817" t="s">
        <v>246</v>
      </c>
      <c r="I817" t="s">
        <v>674</v>
      </c>
      <c r="J817" t="s">
        <v>87</v>
      </c>
      <c r="K817" s="120" t="s">
        <v>3004</v>
      </c>
      <c r="L817"/>
      <c r="M817"/>
      <c r="N817" s="49"/>
      <c r="O817"/>
      <c r="P817"/>
      <c r="Q817"/>
      <c r="R817"/>
      <c r="S817"/>
      <c r="T817"/>
      <c r="U817"/>
      <c r="V817"/>
      <c r="W817"/>
    </row>
    <row r="818" spans="1:23">
      <c r="A818" t="s">
        <v>3001</v>
      </c>
      <c r="B818" t="s">
        <v>3005</v>
      </c>
      <c r="C818" t="s">
        <v>715</v>
      </c>
      <c r="D818" t="s">
        <v>197</v>
      </c>
      <c r="E818">
        <f>_xlfn.XLOOKUP(D818,'Resumen Estudiantes y Profesore'!B:B,'Resumen Estudiantes y Profesore'!A:A)</f>
        <v>67</v>
      </c>
      <c r="F818" t="s">
        <v>243</v>
      </c>
      <c r="G818" t="s">
        <v>246</v>
      </c>
      <c r="H818" t="s">
        <v>246</v>
      </c>
      <c r="I818" t="s">
        <v>674</v>
      </c>
      <c r="J818" t="s">
        <v>87</v>
      </c>
      <c r="K818" s="120" t="s">
        <v>3006</v>
      </c>
      <c r="N818" s="49"/>
    </row>
    <row r="819" spans="1:23">
      <c r="A819" t="s">
        <v>3001</v>
      </c>
      <c r="B819" t="s">
        <v>3007</v>
      </c>
      <c r="C819" t="s">
        <v>718</v>
      </c>
      <c r="D819" t="s">
        <v>212</v>
      </c>
      <c r="E819">
        <f>_xlfn.XLOOKUP(D819,'Resumen Estudiantes y Profesore'!B:B,'Resumen Estudiantes y Profesore'!A:A)</f>
        <v>94</v>
      </c>
      <c r="F819" t="s">
        <v>243</v>
      </c>
      <c r="G819" t="s">
        <v>246</v>
      </c>
      <c r="H819" t="s">
        <v>246</v>
      </c>
      <c r="I819" t="s">
        <v>674</v>
      </c>
      <c r="J819" t="s">
        <v>87</v>
      </c>
      <c r="K819" s="120" t="s">
        <v>3008</v>
      </c>
      <c r="N819" s="49"/>
    </row>
    <row r="820" spans="1:23">
      <c r="A820" t="s">
        <v>2346</v>
      </c>
      <c r="B820" t="s">
        <v>3009</v>
      </c>
      <c r="C820" t="s">
        <v>450</v>
      </c>
      <c r="D820" t="s">
        <v>37</v>
      </c>
      <c r="E820">
        <f>_xlfn.XLOOKUP(D820,'Resumen Estudiantes y Profesore'!B:B,'Resumen Estudiantes y Profesore'!A:A)</f>
        <v>41</v>
      </c>
      <c r="F820" t="s">
        <v>243</v>
      </c>
      <c r="G820" t="s">
        <v>246</v>
      </c>
      <c r="H820" t="s">
        <v>246</v>
      </c>
      <c r="I820" t="s">
        <v>682</v>
      </c>
      <c r="J820" t="s">
        <v>89</v>
      </c>
      <c r="K820" s="120" t="s">
        <v>3010</v>
      </c>
      <c r="N820" s="49"/>
    </row>
    <row r="821" spans="1:23">
      <c r="A821" t="s">
        <v>3011</v>
      </c>
      <c r="B821" t="s">
        <v>3012</v>
      </c>
      <c r="C821" t="s">
        <v>93</v>
      </c>
      <c r="D821" t="s">
        <v>93</v>
      </c>
      <c r="E821">
        <f>_xlfn.XLOOKUP(D821,'Resumen Estudiantes y Profesore'!B:B,'Resumen Estudiantes y Profesore'!A:A)</f>
        <v>210</v>
      </c>
      <c r="F821" t="s">
        <v>243</v>
      </c>
      <c r="G821" t="s">
        <v>246</v>
      </c>
      <c r="H821" t="s">
        <v>246</v>
      </c>
      <c r="I821" t="s">
        <v>682</v>
      </c>
      <c r="J821" t="s">
        <v>93</v>
      </c>
      <c r="K821" s="120" t="s">
        <v>3013</v>
      </c>
      <c r="N821" s="49"/>
    </row>
    <row r="822" spans="1:23">
      <c r="A822" t="s">
        <v>3014</v>
      </c>
      <c r="B822" t="s">
        <v>3015</v>
      </c>
      <c r="C822" t="s">
        <v>453</v>
      </c>
      <c r="D822" t="s">
        <v>39</v>
      </c>
      <c r="E822">
        <f>_xlfn.XLOOKUP(D822,'Resumen Estudiantes y Profesore'!B:B,'Resumen Estudiantes y Profesore'!A:A)</f>
        <v>43</v>
      </c>
      <c r="F822" t="s">
        <v>243</v>
      </c>
      <c r="G822" t="s">
        <v>246</v>
      </c>
      <c r="H822" t="s">
        <v>246</v>
      </c>
      <c r="I822" t="s">
        <v>682</v>
      </c>
      <c r="J822" t="s">
        <v>91</v>
      </c>
      <c r="K822" s="120" t="s">
        <v>3016</v>
      </c>
      <c r="N822" s="49"/>
    </row>
    <row r="823" spans="1:23">
      <c r="A823" t="s">
        <v>3017</v>
      </c>
      <c r="B823" t="s">
        <v>3018</v>
      </c>
      <c r="C823" t="s">
        <v>451</v>
      </c>
      <c r="D823" t="s">
        <v>38</v>
      </c>
      <c r="E823">
        <f>_xlfn.XLOOKUP(D823,'Resumen Estudiantes y Profesore'!B:B,'Resumen Estudiantes y Profesore'!A:A)</f>
        <v>42</v>
      </c>
      <c r="F823" t="s">
        <v>243</v>
      </c>
      <c r="G823" t="s">
        <v>246</v>
      </c>
      <c r="H823" t="s">
        <v>246</v>
      </c>
      <c r="I823" t="s">
        <v>682</v>
      </c>
      <c r="J823" t="s">
        <v>90</v>
      </c>
      <c r="K823" s="120" t="s">
        <v>3019</v>
      </c>
      <c r="N823" s="49"/>
    </row>
    <row r="824" spans="1:23">
      <c r="A824" t="s">
        <v>3020</v>
      </c>
      <c r="B824" t="s">
        <v>3021</v>
      </c>
      <c r="C824" t="s">
        <v>418</v>
      </c>
      <c r="D824" t="s">
        <v>232</v>
      </c>
      <c r="E824">
        <f>_xlfn.XLOOKUP(D824,'Resumen Estudiantes y Profesore'!B:B,'Resumen Estudiantes y Profesore'!A:A)</f>
        <v>151</v>
      </c>
      <c r="F824" t="s">
        <v>243</v>
      </c>
      <c r="G824" t="s">
        <v>246</v>
      </c>
      <c r="H824" t="s">
        <v>246</v>
      </c>
      <c r="I824" t="s">
        <v>682</v>
      </c>
      <c r="J824" t="s">
        <v>77</v>
      </c>
      <c r="K824" s="120" t="s">
        <v>3022</v>
      </c>
      <c r="N824" s="49"/>
    </row>
    <row r="825" spans="1:23">
      <c r="A825" t="s">
        <v>3023</v>
      </c>
      <c r="B825" t="s">
        <v>3024</v>
      </c>
      <c r="C825" t="s">
        <v>426</v>
      </c>
      <c r="D825" t="s">
        <v>23</v>
      </c>
      <c r="E825">
        <f>_xlfn.XLOOKUP(D825,'Resumen Estudiantes y Profesore'!B:B,'Resumen Estudiantes y Profesore'!A:A)</f>
        <v>26</v>
      </c>
      <c r="F825" t="s">
        <v>243</v>
      </c>
      <c r="G825" t="s">
        <v>246</v>
      </c>
      <c r="H825" t="s">
        <v>246</v>
      </c>
      <c r="I825" t="s">
        <v>682</v>
      </c>
      <c r="J825" t="s">
        <v>83</v>
      </c>
      <c r="K825" s="120" t="s">
        <v>3025</v>
      </c>
      <c r="N825" s="49"/>
    </row>
    <row r="826" spans="1:23" s="81" customFormat="1">
      <c r="A826" t="s">
        <v>3026</v>
      </c>
      <c r="B826" t="s">
        <v>3027</v>
      </c>
      <c r="C826" t="s">
        <v>234</v>
      </c>
      <c r="D826" t="s">
        <v>234</v>
      </c>
      <c r="E826">
        <f>_xlfn.XLOOKUP(D826,'Resumen Estudiantes y Profesore'!B:B,'Resumen Estudiantes y Profesore'!A:A)</f>
        <v>153</v>
      </c>
      <c r="F826" t="s">
        <v>243</v>
      </c>
      <c r="G826" t="s">
        <v>246</v>
      </c>
      <c r="H826" t="s">
        <v>246</v>
      </c>
      <c r="I826" t="s">
        <v>682</v>
      </c>
      <c r="J826" t="s">
        <v>77</v>
      </c>
      <c r="K826" s="120" t="s">
        <v>3028</v>
      </c>
      <c r="L826"/>
      <c r="M826"/>
      <c r="N826" s="49"/>
      <c r="O826"/>
      <c r="P826"/>
      <c r="Q826"/>
      <c r="R826"/>
      <c r="S826"/>
      <c r="T826"/>
      <c r="U826"/>
      <c r="V826"/>
      <c r="W826"/>
    </row>
    <row r="827" spans="1:23">
      <c r="A827" t="s">
        <v>3029</v>
      </c>
      <c r="B827" t="s">
        <v>3030</v>
      </c>
      <c r="C827" t="s">
        <v>95</v>
      </c>
      <c r="D827" t="s">
        <v>251</v>
      </c>
      <c r="E827">
        <f>_xlfn.XLOOKUP(D827,'Resumen Estudiantes y Profesore'!B:B,'Resumen Estudiantes y Profesore'!A:A)</f>
        <v>211</v>
      </c>
      <c r="F827" t="s">
        <v>243</v>
      </c>
      <c r="G827" t="s">
        <v>246</v>
      </c>
      <c r="H827" t="s">
        <v>246</v>
      </c>
      <c r="I827" t="s">
        <v>682</v>
      </c>
      <c r="J827" t="s">
        <v>95</v>
      </c>
      <c r="K827" s="120" t="s">
        <v>3031</v>
      </c>
      <c r="N827" s="49"/>
    </row>
    <row r="828" spans="1:23">
      <c r="A828" t="s">
        <v>3032</v>
      </c>
      <c r="B828" t="s">
        <v>3033</v>
      </c>
      <c r="C828" t="s">
        <v>451</v>
      </c>
      <c r="D828" t="s">
        <v>38</v>
      </c>
      <c r="E828">
        <f>_xlfn.XLOOKUP(D828,'Resumen Estudiantes y Profesore'!B:B,'Resumen Estudiantes y Profesore'!A:A)</f>
        <v>42</v>
      </c>
      <c r="F828" t="s">
        <v>243</v>
      </c>
      <c r="G828" t="s">
        <v>246</v>
      </c>
      <c r="H828" t="s">
        <v>246</v>
      </c>
      <c r="I828" t="s">
        <v>682</v>
      </c>
      <c r="J828" t="s">
        <v>90</v>
      </c>
      <c r="K828" s="120" t="s">
        <v>3034</v>
      </c>
      <c r="N828" s="49"/>
    </row>
    <row r="829" spans="1:23">
      <c r="A829" t="s">
        <v>3035</v>
      </c>
      <c r="B829" t="s">
        <v>3036</v>
      </c>
      <c r="C829" t="s">
        <v>451</v>
      </c>
      <c r="D829" t="s">
        <v>38</v>
      </c>
      <c r="E829">
        <f>_xlfn.XLOOKUP(D829,'Resumen Estudiantes y Profesore'!B:B,'Resumen Estudiantes y Profesore'!A:A)</f>
        <v>42</v>
      </c>
      <c r="F829" t="s">
        <v>243</v>
      </c>
      <c r="G829" t="s">
        <v>246</v>
      </c>
      <c r="H829" t="s">
        <v>246</v>
      </c>
      <c r="I829" t="s">
        <v>682</v>
      </c>
      <c r="J829" t="s">
        <v>90</v>
      </c>
      <c r="K829" s="120" t="s">
        <v>3037</v>
      </c>
      <c r="N829" s="49"/>
    </row>
    <row r="830" spans="1:23">
      <c r="A830" t="s">
        <v>3038</v>
      </c>
      <c r="B830" t="s">
        <v>3039</v>
      </c>
      <c r="C830" t="s">
        <v>475</v>
      </c>
      <c r="D830" t="s">
        <v>205</v>
      </c>
      <c r="E830">
        <f>_xlfn.XLOOKUP(D830,'Resumen Estudiantes y Profesore'!B:B,'Resumen Estudiantes y Profesore'!A:A)</f>
        <v>80</v>
      </c>
      <c r="F830" t="s">
        <v>243</v>
      </c>
      <c r="G830" t="s">
        <v>246</v>
      </c>
      <c r="H830" t="s">
        <v>246</v>
      </c>
      <c r="I830" t="s">
        <v>674</v>
      </c>
      <c r="J830" t="s">
        <v>91</v>
      </c>
      <c r="K830" s="120" t="s">
        <v>3040</v>
      </c>
      <c r="N830" s="49"/>
    </row>
    <row r="831" spans="1:23">
      <c r="A831" t="s">
        <v>3041</v>
      </c>
      <c r="B831" t="s">
        <v>3042</v>
      </c>
      <c r="C831" t="s">
        <v>239</v>
      </c>
      <c r="D831" t="s">
        <v>239</v>
      </c>
      <c r="E831">
        <f>_xlfn.XLOOKUP(D831,'Resumen Estudiantes y Profesore'!B:B,'Resumen Estudiantes y Profesore'!A:A)</f>
        <v>158</v>
      </c>
      <c r="F831" t="s">
        <v>243</v>
      </c>
      <c r="G831" t="s">
        <v>246</v>
      </c>
      <c r="H831" t="s">
        <v>246</v>
      </c>
      <c r="I831" t="s">
        <v>682</v>
      </c>
      <c r="J831" t="s">
        <v>77</v>
      </c>
      <c r="K831" s="120" t="s">
        <v>3043</v>
      </c>
      <c r="N831" s="49"/>
    </row>
    <row r="832" spans="1:23">
      <c r="A832" t="s">
        <v>3044</v>
      </c>
      <c r="B832" t="s">
        <v>3045</v>
      </c>
      <c r="C832" t="s">
        <v>426</v>
      </c>
      <c r="D832" t="s">
        <v>23</v>
      </c>
      <c r="E832">
        <f>_xlfn.XLOOKUP(D832,'Resumen Estudiantes y Profesore'!B:B,'Resumen Estudiantes y Profesore'!A:A)</f>
        <v>26</v>
      </c>
      <c r="F832" t="s">
        <v>243</v>
      </c>
      <c r="G832" t="s">
        <v>246</v>
      </c>
      <c r="H832" t="s">
        <v>246</v>
      </c>
      <c r="I832" t="s">
        <v>682</v>
      </c>
      <c r="J832" t="s">
        <v>83</v>
      </c>
      <c r="K832" s="120" t="s">
        <v>3046</v>
      </c>
      <c r="N832" s="49"/>
    </row>
    <row r="833" spans="1:14">
      <c r="A833" t="s">
        <v>3047</v>
      </c>
      <c r="B833" t="s">
        <v>3048</v>
      </c>
      <c r="C833" t="s">
        <v>451</v>
      </c>
      <c r="D833" t="s">
        <v>38</v>
      </c>
      <c r="E833">
        <f>_xlfn.XLOOKUP(D833,'Resumen Estudiantes y Profesore'!B:B,'Resumen Estudiantes y Profesore'!A:A)</f>
        <v>42</v>
      </c>
      <c r="F833" t="s">
        <v>243</v>
      </c>
      <c r="G833" t="s">
        <v>246</v>
      </c>
      <c r="H833" t="s">
        <v>246</v>
      </c>
      <c r="I833" t="s">
        <v>682</v>
      </c>
      <c r="J833" t="s">
        <v>90</v>
      </c>
      <c r="K833" s="120" t="s">
        <v>3049</v>
      </c>
      <c r="N833" s="49"/>
    </row>
    <row r="834" spans="1:14">
      <c r="A834" t="s">
        <v>3050</v>
      </c>
      <c r="B834" t="s">
        <v>3051</v>
      </c>
      <c r="C834" t="s">
        <v>424</v>
      </c>
      <c r="D834" t="s">
        <v>24</v>
      </c>
      <c r="E834">
        <f>_xlfn.XLOOKUP(D834,'Resumen Estudiantes y Profesore'!B:B,'Resumen Estudiantes y Profesore'!A:A)</f>
        <v>27</v>
      </c>
      <c r="F834" t="s">
        <v>243</v>
      </c>
      <c r="G834" t="s">
        <v>246</v>
      </c>
      <c r="H834" t="s">
        <v>246</v>
      </c>
      <c r="I834" t="s">
        <v>682</v>
      </c>
      <c r="J834" t="s">
        <v>83</v>
      </c>
      <c r="K834" s="120" t="s">
        <v>3052</v>
      </c>
      <c r="N834" s="49"/>
    </row>
    <row r="835" spans="1:14">
      <c r="A835" t="s">
        <v>2351</v>
      </c>
      <c r="B835" t="s">
        <v>3053</v>
      </c>
      <c r="C835" t="s">
        <v>431</v>
      </c>
      <c r="D835" t="s">
        <v>27</v>
      </c>
      <c r="E835">
        <f>_xlfn.XLOOKUP(D835,'Resumen Estudiantes y Profesore'!B:B,'Resumen Estudiantes y Profesore'!A:A)</f>
        <v>30</v>
      </c>
      <c r="F835" t="s">
        <v>243</v>
      </c>
      <c r="G835" t="s">
        <v>246</v>
      </c>
      <c r="H835" t="s">
        <v>246</v>
      </c>
      <c r="I835" t="s">
        <v>682</v>
      </c>
      <c r="J835" t="s">
        <v>84</v>
      </c>
      <c r="K835" s="120" t="s">
        <v>3054</v>
      </c>
      <c r="N835" s="49"/>
    </row>
    <row r="836" spans="1:14">
      <c r="A836" t="s">
        <v>3055</v>
      </c>
      <c r="B836" t="s">
        <v>3056</v>
      </c>
      <c r="C836" t="s">
        <v>451</v>
      </c>
      <c r="D836" t="s">
        <v>38</v>
      </c>
      <c r="E836">
        <f>_xlfn.XLOOKUP(D836,'Resumen Estudiantes y Profesore'!B:B,'Resumen Estudiantes y Profesore'!A:A)</f>
        <v>42</v>
      </c>
      <c r="F836" t="s">
        <v>243</v>
      </c>
      <c r="G836" t="s">
        <v>246</v>
      </c>
      <c r="H836" t="s">
        <v>246</v>
      </c>
      <c r="I836" t="s">
        <v>682</v>
      </c>
      <c r="J836" t="s">
        <v>90</v>
      </c>
      <c r="K836" s="120" t="s">
        <v>3057</v>
      </c>
      <c r="N836" s="49"/>
    </row>
    <row r="837" spans="1:14">
      <c r="A837" t="s">
        <v>3058</v>
      </c>
      <c r="B837" t="s">
        <v>3059</v>
      </c>
      <c r="C837" t="s">
        <v>437</v>
      </c>
      <c r="D837" t="s">
        <v>30</v>
      </c>
      <c r="E837">
        <f>_xlfn.XLOOKUP(D837,'Resumen Estudiantes y Profesore'!B:B,'Resumen Estudiantes y Profesore'!A:A)</f>
        <v>34</v>
      </c>
      <c r="F837" t="s">
        <v>243</v>
      </c>
      <c r="G837" t="s">
        <v>246</v>
      </c>
      <c r="H837" t="s">
        <v>246</v>
      </c>
      <c r="I837" t="s">
        <v>682</v>
      </c>
      <c r="J837" t="s">
        <v>87</v>
      </c>
      <c r="K837" s="120" t="s">
        <v>3060</v>
      </c>
      <c r="N837" s="49"/>
    </row>
    <row r="838" spans="1:14">
      <c r="A838" t="s">
        <v>2568</v>
      </c>
      <c r="B838" t="s">
        <v>3061</v>
      </c>
      <c r="C838" t="s">
        <v>507</v>
      </c>
      <c r="D838" t="s">
        <v>151</v>
      </c>
      <c r="E838">
        <f>_xlfn.XLOOKUP(D838,'Resumen Estudiantes y Profesore'!B:B,'Resumen Estudiantes y Profesore'!A:A)</f>
        <v>107</v>
      </c>
      <c r="F838" t="s">
        <v>243</v>
      </c>
      <c r="G838" t="s">
        <v>246</v>
      </c>
      <c r="H838" t="s">
        <v>246</v>
      </c>
      <c r="I838" t="s">
        <v>674</v>
      </c>
      <c r="J838" t="s">
        <v>91</v>
      </c>
      <c r="K838" s="120" t="s">
        <v>3062</v>
      </c>
      <c r="N838" s="49"/>
    </row>
    <row r="839" spans="1:14">
      <c r="A839" t="s">
        <v>2701</v>
      </c>
      <c r="B839" t="s">
        <v>3063</v>
      </c>
      <c r="C839" t="s">
        <v>888</v>
      </c>
      <c r="D839" t="s">
        <v>149</v>
      </c>
      <c r="E839">
        <f>_xlfn.XLOOKUP(D839,'Resumen Estudiantes y Profesore'!B:B,'Resumen Estudiantes y Profesore'!A:A)</f>
        <v>141</v>
      </c>
      <c r="F839" t="s">
        <v>243</v>
      </c>
      <c r="G839" t="s">
        <v>246</v>
      </c>
      <c r="H839" t="s">
        <v>246</v>
      </c>
      <c r="I839" t="s">
        <v>674</v>
      </c>
      <c r="J839" t="s">
        <v>138</v>
      </c>
      <c r="K839" s="120" t="s">
        <v>3064</v>
      </c>
      <c r="N839" s="49"/>
    </row>
    <row r="840" spans="1:14">
      <c r="A840" t="s">
        <v>3065</v>
      </c>
      <c r="B840" t="s">
        <v>3066</v>
      </c>
      <c r="C840" t="s">
        <v>2422</v>
      </c>
      <c r="D840" t="s">
        <v>135</v>
      </c>
      <c r="E840">
        <f>_xlfn.XLOOKUP(D840,'Resumen Estudiantes y Profesore'!B:B,'Resumen Estudiantes y Profesore'!A:A)</f>
        <v>96</v>
      </c>
      <c r="F840" t="s">
        <v>243</v>
      </c>
      <c r="G840" t="s">
        <v>246</v>
      </c>
      <c r="H840" t="s">
        <v>246</v>
      </c>
      <c r="I840" t="s">
        <v>674</v>
      </c>
      <c r="J840" t="s">
        <v>83</v>
      </c>
      <c r="K840" s="120" t="s">
        <v>3067</v>
      </c>
      <c r="N840" s="49"/>
    </row>
    <row r="841" spans="1:14">
      <c r="A841" t="s">
        <v>3065</v>
      </c>
      <c r="B841" t="s">
        <v>3068</v>
      </c>
      <c r="C841" t="s">
        <v>426</v>
      </c>
      <c r="D841" t="s">
        <v>23</v>
      </c>
      <c r="E841">
        <f>_xlfn.XLOOKUP(D841,'Resumen Estudiantes y Profesore'!B:B,'Resumen Estudiantes y Profesore'!A:A)</f>
        <v>26</v>
      </c>
      <c r="F841" t="s">
        <v>243</v>
      </c>
      <c r="G841" t="s">
        <v>246</v>
      </c>
      <c r="H841" t="s">
        <v>246</v>
      </c>
      <c r="I841" t="s">
        <v>682</v>
      </c>
      <c r="J841" t="s">
        <v>83</v>
      </c>
      <c r="K841" s="120" t="s">
        <v>3069</v>
      </c>
      <c r="N841" s="49"/>
    </row>
    <row r="842" spans="1:14">
      <c r="A842" t="s">
        <v>1902</v>
      </c>
      <c r="B842" t="s">
        <v>3070</v>
      </c>
      <c r="C842" t="s">
        <v>1094</v>
      </c>
      <c r="D842" t="s">
        <v>199</v>
      </c>
      <c r="E842">
        <f>_xlfn.XLOOKUP(D842,'Resumen Estudiantes y Profesore'!B:B,'Resumen Estudiantes y Profesore'!A:A)</f>
        <v>49</v>
      </c>
      <c r="F842" t="s">
        <v>243</v>
      </c>
      <c r="G842" t="s">
        <v>246</v>
      </c>
      <c r="H842" t="s">
        <v>246</v>
      </c>
      <c r="I842" t="s">
        <v>674</v>
      </c>
      <c r="J842" t="s">
        <v>77</v>
      </c>
      <c r="K842" s="120" t="s">
        <v>3071</v>
      </c>
      <c r="N842" s="49"/>
    </row>
    <row r="843" spans="1:14">
      <c r="A843" t="s">
        <v>3072</v>
      </c>
      <c r="B843" t="s">
        <v>3073</v>
      </c>
      <c r="C843" t="s">
        <v>424</v>
      </c>
      <c r="D843" t="s">
        <v>24</v>
      </c>
      <c r="E843">
        <f>_xlfn.XLOOKUP(D843,'Resumen Estudiantes y Profesore'!B:B,'Resumen Estudiantes y Profesore'!A:A)</f>
        <v>27</v>
      </c>
      <c r="F843" t="s">
        <v>243</v>
      </c>
      <c r="G843" t="s">
        <v>246</v>
      </c>
      <c r="H843" t="s">
        <v>246</v>
      </c>
      <c r="I843" t="s">
        <v>682</v>
      </c>
      <c r="J843" t="s">
        <v>83</v>
      </c>
      <c r="K843" s="120" t="s">
        <v>3074</v>
      </c>
      <c r="N843" s="49"/>
    </row>
    <row r="844" spans="1:14">
      <c r="A844" t="s">
        <v>3075</v>
      </c>
      <c r="B844" t="s">
        <v>3076</v>
      </c>
      <c r="C844" t="s">
        <v>507</v>
      </c>
      <c r="D844" t="s">
        <v>151</v>
      </c>
      <c r="E844">
        <f>_xlfn.XLOOKUP(D844,'Resumen Estudiantes y Profesore'!B:B,'Resumen Estudiantes y Profesore'!A:A)</f>
        <v>107</v>
      </c>
      <c r="F844" t="s">
        <v>243</v>
      </c>
      <c r="G844" t="s">
        <v>246</v>
      </c>
      <c r="H844" t="s">
        <v>246</v>
      </c>
      <c r="I844" t="s">
        <v>674</v>
      </c>
      <c r="J844" t="s">
        <v>91</v>
      </c>
      <c r="K844" s="120" t="s">
        <v>3077</v>
      </c>
      <c r="N844" s="49"/>
    </row>
    <row r="845" spans="1:14">
      <c r="A845" t="s">
        <v>3075</v>
      </c>
      <c r="B845" t="s">
        <v>3078</v>
      </c>
      <c r="C845" t="s">
        <v>453</v>
      </c>
      <c r="D845" t="s">
        <v>39</v>
      </c>
      <c r="E845">
        <f>_xlfn.XLOOKUP(D845,'Resumen Estudiantes y Profesore'!B:B,'Resumen Estudiantes y Profesore'!A:A)</f>
        <v>43</v>
      </c>
      <c r="F845" t="s">
        <v>243</v>
      </c>
      <c r="G845" t="s">
        <v>246</v>
      </c>
      <c r="H845" t="s">
        <v>246</v>
      </c>
      <c r="I845" t="s">
        <v>682</v>
      </c>
      <c r="J845" t="s">
        <v>91</v>
      </c>
      <c r="K845" s="120" t="s">
        <v>3079</v>
      </c>
      <c r="N845" s="49"/>
    </row>
    <row r="846" spans="1:14">
      <c r="A846" t="s">
        <v>3080</v>
      </c>
      <c r="B846" t="s">
        <v>3081</v>
      </c>
      <c r="C846" t="s">
        <v>441</v>
      </c>
      <c r="D846" t="s">
        <v>32</v>
      </c>
      <c r="E846">
        <f>_xlfn.XLOOKUP(D846,'Resumen Estudiantes y Profesore'!B:B,'Resumen Estudiantes y Profesore'!A:A)</f>
        <v>36</v>
      </c>
      <c r="F846" t="s">
        <v>243</v>
      </c>
      <c r="G846" t="s">
        <v>246</v>
      </c>
      <c r="H846" t="s">
        <v>246</v>
      </c>
      <c r="I846" t="s">
        <v>682</v>
      </c>
      <c r="J846" t="s">
        <v>89</v>
      </c>
      <c r="K846" s="120" t="s">
        <v>3082</v>
      </c>
      <c r="N846" s="49"/>
    </row>
    <row r="847" spans="1:14">
      <c r="A847" t="s">
        <v>3083</v>
      </c>
      <c r="B847" t="s">
        <v>3084</v>
      </c>
      <c r="C847" t="s">
        <v>450</v>
      </c>
      <c r="D847" t="s">
        <v>37</v>
      </c>
      <c r="E847">
        <f>_xlfn.XLOOKUP(D847,'Resumen Estudiantes y Profesore'!B:B,'Resumen Estudiantes y Profesore'!A:A)</f>
        <v>41</v>
      </c>
      <c r="F847" t="s">
        <v>243</v>
      </c>
      <c r="G847" t="s">
        <v>246</v>
      </c>
      <c r="H847" t="s">
        <v>246</v>
      </c>
      <c r="I847" t="s">
        <v>682</v>
      </c>
      <c r="J847" t="s">
        <v>89</v>
      </c>
      <c r="K847" s="120" t="s">
        <v>3085</v>
      </c>
      <c r="N847" s="49"/>
    </row>
    <row r="848" spans="1:14">
      <c r="A848" t="s">
        <v>3086</v>
      </c>
      <c r="B848" t="s">
        <v>3087</v>
      </c>
      <c r="C848" t="s">
        <v>239</v>
      </c>
      <c r="D848" t="s">
        <v>239</v>
      </c>
      <c r="E848">
        <f>_xlfn.XLOOKUP(D848,'Resumen Estudiantes y Profesore'!B:B,'Resumen Estudiantes y Profesore'!A:A)</f>
        <v>158</v>
      </c>
      <c r="F848" t="s">
        <v>243</v>
      </c>
      <c r="G848" t="s">
        <v>246</v>
      </c>
      <c r="H848" t="s">
        <v>246</v>
      </c>
      <c r="I848" t="s">
        <v>682</v>
      </c>
      <c r="J848" t="s">
        <v>77</v>
      </c>
      <c r="K848" s="120" t="s">
        <v>3088</v>
      </c>
      <c r="N848" s="49"/>
    </row>
    <row r="849" spans="1:14">
      <c r="A849" t="s">
        <v>3089</v>
      </c>
      <c r="B849" t="s">
        <v>3090</v>
      </c>
      <c r="C849" t="s">
        <v>921</v>
      </c>
      <c r="D849" t="s">
        <v>203</v>
      </c>
      <c r="E849">
        <f>_xlfn.XLOOKUP(D849,'Resumen Estudiantes y Profesore'!B:B,'Resumen Estudiantes y Profesore'!A:A)</f>
        <v>69</v>
      </c>
      <c r="F849" t="s">
        <v>243</v>
      </c>
      <c r="G849" t="s">
        <v>246</v>
      </c>
      <c r="H849" t="s">
        <v>246</v>
      </c>
      <c r="I849" t="s">
        <v>674</v>
      </c>
      <c r="J849" t="s">
        <v>88</v>
      </c>
      <c r="K849" s="120" t="s">
        <v>3091</v>
      </c>
      <c r="N849" s="49"/>
    </row>
    <row r="850" spans="1:14">
      <c r="A850" t="s">
        <v>3092</v>
      </c>
      <c r="B850" t="s">
        <v>3093</v>
      </c>
      <c r="C850" t="s">
        <v>747</v>
      </c>
      <c r="D850" t="s">
        <v>178</v>
      </c>
      <c r="E850">
        <f>_xlfn.XLOOKUP(D850,'Resumen Estudiantes y Profesore'!B:B,'Resumen Estudiantes y Profesore'!A:A)</f>
        <v>75</v>
      </c>
      <c r="F850" t="s">
        <v>243</v>
      </c>
      <c r="G850" t="s">
        <v>246</v>
      </c>
      <c r="H850" t="s">
        <v>246</v>
      </c>
      <c r="I850" t="s">
        <v>674</v>
      </c>
      <c r="J850" t="s">
        <v>89</v>
      </c>
      <c r="K850" s="120" t="s">
        <v>3094</v>
      </c>
      <c r="N850" s="49"/>
    </row>
    <row r="851" spans="1:14">
      <c r="A851" t="s">
        <v>3092</v>
      </c>
      <c r="B851" t="s">
        <v>3095</v>
      </c>
      <c r="C851" t="s">
        <v>3096</v>
      </c>
      <c r="D851" t="s">
        <v>180</v>
      </c>
      <c r="E851">
        <f>_xlfn.XLOOKUP(D851,'Resumen Estudiantes y Profesore'!B:B,'Resumen Estudiantes y Profesore'!A:A)</f>
        <v>74</v>
      </c>
      <c r="F851" t="s">
        <v>243</v>
      </c>
      <c r="G851" t="s">
        <v>246</v>
      </c>
      <c r="H851" t="s">
        <v>246</v>
      </c>
      <c r="I851" t="s">
        <v>674</v>
      </c>
      <c r="J851" t="s">
        <v>89</v>
      </c>
      <c r="K851" s="120" t="s">
        <v>3097</v>
      </c>
      <c r="N851" s="49"/>
    </row>
    <row r="852" spans="1:14">
      <c r="A852" t="s">
        <v>3092</v>
      </c>
      <c r="B852" t="s">
        <v>3098</v>
      </c>
      <c r="C852" t="s">
        <v>444</v>
      </c>
      <c r="D852" t="s">
        <v>33</v>
      </c>
      <c r="E852">
        <f>_xlfn.XLOOKUP(D852,'Resumen Estudiantes y Profesore'!B:B,'Resumen Estudiantes y Profesore'!A:A)</f>
        <v>38</v>
      </c>
      <c r="F852" t="s">
        <v>243</v>
      </c>
      <c r="G852" t="s">
        <v>246</v>
      </c>
      <c r="H852" t="s">
        <v>246</v>
      </c>
      <c r="I852" t="s">
        <v>682</v>
      </c>
      <c r="J852" t="s">
        <v>89</v>
      </c>
      <c r="K852" s="120" t="s">
        <v>3099</v>
      </c>
      <c r="N852" s="49"/>
    </row>
    <row r="853" spans="1:14">
      <c r="A853" t="s">
        <v>3100</v>
      </c>
      <c r="B853" t="s">
        <v>3101</v>
      </c>
      <c r="C853" t="s">
        <v>446</v>
      </c>
      <c r="D853" t="s">
        <v>34</v>
      </c>
      <c r="E853">
        <f>_xlfn.XLOOKUP(D853,'Resumen Estudiantes y Profesore'!B:B,'Resumen Estudiantes y Profesore'!A:A)</f>
        <v>39</v>
      </c>
      <c r="F853" t="s">
        <v>243</v>
      </c>
      <c r="G853" t="s">
        <v>246</v>
      </c>
      <c r="H853" t="s">
        <v>246</v>
      </c>
      <c r="I853" t="s">
        <v>682</v>
      </c>
      <c r="J853" t="s">
        <v>89</v>
      </c>
      <c r="K853" s="120" t="s">
        <v>3102</v>
      </c>
      <c r="N853" s="49"/>
    </row>
    <row r="854" spans="1:14">
      <c r="A854" t="s">
        <v>3103</v>
      </c>
      <c r="B854" t="s">
        <v>3104</v>
      </c>
      <c r="C854" t="s">
        <v>424</v>
      </c>
      <c r="D854" t="s">
        <v>24</v>
      </c>
      <c r="E854">
        <f>_xlfn.XLOOKUP(D854,'Resumen Estudiantes y Profesore'!B:B,'Resumen Estudiantes y Profesore'!A:A)</f>
        <v>27</v>
      </c>
      <c r="F854" t="s">
        <v>243</v>
      </c>
      <c r="G854" t="s">
        <v>246</v>
      </c>
      <c r="H854" t="s">
        <v>246</v>
      </c>
      <c r="I854" t="s">
        <v>682</v>
      </c>
      <c r="J854" t="s">
        <v>83</v>
      </c>
      <c r="K854" s="120" t="s">
        <v>3105</v>
      </c>
      <c r="N854" s="49"/>
    </row>
    <row r="855" spans="1:14">
      <c r="A855" t="s">
        <v>3106</v>
      </c>
      <c r="B855" t="s">
        <v>3107</v>
      </c>
      <c r="C855" t="s">
        <v>424</v>
      </c>
      <c r="D855" t="s">
        <v>24</v>
      </c>
      <c r="E855">
        <f>_xlfn.XLOOKUP(D855,'Resumen Estudiantes y Profesore'!B:B,'Resumen Estudiantes y Profesore'!A:A)</f>
        <v>27</v>
      </c>
      <c r="F855" t="s">
        <v>243</v>
      </c>
      <c r="G855" t="s">
        <v>246</v>
      </c>
      <c r="H855" t="s">
        <v>246</v>
      </c>
      <c r="I855" t="s">
        <v>682</v>
      </c>
      <c r="J855" t="s">
        <v>83</v>
      </c>
      <c r="K855" s="120" t="s">
        <v>3108</v>
      </c>
      <c r="N855" s="49"/>
    </row>
    <row r="856" spans="1:14">
      <c r="A856" t="s">
        <v>3106</v>
      </c>
      <c r="B856" t="s">
        <v>3109</v>
      </c>
      <c r="C856" t="s">
        <v>428</v>
      </c>
      <c r="D856" t="s">
        <v>25</v>
      </c>
      <c r="E856">
        <f>_xlfn.XLOOKUP(D856,'Resumen Estudiantes y Profesore'!B:B,'Resumen Estudiantes y Profesore'!A:A)</f>
        <v>28</v>
      </c>
      <c r="F856" t="s">
        <v>243</v>
      </c>
      <c r="G856" t="s">
        <v>246</v>
      </c>
      <c r="H856" t="s">
        <v>246</v>
      </c>
      <c r="I856" t="s">
        <v>682</v>
      </c>
      <c r="J856" t="s">
        <v>83</v>
      </c>
      <c r="K856" s="120" t="s">
        <v>3110</v>
      </c>
      <c r="N856" s="49"/>
    </row>
    <row r="857" spans="1:14">
      <c r="A857" t="s">
        <v>3106</v>
      </c>
      <c r="B857" t="s">
        <v>3111</v>
      </c>
      <c r="C857" t="s">
        <v>426</v>
      </c>
      <c r="D857" t="s">
        <v>23</v>
      </c>
      <c r="E857">
        <f>_xlfn.XLOOKUP(D857,'Resumen Estudiantes y Profesore'!B:B,'Resumen Estudiantes y Profesore'!A:A)</f>
        <v>26</v>
      </c>
      <c r="F857" t="s">
        <v>243</v>
      </c>
      <c r="G857" t="s">
        <v>246</v>
      </c>
      <c r="H857" t="s">
        <v>246</v>
      </c>
      <c r="I857" t="s">
        <v>682</v>
      </c>
      <c r="J857" t="s">
        <v>83</v>
      </c>
      <c r="K857" s="120" t="s">
        <v>3112</v>
      </c>
      <c r="N857" s="49"/>
    </row>
    <row r="858" spans="1:14">
      <c r="A858" t="s">
        <v>3113</v>
      </c>
      <c r="B858" t="s">
        <v>3114</v>
      </c>
      <c r="C858" t="s">
        <v>2905</v>
      </c>
      <c r="D858" t="s">
        <v>169</v>
      </c>
      <c r="E858">
        <f>_xlfn.XLOOKUP(D858,'Resumen Estudiantes y Profesore'!B:B,'Resumen Estudiantes y Profesore'!A:A)</f>
        <v>139</v>
      </c>
      <c r="F858" t="s">
        <v>243</v>
      </c>
      <c r="G858" t="s">
        <v>246</v>
      </c>
      <c r="H858" t="s">
        <v>246</v>
      </c>
      <c r="I858" t="s">
        <v>674</v>
      </c>
      <c r="J858" t="s">
        <v>138</v>
      </c>
      <c r="K858" s="120" t="s">
        <v>3115</v>
      </c>
      <c r="N858" s="49"/>
    </row>
    <row r="859" spans="1:14">
      <c r="A859" t="s">
        <v>3116</v>
      </c>
      <c r="B859" t="s">
        <v>3117</v>
      </c>
      <c r="C859" t="s">
        <v>508</v>
      </c>
      <c r="D859" t="s">
        <v>152</v>
      </c>
      <c r="E859">
        <f>_xlfn.XLOOKUP(D859,'Resumen Estudiantes y Profesore'!B:B,'Resumen Estudiantes y Profesore'!A:A)</f>
        <v>108</v>
      </c>
      <c r="F859" t="s">
        <v>243</v>
      </c>
      <c r="G859" t="s">
        <v>246</v>
      </c>
      <c r="H859" t="s">
        <v>246</v>
      </c>
      <c r="I859" t="s">
        <v>674</v>
      </c>
      <c r="J859" t="s">
        <v>91</v>
      </c>
      <c r="K859" s="120" t="s">
        <v>3118</v>
      </c>
      <c r="N859" s="49"/>
    </row>
    <row r="860" spans="1:14">
      <c r="A860" t="s">
        <v>3116</v>
      </c>
      <c r="B860" t="s">
        <v>3119</v>
      </c>
      <c r="C860" t="s">
        <v>453</v>
      </c>
      <c r="D860" t="s">
        <v>39</v>
      </c>
      <c r="E860">
        <f>_xlfn.XLOOKUP(D860,'Resumen Estudiantes y Profesore'!B:B,'Resumen Estudiantes y Profesore'!A:A)</f>
        <v>43</v>
      </c>
      <c r="F860" t="s">
        <v>243</v>
      </c>
      <c r="G860" t="s">
        <v>246</v>
      </c>
      <c r="H860" t="s">
        <v>246</v>
      </c>
      <c r="I860" t="s">
        <v>682</v>
      </c>
      <c r="J860" t="s">
        <v>91</v>
      </c>
      <c r="K860" s="120" t="s">
        <v>3120</v>
      </c>
      <c r="N860" s="49"/>
    </row>
    <row r="861" spans="1:14">
      <c r="A861" t="s">
        <v>3121</v>
      </c>
      <c r="B861" t="s">
        <v>3122</v>
      </c>
      <c r="C861" t="s">
        <v>424</v>
      </c>
      <c r="D861" t="s">
        <v>24</v>
      </c>
      <c r="E861">
        <f>_xlfn.XLOOKUP(D861,'Resumen Estudiantes y Profesore'!B:B,'Resumen Estudiantes y Profesore'!A:A)</f>
        <v>27</v>
      </c>
      <c r="F861" t="s">
        <v>243</v>
      </c>
      <c r="G861" t="s">
        <v>246</v>
      </c>
      <c r="H861" t="s">
        <v>246</v>
      </c>
      <c r="I861" t="s">
        <v>682</v>
      </c>
      <c r="J861" t="s">
        <v>83</v>
      </c>
      <c r="K861" s="120" t="s">
        <v>3123</v>
      </c>
      <c r="N861" s="49"/>
    </row>
    <row r="862" spans="1:14">
      <c r="A862" t="s">
        <v>3124</v>
      </c>
      <c r="B862" t="s">
        <v>3125</v>
      </c>
      <c r="C862" t="s">
        <v>428</v>
      </c>
      <c r="D862" t="s">
        <v>25</v>
      </c>
      <c r="E862">
        <f>_xlfn.XLOOKUP(D862,'Resumen Estudiantes y Profesore'!B:B,'Resumen Estudiantes y Profesore'!A:A)</f>
        <v>28</v>
      </c>
      <c r="F862" t="s">
        <v>243</v>
      </c>
      <c r="G862" t="s">
        <v>246</v>
      </c>
      <c r="H862" t="s">
        <v>246</v>
      </c>
      <c r="I862" t="s">
        <v>682</v>
      </c>
      <c r="J862" t="s">
        <v>83</v>
      </c>
      <c r="K862" s="120" t="s">
        <v>3126</v>
      </c>
      <c r="N862" s="49"/>
    </row>
    <row r="863" spans="1:14">
      <c r="A863" t="s">
        <v>3127</v>
      </c>
      <c r="B863" t="s">
        <v>3128</v>
      </c>
      <c r="C863" t="s">
        <v>451</v>
      </c>
      <c r="D863" t="s">
        <v>38</v>
      </c>
      <c r="E863">
        <f>_xlfn.XLOOKUP(D863,'Resumen Estudiantes y Profesore'!B:B,'Resumen Estudiantes y Profesore'!A:A)</f>
        <v>42</v>
      </c>
      <c r="F863" t="s">
        <v>243</v>
      </c>
      <c r="G863" t="s">
        <v>246</v>
      </c>
      <c r="H863" t="s">
        <v>246</v>
      </c>
      <c r="I863" t="s">
        <v>682</v>
      </c>
      <c r="J863" t="s">
        <v>90</v>
      </c>
      <c r="K863" s="120" t="s">
        <v>3129</v>
      </c>
      <c r="N863" s="49"/>
    </row>
    <row r="864" spans="1:14">
      <c r="A864" t="s">
        <v>3130</v>
      </c>
      <c r="B864" t="s">
        <v>3131</v>
      </c>
      <c r="C864" t="s">
        <v>709</v>
      </c>
      <c r="D864" t="s">
        <v>153</v>
      </c>
      <c r="E864">
        <f>_xlfn.XLOOKUP(D864,'Resumen Estudiantes y Profesore'!B:B,'Resumen Estudiantes y Profesore'!A:A)</f>
        <v>104</v>
      </c>
      <c r="F864" t="s">
        <v>243</v>
      </c>
      <c r="G864" t="s">
        <v>246</v>
      </c>
      <c r="H864" t="s">
        <v>246</v>
      </c>
      <c r="I864" t="s">
        <v>674</v>
      </c>
      <c r="J864" t="s">
        <v>87</v>
      </c>
      <c r="K864" s="120" t="s">
        <v>3132</v>
      </c>
      <c r="N864" s="49"/>
    </row>
    <row r="865" spans="1:14">
      <c r="A865" t="s">
        <v>3133</v>
      </c>
      <c r="B865" t="s">
        <v>3134</v>
      </c>
      <c r="C865" t="s">
        <v>456</v>
      </c>
      <c r="D865" t="s">
        <v>185</v>
      </c>
      <c r="E865">
        <f>_xlfn.XLOOKUP(D865,'Resumen Estudiantes y Profesore'!B:B,'Resumen Estudiantes y Profesore'!A:A)</f>
        <v>57</v>
      </c>
      <c r="F865" t="s">
        <v>243</v>
      </c>
      <c r="G865" t="s">
        <v>246</v>
      </c>
      <c r="H865" t="s">
        <v>246</v>
      </c>
      <c r="I865" t="s">
        <v>674</v>
      </c>
      <c r="J865" t="s">
        <v>84</v>
      </c>
      <c r="K865" s="120" t="s">
        <v>3135</v>
      </c>
      <c r="N865" s="49"/>
    </row>
    <row r="866" spans="1:14">
      <c r="A866" t="s">
        <v>3136</v>
      </c>
      <c r="B866" t="s">
        <v>3137</v>
      </c>
      <c r="C866" t="s">
        <v>3138</v>
      </c>
      <c r="D866" t="s">
        <v>118</v>
      </c>
      <c r="E866">
        <f>_xlfn.XLOOKUP(D866,'Resumen Estudiantes y Profesore'!B:B,'Resumen Estudiantes y Profesore'!A:A)</f>
        <v>18</v>
      </c>
      <c r="F866" t="s">
        <v>243</v>
      </c>
      <c r="G866" t="s">
        <v>246</v>
      </c>
      <c r="H866" t="s">
        <v>246</v>
      </c>
      <c r="I866" t="s">
        <v>674</v>
      </c>
      <c r="J866" t="s">
        <v>90</v>
      </c>
      <c r="K866" s="120" t="s">
        <v>3139</v>
      </c>
      <c r="N866" s="49"/>
    </row>
    <row r="867" spans="1:14">
      <c r="A867" t="s">
        <v>3140</v>
      </c>
      <c r="B867" t="s">
        <v>3141</v>
      </c>
      <c r="C867" t="s">
        <v>448</v>
      </c>
      <c r="D867" t="s">
        <v>35</v>
      </c>
      <c r="E867">
        <f>_xlfn.XLOOKUP(D867,'Resumen Estudiantes y Profesore'!B:B,'Resumen Estudiantes y Profesore'!A:A)</f>
        <v>40</v>
      </c>
      <c r="F867" t="s">
        <v>243</v>
      </c>
      <c r="G867" t="s">
        <v>246</v>
      </c>
      <c r="H867" t="s">
        <v>246</v>
      </c>
      <c r="I867" t="s">
        <v>682</v>
      </c>
      <c r="J867" t="s">
        <v>89</v>
      </c>
      <c r="K867" s="120" t="s">
        <v>3142</v>
      </c>
      <c r="N867" s="49"/>
    </row>
    <row r="868" spans="1:14">
      <c r="A868" t="s">
        <v>3143</v>
      </c>
      <c r="B868" t="s">
        <v>3144</v>
      </c>
      <c r="C868" t="s">
        <v>418</v>
      </c>
      <c r="D868" t="s">
        <v>232</v>
      </c>
      <c r="E868">
        <f>_xlfn.XLOOKUP(D868,'Resumen Estudiantes y Profesore'!B:B,'Resumen Estudiantes y Profesore'!A:A)</f>
        <v>151</v>
      </c>
      <c r="F868" t="s">
        <v>243</v>
      </c>
      <c r="G868" t="s">
        <v>246</v>
      </c>
      <c r="H868" t="s">
        <v>246</v>
      </c>
      <c r="I868" t="s">
        <v>682</v>
      </c>
      <c r="J868" t="s">
        <v>77</v>
      </c>
      <c r="K868" s="120" t="s">
        <v>3145</v>
      </c>
      <c r="N868" s="49"/>
    </row>
    <row r="869" spans="1:14">
      <c r="A869" t="s">
        <v>3146</v>
      </c>
      <c r="B869" t="s">
        <v>3147</v>
      </c>
      <c r="C869" t="s">
        <v>446</v>
      </c>
      <c r="D869" t="s">
        <v>34</v>
      </c>
      <c r="E869">
        <f>_xlfn.XLOOKUP(D869,'Resumen Estudiantes y Profesore'!B:B,'Resumen Estudiantes y Profesore'!A:A)</f>
        <v>39</v>
      </c>
      <c r="F869" t="s">
        <v>243</v>
      </c>
      <c r="G869" t="s">
        <v>246</v>
      </c>
      <c r="H869" t="s">
        <v>246</v>
      </c>
      <c r="I869" t="s">
        <v>682</v>
      </c>
      <c r="J869" t="s">
        <v>89</v>
      </c>
      <c r="K869" s="120" t="s">
        <v>3148</v>
      </c>
      <c r="N869" s="49"/>
    </row>
    <row r="870" spans="1:14">
      <c r="A870" t="s">
        <v>3149</v>
      </c>
      <c r="B870" t="s">
        <v>3150</v>
      </c>
      <c r="C870" t="s">
        <v>630</v>
      </c>
      <c r="D870" t="s">
        <v>536</v>
      </c>
      <c r="E870" t="e">
        <f>_xlfn.XLOOKUP(D870,'Resumen Estudiantes y Profesore'!B:B,'Resumen Estudiantes y Profesore'!A:A)</f>
        <v>#N/A</v>
      </c>
      <c r="F870" t="s">
        <v>243</v>
      </c>
      <c r="G870" t="s">
        <v>246</v>
      </c>
      <c r="H870" t="s">
        <v>246</v>
      </c>
      <c r="I870" t="s">
        <v>682</v>
      </c>
      <c r="J870" t="s">
        <v>1471</v>
      </c>
      <c r="K870" s="120" t="s">
        <v>3151</v>
      </c>
      <c r="N870" s="49"/>
    </row>
    <row r="871" spans="1:14">
      <c r="A871" t="s">
        <v>2714</v>
      </c>
      <c r="B871" t="s">
        <v>3152</v>
      </c>
      <c r="C871" t="s">
        <v>1394</v>
      </c>
      <c r="D871" t="s">
        <v>173</v>
      </c>
      <c r="E871">
        <f>_xlfn.XLOOKUP(D871,'Resumen Estudiantes y Profesore'!B:B,'Resumen Estudiantes y Profesore'!A:A)</f>
        <v>132</v>
      </c>
      <c r="F871" t="s">
        <v>243</v>
      </c>
      <c r="G871" t="s">
        <v>246</v>
      </c>
      <c r="H871" t="s">
        <v>246</v>
      </c>
      <c r="I871" t="s">
        <v>674</v>
      </c>
      <c r="J871" t="s">
        <v>138</v>
      </c>
      <c r="K871" s="120" t="s">
        <v>3153</v>
      </c>
      <c r="N871" s="49"/>
    </row>
    <row r="872" spans="1:14">
      <c r="A872" t="s">
        <v>2714</v>
      </c>
      <c r="B872" t="s">
        <v>3154</v>
      </c>
      <c r="C872" t="s">
        <v>1652</v>
      </c>
      <c r="D872" t="s">
        <v>155</v>
      </c>
      <c r="E872">
        <f>_xlfn.XLOOKUP(D872,'Resumen Estudiantes y Profesore'!B:B,'Resumen Estudiantes y Profesore'!A:A)</f>
        <v>208</v>
      </c>
      <c r="F872" t="s">
        <v>243</v>
      </c>
      <c r="G872" t="s">
        <v>246</v>
      </c>
      <c r="H872" t="s">
        <v>246</v>
      </c>
      <c r="I872" t="s">
        <v>674</v>
      </c>
      <c r="J872" t="s">
        <v>138</v>
      </c>
      <c r="K872" s="120" t="s">
        <v>3155</v>
      </c>
      <c r="N872" s="49"/>
    </row>
    <row r="873" spans="1:14">
      <c r="A873" t="s">
        <v>3156</v>
      </c>
      <c r="B873" t="s">
        <v>3157</v>
      </c>
      <c r="C873" t="s">
        <v>3003</v>
      </c>
      <c r="D873" t="s">
        <v>104</v>
      </c>
      <c r="E873">
        <f>_xlfn.XLOOKUP(D873,'Resumen Estudiantes y Profesore'!B:B,'Resumen Estudiantes y Profesore'!A:A)</f>
        <v>66</v>
      </c>
      <c r="F873" t="s">
        <v>243</v>
      </c>
      <c r="G873" t="s">
        <v>246</v>
      </c>
      <c r="H873" t="s">
        <v>246</v>
      </c>
      <c r="I873" t="s">
        <v>674</v>
      </c>
      <c r="J873" t="s">
        <v>87</v>
      </c>
      <c r="K873" s="120" t="s">
        <v>3158</v>
      </c>
      <c r="N873" s="49"/>
    </row>
    <row r="874" spans="1:14">
      <c r="A874" t="s">
        <v>3159</v>
      </c>
      <c r="B874" t="s">
        <v>3160</v>
      </c>
      <c r="C874" t="s">
        <v>740</v>
      </c>
      <c r="D874" t="s">
        <v>172</v>
      </c>
      <c r="E874">
        <f>_xlfn.XLOOKUP(D874,'Resumen Estudiantes y Profesore'!B:B,'Resumen Estudiantes y Profesore'!A:A)</f>
        <v>136</v>
      </c>
      <c r="F874" t="s">
        <v>243</v>
      </c>
      <c r="G874" t="s">
        <v>246</v>
      </c>
      <c r="H874" t="s">
        <v>246</v>
      </c>
      <c r="I874" t="s">
        <v>674</v>
      </c>
      <c r="J874" t="s">
        <v>138</v>
      </c>
      <c r="K874" s="120" t="s">
        <v>3161</v>
      </c>
      <c r="N874" s="49"/>
    </row>
    <row r="875" spans="1:14">
      <c r="A875" t="s">
        <v>3162</v>
      </c>
      <c r="B875" t="s">
        <v>3163</v>
      </c>
      <c r="C875" t="s">
        <v>781</v>
      </c>
      <c r="D875" t="s">
        <v>131</v>
      </c>
      <c r="E875">
        <f>_xlfn.XLOOKUP(D875,'Resumen Estudiantes y Profesore'!B:B,'Resumen Estudiantes y Profesore'!A:A)</f>
        <v>99</v>
      </c>
      <c r="F875" t="s">
        <v>243</v>
      </c>
      <c r="G875" t="s">
        <v>246</v>
      </c>
      <c r="H875" t="s">
        <v>246</v>
      </c>
      <c r="I875" t="s">
        <v>674</v>
      </c>
      <c r="J875" t="s">
        <v>84</v>
      </c>
      <c r="K875" s="120" t="s">
        <v>3164</v>
      </c>
      <c r="N875" s="49"/>
    </row>
    <row r="876" spans="1:14">
      <c r="A876" t="s">
        <v>3165</v>
      </c>
      <c r="B876" t="s">
        <v>3166</v>
      </c>
      <c r="C876" t="s">
        <v>1290</v>
      </c>
      <c r="D876" t="s">
        <v>110</v>
      </c>
      <c r="E876">
        <f>_xlfn.XLOOKUP(D876,'Resumen Estudiantes y Profesore'!B:B,'Resumen Estudiantes y Profesore'!A:A)</f>
        <v>2</v>
      </c>
      <c r="F876" t="s">
        <v>243</v>
      </c>
      <c r="G876" t="s">
        <v>246</v>
      </c>
      <c r="H876" t="s">
        <v>246</v>
      </c>
      <c r="I876" t="s">
        <v>674</v>
      </c>
      <c r="J876" t="s">
        <v>90</v>
      </c>
      <c r="K876" s="120" t="s">
        <v>3167</v>
      </c>
      <c r="N876" s="49"/>
    </row>
    <row r="877" spans="1:14">
      <c r="A877" t="s">
        <v>3165</v>
      </c>
      <c r="B877" t="s">
        <v>3168</v>
      </c>
      <c r="C877" t="s">
        <v>451</v>
      </c>
      <c r="D877" t="s">
        <v>38</v>
      </c>
      <c r="E877">
        <f>_xlfn.XLOOKUP(D877,'Resumen Estudiantes y Profesore'!B:B,'Resumen Estudiantes y Profesore'!A:A)</f>
        <v>42</v>
      </c>
      <c r="F877" t="s">
        <v>243</v>
      </c>
      <c r="G877" t="s">
        <v>246</v>
      </c>
      <c r="H877" t="s">
        <v>246</v>
      </c>
      <c r="I877" t="s">
        <v>682</v>
      </c>
      <c r="J877" t="s">
        <v>90</v>
      </c>
      <c r="K877" s="120" t="s">
        <v>3169</v>
      </c>
      <c r="N877" s="49"/>
    </row>
    <row r="878" spans="1:14">
      <c r="A878" t="s">
        <v>3170</v>
      </c>
      <c r="B878" t="s">
        <v>3171</v>
      </c>
      <c r="C878" t="s">
        <v>436</v>
      </c>
      <c r="D878" t="s">
        <v>29</v>
      </c>
      <c r="E878">
        <f>_xlfn.XLOOKUP(D878,'Resumen Estudiantes y Profesore'!B:B,'Resumen Estudiantes y Profesore'!A:A)</f>
        <v>33</v>
      </c>
      <c r="F878" t="s">
        <v>243</v>
      </c>
      <c r="G878" t="s">
        <v>246</v>
      </c>
      <c r="H878" t="s">
        <v>246</v>
      </c>
      <c r="I878" t="s">
        <v>682</v>
      </c>
      <c r="J878" t="s">
        <v>87</v>
      </c>
      <c r="K878" s="120" t="s">
        <v>3172</v>
      </c>
      <c r="N878" s="49"/>
    </row>
    <row r="879" spans="1:14">
      <c r="A879" t="s">
        <v>3173</v>
      </c>
      <c r="B879" t="s">
        <v>3174</v>
      </c>
      <c r="C879" t="s">
        <v>436</v>
      </c>
      <c r="D879" t="s">
        <v>29</v>
      </c>
      <c r="E879">
        <f>_xlfn.XLOOKUP(D879,'Resumen Estudiantes y Profesore'!B:B,'Resumen Estudiantes y Profesore'!A:A)</f>
        <v>33</v>
      </c>
      <c r="F879" t="s">
        <v>243</v>
      </c>
      <c r="G879" t="s">
        <v>246</v>
      </c>
      <c r="H879" t="s">
        <v>246</v>
      </c>
      <c r="I879" t="s">
        <v>682</v>
      </c>
      <c r="J879" t="s">
        <v>87</v>
      </c>
      <c r="K879" s="120" t="s">
        <v>3175</v>
      </c>
      <c r="N879" s="49"/>
    </row>
    <row r="880" spans="1:14">
      <c r="A880" t="s">
        <v>3176</v>
      </c>
      <c r="B880" t="s">
        <v>3177</v>
      </c>
      <c r="C880" t="s">
        <v>540</v>
      </c>
      <c r="D880" t="s">
        <v>106</v>
      </c>
      <c r="E880">
        <f>_xlfn.XLOOKUP(D880,'Resumen Estudiantes y Profesore'!B:B,'Resumen Estudiantes y Profesore'!A:A)</f>
        <v>59</v>
      </c>
      <c r="F880" t="s">
        <v>243</v>
      </c>
      <c r="G880" t="s">
        <v>246</v>
      </c>
      <c r="H880" t="s">
        <v>246</v>
      </c>
      <c r="I880" t="s">
        <v>674</v>
      </c>
      <c r="J880" t="s">
        <v>85</v>
      </c>
      <c r="K880" s="120" t="s">
        <v>3178</v>
      </c>
      <c r="N880" s="49"/>
    </row>
    <row r="881" spans="1:23">
      <c r="A881" t="s">
        <v>3179</v>
      </c>
      <c r="B881" t="s">
        <v>3180</v>
      </c>
      <c r="C881" t="s">
        <v>709</v>
      </c>
      <c r="D881" t="s">
        <v>153</v>
      </c>
      <c r="E881">
        <f>_xlfn.XLOOKUP(D881,'Resumen Estudiantes y Profesore'!B:B,'Resumen Estudiantes y Profesore'!A:A)</f>
        <v>104</v>
      </c>
      <c r="F881" t="s">
        <v>243</v>
      </c>
      <c r="G881" t="s">
        <v>246</v>
      </c>
      <c r="H881" t="s">
        <v>246</v>
      </c>
      <c r="I881" t="s">
        <v>674</v>
      </c>
      <c r="J881" t="s">
        <v>87</v>
      </c>
      <c r="K881" s="120" t="s">
        <v>3181</v>
      </c>
      <c r="N881" s="49"/>
    </row>
    <row r="882" spans="1:23">
      <c r="A882" t="s">
        <v>3182</v>
      </c>
      <c r="B882" t="s">
        <v>3183</v>
      </c>
      <c r="C882" t="s">
        <v>709</v>
      </c>
      <c r="D882" t="s">
        <v>153</v>
      </c>
      <c r="E882">
        <f>_xlfn.XLOOKUP(D882,'Resumen Estudiantes y Profesore'!B:B,'Resumen Estudiantes y Profesore'!A:A)</f>
        <v>104</v>
      </c>
      <c r="F882" t="s">
        <v>243</v>
      </c>
      <c r="G882" t="s">
        <v>246</v>
      </c>
      <c r="H882" t="s">
        <v>246</v>
      </c>
      <c r="I882" t="s">
        <v>674</v>
      </c>
      <c r="J882" t="s">
        <v>87</v>
      </c>
      <c r="K882" s="120" t="s">
        <v>3184</v>
      </c>
      <c r="N882" s="49"/>
    </row>
    <row r="883" spans="1:23">
      <c r="A883" t="s">
        <v>3185</v>
      </c>
      <c r="B883" t="s">
        <v>3186</v>
      </c>
      <c r="C883" t="s">
        <v>419</v>
      </c>
      <c r="D883" t="s">
        <v>233</v>
      </c>
      <c r="E883">
        <f>_xlfn.XLOOKUP(D883,'Resumen Estudiantes y Profesore'!B:B,'Resumen Estudiantes y Profesore'!A:A)</f>
        <v>152</v>
      </c>
      <c r="F883" t="s">
        <v>243</v>
      </c>
      <c r="G883" t="s">
        <v>246</v>
      </c>
      <c r="H883" t="s">
        <v>246</v>
      </c>
      <c r="I883" t="s">
        <v>682</v>
      </c>
      <c r="J883" t="s">
        <v>77</v>
      </c>
      <c r="K883" s="120" t="s">
        <v>3187</v>
      </c>
      <c r="N883" s="49"/>
    </row>
    <row r="884" spans="1:23">
      <c r="A884" t="s">
        <v>3188</v>
      </c>
      <c r="B884" t="s">
        <v>3189</v>
      </c>
      <c r="C884" t="s">
        <v>451</v>
      </c>
      <c r="D884" t="s">
        <v>38</v>
      </c>
      <c r="E884">
        <f>_xlfn.XLOOKUP(D884,'Resumen Estudiantes y Profesore'!B:B,'Resumen Estudiantes y Profesore'!A:A)</f>
        <v>42</v>
      </c>
      <c r="F884" t="s">
        <v>243</v>
      </c>
      <c r="G884" t="s">
        <v>246</v>
      </c>
      <c r="H884" t="s">
        <v>246</v>
      </c>
      <c r="I884" t="s">
        <v>682</v>
      </c>
      <c r="J884" t="s">
        <v>90</v>
      </c>
      <c r="K884" s="120" t="s">
        <v>3190</v>
      </c>
      <c r="N884" s="49"/>
    </row>
    <row r="885" spans="1:23">
      <c r="A885" t="s">
        <v>3191</v>
      </c>
      <c r="B885" t="s">
        <v>3192</v>
      </c>
      <c r="C885" t="s">
        <v>93</v>
      </c>
      <c r="D885" t="s">
        <v>93</v>
      </c>
      <c r="E885">
        <f>_xlfn.XLOOKUP(D885,'Resumen Estudiantes y Profesore'!B:B,'Resumen Estudiantes y Profesore'!A:A)</f>
        <v>210</v>
      </c>
      <c r="F885" t="s">
        <v>243</v>
      </c>
      <c r="G885" t="s">
        <v>246</v>
      </c>
      <c r="H885" t="s">
        <v>246</v>
      </c>
      <c r="I885" t="s">
        <v>682</v>
      </c>
      <c r="J885" t="s">
        <v>93</v>
      </c>
      <c r="K885" s="120" t="s">
        <v>3193</v>
      </c>
      <c r="N885" s="49"/>
    </row>
    <row r="886" spans="1:23">
      <c r="A886" t="s">
        <v>3194</v>
      </c>
      <c r="B886" t="s">
        <v>3195</v>
      </c>
      <c r="C886" t="s">
        <v>882</v>
      </c>
      <c r="D886" t="s">
        <v>143</v>
      </c>
      <c r="E886">
        <f>_xlfn.XLOOKUP(D886,'Resumen Estudiantes y Profesore'!B:B,'Resumen Estudiantes y Profesore'!A:A)</f>
        <v>120</v>
      </c>
      <c r="F886" t="s">
        <v>243</v>
      </c>
      <c r="G886" t="s">
        <v>246</v>
      </c>
      <c r="H886" t="s">
        <v>246</v>
      </c>
      <c r="I886" t="s">
        <v>674</v>
      </c>
      <c r="J886" t="s">
        <v>138</v>
      </c>
      <c r="K886" s="120" t="s">
        <v>3196</v>
      </c>
      <c r="N886" s="49"/>
    </row>
    <row r="887" spans="1:23">
      <c r="A887" s="75" t="s">
        <v>3197</v>
      </c>
      <c r="B887" t="s">
        <v>3198</v>
      </c>
      <c r="C887" t="s">
        <v>747</v>
      </c>
      <c r="D887" t="s">
        <v>178</v>
      </c>
      <c r="E887">
        <f>_xlfn.XLOOKUP(D887,'Resumen Estudiantes y Profesore'!B:B,'Resumen Estudiantes y Profesore'!A:A)</f>
        <v>75</v>
      </c>
      <c r="F887" t="s">
        <v>243</v>
      </c>
      <c r="G887" t="s">
        <v>246</v>
      </c>
      <c r="H887" t="s">
        <v>246</v>
      </c>
      <c r="I887" t="s">
        <v>674</v>
      </c>
      <c r="J887" t="s">
        <v>89</v>
      </c>
      <c r="K887" s="120" t="s">
        <v>3199</v>
      </c>
      <c r="L887" s="81"/>
      <c r="M887" s="81"/>
      <c r="N887" s="49"/>
      <c r="O887" s="81"/>
      <c r="P887" s="81"/>
      <c r="Q887" s="81"/>
      <c r="R887" s="81"/>
      <c r="S887" s="81"/>
      <c r="T887" s="81"/>
      <c r="U887" s="81"/>
      <c r="V887" s="81"/>
      <c r="W887" s="81"/>
    </row>
    <row r="888" spans="1:23">
      <c r="A888" t="s">
        <v>3197</v>
      </c>
      <c r="B888" t="s">
        <v>3200</v>
      </c>
      <c r="C888" t="s">
        <v>678</v>
      </c>
      <c r="D888" t="s">
        <v>180</v>
      </c>
      <c r="E888">
        <f>_xlfn.XLOOKUP(D888,'Resumen Estudiantes y Profesore'!B:B,'Resumen Estudiantes y Profesore'!A:A)</f>
        <v>74</v>
      </c>
      <c r="F888" t="s">
        <v>243</v>
      </c>
      <c r="G888" t="s">
        <v>246</v>
      </c>
      <c r="H888" t="s">
        <v>246</v>
      </c>
      <c r="I888" t="s">
        <v>674</v>
      </c>
      <c r="J888" t="s">
        <v>89</v>
      </c>
      <c r="K888" s="120" t="s">
        <v>3201</v>
      </c>
      <c r="N888" s="49"/>
    </row>
    <row r="889" spans="1:23">
      <c r="A889" t="s">
        <v>3202</v>
      </c>
      <c r="B889" t="s">
        <v>3203</v>
      </c>
      <c r="C889" t="s">
        <v>462</v>
      </c>
      <c r="D889" t="s">
        <v>190</v>
      </c>
      <c r="E889">
        <f>_xlfn.XLOOKUP(D889,'Resumen Estudiantes y Profesore'!B:B,'Resumen Estudiantes y Profesore'!A:A)</f>
        <v>64</v>
      </c>
      <c r="F889" t="s">
        <v>243</v>
      </c>
      <c r="G889" t="s">
        <v>246</v>
      </c>
      <c r="H889" t="s">
        <v>246</v>
      </c>
      <c r="I889" t="s">
        <v>674</v>
      </c>
      <c r="J889" t="s">
        <v>85</v>
      </c>
      <c r="K889" s="120" t="s">
        <v>3204</v>
      </c>
      <c r="N889" s="49"/>
    </row>
    <row r="890" spans="1:23">
      <c r="A890" t="s">
        <v>3202</v>
      </c>
      <c r="B890" t="s">
        <v>3205</v>
      </c>
      <c r="C890" t="s">
        <v>483</v>
      </c>
      <c r="D890" t="s">
        <v>215</v>
      </c>
      <c r="E890">
        <f>_xlfn.XLOOKUP(D890,'Resumen Estudiantes y Profesore'!B:B,'Resumen Estudiantes y Profesore'!A:A)</f>
        <v>85</v>
      </c>
      <c r="F890" t="s">
        <v>243</v>
      </c>
      <c r="G890" t="s">
        <v>246</v>
      </c>
      <c r="H890" t="s">
        <v>246</v>
      </c>
      <c r="I890" t="s">
        <v>674</v>
      </c>
      <c r="J890" t="s">
        <v>85</v>
      </c>
      <c r="K890" s="120" t="s">
        <v>3206</v>
      </c>
      <c r="N890" s="49"/>
    </row>
    <row r="891" spans="1:23">
      <c r="A891" t="s">
        <v>3207</v>
      </c>
      <c r="B891" t="s">
        <v>3208</v>
      </c>
      <c r="C891" t="s">
        <v>428</v>
      </c>
      <c r="D891" t="s">
        <v>25</v>
      </c>
      <c r="E891">
        <f>_xlfn.XLOOKUP(D891,'Resumen Estudiantes y Profesore'!B:B,'Resumen Estudiantes y Profesore'!A:A)</f>
        <v>28</v>
      </c>
      <c r="F891" t="s">
        <v>243</v>
      </c>
      <c r="G891" t="s">
        <v>246</v>
      </c>
      <c r="H891" t="s">
        <v>246</v>
      </c>
      <c r="I891" t="s">
        <v>682</v>
      </c>
      <c r="J891" t="s">
        <v>83</v>
      </c>
      <c r="K891" s="120" t="s">
        <v>3209</v>
      </c>
      <c r="N891" s="49"/>
    </row>
    <row r="892" spans="1:23">
      <c r="A892" t="s">
        <v>3210</v>
      </c>
      <c r="B892" t="s">
        <v>3211</v>
      </c>
      <c r="C892" t="s">
        <v>431</v>
      </c>
      <c r="D892" t="s">
        <v>27</v>
      </c>
      <c r="E892">
        <f>_xlfn.XLOOKUP(D892,'Resumen Estudiantes y Profesore'!B:B,'Resumen Estudiantes y Profesore'!A:A)</f>
        <v>30</v>
      </c>
      <c r="F892" t="s">
        <v>243</v>
      </c>
      <c r="G892" t="s">
        <v>246</v>
      </c>
      <c r="H892" t="s">
        <v>246</v>
      </c>
      <c r="I892" t="s">
        <v>682</v>
      </c>
      <c r="J892" t="s">
        <v>84</v>
      </c>
      <c r="K892" s="120" t="s">
        <v>3212</v>
      </c>
      <c r="N892" s="49"/>
    </row>
    <row r="893" spans="1:23">
      <c r="A893" t="s">
        <v>3213</v>
      </c>
      <c r="B893" t="s">
        <v>3214</v>
      </c>
      <c r="C893" t="s">
        <v>431</v>
      </c>
      <c r="D893" t="s">
        <v>27</v>
      </c>
      <c r="E893">
        <f>_xlfn.XLOOKUP(D893,'Resumen Estudiantes y Profesore'!B:B,'Resumen Estudiantes y Profesore'!A:A)</f>
        <v>30</v>
      </c>
      <c r="F893" t="s">
        <v>243</v>
      </c>
      <c r="G893" t="s">
        <v>246</v>
      </c>
      <c r="H893" t="s">
        <v>246</v>
      </c>
      <c r="I893" t="s">
        <v>682</v>
      </c>
      <c r="J893" t="s">
        <v>84</v>
      </c>
      <c r="K893" s="120" t="s">
        <v>3215</v>
      </c>
      <c r="N893" s="49"/>
    </row>
    <row r="894" spans="1:23">
      <c r="A894" t="s">
        <v>3216</v>
      </c>
      <c r="B894" t="s">
        <v>3217</v>
      </c>
      <c r="C894" t="s">
        <v>428</v>
      </c>
      <c r="D894" t="s">
        <v>25</v>
      </c>
      <c r="E894">
        <f>_xlfn.XLOOKUP(D894,'Resumen Estudiantes y Profesore'!B:B,'Resumen Estudiantes y Profesore'!A:A)</f>
        <v>28</v>
      </c>
      <c r="F894" t="s">
        <v>243</v>
      </c>
      <c r="G894" t="s">
        <v>246</v>
      </c>
      <c r="H894" t="s">
        <v>246</v>
      </c>
      <c r="I894" t="s">
        <v>682</v>
      </c>
      <c r="J894" t="s">
        <v>83</v>
      </c>
      <c r="K894" s="120" t="s">
        <v>3218</v>
      </c>
      <c r="N894" s="49"/>
    </row>
    <row r="895" spans="1:23">
      <c r="A895" t="s">
        <v>3219</v>
      </c>
      <c r="B895" t="s">
        <v>3220</v>
      </c>
      <c r="C895" t="s">
        <v>420</v>
      </c>
      <c r="D895" t="s">
        <v>235</v>
      </c>
      <c r="E895">
        <f>_xlfn.XLOOKUP(D895,'Resumen Estudiantes y Profesore'!B:B,'Resumen Estudiantes y Profesore'!A:A)</f>
        <v>154</v>
      </c>
      <c r="F895" t="s">
        <v>243</v>
      </c>
      <c r="G895" t="s">
        <v>246</v>
      </c>
      <c r="H895" t="s">
        <v>246</v>
      </c>
      <c r="I895" t="s">
        <v>682</v>
      </c>
      <c r="J895" t="s">
        <v>77</v>
      </c>
      <c r="K895" s="120" t="s">
        <v>3221</v>
      </c>
      <c r="N895" s="49"/>
    </row>
    <row r="896" spans="1:23">
      <c r="A896" t="s">
        <v>3222</v>
      </c>
      <c r="B896" t="s">
        <v>3223</v>
      </c>
      <c r="C896" t="s">
        <v>434</v>
      </c>
      <c r="D896" t="s">
        <v>28</v>
      </c>
      <c r="E896">
        <f>_xlfn.XLOOKUP(D896,'Resumen Estudiantes y Profesore'!B:B,'Resumen Estudiantes y Profesore'!A:A)</f>
        <v>32</v>
      </c>
      <c r="F896" t="s">
        <v>243</v>
      </c>
      <c r="G896" t="s">
        <v>246</v>
      </c>
      <c r="H896" t="s">
        <v>246</v>
      </c>
      <c r="I896" t="s">
        <v>682</v>
      </c>
      <c r="J896" t="s">
        <v>85</v>
      </c>
      <c r="K896" s="120" t="s">
        <v>3224</v>
      </c>
      <c r="N896" s="49"/>
    </row>
    <row r="897" spans="1:14">
      <c r="A897" t="s">
        <v>3225</v>
      </c>
      <c r="B897" t="s">
        <v>3226</v>
      </c>
      <c r="C897" t="s">
        <v>428</v>
      </c>
      <c r="D897" t="s">
        <v>25</v>
      </c>
      <c r="E897">
        <f>_xlfn.XLOOKUP(D897,'Resumen Estudiantes y Profesore'!B:B,'Resumen Estudiantes y Profesore'!A:A)</f>
        <v>28</v>
      </c>
      <c r="F897" t="s">
        <v>243</v>
      </c>
      <c r="G897" t="s">
        <v>246</v>
      </c>
      <c r="H897" t="s">
        <v>246</v>
      </c>
      <c r="I897" t="s">
        <v>682</v>
      </c>
      <c r="J897" t="s">
        <v>83</v>
      </c>
      <c r="K897" s="120" t="s">
        <v>3227</v>
      </c>
      <c r="N897" s="49"/>
    </row>
    <row r="898" spans="1:14">
      <c r="A898" t="s">
        <v>3228</v>
      </c>
      <c r="B898" t="s">
        <v>3229</v>
      </c>
      <c r="C898" t="s">
        <v>612</v>
      </c>
      <c r="D898" t="s">
        <v>177</v>
      </c>
      <c r="E898">
        <f>_xlfn.XLOOKUP(D898,'Resumen Estudiantes y Profesore'!B:B,'Resumen Estudiantes y Profesore'!A:A)</f>
        <v>122</v>
      </c>
      <c r="F898" t="s">
        <v>243</v>
      </c>
      <c r="G898" t="s">
        <v>246</v>
      </c>
      <c r="H898" t="s">
        <v>246</v>
      </c>
      <c r="I898" t="s">
        <v>674</v>
      </c>
      <c r="J898" t="s">
        <v>84</v>
      </c>
      <c r="K898" s="120" t="s">
        <v>3230</v>
      </c>
      <c r="N898" s="49"/>
    </row>
    <row r="899" spans="1:14">
      <c r="A899" t="s">
        <v>3231</v>
      </c>
      <c r="B899" t="s">
        <v>3232</v>
      </c>
      <c r="C899" t="s">
        <v>434</v>
      </c>
      <c r="D899" t="s">
        <v>28</v>
      </c>
      <c r="E899">
        <f>_xlfn.XLOOKUP(D899,'Resumen Estudiantes y Profesore'!B:B,'Resumen Estudiantes y Profesore'!A:A)</f>
        <v>32</v>
      </c>
      <c r="F899" t="s">
        <v>243</v>
      </c>
      <c r="G899" t="s">
        <v>246</v>
      </c>
      <c r="H899" t="s">
        <v>246</v>
      </c>
      <c r="I899" t="s">
        <v>682</v>
      </c>
      <c r="J899" t="s">
        <v>85</v>
      </c>
      <c r="K899" s="120" t="s">
        <v>3233</v>
      </c>
      <c r="N899" s="49"/>
    </row>
    <row r="900" spans="1:14">
      <c r="A900" t="s">
        <v>3231</v>
      </c>
      <c r="B900" t="s">
        <v>3234</v>
      </c>
      <c r="C900" t="s">
        <v>432</v>
      </c>
      <c r="D900" t="s">
        <v>41</v>
      </c>
      <c r="E900">
        <f>_xlfn.XLOOKUP(D900,'Resumen Estudiantes y Profesore'!B:B,'Resumen Estudiantes y Profesore'!A:A)</f>
        <v>31</v>
      </c>
      <c r="F900" t="s">
        <v>243</v>
      </c>
      <c r="G900" t="s">
        <v>246</v>
      </c>
      <c r="H900" t="s">
        <v>246</v>
      </c>
      <c r="I900" t="s">
        <v>682</v>
      </c>
      <c r="J900" t="s">
        <v>85</v>
      </c>
      <c r="K900" s="120" t="s">
        <v>3235</v>
      </c>
      <c r="N900" s="49"/>
    </row>
    <row r="901" spans="1:14">
      <c r="A901" t="s">
        <v>3236</v>
      </c>
      <c r="B901" t="s">
        <v>3237</v>
      </c>
      <c r="C901" t="s">
        <v>462</v>
      </c>
      <c r="D901" t="s">
        <v>190</v>
      </c>
      <c r="E901">
        <f>_xlfn.XLOOKUP(D901,'Resumen Estudiantes y Profesore'!B:B,'Resumen Estudiantes y Profesore'!A:A)</f>
        <v>64</v>
      </c>
      <c r="F901" t="s">
        <v>243</v>
      </c>
      <c r="G901" t="s">
        <v>246</v>
      </c>
      <c r="H901" t="s">
        <v>246</v>
      </c>
      <c r="I901" t="s">
        <v>674</v>
      </c>
      <c r="J901" t="s">
        <v>85</v>
      </c>
      <c r="K901" s="120" t="s">
        <v>3238</v>
      </c>
      <c r="N901" s="49"/>
    </row>
    <row r="902" spans="1:14">
      <c r="A902" t="s">
        <v>3239</v>
      </c>
      <c r="B902" t="s">
        <v>3240</v>
      </c>
      <c r="C902" t="s">
        <v>441</v>
      </c>
      <c r="D902" t="s">
        <v>32</v>
      </c>
      <c r="E902">
        <f>_xlfn.XLOOKUP(D902,'Resumen Estudiantes y Profesore'!B:B,'Resumen Estudiantes y Profesore'!A:A)</f>
        <v>36</v>
      </c>
      <c r="F902" t="s">
        <v>243</v>
      </c>
      <c r="G902" t="s">
        <v>246</v>
      </c>
      <c r="H902" t="s">
        <v>246</v>
      </c>
      <c r="I902" t="s">
        <v>682</v>
      </c>
      <c r="J902" t="s">
        <v>89</v>
      </c>
      <c r="K902" s="120" t="s">
        <v>3241</v>
      </c>
      <c r="N902" s="49"/>
    </row>
    <row r="903" spans="1:14">
      <c r="A903" t="s">
        <v>3242</v>
      </c>
      <c r="B903" t="s">
        <v>3243</v>
      </c>
      <c r="C903" t="s">
        <v>882</v>
      </c>
      <c r="D903" t="s">
        <v>143</v>
      </c>
      <c r="E903">
        <f>_xlfn.XLOOKUP(D903,'Resumen Estudiantes y Profesore'!B:B,'Resumen Estudiantes y Profesore'!A:A)</f>
        <v>120</v>
      </c>
      <c r="F903" t="s">
        <v>243</v>
      </c>
      <c r="G903" t="s">
        <v>246</v>
      </c>
      <c r="H903" t="s">
        <v>247</v>
      </c>
      <c r="I903" t="s">
        <v>674</v>
      </c>
      <c r="J903" t="s">
        <v>138</v>
      </c>
      <c r="K903" s="120" t="s">
        <v>3244</v>
      </c>
      <c r="N903" s="49"/>
    </row>
    <row r="904" spans="1:14">
      <c r="A904" t="s">
        <v>3245</v>
      </c>
      <c r="B904" t="s">
        <v>3246</v>
      </c>
      <c r="C904" t="s">
        <v>431</v>
      </c>
      <c r="D904" t="s">
        <v>27</v>
      </c>
      <c r="E904">
        <f>_xlfn.XLOOKUP(D904,'Resumen Estudiantes y Profesore'!B:B,'Resumen Estudiantes y Profesore'!A:A)</f>
        <v>30</v>
      </c>
      <c r="F904" t="s">
        <v>243</v>
      </c>
      <c r="G904" t="s">
        <v>246</v>
      </c>
      <c r="H904" t="s">
        <v>246</v>
      </c>
      <c r="I904" t="s">
        <v>682</v>
      </c>
      <c r="J904" t="s">
        <v>84</v>
      </c>
      <c r="K904" s="120" t="s">
        <v>3247</v>
      </c>
      <c r="N904" s="49"/>
    </row>
    <row r="905" spans="1:14">
      <c r="A905" t="s">
        <v>3248</v>
      </c>
      <c r="B905" t="s">
        <v>3249</v>
      </c>
      <c r="C905" t="s">
        <v>93</v>
      </c>
      <c r="D905" t="s">
        <v>93</v>
      </c>
      <c r="E905">
        <f>_xlfn.XLOOKUP(D905,'Resumen Estudiantes y Profesore'!B:B,'Resumen Estudiantes y Profesore'!A:A)</f>
        <v>210</v>
      </c>
      <c r="F905" t="s">
        <v>243</v>
      </c>
      <c r="G905" t="s">
        <v>246</v>
      </c>
      <c r="H905" t="s">
        <v>246</v>
      </c>
      <c r="I905" t="s">
        <v>682</v>
      </c>
      <c r="J905" t="s">
        <v>93</v>
      </c>
      <c r="K905" s="120" t="s">
        <v>3250</v>
      </c>
      <c r="N905" s="49"/>
    </row>
    <row r="906" spans="1:14">
      <c r="A906" t="s">
        <v>3251</v>
      </c>
      <c r="B906" t="s">
        <v>3252</v>
      </c>
      <c r="C906" t="s">
        <v>459</v>
      </c>
      <c r="D906" t="s">
        <v>188</v>
      </c>
      <c r="E906">
        <f>_xlfn.XLOOKUP(D906,'Resumen Estudiantes y Profesore'!B:B,'Resumen Estudiantes y Profesore'!A:A)</f>
        <v>56</v>
      </c>
      <c r="F906" t="s">
        <v>243</v>
      </c>
      <c r="G906" t="s">
        <v>246</v>
      </c>
      <c r="H906" t="s">
        <v>246</v>
      </c>
      <c r="I906" t="s">
        <v>674</v>
      </c>
      <c r="J906" t="s">
        <v>84</v>
      </c>
      <c r="K906" s="120" t="s">
        <v>3253</v>
      </c>
      <c r="N906" s="49"/>
    </row>
    <row r="907" spans="1:14">
      <c r="A907" t="s">
        <v>3254</v>
      </c>
      <c r="B907" t="s">
        <v>3255</v>
      </c>
      <c r="C907" t="s">
        <v>431</v>
      </c>
      <c r="D907" t="s">
        <v>27</v>
      </c>
      <c r="E907">
        <f>_xlfn.XLOOKUP(D907,'Resumen Estudiantes y Profesore'!B:B,'Resumen Estudiantes y Profesore'!A:A)</f>
        <v>30</v>
      </c>
      <c r="F907" t="s">
        <v>243</v>
      </c>
      <c r="G907" t="s">
        <v>246</v>
      </c>
      <c r="H907" t="s">
        <v>246</v>
      </c>
      <c r="I907" t="s">
        <v>682</v>
      </c>
      <c r="J907" t="s">
        <v>84</v>
      </c>
      <c r="K907" s="120" t="s">
        <v>3256</v>
      </c>
      <c r="N907" s="49"/>
    </row>
    <row r="908" spans="1:14">
      <c r="A908" t="s">
        <v>3257</v>
      </c>
      <c r="B908" t="s">
        <v>3258</v>
      </c>
      <c r="C908" t="s">
        <v>2549</v>
      </c>
      <c r="D908" t="s">
        <v>107</v>
      </c>
      <c r="E908">
        <f>_xlfn.XLOOKUP(D908,'Resumen Estudiantes y Profesore'!B:B,'Resumen Estudiantes y Profesore'!A:A)</f>
        <v>201</v>
      </c>
      <c r="F908" t="s">
        <v>243</v>
      </c>
      <c r="G908" t="s">
        <v>246</v>
      </c>
      <c r="H908" t="s">
        <v>246</v>
      </c>
      <c r="I908" t="s">
        <v>674</v>
      </c>
      <c r="J908" t="s">
        <v>91</v>
      </c>
      <c r="K908" s="120" t="s">
        <v>3259</v>
      </c>
      <c r="N908" s="49"/>
    </row>
    <row r="909" spans="1:14">
      <c r="A909" t="s">
        <v>3260</v>
      </c>
      <c r="B909" t="s">
        <v>3261</v>
      </c>
      <c r="C909" t="s">
        <v>431</v>
      </c>
      <c r="D909" t="s">
        <v>27</v>
      </c>
      <c r="E909">
        <f>_xlfn.XLOOKUP(D909,'Resumen Estudiantes y Profesore'!B:B,'Resumen Estudiantes y Profesore'!A:A)</f>
        <v>30</v>
      </c>
      <c r="F909" t="s">
        <v>243</v>
      </c>
      <c r="G909" t="s">
        <v>246</v>
      </c>
      <c r="H909" t="s">
        <v>246</v>
      </c>
      <c r="I909" t="s">
        <v>682</v>
      </c>
      <c r="J909" t="s">
        <v>84</v>
      </c>
      <c r="K909" s="120" t="s">
        <v>3262</v>
      </c>
      <c r="N909" s="49"/>
    </row>
    <row r="910" spans="1:14">
      <c r="A910" t="s">
        <v>3263</v>
      </c>
      <c r="B910" t="s">
        <v>3264</v>
      </c>
      <c r="C910" t="s">
        <v>444</v>
      </c>
      <c r="D910" t="s">
        <v>33</v>
      </c>
      <c r="E910">
        <f>_xlfn.XLOOKUP(D910,'Resumen Estudiantes y Profesore'!B:B,'Resumen Estudiantes y Profesore'!A:A)</f>
        <v>38</v>
      </c>
      <c r="F910" t="s">
        <v>243</v>
      </c>
      <c r="G910" t="s">
        <v>246</v>
      </c>
      <c r="H910" t="s">
        <v>246</v>
      </c>
      <c r="I910" t="s">
        <v>682</v>
      </c>
      <c r="J910" t="s">
        <v>89</v>
      </c>
      <c r="K910" s="120" t="s">
        <v>3265</v>
      </c>
      <c r="N910" s="49"/>
    </row>
    <row r="911" spans="1:14">
      <c r="A911" t="s">
        <v>3266</v>
      </c>
      <c r="B911" t="s">
        <v>3267</v>
      </c>
      <c r="C911" t="s">
        <v>1434</v>
      </c>
      <c r="D911" t="s">
        <v>195</v>
      </c>
      <c r="E911">
        <f>_xlfn.XLOOKUP(D911,'Resumen Estudiantes y Profesore'!B:B,'Resumen Estudiantes y Profesore'!A:A)</f>
        <v>77</v>
      </c>
      <c r="F911" t="s">
        <v>243</v>
      </c>
      <c r="G911" t="s">
        <v>246</v>
      </c>
      <c r="H911" t="s">
        <v>246</v>
      </c>
      <c r="I911" t="s">
        <v>674</v>
      </c>
      <c r="J911" t="s">
        <v>90</v>
      </c>
      <c r="K911" s="120" t="s">
        <v>3268</v>
      </c>
      <c r="N911" s="49"/>
    </row>
    <row r="912" spans="1:14">
      <c r="A912" t="s">
        <v>3266</v>
      </c>
      <c r="B912" t="s">
        <v>3269</v>
      </c>
      <c r="C912" t="s">
        <v>534</v>
      </c>
      <c r="D912" t="s">
        <v>36</v>
      </c>
      <c r="E912">
        <f>_xlfn.XLOOKUP(D912,'Resumen Estudiantes y Profesore'!B:B,'Resumen Estudiantes y Profesore'!A:A)</f>
        <v>37</v>
      </c>
      <c r="F912" t="s">
        <v>243</v>
      </c>
      <c r="G912" t="s">
        <v>246</v>
      </c>
      <c r="H912" t="s">
        <v>246</v>
      </c>
      <c r="I912" t="s">
        <v>682</v>
      </c>
      <c r="J912" t="s">
        <v>89</v>
      </c>
      <c r="K912" s="120" t="s">
        <v>3270</v>
      </c>
      <c r="N912" s="49"/>
    </row>
    <row r="913" spans="1:14">
      <c r="A913" t="s">
        <v>3271</v>
      </c>
      <c r="B913" t="s">
        <v>3272</v>
      </c>
      <c r="C913" t="s">
        <v>712</v>
      </c>
      <c r="D913" t="s">
        <v>154</v>
      </c>
      <c r="E913">
        <f>_xlfn.XLOOKUP(D913,'Resumen Estudiantes y Profesore'!B:B,'Resumen Estudiantes y Profesore'!A:A)</f>
        <v>105</v>
      </c>
      <c r="F913" t="s">
        <v>243</v>
      </c>
      <c r="G913" t="s">
        <v>246</v>
      </c>
      <c r="H913" t="s">
        <v>246</v>
      </c>
      <c r="I913" t="s">
        <v>674</v>
      </c>
      <c r="J913" t="s">
        <v>87</v>
      </c>
      <c r="K913" s="120" t="s">
        <v>3273</v>
      </c>
      <c r="N913" s="49"/>
    </row>
    <row r="914" spans="1:14">
      <c r="A914" t="s">
        <v>3274</v>
      </c>
      <c r="B914" t="s">
        <v>3275</v>
      </c>
      <c r="C914" t="s">
        <v>451</v>
      </c>
      <c r="D914" t="s">
        <v>38</v>
      </c>
      <c r="E914">
        <f>_xlfn.XLOOKUP(D914,'Resumen Estudiantes y Profesore'!B:B,'Resumen Estudiantes y Profesore'!A:A)</f>
        <v>42</v>
      </c>
      <c r="F914" t="s">
        <v>243</v>
      </c>
      <c r="G914" t="s">
        <v>246</v>
      </c>
      <c r="H914" t="s">
        <v>246</v>
      </c>
      <c r="I914" t="s">
        <v>682</v>
      </c>
      <c r="J914" t="s">
        <v>90</v>
      </c>
      <c r="K914" s="120" t="s">
        <v>3276</v>
      </c>
      <c r="N914" s="49"/>
    </row>
    <row r="915" spans="1:14">
      <c r="A915" t="s">
        <v>3277</v>
      </c>
      <c r="B915" t="s">
        <v>3278</v>
      </c>
      <c r="C915" t="s">
        <v>239</v>
      </c>
      <c r="D915" t="s">
        <v>239</v>
      </c>
      <c r="E915">
        <f>_xlfn.XLOOKUP(D915,'Resumen Estudiantes y Profesore'!B:B,'Resumen Estudiantes y Profesore'!A:A)</f>
        <v>158</v>
      </c>
      <c r="F915" t="s">
        <v>243</v>
      </c>
      <c r="G915" t="s">
        <v>246</v>
      </c>
      <c r="H915" t="s">
        <v>246</v>
      </c>
      <c r="I915" t="s">
        <v>682</v>
      </c>
      <c r="J915" t="s">
        <v>77</v>
      </c>
      <c r="K915" s="120" t="s">
        <v>3279</v>
      </c>
      <c r="N915" s="49"/>
    </row>
    <row r="916" spans="1:14">
      <c r="A916" t="s">
        <v>3280</v>
      </c>
      <c r="B916" t="s">
        <v>3281</v>
      </c>
      <c r="C916" t="s">
        <v>418</v>
      </c>
      <c r="D916" t="s">
        <v>232</v>
      </c>
      <c r="E916">
        <f>_xlfn.XLOOKUP(D916,'Resumen Estudiantes y Profesore'!B:B,'Resumen Estudiantes y Profesore'!A:A)</f>
        <v>151</v>
      </c>
      <c r="F916" t="s">
        <v>243</v>
      </c>
      <c r="G916" t="s">
        <v>246</v>
      </c>
      <c r="H916" t="s">
        <v>246</v>
      </c>
      <c r="I916" t="s">
        <v>682</v>
      </c>
      <c r="J916" t="s">
        <v>77</v>
      </c>
      <c r="K916" s="120" t="s">
        <v>3282</v>
      </c>
      <c r="N916" s="49"/>
    </row>
    <row r="917" spans="1:14">
      <c r="A917" t="s">
        <v>3283</v>
      </c>
      <c r="B917" t="s">
        <v>3284</v>
      </c>
      <c r="C917" t="s">
        <v>1573</v>
      </c>
      <c r="D917" t="s">
        <v>134</v>
      </c>
      <c r="E917">
        <f>_xlfn.XLOOKUP(D917,'Resumen Estudiantes y Profesore'!B:B,'Resumen Estudiantes y Profesore'!A:A)</f>
        <v>102</v>
      </c>
      <c r="F917" t="s">
        <v>243</v>
      </c>
      <c r="G917" t="s">
        <v>246</v>
      </c>
      <c r="H917" t="s">
        <v>246</v>
      </c>
      <c r="I917" t="s">
        <v>674</v>
      </c>
      <c r="J917" t="s">
        <v>84</v>
      </c>
      <c r="K917" s="120" t="s">
        <v>3285</v>
      </c>
      <c r="N917" s="49"/>
    </row>
    <row r="918" spans="1:14">
      <c r="A918" t="s">
        <v>3286</v>
      </c>
      <c r="B918" t="s">
        <v>3287</v>
      </c>
      <c r="C918" t="s">
        <v>1046</v>
      </c>
      <c r="D918" t="s">
        <v>213</v>
      </c>
      <c r="E918">
        <f>_xlfn.XLOOKUP(D918,'Resumen Estudiantes y Profesore'!B:B,'Resumen Estudiantes y Profesore'!A:A)</f>
        <v>68</v>
      </c>
      <c r="F918" t="s">
        <v>243</v>
      </c>
      <c r="G918" t="s">
        <v>246</v>
      </c>
      <c r="H918" t="s">
        <v>246</v>
      </c>
      <c r="I918" t="s">
        <v>674</v>
      </c>
      <c r="J918" t="s">
        <v>88</v>
      </c>
      <c r="K918" s="120" t="s">
        <v>3288</v>
      </c>
      <c r="N918" s="49"/>
    </row>
    <row r="919" spans="1:14">
      <c r="A919" t="s">
        <v>3289</v>
      </c>
      <c r="B919" t="s">
        <v>3290</v>
      </c>
      <c r="C919" t="s">
        <v>430</v>
      </c>
      <c r="D919" t="s">
        <v>26</v>
      </c>
      <c r="E919">
        <f>_xlfn.XLOOKUP(D919,'Resumen Estudiantes y Profesore'!B:B,'Resumen Estudiantes y Profesore'!A:A)</f>
        <v>29</v>
      </c>
      <c r="F919" t="s">
        <v>243</v>
      </c>
      <c r="G919" t="s">
        <v>246</v>
      </c>
      <c r="H919" t="s">
        <v>246</v>
      </c>
      <c r="I919" t="s">
        <v>682</v>
      </c>
      <c r="J919" t="s">
        <v>84</v>
      </c>
      <c r="K919" s="120" t="s">
        <v>3291</v>
      </c>
      <c r="N919" s="49"/>
    </row>
    <row r="920" spans="1:14">
      <c r="A920" t="s">
        <v>3292</v>
      </c>
      <c r="B920" t="s">
        <v>3293</v>
      </c>
      <c r="C920" t="s">
        <v>451</v>
      </c>
      <c r="D920" t="s">
        <v>38</v>
      </c>
      <c r="E920">
        <f>_xlfn.XLOOKUP(D920,'Resumen Estudiantes y Profesore'!B:B,'Resumen Estudiantes y Profesore'!A:A)</f>
        <v>42</v>
      </c>
      <c r="F920" t="s">
        <v>243</v>
      </c>
      <c r="G920" t="s">
        <v>246</v>
      </c>
      <c r="H920" t="s">
        <v>246</v>
      </c>
      <c r="I920" t="s">
        <v>682</v>
      </c>
      <c r="J920" t="s">
        <v>90</v>
      </c>
      <c r="K920" s="120" t="s">
        <v>3294</v>
      </c>
      <c r="N920" s="49"/>
    </row>
    <row r="921" spans="1:14">
      <c r="A921" t="s">
        <v>1923</v>
      </c>
      <c r="B921" t="s">
        <v>3295</v>
      </c>
      <c r="C921" t="s">
        <v>859</v>
      </c>
      <c r="D921" t="s">
        <v>201</v>
      </c>
      <c r="E921">
        <f>_xlfn.XLOOKUP(D921,'Resumen Estudiantes y Profesore'!B:B,'Resumen Estudiantes y Profesore'!A:A)</f>
        <v>47</v>
      </c>
      <c r="F921" t="s">
        <v>243</v>
      </c>
      <c r="G921" t="s">
        <v>246</v>
      </c>
      <c r="H921" t="s">
        <v>246</v>
      </c>
      <c r="I921" t="s">
        <v>674</v>
      </c>
      <c r="J921" t="s">
        <v>77</v>
      </c>
      <c r="K921" s="120" t="s">
        <v>3296</v>
      </c>
      <c r="N921" s="49"/>
    </row>
    <row r="922" spans="1:14">
      <c r="A922" t="s">
        <v>3297</v>
      </c>
      <c r="B922" t="s">
        <v>3298</v>
      </c>
      <c r="C922" t="s">
        <v>234</v>
      </c>
      <c r="D922" t="s">
        <v>234</v>
      </c>
      <c r="E922">
        <f>_xlfn.XLOOKUP(D922,'Resumen Estudiantes y Profesore'!B:B,'Resumen Estudiantes y Profesore'!A:A)</f>
        <v>153</v>
      </c>
      <c r="F922" t="s">
        <v>243</v>
      </c>
      <c r="G922" t="s">
        <v>246</v>
      </c>
      <c r="H922" t="s">
        <v>246</v>
      </c>
      <c r="I922" t="s">
        <v>682</v>
      </c>
      <c r="J922" t="s">
        <v>77</v>
      </c>
      <c r="K922" s="120" t="s">
        <v>3299</v>
      </c>
      <c r="N922" s="49"/>
    </row>
    <row r="923" spans="1:14">
      <c r="A923" t="s">
        <v>3300</v>
      </c>
      <c r="B923" t="s">
        <v>3301</v>
      </c>
      <c r="C923" t="s">
        <v>234</v>
      </c>
      <c r="D923" t="s">
        <v>234</v>
      </c>
      <c r="E923">
        <f>_xlfn.XLOOKUP(D923,'Resumen Estudiantes y Profesore'!B:B,'Resumen Estudiantes y Profesore'!A:A)</f>
        <v>153</v>
      </c>
      <c r="F923" t="s">
        <v>243</v>
      </c>
      <c r="G923" t="s">
        <v>246</v>
      </c>
      <c r="H923" t="s">
        <v>246</v>
      </c>
      <c r="I923" t="s">
        <v>682</v>
      </c>
      <c r="J923" t="s">
        <v>77</v>
      </c>
      <c r="K923" s="120" t="s">
        <v>3302</v>
      </c>
      <c r="N923" s="49"/>
    </row>
    <row r="924" spans="1:14">
      <c r="A924" t="s">
        <v>3303</v>
      </c>
      <c r="B924" t="s">
        <v>3304</v>
      </c>
      <c r="C924" t="s">
        <v>451</v>
      </c>
      <c r="D924" t="s">
        <v>38</v>
      </c>
      <c r="E924">
        <f>_xlfn.XLOOKUP(D924,'Resumen Estudiantes y Profesore'!B:B,'Resumen Estudiantes y Profesore'!A:A)</f>
        <v>42</v>
      </c>
      <c r="F924" t="s">
        <v>243</v>
      </c>
      <c r="G924" t="s">
        <v>246</v>
      </c>
      <c r="H924" t="s">
        <v>246</v>
      </c>
      <c r="I924" t="s">
        <v>682</v>
      </c>
      <c r="J924" t="s">
        <v>90</v>
      </c>
      <c r="K924" s="120" t="s">
        <v>3305</v>
      </c>
      <c r="N924" s="49"/>
    </row>
    <row r="925" spans="1:14">
      <c r="A925" t="s">
        <v>3306</v>
      </c>
      <c r="B925" t="s">
        <v>3307</v>
      </c>
      <c r="C925" t="s">
        <v>417</v>
      </c>
      <c r="D925" t="s">
        <v>231</v>
      </c>
      <c r="E925">
        <f>_xlfn.XLOOKUP(D925,'Resumen Estudiantes y Profesore'!B:B,'Resumen Estudiantes y Profesore'!A:A)</f>
        <v>150</v>
      </c>
      <c r="F925" t="s">
        <v>243</v>
      </c>
      <c r="G925" t="s">
        <v>246</v>
      </c>
      <c r="H925" t="s">
        <v>246</v>
      </c>
      <c r="I925" t="s">
        <v>682</v>
      </c>
      <c r="J925" t="s">
        <v>77</v>
      </c>
      <c r="K925" s="120" t="s">
        <v>3308</v>
      </c>
      <c r="N925" s="49"/>
    </row>
    <row r="926" spans="1:14">
      <c r="A926" t="s">
        <v>3309</v>
      </c>
      <c r="B926" t="s">
        <v>3310</v>
      </c>
      <c r="C926" t="s">
        <v>678</v>
      </c>
      <c r="D926" t="s">
        <v>180</v>
      </c>
      <c r="E926">
        <f>_xlfn.XLOOKUP(D926,'Resumen Estudiantes y Profesore'!B:B,'Resumen Estudiantes y Profesore'!A:A)</f>
        <v>74</v>
      </c>
      <c r="F926" t="s">
        <v>243</v>
      </c>
      <c r="G926" t="s">
        <v>246</v>
      </c>
      <c r="H926" t="s">
        <v>246</v>
      </c>
      <c r="I926" t="s">
        <v>674</v>
      </c>
      <c r="J926" t="s">
        <v>89</v>
      </c>
      <c r="K926" s="120" t="s">
        <v>3311</v>
      </c>
      <c r="N926" s="49"/>
    </row>
    <row r="927" spans="1:14">
      <c r="A927" t="s">
        <v>3312</v>
      </c>
      <c r="B927" t="s">
        <v>3313</v>
      </c>
      <c r="C927" t="s">
        <v>444</v>
      </c>
      <c r="D927" t="s">
        <v>33</v>
      </c>
      <c r="E927">
        <f>_xlfn.XLOOKUP(D927,'Resumen Estudiantes y Profesore'!B:B,'Resumen Estudiantes y Profesore'!A:A)</f>
        <v>38</v>
      </c>
      <c r="F927" t="s">
        <v>243</v>
      </c>
      <c r="G927" t="s">
        <v>246</v>
      </c>
      <c r="H927" t="s">
        <v>246</v>
      </c>
      <c r="I927" t="s">
        <v>682</v>
      </c>
      <c r="J927" t="s">
        <v>89</v>
      </c>
      <c r="K927" s="120" t="s">
        <v>3314</v>
      </c>
      <c r="N927" s="49"/>
    </row>
    <row r="928" spans="1:14">
      <c r="A928" t="s">
        <v>3315</v>
      </c>
      <c r="B928" t="s">
        <v>3316</v>
      </c>
      <c r="C928" t="s">
        <v>781</v>
      </c>
      <c r="D928" t="s">
        <v>131</v>
      </c>
      <c r="E928">
        <f>_xlfn.XLOOKUP(D928,'Resumen Estudiantes y Profesore'!B:B,'Resumen Estudiantes y Profesore'!A:A)</f>
        <v>99</v>
      </c>
      <c r="F928" t="s">
        <v>243</v>
      </c>
      <c r="G928" t="s">
        <v>246</v>
      </c>
      <c r="H928" t="s">
        <v>246</v>
      </c>
      <c r="I928" t="s">
        <v>674</v>
      </c>
      <c r="J928" t="s">
        <v>84</v>
      </c>
      <c r="K928" s="120" t="s">
        <v>3317</v>
      </c>
      <c r="N928" s="49"/>
    </row>
    <row r="929" spans="1:14">
      <c r="A929" t="s">
        <v>3318</v>
      </c>
      <c r="B929" t="s">
        <v>3319</v>
      </c>
      <c r="C929" t="s">
        <v>458</v>
      </c>
      <c r="D929" t="s">
        <v>187</v>
      </c>
      <c r="E929">
        <f>_xlfn.XLOOKUP(D929,'Resumen Estudiantes y Profesore'!B:B,'Resumen Estudiantes y Profesore'!A:A)</f>
        <v>55</v>
      </c>
      <c r="F929" t="s">
        <v>243</v>
      </c>
      <c r="G929" t="s">
        <v>246</v>
      </c>
      <c r="H929" t="s">
        <v>246</v>
      </c>
      <c r="I929" t="s">
        <v>674</v>
      </c>
      <c r="J929" t="s">
        <v>84</v>
      </c>
      <c r="K929" s="120" t="s">
        <v>3320</v>
      </c>
      <c r="N929" s="49"/>
    </row>
    <row r="930" spans="1:14">
      <c r="A930" t="s">
        <v>3321</v>
      </c>
      <c r="B930" t="s">
        <v>3322</v>
      </c>
      <c r="C930" t="s">
        <v>1573</v>
      </c>
      <c r="D930" t="s">
        <v>134</v>
      </c>
      <c r="E930">
        <f>_xlfn.XLOOKUP(D930,'Resumen Estudiantes y Profesore'!B:B,'Resumen Estudiantes y Profesore'!A:A)</f>
        <v>102</v>
      </c>
      <c r="F930" t="s">
        <v>243</v>
      </c>
      <c r="G930" t="s">
        <v>246</v>
      </c>
      <c r="H930" t="s">
        <v>246</v>
      </c>
      <c r="I930" t="s">
        <v>674</v>
      </c>
      <c r="J930" t="s">
        <v>84</v>
      </c>
      <c r="K930" s="120" t="s">
        <v>3323</v>
      </c>
      <c r="N930" s="49"/>
    </row>
    <row r="931" spans="1:14">
      <c r="A931" t="s">
        <v>3324</v>
      </c>
      <c r="B931" t="s">
        <v>3325</v>
      </c>
      <c r="C931" t="s">
        <v>2591</v>
      </c>
      <c r="D931" t="s">
        <v>167</v>
      </c>
      <c r="E931">
        <f>_xlfn.XLOOKUP(D931,'Resumen Estudiantes y Profesore'!B:B,'Resumen Estudiantes y Profesore'!A:A)</f>
        <v>138</v>
      </c>
      <c r="F931" t="s">
        <v>243</v>
      </c>
      <c r="G931" t="s">
        <v>246</v>
      </c>
      <c r="H931" t="s">
        <v>246</v>
      </c>
      <c r="I931" t="s">
        <v>674</v>
      </c>
      <c r="J931" t="s">
        <v>138</v>
      </c>
      <c r="K931" s="120" t="s">
        <v>3326</v>
      </c>
      <c r="N931" s="49"/>
    </row>
    <row r="932" spans="1:14">
      <c r="A932" t="s">
        <v>3327</v>
      </c>
      <c r="B932" t="s">
        <v>3328</v>
      </c>
      <c r="C932" t="s">
        <v>459</v>
      </c>
      <c r="D932" t="s">
        <v>188</v>
      </c>
      <c r="E932">
        <f>_xlfn.XLOOKUP(D932,'Resumen Estudiantes y Profesore'!B:B,'Resumen Estudiantes y Profesore'!A:A)</f>
        <v>56</v>
      </c>
      <c r="F932" t="s">
        <v>243</v>
      </c>
      <c r="G932" t="s">
        <v>246</v>
      </c>
      <c r="H932" t="s">
        <v>246</v>
      </c>
      <c r="I932" t="s">
        <v>674</v>
      </c>
      <c r="J932" t="s">
        <v>84</v>
      </c>
      <c r="K932" s="120" t="s">
        <v>3329</v>
      </c>
      <c r="N932" s="49"/>
    </row>
    <row r="933" spans="1:14">
      <c r="A933" t="s">
        <v>3330</v>
      </c>
      <c r="B933" t="s">
        <v>3331</v>
      </c>
      <c r="C933" t="s">
        <v>451</v>
      </c>
      <c r="D933" t="s">
        <v>38</v>
      </c>
      <c r="E933">
        <f>_xlfn.XLOOKUP(D933,'Resumen Estudiantes y Profesore'!B:B,'Resumen Estudiantes y Profesore'!A:A)</f>
        <v>42</v>
      </c>
      <c r="F933" t="s">
        <v>243</v>
      </c>
      <c r="G933" t="s">
        <v>246</v>
      </c>
      <c r="H933" t="s">
        <v>246</v>
      </c>
      <c r="I933" t="s">
        <v>682</v>
      </c>
      <c r="J933" t="s">
        <v>90</v>
      </c>
      <c r="K933" s="120" t="s">
        <v>3332</v>
      </c>
      <c r="N933" s="49"/>
    </row>
    <row r="934" spans="1:14">
      <c r="A934" t="s">
        <v>3333</v>
      </c>
      <c r="B934" t="s">
        <v>3334</v>
      </c>
      <c r="C934" t="s">
        <v>2950</v>
      </c>
      <c r="D934" t="s">
        <v>166</v>
      </c>
      <c r="E934">
        <f>_xlfn.XLOOKUP(D934,'Resumen Estudiantes y Profesore'!B:B,'Resumen Estudiantes y Profesore'!A:A)</f>
        <v>129</v>
      </c>
      <c r="F934" t="s">
        <v>243</v>
      </c>
      <c r="G934" t="s">
        <v>246</v>
      </c>
      <c r="H934" t="s">
        <v>246</v>
      </c>
      <c r="I934" t="s">
        <v>674</v>
      </c>
      <c r="J934" t="s">
        <v>138</v>
      </c>
      <c r="K934" s="120" t="s">
        <v>3335</v>
      </c>
      <c r="N934" s="49"/>
    </row>
    <row r="935" spans="1:14">
      <c r="A935" t="s">
        <v>3336</v>
      </c>
      <c r="B935" t="s">
        <v>3337</v>
      </c>
      <c r="C935" t="s">
        <v>2950</v>
      </c>
      <c r="D935" t="s">
        <v>166</v>
      </c>
      <c r="E935">
        <f>_xlfn.XLOOKUP(D935,'Resumen Estudiantes y Profesore'!B:B,'Resumen Estudiantes y Profesore'!A:A)</f>
        <v>129</v>
      </c>
      <c r="F935" t="s">
        <v>243</v>
      </c>
      <c r="G935" t="s">
        <v>246</v>
      </c>
      <c r="H935" t="s">
        <v>246</v>
      </c>
      <c r="I935" t="s">
        <v>674</v>
      </c>
      <c r="J935" t="s">
        <v>138</v>
      </c>
      <c r="K935" s="120" t="s">
        <v>3338</v>
      </c>
      <c r="N935" s="49"/>
    </row>
    <row r="936" spans="1:14">
      <c r="A936" t="s">
        <v>3336</v>
      </c>
      <c r="B936" t="s">
        <v>3339</v>
      </c>
      <c r="C936" t="s">
        <v>699</v>
      </c>
      <c r="D936" t="s">
        <v>144</v>
      </c>
      <c r="E936">
        <f>_xlfn.XLOOKUP(D936,'Resumen Estudiantes y Profesore'!B:B,'Resumen Estudiantes y Profesore'!A:A)</f>
        <v>118</v>
      </c>
      <c r="F936" t="s">
        <v>243</v>
      </c>
      <c r="G936" t="s">
        <v>246</v>
      </c>
      <c r="H936" t="s">
        <v>246</v>
      </c>
      <c r="I936" t="s">
        <v>674</v>
      </c>
      <c r="J936" t="s">
        <v>138</v>
      </c>
      <c r="K936" s="120" t="s">
        <v>3340</v>
      </c>
      <c r="N936" s="49"/>
    </row>
    <row r="937" spans="1:14">
      <c r="A937" t="s">
        <v>3341</v>
      </c>
      <c r="B937" t="s">
        <v>3342</v>
      </c>
      <c r="C937" t="s">
        <v>612</v>
      </c>
      <c r="D937" t="s">
        <v>177</v>
      </c>
      <c r="E937">
        <f>_xlfn.XLOOKUP(D937,'Resumen Estudiantes y Profesore'!B:B,'Resumen Estudiantes y Profesore'!A:A)</f>
        <v>122</v>
      </c>
      <c r="F937" t="s">
        <v>243</v>
      </c>
      <c r="G937" t="s">
        <v>246</v>
      </c>
      <c r="H937" t="s">
        <v>246</v>
      </c>
      <c r="I937" t="s">
        <v>674</v>
      </c>
      <c r="J937" t="s">
        <v>84</v>
      </c>
      <c r="K937" s="120" t="s">
        <v>3343</v>
      </c>
      <c r="N937" s="49"/>
    </row>
    <row r="938" spans="1:14">
      <c r="A938" t="s">
        <v>3344</v>
      </c>
      <c r="B938" t="s">
        <v>3345</v>
      </c>
      <c r="C938" t="s">
        <v>430</v>
      </c>
      <c r="D938" t="s">
        <v>26</v>
      </c>
      <c r="E938">
        <f>_xlfn.XLOOKUP(D938,'Resumen Estudiantes y Profesore'!B:B,'Resumen Estudiantes y Profesore'!A:A)</f>
        <v>29</v>
      </c>
      <c r="F938" t="s">
        <v>243</v>
      </c>
      <c r="G938" t="s">
        <v>246</v>
      </c>
      <c r="H938" t="s">
        <v>246</v>
      </c>
      <c r="I938" t="s">
        <v>682</v>
      </c>
      <c r="J938" t="s">
        <v>84</v>
      </c>
      <c r="K938" s="120" t="s">
        <v>3346</v>
      </c>
      <c r="N938" s="49"/>
    </row>
    <row r="939" spans="1:14">
      <c r="A939" t="s">
        <v>3347</v>
      </c>
      <c r="B939" t="s">
        <v>3348</v>
      </c>
      <c r="C939" t="s">
        <v>432</v>
      </c>
      <c r="D939" t="s">
        <v>41</v>
      </c>
      <c r="E939">
        <f>_xlfn.XLOOKUP(D939,'Resumen Estudiantes y Profesore'!B:B,'Resumen Estudiantes y Profesore'!A:A)</f>
        <v>31</v>
      </c>
      <c r="F939" t="s">
        <v>243</v>
      </c>
      <c r="G939" t="s">
        <v>246</v>
      </c>
      <c r="H939" t="s">
        <v>246</v>
      </c>
      <c r="I939" t="s">
        <v>682</v>
      </c>
      <c r="J939" t="s">
        <v>85</v>
      </c>
      <c r="K939" s="120" t="s">
        <v>3349</v>
      </c>
      <c r="N939" s="49"/>
    </row>
    <row r="940" spans="1:14">
      <c r="A940" t="s">
        <v>3347</v>
      </c>
      <c r="B940" t="s">
        <v>3350</v>
      </c>
      <c r="C940" t="s">
        <v>434</v>
      </c>
      <c r="D940" t="s">
        <v>28</v>
      </c>
      <c r="E940">
        <f>_xlfn.XLOOKUP(D940,'Resumen Estudiantes y Profesore'!B:B,'Resumen Estudiantes y Profesore'!A:A)</f>
        <v>32</v>
      </c>
      <c r="F940" t="s">
        <v>243</v>
      </c>
      <c r="G940" t="s">
        <v>246</v>
      </c>
      <c r="H940" t="s">
        <v>246</v>
      </c>
      <c r="I940" t="s">
        <v>682</v>
      </c>
      <c r="J940" t="s">
        <v>85</v>
      </c>
      <c r="K940" s="120" t="s">
        <v>3351</v>
      </c>
      <c r="N940" s="49"/>
    </row>
    <row r="941" spans="1:14">
      <c r="A941" t="s">
        <v>3352</v>
      </c>
      <c r="B941" t="s">
        <v>3353</v>
      </c>
      <c r="C941" t="s">
        <v>451</v>
      </c>
      <c r="D941" t="s">
        <v>38</v>
      </c>
      <c r="E941">
        <f>_xlfn.XLOOKUP(D941,'Resumen Estudiantes y Profesore'!B:B,'Resumen Estudiantes y Profesore'!A:A)</f>
        <v>42</v>
      </c>
      <c r="F941" t="s">
        <v>243</v>
      </c>
      <c r="G941" t="s">
        <v>246</v>
      </c>
      <c r="H941" t="s">
        <v>246</v>
      </c>
      <c r="I941" t="s">
        <v>682</v>
      </c>
      <c r="J941" t="s">
        <v>90</v>
      </c>
      <c r="K941" s="120" t="s">
        <v>3354</v>
      </c>
      <c r="N941" s="49"/>
    </row>
    <row r="942" spans="1:14">
      <c r="A942" t="s">
        <v>3355</v>
      </c>
      <c r="B942" t="s">
        <v>3356</v>
      </c>
      <c r="C942" t="s">
        <v>781</v>
      </c>
      <c r="D942" t="s">
        <v>131</v>
      </c>
      <c r="E942">
        <f>_xlfn.XLOOKUP(D942,'Resumen Estudiantes y Profesore'!B:B,'Resumen Estudiantes y Profesore'!A:A)</f>
        <v>99</v>
      </c>
      <c r="F942" t="s">
        <v>243</v>
      </c>
      <c r="G942" t="s">
        <v>246</v>
      </c>
      <c r="H942" t="s">
        <v>246</v>
      </c>
      <c r="I942" t="s">
        <v>674</v>
      </c>
      <c r="J942" t="s">
        <v>84</v>
      </c>
      <c r="K942" s="120" t="s">
        <v>3357</v>
      </c>
      <c r="N942" s="49"/>
    </row>
    <row r="943" spans="1:14">
      <c r="A943" t="s">
        <v>3358</v>
      </c>
      <c r="B943" t="s">
        <v>3359</v>
      </c>
      <c r="C943" t="s">
        <v>426</v>
      </c>
      <c r="D943" t="s">
        <v>23</v>
      </c>
      <c r="E943">
        <f>_xlfn.XLOOKUP(D943,'Resumen Estudiantes y Profesore'!B:B,'Resumen Estudiantes y Profesore'!A:A)</f>
        <v>26</v>
      </c>
      <c r="F943" t="s">
        <v>243</v>
      </c>
      <c r="G943" t="s">
        <v>246</v>
      </c>
      <c r="H943" t="s">
        <v>246</v>
      </c>
      <c r="I943" t="s">
        <v>682</v>
      </c>
      <c r="J943" t="s">
        <v>83</v>
      </c>
      <c r="K943" s="120" t="s">
        <v>3360</v>
      </c>
      <c r="N943" s="49"/>
    </row>
    <row r="944" spans="1:14">
      <c r="A944" t="s">
        <v>3361</v>
      </c>
      <c r="B944" t="s">
        <v>3362</v>
      </c>
      <c r="C944" t="s">
        <v>441</v>
      </c>
      <c r="D944" t="s">
        <v>32</v>
      </c>
      <c r="E944">
        <f>_xlfn.XLOOKUP(D944,'Resumen Estudiantes y Profesore'!B:B,'Resumen Estudiantes y Profesore'!A:A)</f>
        <v>36</v>
      </c>
      <c r="F944" t="s">
        <v>243</v>
      </c>
      <c r="G944" t="s">
        <v>246</v>
      </c>
      <c r="H944" t="s">
        <v>246</v>
      </c>
      <c r="I944" t="s">
        <v>682</v>
      </c>
      <c r="J944" t="s">
        <v>89</v>
      </c>
      <c r="K944" s="120" t="s">
        <v>3363</v>
      </c>
      <c r="N944" s="49"/>
    </row>
    <row r="945" spans="1:14">
      <c r="A945" t="s">
        <v>3364</v>
      </c>
      <c r="B945" t="s">
        <v>3365</v>
      </c>
      <c r="C945" t="s">
        <v>450</v>
      </c>
      <c r="D945" t="s">
        <v>37</v>
      </c>
      <c r="E945">
        <f>_xlfn.XLOOKUP(D945,'Resumen Estudiantes y Profesore'!B:B,'Resumen Estudiantes y Profesore'!A:A)</f>
        <v>41</v>
      </c>
      <c r="F945" t="s">
        <v>243</v>
      </c>
      <c r="G945" t="s">
        <v>246</v>
      </c>
      <c r="H945" t="s">
        <v>246</v>
      </c>
      <c r="I945" t="s">
        <v>682</v>
      </c>
      <c r="J945" t="s">
        <v>89</v>
      </c>
      <c r="K945" s="120" t="s">
        <v>3366</v>
      </c>
      <c r="N945" s="49"/>
    </row>
    <row r="946" spans="1:14">
      <c r="A946" t="s">
        <v>3367</v>
      </c>
      <c r="B946" t="s">
        <v>3368</v>
      </c>
      <c r="C946" t="s">
        <v>446</v>
      </c>
      <c r="D946" t="s">
        <v>34</v>
      </c>
      <c r="E946">
        <f>_xlfn.XLOOKUP(D946,'Resumen Estudiantes y Profesore'!B:B,'Resumen Estudiantes y Profesore'!A:A)</f>
        <v>39</v>
      </c>
      <c r="F946" t="s">
        <v>243</v>
      </c>
      <c r="G946" t="s">
        <v>246</v>
      </c>
      <c r="H946" t="s">
        <v>246</v>
      </c>
      <c r="I946" t="s">
        <v>682</v>
      </c>
      <c r="J946" t="s">
        <v>89</v>
      </c>
      <c r="K946" s="120" t="s">
        <v>3369</v>
      </c>
      <c r="N946" s="49"/>
    </row>
    <row r="947" spans="1:14">
      <c r="A947" t="s">
        <v>3370</v>
      </c>
      <c r="B947" t="s">
        <v>3371</v>
      </c>
      <c r="C947" t="s">
        <v>451</v>
      </c>
      <c r="D947" t="s">
        <v>38</v>
      </c>
      <c r="E947">
        <f>_xlfn.XLOOKUP(D947,'Resumen Estudiantes y Profesore'!B:B,'Resumen Estudiantes y Profesore'!A:A)</f>
        <v>42</v>
      </c>
      <c r="F947" t="s">
        <v>243</v>
      </c>
      <c r="G947" t="s">
        <v>246</v>
      </c>
      <c r="H947" t="s">
        <v>246</v>
      </c>
      <c r="I947" t="s">
        <v>682</v>
      </c>
      <c r="J947" t="s">
        <v>90</v>
      </c>
      <c r="K947" s="120" t="s">
        <v>3372</v>
      </c>
      <c r="N947" s="49"/>
    </row>
    <row r="948" spans="1:14">
      <c r="A948" t="s">
        <v>3373</v>
      </c>
      <c r="B948" t="s">
        <v>3374</v>
      </c>
      <c r="C948" t="s">
        <v>93</v>
      </c>
      <c r="D948" t="s">
        <v>93</v>
      </c>
      <c r="E948">
        <f>_xlfn.XLOOKUP(D948,'Resumen Estudiantes y Profesore'!B:B,'Resumen Estudiantes y Profesore'!A:A)</f>
        <v>210</v>
      </c>
      <c r="F948" t="s">
        <v>243</v>
      </c>
      <c r="G948" t="s">
        <v>246</v>
      </c>
      <c r="H948" t="s">
        <v>246</v>
      </c>
      <c r="I948" t="s">
        <v>682</v>
      </c>
      <c r="J948" t="s">
        <v>93</v>
      </c>
      <c r="K948" s="120" t="s">
        <v>3375</v>
      </c>
      <c r="N948" s="49"/>
    </row>
    <row r="949" spans="1:14">
      <c r="A949" t="s">
        <v>3376</v>
      </c>
      <c r="B949" t="s">
        <v>3377</v>
      </c>
      <c r="C949" t="s">
        <v>234</v>
      </c>
      <c r="D949" t="s">
        <v>234</v>
      </c>
      <c r="E949">
        <f>_xlfn.XLOOKUP(D949,'Resumen Estudiantes y Profesore'!B:B,'Resumen Estudiantes y Profesore'!A:A)</f>
        <v>153</v>
      </c>
      <c r="F949" t="s">
        <v>243</v>
      </c>
      <c r="G949" t="s">
        <v>246</v>
      </c>
      <c r="H949" t="s">
        <v>246</v>
      </c>
      <c r="I949" t="s">
        <v>682</v>
      </c>
      <c r="J949" t="s">
        <v>77</v>
      </c>
      <c r="K949" s="120" t="s">
        <v>3378</v>
      </c>
      <c r="N949" s="49"/>
    </row>
    <row r="950" spans="1:14">
      <c r="A950" t="s">
        <v>3379</v>
      </c>
      <c r="B950" t="s">
        <v>3380</v>
      </c>
      <c r="C950" t="s">
        <v>426</v>
      </c>
      <c r="D950" t="s">
        <v>23</v>
      </c>
      <c r="E950">
        <f>_xlfn.XLOOKUP(D950,'Resumen Estudiantes y Profesore'!B:B,'Resumen Estudiantes y Profesore'!A:A)</f>
        <v>26</v>
      </c>
      <c r="F950" t="s">
        <v>243</v>
      </c>
      <c r="G950" t="s">
        <v>246</v>
      </c>
      <c r="H950" t="s">
        <v>246</v>
      </c>
      <c r="I950" t="s">
        <v>682</v>
      </c>
      <c r="J950" t="s">
        <v>83</v>
      </c>
      <c r="K950" s="120" t="s">
        <v>3381</v>
      </c>
      <c r="N950" s="49"/>
    </row>
    <row r="951" spans="1:14">
      <c r="A951" t="s">
        <v>3382</v>
      </c>
      <c r="B951" t="s">
        <v>3383</v>
      </c>
      <c r="C951" t="s">
        <v>420</v>
      </c>
      <c r="D951" t="s">
        <v>235</v>
      </c>
      <c r="E951">
        <f>_xlfn.XLOOKUP(D951,'Resumen Estudiantes y Profesore'!B:B,'Resumen Estudiantes y Profesore'!A:A)</f>
        <v>154</v>
      </c>
      <c r="F951" t="s">
        <v>243</v>
      </c>
      <c r="G951" t="s">
        <v>246</v>
      </c>
      <c r="H951" t="s">
        <v>246</v>
      </c>
      <c r="I951" t="s">
        <v>682</v>
      </c>
      <c r="J951" t="s">
        <v>77</v>
      </c>
      <c r="K951" s="120" t="s">
        <v>3384</v>
      </c>
      <c r="N951" s="49"/>
    </row>
    <row r="952" spans="1:14">
      <c r="A952" t="s">
        <v>3385</v>
      </c>
      <c r="B952" t="s">
        <v>3386</v>
      </c>
      <c r="C952" t="s">
        <v>431</v>
      </c>
      <c r="D952" t="s">
        <v>27</v>
      </c>
      <c r="E952">
        <f>_xlfn.XLOOKUP(D952,'Resumen Estudiantes y Profesore'!B:B,'Resumen Estudiantes y Profesore'!A:A)</f>
        <v>30</v>
      </c>
      <c r="F952" t="s">
        <v>243</v>
      </c>
      <c r="G952" t="s">
        <v>246</v>
      </c>
      <c r="H952" t="s">
        <v>246</v>
      </c>
      <c r="I952" t="s">
        <v>682</v>
      </c>
      <c r="J952" t="s">
        <v>84</v>
      </c>
      <c r="K952" s="120" t="s">
        <v>3387</v>
      </c>
      <c r="N952" s="49"/>
    </row>
    <row r="953" spans="1:14">
      <c r="A953" t="s">
        <v>2709</v>
      </c>
      <c r="B953" t="s">
        <v>3388</v>
      </c>
      <c r="C953" t="s">
        <v>424</v>
      </c>
      <c r="D953" t="s">
        <v>24</v>
      </c>
      <c r="E953">
        <f>_xlfn.XLOOKUP(D953,'Resumen Estudiantes y Profesore'!B:B,'Resumen Estudiantes y Profesore'!A:A)</f>
        <v>27</v>
      </c>
      <c r="F953" t="s">
        <v>243</v>
      </c>
      <c r="G953" t="s">
        <v>246</v>
      </c>
      <c r="H953" t="s">
        <v>246</v>
      </c>
      <c r="I953" t="s">
        <v>682</v>
      </c>
      <c r="J953" t="s">
        <v>83</v>
      </c>
      <c r="K953" s="120" t="s">
        <v>3389</v>
      </c>
      <c r="N953" s="49"/>
    </row>
    <row r="954" spans="1:14">
      <c r="A954" t="s">
        <v>2709</v>
      </c>
      <c r="B954" t="s">
        <v>3390</v>
      </c>
      <c r="C954" t="s">
        <v>426</v>
      </c>
      <c r="D954" t="s">
        <v>23</v>
      </c>
      <c r="E954">
        <f>_xlfn.XLOOKUP(D954,'Resumen Estudiantes y Profesore'!B:B,'Resumen Estudiantes y Profesore'!A:A)</f>
        <v>26</v>
      </c>
      <c r="F954" t="s">
        <v>243</v>
      </c>
      <c r="G954" t="s">
        <v>246</v>
      </c>
      <c r="H954" t="s">
        <v>246</v>
      </c>
      <c r="I954" t="s">
        <v>682</v>
      </c>
      <c r="J954" t="s">
        <v>83</v>
      </c>
      <c r="K954" s="120" t="s">
        <v>3391</v>
      </c>
      <c r="N954" s="49"/>
    </row>
    <row r="955" spans="1:14">
      <c r="A955" t="s">
        <v>3392</v>
      </c>
      <c r="B955" t="s">
        <v>3393</v>
      </c>
      <c r="C955" t="s">
        <v>2435</v>
      </c>
      <c r="D955" t="s">
        <v>168</v>
      </c>
      <c r="E955">
        <f>_xlfn.XLOOKUP(D955,'Resumen Estudiantes y Profesore'!B:B,'Resumen Estudiantes y Profesore'!A:A)</f>
        <v>127</v>
      </c>
      <c r="F955" t="s">
        <v>243</v>
      </c>
      <c r="G955" t="s">
        <v>246</v>
      </c>
      <c r="H955" t="s">
        <v>246</v>
      </c>
      <c r="I955" t="s">
        <v>674</v>
      </c>
      <c r="J955" t="s">
        <v>138</v>
      </c>
      <c r="K955" s="120" t="s">
        <v>3394</v>
      </c>
      <c r="N955" s="49"/>
    </row>
    <row r="956" spans="1:14">
      <c r="A956" t="s">
        <v>3392</v>
      </c>
      <c r="B956" t="s">
        <v>3395</v>
      </c>
      <c r="C956" t="s">
        <v>699</v>
      </c>
      <c r="D956" t="s">
        <v>144</v>
      </c>
      <c r="E956">
        <f>_xlfn.XLOOKUP(D956,'Resumen Estudiantes y Profesore'!B:B,'Resumen Estudiantes y Profesore'!A:A)</f>
        <v>118</v>
      </c>
      <c r="F956" t="s">
        <v>243</v>
      </c>
      <c r="G956" t="s">
        <v>246</v>
      </c>
      <c r="H956" t="s">
        <v>246</v>
      </c>
      <c r="I956" t="s">
        <v>674</v>
      </c>
      <c r="J956" t="s">
        <v>138</v>
      </c>
      <c r="K956" s="120" t="s">
        <v>3396</v>
      </c>
      <c r="N956" s="49"/>
    </row>
    <row r="957" spans="1:14">
      <c r="A957" t="s">
        <v>3397</v>
      </c>
      <c r="B957" t="s">
        <v>3398</v>
      </c>
      <c r="C957" t="s">
        <v>721</v>
      </c>
      <c r="D957" t="s">
        <v>181</v>
      </c>
      <c r="E957">
        <f>_xlfn.XLOOKUP(D957,'Resumen Estudiantes y Profesore'!B:B,'Resumen Estudiantes y Profesore'!A:A)</f>
        <v>95</v>
      </c>
      <c r="F957" t="s">
        <v>243</v>
      </c>
      <c r="G957" t="s">
        <v>246</v>
      </c>
      <c r="H957" t="s">
        <v>246</v>
      </c>
      <c r="I957" t="s">
        <v>674</v>
      </c>
      <c r="J957" t="s">
        <v>182</v>
      </c>
      <c r="K957" s="120" t="s">
        <v>3399</v>
      </c>
      <c r="N957" s="49"/>
    </row>
    <row r="958" spans="1:14">
      <c r="A958" t="s">
        <v>3400</v>
      </c>
      <c r="B958" t="s">
        <v>3401</v>
      </c>
      <c r="C958" t="s">
        <v>424</v>
      </c>
      <c r="D958" t="s">
        <v>24</v>
      </c>
      <c r="E958">
        <f>_xlfn.XLOOKUP(D958,'Resumen Estudiantes y Profesore'!B:B,'Resumen Estudiantes y Profesore'!A:A)</f>
        <v>27</v>
      </c>
      <c r="F958" t="s">
        <v>243</v>
      </c>
      <c r="G958" t="s">
        <v>246</v>
      </c>
      <c r="H958" t="s">
        <v>246</v>
      </c>
      <c r="I958" t="s">
        <v>682</v>
      </c>
      <c r="J958" t="s">
        <v>83</v>
      </c>
      <c r="K958" s="120" t="s">
        <v>3402</v>
      </c>
      <c r="N958" s="49"/>
    </row>
    <row r="959" spans="1:14">
      <c r="A959" t="s">
        <v>3403</v>
      </c>
      <c r="B959" t="s">
        <v>3404</v>
      </c>
      <c r="C959" t="s">
        <v>428</v>
      </c>
      <c r="D959" t="s">
        <v>25</v>
      </c>
      <c r="E959">
        <f>_xlfn.XLOOKUP(D959,'Resumen Estudiantes y Profesore'!B:B,'Resumen Estudiantes y Profesore'!A:A)</f>
        <v>28</v>
      </c>
      <c r="F959" t="s">
        <v>243</v>
      </c>
      <c r="G959" t="s">
        <v>246</v>
      </c>
      <c r="H959" t="s">
        <v>246</v>
      </c>
      <c r="I959" t="s">
        <v>682</v>
      </c>
      <c r="J959" t="s">
        <v>83</v>
      </c>
      <c r="K959" s="120" t="s">
        <v>3405</v>
      </c>
      <c r="N959" s="49"/>
    </row>
    <row r="960" spans="1:14">
      <c r="A960" t="s">
        <v>3406</v>
      </c>
      <c r="B960" t="s">
        <v>3407</v>
      </c>
      <c r="C960" t="s">
        <v>451</v>
      </c>
      <c r="D960" t="s">
        <v>38</v>
      </c>
      <c r="E960">
        <f>_xlfn.XLOOKUP(D960,'Resumen Estudiantes y Profesore'!B:B,'Resumen Estudiantes y Profesore'!A:A)</f>
        <v>42</v>
      </c>
      <c r="F960" t="s">
        <v>243</v>
      </c>
      <c r="G960" t="s">
        <v>246</v>
      </c>
      <c r="H960" t="s">
        <v>246</v>
      </c>
      <c r="I960" t="s">
        <v>682</v>
      </c>
      <c r="J960" t="s">
        <v>90</v>
      </c>
      <c r="K960" s="120" t="s">
        <v>3408</v>
      </c>
      <c r="N960" s="49"/>
    </row>
    <row r="961" spans="1:14">
      <c r="A961" t="s">
        <v>2619</v>
      </c>
      <c r="B961" t="s">
        <v>3409</v>
      </c>
      <c r="C961" t="s">
        <v>859</v>
      </c>
      <c r="D961" t="s">
        <v>201</v>
      </c>
      <c r="E961">
        <f>_xlfn.XLOOKUP(D961,'Resumen Estudiantes y Profesore'!B:B,'Resumen Estudiantes y Profesore'!A:A)</f>
        <v>47</v>
      </c>
      <c r="F961" t="s">
        <v>243</v>
      </c>
      <c r="G961" t="s">
        <v>246</v>
      </c>
      <c r="H961" t="s">
        <v>246</v>
      </c>
      <c r="I961" t="s">
        <v>674</v>
      </c>
      <c r="J961" t="s">
        <v>77</v>
      </c>
      <c r="K961" s="120" t="s">
        <v>3410</v>
      </c>
      <c r="N961" s="49"/>
    </row>
    <row r="962" spans="1:14">
      <c r="A962" t="s">
        <v>3411</v>
      </c>
      <c r="B962" t="s">
        <v>3412</v>
      </c>
      <c r="C962" t="s">
        <v>422</v>
      </c>
      <c r="D962" t="s">
        <v>238</v>
      </c>
      <c r="E962">
        <f>_xlfn.XLOOKUP(D962,'Resumen Estudiantes y Profesore'!B:B,'Resumen Estudiantes y Profesore'!A:A)</f>
        <v>157</v>
      </c>
      <c r="F962" t="s">
        <v>243</v>
      </c>
      <c r="G962" t="s">
        <v>246</v>
      </c>
      <c r="H962" t="s">
        <v>246</v>
      </c>
      <c r="I962" t="s">
        <v>682</v>
      </c>
      <c r="J962" t="s">
        <v>77</v>
      </c>
      <c r="K962" s="120" t="s">
        <v>3413</v>
      </c>
      <c r="N962" s="49"/>
    </row>
    <row r="963" spans="1:14">
      <c r="A963" t="s">
        <v>2430</v>
      </c>
      <c r="B963" t="s">
        <v>3414</v>
      </c>
      <c r="C963" t="s">
        <v>417</v>
      </c>
      <c r="D963" t="s">
        <v>231</v>
      </c>
      <c r="E963">
        <f>_xlfn.XLOOKUP(D963,'Resumen Estudiantes y Profesore'!B:B,'Resumen Estudiantes y Profesore'!A:A)</f>
        <v>150</v>
      </c>
      <c r="F963" t="s">
        <v>243</v>
      </c>
      <c r="G963" t="s">
        <v>246</v>
      </c>
      <c r="H963" t="s">
        <v>246</v>
      </c>
      <c r="I963" t="s">
        <v>682</v>
      </c>
      <c r="J963" t="s">
        <v>77</v>
      </c>
      <c r="K963" s="120" t="s">
        <v>3415</v>
      </c>
      <c r="N963" s="49"/>
    </row>
    <row r="964" spans="1:14">
      <c r="A964" t="s">
        <v>3416</v>
      </c>
      <c r="B964" t="s">
        <v>3417</v>
      </c>
      <c r="C964" t="s">
        <v>428</v>
      </c>
      <c r="D964" t="s">
        <v>25</v>
      </c>
      <c r="E964">
        <f>_xlfn.XLOOKUP(D964,'Resumen Estudiantes y Profesore'!B:B,'Resumen Estudiantes y Profesore'!A:A)</f>
        <v>28</v>
      </c>
      <c r="F964" t="s">
        <v>243</v>
      </c>
      <c r="G964" t="s">
        <v>246</v>
      </c>
      <c r="H964" t="s">
        <v>246</v>
      </c>
      <c r="I964" t="s">
        <v>682</v>
      </c>
      <c r="J964" t="s">
        <v>83</v>
      </c>
      <c r="K964" s="120" t="s">
        <v>3418</v>
      </c>
      <c r="N964" s="49"/>
    </row>
    <row r="965" spans="1:14">
      <c r="A965" t="s">
        <v>3419</v>
      </c>
      <c r="B965" t="s">
        <v>3420</v>
      </c>
      <c r="C965" t="s">
        <v>424</v>
      </c>
      <c r="D965" t="s">
        <v>24</v>
      </c>
      <c r="E965">
        <f>_xlfn.XLOOKUP(D965,'Resumen Estudiantes y Profesore'!B:B,'Resumen Estudiantes y Profesore'!A:A)</f>
        <v>27</v>
      </c>
      <c r="F965" t="s">
        <v>243</v>
      </c>
      <c r="G965" t="s">
        <v>246</v>
      </c>
      <c r="H965" t="s">
        <v>246</v>
      </c>
      <c r="I965" t="s">
        <v>682</v>
      </c>
      <c r="J965" t="s">
        <v>83</v>
      </c>
      <c r="K965" s="120" t="s">
        <v>3421</v>
      </c>
      <c r="N965" s="49"/>
    </row>
    <row r="966" spans="1:14">
      <c r="A966" t="s">
        <v>3422</v>
      </c>
      <c r="B966" t="s">
        <v>3423</v>
      </c>
      <c r="C966" t="s">
        <v>417</v>
      </c>
      <c r="D966" t="s">
        <v>231</v>
      </c>
      <c r="E966">
        <f>_xlfn.XLOOKUP(D966,'Resumen Estudiantes y Profesore'!B:B,'Resumen Estudiantes y Profesore'!A:A)</f>
        <v>150</v>
      </c>
      <c r="F966" t="s">
        <v>243</v>
      </c>
      <c r="G966" t="s">
        <v>246</v>
      </c>
      <c r="H966" t="s">
        <v>246</v>
      </c>
      <c r="I966" t="s">
        <v>682</v>
      </c>
      <c r="J966" t="s">
        <v>77</v>
      </c>
      <c r="K966" s="120" t="s">
        <v>3424</v>
      </c>
      <c r="N966" s="49"/>
    </row>
    <row r="967" spans="1:14">
      <c r="A967" t="s">
        <v>3425</v>
      </c>
      <c r="B967" t="s">
        <v>3426</v>
      </c>
      <c r="C967" t="s">
        <v>451</v>
      </c>
      <c r="D967" t="s">
        <v>38</v>
      </c>
      <c r="E967">
        <f>_xlfn.XLOOKUP(D967,'Resumen Estudiantes y Profesore'!B:B,'Resumen Estudiantes y Profesore'!A:A)</f>
        <v>42</v>
      </c>
      <c r="F967" t="s">
        <v>243</v>
      </c>
      <c r="G967" t="s">
        <v>246</v>
      </c>
      <c r="H967" t="s">
        <v>246</v>
      </c>
      <c r="I967" t="s">
        <v>682</v>
      </c>
      <c r="J967" t="s">
        <v>90</v>
      </c>
      <c r="K967" s="120" t="s">
        <v>3427</v>
      </c>
      <c r="N967" s="49"/>
    </row>
    <row r="968" spans="1:14">
      <c r="A968" t="s">
        <v>3428</v>
      </c>
      <c r="B968" t="s">
        <v>3429</v>
      </c>
      <c r="C968" t="s">
        <v>419</v>
      </c>
      <c r="D968" t="s">
        <v>233</v>
      </c>
      <c r="E968">
        <f>_xlfn.XLOOKUP(D968,'Resumen Estudiantes y Profesore'!B:B,'Resumen Estudiantes y Profesore'!A:A)</f>
        <v>152</v>
      </c>
      <c r="F968" t="s">
        <v>243</v>
      </c>
      <c r="G968" t="s">
        <v>246</v>
      </c>
      <c r="H968" t="s">
        <v>246</v>
      </c>
      <c r="I968" t="s">
        <v>682</v>
      </c>
      <c r="J968" t="s">
        <v>77</v>
      </c>
      <c r="K968" s="120" t="s">
        <v>3430</v>
      </c>
      <c r="N968" s="49"/>
    </row>
    <row r="969" spans="1:14">
      <c r="A969" t="s">
        <v>3431</v>
      </c>
      <c r="B969" t="s">
        <v>3432</v>
      </c>
      <c r="C969" t="s">
        <v>630</v>
      </c>
      <c r="D969" t="s">
        <v>536</v>
      </c>
      <c r="E969" t="e">
        <f>_xlfn.XLOOKUP(D969,'Resumen Estudiantes y Profesore'!B:B,'Resumen Estudiantes y Profesore'!A:A)</f>
        <v>#N/A</v>
      </c>
      <c r="F969" t="s">
        <v>243</v>
      </c>
      <c r="G969" t="s">
        <v>246</v>
      </c>
      <c r="H969" t="s">
        <v>246</v>
      </c>
      <c r="I969" t="s">
        <v>682</v>
      </c>
      <c r="J969" t="s">
        <v>1471</v>
      </c>
      <c r="K969" s="120" t="s">
        <v>3433</v>
      </c>
      <c r="N969" s="49"/>
    </row>
    <row r="970" spans="1:14">
      <c r="A970" t="s">
        <v>3434</v>
      </c>
      <c r="B970" t="s">
        <v>3435</v>
      </c>
      <c r="C970" t="s">
        <v>450</v>
      </c>
      <c r="D970" t="s">
        <v>37</v>
      </c>
      <c r="E970">
        <f>_xlfn.XLOOKUP(D970,'Resumen Estudiantes y Profesore'!B:B,'Resumen Estudiantes y Profesore'!A:A)</f>
        <v>41</v>
      </c>
      <c r="F970" t="s">
        <v>243</v>
      </c>
      <c r="G970" t="s">
        <v>246</v>
      </c>
      <c r="H970" t="s">
        <v>246</v>
      </c>
      <c r="I970" t="s">
        <v>682</v>
      </c>
      <c r="J970" t="s">
        <v>89</v>
      </c>
      <c r="K970" s="120" t="s">
        <v>3436</v>
      </c>
      <c r="N970" s="49"/>
    </row>
    <row r="971" spans="1:14">
      <c r="A971" t="s">
        <v>3437</v>
      </c>
      <c r="B971" t="s">
        <v>3438</v>
      </c>
      <c r="C971" t="s">
        <v>507</v>
      </c>
      <c r="D971" t="s">
        <v>151</v>
      </c>
      <c r="E971">
        <f>_xlfn.XLOOKUP(D971,'Resumen Estudiantes y Profesore'!B:B,'Resumen Estudiantes y Profesore'!A:A)</f>
        <v>107</v>
      </c>
      <c r="F971" t="s">
        <v>243</v>
      </c>
      <c r="G971" t="s">
        <v>246</v>
      </c>
      <c r="H971" t="s">
        <v>246</v>
      </c>
      <c r="I971" t="s">
        <v>674</v>
      </c>
      <c r="J971" t="s">
        <v>91</v>
      </c>
      <c r="K971" s="120" t="s">
        <v>3439</v>
      </c>
      <c r="N971" s="49"/>
    </row>
    <row r="972" spans="1:14">
      <c r="A972" t="s">
        <v>3437</v>
      </c>
      <c r="B972" t="s">
        <v>3440</v>
      </c>
      <c r="C972" t="s">
        <v>453</v>
      </c>
      <c r="D972" t="s">
        <v>39</v>
      </c>
      <c r="E972">
        <f>_xlfn.XLOOKUP(D972,'Resumen Estudiantes y Profesore'!B:B,'Resumen Estudiantes y Profesore'!A:A)</f>
        <v>43</v>
      </c>
      <c r="F972" t="s">
        <v>243</v>
      </c>
      <c r="G972" t="s">
        <v>246</v>
      </c>
      <c r="H972" t="s">
        <v>246</v>
      </c>
      <c r="I972" t="s">
        <v>682</v>
      </c>
      <c r="J972" t="s">
        <v>91</v>
      </c>
      <c r="K972" s="120" t="s">
        <v>3441</v>
      </c>
      <c r="N972" s="49"/>
    </row>
    <row r="973" spans="1:14">
      <c r="A973" t="s">
        <v>3442</v>
      </c>
      <c r="B973" t="s">
        <v>3443</v>
      </c>
      <c r="C973" t="s">
        <v>93</v>
      </c>
      <c r="D973" t="s">
        <v>93</v>
      </c>
      <c r="E973">
        <f>_xlfn.XLOOKUP(D973,'Resumen Estudiantes y Profesore'!B:B,'Resumen Estudiantes y Profesore'!A:A)</f>
        <v>210</v>
      </c>
      <c r="F973" t="s">
        <v>243</v>
      </c>
      <c r="G973" t="s">
        <v>246</v>
      </c>
      <c r="H973" t="s">
        <v>246</v>
      </c>
      <c r="I973" t="s">
        <v>682</v>
      </c>
      <c r="J973" t="s">
        <v>93</v>
      </c>
      <c r="K973" s="120" t="s">
        <v>3444</v>
      </c>
      <c r="N973" s="49"/>
    </row>
    <row r="974" spans="1:14">
      <c r="A974" t="s">
        <v>3445</v>
      </c>
      <c r="B974" t="s">
        <v>3446</v>
      </c>
      <c r="C974" t="s">
        <v>93</v>
      </c>
      <c r="D974" t="s">
        <v>93</v>
      </c>
      <c r="E974">
        <f>_xlfn.XLOOKUP(D974,'Resumen Estudiantes y Profesore'!B:B,'Resumen Estudiantes y Profesore'!A:A)</f>
        <v>210</v>
      </c>
      <c r="F974" t="s">
        <v>243</v>
      </c>
      <c r="G974" t="s">
        <v>246</v>
      </c>
      <c r="H974" t="s">
        <v>246</v>
      </c>
      <c r="I974" t="s">
        <v>682</v>
      </c>
      <c r="J974" t="s">
        <v>93</v>
      </c>
      <c r="K974" s="120" t="s">
        <v>3447</v>
      </c>
      <c r="N974" s="49"/>
    </row>
    <row r="975" spans="1:14">
      <c r="A975" t="s">
        <v>3448</v>
      </c>
      <c r="B975" t="s">
        <v>3449</v>
      </c>
      <c r="C975" t="s">
        <v>418</v>
      </c>
      <c r="D975" t="s">
        <v>232</v>
      </c>
      <c r="E975">
        <f>_xlfn.XLOOKUP(D975,'Resumen Estudiantes y Profesore'!B:B,'Resumen Estudiantes y Profesore'!A:A)</f>
        <v>151</v>
      </c>
      <c r="F975" t="s">
        <v>243</v>
      </c>
      <c r="G975" t="s">
        <v>246</v>
      </c>
      <c r="H975" t="s">
        <v>246</v>
      </c>
      <c r="I975" t="s">
        <v>682</v>
      </c>
      <c r="J975" t="s">
        <v>77</v>
      </c>
      <c r="K975" s="120" t="s">
        <v>3450</v>
      </c>
      <c r="N975" s="49"/>
    </row>
    <row r="976" spans="1:14">
      <c r="A976" t="s">
        <v>3451</v>
      </c>
      <c r="B976" t="s">
        <v>3452</v>
      </c>
      <c r="C976" t="s">
        <v>462</v>
      </c>
      <c r="D976" t="s">
        <v>190</v>
      </c>
      <c r="E976">
        <f>_xlfn.XLOOKUP(D976,'Resumen Estudiantes y Profesore'!B:B,'Resumen Estudiantes y Profesore'!A:A)</f>
        <v>64</v>
      </c>
      <c r="F976" t="s">
        <v>243</v>
      </c>
      <c r="G976" t="s">
        <v>246</v>
      </c>
      <c r="H976" t="s">
        <v>246</v>
      </c>
      <c r="I976" t="s">
        <v>674</v>
      </c>
      <c r="J976" t="s">
        <v>85</v>
      </c>
      <c r="K976" s="120" t="s">
        <v>3453</v>
      </c>
      <c r="N976" s="49"/>
    </row>
    <row r="977" spans="1:14">
      <c r="A977" t="s">
        <v>3451</v>
      </c>
      <c r="B977" t="s">
        <v>3454</v>
      </c>
      <c r="C977" t="s">
        <v>1625</v>
      </c>
      <c r="D977" t="s">
        <v>208</v>
      </c>
      <c r="E977">
        <f>_xlfn.XLOOKUP(D977,'Resumen Estudiantes y Profesore'!B:B,'Resumen Estudiantes y Profesore'!A:A)</f>
        <v>89</v>
      </c>
      <c r="F977" t="s">
        <v>243</v>
      </c>
      <c r="G977" t="s">
        <v>246</v>
      </c>
      <c r="H977" t="s">
        <v>246</v>
      </c>
      <c r="I977" t="s">
        <v>674</v>
      </c>
      <c r="J977" t="s">
        <v>85</v>
      </c>
      <c r="K977" s="120" t="s">
        <v>3455</v>
      </c>
      <c r="N977" s="49"/>
    </row>
    <row r="978" spans="1:14">
      <c r="A978" t="s">
        <v>1957</v>
      </c>
      <c r="B978" t="s">
        <v>3456</v>
      </c>
      <c r="C978" t="s">
        <v>709</v>
      </c>
      <c r="D978" t="s">
        <v>153</v>
      </c>
      <c r="E978">
        <f>_xlfn.XLOOKUP(D978,'Resumen Estudiantes y Profesore'!B:B,'Resumen Estudiantes y Profesore'!A:A)</f>
        <v>104</v>
      </c>
      <c r="F978" t="s">
        <v>243</v>
      </c>
      <c r="G978" t="s">
        <v>246</v>
      </c>
      <c r="H978" t="s">
        <v>246</v>
      </c>
      <c r="I978" t="s">
        <v>674</v>
      </c>
      <c r="J978" t="s">
        <v>87</v>
      </c>
      <c r="K978" s="120" t="s">
        <v>3457</v>
      </c>
      <c r="N978" s="49"/>
    </row>
    <row r="979" spans="1:14">
      <c r="A979" t="s">
        <v>3458</v>
      </c>
      <c r="B979" t="s">
        <v>3459</v>
      </c>
      <c r="C979" t="s">
        <v>95</v>
      </c>
      <c r="D979" t="s">
        <v>251</v>
      </c>
      <c r="E979">
        <f>_xlfn.XLOOKUP(D979,'Resumen Estudiantes y Profesore'!B:B,'Resumen Estudiantes y Profesore'!A:A)</f>
        <v>211</v>
      </c>
      <c r="F979" t="s">
        <v>243</v>
      </c>
      <c r="G979" t="s">
        <v>246</v>
      </c>
      <c r="H979" t="s">
        <v>246</v>
      </c>
      <c r="I979" t="s">
        <v>682</v>
      </c>
      <c r="J979" t="s">
        <v>95</v>
      </c>
      <c r="K979" s="120" t="s">
        <v>3460</v>
      </c>
      <c r="N979" s="49"/>
    </row>
    <row r="980" spans="1:14">
      <c r="A980" t="s">
        <v>3461</v>
      </c>
      <c r="B980" t="s">
        <v>3462</v>
      </c>
      <c r="C980" t="s">
        <v>422</v>
      </c>
      <c r="D980" t="s">
        <v>238</v>
      </c>
      <c r="E980">
        <f>_xlfn.XLOOKUP(D980,'Resumen Estudiantes y Profesore'!B:B,'Resumen Estudiantes y Profesore'!A:A)</f>
        <v>157</v>
      </c>
      <c r="F980" t="s">
        <v>243</v>
      </c>
      <c r="G980" t="s">
        <v>246</v>
      </c>
      <c r="H980" t="s">
        <v>246</v>
      </c>
      <c r="I980" t="s">
        <v>682</v>
      </c>
      <c r="J980" t="s">
        <v>77</v>
      </c>
      <c r="K980" s="120" t="s">
        <v>3463</v>
      </c>
      <c r="N980" s="49"/>
    </row>
    <row r="981" spans="1:14">
      <c r="A981" t="s">
        <v>3464</v>
      </c>
      <c r="B981" t="s">
        <v>3465</v>
      </c>
      <c r="C981" t="s">
        <v>422</v>
      </c>
      <c r="D981" t="s">
        <v>238</v>
      </c>
      <c r="E981">
        <f>_xlfn.XLOOKUP(D981,'Resumen Estudiantes y Profesore'!B:B,'Resumen Estudiantes y Profesore'!A:A)</f>
        <v>157</v>
      </c>
      <c r="F981" t="s">
        <v>243</v>
      </c>
      <c r="G981" t="s">
        <v>246</v>
      </c>
      <c r="H981" t="s">
        <v>246</v>
      </c>
      <c r="I981" t="s">
        <v>682</v>
      </c>
      <c r="J981" t="s">
        <v>77</v>
      </c>
      <c r="K981" s="120" t="s">
        <v>3466</v>
      </c>
      <c r="N981" s="49"/>
    </row>
    <row r="982" spans="1:14">
      <c r="A982" t="s">
        <v>3467</v>
      </c>
      <c r="B982" t="s">
        <v>3468</v>
      </c>
      <c r="C982" t="s">
        <v>3469</v>
      </c>
      <c r="D982" t="s">
        <v>145</v>
      </c>
      <c r="E982">
        <f>_xlfn.XLOOKUP(D982,'Resumen Estudiantes y Profesore'!B:B,'Resumen Estudiantes y Profesore'!A:A)</f>
        <v>114</v>
      </c>
      <c r="F982" t="s">
        <v>243</v>
      </c>
      <c r="G982" t="s">
        <v>246</v>
      </c>
      <c r="H982" t="s">
        <v>246</v>
      </c>
      <c r="I982" t="s">
        <v>674</v>
      </c>
      <c r="J982" t="s">
        <v>138</v>
      </c>
      <c r="K982" s="120" t="s">
        <v>3470</v>
      </c>
      <c r="N982" s="49"/>
    </row>
    <row r="983" spans="1:14">
      <c r="A983" t="s">
        <v>3471</v>
      </c>
      <c r="B983" t="s">
        <v>3472</v>
      </c>
      <c r="C983" t="s">
        <v>424</v>
      </c>
      <c r="D983" t="s">
        <v>24</v>
      </c>
      <c r="E983">
        <f>_xlfn.XLOOKUP(D983,'Resumen Estudiantes y Profesore'!B:B,'Resumen Estudiantes y Profesore'!A:A)</f>
        <v>27</v>
      </c>
      <c r="F983" t="s">
        <v>243</v>
      </c>
      <c r="G983" t="s">
        <v>246</v>
      </c>
      <c r="H983" t="s">
        <v>246</v>
      </c>
      <c r="I983" t="s">
        <v>682</v>
      </c>
      <c r="J983" t="s">
        <v>83</v>
      </c>
      <c r="K983" s="120" t="s">
        <v>3473</v>
      </c>
      <c r="N983" s="49"/>
    </row>
    <row r="984" spans="1:14">
      <c r="A984" t="s">
        <v>3474</v>
      </c>
      <c r="B984" t="s">
        <v>3475</v>
      </c>
      <c r="C984" t="s">
        <v>534</v>
      </c>
      <c r="D984" t="s">
        <v>36</v>
      </c>
      <c r="E984">
        <f>_xlfn.XLOOKUP(D984,'Resumen Estudiantes y Profesore'!B:B,'Resumen Estudiantes y Profesore'!A:A)</f>
        <v>37</v>
      </c>
      <c r="F984" t="s">
        <v>243</v>
      </c>
      <c r="G984" t="s">
        <v>246</v>
      </c>
      <c r="H984" t="s">
        <v>246</v>
      </c>
      <c r="I984" t="s">
        <v>682</v>
      </c>
      <c r="J984" t="s">
        <v>89</v>
      </c>
      <c r="K984" s="120" t="s">
        <v>3476</v>
      </c>
      <c r="N984" s="49"/>
    </row>
    <row r="985" spans="1:14">
      <c r="A985" t="s">
        <v>3477</v>
      </c>
      <c r="B985" t="s">
        <v>3478</v>
      </c>
      <c r="C985" t="s">
        <v>446</v>
      </c>
      <c r="D985" t="s">
        <v>34</v>
      </c>
      <c r="E985">
        <f>_xlfn.XLOOKUP(D985,'Resumen Estudiantes y Profesore'!B:B,'Resumen Estudiantes y Profesore'!A:A)</f>
        <v>39</v>
      </c>
      <c r="F985" t="s">
        <v>243</v>
      </c>
      <c r="G985" t="s">
        <v>246</v>
      </c>
      <c r="H985" t="s">
        <v>246</v>
      </c>
      <c r="I985" t="s">
        <v>682</v>
      </c>
      <c r="J985" t="s">
        <v>89</v>
      </c>
      <c r="K985" s="120" t="s">
        <v>3479</v>
      </c>
      <c r="N985" s="49"/>
    </row>
    <row r="986" spans="1:14">
      <c r="A986" t="s">
        <v>3480</v>
      </c>
      <c r="B986" t="s">
        <v>3481</v>
      </c>
      <c r="C986" t="s">
        <v>450</v>
      </c>
      <c r="D986" t="s">
        <v>37</v>
      </c>
      <c r="E986">
        <f>_xlfn.XLOOKUP(D986,'Resumen Estudiantes y Profesore'!B:B,'Resumen Estudiantes y Profesore'!A:A)</f>
        <v>41</v>
      </c>
      <c r="F986" t="s">
        <v>243</v>
      </c>
      <c r="G986" t="s">
        <v>246</v>
      </c>
      <c r="H986" t="s">
        <v>246</v>
      </c>
      <c r="I986" t="s">
        <v>682</v>
      </c>
      <c r="J986" t="s">
        <v>89</v>
      </c>
      <c r="K986" s="120" t="s">
        <v>3482</v>
      </c>
      <c r="N986" s="49"/>
    </row>
    <row r="987" spans="1:14">
      <c r="A987" t="s">
        <v>3483</v>
      </c>
      <c r="B987" t="s">
        <v>3484</v>
      </c>
      <c r="C987" t="s">
        <v>2046</v>
      </c>
      <c r="D987" t="s">
        <v>179</v>
      </c>
      <c r="E987">
        <f>_xlfn.XLOOKUP(D987,'Resumen Estudiantes y Profesore'!B:B,'Resumen Estudiantes y Profesore'!A:A)</f>
        <v>73</v>
      </c>
      <c r="F987" t="s">
        <v>243</v>
      </c>
      <c r="G987" t="s">
        <v>246</v>
      </c>
      <c r="H987" t="s">
        <v>246</v>
      </c>
      <c r="I987" t="s">
        <v>674</v>
      </c>
      <c r="J987" t="s">
        <v>89</v>
      </c>
      <c r="K987" s="120" t="s">
        <v>3485</v>
      </c>
      <c r="N987" s="49"/>
    </row>
    <row r="988" spans="1:14">
      <c r="A988" t="s">
        <v>3486</v>
      </c>
      <c r="B988" t="s">
        <v>3487</v>
      </c>
      <c r="C988" t="s">
        <v>446</v>
      </c>
      <c r="D988" t="s">
        <v>34</v>
      </c>
      <c r="E988">
        <f>_xlfn.XLOOKUP(D988,'Resumen Estudiantes y Profesore'!B:B,'Resumen Estudiantes y Profesore'!A:A)</f>
        <v>39</v>
      </c>
      <c r="F988" t="s">
        <v>243</v>
      </c>
      <c r="G988" t="s">
        <v>246</v>
      </c>
      <c r="H988" t="s">
        <v>246</v>
      </c>
      <c r="I988" t="s">
        <v>682</v>
      </c>
      <c r="J988" t="s">
        <v>89</v>
      </c>
      <c r="K988" s="120" t="s">
        <v>3488</v>
      </c>
      <c r="N988" s="49"/>
    </row>
    <row r="989" spans="1:14">
      <c r="A989" t="s">
        <v>3489</v>
      </c>
      <c r="B989" t="s">
        <v>3490</v>
      </c>
      <c r="C989" t="s">
        <v>446</v>
      </c>
      <c r="D989" t="s">
        <v>34</v>
      </c>
      <c r="E989">
        <f>_xlfn.XLOOKUP(D989,'Resumen Estudiantes y Profesore'!B:B,'Resumen Estudiantes y Profesore'!A:A)</f>
        <v>39</v>
      </c>
      <c r="F989" t="s">
        <v>243</v>
      </c>
      <c r="G989" t="s">
        <v>246</v>
      </c>
      <c r="H989" t="s">
        <v>246</v>
      </c>
      <c r="I989" t="s">
        <v>682</v>
      </c>
      <c r="J989" t="s">
        <v>89</v>
      </c>
      <c r="K989" s="120" t="s">
        <v>3491</v>
      </c>
      <c r="N989" s="49"/>
    </row>
    <row r="990" spans="1:14">
      <c r="A990" t="s">
        <v>3492</v>
      </c>
      <c r="B990" t="s">
        <v>3493</v>
      </c>
      <c r="C990" t="s">
        <v>1215</v>
      </c>
      <c r="D990" t="s">
        <v>139</v>
      </c>
      <c r="E990">
        <f>_xlfn.XLOOKUP(D990,'Resumen Estudiantes y Profesore'!B:B,'Resumen Estudiantes y Profesore'!A:A)</f>
        <v>117</v>
      </c>
      <c r="F990" t="s">
        <v>243</v>
      </c>
      <c r="G990" t="s">
        <v>246</v>
      </c>
      <c r="H990" t="s">
        <v>246</v>
      </c>
      <c r="I990" t="s">
        <v>674</v>
      </c>
      <c r="J990" t="s">
        <v>138</v>
      </c>
      <c r="K990" s="120" t="s">
        <v>3494</v>
      </c>
      <c r="N990" s="49"/>
    </row>
    <row r="991" spans="1:14">
      <c r="A991" t="s">
        <v>3492</v>
      </c>
      <c r="B991" t="s">
        <v>3495</v>
      </c>
      <c r="C991" t="s">
        <v>2046</v>
      </c>
      <c r="D991" t="s">
        <v>179</v>
      </c>
      <c r="E991">
        <f>_xlfn.XLOOKUP(D991,'Resumen Estudiantes y Profesore'!B:B,'Resumen Estudiantes y Profesore'!A:A)</f>
        <v>73</v>
      </c>
      <c r="F991" t="s">
        <v>243</v>
      </c>
      <c r="G991" t="s">
        <v>246</v>
      </c>
      <c r="H991" t="s">
        <v>246</v>
      </c>
      <c r="I991" t="s">
        <v>674</v>
      </c>
      <c r="J991" t="s">
        <v>89</v>
      </c>
      <c r="K991" s="120" t="s">
        <v>3496</v>
      </c>
      <c r="N991" s="49"/>
    </row>
    <row r="992" spans="1:14">
      <c r="A992" t="s">
        <v>3497</v>
      </c>
      <c r="B992" t="s">
        <v>3498</v>
      </c>
      <c r="C992" t="s">
        <v>424</v>
      </c>
      <c r="D992" t="s">
        <v>24</v>
      </c>
      <c r="E992">
        <f>_xlfn.XLOOKUP(D992,'Resumen Estudiantes y Profesore'!B:B,'Resumen Estudiantes y Profesore'!A:A)</f>
        <v>27</v>
      </c>
      <c r="F992" t="s">
        <v>243</v>
      </c>
      <c r="G992" t="s">
        <v>246</v>
      </c>
      <c r="H992" t="s">
        <v>246</v>
      </c>
      <c r="I992" t="s">
        <v>682</v>
      </c>
      <c r="J992" t="s">
        <v>83</v>
      </c>
      <c r="K992" s="120" t="s">
        <v>3499</v>
      </c>
      <c r="N992" s="49"/>
    </row>
    <row r="993" spans="1:14">
      <c r="A993" t="s">
        <v>3497</v>
      </c>
      <c r="B993" t="s">
        <v>3500</v>
      </c>
      <c r="C993" t="s">
        <v>428</v>
      </c>
      <c r="D993" t="s">
        <v>25</v>
      </c>
      <c r="E993">
        <f>_xlfn.XLOOKUP(D993,'Resumen Estudiantes y Profesore'!B:B,'Resumen Estudiantes y Profesore'!A:A)</f>
        <v>28</v>
      </c>
      <c r="F993" t="s">
        <v>243</v>
      </c>
      <c r="G993" t="s">
        <v>246</v>
      </c>
      <c r="H993" t="s">
        <v>246</v>
      </c>
      <c r="I993" t="s">
        <v>682</v>
      </c>
      <c r="J993" t="s">
        <v>83</v>
      </c>
      <c r="K993" s="120" t="s">
        <v>3501</v>
      </c>
      <c r="N993" s="49"/>
    </row>
    <row r="994" spans="1:14">
      <c r="A994" t="s">
        <v>3497</v>
      </c>
      <c r="B994" t="s">
        <v>3502</v>
      </c>
      <c r="C994" t="s">
        <v>426</v>
      </c>
      <c r="D994" t="s">
        <v>23</v>
      </c>
      <c r="E994">
        <f>_xlfn.XLOOKUP(D994,'Resumen Estudiantes y Profesore'!B:B,'Resumen Estudiantes y Profesore'!A:A)</f>
        <v>26</v>
      </c>
      <c r="F994" t="s">
        <v>243</v>
      </c>
      <c r="G994" t="s">
        <v>246</v>
      </c>
      <c r="H994" t="s">
        <v>246</v>
      </c>
      <c r="I994" t="s">
        <v>682</v>
      </c>
      <c r="J994" t="s">
        <v>83</v>
      </c>
      <c r="K994" s="120" t="s">
        <v>3503</v>
      </c>
      <c r="N994" s="49"/>
    </row>
    <row r="995" spans="1:14">
      <c r="A995" t="s">
        <v>3504</v>
      </c>
      <c r="B995" t="s">
        <v>3505</v>
      </c>
      <c r="C995" t="s">
        <v>882</v>
      </c>
      <c r="D995" t="s">
        <v>143</v>
      </c>
      <c r="E995">
        <f>_xlfn.XLOOKUP(D995,'Resumen Estudiantes y Profesore'!B:B,'Resumen Estudiantes y Profesore'!A:A)</f>
        <v>120</v>
      </c>
      <c r="F995" t="s">
        <v>243</v>
      </c>
      <c r="G995" t="s">
        <v>246</v>
      </c>
      <c r="H995" t="s">
        <v>246</v>
      </c>
      <c r="I995" t="s">
        <v>674</v>
      </c>
      <c r="J995" t="s">
        <v>138</v>
      </c>
      <c r="K995" s="120" t="s">
        <v>3506</v>
      </c>
      <c r="N995" s="49"/>
    </row>
    <row r="996" spans="1:14">
      <c r="A996" t="s">
        <v>3507</v>
      </c>
      <c r="B996" t="s">
        <v>3508</v>
      </c>
      <c r="C996" t="s">
        <v>439</v>
      </c>
      <c r="D996" t="s">
        <v>31</v>
      </c>
      <c r="E996">
        <f>_xlfn.XLOOKUP(D996,'Resumen Estudiantes y Profesore'!B:B,'Resumen Estudiantes y Profesore'!A:A)</f>
        <v>35</v>
      </c>
      <c r="F996" t="s">
        <v>243</v>
      </c>
      <c r="G996" t="s">
        <v>246</v>
      </c>
      <c r="H996" t="s">
        <v>246</v>
      </c>
      <c r="I996" t="s">
        <v>682</v>
      </c>
      <c r="J996" t="s">
        <v>88</v>
      </c>
      <c r="K996" s="120" t="s">
        <v>3509</v>
      </c>
      <c r="N996" s="49"/>
    </row>
    <row r="997" spans="1:14">
      <c r="A997" t="s">
        <v>3510</v>
      </c>
      <c r="B997" t="s">
        <v>3511</v>
      </c>
      <c r="C997" t="s">
        <v>446</v>
      </c>
      <c r="D997" t="s">
        <v>34</v>
      </c>
      <c r="E997">
        <f>_xlfn.XLOOKUP(D997,'Resumen Estudiantes y Profesore'!B:B,'Resumen Estudiantes y Profesore'!A:A)</f>
        <v>39</v>
      </c>
      <c r="F997" t="s">
        <v>243</v>
      </c>
      <c r="G997" t="s">
        <v>246</v>
      </c>
      <c r="H997" t="s">
        <v>246</v>
      </c>
      <c r="I997" t="s">
        <v>682</v>
      </c>
      <c r="J997" t="s">
        <v>89</v>
      </c>
      <c r="K997" s="120" t="s">
        <v>3512</v>
      </c>
      <c r="N997" s="49"/>
    </row>
    <row r="998" spans="1:14">
      <c r="A998" t="s">
        <v>3513</v>
      </c>
      <c r="B998" t="s">
        <v>3514</v>
      </c>
      <c r="C998" t="s">
        <v>451</v>
      </c>
      <c r="D998" t="s">
        <v>38</v>
      </c>
      <c r="E998">
        <f>_xlfn.XLOOKUP(D998,'Resumen Estudiantes y Profesore'!B:B,'Resumen Estudiantes y Profesore'!A:A)</f>
        <v>42</v>
      </c>
      <c r="F998" t="s">
        <v>243</v>
      </c>
      <c r="G998" t="s">
        <v>246</v>
      </c>
      <c r="H998" t="s">
        <v>246</v>
      </c>
      <c r="I998" t="s">
        <v>682</v>
      </c>
      <c r="J998" t="s">
        <v>90</v>
      </c>
      <c r="K998" s="120" t="s">
        <v>3515</v>
      </c>
      <c r="N998" s="49"/>
    </row>
    <row r="999" spans="1:14">
      <c r="A999" t="s">
        <v>3516</v>
      </c>
      <c r="B999" t="s">
        <v>3517</v>
      </c>
      <c r="C999" t="s">
        <v>451</v>
      </c>
      <c r="D999" t="s">
        <v>38</v>
      </c>
      <c r="E999">
        <f>_xlfn.XLOOKUP(D999,'Resumen Estudiantes y Profesore'!B:B,'Resumen Estudiantes y Profesore'!A:A)</f>
        <v>42</v>
      </c>
      <c r="F999" t="s">
        <v>243</v>
      </c>
      <c r="G999" t="s">
        <v>246</v>
      </c>
      <c r="H999" t="s">
        <v>246</v>
      </c>
      <c r="I999" t="s">
        <v>682</v>
      </c>
      <c r="J999" t="s">
        <v>90</v>
      </c>
      <c r="K999" s="120" t="s">
        <v>3518</v>
      </c>
      <c r="N999" s="49"/>
    </row>
    <row r="1000" spans="1:14">
      <c r="A1000" t="s">
        <v>3519</v>
      </c>
      <c r="B1000" t="s">
        <v>3520</v>
      </c>
      <c r="C1000" t="s">
        <v>93</v>
      </c>
      <c r="D1000" t="s">
        <v>93</v>
      </c>
      <c r="E1000">
        <f>_xlfn.XLOOKUP(D1000,'Resumen Estudiantes y Profesore'!B:B,'Resumen Estudiantes y Profesore'!A:A)</f>
        <v>210</v>
      </c>
      <c r="F1000" t="s">
        <v>243</v>
      </c>
      <c r="G1000" t="s">
        <v>246</v>
      </c>
      <c r="H1000" t="s">
        <v>246</v>
      </c>
      <c r="I1000" t="s">
        <v>682</v>
      </c>
      <c r="J1000" t="s">
        <v>93</v>
      </c>
      <c r="K1000" s="120" t="s">
        <v>3521</v>
      </c>
      <c r="N1000" s="49"/>
    </row>
    <row r="1001" spans="1:14">
      <c r="A1001" t="s">
        <v>3522</v>
      </c>
      <c r="B1001" t="s">
        <v>3523</v>
      </c>
      <c r="C1001" t="s">
        <v>444</v>
      </c>
      <c r="D1001" t="s">
        <v>33</v>
      </c>
      <c r="E1001">
        <f>_xlfn.XLOOKUP(D1001,'Resumen Estudiantes y Profesore'!B:B,'Resumen Estudiantes y Profesore'!A:A)</f>
        <v>38</v>
      </c>
      <c r="F1001" t="s">
        <v>243</v>
      </c>
      <c r="G1001" t="s">
        <v>246</v>
      </c>
      <c r="H1001" t="s">
        <v>246</v>
      </c>
      <c r="I1001" t="s">
        <v>682</v>
      </c>
      <c r="J1001" t="s">
        <v>89</v>
      </c>
      <c r="K1001" s="120" t="s">
        <v>3524</v>
      </c>
      <c r="N1001" s="49"/>
    </row>
    <row r="1002" spans="1:14">
      <c r="A1002" t="s">
        <v>3525</v>
      </c>
      <c r="B1002" t="s">
        <v>3526</v>
      </c>
      <c r="C1002" t="s">
        <v>450</v>
      </c>
      <c r="D1002" t="s">
        <v>37</v>
      </c>
      <c r="E1002">
        <f>_xlfn.XLOOKUP(D1002,'Resumen Estudiantes y Profesore'!B:B,'Resumen Estudiantes y Profesore'!A:A)</f>
        <v>41</v>
      </c>
      <c r="F1002" t="s">
        <v>243</v>
      </c>
      <c r="G1002" t="s">
        <v>246</v>
      </c>
      <c r="H1002" t="s">
        <v>246</v>
      </c>
      <c r="I1002" t="s">
        <v>682</v>
      </c>
      <c r="J1002" t="s">
        <v>89</v>
      </c>
      <c r="K1002" s="120" t="s">
        <v>3527</v>
      </c>
      <c r="N1002" s="49"/>
    </row>
    <row r="1003" spans="1:14">
      <c r="A1003" t="s">
        <v>3528</v>
      </c>
      <c r="B1003" t="s">
        <v>3529</v>
      </c>
      <c r="C1003" t="s">
        <v>431</v>
      </c>
      <c r="D1003" t="s">
        <v>27</v>
      </c>
      <c r="E1003">
        <f>_xlfn.XLOOKUP(D1003,'Resumen Estudiantes y Profesore'!B:B,'Resumen Estudiantes y Profesore'!A:A)</f>
        <v>30</v>
      </c>
      <c r="F1003" t="s">
        <v>243</v>
      </c>
      <c r="G1003" t="s">
        <v>246</v>
      </c>
      <c r="H1003" t="s">
        <v>246</v>
      </c>
      <c r="I1003" t="s">
        <v>682</v>
      </c>
      <c r="J1003" t="s">
        <v>84</v>
      </c>
      <c r="K1003" s="120" t="s">
        <v>3530</v>
      </c>
      <c r="N1003" s="49"/>
    </row>
    <row r="1004" spans="1:14">
      <c r="A1004" t="s">
        <v>3531</v>
      </c>
      <c r="B1004" t="s">
        <v>3532</v>
      </c>
      <c r="C1004" t="s">
        <v>95</v>
      </c>
      <c r="D1004" t="s">
        <v>251</v>
      </c>
      <c r="E1004">
        <f>_xlfn.XLOOKUP(D1004,'Resumen Estudiantes y Profesore'!B:B,'Resumen Estudiantes y Profesore'!A:A)</f>
        <v>211</v>
      </c>
      <c r="F1004" t="s">
        <v>243</v>
      </c>
      <c r="G1004" t="s">
        <v>246</v>
      </c>
      <c r="H1004" t="s">
        <v>246</v>
      </c>
      <c r="I1004" t="s">
        <v>682</v>
      </c>
      <c r="J1004" t="s">
        <v>95</v>
      </c>
      <c r="K1004" s="120" t="s">
        <v>3533</v>
      </c>
      <c r="N1004" s="49"/>
    </row>
    <row r="1005" spans="1:14">
      <c r="A1005" t="s">
        <v>3534</v>
      </c>
      <c r="B1005" t="s">
        <v>3535</v>
      </c>
      <c r="C1005" t="s">
        <v>436</v>
      </c>
      <c r="D1005" t="s">
        <v>29</v>
      </c>
      <c r="E1005">
        <f>_xlfn.XLOOKUP(D1005,'Resumen Estudiantes y Profesore'!B:B,'Resumen Estudiantes y Profesore'!A:A)</f>
        <v>33</v>
      </c>
      <c r="F1005" t="s">
        <v>243</v>
      </c>
      <c r="G1005" t="s">
        <v>246</v>
      </c>
      <c r="H1005" t="s">
        <v>246</v>
      </c>
      <c r="I1005" t="s">
        <v>682</v>
      </c>
      <c r="J1005" t="s">
        <v>87</v>
      </c>
      <c r="K1005" s="120" t="s">
        <v>3536</v>
      </c>
      <c r="N1005" s="49"/>
    </row>
    <row r="1006" spans="1:14">
      <c r="A1006" t="s">
        <v>3537</v>
      </c>
      <c r="B1006" t="s">
        <v>3538</v>
      </c>
      <c r="C1006" t="s">
        <v>424</v>
      </c>
      <c r="D1006" t="s">
        <v>24</v>
      </c>
      <c r="E1006">
        <f>_xlfn.XLOOKUP(D1006,'Resumen Estudiantes y Profesore'!B:B,'Resumen Estudiantes y Profesore'!A:A)</f>
        <v>27</v>
      </c>
      <c r="F1006" t="s">
        <v>243</v>
      </c>
      <c r="G1006" t="s">
        <v>246</v>
      </c>
      <c r="H1006" t="s">
        <v>246</v>
      </c>
      <c r="I1006" t="s">
        <v>682</v>
      </c>
      <c r="J1006" t="s">
        <v>83</v>
      </c>
      <c r="K1006" s="120" t="s">
        <v>3539</v>
      </c>
      <c r="N1006" s="49"/>
    </row>
    <row r="1007" spans="1:14">
      <c r="A1007" t="s">
        <v>2449</v>
      </c>
      <c r="B1007" t="s">
        <v>3540</v>
      </c>
      <c r="C1007" t="s">
        <v>424</v>
      </c>
      <c r="D1007" t="s">
        <v>24</v>
      </c>
      <c r="E1007">
        <f>_xlfn.XLOOKUP(D1007,'Resumen Estudiantes y Profesore'!B:B,'Resumen Estudiantes y Profesore'!A:A)</f>
        <v>27</v>
      </c>
      <c r="F1007" t="s">
        <v>243</v>
      </c>
      <c r="G1007" t="s">
        <v>246</v>
      </c>
      <c r="H1007" t="s">
        <v>246</v>
      </c>
      <c r="I1007" t="s">
        <v>682</v>
      </c>
      <c r="J1007" t="s">
        <v>83</v>
      </c>
      <c r="K1007" s="120" t="s">
        <v>3541</v>
      </c>
      <c r="N1007" s="49"/>
    </row>
    <row r="1008" spans="1:14">
      <c r="A1008" t="s">
        <v>2449</v>
      </c>
      <c r="B1008" t="s">
        <v>3542</v>
      </c>
      <c r="C1008" t="s">
        <v>428</v>
      </c>
      <c r="D1008" t="s">
        <v>25</v>
      </c>
      <c r="E1008">
        <f>_xlfn.XLOOKUP(D1008,'Resumen Estudiantes y Profesore'!B:B,'Resumen Estudiantes y Profesore'!A:A)</f>
        <v>28</v>
      </c>
      <c r="F1008" t="s">
        <v>243</v>
      </c>
      <c r="G1008" t="s">
        <v>246</v>
      </c>
      <c r="H1008" t="s">
        <v>246</v>
      </c>
      <c r="I1008" t="s">
        <v>682</v>
      </c>
      <c r="J1008" t="s">
        <v>83</v>
      </c>
      <c r="K1008" s="120" t="s">
        <v>3543</v>
      </c>
      <c r="N1008" s="49"/>
    </row>
    <row r="1009" spans="1:14">
      <c r="A1009" t="s">
        <v>2449</v>
      </c>
      <c r="B1009" t="s">
        <v>3544</v>
      </c>
      <c r="C1009" t="s">
        <v>426</v>
      </c>
      <c r="D1009" t="s">
        <v>23</v>
      </c>
      <c r="E1009">
        <f>_xlfn.XLOOKUP(D1009,'Resumen Estudiantes y Profesore'!B:B,'Resumen Estudiantes y Profesore'!A:A)</f>
        <v>26</v>
      </c>
      <c r="F1009" t="s">
        <v>243</v>
      </c>
      <c r="G1009" t="s">
        <v>246</v>
      </c>
      <c r="H1009" t="s">
        <v>246</v>
      </c>
      <c r="I1009" t="s">
        <v>682</v>
      </c>
      <c r="J1009" t="s">
        <v>83</v>
      </c>
      <c r="K1009" s="120" t="s">
        <v>3545</v>
      </c>
      <c r="N1009" s="49"/>
    </row>
    <row r="1010" spans="1:14">
      <c r="A1010" t="s">
        <v>2577</v>
      </c>
      <c r="B1010" t="s">
        <v>3546</v>
      </c>
      <c r="C1010" t="s">
        <v>511</v>
      </c>
      <c r="D1010" t="s">
        <v>141</v>
      </c>
      <c r="E1010">
        <f>_xlfn.XLOOKUP(D1010,'Resumen Estudiantes y Profesore'!B:B,'Resumen Estudiantes y Profesore'!A:A)</f>
        <v>112</v>
      </c>
      <c r="F1010" t="s">
        <v>244</v>
      </c>
      <c r="G1010" t="s">
        <v>246</v>
      </c>
      <c r="H1010" t="s">
        <v>246</v>
      </c>
      <c r="I1010" t="s">
        <v>674</v>
      </c>
      <c r="J1010" t="s">
        <v>138</v>
      </c>
      <c r="K1010" s="120" t="s">
        <v>3547</v>
      </c>
      <c r="N1010" s="49"/>
    </row>
    <row r="1011" spans="1:14">
      <c r="A1011" t="s">
        <v>3548</v>
      </c>
      <c r="B1011" t="s">
        <v>3549</v>
      </c>
      <c r="C1011" t="s">
        <v>469</v>
      </c>
      <c r="D1011" t="s">
        <v>179</v>
      </c>
      <c r="E1011">
        <f>_xlfn.XLOOKUP(D1011,'Resumen Estudiantes y Profesore'!B:B,'Resumen Estudiantes y Profesore'!A:A)</f>
        <v>73</v>
      </c>
      <c r="F1011" t="s">
        <v>244</v>
      </c>
      <c r="G1011" t="s">
        <v>246</v>
      </c>
      <c r="H1011" t="s">
        <v>246</v>
      </c>
      <c r="I1011" t="s">
        <v>674</v>
      </c>
      <c r="J1011" t="s">
        <v>89</v>
      </c>
      <c r="K1011" s="120" t="s">
        <v>3550</v>
      </c>
      <c r="N1011" s="49"/>
    </row>
    <row r="1012" spans="1:14">
      <c r="A1012" t="s">
        <v>2580</v>
      </c>
      <c r="B1012" t="s">
        <v>3551</v>
      </c>
      <c r="C1012" t="s">
        <v>546</v>
      </c>
      <c r="D1012" t="s">
        <v>211</v>
      </c>
      <c r="E1012">
        <f>_xlfn.XLOOKUP(D1012,'Resumen Estudiantes y Profesore'!B:B,'Resumen Estudiantes y Profesore'!A:A)</f>
        <v>206</v>
      </c>
      <c r="F1012" t="s">
        <v>244</v>
      </c>
      <c r="G1012" t="s">
        <v>246</v>
      </c>
      <c r="H1012" t="s">
        <v>246</v>
      </c>
      <c r="I1012" t="s">
        <v>674</v>
      </c>
      <c r="J1012" t="s">
        <v>87</v>
      </c>
      <c r="K1012" s="120" t="s">
        <v>3552</v>
      </c>
      <c r="N1012" s="49"/>
    </row>
    <row r="1013" spans="1:14">
      <c r="A1013" t="s">
        <v>2580</v>
      </c>
      <c r="B1013" t="s">
        <v>3553</v>
      </c>
      <c r="C1013" t="s">
        <v>437</v>
      </c>
      <c r="D1013" t="s">
        <v>30</v>
      </c>
      <c r="E1013">
        <f>_xlfn.XLOOKUP(D1013,'Resumen Estudiantes y Profesore'!B:B,'Resumen Estudiantes y Profesore'!A:A)</f>
        <v>34</v>
      </c>
      <c r="F1013" t="s">
        <v>244</v>
      </c>
      <c r="G1013" t="s">
        <v>246</v>
      </c>
      <c r="H1013" t="s">
        <v>246</v>
      </c>
      <c r="I1013" t="s">
        <v>682</v>
      </c>
      <c r="J1013" t="s">
        <v>87</v>
      </c>
      <c r="K1013" s="120" t="s">
        <v>3554</v>
      </c>
      <c r="N1013" s="49"/>
    </row>
    <row r="1014" spans="1:14">
      <c r="A1014" t="s">
        <v>3555</v>
      </c>
      <c r="B1014" t="s">
        <v>3556</v>
      </c>
      <c r="C1014" t="s">
        <v>494</v>
      </c>
      <c r="D1014" t="s">
        <v>119</v>
      </c>
      <c r="E1014">
        <f>_xlfn.XLOOKUP(D1014,'Resumen Estudiantes y Profesore'!B:B,'Resumen Estudiantes y Profesore'!A:A)</f>
        <v>8</v>
      </c>
      <c r="F1014" t="s">
        <v>244</v>
      </c>
      <c r="G1014" t="s">
        <v>246</v>
      </c>
      <c r="H1014" t="s">
        <v>246</v>
      </c>
      <c r="I1014" t="s">
        <v>674</v>
      </c>
      <c r="J1014" t="s">
        <v>90</v>
      </c>
      <c r="K1014" s="120" t="s">
        <v>3557</v>
      </c>
      <c r="N1014" s="49"/>
    </row>
    <row r="1015" spans="1:14">
      <c r="A1015" t="s">
        <v>3555</v>
      </c>
      <c r="B1015" t="s">
        <v>3558</v>
      </c>
      <c r="C1015" t="s">
        <v>451</v>
      </c>
      <c r="D1015" t="s">
        <v>38</v>
      </c>
      <c r="E1015">
        <f>_xlfn.XLOOKUP(D1015,'Resumen Estudiantes y Profesore'!B:B,'Resumen Estudiantes y Profesore'!A:A)</f>
        <v>42</v>
      </c>
      <c r="F1015" t="s">
        <v>244</v>
      </c>
      <c r="G1015" t="s">
        <v>246</v>
      </c>
      <c r="H1015" t="s">
        <v>246</v>
      </c>
      <c r="I1015" t="s">
        <v>682</v>
      </c>
      <c r="J1015" t="s">
        <v>90</v>
      </c>
      <c r="K1015" s="120" t="s">
        <v>3559</v>
      </c>
      <c r="N1015" s="49"/>
    </row>
    <row r="1016" spans="1:14">
      <c r="A1016" t="s">
        <v>3560</v>
      </c>
      <c r="B1016" t="s">
        <v>3561</v>
      </c>
      <c r="C1016" t="s">
        <v>428</v>
      </c>
      <c r="D1016" t="s">
        <v>25</v>
      </c>
      <c r="E1016">
        <f>_xlfn.XLOOKUP(D1016,'Resumen Estudiantes y Profesore'!B:B,'Resumen Estudiantes y Profesore'!A:A)</f>
        <v>28</v>
      </c>
      <c r="F1016" t="s">
        <v>244</v>
      </c>
      <c r="G1016" t="s">
        <v>246</v>
      </c>
      <c r="H1016" t="s">
        <v>246</v>
      </c>
      <c r="I1016" t="s">
        <v>682</v>
      </c>
      <c r="J1016" t="s">
        <v>83</v>
      </c>
      <c r="K1016" s="120" t="s">
        <v>3562</v>
      </c>
      <c r="N1016" s="49"/>
    </row>
    <row r="1017" spans="1:14">
      <c r="A1017" t="s">
        <v>3563</v>
      </c>
      <c r="B1017" t="s">
        <v>3564</v>
      </c>
      <c r="C1017" t="s">
        <v>95</v>
      </c>
      <c r="D1017" t="s">
        <v>251</v>
      </c>
      <c r="E1017">
        <f>_xlfn.XLOOKUP(D1017,'Resumen Estudiantes y Profesore'!B:B,'Resumen Estudiantes y Profesore'!A:A)</f>
        <v>211</v>
      </c>
      <c r="F1017" t="s">
        <v>244</v>
      </c>
      <c r="G1017" t="s">
        <v>246</v>
      </c>
      <c r="H1017" t="s">
        <v>246</v>
      </c>
      <c r="I1017" t="s">
        <v>682</v>
      </c>
      <c r="J1017" t="s">
        <v>95</v>
      </c>
      <c r="K1017" s="120" t="s">
        <v>3565</v>
      </c>
      <c r="N1017" s="49"/>
    </row>
    <row r="1018" spans="1:14">
      <c r="A1018" t="s">
        <v>3566</v>
      </c>
      <c r="B1018" t="s">
        <v>3567</v>
      </c>
      <c r="C1018" t="s">
        <v>422</v>
      </c>
      <c r="D1018" t="s">
        <v>238</v>
      </c>
      <c r="E1018">
        <f>_xlfn.XLOOKUP(D1018,'Resumen Estudiantes y Profesore'!B:B,'Resumen Estudiantes y Profesore'!A:A)</f>
        <v>157</v>
      </c>
      <c r="F1018" t="s">
        <v>244</v>
      </c>
      <c r="G1018" t="s">
        <v>246</v>
      </c>
      <c r="H1018" t="s">
        <v>246</v>
      </c>
      <c r="I1018" t="s">
        <v>682</v>
      </c>
      <c r="J1018" t="s">
        <v>77</v>
      </c>
      <c r="K1018" s="120" t="s">
        <v>3568</v>
      </c>
      <c r="N1018" s="49"/>
    </row>
    <row r="1019" spans="1:14">
      <c r="A1019" t="s">
        <v>3569</v>
      </c>
      <c r="B1019" t="s">
        <v>3570</v>
      </c>
      <c r="C1019" t="s">
        <v>93</v>
      </c>
      <c r="D1019" t="s">
        <v>93</v>
      </c>
      <c r="E1019">
        <f>_xlfn.XLOOKUP(D1019,'Resumen Estudiantes y Profesore'!B:B,'Resumen Estudiantes y Profesore'!A:A)</f>
        <v>210</v>
      </c>
      <c r="F1019" t="s">
        <v>244</v>
      </c>
      <c r="G1019" t="s">
        <v>246</v>
      </c>
      <c r="H1019" t="s">
        <v>246</v>
      </c>
      <c r="I1019" t="s">
        <v>682</v>
      </c>
      <c r="J1019" t="s">
        <v>93</v>
      </c>
      <c r="K1019" s="120" t="s">
        <v>3571</v>
      </c>
      <c r="N1019" s="49"/>
    </row>
    <row r="1020" spans="1:14">
      <c r="A1020" t="s">
        <v>2585</v>
      </c>
      <c r="B1020" t="s">
        <v>3572</v>
      </c>
      <c r="C1020" t="s">
        <v>500</v>
      </c>
      <c r="D1020" t="s">
        <v>104</v>
      </c>
      <c r="E1020">
        <f>_xlfn.XLOOKUP(D1020,'Resumen Estudiantes y Profesore'!B:B,'Resumen Estudiantes y Profesore'!A:A)</f>
        <v>66</v>
      </c>
      <c r="F1020" t="s">
        <v>244</v>
      </c>
      <c r="G1020" t="s">
        <v>246</v>
      </c>
      <c r="H1020" t="s">
        <v>246</v>
      </c>
      <c r="I1020" t="s">
        <v>674</v>
      </c>
      <c r="J1020" t="s">
        <v>87</v>
      </c>
      <c r="K1020" s="120" t="s">
        <v>3573</v>
      </c>
      <c r="N1020" s="49"/>
    </row>
    <row r="1021" spans="1:14">
      <c r="A1021" t="s">
        <v>3574</v>
      </c>
      <c r="B1021" t="s">
        <v>3575</v>
      </c>
      <c r="C1021" t="s">
        <v>469</v>
      </c>
      <c r="D1021" t="s">
        <v>179</v>
      </c>
      <c r="E1021">
        <f>_xlfn.XLOOKUP(D1021,'Resumen Estudiantes y Profesore'!B:B,'Resumen Estudiantes y Profesore'!A:A)</f>
        <v>73</v>
      </c>
      <c r="F1021" t="s">
        <v>244</v>
      </c>
      <c r="G1021" t="s">
        <v>246</v>
      </c>
      <c r="H1021" t="s">
        <v>246</v>
      </c>
      <c r="I1021" t="s">
        <v>674</v>
      </c>
      <c r="J1021" t="s">
        <v>89</v>
      </c>
      <c r="K1021" s="120" t="s">
        <v>3576</v>
      </c>
      <c r="N1021" s="49"/>
    </row>
    <row r="1022" spans="1:14">
      <c r="A1022" t="s">
        <v>3574</v>
      </c>
      <c r="B1022" t="s">
        <v>3577</v>
      </c>
      <c r="C1022" t="s">
        <v>534</v>
      </c>
      <c r="D1022" t="s">
        <v>36</v>
      </c>
      <c r="E1022">
        <f>_xlfn.XLOOKUP(D1022,'Resumen Estudiantes y Profesore'!B:B,'Resumen Estudiantes y Profesore'!A:A)</f>
        <v>37</v>
      </c>
      <c r="F1022" t="s">
        <v>244</v>
      </c>
      <c r="G1022" t="s">
        <v>246</v>
      </c>
      <c r="H1022" t="s">
        <v>246</v>
      </c>
      <c r="I1022" t="s">
        <v>682</v>
      </c>
      <c r="J1022" t="s">
        <v>89</v>
      </c>
      <c r="K1022" s="120" t="s">
        <v>3578</v>
      </c>
      <c r="N1022" s="49"/>
    </row>
    <row r="1023" spans="1:14">
      <c r="A1023" t="s">
        <v>3574</v>
      </c>
      <c r="B1023" t="s">
        <v>3579</v>
      </c>
      <c r="C1023" t="s">
        <v>450</v>
      </c>
      <c r="D1023" t="s">
        <v>37</v>
      </c>
      <c r="E1023">
        <f>_xlfn.XLOOKUP(D1023,'Resumen Estudiantes y Profesore'!B:B,'Resumen Estudiantes y Profesore'!A:A)</f>
        <v>41</v>
      </c>
      <c r="F1023" t="s">
        <v>244</v>
      </c>
      <c r="G1023" t="s">
        <v>246</v>
      </c>
      <c r="H1023" t="s">
        <v>246</v>
      </c>
      <c r="I1023" t="s">
        <v>682</v>
      </c>
      <c r="J1023" t="s">
        <v>89</v>
      </c>
      <c r="K1023" s="120" t="s">
        <v>3580</v>
      </c>
      <c r="N1023" s="49"/>
    </row>
    <row r="1024" spans="1:14">
      <c r="A1024" t="s">
        <v>3581</v>
      </c>
      <c r="B1024" t="s">
        <v>3582</v>
      </c>
      <c r="C1024" t="s">
        <v>459</v>
      </c>
      <c r="D1024" t="s">
        <v>188</v>
      </c>
      <c r="E1024">
        <f>_xlfn.XLOOKUP(D1024,'Resumen Estudiantes y Profesore'!B:B,'Resumen Estudiantes y Profesore'!A:A)</f>
        <v>56</v>
      </c>
      <c r="F1024" t="s">
        <v>244</v>
      </c>
      <c r="G1024" t="s">
        <v>246</v>
      </c>
      <c r="H1024" t="s">
        <v>246</v>
      </c>
      <c r="I1024" t="s">
        <v>674</v>
      </c>
      <c r="J1024" t="s">
        <v>84</v>
      </c>
      <c r="K1024" s="120" t="s">
        <v>3583</v>
      </c>
      <c r="N1024" s="49"/>
    </row>
    <row r="1025" spans="1:14">
      <c r="A1025" t="s">
        <v>3581</v>
      </c>
      <c r="B1025" t="s">
        <v>3584</v>
      </c>
      <c r="C1025" t="s">
        <v>431</v>
      </c>
      <c r="D1025" t="s">
        <v>27</v>
      </c>
      <c r="E1025">
        <f>_xlfn.XLOOKUP(D1025,'Resumen Estudiantes y Profesore'!B:B,'Resumen Estudiantes y Profesore'!A:A)</f>
        <v>30</v>
      </c>
      <c r="F1025" t="s">
        <v>244</v>
      </c>
      <c r="G1025" t="s">
        <v>246</v>
      </c>
      <c r="H1025" t="s">
        <v>246</v>
      </c>
      <c r="I1025" t="s">
        <v>682</v>
      </c>
      <c r="J1025" t="s">
        <v>84</v>
      </c>
      <c r="K1025" s="120" t="s">
        <v>3585</v>
      </c>
      <c r="N1025" s="49"/>
    </row>
    <row r="1026" spans="1:14">
      <c r="A1026" t="s">
        <v>3586</v>
      </c>
      <c r="B1026" t="s">
        <v>3587</v>
      </c>
      <c r="C1026" t="s">
        <v>504</v>
      </c>
      <c r="D1026" t="s">
        <v>136</v>
      </c>
      <c r="E1026">
        <f>_xlfn.XLOOKUP(D1026,'Resumen Estudiantes y Profesore'!B:B,'Resumen Estudiantes y Profesore'!A:A)</f>
        <v>103</v>
      </c>
      <c r="F1026" t="s">
        <v>244</v>
      </c>
      <c r="G1026" t="s">
        <v>247</v>
      </c>
      <c r="H1026" t="s">
        <v>247</v>
      </c>
      <c r="I1026" t="s">
        <v>674</v>
      </c>
      <c r="J1026" t="s">
        <v>85</v>
      </c>
      <c r="K1026" s="120" t="s">
        <v>3588</v>
      </c>
      <c r="N1026" s="49"/>
    </row>
    <row r="1027" spans="1:14">
      <c r="A1027" t="s">
        <v>3586</v>
      </c>
      <c r="B1027" t="s">
        <v>3589</v>
      </c>
      <c r="C1027" t="s">
        <v>462</v>
      </c>
      <c r="D1027" t="s">
        <v>190</v>
      </c>
      <c r="E1027">
        <f>_xlfn.XLOOKUP(D1027,'Resumen Estudiantes y Profesore'!B:B,'Resumen Estudiantes y Profesore'!A:A)</f>
        <v>64</v>
      </c>
      <c r="F1027" t="s">
        <v>244</v>
      </c>
      <c r="G1027" t="s">
        <v>247</v>
      </c>
      <c r="H1027" t="s">
        <v>247</v>
      </c>
      <c r="I1027" t="s">
        <v>674</v>
      </c>
      <c r="J1027" t="s">
        <v>85</v>
      </c>
      <c r="K1027" s="120" t="s">
        <v>3590</v>
      </c>
      <c r="N1027" s="49"/>
    </row>
    <row r="1028" spans="1:14">
      <c r="A1028" t="s">
        <v>3586</v>
      </c>
      <c r="B1028" t="s">
        <v>3591</v>
      </c>
      <c r="C1028" t="s">
        <v>525</v>
      </c>
      <c r="D1028" t="s">
        <v>208</v>
      </c>
      <c r="E1028">
        <f>_xlfn.XLOOKUP(D1028,'Resumen Estudiantes y Profesore'!B:B,'Resumen Estudiantes y Profesore'!A:A)</f>
        <v>89</v>
      </c>
      <c r="F1028" t="s">
        <v>244</v>
      </c>
      <c r="G1028" t="s">
        <v>247</v>
      </c>
      <c r="H1028" t="s">
        <v>247</v>
      </c>
      <c r="I1028" t="s">
        <v>674</v>
      </c>
      <c r="J1028" t="s">
        <v>85</v>
      </c>
      <c r="K1028" s="120" t="s">
        <v>3592</v>
      </c>
      <c r="N1028" s="49"/>
    </row>
    <row r="1029" spans="1:14">
      <c r="A1029" t="s">
        <v>3586</v>
      </c>
      <c r="B1029" t="s">
        <v>3593</v>
      </c>
      <c r="C1029" t="s">
        <v>432</v>
      </c>
      <c r="D1029" t="s">
        <v>41</v>
      </c>
      <c r="E1029">
        <f>_xlfn.XLOOKUP(D1029,'Resumen Estudiantes y Profesore'!B:B,'Resumen Estudiantes y Profesore'!A:A)</f>
        <v>31</v>
      </c>
      <c r="F1029" t="s">
        <v>244</v>
      </c>
      <c r="G1029" t="s">
        <v>247</v>
      </c>
      <c r="H1029" t="s">
        <v>247</v>
      </c>
      <c r="I1029" t="s">
        <v>682</v>
      </c>
      <c r="J1029" t="s">
        <v>85</v>
      </c>
      <c r="K1029" s="120" t="s">
        <v>3594</v>
      </c>
      <c r="N1029" s="49"/>
    </row>
    <row r="1030" spans="1:14">
      <c r="A1030" t="s">
        <v>3586</v>
      </c>
      <c r="B1030" t="s">
        <v>3595</v>
      </c>
      <c r="C1030" t="s">
        <v>434</v>
      </c>
      <c r="D1030" t="s">
        <v>28</v>
      </c>
      <c r="E1030">
        <f>_xlfn.XLOOKUP(D1030,'Resumen Estudiantes y Profesore'!B:B,'Resumen Estudiantes y Profesore'!A:A)</f>
        <v>32</v>
      </c>
      <c r="F1030" t="s">
        <v>244</v>
      </c>
      <c r="G1030" t="s">
        <v>247</v>
      </c>
      <c r="H1030" t="s">
        <v>247</v>
      </c>
      <c r="I1030" t="s">
        <v>682</v>
      </c>
      <c r="J1030" t="s">
        <v>85</v>
      </c>
      <c r="K1030" s="120" t="s">
        <v>3596</v>
      </c>
      <c r="N1030" s="49"/>
    </row>
    <row r="1031" spans="1:14">
      <c r="A1031" t="s">
        <v>3597</v>
      </c>
      <c r="B1031" t="s">
        <v>3598</v>
      </c>
      <c r="C1031" t="s">
        <v>468</v>
      </c>
      <c r="D1031" t="s">
        <v>178</v>
      </c>
      <c r="E1031">
        <f>_xlfn.XLOOKUP(D1031,'Resumen Estudiantes y Profesore'!B:B,'Resumen Estudiantes y Profesore'!A:A)</f>
        <v>75</v>
      </c>
      <c r="F1031" t="s">
        <v>244</v>
      </c>
      <c r="G1031" t="s">
        <v>246</v>
      </c>
      <c r="H1031" t="s">
        <v>246</v>
      </c>
      <c r="I1031" t="s">
        <v>674</v>
      </c>
      <c r="J1031" t="s">
        <v>89</v>
      </c>
      <c r="K1031" s="120" t="s">
        <v>3599</v>
      </c>
      <c r="N1031" s="49"/>
    </row>
    <row r="1032" spans="1:14">
      <c r="A1032" t="s">
        <v>3597</v>
      </c>
      <c r="B1032" t="s">
        <v>3600</v>
      </c>
      <c r="C1032" t="s">
        <v>470</v>
      </c>
      <c r="D1032" t="s">
        <v>180</v>
      </c>
      <c r="E1032">
        <f>_xlfn.XLOOKUP(D1032,'Resumen Estudiantes y Profesore'!B:B,'Resumen Estudiantes y Profesore'!A:A)</f>
        <v>74</v>
      </c>
      <c r="F1032" t="s">
        <v>244</v>
      </c>
      <c r="G1032" t="s">
        <v>246</v>
      </c>
      <c r="H1032" t="s">
        <v>246</v>
      </c>
      <c r="I1032" t="s">
        <v>674</v>
      </c>
      <c r="J1032" t="s">
        <v>89</v>
      </c>
      <c r="K1032" s="120" t="s">
        <v>3601</v>
      </c>
      <c r="N1032" s="49"/>
    </row>
    <row r="1033" spans="1:14">
      <c r="A1033" t="s">
        <v>3602</v>
      </c>
      <c r="B1033" t="s">
        <v>3603</v>
      </c>
      <c r="C1033" t="s">
        <v>444</v>
      </c>
      <c r="D1033" t="s">
        <v>33</v>
      </c>
      <c r="E1033">
        <f>_xlfn.XLOOKUP(D1033,'Resumen Estudiantes y Profesore'!B:B,'Resumen Estudiantes y Profesore'!A:A)</f>
        <v>38</v>
      </c>
      <c r="F1033" t="s">
        <v>244</v>
      </c>
      <c r="G1033" t="s">
        <v>246</v>
      </c>
      <c r="H1033" t="s">
        <v>246</v>
      </c>
      <c r="I1033" t="s">
        <v>682</v>
      </c>
      <c r="J1033" t="s">
        <v>89</v>
      </c>
      <c r="K1033" s="120" t="s">
        <v>3604</v>
      </c>
      <c r="N1033" s="49"/>
    </row>
    <row r="1034" spans="1:14">
      <c r="A1034" t="s">
        <v>3605</v>
      </c>
      <c r="B1034" t="s">
        <v>3606</v>
      </c>
      <c r="C1034" t="s">
        <v>495</v>
      </c>
      <c r="D1034" t="s">
        <v>121</v>
      </c>
      <c r="E1034">
        <f>_xlfn.XLOOKUP(D1034,'Resumen Estudiantes y Profesore'!B:B,'Resumen Estudiantes y Profesore'!A:A)</f>
        <v>10</v>
      </c>
      <c r="F1034" t="s">
        <v>244</v>
      </c>
      <c r="G1034" t="s">
        <v>246</v>
      </c>
      <c r="H1034" t="s">
        <v>246</v>
      </c>
      <c r="I1034" t="s">
        <v>674</v>
      </c>
      <c r="J1034" t="s">
        <v>90</v>
      </c>
      <c r="K1034" s="120" t="s">
        <v>3607</v>
      </c>
      <c r="N1034" s="49"/>
    </row>
    <row r="1035" spans="1:14">
      <c r="A1035" t="s">
        <v>3605</v>
      </c>
      <c r="B1035" t="s">
        <v>3608</v>
      </c>
      <c r="C1035" t="s">
        <v>473</v>
      </c>
      <c r="D1035" t="s">
        <v>195</v>
      </c>
      <c r="E1035">
        <f>_xlfn.XLOOKUP(D1035,'Resumen Estudiantes y Profesore'!B:B,'Resumen Estudiantes y Profesore'!A:A)</f>
        <v>77</v>
      </c>
      <c r="F1035" t="s">
        <v>244</v>
      </c>
      <c r="G1035" t="s">
        <v>246</v>
      </c>
      <c r="H1035" t="s">
        <v>246</v>
      </c>
      <c r="I1035" t="s">
        <v>674</v>
      </c>
      <c r="J1035" t="s">
        <v>90</v>
      </c>
      <c r="K1035" s="120" t="s">
        <v>3609</v>
      </c>
      <c r="N1035" s="49"/>
    </row>
    <row r="1036" spans="1:14">
      <c r="A1036" t="s">
        <v>3605</v>
      </c>
      <c r="B1036" t="s">
        <v>3610</v>
      </c>
      <c r="C1036" t="s">
        <v>451</v>
      </c>
      <c r="D1036" t="s">
        <v>38</v>
      </c>
      <c r="E1036">
        <f>_xlfn.XLOOKUP(D1036,'Resumen Estudiantes y Profesore'!B:B,'Resumen Estudiantes y Profesore'!A:A)</f>
        <v>42</v>
      </c>
      <c r="F1036" t="s">
        <v>244</v>
      </c>
      <c r="G1036" t="s">
        <v>246</v>
      </c>
      <c r="H1036" t="s">
        <v>246</v>
      </c>
      <c r="I1036" t="s">
        <v>682</v>
      </c>
      <c r="J1036" t="s">
        <v>90</v>
      </c>
      <c r="K1036" s="120" t="s">
        <v>3611</v>
      </c>
      <c r="N1036" s="49"/>
    </row>
    <row r="1037" spans="1:14">
      <c r="A1037" t="s">
        <v>3612</v>
      </c>
      <c r="B1037" t="s">
        <v>3613</v>
      </c>
      <c r="C1037" t="s">
        <v>431</v>
      </c>
      <c r="D1037" t="s">
        <v>27</v>
      </c>
      <c r="E1037">
        <f>_xlfn.XLOOKUP(D1037,'Resumen Estudiantes y Profesore'!B:B,'Resumen Estudiantes y Profesore'!A:A)</f>
        <v>30</v>
      </c>
      <c r="F1037" t="s">
        <v>244</v>
      </c>
      <c r="G1037" t="s">
        <v>246</v>
      </c>
      <c r="H1037" t="s">
        <v>246</v>
      </c>
      <c r="I1037" t="s">
        <v>682</v>
      </c>
      <c r="J1037" t="s">
        <v>84</v>
      </c>
      <c r="K1037" s="120" t="s">
        <v>3614</v>
      </c>
      <c r="N1037" s="49"/>
    </row>
    <row r="1038" spans="1:14">
      <c r="A1038" t="s">
        <v>3615</v>
      </c>
      <c r="B1038" t="s">
        <v>3616</v>
      </c>
      <c r="C1038" t="s">
        <v>486</v>
      </c>
      <c r="D1038" t="s">
        <v>181</v>
      </c>
      <c r="E1038">
        <f>_xlfn.XLOOKUP(D1038,'Resumen Estudiantes y Profesore'!B:B,'Resumen Estudiantes y Profesore'!A:A)</f>
        <v>95</v>
      </c>
      <c r="F1038" t="s">
        <v>244</v>
      </c>
      <c r="G1038" t="s">
        <v>246</v>
      </c>
      <c r="H1038" t="s">
        <v>246</v>
      </c>
      <c r="I1038" t="s">
        <v>674</v>
      </c>
      <c r="J1038" t="s">
        <v>182</v>
      </c>
      <c r="K1038" s="120" t="s">
        <v>3617</v>
      </c>
      <c r="N1038" s="49"/>
    </row>
    <row r="1039" spans="1:14">
      <c r="A1039" t="s">
        <v>3618</v>
      </c>
      <c r="B1039" t="s">
        <v>3619</v>
      </c>
      <c r="C1039" t="s">
        <v>459</v>
      </c>
      <c r="D1039" t="s">
        <v>188</v>
      </c>
      <c r="E1039">
        <f>_xlfn.XLOOKUP(D1039,'Resumen Estudiantes y Profesore'!B:B,'Resumen Estudiantes y Profesore'!A:A)</f>
        <v>56</v>
      </c>
      <c r="F1039" t="s">
        <v>244</v>
      </c>
      <c r="G1039" t="s">
        <v>246</v>
      </c>
      <c r="H1039" t="s">
        <v>246</v>
      </c>
      <c r="I1039" t="s">
        <v>674</v>
      </c>
      <c r="J1039" t="s">
        <v>84</v>
      </c>
      <c r="K1039" s="120" t="s">
        <v>3620</v>
      </c>
      <c r="N1039" s="49"/>
    </row>
    <row r="1040" spans="1:14">
      <c r="A1040" t="s">
        <v>3618</v>
      </c>
      <c r="B1040" t="s">
        <v>3621</v>
      </c>
      <c r="C1040" t="s">
        <v>431</v>
      </c>
      <c r="D1040" t="s">
        <v>27</v>
      </c>
      <c r="E1040">
        <f>_xlfn.XLOOKUP(D1040,'Resumen Estudiantes y Profesore'!B:B,'Resumen Estudiantes y Profesore'!A:A)</f>
        <v>30</v>
      </c>
      <c r="F1040" t="s">
        <v>244</v>
      </c>
      <c r="G1040" t="s">
        <v>246</v>
      </c>
      <c r="H1040" t="s">
        <v>246</v>
      </c>
      <c r="I1040" t="s">
        <v>682</v>
      </c>
      <c r="J1040" t="s">
        <v>84</v>
      </c>
      <c r="K1040" s="120" t="s">
        <v>3622</v>
      </c>
      <c r="N1040" s="49"/>
    </row>
    <row r="1041" spans="1:14">
      <c r="A1041" t="s">
        <v>3623</v>
      </c>
      <c r="B1041" t="s">
        <v>3624</v>
      </c>
      <c r="C1041" t="s">
        <v>477</v>
      </c>
      <c r="D1041" t="s">
        <v>198</v>
      </c>
      <c r="E1041">
        <f>_xlfn.XLOOKUP(D1041,'Resumen Estudiantes y Profesore'!B:B,'Resumen Estudiantes y Profesore'!A:A)</f>
        <v>45</v>
      </c>
      <c r="F1041" t="s">
        <v>244</v>
      </c>
      <c r="G1041" t="s">
        <v>246</v>
      </c>
      <c r="H1041" t="s">
        <v>246</v>
      </c>
      <c r="I1041" t="s">
        <v>674</v>
      </c>
      <c r="J1041" t="s">
        <v>77</v>
      </c>
      <c r="K1041" s="120" t="s">
        <v>3625</v>
      </c>
      <c r="N1041" s="49"/>
    </row>
    <row r="1042" spans="1:14">
      <c r="A1042" t="s">
        <v>3623</v>
      </c>
      <c r="B1042" t="s">
        <v>3626</v>
      </c>
      <c r="C1042" t="s">
        <v>547</v>
      </c>
      <c r="D1042" t="s">
        <v>214</v>
      </c>
      <c r="E1042">
        <f>_xlfn.XLOOKUP(D1042,'Resumen Estudiantes y Profesore'!B:B,'Resumen Estudiantes y Profesore'!A:A)</f>
        <v>207</v>
      </c>
      <c r="F1042" t="s">
        <v>244</v>
      </c>
      <c r="G1042" t="s">
        <v>246</v>
      </c>
      <c r="H1042" t="s">
        <v>246</v>
      </c>
      <c r="I1042" t="s">
        <v>674</v>
      </c>
      <c r="J1042" t="s">
        <v>77</v>
      </c>
      <c r="K1042" s="120" t="s">
        <v>3627</v>
      </c>
      <c r="N1042" s="49"/>
    </row>
    <row r="1043" spans="1:14">
      <c r="A1043" t="s">
        <v>3623</v>
      </c>
      <c r="B1043" t="s">
        <v>3628</v>
      </c>
      <c r="C1043" t="s">
        <v>480</v>
      </c>
      <c r="D1043" t="s">
        <v>202</v>
      </c>
      <c r="E1043">
        <f>_xlfn.XLOOKUP(D1043,'Resumen Estudiantes y Profesore'!B:B,'Resumen Estudiantes y Profesore'!A:A)</f>
        <v>48</v>
      </c>
      <c r="F1043" t="s">
        <v>244</v>
      </c>
      <c r="G1043" t="s">
        <v>246</v>
      </c>
      <c r="H1043" t="s">
        <v>246</v>
      </c>
      <c r="I1043" t="s">
        <v>674</v>
      </c>
      <c r="J1043" t="s">
        <v>77</v>
      </c>
      <c r="K1043" s="120" t="s">
        <v>3629</v>
      </c>
      <c r="N1043" s="49"/>
    </row>
    <row r="1044" spans="1:14">
      <c r="A1044" t="s">
        <v>3630</v>
      </c>
      <c r="B1044" t="s">
        <v>3631</v>
      </c>
      <c r="C1044" t="s">
        <v>99</v>
      </c>
      <c r="D1044" t="s">
        <v>99</v>
      </c>
      <c r="E1044">
        <f>_xlfn.XLOOKUP(D1044,'Resumen Estudiantes y Profesore'!B:B,'Resumen Estudiantes y Profesore'!A:A)</f>
        <v>70</v>
      </c>
      <c r="F1044" t="s">
        <v>244</v>
      </c>
      <c r="G1044" t="s">
        <v>246</v>
      </c>
      <c r="H1044" t="s">
        <v>246</v>
      </c>
      <c r="I1044" t="s">
        <v>674</v>
      </c>
      <c r="J1044" t="s">
        <v>89</v>
      </c>
      <c r="K1044" s="120" t="s">
        <v>3632</v>
      </c>
      <c r="N1044" s="49"/>
    </row>
    <row r="1045" spans="1:14">
      <c r="A1045" t="s">
        <v>3630</v>
      </c>
      <c r="B1045" t="s">
        <v>3633</v>
      </c>
      <c r="C1045" t="s">
        <v>497</v>
      </c>
      <c r="D1045" t="s">
        <v>128</v>
      </c>
      <c r="E1045">
        <f>_xlfn.XLOOKUP(D1045,'Resumen Estudiantes y Profesore'!B:B,'Resumen Estudiantes y Profesore'!A:A)</f>
        <v>16</v>
      </c>
      <c r="F1045" t="s">
        <v>244</v>
      </c>
      <c r="G1045" t="s">
        <v>246</v>
      </c>
      <c r="H1045" t="s">
        <v>246</v>
      </c>
      <c r="I1045" t="s">
        <v>674</v>
      </c>
      <c r="J1045" t="s">
        <v>89</v>
      </c>
      <c r="K1045" s="120" t="s">
        <v>3634</v>
      </c>
      <c r="N1045" s="49"/>
    </row>
    <row r="1046" spans="1:14">
      <c r="A1046" t="s">
        <v>3630</v>
      </c>
      <c r="B1046" t="s">
        <v>3635</v>
      </c>
      <c r="C1046" t="s">
        <v>451</v>
      </c>
      <c r="D1046" t="s">
        <v>38</v>
      </c>
      <c r="E1046">
        <f>_xlfn.XLOOKUP(D1046,'Resumen Estudiantes y Profesore'!B:B,'Resumen Estudiantes y Profesore'!A:A)</f>
        <v>42</v>
      </c>
      <c r="F1046" t="s">
        <v>244</v>
      </c>
      <c r="G1046" t="s">
        <v>246</v>
      </c>
      <c r="H1046" t="s">
        <v>246</v>
      </c>
      <c r="I1046" t="s">
        <v>682</v>
      </c>
      <c r="J1046" t="s">
        <v>90</v>
      </c>
      <c r="K1046" s="120" t="s">
        <v>3636</v>
      </c>
      <c r="N1046" s="49"/>
    </row>
    <row r="1047" spans="1:14">
      <c r="A1047" t="s">
        <v>3637</v>
      </c>
      <c r="B1047" t="s">
        <v>3638</v>
      </c>
      <c r="C1047" t="s">
        <v>437</v>
      </c>
      <c r="D1047" t="s">
        <v>30</v>
      </c>
      <c r="E1047">
        <f>_xlfn.XLOOKUP(D1047,'Resumen Estudiantes y Profesore'!B:B,'Resumen Estudiantes y Profesore'!A:A)</f>
        <v>34</v>
      </c>
      <c r="F1047" t="s">
        <v>244</v>
      </c>
      <c r="G1047" t="s">
        <v>246</v>
      </c>
      <c r="H1047" t="s">
        <v>246</v>
      </c>
      <c r="I1047" t="s">
        <v>682</v>
      </c>
      <c r="J1047" t="s">
        <v>87</v>
      </c>
      <c r="K1047" s="120" t="s">
        <v>3639</v>
      </c>
      <c r="N1047" s="49"/>
    </row>
    <row r="1048" spans="1:14">
      <c r="A1048" t="s">
        <v>3640</v>
      </c>
      <c r="B1048" t="s">
        <v>3641</v>
      </c>
      <c r="C1048" t="s">
        <v>481</v>
      </c>
      <c r="D1048" t="s">
        <v>216</v>
      </c>
      <c r="E1048">
        <f>_xlfn.XLOOKUP(D1048,'Resumen Estudiantes y Profesore'!B:B,'Resumen Estudiantes y Profesore'!A:A)</f>
        <v>86</v>
      </c>
      <c r="F1048" t="s">
        <v>244</v>
      </c>
      <c r="G1048" t="s">
        <v>246</v>
      </c>
      <c r="H1048" t="s">
        <v>246</v>
      </c>
      <c r="I1048" t="s">
        <v>674</v>
      </c>
      <c r="J1048" t="s">
        <v>85</v>
      </c>
      <c r="K1048" s="120" t="s">
        <v>3642</v>
      </c>
      <c r="N1048" s="49"/>
    </row>
    <row r="1049" spans="1:14">
      <c r="A1049" t="s">
        <v>3640</v>
      </c>
      <c r="B1049" t="s">
        <v>3643</v>
      </c>
      <c r="C1049" t="s">
        <v>464</v>
      </c>
      <c r="D1049" t="s">
        <v>192</v>
      </c>
      <c r="E1049">
        <f>_xlfn.XLOOKUP(D1049,'Resumen Estudiantes y Profesore'!B:B,'Resumen Estudiantes y Profesore'!A:A)</f>
        <v>65</v>
      </c>
      <c r="F1049" t="s">
        <v>244</v>
      </c>
      <c r="G1049" t="s">
        <v>246</v>
      </c>
      <c r="H1049" t="s">
        <v>246</v>
      </c>
      <c r="I1049" t="s">
        <v>674</v>
      </c>
      <c r="J1049" t="s">
        <v>85</v>
      </c>
      <c r="K1049" s="120" t="s">
        <v>3644</v>
      </c>
      <c r="N1049" s="49"/>
    </row>
    <row r="1050" spans="1:14">
      <c r="A1050" t="s">
        <v>3640</v>
      </c>
      <c r="B1050" t="s">
        <v>3645</v>
      </c>
      <c r="C1050" t="s">
        <v>432</v>
      </c>
      <c r="D1050" t="s">
        <v>41</v>
      </c>
      <c r="E1050">
        <f>_xlfn.XLOOKUP(D1050,'Resumen Estudiantes y Profesore'!B:B,'Resumen Estudiantes y Profesore'!A:A)</f>
        <v>31</v>
      </c>
      <c r="F1050" t="s">
        <v>244</v>
      </c>
      <c r="G1050" t="s">
        <v>246</v>
      </c>
      <c r="H1050" t="s">
        <v>246</v>
      </c>
      <c r="I1050" t="s">
        <v>682</v>
      </c>
      <c r="J1050" t="s">
        <v>85</v>
      </c>
      <c r="K1050" s="120" t="s">
        <v>3646</v>
      </c>
      <c r="N1050" s="49"/>
    </row>
    <row r="1051" spans="1:14">
      <c r="A1051" t="s">
        <v>3647</v>
      </c>
      <c r="B1051" t="s">
        <v>3648</v>
      </c>
      <c r="C1051" t="s">
        <v>499</v>
      </c>
      <c r="D1051" t="s">
        <v>103</v>
      </c>
      <c r="E1051">
        <f>_xlfn.XLOOKUP(D1051,'Resumen Estudiantes y Profesore'!B:B,'Resumen Estudiantes y Profesore'!A:A)</f>
        <v>58</v>
      </c>
      <c r="F1051" t="s">
        <v>244</v>
      </c>
      <c r="G1051" t="s">
        <v>246</v>
      </c>
      <c r="H1051" t="s">
        <v>246</v>
      </c>
      <c r="I1051" t="s">
        <v>674</v>
      </c>
      <c r="J1051" t="s">
        <v>85</v>
      </c>
      <c r="K1051" s="120" t="s">
        <v>3649</v>
      </c>
      <c r="N1051" s="49"/>
    </row>
    <row r="1052" spans="1:14">
      <c r="A1052" t="s">
        <v>3647</v>
      </c>
      <c r="B1052" t="s">
        <v>3650</v>
      </c>
      <c r="C1052" t="s">
        <v>540</v>
      </c>
      <c r="D1052" t="s">
        <v>106</v>
      </c>
      <c r="E1052">
        <f>_xlfn.XLOOKUP(D1052,'Resumen Estudiantes y Profesore'!B:B,'Resumen Estudiantes y Profesore'!A:A)</f>
        <v>59</v>
      </c>
      <c r="F1052" t="s">
        <v>244</v>
      </c>
      <c r="G1052" t="s">
        <v>246</v>
      </c>
      <c r="H1052" t="s">
        <v>246</v>
      </c>
      <c r="I1052" t="s">
        <v>674</v>
      </c>
      <c r="J1052" t="s">
        <v>85</v>
      </c>
      <c r="K1052" s="120" t="s">
        <v>3651</v>
      </c>
      <c r="N1052" s="49"/>
    </row>
    <row r="1053" spans="1:14">
      <c r="A1053" t="s">
        <v>3647</v>
      </c>
      <c r="B1053" t="s">
        <v>3652</v>
      </c>
      <c r="C1053" t="s">
        <v>432</v>
      </c>
      <c r="D1053" t="s">
        <v>41</v>
      </c>
      <c r="E1053">
        <f>_xlfn.XLOOKUP(D1053,'Resumen Estudiantes y Profesore'!B:B,'Resumen Estudiantes y Profesore'!A:A)</f>
        <v>31</v>
      </c>
      <c r="F1053" t="s">
        <v>244</v>
      </c>
      <c r="G1053" t="s">
        <v>246</v>
      </c>
      <c r="H1053" t="s">
        <v>246</v>
      </c>
      <c r="I1053" t="s">
        <v>682</v>
      </c>
      <c r="J1053" t="s">
        <v>85</v>
      </c>
      <c r="K1053" s="120" t="s">
        <v>3653</v>
      </c>
      <c r="N1053" s="49"/>
    </row>
    <row r="1054" spans="1:14">
      <c r="A1054" t="s">
        <v>3647</v>
      </c>
      <c r="B1054" t="s">
        <v>3654</v>
      </c>
      <c r="C1054" t="s">
        <v>434</v>
      </c>
      <c r="D1054" t="s">
        <v>28</v>
      </c>
      <c r="E1054">
        <f>_xlfn.XLOOKUP(D1054,'Resumen Estudiantes y Profesore'!B:B,'Resumen Estudiantes y Profesore'!A:A)</f>
        <v>32</v>
      </c>
      <c r="F1054" t="s">
        <v>244</v>
      </c>
      <c r="G1054" t="s">
        <v>246</v>
      </c>
      <c r="H1054" t="s">
        <v>246</v>
      </c>
      <c r="I1054" t="s">
        <v>682</v>
      </c>
      <c r="J1054" t="s">
        <v>85</v>
      </c>
      <c r="K1054" s="120" t="s">
        <v>3655</v>
      </c>
      <c r="N1054" s="49"/>
    </row>
    <row r="1055" spans="1:14">
      <c r="A1055" t="s">
        <v>3656</v>
      </c>
      <c r="B1055" t="s">
        <v>3657</v>
      </c>
      <c r="C1055" t="s">
        <v>431</v>
      </c>
      <c r="D1055" t="s">
        <v>27</v>
      </c>
      <c r="E1055">
        <f>_xlfn.XLOOKUP(D1055,'Resumen Estudiantes y Profesore'!B:B,'Resumen Estudiantes y Profesore'!A:A)</f>
        <v>30</v>
      </c>
      <c r="F1055" t="s">
        <v>244</v>
      </c>
      <c r="G1055" t="s">
        <v>246</v>
      </c>
      <c r="H1055" t="s">
        <v>246</v>
      </c>
      <c r="I1055" t="s">
        <v>682</v>
      </c>
      <c r="J1055" t="s">
        <v>84</v>
      </c>
      <c r="K1055" s="120" t="s">
        <v>3658</v>
      </c>
      <c r="N1055" s="49"/>
    </row>
    <row r="1056" spans="1:14">
      <c r="A1056" t="s">
        <v>3659</v>
      </c>
      <c r="B1056" t="s">
        <v>3660</v>
      </c>
      <c r="C1056" t="s">
        <v>95</v>
      </c>
      <c r="D1056" t="s">
        <v>251</v>
      </c>
      <c r="E1056">
        <f>_xlfn.XLOOKUP(D1056,'Resumen Estudiantes y Profesore'!B:B,'Resumen Estudiantes y Profesore'!A:A)</f>
        <v>211</v>
      </c>
      <c r="F1056" t="s">
        <v>244</v>
      </c>
      <c r="G1056" t="s">
        <v>246</v>
      </c>
      <c r="H1056" t="s">
        <v>246</v>
      </c>
      <c r="I1056" t="s">
        <v>682</v>
      </c>
      <c r="J1056" t="s">
        <v>95</v>
      </c>
      <c r="K1056" s="120" t="s">
        <v>3661</v>
      </c>
      <c r="N1056" s="49"/>
    </row>
    <row r="1057" spans="1:14">
      <c r="A1057" t="s">
        <v>3662</v>
      </c>
      <c r="B1057" t="s">
        <v>3663</v>
      </c>
      <c r="C1057" t="s">
        <v>2549</v>
      </c>
      <c r="D1057" t="s">
        <v>107</v>
      </c>
      <c r="E1057">
        <f>_xlfn.XLOOKUP(D1057,'Resumen Estudiantes y Profesore'!B:B,'Resumen Estudiantes y Profesore'!A:A)</f>
        <v>201</v>
      </c>
      <c r="F1057" t="s">
        <v>244</v>
      </c>
      <c r="G1057" t="s">
        <v>246</v>
      </c>
      <c r="H1057" t="s">
        <v>246</v>
      </c>
      <c r="I1057" t="s">
        <v>674</v>
      </c>
      <c r="J1057" t="s">
        <v>91</v>
      </c>
      <c r="K1057" s="120" t="s">
        <v>3664</v>
      </c>
      <c r="N1057" s="49"/>
    </row>
    <row r="1058" spans="1:14">
      <c r="A1058" t="s">
        <v>3665</v>
      </c>
      <c r="B1058" t="s">
        <v>3666</v>
      </c>
      <c r="C1058" t="s">
        <v>102</v>
      </c>
      <c r="D1058" t="s">
        <v>102</v>
      </c>
      <c r="E1058">
        <f>_xlfn.XLOOKUP(D1058,'Resumen Estudiantes y Profesore'!B:B,'Resumen Estudiantes y Profesore'!A:A)</f>
        <v>53</v>
      </c>
      <c r="F1058" t="s">
        <v>244</v>
      </c>
      <c r="G1058" t="s">
        <v>246</v>
      </c>
      <c r="H1058" t="s">
        <v>246</v>
      </c>
      <c r="I1058" t="s">
        <v>674</v>
      </c>
      <c r="J1058" t="s">
        <v>84</v>
      </c>
      <c r="K1058" s="120" t="s">
        <v>3667</v>
      </c>
      <c r="N1058" s="49"/>
    </row>
    <row r="1059" spans="1:14">
      <c r="A1059" t="s">
        <v>3665</v>
      </c>
      <c r="B1059" t="s">
        <v>3668</v>
      </c>
      <c r="C1059" t="s">
        <v>459</v>
      </c>
      <c r="D1059" t="s">
        <v>188</v>
      </c>
      <c r="E1059">
        <f>_xlfn.XLOOKUP(D1059,'Resumen Estudiantes y Profesore'!B:B,'Resumen Estudiantes y Profesore'!A:A)</f>
        <v>56</v>
      </c>
      <c r="F1059" t="s">
        <v>244</v>
      </c>
      <c r="G1059" t="s">
        <v>246</v>
      </c>
      <c r="H1059" t="s">
        <v>246</v>
      </c>
      <c r="I1059" t="s">
        <v>674</v>
      </c>
      <c r="J1059" t="s">
        <v>84</v>
      </c>
      <c r="K1059" s="120" t="s">
        <v>3669</v>
      </c>
      <c r="N1059" s="49"/>
    </row>
    <row r="1060" spans="1:14">
      <c r="A1060" t="s">
        <v>3665</v>
      </c>
      <c r="B1060" t="s">
        <v>3670</v>
      </c>
      <c r="C1060" t="s">
        <v>430</v>
      </c>
      <c r="D1060" t="s">
        <v>26</v>
      </c>
      <c r="E1060">
        <f>_xlfn.XLOOKUP(D1060,'Resumen Estudiantes y Profesore'!B:B,'Resumen Estudiantes y Profesore'!A:A)</f>
        <v>29</v>
      </c>
      <c r="F1060" t="s">
        <v>244</v>
      </c>
      <c r="G1060" t="s">
        <v>246</v>
      </c>
      <c r="H1060" t="s">
        <v>246</v>
      </c>
      <c r="I1060" t="s">
        <v>682</v>
      </c>
      <c r="J1060" t="s">
        <v>84</v>
      </c>
      <c r="K1060" s="120" t="s">
        <v>3671</v>
      </c>
      <c r="N1060" s="49"/>
    </row>
    <row r="1061" spans="1:14">
      <c r="A1061" t="s">
        <v>3672</v>
      </c>
      <c r="B1061" t="s">
        <v>3673</v>
      </c>
      <c r="C1061" t="s">
        <v>540</v>
      </c>
      <c r="D1061" t="s">
        <v>106</v>
      </c>
      <c r="E1061">
        <f>_xlfn.XLOOKUP(D1061,'Resumen Estudiantes y Profesore'!B:B,'Resumen Estudiantes y Profesore'!A:A)</f>
        <v>59</v>
      </c>
      <c r="F1061" t="s">
        <v>244</v>
      </c>
      <c r="G1061" t="s">
        <v>246</v>
      </c>
      <c r="H1061" t="s">
        <v>246</v>
      </c>
      <c r="I1061" t="s">
        <v>674</v>
      </c>
      <c r="J1061" t="s">
        <v>85</v>
      </c>
      <c r="K1061" s="120" t="s">
        <v>3674</v>
      </c>
      <c r="N1061" s="49"/>
    </row>
    <row r="1062" spans="1:14">
      <c r="A1062" t="s">
        <v>3672</v>
      </c>
      <c r="B1062" t="s">
        <v>3675</v>
      </c>
      <c r="C1062" t="s">
        <v>482</v>
      </c>
      <c r="D1062" t="s">
        <v>217</v>
      </c>
      <c r="E1062">
        <f>_xlfn.XLOOKUP(D1062,'Resumen Estudiantes y Profesore'!B:B,'Resumen Estudiantes y Profesore'!A:A)</f>
        <v>84</v>
      </c>
      <c r="F1062" t="s">
        <v>244</v>
      </c>
      <c r="G1062" t="s">
        <v>246</v>
      </c>
      <c r="H1062" t="s">
        <v>246</v>
      </c>
      <c r="I1062" t="s">
        <v>674</v>
      </c>
      <c r="J1062" t="s">
        <v>85</v>
      </c>
      <c r="K1062" s="120" t="s">
        <v>3676</v>
      </c>
      <c r="N1062" s="49"/>
    </row>
    <row r="1063" spans="1:14">
      <c r="A1063" t="s">
        <v>3677</v>
      </c>
      <c r="B1063" t="s">
        <v>3678</v>
      </c>
      <c r="C1063" t="s">
        <v>424</v>
      </c>
      <c r="D1063" t="s">
        <v>24</v>
      </c>
      <c r="E1063">
        <f>_xlfn.XLOOKUP(D1063,'Resumen Estudiantes y Profesore'!B:B,'Resumen Estudiantes y Profesore'!A:A)</f>
        <v>27</v>
      </c>
      <c r="F1063" t="s">
        <v>244</v>
      </c>
      <c r="G1063" t="s">
        <v>246</v>
      </c>
      <c r="H1063" t="s">
        <v>246</v>
      </c>
      <c r="I1063" t="s">
        <v>682</v>
      </c>
      <c r="J1063" t="s">
        <v>83</v>
      </c>
      <c r="K1063" s="120" t="s">
        <v>3679</v>
      </c>
      <c r="N1063" s="49"/>
    </row>
    <row r="1064" spans="1:14">
      <c r="A1064" t="s">
        <v>3680</v>
      </c>
      <c r="B1064" t="s">
        <v>3681</v>
      </c>
      <c r="C1064" t="s">
        <v>459</v>
      </c>
      <c r="D1064" t="s">
        <v>188</v>
      </c>
      <c r="E1064">
        <f>_xlfn.XLOOKUP(D1064,'Resumen Estudiantes y Profesore'!B:B,'Resumen Estudiantes y Profesore'!A:A)</f>
        <v>56</v>
      </c>
      <c r="F1064" t="s">
        <v>244</v>
      </c>
      <c r="G1064" t="s">
        <v>246</v>
      </c>
      <c r="H1064" t="s">
        <v>246</v>
      </c>
      <c r="I1064" t="s">
        <v>674</v>
      </c>
      <c r="J1064" t="s">
        <v>84</v>
      </c>
      <c r="K1064" s="120" t="s">
        <v>3682</v>
      </c>
      <c r="N1064" s="49"/>
    </row>
    <row r="1065" spans="1:14">
      <c r="A1065" t="s">
        <v>3680</v>
      </c>
      <c r="B1065" t="s">
        <v>3683</v>
      </c>
      <c r="C1065" t="s">
        <v>430</v>
      </c>
      <c r="D1065" t="s">
        <v>26</v>
      </c>
      <c r="E1065">
        <f>_xlfn.XLOOKUP(D1065,'Resumen Estudiantes y Profesore'!B:B,'Resumen Estudiantes y Profesore'!A:A)</f>
        <v>29</v>
      </c>
      <c r="F1065" t="s">
        <v>244</v>
      </c>
      <c r="G1065" t="s">
        <v>246</v>
      </c>
      <c r="H1065" t="s">
        <v>246</v>
      </c>
      <c r="I1065" t="s">
        <v>682</v>
      </c>
      <c r="J1065" t="s">
        <v>84</v>
      </c>
      <c r="K1065" s="120" t="s">
        <v>3684</v>
      </c>
      <c r="N1065" s="49"/>
    </row>
    <row r="1066" spans="1:14">
      <c r="A1066" t="s">
        <v>3680</v>
      </c>
      <c r="B1066" t="s">
        <v>3685</v>
      </c>
      <c r="C1066" t="s">
        <v>431</v>
      </c>
      <c r="D1066" t="s">
        <v>27</v>
      </c>
      <c r="E1066">
        <f>_xlfn.XLOOKUP(D1066,'Resumen Estudiantes y Profesore'!B:B,'Resumen Estudiantes y Profesore'!A:A)</f>
        <v>30</v>
      </c>
      <c r="F1066" t="s">
        <v>244</v>
      </c>
      <c r="G1066" t="s">
        <v>246</v>
      </c>
      <c r="H1066" t="s">
        <v>246</v>
      </c>
      <c r="I1066" t="s">
        <v>682</v>
      </c>
      <c r="J1066" t="s">
        <v>84</v>
      </c>
      <c r="K1066" s="120" t="s">
        <v>3686</v>
      </c>
      <c r="N1066" s="49"/>
    </row>
    <row r="1067" spans="1:14">
      <c r="A1067" t="s">
        <v>3687</v>
      </c>
      <c r="B1067" t="s">
        <v>3688</v>
      </c>
      <c r="C1067" t="s">
        <v>418</v>
      </c>
      <c r="D1067" t="s">
        <v>232</v>
      </c>
      <c r="E1067">
        <f>_xlfn.XLOOKUP(D1067,'Resumen Estudiantes y Profesore'!B:B,'Resumen Estudiantes y Profesore'!A:A)</f>
        <v>151</v>
      </c>
      <c r="F1067" t="s">
        <v>244</v>
      </c>
      <c r="G1067" t="s">
        <v>246</v>
      </c>
      <c r="H1067" t="s">
        <v>246</v>
      </c>
      <c r="I1067" t="s">
        <v>682</v>
      </c>
      <c r="J1067" t="s">
        <v>77</v>
      </c>
      <c r="K1067" s="120" t="s">
        <v>3689</v>
      </c>
      <c r="N1067" s="49"/>
    </row>
    <row r="1068" spans="1:14">
      <c r="A1068" t="s">
        <v>3690</v>
      </c>
      <c r="B1068" t="s">
        <v>3691</v>
      </c>
      <c r="C1068" t="s">
        <v>479</v>
      </c>
      <c r="D1068" t="s">
        <v>201</v>
      </c>
      <c r="E1068">
        <f>_xlfn.XLOOKUP(D1068,'Resumen Estudiantes y Profesore'!B:B,'Resumen Estudiantes y Profesore'!A:A)</f>
        <v>47</v>
      </c>
      <c r="F1068" t="s">
        <v>244</v>
      </c>
      <c r="G1068" t="s">
        <v>246</v>
      </c>
      <c r="H1068" t="s">
        <v>246</v>
      </c>
      <c r="I1068" t="s">
        <v>674</v>
      </c>
      <c r="J1068" t="s">
        <v>77</v>
      </c>
      <c r="K1068" s="120" t="s">
        <v>3692</v>
      </c>
      <c r="N1068" s="49"/>
    </row>
    <row r="1069" spans="1:14">
      <c r="A1069" t="s">
        <v>3693</v>
      </c>
      <c r="B1069" t="s">
        <v>3694</v>
      </c>
      <c r="C1069" t="s">
        <v>237</v>
      </c>
      <c r="D1069" t="s">
        <v>237</v>
      </c>
      <c r="E1069">
        <f>_xlfn.XLOOKUP(D1069,'Resumen Estudiantes y Profesore'!B:B,'Resumen Estudiantes y Profesore'!A:A)</f>
        <v>156</v>
      </c>
      <c r="F1069" t="s">
        <v>244</v>
      </c>
      <c r="G1069" t="s">
        <v>246</v>
      </c>
      <c r="H1069" t="s">
        <v>246</v>
      </c>
      <c r="I1069" t="s">
        <v>682</v>
      </c>
      <c r="J1069" t="s">
        <v>77</v>
      </c>
      <c r="K1069" s="120" t="s">
        <v>3695</v>
      </c>
      <c r="N1069" s="49"/>
    </row>
    <row r="1070" spans="1:14">
      <c r="A1070" t="s">
        <v>3696</v>
      </c>
      <c r="B1070" t="s">
        <v>3697</v>
      </c>
      <c r="C1070" t="s">
        <v>95</v>
      </c>
      <c r="D1070" t="s">
        <v>251</v>
      </c>
      <c r="E1070">
        <f>_xlfn.XLOOKUP(D1070,'Resumen Estudiantes y Profesore'!B:B,'Resumen Estudiantes y Profesore'!A:A)</f>
        <v>211</v>
      </c>
      <c r="F1070" t="s">
        <v>244</v>
      </c>
      <c r="G1070" t="s">
        <v>246</v>
      </c>
      <c r="H1070" t="s">
        <v>246</v>
      </c>
      <c r="I1070" t="s">
        <v>682</v>
      </c>
      <c r="J1070" t="s">
        <v>95</v>
      </c>
      <c r="K1070" s="120" t="s">
        <v>3698</v>
      </c>
      <c r="N1070" s="49"/>
    </row>
    <row r="1071" spans="1:14">
      <c r="A1071" t="s">
        <v>3699</v>
      </c>
      <c r="B1071" t="s">
        <v>3700</v>
      </c>
      <c r="C1071" t="s">
        <v>239</v>
      </c>
      <c r="D1071" t="s">
        <v>239</v>
      </c>
      <c r="E1071">
        <f>_xlfn.XLOOKUP(D1071,'Resumen Estudiantes y Profesore'!B:B,'Resumen Estudiantes y Profesore'!A:A)</f>
        <v>158</v>
      </c>
      <c r="F1071" t="s">
        <v>244</v>
      </c>
      <c r="G1071" t="s">
        <v>246</v>
      </c>
      <c r="H1071" t="s">
        <v>246</v>
      </c>
      <c r="I1071" t="s">
        <v>682</v>
      </c>
      <c r="J1071" t="s">
        <v>77</v>
      </c>
      <c r="K1071" s="120" t="s">
        <v>3701</v>
      </c>
      <c r="N1071" s="49"/>
    </row>
    <row r="1072" spans="1:14">
      <c r="A1072" t="s">
        <v>3702</v>
      </c>
      <c r="B1072" t="s">
        <v>3703</v>
      </c>
      <c r="C1072" t="s">
        <v>451</v>
      </c>
      <c r="D1072" t="s">
        <v>38</v>
      </c>
      <c r="E1072">
        <f>_xlfn.XLOOKUP(D1072,'Resumen Estudiantes y Profesore'!B:B,'Resumen Estudiantes y Profesore'!A:A)</f>
        <v>42</v>
      </c>
      <c r="F1072" t="s">
        <v>244</v>
      </c>
      <c r="G1072" t="s">
        <v>246</v>
      </c>
      <c r="H1072" t="s">
        <v>246</v>
      </c>
      <c r="I1072" t="s">
        <v>682</v>
      </c>
      <c r="J1072" t="s">
        <v>90</v>
      </c>
      <c r="K1072" s="120" t="s">
        <v>3704</v>
      </c>
      <c r="N1072" s="49"/>
    </row>
    <row r="1073" spans="1:14">
      <c r="A1073" t="s">
        <v>3705</v>
      </c>
      <c r="B1073" t="s">
        <v>3706</v>
      </c>
      <c r="C1073" t="s">
        <v>95</v>
      </c>
      <c r="D1073" t="s">
        <v>251</v>
      </c>
      <c r="E1073">
        <f>_xlfn.XLOOKUP(D1073,'Resumen Estudiantes y Profesore'!B:B,'Resumen Estudiantes y Profesore'!A:A)</f>
        <v>211</v>
      </c>
      <c r="F1073" t="s">
        <v>244</v>
      </c>
      <c r="G1073" t="s">
        <v>246</v>
      </c>
      <c r="H1073" t="s">
        <v>246</v>
      </c>
      <c r="I1073" t="s">
        <v>682</v>
      </c>
      <c r="J1073" t="s">
        <v>95</v>
      </c>
      <c r="K1073" s="120" t="s">
        <v>3707</v>
      </c>
      <c r="N1073" s="49"/>
    </row>
    <row r="1074" spans="1:14">
      <c r="A1074" t="s">
        <v>3708</v>
      </c>
      <c r="B1074" t="s">
        <v>3709</v>
      </c>
      <c r="C1074" t="s">
        <v>93</v>
      </c>
      <c r="D1074" t="s">
        <v>93</v>
      </c>
      <c r="E1074">
        <f>_xlfn.XLOOKUP(D1074,'Resumen Estudiantes y Profesore'!B:B,'Resumen Estudiantes y Profesore'!A:A)</f>
        <v>210</v>
      </c>
      <c r="F1074" t="s">
        <v>244</v>
      </c>
      <c r="G1074" t="s">
        <v>246</v>
      </c>
      <c r="H1074" t="s">
        <v>246</v>
      </c>
      <c r="I1074" t="s">
        <v>682</v>
      </c>
      <c r="J1074" t="s">
        <v>93</v>
      </c>
      <c r="K1074" s="120" t="s">
        <v>3710</v>
      </c>
      <c r="N1074" s="49"/>
    </row>
    <row r="1075" spans="1:14">
      <c r="A1075" t="s">
        <v>3711</v>
      </c>
      <c r="B1075" t="s">
        <v>3712</v>
      </c>
      <c r="C1075" t="s">
        <v>431</v>
      </c>
      <c r="D1075" t="s">
        <v>27</v>
      </c>
      <c r="E1075">
        <f>_xlfn.XLOOKUP(D1075,'Resumen Estudiantes y Profesore'!B:B,'Resumen Estudiantes y Profesore'!A:A)</f>
        <v>30</v>
      </c>
      <c r="F1075" t="s">
        <v>244</v>
      </c>
      <c r="G1075" t="s">
        <v>246</v>
      </c>
      <c r="H1075" t="s">
        <v>246</v>
      </c>
      <c r="I1075" t="s">
        <v>682</v>
      </c>
      <c r="J1075" t="s">
        <v>84</v>
      </c>
      <c r="K1075" s="120" t="s">
        <v>3713</v>
      </c>
      <c r="N1075" s="49"/>
    </row>
    <row r="1076" spans="1:14">
      <c r="A1076" t="s">
        <v>3714</v>
      </c>
      <c r="B1076" t="s">
        <v>3715</v>
      </c>
      <c r="C1076" t="s">
        <v>498</v>
      </c>
      <c r="D1076" t="s">
        <v>101</v>
      </c>
      <c r="E1076">
        <f>_xlfn.XLOOKUP(D1076,'Resumen Estudiantes y Profesore'!B:B,'Resumen Estudiantes y Profesore'!A:A)</f>
        <v>50</v>
      </c>
      <c r="F1076" t="s">
        <v>244</v>
      </c>
      <c r="G1076" t="s">
        <v>247</v>
      </c>
      <c r="H1076" t="s">
        <v>247</v>
      </c>
      <c r="I1076" t="s">
        <v>674</v>
      </c>
      <c r="J1076" t="s">
        <v>83</v>
      </c>
      <c r="K1076" s="120" t="s">
        <v>3716</v>
      </c>
      <c r="N1076" s="49"/>
    </row>
    <row r="1077" spans="1:14">
      <c r="A1077" t="s">
        <v>3714</v>
      </c>
      <c r="B1077" t="s">
        <v>3717</v>
      </c>
      <c r="C1077" t="s">
        <v>426</v>
      </c>
      <c r="D1077" t="s">
        <v>23</v>
      </c>
      <c r="E1077">
        <f>_xlfn.XLOOKUP(D1077,'Resumen Estudiantes y Profesore'!B:B,'Resumen Estudiantes y Profesore'!A:A)</f>
        <v>26</v>
      </c>
      <c r="F1077" t="s">
        <v>244</v>
      </c>
      <c r="G1077" t="s">
        <v>246</v>
      </c>
      <c r="H1077" t="s">
        <v>246</v>
      </c>
      <c r="I1077" t="s">
        <v>682</v>
      </c>
      <c r="J1077" t="s">
        <v>83</v>
      </c>
      <c r="K1077" s="120" t="s">
        <v>3718</v>
      </c>
      <c r="N1077" s="49"/>
    </row>
    <row r="1078" spans="1:14">
      <c r="A1078" t="s">
        <v>3719</v>
      </c>
      <c r="B1078" t="s">
        <v>3720</v>
      </c>
      <c r="C1078" t="s">
        <v>504</v>
      </c>
      <c r="D1078" t="s">
        <v>136</v>
      </c>
      <c r="E1078">
        <f>_xlfn.XLOOKUP(D1078,'Resumen Estudiantes y Profesore'!B:B,'Resumen Estudiantes y Profesore'!A:A)</f>
        <v>103</v>
      </c>
      <c r="F1078" t="s">
        <v>244</v>
      </c>
      <c r="G1078" t="s">
        <v>246</v>
      </c>
      <c r="H1078" t="s">
        <v>246</v>
      </c>
      <c r="I1078" t="s">
        <v>674</v>
      </c>
      <c r="J1078" t="s">
        <v>85</v>
      </c>
      <c r="K1078" s="120" t="s">
        <v>3721</v>
      </c>
      <c r="N1078" s="49"/>
    </row>
    <row r="1079" spans="1:14">
      <c r="A1079" t="s">
        <v>3719</v>
      </c>
      <c r="B1079" t="s">
        <v>3722</v>
      </c>
      <c r="C1079" t="s">
        <v>462</v>
      </c>
      <c r="D1079" t="s">
        <v>190</v>
      </c>
      <c r="E1079">
        <f>_xlfn.XLOOKUP(D1079,'Resumen Estudiantes y Profesore'!B:B,'Resumen Estudiantes y Profesore'!A:A)</f>
        <v>64</v>
      </c>
      <c r="F1079" t="s">
        <v>244</v>
      </c>
      <c r="G1079" t="s">
        <v>246</v>
      </c>
      <c r="H1079" t="s">
        <v>246</v>
      </c>
      <c r="I1079" t="s">
        <v>674</v>
      </c>
      <c r="J1079" t="s">
        <v>85</v>
      </c>
      <c r="K1079" s="120" t="s">
        <v>3723</v>
      </c>
      <c r="N1079" s="49"/>
    </row>
    <row r="1080" spans="1:14">
      <c r="A1080" t="s">
        <v>3719</v>
      </c>
      <c r="B1080" t="s">
        <v>3724</v>
      </c>
      <c r="C1080" t="s">
        <v>525</v>
      </c>
      <c r="D1080" t="s">
        <v>208</v>
      </c>
      <c r="E1080">
        <f>_xlfn.XLOOKUP(D1080,'Resumen Estudiantes y Profesore'!B:B,'Resumen Estudiantes y Profesore'!A:A)</f>
        <v>89</v>
      </c>
      <c r="F1080" t="s">
        <v>244</v>
      </c>
      <c r="G1080" t="s">
        <v>246</v>
      </c>
      <c r="H1080" t="s">
        <v>246</v>
      </c>
      <c r="I1080" t="s">
        <v>674</v>
      </c>
      <c r="J1080" t="s">
        <v>85</v>
      </c>
      <c r="K1080" s="120" t="s">
        <v>3725</v>
      </c>
      <c r="N1080" s="49"/>
    </row>
    <row r="1081" spans="1:14">
      <c r="A1081" t="s">
        <v>3719</v>
      </c>
      <c r="B1081" t="s">
        <v>3726</v>
      </c>
      <c r="C1081" t="s">
        <v>434</v>
      </c>
      <c r="D1081" t="s">
        <v>28</v>
      </c>
      <c r="E1081">
        <f>_xlfn.XLOOKUP(D1081,'Resumen Estudiantes y Profesore'!B:B,'Resumen Estudiantes y Profesore'!A:A)</f>
        <v>32</v>
      </c>
      <c r="F1081" t="s">
        <v>244</v>
      </c>
      <c r="G1081" t="s">
        <v>246</v>
      </c>
      <c r="H1081" t="s">
        <v>246</v>
      </c>
      <c r="I1081" t="s">
        <v>682</v>
      </c>
      <c r="J1081" t="s">
        <v>85</v>
      </c>
      <c r="K1081" s="120" t="s">
        <v>3727</v>
      </c>
      <c r="N1081" s="49"/>
    </row>
    <row r="1082" spans="1:14">
      <c r="A1082" t="s">
        <v>2601</v>
      </c>
      <c r="B1082" t="s">
        <v>3728</v>
      </c>
      <c r="C1082" t="s">
        <v>476</v>
      </c>
      <c r="D1082" t="s">
        <v>207</v>
      </c>
      <c r="E1082">
        <f>_xlfn.XLOOKUP(D1082,'Resumen Estudiantes y Profesore'!B:B,'Resumen Estudiantes y Profesore'!A:A)</f>
        <v>82</v>
      </c>
      <c r="F1082" t="s">
        <v>244</v>
      </c>
      <c r="G1082" t="s">
        <v>246</v>
      </c>
      <c r="H1082" t="s">
        <v>246</v>
      </c>
      <c r="I1082" t="s">
        <v>674</v>
      </c>
      <c r="J1082" t="s">
        <v>91</v>
      </c>
      <c r="K1082" s="120" t="s">
        <v>3729</v>
      </c>
      <c r="N1082" s="49"/>
    </row>
    <row r="1083" spans="1:14">
      <c r="A1083" t="s">
        <v>2601</v>
      </c>
      <c r="B1083" t="s">
        <v>3730</v>
      </c>
      <c r="C1083" t="s">
        <v>2549</v>
      </c>
      <c r="D1083" t="s">
        <v>107</v>
      </c>
      <c r="E1083">
        <f>_xlfn.XLOOKUP(D1083,'Resumen Estudiantes y Profesore'!B:B,'Resumen Estudiantes y Profesore'!A:A)</f>
        <v>201</v>
      </c>
      <c r="F1083" t="s">
        <v>244</v>
      </c>
      <c r="G1083" t="s">
        <v>247</v>
      </c>
      <c r="H1083" t="s">
        <v>247</v>
      </c>
      <c r="I1083" t="s">
        <v>674</v>
      </c>
      <c r="J1083" t="s">
        <v>91</v>
      </c>
      <c r="K1083" s="120" t="s">
        <v>3731</v>
      </c>
      <c r="N1083" s="49"/>
    </row>
    <row r="1084" spans="1:14">
      <c r="A1084" t="s">
        <v>3732</v>
      </c>
      <c r="B1084" t="s">
        <v>3733</v>
      </c>
      <c r="C1084" t="s">
        <v>500</v>
      </c>
      <c r="D1084" t="s">
        <v>104</v>
      </c>
      <c r="E1084">
        <f>_xlfn.XLOOKUP(D1084,'Resumen Estudiantes y Profesore'!B:B,'Resumen Estudiantes y Profesore'!A:A)</f>
        <v>66</v>
      </c>
      <c r="F1084" t="s">
        <v>244</v>
      </c>
      <c r="G1084" t="s">
        <v>246</v>
      </c>
      <c r="H1084" t="s">
        <v>246</v>
      </c>
      <c r="I1084" t="s">
        <v>674</v>
      </c>
      <c r="J1084" t="s">
        <v>87</v>
      </c>
      <c r="K1084" s="120" t="s">
        <v>3734</v>
      </c>
      <c r="N1084" s="49"/>
    </row>
    <row r="1085" spans="1:14">
      <c r="A1085" t="s">
        <v>3732</v>
      </c>
      <c r="B1085" t="s">
        <v>3735</v>
      </c>
      <c r="C1085" t="s">
        <v>465</v>
      </c>
      <c r="D1085" t="s">
        <v>197</v>
      </c>
      <c r="E1085">
        <f>_xlfn.XLOOKUP(D1085,'Resumen Estudiantes y Profesore'!B:B,'Resumen Estudiantes y Profesore'!A:A)</f>
        <v>67</v>
      </c>
      <c r="F1085" t="s">
        <v>244</v>
      </c>
      <c r="G1085" t="s">
        <v>246</v>
      </c>
      <c r="H1085" t="s">
        <v>246</v>
      </c>
      <c r="I1085" t="s">
        <v>674</v>
      </c>
      <c r="J1085" t="s">
        <v>87</v>
      </c>
      <c r="K1085" s="120" t="s">
        <v>3736</v>
      </c>
      <c r="N1085" s="49"/>
    </row>
    <row r="1086" spans="1:14">
      <c r="A1086" t="s">
        <v>3732</v>
      </c>
      <c r="B1086" t="s">
        <v>3737</v>
      </c>
      <c r="C1086" t="s">
        <v>487</v>
      </c>
      <c r="D1086" t="s">
        <v>212</v>
      </c>
      <c r="E1086">
        <f>_xlfn.XLOOKUP(D1086,'Resumen Estudiantes y Profesore'!B:B,'Resumen Estudiantes y Profesore'!A:A)</f>
        <v>94</v>
      </c>
      <c r="F1086" t="s">
        <v>244</v>
      </c>
      <c r="G1086" t="s">
        <v>246</v>
      </c>
      <c r="H1086" t="s">
        <v>246</v>
      </c>
      <c r="I1086" t="s">
        <v>674</v>
      </c>
      <c r="J1086" t="s">
        <v>87</v>
      </c>
      <c r="K1086" s="120" t="s">
        <v>3738</v>
      </c>
      <c r="N1086" s="49"/>
    </row>
    <row r="1087" spans="1:14">
      <c r="A1087" t="s">
        <v>3732</v>
      </c>
      <c r="B1087" t="s">
        <v>3739</v>
      </c>
      <c r="C1087" t="s">
        <v>436</v>
      </c>
      <c r="D1087" t="s">
        <v>29</v>
      </c>
      <c r="E1087">
        <f>_xlfn.XLOOKUP(D1087,'Resumen Estudiantes y Profesore'!B:B,'Resumen Estudiantes y Profesore'!A:A)</f>
        <v>33</v>
      </c>
      <c r="F1087" t="s">
        <v>244</v>
      </c>
      <c r="G1087" t="s">
        <v>246</v>
      </c>
      <c r="H1087" t="s">
        <v>246</v>
      </c>
      <c r="I1087" t="s">
        <v>682</v>
      </c>
      <c r="J1087" t="s">
        <v>87</v>
      </c>
      <c r="K1087" s="120" t="s">
        <v>3740</v>
      </c>
      <c r="N1087" s="49"/>
    </row>
    <row r="1088" spans="1:14">
      <c r="A1088" t="s">
        <v>3741</v>
      </c>
      <c r="B1088" t="s">
        <v>3742</v>
      </c>
      <c r="C1088" t="s">
        <v>93</v>
      </c>
      <c r="D1088" t="s">
        <v>93</v>
      </c>
      <c r="E1088">
        <f>_xlfn.XLOOKUP(D1088,'Resumen Estudiantes y Profesore'!B:B,'Resumen Estudiantes y Profesore'!A:A)</f>
        <v>210</v>
      </c>
      <c r="F1088" t="s">
        <v>244</v>
      </c>
      <c r="G1088" t="s">
        <v>246</v>
      </c>
      <c r="H1088" t="s">
        <v>246</v>
      </c>
      <c r="I1088" t="s">
        <v>682</v>
      </c>
      <c r="J1088" t="s">
        <v>93</v>
      </c>
      <c r="K1088" s="120" t="s">
        <v>3743</v>
      </c>
      <c r="N1088" s="49"/>
    </row>
    <row r="1089" spans="1:14">
      <c r="A1089" t="s">
        <v>3744</v>
      </c>
      <c r="B1089" t="s">
        <v>3745</v>
      </c>
      <c r="C1089" t="s">
        <v>418</v>
      </c>
      <c r="D1089" t="s">
        <v>232</v>
      </c>
      <c r="E1089">
        <f>_xlfn.XLOOKUP(D1089,'Resumen Estudiantes y Profesore'!B:B,'Resumen Estudiantes y Profesore'!A:A)</f>
        <v>151</v>
      </c>
      <c r="F1089" t="s">
        <v>244</v>
      </c>
      <c r="G1089" t="s">
        <v>246</v>
      </c>
      <c r="H1089" t="s">
        <v>246</v>
      </c>
      <c r="I1089" t="s">
        <v>682</v>
      </c>
      <c r="J1089" t="s">
        <v>77</v>
      </c>
      <c r="K1089" s="120" t="s">
        <v>3746</v>
      </c>
      <c r="N1089" s="49"/>
    </row>
    <row r="1090" spans="1:14">
      <c r="A1090" t="s">
        <v>3747</v>
      </c>
      <c r="B1090" t="s">
        <v>3748</v>
      </c>
      <c r="C1090" t="s">
        <v>505</v>
      </c>
      <c r="D1090" t="s">
        <v>153</v>
      </c>
      <c r="E1090">
        <f>_xlfn.XLOOKUP(D1090,'Resumen Estudiantes y Profesore'!B:B,'Resumen Estudiantes y Profesore'!A:A)</f>
        <v>104</v>
      </c>
      <c r="F1090" t="s">
        <v>244</v>
      </c>
      <c r="G1090" t="s">
        <v>246</v>
      </c>
      <c r="H1090" t="s">
        <v>246</v>
      </c>
      <c r="I1090" t="s">
        <v>674</v>
      </c>
      <c r="J1090" t="s">
        <v>87</v>
      </c>
      <c r="K1090" s="120" t="s">
        <v>3749</v>
      </c>
      <c r="N1090" s="49"/>
    </row>
    <row r="1091" spans="1:14">
      <c r="A1091" t="s">
        <v>3747</v>
      </c>
      <c r="B1091" t="s">
        <v>3750</v>
      </c>
      <c r="C1091" t="s">
        <v>506</v>
      </c>
      <c r="D1091" t="s">
        <v>154</v>
      </c>
      <c r="E1091">
        <f>_xlfn.XLOOKUP(D1091,'Resumen Estudiantes y Profesore'!B:B,'Resumen Estudiantes y Profesore'!A:A)</f>
        <v>105</v>
      </c>
      <c r="F1091" t="s">
        <v>244</v>
      </c>
      <c r="G1091" t="s">
        <v>246</v>
      </c>
      <c r="H1091" t="s">
        <v>246</v>
      </c>
      <c r="I1091" t="s">
        <v>674</v>
      </c>
      <c r="J1091" t="s">
        <v>87</v>
      </c>
      <c r="K1091" s="120" t="s">
        <v>3751</v>
      </c>
      <c r="N1091" s="49"/>
    </row>
    <row r="1092" spans="1:14">
      <c r="A1092" t="s">
        <v>3747</v>
      </c>
      <c r="B1092" t="s">
        <v>3752</v>
      </c>
      <c r="C1092" t="s">
        <v>465</v>
      </c>
      <c r="D1092" t="s">
        <v>197</v>
      </c>
      <c r="E1092">
        <f>_xlfn.XLOOKUP(D1092,'Resumen Estudiantes y Profesore'!B:B,'Resumen Estudiantes y Profesore'!A:A)</f>
        <v>67</v>
      </c>
      <c r="F1092" t="s">
        <v>244</v>
      </c>
      <c r="G1092" t="s">
        <v>246</v>
      </c>
      <c r="H1092" t="s">
        <v>246</v>
      </c>
      <c r="I1092" t="s">
        <v>674</v>
      </c>
      <c r="J1092" t="s">
        <v>87</v>
      </c>
      <c r="K1092" s="120" t="s">
        <v>3753</v>
      </c>
      <c r="N1092" s="49"/>
    </row>
    <row r="1093" spans="1:14">
      <c r="A1093" t="s">
        <v>3747</v>
      </c>
      <c r="B1093" t="s">
        <v>3754</v>
      </c>
      <c r="C1093" t="s">
        <v>487</v>
      </c>
      <c r="D1093" t="s">
        <v>212</v>
      </c>
      <c r="E1093">
        <f>_xlfn.XLOOKUP(D1093,'Resumen Estudiantes y Profesore'!B:B,'Resumen Estudiantes y Profesore'!A:A)</f>
        <v>94</v>
      </c>
      <c r="F1093" t="s">
        <v>244</v>
      </c>
      <c r="G1093" t="s">
        <v>246</v>
      </c>
      <c r="H1093" t="s">
        <v>246</v>
      </c>
      <c r="I1093" t="s">
        <v>674</v>
      </c>
      <c r="J1093" t="s">
        <v>87</v>
      </c>
      <c r="K1093" s="120" t="s">
        <v>3755</v>
      </c>
      <c r="N1093" s="49"/>
    </row>
    <row r="1094" spans="1:14">
      <c r="A1094" t="s">
        <v>3747</v>
      </c>
      <c r="B1094" t="s">
        <v>3756</v>
      </c>
      <c r="C1094" t="s">
        <v>437</v>
      </c>
      <c r="D1094" t="s">
        <v>30</v>
      </c>
      <c r="E1094">
        <f>_xlfn.XLOOKUP(D1094,'Resumen Estudiantes y Profesore'!B:B,'Resumen Estudiantes y Profesore'!A:A)</f>
        <v>34</v>
      </c>
      <c r="F1094" t="s">
        <v>244</v>
      </c>
      <c r="G1094" t="s">
        <v>246</v>
      </c>
      <c r="H1094" t="s">
        <v>246</v>
      </c>
      <c r="I1094" t="s">
        <v>682</v>
      </c>
      <c r="J1094" t="s">
        <v>87</v>
      </c>
      <c r="K1094" s="120" t="s">
        <v>3757</v>
      </c>
      <c r="N1094" s="49"/>
    </row>
    <row r="1095" spans="1:14">
      <c r="A1095" t="s">
        <v>3747</v>
      </c>
      <c r="B1095" t="s">
        <v>3758</v>
      </c>
      <c r="C1095" t="s">
        <v>436</v>
      </c>
      <c r="D1095" t="s">
        <v>29</v>
      </c>
      <c r="E1095">
        <f>_xlfn.XLOOKUP(D1095,'Resumen Estudiantes y Profesore'!B:B,'Resumen Estudiantes y Profesore'!A:A)</f>
        <v>33</v>
      </c>
      <c r="F1095" t="s">
        <v>244</v>
      </c>
      <c r="G1095" t="s">
        <v>246</v>
      </c>
      <c r="H1095" t="s">
        <v>246</v>
      </c>
      <c r="I1095" t="s">
        <v>682</v>
      </c>
      <c r="J1095" t="s">
        <v>87</v>
      </c>
      <c r="K1095" s="120" t="s">
        <v>3759</v>
      </c>
      <c r="N1095" s="49"/>
    </row>
    <row r="1096" spans="1:14">
      <c r="A1096" t="s">
        <v>3760</v>
      </c>
      <c r="B1096" t="s">
        <v>3761</v>
      </c>
      <c r="C1096" t="s">
        <v>467</v>
      </c>
      <c r="D1096" t="s">
        <v>203</v>
      </c>
      <c r="E1096">
        <f>_xlfn.XLOOKUP(D1096,'Resumen Estudiantes y Profesore'!B:B,'Resumen Estudiantes y Profesore'!A:A)</f>
        <v>69</v>
      </c>
      <c r="F1096" t="s">
        <v>244</v>
      </c>
      <c r="G1096" t="s">
        <v>246</v>
      </c>
      <c r="H1096" t="s">
        <v>246</v>
      </c>
      <c r="I1096" t="s">
        <v>674</v>
      </c>
      <c r="J1096" t="s">
        <v>88</v>
      </c>
      <c r="K1096" s="120" t="s">
        <v>3762</v>
      </c>
      <c r="N1096" s="49"/>
    </row>
    <row r="1097" spans="1:14">
      <c r="A1097" t="s">
        <v>3763</v>
      </c>
      <c r="B1097" t="s">
        <v>3764</v>
      </c>
      <c r="C1097" t="s">
        <v>93</v>
      </c>
      <c r="D1097" t="s">
        <v>93</v>
      </c>
      <c r="E1097">
        <f>_xlfn.XLOOKUP(D1097,'Resumen Estudiantes y Profesore'!B:B,'Resumen Estudiantes y Profesore'!A:A)</f>
        <v>210</v>
      </c>
      <c r="F1097" t="s">
        <v>244</v>
      </c>
      <c r="G1097" t="s">
        <v>246</v>
      </c>
      <c r="H1097" t="s">
        <v>246</v>
      </c>
      <c r="I1097" t="s">
        <v>682</v>
      </c>
      <c r="J1097" t="s">
        <v>93</v>
      </c>
      <c r="K1097" s="120" t="s">
        <v>3765</v>
      </c>
      <c r="N1097" s="49"/>
    </row>
    <row r="1098" spans="1:14">
      <c r="A1098" t="s">
        <v>3766</v>
      </c>
      <c r="B1098" t="s">
        <v>3767</v>
      </c>
      <c r="C1098" t="s">
        <v>534</v>
      </c>
      <c r="D1098" t="s">
        <v>36</v>
      </c>
      <c r="E1098">
        <f>_xlfn.XLOOKUP(D1098,'Resumen Estudiantes y Profesore'!B:B,'Resumen Estudiantes y Profesore'!A:A)</f>
        <v>37</v>
      </c>
      <c r="F1098" t="s">
        <v>244</v>
      </c>
      <c r="G1098" t="s">
        <v>246</v>
      </c>
      <c r="H1098" t="s">
        <v>246</v>
      </c>
      <c r="I1098" t="s">
        <v>682</v>
      </c>
      <c r="J1098" t="s">
        <v>89</v>
      </c>
      <c r="K1098" s="120" t="s">
        <v>3768</v>
      </c>
      <c r="N1098" s="49"/>
    </row>
    <row r="1099" spans="1:14">
      <c r="A1099" t="s">
        <v>3769</v>
      </c>
      <c r="B1099" t="s">
        <v>3770</v>
      </c>
      <c r="C1099" t="s">
        <v>457</v>
      </c>
      <c r="D1099" t="s">
        <v>186</v>
      </c>
      <c r="E1099">
        <f>_xlfn.XLOOKUP(D1099,'Resumen Estudiantes y Profesore'!B:B,'Resumen Estudiantes y Profesore'!A:A)</f>
        <v>54</v>
      </c>
      <c r="F1099" t="s">
        <v>244</v>
      </c>
      <c r="G1099" t="s">
        <v>247</v>
      </c>
      <c r="H1099" t="s">
        <v>247</v>
      </c>
      <c r="I1099" t="s">
        <v>674</v>
      </c>
      <c r="J1099" t="s">
        <v>84</v>
      </c>
      <c r="K1099" s="120" t="s">
        <v>3771</v>
      </c>
      <c r="N1099" s="49"/>
    </row>
    <row r="1100" spans="1:14">
      <c r="A1100" t="s">
        <v>3769</v>
      </c>
      <c r="B1100" t="s">
        <v>3772</v>
      </c>
      <c r="C1100" t="s">
        <v>431</v>
      </c>
      <c r="D1100" t="s">
        <v>27</v>
      </c>
      <c r="E1100">
        <f>_xlfn.XLOOKUP(D1100,'Resumen Estudiantes y Profesore'!B:B,'Resumen Estudiantes y Profesore'!A:A)</f>
        <v>30</v>
      </c>
      <c r="F1100" t="s">
        <v>244</v>
      </c>
      <c r="G1100" t="s">
        <v>246</v>
      </c>
      <c r="H1100" t="s">
        <v>246</v>
      </c>
      <c r="I1100" t="s">
        <v>682</v>
      </c>
      <c r="J1100" t="s">
        <v>84</v>
      </c>
      <c r="K1100" s="120" t="s">
        <v>3773</v>
      </c>
      <c r="N1100" s="49"/>
    </row>
    <row r="1101" spans="1:14">
      <c r="A1101" t="s">
        <v>3774</v>
      </c>
      <c r="B1101" t="s">
        <v>3775</v>
      </c>
      <c r="C1101" t="s">
        <v>419</v>
      </c>
      <c r="D1101" t="s">
        <v>233</v>
      </c>
      <c r="E1101">
        <f>_xlfn.XLOOKUP(D1101,'Resumen Estudiantes y Profesore'!B:B,'Resumen Estudiantes y Profesore'!A:A)</f>
        <v>152</v>
      </c>
      <c r="F1101" t="s">
        <v>244</v>
      </c>
      <c r="G1101" t="s">
        <v>246</v>
      </c>
      <c r="H1101" t="s">
        <v>246</v>
      </c>
      <c r="I1101" t="s">
        <v>682</v>
      </c>
      <c r="J1101" t="s">
        <v>77</v>
      </c>
      <c r="K1101" s="120" t="s">
        <v>3776</v>
      </c>
      <c r="N1101" s="49"/>
    </row>
    <row r="1102" spans="1:14">
      <c r="A1102" t="s">
        <v>3777</v>
      </c>
      <c r="B1102" t="s">
        <v>3778</v>
      </c>
      <c r="C1102" t="s">
        <v>419</v>
      </c>
      <c r="D1102" t="s">
        <v>233</v>
      </c>
      <c r="E1102">
        <f>_xlfn.XLOOKUP(D1102,'Resumen Estudiantes y Profesore'!B:B,'Resumen Estudiantes y Profesore'!A:A)</f>
        <v>152</v>
      </c>
      <c r="F1102" t="s">
        <v>244</v>
      </c>
      <c r="G1102" t="s">
        <v>246</v>
      </c>
      <c r="H1102" t="s">
        <v>246</v>
      </c>
      <c r="I1102" t="s">
        <v>682</v>
      </c>
      <c r="J1102" t="s">
        <v>77</v>
      </c>
      <c r="K1102" s="120" t="s">
        <v>3779</v>
      </c>
      <c r="N1102" s="49"/>
    </row>
    <row r="1103" spans="1:14">
      <c r="A1103" t="s">
        <v>3780</v>
      </c>
      <c r="B1103" t="s">
        <v>3781</v>
      </c>
      <c r="C1103" t="s">
        <v>532</v>
      </c>
      <c r="D1103" t="s">
        <v>194</v>
      </c>
      <c r="E1103">
        <f>_xlfn.XLOOKUP(D1103,'Resumen Estudiantes y Profesore'!B:B,'Resumen Estudiantes y Profesore'!A:A)</f>
        <v>79</v>
      </c>
      <c r="F1103" t="s">
        <v>244</v>
      </c>
      <c r="G1103" t="s">
        <v>246</v>
      </c>
      <c r="H1103" t="s">
        <v>246</v>
      </c>
      <c r="I1103" t="s">
        <v>674</v>
      </c>
      <c r="J1103" t="s">
        <v>90</v>
      </c>
      <c r="K1103" s="120" t="s">
        <v>3782</v>
      </c>
      <c r="N1103" s="49"/>
    </row>
    <row r="1104" spans="1:14">
      <c r="A1104" t="s">
        <v>3783</v>
      </c>
      <c r="B1104" t="s">
        <v>3784</v>
      </c>
      <c r="C1104" t="s">
        <v>451</v>
      </c>
      <c r="D1104" t="s">
        <v>38</v>
      </c>
      <c r="E1104">
        <f>_xlfn.XLOOKUP(D1104,'Resumen Estudiantes y Profesore'!B:B,'Resumen Estudiantes y Profesore'!A:A)</f>
        <v>42</v>
      </c>
      <c r="F1104" t="s">
        <v>244</v>
      </c>
      <c r="G1104" t="s">
        <v>246</v>
      </c>
      <c r="H1104" t="s">
        <v>246</v>
      </c>
      <c r="I1104" t="s">
        <v>682</v>
      </c>
      <c r="J1104" t="s">
        <v>90</v>
      </c>
      <c r="K1104" s="120" t="s">
        <v>3785</v>
      </c>
      <c r="N1104" s="49"/>
    </row>
    <row r="1105" spans="1:14">
      <c r="A1105" t="s">
        <v>3786</v>
      </c>
      <c r="B1105" t="s">
        <v>3787</v>
      </c>
      <c r="C1105" t="s">
        <v>431</v>
      </c>
      <c r="D1105" t="s">
        <v>27</v>
      </c>
      <c r="E1105">
        <f>_xlfn.XLOOKUP(D1105,'Resumen Estudiantes y Profesore'!B:B,'Resumen Estudiantes y Profesore'!A:A)</f>
        <v>30</v>
      </c>
      <c r="F1105" t="s">
        <v>244</v>
      </c>
      <c r="G1105" t="s">
        <v>246</v>
      </c>
      <c r="H1105" t="s">
        <v>246</v>
      </c>
      <c r="I1105" t="s">
        <v>682</v>
      </c>
      <c r="J1105" t="s">
        <v>84</v>
      </c>
      <c r="K1105" s="120" t="s">
        <v>3788</v>
      </c>
      <c r="N1105" s="49"/>
    </row>
    <row r="1106" spans="1:14">
      <c r="A1106" t="s">
        <v>3789</v>
      </c>
      <c r="B1106" t="s">
        <v>3790</v>
      </c>
      <c r="C1106" t="s">
        <v>99</v>
      </c>
      <c r="D1106" t="s">
        <v>99</v>
      </c>
      <c r="E1106">
        <f>_xlfn.XLOOKUP(D1106,'Resumen Estudiantes y Profesore'!B:B,'Resumen Estudiantes y Profesore'!A:A)</f>
        <v>70</v>
      </c>
      <c r="F1106" t="s">
        <v>244</v>
      </c>
      <c r="G1106" t="s">
        <v>246</v>
      </c>
      <c r="H1106" t="s">
        <v>246</v>
      </c>
      <c r="I1106" t="s">
        <v>674</v>
      </c>
      <c r="J1106" t="s">
        <v>89</v>
      </c>
      <c r="K1106" s="120" t="s">
        <v>3791</v>
      </c>
      <c r="N1106" s="49"/>
    </row>
    <row r="1107" spans="1:14">
      <c r="A1107" t="s">
        <v>3789</v>
      </c>
      <c r="B1107" t="s">
        <v>3792</v>
      </c>
      <c r="C1107" t="s">
        <v>469</v>
      </c>
      <c r="D1107" t="s">
        <v>179</v>
      </c>
      <c r="E1107">
        <f>_xlfn.XLOOKUP(D1107,'Resumen Estudiantes y Profesore'!B:B,'Resumen Estudiantes y Profesore'!A:A)</f>
        <v>73</v>
      </c>
      <c r="F1107" t="s">
        <v>244</v>
      </c>
      <c r="G1107" t="s">
        <v>246</v>
      </c>
      <c r="H1107" t="s">
        <v>246</v>
      </c>
      <c r="I1107" t="s">
        <v>674</v>
      </c>
      <c r="J1107" t="s">
        <v>89</v>
      </c>
      <c r="K1107" s="120" t="s">
        <v>3793</v>
      </c>
      <c r="N1107" s="49"/>
    </row>
    <row r="1108" spans="1:14">
      <c r="A1108" t="s">
        <v>3789</v>
      </c>
      <c r="B1108" t="s">
        <v>3794</v>
      </c>
      <c r="C1108" t="s">
        <v>444</v>
      </c>
      <c r="D1108" t="s">
        <v>33</v>
      </c>
      <c r="E1108">
        <f>_xlfn.XLOOKUP(D1108,'Resumen Estudiantes y Profesore'!B:B,'Resumen Estudiantes y Profesore'!A:A)</f>
        <v>38</v>
      </c>
      <c r="F1108" t="s">
        <v>244</v>
      </c>
      <c r="G1108" t="s">
        <v>246</v>
      </c>
      <c r="H1108" t="s">
        <v>246</v>
      </c>
      <c r="I1108" t="s">
        <v>682</v>
      </c>
      <c r="J1108" t="s">
        <v>89</v>
      </c>
      <c r="K1108" s="120" t="s">
        <v>3795</v>
      </c>
      <c r="N1108" s="49"/>
    </row>
    <row r="1109" spans="1:14">
      <c r="A1109" t="s">
        <v>923</v>
      </c>
      <c r="B1109" t="s">
        <v>3796</v>
      </c>
      <c r="C1109" t="s">
        <v>453</v>
      </c>
      <c r="D1109" t="s">
        <v>39</v>
      </c>
      <c r="E1109">
        <f>_xlfn.XLOOKUP(D1109,'Resumen Estudiantes y Profesore'!B:B,'Resumen Estudiantes y Profesore'!A:A)</f>
        <v>43</v>
      </c>
      <c r="F1109" t="s">
        <v>244</v>
      </c>
      <c r="G1109" t="s">
        <v>247</v>
      </c>
      <c r="H1109" t="s">
        <v>247</v>
      </c>
      <c r="I1109" t="s">
        <v>682</v>
      </c>
      <c r="J1109" t="s">
        <v>91</v>
      </c>
      <c r="K1109" s="120" t="s">
        <v>3797</v>
      </c>
      <c r="N1109" s="49"/>
    </row>
    <row r="1110" spans="1:14">
      <c r="A1110" t="s">
        <v>3798</v>
      </c>
      <c r="B1110" t="s">
        <v>3799</v>
      </c>
      <c r="C1110" t="s">
        <v>102</v>
      </c>
      <c r="D1110" t="s">
        <v>102</v>
      </c>
      <c r="E1110">
        <f>_xlfn.XLOOKUP(D1110,'Resumen Estudiantes y Profesore'!B:B,'Resumen Estudiantes y Profesore'!A:A)</f>
        <v>53</v>
      </c>
      <c r="F1110" t="s">
        <v>244</v>
      </c>
      <c r="G1110" t="s">
        <v>246</v>
      </c>
      <c r="H1110" t="s">
        <v>246</v>
      </c>
      <c r="I1110" t="s">
        <v>674</v>
      </c>
      <c r="J1110" t="s">
        <v>84</v>
      </c>
      <c r="K1110" s="120" t="s">
        <v>3800</v>
      </c>
      <c r="N1110" s="49"/>
    </row>
    <row r="1111" spans="1:14">
      <c r="A1111" t="s">
        <v>3798</v>
      </c>
      <c r="B1111" t="s">
        <v>3801</v>
      </c>
      <c r="C1111" t="s">
        <v>457</v>
      </c>
      <c r="D1111" t="s">
        <v>186</v>
      </c>
      <c r="E1111">
        <f>_xlfn.XLOOKUP(D1111,'Resumen Estudiantes y Profesore'!B:B,'Resumen Estudiantes y Profesore'!A:A)</f>
        <v>54</v>
      </c>
      <c r="F1111" t="s">
        <v>244</v>
      </c>
      <c r="G1111" t="s">
        <v>246</v>
      </c>
      <c r="H1111" t="s">
        <v>246</v>
      </c>
      <c r="I1111" t="s">
        <v>674</v>
      </c>
      <c r="J1111" t="s">
        <v>84</v>
      </c>
      <c r="K1111" s="120" t="s">
        <v>3802</v>
      </c>
      <c r="N1111" s="49"/>
    </row>
    <row r="1112" spans="1:14">
      <c r="A1112" t="s">
        <v>3798</v>
      </c>
      <c r="B1112" t="s">
        <v>3803</v>
      </c>
      <c r="C1112" t="s">
        <v>431</v>
      </c>
      <c r="D1112" t="s">
        <v>27</v>
      </c>
      <c r="E1112">
        <f>_xlfn.XLOOKUP(D1112,'Resumen Estudiantes y Profesore'!B:B,'Resumen Estudiantes y Profesore'!A:A)</f>
        <v>30</v>
      </c>
      <c r="F1112" t="s">
        <v>244</v>
      </c>
      <c r="G1112" t="s">
        <v>246</v>
      </c>
      <c r="H1112" t="s">
        <v>246</v>
      </c>
      <c r="I1112" t="s">
        <v>682</v>
      </c>
      <c r="J1112" t="s">
        <v>84</v>
      </c>
      <c r="K1112" s="120" t="s">
        <v>3804</v>
      </c>
      <c r="N1112" s="49"/>
    </row>
    <row r="1113" spans="1:14">
      <c r="A1113" t="s">
        <v>3805</v>
      </c>
      <c r="B1113" t="s">
        <v>3806</v>
      </c>
      <c r="C1113" t="s">
        <v>431</v>
      </c>
      <c r="D1113" t="s">
        <v>27</v>
      </c>
      <c r="E1113">
        <f>_xlfn.XLOOKUP(D1113,'Resumen Estudiantes y Profesore'!B:B,'Resumen Estudiantes y Profesore'!A:A)</f>
        <v>30</v>
      </c>
      <c r="F1113" t="s">
        <v>244</v>
      </c>
      <c r="G1113" t="s">
        <v>246</v>
      </c>
      <c r="H1113" t="s">
        <v>246</v>
      </c>
      <c r="I1113" t="s">
        <v>682</v>
      </c>
      <c r="J1113" t="s">
        <v>84</v>
      </c>
      <c r="K1113" s="120" t="s">
        <v>3807</v>
      </c>
      <c r="N1113" s="49"/>
    </row>
    <row r="1114" spans="1:14">
      <c r="A1114" t="s">
        <v>3808</v>
      </c>
      <c r="B1114" t="s">
        <v>3809</v>
      </c>
      <c r="C1114" t="s">
        <v>489</v>
      </c>
      <c r="D1114" t="s">
        <v>110</v>
      </c>
      <c r="E1114">
        <f>_xlfn.XLOOKUP(D1114,'Resumen Estudiantes y Profesore'!B:B,'Resumen Estudiantes y Profesore'!A:A)</f>
        <v>2</v>
      </c>
      <c r="F1114" t="s">
        <v>244</v>
      </c>
      <c r="G1114" t="s">
        <v>246</v>
      </c>
      <c r="H1114" t="s">
        <v>246</v>
      </c>
      <c r="I1114" t="s">
        <v>674</v>
      </c>
      <c r="J1114" t="s">
        <v>90</v>
      </c>
      <c r="K1114" s="120" t="s">
        <v>3810</v>
      </c>
      <c r="N1114" s="49"/>
    </row>
    <row r="1115" spans="1:14">
      <c r="A1115" t="s">
        <v>3808</v>
      </c>
      <c r="B1115" t="s">
        <v>3811</v>
      </c>
      <c r="C1115" t="s">
        <v>472</v>
      </c>
      <c r="D1115" t="s">
        <v>193</v>
      </c>
      <c r="E1115">
        <f>_xlfn.XLOOKUP(D1115,'Resumen Estudiantes y Profesore'!B:B,'Resumen Estudiantes y Profesore'!A:A)</f>
        <v>78</v>
      </c>
      <c r="F1115" t="s">
        <v>244</v>
      </c>
      <c r="G1115" t="s">
        <v>246</v>
      </c>
      <c r="H1115" t="s">
        <v>246</v>
      </c>
      <c r="I1115" t="s">
        <v>674</v>
      </c>
      <c r="J1115" t="s">
        <v>90</v>
      </c>
      <c r="K1115" s="120" t="s">
        <v>3812</v>
      </c>
      <c r="N1115" s="49"/>
    </row>
    <row r="1116" spans="1:14">
      <c r="A1116" t="s">
        <v>3808</v>
      </c>
      <c r="B1116" t="s">
        <v>3813</v>
      </c>
      <c r="C1116" t="s">
        <v>451</v>
      </c>
      <c r="D1116" t="s">
        <v>38</v>
      </c>
      <c r="E1116">
        <f>_xlfn.XLOOKUP(D1116,'Resumen Estudiantes y Profesore'!B:B,'Resumen Estudiantes y Profesore'!A:A)</f>
        <v>42</v>
      </c>
      <c r="F1116" t="s">
        <v>244</v>
      </c>
      <c r="G1116" t="s">
        <v>247</v>
      </c>
      <c r="H1116" t="s">
        <v>247</v>
      </c>
      <c r="I1116" t="s">
        <v>682</v>
      </c>
      <c r="J1116" t="s">
        <v>90</v>
      </c>
      <c r="K1116" s="120" t="s">
        <v>3814</v>
      </c>
      <c r="N1116" s="49"/>
    </row>
    <row r="1117" spans="1:14">
      <c r="A1117" t="s">
        <v>3815</v>
      </c>
      <c r="B1117" t="s">
        <v>3816</v>
      </c>
      <c r="C1117" t="s">
        <v>448</v>
      </c>
      <c r="D1117" t="s">
        <v>35</v>
      </c>
      <c r="E1117">
        <f>_xlfn.XLOOKUP(D1117,'Resumen Estudiantes y Profesore'!B:B,'Resumen Estudiantes y Profesore'!A:A)</f>
        <v>40</v>
      </c>
      <c r="F1117" t="s">
        <v>244</v>
      </c>
      <c r="G1117" t="s">
        <v>246</v>
      </c>
      <c r="H1117" t="s">
        <v>246</v>
      </c>
      <c r="I1117" t="s">
        <v>682</v>
      </c>
      <c r="J1117" t="s">
        <v>89</v>
      </c>
      <c r="K1117" s="120" t="s">
        <v>3817</v>
      </c>
      <c r="N1117" s="49"/>
    </row>
    <row r="1118" spans="1:14">
      <c r="A1118" t="s">
        <v>3818</v>
      </c>
      <c r="B1118" t="s">
        <v>3819</v>
      </c>
      <c r="C1118" t="s">
        <v>424</v>
      </c>
      <c r="D1118" t="s">
        <v>24</v>
      </c>
      <c r="E1118">
        <f>_xlfn.XLOOKUP(D1118,'Resumen Estudiantes y Profesore'!B:B,'Resumen Estudiantes y Profesore'!A:A)</f>
        <v>27</v>
      </c>
      <c r="F1118" t="s">
        <v>244</v>
      </c>
      <c r="G1118" t="s">
        <v>246</v>
      </c>
      <c r="H1118" t="s">
        <v>246</v>
      </c>
      <c r="I1118" t="s">
        <v>682</v>
      </c>
      <c r="J1118" t="s">
        <v>83</v>
      </c>
      <c r="K1118" s="120" t="s">
        <v>3820</v>
      </c>
      <c r="N1118" s="49"/>
    </row>
    <row r="1119" spans="1:14">
      <c r="A1119" t="s">
        <v>3821</v>
      </c>
      <c r="B1119" t="s">
        <v>3822</v>
      </c>
      <c r="C1119" t="s">
        <v>469</v>
      </c>
      <c r="D1119" t="s">
        <v>179</v>
      </c>
      <c r="E1119">
        <f>_xlfn.XLOOKUP(D1119,'Resumen Estudiantes y Profesore'!B:B,'Resumen Estudiantes y Profesore'!A:A)</f>
        <v>73</v>
      </c>
      <c r="F1119" t="s">
        <v>244</v>
      </c>
      <c r="G1119" t="s">
        <v>246</v>
      </c>
      <c r="H1119" t="s">
        <v>246</v>
      </c>
      <c r="I1119" t="s">
        <v>674</v>
      </c>
      <c r="J1119" t="s">
        <v>89</v>
      </c>
      <c r="K1119" s="120" t="s">
        <v>3823</v>
      </c>
      <c r="N1119" s="49"/>
    </row>
    <row r="1120" spans="1:14">
      <c r="A1120" t="s">
        <v>3821</v>
      </c>
      <c r="B1120" t="s">
        <v>3824</v>
      </c>
      <c r="C1120" t="s">
        <v>534</v>
      </c>
      <c r="D1120" t="s">
        <v>36</v>
      </c>
      <c r="E1120">
        <f>_xlfn.XLOOKUP(D1120,'Resumen Estudiantes y Profesore'!B:B,'Resumen Estudiantes y Profesore'!A:A)</f>
        <v>37</v>
      </c>
      <c r="F1120" t="s">
        <v>244</v>
      </c>
      <c r="G1120" t="s">
        <v>246</v>
      </c>
      <c r="H1120" t="s">
        <v>246</v>
      </c>
      <c r="I1120" t="s">
        <v>682</v>
      </c>
      <c r="J1120" t="s">
        <v>89</v>
      </c>
      <c r="K1120" s="120" t="s">
        <v>3825</v>
      </c>
      <c r="N1120" s="49"/>
    </row>
    <row r="1121" spans="1:14">
      <c r="A1121" t="s">
        <v>3821</v>
      </c>
      <c r="B1121" t="s">
        <v>3826</v>
      </c>
      <c r="C1121" t="s">
        <v>450</v>
      </c>
      <c r="D1121" t="s">
        <v>37</v>
      </c>
      <c r="E1121">
        <f>_xlfn.XLOOKUP(D1121,'Resumen Estudiantes y Profesore'!B:B,'Resumen Estudiantes y Profesore'!A:A)</f>
        <v>41</v>
      </c>
      <c r="F1121" t="s">
        <v>244</v>
      </c>
      <c r="G1121" t="s">
        <v>246</v>
      </c>
      <c r="H1121" t="s">
        <v>246</v>
      </c>
      <c r="I1121" t="s">
        <v>682</v>
      </c>
      <c r="J1121" t="s">
        <v>89</v>
      </c>
      <c r="K1121" s="120" t="s">
        <v>3827</v>
      </c>
      <c r="N1121" s="49"/>
    </row>
    <row r="1122" spans="1:14">
      <c r="A1122" t="s">
        <v>3828</v>
      </c>
      <c r="B1122" t="s">
        <v>3829</v>
      </c>
      <c r="C1122" t="s">
        <v>422</v>
      </c>
      <c r="D1122" t="s">
        <v>238</v>
      </c>
      <c r="E1122">
        <f>_xlfn.XLOOKUP(D1122,'Resumen Estudiantes y Profesore'!B:B,'Resumen Estudiantes y Profesore'!A:A)</f>
        <v>157</v>
      </c>
      <c r="F1122" t="s">
        <v>244</v>
      </c>
      <c r="G1122" t="s">
        <v>246</v>
      </c>
      <c r="H1122" t="s">
        <v>246</v>
      </c>
      <c r="I1122" t="s">
        <v>682</v>
      </c>
      <c r="J1122" t="s">
        <v>77</v>
      </c>
      <c r="K1122" s="120" t="s">
        <v>3830</v>
      </c>
      <c r="N1122" s="49"/>
    </row>
    <row r="1123" spans="1:14">
      <c r="A1123" t="s">
        <v>3831</v>
      </c>
      <c r="B1123" t="s">
        <v>3832</v>
      </c>
      <c r="C1123" t="s">
        <v>446</v>
      </c>
      <c r="D1123" t="s">
        <v>34</v>
      </c>
      <c r="E1123">
        <f>_xlfn.XLOOKUP(D1123,'Resumen Estudiantes y Profesore'!B:B,'Resumen Estudiantes y Profesore'!A:A)</f>
        <v>39</v>
      </c>
      <c r="F1123" t="s">
        <v>244</v>
      </c>
      <c r="G1123" t="s">
        <v>246</v>
      </c>
      <c r="H1123" t="s">
        <v>246</v>
      </c>
      <c r="I1123" t="s">
        <v>682</v>
      </c>
      <c r="J1123" t="s">
        <v>89</v>
      </c>
      <c r="K1123" s="120" t="s">
        <v>3833</v>
      </c>
      <c r="N1123" s="49"/>
    </row>
    <row r="1124" spans="1:14">
      <c r="A1124" t="s">
        <v>2607</v>
      </c>
      <c r="B1124" t="s">
        <v>3834</v>
      </c>
      <c r="C1124" t="s">
        <v>475</v>
      </c>
      <c r="D1124" t="s">
        <v>205</v>
      </c>
      <c r="E1124">
        <f>_xlfn.XLOOKUP(D1124,'Resumen Estudiantes y Profesore'!B:B,'Resumen Estudiantes y Profesore'!A:A)</f>
        <v>80</v>
      </c>
      <c r="F1124" t="s">
        <v>244</v>
      </c>
      <c r="G1124" t="s">
        <v>246</v>
      </c>
      <c r="H1124" t="s">
        <v>246</v>
      </c>
      <c r="I1124" t="s">
        <v>674</v>
      </c>
      <c r="J1124" t="s">
        <v>91</v>
      </c>
      <c r="K1124" s="120" t="s">
        <v>3835</v>
      </c>
      <c r="N1124" s="49"/>
    </row>
    <row r="1125" spans="1:14">
      <c r="A1125" t="s">
        <v>2607</v>
      </c>
      <c r="B1125" t="s">
        <v>3836</v>
      </c>
      <c r="C1125" t="s">
        <v>453</v>
      </c>
      <c r="D1125" t="s">
        <v>39</v>
      </c>
      <c r="E1125">
        <f>_xlfn.XLOOKUP(D1125,'Resumen Estudiantes y Profesore'!B:B,'Resumen Estudiantes y Profesore'!A:A)</f>
        <v>43</v>
      </c>
      <c r="F1125" t="s">
        <v>244</v>
      </c>
      <c r="G1125" t="s">
        <v>246</v>
      </c>
      <c r="H1125" t="s">
        <v>246</v>
      </c>
      <c r="I1125" t="s">
        <v>682</v>
      </c>
      <c r="J1125" t="s">
        <v>91</v>
      </c>
      <c r="K1125" s="120" t="s">
        <v>3837</v>
      </c>
      <c r="N1125" s="49"/>
    </row>
    <row r="1126" spans="1:14">
      <c r="A1126" t="s">
        <v>3838</v>
      </c>
      <c r="B1126" t="s">
        <v>3839</v>
      </c>
      <c r="C1126" t="s">
        <v>538</v>
      </c>
      <c r="D1126" t="s">
        <v>105</v>
      </c>
      <c r="E1126">
        <f>_xlfn.XLOOKUP(D1126,'Resumen Estudiantes y Profesore'!B:B,'Resumen Estudiantes y Profesore'!A:A)</f>
        <v>72</v>
      </c>
      <c r="F1126" t="s">
        <v>244</v>
      </c>
      <c r="G1126" t="s">
        <v>246</v>
      </c>
      <c r="H1126" t="s">
        <v>246</v>
      </c>
      <c r="I1126" t="s">
        <v>674</v>
      </c>
      <c r="J1126" t="s">
        <v>89</v>
      </c>
      <c r="K1126" s="120" t="s">
        <v>3840</v>
      </c>
      <c r="N1126" s="49"/>
    </row>
    <row r="1127" spans="1:14">
      <c r="A1127" t="s">
        <v>3838</v>
      </c>
      <c r="B1127" t="s">
        <v>3841</v>
      </c>
      <c r="C1127" t="s">
        <v>441</v>
      </c>
      <c r="D1127" t="s">
        <v>32</v>
      </c>
      <c r="E1127">
        <f>_xlfn.XLOOKUP(D1127,'Resumen Estudiantes y Profesore'!B:B,'Resumen Estudiantes y Profesore'!A:A)</f>
        <v>36</v>
      </c>
      <c r="F1127" t="s">
        <v>244</v>
      </c>
      <c r="G1127" t="s">
        <v>246</v>
      </c>
      <c r="H1127" t="s">
        <v>246</v>
      </c>
      <c r="I1127" t="s">
        <v>682</v>
      </c>
      <c r="J1127" t="s">
        <v>89</v>
      </c>
      <c r="K1127" s="120" t="s">
        <v>3842</v>
      </c>
      <c r="N1127" s="49"/>
    </row>
    <row r="1128" spans="1:14">
      <c r="A1128" t="s">
        <v>3843</v>
      </c>
      <c r="B1128" t="s">
        <v>3844</v>
      </c>
      <c r="C1128" t="s">
        <v>531</v>
      </c>
      <c r="D1128" t="s">
        <v>98</v>
      </c>
      <c r="E1128">
        <f>_xlfn.XLOOKUP(D1128,'Resumen Estudiantes y Profesore'!B:B,'Resumen Estudiantes y Profesore'!A:A)</f>
        <v>44</v>
      </c>
      <c r="F1128" t="s">
        <v>244</v>
      </c>
      <c r="G1128" t="s">
        <v>246</v>
      </c>
      <c r="H1128" t="s">
        <v>246</v>
      </c>
      <c r="I1128" t="s">
        <v>674</v>
      </c>
      <c r="J1128" t="s">
        <v>77</v>
      </c>
      <c r="K1128" s="120" t="s">
        <v>3845</v>
      </c>
      <c r="N1128" s="49"/>
    </row>
    <row r="1129" spans="1:14">
      <c r="A1129" t="s">
        <v>3846</v>
      </c>
      <c r="B1129" t="s">
        <v>3847</v>
      </c>
      <c r="C1129" t="s">
        <v>454</v>
      </c>
      <c r="D1129" t="s">
        <v>183</v>
      </c>
      <c r="E1129">
        <f>_xlfn.XLOOKUP(D1129,'Resumen Estudiantes y Profesore'!B:B,'Resumen Estudiantes y Profesore'!A:A)</f>
        <v>51</v>
      </c>
      <c r="F1129" t="s">
        <v>244</v>
      </c>
      <c r="G1129" t="s">
        <v>247</v>
      </c>
      <c r="H1129" t="s">
        <v>247</v>
      </c>
      <c r="I1129" t="s">
        <v>674</v>
      </c>
      <c r="J1129" t="s">
        <v>83</v>
      </c>
      <c r="K1129" s="120" t="s">
        <v>3848</v>
      </c>
      <c r="N1129" s="49"/>
    </row>
    <row r="1130" spans="1:14">
      <c r="A1130" t="s">
        <v>3846</v>
      </c>
      <c r="B1130" t="s">
        <v>3849</v>
      </c>
      <c r="C1130" t="s">
        <v>426</v>
      </c>
      <c r="D1130" t="s">
        <v>23</v>
      </c>
      <c r="E1130">
        <f>_xlfn.XLOOKUP(D1130,'Resumen Estudiantes y Profesore'!B:B,'Resumen Estudiantes y Profesore'!A:A)</f>
        <v>26</v>
      </c>
      <c r="F1130" t="s">
        <v>244</v>
      </c>
      <c r="G1130" t="s">
        <v>247</v>
      </c>
      <c r="H1130" t="s">
        <v>247</v>
      </c>
      <c r="I1130" t="s">
        <v>682</v>
      </c>
      <c r="J1130" t="s">
        <v>83</v>
      </c>
      <c r="K1130" s="120" t="s">
        <v>3850</v>
      </c>
      <c r="N1130" s="49"/>
    </row>
    <row r="1131" spans="1:14">
      <c r="A1131" t="s">
        <v>3851</v>
      </c>
      <c r="B1131" t="s">
        <v>3852</v>
      </c>
      <c r="C1131" t="s">
        <v>530</v>
      </c>
      <c r="D1131" t="s">
        <v>199</v>
      </c>
      <c r="E1131">
        <f>_xlfn.XLOOKUP(D1131,'Resumen Estudiantes y Profesore'!B:B,'Resumen Estudiantes y Profesore'!A:A)</f>
        <v>49</v>
      </c>
      <c r="F1131" t="s">
        <v>244</v>
      </c>
      <c r="G1131" t="s">
        <v>246</v>
      </c>
      <c r="H1131" t="s">
        <v>246</v>
      </c>
      <c r="I1131" t="s">
        <v>674</v>
      </c>
      <c r="J1131" t="s">
        <v>77</v>
      </c>
      <c r="K1131" s="120" t="s">
        <v>3853</v>
      </c>
      <c r="N1131" s="49"/>
    </row>
    <row r="1132" spans="1:14">
      <c r="A1132" t="s">
        <v>3851</v>
      </c>
      <c r="B1132" t="s">
        <v>3854</v>
      </c>
      <c r="C1132" t="s">
        <v>237</v>
      </c>
      <c r="D1132" t="s">
        <v>237</v>
      </c>
      <c r="E1132">
        <f>_xlfn.XLOOKUP(D1132,'Resumen Estudiantes y Profesore'!B:B,'Resumen Estudiantes y Profesore'!A:A)</f>
        <v>156</v>
      </c>
      <c r="F1132" t="s">
        <v>244</v>
      </c>
      <c r="G1132" t="s">
        <v>246</v>
      </c>
      <c r="H1132" t="s">
        <v>246</v>
      </c>
      <c r="I1132" t="s">
        <v>682</v>
      </c>
      <c r="J1132" t="s">
        <v>77</v>
      </c>
      <c r="K1132" s="120" t="s">
        <v>3855</v>
      </c>
      <c r="N1132" s="49"/>
    </row>
    <row r="1133" spans="1:14">
      <c r="A1133" t="s">
        <v>3856</v>
      </c>
      <c r="B1133" t="s">
        <v>3857</v>
      </c>
      <c r="C1133" t="s">
        <v>475</v>
      </c>
      <c r="D1133" t="s">
        <v>205</v>
      </c>
      <c r="E1133">
        <f>_xlfn.XLOOKUP(D1133,'Resumen Estudiantes y Profesore'!B:B,'Resumen Estudiantes y Profesore'!A:A)</f>
        <v>80</v>
      </c>
      <c r="F1133" t="s">
        <v>244</v>
      </c>
      <c r="G1133" t="s">
        <v>246</v>
      </c>
      <c r="H1133" t="s">
        <v>246</v>
      </c>
      <c r="I1133" t="s">
        <v>674</v>
      </c>
      <c r="J1133" t="s">
        <v>91</v>
      </c>
      <c r="K1133" s="120" t="s">
        <v>3858</v>
      </c>
      <c r="N1133" s="49"/>
    </row>
    <row r="1134" spans="1:14">
      <c r="A1134" t="s">
        <v>3856</v>
      </c>
      <c r="B1134" t="s">
        <v>3859</v>
      </c>
      <c r="C1134" t="s">
        <v>453</v>
      </c>
      <c r="D1134" t="s">
        <v>39</v>
      </c>
      <c r="E1134">
        <f>_xlfn.XLOOKUP(D1134,'Resumen Estudiantes y Profesore'!B:B,'Resumen Estudiantes y Profesore'!A:A)</f>
        <v>43</v>
      </c>
      <c r="F1134" t="s">
        <v>244</v>
      </c>
      <c r="G1134" t="s">
        <v>246</v>
      </c>
      <c r="H1134" t="s">
        <v>246</v>
      </c>
      <c r="I1134" t="s">
        <v>682</v>
      </c>
      <c r="J1134" t="s">
        <v>91</v>
      </c>
      <c r="K1134" s="120" t="s">
        <v>3860</v>
      </c>
      <c r="N1134" s="49"/>
    </row>
    <row r="1135" spans="1:14">
      <c r="A1135" t="s">
        <v>3861</v>
      </c>
      <c r="B1135" t="s">
        <v>3862</v>
      </c>
      <c r="C1135" t="s">
        <v>478</v>
      </c>
      <c r="D1135" t="s">
        <v>200</v>
      </c>
      <c r="E1135">
        <f>_xlfn.XLOOKUP(D1135,'Resumen Estudiantes y Profesore'!B:B,'Resumen Estudiantes y Profesore'!A:A)</f>
        <v>46</v>
      </c>
      <c r="F1135" t="s">
        <v>244</v>
      </c>
      <c r="G1135" t="s">
        <v>246</v>
      </c>
      <c r="H1135" t="s">
        <v>246</v>
      </c>
      <c r="I1135" t="s">
        <v>674</v>
      </c>
      <c r="J1135" t="s">
        <v>77</v>
      </c>
      <c r="K1135" s="120" t="s">
        <v>3863</v>
      </c>
      <c r="N1135" s="49"/>
    </row>
    <row r="1136" spans="1:14">
      <c r="A1136" t="s">
        <v>3864</v>
      </c>
      <c r="B1136" t="s">
        <v>3865</v>
      </c>
      <c r="C1136" t="s">
        <v>510</v>
      </c>
      <c r="D1136" t="s">
        <v>140</v>
      </c>
      <c r="E1136">
        <f>_xlfn.XLOOKUP(D1136,'Resumen Estudiantes y Profesore'!B:B,'Resumen Estudiantes y Profesore'!A:A)</f>
        <v>111</v>
      </c>
      <c r="F1136" t="s">
        <v>244</v>
      </c>
      <c r="G1136" t="s">
        <v>246</v>
      </c>
      <c r="H1136" t="s">
        <v>247</v>
      </c>
      <c r="I1136" t="s">
        <v>674</v>
      </c>
      <c r="J1136" t="s">
        <v>138</v>
      </c>
      <c r="K1136" s="120" t="s">
        <v>3866</v>
      </c>
      <c r="N1136" s="49"/>
    </row>
    <row r="1137" spans="1:14">
      <c r="A1137" t="s">
        <v>3864</v>
      </c>
      <c r="B1137" t="s">
        <v>3867</v>
      </c>
      <c r="C1137" t="s">
        <v>541</v>
      </c>
      <c r="D1137" t="s">
        <v>164</v>
      </c>
      <c r="E1137">
        <f>_xlfn.XLOOKUP(D1137,'Resumen Estudiantes y Profesore'!B:B,'Resumen Estudiantes y Profesore'!A:A)</f>
        <v>126</v>
      </c>
      <c r="F1137" t="s">
        <v>244</v>
      </c>
      <c r="G1137" t="s">
        <v>247</v>
      </c>
      <c r="H1137" t="s">
        <v>247</v>
      </c>
      <c r="I1137" t="s">
        <v>674</v>
      </c>
      <c r="J1137" t="s">
        <v>138</v>
      </c>
      <c r="K1137" s="120" t="s">
        <v>3868</v>
      </c>
      <c r="N1137" s="49"/>
    </row>
    <row r="1138" spans="1:14">
      <c r="A1138" t="s">
        <v>3864</v>
      </c>
      <c r="B1138" t="s">
        <v>3869</v>
      </c>
      <c r="C1138" t="s">
        <v>513</v>
      </c>
      <c r="D1138" t="s">
        <v>146</v>
      </c>
      <c r="E1138">
        <f>_xlfn.XLOOKUP(D1138,'Resumen Estudiantes y Profesore'!B:B,'Resumen Estudiantes y Profesore'!A:A)</f>
        <v>113</v>
      </c>
      <c r="F1138" t="s">
        <v>244</v>
      </c>
      <c r="G1138" t="s">
        <v>246</v>
      </c>
      <c r="H1138" t="s">
        <v>247</v>
      </c>
      <c r="I1138" t="s">
        <v>674</v>
      </c>
      <c r="J1138" t="s">
        <v>138</v>
      </c>
      <c r="K1138" s="120" t="s">
        <v>3870</v>
      </c>
      <c r="N1138" s="49"/>
    </row>
    <row r="1139" spans="1:14">
      <c r="A1139" t="s">
        <v>3871</v>
      </c>
      <c r="B1139" t="s">
        <v>3872</v>
      </c>
      <c r="C1139" t="s">
        <v>2552</v>
      </c>
      <c r="D1139" t="s">
        <v>206</v>
      </c>
      <c r="E1139">
        <f>_xlfn.XLOOKUP(D1139,'Resumen Estudiantes y Profesore'!B:B,'Resumen Estudiantes y Profesore'!A:A)</f>
        <v>205</v>
      </c>
      <c r="F1139" t="s">
        <v>244</v>
      </c>
      <c r="G1139" t="s">
        <v>247</v>
      </c>
      <c r="H1139" t="s">
        <v>247</v>
      </c>
      <c r="I1139" t="s">
        <v>674</v>
      </c>
      <c r="J1139" t="s">
        <v>91</v>
      </c>
      <c r="K1139" s="120" t="s">
        <v>3873</v>
      </c>
      <c r="N1139" s="49"/>
    </row>
    <row r="1140" spans="1:14">
      <c r="A1140" t="s">
        <v>3874</v>
      </c>
      <c r="B1140" t="s">
        <v>3875</v>
      </c>
      <c r="C1140" t="s">
        <v>453</v>
      </c>
      <c r="D1140" t="s">
        <v>39</v>
      </c>
      <c r="E1140">
        <f>_xlfn.XLOOKUP(D1140,'Resumen Estudiantes y Profesore'!B:B,'Resumen Estudiantes y Profesore'!A:A)</f>
        <v>43</v>
      </c>
      <c r="F1140" t="s">
        <v>244</v>
      </c>
      <c r="G1140" t="s">
        <v>246</v>
      </c>
      <c r="H1140" t="s">
        <v>246</v>
      </c>
      <c r="I1140" t="s">
        <v>682</v>
      </c>
      <c r="J1140" t="s">
        <v>91</v>
      </c>
      <c r="K1140" s="120" t="s">
        <v>3876</v>
      </c>
      <c r="N1140" s="49"/>
    </row>
    <row r="1141" spans="1:14">
      <c r="A1141" t="s">
        <v>3877</v>
      </c>
      <c r="B1141" t="s">
        <v>3878</v>
      </c>
      <c r="C1141" t="s">
        <v>467</v>
      </c>
      <c r="D1141" t="s">
        <v>203</v>
      </c>
      <c r="E1141">
        <f>_xlfn.XLOOKUP(D1141,'Resumen Estudiantes y Profesore'!B:B,'Resumen Estudiantes y Profesore'!A:A)</f>
        <v>69</v>
      </c>
      <c r="F1141" t="s">
        <v>244</v>
      </c>
      <c r="G1141" t="s">
        <v>246</v>
      </c>
      <c r="H1141" t="s">
        <v>246</v>
      </c>
      <c r="I1141" t="s">
        <v>674</v>
      </c>
      <c r="J1141" t="s">
        <v>88</v>
      </c>
      <c r="K1141" s="120" t="s">
        <v>3879</v>
      </c>
      <c r="N1141" s="49"/>
    </row>
    <row r="1142" spans="1:14">
      <c r="A1142" t="s">
        <v>3880</v>
      </c>
      <c r="B1142" t="s">
        <v>3881</v>
      </c>
      <c r="C1142" t="s">
        <v>531</v>
      </c>
      <c r="D1142" t="s">
        <v>98</v>
      </c>
      <c r="E1142">
        <f>_xlfn.XLOOKUP(D1142,'Resumen Estudiantes y Profesore'!B:B,'Resumen Estudiantes y Profesore'!A:A)</f>
        <v>44</v>
      </c>
      <c r="F1142" t="s">
        <v>244</v>
      </c>
      <c r="G1142" t="s">
        <v>246</v>
      </c>
      <c r="H1142" t="s">
        <v>246</v>
      </c>
      <c r="I1142" t="s">
        <v>674</v>
      </c>
      <c r="J1142" t="s">
        <v>77</v>
      </c>
      <c r="K1142" s="120" t="s">
        <v>3882</v>
      </c>
      <c r="N1142" s="49"/>
    </row>
    <row r="1143" spans="1:14">
      <c r="A1143" t="s">
        <v>3880</v>
      </c>
      <c r="B1143" t="s">
        <v>3883</v>
      </c>
      <c r="C1143" t="s">
        <v>478</v>
      </c>
      <c r="D1143" t="s">
        <v>200</v>
      </c>
      <c r="E1143">
        <f>_xlfn.XLOOKUP(D1143,'Resumen Estudiantes y Profesore'!B:B,'Resumen Estudiantes y Profesore'!A:A)</f>
        <v>46</v>
      </c>
      <c r="F1143" t="s">
        <v>244</v>
      </c>
      <c r="G1143" t="s">
        <v>246</v>
      </c>
      <c r="H1143" t="s">
        <v>246</v>
      </c>
      <c r="I1143" t="s">
        <v>674</v>
      </c>
      <c r="J1143" t="s">
        <v>77</v>
      </c>
      <c r="K1143" s="120" t="s">
        <v>3884</v>
      </c>
      <c r="N1143" s="49"/>
    </row>
    <row r="1144" spans="1:14">
      <c r="A1144" t="s">
        <v>3880</v>
      </c>
      <c r="B1144" t="s">
        <v>3885</v>
      </c>
      <c r="C1144" t="s">
        <v>417</v>
      </c>
      <c r="D1144" t="s">
        <v>231</v>
      </c>
      <c r="E1144">
        <f>_xlfn.XLOOKUP(D1144,'Resumen Estudiantes y Profesore'!B:B,'Resumen Estudiantes y Profesore'!A:A)</f>
        <v>150</v>
      </c>
      <c r="F1144" t="s">
        <v>244</v>
      </c>
      <c r="G1144" t="s">
        <v>246</v>
      </c>
      <c r="H1144" t="s">
        <v>246</v>
      </c>
      <c r="I1144" t="s">
        <v>682</v>
      </c>
      <c r="J1144" t="s">
        <v>77</v>
      </c>
      <c r="K1144" s="120" t="s">
        <v>3886</v>
      </c>
      <c r="N1144" s="49"/>
    </row>
    <row r="1145" spans="1:14">
      <c r="A1145" t="s">
        <v>3887</v>
      </c>
      <c r="B1145" t="s">
        <v>3888</v>
      </c>
      <c r="C1145" t="s">
        <v>437</v>
      </c>
      <c r="D1145" t="s">
        <v>30</v>
      </c>
      <c r="E1145">
        <f>_xlfn.XLOOKUP(D1145,'Resumen Estudiantes y Profesore'!B:B,'Resumen Estudiantes y Profesore'!A:A)</f>
        <v>34</v>
      </c>
      <c r="F1145" t="s">
        <v>244</v>
      </c>
      <c r="G1145" t="s">
        <v>246</v>
      </c>
      <c r="H1145" t="s">
        <v>246</v>
      </c>
      <c r="I1145" t="s">
        <v>682</v>
      </c>
      <c r="J1145" t="s">
        <v>87</v>
      </c>
      <c r="K1145" s="120" t="s">
        <v>3889</v>
      </c>
      <c r="N1145" s="49"/>
    </row>
    <row r="1146" spans="1:14">
      <c r="A1146" t="s">
        <v>3890</v>
      </c>
      <c r="B1146" t="s">
        <v>3891</v>
      </c>
      <c r="C1146" t="s">
        <v>93</v>
      </c>
      <c r="D1146" t="s">
        <v>93</v>
      </c>
      <c r="E1146">
        <f>_xlfn.XLOOKUP(D1146,'Resumen Estudiantes y Profesore'!B:B,'Resumen Estudiantes y Profesore'!A:A)</f>
        <v>210</v>
      </c>
      <c r="F1146" t="s">
        <v>244</v>
      </c>
      <c r="G1146" t="s">
        <v>246</v>
      </c>
      <c r="H1146" t="s">
        <v>246</v>
      </c>
      <c r="I1146" t="s">
        <v>682</v>
      </c>
      <c r="J1146" t="s">
        <v>93</v>
      </c>
      <c r="K1146" s="120" t="s">
        <v>3892</v>
      </c>
      <c r="N1146" s="49"/>
    </row>
    <row r="1147" spans="1:14">
      <c r="A1147" t="s">
        <v>3893</v>
      </c>
      <c r="B1147" t="s">
        <v>3894</v>
      </c>
      <c r="C1147" t="s">
        <v>463</v>
      </c>
      <c r="D1147" t="s">
        <v>191</v>
      </c>
      <c r="E1147">
        <f>_xlfn.XLOOKUP(D1147,'Resumen Estudiantes y Profesore'!B:B,'Resumen Estudiantes y Profesore'!A:A)</f>
        <v>61</v>
      </c>
      <c r="F1147" t="s">
        <v>244</v>
      </c>
      <c r="G1147" t="s">
        <v>247</v>
      </c>
      <c r="H1147" t="s">
        <v>247</v>
      </c>
      <c r="I1147" t="s">
        <v>674</v>
      </c>
      <c r="J1147" t="s">
        <v>85</v>
      </c>
      <c r="K1147" s="120" t="s">
        <v>3895</v>
      </c>
      <c r="N1147" s="49"/>
    </row>
    <row r="1148" spans="1:14">
      <c r="A1148" t="s">
        <v>3896</v>
      </c>
      <c r="B1148" t="s">
        <v>3897</v>
      </c>
      <c r="C1148" t="s">
        <v>93</v>
      </c>
      <c r="D1148" t="s">
        <v>93</v>
      </c>
      <c r="E1148">
        <f>_xlfn.XLOOKUP(D1148,'Resumen Estudiantes y Profesore'!B:B,'Resumen Estudiantes y Profesore'!A:A)</f>
        <v>210</v>
      </c>
      <c r="F1148" t="s">
        <v>244</v>
      </c>
      <c r="G1148" t="s">
        <v>246</v>
      </c>
      <c r="H1148" t="s">
        <v>246</v>
      </c>
      <c r="I1148" t="s">
        <v>682</v>
      </c>
      <c r="J1148" t="s">
        <v>93</v>
      </c>
      <c r="K1148" s="120" t="s">
        <v>3898</v>
      </c>
      <c r="N1148" s="49"/>
    </row>
    <row r="1149" spans="1:14">
      <c r="A1149" t="s">
        <v>3899</v>
      </c>
      <c r="B1149" t="s">
        <v>3900</v>
      </c>
      <c r="C1149" t="s">
        <v>99</v>
      </c>
      <c r="D1149" t="s">
        <v>99</v>
      </c>
      <c r="E1149">
        <f>_xlfn.XLOOKUP(D1149,'Resumen Estudiantes y Profesore'!B:B,'Resumen Estudiantes y Profesore'!A:A)</f>
        <v>70</v>
      </c>
      <c r="F1149" t="s">
        <v>244</v>
      </c>
      <c r="G1149" t="s">
        <v>247</v>
      </c>
      <c r="H1149" t="s">
        <v>247</v>
      </c>
      <c r="I1149" t="s">
        <v>674</v>
      </c>
      <c r="J1149" t="s">
        <v>89</v>
      </c>
      <c r="K1149" s="120" t="s">
        <v>3901</v>
      </c>
      <c r="N1149" s="49"/>
    </row>
    <row r="1150" spans="1:14">
      <c r="A1150" t="s">
        <v>3899</v>
      </c>
      <c r="B1150" t="s">
        <v>3902</v>
      </c>
      <c r="C1150" t="s">
        <v>469</v>
      </c>
      <c r="D1150" t="s">
        <v>179</v>
      </c>
      <c r="E1150">
        <f>_xlfn.XLOOKUP(D1150,'Resumen Estudiantes y Profesore'!B:B,'Resumen Estudiantes y Profesore'!A:A)</f>
        <v>73</v>
      </c>
      <c r="F1150" t="s">
        <v>244</v>
      </c>
      <c r="G1150" t="s">
        <v>246</v>
      </c>
      <c r="H1150" t="s">
        <v>246</v>
      </c>
      <c r="I1150" t="s">
        <v>674</v>
      </c>
      <c r="J1150" t="s">
        <v>89</v>
      </c>
      <c r="K1150" s="120" t="s">
        <v>3903</v>
      </c>
      <c r="N1150" s="49"/>
    </row>
    <row r="1151" spans="1:14">
      <c r="A1151" t="s">
        <v>3899</v>
      </c>
      <c r="B1151" t="s">
        <v>3904</v>
      </c>
      <c r="C1151" t="s">
        <v>446</v>
      </c>
      <c r="D1151" t="s">
        <v>34</v>
      </c>
      <c r="E1151">
        <f>_xlfn.XLOOKUP(D1151,'Resumen Estudiantes y Profesore'!B:B,'Resumen Estudiantes y Profesore'!A:A)</f>
        <v>39</v>
      </c>
      <c r="F1151" t="s">
        <v>244</v>
      </c>
      <c r="G1151" t="s">
        <v>246</v>
      </c>
      <c r="H1151" t="s">
        <v>246</v>
      </c>
      <c r="I1151" t="s">
        <v>682</v>
      </c>
      <c r="J1151" t="s">
        <v>89</v>
      </c>
      <c r="K1151" s="120" t="s">
        <v>3905</v>
      </c>
      <c r="N1151" s="49"/>
    </row>
    <row r="1152" spans="1:14">
      <c r="A1152" t="s">
        <v>3906</v>
      </c>
      <c r="B1152" t="s">
        <v>3907</v>
      </c>
      <c r="C1152" t="s">
        <v>451</v>
      </c>
      <c r="D1152" t="s">
        <v>38</v>
      </c>
      <c r="E1152">
        <f>_xlfn.XLOOKUP(D1152,'Resumen Estudiantes y Profesore'!B:B,'Resumen Estudiantes y Profesore'!A:A)</f>
        <v>42</v>
      </c>
      <c r="F1152" t="s">
        <v>244</v>
      </c>
      <c r="G1152" t="s">
        <v>246</v>
      </c>
      <c r="H1152" t="s">
        <v>246</v>
      </c>
      <c r="I1152" t="s">
        <v>682</v>
      </c>
      <c r="J1152" t="s">
        <v>90</v>
      </c>
      <c r="K1152" s="120" t="s">
        <v>3908</v>
      </c>
      <c r="N1152" s="49"/>
    </row>
    <row r="1153" spans="1:14">
      <c r="A1153" t="s">
        <v>3909</v>
      </c>
      <c r="B1153" t="s">
        <v>3910</v>
      </c>
      <c r="C1153" t="s">
        <v>495</v>
      </c>
      <c r="D1153" t="s">
        <v>121</v>
      </c>
      <c r="E1153">
        <f>_xlfn.XLOOKUP(D1153,'Resumen Estudiantes y Profesore'!B:B,'Resumen Estudiantes y Profesore'!A:A)</f>
        <v>10</v>
      </c>
      <c r="F1153" t="s">
        <v>244</v>
      </c>
      <c r="G1153" t="s">
        <v>246</v>
      </c>
      <c r="H1153" t="s">
        <v>246</v>
      </c>
      <c r="I1153" t="s">
        <v>674</v>
      </c>
      <c r="J1153" t="s">
        <v>90</v>
      </c>
      <c r="K1153" s="120" t="s">
        <v>3911</v>
      </c>
      <c r="N1153" s="49"/>
    </row>
    <row r="1154" spans="1:14">
      <c r="A1154" t="s">
        <v>3909</v>
      </c>
      <c r="B1154" t="s">
        <v>3912</v>
      </c>
      <c r="C1154" t="s">
        <v>451</v>
      </c>
      <c r="D1154" t="s">
        <v>38</v>
      </c>
      <c r="E1154">
        <f>_xlfn.XLOOKUP(D1154,'Resumen Estudiantes y Profesore'!B:B,'Resumen Estudiantes y Profesore'!A:A)</f>
        <v>42</v>
      </c>
      <c r="F1154" t="s">
        <v>244</v>
      </c>
      <c r="G1154" t="s">
        <v>246</v>
      </c>
      <c r="H1154" t="s">
        <v>246</v>
      </c>
      <c r="I1154" t="s">
        <v>682</v>
      </c>
      <c r="J1154" t="s">
        <v>90</v>
      </c>
      <c r="K1154" s="120" t="s">
        <v>3913</v>
      </c>
      <c r="N1154" s="49"/>
    </row>
    <row r="1155" spans="1:14">
      <c r="A1155" t="s">
        <v>3914</v>
      </c>
      <c r="B1155" t="s">
        <v>3915</v>
      </c>
      <c r="C1155" t="s">
        <v>499</v>
      </c>
      <c r="D1155" t="s">
        <v>103</v>
      </c>
      <c r="E1155">
        <f>_xlfn.XLOOKUP(D1155,'Resumen Estudiantes y Profesore'!B:B,'Resumen Estudiantes y Profesore'!A:A)</f>
        <v>58</v>
      </c>
      <c r="F1155" t="s">
        <v>244</v>
      </c>
      <c r="G1155" t="s">
        <v>246</v>
      </c>
      <c r="H1155" t="s">
        <v>246</v>
      </c>
      <c r="I1155" t="s">
        <v>674</v>
      </c>
      <c r="J1155" t="s">
        <v>85</v>
      </c>
      <c r="K1155" s="120" t="s">
        <v>3916</v>
      </c>
      <c r="N1155" s="49"/>
    </row>
    <row r="1156" spans="1:14">
      <c r="A1156" t="s">
        <v>3917</v>
      </c>
      <c r="B1156" t="s">
        <v>3918</v>
      </c>
      <c r="C1156" t="s">
        <v>503</v>
      </c>
      <c r="D1156" t="s">
        <v>133</v>
      </c>
      <c r="E1156">
        <f>_xlfn.XLOOKUP(D1156,'Resumen Estudiantes y Profesore'!B:B,'Resumen Estudiantes y Profesore'!A:A)</f>
        <v>101</v>
      </c>
      <c r="F1156" t="s">
        <v>244</v>
      </c>
      <c r="G1156" t="s">
        <v>247</v>
      </c>
      <c r="H1156" t="s">
        <v>247</v>
      </c>
      <c r="I1156" t="s">
        <v>674</v>
      </c>
      <c r="J1156" t="s">
        <v>84</v>
      </c>
      <c r="K1156" s="120" t="s">
        <v>3919</v>
      </c>
      <c r="N1156" s="49"/>
    </row>
    <row r="1157" spans="1:14">
      <c r="A1157" t="s">
        <v>3917</v>
      </c>
      <c r="B1157" t="s">
        <v>3920</v>
      </c>
      <c r="C1157" t="s">
        <v>431</v>
      </c>
      <c r="D1157" t="s">
        <v>27</v>
      </c>
      <c r="E1157">
        <f>_xlfn.XLOOKUP(D1157,'Resumen Estudiantes y Profesore'!B:B,'Resumen Estudiantes y Profesore'!A:A)</f>
        <v>30</v>
      </c>
      <c r="F1157" t="s">
        <v>244</v>
      </c>
      <c r="G1157" t="s">
        <v>246</v>
      </c>
      <c r="H1157" t="s">
        <v>246</v>
      </c>
      <c r="I1157" t="s">
        <v>682</v>
      </c>
      <c r="J1157" t="s">
        <v>84</v>
      </c>
      <c r="K1157" s="120" t="s">
        <v>3921</v>
      </c>
      <c r="N1157" s="49"/>
    </row>
    <row r="1158" spans="1:14">
      <c r="A1158" t="s">
        <v>3922</v>
      </c>
      <c r="B1158" t="s">
        <v>3923</v>
      </c>
      <c r="C1158" t="s">
        <v>95</v>
      </c>
      <c r="D1158" t="s">
        <v>251</v>
      </c>
      <c r="E1158">
        <f>_xlfn.XLOOKUP(D1158,'Resumen Estudiantes y Profesore'!B:B,'Resumen Estudiantes y Profesore'!A:A)</f>
        <v>211</v>
      </c>
      <c r="F1158" t="s">
        <v>244</v>
      </c>
      <c r="G1158" t="s">
        <v>246</v>
      </c>
      <c r="H1158" t="s">
        <v>246</v>
      </c>
      <c r="I1158" t="s">
        <v>682</v>
      </c>
      <c r="J1158" t="s">
        <v>95</v>
      </c>
      <c r="K1158" s="120" t="s">
        <v>3924</v>
      </c>
      <c r="N1158" s="49"/>
    </row>
    <row r="1159" spans="1:14">
      <c r="A1159" t="s">
        <v>3925</v>
      </c>
      <c r="B1159" t="s">
        <v>3926</v>
      </c>
      <c r="C1159" t="s">
        <v>444</v>
      </c>
      <c r="D1159" t="s">
        <v>33</v>
      </c>
      <c r="E1159">
        <f>_xlfn.XLOOKUP(D1159,'Resumen Estudiantes y Profesore'!B:B,'Resumen Estudiantes y Profesore'!A:A)</f>
        <v>38</v>
      </c>
      <c r="F1159" t="s">
        <v>244</v>
      </c>
      <c r="G1159" t="s">
        <v>246</v>
      </c>
      <c r="H1159" t="s">
        <v>246</v>
      </c>
      <c r="I1159" t="s">
        <v>682</v>
      </c>
      <c r="J1159" t="s">
        <v>89</v>
      </c>
      <c r="K1159" s="120" t="s">
        <v>3927</v>
      </c>
      <c r="N1159" s="49"/>
    </row>
    <row r="1160" spans="1:14">
      <c r="A1160" t="s">
        <v>3928</v>
      </c>
      <c r="B1160" t="s">
        <v>3929</v>
      </c>
      <c r="C1160" t="s">
        <v>430</v>
      </c>
      <c r="D1160" t="s">
        <v>26</v>
      </c>
      <c r="E1160">
        <f>_xlfn.XLOOKUP(D1160,'Resumen Estudiantes y Profesore'!B:B,'Resumen Estudiantes y Profesore'!A:A)</f>
        <v>29</v>
      </c>
      <c r="F1160" t="s">
        <v>244</v>
      </c>
      <c r="G1160" t="s">
        <v>246</v>
      </c>
      <c r="H1160" t="s">
        <v>246</v>
      </c>
      <c r="I1160" t="s">
        <v>682</v>
      </c>
      <c r="J1160" t="s">
        <v>84</v>
      </c>
      <c r="K1160" s="120" t="s">
        <v>3930</v>
      </c>
      <c r="N1160" s="49"/>
    </row>
    <row r="1161" spans="1:14">
      <c r="A1161" t="s">
        <v>3931</v>
      </c>
      <c r="B1161" t="s">
        <v>3932</v>
      </c>
      <c r="C1161" t="s">
        <v>505</v>
      </c>
      <c r="D1161" t="s">
        <v>153</v>
      </c>
      <c r="E1161">
        <f>_xlfn.XLOOKUP(D1161,'Resumen Estudiantes y Profesore'!B:B,'Resumen Estudiantes y Profesore'!A:A)</f>
        <v>104</v>
      </c>
      <c r="F1161" t="s">
        <v>244</v>
      </c>
      <c r="G1161" t="s">
        <v>246</v>
      </c>
      <c r="H1161" t="s">
        <v>246</v>
      </c>
      <c r="I1161" t="s">
        <v>674</v>
      </c>
      <c r="J1161" t="s">
        <v>87</v>
      </c>
      <c r="K1161" s="120" t="s">
        <v>3933</v>
      </c>
      <c r="N1161" s="49"/>
    </row>
    <row r="1162" spans="1:14">
      <c r="A1162" t="s">
        <v>3931</v>
      </c>
      <c r="B1162" t="s">
        <v>3934</v>
      </c>
      <c r="C1162" t="s">
        <v>465</v>
      </c>
      <c r="D1162" t="s">
        <v>197</v>
      </c>
      <c r="E1162">
        <f>_xlfn.XLOOKUP(D1162,'Resumen Estudiantes y Profesore'!B:B,'Resumen Estudiantes y Profesore'!A:A)</f>
        <v>67</v>
      </c>
      <c r="F1162" t="s">
        <v>244</v>
      </c>
      <c r="G1162" t="s">
        <v>246</v>
      </c>
      <c r="H1162" t="s">
        <v>246</v>
      </c>
      <c r="I1162" t="s">
        <v>674</v>
      </c>
      <c r="J1162" t="s">
        <v>87</v>
      </c>
      <c r="K1162" s="120" t="s">
        <v>3935</v>
      </c>
      <c r="N1162" s="49"/>
    </row>
    <row r="1163" spans="1:14">
      <c r="A1163" t="s">
        <v>3931</v>
      </c>
      <c r="B1163" t="s">
        <v>3936</v>
      </c>
      <c r="C1163" t="s">
        <v>436</v>
      </c>
      <c r="D1163" t="s">
        <v>29</v>
      </c>
      <c r="E1163">
        <f>_xlfn.XLOOKUP(D1163,'Resumen Estudiantes y Profesore'!B:B,'Resumen Estudiantes y Profesore'!A:A)</f>
        <v>33</v>
      </c>
      <c r="F1163" t="s">
        <v>244</v>
      </c>
      <c r="G1163" t="s">
        <v>246</v>
      </c>
      <c r="H1163" t="s">
        <v>246</v>
      </c>
      <c r="I1163" t="s">
        <v>682</v>
      </c>
      <c r="J1163" t="s">
        <v>87</v>
      </c>
      <c r="K1163" s="120" t="s">
        <v>3937</v>
      </c>
      <c r="N1163" s="49"/>
    </row>
    <row r="1164" spans="1:14">
      <c r="A1164" t="s">
        <v>3938</v>
      </c>
      <c r="B1164" t="s">
        <v>3939</v>
      </c>
      <c r="C1164" t="s">
        <v>93</v>
      </c>
      <c r="D1164" t="s">
        <v>93</v>
      </c>
      <c r="E1164">
        <f>_xlfn.XLOOKUP(D1164,'Resumen Estudiantes y Profesore'!B:B,'Resumen Estudiantes y Profesore'!A:A)</f>
        <v>210</v>
      </c>
      <c r="F1164" t="s">
        <v>244</v>
      </c>
      <c r="G1164" t="s">
        <v>246</v>
      </c>
      <c r="H1164" t="s">
        <v>246</v>
      </c>
      <c r="I1164" t="s">
        <v>682</v>
      </c>
      <c r="J1164" t="s">
        <v>93</v>
      </c>
      <c r="K1164" s="120" t="s">
        <v>3940</v>
      </c>
      <c r="N1164" s="49"/>
    </row>
    <row r="1165" spans="1:14">
      <c r="A1165" t="s">
        <v>3941</v>
      </c>
      <c r="B1165" t="s">
        <v>3942</v>
      </c>
      <c r="C1165" t="s">
        <v>99</v>
      </c>
      <c r="D1165" t="s">
        <v>99</v>
      </c>
      <c r="E1165">
        <f>_xlfn.XLOOKUP(D1165,'Resumen Estudiantes y Profesore'!B:B,'Resumen Estudiantes y Profesore'!A:A)</f>
        <v>70</v>
      </c>
      <c r="F1165" t="s">
        <v>244</v>
      </c>
      <c r="G1165" t="s">
        <v>247</v>
      </c>
      <c r="H1165" t="s">
        <v>247</v>
      </c>
      <c r="I1165" t="s">
        <v>674</v>
      </c>
      <c r="J1165" t="s">
        <v>89</v>
      </c>
      <c r="K1165" s="120" t="s">
        <v>3943</v>
      </c>
      <c r="N1165" s="49"/>
    </row>
    <row r="1166" spans="1:14">
      <c r="A1166" t="s">
        <v>3941</v>
      </c>
      <c r="B1166" t="s">
        <v>3944</v>
      </c>
      <c r="C1166" t="s">
        <v>451</v>
      </c>
      <c r="D1166" t="s">
        <v>38</v>
      </c>
      <c r="E1166">
        <f>_xlfn.XLOOKUP(D1166,'Resumen Estudiantes y Profesore'!B:B,'Resumen Estudiantes y Profesore'!A:A)</f>
        <v>42</v>
      </c>
      <c r="F1166" t="s">
        <v>244</v>
      </c>
      <c r="G1166" t="s">
        <v>246</v>
      </c>
      <c r="H1166" t="s">
        <v>246</v>
      </c>
      <c r="I1166" t="s">
        <v>682</v>
      </c>
      <c r="J1166" t="s">
        <v>90</v>
      </c>
      <c r="K1166" s="120" t="s">
        <v>3945</v>
      </c>
      <c r="N1166" s="49"/>
    </row>
    <row r="1167" spans="1:14">
      <c r="A1167" t="s">
        <v>3946</v>
      </c>
      <c r="B1167" t="s">
        <v>3947</v>
      </c>
      <c r="C1167" t="s">
        <v>419</v>
      </c>
      <c r="D1167" t="s">
        <v>233</v>
      </c>
      <c r="E1167">
        <f>_xlfn.XLOOKUP(D1167,'Resumen Estudiantes y Profesore'!B:B,'Resumen Estudiantes y Profesore'!A:A)</f>
        <v>152</v>
      </c>
      <c r="F1167" t="s">
        <v>244</v>
      </c>
      <c r="G1167" t="s">
        <v>246</v>
      </c>
      <c r="H1167" t="s">
        <v>246</v>
      </c>
      <c r="I1167" t="s">
        <v>682</v>
      </c>
      <c r="J1167" t="s">
        <v>77</v>
      </c>
      <c r="K1167" s="120" t="s">
        <v>3948</v>
      </c>
      <c r="N1167" s="49"/>
    </row>
    <row r="1168" spans="1:14">
      <c r="A1168" t="s">
        <v>3949</v>
      </c>
      <c r="B1168" t="s">
        <v>3950</v>
      </c>
      <c r="C1168" t="s">
        <v>446</v>
      </c>
      <c r="D1168" t="s">
        <v>34</v>
      </c>
      <c r="E1168">
        <f>_xlfn.XLOOKUP(D1168,'Resumen Estudiantes y Profesore'!B:B,'Resumen Estudiantes y Profesore'!A:A)</f>
        <v>39</v>
      </c>
      <c r="F1168" t="s">
        <v>244</v>
      </c>
      <c r="G1168" t="s">
        <v>246</v>
      </c>
      <c r="H1168" t="s">
        <v>246</v>
      </c>
      <c r="I1168" t="s">
        <v>682</v>
      </c>
      <c r="J1168" t="s">
        <v>89</v>
      </c>
      <c r="K1168" s="120" t="s">
        <v>3951</v>
      </c>
      <c r="N1168" s="49"/>
    </row>
    <row r="1169" spans="1:14">
      <c r="A1169" t="s">
        <v>3952</v>
      </c>
      <c r="B1169" t="s">
        <v>3953</v>
      </c>
      <c r="C1169" t="s">
        <v>469</v>
      </c>
      <c r="D1169" t="s">
        <v>179</v>
      </c>
      <c r="E1169">
        <f>_xlfn.XLOOKUP(D1169,'Resumen Estudiantes y Profesore'!B:B,'Resumen Estudiantes y Profesore'!A:A)</f>
        <v>73</v>
      </c>
      <c r="F1169" t="s">
        <v>244</v>
      </c>
      <c r="G1169" t="s">
        <v>246</v>
      </c>
      <c r="H1169" t="s">
        <v>246</v>
      </c>
      <c r="I1169" t="s">
        <v>674</v>
      </c>
      <c r="J1169" t="s">
        <v>89</v>
      </c>
      <c r="K1169" s="120" t="s">
        <v>3954</v>
      </c>
      <c r="N1169" s="49"/>
    </row>
    <row r="1170" spans="1:14">
      <c r="A1170" t="s">
        <v>3952</v>
      </c>
      <c r="B1170" t="s">
        <v>3955</v>
      </c>
      <c r="C1170" t="s">
        <v>444</v>
      </c>
      <c r="D1170" t="s">
        <v>33</v>
      </c>
      <c r="E1170">
        <f>_xlfn.XLOOKUP(D1170,'Resumen Estudiantes y Profesore'!B:B,'Resumen Estudiantes y Profesore'!A:A)</f>
        <v>38</v>
      </c>
      <c r="F1170" t="s">
        <v>244</v>
      </c>
      <c r="G1170" t="s">
        <v>246</v>
      </c>
      <c r="H1170" t="s">
        <v>246</v>
      </c>
      <c r="I1170" t="s">
        <v>682</v>
      </c>
      <c r="J1170" t="s">
        <v>89</v>
      </c>
      <c r="K1170" s="120" t="s">
        <v>3956</v>
      </c>
      <c r="N1170" s="49"/>
    </row>
    <row r="1171" spans="1:14">
      <c r="A1171" t="s">
        <v>3957</v>
      </c>
      <c r="B1171" t="s">
        <v>3958</v>
      </c>
      <c r="C1171" t="s">
        <v>431</v>
      </c>
      <c r="D1171" t="s">
        <v>27</v>
      </c>
      <c r="E1171">
        <f>_xlfn.XLOOKUP(D1171,'Resumen Estudiantes y Profesore'!B:B,'Resumen Estudiantes y Profesore'!A:A)</f>
        <v>30</v>
      </c>
      <c r="F1171" t="s">
        <v>244</v>
      </c>
      <c r="G1171" t="s">
        <v>246</v>
      </c>
      <c r="H1171" t="s">
        <v>246</v>
      </c>
      <c r="I1171" t="s">
        <v>682</v>
      </c>
      <c r="J1171" t="s">
        <v>84</v>
      </c>
      <c r="K1171" s="120" t="s">
        <v>3959</v>
      </c>
      <c r="N1171" s="49"/>
    </row>
    <row r="1172" spans="1:14">
      <c r="A1172" t="s">
        <v>3960</v>
      </c>
      <c r="B1172" t="s">
        <v>3961</v>
      </c>
      <c r="C1172" t="s">
        <v>538</v>
      </c>
      <c r="D1172" t="s">
        <v>105</v>
      </c>
      <c r="E1172">
        <f>_xlfn.XLOOKUP(D1172,'Resumen Estudiantes y Profesore'!B:B,'Resumen Estudiantes y Profesore'!A:A)</f>
        <v>72</v>
      </c>
      <c r="F1172" t="s">
        <v>244</v>
      </c>
      <c r="G1172" t="s">
        <v>246</v>
      </c>
      <c r="H1172" t="s">
        <v>246</v>
      </c>
      <c r="I1172" t="s">
        <v>674</v>
      </c>
      <c r="J1172" t="s">
        <v>89</v>
      </c>
      <c r="K1172" s="120" t="s">
        <v>3962</v>
      </c>
      <c r="N1172" s="49"/>
    </row>
    <row r="1173" spans="1:14">
      <c r="A1173" t="s">
        <v>3960</v>
      </c>
      <c r="B1173" t="s">
        <v>3963</v>
      </c>
      <c r="C1173" t="s">
        <v>448</v>
      </c>
      <c r="D1173" t="s">
        <v>35</v>
      </c>
      <c r="E1173">
        <f>_xlfn.XLOOKUP(D1173,'Resumen Estudiantes y Profesore'!B:B,'Resumen Estudiantes y Profesore'!A:A)</f>
        <v>40</v>
      </c>
      <c r="F1173" t="s">
        <v>244</v>
      </c>
      <c r="G1173" t="s">
        <v>246</v>
      </c>
      <c r="H1173" t="s">
        <v>246</v>
      </c>
      <c r="I1173" t="s">
        <v>682</v>
      </c>
      <c r="J1173" t="s">
        <v>89</v>
      </c>
      <c r="K1173" s="120" t="s">
        <v>3964</v>
      </c>
      <c r="N1173" s="49"/>
    </row>
    <row r="1174" spans="1:14">
      <c r="A1174" t="s">
        <v>3965</v>
      </c>
      <c r="B1174" t="s">
        <v>3966</v>
      </c>
      <c r="C1174" t="s">
        <v>448</v>
      </c>
      <c r="D1174" t="s">
        <v>35</v>
      </c>
      <c r="E1174">
        <f>_xlfn.XLOOKUP(D1174,'Resumen Estudiantes y Profesore'!B:B,'Resumen Estudiantes y Profesore'!A:A)</f>
        <v>40</v>
      </c>
      <c r="F1174" t="s">
        <v>244</v>
      </c>
      <c r="G1174" t="s">
        <v>246</v>
      </c>
      <c r="H1174" t="s">
        <v>246</v>
      </c>
      <c r="I1174" t="s">
        <v>682</v>
      </c>
      <c r="J1174" t="s">
        <v>89</v>
      </c>
      <c r="K1174" s="120" t="s">
        <v>3967</v>
      </c>
      <c r="N1174" s="49"/>
    </row>
    <row r="1175" spans="1:14">
      <c r="A1175" t="s">
        <v>3968</v>
      </c>
      <c r="B1175" t="s">
        <v>3969</v>
      </c>
      <c r="C1175" t="s">
        <v>507</v>
      </c>
      <c r="D1175" t="s">
        <v>151</v>
      </c>
      <c r="E1175">
        <f>_xlfn.XLOOKUP(D1175,'Resumen Estudiantes y Profesore'!B:B,'Resumen Estudiantes y Profesore'!A:A)</f>
        <v>107</v>
      </c>
      <c r="F1175" t="s">
        <v>244</v>
      </c>
      <c r="G1175" t="s">
        <v>246</v>
      </c>
      <c r="H1175" t="s">
        <v>246</v>
      </c>
      <c r="I1175" t="s">
        <v>674</v>
      </c>
      <c r="J1175" t="s">
        <v>91</v>
      </c>
      <c r="K1175" s="120" t="s">
        <v>3970</v>
      </c>
      <c r="N1175" s="49"/>
    </row>
    <row r="1176" spans="1:14">
      <c r="A1176" t="s">
        <v>3971</v>
      </c>
      <c r="B1176" t="s">
        <v>3972</v>
      </c>
      <c r="C1176" t="s">
        <v>93</v>
      </c>
      <c r="D1176" t="s">
        <v>93</v>
      </c>
      <c r="E1176">
        <f>_xlfn.XLOOKUP(D1176,'Resumen Estudiantes y Profesore'!B:B,'Resumen Estudiantes y Profesore'!A:A)</f>
        <v>210</v>
      </c>
      <c r="F1176" t="s">
        <v>244</v>
      </c>
      <c r="G1176" t="s">
        <v>246</v>
      </c>
      <c r="H1176" t="s">
        <v>246</v>
      </c>
      <c r="I1176" t="s">
        <v>682</v>
      </c>
      <c r="J1176" t="s">
        <v>93</v>
      </c>
      <c r="K1176" s="120" t="s">
        <v>3973</v>
      </c>
      <c r="N1176" s="49"/>
    </row>
    <row r="1177" spans="1:14">
      <c r="A1177" t="s">
        <v>3974</v>
      </c>
      <c r="B1177" t="s">
        <v>3975</v>
      </c>
      <c r="C1177" t="s">
        <v>505</v>
      </c>
      <c r="D1177" t="s">
        <v>153</v>
      </c>
      <c r="E1177">
        <f>_xlfn.XLOOKUP(D1177,'Resumen Estudiantes y Profesore'!B:B,'Resumen Estudiantes y Profesore'!A:A)</f>
        <v>104</v>
      </c>
      <c r="F1177" t="s">
        <v>244</v>
      </c>
      <c r="G1177" t="s">
        <v>246</v>
      </c>
      <c r="H1177" t="s">
        <v>246</v>
      </c>
      <c r="I1177" t="s">
        <v>674</v>
      </c>
      <c r="J1177" t="s">
        <v>87</v>
      </c>
      <c r="K1177" s="120" t="s">
        <v>3976</v>
      </c>
      <c r="N1177" s="49"/>
    </row>
    <row r="1178" spans="1:14">
      <c r="A1178" t="s">
        <v>3974</v>
      </c>
      <c r="B1178" t="s">
        <v>3977</v>
      </c>
      <c r="C1178" t="s">
        <v>437</v>
      </c>
      <c r="D1178" t="s">
        <v>30</v>
      </c>
      <c r="E1178">
        <f>_xlfn.XLOOKUP(D1178,'Resumen Estudiantes y Profesore'!B:B,'Resumen Estudiantes y Profesore'!A:A)</f>
        <v>34</v>
      </c>
      <c r="F1178" t="s">
        <v>244</v>
      </c>
      <c r="G1178" t="s">
        <v>246</v>
      </c>
      <c r="H1178" t="s">
        <v>246</v>
      </c>
      <c r="I1178" t="s">
        <v>682</v>
      </c>
      <c r="J1178" t="s">
        <v>87</v>
      </c>
      <c r="K1178" s="120" t="s">
        <v>3978</v>
      </c>
      <c r="N1178" s="49"/>
    </row>
    <row r="1179" spans="1:14">
      <c r="A1179" t="s">
        <v>3979</v>
      </c>
      <c r="B1179" t="s">
        <v>3980</v>
      </c>
      <c r="C1179" t="s">
        <v>93</v>
      </c>
      <c r="D1179" t="s">
        <v>93</v>
      </c>
      <c r="E1179">
        <f>_xlfn.XLOOKUP(D1179,'Resumen Estudiantes y Profesore'!B:B,'Resumen Estudiantes y Profesore'!A:A)</f>
        <v>210</v>
      </c>
      <c r="F1179" t="s">
        <v>244</v>
      </c>
      <c r="G1179" t="s">
        <v>246</v>
      </c>
      <c r="H1179" t="s">
        <v>246</v>
      </c>
      <c r="I1179" t="s">
        <v>682</v>
      </c>
      <c r="J1179" t="s">
        <v>93</v>
      </c>
      <c r="K1179" s="120" t="s">
        <v>3981</v>
      </c>
      <c r="N1179" s="49"/>
    </row>
    <row r="1180" spans="1:14">
      <c r="A1180" t="s">
        <v>3982</v>
      </c>
      <c r="B1180" t="s">
        <v>3983</v>
      </c>
      <c r="C1180" t="s">
        <v>486</v>
      </c>
      <c r="D1180" t="s">
        <v>181</v>
      </c>
      <c r="E1180">
        <f>_xlfn.XLOOKUP(D1180,'Resumen Estudiantes y Profesore'!B:B,'Resumen Estudiantes y Profesore'!A:A)</f>
        <v>95</v>
      </c>
      <c r="F1180" t="s">
        <v>244</v>
      </c>
      <c r="G1180" t="s">
        <v>246</v>
      </c>
      <c r="H1180" t="s">
        <v>246</v>
      </c>
      <c r="I1180" t="s">
        <v>674</v>
      </c>
      <c r="J1180" t="s">
        <v>182</v>
      </c>
      <c r="K1180" s="120" t="s">
        <v>3984</v>
      </c>
      <c r="N1180" s="49"/>
    </row>
    <row r="1181" spans="1:14">
      <c r="A1181" t="s">
        <v>3985</v>
      </c>
      <c r="B1181" t="s">
        <v>3986</v>
      </c>
      <c r="C1181" t="s">
        <v>475</v>
      </c>
      <c r="D1181" t="s">
        <v>205</v>
      </c>
      <c r="E1181">
        <f>_xlfn.XLOOKUP(D1181,'Resumen Estudiantes y Profesore'!B:B,'Resumen Estudiantes y Profesore'!A:A)</f>
        <v>80</v>
      </c>
      <c r="F1181" t="s">
        <v>244</v>
      </c>
      <c r="G1181" t="s">
        <v>247</v>
      </c>
      <c r="H1181" t="s">
        <v>247</v>
      </c>
      <c r="I1181" t="s">
        <v>674</v>
      </c>
      <c r="J1181" t="s">
        <v>91</v>
      </c>
      <c r="K1181" s="120" t="s">
        <v>3987</v>
      </c>
      <c r="N1181" s="49"/>
    </row>
    <row r="1182" spans="1:14">
      <c r="A1182" t="s">
        <v>3988</v>
      </c>
      <c r="B1182" t="s">
        <v>3989</v>
      </c>
      <c r="C1182" t="s">
        <v>2549</v>
      </c>
      <c r="D1182" t="s">
        <v>107</v>
      </c>
      <c r="E1182">
        <f>_xlfn.XLOOKUP(D1182,'Resumen Estudiantes y Profesore'!B:B,'Resumen Estudiantes y Profesore'!A:A)</f>
        <v>201</v>
      </c>
      <c r="F1182" t="s">
        <v>244</v>
      </c>
      <c r="G1182" t="s">
        <v>246</v>
      </c>
      <c r="H1182" t="s">
        <v>246</v>
      </c>
      <c r="I1182" t="s">
        <v>674</v>
      </c>
      <c r="J1182" t="s">
        <v>91</v>
      </c>
      <c r="K1182" s="120" t="s">
        <v>3990</v>
      </c>
      <c r="N1182" s="49"/>
    </row>
    <row r="1183" spans="1:14">
      <c r="A1183" t="s">
        <v>3991</v>
      </c>
      <c r="B1183" t="s">
        <v>3992</v>
      </c>
      <c r="C1183" t="s">
        <v>545</v>
      </c>
      <c r="D1183" t="s">
        <v>211</v>
      </c>
      <c r="E1183">
        <f>_xlfn.XLOOKUP(D1183,'Resumen Estudiantes y Profesore'!B:B,'Resumen Estudiantes y Profesore'!A:A)</f>
        <v>206</v>
      </c>
      <c r="F1183" t="s">
        <v>244</v>
      </c>
      <c r="G1183" t="s">
        <v>246</v>
      </c>
      <c r="H1183" t="s">
        <v>246</v>
      </c>
      <c r="I1183" t="s">
        <v>674</v>
      </c>
      <c r="J1183" t="s">
        <v>87</v>
      </c>
      <c r="K1183" s="120" t="s">
        <v>3993</v>
      </c>
      <c r="N1183" s="49"/>
    </row>
    <row r="1184" spans="1:14">
      <c r="A1184" t="s">
        <v>3991</v>
      </c>
      <c r="B1184" t="s">
        <v>3994</v>
      </c>
      <c r="C1184" t="s">
        <v>546</v>
      </c>
      <c r="D1184" t="s">
        <v>211</v>
      </c>
      <c r="E1184">
        <f>_xlfn.XLOOKUP(D1184,'Resumen Estudiantes y Profesore'!B:B,'Resumen Estudiantes y Profesore'!A:A)</f>
        <v>206</v>
      </c>
      <c r="F1184" t="s">
        <v>244</v>
      </c>
      <c r="G1184" t="s">
        <v>246</v>
      </c>
      <c r="H1184" t="s">
        <v>246</v>
      </c>
      <c r="I1184" t="s">
        <v>674</v>
      </c>
      <c r="J1184" t="s">
        <v>87</v>
      </c>
      <c r="K1184" s="120" t="s">
        <v>3995</v>
      </c>
      <c r="N1184" s="49"/>
    </row>
    <row r="1185" spans="1:14">
      <c r="A1185" t="s">
        <v>3991</v>
      </c>
      <c r="B1185" t="s">
        <v>3996</v>
      </c>
      <c r="C1185" t="s">
        <v>437</v>
      </c>
      <c r="D1185" t="s">
        <v>30</v>
      </c>
      <c r="E1185">
        <f>_xlfn.XLOOKUP(D1185,'Resumen Estudiantes y Profesore'!B:B,'Resumen Estudiantes y Profesore'!A:A)</f>
        <v>34</v>
      </c>
      <c r="F1185" t="s">
        <v>244</v>
      </c>
      <c r="G1185" t="s">
        <v>246</v>
      </c>
      <c r="H1185" t="s">
        <v>246</v>
      </c>
      <c r="I1185" t="s">
        <v>682</v>
      </c>
      <c r="J1185" t="s">
        <v>87</v>
      </c>
      <c r="K1185" s="120" t="s">
        <v>3997</v>
      </c>
      <c r="N1185" s="49"/>
    </row>
    <row r="1186" spans="1:14">
      <c r="A1186" t="s">
        <v>3998</v>
      </c>
      <c r="B1186" t="s">
        <v>3999</v>
      </c>
      <c r="C1186" t="s">
        <v>451</v>
      </c>
      <c r="D1186" t="s">
        <v>38</v>
      </c>
      <c r="E1186">
        <f>_xlfn.XLOOKUP(D1186,'Resumen Estudiantes y Profesore'!B:B,'Resumen Estudiantes y Profesore'!A:A)</f>
        <v>42</v>
      </c>
      <c r="F1186" t="s">
        <v>244</v>
      </c>
      <c r="G1186" t="s">
        <v>246</v>
      </c>
      <c r="H1186" t="s">
        <v>246</v>
      </c>
      <c r="I1186" t="s">
        <v>682</v>
      </c>
      <c r="J1186" t="s">
        <v>90</v>
      </c>
      <c r="K1186" s="120" t="s">
        <v>4000</v>
      </c>
      <c r="N1186" s="49"/>
    </row>
    <row r="1187" spans="1:14">
      <c r="A1187" t="s">
        <v>4001</v>
      </c>
      <c r="B1187" t="s">
        <v>4002</v>
      </c>
      <c r="C1187" t="s">
        <v>540</v>
      </c>
      <c r="D1187" t="s">
        <v>106</v>
      </c>
      <c r="E1187">
        <f>_xlfn.XLOOKUP(D1187,'Resumen Estudiantes y Profesore'!B:B,'Resumen Estudiantes y Profesore'!A:A)</f>
        <v>59</v>
      </c>
      <c r="F1187" t="s">
        <v>244</v>
      </c>
      <c r="G1187" t="s">
        <v>246</v>
      </c>
      <c r="H1187" t="s">
        <v>246</v>
      </c>
      <c r="I1187" t="s">
        <v>674</v>
      </c>
      <c r="J1187" t="s">
        <v>85</v>
      </c>
      <c r="K1187" s="120" t="s">
        <v>4003</v>
      </c>
      <c r="N1187" s="49"/>
    </row>
    <row r="1188" spans="1:14">
      <c r="A1188" t="s">
        <v>4001</v>
      </c>
      <c r="B1188" t="s">
        <v>4004</v>
      </c>
      <c r="C1188" t="s">
        <v>482</v>
      </c>
      <c r="D1188" t="s">
        <v>217</v>
      </c>
      <c r="E1188">
        <f>_xlfn.XLOOKUP(D1188,'Resumen Estudiantes y Profesore'!B:B,'Resumen Estudiantes y Profesore'!A:A)</f>
        <v>84</v>
      </c>
      <c r="F1188" t="s">
        <v>244</v>
      </c>
      <c r="G1188" t="s">
        <v>246</v>
      </c>
      <c r="H1188" t="s">
        <v>246</v>
      </c>
      <c r="I1188" t="s">
        <v>674</v>
      </c>
      <c r="J1188" t="s">
        <v>85</v>
      </c>
      <c r="K1188" s="120" t="s">
        <v>4005</v>
      </c>
      <c r="N1188" s="49"/>
    </row>
    <row r="1189" spans="1:14">
      <c r="A1189" t="s">
        <v>4001</v>
      </c>
      <c r="B1189" t="s">
        <v>4006</v>
      </c>
      <c r="C1189" t="s">
        <v>432</v>
      </c>
      <c r="D1189" t="s">
        <v>41</v>
      </c>
      <c r="E1189">
        <f>_xlfn.XLOOKUP(D1189,'Resumen Estudiantes y Profesore'!B:B,'Resumen Estudiantes y Profesore'!A:A)</f>
        <v>31</v>
      </c>
      <c r="F1189" t="s">
        <v>244</v>
      </c>
      <c r="G1189" t="s">
        <v>246</v>
      </c>
      <c r="H1189" t="s">
        <v>246</v>
      </c>
      <c r="I1189" t="s">
        <v>682</v>
      </c>
      <c r="J1189" t="s">
        <v>85</v>
      </c>
      <c r="K1189" s="120" t="s">
        <v>4007</v>
      </c>
      <c r="N1189" s="49"/>
    </row>
    <row r="1190" spans="1:14">
      <c r="A1190" t="s">
        <v>4008</v>
      </c>
      <c r="B1190" t="s">
        <v>4009</v>
      </c>
      <c r="C1190" t="s">
        <v>444</v>
      </c>
      <c r="D1190" t="s">
        <v>33</v>
      </c>
      <c r="E1190">
        <f>_xlfn.XLOOKUP(D1190,'Resumen Estudiantes y Profesore'!B:B,'Resumen Estudiantes y Profesore'!A:A)</f>
        <v>38</v>
      </c>
      <c r="F1190" t="s">
        <v>244</v>
      </c>
      <c r="G1190" t="s">
        <v>246</v>
      </c>
      <c r="H1190" t="s">
        <v>246</v>
      </c>
      <c r="I1190" t="s">
        <v>682</v>
      </c>
      <c r="J1190" t="s">
        <v>89</v>
      </c>
      <c r="K1190" s="120" t="s">
        <v>4010</v>
      </c>
      <c r="N1190" s="49"/>
    </row>
    <row r="1191" spans="1:14">
      <c r="A1191" t="s">
        <v>4011</v>
      </c>
      <c r="B1191" t="s">
        <v>4012</v>
      </c>
      <c r="C1191" t="s">
        <v>444</v>
      </c>
      <c r="D1191" t="s">
        <v>33</v>
      </c>
      <c r="E1191">
        <f>_xlfn.XLOOKUP(D1191,'Resumen Estudiantes y Profesore'!B:B,'Resumen Estudiantes y Profesore'!A:A)</f>
        <v>38</v>
      </c>
      <c r="F1191" t="s">
        <v>244</v>
      </c>
      <c r="G1191" t="s">
        <v>246</v>
      </c>
      <c r="H1191" t="s">
        <v>246</v>
      </c>
      <c r="I1191" t="s">
        <v>682</v>
      </c>
      <c r="J1191" t="s">
        <v>89</v>
      </c>
      <c r="K1191" s="120" t="s">
        <v>4013</v>
      </c>
      <c r="N1191" s="49"/>
    </row>
    <row r="1192" spans="1:14">
      <c r="A1192" t="s">
        <v>4014</v>
      </c>
      <c r="B1192" t="s">
        <v>4015</v>
      </c>
      <c r="C1192" t="s">
        <v>451</v>
      </c>
      <c r="D1192" t="s">
        <v>38</v>
      </c>
      <c r="E1192">
        <f>_xlfn.XLOOKUP(D1192,'Resumen Estudiantes y Profesore'!B:B,'Resumen Estudiantes y Profesore'!A:A)</f>
        <v>42</v>
      </c>
      <c r="F1192" t="s">
        <v>244</v>
      </c>
      <c r="G1192" t="s">
        <v>246</v>
      </c>
      <c r="H1192" t="s">
        <v>246</v>
      </c>
      <c r="I1192" t="s">
        <v>682</v>
      </c>
      <c r="J1192" t="s">
        <v>90</v>
      </c>
      <c r="K1192" s="120" t="s">
        <v>4016</v>
      </c>
      <c r="N1192" s="49"/>
    </row>
    <row r="1193" spans="1:14">
      <c r="A1193" t="s">
        <v>4017</v>
      </c>
      <c r="B1193" t="s">
        <v>4018</v>
      </c>
      <c r="C1193" t="s">
        <v>432</v>
      </c>
      <c r="D1193" t="s">
        <v>41</v>
      </c>
      <c r="E1193">
        <f>_xlfn.XLOOKUP(D1193,'Resumen Estudiantes y Profesore'!B:B,'Resumen Estudiantes y Profesore'!A:A)</f>
        <v>31</v>
      </c>
      <c r="F1193" t="s">
        <v>244</v>
      </c>
      <c r="G1193" t="s">
        <v>246</v>
      </c>
      <c r="H1193" t="s">
        <v>246</v>
      </c>
      <c r="I1193" t="s">
        <v>682</v>
      </c>
      <c r="J1193" t="s">
        <v>85</v>
      </c>
      <c r="K1193" s="120" t="s">
        <v>4019</v>
      </c>
      <c r="N1193" s="49"/>
    </row>
    <row r="1194" spans="1:14">
      <c r="A1194" t="s">
        <v>4017</v>
      </c>
      <c r="B1194" t="s">
        <v>4020</v>
      </c>
      <c r="C1194" t="s">
        <v>434</v>
      </c>
      <c r="D1194" t="s">
        <v>28</v>
      </c>
      <c r="E1194">
        <f>_xlfn.XLOOKUP(D1194,'Resumen Estudiantes y Profesore'!B:B,'Resumen Estudiantes y Profesore'!A:A)</f>
        <v>32</v>
      </c>
      <c r="F1194" t="s">
        <v>244</v>
      </c>
      <c r="G1194" t="s">
        <v>246</v>
      </c>
      <c r="H1194" t="s">
        <v>246</v>
      </c>
      <c r="I1194" t="s">
        <v>682</v>
      </c>
      <c r="J1194" t="s">
        <v>85</v>
      </c>
      <c r="K1194" s="120" t="s">
        <v>4021</v>
      </c>
      <c r="N1194" s="49"/>
    </row>
    <row r="1195" spans="1:14">
      <c r="A1195" t="s">
        <v>4022</v>
      </c>
      <c r="B1195" t="s">
        <v>4023</v>
      </c>
      <c r="C1195" t="s">
        <v>444</v>
      </c>
      <c r="D1195" t="s">
        <v>33</v>
      </c>
      <c r="E1195">
        <f>_xlfn.XLOOKUP(D1195,'Resumen Estudiantes y Profesore'!B:B,'Resumen Estudiantes y Profesore'!A:A)</f>
        <v>38</v>
      </c>
      <c r="F1195" t="s">
        <v>244</v>
      </c>
      <c r="G1195" t="s">
        <v>246</v>
      </c>
      <c r="H1195" t="s">
        <v>246</v>
      </c>
      <c r="I1195" t="s">
        <v>682</v>
      </c>
      <c r="J1195" t="s">
        <v>89</v>
      </c>
      <c r="K1195" s="120" t="s">
        <v>4024</v>
      </c>
      <c r="N1195" s="49"/>
    </row>
    <row r="1196" spans="1:14">
      <c r="A1196" t="s">
        <v>4025</v>
      </c>
      <c r="B1196" t="s">
        <v>4026</v>
      </c>
      <c r="C1196" t="s">
        <v>489</v>
      </c>
      <c r="D1196" t="s">
        <v>110</v>
      </c>
      <c r="E1196">
        <f>_xlfn.XLOOKUP(D1196,'Resumen Estudiantes y Profesore'!B:B,'Resumen Estudiantes y Profesore'!A:A)</f>
        <v>2</v>
      </c>
      <c r="F1196" t="s">
        <v>244</v>
      </c>
      <c r="G1196" t="s">
        <v>246</v>
      </c>
      <c r="H1196" t="s">
        <v>246</v>
      </c>
      <c r="I1196" t="s">
        <v>674</v>
      </c>
      <c r="J1196" t="s">
        <v>90</v>
      </c>
      <c r="K1196" s="120" t="s">
        <v>4027</v>
      </c>
      <c r="N1196" s="49"/>
    </row>
    <row r="1197" spans="1:14">
      <c r="A1197" t="s">
        <v>4025</v>
      </c>
      <c r="B1197" t="s">
        <v>4028</v>
      </c>
      <c r="C1197" t="s">
        <v>451</v>
      </c>
      <c r="D1197" t="s">
        <v>38</v>
      </c>
      <c r="E1197">
        <f>_xlfn.XLOOKUP(D1197,'Resumen Estudiantes y Profesore'!B:B,'Resumen Estudiantes y Profesore'!A:A)</f>
        <v>42</v>
      </c>
      <c r="F1197" t="s">
        <v>244</v>
      </c>
      <c r="G1197" t="s">
        <v>247</v>
      </c>
      <c r="H1197" t="s">
        <v>247</v>
      </c>
      <c r="I1197" t="s">
        <v>682</v>
      </c>
      <c r="J1197" t="s">
        <v>90</v>
      </c>
      <c r="K1197" s="120" t="s">
        <v>4029</v>
      </c>
      <c r="N1197" s="49"/>
    </row>
    <row r="1198" spans="1:14">
      <c r="A1198" t="s">
        <v>4030</v>
      </c>
      <c r="B1198" t="s">
        <v>4031</v>
      </c>
      <c r="C1198" t="s">
        <v>417</v>
      </c>
      <c r="D1198" t="s">
        <v>231</v>
      </c>
      <c r="E1198">
        <f>_xlfn.XLOOKUP(D1198,'Resumen Estudiantes y Profesore'!B:B,'Resumen Estudiantes y Profesore'!A:A)</f>
        <v>150</v>
      </c>
      <c r="F1198" t="s">
        <v>244</v>
      </c>
      <c r="G1198" t="s">
        <v>246</v>
      </c>
      <c r="H1198" t="s">
        <v>246</v>
      </c>
      <c r="I1198" t="s">
        <v>682</v>
      </c>
      <c r="J1198" t="s">
        <v>77</v>
      </c>
      <c r="K1198" s="120" t="s">
        <v>4032</v>
      </c>
      <c r="N1198" s="49"/>
    </row>
    <row r="1199" spans="1:14">
      <c r="A1199" t="s">
        <v>4033</v>
      </c>
      <c r="B1199" t="s">
        <v>4034</v>
      </c>
      <c r="C1199" t="s">
        <v>469</v>
      </c>
      <c r="D1199" t="s">
        <v>179</v>
      </c>
      <c r="E1199">
        <f>_xlfn.XLOOKUP(D1199,'Resumen Estudiantes y Profesore'!B:B,'Resumen Estudiantes y Profesore'!A:A)</f>
        <v>73</v>
      </c>
      <c r="F1199" t="s">
        <v>244</v>
      </c>
      <c r="G1199" t="s">
        <v>246</v>
      </c>
      <c r="H1199" t="s">
        <v>246</v>
      </c>
      <c r="I1199" t="s">
        <v>674</v>
      </c>
      <c r="J1199" t="s">
        <v>89</v>
      </c>
      <c r="K1199" s="120" t="s">
        <v>4035</v>
      </c>
      <c r="N1199" s="49"/>
    </row>
    <row r="1200" spans="1:14">
      <c r="A1200" t="s">
        <v>4033</v>
      </c>
      <c r="B1200" t="s">
        <v>4036</v>
      </c>
      <c r="C1200" t="s">
        <v>444</v>
      </c>
      <c r="D1200" t="s">
        <v>33</v>
      </c>
      <c r="E1200">
        <f>_xlfn.XLOOKUP(D1200,'Resumen Estudiantes y Profesore'!B:B,'Resumen Estudiantes y Profesore'!A:A)</f>
        <v>38</v>
      </c>
      <c r="F1200" t="s">
        <v>244</v>
      </c>
      <c r="G1200" t="s">
        <v>246</v>
      </c>
      <c r="H1200" t="s">
        <v>246</v>
      </c>
      <c r="I1200" t="s">
        <v>682</v>
      </c>
      <c r="J1200" t="s">
        <v>89</v>
      </c>
      <c r="K1200" s="120" t="s">
        <v>4037</v>
      </c>
      <c r="N1200" s="49"/>
    </row>
    <row r="1201" spans="1:14">
      <c r="A1201" t="s">
        <v>4038</v>
      </c>
      <c r="B1201" t="s">
        <v>4039</v>
      </c>
      <c r="C1201" t="s">
        <v>2552</v>
      </c>
      <c r="D1201" t="s">
        <v>206</v>
      </c>
      <c r="E1201">
        <f>_xlfn.XLOOKUP(D1201,'Resumen Estudiantes y Profesore'!B:B,'Resumen Estudiantes y Profesore'!A:A)</f>
        <v>205</v>
      </c>
      <c r="F1201" t="s">
        <v>244</v>
      </c>
      <c r="G1201" t="s">
        <v>246</v>
      </c>
      <c r="H1201" t="s">
        <v>246</v>
      </c>
      <c r="I1201" t="s">
        <v>674</v>
      </c>
      <c r="J1201" t="s">
        <v>91</v>
      </c>
      <c r="K1201" s="120" t="s">
        <v>4040</v>
      </c>
      <c r="N1201" s="49"/>
    </row>
    <row r="1202" spans="1:14">
      <c r="A1202" t="s">
        <v>4038</v>
      </c>
      <c r="B1202" t="s">
        <v>4041</v>
      </c>
      <c r="C1202" t="s">
        <v>453</v>
      </c>
      <c r="D1202" t="s">
        <v>39</v>
      </c>
      <c r="E1202">
        <f>_xlfn.XLOOKUP(D1202,'Resumen Estudiantes y Profesore'!B:B,'Resumen Estudiantes y Profesore'!A:A)</f>
        <v>43</v>
      </c>
      <c r="F1202" t="s">
        <v>244</v>
      </c>
      <c r="G1202" t="s">
        <v>246</v>
      </c>
      <c r="H1202" t="s">
        <v>246</v>
      </c>
      <c r="I1202" t="s">
        <v>682</v>
      </c>
      <c r="J1202" t="s">
        <v>91</v>
      </c>
      <c r="K1202" s="120" t="s">
        <v>4042</v>
      </c>
      <c r="N1202" s="49"/>
    </row>
    <row r="1203" spans="1:14">
      <c r="A1203" t="s">
        <v>4043</v>
      </c>
      <c r="B1203" t="s">
        <v>4044</v>
      </c>
      <c r="C1203" t="s">
        <v>93</v>
      </c>
      <c r="D1203" t="s">
        <v>93</v>
      </c>
      <c r="E1203">
        <f>_xlfn.XLOOKUP(D1203,'Resumen Estudiantes y Profesore'!B:B,'Resumen Estudiantes y Profesore'!A:A)</f>
        <v>210</v>
      </c>
      <c r="F1203" t="s">
        <v>244</v>
      </c>
      <c r="G1203" t="s">
        <v>246</v>
      </c>
      <c r="H1203" t="s">
        <v>246</v>
      </c>
      <c r="I1203" t="s">
        <v>682</v>
      </c>
      <c r="J1203" t="s">
        <v>93</v>
      </c>
      <c r="K1203" s="120" t="s">
        <v>4045</v>
      </c>
      <c r="N1203" s="49"/>
    </row>
    <row r="1204" spans="1:14">
      <c r="A1204" t="s">
        <v>4046</v>
      </c>
      <c r="B1204" t="s">
        <v>4047</v>
      </c>
      <c r="C1204" t="s">
        <v>451</v>
      </c>
      <c r="D1204" t="s">
        <v>38</v>
      </c>
      <c r="E1204">
        <f>_xlfn.XLOOKUP(D1204,'Resumen Estudiantes y Profesore'!B:B,'Resumen Estudiantes y Profesore'!A:A)</f>
        <v>42</v>
      </c>
      <c r="F1204" t="s">
        <v>244</v>
      </c>
      <c r="G1204" t="s">
        <v>246</v>
      </c>
      <c r="H1204" t="s">
        <v>246</v>
      </c>
      <c r="I1204" t="s">
        <v>682</v>
      </c>
      <c r="J1204" t="s">
        <v>90</v>
      </c>
      <c r="K1204" s="120" t="s">
        <v>4048</v>
      </c>
      <c r="N1204" s="49"/>
    </row>
    <row r="1205" spans="1:14">
      <c r="A1205" t="s">
        <v>4049</v>
      </c>
      <c r="B1205" t="s">
        <v>4050</v>
      </c>
      <c r="C1205" t="s">
        <v>498</v>
      </c>
      <c r="D1205" t="s">
        <v>101</v>
      </c>
      <c r="E1205">
        <f>_xlfn.XLOOKUP(D1205,'Resumen Estudiantes y Profesore'!B:B,'Resumen Estudiantes y Profesore'!A:A)</f>
        <v>50</v>
      </c>
      <c r="F1205" t="s">
        <v>244</v>
      </c>
      <c r="G1205" t="s">
        <v>246</v>
      </c>
      <c r="H1205" t="s">
        <v>246</v>
      </c>
      <c r="I1205" t="s">
        <v>674</v>
      </c>
      <c r="J1205" t="s">
        <v>83</v>
      </c>
      <c r="K1205" s="120" t="s">
        <v>4051</v>
      </c>
      <c r="N1205" s="49"/>
    </row>
    <row r="1206" spans="1:14">
      <c r="A1206" t="s">
        <v>4049</v>
      </c>
      <c r="B1206" t="s">
        <v>4052</v>
      </c>
      <c r="C1206" t="s">
        <v>424</v>
      </c>
      <c r="D1206" t="s">
        <v>24</v>
      </c>
      <c r="E1206">
        <f>_xlfn.XLOOKUP(D1206,'Resumen Estudiantes y Profesore'!B:B,'Resumen Estudiantes y Profesore'!A:A)</f>
        <v>27</v>
      </c>
      <c r="F1206" t="s">
        <v>244</v>
      </c>
      <c r="G1206" t="s">
        <v>246</v>
      </c>
      <c r="H1206" t="s">
        <v>246</v>
      </c>
      <c r="I1206" t="s">
        <v>682</v>
      </c>
      <c r="J1206" t="s">
        <v>83</v>
      </c>
      <c r="K1206" s="120" t="s">
        <v>4053</v>
      </c>
      <c r="N1206" s="49"/>
    </row>
    <row r="1207" spans="1:14">
      <c r="A1207" t="s">
        <v>4054</v>
      </c>
      <c r="B1207" t="s">
        <v>4055</v>
      </c>
      <c r="C1207" t="s">
        <v>431</v>
      </c>
      <c r="D1207" t="s">
        <v>27</v>
      </c>
      <c r="E1207">
        <f>_xlfn.XLOOKUP(D1207,'Resumen Estudiantes y Profesore'!B:B,'Resumen Estudiantes y Profesore'!A:A)</f>
        <v>30</v>
      </c>
      <c r="F1207" t="s">
        <v>244</v>
      </c>
      <c r="G1207" t="s">
        <v>246</v>
      </c>
      <c r="H1207" t="s">
        <v>246</v>
      </c>
      <c r="I1207" t="s">
        <v>682</v>
      </c>
      <c r="J1207" t="s">
        <v>84</v>
      </c>
      <c r="K1207" s="120" t="s">
        <v>4056</v>
      </c>
      <c r="N1207" s="49"/>
    </row>
    <row r="1208" spans="1:14">
      <c r="A1208" t="s">
        <v>4057</v>
      </c>
      <c r="B1208" t="s">
        <v>4058</v>
      </c>
      <c r="C1208" t="s">
        <v>451</v>
      </c>
      <c r="D1208" t="s">
        <v>38</v>
      </c>
      <c r="E1208">
        <f>_xlfn.XLOOKUP(D1208,'Resumen Estudiantes y Profesore'!B:B,'Resumen Estudiantes y Profesore'!A:A)</f>
        <v>42</v>
      </c>
      <c r="F1208" t="s">
        <v>244</v>
      </c>
      <c r="G1208" t="s">
        <v>246</v>
      </c>
      <c r="H1208" t="s">
        <v>246</v>
      </c>
      <c r="I1208" t="s">
        <v>682</v>
      </c>
      <c r="J1208" t="s">
        <v>90</v>
      </c>
      <c r="K1208" s="120" t="s">
        <v>4059</v>
      </c>
      <c r="N1208" s="49"/>
    </row>
    <row r="1209" spans="1:14">
      <c r="A1209" t="s">
        <v>4060</v>
      </c>
      <c r="B1209" t="s">
        <v>4061</v>
      </c>
      <c r="C1209" t="s">
        <v>428</v>
      </c>
      <c r="D1209" t="s">
        <v>25</v>
      </c>
      <c r="E1209">
        <f>_xlfn.XLOOKUP(D1209,'Resumen Estudiantes y Profesore'!B:B,'Resumen Estudiantes y Profesore'!A:A)</f>
        <v>28</v>
      </c>
      <c r="F1209" t="s">
        <v>244</v>
      </c>
      <c r="G1209" t="s">
        <v>246</v>
      </c>
      <c r="H1209" t="s">
        <v>246</v>
      </c>
      <c r="I1209" t="s">
        <v>682</v>
      </c>
      <c r="J1209" t="s">
        <v>83</v>
      </c>
      <c r="K1209" s="120" t="s">
        <v>4062</v>
      </c>
      <c r="N1209" s="49"/>
    </row>
    <row r="1210" spans="1:14">
      <c r="A1210" t="s">
        <v>4063</v>
      </c>
      <c r="B1210" t="s">
        <v>4064</v>
      </c>
      <c r="C1210" t="s">
        <v>630</v>
      </c>
      <c r="D1210" t="s">
        <v>536</v>
      </c>
      <c r="E1210" t="e">
        <f>_xlfn.XLOOKUP(D1210,'Resumen Estudiantes y Profesore'!B:B,'Resumen Estudiantes y Profesore'!A:A)</f>
        <v>#N/A</v>
      </c>
      <c r="F1210" t="s">
        <v>244</v>
      </c>
      <c r="G1210" t="s">
        <v>246</v>
      </c>
      <c r="H1210" t="s">
        <v>246</v>
      </c>
      <c r="I1210" t="s">
        <v>682</v>
      </c>
      <c r="J1210" t="s">
        <v>1471</v>
      </c>
      <c r="K1210" s="120" t="s">
        <v>4065</v>
      </c>
      <c r="N1210" s="49"/>
    </row>
    <row r="1211" spans="1:14">
      <c r="A1211" t="s">
        <v>4066</v>
      </c>
      <c r="B1211" t="s">
        <v>4067</v>
      </c>
      <c r="C1211" t="s">
        <v>420</v>
      </c>
      <c r="D1211" t="s">
        <v>235</v>
      </c>
      <c r="E1211">
        <f>_xlfn.XLOOKUP(D1211,'Resumen Estudiantes y Profesore'!B:B,'Resumen Estudiantes y Profesore'!A:A)</f>
        <v>154</v>
      </c>
      <c r="F1211" t="s">
        <v>244</v>
      </c>
      <c r="G1211" t="s">
        <v>246</v>
      </c>
      <c r="H1211" t="s">
        <v>246</v>
      </c>
      <c r="I1211" t="s">
        <v>682</v>
      </c>
      <c r="J1211" t="s">
        <v>77</v>
      </c>
      <c r="K1211" s="120" t="s">
        <v>4068</v>
      </c>
      <c r="N1211" s="49"/>
    </row>
    <row r="1212" spans="1:14">
      <c r="A1212" t="s">
        <v>4069</v>
      </c>
      <c r="B1212" t="s">
        <v>4070</v>
      </c>
      <c r="C1212" t="s">
        <v>532</v>
      </c>
      <c r="D1212" t="s">
        <v>194</v>
      </c>
      <c r="E1212">
        <f>_xlfn.XLOOKUP(D1212,'Resumen Estudiantes y Profesore'!B:B,'Resumen Estudiantes y Profesore'!A:A)</f>
        <v>79</v>
      </c>
      <c r="F1212" t="s">
        <v>244</v>
      </c>
      <c r="G1212" t="s">
        <v>246</v>
      </c>
      <c r="H1212" t="s">
        <v>246</v>
      </c>
      <c r="I1212" t="s">
        <v>674</v>
      </c>
      <c r="J1212" t="s">
        <v>90</v>
      </c>
      <c r="K1212" s="120" t="s">
        <v>4071</v>
      </c>
      <c r="N1212" s="49"/>
    </row>
    <row r="1213" spans="1:14">
      <c r="A1213" t="s">
        <v>4069</v>
      </c>
      <c r="B1213" t="s">
        <v>4072</v>
      </c>
      <c r="C1213" t="s">
        <v>451</v>
      </c>
      <c r="D1213" t="s">
        <v>38</v>
      </c>
      <c r="E1213">
        <f>_xlfn.XLOOKUP(D1213,'Resumen Estudiantes y Profesore'!B:B,'Resumen Estudiantes y Profesore'!A:A)</f>
        <v>42</v>
      </c>
      <c r="F1213" t="s">
        <v>244</v>
      </c>
      <c r="G1213" t="s">
        <v>246</v>
      </c>
      <c r="H1213" t="s">
        <v>246</v>
      </c>
      <c r="I1213" t="s">
        <v>682</v>
      </c>
      <c r="J1213" t="s">
        <v>90</v>
      </c>
      <c r="K1213" s="120" t="s">
        <v>4073</v>
      </c>
      <c r="N1213" s="49"/>
    </row>
    <row r="1214" spans="1:14">
      <c r="A1214" t="s">
        <v>4074</v>
      </c>
      <c r="B1214" t="s">
        <v>4075</v>
      </c>
      <c r="C1214" t="s">
        <v>469</v>
      </c>
      <c r="D1214" t="s">
        <v>179</v>
      </c>
      <c r="E1214">
        <f>_xlfn.XLOOKUP(D1214,'Resumen Estudiantes y Profesore'!B:B,'Resumen Estudiantes y Profesore'!A:A)</f>
        <v>73</v>
      </c>
      <c r="F1214" t="s">
        <v>244</v>
      </c>
      <c r="G1214" t="s">
        <v>246</v>
      </c>
      <c r="H1214" t="s">
        <v>246</v>
      </c>
      <c r="I1214" t="s">
        <v>674</v>
      </c>
      <c r="J1214" t="s">
        <v>89</v>
      </c>
      <c r="K1214" s="120" t="s">
        <v>4076</v>
      </c>
      <c r="N1214" s="49"/>
    </row>
    <row r="1215" spans="1:14">
      <c r="A1215" t="s">
        <v>4074</v>
      </c>
      <c r="B1215" t="s">
        <v>4077</v>
      </c>
      <c r="C1215" t="s">
        <v>444</v>
      </c>
      <c r="D1215" t="s">
        <v>33</v>
      </c>
      <c r="E1215">
        <f>_xlfn.XLOOKUP(D1215,'Resumen Estudiantes y Profesore'!B:B,'Resumen Estudiantes y Profesore'!A:A)</f>
        <v>38</v>
      </c>
      <c r="F1215" t="s">
        <v>244</v>
      </c>
      <c r="G1215" t="s">
        <v>246</v>
      </c>
      <c r="H1215" t="s">
        <v>246</v>
      </c>
      <c r="I1215" t="s">
        <v>682</v>
      </c>
      <c r="J1215" t="s">
        <v>89</v>
      </c>
      <c r="K1215" s="120" t="s">
        <v>4078</v>
      </c>
      <c r="N1215" s="49"/>
    </row>
    <row r="1216" spans="1:14">
      <c r="A1216" t="s">
        <v>4079</v>
      </c>
      <c r="B1216" t="s">
        <v>4080</v>
      </c>
      <c r="C1216" t="s">
        <v>439</v>
      </c>
      <c r="D1216" t="s">
        <v>31</v>
      </c>
      <c r="E1216">
        <f>_xlfn.XLOOKUP(D1216,'Resumen Estudiantes y Profesore'!B:B,'Resumen Estudiantes y Profesore'!A:A)</f>
        <v>35</v>
      </c>
      <c r="F1216" t="s">
        <v>244</v>
      </c>
      <c r="G1216" t="s">
        <v>246</v>
      </c>
      <c r="H1216" t="s">
        <v>246</v>
      </c>
      <c r="I1216" t="s">
        <v>682</v>
      </c>
      <c r="J1216" t="s">
        <v>88</v>
      </c>
      <c r="K1216" s="120" t="s">
        <v>4081</v>
      </c>
      <c r="N1216" s="49"/>
    </row>
    <row r="1217" spans="1:14">
      <c r="A1217" t="s">
        <v>4082</v>
      </c>
      <c r="B1217" t="s">
        <v>4083</v>
      </c>
      <c r="C1217" t="s">
        <v>509</v>
      </c>
      <c r="D1217" t="s">
        <v>139</v>
      </c>
      <c r="E1217">
        <f>_xlfn.XLOOKUP(D1217,'Resumen Estudiantes y Profesore'!B:B,'Resumen Estudiantes y Profesore'!A:A)</f>
        <v>117</v>
      </c>
      <c r="F1217" t="s">
        <v>244</v>
      </c>
      <c r="G1217" t="s">
        <v>246</v>
      </c>
      <c r="H1217" t="s">
        <v>246</v>
      </c>
      <c r="I1217" t="s">
        <v>674</v>
      </c>
      <c r="J1217" t="s">
        <v>138</v>
      </c>
      <c r="K1217" s="120" t="s">
        <v>4084</v>
      </c>
      <c r="N1217" s="49"/>
    </row>
    <row r="1218" spans="1:14">
      <c r="A1218" t="s">
        <v>4082</v>
      </c>
      <c r="B1218" t="s">
        <v>4085</v>
      </c>
      <c r="C1218" t="s">
        <v>514</v>
      </c>
      <c r="D1218" t="s">
        <v>147</v>
      </c>
      <c r="E1218">
        <f>_xlfn.XLOOKUP(D1218,'Resumen Estudiantes y Profesore'!B:B,'Resumen Estudiantes y Profesore'!A:A)</f>
        <v>110</v>
      </c>
      <c r="F1218" t="s">
        <v>244</v>
      </c>
      <c r="G1218" t="s">
        <v>246</v>
      </c>
      <c r="H1218" t="s">
        <v>246</v>
      </c>
      <c r="I1218" t="s">
        <v>674</v>
      </c>
      <c r="J1218" t="s">
        <v>138</v>
      </c>
      <c r="K1218" s="120" t="s">
        <v>4086</v>
      </c>
      <c r="N1218" s="49"/>
    </row>
    <row r="1219" spans="1:14">
      <c r="A1219" t="s">
        <v>4087</v>
      </c>
      <c r="B1219" t="s">
        <v>4088</v>
      </c>
      <c r="C1219" t="s">
        <v>630</v>
      </c>
      <c r="D1219" t="s">
        <v>536</v>
      </c>
      <c r="E1219" t="e">
        <f>_xlfn.XLOOKUP(D1219,'Resumen Estudiantes y Profesore'!B:B,'Resumen Estudiantes y Profesore'!A:A)</f>
        <v>#N/A</v>
      </c>
      <c r="F1219" t="s">
        <v>244</v>
      </c>
      <c r="G1219" t="s">
        <v>247</v>
      </c>
      <c r="H1219" t="s">
        <v>247</v>
      </c>
      <c r="I1219" t="s">
        <v>682</v>
      </c>
      <c r="J1219" t="s">
        <v>1471</v>
      </c>
      <c r="K1219" s="120" t="s">
        <v>4089</v>
      </c>
      <c r="N1219" s="49"/>
    </row>
    <row r="1220" spans="1:14">
      <c r="A1220" t="s">
        <v>4090</v>
      </c>
      <c r="B1220" t="s">
        <v>4091</v>
      </c>
      <c r="C1220" t="s">
        <v>499</v>
      </c>
      <c r="D1220" t="s">
        <v>103</v>
      </c>
      <c r="E1220">
        <f>_xlfn.XLOOKUP(D1220,'Resumen Estudiantes y Profesore'!B:B,'Resumen Estudiantes y Profesore'!A:A)</f>
        <v>58</v>
      </c>
      <c r="F1220" t="s">
        <v>244</v>
      </c>
      <c r="G1220" t="s">
        <v>246</v>
      </c>
      <c r="H1220" t="s">
        <v>246</v>
      </c>
      <c r="I1220" t="s">
        <v>674</v>
      </c>
      <c r="J1220" t="s">
        <v>85</v>
      </c>
      <c r="K1220" s="120" t="s">
        <v>4092</v>
      </c>
      <c r="N1220" s="49"/>
    </row>
    <row r="1221" spans="1:14">
      <c r="A1221" t="s">
        <v>4090</v>
      </c>
      <c r="B1221" t="s">
        <v>4093</v>
      </c>
      <c r="C1221" t="s">
        <v>463</v>
      </c>
      <c r="D1221" t="s">
        <v>191</v>
      </c>
      <c r="E1221">
        <f>_xlfn.XLOOKUP(D1221,'Resumen Estudiantes y Profesore'!B:B,'Resumen Estudiantes y Profesore'!A:A)</f>
        <v>61</v>
      </c>
      <c r="F1221" t="s">
        <v>244</v>
      </c>
      <c r="G1221" t="s">
        <v>247</v>
      </c>
      <c r="H1221" t="s">
        <v>247</v>
      </c>
      <c r="I1221" t="s">
        <v>674</v>
      </c>
      <c r="J1221" t="s">
        <v>85</v>
      </c>
      <c r="K1221" s="120" t="s">
        <v>4094</v>
      </c>
      <c r="N1221" s="49"/>
    </row>
    <row r="1222" spans="1:14">
      <c r="A1222" t="s">
        <v>4090</v>
      </c>
      <c r="B1222" t="s">
        <v>4095</v>
      </c>
      <c r="C1222" t="s">
        <v>482</v>
      </c>
      <c r="D1222" t="s">
        <v>217</v>
      </c>
      <c r="E1222">
        <f>_xlfn.XLOOKUP(D1222,'Resumen Estudiantes y Profesore'!B:B,'Resumen Estudiantes y Profesore'!A:A)</f>
        <v>84</v>
      </c>
      <c r="F1222" t="s">
        <v>244</v>
      </c>
      <c r="G1222" t="s">
        <v>247</v>
      </c>
      <c r="H1222" t="s">
        <v>247</v>
      </c>
      <c r="I1222" t="s">
        <v>674</v>
      </c>
      <c r="J1222" t="s">
        <v>85</v>
      </c>
      <c r="K1222" s="120" t="s">
        <v>4096</v>
      </c>
      <c r="N1222" s="49"/>
    </row>
    <row r="1223" spans="1:14">
      <c r="A1223" t="s">
        <v>4090</v>
      </c>
      <c r="B1223" t="s">
        <v>4097</v>
      </c>
      <c r="C1223" t="s">
        <v>464</v>
      </c>
      <c r="D1223" t="s">
        <v>192</v>
      </c>
      <c r="E1223">
        <f>_xlfn.XLOOKUP(D1223,'Resumen Estudiantes y Profesore'!B:B,'Resumen Estudiantes y Profesore'!A:A)</f>
        <v>65</v>
      </c>
      <c r="F1223" t="s">
        <v>244</v>
      </c>
      <c r="G1223" t="s">
        <v>247</v>
      </c>
      <c r="H1223" t="s">
        <v>247</v>
      </c>
      <c r="I1223" t="s">
        <v>674</v>
      </c>
      <c r="J1223" t="s">
        <v>85</v>
      </c>
      <c r="K1223" s="120" t="s">
        <v>4098</v>
      </c>
      <c r="N1223" s="49"/>
    </row>
    <row r="1224" spans="1:14">
      <c r="A1224" t="s">
        <v>4090</v>
      </c>
      <c r="B1224" t="s">
        <v>4099</v>
      </c>
      <c r="C1224" t="s">
        <v>432</v>
      </c>
      <c r="D1224" t="s">
        <v>41</v>
      </c>
      <c r="E1224">
        <f>_xlfn.XLOOKUP(D1224,'Resumen Estudiantes y Profesore'!B:B,'Resumen Estudiantes y Profesore'!A:A)</f>
        <v>31</v>
      </c>
      <c r="F1224" t="s">
        <v>244</v>
      </c>
      <c r="G1224" t="s">
        <v>246</v>
      </c>
      <c r="H1224" t="s">
        <v>246</v>
      </c>
      <c r="I1224" t="s">
        <v>682</v>
      </c>
      <c r="J1224" t="s">
        <v>85</v>
      </c>
      <c r="K1224" s="120" t="s">
        <v>4100</v>
      </c>
      <c r="N1224" s="49"/>
    </row>
    <row r="1225" spans="1:14">
      <c r="A1225" t="s">
        <v>4101</v>
      </c>
      <c r="B1225" t="s">
        <v>4102</v>
      </c>
      <c r="C1225" t="s">
        <v>418</v>
      </c>
      <c r="D1225" t="s">
        <v>232</v>
      </c>
      <c r="E1225">
        <f>_xlfn.XLOOKUP(D1225,'Resumen Estudiantes y Profesore'!B:B,'Resumen Estudiantes y Profesore'!A:A)</f>
        <v>151</v>
      </c>
      <c r="F1225" t="s">
        <v>244</v>
      </c>
      <c r="G1225" t="s">
        <v>246</v>
      </c>
      <c r="H1225" t="s">
        <v>246</v>
      </c>
      <c r="I1225" t="s">
        <v>682</v>
      </c>
      <c r="J1225" t="s">
        <v>77</v>
      </c>
      <c r="K1225" s="120" t="s">
        <v>4103</v>
      </c>
      <c r="N1225" s="49"/>
    </row>
    <row r="1226" spans="1:14">
      <c r="A1226" t="s">
        <v>4104</v>
      </c>
      <c r="B1226" t="s">
        <v>4105</v>
      </c>
      <c r="C1226" t="s">
        <v>468</v>
      </c>
      <c r="D1226" t="s">
        <v>178</v>
      </c>
      <c r="E1226">
        <f>_xlfn.XLOOKUP(D1226,'Resumen Estudiantes y Profesore'!B:B,'Resumen Estudiantes y Profesore'!A:A)</f>
        <v>75</v>
      </c>
      <c r="F1226" t="s">
        <v>244</v>
      </c>
      <c r="G1226" t="s">
        <v>246</v>
      </c>
      <c r="H1226" t="s">
        <v>246</v>
      </c>
      <c r="I1226" t="s">
        <v>674</v>
      </c>
      <c r="J1226" t="s">
        <v>89</v>
      </c>
      <c r="K1226" s="120" t="s">
        <v>4106</v>
      </c>
      <c r="N1226" s="49"/>
    </row>
    <row r="1227" spans="1:14">
      <c r="A1227" t="s">
        <v>4104</v>
      </c>
      <c r="B1227" t="s">
        <v>4107</v>
      </c>
      <c r="C1227" t="s">
        <v>446</v>
      </c>
      <c r="D1227" t="s">
        <v>34</v>
      </c>
      <c r="E1227">
        <f>_xlfn.XLOOKUP(D1227,'Resumen Estudiantes y Profesore'!B:B,'Resumen Estudiantes y Profesore'!A:A)</f>
        <v>39</v>
      </c>
      <c r="F1227" t="s">
        <v>244</v>
      </c>
      <c r="G1227" t="s">
        <v>246</v>
      </c>
      <c r="H1227" t="s">
        <v>246</v>
      </c>
      <c r="I1227" t="s">
        <v>682</v>
      </c>
      <c r="J1227" t="s">
        <v>89</v>
      </c>
      <c r="K1227" s="120" t="s">
        <v>4108</v>
      </c>
      <c r="N1227" s="49"/>
    </row>
    <row r="1228" spans="1:14">
      <c r="A1228" t="s">
        <v>4109</v>
      </c>
      <c r="B1228" t="s">
        <v>4110</v>
      </c>
      <c r="C1228" t="s">
        <v>424</v>
      </c>
      <c r="D1228" t="s">
        <v>24</v>
      </c>
      <c r="E1228">
        <f>_xlfn.XLOOKUP(D1228,'Resumen Estudiantes y Profesore'!B:B,'Resumen Estudiantes y Profesore'!A:A)</f>
        <v>27</v>
      </c>
      <c r="F1228" t="s">
        <v>244</v>
      </c>
      <c r="G1228" t="s">
        <v>246</v>
      </c>
      <c r="H1228" t="s">
        <v>246</v>
      </c>
      <c r="I1228" t="s">
        <v>682</v>
      </c>
      <c r="J1228" t="s">
        <v>83</v>
      </c>
      <c r="K1228" s="120" t="s">
        <v>4111</v>
      </c>
      <c r="N1228" s="49"/>
    </row>
    <row r="1229" spans="1:14">
      <c r="A1229" t="s">
        <v>4109</v>
      </c>
      <c r="B1229" t="s">
        <v>4112</v>
      </c>
      <c r="C1229" t="s">
        <v>428</v>
      </c>
      <c r="D1229" t="s">
        <v>25</v>
      </c>
      <c r="E1229">
        <f>_xlfn.XLOOKUP(D1229,'Resumen Estudiantes y Profesore'!B:B,'Resumen Estudiantes y Profesore'!A:A)</f>
        <v>28</v>
      </c>
      <c r="F1229" t="s">
        <v>244</v>
      </c>
      <c r="G1229" t="s">
        <v>246</v>
      </c>
      <c r="H1229" t="s">
        <v>246</v>
      </c>
      <c r="I1229" t="s">
        <v>682</v>
      </c>
      <c r="J1229" t="s">
        <v>83</v>
      </c>
      <c r="K1229" s="120" t="s">
        <v>4113</v>
      </c>
      <c r="N1229" s="49"/>
    </row>
    <row r="1230" spans="1:14">
      <c r="A1230" t="s">
        <v>4109</v>
      </c>
      <c r="B1230" t="s">
        <v>4114</v>
      </c>
      <c r="C1230" t="s">
        <v>426</v>
      </c>
      <c r="D1230" t="s">
        <v>23</v>
      </c>
      <c r="E1230">
        <f>_xlfn.XLOOKUP(D1230,'Resumen Estudiantes y Profesore'!B:B,'Resumen Estudiantes y Profesore'!A:A)</f>
        <v>26</v>
      </c>
      <c r="F1230" t="s">
        <v>244</v>
      </c>
      <c r="G1230" t="s">
        <v>246</v>
      </c>
      <c r="H1230" t="s">
        <v>246</v>
      </c>
      <c r="I1230" t="s">
        <v>682</v>
      </c>
      <c r="J1230" t="s">
        <v>83</v>
      </c>
      <c r="K1230" s="120" t="s">
        <v>4115</v>
      </c>
      <c r="N1230" s="49"/>
    </row>
    <row r="1231" spans="1:14">
      <c r="A1231" t="s">
        <v>4116</v>
      </c>
      <c r="B1231" t="s">
        <v>4117</v>
      </c>
      <c r="C1231" t="s">
        <v>99</v>
      </c>
      <c r="D1231" t="s">
        <v>99</v>
      </c>
      <c r="E1231">
        <f>_xlfn.XLOOKUP(D1231,'Resumen Estudiantes y Profesore'!B:B,'Resumen Estudiantes y Profesore'!A:A)</f>
        <v>70</v>
      </c>
      <c r="F1231" t="s">
        <v>244</v>
      </c>
      <c r="G1231" t="s">
        <v>246</v>
      </c>
      <c r="H1231" t="s">
        <v>246</v>
      </c>
      <c r="I1231" t="s">
        <v>674</v>
      </c>
      <c r="J1231" t="s">
        <v>89</v>
      </c>
      <c r="K1231" s="120" t="s">
        <v>4118</v>
      </c>
      <c r="N1231" s="49"/>
    </row>
    <row r="1232" spans="1:14">
      <c r="A1232" t="s">
        <v>4116</v>
      </c>
      <c r="B1232" t="s">
        <v>4119</v>
      </c>
      <c r="C1232" t="s">
        <v>451</v>
      </c>
      <c r="D1232" t="s">
        <v>38</v>
      </c>
      <c r="E1232">
        <f>_xlfn.XLOOKUP(D1232,'Resumen Estudiantes y Profesore'!B:B,'Resumen Estudiantes y Profesore'!A:A)</f>
        <v>42</v>
      </c>
      <c r="F1232" t="s">
        <v>244</v>
      </c>
      <c r="G1232" t="s">
        <v>246</v>
      </c>
      <c r="H1232" t="s">
        <v>246</v>
      </c>
      <c r="I1232" t="s">
        <v>682</v>
      </c>
      <c r="J1232" t="s">
        <v>90</v>
      </c>
      <c r="K1232" s="120" t="s">
        <v>4120</v>
      </c>
      <c r="N1232" s="49"/>
    </row>
    <row r="1233" spans="1:14">
      <c r="A1233" t="s">
        <v>4121</v>
      </c>
      <c r="B1233" t="s">
        <v>4122</v>
      </c>
      <c r="C1233" t="s">
        <v>488</v>
      </c>
      <c r="D1233" t="s">
        <v>109</v>
      </c>
      <c r="E1233">
        <f>_xlfn.XLOOKUP(D1233,'Resumen Estudiantes y Profesore'!B:B,'Resumen Estudiantes y Profesore'!A:A)</f>
        <v>1</v>
      </c>
      <c r="F1233" t="s">
        <v>244</v>
      </c>
      <c r="G1233" t="s">
        <v>246</v>
      </c>
      <c r="H1233" t="s">
        <v>246</v>
      </c>
      <c r="I1233" t="s">
        <v>674</v>
      </c>
      <c r="J1233" t="s">
        <v>90</v>
      </c>
      <c r="K1233" s="120" t="s">
        <v>4123</v>
      </c>
      <c r="N1233" s="49"/>
    </row>
    <row r="1234" spans="1:14">
      <c r="A1234" t="s">
        <v>4121</v>
      </c>
      <c r="B1234" t="s">
        <v>4124</v>
      </c>
      <c r="C1234" t="s">
        <v>451</v>
      </c>
      <c r="D1234" t="s">
        <v>38</v>
      </c>
      <c r="E1234">
        <f>_xlfn.XLOOKUP(D1234,'Resumen Estudiantes y Profesore'!B:B,'Resumen Estudiantes y Profesore'!A:A)</f>
        <v>42</v>
      </c>
      <c r="F1234" t="s">
        <v>244</v>
      </c>
      <c r="G1234" t="s">
        <v>246</v>
      </c>
      <c r="H1234" t="s">
        <v>246</v>
      </c>
      <c r="I1234" t="s">
        <v>682</v>
      </c>
      <c r="J1234" t="s">
        <v>90</v>
      </c>
      <c r="K1234" s="120" t="s">
        <v>4125</v>
      </c>
      <c r="N1234" s="49"/>
    </row>
    <row r="1235" spans="1:14">
      <c r="A1235" t="s">
        <v>2628</v>
      </c>
      <c r="B1235" t="s">
        <v>4126</v>
      </c>
      <c r="C1235" t="s">
        <v>475</v>
      </c>
      <c r="D1235" t="s">
        <v>205</v>
      </c>
      <c r="E1235">
        <f>_xlfn.XLOOKUP(D1235,'Resumen Estudiantes y Profesore'!B:B,'Resumen Estudiantes y Profesore'!A:A)</f>
        <v>80</v>
      </c>
      <c r="F1235" t="s">
        <v>244</v>
      </c>
      <c r="G1235" t="s">
        <v>246</v>
      </c>
      <c r="H1235" t="s">
        <v>246</v>
      </c>
      <c r="I1235" t="s">
        <v>674</v>
      </c>
      <c r="J1235" t="s">
        <v>91</v>
      </c>
      <c r="K1235" s="120" t="s">
        <v>4127</v>
      </c>
      <c r="N1235" s="49"/>
    </row>
    <row r="1236" spans="1:14">
      <c r="A1236" t="s">
        <v>2628</v>
      </c>
      <c r="B1236" t="s">
        <v>4128</v>
      </c>
      <c r="C1236" t="s">
        <v>453</v>
      </c>
      <c r="D1236" t="s">
        <v>39</v>
      </c>
      <c r="E1236">
        <f>_xlfn.XLOOKUP(D1236,'Resumen Estudiantes y Profesore'!B:B,'Resumen Estudiantes y Profesore'!A:A)</f>
        <v>43</v>
      </c>
      <c r="F1236" t="s">
        <v>244</v>
      </c>
      <c r="G1236" t="s">
        <v>246</v>
      </c>
      <c r="H1236" t="s">
        <v>246</v>
      </c>
      <c r="I1236" t="s">
        <v>682</v>
      </c>
      <c r="J1236" t="s">
        <v>91</v>
      </c>
      <c r="K1236" s="120" t="s">
        <v>4129</v>
      </c>
      <c r="N1236" s="49"/>
    </row>
    <row r="1237" spans="1:14">
      <c r="A1237" t="s">
        <v>4130</v>
      </c>
      <c r="B1237" t="s">
        <v>4131</v>
      </c>
      <c r="C1237" t="s">
        <v>532</v>
      </c>
      <c r="D1237" t="s">
        <v>194</v>
      </c>
      <c r="E1237">
        <f>_xlfn.XLOOKUP(D1237,'Resumen Estudiantes y Profesore'!B:B,'Resumen Estudiantes y Profesore'!A:A)</f>
        <v>79</v>
      </c>
      <c r="F1237" t="s">
        <v>244</v>
      </c>
      <c r="G1237" t="s">
        <v>247</v>
      </c>
      <c r="H1237" t="s">
        <v>247</v>
      </c>
      <c r="I1237" t="s">
        <v>674</v>
      </c>
      <c r="J1237" t="s">
        <v>90</v>
      </c>
      <c r="K1237" s="120" t="s">
        <v>4132</v>
      </c>
      <c r="N1237" s="49"/>
    </row>
    <row r="1238" spans="1:14">
      <c r="A1238" t="s">
        <v>4133</v>
      </c>
      <c r="B1238" t="s">
        <v>4134</v>
      </c>
      <c r="C1238" t="s">
        <v>468</v>
      </c>
      <c r="D1238" t="s">
        <v>178</v>
      </c>
      <c r="E1238">
        <f>_xlfn.XLOOKUP(D1238,'Resumen Estudiantes y Profesore'!B:B,'Resumen Estudiantes y Profesore'!A:A)</f>
        <v>75</v>
      </c>
      <c r="F1238" t="s">
        <v>244</v>
      </c>
      <c r="G1238" t="s">
        <v>246</v>
      </c>
      <c r="H1238" t="s">
        <v>246</v>
      </c>
      <c r="I1238" t="s">
        <v>674</v>
      </c>
      <c r="J1238" t="s">
        <v>89</v>
      </c>
      <c r="K1238" s="120" t="s">
        <v>4135</v>
      </c>
      <c r="N1238" s="49"/>
    </row>
    <row r="1239" spans="1:14">
      <c r="A1239" t="s">
        <v>4133</v>
      </c>
      <c r="B1239" t="s">
        <v>4136</v>
      </c>
      <c r="C1239" t="s">
        <v>446</v>
      </c>
      <c r="D1239" t="s">
        <v>34</v>
      </c>
      <c r="E1239">
        <f>_xlfn.XLOOKUP(D1239,'Resumen Estudiantes y Profesore'!B:B,'Resumen Estudiantes y Profesore'!A:A)</f>
        <v>39</v>
      </c>
      <c r="F1239" t="s">
        <v>244</v>
      </c>
      <c r="G1239" t="s">
        <v>246</v>
      </c>
      <c r="H1239" t="s">
        <v>246</v>
      </c>
      <c r="I1239" t="s">
        <v>682</v>
      </c>
      <c r="J1239" t="s">
        <v>89</v>
      </c>
      <c r="K1239" s="120" t="s">
        <v>4137</v>
      </c>
      <c r="N1239" s="49"/>
    </row>
    <row r="1240" spans="1:14">
      <c r="A1240" t="s">
        <v>4138</v>
      </c>
      <c r="B1240" t="s">
        <v>4139</v>
      </c>
      <c r="C1240" t="s">
        <v>99</v>
      </c>
      <c r="D1240" t="s">
        <v>99</v>
      </c>
      <c r="E1240">
        <f>_xlfn.XLOOKUP(D1240,'Resumen Estudiantes y Profesore'!B:B,'Resumen Estudiantes y Profesore'!A:A)</f>
        <v>70</v>
      </c>
      <c r="F1240" t="s">
        <v>244</v>
      </c>
      <c r="G1240" t="s">
        <v>247</v>
      </c>
      <c r="H1240" t="s">
        <v>247</v>
      </c>
      <c r="I1240" t="s">
        <v>674</v>
      </c>
      <c r="J1240" t="s">
        <v>89</v>
      </c>
      <c r="K1240" s="120" t="s">
        <v>4140</v>
      </c>
      <c r="N1240" s="49"/>
    </row>
    <row r="1241" spans="1:14">
      <c r="A1241" t="s">
        <v>4138</v>
      </c>
      <c r="B1241" t="s">
        <v>4141</v>
      </c>
      <c r="C1241" t="s">
        <v>534</v>
      </c>
      <c r="D1241" t="s">
        <v>36</v>
      </c>
      <c r="E1241">
        <f>_xlfn.XLOOKUP(D1241,'Resumen Estudiantes y Profesore'!B:B,'Resumen Estudiantes y Profesore'!A:A)</f>
        <v>37</v>
      </c>
      <c r="F1241" t="s">
        <v>244</v>
      </c>
      <c r="G1241" t="s">
        <v>246</v>
      </c>
      <c r="H1241" t="s">
        <v>246</v>
      </c>
      <c r="I1241" t="s">
        <v>682</v>
      </c>
      <c r="J1241" t="s">
        <v>89</v>
      </c>
      <c r="K1241" s="120" t="s">
        <v>4142</v>
      </c>
      <c r="N1241" s="49"/>
    </row>
    <row r="1242" spans="1:14">
      <c r="A1242" t="s">
        <v>4138</v>
      </c>
      <c r="B1242" t="s">
        <v>4143</v>
      </c>
      <c r="C1242" t="s">
        <v>450</v>
      </c>
      <c r="D1242" t="s">
        <v>37</v>
      </c>
      <c r="E1242">
        <f>_xlfn.XLOOKUP(D1242,'Resumen Estudiantes y Profesore'!B:B,'Resumen Estudiantes y Profesore'!A:A)</f>
        <v>41</v>
      </c>
      <c r="F1242" t="s">
        <v>244</v>
      </c>
      <c r="G1242" t="s">
        <v>247</v>
      </c>
      <c r="H1242" t="s">
        <v>247</v>
      </c>
      <c r="I1242" t="s">
        <v>682</v>
      </c>
      <c r="J1242" t="s">
        <v>89</v>
      </c>
      <c r="K1242" s="120" t="s">
        <v>4144</v>
      </c>
      <c r="N1242" s="49"/>
    </row>
    <row r="1243" spans="1:14">
      <c r="A1243" t="s">
        <v>4145</v>
      </c>
      <c r="B1243" t="s">
        <v>4146</v>
      </c>
      <c r="C1243" t="s">
        <v>471</v>
      </c>
      <c r="D1243" t="s">
        <v>196</v>
      </c>
      <c r="E1243">
        <f>_xlfn.XLOOKUP(D1243,'Resumen Estudiantes y Profesore'!B:B,'Resumen Estudiantes y Profesore'!A:A)</f>
        <v>76</v>
      </c>
      <c r="F1243" t="s">
        <v>244</v>
      </c>
      <c r="G1243" t="s">
        <v>246</v>
      </c>
      <c r="H1243" t="s">
        <v>246</v>
      </c>
      <c r="I1243" t="s">
        <v>674</v>
      </c>
      <c r="J1243" t="s">
        <v>90</v>
      </c>
      <c r="K1243" s="120" t="s">
        <v>4147</v>
      </c>
      <c r="N1243" s="49"/>
    </row>
    <row r="1244" spans="1:14">
      <c r="A1244" t="s">
        <v>4145</v>
      </c>
      <c r="B1244" t="s">
        <v>4148</v>
      </c>
      <c r="C1244" t="s">
        <v>451</v>
      </c>
      <c r="D1244" t="s">
        <v>38</v>
      </c>
      <c r="E1244">
        <f>_xlfn.XLOOKUP(D1244,'Resumen Estudiantes y Profesore'!B:B,'Resumen Estudiantes y Profesore'!A:A)</f>
        <v>42</v>
      </c>
      <c r="F1244" t="s">
        <v>244</v>
      </c>
      <c r="G1244" t="s">
        <v>246</v>
      </c>
      <c r="H1244" t="s">
        <v>246</v>
      </c>
      <c r="I1244" t="s">
        <v>682</v>
      </c>
      <c r="J1244" t="s">
        <v>90</v>
      </c>
      <c r="K1244" s="120" t="s">
        <v>4149</v>
      </c>
      <c r="N1244" s="49"/>
    </row>
    <row r="1245" spans="1:14">
      <c r="A1245" t="s">
        <v>4150</v>
      </c>
      <c r="B1245" t="s">
        <v>4151</v>
      </c>
      <c r="C1245" t="s">
        <v>437</v>
      </c>
      <c r="D1245" t="s">
        <v>30</v>
      </c>
      <c r="E1245">
        <f>_xlfn.XLOOKUP(D1245,'Resumen Estudiantes y Profesore'!B:B,'Resumen Estudiantes y Profesore'!A:A)</f>
        <v>34</v>
      </c>
      <c r="F1245" t="s">
        <v>244</v>
      </c>
      <c r="G1245" t="s">
        <v>246</v>
      </c>
      <c r="H1245" t="s">
        <v>246</v>
      </c>
      <c r="I1245" t="s">
        <v>682</v>
      </c>
      <c r="J1245" t="s">
        <v>87</v>
      </c>
      <c r="K1245" s="120" t="s">
        <v>4152</v>
      </c>
      <c r="N1245" s="49"/>
    </row>
    <row r="1246" spans="1:14">
      <c r="A1246" t="s">
        <v>4153</v>
      </c>
      <c r="B1246" t="s">
        <v>4154</v>
      </c>
      <c r="C1246" t="s">
        <v>505</v>
      </c>
      <c r="D1246" t="s">
        <v>153</v>
      </c>
      <c r="E1246">
        <f>_xlfn.XLOOKUP(D1246,'Resumen Estudiantes y Profesore'!B:B,'Resumen Estudiantes y Profesore'!A:A)</f>
        <v>104</v>
      </c>
      <c r="F1246" t="s">
        <v>244</v>
      </c>
      <c r="G1246" t="s">
        <v>246</v>
      </c>
      <c r="H1246" t="s">
        <v>246</v>
      </c>
      <c r="I1246" t="s">
        <v>674</v>
      </c>
      <c r="J1246" t="s">
        <v>87</v>
      </c>
      <c r="K1246" s="120" t="s">
        <v>4155</v>
      </c>
      <c r="N1246" s="49"/>
    </row>
    <row r="1247" spans="1:14">
      <c r="A1247" t="s">
        <v>4153</v>
      </c>
      <c r="B1247" t="s">
        <v>4156</v>
      </c>
      <c r="C1247" t="s">
        <v>436</v>
      </c>
      <c r="D1247" t="s">
        <v>29</v>
      </c>
      <c r="E1247">
        <f>_xlfn.XLOOKUP(D1247,'Resumen Estudiantes y Profesore'!B:B,'Resumen Estudiantes y Profesore'!A:A)</f>
        <v>33</v>
      </c>
      <c r="F1247" t="s">
        <v>244</v>
      </c>
      <c r="G1247" t="s">
        <v>246</v>
      </c>
      <c r="H1247" t="s">
        <v>246</v>
      </c>
      <c r="I1247" t="s">
        <v>682</v>
      </c>
      <c r="J1247" t="s">
        <v>87</v>
      </c>
      <c r="K1247" s="120" t="s">
        <v>4157</v>
      </c>
      <c r="N1247" s="49"/>
    </row>
    <row r="1248" spans="1:14">
      <c r="A1248" t="s">
        <v>4158</v>
      </c>
      <c r="B1248" t="s">
        <v>4159</v>
      </c>
      <c r="C1248" t="s">
        <v>431</v>
      </c>
      <c r="D1248" t="s">
        <v>27</v>
      </c>
      <c r="E1248">
        <f>_xlfn.XLOOKUP(D1248,'Resumen Estudiantes y Profesore'!B:B,'Resumen Estudiantes y Profesore'!A:A)</f>
        <v>30</v>
      </c>
      <c r="F1248" t="s">
        <v>244</v>
      </c>
      <c r="G1248" t="s">
        <v>246</v>
      </c>
      <c r="H1248" t="s">
        <v>246</v>
      </c>
      <c r="I1248" t="s">
        <v>682</v>
      </c>
      <c r="J1248" t="s">
        <v>84</v>
      </c>
      <c r="K1248" s="120" t="s">
        <v>4160</v>
      </c>
      <c r="N1248" s="49"/>
    </row>
    <row r="1249" spans="1:14">
      <c r="A1249" t="s">
        <v>4161</v>
      </c>
      <c r="B1249" t="s">
        <v>4162</v>
      </c>
      <c r="C1249" t="s">
        <v>531</v>
      </c>
      <c r="D1249" t="s">
        <v>98</v>
      </c>
      <c r="E1249">
        <f>_xlfn.XLOOKUP(D1249,'Resumen Estudiantes y Profesore'!B:B,'Resumen Estudiantes y Profesore'!A:A)</f>
        <v>44</v>
      </c>
      <c r="F1249" t="s">
        <v>244</v>
      </c>
      <c r="G1249" t="s">
        <v>246</v>
      </c>
      <c r="H1249" t="s">
        <v>246</v>
      </c>
      <c r="I1249" t="s">
        <v>674</v>
      </c>
      <c r="J1249" t="s">
        <v>77</v>
      </c>
      <c r="K1249" s="120" t="s">
        <v>4163</v>
      </c>
      <c r="N1249" s="49"/>
    </row>
    <row r="1250" spans="1:14">
      <c r="A1250" t="s">
        <v>4161</v>
      </c>
      <c r="B1250" t="s">
        <v>4164</v>
      </c>
      <c r="C1250" t="s">
        <v>477</v>
      </c>
      <c r="D1250" t="s">
        <v>198</v>
      </c>
      <c r="E1250">
        <f>_xlfn.XLOOKUP(D1250,'Resumen Estudiantes y Profesore'!B:B,'Resumen Estudiantes y Profesore'!A:A)</f>
        <v>45</v>
      </c>
      <c r="F1250" t="s">
        <v>244</v>
      </c>
      <c r="G1250" t="s">
        <v>246</v>
      </c>
      <c r="H1250" t="s">
        <v>246</v>
      </c>
      <c r="I1250" t="s">
        <v>674</v>
      </c>
      <c r="J1250" t="s">
        <v>77</v>
      </c>
      <c r="K1250" s="120" t="s">
        <v>4165</v>
      </c>
      <c r="N1250" s="49"/>
    </row>
    <row r="1251" spans="1:14">
      <c r="A1251" t="s">
        <v>4161</v>
      </c>
      <c r="B1251" t="s">
        <v>4166</v>
      </c>
      <c r="C1251" t="s">
        <v>547</v>
      </c>
      <c r="D1251" t="s">
        <v>214</v>
      </c>
      <c r="E1251">
        <f>_xlfn.XLOOKUP(D1251,'Resumen Estudiantes y Profesore'!B:B,'Resumen Estudiantes y Profesore'!A:A)</f>
        <v>207</v>
      </c>
      <c r="F1251" t="s">
        <v>244</v>
      </c>
      <c r="G1251" t="s">
        <v>246</v>
      </c>
      <c r="H1251" t="s">
        <v>246</v>
      </c>
      <c r="I1251" t="s">
        <v>674</v>
      </c>
      <c r="J1251" t="s">
        <v>77</v>
      </c>
      <c r="K1251" s="120" t="s">
        <v>4167</v>
      </c>
      <c r="N1251" s="49"/>
    </row>
    <row r="1252" spans="1:14">
      <c r="A1252" t="s">
        <v>4161</v>
      </c>
      <c r="B1252" t="s">
        <v>4168</v>
      </c>
      <c r="C1252" t="s">
        <v>480</v>
      </c>
      <c r="D1252" t="s">
        <v>202</v>
      </c>
      <c r="E1252">
        <f>_xlfn.XLOOKUP(D1252,'Resumen Estudiantes y Profesore'!B:B,'Resumen Estudiantes y Profesore'!A:A)</f>
        <v>48</v>
      </c>
      <c r="F1252" t="s">
        <v>244</v>
      </c>
      <c r="G1252" t="s">
        <v>246</v>
      </c>
      <c r="H1252" t="s">
        <v>246</v>
      </c>
      <c r="I1252" t="s">
        <v>674</v>
      </c>
      <c r="J1252" t="s">
        <v>77</v>
      </c>
      <c r="K1252" s="120" t="s">
        <v>4169</v>
      </c>
      <c r="N1252" s="49"/>
    </row>
    <row r="1253" spans="1:14">
      <c r="A1253" t="s">
        <v>4170</v>
      </c>
      <c r="B1253" t="s">
        <v>4171</v>
      </c>
      <c r="C1253" t="s">
        <v>500</v>
      </c>
      <c r="D1253" t="s">
        <v>104</v>
      </c>
      <c r="E1253">
        <f>_xlfn.XLOOKUP(D1253,'Resumen Estudiantes y Profesore'!B:B,'Resumen Estudiantes y Profesore'!A:A)</f>
        <v>66</v>
      </c>
      <c r="F1253" t="s">
        <v>244</v>
      </c>
      <c r="G1253" t="s">
        <v>246</v>
      </c>
      <c r="H1253" t="s">
        <v>246</v>
      </c>
      <c r="I1253" t="s">
        <v>674</v>
      </c>
      <c r="J1253" t="s">
        <v>87</v>
      </c>
      <c r="K1253" s="120" t="s">
        <v>4172</v>
      </c>
      <c r="N1253" s="49"/>
    </row>
    <row r="1254" spans="1:14">
      <c r="A1254" t="s">
        <v>4170</v>
      </c>
      <c r="B1254" t="s">
        <v>4173</v>
      </c>
      <c r="C1254" t="s">
        <v>465</v>
      </c>
      <c r="D1254" t="s">
        <v>197</v>
      </c>
      <c r="E1254">
        <f>_xlfn.XLOOKUP(D1254,'Resumen Estudiantes y Profesore'!B:B,'Resumen Estudiantes y Profesore'!A:A)</f>
        <v>67</v>
      </c>
      <c r="F1254" t="s">
        <v>244</v>
      </c>
      <c r="G1254" t="s">
        <v>247</v>
      </c>
      <c r="H1254" t="s">
        <v>247</v>
      </c>
      <c r="I1254" t="s">
        <v>674</v>
      </c>
      <c r="J1254" t="s">
        <v>87</v>
      </c>
      <c r="K1254" s="120" t="s">
        <v>4174</v>
      </c>
      <c r="N1254" s="49"/>
    </row>
    <row r="1255" spans="1:14">
      <c r="A1255" t="s">
        <v>4170</v>
      </c>
      <c r="B1255" t="s">
        <v>4175</v>
      </c>
      <c r="C1255" t="s">
        <v>487</v>
      </c>
      <c r="D1255" t="s">
        <v>212</v>
      </c>
      <c r="E1255">
        <f>_xlfn.XLOOKUP(D1255,'Resumen Estudiantes y Profesore'!B:B,'Resumen Estudiantes y Profesore'!A:A)</f>
        <v>94</v>
      </c>
      <c r="F1255" t="s">
        <v>244</v>
      </c>
      <c r="G1255" t="s">
        <v>247</v>
      </c>
      <c r="H1255" t="s">
        <v>247</v>
      </c>
      <c r="I1255" t="s">
        <v>674</v>
      </c>
      <c r="J1255" t="s">
        <v>87</v>
      </c>
      <c r="K1255" s="120" t="s">
        <v>4176</v>
      </c>
      <c r="N1255" s="49"/>
    </row>
    <row r="1256" spans="1:14">
      <c r="A1256" t="s">
        <v>4177</v>
      </c>
      <c r="B1256" t="s">
        <v>4178</v>
      </c>
      <c r="C1256" t="s">
        <v>537</v>
      </c>
      <c r="D1256" t="s">
        <v>108</v>
      </c>
      <c r="E1256">
        <f>_xlfn.XLOOKUP(D1256,'Resumen Estudiantes y Profesore'!B:B,'Resumen Estudiantes y Profesore'!A:A)</f>
        <v>71</v>
      </c>
      <c r="F1256" t="s">
        <v>244</v>
      </c>
      <c r="G1256" t="s">
        <v>246</v>
      </c>
      <c r="H1256" t="s">
        <v>246</v>
      </c>
      <c r="I1256" t="s">
        <v>674</v>
      </c>
      <c r="J1256" t="s">
        <v>89</v>
      </c>
      <c r="K1256" s="120" t="s">
        <v>4179</v>
      </c>
      <c r="N1256" s="49"/>
    </row>
    <row r="1257" spans="1:14">
      <c r="A1257" t="s">
        <v>4177</v>
      </c>
      <c r="B1257" t="s">
        <v>4180</v>
      </c>
      <c r="C1257" t="s">
        <v>468</v>
      </c>
      <c r="D1257" t="s">
        <v>178</v>
      </c>
      <c r="E1257">
        <f>_xlfn.XLOOKUP(D1257,'Resumen Estudiantes y Profesore'!B:B,'Resumen Estudiantes y Profesore'!A:A)</f>
        <v>75</v>
      </c>
      <c r="F1257" t="s">
        <v>244</v>
      </c>
      <c r="G1257" t="s">
        <v>246</v>
      </c>
      <c r="H1257" t="s">
        <v>246</v>
      </c>
      <c r="I1257" t="s">
        <v>674</v>
      </c>
      <c r="J1257" t="s">
        <v>89</v>
      </c>
      <c r="K1257" s="120" t="s">
        <v>4181</v>
      </c>
      <c r="N1257" s="49"/>
    </row>
    <row r="1258" spans="1:14">
      <c r="A1258" t="s">
        <v>4177</v>
      </c>
      <c r="B1258" t="s">
        <v>4182</v>
      </c>
      <c r="C1258" t="s">
        <v>444</v>
      </c>
      <c r="D1258" t="s">
        <v>33</v>
      </c>
      <c r="E1258">
        <f>_xlfn.XLOOKUP(D1258,'Resumen Estudiantes y Profesore'!B:B,'Resumen Estudiantes y Profesore'!A:A)</f>
        <v>38</v>
      </c>
      <c r="F1258" t="s">
        <v>244</v>
      </c>
      <c r="G1258" t="s">
        <v>246</v>
      </c>
      <c r="H1258" t="s">
        <v>246</v>
      </c>
      <c r="I1258" t="s">
        <v>682</v>
      </c>
      <c r="J1258" t="s">
        <v>89</v>
      </c>
      <c r="K1258" s="120" t="s">
        <v>4183</v>
      </c>
      <c r="N1258" s="49"/>
    </row>
    <row r="1259" spans="1:14">
      <c r="A1259" t="s">
        <v>1410</v>
      </c>
      <c r="B1259" t="s">
        <v>1411</v>
      </c>
      <c r="C1259" t="s">
        <v>531</v>
      </c>
      <c r="D1259" t="s">
        <v>98</v>
      </c>
      <c r="E1259">
        <f>_xlfn.XLOOKUP(D1259,'Resumen Estudiantes y Profesore'!B:B,'Resumen Estudiantes y Profesore'!A:A)</f>
        <v>44</v>
      </c>
      <c r="F1259" t="s">
        <v>244</v>
      </c>
      <c r="G1259" t="s">
        <v>246</v>
      </c>
      <c r="H1259" t="s">
        <v>246</v>
      </c>
      <c r="I1259" t="s">
        <v>674</v>
      </c>
      <c r="J1259" t="s">
        <v>77</v>
      </c>
      <c r="K1259" s="120" t="s">
        <v>4184</v>
      </c>
      <c r="N1259" s="49"/>
    </row>
    <row r="1260" spans="1:14">
      <c r="A1260" t="s">
        <v>1410</v>
      </c>
      <c r="B1260" t="s">
        <v>4185</v>
      </c>
      <c r="C1260" t="s">
        <v>417</v>
      </c>
      <c r="D1260" t="s">
        <v>231</v>
      </c>
      <c r="E1260">
        <f>_xlfn.XLOOKUP(D1260,'Resumen Estudiantes y Profesore'!B:B,'Resumen Estudiantes y Profesore'!A:A)</f>
        <v>150</v>
      </c>
      <c r="F1260" t="s">
        <v>244</v>
      </c>
      <c r="G1260" t="s">
        <v>246</v>
      </c>
      <c r="H1260" t="s">
        <v>246</v>
      </c>
      <c r="I1260" t="s">
        <v>682</v>
      </c>
      <c r="J1260" t="s">
        <v>77</v>
      </c>
      <c r="K1260" s="120" t="s">
        <v>4186</v>
      </c>
      <c r="N1260" s="49"/>
    </row>
    <row r="1261" spans="1:14">
      <c r="A1261" t="s">
        <v>4187</v>
      </c>
      <c r="B1261" t="s">
        <v>4188</v>
      </c>
      <c r="C1261" t="s">
        <v>522</v>
      </c>
      <c r="D1261" t="s">
        <v>174</v>
      </c>
      <c r="E1261">
        <f>_xlfn.XLOOKUP(D1261,'Resumen Estudiantes y Profesore'!B:B,'Resumen Estudiantes y Profesore'!A:A)</f>
        <v>131</v>
      </c>
      <c r="F1261" t="s">
        <v>244</v>
      </c>
      <c r="G1261" t="s">
        <v>246</v>
      </c>
      <c r="H1261" t="s">
        <v>246</v>
      </c>
      <c r="I1261" t="s">
        <v>674</v>
      </c>
      <c r="J1261" t="s">
        <v>138</v>
      </c>
      <c r="K1261" s="120" t="s">
        <v>4189</v>
      </c>
      <c r="N1261" s="49"/>
    </row>
    <row r="1262" spans="1:14">
      <c r="A1262" t="s">
        <v>4187</v>
      </c>
      <c r="B1262" t="s">
        <v>4190</v>
      </c>
      <c r="C1262" t="s">
        <v>524</v>
      </c>
      <c r="D1262" t="s">
        <v>172</v>
      </c>
      <c r="E1262">
        <f>_xlfn.XLOOKUP(D1262,'Resumen Estudiantes y Profesore'!B:B,'Resumen Estudiantes y Profesore'!A:A)</f>
        <v>136</v>
      </c>
      <c r="F1262" t="s">
        <v>244</v>
      </c>
      <c r="G1262" t="s">
        <v>246</v>
      </c>
      <c r="H1262" t="s">
        <v>246</v>
      </c>
      <c r="I1262" t="s">
        <v>674</v>
      </c>
      <c r="J1262" t="s">
        <v>138</v>
      </c>
      <c r="K1262" s="120" t="s">
        <v>4191</v>
      </c>
      <c r="N1262" s="49"/>
    </row>
    <row r="1263" spans="1:14">
      <c r="A1263" t="s">
        <v>4192</v>
      </c>
      <c r="B1263" t="s">
        <v>4193</v>
      </c>
      <c r="C1263" t="s">
        <v>505</v>
      </c>
      <c r="D1263" t="s">
        <v>153</v>
      </c>
      <c r="E1263">
        <f>_xlfn.XLOOKUP(D1263,'Resumen Estudiantes y Profesore'!B:B,'Resumen Estudiantes y Profesore'!A:A)</f>
        <v>104</v>
      </c>
      <c r="F1263" t="s">
        <v>244</v>
      </c>
      <c r="G1263" t="s">
        <v>246</v>
      </c>
      <c r="H1263" t="s">
        <v>246</v>
      </c>
      <c r="I1263" t="s">
        <v>674</v>
      </c>
      <c r="J1263" t="s">
        <v>87</v>
      </c>
      <c r="K1263" s="120" t="s">
        <v>4194</v>
      </c>
      <c r="N1263" s="49"/>
    </row>
    <row r="1264" spans="1:14">
      <c r="A1264" t="s">
        <v>4192</v>
      </c>
      <c r="B1264" t="s">
        <v>4195</v>
      </c>
      <c r="C1264" t="s">
        <v>436</v>
      </c>
      <c r="D1264" t="s">
        <v>29</v>
      </c>
      <c r="E1264">
        <f>_xlfn.XLOOKUP(D1264,'Resumen Estudiantes y Profesore'!B:B,'Resumen Estudiantes y Profesore'!A:A)</f>
        <v>33</v>
      </c>
      <c r="F1264" t="s">
        <v>244</v>
      </c>
      <c r="G1264" t="s">
        <v>246</v>
      </c>
      <c r="H1264" t="s">
        <v>246</v>
      </c>
      <c r="I1264" t="s">
        <v>682</v>
      </c>
      <c r="J1264" t="s">
        <v>87</v>
      </c>
      <c r="K1264" s="120" t="s">
        <v>4196</v>
      </c>
      <c r="N1264" s="49"/>
    </row>
    <row r="1265" spans="1:14">
      <c r="A1265" t="s">
        <v>4197</v>
      </c>
      <c r="B1265" t="s">
        <v>4198</v>
      </c>
      <c r="C1265" t="s">
        <v>451</v>
      </c>
      <c r="D1265" t="s">
        <v>38</v>
      </c>
      <c r="E1265">
        <f>_xlfn.XLOOKUP(D1265,'Resumen Estudiantes y Profesore'!B:B,'Resumen Estudiantes y Profesore'!A:A)</f>
        <v>42</v>
      </c>
      <c r="F1265" t="s">
        <v>244</v>
      </c>
      <c r="G1265" t="s">
        <v>246</v>
      </c>
      <c r="H1265" t="s">
        <v>246</v>
      </c>
      <c r="I1265" t="s">
        <v>682</v>
      </c>
      <c r="J1265" t="s">
        <v>90</v>
      </c>
      <c r="K1265" s="120" t="s">
        <v>4199</v>
      </c>
      <c r="N1265" s="49"/>
    </row>
    <row r="1266" spans="1:14">
      <c r="A1266" t="s">
        <v>4200</v>
      </c>
      <c r="B1266" t="s">
        <v>4201</v>
      </c>
      <c r="C1266" t="s">
        <v>473</v>
      </c>
      <c r="D1266" t="s">
        <v>195</v>
      </c>
      <c r="E1266">
        <f>_xlfn.XLOOKUP(D1266,'Resumen Estudiantes y Profesore'!B:B,'Resumen Estudiantes y Profesore'!A:A)</f>
        <v>77</v>
      </c>
      <c r="F1266" t="s">
        <v>244</v>
      </c>
      <c r="G1266" t="s">
        <v>247</v>
      </c>
      <c r="H1266" t="s">
        <v>247</v>
      </c>
      <c r="I1266" t="s">
        <v>674</v>
      </c>
      <c r="J1266" t="s">
        <v>90</v>
      </c>
      <c r="K1266" s="120" t="s">
        <v>4202</v>
      </c>
      <c r="N1266" s="49"/>
    </row>
    <row r="1267" spans="1:14">
      <c r="A1267" t="s">
        <v>4203</v>
      </c>
      <c r="B1267" t="s">
        <v>4204</v>
      </c>
      <c r="C1267" t="s">
        <v>426</v>
      </c>
      <c r="D1267" t="s">
        <v>23</v>
      </c>
      <c r="E1267">
        <f>_xlfn.XLOOKUP(D1267,'Resumen Estudiantes y Profesore'!B:B,'Resumen Estudiantes y Profesore'!A:A)</f>
        <v>26</v>
      </c>
      <c r="F1267" t="s">
        <v>244</v>
      </c>
      <c r="G1267" t="s">
        <v>246</v>
      </c>
      <c r="H1267" t="s">
        <v>246</v>
      </c>
      <c r="I1267" t="s">
        <v>682</v>
      </c>
      <c r="J1267" t="s">
        <v>83</v>
      </c>
      <c r="K1267" s="120" t="s">
        <v>4205</v>
      </c>
      <c r="N1267" s="49"/>
    </row>
    <row r="1268" spans="1:14">
      <c r="A1268" t="s">
        <v>4206</v>
      </c>
      <c r="B1268" t="s">
        <v>4207</v>
      </c>
      <c r="C1268" t="s">
        <v>99</v>
      </c>
      <c r="D1268" t="s">
        <v>99</v>
      </c>
      <c r="E1268">
        <f>_xlfn.XLOOKUP(D1268,'Resumen Estudiantes y Profesore'!B:B,'Resumen Estudiantes y Profesore'!A:A)</f>
        <v>70</v>
      </c>
      <c r="F1268" t="s">
        <v>244</v>
      </c>
      <c r="G1268" t="s">
        <v>246</v>
      </c>
      <c r="H1268" t="s">
        <v>246</v>
      </c>
      <c r="I1268" t="s">
        <v>674</v>
      </c>
      <c r="J1268" t="s">
        <v>89</v>
      </c>
      <c r="K1268" s="120" t="s">
        <v>4208</v>
      </c>
      <c r="N1268" s="49"/>
    </row>
    <row r="1269" spans="1:14">
      <c r="A1269" t="s">
        <v>4206</v>
      </c>
      <c r="B1269" t="s">
        <v>4209</v>
      </c>
      <c r="C1269" t="s">
        <v>451</v>
      </c>
      <c r="D1269" t="s">
        <v>38</v>
      </c>
      <c r="E1269">
        <f>_xlfn.XLOOKUP(D1269,'Resumen Estudiantes y Profesore'!B:B,'Resumen Estudiantes y Profesore'!A:A)</f>
        <v>42</v>
      </c>
      <c r="F1269" t="s">
        <v>244</v>
      </c>
      <c r="G1269" t="s">
        <v>246</v>
      </c>
      <c r="H1269" t="s">
        <v>246</v>
      </c>
      <c r="I1269" t="s">
        <v>682</v>
      </c>
      <c r="J1269" t="s">
        <v>90</v>
      </c>
      <c r="K1269" s="120" t="s">
        <v>4210</v>
      </c>
      <c r="N1269" s="49"/>
    </row>
    <row r="1270" spans="1:14">
      <c r="A1270" t="s">
        <v>4211</v>
      </c>
      <c r="B1270" t="s">
        <v>4212</v>
      </c>
      <c r="C1270" t="s">
        <v>545</v>
      </c>
      <c r="D1270" t="s">
        <v>211</v>
      </c>
      <c r="E1270">
        <f>_xlfn.XLOOKUP(D1270,'Resumen Estudiantes y Profesore'!B:B,'Resumen Estudiantes y Profesore'!A:A)</f>
        <v>206</v>
      </c>
      <c r="F1270" t="s">
        <v>244</v>
      </c>
      <c r="G1270" t="s">
        <v>247</v>
      </c>
      <c r="H1270" t="s">
        <v>247</v>
      </c>
      <c r="I1270" t="s">
        <v>674</v>
      </c>
      <c r="J1270" t="s">
        <v>87</v>
      </c>
      <c r="K1270" s="120" t="s">
        <v>4213</v>
      </c>
      <c r="N1270" s="49"/>
    </row>
    <row r="1271" spans="1:14">
      <c r="A1271" t="s">
        <v>4211</v>
      </c>
      <c r="B1271" t="s">
        <v>4214</v>
      </c>
      <c r="C1271" t="s">
        <v>546</v>
      </c>
      <c r="D1271" t="s">
        <v>211</v>
      </c>
      <c r="E1271">
        <f>_xlfn.XLOOKUP(D1271,'Resumen Estudiantes y Profesore'!B:B,'Resumen Estudiantes y Profesore'!A:A)</f>
        <v>206</v>
      </c>
      <c r="F1271" t="s">
        <v>244</v>
      </c>
      <c r="G1271" t="s">
        <v>246</v>
      </c>
      <c r="H1271" t="s">
        <v>246</v>
      </c>
      <c r="I1271" t="s">
        <v>674</v>
      </c>
      <c r="J1271" t="s">
        <v>87</v>
      </c>
      <c r="K1271" s="120" t="s">
        <v>4215</v>
      </c>
      <c r="N1271" s="49"/>
    </row>
    <row r="1272" spans="1:14">
      <c r="A1272" t="s">
        <v>4211</v>
      </c>
      <c r="B1272" t="s">
        <v>4216</v>
      </c>
      <c r="C1272" t="s">
        <v>437</v>
      </c>
      <c r="D1272" t="s">
        <v>30</v>
      </c>
      <c r="E1272">
        <f>_xlfn.XLOOKUP(D1272,'Resumen Estudiantes y Profesore'!B:B,'Resumen Estudiantes y Profesore'!A:A)</f>
        <v>34</v>
      </c>
      <c r="F1272" t="s">
        <v>244</v>
      </c>
      <c r="G1272" t="s">
        <v>246</v>
      </c>
      <c r="H1272" t="s">
        <v>246</v>
      </c>
      <c r="I1272" t="s">
        <v>682</v>
      </c>
      <c r="J1272" t="s">
        <v>87</v>
      </c>
      <c r="K1272" s="120" t="s">
        <v>4217</v>
      </c>
      <c r="N1272" s="49"/>
    </row>
    <row r="1273" spans="1:14">
      <c r="A1273" t="s">
        <v>4218</v>
      </c>
      <c r="B1273" t="s">
        <v>4219</v>
      </c>
      <c r="C1273" t="s">
        <v>531</v>
      </c>
      <c r="D1273" t="s">
        <v>98</v>
      </c>
      <c r="E1273">
        <f>_xlfn.XLOOKUP(D1273,'Resumen Estudiantes y Profesore'!B:B,'Resumen Estudiantes y Profesore'!A:A)</f>
        <v>44</v>
      </c>
      <c r="F1273" t="s">
        <v>244</v>
      </c>
      <c r="G1273" t="s">
        <v>246</v>
      </c>
      <c r="H1273" t="s">
        <v>246</v>
      </c>
      <c r="I1273" t="s">
        <v>674</v>
      </c>
      <c r="J1273" t="s">
        <v>77</v>
      </c>
      <c r="K1273" s="120" t="s">
        <v>4220</v>
      </c>
      <c r="N1273" s="49"/>
    </row>
    <row r="1274" spans="1:14">
      <c r="A1274" t="s">
        <v>4221</v>
      </c>
      <c r="B1274" t="s">
        <v>4222</v>
      </c>
      <c r="C1274" t="s">
        <v>424</v>
      </c>
      <c r="D1274" t="s">
        <v>24</v>
      </c>
      <c r="E1274">
        <f>_xlfn.XLOOKUP(D1274,'Resumen Estudiantes y Profesore'!B:B,'Resumen Estudiantes y Profesore'!A:A)</f>
        <v>27</v>
      </c>
      <c r="F1274" t="s">
        <v>244</v>
      </c>
      <c r="G1274" t="s">
        <v>246</v>
      </c>
      <c r="H1274" t="s">
        <v>246</v>
      </c>
      <c r="I1274" t="s">
        <v>682</v>
      </c>
      <c r="J1274" t="s">
        <v>83</v>
      </c>
      <c r="K1274" s="120" t="s">
        <v>4223</v>
      </c>
      <c r="N1274" s="49"/>
    </row>
    <row r="1275" spans="1:14">
      <c r="A1275" t="s">
        <v>4224</v>
      </c>
      <c r="B1275" t="s">
        <v>4225</v>
      </c>
      <c r="C1275" t="s">
        <v>469</v>
      </c>
      <c r="D1275" t="s">
        <v>179</v>
      </c>
      <c r="E1275">
        <f>_xlfn.XLOOKUP(D1275,'Resumen Estudiantes y Profesore'!B:B,'Resumen Estudiantes y Profesore'!A:A)</f>
        <v>73</v>
      </c>
      <c r="F1275" t="s">
        <v>244</v>
      </c>
      <c r="G1275" t="s">
        <v>246</v>
      </c>
      <c r="H1275" t="s">
        <v>246</v>
      </c>
      <c r="I1275" t="s">
        <v>674</v>
      </c>
      <c r="J1275" t="s">
        <v>89</v>
      </c>
      <c r="K1275" s="120" t="s">
        <v>4226</v>
      </c>
      <c r="N1275" s="49"/>
    </row>
    <row r="1276" spans="1:14">
      <c r="A1276" t="s">
        <v>4224</v>
      </c>
      <c r="B1276" t="s">
        <v>4227</v>
      </c>
      <c r="C1276" t="s">
        <v>450</v>
      </c>
      <c r="D1276" t="s">
        <v>37</v>
      </c>
      <c r="E1276">
        <f>_xlfn.XLOOKUP(D1276,'Resumen Estudiantes y Profesore'!B:B,'Resumen Estudiantes y Profesore'!A:A)</f>
        <v>41</v>
      </c>
      <c r="F1276" t="s">
        <v>244</v>
      </c>
      <c r="G1276" t="s">
        <v>246</v>
      </c>
      <c r="H1276" t="s">
        <v>246</v>
      </c>
      <c r="I1276" t="s">
        <v>682</v>
      </c>
      <c r="J1276" t="s">
        <v>89</v>
      </c>
      <c r="K1276" s="120" t="s">
        <v>4228</v>
      </c>
      <c r="N1276" s="49"/>
    </row>
    <row r="1277" spans="1:14">
      <c r="A1277" t="s">
        <v>4229</v>
      </c>
      <c r="B1277" t="s">
        <v>4230</v>
      </c>
      <c r="C1277" t="s">
        <v>469</v>
      </c>
      <c r="D1277" t="s">
        <v>179</v>
      </c>
      <c r="E1277">
        <f>_xlfn.XLOOKUP(D1277,'Resumen Estudiantes y Profesore'!B:B,'Resumen Estudiantes y Profesore'!A:A)</f>
        <v>73</v>
      </c>
      <c r="F1277" t="s">
        <v>244</v>
      </c>
      <c r="G1277" t="s">
        <v>247</v>
      </c>
      <c r="H1277" t="s">
        <v>247</v>
      </c>
      <c r="I1277" t="s">
        <v>674</v>
      </c>
      <c r="J1277" t="s">
        <v>89</v>
      </c>
      <c r="K1277" s="120" t="s">
        <v>4231</v>
      </c>
      <c r="N1277" s="49"/>
    </row>
    <row r="1278" spans="1:14">
      <c r="A1278" t="s">
        <v>4229</v>
      </c>
      <c r="B1278" t="s">
        <v>4232</v>
      </c>
      <c r="C1278" t="s">
        <v>441</v>
      </c>
      <c r="D1278" t="s">
        <v>32</v>
      </c>
      <c r="E1278">
        <f>_xlfn.XLOOKUP(D1278,'Resumen Estudiantes y Profesore'!B:B,'Resumen Estudiantes y Profesore'!A:A)</f>
        <v>36</v>
      </c>
      <c r="F1278" t="s">
        <v>244</v>
      </c>
      <c r="G1278" t="s">
        <v>246</v>
      </c>
      <c r="H1278" t="s">
        <v>246</v>
      </c>
      <c r="I1278" t="s">
        <v>682</v>
      </c>
      <c r="J1278" t="s">
        <v>89</v>
      </c>
      <c r="K1278" s="120" t="s">
        <v>4233</v>
      </c>
      <c r="N1278" s="49"/>
    </row>
    <row r="1279" spans="1:14">
      <c r="A1279" t="s">
        <v>4234</v>
      </c>
      <c r="B1279" t="s">
        <v>4235</v>
      </c>
      <c r="C1279" t="s">
        <v>486</v>
      </c>
      <c r="D1279" t="s">
        <v>181</v>
      </c>
      <c r="E1279">
        <f>_xlfn.XLOOKUP(D1279,'Resumen Estudiantes y Profesore'!B:B,'Resumen Estudiantes y Profesore'!A:A)</f>
        <v>95</v>
      </c>
      <c r="F1279" t="s">
        <v>244</v>
      </c>
      <c r="G1279" t="s">
        <v>246</v>
      </c>
      <c r="H1279" t="s">
        <v>246</v>
      </c>
      <c r="I1279" t="s">
        <v>674</v>
      </c>
      <c r="J1279" t="s">
        <v>182</v>
      </c>
      <c r="K1279" s="120" t="s">
        <v>4236</v>
      </c>
      <c r="N1279" s="49"/>
    </row>
    <row r="1280" spans="1:14">
      <c r="A1280" t="s">
        <v>4237</v>
      </c>
      <c r="B1280" s="120" t="s">
        <v>4238</v>
      </c>
      <c r="C1280" t="s">
        <v>95</v>
      </c>
      <c r="D1280" t="s">
        <v>251</v>
      </c>
      <c r="E1280">
        <f>_xlfn.XLOOKUP(D1280,'Resumen Estudiantes y Profesore'!B:B,'Resumen Estudiantes y Profesore'!A:A)</f>
        <v>211</v>
      </c>
      <c r="F1280" t="s">
        <v>244</v>
      </c>
      <c r="G1280" t="s">
        <v>246</v>
      </c>
      <c r="H1280" t="s">
        <v>246</v>
      </c>
      <c r="I1280" t="s">
        <v>682</v>
      </c>
      <c r="J1280" t="s">
        <v>95</v>
      </c>
      <c r="K1280" s="120" t="s">
        <v>4239</v>
      </c>
      <c r="N1280" s="49"/>
    </row>
    <row r="1281" spans="1:14">
      <c r="A1281" t="s">
        <v>4240</v>
      </c>
      <c r="B1281" t="s">
        <v>4241</v>
      </c>
      <c r="C1281" t="s">
        <v>451</v>
      </c>
      <c r="D1281" t="s">
        <v>38</v>
      </c>
      <c r="E1281">
        <f>_xlfn.XLOOKUP(D1281,'Resumen Estudiantes y Profesore'!B:B,'Resumen Estudiantes y Profesore'!A:A)</f>
        <v>42</v>
      </c>
      <c r="F1281" t="s">
        <v>244</v>
      </c>
      <c r="G1281" t="s">
        <v>246</v>
      </c>
      <c r="H1281" t="s">
        <v>246</v>
      </c>
      <c r="I1281" t="s">
        <v>682</v>
      </c>
      <c r="J1281" t="s">
        <v>90</v>
      </c>
      <c r="K1281" s="120" t="s">
        <v>4242</v>
      </c>
      <c r="N1281" s="49"/>
    </row>
    <row r="1282" spans="1:14">
      <c r="A1282" t="s">
        <v>2639</v>
      </c>
      <c r="B1282" t="s">
        <v>2640</v>
      </c>
      <c r="C1282" t="s">
        <v>531</v>
      </c>
      <c r="D1282" t="s">
        <v>98</v>
      </c>
      <c r="E1282">
        <f>_xlfn.XLOOKUP(D1282,'Resumen Estudiantes y Profesore'!B:B,'Resumen Estudiantes y Profesore'!A:A)</f>
        <v>44</v>
      </c>
      <c r="F1282" t="s">
        <v>244</v>
      </c>
      <c r="G1282" t="s">
        <v>246</v>
      </c>
      <c r="H1282" t="s">
        <v>246</v>
      </c>
      <c r="I1282" t="s">
        <v>674</v>
      </c>
      <c r="J1282" t="s">
        <v>77</v>
      </c>
      <c r="K1282" s="120" t="s">
        <v>4243</v>
      </c>
      <c r="N1282" s="49"/>
    </row>
    <row r="1283" spans="1:14">
      <c r="A1283" t="s">
        <v>2639</v>
      </c>
      <c r="B1283" t="s">
        <v>4244</v>
      </c>
      <c r="C1283" t="s">
        <v>530</v>
      </c>
      <c r="D1283" t="s">
        <v>199</v>
      </c>
      <c r="E1283">
        <f>_xlfn.XLOOKUP(D1283,'Resumen Estudiantes y Profesore'!B:B,'Resumen Estudiantes y Profesore'!A:A)</f>
        <v>49</v>
      </c>
      <c r="F1283" t="s">
        <v>244</v>
      </c>
      <c r="G1283" t="s">
        <v>246</v>
      </c>
      <c r="H1283" t="s">
        <v>246</v>
      </c>
      <c r="I1283" t="s">
        <v>674</v>
      </c>
      <c r="J1283" t="s">
        <v>77</v>
      </c>
      <c r="K1283" s="120" t="s">
        <v>4245</v>
      </c>
      <c r="N1283" s="49"/>
    </row>
    <row r="1284" spans="1:14">
      <c r="A1284" t="s">
        <v>2639</v>
      </c>
      <c r="B1284" t="s">
        <v>4246</v>
      </c>
      <c r="C1284" t="s">
        <v>417</v>
      </c>
      <c r="D1284" t="s">
        <v>231</v>
      </c>
      <c r="E1284">
        <f>_xlfn.XLOOKUP(D1284,'Resumen Estudiantes y Profesore'!B:B,'Resumen Estudiantes y Profesore'!A:A)</f>
        <v>150</v>
      </c>
      <c r="F1284" t="s">
        <v>244</v>
      </c>
      <c r="G1284" t="s">
        <v>246</v>
      </c>
      <c r="H1284" t="s">
        <v>246</v>
      </c>
      <c r="I1284" t="s">
        <v>682</v>
      </c>
      <c r="J1284" t="s">
        <v>77</v>
      </c>
      <c r="K1284" s="120" t="s">
        <v>4247</v>
      </c>
      <c r="N1284" s="49"/>
    </row>
    <row r="1285" spans="1:14">
      <c r="A1285" t="s">
        <v>4248</v>
      </c>
      <c r="B1285" t="s">
        <v>4249</v>
      </c>
      <c r="C1285" t="s">
        <v>490</v>
      </c>
      <c r="D1285" t="s">
        <v>111</v>
      </c>
      <c r="E1285">
        <f>_xlfn.XLOOKUP(D1285,'Resumen Estudiantes y Profesore'!B:B,'Resumen Estudiantes y Profesore'!A:A)</f>
        <v>3</v>
      </c>
      <c r="F1285" t="s">
        <v>244</v>
      </c>
      <c r="G1285" t="s">
        <v>246</v>
      </c>
      <c r="H1285" t="s">
        <v>246</v>
      </c>
      <c r="I1285" t="s">
        <v>674</v>
      </c>
      <c r="J1285" t="s">
        <v>90</v>
      </c>
      <c r="K1285" s="120" t="s">
        <v>4250</v>
      </c>
      <c r="N1285" s="49"/>
    </row>
    <row r="1286" spans="1:14">
      <c r="A1286" t="s">
        <v>4248</v>
      </c>
      <c r="B1286" t="s">
        <v>4251</v>
      </c>
      <c r="C1286" t="s">
        <v>451</v>
      </c>
      <c r="D1286" t="s">
        <v>38</v>
      </c>
      <c r="E1286">
        <f>_xlfn.XLOOKUP(D1286,'Resumen Estudiantes y Profesore'!B:B,'Resumen Estudiantes y Profesore'!A:A)</f>
        <v>42</v>
      </c>
      <c r="F1286" t="s">
        <v>244</v>
      </c>
      <c r="G1286" t="s">
        <v>246</v>
      </c>
      <c r="H1286" t="s">
        <v>246</v>
      </c>
      <c r="I1286" t="s">
        <v>682</v>
      </c>
      <c r="J1286" t="s">
        <v>90</v>
      </c>
      <c r="K1286" s="120" t="s">
        <v>4252</v>
      </c>
      <c r="N1286" s="49"/>
    </row>
    <row r="1287" spans="1:14">
      <c r="A1287" t="s">
        <v>4253</v>
      </c>
      <c r="B1287" t="s">
        <v>4254</v>
      </c>
      <c r="C1287" t="s">
        <v>499</v>
      </c>
      <c r="D1287" t="s">
        <v>103</v>
      </c>
      <c r="E1287">
        <f>_xlfn.XLOOKUP(D1287,'Resumen Estudiantes y Profesore'!B:B,'Resumen Estudiantes y Profesore'!A:A)</f>
        <v>58</v>
      </c>
      <c r="F1287" t="s">
        <v>244</v>
      </c>
      <c r="G1287" t="s">
        <v>246</v>
      </c>
      <c r="H1287" t="s">
        <v>246</v>
      </c>
      <c r="I1287" t="s">
        <v>674</v>
      </c>
      <c r="J1287" t="s">
        <v>85</v>
      </c>
      <c r="K1287" s="120" t="s">
        <v>4255</v>
      </c>
      <c r="N1287" s="49"/>
    </row>
    <row r="1288" spans="1:14">
      <c r="A1288" t="s">
        <v>4253</v>
      </c>
      <c r="B1288" t="s">
        <v>4256</v>
      </c>
      <c r="C1288" t="s">
        <v>463</v>
      </c>
      <c r="D1288" t="s">
        <v>191</v>
      </c>
      <c r="E1288">
        <f>_xlfn.XLOOKUP(D1288,'Resumen Estudiantes y Profesore'!B:B,'Resumen Estudiantes y Profesore'!A:A)</f>
        <v>61</v>
      </c>
      <c r="F1288" t="s">
        <v>244</v>
      </c>
      <c r="G1288" t="s">
        <v>246</v>
      </c>
      <c r="H1288" t="s">
        <v>246</v>
      </c>
      <c r="I1288" t="s">
        <v>674</v>
      </c>
      <c r="J1288" t="s">
        <v>85</v>
      </c>
      <c r="K1288" s="120" t="s">
        <v>4257</v>
      </c>
      <c r="N1288" s="49"/>
    </row>
    <row r="1289" spans="1:14">
      <c r="A1289" t="s">
        <v>4258</v>
      </c>
      <c r="B1289" t="s">
        <v>4259</v>
      </c>
      <c r="C1289" t="s">
        <v>537</v>
      </c>
      <c r="D1289" t="s">
        <v>108</v>
      </c>
      <c r="E1289">
        <f>_xlfn.XLOOKUP(D1289,'Resumen Estudiantes y Profesore'!B:B,'Resumen Estudiantes y Profesore'!A:A)</f>
        <v>71</v>
      </c>
      <c r="F1289" t="s">
        <v>244</v>
      </c>
      <c r="G1289" t="s">
        <v>246</v>
      </c>
      <c r="H1289" t="s">
        <v>246</v>
      </c>
      <c r="I1289" t="s">
        <v>674</v>
      </c>
      <c r="J1289" t="s">
        <v>89</v>
      </c>
      <c r="K1289" s="120" t="s">
        <v>4260</v>
      </c>
      <c r="N1289" s="49"/>
    </row>
    <row r="1290" spans="1:14">
      <c r="A1290" t="s">
        <v>4258</v>
      </c>
      <c r="B1290" t="s">
        <v>4261</v>
      </c>
      <c r="C1290" t="s">
        <v>470</v>
      </c>
      <c r="D1290" t="s">
        <v>180</v>
      </c>
      <c r="E1290">
        <f>_xlfn.XLOOKUP(D1290,'Resumen Estudiantes y Profesore'!B:B,'Resumen Estudiantes y Profesore'!A:A)</f>
        <v>74</v>
      </c>
      <c r="F1290" t="s">
        <v>244</v>
      </c>
      <c r="G1290" t="s">
        <v>246</v>
      </c>
      <c r="H1290" t="s">
        <v>246</v>
      </c>
      <c r="I1290" t="s">
        <v>674</v>
      </c>
      <c r="J1290" t="s">
        <v>89</v>
      </c>
      <c r="K1290" s="120" t="s">
        <v>4262</v>
      </c>
      <c r="N1290" s="49"/>
    </row>
    <row r="1291" spans="1:14">
      <c r="A1291" t="s">
        <v>4263</v>
      </c>
      <c r="B1291" t="s">
        <v>4264</v>
      </c>
      <c r="C1291" t="s">
        <v>431</v>
      </c>
      <c r="D1291" t="s">
        <v>27</v>
      </c>
      <c r="E1291">
        <f>_xlfn.XLOOKUP(D1291,'Resumen Estudiantes y Profesore'!B:B,'Resumen Estudiantes y Profesore'!A:A)</f>
        <v>30</v>
      </c>
      <c r="F1291" t="s">
        <v>244</v>
      </c>
      <c r="G1291" t="s">
        <v>246</v>
      </c>
      <c r="H1291" t="s">
        <v>246</v>
      </c>
      <c r="I1291" t="s">
        <v>682</v>
      </c>
      <c r="J1291" t="s">
        <v>84</v>
      </c>
      <c r="K1291" s="120" t="s">
        <v>4265</v>
      </c>
      <c r="N1291" s="49"/>
    </row>
    <row r="1292" spans="1:14">
      <c r="A1292" t="s">
        <v>4266</v>
      </c>
      <c r="B1292" t="s">
        <v>4267</v>
      </c>
      <c r="C1292" t="s">
        <v>454</v>
      </c>
      <c r="D1292" t="s">
        <v>183</v>
      </c>
      <c r="E1292">
        <f>_xlfn.XLOOKUP(D1292,'Resumen Estudiantes y Profesore'!B:B,'Resumen Estudiantes y Profesore'!A:A)</f>
        <v>51</v>
      </c>
      <c r="F1292" t="s">
        <v>244</v>
      </c>
      <c r="G1292" t="s">
        <v>246</v>
      </c>
      <c r="H1292" t="s">
        <v>246</v>
      </c>
      <c r="I1292" t="s">
        <v>674</v>
      </c>
      <c r="J1292" t="s">
        <v>83</v>
      </c>
      <c r="K1292" s="120" t="s">
        <v>4268</v>
      </c>
      <c r="N1292" s="49"/>
    </row>
    <row r="1293" spans="1:14">
      <c r="A1293" t="s">
        <v>4269</v>
      </c>
      <c r="B1293" t="s">
        <v>4270</v>
      </c>
      <c r="C1293" t="s">
        <v>424</v>
      </c>
      <c r="D1293" t="s">
        <v>24</v>
      </c>
      <c r="E1293">
        <f>_xlfn.XLOOKUP(D1293,'Resumen Estudiantes y Profesore'!B:B,'Resumen Estudiantes y Profesore'!A:A)</f>
        <v>27</v>
      </c>
      <c r="F1293" t="s">
        <v>244</v>
      </c>
      <c r="G1293" t="s">
        <v>246</v>
      </c>
      <c r="H1293" t="s">
        <v>246</v>
      </c>
      <c r="I1293" t="s">
        <v>682</v>
      </c>
      <c r="J1293" t="s">
        <v>83</v>
      </c>
      <c r="K1293" s="120" t="s">
        <v>4271</v>
      </c>
      <c r="N1293" s="49"/>
    </row>
    <row r="1294" spans="1:14">
      <c r="A1294" t="s">
        <v>4269</v>
      </c>
      <c r="B1294" t="s">
        <v>4272</v>
      </c>
      <c r="C1294" t="s">
        <v>428</v>
      </c>
      <c r="D1294" t="s">
        <v>25</v>
      </c>
      <c r="E1294">
        <f>_xlfn.XLOOKUP(D1294,'Resumen Estudiantes y Profesore'!B:B,'Resumen Estudiantes y Profesore'!A:A)</f>
        <v>28</v>
      </c>
      <c r="F1294" t="s">
        <v>244</v>
      </c>
      <c r="G1294" t="s">
        <v>246</v>
      </c>
      <c r="H1294" t="s">
        <v>246</v>
      </c>
      <c r="I1294" t="s">
        <v>682</v>
      </c>
      <c r="J1294" t="s">
        <v>83</v>
      </c>
      <c r="K1294" s="120" t="s">
        <v>4273</v>
      </c>
      <c r="N1294" s="49"/>
    </row>
    <row r="1295" spans="1:14">
      <c r="A1295" t="s">
        <v>4269</v>
      </c>
      <c r="B1295" t="s">
        <v>4274</v>
      </c>
      <c r="C1295" t="s">
        <v>426</v>
      </c>
      <c r="D1295" t="s">
        <v>23</v>
      </c>
      <c r="E1295">
        <f>_xlfn.XLOOKUP(D1295,'Resumen Estudiantes y Profesore'!B:B,'Resumen Estudiantes y Profesore'!A:A)</f>
        <v>26</v>
      </c>
      <c r="F1295" t="s">
        <v>244</v>
      </c>
      <c r="G1295" t="s">
        <v>246</v>
      </c>
      <c r="H1295" t="s">
        <v>246</v>
      </c>
      <c r="I1295" t="s">
        <v>682</v>
      </c>
      <c r="J1295" t="s">
        <v>83</v>
      </c>
      <c r="K1295" s="120" t="s">
        <v>4275</v>
      </c>
      <c r="N1295" s="49"/>
    </row>
    <row r="1296" spans="1:14">
      <c r="A1296" t="s">
        <v>4276</v>
      </c>
      <c r="B1296" t="s">
        <v>4277</v>
      </c>
      <c r="C1296" t="s">
        <v>431</v>
      </c>
      <c r="D1296" t="s">
        <v>27</v>
      </c>
      <c r="E1296">
        <f>_xlfn.XLOOKUP(D1296,'Resumen Estudiantes y Profesore'!B:B,'Resumen Estudiantes y Profesore'!A:A)</f>
        <v>30</v>
      </c>
      <c r="F1296" t="s">
        <v>244</v>
      </c>
      <c r="G1296" t="s">
        <v>246</v>
      </c>
      <c r="H1296" t="s">
        <v>246</v>
      </c>
      <c r="I1296" t="s">
        <v>682</v>
      </c>
      <c r="J1296" t="s">
        <v>84</v>
      </c>
      <c r="K1296" s="120" t="s">
        <v>4278</v>
      </c>
      <c r="N1296" s="49"/>
    </row>
    <row r="1297" spans="1:14">
      <c r="A1297" t="s">
        <v>4279</v>
      </c>
      <c r="B1297" t="s">
        <v>4280</v>
      </c>
      <c r="C1297" t="s">
        <v>93</v>
      </c>
      <c r="D1297" t="s">
        <v>93</v>
      </c>
      <c r="E1297">
        <f>_xlfn.XLOOKUP(D1297,'Resumen Estudiantes y Profesore'!B:B,'Resumen Estudiantes y Profesore'!A:A)</f>
        <v>210</v>
      </c>
      <c r="F1297" t="s">
        <v>244</v>
      </c>
      <c r="G1297" t="s">
        <v>246</v>
      </c>
      <c r="H1297" t="s">
        <v>246</v>
      </c>
      <c r="I1297" t="s">
        <v>682</v>
      </c>
      <c r="J1297" t="s">
        <v>93</v>
      </c>
      <c r="K1297" s="120" t="s">
        <v>4281</v>
      </c>
      <c r="N1297" s="49"/>
    </row>
    <row r="1298" spans="1:14">
      <c r="A1298" t="s">
        <v>4282</v>
      </c>
      <c r="B1298" t="s">
        <v>4283</v>
      </c>
      <c r="C1298" t="s">
        <v>498</v>
      </c>
      <c r="D1298" t="s">
        <v>101</v>
      </c>
      <c r="E1298">
        <f>_xlfn.XLOOKUP(D1298,'Resumen Estudiantes y Profesore'!B:B,'Resumen Estudiantes y Profesore'!A:A)</f>
        <v>50</v>
      </c>
      <c r="F1298" t="s">
        <v>244</v>
      </c>
      <c r="G1298" t="s">
        <v>246</v>
      </c>
      <c r="H1298" t="s">
        <v>246</v>
      </c>
      <c r="I1298" t="s">
        <v>674</v>
      </c>
      <c r="J1298" t="s">
        <v>83</v>
      </c>
      <c r="K1298" s="120" t="s">
        <v>4284</v>
      </c>
      <c r="N1298" s="49"/>
    </row>
    <row r="1299" spans="1:14">
      <c r="A1299" t="s">
        <v>2557</v>
      </c>
      <c r="B1299" t="s">
        <v>4285</v>
      </c>
      <c r="C1299" t="s">
        <v>475</v>
      </c>
      <c r="D1299" t="s">
        <v>205</v>
      </c>
      <c r="E1299">
        <f>_xlfn.XLOOKUP(D1299,'Resumen Estudiantes y Profesore'!B:B,'Resumen Estudiantes y Profesore'!A:A)</f>
        <v>80</v>
      </c>
      <c r="F1299" t="s">
        <v>244</v>
      </c>
      <c r="G1299" t="s">
        <v>247</v>
      </c>
      <c r="H1299" t="s">
        <v>247</v>
      </c>
      <c r="I1299" t="s">
        <v>674</v>
      </c>
      <c r="J1299" t="s">
        <v>91</v>
      </c>
      <c r="K1299" s="120" t="s">
        <v>4286</v>
      </c>
      <c r="N1299" s="49"/>
    </row>
    <row r="1300" spans="1:14">
      <c r="A1300" t="s">
        <v>4287</v>
      </c>
      <c r="B1300" t="s">
        <v>4288</v>
      </c>
      <c r="C1300" t="s">
        <v>465</v>
      </c>
      <c r="D1300" t="s">
        <v>197</v>
      </c>
      <c r="E1300">
        <f>_xlfn.XLOOKUP(D1300,'Resumen Estudiantes y Profesore'!B:B,'Resumen Estudiantes y Profesore'!A:A)</f>
        <v>67</v>
      </c>
      <c r="F1300" t="s">
        <v>244</v>
      </c>
      <c r="G1300" t="s">
        <v>246</v>
      </c>
      <c r="H1300" t="s">
        <v>246</v>
      </c>
      <c r="I1300" t="s">
        <v>674</v>
      </c>
      <c r="J1300" t="s">
        <v>87</v>
      </c>
      <c r="K1300" s="120" t="s">
        <v>4289</v>
      </c>
      <c r="N1300" s="49"/>
    </row>
    <row r="1301" spans="1:14">
      <c r="A1301" t="s">
        <v>4287</v>
      </c>
      <c r="B1301" t="s">
        <v>4290</v>
      </c>
      <c r="C1301" t="s">
        <v>487</v>
      </c>
      <c r="D1301" t="s">
        <v>212</v>
      </c>
      <c r="E1301">
        <f>_xlfn.XLOOKUP(D1301,'Resumen Estudiantes y Profesore'!B:B,'Resumen Estudiantes y Profesore'!A:A)</f>
        <v>94</v>
      </c>
      <c r="F1301" t="s">
        <v>244</v>
      </c>
      <c r="G1301" t="s">
        <v>246</v>
      </c>
      <c r="H1301" t="s">
        <v>246</v>
      </c>
      <c r="I1301" t="s">
        <v>674</v>
      </c>
      <c r="J1301" t="s">
        <v>87</v>
      </c>
      <c r="K1301" s="120" t="s">
        <v>4291</v>
      </c>
      <c r="N1301" s="49"/>
    </row>
    <row r="1302" spans="1:14">
      <c r="A1302" t="s">
        <v>4287</v>
      </c>
      <c r="B1302" t="s">
        <v>4292</v>
      </c>
      <c r="C1302" t="s">
        <v>437</v>
      </c>
      <c r="D1302" t="s">
        <v>30</v>
      </c>
      <c r="E1302">
        <f>_xlfn.XLOOKUP(D1302,'Resumen Estudiantes y Profesore'!B:B,'Resumen Estudiantes y Profesore'!A:A)</f>
        <v>34</v>
      </c>
      <c r="F1302" t="s">
        <v>244</v>
      </c>
      <c r="G1302" t="s">
        <v>246</v>
      </c>
      <c r="H1302" t="s">
        <v>246</v>
      </c>
      <c r="I1302" t="s">
        <v>682</v>
      </c>
      <c r="J1302" t="s">
        <v>87</v>
      </c>
      <c r="K1302" s="120" t="s">
        <v>4293</v>
      </c>
      <c r="N1302" s="49"/>
    </row>
    <row r="1303" spans="1:14">
      <c r="A1303" t="s">
        <v>4287</v>
      </c>
      <c r="B1303" t="s">
        <v>4294</v>
      </c>
      <c r="C1303" t="s">
        <v>436</v>
      </c>
      <c r="D1303" t="s">
        <v>29</v>
      </c>
      <c r="E1303">
        <f>_xlfn.XLOOKUP(D1303,'Resumen Estudiantes y Profesore'!B:B,'Resumen Estudiantes y Profesore'!A:A)</f>
        <v>33</v>
      </c>
      <c r="F1303" t="s">
        <v>244</v>
      </c>
      <c r="G1303" t="s">
        <v>246</v>
      </c>
      <c r="H1303" t="s">
        <v>246</v>
      </c>
      <c r="I1303" t="s">
        <v>682</v>
      </c>
      <c r="J1303" t="s">
        <v>87</v>
      </c>
      <c r="K1303" s="120" t="s">
        <v>4295</v>
      </c>
      <c r="N1303" s="49"/>
    </row>
    <row r="1304" spans="1:14">
      <c r="A1304" t="s">
        <v>4296</v>
      </c>
      <c r="B1304" t="s">
        <v>4297</v>
      </c>
      <c r="C1304" t="s">
        <v>424</v>
      </c>
      <c r="D1304" t="s">
        <v>24</v>
      </c>
      <c r="E1304">
        <f>_xlfn.XLOOKUP(D1304,'Resumen Estudiantes y Profesore'!B:B,'Resumen Estudiantes y Profesore'!A:A)</f>
        <v>27</v>
      </c>
      <c r="F1304" t="s">
        <v>244</v>
      </c>
      <c r="G1304" t="s">
        <v>246</v>
      </c>
      <c r="H1304" t="s">
        <v>246</v>
      </c>
      <c r="I1304" t="s">
        <v>682</v>
      </c>
      <c r="J1304" t="s">
        <v>83</v>
      </c>
      <c r="K1304" s="120" t="s">
        <v>4298</v>
      </c>
      <c r="N1304" s="49"/>
    </row>
    <row r="1305" spans="1:14">
      <c r="A1305" t="s">
        <v>4299</v>
      </c>
      <c r="B1305" t="s">
        <v>4300</v>
      </c>
      <c r="C1305" t="s">
        <v>519</v>
      </c>
      <c r="D1305" t="s">
        <v>168</v>
      </c>
      <c r="E1305">
        <f>_xlfn.XLOOKUP(D1305,'Resumen Estudiantes y Profesore'!B:B,'Resumen Estudiantes y Profesore'!A:A)</f>
        <v>127</v>
      </c>
      <c r="F1305" t="s">
        <v>244</v>
      </c>
      <c r="G1305" t="s">
        <v>246</v>
      </c>
      <c r="H1305" t="s">
        <v>247</v>
      </c>
      <c r="I1305" t="s">
        <v>674</v>
      </c>
      <c r="J1305" t="s">
        <v>138</v>
      </c>
      <c r="K1305" s="120" t="s">
        <v>4301</v>
      </c>
      <c r="N1305" s="49"/>
    </row>
    <row r="1306" spans="1:14">
      <c r="A1306" t="s">
        <v>4299</v>
      </c>
      <c r="B1306" t="s">
        <v>4302</v>
      </c>
      <c r="C1306" t="s">
        <v>513</v>
      </c>
      <c r="D1306" t="s">
        <v>146</v>
      </c>
      <c r="E1306">
        <f>_xlfn.XLOOKUP(D1306,'Resumen Estudiantes y Profesore'!B:B,'Resumen Estudiantes y Profesore'!A:A)</f>
        <v>113</v>
      </c>
      <c r="F1306" t="s">
        <v>244</v>
      </c>
      <c r="G1306" t="s">
        <v>246</v>
      </c>
      <c r="H1306" t="s">
        <v>247</v>
      </c>
      <c r="I1306" t="s">
        <v>674</v>
      </c>
      <c r="J1306" t="s">
        <v>138</v>
      </c>
      <c r="K1306" s="120" t="s">
        <v>4303</v>
      </c>
      <c r="N1306" s="49"/>
    </row>
    <row r="1307" spans="1:14">
      <c r="A1307" t="s">
        <v>4304</v>
      </c>
      <c r="B1307" t="s">
        <v>4305</v>
      </c>
      <c r="C1307" t="s">
        <v>460</v>
      </c>
      <c r="D1307" t="s">
        <v>189</v>
      </c>
      <c r="E1307">
        <f>_xlfn.XLOOKUP(D1307,'Resumen Estudiantes y Profesore'!B:B,'Resumen Estudiantes y Profesore'!A:A)</f>
        <v>60</v>
      </c>
      <c r="F1307" t="s">
        <v>244</v>
      </c>
      <c r="G1307" t="s">
        <v>246</v>
      </c>
      <c r="H1307" t="s">
        <v>246</v>
      </c>
      <c r="I1307" t="s">
        <v>674</v>
      </c>
      <c r="J1307" t="s">
        <v>85</v>
      </c>
      <c r="K1307" s="120" t="s">
        <v>4306</v>
      </c>
      <c r="N1307" s="49"/>
    </row>
    <row r="1308" spans="1:14">
      <c r="A1308" t="s">
        <v>4304</v>
      </c>
      <c r="B1308" t="s">
        <v>4307</v>
      </c>
      <c r="C1308" t="s">
        <v>434</v>
      </c>
      <c r="D1308" t="s">
        <v>28</v>
      </c>
      <c r="E1308">
        <f>_xlfn.XLOOKUP(D1308,'Resumen Estudiantes y Profesore'!B:B,'Resumen Estudiantes y Profesore'!A:A)</f>
        <v>32</v>
      </c>
      <c r="F1308" t="s">
        <v>244</v>
      </c>
      <c r="G1308" t="s">
        <v>246</v>
      </c>
      <c r="H1308" t="s">
        <v>246</v>
      </c>
      <c r="I1308" t="s">
        <v>682</v>
      </c>
      <c r="J1308" t="s">
        <v>85</v>
      </c>
      <c r="K1308" s="120" t="s">
        <v>4308</v>
      </c>
      <c r="N1308" s="49"/>
    </row>
    <row r="1309" spans="1:14">
      <c r="A1309" t="s">
        <v>4309</v>
      </c>
      <c r="B1309" t="s">
        <v>4310</v>
      </c>
      <c r="C1309" t="s">
        <v>451</v>
      </c>
      <c r="D1309" t="s">
        <v>38</v>
      </c>
      <c r="E1309">
        <f>_xlfn.XLOOKUP(D1309,'Resumen Estudiantes y Profesore'!B:B,'Resumen Estudiantes y Profesore'!A:A)</f>
        <v>42</v>
      </c>
      <c r="F1309" t="s">
        <v>244</v>
      </c>
      <c r="G1309" t="s">
        <v>246</v>
      </c>
      <c r="H1309" t="s">
        <v>246</v>
      </c>
      <c r="I1309" t="s">
        <v>682</v>
      </c>
      <c r="J1309" t="s">
        <v>90</v>
      </c>
      <c r="K1309" s="120" t="s">
        <v>4311</v>
      </c>
      <c r="N1309" s="49"/>
    </row>
    <row r="1310" spans="1:14">
      <c r="A1310" t="s">
        <v>4312</v>
      </c>
      <c r="B1310" t="s">
        <v>4313</v>
      </c>
      <c r="C1310" t="s">
        <v>497</v>
      </c>
      <c r="D1310" t="s">
        <v>128</v>
      </c>
      <c r="E1310">
        <f>_xlfn.XLOOKUP(D1310,'Resumen Estudiantes y Profesore'!B:B,'Resumen Estudiantes y Profesore'!A:A)</f>
        <v>16</v>
      </c>
      <c r="F1310" t="s">
        <v>244</v>
      </c>
      <c r="G1310" t="s">
        <v>246</v>
      </c>
      <c r="H1310" t="s">
        <v>246</v>
      </c>
      <c r="I1310" t="s">
        <v>674</v>
      </c>
      <c r="J1310" t="s">
        <v>90</v>
      </c>
      <c r="K1310" s="120" t="s">
        <v>4314</v>
      </c>
      <c r="N1310" s="49"/>
    </row>
    <row r="1311" spans="1:14">
      <c r="A1311" t="s">
        <v>4312</v>
      </c>
      <c r="B1311" t="s">
        <v>4315</v>
      </c>
      <c r="C1311" t="s">
        <v>451</v>
      </c>
      <c r="D1311" t="s">
        <v>38</v>
      </c>
      <c r="E1311">
        <f>_xlfn.XLOOKUP(D1311,'Resumen Estudiantes y Profesore'!B:B,'Resumen Estudiantes y Profesore'!A:A)</f>
        <v>42</v>
      </c>
      <c r="F1311" t="s">
        <v>244</v>
      </c>
      <c r="G1311" t="s">
        <v>246</v>
      </c>
      <c r="H1311" t="s">
        <v>246</v>
      </c>
      <c r="I1311" t="s">
        <v>682</v>
      </c>
      <c r="J1311" t="s">
        <v>90</v>
      </c>
      <c r="K1311" s="120" t="s">
        <v>4316</v>
      </c>
      <c r="N1311" s="49"/>
    </row>
    <row r="1312" spans="1:14">
      <c r="A1312" t="s">
        <v>4317</v>
      </c>
      <c r="B1312" t="s">
        <v>4318</v>
      </c>
      <c r="C1312" t="s">
        <v>439</v>
      </c>
      <c r="D1312" t="s">
        <v>31</v>
      </c>
      <c r="E1312">
        <f>_xlfn.XLOOKUP(D1312,'Resumen Estudiantes y Profesore'!B:B,'Resumen Estudiantes y Profesore'!A:A)</f>
        <v>35</v>
      </c>
      <c r="F1312" t="s">
        <v>244</v>
      </c>
      <c r="G1312" t="s">
        <v>246</v>
      </c>
      <c r="H1312" t="s">
        <v>246</v>
      </c>
      <c r="I1312" t="s">
        <v>682</v>
      </c>
      <c r="J1312" t="s">
        <v>88</v>
      </c>
      <c r="K1312" s="120" t="s">
        <v>4319</v>
      </c>
      <c r="N1312" s="49"/>
    </row>
    <row r="1313" spans="1:14">
      <c r="A1313" t="s">
        <v>4320</v>
      </c>
      <c r="B1313" t="s">
        <v>4321</v>
      </c>
      <c r="C1313" t="s">
        <v>448</v>
      </c>
      <c r="D1313" t="s">
        <v>35</v>
      </c>
      <c r="E1313">
        <f>_xlfn.XLOOKUP(D1313,'Resumen Estudiantes y Profesore'!B:B,'Resumen Estudiantes y Profesore'!A:A)</f>
        <v>40</v>
      </c>
      <c r="F1313" t="s">
        <v>244</v>
      </c>
      <c r="G1313" t="s">
        <v>246</v>
      </c>
      <c r="H1313" t="s">
        <v>246</v>
      </c>
      <c r="I1313" t="s">
        <v>682</v>
      </c>
      <c r="J1313" t="s">
        <v>89</v>
      </c>
      <c r="K1313" s="120" t="s">
        <v>4322</v>
      </c>
      <c r="N1313" s="49"/>
    </row>
    <row r="1314" spans="1:14">
      <c r="A1314" t="s">
        <v>4323</v>
      </c>
      <c r="B1314" t="s">
        <v>4324</v>
      </c>
      <c r="C1314" t="s">
        <v>93</v>
      </c>
      <c r="D1314" t="s">
        <v>93</v>
      </c>
      <c r="E1314">
        <f>_xlfn.XLOOKUP(D1314,'Resumen Estudiantes y Profesore'!B:B,'Resumen Estudiantes y Profesore'!A:A)</f>
        <v>210</v>
      </c>
      <c r="F1314" t="s">
        <v>244</v>
      </c>
      <c r="G1314" t="s">
        <v>246</v>
      </c>
      <c r="H1314" t="s">
        <v>246</v>
      </c>
      <c r="I1314" t="s">
        <v>682</v>
      </c>
      <c r="J1314" t="s">
        <v>93</v>
      </c>
      <c r="K1314" s="120" t="s">
        <v>4325</v>
      </c>
      <c r="N1314" s="49"/>
    </row>
    <row r="1315" spans="1:14">
      <c r="A1315" t="s">
        <v>4326</v>
      </c>
      <c r="B1315" t="s">
        <v>4327</v>
      </c>
      <c r="C1315" t="s">
        <v>472</v>
      </c>
      <c r="D1315" t="s">
        <v>193</v>
      </c>
      <c r="E1315">
        <f>_xlfn.XLOOKUP(D1315,'Resumen Estudiantes y Profesore'!B:B,'Resumen Estudiantes y Profesore'!A:A)</f>
        <v>78</v>
      </c>
      <c r="F1315" t="s">
        <v>244</v>
      </c>
      <c r="G1315" t="s">
        <v>247</v>
      </c>
      <c r="H1315" t="s">
        <v>247</v>
      </c>
      <c r="I1315" t="s">
        <v>674</v>
      </c>
      <c r="J1315" t="s">
        <v>90</v>
      </c>
      <c r="K1315" s="120" t="s">
        <v>4328</v>
      </c>
      <c r="N1315" s="49"/>
    </row>
    <row r="1316" spans="1:14">
      <c r="A1316" t="s">
        <v>4329</v>
      </c>
      <c r="B1316" t="s">
        <v>4330</v>
      </c>
      <c r="C1316" t="s">
        <v>431</v>
      </c>
      <c r="D1316" t="s">
        <v>27</v>
      </c>
      <c r="E1316">
        <f>_xlfn.XLOOKUP(D1316,'Resumen Estudiantes y Profesore'!B:B,'Resumen Estudiantes y Profesore'!A:A)</f>
        <v>30</v>
      </c>
      <c r="F1316" t="s">
        <v>244</v>
      </c>
      <c r="G1316" t="s">
        <v>246</v>
      </c>
      <c r="H1316" t="s">
        <v>246</v>
      </c>
      <c r="I1316" t="s">
        <v>682</v>
      </c>
      <c r="J1316" t="s">
        <v>84</v>
      </c>
      <c r="K1316" s="120" t="s">
        <v>4331</v>
      </c>
      <c r="N1316" s="49"/>
    </row>
    <row r="1317" spans="1:14">
      <c r="A1317" t="s">
        <v>2646</v>
      </c>
      <c r="B1317" t="s">
        <v>4332</v>
      </c>
      <c r="C1317" t="s">
        <v>459</v>
      </c>
      <c r="D1317" t="s">
        <v>188</v>
      </c>
      <c r="E1317">
        <f>_xlfn.XLOOKUP(D1317,'Resumen Estudiantes y Profesore'!B:B,'Resumen Estudiantes y Profesore'!A:A)</f>
        <v>56</v>
      </c>
      <c r="F1317" t="s">
        <v>244</v>
      </c>
      <c r="G1317" t="s">
        <v>247</v>
      </c>
      <c r="H1317" t="s">
        <v>247</v>
      </c>
      <c r="I1317" t="s">
        <v>674</v>
      </c>
      <c r="J1317" t="s">
        <v>84</v>
      </c>
      <c r="K1317" s="120" t="s">
        <v>4333</v>
      </c>
      <c r="N1317" s="49"/>
    </row>
    <row r="1318" spans="1:14">
      <c r="A1318" t="s">
        <v>2646</v>
      </c>
      <c r="B1318" t="s">
        <v>4334</v>
      </c>
      <c r="C1318" t="s">
        <v>430</v>
      </c>
      <c r="D1318" t="s">
        <v>26</v>
      </c>
      <c r="E1318">
        <f>_xlfn.XLOOKUP(D1318,'Resumen Estudiantes y Profesore'!B:B,'Resumen Estudiantes y Profesore'!A:A)</f>
        <v>29</v>
      </c>
      <c r="F1318" t="s">
        <v>244</v>
      </c>
      <c r="G1318" t="s">
        <v>246</v>
      </c>
      <c r="H1318" t="s">
        <v>246</v>
      </c>
      <c r="I1318" t="s">
        <v>682</v>
      </c>
      <c r="J1318" t="s">
        <v>84</v>
      </c>
      <c r="K1318" s="120" t="s">
        <v>4335</v>
      </c>
      <c r="N1318" s="49"/>
    </row>
    <row r="1319" spans="1:14">
      <c r="A1319" t="s">
        <v>4336</v>
      </c>
      <c r="B1319" t="s">
        <v>4337</v>
      </c>
      <c r="C1319" t="s">
        <v>95</v>
      </c>
      <c r="D1319" t="s">
        <v>251</v>
      </c>
      <c r="E1319">
        <f>_xlfn.XLOOKUP(D1319,'Resumen Estudiantes y Profesore'!B:B,'Resumen Estudiantes y Profesore'!A:A)</f>
        <v>211</v>
      </c>
      <c r="F1319" t="s">
        <v>244</v>
      </c>
      <c r="G1319" t="s">
        <v>246</v>
      </c>
      <c r="H1319" t="s">
        <v>246</v>
      </c>
      <c r="I1319" t="s">
        <v>682</v>
      </c>
      <c r="J1319" t="s">
        <v>95</v>
      </c>
      <c r="K1319" s="120" t="s">
        <v>4338</v>
      </c>
      <c r="N1319" s="49"/>
    </row>
    <row r="1320" spans="1:14">
      <c r="A1320" t="s">
        <v>4339</v>
      </c>
      <c r="B1320" t="s">
        <v>4340</v>
      </c>
      <c r="C1320" t="s">
        <v>469</v>
      </c>
      <c r="D1320" t="s">
        <v>179</v>
      </c>
      <c r="E1320">
        <f>_xlfn.XLOOKUP(D1320,'Resumen Estudiantes y Profesore'!B:B,'Resumen Estudiantes y Profesore'!A:A)</f>
        <v>73</v>
      </c>
      <c r="F1320" t="s">
        <v>244</v>
      </c>
      <c r="G1320" t="s">
        <v>246</v>
      </c>
      <c r="H1320" t="s">
        <v>246</v>
      </c>
      <c r="I1320" t="s">
        <v>674</v>
      </c>
      <c r="J1320" t="s">
        <v>89</v>
      </c>
      <c r="K1320" s="120" t="s">
        <v>4341</v>
      </c>
      <c r="N1320" s="49"/>
    </row>
    <row r="1321" spans="1:14">
      <c r="A1321" t="s">
        <v>4339</v>
      </c>
      <c r="B1321" t="s">
        <v>4342</v>
      </c>
      <c r="C1321" t="s">
        <v>4343</v>
      </c>
      <c r="D1321" t="s">
        <v>34</v>
      </c>
      <c r="E1321">
        <f>_xlfn.XLOOKUP(D1321,'Resumen Estudiantes y Profesore'!B:B,'Resumen Estudiantes y Profesore'!A:A)</f>
        <v>39</v>
      </c>
      <c r="F1321" t="s">
        <v>244</v>
      </c>
      <c r="G1321" t="s">
        <v>246</v>
      </c>
      <c r="H1321" t="s">
        <v>246</v>
      </c>
      <c r="I1321" t="s">
        <v>682</v>
      </c>
      <c r="J1321" t="s">
        <v>89</v>
      </c>
      <c r="K1321" s="120" t="s">
        <v>4344</v>
      </c>
      <c r="N1321" s="49"/>
    </row>
    <row r="1322" spans="1:14">
      <c r="A1322" t="s">
        <v>2649</v>
      </c>
      <c r="B1322" t="s">
        <v>4345</v>
      </c>
      <c r="C1322" t="s">
        <v>454</v>
      </c>
      <c r="D1322" t="s">
        <v>183</v>
      </c>
      <c r="E1322">
        <f>_xlfn.XLOOKUP(D1322,'Resumen Estudiantes y Profesore'!B:B,'Resumen Estudiantes y Profesore'!A:A)</f>
        <v>51</v>
      </c>
      <c r="F1322" t="s">
        <v>244</v>
      </c>
      <c r="G1322" t="s">
        <v>247</v>
      </c>
      <c r="H1322" t="s">
        <v>247</v>
      </c>
      <c r="I1322" t="s">
        <v>674</v>
      </c>
      <c r="J1322" t="s">
        <v>83</v>
      </c>
      <c r="K1322" s="120" t="s">
        <v>4346</v>
      </c>
      <c r="N1322" s="49"/>
    </row>
    <row r="1323" spans="1:14">
      <c r="A1323" t="s">
        <v>2649</v>
      </c>
      <c r="B1323" t="s">
        <v>4347</v>
      </c>
      <c r="C1323" t="s">
        <v>424</v>
      </c>
      <c r="D1323" t="s">
        <v>24</v>
      </c>
      <c r="E1323">
        <f>_xlfn.XLOOKUP(D1323,'Resumen Estudiantes y Profesore'!B:B,'Resumen Estudiantes y Profesore'!A:A)</f>
        <v>27</v>
      </c>
      <c r="F1323" t="s">
        <v>244</v>
      </c>
      <c r="G1323" t="s">
        <v>246</v>
      </c>
      <c r="H1323" t="s">
        <v>246</v>
      </c>
      <c r="I1323" t="s">
        <v>682</v>
      </c>
      <c r="J1323" t="s">
        <v>83</v>
      </c>
      <c r="K1323" s="120" t="s">
        <v>4348</v>
      </c>
      <c r="N1323" s="49"/>
    </row>
    <row r="1324" spans="1:14">
      <c r="A1324" t="s">
        <v>4349</v>
      </c>
      <c r="B1324" t="s">
        <v>4350</v>
      </c>
      <c r="C1324" t="s">
        <v>424</v>
      </c>
      <c r="D1324" t="s">
        <v>24</v>
      </c>
      <c r="E1324">
        <f>_xlfn.XLOOKUP(D1324,'Resumen Estudiantes y Profesore'!B:B,'Resumen Estudiantes y Profesore'!A:A)</f>
        <v>27</v>
      </c>
      <c r="F1324" t="s">
        <v>244</v>
      </c>
      <c r="G1324" t="s">
        <v>246</v>
      </c>
      <c r="H1324" t="s">
        <v>246</v>
      </c>
      <c r="I1324" t="s">
        <v>682</v>
      </c>
      <c r="J1324" t="s">
        <v>83</v>
      </c>
      <c r="K1324" s="120" t="s">
        <v>4351</v>
      </c>
      <c r="N1324" s="49"/>
    </row>
    <row r="1325" spans="1:14">
      <c r="A1325" t="s">
        <v>4349</v>
      </c>
      <c r="B1325" t="s">
        <v>4352</v>
      </c>
      <c r="C1325" t="s">
        <v>428</v>
      </c>
      <c r="D1325" t="s">
        <v>25</v>
      </c>
      <c r="E1325">
        <f>_xlfn.XLOOKUP(D1325,'Resumen Estudiantes y Profesore'!B:B,'Resumen Estudiantes y Profesore'!A:A)</f>
        <v>28</v>
      </c>
      <c r="F1325" t="s">
        <v>244</v>
      </c>
      <c r="G1325" t="s">
        <v>246</v>
      </c>
      <c r="H1325" t="s">
        <v>246</v>
      </c>
      <c r="I1325" t="s">
        <v>682</v>
      </c>
      <c r="J1325" t="s">
        <v>83</v>
      </c>
      <c r="K1325" s="120" t="s">
        <v>4353</v>
      </c>
      <c r="N1325" s="49"/>
    </row>
    <row r="1326" spans="1:14">
      <c r="A1326" t="s">
        <v>4349</v>
      </c>
      <c r="B1326" t="s">
        <v>4354</v>
      </c>
      <c r="C1326" t="s">
        <v>426</v>
      </c>
      <c r="D1326" t="s">
        <v>23</v>
      </c>
      <c r="E1326">
        <f>_xlfn.XLOOKUP(D1326,'Resumen Estudiantes y Profesore'!B:B,'Resumen Estudiantes y Profesore'!A:A)</f>
        <v>26</v>
      </c>
      <c r="F1326" t="s">
        <v>244</v>
      </c>
      <c r="G1326" t="s">
        <v>246</v>
      </c>
      <c r="H1326" t="s">
        <v>246</v>
      </c>
      <c r="I1326" t="s">
        <v>682</v>
      </c>
      <c r="J1326" t="s">
        <v>83</v>
      </c>
      <c r="K1326" s="120" t="s">
        <v>4355</v>
      </c>
      <c r="N1326" s="49"/>
    </row>
    <row r="1327" spans="1:14">
      <c r="A1327" t="s">
        <v>4356</v>
      </c>
      <c r="B1327" t="s">
        <v>4357</v>
      </c>
      <c r="C1327" t="s">
        <v>418</v>
      </c>
      <c r="D1327" t="s">
        <v>232</v>
      </c>
      <c r="E1327">
        <f>_xlfn.XLOOKUP(D1327,'Resumen Estudiantes y Profesore'!B:B,'Resumen Estudiantes y Profesore'!A:A)</f>
        <v>151</v>
      </c>
      <c r="F1327" t="s">
        <v>244</v>
      </c>
      <c r="G1327" t="s">
        <v>246</v>
      </c>
      <c r="H1327" t="s">
        <v>246</v>
      </c>
      <c r="I1327" t="s">
        <v>682</v>
      </c>
      <c r="J1327" t="s">
        <v>77</v>
      </c>
      <c r="K1327" s="120" t="s">
        <v>4358</v>
      </c>
      <c r="N1327" s="49"/>
    </row>
    <row r="1328" spans="1:14">
      <c r="A1328" t="s">
        <v>1693</v>
      </c>
      <c r="B1328" t="s">
        <v>4359</v>
      </c>
      <c r="C1328" t="s">
        <v>439</v>
      </c>
      <c r="D1328" t="s">
        <v>31</v>
      </c>
      <c r="E1328">
        <f>_xlfn.XLOOKUP(D1328,'Resumen Estudiantes y Profesore'!B:B,'Resumen Estudiantes y Profesore'!A:A)</f>
        <v>35</v>
      </c>
      <c r="F1328" t="s">
        <v>244</v>
      </c>
      <c r="G1328" t="s">
        <v>246</v>
      </c>
      <c r="H1328" t="s">
        <v>246</v>
      </c>
      <c r="I1328" t="s">
        <v>682</v>
      </c>
      <c r="J1328" t="s">
        <v>88</v>
      </c>
      <c r="K1328" s="120" t="s">
        <v>4360</v>
      </c>
      <c r="N1328" s="49"/>
    </row>
    <row r="1329" spans="1:14">
      <c r="A1329" t="s">
        <v>4361</v>
      </c>
      <c r="B1329" t="s">
        <v>4362</v>
      </c>
      <c r="C1329" t="s">
        <v>494</v>
      </c>
      <c r="D1329" t="s">
        <v>119</v>
      </c>
      <c r="E1329">
        <f>_xlfn.XLOOKUP(D1329,'Resumen Estudiantes y Profesore'!B:B,'Resumen Estudiantes y Profesore'!A:A)</f>
        <v>8</v>
      </c>
      <c r="F1329" t="s">
        <v>244</v>
      </c>
      <c r="G1329" t="s">
        <v>246</v>
      </c>
      <c r="H1329" t="s">
        <v>246</v>
      </c>
      <c r="I1329" t="s">
        <v>674</v>
      </c>
      <c r="J1329" t="s">
        <v>90</v>
      </c>
      <c r="K1329" s="120" t="s">
        <v>4363</v>
      </c>
      <c r="N1329" s="49"/>
    </row>
    <row r="1330" spans="1:14">
      <c r="A1330" t="s">
        <v>4361</v>
      </c>
      <c r="B1330" t="s">
        <v>4364</v>
      </c>
      <c r="C1330" t="s">
        <v>451</v>
      </c>
      <c r="D1330" t="s">
        <v>38</v>
      </c>
      <c r="E1330">
        <f>_xlfn.XLOOKUP(D1330,'Resumen Estudiantes y Profesore'!B:B,'Resumen Estudiantes y Profesore'!A:A)</f>
        <v>42</v>
      </c>
      <c r="F1330" t="s">
        <v>244</v>
      </c>
      <c r="G1330" t="s">
        <v>246</v>
      </c>
      <c r="H1330" t="s">
        <v>246</v>
      </c>
      <c r="I1330" t="s">
        <v>682</v>
      </c>
      <c r="J1330" t="s">
        <v>90</v>
      </c>
      <c r="K1330" s="120" t="s">
        <v>4365</v>
      </c>
      <c r="N1330" s="49"/>
    </row>
    <row r="1331" spans="1:14">
      <c r="A1331" t="s">
        <v>4366</v>
      </c>
      <c r="B1331" t="s">
        <v>4367</v>
      </c>
      <c r="C1331" t="s">
        <v>456</v>
      </c>
      <c r="D1331" t="s">
        <v>185</v>
      </c>
      <c r="E1331">
        <f>_xlfn.XLOOKUP(D1331,'Resumen Estudiantes y Profesore'!B:B,'Resumen Estudiantes y Profesore'!A:A)</f>
        <v>57</v>
      </c>
      <c r="F1331" t="s">
        <v>244</v>
      </c>
      <c r="G1331" t="s">
        <v>246</v>
      </c>
      <c r="H1331" t="s">
        <v>246</v>
      </c>
      <c r="I1331" t="s">
        <v>674</v>
      </c>
      <c r="J1331" t="s">
        <v>84</v>
      </c>
      <c r="K1331" s="120" t="s">
        <v>4368</v>
      </c>
      <c r="N1331" s="49"/>
    </row>
    <row r="1332" spans="1:14">
      <c r="A1332" t="s">
        <v>4366</v>
      </c>
      <c r="B1332" t="s">
        <v>4369</v>
      </c>
      <c r="C1332" t="s">
        <v>430</v>
      </c>
      <c r="D1332" t="s">
        <v>26</v>
      </c>
      <c r="E1332">
        <f>_xlfn.XLOOKUP(D1332,'Resumen Estudiantes y Profesore'!B:B,'Resumen Estudiantes y Profesore'!A:A)</f>
        <v>29</v>
      </c>
      <c r="F1332" t="s">
        <v>244</v>
      </c>
      <c r="G1332" t="s">
        <v>246</v>
      </c>
      <c r="H1332" t="s">
        <v>246</v>
      </c>
      <c r="I1332" t="s">
        <v>682</v>
      </c>
      <c r="J1332" t="s">
        <v>84</v>
      </c>
      <c r="K1332" s="120" t="s">
        <v>4370</v>
      </c>
      <c r="N1332" s="49"/>
    </row>
    <row r="1333" spans="1:14">
      <c r="A1333" t="s">
        <v>4366</v>
      </c>
      <c r="B1333" t="s">
        <v>4371</v>
      </c>
      <c r="C1333" t="s">
        <v>431</v>
      </c>
      <c r="D1333" t="s">
        <v>27</v>
      </c>
      <c r="E1333">
        <f>_xlfn.XLOOKUP(D1333,'Resumen Estudiantes y Profesore'!B:B,'Resumen Estudiantes y Profesore'!A:A)</f>
        <v>30</v>
      </c>
      <c r="F1333" t="s">
        <v>244</v>
      </c>
      <c r="G1333" t="s">
        <v>246</v>
      </c>
      <c r="H1333" t="s">
        <v>246</v>
      </c>
      <c r="I1333" t="s">
        <v>682</v>
      </c>
      <c r="J1333" t="s">
        <v>84</v>
      </c>
      <c r="K1333" s="120" t="s">
        <v>4372</v>
      </c>
      <c r="N1333" s="49"/>
    </row>
    <row r="1334" spans="1:14">
      <c r="A1334" t="s">
        <v>4373</v>
      </c>
      <c r="B1334" t="s">
        <v>4374</v>
      </c>
      <c r="C1334" t="s">
        <v>2549</v>
      </c>
      <c r="D1334" t="s">
        <v>107</v>
      </c>
      <c r="E1334">
        <f>_xlfn.XLOOKUP(D1334,'Resumen Estudiantes y Profesore'!B:B,'Resumen Estudiantes y Profesore'!A:A)</f>
        <v>201</v>
      </c>
      <c r="F1334" t="s">
        <v>244</v>
      </c>
      <c r="G1334" t="s">
        <v>246</v>
      </c>
      <c r="H1334" t="s">
        <v>246</v>
      </c>
      <c r="I1334" t="s">
        <v>674</v>
      </c>
      <c r="J1334" t="s">
        <v>91</v>
      </c>
      <c r="K1334" s="120" t="s">
        <v>4375</v>
      </c>
      <c r="N1334" s="49"/>
    </row>
    <row r="1335" spans="1:14">
      <c r="A1335" t="s">
        <v>4373</v>
      </c>
      <c r="B1335" t="s">
        <v>4376</v>
      </c>
      <c r="C1335" t="s">
        <v>453</v>
      </c>
      <c r="D1335" t="s">
        <v>39</v>
      </c>
      <c r="E1335">
        <f>_xlfn.XLOOKUP(D1335,'Resumen Estudiantes y Profesore'!B:B,'Resumen Estudiantes y Profesore'!A:A)</f>
        <v>43</v>
      </c>
      <c r="F1335" t="s">
        <v>244</v>
      </c>
      <c r="G1335" t="s">
        <v>246</v>
      </c>
      <c r="H1335" t="s">
        <v>246</v>
      </c>
      <c r="I1335" t="s">
        <v>682</v>
      </c>
      <c r="J1335" t="s">
        <v>91</v>
      </c>
      <c r="K1335" s="120" t="s">
        <v>4377</v>
      </c>
      <c r="N1335" s="49"/>
    </row>
    <row r="1336" spans="1:14">
      <c r="A1336" t="s">
        <v>4378</v>
      </c>
      <c r="B1336" t="s">
        <v>4379</v>
      </c>
      <c r="C1336" t="s">
        <v>424</v>
      </c>
      <c r="D1336" t="s">
        <v>24</v>
      </c>
      <c r="E1336">
        <f>_xlfn.XLOOKUP(D1336,'Resumen Estudiantes y Profesore'!B:B,'Resumen Estudiantes y Profesore'!A:A)</f>
        <v>27</v>
      </c>
      <c r="F1336" t="s">
        <v>244</v>
      </c>
      <c r="G1336" t="s">
        <v>246</v>
      </c>
      <c r="H1336" t="s">
        <v>246</v>
      </c>
      <c r="I1336" t="s">
        <v>682</v>
      </c>
      <c r="J1336" t="s">
        <v>83</v>
      </c>
      <c r="K1336" s="120" t="s">
        <v>4380</v>
      </c>
      <c r="N1336" s="49"/>
    </row>
    <row r="1337" spans="1:14">
      <c r="A1337" t="s">
        <v>4381</v>
      </c>
      <c r="B1337" t="s">
        <v>4382</v>
      </c>
      <c r="C1337" t="s">
        <v>419</v>
      </c>
      <c r="D1337" t="s">
        <v>233</v>
      </c>
      <c r="E1337">
        <f>_xlfn.XLOOKUP(D1337,'Resumen Estudiantes y Profesore'!B:B,'Resumen Estudiantes y Profesore'!A:A)</f>
        <v>152</v>
      </c>
      <c r="F1337" t="s">
        <v>244</v>
      </c>
      <c r="G1337" t="s">
        <v>246</v>
      </c>
      <c r="H1337" t="s">
        <v>246</v>
      </c>
      <c r="I1337" t="s">
        <v>682</v>
      </c>
      <c r="J1337" t="s">
        <v>77</v>
      </c>
      <c r="K1337" s="120" t="s">
        <v>4383</v>
      </c>
      <c r="N1337" s="49"/>
    </row>
    <row r="1338" spans="1:14">
      <c r="A1338" t="s">
        <v>4384</v>
      </c>
      <c r="B1338" t="s">
        <v>4385</v>
      </c>
      <c r="C1338" t="s">
        <v>502</v>
      </c>
      <c r="D1338" t="s">
        <v>132</v>
      </c>
      <c r="E1338">
        <f>_xlfn.XLOOKUP(D1338,'Resumen Estudiantes y Profesore'!B:B,'Resumen Estudiantes y Profesore'!A:A)</f>
        <v>100</v>
      </c>
      <c r="F1338" t="s">
        <v>244</v>
      </c>
      <c r="G1338" t="s">
        <v>247</v>
      </c>
      <c r="H1338" t="s">
        <v>247</v>
      </c>
      <c r="I1338" t="s">
        <v>674</v>
      </c>
      <c r="J1338" t="s">
        <v>84</v>
      </c>
      <c r="K1338" s="120" t="s">
        <v>4386</v>
      </c>
      <c r="N1338" s="49"/>
    </row>
    <row r="1339" spans="1:14">
      <c r="A1339" t="s">
        <v>4384</v>
      </c>
      <c r="B1339" t="s">
        <v>4387</v>
      </c>
      <c r="C1339" t="s">
        <v>458</v>
      </c>
      <c r="D1339" t="s">
        <v>187</v>
      </c>
      <c r="E1339">
        <f>_xlfn.XLOOKUP(D1339,'Resumen Estudiantes y Profesore'!B:B,'Resumen Estudiantes y Profesore'!A:A)</f>
        <v>55</v>
      </c>
      <c r="F1339" t="s">
        <v>244</v>
      </c>
      <c r="G1339" t="s">
        <v>247</v>
      </c>
      <c r="H1339" t="s">
        <v>247</v>
      </c>
      <c r="I1339" t="s">
        <v>674</v>
      </c>
      <c r="J1339" t="s">
        <v>84</v>
      </c>
      <c r="K1339" s="120" t="s">
        <v>4388</v>
      </c>
      <c r="N1339" s="49"/>
    </row>
    <row r="1340" spans="1:14">
      <c r="A1340" t="s">
        <v>4384</v>
      </c>
      <c r="B1340" t="s">
        <v>4389</v>
      </c>
      <c r="C1340" t="s">
        <v>431</v>
      </c>
      <c r="D1340" t="s">
        <v>27</v>
      </c>
      <c r="E1340">
        <f>_xlfn.XLOOKUP(D1340,'Resumen Estudiantes y Profesore'!B:B,'Resumen Estudiantes y Profesore'!A:A)</f>
        <v>30</v>
      </c>
      <c r="F1340" t="s">
        <v>244</v>
      </c>
      <c r="G1340" t="s">
        <v>246</v>
      </c>
      <c r="H1340" t="s">
        <v>246</v>
      </c>
      <c r="I1340" t="s">
        <v>682</v>
      </c>
      <c r="J1340" t="s">
        <v>84</v>
      </c>
      <c r="K1340" s="120" t="s">
        <v>4390</v>
      </c>
      <c r="N1340" s="49"/>
    </row>
    <row r="1341" spans="1:14">
      <c r="A1341" t="s">
        <v>4391</v>
      </c>
      <c r="B1341" t="s">
        <v>4392</v>
      </c>
      <c r="C1341" t="s">
        <v>468</v>
      </c>
      <c r="D1341" t="s">
        <v>178</v>
      </c>
      <c r="E1341">
        <f>_xlfn.XLOOKUP(D1341,'Resumen Estudiantes y Profesore'!B:B,'Resumen Estudiantes y Profesore'!A:A)</f>
        <v>75</v>
      </c>
      <c r="F1341" t="s">
        <v>244</v>
      </c>
      <c r="G1341" t="s">
        <v>246</v>
      </c>
      <c r="H1341" t="s">
        <v>246</v>
      </c>
      <c r="I1341" t="s">
        <v>674</v>
      </c>
      <c r="J1341" t="s">
        <v>89</v>
      </c>
      <c r="K1341" s="120" t="s">
        <v>4393</v>
      </c>
      <c r="N1341" s="49"/>
    </row>
    <row r="1342" spans="1:14">
      <c r="A1342" t="s">
        <v>4391</v>
      </c>
      <c r="B1342" t="s">
        <v>4394</v>
      </c>
      <c r="C1342" t="s">
        <v>444</v>
      </c>
      <c r="D1342" t="s">
        <v>33</v>
      </c>
      <c r="E1342">
        <f>_xlfn.XLOOKUP(D1342,'Resumen Estudiantes y Profesore'!B:B,'Resumen Estudiantes y Profesore'!A:A)</f>
        <v>38</v>
      </c>
      <c r="F1342" t="s">
        <v>244</v>
      </c>
      <c r="G1342" t="s">
        <v>246</v>
      </c>
      <c r="H1342" t="s">
        <v>246</v>
      </c>
      <c r="I1342" t="s">
        <v>682</v>
      </c>
      <c r="J1342" t="s">
        <v>89</v>
      </c>
      <c r="K1342" s="120" t="s">
        <v>4395</v>
      </c>
      <c r="N1342" s="49"/>
    </row>
    <row r="1343" spans="1:14">
      <c r="A1343" t="s">
        <v>4396</v>
      </c>
      <c r="B1343" t="s">
        <v>4397</v>
      </c>
      <c r="C1343" t="s">
        <v>451</v>
      </c>
      <c r="D1343" t="s">
        <v>38</v>
      </c>
      <c r="E1343">
        <f>_xlfn.XLOOKUP(D1343,'Resumen Estudiantes y Profesore'!B:B,'Resumen Estudiantes y Profesore'!A:A)</f>
        <v>42</v>
      </c>
      <c r="F1343" t="s">
        <v>244</v>
      </c>
      <c r="G1343" t="s">
        <v>246</v>
      </c>
      <c r="H1343" t="s">
        <v>246</v>
      </c>
      <c r="I1343" t="s">
        <v>682</v>
      </c>
      <c r="J1343" t="s">
        <v>90</v>
      </c>
      <c r="K1343" s="120" t="s">
        <v>4398</v>
      </c>
      <c r="N1343" s="49"/>
    </row>
    <row r="1344" spans="1:14">
      <c r="A1344" t="s">
        <v>4399</v>
      </c>
      <c r="B1344" t="s">
        <v>4400</v>
      </c>
      <c r="C1344" t="s">
        <v>474</v>
      </c>
      <c r="D1344" t="s">
        <v>204</v>
      </c>
      <c r="E1344">
        <f>_xlfn.XLOOKUP(D1344,'Resumen Estudiantes y Profesore'!B:B,'Resumen Estudiantes y Profesore'!A:A)</f>
        <v>81</v>
      </c>
      <c r="F1344" t="s">
        <v>244</v>
      </c>
      <c r="G1344" t="s">
        <v>246</v>
      </c>
      <c r="H1344" t="s">
        <v>246</v>
      </c>
      <c r="I1344" t="s">
        <v>674</v>
      </c>
      <c r="J1344" t="s">
        <v>91</v>
      </c>
      <c r="K1344" s="120" t="s">
        <v>4401</v>
      </c>
      <c r="N1344" s="49"/>
    </row>
    <row r="1345" spans="1:14">
      <c r="A1345" t="s">
        <v>4399</v>
      </c>
      <c r="B1345" t="s">
        <v>4402</v>
      </c>
      <c r="C1345" t="s">
        <v>475</v>
      </c>
      <c r="D1345" t="s">
        <v>205</v>
      </c>
      <c r="E1345">
        <f>_xlfn.XLOOKUP(D1345,'Resumen Estudiantes y Profesore'!B:B,'Resumen Estudiantes y Profesore'!A:A)</f>
        <v>80</v>
      </c>
      <c r="F1345" t="s">
        <v>244</v>
      </c>
      <c r="G1345" t="s">
        <v>246</v>
      </c>
      <c r="H1345" t="s">
        <v>246</v>
      </c>
      <c r="I1345" t="s">
        <v>674</v>
      </c>
      <c r="J1345" t="s">
        <v>91</v>
      </c>
      <c r="K1345" s="120" t="s">
        <v>4403</v>
      </c>
      <c r="N1345" s="49"/>
    </row>
    <row r="1346" spans="1:14">
      <c r="A1346" t="s">
        <v>4399</v>
      </c>
      <c r="B1346" t="s">
        <v>4404</v>
      </c>
      <c r="C1346" t="s">
        <v>2549</v>
      </c>
      <c r="D1346" t="s">
        <v>107</v>
      </c>
      <c r="E1346">
        <f>_xlfn.XLOOKUP(D1346,'Resumen Estudiantes y Profesore'!B:B,'Resumen Estudiantes y Profesore'!A:A)</f>
        <v>201</v>
      </c>
      <c r="F1346" t="s">
        <v>244</v>
      </c>
      <c r="G1346" t="s">
        <v>247</v>
      </c>
      <c r="H1346" t="s">
        <v>247</v>
      </c>
      <c r="I1346" t="s">
        <v>674</v>
      </c>
      <c r="J1346" t="s">
        <v>91</v>
      </c>
      <c r="K1346" s="120" t="s">
        <v>4405</v>
      </c>
      <c r="N1346" s="49"/>
    </row>
    <row r="1347" spans="1:14">
      <c r="A1347" t="s">
        <v>4406</v>
      </c>
      <c r="B1347" t="s">
        <v>4407</v>
      </c>
      <c r="C1347" t="s">
        <v>501</v>
      </c>
      <c r="D1347" t="s">
        <v>129</v>
      </c>
      <c r="E1347">
        <f>_xlfn.XLOOKUP(D1347,'Resumen Estudiantes y Profesore'!B:B,'Resumen Estudiantes y Profesore'!A:A)</f>
        <v>97</v>
      </c>
      <c r="F1347" t="s">
        <v>244</v>
      </c>
      <c r="G1347" t="s">
        <v>246</v>
      </c>
      <c r="H1347" t="s">
        <v>246</v>
      </c>
      <c r="I1347" t="s">
        <v>674</v>
      </c>
      <c r="J1347" t="s">
        <v>84</v>
      </c>
      <c r="K1347" s="120" t="s">
        <v>4408</v>
      </c>
      <c r="N1347" s="49"/>
    </row>
    <row r="1348" spans="1:14">
      <c r="A1348" t="s">
        <v>4406</v>
      </c>
      <c r="B1348" t="s">
        <v>4409</v>
      </c>
      <c r="C1348" t="s">
        <v>456</v>
      </c>
      <c r="D1348" t="s">
        <v>185</v>
      </c>
      <c r="E1348">
        <f>_xlfn.XLOOKUP(D1348,'Resumen Estudiantes y Profesore'!B:B,'Resumen Estudiantes y Profesore'!A:A)</f>
        <v>57</v>
      </c>
      <c r="F1348" t="s">
        <v>244</v>
      </c>
      <c r="G1348" t="s">
        <v>246</v>
      </c>
      <c r="H1348" t="s">
        <v>246</v>
      </c>
      <c r="I1348" t="s">
        <v>674</v>
      </c>
      <c r="J1348" t="s">
        <v>84</v>
      </c>
      <c r="K1348" s="120" t="s">
        <v>4410</v>
      </c>
      <c r="N1348" s="49"/>
    </row>
    <row r="1349" spans="1:14">
      <c r="A1349" t="s">
        <v>4406</v>
      </c>
      <c r="B1349" t="s">
        <v>4411</v>
      </c>
      <c r="C1349" t="s">
        <v>431</v>
      </c>
      <c r="D1349" t="s">
        <v>27</v>
      </c>
      <c r="E1349">
        <f>_xlfn.XLOOKUP(D1349,'Resumen Estudiantes y Profesore'!B:B,'Resumen Estudiantes y Profesore'!A:A)</f>
        <v>30</v>
      </c>
      <c r="F1349" t="s">
        <v>244</v>
      </c>
      <c r="G1349" t="s">
        <v>246</v>
      </c>
      <c r="H1349" t="s">
        <v>246</v>
      </c>
      <c r="I1349" t="s">
        <v>682</v>
      </c>
      <c r="J1349" t="s">
        <v>84</v>
      </c>
      <c r="K1349" s="120" t="s">
        <v>4412</v>
      </c>
      <c r="N1349" s="49"/>
    </row>
    <row r="1350" spans="1:14">
      <c r="A1350" t="s">
        <v>2616</v>
      </c>
      <c r="B1350" t="s">
        <v>2617</v>
      </c>
      <c r="C1350" t="s">
        <v>471</v>
      </c>
      <c r="D1350" t="s">
        <v>196</v>
      </c>
      <c r="E1350">
        <f>_xlfn.XLOOKUP(D1350,'Resumen Estudiantes y Profesore'!B:B,'Resumen Estudiantes y Profesore'!A:A)</f>
        <v>76</v>
      </c>
      <c r="F1350" t="s">
        <v>244</v>
      </c>
      <c r="G1350" t="s">
        <v>246</v>
      </c>
      <c r="H1350" t="s">
        <v>246</v>
      </c>
      <c r="I1350" t="s">
        <v>674</v>
      </c>
      <c r="J1350" t="s">
        <v>90</v>
      </c>
      <c r="K1350" s="120" t="s">
        <v>4413</v>
      </c>
      <c r="N1350" s="49"/>
    </row>
    <row r="1351" spans="1:14">
      <c r="A1351" t="s">
        <v>2616</v>
      </c>
      <c r="B1351" t="s">
        <v>4414</v>
      </c>
      <c r="C1351" t="s">
        <v>2552</v>
      </c>
      <c r="D1351" t="s">
        <v>206</v>
      </c>
      <c r="E1351">
        <f>_xlfn.XLOOKUP(D1351,'Resumen Estudiantes y Profesore'!B:B,'Resumen Estudiantes y Profesore'!A:A)</f>
        <v>205</v>
      </c>
      <c r="F1351" t="s">
        <v>244</v>
      </c>
      <c r="G1351" t="s">
        <v>246</v>
      </c>
      <c r="H1351" t="s">
        <v>246</v>
      </c>
      <c r="I1351" t="s">
        <v>674</v>
      </c>
      <c r="J1351" t="s">
        <v>91</v>
      </c>
      <c r="K1351" s="120" t="s">
        <v>4415</v>
      </c>
      <c r="N1351" s="49"/>
    </row>
    <row r="1352" spans="1:14">
      <c r="A1352" t="s">
        <v>2616</v>
      </c>
      <c r="B1352" t="s">
        <v>4416</v>
      </c>
      <c r="C1352" t="s">
        <v>451</v>
      </c>
      <c r="D1352" t="s">
        <v>38</v>
      </c>
      <c r="E1352">
        <f>_xlfn.XLOOKUP(D1352,'Resumen Estudiantes y Profesore'!B:B,'Resumen Estudiantes y Profesore'!A:A)</f>
        <v>42</v>
      </c>
      <c r="F1352" t="s">
        <v>244</v>
      </c>
      <c r="G1352" t="s">
        <v>246</v>
      </c>
      <c r="H1352" t="s">
        <v>246</v>
      </c>
      <c r="I1352" t="s">
        <v>682</v>
      </c>
      <c r="J1352" t="s">
        <v>90</v>
      </c>
      <c r="K1352" s="120" t="s">
        <v>4417</v>
      </c>
      <c r="N1352" s="49"/>
    </row>
    <row r="1353" spans="1:14">
      <c r="A1353" t="s">
        <v>4418</v>
      </c>
      <c r="B1353" t="s">
        <v>4419</v>
      </c>
      <c r="C1353" t="s">
        <v>2549</v>
      </c>
      <c r="D1353" t="s">
        <v>107</v>
      </c>
      <c r="E1353">
        <f>_xlfn.XLOOKUP(D1353,'Resumen Estudiantes y Profesore'!B:B,'Resumen Estudiantes y Profesore'!A:A)</f>
        <v>201</v>
      </c>
      <c r="F1353" t="s">
        <v>244</v>
      </c>
      <c r="G1353" t="s">
        <v>247</v>
      </c>
      <c r="H1353" t="s">
        <v>247</v>
      </c>
      <c r="I1353" t="s">
        <v>674</v>
      </c>
      <c r="J1353" t="s">
        <v>91</v>
      </c>
      <c r="K1353" s="120" t="s">
        <v>4420</v>
      </c>
      <c r="N1353" s="49"/>
    </row>
    <row r="1354" spans="1:14">
      <c r="A1354" t="s">
        <v>4418</v>
      </c>
      <c r="B1354" t="s">
        <v>4421</v>
      </c>
      <c r="C1354" t="s">
        <v>453</v>
      </c>
      <c r="D1354" t="s">
        <v>39</v>
      </c>
      <c r="E1354">
        <f>_xlfn.XLOOKUP(D1354,'Resumen Estudiantes y Profesore'!B:B,'Resumen Estudiantes y Profesore'!A:A)</f>
        <v>43</v>
      </c>
      <c r="F1354" t="s">
        <v>244</v>
      </c>
      <c r="G1354" t="s">
        <v>246</v>
      </c>
      <c r="H1354" t="s">
        <v>246</v>
      </c>
      <c r="I1354" t="s">
        <v>682</v>
      </c>
      <c r="J1354" t="s">
        <v>91</v>
      </c>
      <c r="K1354" s="120" t="s">
        <v>4422</v>
      </c>
      <c r="N1354" s="49"/>
    </row>
    <row r="1355" spans="1:14">
      <c r="A1355" t="s">
        <v>2658</v>
      </c>
      <c r="B1355" t="s">
        <v>4423</v>
      </c>
      <c r="C1355" t="s">
        <v>424</v>
      </c>
      <c r="D1355" t="s">
        <v>24</v>
      </c>
      <c r="E1355">
        <f>_xlfn.XLOOKUP(D1355,'Resumen Estudiantes y Profesore'!B:B,'Resumen Estudiantes y Profesore'!A:A)</f>
        <v>27</v>
      </c>
      <c r="F1355" t="s">
        <v>244</v>
      </c>
      <c r="G1355" t="s">
        <v>246</v>
      </c>
      <c r="H1355" t="s">
        <v>246</v>
      </c>
      <c r="I1355" t="s">
        <v>682</v>
      </c>
      <c r="J1355" t="s">
        <v>83</v>
      </c>
      <c r="K1355" s="120" t="s">
        <v>4424</v>
      </c>
      <c r="N1355" s="49"/>
    </row>
    <row r="1356" spans="1:14">
      <c r="A1356" t="s">
        <v>4425</v>
      </c>
      <c r="B1356" t="s">
        <v>4426</v>
      </c>
      <c r="C1356" t="s">
        <v>459</v>
      </c>
      <c r="D1356" t="s">
        <v>188</v>
      </c>
      <c r="E1356">
        <f>_xlfn.XLOOKUP(D1356,'Resumen Estudiantes y Profesore'!B:B,'Resumen Estudiantes y Profesore'!A:A)</f>
        <v>56</v>
      </c>
      <c r="F1356" t="s">
        <v>244</v>
      </c>
      <c r="G1356" t="s">
        <v>246</v>
      </c>
      <c r="H1356" t="s">
        <v>246</v>
      </c>
      <c r="I1356" t="s">
        <v>674</v>
      </c>
      <c r="J1356" t="s">
        <v>84</v>
      </c>
      <c r="K1356" s="120" t="s">
        <v>4427</v>
      </c>
      <c r="N1356" s="49"/>
    </row>
    <row r="1357" spans="1:14">
      <c r="A1357" t="s">
        <v>4425</v>
      </c>
      <c r="B1357" t="s">
        <v>4428</v>
      </c>
      <c r="C1357" t="s">
        <v>431</v>
      </c>
      <c r="D1357" t="s">
        <v>27</v>
      </c>
      <c r="E1357">
        <f>_xlfn.XLOOKUP(D1357,'Resumen Estudiantes y Profesore'!B:B,'Resumen Estudiantes y Profesore'!A:A)</f>
        <v>30</v>
      </c>
      <c r="F1357" t="s">
        <v>244</v>
      </c>
      <c r="G1357" t="s">
        <v>246</v>
      </c>
      <c r="H1357" t="s">
        <v>246</v>
      </c>
      <c r="I1357" t="s">
        <v>682</v>
      </c>
      <c r="J1357" t="s">
        <v>84</v>
      </c>
      <c r="K1357" s="120" t="s">
        <v>4429</v>
      </c>
      <c r="N1357" s="49"/>
    </row>
    <row r="1358" spans="1:14">
      <c r="A1358" t="s">
        <v>4430</v>
      </c>
      <c r="B1358" t="s">
        <v>4431</v>
      </c>
      <c r="C1358" t="s">
        <v>93</v>
      </c>
      <c r="D1358" t="s">
        <v>93</v>
      </c>
      <c r="E1358">
        <f>_xlfn.XLOOKUP(D1358,'Resumen Estudiantes y Profesore'!B:B,'Resumen Estudiantes y Profesore'!A:A)</f>
        <v>210</v>
      </c>
      <c r="F1358" t="s">
        <v>244</v>
      </c>
      <c r="G1358" t="s">
        <v>246</v>
      </c>
      <c r="H1358" t="s">
        <v>246</v>
      </c>
      <c r="I1358" t="s">
        <v>682</v>
      </c>
      <c r="J1358" t="s">
        <v>93</v>
      </c>
      <c r="K1358" s="120" t="s">
        <v>4432</v>
      </c>
      <c r="N1358" s="49"/>
    </row>
    <row r="1359" spans="1:14">
      <c r="A1359" t="s">
        <v>4433</v>
      </c>
      <c r="B1359" t="s">
        <v>4434</v>
      </c>
      <c r="C1359" t="s">
        <v>474</v>
      </c>
      <c r="D1359" t="s">
        <v>204</v>
      </c>
      <c r="E1359">
        <f>_xlfn.XLOOKUP(D1359,'Resumen Estudiantes y Profesore'!B:B,'Resumen Estudiantes y Profesore'!A:A)</f>
        <v>81</v>
      </c>
      <c r="F1359" t="s">
        <v>244</v>
      </c>
      <c r="G1359" t="s">
        <v>247</v>
      </c>
      <c r="H1359" t="s">
        <v>247</v>
      </c>
      <c r="I1359" t="s">
        <v>674</v>
      </c>
      <c r="J1359" t="s">
        <v>91</v>
      </c>
      <c r="K1359" s="120" t="s">
        <v>4435</v>
      </c>
      <c r="N1359" s="49"/>
    </row>
    <row r="1360" spans="1:14">
      <c r="A1360" t="s">
        <v>4433</v>
      </c>
      <c r="B1360" t="s">
        <v>4436</v>
      </c>
      <c r="C1360" t="s">
        <v>475</v>
      </c>
      <c r="D1360" t="s">
        <v>205</v>
      </c>
      <c r="E1360">
        <f>_xlfn.XLOOKUP(D1360,'Resumen Estudiantes y Profesore'!B:B,'Resumen Estudiantes y Profesore'!A:A)</f>
        <v>80</v>
      </c>
      <c r="F1360" t="s">
        <v>244</v>
      </c>
      <c r="G1360" t="s">
        <v>247</v>
      </c>
      <c r="H1360" t="s">
        <v>247</v>
      </c>
      <c r="I1360" t="s">
        <v>674</v>
      </c>
      <c r="J1360" t="s">
        <v>91</v>
      </c>
      <c r="K1360" s="120" t="s">
        <v>4437</v>
      </c>
      <c r="N1360" s="49"/>
    </row>
    <row r="1361" spans="1:14">
      <c r="A1361" t="s">
        <v>4433</v>
      </c>
      <c r="B1361" t="s">
        <v>4438</v>
      </c>
      <c r="C1361" t="s">
        <v>453</v>
      </c>
      <c r="D1361" t="s">
        <v>39</v>
      </c>
      <c r="E1361">
        <f>_xlfn.XLOOKUP(D1361,'Resumen Estudiantes y Profesore'!B:B,'Resumen Estudiantes y Profesore'!A:A)</f>
        <v>43</v>
      </c>
      <c r="F1361" t="s">
        <v>244</v>
      </c>
      <c r="G1361" t="s">
        <v>246</v>
      </c>
      <c r="H1361" t="s">
        <v>246</v>
      </c>
      <c r="I1361" t="s">
        <v>682</v>
      </c>
      <c r="J1361" t="s">
        <v>91</v>
      </c>
      <c r="K1361" s="120" t="s">
        <v>4439</v>
      </c>
      <c r="N1361" s="49"/>
    </row>
    <row r="1362" spans="1:14">
      <c r="A1362" t="s">
        <v>4440</v>
      </c>
      <c r="B1362" t="s">
        <v>4441</v>
      </c>
      <c r="C1362" t="s">
        <v>451</v>
      </c>
      <c r="D1362" t="s">
        <v>38</v>
      </c>
      <c r="E1362">
        <f>_xlfn.XLOOKUP(D1362,'Resumen Estudiantes y Profesore'!B:B,'Resumen Estudiantes y Profesore'!A:A)</f>
        <v>42</v>
      </c>
      <c r="F1362" t="s">
        <v>244</v>
      </c>
      <c r="G1362" t="s">
        <v>246</v>
      </c>
      <c r="H1362" t="s">
        <v>246</v>
      </c>
      <c r="I1362" t="s">
        <v>682</v>
      </c>
      <c r="J1362" t="s">
        <v>90</v>
      </c>
      <c r="K1362" s="120" t="s">
        <v>4442</v>
      </c>
      <c r="N1362" s="49"/>
    </row>
    <row r="1363" spans="1:14">
      <c r="A1363" t="s">
        <v>4443</v>
      </c>
      <c r="B1363" t="s">
        <v>4444</v>
      </c>
      <c r="C1363" t="s">
        <v>519</v>
      </c>
      <c r="D1363" t="s">
        <v>168</v>
      </c>
      <c r="E1363">
        <f>_xlfn.XLOOKUP(D1363,'Resumen Estudiantes y Profesore'!B:B,'Resumen Estudiantes y Profesore'!A:A)</f>
        <v>127</v>
      </c>
      <c r="F1363" t="s">
        <v>244</v>
      </c>
      <c r="G1363" t="s">
        <v>246</v>
      </c>
      <c r="H1363" t="s">
        <v>246</v>
      </c>
      <c r="I1363" t="s">
        <v>674</v>
      </c>
      <c r="J1363" t="s">
        <v>138</v>
      </c>
      <c r="K1363" s="120" t="s">
        <v>4445</v>
      </c>
      <c r="N1363" s="49"/>
    </row>
    <row r="1364" spans="1:14">
      <c r="A1364" t="s">
        <v>4446</v>
      </c>
      <c r="B1364" t="s">
        <v>4447</v>
      </c>
      <c r="C1364" t="s">
        <v>506</v>
      </c>
      <c r="D1364" t="s">
        <v>154</v>
      </c>
      <c r="E1364">
        <f>_xlfn.XLOOKUP(D1364,'Resumen Estudiantes y Profesore'!B:B,'Resumen Estudiantes y Profesore'!A:A)</f>
        <v>105</v>
      </c>
      <c r="F1364" t="s">
        <v>244</v>
      </c>
      <c r="G1364" t="s">
        <v>246</v>
      </c>
      <c r="H1364" t="s">
        <v>246</v>
      </c>
      <c r="I1364" t="s">
        <v>674</v>
      </c>
      <c r="J1364" t="s">
        <v>87</v>
      </c>
      <c r="K1364" s="120" t="s">
        <v>4448</v>
      </c>
      <c r="N1364" s="49"/>
    </row>
    <row r="1365" spans="1:14">
      <c r="A1365" t="s">
        <v>4446</v>
      </c>
      <c r="B1365" t="s">
        <v>4449</v>
      </c>
      <c r="C1365" t="s">
        <v>437</v>
      </c>
      <c r="D1365" t="s">
        <v>30</v>
      </c>
      <c r="E1365">
        <f>_xlfn.XLOOKUP(D1365,'Resumen Estudiantes y Profesore'!B:B,'Resumen Estudiantes y Profesore'!A:A)</f>
        <v>34</v>
      </c>
      <c r="F1365" t="s">
        <v>244</v>
      </c>
      <c r="G1365" t="s">
        <v>246</v>
      </c>
      <c r="H1365" t="s">
        <v>246</v>
      </c>
      <c r="I1365" t="s">
        <v>682</v>
      </c>
      <c r="J1365" t="s">
        <v>87</v>
      </c>
      <c r="K1365" s="120" t="s">
        <v>4450</v>
      </c>
      <c r="N1365" s="49"/>
    </row>
    <row r="1366" spans="1:14">
      <c r="A1366" t="s">
        <v>4451</v>
      </c>
      <c r="B1366" t="s">
        <v>4452</v>
      </c>
      <c r="C1366" t="s">
        <v>451</v>
      </c>
      <c r="D1366" t="s">
        <v>38</v>
      </c>
      <c r="E1366">
        <f>_xlfn.XLOOKUP(D1366,'Resumen Estudiantes y Profesore'!B:B,'Resumen Estudiantes y Profesore'!A:A)</f>
        <v>42</v>
      </c>
      <c r="F1366" t="s">
        <v>244</v>
      </c>
      <c r="G1366" t="s">
        <v>246</v>
      </c>
      <c r="H1366" t="s">
        <v>246</v>
      </c>
      <c r="I1366" t="s">
        <v>682</v>
      </c>
      <c r="J1366" t="s">
        <v>90</v>
      </c>
      <c r="K1366" s="120" t="s">
        <v>4453</v>
      </c>
      <c r="N1366" s="49"/>
    </row>
    <row r="1367" spans="1:14">
      <c r="A1367" t="s">
        <v>4454</v>
      </c>
      <c r="B1367" t="s">
        <v>4455</v>
      </c>
      <c r="C1367" t="s">
        <v>93</v>
      </c>
      <c r="D1367" t="s">
        <v>93</v>
      </c>
      <c r="E1367">
        <f>_xlfn.XLOOKUP(D1367,'Resumen Estudiantes y Profesore'!B:B,'Resumen Estudiantes y Profesore'!A:A)</f>
        <v>210</v>
      </c>
      <c r="F1367" t="s">
        <v>244</v>
      </c>
      <c r="G1367" t="s">
        <v>246</v>
      </c>
      <c r="H1367" t="s">
        <v>246</v>
      </c>
      <c r="I1367" t="s">
        <v>682</v>
      </c>
      <c r="J1367" t="s">
        <v>93</v>
      </c>
      <c r="K1367" s="120" t="s">
        <v>4456</v>
      </c>
      <c r="N1367" s="49"/>
    </row>
    <row r="1368" spans="1:14">
      <c r="A1368" t="s">
        <v>2663</v>
      </c>
      <c r="B1368" t="s">
        <v>4457</v>
      </c>
      <c r="C1368" t="s">
        <v>543</v>
      </c>
      <c r="D1368" t="s">
        <v>209</v>
      </c>
      <c r="E1368">
        <f>_xlfn.XLOOKUP(D1368,'Resumen Estudiantes y Profesore'!B:B,'Resumen Estudiantes y Profesore'!A:A)</f>
        <v>88</v>
      </c>
      <c r="F1368" t="s">
        <v>244</v>
      </c>
      <c r="G1368" t="s">
        <v>247</v>
      </c>
      <c r="H1368" t="s">
        <v>247</v>
      </c>
      <c r="I1368" t="s">
        <v>674</v>
      </c>
      <c r="J1368" t="s">
        <v>85</v>
      </c>
      <c r="K1368" s="120" t="s">
        <v>4458</v>
      </c>
      <c r="N1368" s="49"/>
    </row>
    <row r="1369" spans="1:14">
      <c r="A1369" t="s">
        <v>2663</v>
      </c>
      <c r="B1369" t="s">
        <v>4459</v>
      </c>
      <c r="C1369" t="s">
        <v>544</v>
      </c>
      <c r="D1369" t="s">
        <v>216</v>
      </c>
      <c r="E1369">
        <f>_xlfn.XLOOKUP(D1369,'Resumen Estudiantes y Profesore'!B:B,'Resumen Estudiantes y Profesore'!A:A)</f>
        <v>86</v>
      </c>
      <c r="F1369" t="s">
        <v>244</v>
      </c>
      <c r="G1369" t="s">
        <v>246</v>
      </c>
      <c r="H1369" t="s">
        <v>247</v>
      </c>
      <c r="I1369" t="s">
        <v>674</v>
      </c>
      <c r="J1369" t="s">
        <v>85</v>
      </c>
      <c r="K1369" s="120" t="s">
        <v>4460</v>
      </c>
      <c r="N1369" s="49"/>
    </row>
    <row r="1370" spans="1:14">
      <c r="A1370" t="s">
        <v>2663</v>
      </c>
      <c r="B1370" t="s">
        <v>4461</v>
      </c>
      <c r="C1370" t="s">
        <v>432</v>
      </c>
      <c r="D1370" t="s">
        <v>41</v>
      </c>
      <c r="E1370">
        <f>_xlfn.XLOOKUP(D1370,'Resumen Estudiantes y Profesore'!B:B,'Resumen Estudiantes y Profesore'!A:A)</f>
        <v>31</v>
      </c>
      <c r="F1370" t="s">
        <v>244</v>
      </c>
      <c r="G1370" t="s">
        <v>246</v>
      </c>
      <c r="H1370" t="s">
        <v>246</v>
      </c>
      <c r="I1370" t="s">
        <v>682</v>
      </c>
      <c r="J1370" t="s">
        <v>85</v>
      </c>
      <c r="K1370" s="120" t="s">
        <v>4462</v>
      </c>
      <c r="N1370" s="49"/>
    </row>
    <row r="1371" spans="1:14">
      <c r="A1371" t="s">
        <v>4463</v>
      </c>
      <c r="B1371" t="s">
        <v>4464</v>
      </c>
      <c r="C1371" t="s">
        <v>2549</v>
      </c>
      <c r="D1371" t="s">
        <v>107</v>
      </c>
      <c r="E1371">
        <f>_xlfn.XLOOKUP(D1371,'Resumen Estudiantes y Profesore'!B:B,'Resumen Estudiantes y Profesore'!A:A)</f>
        <v>201</v>
      </c>
      <c r="F1371" t="s">
        <v>244</v>
      </c>
      <c r="G1371" t="s">
        <v>247</v>
      </c>
      <c r="H1371" t="s">
        <v>247</v>
      </c>
      <c r="I1371" t="s">
        <v>674</v>
      </c>
      <c r="J1371" t="s">
        <v>91</v>
      </c>
      <c r="K1371" s="120" t="s">
        <v>4465</v>
      </c>
      <c r="N1371" s="49"/>
    </row>
    <row r="1372" spans="1:14">
      <c r="A1372" t="s">
        <v>4466</v>
      </c>
      <c r="B1372" t="s">
        <v>4467</v>
      </c>
      <c r="C1372" t="s">
        <v>475</v>
      </c>
      <c r="D1372" t="s">
        <v>205</v>
      </c>
      <c r="E1372">
        <f>_xlfn.XLOOKUP(D1372,'Resumen Estudiantes y Profesore'!B:B,'Resumen Estudiantes y Profesore'!A:A)</f>
        <v>80</v>
      </c>
      <c r="F1372" t="s">
        <v>244</v>
      </c>
      <c r="G1372" t="s">
        <v>247</v>
      </c>
      <c r="H1372" t="s">
        <v>247</v>
      </c>
      <c r="I1372" t="s">
        <v>674</v>
      </c>
      <c r="J1372" t="s">
        <v>91</v>
      </c>
      <c r="K1372" s="120" t="s">
        <v>4468</v>
      </c>
      <c r="N1372" s="49"/>
    </row>
    <row r="1373" spans="1:14">
      <c r="A1373" t="s">
        <v>4466</v>
      </c>
      <c r="B1373" t="s">
        <v>4469</v>
      </c>
      <c r="C1373" t="s">
        <v>453</v>
      </c>
      <c r="D1373" t="s">
        <v>39</v>
      </c>
      <c r="E1373">
        <f>_xlfn.XLOOKUP(D1373,'Resumen Estudiantes y Profesore'!B:B,'Resumen Estudiantes y Profesore'!A:A)</f>
        <v>43</v>
      </c>
      <c r="F1373" t="s">
        <v>244</v>
      </c>
      <c r="G1373" t="s">
        <v>246</v>
      </c>
      <c r="H1373" t="s">
        <v>246</v>
      </c>
      <c r="I1373" t="s">
        <v>682</v>
      </c>
      <c r="J1373" t="s">
        <v>91</v>
      </c>
      <c r="K1373" s="120" t="s">
        <v>4470</v>
      </c>
      <c r="N1373" s="49"/>
    </row>
    <row r="1374" spans="1:14">
      <c r="A1374" t="s">
        <v>4471</v>
      </c>
      <c r="B1374" t="s">
        <v>4472</v>
      </c>
      <c r="C1374" t="s">
        <v>477</v>
      </c>
      <c r="D1374" t="s">
        <v>198</v>
      </c>
      <c r="E1374">
        <f>_xlfn.XLOOKUP(D1374,'Resumen Estudiantes y Profesore'!B:B,'Resumen Estudiantes y Profesore'!A:A)</f>
        <v>45</v>
      </c>
      <c r="F1374" t="s">
        <v>244</v>
      </c>
      <c r="G1374" t="s">
        <v>246</v>
      </c>
      <c r="H1374" t="s">
        <v>246</v>
      </c>
      <c r="I1374" t="s">
        <v>674</v>
      </c>
      <c r="J1374" t="s">
        <v>77</v>
      </c>
      <c r="K1374" s="120" t="s">
        <v>4473</v>
      </c>
      <c r="N1374" s="49"/>
    </row>
    <row r="1375" spans="1:14">
      <c r="A1375" t="s">
        <v>4471</v>
      </c>
      <c r="B1375" t="s">
        <v>4474</v>
      </c>
      <c r="C1375" t="s">
        <v>547</v>
      </c>
      <c r="D1375" t="s">
        <v>214</v>
      </c>
      <c r="E1375">
        <f>_xlfn.XLOOKUP(D1375,'Resumen Estudiantes y Profesore'!B:B,'Resumen Estudiantes y Profesore'!A:A)</f>
        <v>207</v>
      </c>
      <c r="F1375" t="s">
        <v>244</v>
      </c>
      <c r="G1375" t="s">
        <v>246</v>
      </c>
      <c r="H1375" t="s">
        <v>246</v>
      </c>
      <c r="I1375" t="s">
        <v>674</v>
      </c>
      <c r="J1375" t="s">
        <v>77</v>
      </c>
      <c r="K1375" s="120" t="s">
        <v>4475</v>
      </c>
      <c r="N1375" s="49"/>
    </row>
    <row r="1376" spans="1:14">
      <c r="A1376" t="s">
        <v>4471</v>
      </c>
      <c r="B1376" t="s">
        <v>4476</v>
      </c>
      <c r="C1376" t="s">
        <v>419</v>
      </c>
      <c r="D1376" t="s">
        <v>233</v>
      </c>
      <c r="E1376">
        <f>_xlfn.XLOOKUP(D1376,'Resumen Estudiantes y Profesore'!B:B,'Resumen Estudiantes y Profesore'!A:A)</f>
        <v>152</v>
      </c>
      <c r="F1376" t="s">
        <v>244</v>
      </c>
      <c r="G1376" t="s">
        <v>246</v>
      </c>
      <c r="H1376" t="s">
        <v>246</v>
      </c>
      <c r="I1376" t="s">
        <v>682</v>
      </c>
      <c r="J1376" t="s">
        <v>77</v>
      </c>
      <c r="K1376" s="120" t="s">
        <v>4477</v>
      </c>
      <c r="N1376" s="49"/>
    </row>
    <row r="1377" spans="1:14">
      <c r="A1377" t="s">
        <v>4478</v>
      </c>
      <c r="B1377" t="s">
        <v>4479</v>
      </c>
      <c r="C1377" t="s">
        <v>437</v>
      </c>
      <c r="D1377" t="s">
        <v>30</v>
      </c>
      <c r="E1377">
        <f>_xlfn.XLOOKUP(D1377,'Resumen Estudiantes y Profesore'!B:B,'Resumen Estudiantes y Profesore'!A:A)</f>
        <v>34</v>
      </c>
      <c r="F1377" t="s">
        <v>244</v>
      </c>
      <c r="G1377" t="s">
        <v>246</v>
      </c>
      <c r="H1377" t="s">
        <v>246</v>
      </c>
      <c r="I1377" t="s">
        <v>682</v>
      </c>
      <c r="J1377" t="s">
        <v>87</v>
      </c>
      <c r="K1377" s="120" t="s">
        <v>4480</v>
      </c>
      <c r="N1377" s="49"/>
    </row>
    <row r="1378" spans="1:14">
      <c r="A1378" t="s">
        <v>4478</v>
      </c>
      <c r="B1378" t="s">
        <v>4481</v>
      </c>
      <c r="C1378" t="s">
        <v>436</v>
      </c>
      <c r="D1378" t="s">
        <v>29</v>
      </c>
      <c r="E1378">
        <f>_xlfn.XLOOKUP(D1378,'Resumen Estudiantes y Profesore'!B:B,'Resumen Estudiantes y Profesore'!A:A)</f>
        <v>33</v>
      </c>
      <c r="F1378" t="s">
        <v>244</v>
      </c>
      <c r="G1378" t="s">
        <v>246</v>
      </c>
      <c r="H1378" t="s">
        <v>246</v>
      </c>
      <c r="I1378" t="s">
        <v>682</v>
      </c>
      <c r="J1378" t="s">
        <v>87</v>
      </c>
      <c r="K1378" s="120" t="s">
        <v>4482</v>
      </c>
      <c r="N1378" s="49"/>
    </row>
    <row r="1379" spans="1:14">
      <c r="A1379" t="s">
        <v>4483</v>
      </c>
      <c r="B1379" t="s">
        <v>4484</v>
      </c>
      <c r="C1379" t="s">
        <v>93</v>
      </c>
      <c r="D1379" t="s">
        <v>93</v>
      </c>
      <c r="E1379">
        <f>_xlfn.XLOOKUP(D1379,'Resumen Estudiantes y Profesore'!B:B,'Resumen Estudiantes y Profesore'!A:A)</f>
        <v>210</v>
      </c>
      <c r="F1379" t="s">
        <v>244</v>
      </c>
      <c r="G1379" t="s">
        <v>247</v>
      </c>
      <c r="H1379" t="s">
        <v>247</v>
      </c>
      <c r="I1379" t="s">
        <v>682</v>
      </c>
      <c r="J1379" t="s">
        <v>93</v>
      </c>
      <c r="K1379" s="120" t="s">
        <v>4485</v>
      </c>
      <c r="N1379" s="49"/>
    </row>
    <row r="1380" spans="1:14">
      <c r="A1380" t="s">
        <v>4486</v>
      </c>
      <c r="B1380" t="s">
        <v>4487</v>
      </c>
      <c r="C1380" t="s">
        <v>454</v>
      </c>
      <c r="D1380" t="s">
        <v>183</v>
      </c>
      <c r="E1380">
        <f>_xlfn.XLOOKUP(D1380,'Resumen Estudiantes y Profesore'!B:B,'Resumen Estudiantes y Profesore'!A:A)</f>
        <v>51</v>
      </c>
      <c r="F1380" t="s">
        <v>244</v>
      </c>
      <c r="G1380" t="s">
        <v>246</v>
      </c>
      <c r="H1380" t="s">
        <v>246</v>
      </c>
      <c r="I1380" t="s">
        <v>674</v>
      </c>
      <c r="J1380" t="s">
        <v>83</v>
      </c>
      <c r="K1380" s="120" t="s">
        <v>4488</v>
      </c>
      <c r="N1380" s="49"/>
    </row>
    <row r="1381" spans="1:14">
      <c r="A1381" t="s">
        <v>4486</v>
      </c>
      <c r="B1381" t="s">
        <v>4489</v>
      </c>
      <c r="C1381" t="s">
        <v>426</v>
      </c>
      <c r="D1381" t="s">
        <v>23</v>
      </c>
      <c r="E1381">
        <f>_xlfn.XLOOKUP(D1381,'Resumen Estudiantes y Profesore'!B:B,'Resumen Estudiantes y Profesore'!A:A)</f>
        <v>26</v>
      </c>
      <c r="F1381" t="s">
        <v>244</v>
      </c>
      <c r="G1381" t="s">
        <v>246</v>
      </c>
      <c r="H1381" t="s">
        <v>246</v>
      </c>
      <c r="I1381" t="s">
        <v>682</v>
      </c>
      <c r="J1381" t="s">
        <v>83</v>
      </c>
      <c r="K1381" s="120" t="s">
        <v>4490</v>
      </c>
      <c r="N1381" s="49"/>
    </row>
    <row r="1382" spans="1:14">
      <c r="A1382" t="s">
        <v>4486</v>
      </c>
      <c r="B1382" t="s">
        <v>4491</v>
      </c>
      <c r="C1382" t="s">
        <v>428</v>
      </c>
      <c r="D1382" t="s">
        <v>25</v>
      </c>
      <c r="E1382">
        <f>_xlfn.XLOOKUP(D1382,'Resumen Estudiantes y Profesore'!B:B,'Resumen Estudiantes y Profesore'!A:A)</f>
        <v>28</v>
      </c>
      <c r="F1382" t="s">
        <v>244</v>
      </c>
      <c r="G1382" t="s">
        <v>246</v>
      </c>
      <c r="H1382" t="s">
        <v>246</v>
      </c>
      <c r="I1382" t="s">
        <v>682</v>
      </c>
      <c r="J1382" t="s">
        <v>83</v>
      </c>
      <c r="K1382" s="120" t="s">
        <v>4492</v>
      </c>
      <c r="N1382" s="49"/>
    </row>
    <row r="1383" spans="1:14">
      <c r="A1383" t="s">
        <v>4493</v>
      </c>
      <c r="B1383" t="s">
        <v>4494</v>
      </c>
      <c r="C1383" t="s">
        <v>508</v>
      </c>
      <c r="D1383" t="s">
        <v>152</v>
      </c>
      <c r="E1383">
        <f>_xlfn.XLOOKUP(D1383,'Resumen Estudiantes y Profesore'!B:B,'Resumen Estudiantes y Profesore'!A:A)</f>
        <v>108</v>
      </c>
      <c r="F1383" t="s">
        <v>244</v>
      </c>
      <c r="G1383" t="s">
        <v>246</v>
      </c>
      <c r="H1383" t="s">
        <v>246</v>
      </c>
      <c r="I1383" t="s">
        <v>674</v>
      </c>
      <c r="J1383" t="s">
        <v>91</v>
      </c>
      <c r="K1383" s="120" t="s">
        <v>4495</v>
      </c>
      <c r="N1383" s="49"/>
    </row>
    <row r="1384" spans="1:14">
      <c r="A1384" t="s">
        <v>4493</v>
      </c>
      <c r="B1384" t="s">
        <v>4496</v>
      </c>
      <c r="C1384" t="s">
        <v>476</v>
      </c>
      <c r="D1384" t="s">
        <v>207</v>
      </c>
      <c r="E1384">
        <f>_xlfn.XLOOKUP(D1384,'Resumen Estudiantes y Profesore'!B:B,'Resumen Estudiantes y Profesore'!A:A)</f>
        <v>82</v>
      </c>
      <c r="F1384" t="s">
        <v>244</v>
      </c>
      <c r="G1384" t="s">
        <v>246</v>
      </c>
      <c r="H1384" t="s">
        <v>246</v>
      </c>
      <c r="I1384" t="s">
        <v>674</v>
      </c>
      <c r="J1384" t="s">
        <v>91</v>
      </c>
      <c r="K1384" s="120" t="s">
        <v>4497</v>
      </c>
      <c r="N1384" s="49"/>
    </row>
    <row r="1385" spans="1:14">
      <c r="A1385" t="s">
        <v>4498</v>
      </c>
      <c r="B1385" t="s">
        <v>4499</v>
      </c>
      <c r="C1385" t="s">
        <v>468</v>
      </c>
      <c r="D1385" t="s">
        <v>178</v>
      </c>
      <c r="E1385">
        <f>_xlfn.XLOOKUP(D1385,'Resumen Estudiantes y Profesore'!B:B,'Resumen Estudiantes y Profesore'!A:A)</f>
        <v>75</v>
      </c>
      <c r="F1385" t="s">
        <v>244</v>
      </c>
      <c r="G1385" t="s">
        <v>246</v>
      </c>
      <c r="H1385" t="s">
        <v>246</v>
      </c>
      <c r="I1385" t="s">
        <v>674</v>
      </c>
      <c r="J1385" t="s">
        <v>89</v>
      </c>
      <c r="K1385" s="120" t="s">
        <v>4500</v>
      </c>
      <c r="N1385" s="49"/>
    </row>
    <row r="1386" spans="1:14">
      <c r="A1386" t="s">
        <v>4498</v>
      </c>
      <c r="B1386" t="s">
        <v>4501</v>
      </c>
      <c r="C1386" t="s">
        <v>535</v>
      </c>
      <c r="D1386" t="s">
        <v>40</v>
      </c>
      <c r="E1386">
        <f>_xlfn.XLOOKUP(D1386,'Resumen Estudiantes y Profesore'!B:B,'Resumen Estudiantes y Profesore'!A:A)</f>
        <v>200</v>
      </c>
      <c r="F1386" t="s">
        <v>244</v>
      </c>
      <c r="G1386" t="s">
        <v>246</v>
      </c>
      <c r="H1386" t="s">
        <v>246</v>
      </c>
      <c r="I1386" t="s">
        <v>682</v>
      </c>
      <c r="J1386" t="s">
        <v>89</v>
      </c>
      <c r="K1386" s="120" t="s">
        <v>4502</v>
      </c>
      <c r="N1386" s="49"/>
    </row>
    <row r="1387" spans="1:14">
      <c r="A1387" t="s">
        <v>4503</v>
      </c>
      <c r="B1387" t="s">
        <v>4504</v>
      </c>
      <c r="C1387" t="s">
        <v>450</v>
      </c>
      <c r="D1387" t="s">
        <v>37</v>
      </c>
      <c r="E1387">
        <f>_xlfn.XLOOKUP(D1387,'Resumen Estudiantes y Profesore'!B:B,'Resumen Estudiantes y Profesore'!A:A)</f>
        <v>41</v>
      </c>
      <c r="F1387" t="s">
        <v>244</v>
      </c>
      <c r="G1387" t="s">
        <v>246</v>
      </c>
      <c r="H1387" t="s">
        <v>246</v>
      </c>
      <c r="I1387" t="s">
        <v>682</v>
      </c>
      <c r="J1387" t="s">
        <v>89</v>
      </c>
      <c r="K1387" s="120" t="s">
        <v>4505</v>
      </c>
      <c r="N1387" s="49"/>
    </row>
    <row r="1388" spans="1:14">
      <c r="A1388" t="s">
        <v>4503</v>
      </c>
      <c r="B1388" t="s">
        <v>4506</v>
      </c>
      <c r="C1388" t="s">
        <v>534</v>
      </c>
      <c r="D1388" t="s">
        <v>36</v>
      </c>
      <c r="E1388">
        <f>_xlfn.XLOOKUP(D1388,'Resumen Estudiantes y Profesore'!B:B,'Resumen Estudiantes y Profesore'!A:A)</f>
        <v>37</v>
      </c>
      <c r="F1388" t="s">
        <v>244</v>
      </c>
      <c r="G1388" t="s">
        <v>246</v>
      </c>
      <c r="H1388" t="s">
        <v>246</v>
      </c>
      <c r="I1388" t="s">
        <v>682</v>
      </c>
      <c r="J1388" t="s">
        <v>89</v>
      </c>
      <c r="K1388" s="120" t="s">
        <v>4507</v>
      </c>
      <c r="N1388" s="49"/>
    </row>
    <row r="1389" spans="1:14">
      <c r="A1389" t="s">
        <v>4508</v>
      </c>
      <c r="B1389" t="s">
        <v>4509</v>
      </c>
      <c r="C1389" t="s">
        <v>93</v>
      </c>
      <c r="D1389" t="s">
        <v>93</v>
      </c>
      <c r="E1389">
        <f>_xlfn.XLOOKUP(D1389,'Resumen Estudiantes y Profesore'!B:B,'Resumen Estudiantes y Profesore'!A:A)</f>
        <v>210</v>
      </c>
      <c r="F1389" t="s">
        <v>244</v>
      </c>
      <c r="G1389" t="s">
        <v>246</v>
      </c>
      <c r="H1389" t="s">
        <v>246</v>
      </c>
      <c r="I1389" t="s">
        <v>682</v>
      </c>
      <c r="J1389" t="s">
        <v>93</v>
      </c>
      <c r="K1389" s="120" t="s">
        <v>4510</v>
      </c>
      <c r="N1389" s="49"/>
    </row>
    <row r="1390" spans="1:14">
      <c r="A1390" t="s">
        <v>4511</v>
      </c>
      <c r="B1390" t="s">
        <v>4512</v>
      </c>
      <c r="C1390" t="s">
        <v>455</v>
      </c>
      <c r="D1390" t="s">
        <v>184</v>
      </c>
      <c r="E1390">
        <f>_xlfn.XLOOKUP(D1390,'Resumen Estudiantes y Profesore'!B:B,'Resumen Estudiantes y Profesore'!A:A)</f>
        <v>52</v>
      </c>
      <c r="F1390" t="s">
        <v>244</v>
      </c>
      <c r="G1390" t="s">
        <v>247</v>
      </c>
      <c r="H1390" t="s">
        <v>247</v>
      </c>
      <c r="I1390" t="s">
        <v>674</v>
      </c>
      <c r="J1390" t="s">
        <v>83</v>
      </c>
      <c r="K1390" s="120" t="s">
        <v>4513</v>
      </c>
      <c r="N1390" s="49"/>
    </row>
    <row r="1391" spans="1:14">
      <c r="A1391" t="s">
        <v>4514</v>
      </c>
      <c r="B1391" t="s">
        <v>4515</v>
      </c>
      <c r="C1391" t="s">
        <v>498</v>
      </c>
      <c r="D1391" t="s">
        <v>101</v>
      </c>
      <c r="E1391">
        <f>_xlfn.XLOOKUP(D1391,'Resumen Estudiantes y Profesore'!B:B,'Resumen Estudiantes y Profesore'!A:A)</f>
        <v>50</v>
      </c>
      <c r="F1391" t="s">
        <v>244</v>
      </c>
      <c r="G1391" t="s">
        <v>246</v>
      </c>
      <c r="H1391" t="s">
        <v>246</v>
      </c>
      <c r="I1391" t="s">
        <v>674</v>
      </c>
      <c r="J1391" t="s">
        <v>83</v>
      </c>
      <c r="K1391" s="120" t="s">
        <v>4516</v>
      </c>
      <c r="N1391" s="49"/>
    </row>
    <row r="1392" spans="1:14">
      <c r="A1392" t="s">
        <v>4514</v>
      </c>
      <c r="B1392" t="s">
        <v>4517</v>
      </c>
      <c r="C1392" t="s">
        <v>455</v>
      </c>
      <c r="D1392" t="s">
        <v>184</v>
      </c>
      <c r="E1392">
        <f>_xlfn.XLOOKUP(D1392,'Resumen Estudiantes y Profesore'!B:B,'Resumen Estudiantes y Profesore'!A:A)</f>
        <v>52</v>
      </c>
      <c r="F1392" t="s">
        <v>244</v>
      </c>
      <c r="G1392" t="s">
        <v>247</v>
      </c>
      <c r="H1392" t="s">
        <v>247</v>
      </c>
      <c r="I1392" t="s">
        <v>674</v>
      </c>
      <c r="J1392" t="s">
        <v>83</v>
      </c>
      <c r="K1392" s="120" t="s">
        <v>4518</v>
      </c>
      <c r="N1392" s="49"/>
    </row>
    <row r="1393" spans="1:14">
      <c r="A1393" t="s">
        <v>4514</v>
      </c>
      <c r="B1393" t="s">
        <v>4519</v>
      </c>
      <c r="C1393" t="s">
        <v>428</v>
      </c>
      <c r="D1393" t="s">
        <v>25</v>
      </c>
      <c r="E1393">
        <f>_xlfn.XLOOKUP(D1393,'Resumen Estudiantes y Profesore'!B:B,'Resumen Estudiantes y Profesore'!A:A)</f>
        <v>28</v>
      </c>
      <c r="F1393" t="s">
        <v>244</v>
      </c>
      <c r="G1393" t="s">
        <v>246</v>
      </c>
      <c r="H1393" t="s">
        <v>246</v>
      </c>
      <c r="I1393" t="s">
        <v>682</v>
      </c>
      <c r="J1393" t="s">
        <v>83</v>
      </c>
      <c r="K1393" s="120" t="s">
        <v>4520</v>
      </c>
      <c r="N1393" s="49"/>
    </row>
    <row r="1394" spans="1:14">
      <c r="A1394" t="s">
        <v>2668</v>
      </c>
      <c r="B1394" t="s">
        <v>4521</v>
      </c>
      <c r="C1394" t="s">
        <v>454</v>
      </c>
      <c r="D1394" t="s">
        <v>183</v>
      </c>
      <c r="E1394">
        <f>_xlfn.XLOOKUP(D1394,'Resumen Estudiantes y Profesore'!B:B,'Resumen Estudiantes y Profesore'!A:A)</f>
        <v>51</v>
      </c>
      <c r="F1394" t="s">
        <v>244</v>
      </c>
      <c r="G1394" t="s">
        <v>247</v>
      </c>
      <c r="H1394" t="s">
        <v>247</v>
      </c>
      <c r="I1394" t="s">
        <v>674</v>
      </c>
      <c r="J1394" t="s">
        <v>83</v>
      </c>
      <c r="K1394" s="120" t="s">
        <v>4522</v>
      </c>
      <c r="N1394" s="49"/>
    </row>
    <row r="1395" spans="1:14">
      <c r="A1395" t="s">
        <v>2668</v>
      </c>
      <c r="B1395" t="s">
        <v>4523</v>
      </c>
      <c r="C1395" t="s">
        <v>424</v>
      </c>
      <c r="D1395" t="s">
        <v>24</v>
      </c>
      <c r="E1395">
        <f>_xlfn.XLOOKUP(D1395,'Resumen Estudiantes y Profesore'!B:B,'Resumen Estudiantes y Profesore'!A:A)</f>
        <v>27</v>
      </c>
      <c r="F1395" t="s">
        <v>244</v>
      </c>
      <c r="G1395" t="s">
        <v>246</v>
      </c>
      <c r="H1395" t="s">
        <v>246</v>
      </c>
      <c r="I1395" t="s">
        <v>682</v>
      </c>
      <c r="J1395" t="s">
        <v>83</v>
      </c>
      <c r="K1395" s="120" t="s">
        <v>4524</v>
      </c>
      <c r="N1395" s="49"/>
    </row>
    <row r="1396" spans="1:14">
      <c r="A1396" t="s">
        <v>2668</v>
      </c>
      <c r="B1396" t="s">
        <v>4525</v>
      </c>
      <c r="C1396" t="s">
        <v>426</v>
      </c>
      <c r="D1396" t="s">
        <v>23</v>
      </c>
      <c r="E1396">
        <f>_xlfn.XLOOKUP(D1396,'Resumen Estudiantes y Profesore'!B:B,'Resumen Estudiantes y Profesore'!A:A)</f>
        <v>26</v>
      </c>
      <c r="F1396" t="s">
        <v>244</v>
      </c>
      <c r="G1396" t="s">
        <v>246</v>
      </c>
      <c r="H1396" t="s">
        <v>246</v>
      </c>
      <c r="I1396" t="s">
        <v>682</v>
      </c>
      <c r="J1396" t="s">
        <v>83</v>
      </c>
      <c r="K1396" s="120" t="s">
        <v>4526</v>
      </c>
      <c r="N1396" s="49"/>
    </row>
    <row r="1397" spans="1:14">
      <c r="A1397" t="s">
        <v>4527</v>
      </c>
      <c r="B1397" t="s">
        <v>4528</v>
      </c>
      <c r="C1397" t="s">
        <v>95</v>
      </c>
      <c r="D1397" t="s">
        <v>251</v>
      </c>
      <c r="E1397">
        <f>_xlfn.XLOOKUP(D1397,'Resumen Estudiantes y Profesore'!B:B,'Resumen Estudiantes y Profesore'!A:A)</f>
        <v>211</v>
      </c>
      <c r="F1397" t="s">
        <v>244</v>
      </c>
      <c r="G1397" t="s">
        <v>246</v>
      </c>
      <c r="H1397" t="s">
        <v>246</v>
      </c>
      <c r="I1397" t="s">
        <v>682</v>
      </c>
      <c r="J1397" t="s">
        <v>95</v>
      </c>
      <c r="K1397" s="120" t="s">
        <v>4529</v>
      </c>
      <c r="N1397" s="49"/>
    </row>
    <row r="1398" spans="1:14">
      <c r="A1398" t="s">
        <v>4530</v>
      </c>
      <c r="B1398" t="s">
        <v>4531</v>
      </c>
      <c r="C1398" t="s">
        <v>451</v>
      </c>
      <c r="D1398" t="s">
        <v>38</v>
      </c>
      <c r="E1398">
        <f>_xlfn.XLOOKUP(D1398,'Resumen Estudiantes y Profesore'!B:B,'Resumen Estudiantes y Profesore'!A:A)</f>
        <v>42</v>
      </c>
      <c r="F1398" t="s">
        <v>244</v>
      </c>
      <c r="G1398" t="s">
        <v>246</v>
      </c>
      <c r="H1398" t="s">
        <v>246</v>
      </c>
      <c r="I1398" t="s">
        <v>682</v>
      </c>
      <c r="J1398" t="s">
        <v>90</v>
      </c>
      <c r="K1398" s="120" t="s">
        <v>4532</v>
      </c>
      <c r="N1398" s="49"/>
    </row>
    <row r="1399" spans="1:14">
      <c r="A1399" t="s">
        <v>4533</v>
      </c>
      <c r="B1399" t="s">
        <v>4534</v>
      </c>
      <c r="C1399" t="s">
        <v>437</v>
      </c>
      <c r="D1399" t="s">
        <v>30</v>
      </c>
      <c r="E1399">
        <f>_xlfn.XLOOKUP(D1399,'Resumen Estudiantes y Profesore'!B:B,'Resumen Estudiantes y Profesore'!A:A)</f>
        <v>34</v>
      </c>
      <c r="F1399" t="s">
        <v>244</v>
      </c>
      <c r="G1399" t="s">
        <v>246</v>
      </c>
      <c r="H1399" t="s">
        <v>246</v>
      </c>
      <c r="I1399" t="s">
        <v>682</v>
      </c>
      <c r="J1399" t="s">
        <v>87</v>
      </c>
      <c r="K1399" s="120" t="s">
        <v>4535</v>
      </c>
      <c r="N1399" s="49"/>
    </row>
    <row r="1400" spans="1:14">
      <c r="A1400" t="s">
        <v>4533</v>
      </c>
      <c r="B1400" t="s">
        <v>4536</v>
      </c>
      <c r="C1400" t="s">
        <v>436</v>
      </c>
      <c r="D1400" t="s">
        <v>29</v>
      </c>
      <c r="E1400">
        <f>_xlfn.XLOOKUP(D1400,'Resumen Estudiantes y Profesore'!B:B,'Resumen Estudiantes y Profesore'!A:A)</f>
        <v>33</v>
      </c>
      <c r="F1400" t="s">
        <v>244</v>
      </c>
      <c r="G1400" t="s">
        <v>246</v>
      </c>
      <c r="H1400" t="s">
        <v>246</v>
      </c>
      <c r="I1400" t="s">
        <v>682</v>
      </c>
      <c r="J1400" t="s">
        <v>87</v>
      </c>
      <c r="K1400" s="120" t="s">
        <v>4537</v>
      </c>
      <c r="N1400" s="49"/>
    </row>
    <row r="1401" spans="1:14">
      <c r="A1401" t="s">
        <v>4538</v>
      </c>
      <c r="B1401" t="s">
        <v>4539</v>
      </c>
      <c r="C1401" t="s">
        <v>451</v>
      </c>
      <c r="D1401" t="s">
        <v>38</v>
      </c>
      <c r="E1401">
        <f>_xlfn.XLOOKUP(D1401,'Resumen Estudiantes y Profesore'!B:B,'Resumen Estudiantes y Profesore'!A:A)</f>
        <v>42</v>
      </c>
      <c r="F1401" t="s">
        <v>244</v>
      </c>
      <c r="G1401" t="s">
        <v>246</v>
      </c>
      <c r="H1401" t="s">
        <v>246</v>
      </c>
      <c r="I1401" t="s">
        <v>682</v>
      </c>
      <c r="J1401" t="s">
        <v>90</v>
      </c>
      <c r="K1401" s="120" t="s">
        <v>4540</v>
      </c>
      <c r="N1401" s="49"/>
    </row>
    <row r="1402" spans="1:14">
      <c r="A1402" t="s">
        <v>4541</v>
      </c>
      <c r="B1402" t="s">
        <v>4542</v>
      </c>
      <c r="C1402" t="s">
        <v>630</v>
      </c>
      <c r="D1402" t="s">
        <v>536</v>
      </c>
      <c r="E1402" t="e">
        <f>_xlfn.XLOOKUP(D1402,'Resumen Estudiantes y Profesore'!B:B,'Resumen Estudiantes y Profesore'!A:A)</f>
        <v>#N/A</v>
      </c>
      <c r="F1402" t="s">
        <v>244</v>
      </c>
      <c r="G1402" t="s">
        <v>246</v>
      </c>
      <c r="H1402" t="s">
        <v>246</v>
      </c>
      <c r="I1402" t="s">
        <v>682</v>
      </c>
      <c r="J1402" t="s">
        <v>1471</v>
      </c>
      <c r="K1402" s="120" t="s">
        <v>4543</v>
      </c>
      <c r="N1402" s="49"/>
    </row>
    <row r="1403" spans="1:14">
      <c r="A1403" t="s">
        <v>4544</v>
      </c>
      <c r="B1403" t="s">
        <v>4545</v>
      </c>
      <c r="C1403" t="s">
        <v>530</v>
      </c>
      <c r="D1403" t="s">
        <v>199</v>
      </c>
      <c r="E1403">
        <f>_xlfn.XLOOKUP(D1403,'Resumen Estudiantes y Profesore'!B:B,'Resumen Estudiantes y Profesore'!A:A)</f>
        <v>49</v>
      </c>
      <c r="F1403" t="s">
        <v>244</v>
      </c>
      <c r="G1403" t="s">
        <v>246</v>
      </c>
      <c r="H1403" t="s">
        <v>246</v>
      </c>
      <c r="I1403" t="s">
        <v>674</v>
      </c>
      <c r="J1403" t="s">
        <v>77</v>
      </c>
      <c r="K1403" s="120" t="s">
        <v>4546</v>
      </c>
      <c r="N1403" s="49"/>
    </row>
    <row r="1404" spans="1:14">
      <c r="A1404" t="s">
        <v>4544</v>
      </c>
      <c r="B1404" t="s">
        <v>4547</v>
      </c>
      <c r="C1404" t="s">
        <v>479</v>
      </c>
      <c r="D1404" t="s">
        <v>201</v>
      </c>
      <c r="E1404">
        <f>_xlfn.XLOOKUP(D1404,'Resumen Estudiantes y Profesore'!B:B,'Resumen Estudiantes y Profesore'!A:A)</f>
        <v>47</v>
      </c>
      <c r="F1404" t="s">
        <v>244</v>
      </c>
      <c r="G1404" t="s">
        <v>246</v>
      </c>
      <c r="H1404" t="s">
        <v>246</v>
      </c>
      <c r="I1404" t="s">
        <v>674</v>
      </c>
      <c r="J1404" t="s">
        <v>77</v>
      </c>
      <c r="K1404" s="120" t="s">
        <v>4548</v>
      </c>
      <c r="N1404" s="49"/>
    </row>
    <row r="1405" spans="1:14">
      <c r="A1405" t="s">
        <v>4549</v>
      </c>
      <c r="B1405" t="s">
        <v>4550</v>
      </c>
      <c r="C1405" t="s">
        <v>2549</v>
      </c>
      <c r="D1405" t="s">
        <v>107</v>
      </c>
      <c r="E1405">
        <f>_xlfn.XLOOKUP(D1405,'Resumen Estudiantes y Profesore'!B:B,'Resumen Estudiantes y Profesore'!A:A)</f>
        <v>201</v>
      </c>
      <c r="F1405" t="s">
        <v>244</v>
      </c>
      <c r="G1405" t="s">
        <v>246</v>
      </c>
      <c r="H1405" t="s">
        <v>246</v>
      </c>
      <c r="I1405" t="s">
        <v>674</v>
      </c>
      <c r="J1405" t="s">
        <v>91</v>
      </c>
      <c r="K1405" s="120" t="s">
        <v>4551</v>
      </c>
      <c r="N1405" s="49"/>
    </row>
    <row r="1406" spans="1:14">
      <c r="A1406" t="s">
        <v>4552</v>
      </c>
      <c r="B1406" t="s">
        <v>4553</v>
      </c>
      <c r="C1406" t="s">
        <v>421</v>
      </c>
      <c r="D1406" t="s">
        <v>236</v>
      </c>
      <c r="E1406">
        <f>_xlfn.XLOOKUP(D1406,'Resumen Estudiantes y Profesore'!B:B,'Resumen Estudiantes y Profesore'!A:A)</f>
        <v>155</v>
      </c>
      <c r="F1406" t="s">
        <v>244</v>
      </c>
      <c r="G1406" t="s">
        <v>246</v>
      </c>
      <c r="H1406" t="s">
        <v>246</v>
      </c>
      <c r="I1406" t="s">
        <v>682</v>
      </c>
      <c r="J1406" t="s">
        <v>77</v>
      </c>
      <c r="K1406" s="120" t="s">
        <v>4554</v>
      </c>
      <c r="N1406" s="49"/>
    </row>
    <row r="1407" spans="1:14">
      <c r="A1407" t="s">
        <v>4552</v>
      </c>
      <c r="B1407" t="s">
        <v>4555</v>
      </c>
      <c r="C1407" t="s">
        <v>422</v>
      </c>
      <c r="D1407" t="s">
        <v>238</v>
      </c>
      <c r="E1407">
        <f>_xlfn.XLOOKUP(D1407,'Resumen Estudiantes y Profesore'!B:B,'Resumen Estudiantes y Profesore'!A:A)</f>
        <v>157</v>
      </c>
      <c r="F1407" t="s">
        <v>244</v>
      </c>
      <c r="G1407" t="s">
        <v>246</v>
      </c>
      <c r="H1407" t="s">
        <v>246</v>
      </c>
      <c r="I1407" t="s">
        <v>682</v>
      </c>
      <c r="J1407" t="s">
        <v>77</v>
      </c>
      <c r="K1407" s="120" t="s">
        <v>4556</v>
      </c>
      <c r="N1407" s="49"/>
    </row>
    <row r="1408" spans="1:14">
      <c r="A1408" t="s">
        <v>2876</v>
      </c>
      <c r="B1408" t="s">
        <v>4557</v>
      </c>
      <c r="C1408" t="s">
        <v>417</v>
      </c>
      <c r="D1408" t="s">
        <v>231</v>
      </c>
      <c r="E1408">
        <f>_xlfn.XLOOKUP(D1408,'Resumen Estudiantes y Profesore'!B:B,'Resumen Estudiantes y Profesore'!A:A)</f>
        <v>150</v>
      </c>
      <c r="F1408" t="s">
        <v>244</v>
      </c>
      <c r="G1408" t="s">
        <v>246</v>
      </c>
      <c r="H1408" t="s">
        <v>246</v>
      </c>
      <c r="I1408" t="s">
        <v>682</v>
      </c>
      <c r="J1408" t="s">
        <v>77</v>
      </c>
      <c r="K1408" s="120" t="s">
        <v>4558</v>
      </c>
      <c r="N1408" s="49"/>
    </row>
    <row r="1409" spans="1:14">
      <c r="A1409" t="s">
        <v>4559</v>
      </c>
      <c r="B1409" t="s">
        <v>4560</v>
      </c>
      <c r="C1409" t="s">
        <v>451</v>
      </c>
      <c r="D1409" t="s">
        <v>38</v>
      </c>
      <c r="E1409">
        <f>_xlfn.XLOOKUP(D1409,'Resumen Estudiantes y Profesore'!B:B,'Resumen Estudiantes y Profesore'!A:A)</f>
        <v>42</v>
      </c>
      <c r="F1409" t="s">
        <v>244</v>
      </c>
      <c r="G1409" t="s">
        <v>246</v>
      </c>
      <c r="H1409" t="s">
        <v>246</v>
      </c>
      <c r="I1409" t="s">
        <v>682</v>
      </c>
      <c r="J1409" t="s">
        <v>90</v>
      </c>
      <c r="K1409" s="120" t="s">
        <v>4561</v>
      </c>
      <c r="N1409" s="49"/>
    </row>
    <row r="1410" spans="1:14">
      <c r="A1410" t="s">
        <v>4562</v>
      </c>
      <c r="B1410" t="s">
        <v>4563</v>
      </c>
      <c r="C1410" t="s">
        <v>99</v>
      </c>
      <c r="D1410" t="s">
        <v>99</v>
      </c>
      <c r="E1410">
        <f>_xlfn.XLOOKUP(D1410,'Resumen Estudiantes y Profesore'!B:B,'Resumen Estudiantes y Profesore'!A:A)</f>
        <v>70</v>
      </c>
      <c r="F1410" t="s">
        <v>244</v>
      </c>
      <c r="G1410" t="s">
        <v>246</v>
      </c>
      <c r="H1410" t="s">
        <v>246</v>
      </c>
      <c r="I1410" t="s">
        <v>674</v>
      </c>
      <c r="J1410" t="s">
        <v>89</v>
      </c>
      <c r="K1410" s="120" t="s">
        <v>4564</v>
      </c>
      <c r="N1410" s="49"/>
    </row>
    <row r="1411" spans="1:14">
      <c r="A1411" t="s">
        <v>4562</v>
      </c>
      <c r="B1411" t="s">
        <v>4565</v>
      </c>
      <c r="C1411" t="s">
        <v>469</v>
      </c>
      <c r="D1411" t="s">
        <v>179</v>
      </c>
      <c r="E1411">
        <f>_xlfn.XLOOKUP(D1411,'Resumen Estudiantes y Profesore'!B:B,'Resumen Estudiantes y Profesore'!A:A)</f>
        <v>73</v>
      </c>
      <c r="F1411" t="s">
        <v>244</v>
      </c>
      <c r="G1411" t="s">
        <v>246</v>
      </c>
      <c r="H1411" t="s">
        <v>246</v>
      </c>
      <c r="I1411" t="s">
        <v>674</v>
      </c>
      <c r="J1411" t="s">
        <v>89</v>
      </c>
      <c r="K1411" s="120" t="s">
        <v>4566</v>
      </c>
      <c r="N1411" s="49"/>
    </row>
    <row r="1412" spans="1:14">
      <c r="A1412" t="s">
        <v>4562</v>
      </c>
      <c r="B1412" t="s">
        <v>4567</v>
      </c>
      <c r="C1412" t="s">
        <v>450</v>
      </c>
      <c r="D1412" t="s">
        <v>37</v>
      </c>
      <c r="E1412">
        <f>_xlfn.XLOOKUP(D1412,'Resumen Estudiantes y Profesore'!B:B,'Resumen Estudiantes y Profesore'!A:A)</f>
        <v>41</v>
      </c>
      <c r="F1412" t="s">
        <v>244</v>
      </c>
      <c r="G1412" t="s">
        <v>246</v>
      </c>
      <c r="H1412" t="s">
        <v>246</v>
      </c>
      <c r="I1412" t="s">
        <v>682</v>
      </c>
      <c r="J1412" t="s">
        <v>89</v>
      </c>
      <c r="K1412" s="120" t="s">
        <v>4568</v>
      </c>
      <c r="N1412" s="49"/>
    </row>
    <row r="1413" spans="1:14">
      <c r="A1413" t="s">
        <v>4569</v>
      </c>
      <c r="B1413" t="s">
        <v>4570</v>
      </c>
      <c r="C1413" t="s">
        <v>515</v>
      </c>
      <c r="D1413" t="s">
        <v>148</v>
      </c>
      <c r="E1413">
        <f>_xlfn.XLOOKUP(D1413,'Resumen Estudiantes y Profesore'!B:B,'Resumen Estudiantes y Profesore'!A:A)</f>
        <v>115</v>
      </c>
      <c r="F1413" t="s">
        <v>244</v>
      </c>
      <c r="G1413" t="s">
        <v>247</v>
      </c>
      <c r="H1413" t="s">
        <v>247</v>
      </c>
      <c r="I1413" t="s">
        <v>674</v>
      </c>
      <c r="J1413" t="s">
        <v>138</v>
      </c>
      <c r="K1413" s="120" t="s">
        <v>4571</v>
      </c>
      <c r="N1413" s="49"/>
    </row>
    <row r="1414" spans="1:14">
      <c r="A1414" t="s">
        <v>4572</v>
      </c>
      <c r="B1414" t="s">
        <v>4573</v>
      </c>
      <c r="C1414" t="s">
        <v>469</v>
      </c>
      <c r="D1414" t="s">
        <v>179</v>
      </c>
      <c r="E1414">
        <f>_xlfn.XLOOKUP(D1414,'Resumen Estudiantes y Profesore'!B:B,'Resumen Estudiantes y Profesore'!A:A)</f>
        <v>73</v>
      </c>
      <c r="F1414" t="s">
        <v>244</v>
      </c>
      <c r="G1414" t="s">
        <v>246</v>
      </c>
      <c r="H1414" t="s">
        <v>246</v>
      </c>
      <c r="I1414" t="s">
        <v>674</v>
      </c>
      <c r="J1414" t="s">
        <v>89</v>
      </c>
      <c r="K1414" s="120" t="s">
        <v>4574</v>
      </c>
      <c r="N1414" s="49"/>
    </row>
    <row r="1415" spans="1:14">
      <c r="A1415" t="s">
        <v>4572</v>
      </c>
      <c r="B1415" t="s">
        <v>4575</v>
      </c>
      <c r="C1415" t="s">
        <v>444</v>
      </c>
      <c r="D1415" t="s">
        <v>33</v>
      </c>
      <c r="E1415">
        <f>_xlfn.XLOOKUP(D1415,'Resumen Estudiantes y Profesore'!B:B,'Resumen Estudiantes y Profesore'!A:A)</f>
        <v>38</v>
      </c>
      <c r="F1415" t="s">
        <v>244</v>
      </c>
      <c r="G1415" t="s">
        <v>247</v>
      </c>
      <c r="H1415" t="s">
        <v>247</v>
      </c>
      <c r="I1415" t="s">
        <v>682</v>
      </c>
      <c r="J1415" t="s">
        <v>89</v>
      </c>
      <c r="K1415" s="120" t="s">
        <v>4576</v>
      </c>
      <c r="N1415" s="49"/>
    </row>
    <row r="1416" spans="1:14">
      <c r="A1416" t="s">
        <v>4577</v>
      </c>
      <c r="B1416" t="s">
        <v>4578</v>
      </c>
      <c r="C1416" t="s">
        <v>466</v>
      </c>
      <c r="D1416" t="s">
        <v>213</v>
      </c>
      <c r="E1416">
        <f>_xlfn.XLOOKUP(D1416,'Resumen Estudiantes y Profesore'!B:B,'Resumen Estudiantes y Profesore'!A:A)</f>
        <v>68</v>
      </c>
      <c r="F1416" t="s">
        <v>244</v>
      </c>
      <c r="G1416" t="s">
        <v>246</v>
      </c>
      <c r="H1416" t="s">
        <v>246</v>
      </c>
      <c r="I1416" t="s">
        <v>674</v>
      </c>
      <c r="J1416" t="s">
        <v>88</v>
      </c>
      <c r="K1416" s="120" t="s">
        <v>4579</v>
      </c>
      <c r="N1416" s="49"/>
    </row>
    <row r="1417" spans="1:14">
      <c r="A1417" t="s">
        <v>4580</v>
      </c>
      <c r="B1417" t="s">
        <v>4581</v>
      </c>
      <c r="C1417" t="s">
        <v>475</v>
      </c>
      <c r="D1417" t="s">
        <v>205</v>
      </c>
      <c r="E1417">
        <f>_xlfn.XLOOKUP(D1417,'Resumen Estudiantes y Profesore'!B:B,'Resumen Estudiantes y Profesore'!A:A)</f>
        <v>80</v>
      </c>
      <c r="F1417" t="s">
        <v>244</v>
      </c>
      <c r="G1417" t="s">
        <v>246</v>
      </c>
      <c r="H1417" t="s">
        <v>246</v>
      </c>
      <c r="I1417" t="s">
        <v>674</v>
      </c>
      <c r="J1417" t="s">
        <v>91</v>
      </c>
      <c r="K1417" s="120" t="s">
        <v>4582</v>
      </c>
      <c r="N1417" s="49"/>
    </row>
    <row r="1418" spans="1:14">
      <c r="A1418" t="s">
        <v>4580</v>
      </c>
      <c r="B1418" t="s">
        <v>4583</v>
      </c>
      <c r="C1418" t="s">
        <v>453</v>
      </c>
      <c r="D1418" t="s">
        <v>39</v>
      </c>
      <c r="E1418">
        <f>_xlfn.XLOOKUP(D1418,'Resumen Estudiantes y Profesore'!B:B,'Resumen Estudiantes y Profesore'!A:A)</f>
        <v>43</v>
      </c>
      <c r="F1418" t="s">
        <v>244</v>
      </c>
      <c r="G1418" t="s">
        <v>246</v>
      </c>
      <c r="H1418" t="s">
        <v>246</v>
      </c>
      <c r="I1418" t="s">
        <v>682</v>
      </c>
      <c r="J1418" t="s">
        <v>91</v>
      </c>
      <c r="K1418" s="120" t="s">
        <v>4584</v>
      </c>
      <c r="N1418" s="49"/>
    </row>
    <row r="1419" spans="1:14">
      <c r="A1419" t="s">
        <v>4585</v>
      </c>
      <c r="B1419" t="s">
        <v>4586</v>
      </c>
      <c r="C1419" t="s">
        <v>451</v>
      </c>
      <c r="D1419" t="s">
        <v>38</v>
      </c>
      <c r="E1419">
        <f>_xlfn.XLOOKUP(D1419,'Resumen Estudiantes y Profesore'!B:B,'Resumen Estudiantes y Profesore'!A:A)</f>
        <v>42</v>
      </c>
      <c r="F1419" t="s">
        <v>244</v>
      </c>
      <c r="G1419" t="s">
        <v>246</v>
      </c>
      <c r="H1419" t="s">
        <v>246</v>
      </c>
      <c r="I1419" t="s">
        <v>682</v>
      </c>
      <c r="J1419" t="s">
        <v>90</v>
      </c>
      <c r="K1419" s="120" t="s">
        <v>4587</v>
      </c>
      <c r="N1419" s="49"/>
    </row>
    <row r="1420" spans="1:14">
      <c r="A1420" t="s">
        <v>2928</v>
      </c>
      <c r="B1420" t="s">
        <v>4588</v>
      </c>
      <c r="C1420" t="s">
        <v>239</v>
      </c>
      <c r="D1420" t="s">
        <v>239</v>
      </c>
      <c r="E1420">
        <f>_xlfn.XLOOKUP(D1420,'Resumen Estudiantes y Profesore'!B:B,'Resumen Estudiantes y Profesore'!A:A)</f>
        <v>158</v>
      </c>
      <c r="F1420" t="s">
        <v>244</v>
      </c>
      <c r="G1420" t="s">
        <v>246</v>
      </c>
      <c r="H1420" t="s">
        <v>246</v>
      </c>
      <c r="I1420" t="s">
        <v>682</v>
      </c>
      <c r="J1420" t="s">
        <v>77</v>
      </c>
      <c r="K1420" s="120" t="s">
        <v>4589</v>
      </c>
      <c r="N1420" s="49"/>
    </row>
    <row r="1421" spans="1:14">
      <c r="A1421" t="s">
        <v>4590</v>
      </c>
      <c r="B1421" t="s">
        <v>4591</v>
      </c>
      <c r="C1421" t="s">
        <v>479</v>
      </c>
      <c r="D1421" t="s">
        <v>201</v>
      </c>
      <c r="E1421">
        <f>_xlfn.XLOOKUP(D1421,'Resumen Estudiantes y Profesore'!B:B,'Resumen Estudiantes y Profesore'!A:A)</f>
        <v>47</v>
      </c>
      <c r="F1421" t="s">
        <v>244</v>
      </c>
      <c r="G1421" t="s">
        <v>246</v>
      </c>
      <c r="H1421" t="s">
        <v>246</v>
      </c>
      <c r="I1421" t="s">
        <v>674</v>
      </c>
      <c r="J1421" t="s">
        <v>77</v>
      </c>
      <c r="K1421" s="120" t="s">
        <v>4592</v>
      </c>
      <c r="N1421" s="49"/>
    </row>
    <row r="1422" spans="1:14">
      <c r="A1422" t="s">
        <v>4590</v>
      </c>
      <c r="B1422" t="s">
        <v>4593</v>
      </c>
      <c r="C1422" t="s">
        <v>417</v>
      </c>
      <c r="D1422" t="s">
        <v>231</v>
      </c>
      <c r="E1422">
        <f>_xlfn.XLOOKUP(D1422,'Resumen Estudiantes y Profesore'!B:B,'Resumen Estudiantes y Profesore'!A:A)</f>
        <v>150</v>
      </c>
      <c r="F1422" t="s">
        <v>244</v>
      </c>
      <c r="G1422" t="s">
        <v>246</v>
      </c>
      <c r="H1422" t="s">
        <v>246</v>
      </c>
      <c r="I1422" t="s">
        <v>682</v>
      </c>
      <c r="J1422" t="s">
        <v>77</v>
      </c>
      <c r="K1422" s="120" t="s">
        <v>4594</v>
      </c>
      <c r="N1422" s="49"/>
    </row>
    <row r="1423" spans="1:14">
      <c r="A1423" t="s">
        <v>4595</v>
      </c>
      <c r="B1423" t="s">
        <v>4596</v>
      </c>
      <c r="C1423" t="s">
        <v>99</v>
      </c>
      <c r="D1423" t="s">
        <v>99</v>
      </c>
      <c r="E1423">
        <f>_xlfn.XLOOKUP(D1423,'Resumen Estudiantes y Profesore'!B:B,'Resumen Estudiantes y Profesore'!A:A)</f>
        <v>70</v>
      </c>
      <c r="F1423" t="s">
        <v>244</v>
      </c>
      <c r="G1423" t="s">
        <v>247</v>
      </c>
      <c r="H1423" t="s">
        <v>247</v>
      </c>
      <c r="I1423" t="s">
        <v>674</v>
      </c>
      <c r="J1423" t="s">
        <v>89</v>
      </c>
      <c r="K1423" s="120" t="s">
        <v>4597</v>
      </c>
      <c r="N1423" s="49"/>
    </row>
    <row r="1424" spans="1:14">
      <c r="A1424" t="s">
        <v>4595</v>
      </c>
      <c r="B1424" t="s">
        <v>4598</v>
      </c>
      <c r="C1424" t="s">
        <v>473</v>
      </c>
      <c r="D1424" t="s">
        <v>195</v>
      </c>
      <c r="E1424">
        <f>_xlfn.XLOOKUP(D1424,'Resumen Estudiantes y Profesore'!B:B,'Resumen Estudiantes y Profesore'!A:A)</f>
        <v>77</v>
      </c>
      <c r="F1424" t="s">
        <v>244</v>
      </c>
      <c r="G1424" t="s">
        <v>247</v>
      </c>
      <c r="H1424" t="s">
        <v>247</v>
      </c>
      <c r="I1424" t="s">
        <v>674</v>
      </c>
      <c r="J1424" t="s">
        <v>89</v>
      </c>
      <c r="K1424" s="120" t="s">
        <v>4599</v>
      </c>
      <c r="N1424" s="49"/>
    </row>
    <row r="1425" spans="1:14">
      <c r="A1425" t="s">
        <v>4595</v>
      </c>
      <c r="B1425" t="s">
        <v>4600</v>
      </c>
      <c r="C1425" t="s">
        <v>4601</v>
      </c>
      <c r="D1425" t="s">
        <v>122</v>
      </c>
      <c r="E1425">
        <f>_xlfn.XLOOKUP(D1425,'Resumen Estudiantes y Profesore'!B:B,'Resumen Estudiantes y Profesore'!A:A)</f>
        <v>11</v>
      </c>
      <c r="F1425" t="s">
        <v>244</v>
      </c>
      <c r="G1425" t="s">
        <v>246</v>
      </c>
      <c r="H1425" t="s">
        <v>246</v>
      </c>
      <c r="I1425" t="s">
        <v>674</v>
      </c>
      <c r="J1425" t="s">
        <v>90</v>
      </c>
      <c r="K1425" s="120" t="s">
        <v>4602</v>
      </c>
      <c r="N1425" s="49"/>
    </row>
    <row r="1426" spans="1:14">
      <c r="A1426" t="s">
        <v>4603</v>
      </c>
      <c r="B1426" t="s">
        <v>4604</v>
      </c>
      <c r="C1426" t="s">
        <v>505</v>
      </c>
      <c r="D1426" t="s">
        <v>153</v>
      </c>
      <c r="E1426">
        <f>_xlfn.XLOOKUP(D1426,'Resumen Estudiantes y Profesore'!B:B,'Resumen Estudiantes y Profesore'!A:A)</f>
        <v>104</v>
      </c>
      <c r="F1426" t="s">
        <v>244</v>
      </c>
      <c r="G1426" t="s">
        <v>246</v>
      </c>
      <c r="H1426" t="s">
        <v>246</v>
      </c>
      <c r="I1426" t="s">
        <v>674</v>
      </c>
      <c r="J1426" t="s">
        <v>87</v>
      </c>
      <c r="K1426" s="120" t="s">
        <v>4605</v>
      </c>
      <c r="N1426" s="49"/>
    </row>
    <row r="1427" spans="1:14">
      <c r="A1427" t="s">
        <v>4603</v>
      </c>
      <c r="B1427" t="s">
        <v>4606</v>
      </c>
      <c r="C1427" t="s">
        <v>437</v>
      </c>
      <c r="D1427" t="s">
        <v>30</v>
      </c>
      <c r="E1427">
        <f>_xlfn.XLOOKUP(D1427,'Resumen Estudiantes y Profesore'!B:B,'Resumen Estudiantes y Profesore'!A:A)</f>
        <v>34</v>
      </c>
      <c r="F1427" t="s">
        <v>244</v>
      </c>
      <c r="G1427" t="s">
        <v>246</v>
      </c>
      <c r="H1427" t="s">
        <v>246</v>
      </c>
      <c r="I1427" t="s">
        <v>682</v>
      </c>
      <c r="J1427" t="s">
        <v>87</v>
      </c>
      <c r="K1427" s="120" t="s">
        <v>4607</v>
      </c>
      <c r="N1427" s="49"/>
    </row>
    <row r="1428" spans="1:14">
      <c r="A1428" t="s">
        <v>4608</v>
      </c>
      <c r="B1428" t="s">
        <v>4609</v>
      </c>
      <c r="C1428" t="s">
        <v>444</v>
      </c>
      <c r="D1428" t="s">
        <v>33</v>
      </c>
      <c r="E1428">
        <f>_xlfn.XLOOKUP(D1428,'Resumen Estudiantes y Profesore'!B:B,'Resumen Estudiantes y Profesore'!A:A)</f>
        <v>38</v>
      </c>
      <c r="F1428" t="s">
        <v>244</v>
      </c>
      <c r="G1428" t="s">
        <v>246</v>
      </c>
      <c r="H1428" t="s">
        <v>246</v>
      </c>
      <c r="I1428" t="s">
        <v>682</v>
      </c>
      <c r="J1428" t="s">
        <v>89</v>
      </c>
      <c r="K1428" s="120" t="s">
        <v>4610</v>
      </c>
      <c r="N1428" s="49"/>
    </row>
    <row r="1429" spans="1:14">
      <c r="A1429" t="s">
        <v>4611</v>
      </c>
      <c r="B1429" t="s">
        <v>4612</v>
      </c>
      <c r="C1429" t="s">
        <v>531</v>
      </c>
      <c r="D1429" t="s">
        <v>98</v>
      </c>
      <c r="E1429">
        <f>_xlfn.XLOOKUP(D1429,'Resumen Estudiantes y Profesore'!B:B,'Resumen Estudiantes y Profesore'!A:A)</f>
        <v>44</v>
      </c>
      <c r="F1429" t="s">
        <v>244</v>
      </c>
      <c r="G1429" t="s">
        <v>246</v>
      </c>
      <c r="H1429" t="s">
        <v>246</v>
      </c>
      <c r="I1429" t="s">
        <v>674</v>
      </c>
      <c r="J1429" t="s">
        <v>77</v>
      </c>
      <c r="K1429" s="120" t="s">
        <v>4613</v>
      </c>
      <c r="N1429" s="49"/>
    </row>
    <row r="1430" spans="1:14">
      <c r="A1430" t="s">
        <v>4611</v>
      </c>
      <c r="B1430" t="s">
        <v>4614</v>
      </c>
      <c r="C1430" t="s">
        <v>530</v>
      </c>
      <c r="D1430" t="s">
        <v>199</v>
      </c>
      <c r="E1430">
        <f>_xlfn.XLOOKUP(D1430,'Resumen Estudiantes y Profesore'!B:B,'Resumen Estudiantes y Profesore'!A:A)</f>
        <v>49</v>
      </c>
      <c r="F1430" t="s">
        <v>244</v>
      </c>
      <c r="G1430" t="s">
        <v>246</v>
      </c>
      <c r="H1430" t="s">
        <v>246</v>
      </c>
      <c r="I1430" t="s">
        <v>674</v>
      </c>
      <c r="J1430" t="s">
        <v>77</v>
      </c>
      <c r="K1430" s="120" t="s">
        <v>4615</v>
      </c>
      <c r="N1430" s="49"/>
    </row>
    <row r="1431" spans="1:14">
      <c r="A1431" t="s">
        <v>4611</v>
      </c>
      <c r="B1431" t="s">
        <v>4616</v>
      </c>
      <c r="C1431" t="s">
        <v>478</v>
      </c>
      <c r="D1431" t="s">
        <v>200</v>
      </c>
      <c r="E1431">
        <f>_xlfn.XLOOKUP(D1431,'Resumen Estudiantes y Profesore'!B:B,'Resumen Estudiantes y Profesore'!A:A)</f>
        <v>46</v>
      </c>
      <c r="F1431" t="s">
        <v>244</v>
      </c>
      <c r="G1431" t="s">
        <v>246</v>
      </c>
      <c r="H1431" t="s">
        <v>246</v>
      </c>
      <c r="I1431" t="s">
        <v>674</v>
      </c>
      <c r="J1431" t="s">
        <v>77</v>
      </c>
      <c r="K1431" s="120" t="s">
        <v>4617</v>
      </c>
      <c r="N1431" s="49"/>
    </row>
    <row r="1432" spans="1:14">
      <c r="A1432" t="s">
        <v>4611</v>
      </c>
      <c r="B1432" t="s">
        <v>4618</v>
      </c>
      <c r="C1432" t="s">
        <v>417</v>
      </c>
      <c r="D1432" t="s">
        <v>231</v>
      </c>
      <c r="E1432">
        <f>_xlfn.XLOOKUP(D1432,'Resumen Estudiantes y Profesore'!B:B,'Resumen Estudiantes y Profesore'!A:A)</f>
        <v>150</v>
      </c>
      <c r="F1432" t="s">
        <v>244</v>
      </c>
      <c r="G1432" t="s">
        <v>246</v>
      </c>
      <c r="H1432" t="s">
        <v>246</v>
      </c>
      <c r="I1432" t="s">
        <v>682</v>
      </c>
      <c r="J1432" t="s">
        <v>77</v>
      </c>
      <c r="K1432" s="120" t="s">
        <v>4619</v>
      </c>
      <c r="N1432" s="49"/>
    </row>
    <row r="1433" spans="1:14">
      <c r="A1433" t="s">
        <v>2680</v>
      </c>
      <c r="B1433" t="s">
        <v>4620</v>
      </c>
      <c r="C1433" t="s">
        <v>428</v>
      </c>
      <c r="D1433" t="s">
        <v>25</v>
      </c>
      <c r="E1433">
        <f>_xlfn.XLOOKUP(D1433,'Resumen Estudiantes y Profesore'!B:B,'Resumen Estudiantes y Profesore'!A:A)</f>
        <v>28</v>
      </c>
      <c r="F1433" t="s">
        <v>244</v>
      </c>
      <c r="G1433" t="s">
        <v>246</v>
      </c>
      <c r="H1433" t="s">
        <v>246</v>
      </c>
      <c r="I1433" t="s">
        <v>682</v>
      </c>
      <c r="J1433" t="s">
        <v>83</v>
      </c>
      <c r="K1433" s="120" t="s">
        <v>4621</v>
      </c>
      <c r="N1433" s="49"/>
    </row>
    <row r="1434" spans="1:14">
      <c r="A1434" t="s">
        <v>4622</v>
      </c>
      <c r="B1434" t="s">
        <v>4623</v>
      </c>
      <c r="C1434" t="s">
        <v>521</v>
      </c>
      <c r="D1434" t="s">
        <v>169</v>
      </c>
      <c r="E1434">
        <f>_xlfn.XLOOKUP(D1434,'Resumen Estudiantes y Profesore'!B:B,'Resumen Estudiantes y Profesore'!A:A)</f>
        <v>139</v>
      </c>
      <c r="F1434" t="s">
        <v>244</v>
      </c>
      <c r="G1434" t="s">
        <v>246</v>
      </c>
      <c r="H1434" t="s">
        <v>246</v>
      </c>
      <c r="I1434" t="s">
        <v>674</v>
      </c>
      <c r="J1434" t="s">
        <v>138</v>
      </c>
      <c r="K1434" s="120" t="s">
        <v>4624</v>
      </c>
      <c r="N1434" s="49"/>
    </row>
    <row r="1435" spans="1:14">
      <c r="A1435" t="s">
        <v>4622</v>
      </c>
      <c r="B1435" t="s">
        <v>4625</v>
      </c>
      <c r="C1435" t="s">
        <v>539</v>
      </c>
      <c r="D1435" t="s">
        <v>160</v>
      </c>
      <c r="E1435">
        <f>_xlfn.XLOOKUP(D1435,'Resumen Estudiantes y Profesore'!B:B,'Resumen Estudiantes y Profesore'!A:A)</f>
        <v>209</v>
      </c>
      <c r="F1435" t="s">
        <v>244</v>
      </c>
      <c r="G1435" t="s">
        <v>246</v>
      </c>
      <c r="H1435" t="s">
        <v>246</v>
      </c>
      <c r="I1435" t="s">
        <v>674</v>
      </c>
      <c r="J1435" t="s">
        <v>138</v>
      </c>
      <c r="K1435" s="120" t="s">
        <v>4626</v>
      </c>
      <c r="N1435" s="49"/>
    </row>
    <row r="1436" spans="1:14">
      <c r="A1436" t="s">
        <v>4622</v>
      </c>
      <c r="B1436" t="s">
        <v>4627</v>
      </c>
      <c r="C1436" t="s">
        <v>512</v>
      </c>
      <c r="D1436" t="s">
        <v>142</v>
      </c>
      <c r="E1436">
        <f>_xlfn.XLOOKUP(D1436,'Resumen Estudiantes y Profesore'!B:B,'Resumen Estudiantes y Profesore'!A:A)</f>
        <v>119</v>
      </c>
      <c r="F1436" t="s">
        <v>244</v>
      </c>
      <c r="G1436" t="s">
        <v>246</v>
      </c>
      <c r="H1436" t="s">
        <v>246</v>
      </c>
      <c r="I1436" t="s">
        <v>674</v>
      </c>
      <c r="J1436" t="s">
        <v>138</v>
      </c>
      <c r="K1436" s="120" t="s">
        <v>4628</v>
      </c>
      <c r="N1436" s="49"/>
    </row>
    <row r="1437" spans="1:14">
      <c r="A1437" t="s">
        <v>4629</v>
      </c>
      <c r="B1437" t="s">
        <v>4630</v>
      </c>
      <c r="C1437" t="s">
        <v>469</v>
      </c>
      <c r="D1437" t="s">
        <v>179</v>
      </c>
      <c r="E1437">
        <f>_xlfn.XLOOKUP(D1437,'Resumen Estudiantes y Profesore'!B:B,'Resumen Estudiantes y Profesore'!A:A)</f>
        <v>73</v>
      </c>
      <c r="F1437" t="s">
        <v>244</v>
      </c>
      <c r="G1437" t="s">
        <v>246</v>
      </c>
      <c r="H1437" t="s">
        <v>246</v>
      </c>
      <c r="I1437" t="s">
        <v>674</v>
      </c>
      <c r="J1437" t="s">
        <v>89</v>
      </c>
      <c r="K1437" s="120" t="s">
        <v>4631</v>
      </c>
      <c r="N1437" s="49"/>
    </row>
    <row r="1438" spans="1:14">
      <c r="A1438" t="s">
        <v>4629</v>
      </c>
      <c r="B1438" t="s">
        <v>4632</v>
      </c>
      <c r="C1438" t="s">
        <v>470</v>
      </c>
      <c r="D1438" t="s">
        <v>180</v>
      </c>
      <c r="E1438">
        <f>_xlfn.XLOOKUP(D1438,'Resumen Estudiantes y Profesore'!B:B,'Resumen Estudiantes y Profesore'!A:A)</f>
        <v>74</v>
      </c>
      <c r="F1438" t="s">
        <v>244</v>
      </c>
      <c r="G1438" t="s">
        <v>246</v>
      </c>
      <c r="H1438" t="s">
        <v>246</v>
      </c>
      <c r="I1438" t="s">
        <v>674</v>
      </c>
      <c r="J1438" t="s">
        <v>89</v>
      </c>
      <c r="K1438" s="120" t="s">
        <v>4633</v>
      </c>
      <c r="N1438" s="49"/>
    </row>
    <row r="1439" spans="1:14">
      <c r="A1439" t="s">
        <v>4629</v>
      </c>
      <c r="B1439" t="s">
        <v>4634</v>
      </c>
      <c r="C1439" t="s">
        <v>450</v>
      </c>
      <c r="D1439" t="s">
        <v>37</v>
      </c>
      <c r="E1439">
        <f>_xlfn.XLOOKUP(D1439,'Resumen Estudiantes y Profesore'!B:B,'Resumen Estudiantes y Profesore'!A:A)</f>
        <v>41</v>
      </c>
      <c r="F1439" t="s">
        <v>244</v>
      </c>
      <c r="G1439" t="s">
        <v>246</v>
      </c>
      <c r="H1439" t="s">
        <v>246</v>
      </c>
      <c r="I1439" t="s">
        <v>682</v>
      </c>
      <c r="J1439" t="s">
        <v>89</v>
      </c>
      <c r="K1439" s="120" t="s">
        <v>4635</v>
      </c>
      <c r="N1439" s="49"/>
    </row>
    <row r="1440" spans="1:14">
      <c r="A1440" t="s">
        <v>4636</v>
      </c>
      <c r="B1440" t="s">
        <v>4637</v>
      </c>
      <c r="C1440" t="s">
        <v>455</v>
      </c>
      <c r="D1440" t="s">
        <v>184</v>
      </c>
      <c r="E1440">
        <f>_xlfn.XLOOKUP(D1440,'Resumen Estudiantes y Profesore'!B:B,'Resumen Estudiantes y Profesore'!A:A)</f>
        <v>52</v>
      </c>
      <c r="F1440" t="s">
        <v>244</v>
      </c>
      <c r="G1440" t="s">
        <v>246</v>
      </c>
      <c r="H1440" t="s">
        <v>246</v>
      </c>
      <c r="I1440" t="s">
        <v>674</v>
      </c>
      <c r="J1440" t="s">
        <v>83</v>
      </c>
      <c r="K1440" s="120" t="s">
        <v>4638</v>
      </c>
      <c r="N1440" s="49"/>
    </row>
    <row r="1441" spans="1:14">
      <c r="A1441" t="s">
        <v>4639</v>
      </c>
      <c r="B1441" t="s">
        <v>4640</v>
      </c>
      <c r="C1441" t="s">
        <v>430</v>
      </c>
      <c r="D1441" t="s">
        <v>26</v>
      </c>
      <c r="E1441">
        <f>_xlfn.XLOOKUP(D1441,'Resumen Estudiantes y Profesore'!B:B,'Resumen Estudiantes y Profesore'!A:A)</f>
        <v>29</v>
      </c>
      <c r="F1441" t="s">
        <v>244</v>
      </c>
      <c r="G1441" t="s">
        <v>246</v>
      </c>
      <c r="H1441" t="s">
        <v>246</v>
      </c>
      <c r="I1441" t="s">
        <v>682</v>
      </c>
      <c r="J1441" t="s">
        <v>84</v>
      </c>
      <c r="K1441" s="120" t="s">
        <v>4641</v>
      </c>
      <c r="N1441" s="49"/>
    </row>
    <row r="1442" spans="1:14">
      <c r="A1442" t="s">
        <v>2955</v>
      </c>
      <c r="B1442" t="s">
        <v>4642</v>
      </c>
      <c r="C1442" t="s">
        <v>2552</v>
      </c>
      <c r="D1442" t="s">
        <v>206</v>
      </c>
      <c r="E1442">
        <f>_xlfn.XLOOKUP(D1442,'Resumen Estudiantes y Profesore'!B:B,'Resumen Estudiantes y Profesore'!A:A)</f>
        <v>205</v>
      </c>
      <c r="F1442" t="s">
        <v>244</v>
      </c>
      <c r="G1442" t="s">
        <v>247</v>
      </c>
      <c r="H1442" t="s">
        <v>247</v>
      </c>
      <c r="I1442" t="s">
        <v>674</v>
      </c>
      <c r="J1442" t="s">
        <v>91</v>
      </c>
      <c r="K1442" s="120" t="s">
        <v>4643</v>
      </c>
      <c r="N1442" s="49"/>
    </row>
    <row r="1443" spans="1:14">
      <c r="A1443" t="s">
        <v>4644</v>
      </c>
      <c r="B1443" t="s">
        <v>4645</v>
      </c>
      <c r="C1443" t="s">
        <v>469</v>
      </c>
      <c r="D1443" t="s">
        <v>179</v>
      </c>
      <c r="E1443">
        <f>_xlfn.XLOOKUP(D1443,'Resumen Estudiantes y Profesore'!B:B,'Resumen Estudiantes y Profesore'!A:A)</f>
        <v>73</v>
      </c>
      <c r="F1443" t="s">
        <v>244</v>
      </c>
      <c r="G1443" t="s">
        <v>246</v>
      </c>
      <c r="H1443" t="s">
        <v>246</v>
      </c>
      <c r="I1443" t="s">
        <v>674</v>
      </c>
      <c r="J1443" t="s">
        <v>89</v>
      </c>
      <c r="K1443" s="120" t="s">
        <v>4646</v>
      </c>
      <c r="N1443" s="49"/>
    </row>
    <row r="1444" spans="1:14">
      <c r="A1444" t="s">
        <v>4644</v>
      </c>
      <c r="B1444" t="s">
        <v>4647</v>
      </c>
      <c r="C1444" t="s">
        <v>450</v>
      </c>
      <c r="D1444" t="s">
        <v>37</v>
      </c>
      <c r="E1444">
        <f>_xlfn.XLOOKUP(D1444,'Resumen Estudiantes y Profesore'!B:B,'Resumen Estudiantes y Profesore'!A:A)</f>
        <v>41</v>
      </c>
      <c r="F1444" t="s">
        <v>244</v>
      </c>
      <c r="G1444" t="s">
        <v>246</v>
      </c>
      <c r="H1444" t="s">
        <v>246</v>
      </c>
      <c r="I1444" t="s">
        <v>682</v>
      </c>
      <c r="J1444" t="s">
        <v>89</v>
      </c>
      <c r="K1444" s="120" t="s">
        <v>4648</v>
      </c>
      <c r="N1444" s="49"/>
    </row>
    <row r="1445" spans="1:14">
      <c r="A1445" t="s">
        <v>4649</v>
      </c>
      <c r="B1445" t="s">
        <v>4650</v>
      </c>
      <c r="C1445" t="s">
        <v>424</v>
      </c>
      <c r="D1445" t="s">
        <v>24</v>
      </c>
      <c r="E1445">
        <f>_xlfn.XLOOKUP(D1445,'Resumen Estudiantes y Profesore'!B:B,'Resumen Estudiantes y Profesore'!A:A)</f>
        <v>27</v>
      </c>
      <c r="F1445" t="s">
        <v>244</v>
      </c>
      <c r="G1445" t="s">
        <v>246</v>
      </c>
      <c r="H1445" t="s">
        <v>246</v>
      </c>
      <c r="I1445" t="s">
        <v>682</v>
      </c>
      <c r="J1445" t="s">
        <v>83</v>
      </c>
      <c r="K1445" s="120" t="s">
        <v>4651</v>
      </c>
      <c r="N1445" s="49"/>
    </row>
    <row r="1446" spans="1:14">
      <c r="A1446" t="s">
        <v>4649</v>
      </c>
      <c r="B1446" t="s">
        <v>4652</v>
      </c>
      <c r="C1446" t="s">
        <v>428</v>
      </c>
      <c r="D1446" t="s">
        <v>25</v>
      </c>
      <c r="E1446">
        <f>_xlfn.XLOOKUP(D1446,'Resumen Estudiantes y Profesore'!B:B,'Resumen Estudiantes y Profesore'!A:A)</f>
        <v>28</v>
      </c>
      <c r="F1446" t="s">
        <v>244</v>
      </c>
      <c r="G1446" t="s">
        <v>246</v>
      </c>
      <c r="H1446" t="s">
        <v>246</v>
      </c>
      <c r="I1446" t="s">
        <v>682</v>
      </c>
      <c r="J1446" t="s">
        <v>83</v>
      </c>
      <c r="K1446" s="120" t="s">
        <v>4653</v>
      </c>
      <c r="N1446" s="49"/>
    </row>
    <row r="1447" spans="1:14">
      <c r="A1447" t="s">
        <v>4649</v>
      </c>
      <c r="B1447" t="s">
        <v>4654</v>
      </c>
      <c r="C1447" t="s">
        <v>426</v>
      </c>
      <c r="D1447" t="s">
        <v>23</v>
      </c>
      <c r="E1447">
        <f>_xlfn.XLOOKUP(D1447,'Resumen Estudiantes y Profesore'!B:B,'Resumen Estudiantes y Profesore'!A:A)</f>
        <v>26</v>
      </c>
      <c r="F1447" t="s">
        <v>244</v>
      </c>
      <c r="G1447" t="s">
        <v>246</v>
      </c>
      <c r="H1447" t="s">
        <v>246</v>
      </c>
      <c r="I1447" t="s">
        <v>682</v>
      </c>
      <c r="J1447" t="s">
        <v>83</v>
      </c>
      <c r="K1447" s="120" t="s">
        <v>4655</v>
      </c>
      <c r="N1447" s="49"/>
    </row>
    <row r="1448" spans="1:14">
      <c r="A1448" t="s">
        <v>4656</v>
      </c>
      <c r="B1448" t="s">
        <v>4657</v>
      </c>
      <c r="C1448" t="s">
        <v>237</v>
      </c>
      <c r="D1448" t="s">
        <v>237</v>
      </c>
      <c r="E1448">
        <f>_xlfn.XLOOKUP(D1448,'Resumen Estudiantes y Profesore'!B:B,'Resumen Estudiantes y Profesore'!A:A)</f>
        <v>156</v>
      </c>
      <c r="F1448" t="s">
        <v>244</v>
      </c>
      <c r="G1448" t="s">
        <v>246</v>
      </c>
      <c r="H1448" t="s">
        <v>246</v>
      </c>
      <c r="I1448" t="s">
        <v>682</v>
      </c>
      <c r="J1448" t="s">
        <v>77</v>
      </c>
      <c r="K1448" s="120" t="s">
        <v>4658</v>
      </c>
      <c r="N1448" s="49"/>
    </row>
    <row r="1449" spans="1:14">
      <c r="A1449" t="s">
        <v>4659</v>
      </c>
      <c r="B1449" t="s">
        <v>4660</v>
      </c>
      <c r="C1449" t="s">
        <v>492</v>
      </c>
      <c r="D1449" t="s">
        <v>115</v>
      </c>
      <c r="E1449">
        <f>_xlfn.XLOOKUP(D1449,'Resumen Estudiantes y Profesore'!B:B,'Resumen Estudiantes y Profesore'!A:A)</f>
        <v>6</v>
      </c>
      <c r="F1449" t="s">
        <v>244</v>
      </c>
      <c r="G1449" t="s">
        <v>246</v>
      </c>
      <c r="H1449" t="s">
        <v>246</v>
      </c>
      <c r="I1449" t="s">
        <v>674</v>
      </c>
      <c r="J1449" t="s">
        <v>90</v>
      </c>
      <c r="K1449" s="120" t="s">
        <v>4661</v>
      </c>
      <c r="N1449" s="49"/>
    </row>
    <row r="1450" spans="1:14">
      <c r="A1450" t="s">
        <v>4659</v>
      </c>
      <c r="B1450" t="s">
        <v>4662</v>
      </c>
      <c r="C1450" t="s">
        <v>451</v>
      </c>
      <c r="D1450" t="s">
        <v>38</v>
      </c>
      <c r="E1450">
        <f>_xlfn.XLOOKUP(D1450,'Resumen Estudiantes y Profesore'!B:B,'Resumen Estudiantes y Profesore'!A:A)</f>
        <v>42</v>
      </c>
      <c r="F1450" t="s">
        <v>244</v>
      </c>
      <c r="G1450" t="s">
        <v>247</v>
      </c>
      <c r="H1450" t="s">
        <v>247</v>
      </c>
      <c r="I1450" t="s">
        <v>682</v>
      </c>
      <c r="J1450" t="s">
        <v>90</v>
      </c>
      <c r="K1450" s="120" t="s">
        <v>4663</v>
      </c>
      <c r="N1450" s="49"/>
    </row>
    <row r="1451" spans="1:14">
      <c r="A1451" t="s">
        <v>4664</v>
      </c>
      <c r="B1451" t="s">
        <v>4665</v>
      </c>
      <c r="C1451" t="s">
        <v>545</v>
      </c>
      <c r="D1451" t="s">
        <v>211</v>
      </c>
      <c r="E1451">
        <f>_xlfn.XLOOKUP(D1451,'Resumen Estudiantes y Profesore'!B:B,'Resumen Estudiantes y Profesore'!A:A)</f>
        <v>206</v>
      </c>
      <c r="F1451" t="s">
        <v>244</v>
      </c>
      <c r="G1451" t="s">
        <v>246</v>
      </c>
      <c r="H1451" t="s">
        <v>246</v>
      </c>
      <c r="I1451" t="s">
        <v>674</v>
      </c>
      <c r="J1451" t="s">
        <v>87</v>
      </c>
      <c r="K1451" s="120" t="s">
        <v>4666</v>
      </c>
      <c r="N1451" s="49"/>
    </row>
    <row r="1452" spans="1:14">
      <c r="A1452" t="s">
        <v>4664</v>
      </c>
      <c r="B1452" t="s">
        <v>4667</v>
      </c>
      <c r="C1452" t="s">
        <v>546</v>
      </c>
      <c r="D1452" t="s">
        <v>211</v>
      </c>
      <c r="E1452">
        <f>_xlfn.XLOOKUP(D1452,'Resumen Estudiantes y Profesore'!B:B,'Resumen Estudiantes y Profesore'!A:A)</f>
        <v>206</v>
      </c>
      <c r="F1452" t="s">
        <v>244</v>
      </c>
      <c r="G1452" t="s">
        <v>246</v>
      </c>
      <c r="H1452" t="s">
        <v>246</v>
      </c>
      <c r="I1452" t="s">
        <v>674</v>
      </c>
      <c r="J1452" t="s">
        <v>87</v>
      </c>
      <c r="K1452" s="120" t="s">
        <v>4668</v>
      </c>
      <c r="N1452" s="49"/>
    </row>
    <row r="1453" spans="1:14">
      <c r="A1453" t="s">
        <v>4664</v>
      </c>
      <c r="B1453" t="s">
        <v>4669</v>
      </c>
      <c r="C1453" t="s">
        <v>437</v>
      </c>
      <c r="D1453" t="s">
        <v>30</v>
      </c>
      <c r="E1453">
        <f>_xlfn.XLOOKUP(D1453,'Resumen Estudiantes y Profesore'!B:B,'Resumen Estudiantes y Profesore'!A:A)</f>
        <v>34</v>
      </c>
      <c r="F1453" t="s">
        <v>244</v>
      </c>
      <c r="G1453" t="s">
        <v>246</v>
      </c>
      <c r="H1453" t="s">
        <v>246</v>
      </c>
      <c r="I1453" t="s">
        <v>682</v>
      </c>
      <c r="J1453" t="s">
        <v>87</v>
      </c>
      <c r="K1453" s="120" t="s">
        <v>4670</v>
      </c>
      <c r="N1453" s="49"/>
    </row>
    <row r="1454" spans="1:14">
      <c r="A1454" t="s">
        <v>4671</v>
      </c>
      <c r="B1454" t="s">
        <v>4672</v>
      </c>
      <c r="C1454" t="s">
        <v>501</v>
      </c>
      <c r="D1454" t="s">
        <v>129</v>
      </c>
      <c r="E1454">
        <f>_xlfn.XLOOKUP(D1454,'Resumen Estudiantes y Profesore'!B:B,'Resumen Estudiantes y Profesore'!A:A)</f>
        <v>97</v>
      </c>
      <c r="F1454" t="s">
        <v>244</v>
      </c>
      <c r="G1454" t="s">
        <v>247</v>
      </c>
      <c r="H1454" t="s">
        <v>247</v>
      </c>
      <c r="I1454" t="s">
        <v>674</v>
      </c>
      <c r="J1454" t="s">
        <v>84</v>
      </c>
      <c r="K1454" s="120" t="s">
        <v>4673</v>
      </c>
      <c r="N1454" s="49"/>
    </row>
    <row r="1455" spans="1:14">
      <c r="A1455" t="s">
        <v>4671</v>
      </c>
      <c r="B1455" t="s">
        <v>4674</v>
      </c>
      <c r="C1455" t="s">
        <v>456</v>
      </c>
      <c r="D1455" t="s">
        <v>185</v>
      </c>
      <c r="E1455">
        <f>_xlfn.XLOOKUP(D1455,'Resumen Estudiantes y Profesore'!B:B,'Resumen Estudiantes y Profesore'!A:A)</f>
        <v>57</v>
      </c>
      <c r="F1455" t="s">
        <v>244</v>
      </c>
      <c r="G1455" t="s">
        <v>247</v>
      </c>
      <c r="H1455" t="s">
        <v>247</v>
      </c>
      <c r="I1455" t="s">
        <v>674</v>
      </c>
      <c r="J1455" t="s">
        <v>84</v>
      </c>
      <c r="K1455" s="120" t="s">
        <v>4675</v>
      </c>
      <c r="N1455" s="49"/>
    </row>
    <row r="1456" spans="1:14">
      <c r="A1456" t="s">
        <v>4676</v>
      </c>
      <c r="B1456" t="s">
        <v>4677</v>
      </c>
      <c r="C1456" t="s">
        <v>505</v>
      </c>
      <c r="D1456" t="s">
        <v>153</v>
      </c>
      <c r="E1456">
        <f>_xlfn.XLOOKUP(D1456,'Resumen Estudiantes y Profesore'!B:B,'Resumen Estudiantes y Profesore'!A:A)</f>
        <v>104</v>
      </c>
      <c r="F1456" t="s">
        <v>244</v>
      </c>
      <c r="G1456" t="s">
        <v>246</v>
      </c>
      <c r="H1456" t="s">
        <v>246</v>
      </c>
      <c r="I1456" t="s">
        <v>674</v>
      </c>
      <c r="J1456" t="s">
        <v>87</v>
      </c>
      <c r="K1456" s="120" t="s">
        <v>4678</v>
      </c>
      <c r="N1456" s="49"/>
    </row>
    <row r="1457" spans="1:14">
      <c r="A1457" t="s">
        <v>4676</v>
      </c>
      <c r="B1457" t="s">
        <v>4679</v>
      </c>
      <c r="C1457" t="s">
        <v>436</v>
      </c>
      <c r="D1457" t="s">
        <v>29</v>
      </c>
      <c r="E1457">
        <f>_xlfn.XLOOKUP(D1457,'Resumen Estudiantes y Profesore'!B:B,'Resumen Estudiantes y Profesore'!A:A)</f>
        <v>33</v>
      </c>
      <c r="F1457" t="s">
        <v>244</v>
      </c>
      <c r="G1457" t="s">
        <v>246</v>
      </c>
      <c r="H1457" t="s">
        <v>246</v>
      </c>
      <c r="I1457" t="s">
        <v>682</v>
      </c>
      <c r="J1457" t="s">
        <v>87</v>
      </c>
      <c r="K1457" s="120" t="s">
        <v>4680</v>
      </c>
      <c r="N1457" s="49"/>
    </row>
    <row r="1458" spans="1:14">
      <c r="A1458" t="s">
        <v>4681</v>
      </c>
      <c r="B1458" t="s">
        <v>4682</v>
      </c>
      <c r="C1458" t="s">
        <v>451</v>
      </c>
      <c r="D1458" t="s">
        <v>38</v>
      </c>
      <c r="E1458">
        <f>_xlfn.XLOOKUP(D1458,'Resumen Estudiantes y Profesore'!B:B,'Resumen Estudiantes y Profesore'!A:A)</f>
        <v>42</v>
      </c>
      <c r="F1458" t="s">
        <v>244</v>
      </c>
      <c r="G1458" t="s">
        <v>246</v>
      </c>
      <c r="H1458" t="s">
        <v>246</v>
      </c>
      <c r="I1458" t="s">
        <v>682</v>
      </c>
      <c r="J1458" t="s">
        <v>90</v>
      </c>
      <c r="K1458" s="120" t="s">
        <v>4683</v>
      </c>
      <c r="N1458" s="49"/>
    </row>
    <row r="1459" spans="1:14">
      <c r="A1459" t="s">
        <v>4684</v>
      </c>
      <c r="B1459" t="s">
        <v>4685</v>
      </c>
      <c r="C1459" t="s">
        <v>418</v>
      </c>
      <c r="D1459" t="s">
        <v>232</v>
      </c>
      <c r="E1459">
        <f>_xlfn.XLOOKUP(D1459,'Resumen Estudiantes y Profesore'!B:B,'Resumen Estudiantes y Profesore'!A:A)</f>
        <v>151</v>
      </c>
      <c r="F1459" t="s">
        <v>244</v>
      </c>
      <c r="G1459" t="s">
        <v>246</v>
      </c>
      <c r="H1459" t="s">
        <v>246</v>
      </c>
      <c r="I1459" t="s">
        <v>682</v>
      </c>
      <c r="J1459" t="s">
        <v>77</v>
      </c>
      <c r="K1459" s="120" t="s">
        <v>4686</v>
      </c>
      <c r="N1459" s="49"/>
    </row>
    <row r="1460" spans="1:14">
      <c r="A1460" t="s">
        <v>4687</v>
      </c>
      <c r="B1460" t="s">
        <v>4688</v>
      </c>
      <c r="C1460" t="s">
        <v>506</v>
      </c>
      <c r="D1460" t="s">
        <v>154</v>
      </c>
      <c r="E1460">
        <f>_xlfn.XLOOKUP(D1460,'Resumen Estudiantes y Profesore'!B:B,'Resumen Estudiantes y Profesore'!A:A)</f>
        <v>105</v>
      </c>
      <c r="F1460" t="s">
        <v>244</v>
      </c>
      <c r="G1460" t="s">
        <v>246</v>
      </c>
      <c r="H1460" t="s">
        <v>246</v>
      </c>
      <c r="I1460" t="s">
        <v>674</v>
      </c>
      <c r="J1460" t="s">
        <v>87</v>
      </c>
      <c r="K1460" s="120" t="s">
        <v>4689</v>
      </c>
      <c r="N1460" s="49"/>
    </row>
    <row r="1461" spans="1:14">
      <c r="A1461" t="s">
        <v>4687</v>
      </c>
      <c r="B1461" t="s">
        <v>4690</v>
      </c>
      <c r="C1461" t="s">
        <v>437</v>
      </c>
      <c r="D1461" t="s">
        <v>30</v>
      </c>
      <c r="E1461">
        <f>_xlfn.XLOOKUP(D1461,'Resumen Estudiantes y Profesore'!B:B,'Resumen Estudiantes y Profesore'!A:A)</f>
        <v>34</v>
      </c>
      <c r="F1461" t="s">
        <v>244</v>
      </c>
      <c r="G1461" t="s">
        <v>246</v>
      </c>
      <c r="H1461" t="s">
        <v>246</v>
      </c>
      <c r="I1461" t="s">
        <v>682</v>
      </c>
      <c r="J1461" t="s">
        <v>87</v>
      </c>
      <c r="K1461" s="120" t="s">
        <v>4691</v>
      </c>
      <c r="N1461" s="49"/>
    </row>
    <row r="1462" spans="1:14">
      <c r="A1462" t="s">
        <v>2690</v>
      </c>
      <c r="B1462" t="s">
        <v>4692</v>
      </c>
      <c r="C1462" t="s">
        <v>428</v>
      </c>
      <c r="D1462" t="s">
        <v>25</v>
      </c>
      <c r="E1462">
        <f>_xlfn.XLOOKUP(D1462,'Resumen Estudiantes y Profesore'!B:B,'Resumen Estudiantes y Profesore'!A:A)</f>
        <v>28</v>
      </c>
      <c r="F1462" t="s">
        <v>244</v>
      </c>
      <c r="G1462" t="s">
        <v>246</v>
      </c>
      <c r="H1462" t="s">
        <v>246</v>
      </c>
      <c r="I1462" t="s">
        <v>682</v>
      </c>
      <c r="J1462" t="s">
        <v>83</v>
      </c>
      <c r="K1462" s="120" t="s">
        <v>4693</v>
      </c>
      <c r="N1462" s="49"/>
    </row>
    <row r="1463" spans="1:14">
      <c r="A1463" t="s">
        <v>4694</v>
      </c>
      <c r="B1463" t="s">
        <v>4695</v>
      </c>
      <c r="C1463" t="s">
        <v>494</v>
      </c>
      <c r="D1463" t="s">
        <v>119</v>
      </c>
      <c r="E1463">
        <f>_xlfn.XLOOKUP(D1463,'Resumen Estudiantes y Profesore'!B:B,'Resumen Estudiantes y Profesore'!A:A)</f>
        <v>8</v>
      </c>
      <c r="F1463" t="s">
        <v>244</v>
      </c>
      <c r="G1463" t="s">
        <v>246</v>
      </c>
      <c r="H1463" t="s">
        <v>246</v>
      </c>
      <c r="I1463" t="s">
        <v>674</v>
      </c>
      <c r="J1463" t="s">
        <v>90</v>
      </c>
      <c r="K1463" s="120" t="s">
        <v>4696</v>
      </c>
      <c r="N1463" s="49"/>
    </row>
    <row r="1464" spans="1:14">
      <c r="A1464" t="s">
        <v>4697</v>
      </c>
      <c r="B1464" t="s">
        <v>4698</v>
      </c>
      <c r="C1464" t="s">
        <v>95</v>
      </c>
      <c r="D1464" t="s">
        <v>251</v>
      </c>
      <c r="E1464">
        <f>_xlfn.XLOOKUP(D1464,'Resumen Estudiantes y Profesore'!B:B,'Resumen Estudiantes y Profesore'!A:A)</f>
        <v>211</v>
      </c>
      <c r="F1464" t="s">
        <v>244</v>
      </c>
      <c r="G1464" t="s">
        <v>246</v>
      </c>
      <c r="H1464" t="s">
        <v>246</v>
      </c>
      <c r="I1464" t="s">
        <v>682</v>
      </c>
      <c r="J1464" t="s">
        <v>95</v>
      </c>
      <c r="K1464" s="120" t="s">
        <v>4699</v>
      </c>
      <c r="N1464" s="49"/>
    </row>
    <row r="1465" spans="1:14">
      <c r="A1465" t="s">
        <v>4700</v>
      </c>
      <c r="B1465" t="s">
        <v>4701</v>
      </c>
      <c r="C1465" t="s">
        <v>418</v>
      </c>
      <c r="D1465" t="s">
        <v>232</v>
      </c>
      <c r="E1465">
        <f>_xlfn.XLOOKUP(D1465,'Resumen Estudiantes y Profesore'!B:B,'Resumen Estudiantes y Profesore'!A:A)</f>
        <v>151</v>
      </c>
      <c r="F1465" t="s">
        <v>244</v>
      </c>
      <c r="G1465" t="s">
        <v>246</v>
      </c>
      <c r="H1465" t="s">
        <v>246</v>
      </c>
      <c r="I1465" t="s">
        <v>682</v>
      </c>
      <c r="J1465" t="s">
        <v>77</v>
      </c>
      <c r="K1465" s="120" t="s">
        <v>4702</v>
      </c>
      <c r="N1465" s="49"/>
    </row>
    <row r="1466" spans="1:14">
      <c r="A1466" t="s">
        <v>4703</v>
      </c>
      <c r="B1466" t="s">
        <v>4704</v>
      </c>
      <c r="C1466" t="s">
        <v>486</v>
      </c>
      <c r="D1466" t="s">
        <v>181</v>
      </c>
      <c r="E1466">
        <f>_xlfn.XLOOKUP(D1466,'Resumen Estudiantes y Profesore'!B:B,'Resumen Estudiantes y Profesore'!A:A)</f>
        <v>95</v>
      </c>
      <c r="F1466" t="s">
        <v>244</v>
      </c>
      <c r="G1466" t="s">
        <v>246</v>
      </c>
      <c r="H1466" t="s">
        <v>246</v>
      </c>
      <c r="I1466" t="s">
        <v>674</v>
      </c>
      <c r="J1466" t="s">
        <v>182</v>
      </c>
      <c r="K1466" s="120" t="s">
        <v>4705</v>
      </c>
      <c r="N1466" s="49"/>
    </row>
    <row r="1467" spans="1:14">
      <c r="A1467" t="s">
        <v>4706</v>
      </c>
      <c r="B1467" t="s">
        <v>4707</v>
      </c>
      <c r="C1467" t="s">
        <v>239</v>
      </c>
      <c r="D1467" t="s">
        <v>239</v>
      </c>
      <c r="E1467">
        <f>_xlfn.XLOOKUP(D1467,'Resumen Estudiantes y Profesore'!B:B,'Resumen Estudiantes y Profesore'!A:A)</f>
        <v>158</v>
      </c>
      <c r="F1467" t="s">
        <v>244</v>
      </c>
      <c r="G1467" t="s">
        <v>246</v>
      </c>
      <c r="H1467" t="s">
        <v>246</v>
      </c>
      <c r="I1467" t="s">
        <v>682</v>
      </c>
      <c r="J1467" t="s">
        <v>77</v>
      </c>
      <c r="K1467" s="120" t="s">
        <v>4708</v>
      </c>
      <c r="N1467" s="49"/>
    </row>
    <row r="1468" spans="1:14">
      <c r="A1468" t="s">
        <v>4709</v>
      </c>
      <c r="B1468" t="s">
        <v>4710</v>
      </c>
      <c r="C1468" t="s">
        <v>439</v>
      </c>
      <c r="D1468" t="s">
        <v>31</v>
      </c>
      <c r="E1468">
        <f>_xlfn.XLOOKUP(D1468,'Resumen Estudiantes y Profesore'!B:B,'Resumen Estudiantes y Profesore'!A:A)</f>
        <v>35</v>
      </c>
      <c r="F1468" t="s">
        <v>244</v>
      </c>
      <c r="G1468" t="s">
        <v>246</v>
      </c>
      <c r="H1468" t="s">
        <v>246</v>
      </c>
      <c r="I1468" t="s">
        <v>682</v>
      </c>
      <c r="J1468" t="s">
        <v>88</v>
      </c>
      <c r="K1468" s="120" t="s">
        <v>4711</v>
      </c>
      <c r="N1468" s="49"/>
    </row>
    <row r="1469" spans="1:14">
      <c r="A1469" t="s">
        <v>4712</v>
      </c>
      <c r="B1469" t="s">
        <v>4713</v>
      </c>
      <c r="C1469" t="s">
        <v>479</v>
      </c>
      <c r="D1469" t="s">
        <v>201</v>
      </c>
      <c r="E1469">
        <f>_xlfn.XLOOKUP(D1469,'Resumen Estudiantes y Profesore'!B:B,'Resumen Estudiantes y Profesore'!A:A)</f>
        <v>47</v>
      </c>
      <c r="F1469" t="s">
        <v>244</v>
      </c>
      <c r="G1469" t="s">
        <v>246</v>
      </c>
      <c r="H1469" t="s">
        <v>246</v>
      </c>
      <c r="I1469" t="s">
        <v>674</v>
      </c>
      <c r="J1469" t="s">
        <v>77</v>
      </c>
      <c r="K1469" s="120" t="s">
        <v>4714</v>
      </c>
      <c r="N1469" s="49"/>
    </row>
    <row r="1470" spans="1:14">
      <c r="A1470" t="s">
        <v>4712</v>
      </c>
      <c r="B1470" t="s">
        <v>4715</v>
      </c>
      <c r="C1470" t="s">
        <v>234</v>
      </c>
      <c r="D1470" t="s">
        <v>234</v>
      </c>
      <c r="E1470">
        <f>_xlfn.XLOOKUP(D1470,'Resumen Estudiantes y Profesore'!B:B,'Resumen Estudiantes y Profesore'!A:A)</f>
        <v>153</v>
      </c>
      <c r="F1470" t="s">
        <v>244</v>
      </c>
      <c r="G1470" t="s">
        <v>246</v>
      </c>
      <c r="H1470" t="s">
        <v>246</v>
      </c>
      <c r="I1470" t="s">
        <v>682</v>
      </c>
      <c r="J1470" t="s">
        <v>77</v>
      </c>
      <c r="K1470" s="120" t="s">
        <v>4716</v>
      </c>
      <c r="N1470" s="49"/>
    </row>
    <row r="1471" spans="1:14">
      <c r="A1471" t="s">
        <v>4717</v>
      </c>
      <c r="B1471" t="s">
        <v>4718</v>
      </c>
      <c r="C1471" t="s">
        <v>451</v>
      </c>
      <c r="D1471" t="s">
        <v>38</v>
      </c>
      <c r="E1471">
        <f>_xlfn.XLOOKUP(D1471,'Resumen Estudiantes y Profesore'!B:B,'Resumen Estudiantes y Profesore'!A:A)</f>
        <v>42</v>
      </c>
      <c r="F1471" t="s">
        <v>244</v>
      </c>
      <c r="G1471" t="s">
        <v>246</v>
      </c>
      <c r="H1471" t="s">
        <v>246</v>
      </c>
      <c r="I1471" t="s">
        <v>682</v>
      </c>
      <c r="J1471" t="s">
        <v>90</v>
      </c>
      <c r="K1471" s="120" t="s">
        <v>4719</v>
      </c>
      <c r="N1471" s="49"/>
    </row>
    <row r="1472" spans="1:14">
      <c r="A1472" t="s">
        <v>4720</v>
      </c>
      <c r="B1472" t="s">
        <v>4721</v>
      </c>
      <c r="C1472" t="s">
        <v>496</v>
      </c>
      <c r="D1472" t="s">
        <v>126</v>
      </c>
      <c r="E1472">
        <f>_xlfn.XLOOKUP(D1472,'Resumen Estudiantes y Profesore'!B:B,'Resumen Estudiantes y Profesore'!A:A)</f>
        <v>14</v>
      </c>
      <c r="F1472" t="s">
        <v>244</v>
      </c>
      <c r="G1472" t="s">
        <v>247</v>
      </c>
      <c r="H1472" t="s">
        <v>247</v>
      </c>
      <c r="I1472" t="s">
        <v>674</v>
      </c>
      <c r="J1472" t="s">
        <v>90</v>
      </c>
      <c r="K1472" s="120" t="s">
        <v>4722</v>
      </c>
      <c r="N1472" s="49"/>
    </row>
    <row r="1473" spans="1:14">
      <c r="A1473" t="s">
        <v>4723</v>
      </c>
      <c r="B1473" t="s">
        <v>4724</v>
      </c>
      <c r="C1473" t="s">
        <v>99</v>
      </c>
      <c r="D1473" t="s">
        <v>99</v>
      </c>
      <c r="E1473">
        <f>_xlfn.XLOOKUP(D1473,'Resumen Estudiantes y Profesore'!B:B,'Resumen Estudiantes y Profesore'!A:A)</f>
        <v>70</v>
      </c>
      <c r="F1473" t="s">
        <v>244</v>
      </c>
      <c r="G1473" t="s">
        <v>246</v>
      </c>
      <c r="H1473" t="s">
        <v>246</v>
      </c>
      <c r="I1473" t="s">
        <v>674</v>
      </c>
      <c r="J1473" t="s">
        <v>89</v>
      </c>
      <c r="K1473" s="120" t="s">
        <v>4725</v>
      </c>
      <c r="N1473" s="49"/>
    </row>
    <row r="1474" spans="1:14">
      <c r="A1474" t="s">
        <v>2698</v>
      </c>
      <c r="B1474" t="s">
        <v>4726</v>
      </c>
      <c r="C1474" t="s">
        <v>507</v>
      </c>
      <c r="D1474" t="s">
        <v>151</v>
      </c>
      <c r="E1474">
        <f>_xlfn.XLOOKUP(D1474,'Resumen Estudiantes y Profesore'!B:B,'Resumen Estudiantes y Profesore'!A:A)</f>
        <v>107</v>
      </c>
      <c r="F1474" t="s">
        <v>244</v>
      </c>
      <c r="G1474" t="s">
        <v>246</v>
      </c>
      <c r="H1474" t="s">
        <v>246</v>
      </c>
      <c r="I1474" t="s">
        <v>674</v>
      </c>
      <c r="J1474" t="s">
        <v>91</v>
      </c>
      <c r="K1474" s="120" t="s">
        <v>4727</v>
      </c>
      <c r="N1474" s="49"/>
    </row>
    <row r="1475" spans="1:14">
      <c r="A1475" t="s">
        <v>2698</v>
      </c>
      <c r="B1475" t="s">
        <v>4728</v>
      </c>
      <c r="C1475" t="s">
        <v>453</v>
      </c>
      <c r="D1475" t="s">
        <v>39</v>
      </c>
      <c r="E1475">
        <f>_xlfn.XLOOKUP(D1475,'Resumen Estudiantes y Profesore'!B:B,'Resumen Estudiantes y Profesore'!A:A)</f>
        <v>43</v>
      </c>
      <c r="F1475" t="s">
        <v>244</v>
      </c>
      <c r="G1475" t="s">
        <v>246</v>
      </c>
      <c r="H1475" t="s">
        <v>246</v>
      </c>
      <c r="I1475" t="s">
        <v>682</v>
      </c>
      <c r="J1475" t="s">
        <v>91</v>
      </c>
      <c r="K1475" s="120" t="s">
        <v>4729</v>
      </c>
      <c r="N1475" s="49"/>
    </row>
    <row r="1476" spans="1:14">
      <c r="A1476" t="s">
        <v>4730</v>
      </c>
      <c r="B1476" t="s">
        <v>4731</v>
      </c>
      <c r="C1476" t="s">
        <v>99</v>
      </c>
      <c r="D1476" t="s">
        <v>99</v>
      </c>
      <c r="E1476">
        <f>_xlfn.XLOOKUP(D1476,'Resumen Estudiantes y Profesore'!B:B,'Resumen Estudiantes y Profesore'!A:A)</f>
        <v>70</v>
      </c>
      <c r="F1476" t="s">
        <v>244</v>
      </c>
      <c r="G1476" t="s">
        <v>247</v>
      </c>
      <c r="H1476" t="s">
        <v>247</v>
      </c>
      <c r="I1476" t="s">
        <v>674</v>
      </c>
      <c r="J1476" t="s">
        <v>89</v>
      </c>
      <c r="K1476" s="120" t="s">
        <v>4732</v>
      </c>
      <c r="N1476" s="49"/>
    </row>
    <row r="1477" spans="1:14">
      <c r="A1477" t="s">
        <v>4730</v>
      </c>
      <c r="B1477" t="s">
        <v>4733</v>
      </c>
      <c r="C1477" t="s">
        <v>469</v>
      </c>
      <c r="D1477" t="s">
        <v>179</v>
      </c>
      <c r="E1477">
        <f>_xlfn.XLOOKUP(D1477,'Resumen Estudiantes y Profesore'!B:B,'Resumen Estudiantes y Profesore'!A:A)</f>
        <v>73</v>
      </c>
      <c r="F1477" t="s">
        <v>244</v>
      </c>
      <c r="G1477" t="s">
        <v>247</v>
      </c>
      <c r="H1477" t="s">
        <v>247</v>
      </c>
      <c r="I1477" t="s">
        <v>674</v>
      </c>
      <c r="J1477" t="s">
        <v>89</v>
      </c>
      <c r="K1477" s="120" t="s">
        <v>4734</v>
      </c>
      <c r="N1477" s="49"/>
    </row>
    <row r="1478" spans="1:14">
      <c r="A1478" t="s">
        <v>4730</v>
      </c>
      <c r="B1478" t="s">
        <v>4735</v>
      </c>
      <c r="C1478" t="s">
        <v>534</v>
      </c>
      <c r="D1478" t="s">
        <v>36</v>
      </c>
      <c r="E1478">
        <f>_xlfn.XLOOKUP(D1478,'Resumen Estudiantes y Profesore'!B:B,'Resumen Estudiantes y Profesore'!A:A)</f>
        <v>37</v>
      </c>
      <c r="F1478" t="s">
        <v>244</v>
      </c>
      <c r="G1478" t="s">
        <v>246</v>
      </c>
      <c r="H1478" t="s">
        <v>246</v>
      </c>
      <c r="I1478" t="s">
        <v>682</v>
      </c>
      <c r="J1478" t="s">
        <v>89</v>
      </c>
      <c r="K1478" s="120" t="s">
        <v>4736</v>
      </c>
      <c r="N1478" s="49"/>
    </row>
    <row r="1479" spans="1:14">
      <c r="A1479" t="s">
        <v>4737</v>
      </c>
      <c r="B1479" t="s">
        <v>4738</v>
      </c>
      <c r="C1479" t="s">
        <v>475</v>
      </c>
      <c r="D1479" t="s">
        <v>205</v>
      </c>
      <c r="E1479">
        <f>_xlfn.XLOOKUP(D1479,'Resumen Estudiantes y Profesore'!B:B,'Resumen Estudiantes y Profesore'!A:A)</f>
        <v>80</v>
      </c>
      <c r="F1479" t="s">
        <v>244</v>
      </c>
      <c r="G1479" t="s">
        <v>246</v>
      </c>
      <c r="H1479" t="s">
        <v>246</v>
      </c>
      <c r="I1479" t="s">
        <v>674</v>
      </c>
      <c r="J1479" t="s">
        <v>91</v>
      </c>
      <c r="K1479" s="120" t="s">
        <v>4739</v>
      </c>
      <c r="N1479" s="49"/>
    </row>
    <row r="1480" spans="1:14">
      <c r="A1480" t="s">
        <v>4737</v>
      </c>
      <c r="B1480" t="s">
        <v>4740</v>
      </c>
      <c r="C1480" t="s">
        <v>2549</v>
      </c>
      <c r="D1480" t="s">
        <v>107</v>
      </c>
      <c r="E1480">
        <f>_xlfn.XLOOKUP(D1480,'Resumen Estudiantes y Profesore'!B:B,'Resumen Estudiantes y Profesore'!A:A)</f>
        <v>201</v>
      </c>
      <c r="F1480" t="s">
        <v>244</v>
      </c>
      <c r="G1480" t="s">
        <v>247</v>
      </c>
      <c r="H1480" t="s">
        <v>247</v>
      </c>
      <c r="I1480" t="s">
        <v>674</v>
      </c>
      <c r="J1480" t="s">
        <v>91</v>
      </c>
      <c r="K1480" s="120" t="s">
        <v>4741</v>
      </c>
      <c r="N1480" s="49"/>
    </row>
    <row r="1481" spans="1:14">
      <c r="A1481" t="s">
        <v>4737</v>
      </c>
      <c r="B1481" t="s">
        <v>4742</v>
      </c>
      <c r="C1481" t="s">
        <v>453</v>
      </c>
      <c r="D1481" t="s">
        <v>39</v>
      </c>
      <c r="E1481">
        <f>_xlfn.XLOOKUP(D1481,'Resumen Estudiantes y Profesore'!B:B,'Resumen Estudiantes y Profesore'!A:A)</f>
        <v>43</v>
      </c>
      <c r="F1481" t="s">
        <v>244</v>
      </c>
      <c r="G1481" t="s">
        <v>246</v>
      </c>
      <c r="H1481" t="s">
        <v>246</v>
      </c>
      <c r="I1481" t="s">
        <v>682</v>
      </c>
      <c r="J1481" t="s">
        <v>91</v>
      </c>
      <c r="K1481" s="120" t="s">
        <v>4743</v>
      </c>
      <c r="N1481" s="49"/>
    </row>
    <row r="1482" spans="1:14">
      <c r="A1482" t="s">
        <v>4744</v>
      </c>
      <c r="B1482" t="s">
        <v>4745</v>
      </c>
      <c r="C1482" t="s">
        <v>505</v>
      </c>
      <c r="D1482" t="s">
        <v>153</v>
      </c>
      <c r="E1482">
        <f>_xlfn.XLOOKUP(D1482,'Resumen Estudiantes y Profesore'!B:B,'Resumen Estudiantes y Profesore'!A:A)</f>
        <v>104</v>
      </c>
      <c r="F1482" t="s">
        <v>244</v>
      </c>
      <c r="G1482" t="s">
        <v>247</v>
      </c>
      <c r="H1482" t="s">
        <v>247</v>
      </c>
      <c r="I1482" t="s">
        <v>674</v>
      </c>
      <c r="J1482" t="s">
        <v>87</v>
      </c>
      <c r="K1482" s="120" t="s">
        <v>4746</v>
      </c>
      <c r="N1482" s="49"/>
    </row>
    <row r="1483" spans="1:14">
      <c r="A1483" t="s">
        <v>4744</v>
      </c>
      <c r="B1483" t="s">
        <v>4747</v>
      </c>
      <c r="C1483" t="s">
        <v>436</v>
      </c>
      <c r="D1483" t="s">
        <v>29</v>
      </c>
      <c r="E1483">
        <f>_xlfn.XLOOKUP(D1483,'Resumen Estudiantes y Profesore'!B:B,'Resumen Estudiantes y Profesore'!A:A)</f>
        <v>33</v>
      </c>
      <c r="F1483" t="s">
        <v>244</v>
      </c>
      <c r="G1483" t="s">
        <v>246</v>
      </c>
      <c r="H1483" t="s">
        <v>246</v>
      </c>
      <c r="I1483" t="s">
        <v>682</v>
      </c>
      <c r="J1483" t="s">
        <v>87</v>
      </c>
      <c r="K1483" s="120" t="s">
        <v>4748</v>
      </c>
      <c r="N1483" s="49"/>
    </row>
    <row r="1484" spans="1:14">
      <c r="A1484" t="s">
        <v>4749</v>
      </c>
      <c r="B1484" t="s">
        <v>4750</v>
      </c>
      <c r="C1484" t="s">
        <v>506</v>
      </c>
      <c r="D1484" t="s">
        <v>154</v>
      </c>
      <c r="E1484">
        <f>_xlfn.XLOOKUP(D1484,'Resumen Estudiantes y Profesore'!B:B,'Resumen Estudiantes y Profesore'!A:A)</f>
        <v>105</v>
      </c>
      <c r="F1484" t="s">
        <v>244</v>
      </c>
      <c r="G1484" t="s">
        <v>246</v>
      </c>
      <c r="H1484" t="s">
        <v>246</v>
      </c>
      <c r="I1484" t="s">
        <v>674</v>
      </c>
      <c r="J1484" t="s">
        <v>87</v>
      </c>
      <c r="K1484" s="120" t="s">
        <v>4751</v>
      </c>
      <c r="N1484" s="49"/>
    </row>
    <row r="1485" spans="1:14">
      <c r="A1485" t="s">
        <v>4749</v>
      </c>
      <c r="B1485" t="s">
        <v>4752</v>
      </c>
      <c r="C1485" t="s">
        <v>545</v>
      </c>
      <c r="D1485" t="s">
        <v>211</v>
      </c>
      <c r="E1485">
        <f>_xlfn.XLOOKUP(D1485,'Resumen Estudiantes y Profesore'!B:B,'Resumen Estudiantes y Profesore'!A:A)</f>
        <v>206</v>
      </c>
      <c r="F1485" t="s">
        <v>244</v>
      </c>
      <c r="G1485" t="s">
        <v>247</v>
      </c>
      <c r="H1485" t="s">
        <v>247</v>
      </c>
      <c r="I1485" t="s">
        <v>674</v>
      </c>
      <c r="J1485" t="s">
        <v>87</v>
      </c>
      <c r="K1485" s="120" t="s">
        <v>4753</v>
      </c>
      <c r="N1485" s="49"/>
    </row>
    <row r="1486" spans="1:14">
      <c r="A1486" t="s">
        <v>4749</v>
      </c>
      <c r="B1486" t="s">
        <v>4754</v>
      </c>
      <c r="C1486" t="s">
        <v>546</v>
      </c>
      <c r="D1486" t="s">
        <v>211</v>
      </c>
      <c r="E1486">
        <f>_xlfn.XLOOKUP(D1486,'Resumen Estudiantes y Profesore'!B:B,'Resumen Estudiantes y Profesore'!A:A)</f>
        <v>206</v>
      </c>
      <c r="F1486" t="s">
        <v>244</v>
      </c>
      <c r="G1486" t="s">
        <v>246</v>
      </c>
      <c r="H1486" t="s">
        <v>246</v>
      </c>
      <c r="I1486" t="s">
        <v>674</v>
      </c>
      <c r="J1486" t="s">
        <v>87</v>
      </c>
      <c r="K1486" s="120" t="s">
        <v>4755</v>
      </c>
      <c r="N1486" s="49"/>
    </row>
    <row r="1487" spans="1:14">
      <c r="A1487" t="s">
        <v>4749</v>
      </c>
      <c r="B1487" t="s">
        <v>4756</v>
      </c>
      <c r="C1487" t="s">
        <v>437</v>
      </c>
      <c r="D1487" t="s">
        <v>30</v>
      </c>
      <c r="E1487">
        <f>_xlfn.XLOOKUP(D1487,'Resumen Estudiantes y Profesore'!B:B,'Resumen Estudiantes y Profesore'!A:A)</f>
        <v>34</v>
      </c>
      <c r="F1487" t="s">
        <v>244</v>
      </c>
      <c r="G1487" t="s">
        <v>246</v>
      </c>
      <c r="H1487" t="s">
        <v>246</v>
      </c>
      <c r="I1487" t="s">
        <v>682</v>
      </c>
      <c r="J1487" t="s">
        <v>87</v>
      </c>
      <c r="K1487" s="120" t="s">
        <v>4757</v>
      </c>
      <c r="N1487" s="49"/>
    </row>
    <row r="1488" spans="1:14">
      <c r="A1488" t="s">
        <v>4758</v>
      </c>
      <c r="B1488" t="s">
        <v>4759</v>
      </c>
      <c r="C1488" t="s">
        <v>496</v>
      </c>
      <c r="D1488" t="s">
        <v>126</v>
      </c>
      <c r="E1488">
        <f>_xlfn.XLOOKUP(D1488,'Resumen Estudiantes y Profesore'!B:B,'Resumen Estudiantes y Profesore'!A:A)</f>
        <v>14</v>
      </c>
      <c r="F1488" t="s">
        <v>244</v>
      </c>
      <c r="G1488" t="s">
        <v>246</v>
      </c>
      <c r="H1488" t="s">
        <v>246</v>
      </c>
      <c r="I1488" t="s">
        <v>674</v>
      </c>
      <c r="J1488" t="s">
        <v>90</v>
      </c>
      <c r="K1488" s="120" t="s">
        <v>4760</v>
      </c>
      <c r="N1488" s="49"/>
    </row>
    <row r="1489" spans="1:14">
      <c r="A1489" t="s">
        <v>4761</v>
      </c>
      <c r="B1489" t="s">
        <v>4762</v>
      </c>
      <c r="C1489" t="s">
        <v>493</v>
      </c>
      <c r="D1489" t="s">
        <v>118</v>
      </c>
      <c r="E1489">
        <f>_xlfn.XLOOKUP(D1489,'Resumen Estudiantes y Profesore'!B:B,'Resumen Estudiantes y Profesore'!A:A)</f>
        <v>18</v>
      </c>
      <c r="F1489" t="s">
        <v>244</v>
      </c>
      <c r="G1489" t="s">
        <v>246</v>
      </c>
      <c r="H1489" t="s">
        <v>246</v>
      </c>
      <c r="I1489" t="s">
        <v>674</v>
      </c>
      <c r="J1489" t="s">
        <v>90</v>
      </c>
      <c r="K1489" s="120" t="s">
        <v>4763</v>
      </c>
      <c r="N1489" s="49"/>
    </row>
    <row r="1490" spans="1:14">
      <c r="A1490" t="s">
        <v>4761</v>
      </c>
      <c r="B1490" t="s">
        <v>4764</v>
      </c>
      <c r="C1490" t="s">
        <v>451</v>
      </c>
      <c r="D1490" t="s">
        <v>38</v>
      </c>
      <c r="E1490">
        <f>_xlfn.XLOOKUP(D1490,'Resumen Estudiantes y Profesore'!B:B,'Resumen Estudiantes y Profesore'!A:A)</f>
        <v>42</v>
      </c>
      <c r="F1490" t="s">
        <v>244</v>
      </c>
      <c r="G1490" t="s">
        <v>246</v>
      </c>
      <c r="H1490" t="s">
        <v>246</v>
      </c>
      <c r="I1490" t="s">
        <v>682</v>
      </c>
      <c r="J1490" t="s">
        <v>90</v>
      </c>
      <c r="K1490" s="120" t="s">
        <v>4765</v>
      </c>
      <c r="N1490" s="49"/>
    </row>
    <row r="1491" spans="1:14">
      <c r="A1491" t="s">
        <v>4766</v>
      </c>
      <c r="B1491" t="s">
        <v>4767</v>
      </c>
      <c r="C1491" t="s">
        <v>437</v>
      </c>
      <c r="D1491" t="s">
        <v>30</v>
      </c>
      <c r="E1491">
        <f>_xlfn.XLOOKUP(D1491,'Resumen Estudiantes y Profesore'!B:B,'Resumen Estudiantes y Profesore'!A:A)</f>
        <v>34</v>
      </c>
      <c r="F1491" t="s">
        <v>244</v>
      </c>
      <c r="G1491" t="s">
        <v>246</v>
      </c>
      <c r="H1491" t="s">
        <v>246</v>
      </c>
      <c r="I1491" t="s">
        <v>682</v>
      </c>
      <c r="J1491" t="s">
        <v>87</v>
      </c>
      <c r="K1491" s="120" t="s">
        <v>4768</v>
      </c>
      <c r="N1491" s="49"/>
    </row>
    <row r="1492" spans="1:14">
      <c r="A1492" t="s">
        <v>4769</v>
      </c>
      <c r="B1492" t="s">
        <v>4770</v>
      </c>
      <c r="C1492" t="s">
        <v>93</v>
      </c>
      <c r="D1492" t="s">
        <v>93</v>
      </c>
      <c r="E1492">
        <f>_xlfn.XLOOKUP(D1492,'Resumen Estudiantes y Profesore'!B:B,'Resumen Estudiantes y Profesore'!A:A)</f>
        <v>210</v>
      </c>
      <c r="F1492" t="s">
        <v>244</v>
      </c>
      <c r="G1492" t="s">
        <v>246</v>
      </c>
      <c r="H1492" t="s">
        <v>246</v>
      </c>
      <c r="I1492" t="s">
        <v>682</v>
      </c>
      <c r="J1492" t="s">
        <v>93</v>
      </c>
      <c r="K1492" s="120" t="s">
        <v>4771</v>
      </c>
      <c r="N1492" s="49"/>
    </row>
    <row r="1493" spans="1:14">
      <c r="A1493" t="s">
        <v>4772</v>
      </c>
      <c r="B1493" t="s">
        <v>4773</v>
      </c>
      <c r="C1493" t="s">
        <v>500</v>
      </c>
      <c r="D1493" t="s">
        <v>104</v>
      </c>
      <c r="E1493">
        <f>_xlfn.XLOOKUP(D1493,'Resumen Estudiantes y Profesore'!B:B,'Resumen Estudiantes y Profesore'!A:A)</f>
        <v>66</v>
      </c>
      <c r="F1493" t="s">
        <v>244</v>
      </c>
      <c r="G1493" t="s">
        <v>246</v>
      </c>
      <c r="H1493" t="s">
        <v>246</v>
      </c>
      <c r="I1493" t="s">
        <v>674</v>
      </c>
      <c r="J1493" t="s">
        <v>87</v>
      </c>
      <c r="K1493" s="120" t="s">
        <v>4774</v>
      </c>
      <c r="N1493" s="49"/>
    </row>
    <row r="1494" spans="1:14">
      <c r="A1494" t="s">
        <v>4772</v>
      </c>
      <c r="B1494" t="s">
        <v>4775</v>
      </c>
      <c r="C1494" t="s">
        <v>505</v>
      </c>
      <c r="D1494" t="s">
        <v>153</v>
      </c>
      <c r="E1494">
        <f>_xlfn.XLOOKUP(D1494,'Resumen Estudiantes y Profesore'!B:B,'Resumen Estudiantes y Profesore'!A:A)</f>
        <v>104</v>
      </c>
      <c r="F1494" t="s">
        <v>244</v>
      </c>
      <c r="G1494" t="s">
        <v>246</v>
      </c>
      <c r="H1494" t="s">
        <v>246</v>
      </c>
      <c r="I1494" t="s">
        <v>674</v>
      </c>
      <c r="J1494" t="s">
        <v>87</v>
      </c>
      <c r="K1494" s="120" t="s">
        <v>4776</v>
      </c>
      <c r="N1494" s="49"/>
    </row>
    <row r="1495" spans="1:14">
      <c r="A1495" t="s">
        <v>4772</v>
      </c>
      <c r="B1495" t="s">
        <v>4777</v>
      </c>
      <c r="C1495" t="s">
        <v>465</v>
      </c>
      <c r="D1495" t="s">
        <v>197</v>
      </c>
      <c r="E1495">
        <f>_xlfn.XLOOKUP(D1495,'Resumen Estudiantes y Profesore'!B:B,'Resumen Estudiantes y Profesore'!A:A)</f>
        <v>67</v>
      </c>
      <c r="F1495" t="s">
        <v>244</v>
      </c>
      <c r="G1495" t="s">
        <v>246</v>
      </c>
      <c r="H1495" t="s">
        <v>246</v>
      </c>
      <c r="I1495" t="s">
        <v>674</v>
      </c>
      <c r="J1495" t="s">
        <v>87</v>
      </c>
      <c r="K1495" s="120" t="s">
        <v>4778</v>
      </c>
      <c r="N1495" s="49"/>
    </row>
    <row r="1496" spans="1:14">
      <c r="A1496" t="s">
        <v>4772</v>
      </c>
      <c r="B1496" t="s">
        <v>4779</v>
      </c>
      <c r="C1496" t="s">
        <v>487</v>
      </c>
      <c r="D1496" t="s">
        <v>212</v>
      </c>
      <c r="E1496">
        <f>_xlfn.XLOOKUP(D1496,'Resumen Estudiantes y Profesore'!B:B,'Resumen Estudiantes y Profesore'!A:A)</f>
        <v>94</v>
      </c>
      <c r="F1496" t="s">
        <v>244</v>
      </c>
      <c r="G1496" t="s">
        <v>246</v>
      </c>
      <c r="H1496" t="s">
        <v>246</v>
      </c>
      <c r="I1496" t="s">
        <v>674</v>
      </c>
      <c r="J1496" t="s">
        <v>87</v>
      </c>
      <c r="K1496" s="120" t="s">
        <v>4780</v>
      </c>
      <c r="N1496" s="49"/>
    </row>
    <row r="1497" spans="1:14">
      <c r="A1497" t="s">
        <v>4781</v>
      </c>
      <c r="B1497" t="s">
        <v>4782</v>
      </c>
      <c r="C1497" t="s">
        <v>421</v>
      </c>
      <c r="D1497" t="s">
        <v>236</v>
      </c>
      <c r="E1497">
        <f>_xlfn.XLOOKUP(D1497,'Resumen Estudiantes y Profesore'!B:B,'Resumen Estudiantes y Profesore'!A:A)</f>
        <v>155</v>
      </c>
      <c r="F1497" t="s">
        <v>244</v>
      </c>
      <c r="G1497" t="s">
        <v>246</v>
      </c>
      <c r="H1497" t="s">
        <v>246</v>
      </c>
      <c r="I1497" t="s">
        <v>682</v>
      </c>
      <c r="J1497" t="s">
        <v>77</v>
      </c>
      <c r="K1497" s="120" t="s">
        <v>4783</v>
      </c>
      <c r="N1497" s="49"/>
    </row>
    <row r="1498" spans="1:14">
      <c r="A1498" t="s">
        <v>4784</v>
      </c>
      <c r="B1498" t="s">
        <v>4785</v>
      </c>
      <c r="C1498" t="s">
        <v>531</v>
      </c>
      <c r="D1498" t="s">
        <v>98</v>
      </c>
      <c r="E1498">
        <f>_xlfn.XLOOKUP(D1498,'Resumen Estudiantes y Profesore'!B:B,'Resumen Estudiantes y Profesore'!A:A)</f>
        <v>44</v>
      </c>
      <c r="F1498" t="s">
        <v>244</v>
      </c>
      <c r="G1498" t="s">
        <v>246</v>
      </c>
      <c r="H1498" t="s">
        <v>246</v>
      </c>
      <c r="I1498" t="s">
        <v>674</v>
      </c>
      <c r="J1498" t="s">
        <v>77</v>
      </c>
      <c r="K1498" s="120" t="s">
        <v>4786</v>
      </c>
      <c r="N1498" s="49"/>
    </row>
    <row r="1499" spans="1:14">
      <c r="A1499" t="s">
        <v>4784</v>
      </c>
      <c r="B1499" t="s">
        <v>4787</v>
      </c>
      <c r="C1499" t="s">
        <v>239</v>
      </c>
      <c r="D1499" t="s">
        <v>239</v>
      </c>
      <c r="E1499">
        <f>_xlfn.XLOOKUP(D1499,'Resumen Estudiantes y Profesore'!B:B,'Resumen Estudiantes y Profesore'!A:A)</f>
        <v>158</v>
      </c>
      <c r="F1499" t="s">
        <v>244</v>
      </c>
      <c r="G1499" t="s">
        <v>246</v>
      </c>
      <c r="H1499" t="s">
        <v>246</v>
      </c>
      <c r="I1499" t="s">
        <v>682</v>
      </c>
      <c r="J1499" t="s">
        <v>77</v>
      </c>
      <c r="K1499" s="120" t="s">
        <v>4788</v>
      </c>
      <c r="N1499" s="49"/>
    </row>
    <row r="1500" spans="1:14">
      <c r="A1500" t="s">
        <v>4789</v>
      </c>
      <c r="B1500" t="s">
        <v>4790</v>
      </c>
      <c r="C1500" t="s">
        <v>538</v>
      </c>
      <c r="D1500" t="s">
        <v>105</v>
      </c>
      <c r="E1500">
        <f>_xlfn.XLOOKUP(D1500,'Resumen Estudiantes y Profesore'!B:B,'Resumen Estudiantes y Profesore'!A:A)</f>
        <v>72</v>
      </c>
      <c r="F1500" t="s">
        <v>244</v>
      </c>
      <c r="G1500" t="s">
        <v>246</v>
      </c>
      <c r="H1500" t="s">
        <v>246</v>
      </c>
      <c r="I1500" t="s">
        <v>674</v>
      </c>
      <c r="J1500" t="s">
        <v>89</v>
      </c>
      <c r="K1500" s="120" t="s">
        <v>4791</v>
      </c>
      <c r="N1500" s="49"/>
    </row>
    <row r="1501" spans="1:14">
      <c r="A1501" t="s">
        <v>4789</v>
      </c>
      <c r="B1501" t="s">
        <v>4792</v>
      </c>
      <c r="C1501" t="s">
        <v>470</v>
      </c>
      <c r="D1501" t="s">
        <v>180</v>
      </c>
      <c r="E1501">
        <f>_xlfn.XLOOKUP(D1501,'Resumen Estudiantes y Profesore'!B:B,'Resumen Estudiantes y Profesore'!A:A)</f>
        <v>74</v>
      </c>
      <c r="F1501" t="s">
        <v>244</v>
      </c>
      <c r="G1501" t="s">
        <v>247</v>
      </c>
      <c r="H1501" t="s">
        <v>247</v>
      </c>
      <c r="I1501" t="s">
        <v>674</v>
      </c>
      <c r="J1501" t="s">
        <v>89</v>
      </c>
      <c r="K1501" s="120" t="s">
        <v>4793</v>
      </c>
      <c r="N1501" s="49"/>
    </row>
    <row r="1502" spans="1:14">
      <c r="A1502" t="s">
        <v>4789</v>
      </c>
      <c r="B1502" t="s">
        <v>4794</v>
      </c>
      <c r="C1502" t="s">
        <v>448</v>
      </c>
      <c r="D1502" t="s">
        <v>35</v>
      </c>
      <c r="E1502">
        <f>_xlfn.XLOOKUP(D1502,'Resumen Estudiantes y Profesore'!B:B,'Resumen Estudiantes y Profesore'!A:A)</f>
        <v>40</v>
      </c>
      <c r="F1502" t="s">
        <v>244</v>
      </c>
      <c r="G1502" t="s">
        <v>246</v>
      </c>
      <c r="H1502" t="s">
        <v>246</v>
      </c>
      <c r="I1502" t="s">
        <v>682</v>
      </c>
      <c r="J1502" t="s">
        <v>89</v>
      </c>
      <c r="K1502" s="120" t="s">
        <v>4795</v>
      </c>
      <c r="N1502" s="49"/>
    </row>
    <row r="1503" spans="1:14">
      <c r="A1503" t="s">
        <v>4796</v>
      </c>
      <c r="B1503" t="s">
        <v>4797</v>
      </c>
      <c r="C1503" t="s">
        <v>417</v>
      </c>
      <c r="D1503" t="s">
        <v>231</v>
      </c>
      <c r="E1503">
        <f>_xlfn.XLOOKUP(D1503,'Resumen Estudiantes y Profesore'!B:B,'Resumen Estudiantes y Profesore'!A:A)</f>
        <v>150</v>
      </c>
      <c r="F1503" t="s">
        <v>244</v>
      </c>
      <c r="G1503" t="s">
        <v>246</v>
      </c>
      <c r="H1503" t="s">
        <v>246</v>
      </c>
      <c r="I1503" t="s">
        <v>682</v>
      </c>
      <c r="J1503" t="s">
        <v>77</v>
      </c>
      <c r="K1503" s="120" t="s">
        <v>4798</v>
      </c>
      <c r="N1503" s="49"/>
    </row>
    <row r="1504" spans="1:14">
      <c r="A1504" t="s">
        <v>4799</v>
      </c>
      <c r="B1504" t="s">
        <v>4800</v>
      </c>
      <c r="C1504" t="s">
        <v>475</v>
      </c>
      <c r="D1504" t="s">
        <v>205</v>
      </c>
      <c r="E1504">
        <f>_xlfn.XLOOKUP(D1504,'Resumen Estudiantes y Profesore'!B:B,'Resumen Estudiantes y Profesore'!A:A)</f>
        <v>80</v>
      </c>
      <c r="F1504" t="s">
        <v>244</v>
      </c>
      <c r="G1504" t="s">
        <v>246</v>
      </c>
      <c r="H1504" t="s">
        <v>246</v>
      </c>
      <c r="I1504" t="s">
        <v>674</v>
      </c>
      <c r="J1504" t="s">
        <v>91</v>
      </c>
      <c r="K1504" s="120" t="s">
        <v>4801</v>
      </c>
      <c r="N1504" s="49"/>
    </row>
    <row r="1505" spans="1:14">
      <c r="A1505" t="s">
        <v>4799</v>
      </c>
      <c r="B1505" t="s">
        <v>4802</v>
      </c>
      <c r="C1505" t="s">
        <v>453</v>
      </c>
      <c r="D1505" t="s">
        <v>39</v>
      </c>
      <c r="E1505">
        <f>_xlfn.XLOOKUP(D1505,'Resumen Estudiantes y Profesore'!B:B,'Resumen Estudiantes y Profesore'!A:A)</f>
        <v>43</v>
      </c>
      <c r="F1505" t="s">
        <v>244</v>
      </c>
      <c r="G1505" t="s">
        <v>246</v>
      </c>
      <c r="H1505" t="s">
        <v>246</v>
      </c>
      <c r="I1505" t="s">
        <v>682</v>
      </c>
      <c r="J1505" t="s">
        <v>91</v>
      </c>
      <c r="K1505" s="120" t="s">
        <v>4803</v>
      </c>
      <c r="N1505" s="49"/>
    </row>
    <row r="1506" spans="1:14">
      <c r="A1506" t="s">
        <v>4804</v>
      </c>
      <c r="B1506" t="s">
        <v>4805</v>
      </c>
      <c r="C1506" t="s">
        <v>545</v>
      </c>
      <c r="D1506" t="s">
        <v>211</v>
      </c>
      <c r="E1506">
        <f>_xlfn.XLOOKUP(D1506,'Resumen Estudiantes y Profesore'!B:B,'Resumen Estudiantes y Profesore'!A:A)</f>
        <v>206</v>
      </c>
      <c r="F1506" t="s">
        <v>244</v>
      </c>
      <c r="G1506" t="s">
        <v>247</v>
      </c>
      <c r="H1506" t="s">
        <v>247</v>
      </c>
      <c r="I1506" t="s">
        <v>674</v>
      </c>
      <c r="J1506" t="s">
        <v>87</v>
      </c>
      <c r="K1506" s="120" t="s">
        <v>4806</v>
      </c>
      <c r="N1506" s="49"/>
    </row>
    <row r="1507" spans="1:14">
      <c r="A1507" t="s">
        <v>4804</v>
      </c>
      <c r="B1507" t="s">
        <v>4807</v>
      </c>
      <c r="C1507" t="s">
        <v>546</v>
      </c>
      <c r="D1507" t="s">
        <v>211</v>
      </c>
      <c r="E1507">
        <f>_xlfn.XLOOKUP(D1507,'Resumen Estudiantes y Profesore'!B:B,'Resumen Estudiantes y Profesore'!A:A)</f>
        <v>206</v>
      </c>
      <c r="F1507" t="s">
        <v>244</v>
      </c>
      <c r="G1507" t="s">
        <v>247</v>
      </c>
      <c r="H1507" t="s">
        <v>247</v>
      </c>
      <c r="I1507" t="s">
        <v>674</v>
      </c>
      <c r="J1507" t="s">
        <v>87</v>
      </c>
      <c r="K1507" s="120" t="s">
        <v>4808</v>
      </c>
      <c r="N1507" s="49"/>
    </row>
    <row r="1508" spans="1:14">
      <c r="A1508" t="s">
        <v>4804</v>
      </c>
      <c r="B1508" t="s">
        <v>4809</v>
      </c>
      <c r="C1508" t="s">
        <v>437</v>
      </c>
      <c r="D1508" t="s">
        <v>30</v>
      </c>
      <c r="E1508">
        <f>_xlfn.XLOOKUP(D1508,'Resumen Estudiantes y Profesore'!B:B,'Resumen Estudiantes y Profesore'!A:A)</f>
        <v>34</v>
      </c>
      <c r="F1508" t="s">
        <v>244</v>
      </c>
      <c r="G1508" t="s">
        <v>246</v>
      </c>
      <c r="H1508" t="s">
        <v>246</v>
      </c>
      <c r="I1508" t="s">
        <v>682</v>
      </c>
      <c r="J1508" t="s">
        <v>87</v>
      </c>
      <c r="K1508" s="120" t="s">
        <v>4810</v>
      </c>
      <c r="N1508" s="49"/>
    </row>
    <row r="1509" spans="1:14">
      <c r="A1509" t="s">
        <v>4811</v>
      </c>
      <c r="B1509" t="s">
        <v>4812</v>
      </c>
      <c r="C1509" t="s">
        <v>538</v>
      </c>
      <c r="D1509" t="s">
        <v>105</v>
      </c>
      <c r="E1509">
        <f>_xlfn.XLOOKUP(D1509,'Resumen Estudiantes y Profesore'!B:B,'Resumen Estudiantes y Profesore'!A:A)</f>
        <v>72</v>
      </c>
      <c r="F1509" t="s">
        <v>244</v>
      </c>
      <c r="G1509" t="s">
        <v>246</v>
      </c>
      <c r="H1509" t="s">
        <v>246</v>
      </c>
      <c r="I1509" t="s">
        <v>674</v>
      </c>
      <c r="J1509" t="s">
        <v>89</v>
      </c>
      <c r="K1509" s="120" t="s">
        <v>4813</v>
      </c>
      <c r="N1509" s="49"/>
    </row>
    <row r="1510" spans="1:14">
      <c r="A1510" t="s">
        <v>4811</v>
      </c>
      <c r="B1510" t="s">
        <v>4814</v>
      </c>
      <c r="C1510" t="s">
        <v>469</v>
      </c>
      <c r="D1510" t="s">
        <v>179</v>
      </c>
      <c r="E1510">
        <f>_xlfn.XLOOKUP(D1510,'Resumen Estudiantes y Profesore'!B:B,'Resumen Estudiantes y Profesore'!A:A)</f>
        <v>73</v>
      </c>
      <c r="F1510" t="s">
        <v>244</v>
      </c>
      <c r="G1510" t="s">
        <v>247</v>
      </c>
      <c r="H1510" t="s">
        <v>247</v>
      </c>
      <c r="I1510" t="s">
        <v>674</v>
      </c>
      <c r="J1510" t="s">
        <v>89</v>
      </c>
      <c r="K1510" s="120" t="s">
        <v>4815</v>
      </c>
      <c r="N1510" s="49"/>
    </row>
    <row r="1511" spans="1:14">
      <c r="A1511" t="s">
        <v>4816</v>
      </c>
      <c r="B1511" t="s">
        <v>4817</v>
      </c>
      <c r="C1511" t="s">
        <v>2549</v>
      </c>
      <c r="D1511" t="s">
        <v>107</v>
      </c>
      <c r="E1511">
        <f>_xlfn.XLOOKUP(D1511,'Resumen Estudiantes y Profesore'!B:B,'Resumen Estudiantes y Profesore'!A:A)</f>
        <v>201</v>
      </c>
      <c r="F1511" t="s">
        <v>244</v>
      </c>
      <c r="G1511" t="s">
        <v>246</v>
      </c>
      <c r="H1511" t="s">
        <v>246</v>
      </c>
      <c r="I1511" t="s">
        <v>674</v>
      </c>
      <c r="J1511" t="s">
        <v>91</v>
      </c>
      <c r="K1511" s="120" t="s">
        <v>4818</v>
      </c>
      <c r="N1511" s="49"/>
    </row>
    <row r="1512" spans="1:14">
      <c r="A1512" t="s">
        <v>4819</v>
      </c>
      <c r="B1512" t="s">
        <v>4820</v>
      </c>
      <c r="C1512" t="s">
        <v>493</v>
      </c>
      <c r="D1512" t="s">
        <v>118</v>
      </c>
      <c r="E1512">
        <f>_xlfn.XLOOKUP(D1512,'Resumen Estudiantes y Profesore'!B:B,'Resumen Estudiantes y Profesore'!A:A)</f>
        <v>18</v>
      </c>
      <c r="F1512" t="s">
        <v>244</v>
      </c>
      <c r="G1512" t="s">
        <v>246</v>
      </c>
      <c r="H1512" t="s">
        <v>246</v>
      </c>
      <c r="I1512" t="s">
        <v>674</v>
      </c>
      <c r="J1512" t="s">
        <v>90</v>
      </c>
      <c r="K1512" s="120" t="s">
        <v>4821</v>
      </c>
      <c r="N1512" s="49"/>
    </row>
    <row r="1513" spans="1:14">
      <c r="A1513" t="s">
        <v>4819</v>
      </c>
      <c r="B1513" t="s">
        <v>4822</v>
      </c>
      <c r="C1513" t="s">
        <v>451</v>
      </c>
      <c r="D1513" t="s">
        <v>38</v>
      </c>
      <c r="E1513">
        <f>_xlfn.XLOOKUP(D1513,'Resumen Estudiantes y Profesore'!B:B,'Resumen Estudiantes y Profesore'!A:A)</f>
        <v>42</v>
      </c>
      <c r="F1513" t="s">
        <v>244</v>
      </c>
      <c r="G1513" t="s">
        <v>247</v>
      </c>
      <c r="H1513" t="s">
        <v>247</v>
      </c>
      <c r="I1513" t="s">
        <v>682</v>
      </c>
      <c r="J1513" t="s">
        <v>90</v>
      </c>
      <c r="K1513" s="120" t="s">
        <v>4823</v>
      </c>
      <c r="N1513" s="49"/>
    </row>
    <row r="1514" spans="1:14">
      <c r="A1514" t="s">
        <v>4824</v>
      </c>
      <c r="B1514" t="s">
        <v>4825</v>
      </c>
      <c r="C1514" t="s">
        <v>431</v>
      </c>
      <c r="D1514" t="s">
        <v>27</v>
      </c>
      <c r="E1514">
        <f>_xlfn.XLOOKUP(D1514,'Resumen Estudiantes y Profesore'!B:B,'Resumen Estudiantes y Profesore'!A:A)</f>
        <v>30</v>
      </c>
      <c r="F1514" t="s">
        <v>244</v>
      </c>
      <c r="G1514" t="s">
        <v>246</v>
      </c>
      <c r="H1514" t="s">
        <v>246</v>
      </c>
      <c r="I1514" t="s">
        <v>682</v>
      </c>
      <c r="J1514" t="s">
        <v>84</v>
      </c>
      <c r="K1514" s="120" t="s">
        <v>4826</v>
      </c>
      <c r="N1514" s="49"/>
    </row>
    <row r="1515" spans="1:14">
      <c r="A1515" t="s">
        <v>4827</v>
      </c>
      <c r="B1515" t="s">
        <v>4828</v>
      </c>
      <c r="C1515" t="s">
        <v>419</v>
      </c>
      <c r="D1515" t="s">
        <v>233</v>
      </c>
      <c r="E1515">
        <f>_xlfn.XLOOKUP(D1515,'Resumen Estudiantes y Profesore'!B:B,'Resumen Estudiantes y Profesore'!A:A)</f>
        <v>152</v>
      </c>
      <c r="F1515" t="s">
        <v>244</v>
      </c>
      <c r="G1515" t="s">
        <v>246</v>
      </c>
      <c r="H1515" t="s">
        <v>246</v>
      </c>
      <c r="I1515" t="s">
        <v>682</v>
      </c>
      <c r="J1515" t="s">
        <v>77</v>
      </c>
      <c r="K1515" s="120" t="s">
        <v>4829</v>
      </c>
      <c r="N1515" s="49"/>
    </row>
    <row r="1516" spans="1:14">
      <c r="A1516" t="s">
        <v>4830</v>
      </c>
      <c r="B1516" t="s">
        <v>4831</v>
      </c>
      <c r="C1516" t="s">
        <v>93</v>
      </c>
      <c r="D1516" t="s">
        <v>93</v>
      </c>
      <c r="E1516">
        <f>_xlfn.XLOOKUP(D1516,'Resumen Estudiantes y Profesore'!B:B,'Resumen Estudiantes y Profesore'!A:A)</f>
        <v>210</v>
      </c>
      <c r="F1516" t="s">
        <v>244</v>
      </c>
      <c r="G1516" t="s">
        <v>246</v>
      </c>
      <c r="H1516" t="s">
        <v>246</v>
      </c>
      <c r="I1516" t="s">
        <v>682</v>
      </c>
      <c r="J1516" t="s">
        <v>93</v>
      </c>
      <c r="K1516" s="120" t="s">
        <v>4832</v>
      </c>
      <c r="N1516" s="49"/>
    </row>
    <row r="1517" spans="1:14">
      <c r="A1517" t="s">
        <v>4833</v>
      </c>
      <c r="B1517" t="s">
        <v>4834</v>
      </c>
      <c r="C1517" t="s">
        <v>465</v>
      </c>
      <c r="D1517" t="s">
        <v>197</v>
      </c>
      <c r="E1517">
        <f>_xlfn.XLOOKUP(D1517,'Resumen Estudiantes y Profesore'!B:B,'Resumen Estudiantes y Profesore'!A:A)</f>
        <v>67</v>
      </c>
      <c r="F1517" t="s">
        <v>244</v>
      </c>
      <c r="G1517" t="s">
        <v>246</v>
      </c>
      <c r="H1517" t="s">
        <v>246</v>
      </c>
      <c r="I1517" t="s">
        <v>674</v>
      </c>
      <c r="J1517" t="s">
        <v>87</v>
      </c>
      <c r="K1517" s="120" t="s">
        <v>4835</v>
      </c>
      <c r="N1517" s="49"/>
    </row>
    <row r="1518" spans="1:14">
      <c r="A1518" t="s">
        <v>4836</v>
      </c>
      <c r="B1518" t="s">
        <v>4837</v>
      </c>
      <c r="C1518" t="s">
        <v>469</v>
      </c>
      <c r="D1518" t="s">
        <v>179</v>
      </c>
      <c r="E1518">
        <f>_xlfn.XLOOKUP(D1518,'Resumen Estudiantes y Profesore'!B:B,'Resumen Estudiantes y Profesore'!A:A)</f>
        <v>73</v>
      </c>
      <c r="F1518" t="s">
        <v>244</v>
      </c>
      <c r="G1518" t="s">
        <v>247</v>
      </c>
      <c r="H1518" t="s">
        <v>247</v>
      </c>
      <c r="I1518" t="s">
        <v>674</v>
      </c>
      <c r="J1518" t="s">
        <v>89</v>
      </c>
      <c r="K1518" s="120" t="s">
        <v>4838</v>
      </c>
      <c r="N1518" s="49"/>
    </row>
    <row r="1519" spans="1:14">
      <c r="A1519" t="s">
        <v>4836</v>
      </c>
      <c r="B1519" t="s">
        <v>4839</v>
      </c>
      <c r="C1519" t="s">
        <v>444</v>
      </c>
      <c r="D1519" t="s">
        <v>33</v>
      </c>
      <c r="E1519">
        <f>_xlfn.XLOOKUP(D1519,'Resumen Estudiantes y Profesore'!B:B,'Resumen Estudiantes y Profesore'!A:A)</f>
        <v>38</v>
      </c>
      <c r="F1519" t="s">
        <v>244</v>
      </c>
      <c r="G1519" t="s">
        <v>246</v>
      </c>
      <c r="H1519" t="s">
        <v>246</v>
      </c>
      <c r="I1519" t="s">
        <v>682</v>
      </c>
      <c r="J1519" t="s">
        <v>89</v>
      </c>
      <c r="K1519" s="120" t="s">
        <v>4840</v>
      </c>
      <c r="N1519" s="49"/>
    </row>
    <row r="1520" spans="1:14">
      <c r="A1520" t="s">
        <v>4836</v>
      </c>
      <c r="B1520" t="s">
        <v>4841</v>
      </c>
      <c r="C1520" t="s">
        <v>444</v>
      </c>
      <c r="D1520" t="s">
        <v>33</v>
      </c>
      <c r="E1520">
        <f>_xlfn.XLOOKUP(D1520,'Resumen Estudiantes y Profesore'!B:B,'Resumen Estudiantes y Profesore'!A:A)</f>
        <v>38</v>
      </c>
      <c r="F1520" t="s">
        <v>244</v>
      </c>
      <c r="G1520" t="s">
        <v>246</v>
      </c>
      <c r="H1520" t="s">
        <v>246</v>
      </c>
      <c r="I1520" t="s">
        <v>682</v>
      </c>
      <c r="J1520" t="s">
        <v>89</v>
      </c>
      <c r="K1520" s="120" t="s">
        <v>4842</v>
      </c>
      <c r="N1520" s="49"/>
    </row>
    <row r="1521" spans="1:23">
      <c r="A1521" t="s">
        <v>4843</v>
      </c>
      <c r="B1521" t="s">
        <v>4844</v>
      </c>
      <c r="C1521" t="s">
        <v>444</v>
      </c>
      <c r="D1521" t="s">
        <v>33</v>
      </c>
      <c r="E1521">
        <f>_xlfn.XLOOKUP(D1521,'Resumen Estudiantes y Profesore'!B:B,'Resumen Estudiantes y Profesore'!A:A)</f>
        <v>38</v>
      </c>
      <c r="F1521" t="s">
        <v>244</v>
      </c>
      <c r="G1521" t="s">
        <v>246</v>
      </c>
      <c r="H1521" t="s">
        <v>246</v>
      </c>
      <c r="I1521" t="s">
        <v>682</v>
      </c>
      <c r="J1521" t="s">
        <v>89</v>
      </c>
      <c r="K1521" s="120" t="s">
        <v>4845</v>
      </c>
      <c r="N1521" s="49"/>
    </row>
    <row r="1522" spans="1:23">
      <c r="A1522" t="s">
        <v>4846</v>
      </c>
      <c r="B1522" t="s">
        <v>4847</v>
      </c>
      <c r="C1522" t="s">
        <v>494</v>
      </c>
      <c r="D1522" t="s">
        <v>119</v>
      </c>
      <c r="E1522">
        <f>_xlfn.XLOOKUP(D1522,'Resumen Estudiantes y Profesore'!B:B,'Resumen Estudiantes y Profesore'!A:A)</f>
        <v>8</v>
      </c>
      <c r="F1522" t="s">
        <v>244</v>
      </c>
      <c r="G1522" t="s">
        <v>246</v>
      </c>
      <c r="H1522" t="s">
        <v>246</v>
      </c>
      <c r="I1522" t="s">
        <v>674</v>
      </c>
      <c r="J1522" t="s">
        <v>90</v>
      </c>
      <c r="K1522" s="120" t="s">
        <v>4848</v>
      </c>
      <c r="N1522" s="49"/>
    </row>
    <row r="1523" spans="1:23">
      <c r="A1523" t="s">
        <v>4846</v>
      </c>
      <c r="B1523" t="s">
        <v>4849</v>
      </c>
      <c r="C1523" t="s">
        <v>451</v>
      </c>
      <c r="D1523" t="s">
        <v>38</v>
      </c>
      <c r="E1523">
        <f>_xlfn.XLOOKUP(D1523,'Resumen Estudiantes y Profesore'!B:B,'Resumen Estudiantes y Profesore'!A:A)</f>
        <v>42</v>
      </c>
      <c r="F1523" t="s">
        <v>244</v>
      </c>
      <c r="G1523" t="s">
        <v>246</v>
      </c>
      <c r="H1523" t="s">
        <v>246</v>
      </c>
      <c r="I1523" t="s">
        <v>682</v>
      </c>
      <c r="J1523" t="s">
        <v>90</v>
      </c>
      <c r="K1523" s="120" t="s">
        <v>4850</v>
      </c>
      <c r="N1523" s="49"/>
    </row>
    <row r="1524" spans="1:23">
      <c r="A1524" t="s">
        <v>4851</v>
      </c>
      <c r="B1524" t="s">
        <v>4852</v>
      </c>
      <c r="C1524" t="s">
        <v>441</v>
      </c>
      <c r="D1524" t="s">
        <v>32</v>
      </c>
      <c r="E1524">
        <f>_xlfn.XLOOKUP(D1524,'Resumen Estudiantes y Profesore'!B:B,'Resumen Estudiantes y Profesore'!A:A)</f>
        <v>36</v>
      </c>
      <c r="F1524" t="s">
        <v>244</v>
      </c>
      <c r="G1524" t="s">
        <v>246</v>
      </c>
      <c r="H1524" t="s">
        <v>246</v>
      </c>
      <c r="I1524" t="s">
        <v>682</v>
      </c>
      <c r="J1524" t="s">
        <v>89</v>
      </c>
      <c r="K1524" s="120" t="s">
        <v>4853</v>
      </c>
      <c r="N1524" s="49"/>
    </row>
    <row r="1525" spans="1:23">
      <c r="A1525" t="s">
        <v>4854</v>
      </c>
      <c r="B1525" t="s">
        <v>4855</v>
      </c>
      <c r="C1525" t="s">
        <v>444</v>
      </c>
      <c r="D1525" t="s">
        <v>33</v>
      </c>
      <c r="E1525">
        <f>_xlfn.XLOOKUP(D1525,'Resumen Estudiantes y Profesore'!B:B,'Resumen Estudiantes y Profesore'!A:A)</f>
        <v>38</v>
      </c>
      <c r="F1525" t="s">
        <v>244</v>
      </c>
      <c r="G1525" t="s">
        <v>247</v>
      </c>
      <c r="H1525" t="s">
        <v>247</v>
      </c>
      <c r="I1525" t="s">
        <v>682</v>
      </c>
      <c r="J1525" t="s">
        <v>89</v>
      </c>
      <c r="K1525" s="120" t="s">
        <v>4856</v>
      </c>
      <c r="N1525" s="49"/>
    </row>
    <row r="1526" spans="1:23">
      <c r="A1526" t="s">
        <v>4857</v>
      </c>
      <c r="B1526" t="s">
        <v>4858</v>
      </c>
      <c r="C1526" t="s">
        <v>437</v>
      </c>
      <c r="D1526" t="s">
        <v>30</v>
      </c>
      <c r="E1526">
        <f>_xlfn.XLOOKUP(D1526,'Resumen Estudiantes y Profesore'!B:B,'Resumen Estudiantes y Profesore'!A:A)</f>
        <v>34</v>
      </c>
      <c r="F1526" t="s">
        <v>244</v>
      </c>
      <c r="G1526" t="s">
        <v>246</v>
      </c>
      <c r="H1526" t="s">
        <v>246</v>
      </c>
      <c r="I1526" t="s">
        <v>682</v>
      </c>
      <c r="J1526" t="s">
        <v>87</v>
      </c>
      <c r="K1526" s="120" t="s">
        <v>4859</v>
      </c>
      <c r="N1526" s="49"/>
    </row>
    <row r="1527" spans="1:23">
      <c r="A1527" t="s">
        <v>4860</v>
      </c>
      <c r="B1527" t="s">
        <v>4861</v>
      </c>
      <c r="C1527" t="s">
        <v>451</v>
      </c>
      <c r="D1527" t="s">
        <v>38</v>
      </c>
      <c r="E1527">
        <f>_xlfn.XLOOKUP(D1527,'Resumen Estudiantes y Profesore'!B:B,'Resumen Estudiantes y Profesore'!A:A)</f>
        <v>42</v>
      </c>
      <c r="F1527" t="s">
        <v>244</v>
      </c>
      <c r="G1527" t="s">
        <v>246</v>
      </c>
      <c r="H1527" t="s">
        <v>246</v>
      </c>
      <c r="I1527" t="s">
        <v>682</v>
      </c>
      <c r="J1527" t="s">
        <v>90</v>
      </c>
      <c r="K1527" s="120" t="s">
        <v>4862</v>
      </c>
      <c r="N1527" s="49"/>
    </row>
    <row r="1528" spans="1:23">
      <c r="A1528" t="s">
        <v>4863</v>
      </c>
      <c r="B1528" t="s">
        <v>4864</v>
      </c>
      <c r="C1528" t="s">
        <v>430</v>
      </c>
      <c r="D1528" t="s">
        <v>26</v>
      </c>
      <c r="E1528">
        <f>_xlfn.XLOOKUP(D1528,'Resumen Estudiantes y Profesore'!B:B,'Resumen Estudiantes y Profesore'!A:A)</f>
        <v>29</v>
      </c>
      <c r="F1528" t="s">
        <v>244</v>
      </c>
      <c r="G1528" t="s">
        <v>246</v>
      </c>
      <c r="H1528" t="s">
        <v>246</v>
      </c>
      <c r="I1528" t="s">
        <v>682</v>
      </c>
      <c r="J1528" t="s">
        <v>84</v>
      </c>
      <c r="K1528" s="120" t="s">
        <v>4865</v>
      </c>
      <c r="N1528" s="49"/>
    </row>
    <row r="1529" spans="1:23">
      <c r="A1529" t="s">
        <v>4866</v>
      </c>
      <c r="B1529" t="s">
        <v>4867</v>
      </c>
      <c r="C1529" t="s">
        <v>473</v>
      </c>
      <c r="D1529" t="s">
        <v>195</v>
      </c>
      <c r="E1529">
        <f>_xlfn.XLOOKUP(D1529,'Resumen Estudiantes y Profesore'!B:B,'Resumen Estudiantes y Profesore'!A:A)</f>
        <v>77</v>
      </c>
      <c r="F1529" t="s">
        <v>244</v>
      </c>
      <c r="G1529" t="s">
        <v>246</v>
      </c>
      <c r="H1529" t="s">
        <v>246</v>
      </c>
      <c r="I1529" t="s">
        <v>674</v>
      </c>
      <c r="J1529" t="s">
        <v>90</v>
      </c>
      <c r="K1529" s="120" t="s">
        <v>4868</v>
      </c>
      <c r="N1529" s="49"/>
    </row>
    <row r="1530" spans="1:23">
      <c r="A1530" t="s">
        <v>4866</v>
      </c>
      <c r="B1530" t="s">
        <v>4869</v>
      </c>
      <c r="C1530" t="s">
        <v>451</v>
      </c>
      <c r="D1530" t="s">
        <v>38</v>
      </c>
      <c r="E1530">
        <f>_xlfn.XLOOKUP(D1530,'Resumen Estudiantes y Profesore'!B:B,'Resumen Estudiantes y Profesore'!A:A)</f>
        <v>42</v>
      </c>
      <c r="F1530" t="s">
        <v>244</v>
      </c>
      <c r="G1530" t="s">
        <v>246</v>
      </c>
      <c r="H1530" t="s">
        <v>246</v>
      </c>
      <c r="I1530" t="s">
        <v>682</v>
      </c>
      <c r="J1530" t="s">
        <v>90</v>
      </c>
      <c r="K1530" s="120" t="s">
        <v>4870</v>
      </c>
      <c r="N1530" s="49"/>
    </row>
    <row r="1531" spans="1:23">
      <c r="A1531" t="s">
        <v>4871</v>
      </c>
      <c r="B1531" t="s">
        <v>4872</v>
      </c>
      <c r="C1531" t="s">
        <v>431</v>
      </c>
      <c r="D1531" t="s">
        <v>27</v>
      </c>
      <c r="E1531">
        <f>_xlfn.XLOOKUP(D1531,'Resumen Estudiantes y Profesore'!B:B,'Resumen Estudiantes y Profesore'!A:A)</f>
        <v>30</v>
      </c>
      <c r="F1531" t="s">
        <v>244</v>
      </c>
      <c r="G1531" t="s">
        <v>246</v>
      </c>
      <c r="H1531" t="s">
        <v>246</v>
      </c>
      <c r="I1531" t="s">
        <v>682</v>
      </c>
      <c r="J1531" t="s">
        <v>84</v>
      </c>
      <c r="K1531" s="120" t="s">
        <v>4873</v>
      </c>
      <c r="N1531" s="49"/>
    </row>
    <row r="1532" spans="1:23">
      <c r="A1532" t="s">
        <v>4874</v>
      </c>
      <c r="B1532" t="s">
        <v>4875</v>
      </c>
      <c r="C1532" t="s">
        <v>441</v>
      </c>
      <c r="D1532" t="s">
        <v>32</v>
      </c>
      <c r="E1532">
        <f>_xlfn.XLOOKUP(D1532,'Resumen Estudiantes y Profesore'!B:B,'Resumen Estudiantes y Profesore'!A:A)</f>
        <v>36</v>
      </c>
      <c r="F1532" t="s">
        <v>244</v>
      </c>
      <c r="G1532" t="s">
        <v>246</v>
      </c>
      <c r="H1532" t="s">
        <v>246</v>
      </c>
      <c r="I1532" t="s">
        <v>682</v>
      </c>
      <c r="J1532" t="s">
        <v>89</v>
      </c>
      <c r="K1532" s="120" t="s">
        <v>4876</v>
      </c>
      <c r="N1532" s="49"/>
    </row>
    <row r="1533" spans="1:23" s="81" customFormat="1">
      <c r="A1533" t="s">
        <v>4874</v>
      </c>
      <c r="B1533" t="s">
        <v>4877</v>
      </c>
      <c r="C1533" t="s">
        <v>441</v>
      </c>
      <c r="D1533" t="s">
        <v>32</v>
      </c>
      <c r="E1533">
        <f>_xlfn.XLOOKUP(D1533,'Resumen Estudiantes y Profesore'!B:B,'Resumen Estudiantes y Profesore'!A:A)</f>
        <v>36</v>
      </c>
      <c r="F1533" t="s">
        <v>244</v>
      </c>
      <c r="G1533" t="s">
        <v>246</v>
      </c>
      <c r="H1533" t="s">
        <v>246</v>
      </c>
      <c r="I1533" t="s">
        <v>682</v>
      </c>
      <c r="J1533" t="s">
        <v>89</v>
      </c>
      <c r="K1533" s="120" t="s">
        <v>4878</v>
      </c>
      <c r="L1533"/>
      <c r="M1533"/>
      <c r="N1533" s="49"/>
      <c r="O1533"/>
      <c r="P1533"/>
      <c r="Q1533"/>
      <c r="R1533"/>
      <c r="S1533"/>
      <c r="T1533"/>
      <c r="U1533"/>
      <c r="V1533"/>
      <c r="W1533"/>
    </row>
    <row r="1534" spans="1:23">
      <c r="A1534" t="s">
        <v>4879</v>
      </c>
      <c r="B1534" t="s">
        <v>4880</v>
      </c>
      <c r="C1534" t="s">
        <v>469</v>
      </c>
      <c r="D1534" t="s">
        <v>179</v>
      </c>
      <c r="E1534">
        <f>_xlfn.XLOOKUP(D1534,'Resumen Estudiantes y Profesore'!B:B,'Resumen Estudiantes y Profesore'!A:A)</f>
        <v>73</v>
      </c>
      <c r="F1534" t="s">
        <v>244</v>
      </c>
      <c r="G1534" t="s">
        <v>246</v>
      </c>
      <c r="H1534" t="s">
        <v>246</v>
      </c>
      <c r="I1534" t="s">
        <v>674</v>
      </c>
      <c r="J1534" t="s">
        <v>89</v>
      </c>
      <c r="K1534" s="120" t="s">
        <v>4881</v>
      </c>
      <c r="N1534" s="49"/>
    </row>
    <row r="1535" spans="1:23">
      <c r="A1535" t="s">
        <v>4882</v>
      </c>
      <c r="B1535" t="s">
        <v>4883</v>
      </c>
      <c r="C1535" t="s">
        <v>534</v>
      </c>
      <c r="D1535" t="s">
        <v>36</v>
      </c>
      <c r="E1535">
        <f>_xlfn.XLOOKUP(D1535,'Resumen Estudiantes y Profesore'!B:B,'Resumen Estudiantes y Profesore'!A:A)</f>
        <v>37</v>
      </c>
      <c r="F1535" t="s">
        <v>244</v>
      </c>
      <c r="G1535" t="s">
        <v>246</v>
      </c>
      <c r="H1535" t="s">
        <v>246</v>
      </c>
      <c r="I1535" t="s">
        <v>682</v>
      </c>
      <c r="J1535" t="s">
        <v>89</v>
      </c>
      <c r="K1535" s="120" t="s">
        <v>4884</v>
      </c>
      <c r="N1535" s="49"/>
    </row>
    <row r="1536" spans="1:23">
      <c r="A1536" t="s">
        <v>4882</v>
      </c>
      <c r="B1536" t="s">
        <v>4885</v>
      </c>
      <c r="C1536" t="s">
        <v>450</v>
      </c>
      <c r="D1536" t="s">
        <v>37</v>
      </c>
      <c r="E1536">
        <f>_xlfn.XLOOKUP(D1536,'Resumen Estudiantes y Profesore'!B:B,'Resumen Estudiantes y Profesore'!A:A)</f>
        <v>41</v>
      </c>
      <c r="F1536" t="s">
        <v>244</v>
      </c>
      <c r="G1536" t="s">
        <v>246</v>
      </c>
      <c r="H1536" t="s">
        <v>246</v>
      </c>
      <c r="I1536" t="s">
        <v>682</v>
      </c>
      <c r="J1536" t="s">
        <v>89</v>
      </c>
      <c r="K1536" s="120" t="s">
        <v>4886</v>
      </c>
      <c r="N1536" s="49"/>
    </row>
    <row r="1537" spans="1:23">
      <c r="A1537" t="s">
        <v>4887</v>
      </c>
      <c r="B1537" t="s">
        <v>4888</v>
      </c>
      <c r="C1537" t="s">
        <v>489</v>
      </c>
      <c r="D1537" t="s">
        <v>110</v>
      </c>
      <c r="E1537">
        <f>_xlfn.XLOOKUP(D1537,'Resumen Estudiantes y Profesore'!B:B,'Resumen Estudiantes y Profesore'!A:A)</f>
        <v>2</v>
      </c>
      <c r="F1537" t="s">
        <v>244</v>
      </c>
      <c r="G1537" t="s">
        <v>246</v>
      </c>
      <c r="H1537" t="s">
        <v>246</v>
      </c>
      <c r="I1537" t="s">
        <v>674</v>
      </c>
      <c r="J1537" t="s">
        <v>90</v>
      </c>
      <c r="K1537" s="120" t="s">
        <v>4889</v>
      </c>
      <c r="N1537" s="49"/>
    </row>
    <row r="1538" spans="1:23">
      <c r="A1538" t="s">
        <v>4887</v>
      </c>
      <c r="B1538" t="s">
        <v>4890</v>
      </c>
      <c r="C1538" t="s">
        <v>451</v>
      </c>
      <c r="D1538" t="s">
        <v>38</v>
      </c>
      <c r="E1538">
        <f>_xlfn.XLOOKUP(D1538,'Resumen Estudiantes y Profesore'!B:B,'Resumen Estudiantes y Profesore'!A:A)</f>
        <v>42</v>
      </c>
      <c r="F1538" t="s">
        <v>244</v>
      </c>
      <c r="G1538" t="s">
        <v>247</v>
      </c>
      <c r="H1538" t="s">
        <v>247</v>
      </c>
      <c r="I1538" t="s">
        <v>682</v>
      </c>
      <c r="J1538" t="s">
        <v>90</v>
      </c>
      <c r="K1538" s="120" t="s">
        <v>4891</v>
      </c>
      <c r="N1538" s="49"/>
    </row>
    <row r="1539" spans="1:23">
      <c r="A1539" t="s">
        <v>4892</v>
      </c>
      <c r="B1539" t="s">
        <v>4893</v>
      </c>
      <c r="C1539" t="s">
        <v>453</v>
      </c>
      <c r="D1539" t="s">
        <v>39</v>
      </c>
      <c r="E1539">
        <f>_xlfn.XLOOKUP(D1539,'Resumen Estudiantes y Profesore'!B:B,'Resumen Estudiantes y Profesore'!A:A)</f>
        <v>43</v>
      </c>
      <c r="F1539" t="s">
        <v>244</v>
      </c>
      <c r="G1539" t="s">
        <v>246</v>
      </c>
      <c r="H1539" t="s">
        <v>246</v>
      </c>
      <c r="I1539" t="s">
        <v>682</v>
      </c>
      <c r="J1539" t="s">
        <v>91</v>
      </c>
      <c r="K1539" s="120" t="s">
        <v>4894</v>
      </c>
      <c r="N1539" s="49"/>
    </row>
    <row r="1540" spans="1:23">
      <c r="A1540" t="s">
        <v>4895</v>
      </c>
      <c r="B1540" t="s">
        <v>4896</v>
      </c>
      <c r="C1540" t="s">
        <v>431</v>
      </c>
      <c r="D1540" t="s">
        <v>27</v>
      </c>
      <c r="E1540">
        <f>_xlfn.XLOOKUP(D1540,'Resumen Estudiantes y Profesore'!B:B,'Resumen Estudiantes y Profesore'!A:A)</f>
        <v>30</v>
      </c>
      <c r="F1540" t="s">
        <v>244</v>
      </c>
      <c r="G1540" t="s">
        <v>246</v>
      </c>
      <c r="H1540" t="s">
        <v>246</v>
      </c>
      <c r="I1540" t="s">
        <v>682</v>
      </c>
      <c r="J1540" t="s">
        <v>84</v>
      </c>
      <c r="K1540" s="120" t="s">
        <v>4897</v>
      </c>
      <c r="N1540" s="49"/>
    </row>
    <row r="1541" spans="1:23">
      <c r="A1541" t="s">
        <v>4898</v>
      </c>
      <c r="B1541" t="s">
        <v>4899</v>
      </c>
      <c r="C1541" t="s">
        <v>469</v>
      </c>
      <c r="D1541" t="s">
        <v>179</v>
      </c>
      <c r="E1541">
        <f>_xlfn.XLOOKUP(D1541,'Resumen Estudiantes y Profesore'!B:B,'Resumen Estudiantes y Profesore'!A:A)</f>
        <v>73</v>
      </c>
      <c r="F1541" t="s">
        <v>244</v>
      </c>
      <c r="G1541" t="s">
        <v>246</v>
      </c>
      <c r="H1541" t="s">
        <v>246</v>
      </c>
      <c r="I1541" t="s">
        <v>674</v>
      </c>
      <c r="J1541" t="s">
        <v>89</v>
      </c>
      <c r="K1541" s="120" t="s">
        <v>4900</v>
      </c>
      <c r="N1541" s="49"/>
    </row>
    <row r="1542" spans="1:23">
      <c r="A1542" t="s">
        <v>4898</v>
      </c>
      <c r="B1542" t="s">
        <v>4901</v>
      </c>
      <c r="C1542" t="s">
        <v>450</v>
      </c>
      <c r="D1542" t="s">
        <v>37</v>
      </c>
      <c r="E1542">
        <f>_xlfn.XLOOKUP(D1542,'Resumen Estudiantes y Profesore'!B:B,'Resumen Estudiantes y Profesore'!A:A)</f>
        <v>41</v>
      </c>
      <c r="F1542" t="s">
        <v>244</v>
      </c>
      <c r="G1542" t="s">
        <v>246</v>
      </c>
      <c r="H1542" t="s">
        <v>246</v>
      </c>
      <c r="I1542" t="s">
        <v>682</v>
      </c>
      <c r="J1542" t="s">
        <v>89</v>
      </c>
      <c r="K1542" s="120" t="s">
        <v>4902</v>
      </c>
      <c r="N1542" s="49"/>
    </row>
    <row r="1543" spans="1:23">
      <c r="A1543" t="s">
        <v>4903</v>
      </c>
      <c r="B1543" t="s">
        <v>4904</v>
      </c>
      <c r="C1543" t="s">
        <v>475</v>
      </c>
      <c r="D1543" t="s">
        <v>205</v>
      </c>
      <c r="E1543">
        <f>_xlfn.XLOOKUP(D1543,'Resumen Estudiantes y Profesore'!B:B,'Resumen Estudiantes y Profesore'!A:A)</f>
        <v>80</v>
      </c>
      <c r="F1543" t="s">
        <v>244</v>
      </c>
      <c r="G1543" t="s">
        <v>247</v>
      </c>
      <c r="H1543" t="s">
        <v>247</v>
      </c>
      <c r="I1543" t="s">
        <v>674</v>
      </c>
      <c r="J1543" t="s">
        <v>91</v>
      </c>
      <c r="K1543" s="120" t="s">
        <v>4905</v>
      </c>
      <c r="N1543" s="49"/>
    </row>
    <row r="1544" spans="1:23">
      <c r="A1544" t="s">
        <v>4903</v>
      </c>
      <c r="B1544" t="s">
        <v>4906</v>
      </c>
      <c r="C1544" t="s">
        <v>453</v>
      </c>
      <c r="D1544" t="s">
        <v>39</v>
      </c>
      <c r="E1544">
        <f>_xlfn.XLOOKUP(D1544,'Resumen Estudiantes y Profesore'!B:B,'Resumen Estudiantes y Profesore'!A:A)</f>
        <v>43</v>
      </c>
      <c r="F1544" t="s">
        <v>244</v>
      </c>
      <c r="G1544" t="s">
        <v>246</v>
      </c>
      <c r="H1544" t="s">
        <v>246</v>
      </c>
      <c r="I1544" t="s">
        <v>682</v>
      </c>
      <c r="J1544" t="s">
        <v>91</v>
      </c>
      <c r="K1544" s="120" t="s">
        <v>4907</v>
      </c>
      <c r="N1544" s="49"/>
    </row>
    <row r="1545" spans="1:23">
      <c r="A1545" t="s">
        <v>2571</v>
      </c>
      <c r="B1545" t="s">
        <v>4908</v>
      </c>
      <c r="C1545" t="s">
        <v>507</v>
      </c>
      <c r="D1545" t="s">
        <v>151</v>
      </c>
      <c r="E1545">
        <f>_xlfn.XLOOKUP(D1545,'Resumen Estudiantes y Profesore'!B:B,'Resumen Estudiantes y Profesore'!A:A)</f>
        <v>107</v>
      </c>
      <c r="F1545" t="s">
        <v>244</v>
      </c>
      <c r="G1545" t="s">
        <v>246</v>
      </c>
      <c r="H1545" t="s">
        <v>246</v>
      </c>
      <c r="I1545" t="s">
        <v>674</v>
      </c>
      <c r="J1545" t="s">
        <v>91</v>
      </c>
      <c r="K1545" s="120" t="s">
        <v>4909</v>
      </c>
      <c r="N1545" s="49"/>
    </row>
    <row r="1546" spans="1:23">
      <c r="A1546" t="s">
        <v>4910</v>
      </c>
      <c r="B1546" t="s">
        <v>4911</v>
      </c>
      <c r="C1546" t="s">
        <v>451</v>
      </c>
      <c r="D1546" t="s">
        <v>38</v>
      </c>
      <c r="E1546">
        <f>_xlfn.XLOOKUP(D1546,'Resumen Estudiantes y Profesore'!B:B,'Resumen Estudiantes y Profesore'!A:A)</f>
        <v>42</v>
      </c>
      <c r="F1546" t="s">
        <v>244</v>
      </c>
      <c r="G1546" t="s">
        <v>246</v>
      </c>
      <c r="H1546" t="s">
        <v>246</v>
      </c>
      <c r="I1546" t="s">
        <v>682</v>
      </c>
      <c r="J1546" t="s">
        <v>90</v>
      </c>
      <c r="K1546" s="120" t="s">
        <v>4912</v>
      </c>
      <c r="N1546" s="49"/>
    </row>
    <row r="1547" spans="1:23">
      <c r="A1547" t="s">
        <v>4913</v>
      </c>
      <c r="B1547" t="s">
        <v>4914</v>
      </c>
      <c r="C1547" t="s">
        <v>451</v>
      </c>
      <c r="D1547" t="s">
        <v>38</v>
      </c>
      <c r="E1547">
        <f>_xlfn.XLOOKUP(D1547,'Resumen Estudiantes y Profesore'!B:B,'Resumen Estudiantes y Profesore'!A:A)</f>
        <v>42</v>
      </c>
      <c r="F1547" t="s">
        <v>244</v>
      </c>
      <c r="G1547" t="s">
        <v>246</v>
      </c>
      <c r="H1547" t="s">
        <v>246</v>
      </c>
      <c r="I1547" t="s">
        <v>682</v>
      </c>
      <c r="J1547" t="s">
        <v>90</v>
      </c>
      <c r="K1547" s="120" t="s">
        <v>4915</v>
      </c>
      <c r="N1547" s="49"/>
    </row>
    <row r="1548" spans="1:23">
      <c r="A1548" t="s">
        <v>4916</v>
      </c>
      <c r="B1548" t="s">
        <v>4917</v>
      </c>
      <c r="C1548" t="s">
        <v>499</v>
      </c>
      <c r="D1548" t="s">
        <v>103</v>
      </c>
      <c r="E1548">
        <f>_xlfn.XLOOKUP(D1548,'Resumen Estudiantes y Profesore'!B:B,'Resumen Estudiantes y Profesore'!A:A)</f>
        <v>58</v>
      </c>
      <c r="F1548" t="s">
        <v>244</v>
      </c>
      <c r="G1548" t="s">
        <v>247</v>
      </c>
      <c r="H1548" t="s">
        <v>247</v>
      </c>
      <c r="I1548" t="s">
        <v>674</v>
      </c>
      <c r="J1548" t="s">
        <v>85</v>
      </c>
      <c r="K1548" s="120" t="s">
        <v>4918</v>
      </c>
      <c r="N1548" s="49"/>
    </row>
    <row r="1549" spans="1:23">
      <c r="A1549" t="s">
        <v>4916</v>
      </c>
      <c r="B1549" t="s">
        <v>4919</v>
      </c>
      <c r="C1549" t="s">
        <v>518</v>
      </c>
      <c r="D1549" t="s">
        <v>161</v>
      </c>
      <c r="E1549">
        <f>_xlfn.XLOOKUP(D1549,'Resumen Estudiantes y Profesore'!B:B,'Resumen Estudiantes y Profesore'!A:A)</f>
        <v>123</v>
      </c>
      <c r="F1549" t="s">
        <v>244</v>
      </c>
      <c r="G1549" t="s">
        <v>247</v>
      </c>
      <c r="H1549" t="s">
        <v>247</v>
      </c>
      <c r="I1549" t="s">
        <v>674</v>
      </c>
      <c r="J1549" t="s">
        <v>85</v>
      </c>
      <c r="K1549" s="120" t="s">
        <v>4920</v>
      </c>
      <c r="N1549" s="49"/>
    </row>
    <row r="1550" spans="1:23">
      <c r="A1550" t="s">
        <v>4916</v>
      </c>
      <c r="B1550" t="s">
        <v>4921</v>
      </c>
      <c r="C1550" t="s">
        <v>548</v>
      </c>
      <c r="D1550" t="s">
        <v>215</v>
      </c>
      <c r="E1550">
        <f>_xlfn.XLOOKUP(D1550,'Resumen Estudiantes y Profesore'!B:B,'Resumen Estudiantes y Profesore'!A:A)</f>
        <v>85</v>
      </c>
      <c r="F1550" t="s">
        <v>244</v>
      </c>
      <c r="G1550" t="s">
        <v>246</v>
      </c>
      <c r="H1550" t="s">
        <v>247</v>
      </c>
      <c r="I1550" t="s">
        <v>674</v>
      </c>
      <c r="J1550" t="s">
        <v>85</v>
      </c>
      <c r="K1550" s="120" t="s">
        <v>4922</v>
      </c>
      <c r="N1550" s="49"/>
    </row>
    <row r="1551" spans="1:23">
      <c r="A1551" t="s">
        <v>4916</v>
      </c>
      <c r="B1551" t="s">
        <v>4923</v>
      </c>
      <c r="C1551" t="s">
        <v>483</v>
      </c>
      <c r="D1551" t="s">
        <v>215</v>
      </c>
      <c r="E1551">
        <f>_xlfn.XLOOKUP(D1551,'Resumen Estudiantes y Profesore'!B:B,'Resumen Estudiantes y Profesore'!A:A)</f>
        <v>85</v>
      </c>
      <c r="F1551" t="s">
        <v>244</v>
      </c>
      <c r="G1551" t="s">
        <v>247</v>
      </c>
      <c r="H1551" t="s">
        <v>247</v>
      </c>
      <c r="I1551" t="s">
        <v>674</v>
      </c>
      <c r="J1551" t="s">
        <v>85</v>
      </c>
      <c r="K1551" s="120" t="s">
        <v>4924</v>
      </c>
      <c r="N1551" s="49"/>
    </row>
    <row r="1552" spans="1:23" s="81" customFormat="1">
      <c r="A1552" t="s">
        <v>4916</v>
      </c>
      <c r="B1552" t="s">
        <v>4925</v>
      </c>
      <c r="C1552" t="s">
        <v>434</v>
      </c>
      <c r="D1552" t="s">
        <v>28</v>
      </c>
      <c r="E1552">
        <f>_xlfn.XLOOKUP(D1552,'Resumen Estudiantes y Profesore'!B:B,'Resumen Estudiantes y Profesore'!A:A)</f>
        <v>32</v>
      </c>
      <c r="F1552" t="s">
        <v>244</v>
      </c>
      <c r="G1552" t="s">
        <v>246</v>
      </c>
      <c r="H1552" t="s">
        <v>246</v>
      </c>
      <c r="I1552" t="s">
        <v>682</v>
      </c>
      <c r="J1552" t="s">
        <v>85</v>
      </c>
      <c r="K1552" s="120" t="s">
        <v>4926</v>
      </c>
      <c r="L1552"/>
      <c r="M1552"/>
      <c r="N1552" s="49"/>
      <c r="O1552"/>
      <c r="P1552"/>
      <c r="Q1552"/>
      <c r="R1552"/>
      <c r="S1552"/>
      <c r="T1552"/>
      <c r="U1552"/>
      <c r="V1552"/>
      <c r="W1552"/>
    </row>
    <row r="1553" spans="1:23">
      <c r="A1553" t="s">
        <v>4927</v>
      </c>
      <c r="B1553" t="s">
        <v>4928</v>
      </c>
      <c r="C1553" t="s">
        <v>419</v>
      </c>
      <c r="D1553" t="s">
        <v>233</v>
      </c>
      <c r="E1553">
        <f>_xlfn.XLOOKUP(D1553,'Resumen Estudiantes y Profesore'!B:B,'Resumen Estudiantes y Profesore'!A:A)</f>
        <v>152</v>
      </c>
      <c r="F1553" t="s">
        <v>244</v>
      </c>
      <c r="G1553" t="s">
        <v>246</v>
      </c>
      <c r="H1553" t="s">
        <v>246</v>
      </c>
      <c r="I1553" t="s">
        <v>682</v>
      </c>
      <c r="J1553" t="s">
        <v>77</v>
      </c>
      <c r="K1553" s="120" t="s">
        <v>4929</v>
      </c>
      <c r="N1553" s="49"/>
    </row>
    <row r="1554" spans="1:23">
      <c r="A1554" t="s">
        <v>4930</v>
      </c>
      <c r="B1554" t="s">
        <v>4931</v>
      </c>
      <c r="C1554" t="s">
        <v>499</v>
      </c>
      <c r="D1554" t="s">
        <v>103</v>
      </c>
      <c r="E1554">
        <f>_xlfn.XLOOKUP(D1554,'Resumen Estudiantes y Profesore'!B:B,'Resumen Estudiantes y Profesore'!A:A)</f>
        <v>58</v>
      </c>
      <c r="F1554" t="s">
        <v>244</v>
      </c>
      <c r="G1554" t="s">
        <v>246</v>
      </c>
      <c r="H1554" t="s">
        <v>246</v>
      </c>
      <c r="I1554" t="s">
        <v>674</v>
      </c>
      <c r="J1554" t="s">
        <v>85</v>
      </c>
      <c r="K1554" s="120" t="s">
        <v>4932</v>
      </c>
      <c r="N1554" s="49"/>
    </row>
    <row r="1555" spans="1:23">
      <c r="A1555" t="s">
        <v>4930</v>
      </c>
      <c r="B1555" t="s">
        <v>4933</v>
      </c>
      <c r="C1555" t="s">
        <v>540</v>
      </c>
      <c r="D1555" t="s">
        <v>106</v>
      </c>
      <c r="E1555">
        <f>_xlfn.XLOOKUP(D1555,'Resumen Estudiantes y Profesore'!B:B,'Resumen Estudiantes y Profesore'!A:A)</f>
        <v>59</v>
      </c>
      <c r="F1555" t="s">
        <v>244</v>
      </c>
      <c r="G1555" t="s">
        <v>246</v>
      </c>
      <c r="H1555" t="s">
        <v>246</v>
      </c>
      <c r="I1555" t="s">
        <v>674</v>
      </c>
      <c r="J1555" t="s">
        <v>85</v>
      </c>
      <c r="K1555" s="120" t="s">
        <v>4934</v>
      </c>
      <c r="N1555" s="49"/>
    </row>
    <row r="1556" spans="1:23">
      <c r="A1556" t="s">
        <v>4930</v>
      </c>
      <c r="B1556" t="s">
        <v>4935</v>
      </c>
      <c r="C1556" t="s">
        <v>482</v>
      </c>
      <c r="D1556" t="s">
        <v>217</v>
      </c>
      <c r="E1556">
        <f>_xlfn.XLOOKUP(D1556,'Resumen Estudiantes y Profesore'!B:B,'Resumen Estudiantes y Profesore'!A:A)</f>
        <v>84</v>
      </c>
      <c r="F1556" t="s">
        <v>244</v>
      </c>
      <c r="G1556" t="s">
        <v>246</v>
      </c>
      <c r="H1556" t="s">
        <v>246</v>
      </c>
      <c r="I1556" t="s">
        <v>674</v>
      </c>
      <c r="J1556" t="s">
        <v>85</v>
      </c>
      <c r="K1556" s="120" t="s">
        <v>4936</v>
      </c>
      <c r="N1556" s="49"/>
    </row>
    <row r="1557" spans="1:23">
      <c r="A1557" t="s">
        <v>3257</v>
      </c>
      <c r="B1557" t="s">
        <v>4937</v>
      </c>
      <c r="C1557" t="s">
        <v>475</v>
      </c>
      <c r="D1557" t="s">
        <v>205</v>
      </c>
      <c r="E1557">
        <f>_xlfn.XLOOKUP(D1557,'Resumen Estudiantes y Profesore'!B:B,'Resumen Estudiantes y Profesore'!A:A)</f>
        <v>80</v>
      </c>
      <c r="F1557" t="s">
        <v>244</v>
      </c>
      <c r="G1557" t="s">
        <v>247</v>
      </c>
      <c r="H1557" t="s">
        <v>247</v>
      </c>
      <c r="I1557" t="s">
        <v>674</v>
      </c>
      <c r="J1557" t="s">
        <v>91</v>
      </c>
      <c r="K1557" s="120" t="s">
        <v>4938</v>
      </c>
      <c r="N1557" s="49"/>
    </row>
    <row r="1558" spans="1:23" s="81" customFormat="1">
      <c r="A1558" t="s">
        <v>4939</v>
      </c>
      <c r="B1558" t="s">
        <v>4940</v>
      </c>
      <c r="C1558" t="s">
        <v>486</v>
      </c>
      <c r="D1558" t="s">
        <v>181</v>
      </c>
      <c r="E1558">
        <f>_xlfn.XLOOKUP(D1558,'Resumen Estudiantes y Profesore'!B:B,'Resumen Estudiantes y Profesore'!A:A)</f>
        <v>95</v>
      </c>
      <c r="F1558" t="s">
        <v>244</v>
      </c>
      <c r="G1558" t="s">
        <v>246</v>
      </c>
      <c r="H1558" t="s">
        <v>246</v>
      </c>
      <c r="I1558" t="s">
        <v>674</v>
      </c>
      <c r="J1558" t="s">
        <v>182</v>
      </c>
      <c r="K1558" s="120" t="s">
        <v>4941</v>
      </c>
      <c r="L1558"/>
      <c r="M1558"/>
      <c r="N1558" s="49"/>
      <c r="O1558"/>
      <c r="P1558"/>
      <c r="Q1558"/>
      <c r="R1558"/>
      <c r="S1558"/>
      <c r="T1558"/>
      <c r="U1558"/>
      <c r="V1558"/>
      <c r="W1558"/>
    </row>
    <row r="1559" spans="1:23">
      <c r="A1559" t="s">
        <v>4942</v>
      </c>
      <c r="B1559" t="s">
        <v>4943</v>
      </c>
      <c r="C1559" t="s">
        <v>95</v>
      </c>
      <c r="D1559" t="s">
        <v>251</v>
      </c>
      <c r="E1559">
        <f>_xlfn.XLOOKUP(D1559,'Resumen Estudiantes y Profesore'!B:B,'Resumen Estudiantes y Profesore'!A:A)</f>
        <v>211</v>
      </c>
      <c r="F1559" t="s">
        <v>244</v>
      </c>
      <c r="G1559" t="s">
        <v>246</v>
      </c>
      <c r="H1559" t="s">
        <v>246</v>
      </c>
      <c r="I1559" t="s">
        <v>682</v>
      </c>
      <c r="J1559" t="s">
        <v>95</v>
      </c>
      <c r="K1559" s="120" t="s">
        <v>4944</v>
      </c>
      <c r="N1559" s="49"/>
    </row>
    <row r="1560" spans="1:23" s="81" customFormat="1">
      <c r="A1560" t="s">
        <v>4945</v>
      </c>
      <c r="B1560" t="s">
        <v>4946</v>
      </c>
      <c r="C1560" t="s">
        <v>487</v>
      </c>
      <c r="D1560" t="s">
        <v>212</v>
      </c>
      <c r="E1560">
        <f>_xlfn.XLOOKUP(D1560,'Resumen Estudiantes y Profesore'!B:B,'Resumen Estudiantes y Profesore'!A:A)</f>
        <v>94</v>
      </c>
      <c r="F1560" t="s">
        <v>244</v>
      </c>
      <c r="G1560" t="s">
        <v>247</v>
      </c>
      <c r="H1560" t="s">
        <v>247</v>
      </c>
      <c r="I1560" t="s">
        <v>674</v>
      </c>
      <c r="J1560" t="s">
        <v>87</v>
      </c>
      <c r="K1560" s="120" t="s">
        <v>4947</v>
      </c>
      <c r="L1560"/>
      <c r="M1560"/>
      <c r="N1560" s="49"/>
      <c r="O1560"/>
      <c r="P1560"/>
      <c r="Q1560"/>
      <c r="R1560"/>
      <c r="S1560"/>
      <c r="T1560"/>
      <c r="U1560"/>
      <c r="V1560"/>
      <c r="W1560"/>
    </row>
    <row r="1561" spans="1:23">
      <c r="A1561" t="s">
        <v>4945</v>
      </c>
      <c r="B1561" t="s">
        <v>4948</v>
      </c>
      <c r="C1561" t="s">
        <v>436</v>
      </c>
      <c r="D1561" t="s">
        <v>29</v>
      </c>
      <c r="E1561">
        <f>_xlfn.XLOOKUP(D1561,'Resumen Estudiantes y Profesore'!B:B,'Resumen Estudiantes y Profesore'!A:A)</f>
        <v>33</v>
      </c>
      <c r="F1561" t="s">
        <v>244</v>
      </c>
      <c r="G1561" t="s">
        <v>246</v>
      </c>
      <c r="H1561" t="s">
        <v>246</v>
      </c>
      <c r="I1561" t="s">
        <v>682</v>
      </c>
      <c r="J1561" t="s">
        <v>87</v>
      </c>
      <c r="K1561" s="120" t="s">
        <v>4949</v>
      </c>
      <c r="N1561" s="49"/>
    </row>
    <row r="1562" spans="1:23">
      <c r="A1562" t="s">
        <v>4950</v>
      </c>
      <c r="B1562" t="s">
        <v>4951</v>
      </c>
      <c r="C1562" t="s">
        <v>95</v>
      </c>
      <c r="D1562" t="s">
        <v>251</v>
      </c>
      <c r="E1562">
        <f>_xlfn.XLOOKUP(D1562,'Resumen Estudiantes y Profesore'!B:B,'Resumen Estudiantes y Profesore'!A:A)</f>
        <v>211</v>
      </c>
      <c r="F1562" t="s">
        <v>244</v>
      </c>
      <c r="G1562" t="s">
        <v>246</v>
      </c>
      <c r="H1562" t="s">
        <v>246</v>
      </c>
      <c r="I1562" t="s">
        <v>682</v>
      </c>
      <c r="J1562" t="s">
        <v>95</v>
      </c>
      <c r="K1562" s="120" t="s">
        <v>4952</v>
      </c>
      <c r="N1562" s="49"/>
    </row>
    <row r="1563" spans="1:23">
      <c r="A1563" t="s">
        <v>4953</v>
      </c>
      <c r="B1563" t="s">
        <v>4954</v>
      </c>
      <c r="C1563" t="s">
        <v>455</v>
      </c>
      <c r="D1563" t="s">
        <v>184</v>
      </c>
      <c r="E1563">
        <f>_xlfn.XLOOKUP(D1563,'Resumen Estudiantes y Profesore'!B:B,'Resumen Estudiantes y Profesore'!A:A)</f>
        <v>52</v>
      </c>
      <c r="F1563" t="s">
        <v>244</v>
      </c>
      <c r="G1563" t="s">
        <v>246</v>
      </c>
      <c r="H1563" t="s">
        <v>246</v>
      </c>
      <c r="I1563" t="s">
        <v>674</v>
      </c>
      <c r="J1563" t="s">
        <v>83</v>
      </c>
      <c r="K1563" s="120" t="s">
        <v>4955</v>
      </c>
      <c r="N1563" s="49"/>
    </row>
    <row r="1564" spans="1:23">
      <c r="A1564" t="s">
        <v>4953</v>
      </c>
      <c r="B1564" t="s">
        <v>4956</v>
      </c>
      <c r="C1564" t="s">
        <v>424</v>
      </c>
      <c r="D1564" t="s">
        <v>24</v>
      </c>
      <c r="E1564">
        <f>_xlfn.XLOOKUP(D1564,'Resumen Estudiantes y Profesore'!B:B,'Resumen Estudiantes y Profesore'!A:A)</f>
        <v>27</v>
      </c>
      <c r="F1564" t="s">
        <v>244</v>
      </c>
      <c r="G1564" t="s">
        <v>246</v>
      </c>
      <c r="H1564" t="s">
        <v>246</v>
      </c>
      <c r="I1564" t="s">
        <v>682</v>
      </c>
      <c r="J1564" t="s">
        <v>83</v>
      </c>
      <c r="K1564" s="120" t="s">
        <v>4957</v>
      </c>
      <c r="N1564" s="49"/>
    </row>
    <row r="1565" spans="1:23">
      <c r="A1565" t="s">
        <v>4953</v>
      </c>
      <c r="B1565" t="s">
        <v>4958</v>
      </c>
      <c r="C1565" t="s">
        <v>428</v>
      </c>
      <c r="D1565" t="s">
        <v>25</v>
      </c>
      <c r="E1565">
        <f>_xlfn.XLOOKUP(D1565,'Resumen Estudiantes y Profesore'!B:B,'Resumen Estudiantes y Profesore'!A:A)</f>
        <v>28</v>
      </c>
      <c r="F1565" t="s">
        <v>244</v>
      </c>
      <c r="G1565" t="s">
        <v>246</v>
      </c>
      <c r="H1565" t="s">
        <v>246</v>
      </c>
      <c r="I1565" t="s">
        <v>682</v>
      </c>
      <c r="J1565" t="s">
        <v>83</v>
      </c>
      <c r="K1565" s="120" t="s">
        <v>4959</v>
      </c>
      <c r="N1565" s="49"/>
    </row>
    <row r="1566" spans="1:23">
      <c r="A1566" t="s">
        <v>4953</v>
      </c>
      <c r="B1566" t="s">
        <v>4960</v>
      </c>
      <c r="C1566" t="s">
        <v>426</v>
      </c>
      <c r="D1566" t="s">
        <v>23</v>
      </c>
      <c r="E1566">
        <f>_xlfn.XLOOKUP(D1566,'Resumen Estudiantes y Profesore'!B:B,'Resumen Estudiantes y Profesore'!A:A)</f>
        <v>26</v>
      </c>
      <c r="F1566" t="s">
        <v>244</v>
      </c>
      <c r="G1566" t="s">
        <v>246</v>
      </c>
      <c r="H1566" t="s">
        <v>246</v>
      </c>
      <c r="I1566" t="s">
        <v>682</v>
      </c>
      <c r="J1566" t="s">
        <v>83</v>
      </c>
      <c r="K1566" s="120" t="s">
        <v>4961</v>
      </c>
      <c r="N1566" s="49"/>
    </row>
    <row r="1567" spans="1:23">
      <c r="A1567" t="s">
        <v>4962</v>
      </c>
      <c r="B1567" t="s">
        <v>4963</v>
      </c>
      <c r="C1567" t="s">
        <v>506</v>
      </c>
      <c r="D1567" t="s">
        <v>154</v>
      </c>
      <c r="E1567">
        <f>_xlfn.XLOOKUP(D1567,'Resumen Estudiantes y Profesore'!B:B,'Resumen Estudiantes y Profesore'!A:A)</f>
        <v>105</v>
      </c>
      <c r="F1567" t="s">
        <v>244</v>
      </c>
      <c r="G1567" t="s">
        <v>246</v>
      </c>
      <c r="H1567" t="s">
        <v>246</v>
      </c>
      <c r="I1567" t="s">
        <v>674</v>
      </c>
      <c r="J1567" t="s">
        <v>87</v>
      </c>
      <c r="K1567" s="120" t="s">
        <v>4964</v>
      </c>
      <c r="N1567" s="49"/>
    </row>
    <row r="1568" spans="1:23">
      <c r="A1568" t="s">
        <v>4962</v>
      </c>
      <c r="B1568" t="s">
        <v>4965</v>
      </c>
      <c r="C1568" t="s">
        <v>437</v>
      </c>
      <c r="D1568" t="s">
        <v>30</v>
      </c>
      <c r="E1568">
        <f>_xlfn.XLOOKUP(D1568,'Resumen Estudiantes y Profesore'!B:B,'Resumen Estudiantes y Profesore'!A:A)</f>
        <v>34</v>
      </c>
      <c r="F1568" t="s">
        <v>244</v>
      </c>
      <c r="G1568" t="s">
        <v>246</v>
      </c>
      <c r="H1568" t="s">
        <v>246</v>
      </c>
      <c r="I1568" t="s">
        <v>682</v>
      </c>
      <c r="J1568" t="s">
        <v>87</v>
      </c>
      <c r="K1568" s="120" t="s">
        <v>4966</v>
      </c>
      <c r="N1568" s="49"/>
    </row>
    <row r="1569" spans="1:23">
      <c r="A1569" t="s">
        <v>4967</v>
      </c>
      <c r="B1569" t="s">
        <v>4968</v>
      </c>
      <c r="C1569" t="s">
        <v>437</v>
      </c>
      <c r="D1569" t="s">
        <v>30</v>
      </c>
      <c r="E1569">
        <f>_xlfn.XLOOKUP(D1569,'Resumen Estudiantes y Profesore'!B:B,'Resumen Estudiantes y Profesore'!A:A)</f>
        <v>34</v>
      </c>
      <c r="F1569" t="s">
        <v>244</v>
      </c>
      <c r="G1569" t="s">
        <v>246</v>
      </c>
      <c r="H1569" t="s">
        <v>246</v>
      </c>
      <c r="I1569" t="s">
        <v>682</v>
      </c>
      <c r="J1569" t="s">
        <v>87</v>
      </c>
      <c r="K1569" s="120" t="s">
        <v>4969</v>
      </c>
      <c r="N1569" s="49"/>
    </row>
    <row r="1570" spans="1:23">
      <c r="A1570" t="s">
        <v>4970</v>
      </c>
      <c r="B1570" t="s">
        <v>4971</v>
      </c>
      <c r="C1570" t="s">
        <v>471</v>
      </c>
      <c r="D1570" t="s">
        <v>196</v>
      </c>
      <c r="E1570">
        <f>_xlfn.XLOOKUP(D1570,'Resumen Estudiantes y Profesore'!B:B,'Resumen Estudiantes y Profesore'!A:A)</f>
        <v>76</v>
      </c>
      <c r="F1570" t="s">
        <v>244</v>
      </c>
      <c r="G1570" t="s">
        <v>247</v>
      </c>
      <c r="H1570" t="s">
        <v>247</v>
      </c>
      <c r="I1570" t="s">
        <v>674</v>
      </c>
      <c r="J1570" t="s">
        <v>90</v>
      </c>
      <c r="K1570" s="120" t="s">
        <v>4972</v>
      </c>
      <c r="N1570" s="49"/>
    </row>
    <row r="1571" spans="1:23" s="81" customFormat="1">
      <c r="A1571" t="s">
        <v>4973</v>
      </c>
      <c r="B1571" t="s">
        <v>4974</v>
      </c>
      <c r="C1571" t="s">
        <v>448</v>
      </c>
      <c r="D1571" t="s">
        <v>35</v>
      </c>
      <c r="E1571">
        <f>_xlfn.XLOOKUP(D1571,'Resumen Estudiantes y Profesore'!B:B,'Resumen Estudiantes y Profesore'!A:A)</f>
        <v>40</v>
      </c>
      <c r="F1571" t="s">
        <v>244</v>
      </c>
      <c r="G1571" t="s">
        <v>246</v>
      </c>
      <c r="H1571" t="s">
        <v>246</v>
      </c>
      <c r="I1571" t="s">
        <v>682</v>
      </c>
      <c r="J1571" t="s">
        <v>89</v>
      </c>
      <c r="K1571" s="120" t="s">
        <v>4975</v>
      </c>
      <c r="L1571"/>
      <c r="M1571"/>
      <c r="N1571" s="49"/>
      <c r="O1571"/>
      <c r="P1571"/>
      <c r="Q1571"/>
      <c r="R1571"/>
      <c r="S1571"/>
      <c r="T1571"/>
      <c r="U1571"/>
      <c r="V1571"/>
      <c r="W1571"/>
    </row>
    <row r="1572" spans="1:23" s="81" customFormat="1">
      <c r="A1572" t="s">
        <v>4976</v>
      </c>
      <c r="B1572" t="s">
        <v>4977</v>
      </c>
      <c r="C1572" t="s">
        <v>420</v>
      </c>
      <c r="D1572" t="s">
        <v>235</v>
      </c>
      <c r="E1572">
        <f>_xlfn.XLOOKUP(D1572,'Resumen Estudiantes y Profesore'!B:B,'Resumen Estudiantes y Profesore'!A:A)</f>
        <v>154</v>
      </c>
      <c r="F1572" t="s">
        <v>244</v>
      </c>
      <c r="G1572" t="s">
        <v>246</v>
      </c>
      <c r="H1572" t="s">
        <v>246</v>
      </c>
      <c r="I1572" t="s">
        <v>682</v>
      </c>
      <c r="J1572" t="s">
        <v>77</v>
      </c>
      <c r="K1572" s="120" t="s">
        <v>4978</v>
      </c>
      <c r="L1572"/>
      <c r="M1572"/>
      <c r="N1572" s="49"/>
      <c r="O1572"/>
      <c r="P1572"/>
      <c r="Q1572"/>
      <c r="R1572"/>
      <c r="S1572"/>
      <c r="T1572"/>
      <c r="U1572"/>
      <c r="V1572"/>
      <c r="W1572"/>
    </row>
    <row r="1573" spans="1:23" s="81" customFormat="1">
      <c r="A1573" t="s">
        <v>4979</v>
      </c>
      <c r="B1573" t="s">
        <v>4980</v>
      </c>
      <c r="C1573" t="s">
        <v>451</v>
      </c>
      <c r="D1573" t="s">
        <v>38</v>
      </c>
      <c r="E1573">
        <f>_xlfn.XLOOKUP(D1573,'Resumen Estudiantes y Profesore'!B:B,'Resumen Estudiantes y Profesore'!A:A)</f>
        <v>42</v>
      </c>
      <c r="F1573" t="s">
        <v>244</v>
      </c>
      <c r="G1573" t="s">
        <v>246</v>
      </c>
      <c r="H1573" t="s">
        <v>246</v>
      </c>
      <c r="I1573" t="s">
        <v>682</v>
      </c>
      <c r="J1573" t="s">
        <v>90</v>
      </c>
      <c r="K1573" s="120" t="s">
        <v>4981</v>
      </c>
      <c r="L1573"/>
      <c r="M1573"/>
      <c r="N1573" s="49"/>
      <c r="O1573"/>
      <c r="P1573"/>
      <c r="Q1573"/>
      <c r="R1573"/>
      <c r="S1573"/>
      <c r="T1573"/>
      <c r="U1573"/>
      <c r="V1573"/>
      <c r="W1573"/>
    </row>
    <row r="1574" spans="1:23" s="81" customFormat="1">
      <c r="A1574" t="s">
        <v>4982</v>
      </c>
      <c r="B1574" t="s">
        <v>4983</v>
      </c>
      <c r="C1574" t="s">
        <v>444</v>
      </c>
      <c r="D1574" t="s">
        <v>33</v>
      </c>
      <c r="E1574">
        <f>_xlfn.XLOOKUP(D1574,'Resumen Estudiantes y Profesore'!B:B,'Resumen Estudiantes y Profesore'!A:A)</f>
        <v>38</v>
      </c>
      <c r="F1574" t="s">
        <v>244</v>
      </c>
      <c r="G1574" t="s">
        <v>246</v>
      </c>
      <c r="H1574" t="s">
        <v>246</v>
      </c>
      <c r="I1574" t="s">
        <v>682</v>
      </c>
      <c r="J1574" t="s">
        <v>89</v>
      </c>
      <c r="K1574" s="120" t="s">
        <v>4984</v>
      </c>
      <c r="L1574"/>
      <c r="M1574"/>
      <c r="N1574" s="49"/>
      <c r="O1574"/>
      <c r="P1574"/>
      <c r="Q1574"/>
      <c r="R1574"/>
      <c r="S1574"/>
      <c r="T1574"/>
      <c r="U1574"/>
      <c r="V1574"/>
      <c r="W1574"/>
    </row>
    <row r="1575" spans="1:23">
      <c r="A1575" t="s">
        <v>4985</v>
      </c>
      <c r="B1575" t="s">
        <v>4986</v>
      </c>
      <c r="C1575" t="s">
        <v>469</v>
      </c>
      <c r="D1575" t="s">
        <v>179</v>
      </c>
      <c r="E1575">
        <f>_xlfn.XLOOKUP(D1575,'Resumen Estudiantes y Profesore'!B:B,'Resumen Estudiantes y Profesore'!A:A)</f>
        <v>73</v>
      </c>
      <c r="F1575" t="s">
        <v>244</v>
      </c>
      <c r="G1575" t="s">
        <v>246</v>
      </c>
      <c r="H1575" t="s">
        <v>246</v>
      </c>
      <c r="I1575" t="s">
        <v>674</v>
      </c>
      <c r="J1575" t="s">
        <v>89</v>
      </c>
      <c r="K1575" s="120" t="s">
        <v>4987</v>
      </c>
      <c r="N1575" s="49"/>
    </row>
    <row r="1576" spans="1:23" s="81" customFormat="1">
      <c r="A1576" t="s">
        <v>4985</v>
      </c>
      <c r="B1576" t="s">
        <v>4988</v>
      </c>
      <c r="C1576" t="s">
        <v>446</v>
      </c>
      <c r="D1576" t="s">
        <v>34</v>
      </c>
      <c r="E1576">
        <f>_xlfn.XLOOKUP(D1576,'Resumen Estudiantes y Profesore'!B:B,'Resumen Estudiantes y Profesore'!A:A)</f>
        <v>39</v>
      </c>
      <c r="F1576" t="s">
        <v>244</v>
      </c>
      <c r="G1576" t="s">
        <v>246</v>
      </c>
      <c r="H1576" t="s">
        <v>246</v>
      </c>
      <c r="I1576" t="s">
        <v>682</v>
      </c>
      <c r="J1576" t="s">
        <v>89</v>
      </c>
      <c r="K1576" s="120" t="s">
        <v>4989</v>
      </c>
      <c r="L1576"/>
      <c r="M1576"/>
      <c r="N1576" s="49"/>
      <c r="O1576"/>
      <c r="P1576"/>
      <c r="Q1576"/>
      <c r="R1576"/>
      <c r="S1576"/>
      <c r="T1576"/>
      <c r="U1576"/>
      <c r="V1576"/>
      <c r="W1576"/>
    </row>
    <row r="1577" spans="1:23" s="81" customFormat="1">
      <c r="A1577" t="s">
        <v>4990</v>
      </c>
      <c r="B1577" t="s">
        <v>4991</v>
      </c>
      <c r="C1577" t="s">
        <v>430</v>
      </c>
      <c r="D1577" t="s">
        <v>26</v>
      </c>
      <c r="E1577">
        <f>_xlfn.XLOOKUP(D1577,'Resumen Estudiantes y Profesore'!B:B,'Resumen Estudiantes y Profesore'!A:A)</f>
        <v>29</v>
      </c>
      <c r="F1577" t="s">
        <v>244</v>
      </c>
      <c r="G1577" t="s">
        <v>246</v>
      </c>
      <c r="H1577" t="s">
        <v>246</v>
      </c>
      <c r="I1577" t="s">
        <v>682</v>
      </c>
      <c r="J1577" t="s">
        <v>84</v>
      </c>
      <c r="K1577" s="120" t="s">
        <v>4992</v>
      </c>
      <c r="L1577"/>
      <c r="M1577"/>
      <c r="N1577" s="49"/>
      <c r="O1577"/>
      <c r="P1577"/>
      <c r="Q1577"/>
      <c r="R1577"/>
      <c r="S1577"/>
      <c r="T1577"/>
      <c r="U1577"/>
      <c r="V1577"/>
      <c r="W1577"/>
    </row>
    <row r="1578" spans="1:23" s="81" customFormat="1">
      <c r="A1578" t="s">
        <v>2704</v>
      </c>
      <c r="B1578" t="s">
        <v>4993</v>
      </c>
      <c r="C1578" t="s">
        <v>542</v>
      </c>
      <c r="D1578" t="s">
        <v>150</v>
      </c>
      <c r="E1578">
        <f>_xlfn.XLOOKUP(D1578,'Resumen Estudiantes y Profesore'!B:B,'Resumen Estudiantes y Profesore'!A:A)</f>
        <v>203</v>
      </c>
      <c r="F1578" t="s">
        <v>244</v>
      </c>
      <c r="G1578" t="s">
        <v>246</v>
      </c>
      <c r="H1578" t="s">
        <v>246</v>
      </c>
      <c r="I1578" t="s">
        <v>674</v>
      </c>
      <c r="J1578" t="s">
        <v>138</v>
      </c>
      <c r="K1578" s="120" t="s">
        <v>4994</v>
      </c>
      <c r="L1578"/>
      <c r="M1578"/>
      <c r="N1578" s="49"/>
      <c r="O1578"/>
      <c r="P1578"/>
      <c r="Q1578"/>
      <c r="R1578"/>
      <c r="S1578"/>
      <c r="T1578"/>
      <c r="U1578"/>
      <c r="V1578"/>
      <c r="W1578"/>
    </row>
    <row r="1579" spans="1:23" s="81" customFormat="1">
      <c r="A1579" t="s">
        <v>4995</v>
      </c>
      <c r="B1579" t="s">
        <v>4996</v>
      </c>
      <c r="C1579" t="s">
        <v>451</v>
      </c>
      <c r="D1579" t="s">
        <v>38</v>
      </c>
      <c r="E1579">
        <f>_xlfn.XLOOKUP(D1579,'Resumen Estudiantes y Profesore'!B:B,'Resumen Estudiantes y Profesore'!A:A)</f>
        <v>42</v>
      </c>
      <c r="F1579" t="s">
        <v>244</v>
      </c>
      <c r="G1579" t="s">
        <v>246</v>
      </c>
      <c r="H1579" t="s">
        <v>246</v>
      </c>
      <c r="I1579" t="s">
        <v>682</v>
      </c>
      <c r="J1579" t="s">
        <v>90</v>
      </c>
      <c r="K1579" s="120" t="s">
        <v>4997</v>
      </c>
      <c r="L1579"/>
      <c r="M1579"/>
      <c r="N1579" s="49"/>
      <c r="O1579"/>
      <c r="P1579"/>
      <c r="Q1579"/>
      <c r="R1579"/>
      <c r="S1579"/>
      <c r="T1579"/>
      <c r="U1579"/>
      <c r="V1579"/>
      <c r="W1579"/>
    </row>
    <row r="1580" spans="1:23">
      <c r="A1580" t="s">
        <v>4998</v>
      </c>
      <c r="B1580" t="s">
        <v>4999</v>
      </c>
      <c r="C1580" t="s">
        <v>466</v>
      </c>
      <c r="D1580" t="s">
        <v>213</v>
      </c>
      <c r="E1580">
        <f>_xlfn.XLOOKUP(D1580,'Resumen Estudiantes y Profesore'!B:B,'Resumen Estudiantes y Profesore'!A:A)</f>
        <v>68</v>
      </c>
      <c r="F1580" t="s">
        <v>244</v>
      </c>
      <c r="G1580" t="s">
        <v>246</v>
      </c>
      <c r="H1580" t="s">
        <v>246</v>
      </c>
      <c r="I1580" t="s">
        <v>674</v>
      </c>
      <c r="J1580" t="s">
        <v>88</v>
      </c>
      <c r="K1580" s="120" t="s">
        <v>5000</v>
      </c>
      <c r="N1580" s="49"/>
    </row>
    <row r="1581" spans="1:23">
      <c r="A1581" t="s">
        <v>5001</v>
      </c>
      <c r="B1581" t="s">
        <v>5002</v>
      </c>
      <c r="C1581" t="s">
        <v>532</v>
      </c>
      <c r="D1581" t="s">
        <v>194</v>
      </c>
      <c r="E1581">
        <f>_xlfn.XLOOKUP(D1581,'Resumen Estudiantes y Profesore'!B:B,'Resumen Estudiantes y Profesore'!A:A)</f>
        <v>79</v>
      </c>
      <c r="F1581" t="s">
        <v>244</v>
      </c>
      <c r="G1581" t="s">
        <v>247</v>
      </c>
      <c r="H1581" t="s">
        <v>247</v>
      </c>
      <c r="I1581" t="s">
        <v>674</v>
      </c>
      <c r="J1581" t="s">
        <v>90</v>
      </c>
      <c r="K1581" s="120" t="s">
        <v>5003</v>
      </c>
      <c r="N1581" s="49"/>
    </row>
    <row r="1582" spans="1:23">
      <c r="A1582" t="s">
        <v>5004</v>
      </c>
      <c r="B1582" t="s">
        <v>5005</v>
      </c>
      <c r="C1582" t="s">
        <v>491</v>
      </c>
      <c r="D1582" t="s">
        <v>114</v>
      </c>
      <c r="E1582">
        <f>_xlfn.XLOOKUP(D1582,'Resumen Estudiantes y Profesore'!B:B,'Resumen Estudiantes y Profesore'!A:A)</f>
        <v>5</v>
      </c>
      <c r="F1582" t="s">
        <v>244</v>
      </c>
      <c r="G1582" t="s">
        <v>247</v>
      </c>
      <c r="H1582" t="s">
        <v>247</v>
      </c>
      <c r="I1582" t="s">
        <v>674</v>
      </c>
      <c r="J1582" t="s">
        <v>90</v>
      </c>
      <c r="K1582" s="120" t="s">
        <v>5006</v>
      </c>
      <c r="N1582" s="49"/>
    </row>
    <row r="1583" spans="1:23">
      <c r="A1583" t="s">
        <v>5004</v>
      </c>
      <c r="B1583" t="s">
        <v>5007</v>
      </c>
      <c r="C1583" t="s">
        <v>451</v>
      </c>
      <c r="D1583" t="s">
        <v>38</v>
      </c>
      <c r="E1583">
        <f>_xlfn.XLOOKUP(D1583,'Resumen Estudiantes y Profesore'!B:B,'Resumen Estudiantes y Profesore'!A:A)</f>
        <v>42</v>
      </c>
      <c r="F1583" t="s">
        <v>244</v>
      </c>
      <c r="G1583" t="s">
        <v>246</v>
      </c>
      <c r="H1583" t="s">
        <v>246</v>
      </c>
      <c r="I1583" t="s">
        <v>682</v>
      </c>
      <c r="J1583" t="s">
        <v>90</v>
      </c>
      <c r="K1583" s="120" t="s">
        <v>5008</v>
      </c>
      <c r="N1583" s="49"/>
    </row>
    <row r="1584" spans="1:23">
      <c r="A1584" t="s">
        <v>5009</v>
      </c>
      <c r="B1584" t="s">
        <v>5010</v>
      </c>
      <c r="C1584" t="s">
        <v>469</v>
      </c>
      <c r="D1584" t="s">
        <v>179</v>
      </c>
      <c r="E1584">
        <f>_xlfn.XLOOKUP(D1584,'Resumen Estudiantes y Profesore'!B:B,'Resumen Estudiantes y Profesore'!A:A)</f>
        <v>73</v>
      </c>
      <c r="F1584" t="s">
        <v>244</v>
      </c>
      <c r="G1584" t="s">
        <v>246</v>
      </c>
      <c r="H1584" t="s">
        <v>246</v>
      </c>
      <c r="I1584" t="s">
        <v>674</v>
      </c>
      <c r="J1584" t="s">
        <v>89</v>
      </c>
      <c r="K1584" s="120" t="s">
        <v>5011</v>
      </c>
      <c r="N1584" s="49"/>
    </row>
    <row r="1585" spans="1:23">
      <c r="A1585" t="s">
        <v>5009</v>
      </c>
      <c r="B1585" t="s">
        <v>5012</v>
      </c>
      <c r="C1585" t="s">
        <v>534</v>
      </c>
      <c r="D1585" t="s">
        <v>36</v>
      </c>
      <c r="E1585">
        <f>_xlfn.XLOOKUP(D1585,'Resumen Estudiantes y Profesore'!B:B,'Resumen Estudiantes y Profesore'!A:A)</f>
        <v>37</v>
      </c>
      <c r="F1585" t="s">
        <v>244</v>
      </c>
      <c r="G1585" t="s">
        <v>246</v>
      </c>
      <c r="H1585" t="s">
        <v>246</v>
      </c>
      <c r="I1585" t="s">
        <v>682</v>
      </c>
      <c r="J1585" t="s">
        <v>89</v>
      </c>
      <c r="K1585" s="120" t="s">
        <v>5013</v>
      </c>
      <c r="N1585" s="49"/>
    </row>
    <row r="1586" spans="1:23" s="81" customFormat="1">
      <c r="A1586" t="s">
        <v>5014</v>
      </c>
      <c r="B1586" t="s">
        <v>5015</v>
      </c>
      <c r="C1586" t="s">
        <v>450</v>
      </c>
      <c r="D1586" t="s">
        <v>37</v>
      </c>
      <c r="E1586">
        <f>_xlfn.XLOOKUP(D1586,'Resumen Estudiantes y Profesore'!B:B,'Resumen Estudiantes y Profesore'!A:A)</f>
        <v>41</v>
      </c>
      <c r="F1586" t="s">
        <v>244</v>
      </c>
      <c r="G1586" t="s">
        <v>246</v>
      </c>
      <c r="H1586" t="s">
        <v>246</v>
      </c>
      <c r="I1586" t="s">
        <v>682</v>
      </c>
      <c r="J1586" t="s">
        <v>89</v>
      </c>
      <c r="K1586" s="120" t="s">
        <v>5016</v>
      </c>
      <c r="L1586"/>
      <c r="M1586"/>
      <c r="N1586" s="49"/>
      <c r="O1586"/>
      <c r="P1586"/>
      <c r="Q1586"/>
      <c r="R1586"/>
      <c r="S1586"/>
      <c r="T1586"/>
      <c r="U1586"/>
      <c r="V1586"/>
      <c r="W1586"/>
    </row>
    <row r="1587" spans="1:23">
      <c r="A1587" t="s">
        <v>5017</v>
      </c>
      <c r="B1587" t="s">
        <v>5018</v>
      </c>
      <c r="C1587" t="s">
        <v>451</v>
      </c>
      <c r="D1587" t="s">
        <v>38</v>
      </c>
      <c r="E1587">
        <f>_xlfn.XLOOKUP(D1587,'Resumen Estudiantes y Profesore'!B:B,'Resumen Estudiantes y Profesore'!A:A)</f>
        <v>42</v>
      </c>
      <c r="F1587" t="s">
        <v>244</v>
      </c>
      <c r="G1587" t="s">
        <v>246</v>
      </c>
      <c r="H1587" t="s">
        <v>246</v>
      </c>
      <c r="I1587" t="s">
        <v>682</v>
      </c>
      <c r="J1587" t="s">
        <v>90</v>
      </c>
      <c r="K1587" s="120" t="s">
        <v>5019</v>
      </c>
      <c r="N1587" s="49"/>
    </row>
    <row r="1588" spans="1:23">
      <c r="A1588" t="s">
        <v>5020</v>
      </c>
      <c r="B1588" t="s">
        <v>5021</v>
      </c>
      <c r="C1588" t="s">
        <v>468</v>
      </c>
      <c r="D1588" t="s">
        <v>178</v>
      </c>
      <c r="E1588">
        <f>_xlfn.XLOOKUP(D1588,'Resumen Estudiantes y Profesore'!B:B,'Resumen Estudiantes y Profesore'!A:A)</f>
        <v>75</v>
      </c>
      <c r="F1588" t="s">
        <v>244</v>
      </c>
      <c r="G1588" t="s">
        <v>246</v>
      </c>
      <c r="H1588" t="s">
        <v>246</v>
      </c>
      <c r="I1588" t="s">
        <v>674</v>
      </c>
      <c r="J1588" t="s">
        <v>89</v>
      </c>
      <c r="K1588" s="120" t="s">
        <v>5022</v>
      </c>
      <c r="N1588" s="49"/>
    </row>
    <row r="1589" spans="1:23">
      <c r="A1589" t="s">
        <v>5023</v>
      </c>
      <c r="B1589" t="s">
        <v>5024</v>
      </c>
      <c r="C1589" t="s">
        <v>444</v>
      </c>
      <c r="D1589" t="s">
        <v>33</v>
      </c>
      <c r="E1589">
        <f>_xlfn.XLOOKUP(D1589,'Resumen Estudiantes y Profesore'!B:B,'Resumen Estudiantes y Profesore'!A:A)</f>
        <v>38</v>
      </c>
      <c r="F1589" t="s">
        <v>244</v>
      </c>
      <c r="G1589" t="s">
        <v>246</v>
      </c>
      <c r="H1589" t="s">
        <v>246</v>
      </c>
      <c r="I1589" t="s">
        <v>682</v>
      </c>
      <c r="J1589" t="s">
        <v>89</v>
      </c>
      <c r="K1589" s="120" t="s">
        <v>5025</v>
      </c>
      <c r="N1589" s="49"/>
    </row>
    <row r="1590" spans="1:23">
      <c r="A1590" t="s">
        <v>5026</v>
      </c>
      <c r="B1590" t="s">
        <v>5027</v>
      </c>
      <c r="C1590" t="s">
        <v>491</v>
      </c>
      <c r="D1590" t="s">
        <v>114</v>
      </c>
      <c r="E1590">
        <f>_xlfn.XLOOKUP(D1590,'Resumen Estudiantes y Profesore'!B:B,'Resumen Estudiantes y Profesore'!A:A)</f>
        <v>5</v>
      </c>
      <c r="F1590" t="s">
        <v>244</v>
      </c>
      <c r="G1590" t="s">
        <v>246</v>
      </c>
      <c r="H1590" t="s">
        <v>246</v>
      </c>
      <c r="I1590" t="s">
        <v>674</v>
      </c>
      <c r="J1590" t="s">
        <v>90</v>
      </c>
      <c r="K1590" s="120" t="s">
        <v>5028</v>
      </c>
      <c r="N1590" s="49"/>
    </row>
    <row r="1591" spans="1:23">
      <c r="A1591" t="s">
        <v>5026</v>
      </c>
      <c r="B1591" t="s">
        <v>5029</v>
      </c>
      <c r="C1591" t="s">
        <v>451</v>
      </c>
      <c r="D1591" t="s">
        <v>38</v>
      </c>
      <c r="E1591">
        <f>_xlfn.XLOOKUP(D1591,'Resumen Estudiantes y Profesore'!B:B,'Resumen Estudiantes y Profesore'!A:A)</f>
        <v>42</v>
      </c>
      <c r="F1591" t="s">
        <v>244</v>
      </c>
      <c r="G1591" t="s">
        <v>246</v>
      </c>
      <c r="H1591" t="s">
        <v>246</v>
      </c>
      <c r="I1591" t="s">
        <v>682</v>
      </c>
      <c r="J1591" t="s">
        <v>90</v>
      </c>
      <c r="K1591" s="120" t="s">
        <v>5030</v>
      </c>
      <c r="N1591" s="49"/>
    </row>
    <row r="1592" spans="1:23">
      <c r="A1592" t="s">
        <v>5031</v>
      </c>
      <c r="B1592" t="s">
        <v>5032</v>
      </c>
      <c r="C1592" t="s">
        <v>93</v>
      </c>
      <c r="D1592" t="s">
        <v>93</v>
      </c>
      <c r="E1592">
        <f>_xlfn.XLOOKUP(D1592,'Resumen Estudiantes y Profesore'!B:B,'Resumen Estudiantes y Profesore'!A:A)</f>
        <v>210</v>
      </c>
      <c r="F1592" t="s">
        <v>244</v>
      </c>
      <c r="G1592" t="s">
        <v>246</v>
      </c>
      <c r="H1592" t="s">
        <v>246</v>
      </c>
      <c r="I1592" t="s">
        <v>682</v>
      </c>
      <c r="J1592" t="s">
        <v>93</v>
      </c>
      <c r="K1592" s="120" t="s">
        <v>5033</v>
      </c>
      <c r="N1592" s="49"/>
    </row>
    <row r="1593" spans="1:23">
      <c r="A1593" t="s">
        <v>5034</v>
      </c>
      <c r="B1593" t="s">
        <v>5035</v>
      </c>
      <c r="C1593" t="s">
        <v>496</v>
      </c>
      <c r="D1593" t="s">
        <v>126</v>
      </c>
      <c r="E1593">
        <f>_xlfn.XLOOKUP(D1593,'Resumen Estudiantes y Profesore'!B:B,'Resumen Estudiantes y Profesore'!A:A)</f>
        <v>14</v>
      </c>
      <c r="F1593" t="s">
        <v>244</v>
      </c>
      <c r="G1593" t="s">
        <v>246</v>
      </c>
      <c r="H1593" t="s">
        <v>246</v>
      </c>
      <c r="I1593" t="s">
        <v>674</v>
      </c>
      <c r="J1593" t="s">
        <v>90</v>
      </c>
      <c r="K1593" s="120" t="s">
        <v>5036</v>
      </c>
      <c r="N1593" s="49"/>
    </row>
    <row r="1594" spans="1:23" s="81" customFormat="1">
      <c r="A1594" t="s">
        <v>5034</v>
      </c>
      <c r="B1594" t="s">
        <v>5037</v>
      </c>
      <c r="C1594" t="s">
        <v>451</v>
      </c>
      <c r="D1594" t="s">
        <v>38</v>
      </c>
      <c r="E1594">
        <f>_xlfn.XLOOKUP(D1594,'Resumen Estudiantes y Profesore'!B:B,'Resumen Estudiantes y Profesore'!A:A)</f>
        <v>42</v>
      </c>
      <c r="F1594" t="s">
        <v>244</v>
      </c>
      <c r="G1594" t="s">
        <v>246</v>
      </c>
      <c r="H1594" t="s">
        <v>246</v>
      </c>
      <c r="I1594" t="s">
        <v>682</v>
      </c>
      <c r="J1594" t="s">
        <v>90</v>
      </c>
      <c r="K1594" s="120" t="s">
        <v>5038</v>
      </c>
      <c r="L1594"/>
      <c r="M1594"/>
      <c r="N1594" s="49"/>
      <c r="O1594"/>
      <c r="P1594"/>
      <c r="Q1594"/>
      <c r="R1594"/>
      <c r="S1594"/>
      <c r="T1594"/>
      <c r="U1594"/>
      <c r="V1594"/>
      <c r="W1594"/>
    </row>
    <row r="1595" spans="1:23">
      <c r="A1595" t="s">
        <v>5039</v>
      </c>
      <c r="B1595" t="s">
        <v>5040</v>
      </c>
      <c r="C1595" t="s">
        <v>444</v>
      </c>
      <c r="D1595" t="s">
        <v>33</v>
      </c>
      <c r="E1595">
        <f>_xlfn.XLOOKUP(D1595,'Resumen Estudiantes y Profesore'!B:B,'Resumen Estudiantes y Profesore'!A:A)</f>
        <v>38</v>
      </c>
      <c r="F1595" t="s">
        <v>244</v>
      </c>
      <c r="G1595" t="s">
        <v>246</v>
      </c>
      <c r="H1595" t="s">
        <v>246</v>
      </c>
      <c r="I1595" t="s">
        <v>682</v>
      </c>
      <c r="J1595" t="s">
        <v>89</v>
      </c>
      <c r="K1595" s="120" t="s">
        <v>5041</v>
      </c>
      <c r="N1595" s="49"/>
    </row>
    <row r="1596" spans="1:23">
      <c r="A1596" t="s">
        <v>5042</v>
      </c>
      <c r="B1596" t="s">
        <v>5043</v>
      </c>
      <c r="C1596" t="s">
        <v>93</v>
      </c>
      <c r="D1596" t="s">
        <v>93</v>
      </c>
      <c r="E1596">
        <f>_xlfn.XLOOKUP(D1596,'Resumen Estudiantes y Profesore'!B:B,'Resumen Estudiantes y Profesore'!A:A)</f>
        <v>210</v>
      </c>
      <c r="F1596" t="s">
        <v>244</v>
      </c>
      <c r="G1596" t="s">
        <v>247</v>
      </c>
      <c r="H1596" t="s">
        <v>247</v>
      </c>
      <c r="I1596" t="s">
        <v>682</v>
      </c>
      <c r="J1596" t="s">
        <v>93</v>
      </c>
      <c r="K1596" s="120" t="s">
        <v>5044</v>
      </c>
      <c r="N1596" s="49"/>
    </row>
    <row r="1597" spans="1:23">
      <c r="A1597" t="s">
        <v>5045</v>
      </c>
      <c r="B1597" t="s">
        <v>5046</v>
      </c>
      <c r="C1597" t="s">
        <v>418</v>
      </c>
      <c r="D1597" t="s">
        <v>232</v>
      </c>
      <c r="E1597">
        <f>_xlfn.XLOOKUP(D1597,'Resumen Estudiantes y Profesore'!B:B,'Resumen Estudiantes y Profesore'!A:A)</f>
        <v>151</v>
      </c>
      <c r="F1597" t="s">
        <v>244</v>
      </c>
      <c r="G1597" t="s">
        <v>246</v>
      </c>
      <c r="H1597" t="s">
        <v>246</v>
      </c>
      <c r="I1597" t="s">
        <v>682</v>
      </c>
      <c r="J1597" t="s">
        <v>77</v>
      </c>
      <c r="K1597" s="120" t="s">
        <v>5047</v>
      </c>
      <c r="N1597" s="49"/>
    </row>
    <row r="1598" spans="1:23">
      <c r="A1598" t="s">
        <v>5048</v>
      </c>
      <c r="B1598" t="s">
        <v>5049</v>
      </c>
      <c r="C1598" t="s">
        <v>436</v>
      </c>
      <c r="D1598" t="s">
        <v>29</v>
      </c>
      <c r="E1598">
        <f>_xlfn.XLOOKUP(D1598,'Resumen Estudiantes y Profesore'!B:B,'Resumen Estudiantes y Profesore'!A:A)</f>
        <v>33</v>
      </c>
      <c r="F1598" t="s">
        <v>244</v>
      </c>
      <c r="G1598" t="s">
        <v>246</v>
      </c>
      <c r="H1598" t="s">
        <v>246</v>
      </c>
      <c r="I1598" t="s">
        <v>682</v>
      </c>
      <c r="J1598" t="s">
        <v>87</v>
      </c>
      <c r="K1598" s="120" t="s">
        <v>5050</v>
      </c>
      <c r="N1598" s="49"/>
    </row>
    <row r="1599" spans="1:23">
      <c r="A1599" t="s">
        <v>5051</v>
      </c>
      <c r="B1599" t="s">
        <v>5052</v>
      </c>
      <c r="C1599" t="s">
        <v>426</v>
      </c>
      <c r="D1599" t="s">
        <v>23</v>
      </c>
      <c r="E1599">
        <f>_xlfn.XLOOKUP(D1599,'Resumen Estudiantes y Profesore'!B:B,'Resumen Estudiantes y Profesore'!A:A)</f>
        <v>26</v>
      </c>
      <c r="F1599" t="s">
        <v>244</v>
      </c>
      <c r="G1599" t="s">
        <v>246</v>
      </c>
      <c r="H1599" t="s">
        <v>246</v>
      </c>
      <c r="I1599" t="s">
        <v>682</v>
      </c>
      <c r="J1599" t="s">
        <v>83</v>
      </c>
      <c r="K1599" s="120" t="s">
        <v>5053</v>
      </c>
      <c r="N1599" s="49"/>
    </row>
    <row r="1600" spans="1:23">
      <c r="A1600" t="s">
        <v>5054</v>
      </c>
      <c r="B1600" t="s">
        <v>5055</v>
      </c>
      <c r="C1600" t="s">
        <v>234</v>
      </c>
      <c r="D1600" t="s">
        <v>234</v>
      </c>
      <c r="E1600">
        <f>_xlfn.XLOOKUP(D1600,'Resumen Estudiantes y Profesore'!B:B,'Resumen Estudiantes y Profesore'!A:A)</f>
        <v>153</v>
      </c>
      <c r="F1600" t="s">
        <v>244</v>
      </c>
      <c r="G1600" t="s">
        <v>246</v>
      </c>
      <c r="H1600" t="s">
        <v>246</v>
      </c>
      <c r="I1600" t="s">
        <v>682</v>
      </c>
      <c r="J1600" t="s">
        <v>77</v>
      </c>
      <c r="K1600" s="120" t="s">
        <v>5056</v>
      </c>
      <c r="N1600" s="49"/>
    </row>
    <row r="1601" spans="1:14">
      <c r="A1601" t="s">
        <v>5057</v>
      </c>
      <c r="B1601" t="s">
        <v>5058</v>
      </c>
      <c r="C1601" t="s">
        <v>484</v>
      </c>
      <c r="D1601" t="s">
        <v>217</v>
      </c>
      <c r="E1601">
        <f>_xlfn.XLOOKUP(D1601,'Resumen Estudiantes y Profesore'!B:B,'Resumen Estudiantes y Profesore'!A:A)</f>
        <v>84</v>
      </c>
      <c r="F1601" t="s">
        <v>244</v>
      </c>
      <c r="G1601" t="s">
        <v>246</v>
      </c>
      <c r="H1601" t="s">
        <v>246</v>
      </c>
      <c r="I1601" t="s">
        <v>674</v>
      </c>
      <c r="J1601" t="s">
        <v>85</v>
      </c>
      <c r="K1601" s="120" t="s">
        <v>5059</v>
      </c>
      <c r="L1601" s="100" t="s">
        <v>317</v>
      </c>
      <c r="M1601" s="81" t="s">
        <v>2633</v>
      </c>
      <c r="N1601" s="49"/>
    </row>
    <row r="1602" spans="1:14">
      <c r="A1602" t="s">
        <v>5057</v>
      </c>
      <c r="B1602" t="s">
        <v>5060</v>
      </c>
      <c r="C1602" t="s">
        <v>434</v>
      </c>
      <c r="D1602" t="s">
        <v>28</v>
      </c>
      <c r="E1602">
        <f>_xlfn.XLOOKUP(D1602,'Resumen Estudiantes y Profesore'!B:B,'Resumen Estudiantes y Profesore'!A:A)</f>
        <v>32</v>
      </c>
      <c r="F1602" t="s">
        <v>244</v>
      </c>
      <c r="G1602" t="s">
        <v>246</v>
      </c>
      <c r="H1602" t="s">
        <v>246</v>
      </c>
      <c r="I1602" t="s">
        <v>682</v>
      </c>
      <c r="J1602" t="s">
        <v>85</v>
      </c>
      <c r="K1602" s="120" t="s">
        <v>5061</v>
      </c>
      <c r="N1602" s="49"/>
    </row>
    <row r="1603" spans="1:14">
      <c r="A1603" t="s">
        <v>5062</v>
      </c>
      <c r="B1603" t="s">
        <v>5063</v>
      </c>
      <c r="C1603" t="s">
        <v>450</v>
      </c>
      <c r="D1603" t="s">
        <v>37</v>
      </c>
      <c r="E1603">
        <f>_xlfn.XLOOKUP(D1603,'Resumen Estudiantes y Profesore'!B:B,'Resumen Estudiantes y Profesore'!A:A)</f>
        <v>41</v>
      </c>
      <c r="F1603" t="s">
        <v>244</v>
      </c>
      <c r="G1603" t="s">
        <v>246</v>
      </c>
      <c r="H1603" t="s">
        <v>246</v>
      </c>
      <c r="I1603" t="s">
        <v>682</v>
      </c>
      <c r="J1603" t="s">
        <v>89</v>
      </c>
      <c r="K1603" s="120" t="s">
        <v>5064</v>
      </c>
      <c r="N1603" s="49"/>
    </row>
    <row r="1604" spans="1:14">
      <c r="A1604" t="s">
        <v>5065</v>
      </c>
      <c r="B1604" t="s">
        <v>5066</v>
      </c>
      <c r="C1604" t="s">
        <v>422</v>
      </c>
      <c r="D1604" t="s">
        <v>238</v>
      </c>
      <c r="E1604">
        <f>_xlfn.XLOOKUP(D1604,'Resumen Estudiantes y Profesore'!B:B,'Resumen Estudiantes y Profesore'!A:A)</f>
        <v>157</v>
      </c>
      <c r="F1604" t="s">
        <v>244</v>
      </c>
      <c r="G1604" t="s">
        <v>246</v>
      </c>
      <c r="H1604" t="s">
        <v>246</v>
      </c>
      <c r="I1604" t="s">
        <v>682</v>
      </c>
      <c r="J1604" t="s">
        <v>77</v>
      </c>
      <c r="K1604" s="120" t="s">
        <v>5067</v>
      </c>
      <c r="N1604" s="49"/>
    </row>
    <row r="1605" spans="1:14">
      <c r="A1605" t="s">
        <v>5068</v>
      </c>
      <c r="B1605" t="s">
        <v>5069</v>
      </c>
      <c r="C1605" t="s">
        <v>453</v>
      </c>
      <c r="D1605" t="s">
        <v>39</v>
      </c>
      <c r="E1605">
        <f>_xlfn.XLOOKUP(D1605,'Resumen Estudiantes y Profesore'!B:B,'Resumen Estudiantes y Profesore'!A:A)</f>
        <v>43</v>
      </c>
      <c r="F1605" t="s">
        <v>244</v>
      </c>
      <c r="G1605" t="s">
        <v>246</v>
      </c>
      <c r="H1605" t="s">
        <v>246</v>
      </c>
      <c r="I1605" t="s">
        <v>682</v>
      </c>
      <c r="J1605" t="s">
        <v>91</v>
      </c>
      <c r="K1605" s="120" t="s">
        <v>5070</v>
      </c>
      <c r="N1605" s="49"/>
    </row>
    <row r="1606" spans="1:14">
      <c r="A1606" t="s">
        <v>5071</v>
      </c>
      <c r="B1606" t="s">
        <v>5072</v>
      </c>
      <c r="C1606" t="s">
        <v>498</v>
      </c>
      <c r="D1606" t="s">
        <v>101</v>
      </c>
      <c r="E1606">
        <f>_xlfn.XLOOKUP(D1606,'Resumen Estudiantes y Profesore'!B:B,'Resumen Estudiantes y Profesore'!A:A)</f>
        <v>50</v>
      </c>
      <c r="F1606" t="s">
        <v>244</v>
      </c>
      <c r="G1606" t="s">
        <v>246</v>
      </c>
      <c r="H1606" t="s">
        <v>246</v>
      </c>
      <c r="I1606" t="s">
        <v>674</v>
      </c>
      <c r="J1606" t="s">
        <v>83</v>
      </c>
      <c r="K1606" s="120" t="s">
        <v>5073</v>
      </c>
      <c r="N1606" s="49"/>
    </row>
    <row r="1607" spans="1:14">
      <c r="A1607" t="s">
        <v>5074</v>
      </c>
      <c r="B1607" t="s">
        <v>5075</v>
      </c>
      <c r="C1607" t="s">
        <v>486</v>
      </c>
      <c r="D1607" t="s">
        <v>181</v>
      </c>
      <c r="E1607">
        <f>_xlfn.XLOOKUP(D1607,'Resumen Estudiantes y Profesore'!B:B,'Resumen Estudiantes y Profesore'!A:A)</f>
        <v>95</v>
      </c>
      <c r="F1607" t="s">
        <v>244</v>
      </c>
      <c r="G1607" t="s">
        <v>246</v>
      </c>
      <c r="H1607" t="s">
        <v>246</v>
      </c>
      <c r="I1607" t="s">
        <v>674</v>
      </c>
      <c r="J1607" t="s">
        <v>182</v>
      </c>
      <c r="K1607" s="120" t="s">
        <v>5076</v>
      </c>
      <c r="N1607" s="49"/>
    </row>
    <row r="1608" spans="1:14">
      <c r="A1608" t="s">
        <v>5077</v>
      </c>
      <c r="B1608" t="s">
        <v>5078</v>
      </c>
      <c r="C1608" t="s">
        <v>546</v>
      </c>
      <c r="D1608" t="s">
        <v>211</v>
      </c>
      <c r="E1608">
        <f>_xlfn.XLOOKUP(D1608,'Resumen Estudiantes y Profesore'!B:B,'Resumen Estudiantes y Profesore'!A:A)</f>
        <v>206</v>
      </c>
      <c r="F1608" t="s">
        <v>244</v>
      </c>
      <c r="G1608" t="s">
        <v>246</v>
      </c>
      <c r="H1608" t="s">
        <v>246</v>
      </c>
      <c r="I1608" t="s">
        <v>674</v>
      </c>
      <c r="J1608" t="s">
        <v>87</v>
      </c>
      <c r="K1608" s="120" t="s">
        <v>5079</v>
      </c>
      <c r="N1608" s="49"/>
    </row>
    <row r="1609" spans="1:14">
      <c r="A1609" t="s">
        <v>5080</v>
      </c>
      <c r="B1609" t="s">
        <v>5081</v>
      </c>
      <c r="C1609" t="s">
        <v>538</v>
      </c>
      <c r="D1609" t="s">
        <v>105</v>
      </c>
      <c r="E1609">
        <f>_xlfn.XLOOKUP(D1609,'Resumen Estudiantes y Profesore'!B:B,'Resumen Estudiantes y Profesore'!A:A)</f>
        <v>72</v>
      </c>
      <c r="F1609" t="s">
        <v>244</v>
      </c>
      <c r="G1609" t="s">
        <v>246</v>
      </c>
      <c r="H1609" t="s">
        <v>246</v>
      </c>
      <c r="I1609" t="s">
        <v>674</v>
      </c>
      <c r="J1609" t="s">
        <v>89</v>
      </c>
      <c r="K1609" s="120" t="s">
        <v>5082</v>
      </c>
      <c r="N1609" s="49"/>
    </row>
    <row r="1610" spans="1:14">
      <c r="A1610" t="s">
        <v>5080</v>
      </c>
      <c r="B1610" t="s">
        <v>5083</v>
      </c>
      <c r="C1610" t="s">
        <v>469</v>
      </c>
      <c r="D1610" t="s">
        <v>179</v>
      </c>
      <c r="E1610">
        <f>_xlfn.XLOOKUP(D1610,'Resumen Estudiantes y Profesore'!B:B,'Resumen Estudiantes y Profesore'!A:A)</f>
        <v>73</v>
      </c>
      <c r="F1610" t="s">
        <v>244</v>
      </c>
      <c r="G1610" t="s">
        <v>246</v>
      </c>
      <c r="H1610" t="s">
        <v>246</v>
      </c>
      <c r="I1610" t="s">
        <v>674</v>
      </c>
      <c r="J1610" t="s">
        <v>89</v>
      </c>
      <c r="K1610" s="120" t="s">
        <v>5084</v>
      </c>
      <c r="N1610" s="49"/>
    </row>
    <row r="1611" spans="1:14">
      <c r="A1611" t="s">
        <v>5085</v>
      </c>
      <c r="B1611" t="s">
        <v>5086</v>
      </c>
      <c r="C1611" t="s">
        <v>102</v>
      </c>
      <c r="D1611" t="s">
        <v>102</v>
      </c>
      <c r="E1611">
        <f>_xlfn.XLOOKUP(D1611,'Resumen Estudiantes y Profesore'!B:B,'Resumen Estudiantes y Profesore'!A:A)</f>
        <v>53</v>
      </c>
      <c r="F1611" t="s">
        <v>244</v>
      </c>
      <c r="G1611" t="s">
        <v>246</v>
      </c>
      <c r="H1611" t="s">
        <v>246</v>
      </c>
      <c r="I1611" t="s">
        <v>674</v>
      </c>
      <c r="J1611" t="s">
        <v>84</v>
      </c>
      <c r="K1611" s="120" t="s">
        <v>5087</v>
      </c>
      <c r="N1611" s="49"/>
    </row>
    <row r="1612" spans="1:14">
      <c r="A1612" t="s">
        <v>5085</v>
      </c>
      <c r="B1612" t="s">
        <v>5088</v>
      </c>
      <c r="C1612" t="s">
        <v>458</v>
      </c>
      <c r="D1612" t="s">
        <v>187</v>
      </c>
      <c r="E1612">
        <f>_xlfn.XLOOKUP(D1612,'Resumen Estudiantes y Profesore'!B:B,'Resumen Estudiantes y Profesore'!A:A)</f>
        <v>55</v>
      </c>
      <c r="F1612" t="s">
        <v>244</v>
      </c>
      <c r="G1612" t="s">
        <v>246</v>
      </c>
      <c r="H1612" t="s">
        <v>246</v>
      </c>
      <c r="I1612" t="s">
        <v>674</v>
      </c>
      <c r="J1612" t="s">
        <v>84</v>
      </c>
      <c r="K1612" s="120" t="s">
        <v>5089</v>
      </c>
      <c r="N1612" s="49"/>
    </row>
    <row r="1613" spans="1:14">
      <c r="A1613" t="s">
        <v>5085</v>
      </c>
      <c r="B1613" t="s">
        <v>5090</v>
      </c>
      <c r="C1613" t="s">
        <v>431</v>
      </c>
      <c r="D1613" t="s">
        <v>27</v>
      </c>
      <c r="E1613">
        <f>_xlfn.XLOOKUP(D1613,'Resumen Estudiantes y Profesore'!B:B,'Resumen Estudiantes y Profesore'!A:A)</f>
        <v>30</v>
      </c>
      <c r="F1613" t="s">
        <v>244</v>
      </c>
      <c r="G1613" t="s">
        <v>246</v>
      </c>
      <c r="H1613" t="s">
        <v>246</v>
      </c>
      <c r="I1613" t="s">
        <v>682</v>
      </c>
      <c r="J1613" t="s">
        <v>84</v>
      </c>
      <c r="K1613" s="120" t="s">
        <v>5091</v>
      </c>
      <c r="N1613" s="49"/>
    </row>
    <row r="1614" spans="1:14">
      <c r="A1614" t="s">
        <v>5092</v>
      </c>
      <c r="B1614" t="s">
        <v>5093</v>
      </c>
      <c r="C1614" t="s">
        <v>93</v>
      </c>
      <c r="D1614" t="s">
        <v>93</v>
      </c>
      <c r="E1614">
        <f>_xlfn.XLOOKUP(D1614,'Resumen Estudiantes y Profesore'!B:B,'Resumen Estudiantes y Profesore'!A:A)</f>
        <v>210</v>
      </c>
      <c r="F1614" t="s">
        <v>244</v>
      </c>
      <c r="G1614" t="s">
        <v>246</v>
      </c>
      <c r="H1614" t="s">
        <v>246</v>
      </c>
      <c r="I1614" t="s">
        <v>682</v>
      </c>
      <c r="J1614" t="s">
        <v>93</v>
      </c>
      <c r="K1614" s="120" t="s">
        <v>5094</v>
      </c>
      <c r="N1614" s="49"/>
    </row>
    <row r="1615" spans="1:14">
      <c r="A1615" t="s">
        <v>5095</v>
      </c>
      <c r="B1615" t="s">
        <v>5096</v>
      </c>
      <c r="C1615" t="s">
        <v>437</v>
      </c>
      <c r="D1615" t="s">
        <v>30</v>
      </c>
      <c r="E1615">
        <f>_xlfn.XLOOKUP(D1615,'Resumen Estudiantes y Profesore'!B:B,'Resumen Estudiantes y Profesore'!A:A)</f>
        <v>34</v>
      </c>
      <c r="F1615" t="s">
        <v>244</v>
      </c>
      <c r="G1615" t="s">
        <v>246</v>
      </c>
      <c r="H1615" t="s">
        <v>246</v>
      </c>
      <c r="I1615" t="s">
        <v>682</v>
      </c>
      <c r="J1615" t="s">
        <v>87</v>
      </c>
      <c r="K1615" s="120" t="s">
        <v>5097</v>
      </c>
      <c r="N1615" s="49"/>
    </row>
    <row r="1616" spans="1:14">
      <c r="A1616" t="s">
        <v>5095</v>
      </c>
      <c r="B1616" t="s">
        <v>5098</v>
      </c>
      <c r="C1616" t="s">
        <v>436</v>
      </c>
      <c r="D1616" t="s">
        <v>29</v>
      </c>
      <c r="E1616">
        <f>_xlfn.XLOOKUP(D1616,'Resumen Estudiantes y Profesore'!B:B,'Resumen Estudiantes y Profesore'!A:A)</f>
        <v>33</v>
      </c>
      <c r="F1616" t="s">
        <v>244</v>
      </c>
      <c r="G1616" t="s">
        <v>246</v>
      </c>
      <c r="H1616" t="s">
        <v>246</v>
      </c>
      <c r="I1616" t="s">
        <v>682</v>
      </c>
      <c r="J1616" t="s">
        <v>87</v>
      </c>
      <c r="K1616" s="120" t="s">
        <v>5099</v>
      </c>
      <c r="N1616" s="49"/>
    </row>
    <row r="1617" spans="1:23">
      <c r="A1617" t="s">
        <v>5100</v>
      </c>
      <c r="B1617" t="s">
        <v>5101</v>
      </c>
      <c r="C1617" t="s">
        <v>491</v>
      </c>
      <c r="D1617" t="s">
        <v>114</v>
      </c>
      <c r="E1617">
        <f>_xlfn.XLOOKUP(D1617,'Resumen Estudiantes y Profesore'!B:B,'Resumen Estudiantes y Profesore'!A:A)</f>
        <v>5</v>
      </c>
      <c r="F1617" t="s">
        <v>244</v>
      </c>
      <c r="G1617" t="s">
        <v>246</v>
      </c>
      <c r="H1617" t="s">
        <v>246</v>
      </c>
      <c r="I1617" t="s">
        <v>674</v>
      </c>
      <c r="J1617" t="s">
        <v>90</v>
      </c>
      <c r="K1617" s="120" t="s">
        <v>5102</v>
      </c>
      <c r="N1617" s="49"/>
    </row>
    <row r="1618" spans="1:23">
      <c r="A1618" t="s">
        <v>5100</v>
      </c>
      <c r="B1618" t="s">
        <v>5103</v>
      </c>
      <c r="C1618" t="s">
        <v>451</v>
      </c>
      <c r="D1618" t="s">
        <v>38</v>
      </c>
      <c r="E1618">
        <f>_xlfn.XLOOKUP(D1618,'Resumen Estudiantes y Profesore'!B:B,'Resumen Estudiantes y Profesore'!A:A)</f>
        <v>42</v>
      </c>
      <c r="F1618" t="s">
        <v>244</v>
      </c>
      <c r="G1618" t="s">
        <v>246</v>
      </c>
      <c r="H1618" t="s">
        <v>246</v>
      </c>
      <c r="I1618" t="s">
        <v>682</v>
      </c>
      <c r="J1618" t="s">
        <v>90</v>
      </c>
      <c r="K1618" s="120" t="s">
        <v>5104</v>
      </c>
      <c r="N1618" s="49"/>
    </row>
    <row r="1619" spans="1:23">
      <c r="A1619" t="s">
        <v>5105</v>
      </c>
      <c r="B1619" t="s">
        <v>5106</v>
      </c>
      <c r="C1619" t="s">
        <v>451</v>
      </c>
      <c r="D1619" t="s">
        <v>38</v>
      </c>
      <c r="E1619">
        <f>_xlfn.XLOOKUP(D1619,'Resumen Estudiantes y Profesore'!B:B,'Resumen Estudiantes y Profesore'!A:A)</f>
        <v>42</v>
      </c>
      <c r="F1619" t="s">
        <v>244</v>
      </c>
      <c r="G1619" t="s">
        <v>246</v>
      </c>
      <c r="H1619" t="s">
        <v>246</v>
      </c>
      <c r="I1619" t="s">
        <v>682</v>
      </c>
      <c r="J1619" t="s">
        <v>90</v>
      </c>
      <c r="K1619" s="120" t="s">
        <v>5107</v>
      </c>
      <c r="N1619" s="49"/>
    </row>
    <row r="1620" spans="1:23">
      <c r="A1620" t="s">
        <v>5108</v>
      </c>
      <c r="B1620" t="s">
        <v>5109</v>
      </c>
      <c r="C1620" t="s">
        <v>234</v>
      </c>
      <c r="D1620" t="s">
        <v>234</v>
      </c>
      <c r="E1620">
        <f>_xlfn.XLOOKUP(D1620,'Resumen Estudiantes y Profesore'!B:B,'Resumen Estudiantes y Profesore'!A:A)</f>
        <v>153</v>
      </c>
      <c r="F1620" t="s">
        <v>244</v>
      </c>
      <c r="G1620" t="s">
        <v>246</v>
      </c>
      <c r="H1620" t="s">
        <v>246</v>
      </c>
      <c r="I1620" t="s">
        <v>682</v>
      </c>
      <c r="J1620" t="s">
        <v>77</v>
      </c>
      <c r="K1620" s="120" t="s">
        <v>5110</v>
      </c>
      <c r="N1620" s="49"/>
    </row>
    <row r="1621" spans="1:23">
      <c r="A1621" t="s">
        <v>5111</v>
      </c>
      <c r="B1621" t="s">
        <v>5112</v>
      </c>
      <c r="C1621" t="s">
        <v>432</v>
      </c>
      <c r="D1621" t="s">
        <v>41</v>
      </c>
      <c r="E1621">
        <f>_xlfn.XLOOKUP(D1621,'Resumen Estudiantes y Profesore'!B:B,'Resumen Estudiantes y Profesore'!A:A)</f>
        <v>31</v>
      </c>
      <c r="F1621" t="s">
        <v>244</v>
      </c>
      <c r="G1621" t="s">
        <v>246</v>
      </c>
      <c r="H1621" t="s">
        <v>246</v>
      </c>
      <c r="I1621" t="s">
        <v>682</v>
      </c>
      <c r="J1621" t="s">
        <v>85</v>
      </c>
      <c r="K1621" s="120" t="s">
        <v>5113</v>
      </c>
      <c r="N1621" s="49"/>
    </row>
    <row r="1622" spans="1:23">
      <c r="A1622" t="s">
        <v>5111</v>
      </c>
      <c r="B1622" t="s">
        <v>5114</v>
      </c>
      <c r="C1622" t="s">
        <v>434</v>
      </c>
      <c r="D1622" t="s">
        <v>28</v>
      </c>
      <c r="E1622">
        <f>_xlfn.XLOOKUP(D1622,'Resumen Estudiantes y Profesore'!B:B,'Resumen Estudiantes y Profesore'!A:A)</f>
        <v>32</v>
      </c>
      <c r="F1622" t="s">
        <v>244</v>
      </c>
      <c r="G1622" t="s">
        <v>246</v>
      </c>
      <c r="H1622" t="s">
        <v>246</v>
      </c>
      <c r="I1622" t="s">
        <v>682</v>
      </c>
      <c r="J1622" t="s">
        <v>85</v>
      </c>
      <c r="K1622" s="120" t="s">
        <v>5115</v>
      </c>
      <c r="N1622" s="49"/>
    </row>
    <row r="1623" spans="1:23">
      <c r="A1623" t="s">
        <v>5116</v>
      </c>
      <c r="B1623" t="s">
        <v>5117</v>
      </c>
      <c r="C1623" t="s">
        <v>93</v>
      </c>
      <c r="D1623" t="s">
        <v>93</v>
      </c>
      <c r="E1623">
        <f>_xlfn.XLOOKUP(D1623,'Resumen Estudiantes y Profesore'!B:B,'Resumen Estudiantes y Profesore'!A:A)</f>
        <v>210</v>
      </c>
      <c r="F1623" t="s">
        <v>244</v>
      </c>
      <c r="G1623" t="s">
        <v>246</v>
      </c>
      <c r="H1623" t="s">
        <v>246</v>
      </c>
      <c r="I1623" t="s">
        <v>682</v>
      </c>
      <c r="J1623" t="s">
        <v>93</v>
      </c>
      <c r="K1623" s="120" t="s">
        <v>5118</v>
      </c>
      <c r="N1623" s="49"/>
    </row>
    <row r="1624" spans="1:23">
      <c r="A1624" t="s">
        <v>5119</v>
      </c>
      <c r="B1624" t="s">
        <v>5120</v>
      </c>
      <c r="C1624" t="s">
        <v>534</v>
      </c>
      <c r="D1624" t="s">
        <v>36</v>
      </c>
      <c r="E1624">
        <f>_xlfn.XLOOKUP(D1624,'Resumen Estudiantes y Profesore'!B:B,'Resumen Estudiantes y Profesore'!A:A)</f>
        <v>37</v>
      </c>
      <c r="F1624" t="s">
        <v>244</v>
      </c>
      <c r="G1624" t="s">
        <v>247</v>
      </c>
      <c r="H1624" t="s">
        <v>247</v>
      </c>
      <c r="I1624" t="s">
        <v>682</v>
      </c>
      <c r="J1624" t="s">
        <v>89</v>
      </c>
      <c r="K1624" s="120" t="s">
        <v>5121</v>
      </c>
      <c r="N1624" s="49"/>
    </row>
    <row r="1625" spans="1:23">
      <c r="A1625" t="s">
        <v>5119</v>
      </c>
      <c r="B1625" t="s">
        <v>5122</v>
      </c>
      <c r="C1625" t="s">
        <v>450</v>
      </c>
      <c r="D1625" t="s">
        <v>37</v>
      </c>
      <c r="E1625">
        <f>_xlfn.XLOOKUP(D1625,'Resumen Estudiantes y Profesore'!B:B,'Resumen Estudiantes y Profesore'!A:A)</f>
        <v>41</v>
      </c>
      <c r="F1625" t="s">
        <v>244</v>
      </c>
      <c r="G1625" t="s">
        <v>246</v>
      </c>
      <c r="H1625" t="s">
        <v>246</v>
      </c>
      <c r="I1625" t="s">
        <v>682</v>
      </c>
      <c r="J1625" t="s">
        <v>89</v>
      </c>
      <c r="K1625" s="120" t="s">
        <v>5123</v>
      </c>
      <c r="N1625" s="49"/>
    </row>
    <row r="1626" spans="1:23" s="81" customFormat="1">
      <c r="A1626" t="s">
        <v>5124</v>
      </c>
      <c r="B1626" t="s">
        <v>5125</v>
      </c>
      <c r="C1626" t="s">
        <v>469</v>
      </c>
      <c r="D1626" t="s">
        <v>179</v>
      </c>
      <c r="E1626">
        <f>_xlfn.XLOOKUP(D1626,'Resumen Estudiantes y Profesore'!B:B,'Resumen Estudiantes y Profesore'!A:A)</f>
        <v>73</v>
      </c>
      <c r="F1626" t="s">
        <v>244</v>
      </c>
      <c r="G1626" t="s">
        <v>246</v>
      </c>
      <c r="H1626" t="s">
        <v>246</v>
      </c>
      <c r="I1626" t="s">
        <v>674</v>
      </c>
      <c r="J1626" t="s">
        <v>89</v>
      </c>
      <c r="K1626" s="120" t="s">
        <v>5126</v>
      </c>
      <c r="L1626"/>
      <c r="M1626"/>
      <c r="N1626" s="49"/>
      <c r="O1626"/>
      <c r="P1626"/>
      <c r="Q1626"/>
      <c r="R1626"/>
      <c r="S1626"/>
      <c r="T1626"/>
      <c r="U1626"/>
      <c r="V1626"/>
      <c r="W1626"/>
    </row>
    <row r="1627" spans="1:23">
      <c r="A1627" t="s">
        <v>5124</v>
      </c>
      <c r="B1627" t="s">
        <v>5127</v>
      </c>
      <c r="C1627" t="s">
        <v>534</v>
      </c>
      <c r="D1627" t="s">
        <v>36</v>
      </c>
      <c r="E1627">
        <f>_xlfn.XLOOKUP(D1627,'Resumen Estudiantes y Profesore'!B:B,'Resumen Estudiantes y Profesore'!A:A)</f>
        <v>37</v>
      </c>
      <c r="F1627" t="s">
        <v>244</v>
      </c>
      <c r="G1627" t="s">
        <v>247</v>
      </c>
      <c r="H1627" t="s">
        <v>247</v>
      </c>
      <c r="I1627" t="s">
        <v>682</v>
      </c>
      <c r="J1627" t="s">
        <v>89</v>
      </c>
      <c r="K1627" s="120" t="s">
        <v>5128</v>
      </c>
      <c r="N1627" s="49"/>
    </row>
    <row r="1628" spans="1:23">
      <c r="A1628" t="s">
        <v>5124</v>
      </c>
      <c r="B1628" t="s">
        <v>5129</v>
      </c>
      <c r="C1628" t="s">
        <v>444</v>
      </c>
      <c r="D1628" t="s">
        <v>33</v>
      </c>
      <c r="E1628">
        <f>_xlfn.XLOOKUP(D1628,'Resumen Estudiantes y Profesore'!B:B,'Resumen Estudiantes y Profesore'!A:A)</f>
        <v>38</v>
      </c>
      <c r="F1628" t="s">
        <v>244</v>
      </c>
      <c r="G1628" t="s">
        <v>246</v>
      </c>
      <c r="H1628" t="s">
        <v>246</v>
      </c>
      <c r="I1628" t="s">
        <v>682</v>
      </c>
      <c r="J1628" t="s">
        <v>89</v>
      </c>
      <c r="K1628" s="120" t="s">
        <v>5130</v>
      </c>
      <c r="N1628" s="49"/>
    </row>
    <row r="1629" spans="1:23">
      <c r="A1629" t="s">
        <v>5131</v>
      </c>
      <c r="B1629" t="s">
        <v>5132</v>
      </c>
      <c r="C1629" t="s">
        <v>473</v>
      </c>
      <c r="D1629" t="s">
        <v>195</v>
      </c>
      <c r="E1629">
        <f>_xlfn.XLOOKUP(D1629,'Resumen Estudiantes y Profesore'!B:B,'Resumen Estudiantes y Profesore'!A:A)</f>
        <v>77</v>
      </c>
      <c r="F1629" t="s">
        <v>244</v>
      </c>
      <c r="G1629" t="s">
        <v>247</v>
      </c>
      <c r="H1629" t="s">
        <v>247</v>
      </c>
      <c r="I1629" t="s">
        <v>674</v>
      </c>
      <c r="J1629" t="s">
        <v>90</v>
      </c>
      <c r="K1629" s="120" t="s">
        <v>5133</v>
      </c>
      <c r="N1629" s="49"/>
    </row>
    <row r="1630" spans="1:23" s="81" customFormat="1">
      <c r="A1630" t="s">
        <v>5131</v>
      </c>
      <c r="B1630" t="s">
        <v>5134</v>
      </c>
      <c r="C1630" t="s">
        <v>451</v>
      </c>
      <c r="D1630" t="s">
        <v>38</v>
      </c>
      <c r="E1630">
        <f>_xlfn.XLOOKUP(D1630,'Resumen Estudiantes y Profesore'!B:B,'Resumen Estudiantes y Profesore'!A:A)</f>
        <v>42</v>
      </c>
      <c r="F1630" t="s">
        <v>244</v>
      </c>
      <c r="G1630" t="s">
        <v>246</v>
      </c>
      <c r="H1630" t="s">
        <v>246</v>
      </c>
      <c r="I1630" t="s">
        <v>682</v>
      </c>
      <c r="J1630" t="s">
        <v>90</v>
      </c>
      <c r="K1630" s="120" t="s">
        <v>5135</v>
      </c>
      <c r="L1630"/>
      <c r="M1630"/>
      <c r="N1630" s="49"/>
      <c r="O1630"/>
      <c r="P1630"/>
      <c r="Q1630"/>
      <c r="R1630"/>
      <c r="S1630"/>
      <c r="T1630"/>
      <c r="U1630"/>
      <c r="V1630"/>
      <c r="W1630"/>
    </row>
    <row r="1631" spans="1:23">
      <c r="A1631" t="s">
        <v>5136</v>
      </c>
      <c r="B1631" t="s">
        <v>5137</v>
      </c>
      <c r="C1631" t="s">
        <v>505</v>
      </c>
      <c r="D1631" t="s">
        <v>153</v>
      </c>
      <c r="E1631">
        <f>_xlfn.XLOOKUP(D1631,'Resumen Estudiantes y Profesore'!B:B,'Resumen Estudiantes y Profesore'!A:A)</f>
        <v>104</v>
      </c>
      <c r="F1631" t="s">
        <v>244</v>
      </c>
      <c r="G1631" t="s">
        <v>246</v>
      </c>
      <c r="H1631" t="s">
        <v>246</v>
      </c>
      <c r="I1631" t="s">
        <v>674</v>
      </c>
      <c r="J1631" t="s">
        <v>87</v>
      </c>
      <c r="K1631" s="120" t="s">
        <v>5138</v>
      </c>
      <c r="N1631" s="49"/>
    </row>
    <row r="1632" spans="1:23">
      <c r="A1632" t="s">
        <v>5136</v>
      </c>
      <c r="B1632" t="s">
        <v>5139</v>
      </c>
      <c r="C1632" t="s">
        <v>487</v>
      </c>
      <c r="D1632" t="s">
        <v>212</v>
      </c>
      <c r="E1632">
        <f>_xlfn.XLOOKUP(D1632,'Resumen Estudiantes y Profesore'!B:B,'Resumen Estudiantes y Profesore'!A:A)</f>
        <v>94</v>
      </c>
      <c r="F1632" t="s">
        <v>244</v>
      </c>
      <c r="G1632" t="s">
        <v>246</v>
      </c>
      <c r="H1632" t="s">
        <v>246</v>
      </c>
      <c r="I1632" t="s">
        <v>674</v>
      </c>
      <c r="J1632" t="s">
        <v>87</v>
      </c>
      <c r="K1632" s="120" t="s">
        <v>5140</v>
      </c>
      <c r="N1632" s="49"/>
    </row>
    <row r="1633" spans="1:23">
      <c r="A1633" t="s">
        <v>5136</v>
      </c>
      <c r="B1633" t="s">
        <v>5141</v>
      </c>
      <c r="C1633" t="s">
        <v>436</v>
      </c>
      <c r="D1633" t="s">
        <v>29</v>
      </c>
      <c r="E1633">
        <f>_xlfn.XLOOKUP(D1633,'Resumen Estudiantes y Profesore'!B:B,'Resumen Estudiantes y Profesore'!A:A)</f>
        <v>33</v>
      </c>
      <c r="F1633" t="s">
        <v>244</v>
      </c>
      <c r="G1633" t="s">
        <v>246</v>
      </c>
      <c r="H1633" t="s">
        <v>246</v>
      </c>
      <c r="I1633" t="s">
        <v>682</v>
      </c>
      <c r="J1633" t="s">
        <v>87</v>
      </c>
      <c r="K1633" s="120" t="s">
        <v>5142</v>
      </c>
      <c r="N1633" s="49"/>
    </row>
    <row r="1634" spans="1:23">
      <c r="A1634" t="s">
        <v>5143</v>
      </c>
      <c r="B1634" t="s">
        <v>5144</v>
      </c>
      <c r="C1634" t="s">
        <v>439</v>
      </c>
      <c r="D1634" t="s">
        <v>31</v>
      </c>
      <c r="E1634">
        <f>_xlfn.XLOOKUP(D1634,'Resumen Estudiantes y Profesore'!B:B,'Resumen Estudiantes y Profesore'!A:A)</f>
        <v>35</v>
      </c>
      <c r="F1634" t="s">
        <v>244</v>
      </c>
      <c r="G1634" t="s">
        <v>246</v>
      </c>
      <c r="H1634" t="s">
        <v>246</v>
      </c>
      <c r="I1634" t="s">
        <v>682</v>
      </c>
      <c r="J1634" t="s">
        <v>88</v>
      </c>
      <c r="K1634" s="120" t="s">
        <v>5145</v>
      </c>
      <c r="N1634" s="49"/>
    </row>
    <row r="1635" spans="1:23">
      <c r="A1635" t="s">
        <v>5146</v>
      </c>
      <c r="B1635" t="s">
        <v>5147</v>
      </c>
      <c r="C1635" t="s">
        <v>437</v>
      </c>
      <c r="D1635" t="s">
        <v>30</v>
      </c>
      <c r="E1635">
        <f>_xlfn.XLOOKUP(D1635,'Resumen Estudiantes y Profesore'!B:B,'Resumen Estudiantes y Profesore'!A:A)</f>
        <v>34</v>
      </c>
      <c r="F1635" t="s">
        <v>244</v>
      </c>
      <c r="G1635" t="s">
        <v>246</v>
      </c>
      <c r="H1635" t="s">
        <v>246</v>
      </c>
      <c r="I1635" t="s">
        <v>682</v>
      </c>
      <c r="J1635" t="s">
        <v>87</v>
      </c>
      <c r="K1635" s="120" t="s">
        <v>5148</v>
      </c>
      <c r="N1635" s="49"/>
    </row>
    <row r="1636" spans="1:23">
      <c r="A1636" t="s">
        <v>923</v>
      </c>
      <c r="B1636" s="49" t="s">
        <v>5149</v>
      </c>
      <c r="C1636" t="s">
        <v>204</v>
      </c>
      <c r="D1636" t="s">
        <v>204</v>
      </c>
      <c r="E1636">
        <f>_xlfn.XLOOKUP(D1636,'Resumen Estudiantes y Profesore'!B:B,'Resumen Estudiantes y Profesore'!A:A)</f>
        <v>81</v>
      </c>
      <c r="F1636" t="s">
        <v>243</v>
      </c>
      <c r="G1636" t="s">
        <v>246</v>
      </c>
      <c r="I1636" t="s">
        <v>674</v>
      </c>
      <c r="J1636" t="s">
        <v>91</v>
      </c>
      <c r="K1636" s="120" t="s">
        <v>5150</v>
      </c>
      <c r="N1636" s="49"/>
    </row>
    <row r="1637" spans="1:23">
      <c r="A1637" s="64" t="s">
        <v>1608</v>
      </c>
      <c r="D1637" t="s">
        <v>173</v>
      </c>
      <c r="E1637">
        <f>_xlfn.XLOOKUP(D1637,'Resumen Estudiantes y Profesore'!B:B,'Resumen Estudiantes y Profesore'!A:A)</f>
        <v>132</v>
      </c>
      <c r="F1637" t="s">
        <v>243</v>
      </c>
      <c r="G1637" t="s">
        <v>241</v>
      </c>
      <c r="I1637" t="s">
        <v>674</v>
      </c>
      <c r="J1637" t="s">
        <v>138</v>
      </c>
      <c r="N1637" s="49"/>
    </row>
    <row r="1638" spans="1:23">
      <c r="A1638" s="64" t="s">
        <v>1608</v>
      </c>
      <c r="D1638" t="s">
        <v>159</v>
      </c>
      <c r="E1638">
        <f>_xlfn.XLOOKUP(D1638,'Resumen Estudiantes y Profesore'!B:B,'Resumen Estudiantes y Profesore'!A:A)</f>
        <v>140</v>
      </c>
      <c r="F1638" t="s">
        <v>243</v>
      </c>
      <c r="G1638" t="s">
        <v>241</v>
      </c>
      <c r="I1638" t="s">
        <v>674</v>
      </c>
      <c r="J1638" t="s">
        <v>138</v>
      </c>
      <c r="N1638" s="49"/>
    </row>
    <row r="1639" spans="1:23">
      <c r="A1639" s="64" t="s">
        <v>3113</v>
      </c>
      <c r="D1639" t="s">
        <v>163</v>
      </c>
      <c r="E1639">
        <f>_xlfn.XLOOKUP(D1639,'Resumen Estudiantes y Profesore'!B:B,'Resumen Estudiantes y Profesore'!A:A)</f>
        <v>124</v>
      </c>
      <c r="F1639" t="s">
        <v>243</v>
      </c>
      <c r="G1639" t="s">
        <v>241</v>
      </c>
      <c r="I1639" t="s">
        <v>674</v>
      </c>
      <c r="J1639" t="s">
        <v>138</v>
      </c>
      <c r="N1639" s="49"/>
    </row>
    <row r="1640" spans="1:23">
      <c r="A1640" s="64" t="s">
        <v>3113</v>
      </c>
      <c r="D1640" t="s">
        <v>174</v>
      </c>
      <c r="E1640">
        <f>_xlfn.XLOOKUP(D1640,'Resumen Estudiantes y Profesore'!B:B,'Resumen Estudiantes y Profesore'!A:A)</f>
        <v>131</v>
      </c>
      <c r="F1640" t="s">
        <v>243</v>
      </c>
      <c r="G1640" t="s">
        <v>241</v>
      </c>
      <c r="I1640" t="s">
        <v>674</v>
      </c>
      <c r="J1640" t="s">
        <v>138</v>
      </c>
      <c r="N1640" s="49"/>
    </row>
    <row r="1641" spans="1:23">
      <c r="A1641" s="64" t="s">
        <v>3113</v>
      </c>
      <c r="D1641" t="s">
        <v>170</v>
      </c>
      <c r="E1641">
        <f>_xlfn.XLOOKUP(D1641,'Resumen Estudiantes y Profesore'!B:B,'Resumen Estudiantes y Profesore'!A:A)</f>
        <v>134</v>
      </c>
      <c r="F1641" t="s">
        <v>243</v>
      </c>
      <c r="G1641" t="s">
        <v>241</v>
      </c>
      <c r="I1641" t="s">
        <v>674</v>
      </c>
      <c r="J1641" t="s">
        <v>138</v>
      </c>
      <c r="N1641" s="49"/>
    </row>
    <row r="1642" spans="1:23">
      <c r="A1642" s="64" t="s">
        <v>3113</v>
      </c>
      <c r="D1642" t="s">
        <v>145</v>
      </c>
      <c r="E1642">
        <f>_xlfn.XLOOKUP(D1642,'Resumen Estudiantes y Profesore'!B:B,'Resumen Estudiantes y Profesore'!A:A)</f>
        <v>114</v>
      </c>
      <c r="F1642" t="s">
        <v>243</v>
      </c>
      <c r="G1642" t="s">
        <v>241</v>
      </c>
      <c r="I1642" t="s">
        <v>674</v>
      </c>
      <c r="J1642" t="s">
        <v>138</v>
      </c>
      <c r="N1642" s="49"/>
    </row>
    <row r="1643" spans="1:23">
      <c r="A1643" s="64" t="s">
        <v>3113</v>
      </c>
      <c r="D1643" t="s">
        <v>173</v>
      </c>
      <c r="E1643">
        <f>_xlfn.XLOOKUP(D1643,'Resumen Estudiantes y Profesore'!B:B,'Resumen Estudiantes y Profesore'!A:A)</f>
        <v>132</v>
      </c>
      <c r="F1643" t="s">
        <v>243</v>
      </c>
      <c r="G1643" t="s">
        <v>241</v>
      </c>
      <c r="I1643" t="s">
        <v>674</v>
      </c>
      <c r="J1643" t="s">
        <v>138</v>
      </c>
      <c r="N1643" s="49"/>
    </row>
    <row r="1644" spans="1:23">
      <c r="A1644" s="64" t="s">
        <v>3113</v>
      </c>
      <c r="D1644" t="s">
        <v>175</v>
      </c>
      <c r="E1644">
        <f>_xlfn.XLOOKUP(D1644,'Resumen Estudiantes y Profesore'!B:B,'Resumen Estudiantes y Profesore'!A:A)</f>
        <v>133</v>
      </c>
      <c r="F1644" t="s">
        <v>243</v>
      </c>
      <c r="G1644" t="s">
        <v>241</v>
      </c>
      <c r="I1644" t="s">
        <v>674</v>
      </c>
      <c r="J1644" t="s">
        <v>138</v>
      </c>
      <c r="N1644" s="49"/>
    </row>
    <row r="1645" spans="1:23">
      <c r="A1645" s="64" t="s">
        <v>3113</v>
      </c>
      <c r="D1645" t="s">
        <v>159</v>
      </c>
      <c r="E1645">
        <f>_xlfn.XLOOKUP(D1645,'Resumen Estudiantes y Profesore'!B:B,'Resumen Estudiantes y Profesore'!A:A)</f>
        <v>140</v>
      </c>
      <c r="F1645" t="s">
        <v>243</v>
      </c>
      <c r="G1645" t="s">
        <v>241</v>
      </c>
      <c r="I1645" t="s">
        <v>674</v>
      </c>
      <c r="J1645" t="s">
        <v>138</v>
      </c>
      <c r="N1645" s="49"/>
    </row>
    <row r="1646" spans="1:23" s="81" customFormat="1">
      <c r="A1646" s="64" t="s">
        <v>1599</v>
      </c>
      <c r="B1646"/>
      <c r="C1646"/>
      <c r="D1646" t="s">
        <v>163</v>
      </c>
      <c r="E1646">
        <f>_xlfn.XLOOKUP(D1646,'Resumen Estudiantes y Profesore'!B:B,'Resumen Estudiantes y Profesore'!A:A)</f>
        <v>124</v>
      </c>
      <c r="F1646" t="s">
        <v>243</v>
      </c>
      <c r="G1646" t="s">
        <v>241</v>
      </c>
      <c r="H1646"/>
      <c r="I1646" t="s">
        <v>674</v>
      </c>
      <c r="J1646" t="s">
        <v>138</v>
      </c>
      <c r="K1646"/>
      <c r="L1646"/>
      <c r="M1646"/>
      <c r="N1646" s="49"/>
      <c r="O1646"/>
      <c r="P1646"/>
      <c r="Q1646"/>
      <c r="R1646"/>
      <c r="S1646"/>
      <c r="T1646"/>
      <c r="U1646"/>
      <c r="V1646"/>
      <c r="W1646"/>
    </row>
    <row r="1647" spans="1:23">
      <c r="A1647" s="64" t="s">
        <v>1599</v>
      </c>
      <c r="D1647" t="s">
        <v>169</v>
      </c>
      <c r="E1647">
        <f>_xlfn.XLOOKUP(D1647,'Resumen Estudiantes y Profesore'!B:B,'Resumen Estudiantes y Profesore'!A:A)</f>
        <v>139</v>
      </c>
      <c r="F1647" t="s">
        <v>243</v>
      </c>
      <c r="G1647" t="s">
        <v>241</v>
      </c>
      <c r="I1647" t="s">
        <v>674</v>
      </c>
      <c r="J1647" t="s">
        <v>138</v>
      </c>
      <c r="N1647" s="49"/>
    </row>
    <row r="1648" spans="1:23">
      <c r="A1648" s="64" t="s">
        <v>1599</v>
      </c>
      <c r="D1648" t="s">
        <v>170</v>
      </c>
      <c r="E1648">
        <f>_xlfn.XLOOKUP(D1648,'Resumen Estudiantes y Profesore'!B:B,'Resumen Estudiantes y Profesore'!A:A)</f>
        <v>134</v>
      </c>
      <c r="F1648" t="s">
        <v>243</v>
      </c>
      <c r="G1648" t="s">
        <v>241</v>
      </c>
      <c r="I1648" t="s">
        <v>674</v>
      </c>
      <c r="J1648" t="s">
        <v>138</v>
      </c>
      <c r="N1648" s="49"/>
    </row>
    <row r="1649" spans="1:23">
      <c r="A1649" s="64" t="s">
        <v>1599</v>
      </c>
      <c r="D1649" t="s">
        <v>145</v>
      </c>
      <c r="E1649">
        <f>_xlfn.XLOOKUP(D1649,'Resumen Estudiantes y Profesore'!B:B,'Resumen Estudiantes y Profesore'!A:A)</f>
        <v>114</v>
      </c>
      <c r="F1649" t="s">
        <v>243</v>
      </c>
      <c r="G1649" t="s">
        <v>241</v>
      </c>
      <c r="I1649" t="s">
        <v>674</v>
      </c>
      <c r="J1649" t="s">
        <v>138</v>
      </c>
      <c r="N1649" s="49"/>
    </row>
    <row r="1650" spans="1:23">
      <c r="A1650" s="64" t="s">
        <v>1599</v>
      </c>
      <c r="D1650" t="s">
        <v>174</v>
      </c>
      <c r="E1650">
        <f>_xlfn.XLOOKUP(D1650,'Resumen Estudiantes y Profesore'!B:B,'Resumen Estudiantes y Profesore'!A:A)</f>
        <v>131</v>
      </c>
      <c r="F1650" t="s">
        <v>243</v>
      </c>
      <c r="G1650" t="s">
        <v>241</v>
      </c>
      <c r="I1650" t="s">
        <v>674</v>
      </c>
      <c r="J1650" t="s">
        <v>138</v>
      </c>
      <c r="N1650" s="49"/>
    </row>
    <row r="1651" spans="1:23">
      <c r="A1651" s="64" t="s">
        <v>1599</v>
      </c>
      <c r="D1651" t="s">
        <v>175</v>
      </c>
      <c r="E1651">
        <f>_xlfn.XLOOKUP(D1651,'Resumen Estudiantes y Profesore'!B:B,'Resumen Estudiantes y Profesore'!A:A)</f>
        <v>133</v>
      </c>
      <c r="F1651" t="s">
        <v>243</v>
      </c>
      <c r="G1651" t="s">
        <v>241</v>
      </c>
      <c r="I1651" t="s">
        <v>674</v>
      </c>
      <c r="J1651" t="s">
        <v>138</v>
      </c>
      <c r="N1651" s="49"/>
    </row>
    <row r="1652" spans="1:23">
      <c r="A1652" s="64" t="s">
        <v>1599</v>
      </c>
      <c r="D1652" t="s">
        <v>159</v>
      </c>
      <c r="E1652">
        <f>_xlfn.XLOOKUP(D1652,'Resumen Estudiantes y Profesore'!B:B,'Resumen Estudiantes y Profesore'!A:A)</f>
        <v>140</v>
      </c>
      <c r="F1652" t="s">
        <v>243</v>
      </c>
      <c r="G1652" t="s">
        <v>241</v>
      </c>
      <c r="I1652" t="s">
        <v>674</v>
      </c>
      <c r="J1652" t="s">
        <v>138</v>
      </c>
      <c r="N1652" s="49"/>
    </row>
    <row r="1653" spans="1:23" s="81" customFormat="1">
      <c r="A1653" s="64" t="s">
        <v>973</v>
      </c>
      <c r="B1653"/>
      <c r="C1653"/>
      <c r="D1653" t="s">
        <v>163</v>
      </c>
      <c r="E1653">
        <f>_xlfn.XLOOKUP(D1653,'Resumen Estudiantes y Profesore'!B:B,'Resumen Estudiantes y Profesore'!A:A)</f>
        <v>124</v>
      </c>
      <c r="F1653" t="s">
        <v>243</v>
      </c>
      <c r="G1653" t="s">
        <v>241</v>
      </c>
      <c r="H1653"/>
      <c r="I1653" t="s">
        <v>674</v>
      </c>
      <c r="J1653" t="s">
        <v>138</v>
      </c>
      <c r="K1653"/>
      <c r="L1653"/>
      <c r="M1653"/>
      <c r="N1653" s="49"/>
      <c r="O1653"/>
      <c r="P1653"/>
      <c r="Q1653"/>
      <c r="R1653"/>
      <c r="S1653"/>
      <c r="T1653"/>
      <c r="U1653"/>
      <c r="V1653"/>
      <c r="W1653"/>
    </row>
    <row r="1654" spans="1:23" s="81" customFormat="1">
      <c r="A1654" s="64" t="s">
        <v>973</v>
      </c>
      <c r="B1654"/>
      <c r="C1654"/>
      <c r="D1654" t="s">
        <v>169</v>
      </c>
      <c r="E1654">
        <f>_xlfn.XLOOKUP(D1654,'Resumen Estudiantes y Profesore'!B:B,'Resumen Estudiantes y Profesore'!A:A)</f>
        <v>139</v>
      </c>
      <c r="F1654" t="s">
        <v>243</v>
      </c>
      <c r="G1654" t="s">
        <v>241</v>
      </c>
      <c r="H1654"/>
      <c r="I1654" t="s">
        <v>674</v>
      </c>
      <c r="J1654" t="s">
        <v>138</v>
      </c>
      <c r="K1654"/>
      <c r="L1654"/>
      <c r="M1654"/>
      <c r="N1654" s="49"/>
      <c r="O1654"/>
      <c r="P1654"/>
      <c r="Q1654"/>
      <c r="R1654"/>
      <c r="S1654"/>
      <c r="T1654"/>
      <c r="U1654"/>
      <c r="V1654"/>
      <c r="W1654"/>
    </row>
    <row r="1655" spans="1:23">
      <c r="A1655" s="64" t="s">
        <v>973</v>
      </c>
      <c r="D1655" t="s">
        <v>174</v>
      </c>
      <c r="E1655">
        <f>_xlfn.XLOOKUP(D1655,'Resumen Estudiantes y Profesore'!B:B,'Resumen Estudiantes y Profesore'!A:A)</f>
        <v>131</v>
      </c>
      <c r="F1655" t="s">
        <v>243</v>
      </c>
      <c r="G1655" t="s">
        <v>241</v>
      </c>
      <c r="I1655" t="s">
        <v>674</v>
      </c>
      <c r="J1655" t="s">
        <v>138</v>
      </c>
      <c r="N1655" s="49"/>
    </row>
    <row r="1656" spans="1:23">
      <c r="A1656" s="64" t="s">
        <v>973</v>
      </c>
      <c r="D1656" t="s">
        <v>175</v>
      </c>
      <c r="E1656">
        <f>_xlfn.XLOOKUP(D1656,'Resumen Estudiantes y Profesore'!B:B,'Resumen Estudiantes y Profesore'!A:A)</f>
        <v>133</v>
      </c>
      <c r="F1656" t="s">
        <v>243</v>
      </c>
      <c r="G1656" t="s">
        <v>241</v>
      </c>
      <c r="I1656" t="s">
        <v>674</v>
      </c>
      <c r="J1656" t="s">
        <v>138</v>
      </c>
      <c r="N1656" s="49"/>
    </row>
    <row r="1657" spans="1:23" s="81" customFormat="1">
      <c r="A1657" s="64" t="s">
        <v>973</v>
      </c>
      <c r="B1657"/>
      <c r="C1657"/>
      <c r="D1657" t="s">
        <v>159</v>
      </c>
      <c r="E1657">
        <f>_xlfn.XLOOKUP(D1657,'Resumen Estudiantes y Profesore'!B:B,'Resumen Estudiantes y Profesore'!A:A)</f>
        <v>140</v>
      </c>
      <c r="F1657" t="s">
        <v>243</v>
      </c>
      <c r="G1657" t="s">
        <v>241</v>
      </c>
      <c r="H1657"/>
      <c r="I1657" t="s">
        <v>674</v>
      </c>
      <c r="J1657" t="s">
        <v>138</v>
      </c>
      <c r="K1657"/>
      <c r="L1657"/>
      <c r="M1657"/>
      <c r="N1657" s="49"/>
      <c r="O1657"/>
      <c r="P1657"/>
      <c r="Q1657"/>
      <c r="R1657"/>
      <c r="S1657"/>
      <c r="T1657"/>
      <c r="U1657"/>
      <c r="V1657"/>
      <c r="W1657"/>
    </row>
    <row r="1658" spans="1:23">
      <c r="A1658" s="64" t="s">
        <v>973</v>
      </c>
      <c r="D1658" t="s">
        <v>173</v>
      </c>
      <c r="E1658">
        <f>_xlfn.XLOOKUP(D1658,'Resumen Estudiantes y Profesore'!B:B,'Resumen Estudiantes y Profesore'!A:A)</f>
        <v>132</v>
      </c>
      <c r="F1658" t="s">
        <v>243</v>
      </c>
      <c r="G1658" t="s">
        <v>241</v>
      </c>
      <c r="I1658" t="s">
        <v>674</v>
      </c>
      <c r="J1658" t="s">
        <v>138</v>
      </c>
      <c r="N1658" s="49"/>
    </row>
    <row r="1659" spans="1:23">
      <c r="A1659" s="64" t="s">
        <v>3159</v>
      </c>
      <c r="D1659" t="s">
        <v>162</v>
      </c>
      <c r="E1659">
        <f>_xlfn.XLOOKUP(D1659,'Resumen Estudiantes y Profesore'!B:B,'Resumen Estudiantes y Profesore'!A:A)</f>
        <v>125</v>
      </c>
      <c r="F1659" t="s">
        <v>243</v>
      </c>
      <c r="G1659" t="s">
        <v>241</v>
      </c>
      <c r="I1659" t="s">
        <v>674</v>
      </c>
      <c r="J1659" t="s">
        <v>138</v>
      </c>
      <c r="N1659" s="49"/>
    </row>
    <row r="1660" spans="1:23">
      <c r="A1660" s="64" t="s">
        <v>2701</v>
      </c>
      <c r="D1660" t="s">
        <v>162</v>
      </c>
      <c r="E1660">
        <f>_xlfn.XLOOKUP(D1660,'Resumen Estudiantes y Profesore'!B:B,'Resumen Estudiantes y Profesore'!A:A)</f>
        <v>125</v>
      </c>
      <c r="F1660" t="s">
        <v>243</v>
      </c>
      <c r="G1660" t="s">
        <v>241</v>
      </c>
      <c r="I1660" t="s">
        <v>674</v>
      </c>
      <c r="J1660" t="s">
        <v>138</v>
      </c>
      <c r="N1660" s="49"/>
    </row>
    <row r="1661" spans="1:23">
      <c r="A1661" s="64" t="s">
        <v>4187</v>
      </c>
      <c r="D1661" t="s">
        <v>163</v>
      </c>
      <c r="E1661">
        <f>_xlfn.XLOOKUP(D1661,'Resumen Estudiantes y Profesore'!B:B,'Resumen Estudiantes y Profesore'!A:A)</f>
        <v>124</v>
      </c>
      <c r="F1661" t="s">
        <v>244</v>
      </c>
      <c r="G1661" t="s">
        <v>241</v>
      </c>
      <c r="I1661" t="s">
        <v>674</v>
      </c>
      <c r="J1661" t="s">
        <v>138</v>
      </c>
      <c r="N1661" s="49"/>
    </row>
    <row r="1662" spans="1:23" s="81" customFormat="1">
      <c r="A1662" s="64" t="s">
        <v>4187</v>
      </c>
      <c r="B1662"/>
      <c r="C1662"/>
      <c r="D1662" t="s">
        <v>169</v>
      </c>
      <c r="E1662">
        <f>_xlfn.XLOOKUP(D1662,'Resumen Estudiantes y Profesore'!B:B,'Resumen Estudiantes y Profesore'!A:A)</f>
        <v>139</v>
      </c>
      <c r="F1662" t="s">
        <v>244</v>
      </c>
      <c r="G1662" t="s">
        <v>241</v>
      </c>
      <c r="H1662"/>
      <c r="I1662" t="s">
        <v>674</v>
      </c>
      <c r="J1662" t="s">
        <v>138</v>
      </c>
      <c r="K1662"/>
      <c r="L1662"/>
      <c r="M1662"/>
      <c r="N1662" s="49"/>
      <c r="O1662"/>
      <c r="P1662"/>
      <c r="Q1662"/>
      <c r="R1662"/>
      <c r="S1662"/>
      <c r="T1662"/>
      <c r="U1662"/>
      <c r="V1662"/>
      <c r="W1662"/>
    </row>
    <row r="1663" spans="1:23">
      <c r="A1663" s="64" t="s">
        <v>4187</v>
      </c>
      <c r="D1663" t="s">
        <v>170</v>
      </c>
      <c r="E1663">
        <f>_xlfn.XLOOKUP(D1663,'Resumen Estudiantes y Profesore'!B:B,'Resumen Estudiantes y Profesore'!A:A)</f>
        <v>134</v>
      </c>
      <c r="F1663" t="s">
        <v>244</v>
      </c>
      <c r="G1663" t="s">
        <v>241</v>
      </c>
      <c r="I1663" t="s">
        <v>674</v>
      </c>
      <c r="J1663" t="s">
        <v>138</v>
      </c>
      <c r="N1663" s="49"/>
    </row>
    <row r="1664" spans="1:23">
      <c r="A1664" s="64" t="s">
        <v>4187</v>
      </c>
      <c r="D1664" t="s">
        <v>145</v>
      </c>
      <c r="E1664">
        <f>_xlfn.XLOOKUP(D1664,'Resumen Estudiantes y Profesore'!B:B,'Resumen Estudiantes y Profesore'!A:A)</f>
        <v>114</v>
      </c>
      <c r="F1664" t="s">
        <v>244</v>
      </c>
      <c r="G1664" t="s">
        <v>241</v>
      </c>
      <c r="I1664" t="s">
        <v>674</v>
      </c>
      <c r="J1664" t="s">
        <v>138</v>
      </c>
      <c r="N1664" s="49"/>
    </row>
    <row r="1665" spans="1:23">
      <c r="A1665" s="64" t="s">
        <v>4187</v>
      </c>
      <c r="D1665" t="s">
        <v>173</v>
      </c>
      <c r="E1665">
        <f>_xlfn.XLOOKUP(D1665,'Resumen Estudiantes y Profesore'!B:B,'Resumen Estudiantes y Profesore'!A:A)</f>
        <v>132</v>
      </c>
      <c r="F1665" t="s">
        <v>244</v>
      </c>
      <c r="G1665" t="s">
        <v>241</v>
      </c>
      <c r="I1665" t="s">
        <v>674</v>
      </c>
      <c r="J1665" t="s">
        <v>138</v>
      </c>
      <c r="N1665" s="49"/>
    </row>
    <row r="1666" spans="1:23">
      <c r="A1666" s="64" t="s">
        <v>4187</v>
      </c>
      <c r="D1666" t="s">
        <v>175</v>
      </c>
      <c r="E1666">
        <f>_xlfn.XLOOKUP(D1666,'Resumen Estudiantes y Profesore'!B:B,'Resumen Estudiantes y Profesore'!A:A)</f>
        <v>133</v>
      </c>
      <c r="F1666" t="s">
        <v>244</v>
      </c>
      <c r="G1666" t="s">
        <v>241</v>
      </c>
      <c r="I1666" t="s">
        <v>674</v>
      </c>
      <c r="J1666" t="s">
        <v>138</v>
      </c>
      <c r="N1666" s="49"/>
    </row>
    <row r="1667" spans="1:23">
      <c r="A1667" s="64" t="s">
        <v>4187</v>
      </c>
      <c r="D1667" t="s">
        <v>159</v>
      </c>
      <c r="E1667">
        <f>_xlfn.XLOOKUP(D1667,'Resumen Estudiantes y Profesore'!B:B,'Resumen Estudiantes y Profesore'!A:A)</f>
        <v>140</v>
      </c>
      <c r="F1667" t="s">
        <v>244</v>
      </c>
      <c r="G1667" t="s">
        <v>241</v>
      </c>
      <c r="I1667" t="s">
        <v>674</v>
      </c>
      <c r="J1667" t="s">
        <v>138</v>
      </c>
      <c r="N1667" s="49"/>
    </row>
    <row r="1668" spans="1:23">
      <c r="A1668" s="64" t="s">
        <v>4622</v>
      </c>
      <c r="D1668" t="s">
        <v>163</v>
      </c>
      <c r="E1668">
        <f>_xlfn.XLOOKUP(D1668,'Resumen Estudiantes y Profesore'!B:B,'Resumen Estudiantes y Profesore'!A:A)</f>
        <v>124</v>
      </c>
      <c r="F1668" t="s">
        <v>244</v>
      </c>
      <c r="G1668" t="s">
        <v>241</v>
      </c>
      <c r="I1668" t="s">
        <v>674</v>
      </c>
      <c r="J1668" t="s">
        <v>138</v>
      </c>
      <c r="N1668" s="49"/>
    </row>
    <row r="1669" spans="1:23">
      <c r="A1669" s="64" t="s">
        <v>4622</v>
      </c>
      <c r="D1669" t="s">
        <v>174</v>
      </c>
      <c r="E1669">
        <f>_xlfn.XLOOKUP(D1669,'Resumen Estudiantes y Profesore'!B:B,'Resumen Estudiantes y Profesore'!A:A)</f>
        <v>131</v>
      </c>
      <c r="F1669" t="s">
        <v>244</v>
      </c>
      <c r="G1669" t="s">
        <v>241</v>
      </c>
      <c r="I1669" t="s">
        <v>674</v>
      </c>
      <c r="J1669" t="s">
        <v>138</v>
      </c>
      <c r="N1669" s="49"/>
    </row>
    <row r="1670" spans="1:23" s="81" customFormat="1">
      <c r="A1670" s="64" t="s">
        <v>4622</v>
      </c>
      <c r="B1670"/>
      <c r="C1670"/>
      <c r="D1670" t="s">
        <v>170</v>
      </c>
      <c r="E1670">
        <f>_xlfn.XLOOKUP(D1670,'Resumen Estudiantes y Profesore'!B:B,'Resumen Estudiantes y Profesore'!A:A)</f>
        <v>134</v>
      </c>
      <c r="F1670" t="s">
        <v>244</v>
      </c>
      <c r="G1670" t="s">
        <v>241</v>
      </c>
      <c r="H1670"/>
      <c r="I1670" t="s">
        <v>674</v>
      </c>
      <c r="J1670" t="s">
        <v>138</v>
      </c>
      <c r="K1670"/>
      <c r="L1670"/>
      <c r="M1670"/>
      <c r="N1670" s="49"/>
      <c r="O1670"/>
      <c r="P1670"/>
      <c r="Q1670"/>
      <c r="R1670"/>
      <c r="S1670"/>
      <c r="T1670"/>
      <c r="U1670"/>
      <c r="V1670"/>
      <c r="W1670"/>
    </row>
    <row r="1671" spans="1:23">
      <c r="A1671" s="64" t="s">
        <v>4622</v>
      </c>
      <c r="D1671" t="s">
        <v>145</v>
      </c>
      <c r="E1671">
        <f>_xlfn.XLOOKUP(D1671,'Resumen Estudiantes y Profesore'!B:B,'Resumen Estudiantes y Profesore'!A:A)</f>
        <v>114</v>
      </c>
      <c r="F1671" t="s">
        <v>244</v>
      </c>
      <c r="G1671" t="s">
        <v>241</v>
      </c>
      <c r="I1671" t="s">
        <v>674</v>
      </c>
      <c r="J1671" t="s">
        <v>138</v>
      </c>
      <c r="N1671" s="49"/>
    </row>
    <row r="1672" spans="1:23">
      <c r="A1672" s="64" t="s">
        <v>4622</v>
      </c>
      <c r="D1672" t="s">
        <v>173</v>
      </c>
      <c r="E1672">
        <f>_xlfn.XLOOKUP(D1672,'Resumen Estudiantes y Profesore'!B:B,'Resumen Estudiantes y Profesore'!A:A)</f>
        <v>132</v>
      </c>
      <c r="F1672" t="s">
        <v>244</v>
      </c>
      <c r="G1672" t="s">
        <v>241</v>
      </c>
      <c r="I1672" t="s">
        <v>674</v>
      </c>
      <c r="J1672" t="s">
        <v>138</v>
      </c>
      <c r="N1672" s="49"/>
    </row>
    <row r="1673" spans="1:23">
      <c r="A1673" s="64" t="s">
        <v>4622</v>
      </c>
      <c r="D1673" t="s">
        <v>175</v>
      </c>
      <c r="E1673">
        <f>_xlfn.XLOOKUP(D1673,'Resumen Estudiantes y Profesore'!B:B,'Resumen Estudiantes y Profesore'!A:A)</f>
        <v>133</v>
      </c>
      <c r="F1673" t="s">
        <v>244</v>
      </c>
      <c r="G1673" t="s">
        <v>241</v>
      </c>
      <c r="I1673" t="s">
        <v>674</v>
      </c>
      <c r="J1673" t="s">
        <v>138</v>
      </c>
      <c r="N1673" s="49"/>
    </row>
    <row r="1674" spans="1:23">
      <c r="A1674" s="64" t="s">
        <v>4622</v>
      </c>
      <c r="D1674" t="s">
        <v>159</v>
      </c>
      <c r="E1674">
        <f>_xlfn.XLOOKUP(D1674,'Resumen Estudiantes y Profesore'!B:B,'Resumen Estudiantes y Profesore'!A:A)</f>
        <v>140</v>
      </c>
      <c r="F1674" t="s">
        <v>244</v>
      </c>
      <c r="G1674" t="s">
        <v>241</v>
      </c>
      <c r="I1674" t="s">
        <v>674</v>
      </c>
      <c r="J1674" t="s">
        <v>138</v>
      </c>
      <c r="N1674" s="49"/>
    </row>
    <row r="1675" spans="1:23">
      <c r="A1675" s="145" t="s">
        <v>2433</v>
      </c>
      <c r="D1675" t="s">
        <v>146</v>
      </c>
      <c r="E1675">
        <f>_xlfn.XLOOKUP(D1675,'Resumen Estudiantes y Profesore'!B:B,'Resumen Estudiantes y Profesore'!A:A)</f>
        <v>113</v>
      </c>
      <c r="F1675" t="s">
        <v>243</v>
      </c>
      <c r="G1675" t="s">
        <v>241</v>
      </c>
      <c r="H1675" t="s">
        <v>247</v>
      </c>
      <c r="I1675" t="s">
        <v>674</v>
      </c>
      <c r="J1675" t="s">
        <v>138</v>
      </c>
      <c r="K1675" s="120"/>
    </row>
    <row r="1676" spans="1:23">
      <c r="A1676" s="81" t="s">
        <v>4145</v>
      </c>
      <c r="B1676" s="81"/>
      <c r="D1676" s="81" t="s">
        <v>112</v>
      </c>
      <c r="F1676" s="81" t="s">
        <v>244</v>
      </c>
      <c r="G1676" s="81" t="s">
        <v>241</v>
      </c>
    </row>
    <row r="1677" spans="1:23">
      <c r="A1677" s="81" t="s">
        <v>2616</v>
      </c>
      <c r="B1677" s="81"/>
      <c r="D1677" s="81" t="s">
        <v>112</v>
      </c>
      <c r="F1677" s="81" t="s">
        <v>244</v>
      </c>
      <c r="G1677" s="81" t="s">
        <v>241</v>
      </c>
    </row>
    <row r="1678" spans="1:23">
      <c r="A1678" s="81" t="s">
        <v>4970</v>
      </c>
      <c r="B1678" s="81"/>
      <c r="D1678" s="81" t="s">
        <v>112</v>
      </c>
      <c r="F1678" s="81" t="s">
        <v>244</v>
      </c>
      <c r="G1678" s="81" t="s">
        <v>247</v>
      </c>
    </row>
    <row r="1679" spans="1:23">
      <c r="A1679" s="81"/>
      <c r="B1679" s="81" t="s">
        <v>5151</v>
      </c>
      <c r="C1679" s="81"/>
      <c r="D1679" s="81" t="s">
        <v>432</v>
      </c>
      <c r="E1679" s="81"/>
      <c r="F1679" s="81" t="s">
        <v>243</v>
      </c>
      <c r="G1679" s="81" t="s">
        <v>246</v>
      </c>
      <c r="H1679" s="81" t="s">
        <v>5152</v>
      </c>
    </row>
    <row r="1680" spans="1:23">
      <c r="A1680" s="81"/>
      <c r="B1680" s="81" t="s">
        <v>5153</v>
      </c>
      <c r="C1680" s="81"/>
      <c r="D1680" s="81" t="s">
        <v>168</v>
      </c>
      <c r="E1680" s="81"/>
      <c r="F1680" s="81" t="s">
        <v>243</v>
      </c>
      <c r="G1680" s="81" t="s">
        <v>246</v>
      </c>
      <c r="H1680" s="81" t="s">
        <v>5152</v>
      </c>
    </row>
    <row r="1681" spans="1:8">
      <c r="A1681" s="81"/>
      <c r="B1681" s="81" t="s">
        <v>5154</v>
      </c>
      <c r="C1681" s="81"/>
      <c r="D1681" s="81" t="s">
        <v>140</v>
      </c>
      <c r="E1681" s="81"/>
      <c r="F1681" s="81" t="s">
        <v>243</v>
      </c>
      <c r="G1681" s="81" t="s">
        <v>246</v>
      </c>
      <c r="H1681" s="81" t="s">
        <v>5152</v>
      </c>
    </row>
    <row r="1682" spans="1:8">
      <c r="A1682" s="81"/>
      <c r="B1682" s="81" t="s">
        <v>5155</v>
      </c>
      <c r="C1682" s="81"/>
      <c r="D1682" s="81" t="s">
        <v>143</v>
      </c>
      <c r="E1682" s="81"/>
      <c r="F1682" s="81" t="s">
        <v>243</v>
      </c>
      <c r="G1682" s="81" t="s">
        <v>246</v>
      </c>
      <c r="H1682" s="81" t="s">
        <v>5152</v>
      </c>
    </row>
    <row r="1683" spans="1:8">
      <c r="B1683" t="s">
        <v>5156</v>
      </c>
      <c r="D1683" t="s">
        <v>198</v>
      </c>
      <c r="F1683" t="s">
        <v>243</v>
      </c>
      <c r="G1683" t="s">
        <v>5157</v>
      </c>
    </row>
  </sheetData>
  <autoFilter ref="A1:W1686" xr:uid="{00000000-0001-0000-0900-000000000000}"/>
  <hyperlinks>
    <hyperlink ref="W425" r:id="rId1" xr:uid="{00000000-0004-0000-0900-000000000000}"/>
    <hyperlink ref="B695" r:id="rId2" xr:uid="{00000000-0004-0000-0900-000001000000}"/>
    <hyperlink ref="B1636" r:id="rId3" xr:uid="{00000000-0004-0000-0900-000002000000}"/>
    <hyperlink ref="K1636" r:id="rId4" xr:uid="{00000000-0004-0000-0900-000003000000}"/>
    <hyperlink ref="B598" r:id="rId5" xr:uid="{8F769104-2CB4-4248-8F81-9FBB8584D4BC}"/>
    <hyperlink ref="A1675" r:id="rId6" xr:uid="{B7404FFE-FCD3-4575-B875-9907A523CA50}"/>
    <hyperlink ref="A22" r:id="rId7" xr:uid="{C9175FD8-B680-48FD-B765-69592CBDC652}"/>
    <hyperlink ref="A700" r:id="rId8" xr:uid="{4E426AC3-AAEF-401E-B9BA-A0209CDC29AF}"/>
    <hyperlink ref="A676" r:id="rId9" xr:uid="{DA385B33-C6E0-4449-8975-133B52BDAE5A}"/>
    <hyperlink ref="A673" r:id="rId10" xr:uid="{18E9D9CA-7C78-4787-88BD-2DFFA3808249}"/>
  </hyperlinks>
  <pageMargins left="0.7" right="0.7" top="0.75" bottom="0.75" header="0.3" footer="0.3"/>
  <pageSetup paperSize="9" orientation="portrait" r:id="rId1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58"/>
  <sheetViews>
    <sheetView topLeftCell="A105" zoomScale="90" zoomScaleNormal="90" workbookViewId="0">
      <selection activeCell="A158" sqref="A158"/>
    </sheetView>
  </sheetViews>
  <sheetFormatPr defaultColWidth="9.140625" defaultRowHeight="15"/>
  <cols>
    <col min="1" max="2" width="50.140625" bestFit="1" customWidth="1"/>
    <col min="3" max="3" width="52.85546875" customWidth="1"/>
    <col min="4" max="4" width="11" bestFit="1" customWidth="1"/>
  </cols>
  <sheetData>
    <row r="1" spans="1:4">
      <c r="A1" s="6" t="s">
        <v>5158</v>
      </c>
      <c r="B1" s="6" t="s">
        <v>5159</v>
      </c>
      <c r="C1" s="6" t="s">
        <v>5160</v>
      </c>
      <c r="D1" s="6" t="s">
        <v>5161</v>
      </c>
    </row>
    <row r="2" spans="1:4">
      <c r="A2" t="s">
        <v>5162</v>
      </c>
      <c r="B2" t="s">
        <v>5163</v>
      </c>
      <c r="C2" s="75" t="s">
        <v>5164</v>
      </c>
      <c r="D2" t="s">
        <v>243</v>
      </c>
    </row>
    <row r="3" spans="1:4">
      <c r="A3" t="s">
        <v>5165</v>
      </c>
      <c r="B3" t="s">
        <v>92</v>
      </c>
      <c r="C3" t="s">
        <v>5166</v>
      </c>
      <c r="D3" t="s">
        <v>243</v>
      </c>
    </row>
    <row r="4" spans="1:4">
      <c r="A4" t="s">
        <v>5167</v>
      </c>
      <c r="B4" t="s">
        <v>24</v>
      </c>
      <c r="C4" t="s">
        <v>5168</v>
      </c>
      <c r="D4" t="s">
        <v>243</v>
      </c>
    </row>
    <row r="5" spans="1:4">
      <c r="A5" t="s">
        <v>5169</v>
      </c>
      <c r="B5" t="s">
        <v>24</v>
      </c>
      <c r="C5" t="s">
        <v>5170</v>
      </c>
      <c r="D5" t="s">
        <v>243</v>
      </c>
    </row>
    <row r="6" spans="1:4">
      <c r="A6" t="s">
        <v>5169</v>
      </c>
      <c r="B6" t="s">
        <v>23</v>
      </c>
      <c r="C6" t="s">
        <v>5170</v>
      </c>
      <c r="D6" t="s">
        <v>243</v>
      </c>
    </row>
    <row r="7" spans="1:4">
      <c r="A7" t="s">
        <v>5169</v>
      </c>
      <c r="B7" t="s">
        <v>25</v>
      </c>
      <c r="C7" t="s">
        <v>5170</v>
      </c>
      <c r="D7" t="s">
        <v>243</v>
      </c>
    </row>
    <row r="8" spans="1:4">
      <c r="A8" t="s">
        <v>5171</v>
      </c>
      <c r="B8" t="s">
        <v>5172</v>
      </c>
      <c r="C8" t="s">
        <v>5173</v>
      </c>
      <c r="D8" t="s">
        <v>243</v>
      </c>
    </row>
    <row r="9" spans="1:4">
      <c r="A9" t="s">
        <v>5174</v>
      </c>
      <c r="B9" t="s">
        <v>5172</v>
      </c>
      <c r="C9" t="s">
        <v>5175</v>
      </c>
      <c r="D9" t="s">
        <v>243</v>
      </c>
    </row>
    <row r="10" spans="1:4">
      <c r="A10" t="s">
        <v>5176</v>
      </c>
      <c r="B10" t="s">
        <v>5177</v>
      </c>
      <c r="C10" t="s">
        <v>5178</v>
      </c>
      <c r="D10" t="s">
        <v>243</v>
      </c>
    </row>
    <row r="11" spans="1:4">
      <c r="A11" t="s">
        <v>5179</v>
      </c>
      <c r="B11" t="s">
        <v>32</v>
      </c>
      <c r="C11" t="s">
        <v>5180</v>
      </c>
      <c r="D11" t="s">
        <v>243</v>
      </c>
    </row>
    <row r="12" spans="1:4">
      <c r="A12" t="s">
        <v>5181</v>
      </c>
      <c r="B12" t="s">
        <v>32</v>
      </c>
      <c r="C12" t="s">
        <v>5182</v>
      </c>
      <c r="D12" t="s">
        <v>243</v>
      </c>
    </row>
    <row r="13" spans="1:4">
      <c r="A13" t="s">
        <v>5183</v>
      </c>
      <c r="B13" t="s">
        <v>32</v>
      </c>
      <c r="C13" t="s">
        <v>5184</v>
      </c>
      <c r="D13" t="s">
        <v>243</v>
      </c>
    </row>
    <row r="14" spans="1:4">
      <c r="A14" t="s">
        <v>5185</v>
      </c>
      <c r="B14" t="s">
        <v>43</v>
      </c>
      <c r="C14" s="75" t="s">
        <v>5186</v>
      </c>
      <c r="D14" t="s">
        <v>243</v>
      </c>
    </row>
    <row r="15" spans="1:4">
      <c r="A15" t="s">
        <v>5187</v>
      </c>
      <c r="B15" t="s">
        <v>33</v>
      </c>
      <c r="C15" t="s">
        <v>5188</v>
      </c>
      <c r="D15" t="s">
        <v>243</v>
      </c>
    </row>
    <row r="16" spans="1:4">
      <c r="A16" t="s">
        <v>5189</v>
      </c>
      <c r="B16" t="s">
        <v>33</v>
      </c>
      <c r="C16" t="s">
        <v>5190</v>
      </c>
      <c r="D16" t="s">
        <v>243</v>
      </c>
    </row>
    <row r="17" spans="1:4">
      <c r="A17" t="s">
        <v>5191</v>
      </c>
      <c r="B17" t="s">
        <v>33</v>
      </c>
      <c r="C17" t="s">
        <v>5192</v>
      </c>
      <c r="D17" t="s">
        <v>243</v>
      </c>
    </row>
    <row r="18" spans="1:4">
      <c r="A18" t="s">
        <v>5193</v>
      </c>
      <c r="B18" t="s">
        <v>33</v>
      </c>
      <c r="C18" t="s">
        <v>5194</v>
      </c>
      <c r="D18" t="s">
        <v>243</v>
      </c>
    </row>
    <row r="19" spans="1:4">
      <c r="A19" t="s">
        <v>5195</v>
      </c>
      <c r="B19" t="s">
        <v>34</v>
      </c>
      <c r="C19" t="s">
        <v>2674</v>
      </c>
      <c r="D19" t="s">
        <v>243</v>
      </c>
    </row>
    <row r="20" spans="1:4">
      <c r="A20" t="s">
        <v>5196</v>
      </c>
      <c r="B20" t="s">
        <v>34</v>
      </c>
      <c r="C20" t="s">
        <v>5197</v>
      </c>
      <c r="D20" t="s">
        <v>243</v>
      </c>
    </row>
    <row r="21" spans="1:4">
      <c r="A21" t="s">
        <v>5198</v>
      </c>
      <c r="B21" t="s">
        <v>34</v>
      </c>
      <c r="C21" s="75" t="s">
        <v>5199</v>
      </c>
      <c r="D21" t="s">
        <v>243</v>
      </c>
    </row>
    <row r="22" spans="1:4">
      <c r="A22" t="s">
        <v>5200</v>
      </c>
      <c r="B22" t="s">
        <v>35</v>
      </c>
      <c r="C22" t="s">
        <v>5201</v>
      </c>
      <c r="D22" t="s">
        <v>243</v>
      </c>
    </row>
    <row r="23" spans="1:4">
      <c r="A23" t="s">
        <v>5202</v>
      </c>
      <c r="B23" t="s">
        <v>35</v>
      </c>
      <c r="C23" t="s">
        <v>5203</v>
      </c>
      <c r="D23" t="s">
        <v>243</v>
      </c>
    </row>
    <row r="24" spans="1:4">
      <c r="A24" t="s">
        <v>5204</v>
      </c>
      <c r="B24" t="s">
        <v>35</v>
      </c>
      <c r="C24" t="s">
        <v>5205</v>
      </c>
      <c r="D24" t="s">
        <v>243</v>
      </c>
    </row>
    <row r="25" spans="1:4">
      <c r="A25" t="s">
        <v>5206</v>
      </c>
      <c r="B25" t="s">
        <v>5207</v>
      </c>
      <c r="C25" t="s">
        <v>5208</v>
      </c>
      <c r="D25" t="s">
        <v>243</v>
      </c>
    </row>
    <row r="26" spans="1:4">
      <c r="A26" t="s">
        <v>5209</v>
      </c>
      <c r="B26" t="s">
        <v>5210</v>
      </c>
      <c r="C26" t="s">
        <v>5211</v>
      </c>
      <c r="D26" t="s">
        <v>243</v>
      </c>
    </row>
    <row r="27" spans="1:4">
      <c r="A27" t="s">
        <v>5212</v>
      </c>
      <c r="B27" t="s">
        <v>5213</v>
      </c>
      <c r="C27" t="s">
        <v>5214</v>
      </c>
      <c r="D27" t="s">
        <v>243</v>
      </c>
    </row>
    <row r="28" spans="1:4">
      <c r="A28" t="s">
        <v>5215</v>
      </c>
      <c r="B28" t="s">
        <v>41</v>
      </c>
      <c r="C28" t="s">
        <v>5216</v>
      </c>
      <c r="D28" t="s">
        <v>243</v>
      </c>
    </row>
    <row r="29" spans="1:4">
      <c r="A29" t="s">
        <v>5217</v>
      </c>
      <c r="B29" t="s">
        <v>39</v>
      </c>
      <c r="C29" t="s">
        <v>5218</v>
      </c>
      <c r="D29" t="s">
        <v>243</v>
      </c>
    </row>
    <row r="30" spans="1:4">
      <c r="A30" t="s">
        <v>5219</v>
      </c>
      <c r="B30" t="s">
        <v>5220</v>
      </c>
      <c r="C30" t="s">
        <v>5221</v>
      </c>
      <c r="D30" t="s">
        <v>243</v>
      </c>
    </row>
    <row r="31" spans="1:4">
      <c r="A31" t="s">
        <v>5222</v>
      </c>
      <c r="B31" t="s">
        <v>5220</v>
      </c>
      <c r="C31" t="s">
        <v>5223</v>
      </c>
      <c r="D31" t="s">
        <v>243</v>
      </c>
    </row>
    <row r="32" spans="1:4">
      <c r="A32" s="6" t="s">
        <v>5158</v>
      </c>
      <c r="B32" s="6" t="s">
        <v>5159</v>
      </c>
      <c r="C32" s="6" t="s">
        <v>5160</v>
      </c>
      <c r="D32" s="6" t="s">
        <v>5161</v>
      </c>
    </row>
    <row r="33" spans="1:4">
      <c r="A33" t="s">
        <v>5224</v>
      </c>
      <c r="B33" t="s">
        <v>40</v>
      </c>
      <c r="C33" t="s">
        <v>5225</v>
      </c>
      <c r="D33" t="s">
        <v>243</v>
      </c>
    </row>
    <row r="34" spans="1:4">
      <c r="A34" t="s">
        <v>5226</v>
      </c>
      <c r="B34" t="s">
        <v>5227</v>
      </c>
      <c r="C34" t="s">
        <v>1974</v>
      </c>
      <c r="D34" t="s">
        <v>243</v>
      </c>
    </row>
    <row r="35" spans="1:4">
      <c r="A35" t="s">
        <v>5226</v>
      </c>
      <c r="B35" t="s">
        <v>5227</v>
      </c>
      <c r="C35" t="s">
        <v>1974</v>
      </c>
      <c r="D35" t="s">
        <v>243</v>
      </c>
    </row>
    <row r="36" spans="1:4">
      <c r="A36" t="s">
        <v>5228</v>
      </c>
      <c r="B36" t="s">
        <v>23</v>
      </c>
      <c r="C36" t="s">
        <v>2413</v>
      </c>
      <c r="D36" t="s">
        <v>243</v>
      </c>
    </row>
    <row r="37" spans="1:4">
      <c r="A37" t="s">
        <v>5169</v>
      </c>
      <c r="B37" t="s">
        <v>23</v>
      </c>
      <c r="C37" t="s">
        <v>5170</v>
      </c>
      <c r="D37" t="s">
        <v>243</v>
      </c>
    </row>
    <row r="38" spans="1:4">
      <c r="A38" t="s">
        <v>5167</v>
      </c>
      <c r="B38" t="s">
        <v>23</v>
      </c>
      <c r="C38" t="s">
        <v>5168</v>
      </c>
      <c r="D38" t="s">
        <v>243</v>
      </c>
    </row>
    <row r="39" spans="1:4">
      <c r="A39" t="s">
        <v>5226</v>
      </c>
      <c r="B39" t="s">
        <v>25</v>
      </c>
      <c r="C39" t="s">
        <v>1974</v>
      </c>
      <c r="D39" t="s">
        <v>243</v>
      </c>
    </row>
    <row r="40" spans="1:4">
      <c r="A40" t="s">
        <v>5169</v>
      </c>
      <c r="B40" t="s">
        <v>5229</v>
      </c>
      <c r="C40" t="s">
        <v>5170</v>
      </c>
      <c r="D40" t="s">
        <v>243</v>
      </c>
    </row>
    <row r="41" spans="1:4">
      <c r="A41" t="s">
        <v>5230</v>
      </c>
      <c r="B41" t="s">
        <v>37</v>
      </c>
      <c r="C41" t="s">
        <v>5231</v>
      </c>
      <c r="D41" t="s">
        <v>243</v>
      </c>
    </row>
    <row r="42" spans="1:4">
      <c r="A42" t="s">
        <v>5232</v>
      </c>
      <c r="B42" t="s">
        <v>41</v>
      </c>
      <c r="C42" t="s">
        <v>5233</v>
      </c>
      <c r="D42" t="s">
        <v>243</v>
      </c>
    </row>
    <row r="43" spans="1:4">
      <c r="A43" s="6" t="s">
        <v>5158</v>
      </c>
      <c r="B43" s="6" t="s">
        <v>5159</v>
      </c>
      <c r="C43" s="6" t="s">
        <v>5160</v>
      </c>
      <c r="D43" s="6" t="s">
        <v>5161</v>
      </c>
    </row>
    <row r="44" spans="1:4">
      <c r="A44" t="s">
        <v>5234</v>
      </c>
      <c r="B44" t="s">
        <v>5229</v>
      </c>
      <c r="C44" t="s">
        <v>5235</v>
      </c>
      <c r="D44" t="s">
        <v>244</v>
      </c>
    </row>
    <row r="45" spans="1:4">
      <c r="A45" t="s">
        <v>5236</v>
      </c>
      <c r="B45" t="s">
        <v>5237</v>
      </c>
      <c r="C45" t="s">
        <v>5238</v>
      </c>
      <c r="D45" t="s">
        <v>244</v>
      </c>
    </row>
    <row r="46" spans="1:4">
      <c r="A46" t="s">
        <v>5239</v>
      </c>
      <c r="B46" t="s">
        <v>5237</v>
      </c>
      <c r="C46" t="s">
        <v>5240</v>
      </c>
      <c r="D46" t="s">
        <v>244</v>
      </c>
    </row>
    <row r="47" spans="1:4">
      <c r="A47" t="s">
        <v>5241</v>
      </c>
      <c r="B47" t="s">
        <v>5242</v>
      </c>
      <c r="C47" t="s">
        <v>4224</v>
      </c>
      <c r="D47" t="s">
        <v>244</v>
      </c>
    </row>
    <row r="48" spans="1:4">
      <c r="A48" t="s">
        <v>5243</v>
      </c>
      <c r="B48" t="s">
        <v>5244</v>
      </c>
      <c r="C48" t="s">
        <v>5245</v>
      </c>
      <c r="D48" t="s">
        <v>244</v>
      </c>
    </row>
    <row r="49" spans="1:4">
      <c r="A49" t="s">
        <v>5246</v>
      </c>
      <c r="B49" t="s">
        <v>5247</v>
      </c>
      <c r="C49" t="s">
        <v>4730</v>
      </c>
      <c r="D49" t="s">
        <v>244</v>
      </c>
    </row>
    <row r="50" spans="1:4">
      <c r="A50" t="s">
        <v>5248</v>
      </c>
      <c r="B50" t="s">
        <v>5249</v>
      </c>
      <c r="C50" t="s">
        <v>5009</v>
      </c>
      <c r="D50" t="s">
        <v>244</v>
      </c>
    </row>
    <row r="51" spans="1:4">
      <c r="A51" s="6" t="s">
        <v>5250</v>
      </c>
    </row>
    <row r="52" spans="1:4">
      <c r="A52" t="s">
        <v>5251</v>
      </c>
      <c r="B52" t="s">
        <v>5252</v>
      </c>
      <c r="C52" t="s">
        <v>5023</v>
      </c>
    </row>
    <row r="53" spans="1:4">
      <c r="A53" t="s">
        <v>5253</v>
      </c>
      <c r="B53" t="s">
        <v>5254</v>
      </c>
      <c r="C53" s="49" t="s">
        <v>5255</v>
      </c>
    </row>
    <row r="54" spans="1:4">
      <c r="A54" s="6" t="s">
        <v>5256</v>
      </c>
    </row>
    <row r="55" spans="1:4">
      <c r="A55" t="s">
        <v>5257</v>
      </c>
      <c r="B55" t="s">
        <v>5258</v>
      </c>
      <c r="C55" t="s">
        <v>5259</v>
      </c>
    </row>
    <row r="56" spans="1:4">
      <c r="A56" t="s">
        <v>5260</v>
      </c>
      <c r="B56" t="s">
        <v>5261</v>
      </c>
      <c r="C56" t="s">
        <v>5262</v>
      </c>
    </row>
    <row r="57" spans="1:4">
      <c r="A57" t="s">
        <v>5263</v>
      </c>
      <c r="B57" t="s">
        <v>5264</v>
      </c>
      <c r="C57" t="s">
        <v>5265</v>
      </c>
    </row>
    <row r="58" spans="1:4">
      <c r="A58" t="s">
        <v>5266</v>
      </c>
      <c r="B58" t="s">
        <v>5267</v>
      </c>
      <c r="C58" t="s">
        <v>5268</v>
      </c>
    </row>
    <row r="59" spans="1:4">
      <c r="A59" t="s">
        <v>5269</v>
      </c>
      <c r="B59" t="s">
        <v>5270</v>
      </c>
      <c r="C59" t="s">
        <v>5271</v>
      </c>
    </row>
    <row r="60" spans="1:4">
      <c r="A60" t="s">
        <v>5272</v>
      </c>
      <c r="B60" t="s">
        <v>5273</v>
      </c>
      <c r="C60" t="s">
        <v>5274</v>
      </c>
    </row>
    <row r="61" spans="1:4">
      <c r="A61" t="s">
        <v>5275</v>
      </c>
      <c r="B61" t="s">
        <v>5273</v>
      </c>
      <c r="C61" t="s">
        <v>5276</v>
      </c>
    </row>
    <row r="62" spans="1:4">
      <c r="A62" t="s">
        <v>5277</v>
      </c>
      <c r="B62" t="s">
        <v>5278</v>
      </c>
      <c r="C62" t="s">
        <v>5279</v>
      </c>
    </row>
    <row r="64" spans="1:4" ht="21">
      <c r="A64" s="83" t="s">
        <v>5280</v>
      </c>
    </row>
    <row r="66" spans="1:4">
      <c r="A66" s="82" t="s">
        <v>5281</v>
      </c>
      <c r="B66" s="81"/>
      <c r="C66" s="81"/>
      <c r="D66" s="81"/>
    </row>
    <row r="67" spans="1:4">
      <c r="A67" s="81" t="s">
        <v>5243</v>
      </c>
      <c r="B67" s="81" t="s">
        <v>5245</v>
      </c>
      <c r="C67" s="81" t="s">
        <v>244</v>
      </c>
      <c r="D67" s="81" t="s">
        <v>5244</v>
      </c>
    </row>
    <row r="68" spans="1:4">
      <c r="A68" s="81" t="s">
        <v>5282</v>
      </c>
      <c r="B68" s="81" t="s">
        <v>5283</v>
      </c>
      <c r="C68" s="81" t="s">
        <v>243</v>
      </c>
      <c r="D68" s="81" t="s">
        <v>5220</v>
      </c>
    </row>
    <row r="69" spans="1:4">
      <c r="A69" s="81"/>
      <c r="B69" s="81"/>
      <c r="C69" s="81"/>
      <c r="D69" s="81"/>
    </row>
    <row r="70" spans="1:4">
      <c r="A70" s="82" t="s">
        <v>5284</v>
      </c>
      <c r="B70" s="81"/>
      <c r="C70" s="81"/>
      <c r="D70" s="81"/>
    </row>
    <row r="71" spans="1:4">
      <c r="A71" s="81" t="s">
        <v>5285</v>
      </c>
      <c r="B71" s="81" t="s">
        <v>5286</v>
      </c>
      <c r="C71" s="81" t="s">
        <v>5287</v>
      </c>
      <c r="D71" s="81"/>
    </row>
    <row r="72" spans="1:4">
      <c r="A72" s="81" t="s">
        <v>5288</v>
      </c>
      <c r="B72" s="81" t="s">
        <v>5289</v>
      </c>
      <c r="C72" s="81" t="s">
        <v>5290</v>
      </c>
      <c r="D72" s="81"/>
    </row>
    <row r="73" spans="1:4">
      <c r="A73" s="81"/>
      <c r="B73" s="81"/>
      <c r="C73" s="81"/>
      <c r="D73" s="81"/>
    </row>
    <row r="74" spans="1:4">
      <c r="A74" s="82" t="s">
        <v>5291</v>
      </c>
      <c r="B74" s="81"/>
      <c r="C74" s="81"/>
      <c r="D74" s="81"/>
    </row>
    <row r="75" spans="1:4">
      <c r="A75" s="81" t="s">
        <v>5292</v>
      </c>
      <c r="B75" s="81" t="s">
        <v>5293</v>
      </c>
      <c r="C75" s="81" t="s">
        <v>5294</v>
      </c>
      <c r="D75" s="81"/>
    </row>
    <row r="76" spans="1:4">
      <c r="A76" s="81"/>
      <c r="B76" s="81"/>
      <c r="C76" s="81"/>
    </row>
    <row r="77" spans="1:4">
      <c r="A77" s="81" t="s">
        <v>5295</v>
      </c>
      <c r="B77" s="81" t="s">
        <v>5296</v>
      </c>
      <c r="C77" s="81" t="s">
        <v>90</v>
      </c>
    </row>
    <row r="79" spans="1:4">
      <c r="C79" t="s">
        <v>5245</v>
      </c>
    </row>
    <row r="80" spans="1:4">
      <c r="C80" t="s">
        <v>5283</v>
      </c>
    </row>
    <row r="83" spans="1:7">
      <c r="C83" t="s">
        <v>5286</v>
      </c>
    </row>
    <row r="84" spans="1:7">
      <c r="C84" t="s">
        <v>5289</v>
      </c>
    </row>
    <row r="87" spans="1:7">
      <c r="C87" t="s">
        <v>5293</v>
      </c>
    </row>
    <row r="89" spans="1:7">
      <c r="C89" t="s">
        <v>5296</v>
      </c>
    </row>
    <row r="91" spans="1:7">
      <c r="B91" t="s">
        <v>664</v>
      </c>
      <c r="C91" t="s">
        <v>67</v>
      </c>
      <c r="D91" t="s">
        <v>667</v>
      </c>
      <c r="E91" t="s">
        <v>5297</v>
      </c>
      <c r="F91" t="s">
        <v>669</v>
      </c>
      <c r="G91" t="s">
        <v>68</v>
      </c>
    </row>
    <row r="92" spans="1:7">
      <c r="A92" t="s">
        <v>2580</v>
      </c>
      <c r="B92" t="s">
        <v>2581</v>
      </c>
      <c r="C92" t="s">
        <v>487</v>
      </c>
      <c r="D92" t="s">
        <v>5298</v>
      </c>
      <c r="E92" t="s">
        <v>5299</v>
      </c>
      <c r="F92" t="s">
        <v>5300</v>
      </c>
      <c r="G92" t="s">
        <v>87</v>
      </c>
    </row>
    <row r="93" spans="1:7">
      <c r="A93" t="s">
        <v>2580</v>
      </c>
      <c r="B93" t="s">
        <v>2583</v>
      </c>
      <c r="C93" t="s">
        <v>545</v>
      </c>
      <c r="D93" t="s">
        <v>5298</v>
      </c>
      <c r="E93" t="s">
        <v>5299</v>
      </c>
      <c r="F93" t="s">
        <v>5300</v>
      </c>
      <c r="G93" t="s">
        <v>87</v>
      </c>
    </row>
    <row r="94" spans="1:7">
      <c r="A94" t="s">
        <v>5301</v>
      </c>
      <c r="B94" t="s">
        <v>5302</v>
      </c>
      <c r="C94" t="s">
        <v>444</v>
      </c>
      <c r="D94" t="s">
        <v>5303</v>
      </c>
      <c r="E94" t="s">
        <v>5299</v>
      </c>
      <c r="F94" t="s">
        <v>5304</v>
      </c>
      <c r="G94" t="s">
        <v>89</v>
      </c>
    </row>
    <row r="95" spans="1:7">
      <c r="A95" t="s">
        <v>5305</v>
      </c>
      <c r="B95" t="s">
        <v>5306</v>
      </c>
      <c r="C95" t="s">
        <v>432</v>
      </c>
      <c r="D95" t="s">
        <v>5298</v>
      </c>
      <c r="E95" t="s">
        <v>5299</v>
      </c>
      <c r="F95" t="s">
        <v>5304</v>
      </c>
      <c r="G95" t="s">
        <v>85</v>
      </c>
    </row>
    <row r="96" spans="1:7">
      <c r="A96" t="s">
        <v>3893</v>
      </c>
      <c r="B96" t="s">
        <v>5307</v>
      </c>
      <c r="C96" t="s">
        <v>434</v>
      </c>
      <c r="D96" t="s">
        <v>5298</v>
      </c>
      <c r="E96" t="s">
        <v>5299</v>
      </c>
      <c r="F96" t="s">
        <v>5304</v>
      </c>
      <c r="G96" t="s">
        <v>85</v>
      </c>
    </row>
    <row r="97" spans="1:7">
      <c r="A97" t="s">
        <v>3893</v>
      </c>
      <c r="B97" t="s">
        <v>5308</v>
      </c>
      <c r="C97" t="s">
        <v>499</v>
      </c>
      <c r="D97" t="s">
        <v>5298</v>
      </c>
      <c r="E97" t="s">
        <v>5299</v>
      </c>
      <c r="F97" t="s">
        <v>5300</v>
      </c>
      <c r="G97" t="s">
        <v>85</v>
      </c>
    </row>
    <row r="98" spans="1:7">
      <c r="A98" t="s">
        <v>3893</v>
      </c>
      <c r="B98" t="s">
        <v>3894</v>
      </c>
      <c r="C98" t="s">
        <v>463</v>
      </c>
      <c r="D98" t="s">
        <v>5298</v>
      </c>
      <c r="E98" t="s">
        <v>5299</v>
      </c>
      <c r="F98" t="s">
        <v>5300</v>
      </c>
      <c r="G98" t="s">
        <v>85</v>
      </c>
    </row>
    <row r="99" spans="1:7">
      <c r="A99" t="s">
        <v>3899</v>
      </c>
      <c r="B99" t="s">
        <v>3900</v>
      </c>
      <c r="C99" t="s">
        <v>99</v>
      </c>
      <c r="D99" t="s">
        <v>5298</v>
      </c>
      <c r="E99" t="s">
        <v>5299</v>
      </c>
      <c r="F99" t="s">
        <v>5300</v>
      </c>
      <c r="G99" t="s">
        <v>89</v>
      </c>
    </row>
    <row r="100" spans="1:7">
      <c r="A100" t="s">
        <v>1141</v>
      </c>
      <c r="B100" t="s">
        <v>5309</v>
      </c>
      <c r="C100" t="s">
        <v>567</v>
      </c>
      <c r="D100" t="s">
        <v>5303</v>
      </c>
      <c r="E100" t="s">
        <v>5299</v>
      </c>
      <c r="F100" t="s">
        <v>5300</v>
      </c>
      <c r="G100" t="s">
        <v>77</v>
      </c>
    </row>
    <row r="101" spans="1:7">
      <c r="A101" t="s">
        <v>1141</v>
      </c>
      <c r="B101" t="s">
        <v>5310</v>
      </c>
      <c r="C101" t="s">
        <v>604</v>
      </c>
      <c r="D101" t="s">
        <v>5303</v>
      </c>
      <c r="E101" t="s">
        <v>5299</v>
      </c>
      <c r="F101" t="s">
        <v>5300</v>
      </c>
      <c r="G101" t="s">
        <v>138</v>
      </c>
    </row>
    <row r="102" spans="1:7">
      <c r="A102" t="s">
        <v>1141</v>
      </c>
      <c r="B102" t="s">
        <v>5311</v>
      </c>
      <c r="C102" t="s">
        <v>635</v>
      </c>
      <c r="D102" t="s">
        <v>5303</v>
      </c>
      <c r="E102" t="s">
        <v>5299</v>
      </c>
      <c r="F102" t="s">
        <v>5300</v>
      </c>
      <c r="G102" t="s">
        <v>138</v>
      </c>
    </row>
    <row r="103" spans="1:7">
      <c r="A103" t="s">
        <v>5312</v>
      </c>
      <c r="B103" t="s">
        <v>5313</v>
      </c>
      <c r="C103" t="s">
        <v>589</v>
      </c>
      <c r="D103" t="s">
        <v>5303</v>
      </c>
      <c r="E103" t="s">
        <v>5299</v>
      </c>
      <c r="F103" t="s">
        <v>5300</v>
      </c>
      <c r="G103" t="s">
        <v>84</v>
      </c>
    </row>
    <row r="104" spans="1:7">
      <c r="A104" t="s">
        <v>5312</v>
      </c>
      <c r="B104" t="s">
        <v>5314</v>
      </c>
      <c r="C104" t="s">
        <v>457</v>
      </c>
      <c r="D104" t="s">
        <v>5303</v>
      </c>
      <c r="E104" t="s">
        <v>5299</v>
      </c>
      <c r="F104" t="s">
        <v>5300</v>
      </c>
      <c r="G104" t="s">
        <v>84</v>
      </c>
    </row>
    <row r="105" spans="1:7">
      <c r="A105" t="s">
        <v>5315</v>
      </c>
      <c r="B105" t="s">
        <v>5316</v>
      </c>
      <c r="C105" t="s">
        <v>555</v>
      </c>
      <c r="D105" t="s">
        <v>5303</v>
      </c>
      <c r="E105" t="s">
        <v>5299</v>
      </c>
      <c r="F105" t="s">
        <v>5300</v>
      </c>
      <c r="G105" t="s">
        <v>85</v>
      </c>
    </row>
    <row r="106" spans="1:7">
      <c r="A106" t="s">
        <v>4170</v>
      </c>
      <c r="B106" t="s">
        <v>4175</v>
      </c>
      <c r="C106" t="s">
        <v>487</v>
      </c>
      <c r="D106" t="s">
        <v>5298</v>
      </c>
      <c r="E106" t="s">
        <v>5299</v>
      </c>
      <c r="F106" t="s">
        <v>5300</v>
      </c>
      <c r="G106" t="s">
        <v>87</v>
      </c>
    </row>
    <row r="107" spans="1:7">
      <c r="A107" t="s">
        <v>5317</v>
      </c>
      <c r="B107" t="s">
        <v>5318</v>
      </c>
      <c r="C107" t="s">
        <v>589</v>
      </c>
      <c r="D107" t="s">
        <v>5303</v>
      </c>
      <c r="E107" t="s">
        <v>5299</v>
      </c>
      <c r="F107" t="s">
        <v>5300</v>
      </c>
      <c r="G107" t="s">
        <v>84</v>
      </c>
    </row>
    <row r="108" spans="1:7">
      <c r="A108" s="49" t="s">
        <v>5319</v>
      </c>
      <c r="B108" t="s">
        <v>5155</v>
      </c>
      <c r="C108" t="s">
        <v>640</v>
      </c>
      <c r="D108" t="s">
        <v>5303</v>
      </c>
      <c r="E108" t="s">
        <v>5299</v>
      </c>
      <c r="F108" t="s">
        <v>5300</v>
      </c>
      <c r="G108" t="s">
        <v>138</v>
      </c>
    </row>
    <row r="109" spans="1:7">
      <c r="A109" t="s">
        <v>5320</v>
      </c>
      <c r="B109" t="s">
        <v>5321</v>
      </c>
      <c r="C109" t="s">
        <v>446</v>
      </c>
      <c r="D109" t="s">
        <v>5298</v>
      </c>
      <c r="E109" t="s">
        <v>5299</v>
      </c>
      <c r="F109" t="s">
        <v>5304</v>
      </c>
      <c r="G109" t="s">
        <v>89</v>
      </c>
    </row>
    <row r="110" spans="1:7">
      <c r="A110" t="s">
        <v>5322</v>
      </c>
      <c r="B110" t="s">
        <v>5154</v>
      </c>
      <c r="C110" t="s">
        <v>601</v>
      </c>
      <c r="D110" t="s">
        <v>5303</v>
      </c>
      <c r="E110" t="s">
        <v>5299</v>
      </c>
      <c r="F110" t="s">
        <v>5300</v>
      </c>
      <c r="G110" t="s">
        <v>138</v>
      </c>
    </row>
    <row r="111" spans="1:7">
      <c r="A111" t="s">
        <v>5323</v>
      </c>
      <c r="B111" t="s">
        <v>5324</v>
      </c>
      <c r="C111" t="s">
        <v>560</v>
      </c>
      <c r="D111" t="s">
        <v>5303</v>
      </c>
      <c r="E111" t="s">
        <v>5299</v>
      </c>
      <c r="F111" t="s">
        <v>5300</v>
      </c>
      <c r="G111" t="s">
        <v>89</v>
      </c>
    </row>
    <row r="112" spans="1:7">
      <c r="A112" t="s">
        <v>5325</v>
      </c>
      <c r="B112" t="s">
        <v>5326</v>
      </c>
      <c r="C112" t="s">
        <v>604</v>
      </c>
      <c r="D112" t="s">
        <v>5303</v>
      </c>
      <c r="E112" t="s">
        <v>5299</v>
      </c>
      <c r="F112" t="s">
        <v>5300</v>
      </c>
      <c r="G112" t="s">
        <v>138</v>
      </c>
    </row>
    <row r="113" spans="1:7">
      <c r="A113" t="s">
        <v>5327</v>
      </c>
      <c r="B113" t="s">
        <v>5153</v>
      </c>
      <c r="C113" t="s">
        <v>614</v>
      </c>
      <c r="D113" t="s">
        <v>5303</v>
      </c>
      <c r="E113" t="s">
        <v>5299</v>
      </c>
      <c r="F113" t="s">
        <v>5300</v>
      </c>
      <c r="G113" t="s">
        <v>138</v>
      </c>
    </row>
    <row r="114" spans="1:7">
      <c r="A114" t="s">
        <v>5328</v>
      </c>
      <c r="B114" t="s">
        <v>5329</v>
      </c>
      <c r="C114" t="s">
        <v>592</v>
      </c>
      <c r="D114" t="s">
        <v>5303</v>
      </c>
      <c r="E114" t="s">
        <v>5299</v>
      </c>
      <c r="F114" t="s">
        <v>5300</v>
      </c>
      <c r="G114" t="s">
        <v>84</v>
      </c>
    </row>
    <row r="115" spans="1:7">
      <c r="A115" t="s">
        <v>5330</v>
      </c>
      <c r="B115" t="s">
        <v>5331</v>
      </c>
      <c r="C115" t="s">
        <v>605</v>
      </c>
      <c r="D115" t="s">
        <v>5303</v>
      </c>
      <c r="E115" t="s">
        <v>5299</v>
      </c>
      <c r="F115" t="s">
        <v>5300</v>
      </c>
      <c r="G115" t="s">
        <v>138</v>
      </c>
    </row>
    <row r="116" spans="1:7">
      <c r="A116" t="s">
        <v>5330</v>
      </c>
      <c r="B116" t="s">
        <v>5332</v>
      </c>
      <c r="C116" t="s">
        <v>621</v>
      </c>
      <c r="D116" t="s">
        <v>5303</v>
      </c>
      <c r="E116" t="s">
        <v>5299</v>
      </c>
      <c r="F116" t="s">
        <v>5300</v>
      </c>
      <c r="G116" t="s">
        <v>138</v>
      </c>
    </row>
    <row r="117" spans="1:7">
      <c r="A117" t="s">
        <v>5330</v>
      </c>
      <c r="B117" t="s">
        <v>5333</v>
      </c>
      <c r="C117" t="s">
        <v>641</v>
      </c>
      <c r="D117" t="s">
        <v>5303</v>
      </c>
      <c r="E117" t="s">
        <v>5299</v>
      </c>
      <c r="F117" t="s">
        <v>5300</v>
      </c>
      <c r="G117" t="s">
        <v>138</v>
      </c>
    </row>
    <row r="118" spans="1:7">
      <c r="A118" t="s">
        <v>5334</v>
      </c>
      <c r="B118" t="s">
        <v>5335</v>
      </c>
      <c r="C118" t="s">
        <v>647</v>
      </c>
      <c r="D118" t="s">
        <v>5303</v>
      </c>
      <c r="E118" t="s">
        <v>5299</v>
      </c>
      <c r="F118" t="s">
        <v>5300</v>
      </c>
      <c r="G118" t="s">
        <v>85</v>
      </c>
    </row>
    <row r="119" spans="1:7">
      <c r="A119" t="s">
        <v>5336</v>
      </c>
      <c r="B119" t="s">
        <v>5337</v>
      </c>
      <c r="C119" t="s">
        <v>560</v>
      </c>
      <c r="D119" t="s">
        <v>5303</v>
      </c>
      <c r="E119" t="s">
        <v>5299</v>
      </c>
      <c r="F119" t="s">
        <v>5300</v>
      </c>
      <c r="G119" t="s">
        <v>89</v>
      </c>
    </row>
    <row r="121" spans="1:7">
      <c r="B121" t="s">
        <v>5338</v>
      </c>
      <c r="C121" t="s">
        <v>477</v>
      </c>
      <c r="D121" t="s">
        <v>5298</v>
      </c>
      <c r="E121" t="s">
        <v>5299</v>
      </c>
      <c r="F121" t="s">
        <v>5300</v>
      </c>
      <c r="G121" t="s">
        <v>77</v>
      </c>
    </row>
    <row r="122" spans="1:7">
      <c r="B122" t="s">
        <v>5339</v>
      </c>
      <c r="C122" t="s">
        <v>547</v>
      </c>
      <c r="D122" t="s">
        <v>5298</v>
      </c>
      <c r="E122" t="s">
        <v>5299</v>
      </c>
      <c r="F122" t="s">
        <v>5300</v>
      </c>
      <c r="G122" t="s">
        <v>77</v>
      </c>
    </row>
    <row r="123" spans="1:7">
      <c r="B123" t="s">
        <v>5340</v>
      </c>
      <c r="C123" t="s">
        <v>478</v>
      </c>
      <c r="D123" t="s">
        <v>5298</v>
      </c>
      <c r="E123" t="s">
        <v>5299</v>
      </c>
      <c r="F123" t="s">
        <v>5300</v>
      </c>
      <c r="G123" t="s">
        <v>77</v>
      </c>
    </row>
    <row r="124" spans="1:7">
      <c r="B124" t="s">
        <v>4171</v>
      </c>
      <c r="C124" t="s">
        <v>500</v>
      </c>
      <c r="D124" t="s">
        <v>5298</v>
      </c>
      <c r="E124" t="s">
        <v>5299</v>
      </c>
      <c r="F124" t="s">
        <v>5300</v>
      </c>
      <c r="G124" t="s">
        <v>87</v>
      </c>
    </row>
    <row r="125" spans="1:7">
      <c r="B125" t="s">
        <v>4173</v>
      </c>
      <c r="C125" t="s">
        <v>465</v>
      </c>
      <c r="D125" t="s">
        <v>5298</v>
      </c>
      <c r="E125" t="s">
        <v>5299</v>
      </c>
      <c r="F125" t="s">
        <v>5300</v>
      </c>
      <c r="G125" t="s">
        <v>87</v>
      </c>
    </row>
    <row r="128" spans="1:7">
      <c r="A128" t="s">
        <v>5341</v>
      </c>
      <c r="B128" t="s">
        <v>234</v>
      </c>
      <c r="C128" t="s">
        <v>5298</v>
      </c>
      <c r="D128" t="s">
        <v>5299</v>
      </c>
      <c r="E128" t="s">
        <v>5304</v>
      </c>
      <c r="F128" t="s">
        <v>77</v>
      </c>
      <c r="G128" t="s">
        <v>5342</v>
      </c>
    </row>
    <row r="129" spans="1:7">
      <c r="A129" t="s">
        <v>5343</v>
      </c>
      <c r="B129" t="s">
        <v>561</v>
      </c>
      <c r="C129" t="s">
        <v>5303</v>
      </c>
      <c r="D129" t="s">
        <v>5299</v>
      </c>
      <c r="E129" t="s">
        <v>5300</v>
      </c>
      <c r="F129" t="s">
        <v>89</v>
      </c>
      <c r="G129" t="s">
        <v>5344</v>
      </c>
    </row>
    <row r="130" spans="1:7">
      <c r="A130" t="s">
        <v>5345</v>
      </c>
      <c r="B130" t="s">
        <v>561</v>
      </c>
      <c r="C130" t="s">
        <v>5303</v>
      </c>
      <c r="D130" t="s">
        <v>5299</v>
      </c>
      <c r="E130" t="s">
        <v>5300</v>
      </c>
      <c r="F130" t="s">
        <v>89</v>
      </c>
      <c r="G130" t="s">
        <v>5346</v>
      </c>
    </row>
    <row r="133" spans="1:7">
      <c r="A133" t="s">
        <v>5338</v>
      </c>
      <c r="B133" t="s">
        <v>477</v>
      </c>
      <c r="C133" t="s">
        <v>244</v>
      </c>
      <c r="D133" t="s">
        <v>247</v>
      </c>
      <c r="E133" t="s">
        <v>674</v>
      </c>
      <c r="F133" t="s">
        <v>77</v>
      </c>
    </row>
    <row r="134" spans="1:7">
      <c r="A134" t="s">
        <v>5339</v>
      </c>
      <c r="B134" t="s">
        <v>547</v>
      </c>
      <c r="C134" t="s">
        <v>244</v>
      </c>
      <c r="D134" t="s">
        <v>247</v>
      </c>
      <c r="E134" t="s">
        <v>674</v>
      </c>
      <c r="F134" t="s">
        <v>77</v>
      </c>
    </row>
    <row r="135" spans="1:7">
      <c r="A135" t="s">
        <v>5340</v>
      </c>
      <c r="B135" t="s">
        <v>478</v>
      </c>
      <c r="C135" t="s">
        <v>244</v>
      </c>
      <c r="D135" t="s">
        <v>247</v>
      </c>
      <c r="E135" t="s">
        <v>674</v>
      </c>
      <c r="F135" t="s">
        <v>77</v>
      </c>
    </row>
    <row r="137" spans="1:7">
      <c r="A137" s="6" t="s">
        <v>5347</v>
      </c>
    </row>
    <row r="138" spans="1:7">
      <c r="A138" t="s">
        <v>5348</v>
      </c>
      <c r="B138" t="s">
        <v>38</v>
      </c>
      <c r="C138" t="s">
        <v>243</v>
      </c>
      <c r="D138" t="s">
        <v>247</v>
      </c>
      <c r="E138" t="s">
        <v>682</v>
      </c>
      <c r="F138" t="s">
        <v>90</v>
      </c>
      <c r="G138" t="s">
        <v>5349</v>
      </c>
    </row>
    <row r="139" spans="1:7">
      <c r="A139" t="s">
        <v>5350</v>
      </c>
      <c r="B139" t="s">
        <v>38</v>
      </c>
      <c r="C139" t="s">
        <v>243</v>
      </c>
      <c r="D139" t="s">
        <v>247</v>
      </c>
      <c r="E139" t="s">
        <v>682</v>
      </c>
      <c r="F139" t="s">
        <v>90</v>
      </c>
      <c r="G139" t="s">
        <v>5351</v>
      </c>
    </row>
    <row r="140" spans="1:7">
      <c r="A140" t="s">
        <v>5352</v>
      </c>
      <c r="B140" t="s">
        <v>38</v>
      </c>
      <c r="C140" t="s">
        <v>243</v>
      </c>
      <c r="D140" t="s">
        <v>247</v>
      </c>
      <c r="E140" t="s">
        <v>682</v>
      </c>
      <c r="F140" t="s">
        <v>90</v>
      </c>
      <c r="G140" t="s">
        <v>5353</v>
      </c>
    </row>
    <row r="141" spans="1:7">
      <c r="A141" s="49" t="s">
        <v>5156</v>
      </c>
      <c r="B141" t="s">
        <v>198</v>
      </c>
      <c r="C141" t="s">
        <v>243</v>
      </c>
      <c r="D141" t="s">
        <v>246</v>
      </c>
      <c r="E141" t="s">
        <v>674</v>
      </c>
      <c r="F141" t="s">
        <v>77</v>
      </c>
      <c r="G141" t="s">
        <v>5354</v>
      </c>
    </row>
    <row r="142" spans="1:7">
      <c r="A142" t="s">
        <v>5309</v>
      </c>
      <c r="B142" t="s">
        <v>201</v>
      </c>
      <c r="C142" t="s">
        <v>243</v>
      </c>
      <c r="D142" t="s">
        <v>247</v>
      </c>
      <c r="E142" t="s">
        <v>674</v>
      </c>
      <c r="F142" t="s">
        <v>77</v>
      </c>
      <c r="G142" t="s">
        <v>5355</v>
      </c>
    </row>
    <row r="143" spans="1:7">
      <c r="A143" t="s">
        <v>5356</v>
      </c>
      <c r="B143" t="s">
        <v>173</v>
      </c>
      <c r="C143" t="s">
        <v>243</v>
      </c>
      <c r="D143" t="s">
        <v>247</v>
      </c>
      <c r="E143" t="s">
        <v>674</v>
      </c>
      <c r="F143" t="s">
        <v>138</v>
      </c>
      <c r="G143" t="s">
        <v>5357</v>
      </c>
    </row>
    <row r="144" spans="1:7">
      <c r="A144" t="s">
        <v>5358</v>
      </c>
      <c r="B144" t="s">
        <v>214</v>
      </c>
      <c r="C144" t="s">
        <v>243</v>
      </c>
      <c r="D144" t="s">
        <v>247</v>
      </c>
      <c r="E144" t="s">
        <v>674</v>
      </c>
      <c r="F144" t="s">
        <v>77</v>
      </c>
      <c r="G144" t="s">
        <v>5359</v>
      </c>
    </row>
    <row r="145" spans="1:7">
      <c r="A145" t="s">
        <v>5360</v>
      </c>
      <c r="B145" t="s">
        <v>180</v>
      </c>
      <c r="C145" t="s">
        <v>243</v>
      </c>
      <c r="D145" t="s">
        <v>248</v>
      </c>
      <c r="E145" t="s">
        <v>674</v>
      </c>
      <c r="F145" t="s">
        <v>89</v>
      </c>
      <c r="G145" t="s">
        <v>5361</v>
      </c>
    </row>
    <row r="146" spans="1:7">
      <c r="A146" t="s">
        <v>5362</v>
      </c>
      <c r="B146" t="s">
        <v>217</v>
      </c>
      <c r="C146" t="s">
        <v>244</v>
      </c>
      <c r="D146" t="s">
        <v>241</v>
      </c>
      <c r="E146" t="s">
        <v>674</v>
      </c>
      <c r="F146" t="s">
        <v>85</v>
      </c>
      <c r="G146" t="s">
        <v>5363</v>
      </c>
    </row>
    <row r="147" spans="1:7">
      <c r="A147" t="s">
        <v>5364</v>
      </c>
      <c r="B147" t="s">
        <v>38</v>
      </c>
      <c r="C147" t="s">
        <v>244</v>
      </c>
      <c r="D147" t="s">
        <v>247</v>
      </c>
      <c r="E147" t="s">
        <v>682</v>
      </c>
      <c r="F147" t="s">
        <v>90</v>
      </c>
      <c r="G147" t="s">
        <v>5365</v>
      </c>
    </row>
    <row r="148" spans="1:7">
      <c r="A148" t="s">
        <v>5366</v>
      </c>
      <c r="B148" t="s">
        <v>38</v>
      </c>
      <c r="C148" t="s">
        <v>244</v>
      </c>
      <c r="D148" t="s">
        <v>247</v>
      </c>
      <c r="E148" t="s">
        <v>682</v>
      </c>
      <c r="F148" t="s">
        <v>90</v>
      </c>
      <c r="G148" t="s">
        <v>5367</v>
      </c>
    </row>
    <row r="149" spans="1:7">
      <c r="A149" t="s">
        <v>5368</v>
      </c>
      <c r="B149" t="s">
        <v>216</v>
      </c>
      <c r="C149" t="s">
        <v>244</v>
      </c>
      <c r="D149" t="s">
        <v>247</v>
      </c>
      <c r="E149" t="s">
        <v>674</v>
      </c>
      <c r="F149" t="s">
        <v>85</v>
      </c>
      <c r="G149" t="s">
        <v>5369</v>
      </c>
    </row>
    <row r="150" spans="1:7">
      <c r="A150" t="s">
        <v>5370</v>
      </c>
      <c r="B150" t="s">
        <v>38</v>
      </c>
      <c r="C150" t="s">
        <v>244</v>
      </c>
      <c r="D150" t="s">
        <v>247</v>
      </c>
      <c r="E150" t="s">
        <v>682</v>
      </c>
      <c r="F150" t="s">
        <v>90</v>
      </c>
      <c r="G150" t="s">
        <v>5371</v>
      </c>
    </row>
    <row r="151" spans="1:7">
      <c r="A151" t="s">
        <v>5372</v>
      </c>
      <c r="B151" t="s">
        <v>38</v>
      </c>
      <c r="C151" t="s">
        <v>244</v>
      </c>
      <c r="D151" t="s">
        <v>247</v>
      </c>
      <c r="E151" t="s">
        <v>682</v>
      </c>
      <c r="F151" t="s">
        <v>90</v>
      </c>
      <c r="G151" t="s">
        <v>5373</v>
      </c>
    </row>
    <row r="154" spans="1:7">
      <c r="A154" s="6" t="s">
        <v>5374</v>
      </c>
    </row>
    <row r="155" spans="1:7">
      <c r="A155" t="s">
        <v>5308</v>
      </c>
      <c r="B155" t="s">
        <v>103</v>
      </c>
      <c r="C155" t="s">
        <v>244</v>
      </c>
      <c r="D155" t="s">
        <v>247</v>
      </c>
      <c r="E155" t="s">
        <v>674</v>
      </c>
      <c r="F155" t="s">
        <v>85</v>
      </c>
    </row>
    <row r="156" spans="1:7">
      <c r="A156" t="s">
        <v>5375</v>
      </c>
      <c r="B156" t="s">
        <v>168</v>
      </c>
      <c r="C156" t="s">
        <v>243</v>
      </c>
      <c r="D156" t="s">
        <v>247</v>
      </c>
      <c r="E156" t="s">
        <v>674</v>
      </c>
      <c r="F156" t="s">
        <v>138</v>
      </c>
    </row>
    <row r="157" spans="1:7">
      <c r="A157" t="s">
        <v>5376</v>
      </c>
      <c r="B157" t="s">
        <v>198</v>
      </c>
      <c r="C157" t="s">
        <v>243</v>
      </c>
      <c r="D157" t="s">
        <v>247</v>
      </c>
      <c r="E157" t="s">
        <v>674</v>
      </c>
      <c r="F157" t="s">
        <v>77</v>
      </c>
    </row>
    <row r="158" spans="1:7">
      <c r="A158" t="s">
        <v>5377</v>
      </c>
      <c r="B158" t="s">
        <v>145</v>
      </c>
      <c r="C158" t="s">
        <v>243</v>
      </c>
      <c r="D158" t="s">
        <v>247</v>
      </c>
      <c r="E158" t="s">
        <v>674</v>
      </c>
      <c r="F158" t="s">
        <v>138</v>
      </c>
    </row>
  </sheetData>
  <conditionalFormatting sqref="C33:C42">
    <cfRule type="duplicateValues" dxfId="6" priority="1"/>
  </conditionalFormatting>
  <hyperlinks>
    <hyperlink ref="C53" r:id="rId1" xr:uid="{00000000-0004-0000-1400-000000000000}"/>
    <hyperlink ref="A141" r:id="rId2" xr:uid="{0E3EE8C8-D46D-4179-B3DB-DA1621363FEA}"/>
    <hyperlink ref="A108" r:id="rId3" xr:uid="{1927273B-4179-4B08-8214-300613E1A929}"/>
  </hyperlinks>
  <pageMargins left="0.7" right="0.7" top="0.75" bottom="0.75" header="0.3" footer="0.3"/>
  <pageSetup paperSize="0"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53"/>
  <sheetViews>
    <sheetView zoomScale="90" zoomScaleNormal="90" workbookViewId="0">
      <pane xSplit="6" ySplit="4" topLeftCell="G45" activePane="bottomRight" state="frozen"/>
      <selection pane="bottomRight" activeCell="G54" sqref="G54"/>
      <selection pane="bottomLeft" activeCell="A5" sqref="A5"/>
      <selection pane="topRight" activeCell="G1" sqref="G1"/>
    </sheetView>
  </sheetViews>
  <sheetFormatPr defaultColWidth="11.42578125" defaultRowHeight="15"/>
  <cols>
    <col min="1" max="1" width="92.42578125" bestFit="1" customWidth="1"/>
    <col min="2" max="2" width="22.42578125" bestFit="1" customWidth="1"/>
    <col min="3" max="3" width="6.5703125" bestFit="1" customWidth="1"/>
    <col min="4" max="4" width="7.7109375" bestFit="1" customWidth="1"/>
    <col min="5" max="6" width="4.42578125" customWidth="1"/>
    <col min="7" max="7" width="86.7109375" customWidth="1"/>
    <col min="8" max="10" width="10" customWidth="1"/>
  </cols>
  <sheetData>
    <row r="1" spans="1:21">
      <c r="A1" s="48" t="s">
        <v>240</v>
      </c>
      <c r="B1" t="s">
        <v>5378</v>
      </c>
    </row>
    <row r="2" spans="1:21">
      <c r="A2" s="261" t="s">
        <v>5379</v>
      </c>
      <c r="B2" s="261"/>
      <c r="C2" s="261"/>
      <c r="D2" s="261"/>
    </row>
    <row r="3" spans="1:21" s="63" customFormat="1" ht="44.25" customHeight="1">
      <c r="A3" s="136" t="s">
        <v>242</v>
      </c>
      <c r="B3" s="136" t="s">
        <v>60</v>
      </c>
      <c r="H3" s="260" t="s">
        <v>5380</v>
      </c>
      <c r="I3" s="260"/>
      <c r="J3" s="132"/>
      <c r="K3" s="259" t="s">
        <v>5381</v>
      </c>
      <c r="L3" s="259"/>
      <c r="N3" s="259" t="s">
        <v>5382</v>
      </c>
      <c r="O3" s="259"/>
      <c r="Q3" s="260" t="s">
        <v>5383</v>
      </c>
      <c r="R3" s="260"/>
      <c r="T3" s="259" t="s">
        <v>5382</v>
      </c>
      <c r="U3" s="259"/>
    </row>
    <row r="4" spans="1:21" ht="30">
      <c r="A4" s="48" t="s">
        <v>61</v>
      </c>
      <c r="B4" s="63" t="s">
        <v>243</v>
      </c>
      <c r="C4" s="63" t="s">
        <v>244</v>
      </c>
      <c r="D4" s="63" t="s">
        <v>62</v>
      </c>
      <c r="G4" s="6" t="s">
        <v>61</v>
      </c>
      <c r="H4" s="132" t="s">
        <v>243</v>
      </c>
      <c r="I4" s="132" t="s">
        <v>244</v>
      </c>
      <c r="J4" s="132"/>
      <c r="K4" s="132" t="s">
        <v>243</v>
      </c>
      <c r="L4" s="132" t="s">
        <v>244</v>
      </c>
      <c r="N4" s="132" t="s">
        <v>243</v>
      </c>
      <c r="O4" s="132" t="s">
        <v>244</v>
      </c>
      <c r="Q4" s="132" t="s">
        <v>243</v>
      </c>
      <c r="R4" s="132" t="s">
        <v>244</v>
      </c>
      <c r="T4" s="132" t="s">
        <v>243</v>
      </c>
      <c r="U4" s="132" t="s">
        <v>244</v>
      </c>
    </row>
    <row r="5" spans="1:21">
      <c r="A5" s="5" t="s">
        <v>231</v>
      </c>
      <c r="B5">
        <v>13</v>
      </c>
      <c r="C5">
        <v>8</v>
      </c>
      <c r="D5">
        <v>21</v>
      </c>
      <c r="G5" s="5" t="s">
        <v>231</v>
      </c>
      <c r="H5">
        <f>IFERROR(VLOOKUP(G5,$A:$D,2,0),0)</f>
        <v>13</v>
      </c>
      <c r="I5">
        <f>IFERROR(VLOOKUP(G5,$A:$D,3,0),0)</f>
        <v>8</v>
      </c>
      <c r="K5">
        <f>VLOOKUP(G5,'Resumen Estudiantes y Profesore'!$B$3:$Y$171,19,0)</f>
        <v>13</v>
      </c>
      <c r="L5">
        <f>VLOOKUP(G5,'Resumen Estudiantes y Profesore'!$B$3:$Y$171,12,0)</f>
        <v>8</v>
      </c>
      <c r="N5">
        <f>H5-K5</f>
        <v>0</v>
      </c>
      <c r="O5">
        <f>I5-L5</f>
        <v>0</v>
      </c>
      <c r="Q5">
        <f>VLOOKUP(G5,'Resumen Estudiantes y Profesore'!$B$3:$Y$171,17,0)</f>
        <v>0</v>
      </c>
      <c r="R5">
        <f>VLOOKUP(G5,'Resumen Estudiantes y Profesore'!$B$3:$Y$171,10,0)</f>
        <v>0</v>
      </c>
      <c r="T5">
        <f>Q5-H5</f>
        <v>-13</v>
      </c>
      <c r="U5">
        <f>R5-I5</f>
        <v>-8</v>
      </c>
    </row>
    <row r="6" spans="1:21">
      <c r="A6" s="5" t="s">
        <v>232</v>
      </c>
      <c r="B6">
        <v>13</v>
      </c>
      <c r="C6">
        <v>7</v>
      </c>
      <c r="D6">
        <v>20</v>
      </c>
      <c r="G6" s="5" t="s">
        <v>232</v>
      </c>
      <c r="H6">
        <f t="shared" ref="H6:H69" si="0">IFERROR(VLOOKUP(G6,$A:$D,2,0),0)</f>
        <v>13</v>
      </c>
      <c r="I6">
        <f t="shared" ref="I6:I69" si="1">IFERROR(VLOOKUP(G6,$A:$D,3,0),0)</f>
        <v>7</v>
      </c>
      <c r="K6">
        <f>VLOOKUP(G6,'Resumen Estudiantes y Profesore'!$B$3:$Y$171,19,0)</f>
        <v>13</v>
      </c>
      <c r="L6">
        <f>VLOOKUP(G6,'Resumen Estudiantes y Profesore'!$B$3:$Y$171,12,0)</f>
        <v>7</v>
      </c>
      <c r="N6">
        <f t="shared" ref="N6:N69" si="2">H6-K6</f>
        <v>0</v>
      </c>
      <c r="O6">
        <f t="shared" ref="O6:O69" si="3">I6-L6</f>
        <v>0</v>
      </c>
      <c r="Q6">
        <f>VLOOKUP(G6,'Resumen Estudiantes y Profesore'!$B$3:$Y$171,17,0)</f>
        <v>0</v>
      </c>
      <c r="R6">
        <f>VLOOKUP(G6,'Resumen Estudiantes y Profesore'!$B$3:$Y$171,10,0)</f>
        <v>0</v>
      </c>
      <c r="T6">
        <f t="shared" ref="T6:T69" si="4">Q6-H6</f>
        <v>-13</v>
      </c>
      <c r="U6">
        <f t="shared" ref="U6:U69" si="5">R6-I6</f>
        <v>-7</v>
      </c>
    </row>
    <row r="7" spans="1:21">
      <c r="A7" s="5" t="s">
        <v>40</v>
      </c>
      <c r="B7">
        <v>4</v>
      </c>
      <c r="C7">
        <v>1</v>
      </c>
      <c r="D7">
        <v>5</v>
      </c>
      <c r="G7" s="5" t="s">
        <v>536</v>
      </c>
      <c r="H7">
        <f t="shared" si="0"/>
        <v>5</v>
      </c>
      <c r="I7">
        <f t="shared" si="1"/>
        <v>2</v>
      </c>
      <c r="K7" t="e">
        <f>VLOOKUP(G7,'Resumen Estudiantes y Profesore'!$B$3:$Y$171,19,0)</f>
        <v>#N/A</v>
      </c>
      <c r="L7" t="e">
        <f>VLOOKUP(G7,'Resumen Estudiantes y Profesore'!$B$3:$Y$171,12,0)</f>
        <v>#N/A</v>
      </c>
      <c r="N7" t="e">
        <f t="shared" si="2"/>
        <v>#N/A</v>
      </c>
      <c r="O7" t="e">
        <f t="shared" si="3"/>
        <v>#N/A</v>
      </c>
      <c r="Q7" t="e">
        <f>VLOOKUP(G7,'Resumen Estudiantes y Profesore'!$B$3:$Y$171,17,0)</f>
        <v>#N/A</v>
      </c>
      <c r="R7" t="e">
        <f>VLOOKUP(G7,'Resumen Estudiantes y Profesore'!$B$3:$Y$171,10,0)</f>
        <v>#N/A</v>
      </c>
      <c r="T7" t="e">
        <f t="shared" si="4"/>
        <v>#N/A</v>
      </c>
      <c r="U7" t="e">
        <f t="shared" si="5"/>
        <v>#N/A</v>
      </c>
    </row>
    <row r="8" spans="1:21">
      <c r="A8" s="5" t="s">
        <v>26</v>
      </c>
      <c r="B8">
        <v>8</v>
      </c>
      <c r="C8">
        <v>8</v>
      </c>
      <c r="D8">
        <v>16</v>
      </c>
      <c r="G8" s="5" t="s">
        <v>40</v>
      </c>
      <c r="H8">
        <f t="shared" si="0"/>
        <v>4</v>
      </c>
      <c r="I8">
        <f t="shared" si="1"/>
        <v>1</v>
      </c>
      <c r="K8">
        <f>VLOOKUP(G8,'Resumen Estudiantes y Profesore'!$B$3:$Y$171,19,0)</f>
        <v>4</v>
      </c>
      <c r="L8">
        <f>VLOOKUP(G8,'Resumen Estudiantes y Profesore'!$B$3:$Y$171,12,0)</f>
        <v>1</v>
      </c>
      <c r="N8">
        <f t="shared" si="2"/>
        <v>0</v>
      </c>
      <c r="O8">
        <f t="shared" si="3"/>
        <v>0</v>
      </c>
      <c r="Q8">
        <f>VLOOKUP(G8,'Resumen Estudiantes y Profesore'!$B$3:$Y$171,17,0)</f>
        <v>0</v>
      </c>
      <c r="R8" t="str">
        <f>VLOOKUP(G8,'Resumen Estudiantes y Profesore'!$B$3:$Y$171,10,0)</f>
        <v>Encuesta</v>
      </c>
      <c r="T8">
        <f t="shared" si="4"/>
        <v>-4</v>
      </c>
      <c r="U8" t="e">
        <f t="shared" si="5"/>
        <v>#VALUE!</v>
      </c>
    </row>
    <row r="9" spans="1:21">
      <c r="A9" s="5" t="s">
        <v>24</v>
      </c>
      <c r="B9">
        <v>36</v>
      </c>
      <c r="C9">
        <v>16</v>
      </c>
      <c r="D9">
        <v>52</v>
      </c>
      <c r="G9" s="5" t="s">
        <v>26</v>
      </c>
      <c r="H9">
        <f t="shared" si="0"/>
        <v>8</v>
      </c>
      <c r="I9">
        <f t="shared" si="1"/>
        <v>8</v>
      </c>
      <c r="K9">
        <f>VLOOKUP(G9,'Resumen Estudiantes y Profesore'!$B$3:$Y$171,19,0)</f>
        <v>8</v>
      </c>
      <c r="L9">
        <f>VLOOKUP(G9,'Resumen Estudiantes y Profesore'!$B$3:$Y$171,12,0)</f>
        <v>8</v>
      </c>
      <c r="N9">
        <f t="shared" si="2"/>
        <v>0</v>
      </c>
      <c r="O9">
        <f t="shared" si="3"/>
        <v>0</v>
      </c>
      <c r="Q9">
        <f>VLOOKUP(G9,'Resumen Estudiantes y Profesore'!$B$3:$Y$171,17,0)</f>
        <v>0</v>
      </c>
      <c r="R9" t="str">
        <f>VLOOKUP(G9,'Resumen Estudiantes y Profesore'!$B$3:$Y$171,10,0)</f>
        <v>Encuesta</v>
      </c>
      <c r="T9">
        <f t="shared" si="4"/>
        <v>-8</v>
      </c>
      <c r="U9" t="e">
        <f t="shared" si="5"/>
        <v>#VALUE!</v>
      </c>
    </row>
    <row r="10" spans="1:21">
      <c r="A10" s="5" t="s">
        <v>23</v>
      </c>
      <c r="B10">
        <v>21</v>
      </c>
      <c r="C10">
        <v>14</v>
      </c>
      <c r="D10">
        <v>35</v>
      </c>
      <c r="G10" s="5" t="s">
        <v>24</v>
      </c>
      <c r="H10">
        <f t="shared" si="0"/>
        <v>36</v>
      </c>
      <c r="I10">
        <f t="shared" si="1"/>
        <v>16</v>
      </c>
      <c r="K10">
        <f>VLOOKUP(G10,'Resumen Estudiantes y Profesore'!$B$3:$Y$171,19,0)</f>
        <v>41</v>
      </c>
      <c r="L10">
        <f>VLOOKUP(G10,'Resumen Estudiantes y Profesore'!$B$3:$Y$171,12,0)</f>
        <v>16</v>
      </c>
      <c r="N10">
        <f t="shared" si="2"/>
        <v>-5</v>
      </c>
      <c r="O10">
        <f t="shared" si="3"/>
        <v>0</v>
      </c>
      <c r="Q10">
        <f>VLOOKUP(G10,'Resumen Estudiantes y Profesore'!$B$3:$Y$171,17,0)</f>
        <v>0</v>
      </c>
      <c r="R10" t="str">
        <f>VLOOKUP(G10,'Resumen Estudiantes y Profesore'!$B$3:$Y$171,10,0)</f>
        <v>Encuesta</v>
      </c>
      <c r="T10">
        <f t="shared" si="4"/>
        <v>-36</v>
      </c>
      <c r="U10" t="e">
        <f t="shared" si="5"/>
        <v>#VALUE!</v>
      </c>
    </row>
    <row r="11" spans="1:21">
      <c r="A11" s="5" t="s">
        <v>25</v>
      </c>
      <c r="B11">
        <v>28</v>
      </c>
      <c r="C11">
        <v>14</v>
      </c>
      <c r="D11">
        <v>42</v>
      </c>
      <c r="G11" s="5" t="s">
        <v>23</v>
      </c>
      <c r="H11">
        <f t="shared" si="0"/>
        <v>21</v>
      </c>
      <c r="I11">
        <f t="shared" si="1"/>
        <v>14</v>
      </c>
      <c r="K11">
        <f>VLOOKUP(G11,'Resumen Estudiantes y Profesore'!$B$3:$Y$171,19,0)</f>
        <v>23</v>
      </c>
      <c r="L11">
        <f>VLOOKUP(G11,'Resumen Estudiantes y Profesore'!$B$3:$Y$171,12,0)</f>
        <v>14</v>
      </c>
      <c r="N11">
        <f t="shared" si="2"/>
        <v>-2</v>
      </c>
      <c r="O11">
        <f t="shared" si="3"/>
        <v>0</v>
      </c>
      <c r="Q11">
        <f>VLOOKUP(G11,'Resumen Estudiantes y Profesore'!$B$3:$Y$171,17,0)</f>
        <v>5.8928571428571427E-2</v>
      </c>
      <c r="R11" t="str">
        <f>VLOOKUP(G11,'Resumen Estudiantes y Profesore'!$B$3:$Y$171,10,0)</f>
        <v>Encuesta</v>
      </c>
      <c r="T11">
        <f t="shared" si="4"/>
        <v>-20.94107142857143</v>
      </c>
      <c r="U11" t="e">
        <f t="shared" si="5"/>
        <v>#VALUE!</v>
      </c>
    </row>
    <row r="12" spans="1:21">
      <c r="A12" s="5" t="s">
        <v>251</v>
      </c>
      <c r="B12">
        <v>8</v>
      </c>
      <c r="C12">
        <v>11</v>
      </c>
      <c r="D12">
        <v>19</v>
      </c>
      <c r="G12" s="5" t="s">
        <v>25</v>
      </c>
      <c r="H12">
        <f t="shared" si="0"/>
        <v>28</v>
      </c>
      <c r="I12">
        <f t="shared" si="1"/>
        <v>14</v>
      </c>
      <c r="K12">
        <f>VLOOKUP(G12,'Resumen Estudiantes y Profesore'!$B$3:$Y$171,19,0)</f>
        <v>35</v>
      </c>
      <c r="L12">
        <f>VLOOKUP(G12,'Resumen Estudiantes y Profesore'!$B$3:$Y$171,12,0)</f>
        <v>14</v>
      </c>
      <c r="N12">
        <f t="shared" si="2"/>
        <v>-7</v>
      </c>
      <c r="O12">
        <f t="shared" si="3"/>
        <v>0</v>
      </c>
      <c r="Q12">
        <f>VLOOKUP(G12,'Resumen Estudiantes y Profesore'!$B$3:$Y$171,17,0)</f>
        <v>0</v>
      </c>
      <c r="R12" t="str">
        <f>VLOOKUP(G12,'Resumen Estudiantes y Profesore'!$B$3:$Y$171,10,0)</f>
        <v>Encuesta</v>
      </c>
      <c r="T12">
        <f t="shared" si="4"/>
        <v>-28</v>
      </c>
      <c r="U12" t="e">
        <f t="shared" si="5"/>
        <v>#VALUE!</v>
      </c>
    </row>
    <row r="13" spans="1:21">
      <c r="A13" s="5" t="s">
        <v>27</v>
      </c>
      <c r="B13">
        <v>24</v>
      </c>
      <c r="C13">
        <v>26</v>
      </c>
      <c r="D13">
        <v>50</v>
      </c>
      <c r="G13" s="5" t="s">
        <v>251</v>
      </c>
      <c r="H13">
        <f t="shared" si="0"/>
        <v>8</v>
      </c>
      <c r="I13">
        <f t="shared" si="1"/>
        <v>11</v>
      </c>
      <c r="K13">
        <f>VLOOKUP(G13,'Resumen Estudiantes y Profesore'!$B$3:$Y$171,19,0)</f>
        <v>10</v>
      </c>
      <c r="L13">
        <f>VLOOKUP(G13,'Resumen Estudiantes y Profesore'!$B$3:$Y$171,12,0)</f>
        <v>11</v>
      </c>
      <c r="N13">
        <f t="shared" si="2"/>
        <v>-2</v>
      </c>
      <c r="O13">
        <f t="shared" si="3"/>
        <v>0</v>
      </c>
      <c r="Q13">
        <f>VLOOKUP(G13,'Resumen Estudiantes y Profesore'!$B$3:$Y$171,17,0)</f>
        <v>0</v>
      </c>
      <c r="R13">
        <f>VLOOKUP(G13,'Resumen Estudiantes y Profesore'!$B$3:$Y$171,10,0)</f>
        <v>0</v>
      </c>
      <c r="T13">
        <f t="shared" si="4"/>
        <v>-8</v>
      </c>
      <c r="U13">
        <f t="shared" si="5"/>
        <v>-11</v>
      </c>
    </row>
    <row r="14" spans="1:21">
      <c r="A14" s="5" t="s">
        <v>98</v>
      </c>
      <c r="C14">
        <v>8</v>
      </c>
      <c r="D14">
        <v>8</v>
      </c>
      <c r="G14" s="5" t="s">
        <v>93</v>
      </c>
      <c r="H14">
        <f t="shared" si="0"/>
        <v>22</v>
      </c>
      <c r="I14">
        <f t="shared" si="1"/>
        <v>20</v>
      </c>
      <c r="K14">
        <f>VLOOKUP(G14,'Resumen Estudiantes y Profesore'!$B$3:$Y$171,19,0)</f>
        <v>25</v>
      </c>
      <c r="L14">
        <f>VLOOKUP(G14,'Resumen Estudiantes y Profesore'!$B$3:$Y$171,12,0)</f>
        <v>21</v>
      </c>
      <c r="N14">
        <f t="shared" si="2"/>
        <v>-3</v>
      </c>
      <c r="O14">
        <f t="shared" si="3"/>
        <v>-1</v>
      </c>
      <c r="Q14">
        <f>VLOOKUP(G14,'Resumen Estudiantes y Profesore'!$B$3:$Y$171,17,0)</f>
        <v>5.6930408645744217E-2</v>
      </c>
      <c r="R14">
        <f>VLOOKUP(G14,'Resumen Estudiantes y Profesore'!$B$3:$Y$171,10,0)</f>
        <v>0</v>
      </c>
      <c r="T14">
        <f t="shared" si="4"/>
        <v>-21.943069591354256</v>
      </c>
      <c r="U14">
        <f t="shared" si="5"/>
        <v>-20</v>
      </c>
    </row>
    <row r="15" spans="1:21">
      <c r="A15" s="5" t="s">
        <v>99</v>
      </c>
      <c r="B15">
        <v>1</v>
      </c>
      <c r="C15">
        <v>6</v>
      </c>
      <c r="D15">
        <v>7</v>
      </c>
      <c r="G15" s="5" t="s">
        <v>27</v>
      </c>
      <c r="H15">
        <f t="shared" si="0"/>
        <v>24</v>
      </c>
      <c r="I15">
        <f t="shared" si="1"/>
        <v>26</v>
      </c>
      <c r="K15">
        <f>VLOOKUP(G15,'Resumen Estudiantes y Profesore'!$B$3:$Y$171,19,0)</f>
        <v>24</v>
      </c>
      <c r="L15">
        <f>VLOOKUP(G15,'Resumen Estudiantes y Profesore'!$B$3:$Y$171,12,0)</f>
        <v>26</v>
      </c>
      <c r="N15">
        <f t="shared" si="2"/>
        <v>0</v>
      </c>
      <c r="O15">
        <f t="shared" si="3"/>
        <v>0</v>
      </c>
      <c r="Q15">
        <f>VLOOKUP(G15,'Resumen Estudiantes y Profesore'!$B$3:$Y$171,17,0)</f>
        <v>0</v>
      </c>
      <c r="R15" t="str">
        <f>VLOOKUP(G15,'Resumen Estudiantes y Profesore'!$B$3:$Y$171,10,0)</f>
        <v>Encuesta</v>
      </c>
      <c r="T15">
        <f t="shared" si="4"/>
        <v>-24</v>
      </c>
      <c r="U15" t="e">
        <f t="shared" si="5"/>
        <v>#VALUE!</v>
      </c>
    </row>
    <row r="16" spans="1:21">
      <c r="A16" s="5" t="s">
        <v>101</v>
      </c>
      <c r="C16">
        <v>4</v>
      </c>
      <c r="D16">
        <v>4</v>
      </c>
      <c r="G16" s="5" t="s">
        <v>98</v>
      </c>
      <c r="H16">
        <f t="shared" si="0"/>
        <v>0</v>
      </c>
      <c r="I16">
        <f t="shared" si="1"/>
        <v>8</v>
      </c>
      <c r="K16">
        <f>VLOOKUP(G16,'Resumen Estudiantes y Profesore'!$B$3:$Y$171,19,0)</f>
        <v>0</v>
      </c>
      <c r="L16">
        <f>VLOOKUP(G16,'Resumen Estudiantes y Profesore'!$B$3:$Y$171,12,0)</f>
        <v>8</v>
      </c>
      <c r="N16">
        <f t="shared" si="2"/>
        <v>0</v>
      </c>
      <c r="O16">
        <f t="shared" si="3"/>
        <v>0</v>
      </c>
      <c r="Q16">
        <f>VLOOKUP(G16,'Resumen Estudiantes y Profesore'!$B$3:$Y$171,17,0)</f>
        <v>0</v>
      </c>
      <c r="R16" t="str">
        <f>VLOOKUP(G16,'Resumen Estudiantes y Profesore'!$B$3:$Y$171,10,0)</f>
        <v>Encuesta</v>
      </c>
      <c r="T16">
        <f t="shared" si="4"/>
        <v>0</v>
      </c>
      <c r="U16" t="e">
        <f t="shared" si="5"/>
        <v>#VALUE!</v>
      </c>
    </row>
    <row r="17" spans="1:21">
      <c r="A17" s="5" t="s">
        <v>102</v>
      </c>
      <c r="C17">
        <v>3</v>
      </c>
      <c r="D17">
        <v>3</v>
      </c>
      <c r="G17" s="5" t="s">
        <v>99</v>
      </c>
      <c r="H17">
        <f t="shared" si="0"/>
        <v>1</v>
      </c>
      <c r="I17">
        <f t="shared" si="1"/>
        <v>6</v>
      </c>
      <c r="K17">
        <f>VLOOKUP(G17,'Resumen Estudiantes y Profesore'!$B$3:$Y$171,19,0)</f>
        <v>1</v>
      </c>
      <c r="L17">
        <f>VLOOKUP(G17,'Resumen Estudiantes y Profesore'!$B$3:$Y$171,12,0)</f>
        <v>10</v>
      </c>
      <c r="N17">
        <f t="shared" si="2"/>
        <v>0</v>
      </c>
      <c r="O17">
        <f t="shared" si="3"/>
        <v>-4</v>
      </c>
      <c r="Q17">
        <f>VLOOKUP(G17,'Resumen Estudiantes y Profesore'!$B$3:$Y$171,17,0)</f>
        <v>0.22453655975512465</v>
      </c>
      <c r="R17" t="str">
        <f>VLOOKUP(G17,'Resumen Estudiantes y Profesore'!$B$3:$Y$171,10,0)</f>
        <v xml:space="preserve">Sondeo </v>
      </c>
      <c r="T17">
        <f t="shared" si="4"/>
        <v>-0.77546344024487535</v>
      </c>
      <c r="U17" t="e">
        <f t="shared" si="5"/>
        <v>#VALUE!</v>
      </c>
    </row>
    <row r="18" spans="1:21">
      <c r="A18" s="5" t="s">
        <v>103</v>
      </c>
      <c r="C18">
        <v>5</v>
      </c>
      <c r="D18">
        <v>5</v>
      </c>
      <c r="G18" s="5" t="s">
        <v>101</v>
      </c>
      <c r="H18">
        <f t="shared" si="0"/>
        <v>0</v>
      </c>
      <c r="I18">
        <f t="shared" si="1"/>
        <v>4</v>
      </c>
      <c r="K18">
        <f>VLOOKUP(G18,'Resumen Estudiantes y Profesore'!$B$3:$Y$171,19,0)</f>
        <v>0</v>
      </c>
      <c r="L18">
        <f>VLOOKUP(G18,'Resumen Estudiantes y Profesore'!$B$3:$Y$171,12,0)</f>
        <v>5</v>
      </c>
      <c r="N18">
        <f t="shared" si="2"/>
        <v>0</v>
      </c>
      <c r="O18">
        <f t="shared" si="3"/>
        <v>-1</v>
      </c>
      <c r="Q18">
        <f>VLOOKUP(G18,'Resumen Estudiantes y Profesore'!$B$3:$Y$171,17,0)</f>
        <v>0.20624999999999999</v>
      </c>
      <c r="R18" t="str">
        <f>VLOOKUP(G18,'Resumen Estudiantes y Profesore'!$B$3:$Y$171,10,0)</f>
        <v>Sondeo</v>
      </c>
      <c r="T18">
        <f t="shared" si="4"/>
        <v>0.20624999999999999</v>
      </c>
      <c r="U18" t="e">
        <f t="shared" si="5"/>
        <v>#VALUE!</v>
      </c>
    </row>
    <row r="19" spans="1:21">
      <c r="A19" s="5" t="s">
        <v>104</v>
      </c>
      <c r="B19">
        <v>2</v>
      </c>
      <c r="C19">
        <v>4</v>
      </c>
      <c r="D19">
        <v>6</v>
      </c>
      <c r="G19" s="5" t="s">
        <v>102</v>
      </c>
      <c r="H19">
        <f t="shared" si="0"/>
        <v>0</v>
      </c>
      <c r="I19">
        <f t="shared" si="1"/>
        <v>3</v>
      </c>
      <c r="K19">
        <f>VLOOKUP(G19,'Resumen Estudiantes y Profesore'!$B$3:$Y$171,19,0)</f>
        <v>1</v>
      </c>
      <c r="L19">
        <f>VLOOKUP(G19,'Resumen Estudiantes y Profesore'!$B$3:$Y$171,12,0)</f>
        <v>3</v>
      </c>
      <c r="N19">
        <f t="shared" si="2"/>
        <v>-1</v>
      </c>
      <c r="O19">
        <f t="shared" si="3"/>
        <v>0</v>
      </c>
      <c r="Q19">
        <f>VLOOKUP(G19,'Resumen Estudiantes y Profesore'!$B$3:$Y$171,17,0)</f>
        <v>0</v>
      </c>
      <c r="R19" t="str">
        <f>VLOOKUP(G19,'Resumen Estudiantes y Profesore'!$B$3:$Y$171,10,0)</f>
        <v>Sondeo</v>
      </c>
      <c r="T19">
        <f t="shared" si="4"/>
        <v>0</v>
      </c>
      <c r="U19" t="e">
        <f t="shared" si="5"/>
        <v>#VALUE!</v>
      </c>
    </row>
    <row r="20" spans="1:21">
      <c r="A20" s="5" t="s">
        <v>105</v>
      </c>
      <c r="C20">
        <v>5</v>
      </c>
      <c r="D20">
        <v>5</v>
      </c>
      <c r="G20" s="5" t="s">
        <v>103</v>
      </c>
      <c r="H20">
        <f t="shared" si="0"/>
        <v>0</v>
      </c>
      <c r="I20">
        <f t="shared" si="1"/>
        <v>5</v>
      </c>
      <c r="K20">
        <f>VLOOKUP(G20,'Resumen Estudiantes y Profesore'!$B$3:$Y$171,19,0)</f>
        <v>0</v>
      </c>
      <c r="L20">
        <f>VLOOKUP(G20,'Resumen Estudiantes y Profesore'!$B$3:$Y$171,12,0)</f>
        <v>6</v>
      </c>
      <c r="N20">
        <f t="shared" si="2"/>
        <v>0</v>
      </c>
      <c r="O20">
        <f t="shared" si="3"/>
        <v>-1</v>
      </c>
      <c r="Q20">
        <f>VLOOKUP(G20,'Resumen Estudiantes y Profesore'!$B$3:$Y$171,17,0)</f>
        <v>0.16499999999999998</v>
      </c>
      <c r="R20" t="str">
        <f>VLOOKUP(G20,'Resumen Estudiantes y Profesore'!$B$3:$Y$171,10,0)</f>
        <v>Encuesta</v>
      </c>
      <c r="T20">
        <f t="shared" si="4"/>
        <v>0.16499999999999998</v>
      </c>
      <c r="U20" t="e">
        <f t="shared" si="5"/>
        <v>#VALUE!</v>
      </c>
    </row>
    <row r="21" spans="1:21">
      <c r="A21" s="5" t="s">
        <v>106</v>
      </c>
      <c r="B21">
        <v>2</v>
      </c>
      <c r="C21">
        <v>4</v>
      </c>
      <c r="D21">
        <v>6</v>
      </c>
      <c r="G21" s="5" t="s">
        <v>104</v>
      </c>
      <c r="H21">
        <f t="shared" si="0"/>
        <v>2</v>
      </c>
      <c r="I21">
        <f t="shared" si="1"/>
        <v>4</v>
      </c>
      <c r="K21">
        <f>VLOOKUP(G21,'Resumen Estudiantes y Profesore'!$B$3:$Y$171,19,0)</f>
        <v>2</v>
      </c>
      <c r="L21">
        <f>VLOOKUP(G21,'Resumen Estudiantes y Profesore'!$B$3:$Y$171,12,0)</f>
        <v>4</v>
      </c>
      <c r="N21">
        <f t="shared" si="2"/>
        <v>0</v>
      </c>
      <c r="O21">
        <f t="shared" si="3"/>
        <v>0</v>
      </c>
      <c r="Q21">
        <f>VLOOKUP(G21,'Resumen Estudiantes y Profesore'!$B$3:$Y$171,17,0)</f>
        <v>0</v>
      </c>
      <c r="R21" t="str">
        <f>VLOOKUP(G21,'Resumen Estudiantes y Profesore'!$B$3:$Y$171,10,0)</f>
        <v>Encuesta</v>
      </c>
      <c r="T21">
        <f t="shared" si="4"/>
        <v>-2</v>
      </c>
      <c r="U21" t="e">
        <f t="shared" si="5"/>
        <v>#VALUE!</v>
      </c>
    </row>
    <row r="22" spans="1:21">
      <c r="A22" s="5" t="s">
        <v>108</v>
      </c>
      <c r="C22">
        <v>2</v>
      </c>
      <c r="D22">
        <v>2</v>
      </c>
      <c r="G22" s="5" t="s">
        <v>105</v>
      </c>
      <c r="H22">
        <f t="shared" si="0"/>
        <v>0</v>
      </c>
      <c r="I22">
        <f t="shared" si="1"/>
        <v>5</v>
      </c>
      <c r="K22">
        <f>VLOOKUP(G22,'Resumen Estudiantes y Profesore'!$B$3:$Y$171,19,0)</f>
        <v>0</v>
      </c>
      <c r="L22">
        <f>VLOOKUP(G22,'Resumen Estudiantes y Profesore'!$B$3:$Y$171,12,0)</f>
        <v>5</v>
      </c>
      <c r="N22">
        <f t="shared" si="2"/>
        <v>0</v>
      </c>
      <c r="O22">
        <f t="shared" si="3"/>
        <v>0</v>
      </c>
      <c r="Q22">
        <f>VLOOKUP(G22,'Resumen Estudiantes y Profesore'!$B$3:$Y$171,17,0)</f>
        <v>0</v>
      </c>
      <c r="R22" t="str">
        <f>VLOOKUP(G22,'Resumen Estudiantes y Profesore'!$B$3:$Y$171,10,0)</f>
        <v>Sondeo</v>
      </c>
      <c r="T22">
        <f t="shared" si="4"/>
        <v>0</v>
      </c>
      <c r="U22" t="e">
        <f t="shared" si="5"/>
        <v>#VALUE!</v>
      </c>
    </row>
    <row r="23" spans="1:21">
      <c r="A23" s="5" t="s">
        <v>107</v>
      </c>
      <c r="B23">
        <v>1</v>
      </c>
      <c r="C23">
        <v>5</v>
      </c>
      <c r="D23">
        <v>6</v>
      </c>
      <c r="G23" s="5" t="s">
        <v>106</v>
      </c>
      <c r="H23">
        <f t="shared" si="0"/>
        <v>2</v>
      </c>
      <c r="I23">
        <f t="shared" si="1"/>
        <v>4</v>
      </c>
      <c r="K23">
        <f>VLOOKUP(G23,'Resumen Estudiantes y Profesore'!$B$3:$Y$171,19,0)</f>
        <v>2</v>
      </c>
      <c r="L23">
        <f>VLOOKUP(G23,'Resumen Estudiantes y Profesore'!$B$3:$Y$171,12,0)</f>
        <v>4</v>
      </c>
      <c r="N23">
        <f t="shared" si="2"/>
        <v>0</v>
      </c>
      <c r="O23">
        <f t="shared" si="3"/>
        <v>0</v>
      </c>
      <c r="Q23">
        <f>VLOOKUP(G23,'Resumen Estudiantes y Profesore'!$B$3:$Y$171,17,0)</f>
        <v>0</v>
      </c>
      <c r="R23" t="str">
        <f>VLOOKUP(G23,'Resumen Estudiantes y Profesore'!$B$3:$Y$171,10,0)</f>
        <v>Sondeo</v>
      </c>
      <c r="T23">
        <f t="shared" si="4"/>
        <v>-2</v>
      </c>
      <c r="U23" t="e">
        <f t="shared" si="5"/>
        <v>#VALUE!</v>
      </c>
    </row>
    <row r="24" spans="1:21">
      <c r="A24" s="5" t="s">
        <v>233</v>
      </c>
      <c r="B24">
        <v>10</v>
      </c>
      <c r="C24">
        <v>7</v>
      </c>
      <c r="D24">
        <v>17</v>
      </c>
      <c r="G24" s="5" t="s">
        <v>108</v>
      </c>
      <c r="H24">
        <f t="shared" si="0"/>
        <v>0</v>
      </c>
      <c r="I24">
        <f t="shared" si="1"/>
        <v>2</v>
      </c>
      <c r="K24">
        <f>VLOOKUP(G24,'Resumen Estudiantes y Profesore'!$B$3:$Y$171,19,0)</f>
        <v>0</v>
      </c>
      <c r="L24">
        <f>VLOOKUP(G24,'Resumen Estudiantes y Profesore'!$B$3:$Y$171,12,0)</f>
        <v>2</v>
      </c>
      <c r="N24">
        <f t="shared" si="2"/>
        <v>0</v>
      </c>
      <c r="O24">
        <f t="shared" si="3"/>
        <v>0</v>
      </c>
      <c r="Q24">
        <f>VLOOKUP(G24,'Resumen Estudiantes y Profesore'!$B$3:$Y$171,17,0)</f>
        <v>0</v>
      </c>
      <c r="R24" t="str">
        <f>VLOOKUP(G24,'Resumen Estudiantes y Profesore'!$B$3:$Y$171,10,0)</f>
        <v>Encuesta</v>
      </c>
      <c r="T24">
        <f t="shared" si="4"/>
        <v>0</v>
      </c>
      <c r="U24" t="e">
        <f t="shared" si="5"/>
        <v>#VALUE!</v>
      </c>
    </row>
    <row r="25" spans="1:21">
      <c r="A25" s="5" t="s">
        <v>29</v>
      </c>
      <c r="B25">
        <v>5</v>
      </c>
      <c r="C25">
        <v>14</v>
      </c>
      <c r="D25">
        <v>19</v>
      </c>
      <c r="G25" s="5" t="s">
        <v>107</v>
      </c>
      <c r="H25">
        <f t="shared" si="0"/>
        <v>1</v>
      </c>
      <c r="I25">
        <f t="shared" si="1"/>
        <v>5</v>
      </c>
      <c r="K25">
        <f>VLOOKUP(G25,'Resumen Estudiantes y Profesore'!$B$3:$Y$171,19,0)</f>
        <v>4</v>
      </c>
      <c r="L25">
        <f>VLOOKUP(G25,'Resumen Estudiantes y Profesore'!$B$3:$Y$171,12,0)</f>
        <v>10</v>
      </c>
      <c r="N25">
        <f t="shared" si="2"/>
        <v>-3</v>
      </c>
      <c r="O25">
        <f t="shared" si="3"/>
        <v>-5</v>
      </c>
      <c r="Q25">
        <f>VLOOKUP(G25,'Resumen Estudiantes y Profesore'!$B$3:$Y$171,17,0)</f>
        <v>0.27500000000000002</v>
      </c>
      <c r="R25" t="str">
        <f>VLOOKUP(G25,'Resumen Estudiantes y Profesore'!$B$3:$Y$171,10,0)</f>
        <v>Encuesta</v>
      </c>
      <c r="T25">
        <f t="shared" si="4"/>
        <v>-0.72499999999999998</v>
      </c>
      <c r="U25" t="e">
        <f t="shared" si="5"/>
        <v>#VALUE!</v>
      </c>
    </row>
    <row r="26" spans="1:21">
      <c r="A26" s="5" t="s">
        <v>109</v>
      </c>
      <c r="C26">
        <v>1</v>
      </c>
      <c r="D26">
        <v>1</v>
      </c>
      <c r="G26" s="5" t="s">
        <v>233</v>
      </c>
      <c r="H26">
        <f t="shared" si="0"/>
        <v>10</v>
      </c>
      <c r="I26">
        <f t="shared" si="1"/>
        <v>7</v>
      </c>
      <c r="K26">
        <f>VLOOKUP(G26,'Resumen Estudiantes y Profesore'!$B$3:$Y$171,19,0)</f>
        <v>13</v>
      </c>
      <c r="L26">
        <f>VLOOKUP(G26,'Resumen Estudiantes y Profesore'!$B$3:$Y$171,12,0)</f>
        <v>7</v>
      </c>
      <c r="N26">
        <f t="shared" si="2"/>
        <v>-3</v>
      </c>
      <c r="O26">
        <f t="shared" si="3"/>
        <v>0</v>
      </c>
      <c r="Q26">
        <f>VLOOKUP(G26,'Resumen Estudiantes y Profesore'!$B$3:$Y$171,17,0)</f>
        <v>0</v>
      </c>
      <c r="R26">
        <f>VLOOKUP(G26,'Resumen Estudiantes y Profesore'!$B$3:$Y$171,10,0)</f>
        <v>0</v>
      </c>
      <c r="T26">
        <f t="shared" si="4"/>
        <v>-10</v>
      </c>
      <c r="U26">
        <f t="shared" si="5"/>
        <v>-7</v>
      </c>
    </row>
    <row r="27" spans="1:21">
      <c r="A27" s="5" t="s">
        <v>110</v>
      </c>
      <c r="B27">
        <v>2</v>
      </c>
      <c r="C27">
        <v>3</v>
      </c>
      <c r="D27">
        <v>5</v>
      </c>
      <c r="G27" s="5" t="s">
        <v>29</v>
      </c>
      <c r="H27">
        <f t="shared" si="0"/>
        <v>5</v>
      </c>
      <c r="I27">
        <f t="shared" si="1"/>
        <v>14</v>
      </c>
      <c r="K27">
        <f>VLOOKUP(G27,'Resumen Estudiantes y Profesore'!$B$3:$Y$171,19,0)</f>
        <v>6</v>
      </c>
      <c r="L27">
        <f>VLOOKUP(G27,'Resumen Estudiantes y Profesore'!$B$3:$Y$171,12,0)</f>
        <v>14</v>
      </c>
      <c r="N27">
        <f t="shared" si="2"/>
        <v>-1</v>
      </c>
      <c r="O27">
        <f t="shared" si="3"/>
        <v>0</v>
      </c>
      <c r="Q27">
        <f>VLOOKUP(G27,'Resumen Estudiantes y Profesore'!$B$3:$Y$171,17,0)</f>
        <v>0</v>
      </c>
      <c r="R27" t="str">
        <f>VLOOKUP(G27,'Resumen Estudiantes y Profesore'!$B$3:$Y$171,10,0)</f>
        <v>Encuesta</v>
      </c>
      <c r="T27">
        <f t="shared" si="4"/>
        <v>-5</v>
      </c>
      <c r="U27" t="e">
        <f t="shared" si="5"/>
        <v>#VALUE!</v>
      </c>
    </row>
    <row r="28" spans="1:21">
      <c r="A28" s="5" t="s">
        <v>129</v>
      </c>
      <c r="B28">
        <v>3</v>
      </c>
      <c r="C28">
        <v>1</v>
      </c>
      <c r="D28">
        <v>4</v>
      </c>
      <c r="G28" s="5" t="s">
        <v>109</v>
      </c>
      <c r="H28">
        <f t="shared" si="0"/>
        <v>0</v>
      </c>
      <c r="I28">
        <f t="shared" si="1"/>
        <v>1</v>
      </c>
      <c r="K28">
        <f>VLOOKUP(G28,'Resumen Estudiantes y Profesore'!$B$3:$Y$171,19,0)</f>
        <v>0</v>
      </c>
      <c r="L28">
        <f>VLOOKUP(G28,'Resumen Estudiantes y Profesore'!$B$3:$Y$171,12,0)</f>
        <v>1</v>
      </c>
      <c r="N28">
        <f t="shared" si="2"/>
        <v>0</v>
      </c>
      <c r="O28">
        <f t="shared" si="3"/>
        <v>0</v>
      </c>
      <c r="Q28">
        <f>VLOOKUP(G28,'Resumen Estudiantes y Profesore'!$B$3:$Y$171,17,0)</f>
        <v>0</v>
      </c>
      <c r="R28" t="str">
        <f>VLOOKUP(G28,'Resumen Estudiantes y Profesore'!$B$3:$Y$171,10,0)</f>
        <v>Sondeo</v>
      </c>
      <c r="T28">
        <f t="shared" si="4"/>
        <v>0</v>
      </c>
      <c r="U28" t="e">
        <f t="shared" si="5"/>
        <v>#VALUE!</v>
      </c>
    </row>
    <row r="29" spans="1:21">
      <c r="A29" s="5" t="s">
        <v>176</v>
      </c>
      <c r="B29">
        <v>2</v>
      </c>
      <c r="D29">
        <v>2</v>
      </c>
      <c r="G29" s="5" t="s">
        <v>110</v>
      </c>
      <c r="H29">
        <f t="shared" si="0"/>
        <v>2</v>
      </c>
      <c r="I29">
        <f t="shared" si="1"/>
        <v>3</v>
      </c>
      <c r="K29">
        <f>VLOOKUP(G29,'Resumen Estudiantes y Profesore'!$B$3:$Y$171,19,0)</f>
        <v>3</v>
      </c>
      <c r="L29">
        <f>VLOOKUP(G29,'Resumen Estudiantes y Profesore'!$B$3:$Y$171,12,0)</f>
        <v>3</v>
      </c>
      <c r="N29">
        <f t="shared" si="2"/>
        <v>-1</v>
      </c>
      <c r="O29">
        <f t="shared" si="3"/>
        <v>0</v>
      </c>
      <c r="Q29">
        <f>VLOOKUP(G29,'Resumen Estudiantes y Profesore'!$B$3:$Y$171,17,0)</f>
        <v>0</v>
      </c>
      <c r="R29" t="str">
        <f>VLOOKUP(G29,'Resumen Estudiantes y Profesore'!$B$3:$Y$171,10,0)</f>
        <v>Encuesta</v>
      </c>
      <c r="T29">
        <f t="shared" si="4"/>
        <v>-2</v>
      </c>
      <c r="U29" t="e">
        <f t="shared" si="5"/>
        <v>#VALUE!</v>
      </c>
    </row>
    <row r="30" spans="1:21">
      <c r="A30" s="5" t="s">
        <v>177</v>
      </c>
      <c r="B30">
        <v>3</v>
      </c>
      <c r="D30">
        <v>3</v>
      </c>
      <c r="G30" s="5" t="s">
        <v>129</v>
      </c>
      <c r="H30">
        <f t="shared" si="0"/>
        <v>3</v>
      </c>
      <c r="I30">
        <f t="shared" si="1"/>
        <v>1</v>
      </c>
      <c r="K30">
        <f>VLOOKUP(G30,'Resumen Estudiantes y Profesore'!$B$3:$Y$171,19,0)</f>
        <v>8</v>
      </c>
      <c r="L30">
        <f>VLOOKUP(G30,'Resumen Estudiantes y Profesore'!$B$3:$Y$171,12,0)</f>
        <v>2</v>
      </c>
      <c r="N30">
        <f t="shared" si="2"/>
        <v>-5</v>
      </c>
      <c r="O30">
        <f t="shared" si="3"/>
        <v>-1</v>
      </c>
      <c r="Q30">
        <f>VLOOKUP(G30,'Resumen Estudiantes y Profesore'!$B$3:$Y$171,17,0)</f>
        <v>0.82499999999999996</v>
      </c>
      <c r="R30" t="str">
        <f>VLOOKUP(G30,'Resumen Estudiantes y Profesore'!$B$3:$Y$171,10,0)</f>
        <v>Sondeo</v>
      </c>
      <c r="T30">
        <f t="shared" si="4"/>
        <v>-2.1749999999999998</v>
      </c>
      <c r="U30" t="e">
        <f t="shared" si="5"/>
        <v>#VALUE!</v>
      </c>
    </row>
    <row r="31" spans="1:21">
      <c r="A31" s="5" t="s">
        <v>111</v>
      </c>
      <c r="B31">
        <v>1</v>
      </c>
      <c r="C31">
        <v>1</v>
      </c>
      <c r="D31">
        <v>2</v>
      </c>
      <c r="G31" s="5" t="s">
        <v>176</v>
      </c>
      <c r="H31">
        <f t="shared" si="0"/>
        <v>2</v>
      </c>
      <c r="I31">
        <f t="shared" si="1"/>
        <v>0</v>
      </c>
      <c r="K31">
        <f>VLOOKUP(G31,'Resumen Estudiantes y Profesore'!$B$3:$Y$171,19,0)</f>
        <v>5</v>
      </c>
      <c r="L31">
        <f>VLOOKUP(G31,'Resumen Estudiantes y Profesore'!$B$3:$Y$171,12,0)</f>
        <v>0</v>
      </c>
      <c r="N31">
        <f t="shared" si="2"/>
        <v>-3</v>
      </c>
      <c r="O31">
        <f t="shared" si="3"/>
        <v>0</v>
      </c>
      <c r="Q31" t="str">
        <f>VLOOKUP(G31,'Resumen Estudiantes y Profesore'!$B$3:$Y$171,17,0)</f>
        <v/>
      </c>
      <c r="R31">
        <f>VLOOKUP(G31,'Resumen Estudiantes y Profesore'!$B$3:$Y$171,10,0)</f>
        <v>0</v>
      </c>
      <c r="T31" t="e">
        <f t="shared" si="4"/>
        <v>#VALUE!</v>
      </c>
      <c r="U31">
        <f t="shared" si="5"/>
        <v>0</v>
      </c>
    </row>
    <row r="32" spans="1:21">
      <c r="A32" s="5" t="s">
        <v>131</v>
      </c>
      <c r="B32">
        <v>7</v>
      </c>
      <c r="D32">
        <v>7</v>
      </c>
      <c r="G32" s="5" t="s">
        <v>177</v>
      </c>
      <c r="H32">
        <f t="shared" si="0"/>
        <v>3</v>
      </c>
      <c r="I32">
        <f t="shared" si="1"/>
        <v>0</v>
      </c>
      <c r="K32">
        <f>VLOOKUP(G32,'Resumen Estudiantes y Profesore'!$B$3:$Y$171,19,0)</f>
        <v>9</v>
      </c>
      <c r="L32">
        <f>VLOOKUP(G32,'Resumen Estudiantes y Profesore'!$B$3:$Y$171,12,0)</f>
        <v>0</v>
      </c>
      <c r="N32">
        <f t="shared" si="2"/>
        <v>-6</v>
      </c>
      <c r="O32">
        <f t="shared" si="3"/>
        <v>0</v>
      </c>
      <c r="Q32" t="str">
        <f>VLOOKUP(G32,'Resumen Estudiantes y Profesore'!$B$3:$Y$171,17,0)</f>
        <v/>
      </c>
      <c r="R32" t="str">
        <f>VLOOKUP(G32,'Resumen Estudiantes y Profesore'!$B$3:$Y$171,10,0)</f>
        <v>Sondeo</v>
      </c>
      <c r="T32" t="e">
        <f t="shared" si="4"/>
        <v>#VALUE!</v>
      </c>
      <c r="U32" t="e">
        <f t="shared" si="5"/>
        <v>#VALUE!</v>
      </c>
    </row>
    <row r="33" spans="1:21">
      <c r="A33" s="5" t="s">
        <v>132</v>
      </c>
      <c r="B33">
        <v>3</v>
      </c>
      <c r="D33">
        <v>3</v>
      </c>
      <c r="G33" s="5" t="s">
        <v>111</v>
      </c>
      <c r="H33">
        <f t="shared" si="0"/>
        <v>1</v>
      </c>
      <c r="I33">
        <f t="shared" si="1"/>
        <v>1</v>
      </c>
      <c r="K33">
        <f>VLOOKUP(G33,'Resumen Estudiantes y Profesore'!$B$3:$Y$171,19,0)</f>
        <v>1</v>
      </c>
      <c r="L33">
        <f>VLOOKUP(G33,'Resumen Estudiantes y Profesore'!$B$3:$Y$171,12,0)</f>
        <v>1</v>
      </c>
      <c r="N33">
        <f t="shared" si="2"/>
        <v>0</v>
      </c>
      <c r="O33">
        <f t="shared" si="3"/>
        <v>0</v>
      </c>
      <c r="Q33">
        <f>VLOOKUP(G33,'Resumen Estudiantes y Profesore'!$B$3:$Y$171,17,0)</f>
        <v>0</v>
      </c>
      <c r="R33" t="str">
        <f>VLOOKUP(G33,'Resumen Estudiantes y Profesore'!$B$3:$Y$171,10,0)</f>
        <v>Encuesta</v>
      </c>
      <c r="T33">
        <f t="shared" si="4"/>
        <v>-1</v>
      </c>
      <c r="U33" t="e">
        <f t="shared" si="5"/>
        <v>#VALUE!</v>
      </c>
    </row>
    <row r="34" spans="1:21">
      <c r="A34" s="5" t="s">
        <v>137</v>
      </c>
      <c r="B34">
        <v>5</v>
      </c>
      <c r="D34">
        <v>5</v>
      </c>
      <c r="G34" s="5" t="s">
        <v>130</v>
      </c>
      <c r="H34">
        <f t="shared" si="0"/>
        <v>0</v>
      </c>
      <c r="I34">
        <f t="shared" si="1"/>
        <v>0</v>
      </c>
      <c r="K34">
        <f>VLOOKUP(G34,'Resumen Estudiantes y Profesore'!$B$3:$Y$171,19,0)</f>
        <v>2</v>
      </c>
      <c r="L34">
        <f>VLOOKUP(G34,'Resumen Estudiantes y Profesore'!$B$3:$Y$171,12,0)</f>
        <v>0</v>
      </c>
      <c r="N34">
        <f t="shared" si="2"/>
        <v>-2</v>
      </c>
      <c r="O34">
        <f t="shared" si="3"/>
        <v>0</v>
      </c>
      <c r="Q34" t="str">
        <f>VLOOKUP(G34,'Resumen Estudiantes y Profesore'!$B$3:$Y$171,17,0)</f>
        <v/>
      </c>
      <c r="R34" t="str">
        <f>VLOOKUP(G34,'Resumen Estudiantes y Profesore'!$B$3:$Y$171,10,0)</f>
        <v>Sondeo</v>
      </c>
      <c r="T34" t="e">
        <f t="shared" si="4"/>
        <v>#VALUE!</v>
      </c>
      <c r="U34" t="e">
        <f t="shared" si="5"/>
        <v>#VALUE!</v>
      </c>
    </row>
    <row r="35" spans="1:21">
      <c r="A35" s="5" t="s">
        <v>153</v>
      </c>
      <c r="B35">
        <v>5</v>
      </c>
      <c r="C35">
        <v>9</v>
      </c>
      <c r="D35">
        <v>14</v>
      </c>
      <c r="G35" s="5" t="s">
        <v>131</v>
      </c>
      <c r="H35">
        <f t="shared" si="0"/>
        <v>7</v>
      </c>
      <c r="I35">
        <f t="shared" si="1"/>
        <v>0</v>
      </c>
      <c r="K35">
        <f>VLOOKUP(G35,'Resumen Estudiantes y Profesore'!$B$3:$Y$171,19,0)</f>
        <v>16</v>
      </c>
      <c r="L35">
        <f>VLOOKUP(G35,'Resumen Estudiantes y Profesore'!$B$3:$Y$171,12,0)</f>
        <v>0</v>
      </c>
      <c r="N35">
        <f t="shared" si="2"/>
        <v>-9</v>
      </c>
      <c r="O35">
        <f t="shared" si="3"/>
        <v>0</v>
      </c>
      <c r="Q35" t="str">
        <f>VLOOKUP(G35,'Resumen Estudiantes y Profesore'!$B$3:$Y$171,17,0)</f>
        <v/>
      </c>
      <c r="R35" t="str">
        <f>VLOOKUP(G35,'Resumen Estudiantes y Profesore'!$B$3:$Y$171,10,0)</f>
        <v>Sondeo</v>
      </c>
      <c r="T35" t="e">
        <f t="shared" si="4"/>
        <v>#VALUE!</v>
      </c>
      <c r="U35" t="e">
        <f t="shared" si="5"/>
        <v>#VALUE!</v>
      </c>
    </row>
    <row r="36" spans="1:21">
      <c r="A36" s="5" t="s">
        <v>114</v>
      </c>
      <c r="B36">
        <v>2</v>
      </c>
      <c r="C36">
        <v>2</v>
      </c>
      <c r="D36">
        <v>4</v>
      </c>
      <c r="G36" s="5" t="s">
        <v>132</v>
      </c>
      <c r="H36">
        <f t="shared" si="0"/>
        <v>3</v>
      </c>
      <c r="I36">
        <f t="shared" si="1"/>
        <v>0</v>
      </c>
      <c r="K36">
        <f>VLOOKUP(G36,'Resumen Estudiantes y Profesore'!$B$3:$Y$171,19,0)</f>
        <v>5</v>
      </c>
      <c r="L36">
        <f>VLOOKUP(G36,'Resumen Estudiantes y Profesore'!$B$3:$Y$171,12,0)</f>
        <v>1</v>
      </c>
      <c r="N36">
        <f t="shared" si="2"/>
        <v>-2</v>
      </c>
      <c r="O36">
        <f t="shared" si="3"/>
        <v>-1</v>
      </c>
      <c r="Q36" t="str">
        <f>VLOOKUP(G36,'Resumen Estudiantes y Profesore'!$B$3:$Y$171,17,0)</f>
        <v/>
      </c>
      <c r="R36" t="str">
        <f>VLOOKUP(G36,'Resumen Estudiantes y Profesore'!$B$3:$Y$171,10,0)</f>
        <v>Sondeo</v>
      </c>
      <c r="T36" t="e">
        <f t="shared" si="4"/>
        <v>#VALUE!</v>
      </c>
      <c r="U36" t="e">
        <f t="shared" si="5"/>
        <v>#VALUE!</v>
      </c>
    </row>
    <row r="37" spans="1:21">
      <c r="A37" s="5" t="s">
        <v>139</v>
      </c>
      <c r="B37">
        <v>6</v>
      </c>
      <c r="C37">
        <v>1</v>
      </c>
      <c r="D37">
        <v>7</v>
      </c>
      <c r="G37" s="5" t="s">
        <v>113</v>
      </c>
      <c r="H37">
        <f t="shared" si="0"/>
        <v>0</v>
      </c>
      <c r="I37">
        <f t="shared" si="1"/>
        <v>0</v>
      </c>
      <c r="K37">
        <f>VLOOKUP(G37,'Resumen Estudiantes y Profesore'!$B$3:$Y$171,19,0)</f>
        <v>1</v>
      </c>
      <c r="L37">
        <f>VLOOKUP(G37,'Resumen Estudiantes y Profesore'!$B$3:$Y$171,12,0)</f>
        <v>0</v>
      </c>
      <c r="N37">
        <f t="shared" si="2"/>
        <v>-1</v>
      </c>
      <c r="O37">
        <f t="shared" si="3"/>
        <v>0</v>
      </c>
      <c r="Q37" t="str">
        <f>VLOOKUP(G37,'Resumen Estudiantes y Profesore'!$B$3:$Y$171,17,0)</f>
        <v/>
      </c>
      <c r="R37" t="str">
        <f>VLOOKUP(G37,'Resumen Estudiantes y Profesore'!$B$3:$Y$171,10,0)</f>
        <v>Sondeo</v>
      </c>
      <c r="T37" t="e">
        <f t="shared" si="4"/>
        <v>#VALUE!</v>
      </c>
      <c r="U37" t="e">
        <f t="shared" si="5"/>
        <v>#VALUE!</v>
      </c>
    </row>
    <row r="38" spans="1:21">
      <c r="A38" s="5" t="s">
        <v>156</v>
      </c>
      <c r="B38">
        <v>2</v>
      </c>
      <c r="D38">
        <v>2</v>
      </c>
      <c r="G38" s="5" t="s">
        <v>137</v>
      </c>
      <c r="H38">
        <f t="shared" si="0"/>
        <v>5</v>
      </c>
      <c r="I38">
        <f t="shared" si="1"/>
        <v>0</v>
      </c>
      <c r="K38">
        <f>VLOOKUP(G38,'Resumen Estudiantes y Profesore'!$B$3:$Y$171,19,0)</f>
        <v>5</v>
      </c>
      <c r="L38">
        <f>VLOOKUP(G38,'Resumen Estudiantes y Profesore'!$B$3:$Y$171,12,0)</f>
        <v>0</v>
      </c>
      <c r="N38">
        <f t="shared" si="2"/>
        <v>0</v>
      </c>
      <c r="O38">
        <f t="shared" si="3"/>
        <v>0</v>
      </c>
      <c r="Q38" t="str">
        <f>VLOOKUP(G38,'Resumen Estudiantes y Profesore'!$B$3:$Y$171,17,0)</f>
        <v/>
      </c>
      <c r="R38" t="str">
        <f>VLOOKUP(G38,'Resumen Estudiantes y Profesore'!$B$3:$Y$171,10,0)</f>
        <v>Encuesta</v>
      </c>
      <c r="T38" t="e">
        <f t="shared" si="4"/>
        <v>#VALUE!</v>
      </c>
      <c r="U38" t="e">
        <f t="shared" si="5"/>
        <v>#VALUE!</v>
      </c>
    </row>
    <row r="39" spans="1:21">
      <c r="A39" s="5" t="s">
        <v>167</v>
      </c>
      <c r="B39">
        <v>3</v>
      </c>
      <c r="D39">
        <v>3</v>
      </c>
      <c r="G39" s="5" t="s">
        <v>153</v>
      </c>
      <c r="H39">
        <f t="shared" si="0"/>
        <v>5</v>
      </c>
      <c r="I39">
        <f t="shared" si="1"/>
        <v>9</v>
      </c>
      <c r="K39">
        <f>VLOOKUP(G39,'Resumen Estudiantes y Profesore'!$B$3:$Y$171,19,0)</f>
        <v>6</v>
      </c>
      <c r="L39">
        <f>VLOOKUP(G39,'Resumen Estudiantes y Profesore'!$B$3:$Y$171,12,0)</f>
        <v>10</v>
      </c>
      <c r="N39">
        <f t="shared" si="2"/>
        <v>-1</v>
      </c>
      <c r="O39">
        <f t="shared" si="3"/>
        <v>-1</v>
      </c>
      <c r="Q39">
        <f>VLOOKUP(G39,'Resumen Estudiantes y Profesore'!$B$3:$Y$171,17,0)</f>
        <v>9.166666666666666E-2</v>
      </c>
      <c r="R39" t="str">
        <f>VLOOKUP(G39,'Resumen Estudiantes y Profesore'!$B$3:$Y$171,10,0)</f>
        <v>Sondeo</v>
      </c>
      <c r="T39">
        <f t="shared" si="4"/>
        <v>-4.9083333333333332</v>
      </c>
      <c r="U39" t="e">
        <f t="shared" si="5"/>
        <v>#VALUE!</v>
      </c>
    </row>
    <row r="40" spans="1:21">
      <c r="A40" s="5" t="s">
        <v>168</v>
      </c>
      <c r="B40">
        <v>3</v>
      </c>
      <c r="C40">
        <v>2</v>
      </c>
      <c r="D40">
        <v>5</v>
      </c>
      <c r="G40" s="5" t="s">
        <v>114</v>
      </c>
      <c r="H40">
        <f t="shared" si="0"/>
        <v>2</v>
      </c>
      <c r="I40">
        <f t="shared" si="1"/>
        <v>2</v>
      </c>
      <c r="K40">
        <f>VLOOKUP(G40,'Resumen Estudiantes y Profesore'!$B$3:$Y$171,19,0)</f>
        <v>4</v>
      </c>
      <c r="L40">
        <f>VLOOKUP(G40,'Resumen Estudiantes y Profesore'!$B$3:$Y$171,12,0)</f>
        <v>3</v>
      </c>
      <c r="N40">
        <f t="shared" si="2"/>
        <v>-2</v>
      </c>
      <c r="O40">
        <f t="shared" si="3"/>
        <v>-1</v>
      </c>
      <c r="Q40">
        <f>VLOOKUP(G40,'Resumen Estudiantes y Profesore'!$B$3:$Y$171,17,0)</f>
        <v>0.41249999999999998</v>
      </c>
      <c r="R40" t="str">
        <f>VLOOKUP(G40,'Resumen Estudiantes y Profesore'!$B$3:$Y$171,10,0)</f>
        <v>Encuesta</v>
      </c>
      <c r="T40">
        <f t="shared" si="4"/>
        <v>-1.5874999999999999</v>
      </c>
      <c r="U40" t="e">
        <f t="shared" si="5"/>
        <v>#VALUE!</v>
      </c>
    </row>
    <row r="41" spans="1:21">
      <c r="A41" s="5" t="s">
        <v>140</v>
      </c>
      <c r="B41">
        <v>4</v>
      </c>
      <c r="C41">
        <v>1</v>
      </c>
      <c r="D41">
        <v>5</v>
      </c>
      <c r="G41" s="5" t="s">
        <v>139</v>
      </c>
      <c r="H41">
        <f t="shared" si="0"/>
        <v>6</v>
      </c>
      <c r="I41">
        <f t="shared" si="1"/>
        <v>1</v>
      </c>
      <c r="K41">
        <f>VLOOKUP(G41,'Resumen Estudiantes y Profesore'!$B$3:$Y$171,19,0)</f>
        <v>6</v>
      </c>
      <c r="L41">
        <f>VLOOKUP(G41,'Resumen Estudiantes y Profesore'!$B$3:$Y$171,12,0)</f>
        <v>1</v>
      </c>
      <c r="N41">
        <f t="shared" si="2"/>
        <v>0</v>
      </c>
      <c r="O41">
        <f t="shared" si="3"/>
        <v>0</v>
      </c>
      <c r="Q41">
        <f>VLOOKUP(G41,'Resumen Estudiantes y Profesore'!$B$3:$Y$171,17,0)</f>
        <v>0</v>
      </c>
      <c r="R41" t="str">
        <f>VLOOKUP(G41,'Resumen Estudiantes y Profesore'!$B$3:$Y$171,10,0)</f>
        <v>Encuesta</v>
      </c>
      <c r="T41">
        <f t="shared" si="4"/>
        <v>-6</v>
      </c>
      <c r="U41" t="e">
        <f t="shared" si="5"/>
        <v>#VALUE!</v>
      </c>
    </row>
    <row r="42" spans="1:21">
      <c r="A42" s="5" t="s">
        <v>166</v>
      </c>
      <c r="B42">
        <v>3</v>
      </c>
      <c r="D42">
        <v>3</v>
      </c>
      <c r="G42" s="5" t="s">
        <v>116</v>
      </c>
      <c r="H42">
        <f t="shared" si="0"/>
        <v>0</v>
      </c>
      <c r="I42">
        <f t="shared" si="1"/>
        <v>0</v>
      </c>
      <c r="K42">
        <f>VLOOKUP(G42,'Resumen Estudiantes y Profesore'!$B$3:$Y$171,19,0)</f>
        <v>1</v>
      </c>
      <c r="L42">
        <f>VLOOKUP(G42,'Resumen Estudiantes y Profesore'!$B$3:$Y$171,12,0)</f>
        <v>0</v>
      </c>
      <c r="N42">
        <f t="shared" si="2"/>
        <v>-1</v>
      </c>
      <c r="O42">
        <f t="shared" si="3"/>
        <v>0</v>
      </c>
      <c r="Q42" t="str">
        <f>VLOOKUP(G42,'Resumen Estudiantes y Profesore'!$B$3:$Y$171,17,0)</f>
        <v/>
      </c>
      <c r="R42" t="str">
        <f>VLOOKUP(G42,'Resumen Estudiantes y Profesore'!$B$3:$Y$171,10,0)</f>
        <v>Sondeo</v>
      </c>
      <c r="T42" t="e">
        <f t="shared" si="4"/>
        <v>#VALUE!</v>
      </c>
      <c r="U42" t="e">
        <f t="shared" si="5"/>
        <v>#VALUE!</v>
      </c>
    </row>
    <row r="43" spans="1:21">
      <c r="A43" s="5" t="s">
        <v>164</v>
      </c>
      <c r="B43">
        <v>1</v>
      </c>
      <c r="D43">
        <v>1</v>
      </c>
      <c r="G43" s="5" t="s">
        <v>156</v>
      </c>
      <c r="H43">
        <f t="shared" si="0"/>
        <v>2</v>
      </c>
      <c r="I43">
        <f t="shared" si="1"/>
        <v>0</v>
      </c>
      <c r="K43">
        <f>VLOOKUP(G43,'Resumen Estudiantes y Profesore'!$B$3:$Y$171,19,0)</f>
        <v>3</v>
      </c>
      <c r="L43">
        <f>VLOOKUP(G43,'Resumen Estudiantes y Profesore'!$B$3:$Y$171,12,0)</f>
        <v>0</v>
      </c>
      <c r="N43">
        <f t="shared" si="2"/>
        <v>-1</v>
      </c>
      <c r="O43">
        <f t="shared" si="3"/>
        <v>0</v>
      </c>
      <c r="Q43" t="str">
        <f>VLOOKUP(G43,'Resumen Estudiantes y Profesore'!$B$3:$Y$171,17,0)</f>
        <v/>
      </c>
      <c r="R43" t="str">
        <f>VLOOKUP(G43,'Resumen Estudiantes y Profesore'!$B$3:$Y$171,10,0)</f>
        <v>Encuesta</v>
      </c>
      <c r="T43" t="e">
        <f t="shared" si="4"/>
        <v>#VALUE!</v>
      </c>
      <c r="U43" t="e">
        <f t="shared" si="5"/>
        <v>#VALUE!</v>
      </c>
    </row>
    <row r="44" spans="1:21">
      <c r="A44" s="5" t="s">
        <v>135</v>
      </c>
      <c r="B44">
        <v>1</v>
      </c>
      <c r="D44">
        <v>1</v>
      </c>
      <c r="G44" s="5" t="s">
        <v>167</v>
      </c>
      <c r="H44">
        <f t="shared" si="0"/>
        <v>3</v>
      </c>
      <c r="I44">
        <f t="shared" si="1"/>
        <v>0</v>
      </c>
      <c r="K44">
        <f>VLOOKUP(G44,'Resumen Estudiantes y Profesore'!$B$3:$Y$171,19,0)</f>
        <v>3</v>
      </c>
      <c r="L44">
        <f>VLOOKUP(G44,'Resumen Estudiantes y Profesore'!$B$3:$Y$171,12,0)</f>
        <v>0</v>
      </c>
      <c r="N44">
        <f t="shared" si="2"/>
        <v>0</v>
      </c>
      <c r="O44">
        <f t="shared" si="3"/>
        <v>0</v>
      </c>
      <c r="Q44" t="str">
        <f>VLOOKUP(G44,'Resumen Estudiantes y Profesore'!$B$3:$Y$171,17,0)</f>
        <v/>
      </c>
      <c r="R44" t="str">
        <f>VLOOKUP(G44,'Resumen Estudiantes y Profesore'!$B$3:$Y$171,10,0)</f>
        <v>Encuesta</v>
      </c>
      <c r="T44" t="e">
        <f t="shared" si="4"/>
        <v>#VALUE!</v>
      </c>
      <c r="U44" t="e">
        <f t="shared" si="5"/>
        <v>#VALUE!</v>
      </c>
    </row>
    <row r="45" spans="1:21">
      <c r="A45" s="5" t="s">
        <v>141</v>
      </c>
      <c r="B45">
        <v>1</v>
      </c>
      <c r="C45">
        <v>1</v>
      </c>
      <c r="D45">
        <v>2</v>
      </c>
      <c r="G45" s="5" t="s">
        <v>168</v>
      </c>
      <c r="H45">
        <f t="shared" si="0"/>
        <v>3</v>
      </c>
      <c r="I45">
        <f t="shared" si="1"/>
        <v>2</v>
      </c>
      <c r="K45">
        <f>VLOOKUP(G45,'Resumen Estudiantes y Profesore'!$B$3:$Y$171,19,0)</f>
        <v>3</v>
      </c>
      <c r="L45">
        <f>VLOOKUP(G45,'Resumen Estudiantes y Profesore'!$B$3:$Y$171,12,0)</f>
        <v>2</v>
      </c>
      <c r="N45">
        <f t="shared" si="2"/>
        <v>0</v>
      </c>
      <c r="O45">
        <f t="shared" si="3"/>
        <v>0</v>
      </c>
      <c r="Q45">
        <f>VLOOKUP(G45,'Resumen Estudiantes y Profesore'!$B$3:$Y$171,17,0)</f>
        <v>0</v>
      </c>
      <c r="R45" t="str">
        <f>VLOOKUP(G45,'Resumen Estudiantes y Profesore'!$B$3:$Y$171,10,0)</f>
        <v>Encuesta</v>
      </c>
      <c r="T45">
        <f t="shared" si="4"/>
        <v>-3</v>
      </c>
      <c r="U45" t="e">
        <f t="shared" si="5"/>
        <v>#VALUE!</v>
      </c>
    </row>
    <row r="46" spans="1:21">
      <c r="A46" s="5" t="s">
        <v>155</v>
      </c>
      <c r="B46">
        <v>3</v>
      </c>
      <c r="D46">
        <v>3</v>
      </c>
      <c r="G46" s="5" t="s">
        <v>140</v>
      </c>
      <c r="H46">
        <f t="shared" si="0"/>
        <v>4</v>
      </c>
      <c r="I46">
        <f t="shared" si="1"/>
        <v>1</v>
      </c>
      <c r="K46">
        <f>VLOOKUP(G46,'Resumen Estudiantes y Profesore'!$B$3:$Y$171,19,0)</f>
        <v>4</v>
      </c>
      <c r="L46">
        <f>VLOOKUP(G46,'Resumen Estudiantes y Profesore'!$B$3:$Y$171,12,0)</f>
        <v>1</v>
      </c>
      <c r="N46">
        <f t="shared" si="2"/>
        <v>0</v>
      </c>
      <c r="O46">
        <f t="shared" si="3"/>
        <v>0</v>
      </c>
      <c r="Q46">
        <f>VLOOKUP(G46,'Resumen Estudiantes y Profesore'!$B$3:$Y$171,17,0)</f>
        <v>0</v>
      </c>
      <c r="R46" t="str">
        <f>VLOOKUP(G46,'Resumen Estudiantes y Profesore'!$B$3:$Y$171,10,0)</f>
        <v>Encuesta</v>
      </c>
      <c r="T46">
        <f t="shared" si="4"/>
        <v>-4</v>
      </c>
      <c r="U46" t="e">
        <f t="shared" si="5"/>
        <v>#VALUE!</v>
      </c>
    </row>
    <row r="47" spans="1:21">
      <c r="A47" s="5" t="s">
        <v>142</v>
      </c>
      <c r="B47">
        <v>2</v>
      </c>
      <c r="C47">
        <v>1</v>
      </c>
      <c r="D47">
        <v>3</v>
      </c>
      <c r="G47" s="5" t="s">
        <v>165</v>
      </c>
      <c r="H47">
        <f t="shared" si="0"/>
        <v>0</v>
      </c>
      <c r="I47">
        <f t="shared" si="1"/>
        <v>0</v>
      </c>
      <c r="K47">
        <f>VLOOKUP(G47,'Resumen Estudiantes y Profesore'!$B$3:$Y$171,19,0)</f>
        <v>3</v>
      </c>
      <c r="L47">
        <f>VLOOKUP(G47,'Resumen Estudiantes y Profesore'!$B$3:$Y$171,12,0)</f>
        <v>0</v>
      </c>
      <c r="N47">
        <f t="shared" si="2"/>
        <v>-3</v>
      </c>
      <c r="O47">
        <f t="shared" si="3"/>
        <v>0</v>
      </c>
      <c r="Q47" t="str">
        <f>VLOOKUP(G47,'Resumen Estudiantes y Profesore'!$B$3:$Y$171,17,0)</f>
        <v/>
      </c>
      <c r="R47">
        <f>VLOOKUP(G47,'Resumen Estudiantes y Profesore'!$B$3:$Y$171,10,0)</f>
        <v>0</v>
      </c>
      <c r="T47" t="e">
        <f t="shared" si="4"/>
        <v>#VALUE!</v>
      </c>
      <c r="U47">
        <f t="shared" si="5"/>
        <v>0</v>
      </c>
    </row>
    <row r="48" spans="1:21">
      <c r="A48" s="5" t="s">
        <v>143</v>
      </c>
      <c r="B48">
        <v>5</v>
      </c>
      <c r="D48">
        <v>5</v>
      </c>
      <c r="G48" s="5" t="s">
        <v>166</v>
      </c>
      <c r="H48">
        <f t="shared" si="0"/>
        <v>3</v>
      </c>
      <c r="I48">
        <f t="shared" si="1"/>
        <v>0</v>
      </c>
      <c r="K48">
        <f>VLOOKUP(G48,'Resumen Estudiantes y Profesore'!$B$3:$Y$171,19,0)</f>
        <v>3</v>
      </c>
      <c r="L48">
        <f>VLOOKUP(G48,'Resumen Estudiantes y Profesore'!$B$3:$Y$171,12,0)</f>
        <v>0</v>
      </c>
      <c r="N48">
        <f t="shared" si="2"/>
        <v>0</v>
      </c>
      <c r="O48">
        <f t="shared" si="3"/>
        <v>0</v>
      </c>
      <c r="Q48" t="str">
        <f>VLOOKUP(G48,'Resumen Estudiantes y Profesore'!$B$3:$Y$171,17,0)</f>
        <v/>
      </c>
      <c r="R48" t="str">
        <f>VLOOKUP(G48,'Resumen Estudiantes y Profesore'!$B$3:$Y$171,10,0)</f>
        <v>Sondeo</v>
      </c>
      <c r="T48" t="e">
        <f t="shared" si="4"/>
        <v>#VALUE!</v>
      </c>
      <c r="U48" t="e">
        <f t="shared" si="5"/>
        <v>#VALUE!</v>
      </c>
    </row>
    <row r="49" spans="1:21">
      <c r="A49" s="5" t="s">
        <v>144</v>
      </c>
      <c r="B49">
        <v>10</v>
      </c>
      <c r="D49">
        <v>10</v>
      </c>
      <c r="G49" s="5" t="s">
        <v>164</v>
      </c>
      <c r="H49">
        <f t="shared" si="0"/>
        <v>1</v>
      </c>
      <c r="I49">
        <f t="shared" si="1"/>
        <v>0</v>
      </c>
      <c r="K49">
        <f>VLOOKUP(G49,'Resumen Estudiantes y Profesore'!$B$3:$Y$171,19,0)</f>
        <v>2</v>
      </c>
      <c r="L49">
        <f>VLOOKUP(G49,'Resumen Estudiantes y Profesore'!$B$3:$Y$171,12,0)</f>
        <v>1</v>
      </c>
      <c r="N49">
        <f t="shared" si="2"/>
        <v>-1</v>
      </c>
      <c r="O49">
        <f t="shared" si="3"/>
        <v>-1</v>
      </c>
      <c r="Q49" t="str">
        <f>VLOOKUP(G49,'Resumen Estudiantes y Profesore'!$B$3:$Y$171,17,0)</f>
        <v/>
      </c>
      <c r="R49" t="str">
        <f>VLOOKUP(G49,'Resumen Estudiantes y Profesore'!$B$3:$Y$171,10,0)</f>
        <v>Sondeo</v>
      </c>
      <c r="T49" t="e">
        <f t="shared" si="4"/>
        <v>#VALUE!</v>
      </c>
      <c r="U49" t="e">
        <f t="shared" si="5"/>
        <v>#VALUE!</v>
      </c>
    </row>
    <row r="50" spans="1:21">
      <c r="A50" s="5" t="s">
        <v>136</v>
      </c>
      <c r="C50">
        <v>1</v>
      </c>
      <c r="D50">
        <v>1</v>
      </c>
      <c r="G50" s="5" t="s">
        <v>135</v>
      </c>
      <c r="H50">
        <f t="shared" si="0"/>
        <v>1</v>
      </c>
      <c r="I50">
        <f t="shared" si="1"/>
        <v>0</v>
      </c>
      <c r="K50">
        <f>VLOOKUP(G50,'Resumen Estudiantes y Profesore'!$B$3:$Y$171,19,0)</f>
        <v>3</v>
      </c>
      <c r="L50">
        <f>VLOOKUP(G50,'Resumen Estudiantes y Profesore'!$B$3:$Y$171,12,0)</f>
        <v>0</v>
      </c>
      <c r="N50">
        <f t="shared" si="2"/>
        <v>-2</v>
      </c>
      <c r="O50">
        <f t="shared" si="3"/>
        <v>0</v>
      </c>
      <c r="Q50" t="str">
        <f>VLOOKUP(G50,'Resumen Estudiantes y Profesore'!$B$3:$Y$171,17,0)</f>
        <v/>
      </c>
      <c r="R50" t="str">
        <f>VLOOKUP(G50,'Resumen Estudiantes y Profesore'!$B$3:$Y$171,10,0)</f>
        <v>Encuesta</v>
      </c>
      <c r="T50" t="e">
        <f t="shared" si="4"/>
        <v>#VALUE!</v>
      </c>
      <c r="U50" t="e">
        <f t="shared" si="5"/>
        <v>#VALUE!</v>
      </c>
    </row>
    <row r="51" spans="1:21">
      <c r="A51" s="5" t="s">
        <v>163</v>
      </c>
      <c r="B51">
        <v>6</v>
      </c>
      <c r="C51">
        <v>2</v>
      </c>
      <c r="D51">
        <v>8</v>
      </c>
      <c r="G51" s="5" t="s">
        <v>141</v>
      </c>
      <c r="H51">
        <f t="shared" si="0"/>
        <v>1</v>
      </c>
      <c r="I51">
        <f t="shared" si="1"/>
        <v>1</v>
      </c>
      <c r="K51">
        <f>VLOOKUP(G51,'Resumen Estudiantes y Profesore'!$B$3:$Y$171,19,0)</f>
        <v>2</v>
      </c>
      <c r="L51">
        <f>VLOOKUP(G51,'Resumen Estudiantes y Profesore'!$B$3:$Y$171,12,0)</f>
        <v>1</v>
      </c>
      <c r="N51">
        <f t="shared" si="2"/>
        <v>-1</v>
      </c>
      <c r="O51">
        <f t="shared" si="3"/>
        <v>0</v>
      </c>
      <c r="Q51">
        <f>VLOOKUP(G51,'Resumen Estudiantes y Profesore'!$B$3:$Y$171,17,0)</f>
        <v>0</v>
      </c>
      <c r="R51" t="str">
        <f>VLOOKUP(G51,'Resumen Estudiantes y Profesore'!$B$3:$Y$171,10,0)</f>
        <v>Encuesta</v>
      </c>
      <c r="T51">
        <f t="shared" si="4"/>
        <v>-1</v>
      </c>
      <c r="U51" t="e">
        <f t="shared" si="5"/>
        <v>#VALUE!</v>
      </c>
    </row>
    <row r="52" spans="1:21">
      <c r="A52" s="5" t="s">
        <v>169</v>
      </c>
      <c r="B52">
        <v>6</v>
      </c>
      <c r="C52">
        <v>2</v>
      </c>
      <c r="D52">
        <v>8</v>
      </c>
      <c r="G52" s="5" t="s">
        <v>155</v>
      </c>
      <c r="H52">
        <f t="shared" si="0"/>
        <v>3</v>
      </c>
      <c r="I52">
        <f t="shared" si="1"/>
        <v>0</v>
      </c>
      <c r="K52">
        <f>VLOOKUP(G52,'Resumen Estudiantes y Profesore'!$B$3:$Y$171,19,0)</f>
        <v>4</v>
      </c>
      <c r="L52">
        <f>VLOOKUP(G52,'Resumen Estudiantes y Profesore'!$B$3:$Y$171,12,0)</f>
        <v>0</v>
      </c>
      <c r="N52">
        <f t="shared" si="2"/>
        <v>-1</v>
      </c>
      <c r="O52">
        <f t="shared" si="3"/>
        <v>0</v>
      </c>
      <c r="Q52" t="str">
        <f>VLOOKUP(G52,'Resumen Estudiantes y Profesore'!$B$3:$Y$171,17,0)</f>
        <v/>
      </c>
      <c r="R52" t="str">
        <f>VLOOKUP(G52,'Resumen Estudiantes y Profesore'!$B$3:$Y$171,10,0)</f>
        <v>Encuesta</v>
      </c>
      <c r="T52" t="e">
        <f t="shared" si="4"/>
        <v>#VALUE!</v>
      </c>
      <c r="U52" t="e">
        <f t="shared" si="5"/>
        <v>#VALUE!</v>
      </c>
    </row>
    <row r="53" spans="1:21">
      <c r="A53" s="5" t="s">
        <v>170</v>
      </c>
      <c r="B53">
        <v>6</v>
      </c>
      <c r="C53">
        <v>2</v>
      </c>
      <c r="D53">
        <v>8</v>
      </c>
      <c r="G53" s="5" t="s">
        <v>142</v>
      </c>
      <c r="H53">
        <f t="shared" si="0"/>
        <v>2</v>
      </c>
      <c r="I53">
        <f t="shared" si="1"/>
        <v>1</v>
      </c>
      <c r="K53">
        <f>VLOOKUP(G53,'Resumen Estudiantes y Profesore'!$B$3:$Y$171,19,0)</f>
        <v>3</v>
      </c>
      <c r="L53">
        <f>VLOOKUP(G53,'Resumen Estudiantes y Profesore'!$B$3:$Y$171,12,0)</f>
        <v>1</v>
      </c>
      <c r="N53">
        <f t="shared" si="2"/>
        <v>-1</v>
      </c>
      <c r="O53">
        <f t="shared" si="3"/>
        <v>0</v>
      </c>
      <c r="Q53">
        <f>VLOOKUP(G53,'Resumen Estudiantes y Profesore'!$B$3:$Y$171,17,0)</f>
        <v>0</v>
      </c>
      <c r="R53" t="str">
        <f>VLOOKUP(G53,'Resumen Estudiantes y Profesore'!$B$3:$Y$171,10,0)</f>
        <v>Encuesta</v>
      </c>
      <c r="T53">
        <f t="shared" si="4"/>
        <v>-2</v>
      </c>
      <c r="U53" t="e">
        <f t="shared" si="5"/>
        <v>#VALUE!</v>
      </c>
    </row>
    <row r="54" spans="1:21">
      <c r="A54" s="5" t="s">
        <v>145</v>
      </c>
      <c r="B54">
        <v>8</v>
      </c>
      <c r="C54">
        <v>2</v>
      </c>
      <c r="D54">
        <v>10</v>
      </c>
      <c r="G54" s="5" t="s">
        <v>143</v>
      </c>
      <c r="H54">
        <f t="shared" si="0"/>
        <v>5</v>
      </c>
      <c r="I54">
        <f t="shared" si="1"/>
        <v>0</v>
      </c>
      <c r="K54">
        <f>VLOOKUP(G54,'Resumen Estudiantes y Profesore'!$B$3:$Y$171,19,0)</f>
        <v>5</v>
      </c>
      <c r="L54">
        <f>VLOOKUP(G54,'Resumen Estudiantes y Profesore'!$B$3:$Y$171,12,0)</f>
        <v>0</v>
      </c>
      <c r="N54">
        <f t="shared" si="2"/>
        <v>0</v>
      </c>
      <c r="O54">
        <f t="shared" si="3"/>
        <v>0</v>
      </c>
      <c r="Q54" t="str">
        <f>VLOOKUP(G54,'Resumen Estudiantes y Profesore'!$B$3:$Y$171,17,0)</f>
        <v/>
      </c>
      <c r="R54" t="str">
        <f>VLOOKUP(G54,'Resumen Estudiantes y Profesore'!$B$3:$Y$171,10,0)</f>
        <v>Encuesta</v>
      </c>
      <c r="T54" t="e">
        <f t="shared" si="4"/>
        <v>#VALUE!</v>
      </c>
      <c r="U54" t="e">
        <f t="shared" si="5"/>
        <v>#VALUE!</v>
      </c>
    </row>
    <row r="55" spans="1:21">
      <c r="A55" s="5" t="s">
        <v>146</v>
      </c>
      <c r="B55">
        <v>3</v>
      </c>
      <c r="C55">
        <v>2</v>
      </c>
      <c r="D55">
        <v>5</v>
      </c>
      <c r="G55" s="5" t="s">
        <v>144</v>
      </c>
      <c r="H55">
        <f t="shared" si="0"/>
        <v>10</v>
      </c>
      <c r="I55">
        <f t="shared" si="1"/>
        <v>0</v>
      </c>
      <c r="K55">
        <f>VLOOKUP(G55,'Resumen Estudiantes y Profesore'!$B$3:$Y$171,19,0)</f>
        <v>14</v>
      </c>
      <c r="L55">
        <f>VLOOKUP(G55,'Resumen Estudiantes y Profesore'!$B$3:$Y$171,12,0)</f>
        <v>0</v>
      </c>
      <c r="N55">
        <f t="shared" si="2"/>
        <v>-4</v>
      </c>
      <c r="O55">
        <f t="shared" si="3"/>
        <v>0</v>
      </c>
      <c r="Q55" t="str">
        <f>VLOOKUP(G55,'Resumen Estudiantes y Profesore'!$B$3:$Y$171,17,0)</f>
        <v/>
      </c>
      <c r="R55" t="str">
        <f>VLOOKUP(G55,'Resumen Estudiantes y Profesore'!$B$3:$Y$171,10,0)</f>
        <v>Encuesta</v>
      </c>
      <c r="T55" t="e">
        <f t="shared" si="4"/>
        <v>#VALUE!</v>
      </c>
      <c r="U55" t="e">
        <f t="shared" si="5"/>
        <v>#VALUE!</v>
      </c>
    </row>
    <row r="56" spans="1:21">
      <c r="A56" s="5" t="s">
        <v>173</v>
      </c>
      <c r="B56">
        <v>6</v>
      </c>
      <c r="C56">
        <v>2</v>
      </c>
      <c r="D56">
        <v>8</v>
      </c>
      <c r="G56" s="5" t="s">
        <v>136</v>
      </c>
      <c r="H56">
        <f t="shared" si="0"/>
        <v>0</v>
      </c>
      <c r="I56">
        <f t="shared" si="1"/>
        <v>1</v>
      </c>
      <c r="K56">
        <f>VLOOKUP(G56,'Resumen Estudiantes y Profesore'!$B$3:$Y$171,19,0)</f>
        <v>2</v>
      </c>
      <c r="L56">
        <f>VLOOKUP(G56,'Resumen Estudiantes y Profesore'!$B$3:$Y$171,12,0)</f>
        <v>2</v>
      </c>
      <c r="N56">
        <f t="shared" si="2"/>
        <v>-2</v>
      </c>
      <c r="O56">
        <f t="shared" si="3"/>
        <v>-1</v>
      </c>
      <c r="Q56">
        <f>VLOOKUP(G56,'Resumen Estudiantes y Profesore'!$B$3:$Y$171,17,0)</f>
        <v>0.82499999999999996</v>
      </c>
      <c r="R56" t="str">
        <f>VLOOKUP(G56,'Resumen Estudiantes y Profesore'!$B$3:$Y$171,10,0)</f>
        <v xml:space="preserve">Sondeo </v>
      </c>
      <c r="T56">
        <f t="shared" si="4"/>
        <v>0.82499999999999996</v>
      </c>
      <c r="U56" t="e">
        <f t="shared" si="5"/>
        <v>#VALUE!</v>
      </c>
    </row>
    <row r="57" spans="1:21">
      <c r="A57" s="5" t="s">
        <v>174</v>
      </c>
      <c r="B57">
        <v>6</v>
      </c>
      <c r="C57">
        <v>2</v>
      </c>
      <c r="D57">
        <v>8</v>
      </c>
      <c r="G57" s="5" t="s">
        <v>163</v>
      </c>
      <c r="H57">
        <f t="shared" si="0"/>
        <v>6</v>
      </c>
      <c r="I57">
        <f t="shared" si="1"/>
        <v>2</v>
      </c>
      <c r="K57">
        <f>VLOOKUP(G57,'Resumen Estudiantes y Profesore'!$B$3:$Y$171,19,0)</f>
        <v>6</v>
      </c>
      <c r="L57">
        <f>VLOOKUP(G57,'Resumen Estudiantes y Profesore'!$B$3:$Y$171,12,0)</f>
        <v>2</v>
      </c>
      <c r="N57">
        <f t="shared" si="2"/>
        <v>0</v>
      </c>
      <c r="O57">
        <f t="shared" si="3"/>
        <v>0</v>
      </c>
      <c r="Q57">
        <f>VLOOKUP(G57,'Resumen Estudiantes y Profesore'!$B$3:$Y$171,17,0)</f>
        <v>0</v>
      </c>
      <c r="R57" t="str">
        <f>VLOOKUP(G57,'Resumen Estudiantes y Profesore'!$B$3:$Y$171,10,0)</f>
        <v>Encuesta</v>
      </c>
      <c r="T57">
        <f t="shared" si="4"/>
        <v>-6</v>
      </c>
      <c r="U57" t="e">
        <f t="shared" si="5"/>
        <v>#VALUE!</v>
      </c>
    </row>
    <row r="58" spans="1:21">
      <c r="A58" s="5" t="s">
        <v>175</v>
      </c>
      <c r="B58">
        <v>6</v>
      </c>
      <c r="C58">
        <v>2</v>
      </c>
      <c r="D58">
        <v>8</v>
      </c>
      <c r="G58" s="5" t="s">
        <v>169</v>
      </c>
      <c r="H58">
        <f t="shared" si="0"/>
        <v>6</v>
      </c>
      <c r="I58">
        <f t="shared" si="1"/>
        <v>2</v>
      </c>
      <c r="K58">
        <f>VLOOKUP(G58,'Resumen Estudiantes y Profesore'!$B$3:$Y$171,19,0)</f>
        <v>6</v>
      </c>
      <c r="L58">
        <f>VLOOKUP(G58,'Resumen Estudiantes y Profesore'!$B$3:$Y$171,12,0)</f>
        <v>2</v>
      </c>
      <c r="N58">
        <f t="shared" si="2"/>
        <v>0</v>
      </c>
      <c r="O58">
        <f t="shared" si="3"/>
        <v>0</v>
      </c>
      <c r="Q58">
        <f>VLOOKUP(G58,'Resumen Estudiantes y Profesore'!$B$3:$Y$171,17,0)</f>
        <v>0</v>
      </c>
      <c r="R58" t="str">
        <f>VLOOKUP(G58,'Resumen Estudiantes y Profesore'!$B$3:$Y$171,10,0)</f>
        <v>Encuesta</v>
      </c>
      <c r="T58">
        <f t="shared" si="4"/>
        <v>-6</v>
      </c>
      <c r="U58" t="e">
        <f t="shared" si="5"/>
        <v>#VALUE!</v>
      </c>
    </row>
    <row r="59" spans="1:21">
      <c r="A59" s="5" t="s">
        <v>158</v>
      </c>
      <c r="B59">
        <v>3</v>
      </c>
      <c r="D59">
        <v>3</v>
      </c>
      <c r="G59" s="5" t="s">
        <v>170</v>
      </c>
      <c r="H59">
        <f t="shared" si="0"/>
        <v>6</v>
      </c>
      <c r="I59">
        <f t="shared" si="1"/>
        <v>2</v>
      </c>
      <c r="K59">
        <f>VLOOKUP(G59,'Resumen Estudiantes y Profesore'!$B$3:$Y$171,19,0)</f>
        <v>6</v>
      </c>
      <c r="L59">
        <f>VLOOKUP(G59,'Resumen Estudiantes y Profesore'!$B$3:$Y$171,12,0)</f>
        <v>2</v>
      </c>
      <c r="N59">
        <f t="shared" si="2"/>
        <v>0</v>
      </c>
      <c r="O59">
        <f t="shared" si="3"/>
        <v>0</v>
      </c>
      <c r="Q59">
        <f>VLOOKUP(G59,'Resumen Estudiantes y Profesore'!$B$3:$Y$171,17,0)</f>
        <v>0</v>
      </c>
      <c r="R59" t="str">
        <f>VLOOKUP(G59,'Resumen Estudiantes y Profesore'!$B$3:$Y$171,10,0)</f>
        <v>Encuesta</v>
      </c>
      <c r="T59">
        <f t="shared" si="4"/>
        <v>-6</v>
      </c>
      <c r="U59" t="e">
        <f t="shared" si="5"/>
        <v>#VALUE!</v>
      </c>
    </row>
    <row r="60" spans="1:21">
      <c r="A60" s="5" t="s">
        <v>147</v>
      </c>
      <c r="B60">
        <v>2</v>
      </c>
      <c r="C60">
        <v>1</v>
      </c>
      <c r="D60">
        <v>3</v>
      </c>
      <c r="G60" s="5" t="s">
        <v>145</v>
      </c>
      <c r="H60">
        <f t="shared" si="0"/>
        <v>8</v>
      </c>
      <c r="I60">
        <f t="shared" si="1"/>
        <v>2</v>
      </c>
      <c r="K60">
        <f>VLOOKUP(G60,'Resumen Estudiantes y Profesore'!$B$3:$Y$171,19,0)</f>
        <v>8</v>
      </c>
      <c r="L60">
        <f>VLOOKUP(G60,'Resumen Estudiantes y Profesore'!$B$3:$Y$171,12,0)</f>
        <v>2</v>
      </c>
      <c r="N60">
        <f t="shared" si="2"/>
        <v>0</v>
      </c>
      <c r="O60">
        <f t="shared" si="3"/>
        <v>0</v>
      </c>
      <c r="Q60">
        <f>VLOOKUP(G60,'Resumen Estudiantes y Profesore'!$B$3:$Y$171,17,0)</f>
        <v>0</v>
      </c>
      <c r="R60" t="str">
        <f>VLOOKUP(G60,'Resumen Estudiantes y Profesore'!$B$3:$Y$171,10,0)</f>
        <v>Encuesta</v>
      </c>
      <c r="T60">
        <f t="shared" si="4"/>
        <v>-8</v>
      </c>
      <c r="U60" t="e">
        <f t="shared" si="5"/>
        <v>#VALUE!</v>
      </c>
    </row>
    <row r="61" spans="1:21">
      <c r="A61" s="5" t="s">
        <v>157</v>
      </c>
      <c r="B61">
        <v>2</v>
      </c>
      <c r="D61">
        <v>2</v>
      </c>
      <c r="G61" s="5" t="s">
        <v>146</v>
      </c>
      <c r="H61">
        <f t="shared" si="0"/>
        <v>3</v>
      </c>
      <c r="I61">
        <f t="shared" si="1"/>
        <v>2</v>
      </c>
      <c r="K61">
        <f>VLOOKUP(G61,'Resumen Estudiantes y Profesore'!$B$3:$Y$171,19,0)</f>
        <v>4</v>
      </c>
      <c r="L61">
        <f>VLOOKUP(G61,'Resumen Estudiantes y Profesore'!$B$3:$Y$171,12,0)</f>
        <v>2</v>
      </c>
      <c r="N61">
        <f t="shared" si="2"/>
        <v>-1</v>
      </c>
      <c r="O61">
        <f t="shared" si="3"/>
        <v>0</v>
      </c>
      <c r="Q61">
        <f>VLOOKUP(G61,'Resumen Estudiantes y Profesore'!$B$3:$Y$171,17,0)</f>
        <v>0</v>
      </c>
      <c r="R61" t="str">
        <f>VLOOKUP(G61,'Resumen Estudiantes y Profesore'!$B$3:$Y$171,10,0)</f>
        <v>Encuesta</v>
      </c>
      <c r="T61">
        <f t="shared" si="4"/>
        <v>-3</v>
      </c>
      <c r="U61" t="e">
        <f t="shared" si="5"/>
        <v>#VALUE!</v>
      </c>
    </row>
    <row r="62" spans="1:21">
      <c r="A62" s="5" t="s">
        <v>148</v>
      </c>
      <c r="C62">
        <v>2</v>
      </c>
      <c r="D62">
        <v>2</v>
      </c>
      <c r="G62" s="5" t="s">
        <v>173</v>
      </c>
      <c r="H62">
        <f t="shared" si="0"/>
        <v>6</v>
      </c>
      <c r="I62">
        <f t="shared" si="1"/>
        <v>2</v>
      </c>
      <c r="K62">
        <f>VLOOKUP(G62,'Resumen Estudiantes y Profesore'!$B$3:$Y$171,19,0)</f>
        <v>6</v>
      </c>
      <c r="L62">
        <f>VLOOKUP(G62,'Resumen Estudiantes y Profesore'!$B$3:$Y$171,12,0)</f>
        <v>2</v>
      </c>
      <c r="N62">
        <f t="shared" si="2"/>
        <v>0</v>
      </c>
      <c r="O62">
        <f t="shared" si="3"/>
        <v>0</v>
      </c>
      <c r="Q62">
        <f>VLOOKUP(G62,'Resumen Estudiantes y Profesore'!$B$3:$Y$171,17,0)</f>
        <v>0</v>
      </c>
      <c r="R62" t="str">
        <f>VLOOKUP(G62,'Resumen Estudiantes y Profesore'!$B$3:$Y$171,10,0)</f>
        <v>Encuesta</v>
      </c>
      <c r="T62">
        <f t="shared" si="4"/>
        <v>-6</v>
      </c>
      <c r="U62" t="e">
        <f t="shared" si="5"/>
        <v>#VALUE!</v>
      </c>
    </row>
    <row r="63" spans="1:21">
      <c r="A63" s="5" t="s">
        <v>160</v>
      </c>
      <c r="C63">
        <v>1</v>
      </c>
      <c r="D63">
        <v>1</v>
      </c>
      <c r="G63" s="5" t="s">
        <v>174</v>
      </c>
      <c r="H63">
        <f t="shared" si="0"/>
        <v>6</v>
      </c>
      <c r="I63">
        <f t="shared" si="1"/>
        <v>2</v>
      </c>
      <c r="K63">
        <f>VLOOKUP(G63,'Resumen Estudiantes y Profesore'!$B$3:$Y$171,19,0)</f>
        <v>6</v>
      </c>
      <c r="L63">
        <f>VLOOKUP(G63,'Resumen Estudiantes y Profesore'!$B$3:$Y$171,12,0)</f>
        <v>2</v>
      </c>
      <c r="N63">
        <f t="shared" si="2"/>
        <v>0</v>
      </c>
      <c r="O63">
        <f t="shared" si="3"/>
        <v>0</v>
      </c>
      <c r="Q63">
        <f>VLOOKUP(G63,'Resumen Estudiantes y Profesore'!$B$3:$Y$171,17,0)</f>
        <v>0</v>
      </c>
      <c r="R63" t="str">
        <f>VLOOKUP(G63,'Resumen Estudiantes y Profesore'!$B$3:$Y$171,10,0)</f>
        <v>Encuesta</v>
      </c>
      <c r="T63">
        <f t="shared" si="4"/>
        <v>-6</v>
      </c>
      <c r="U63" t="e">
        <f t="shared" si="5"/>
        <v>#VALUE!</v>
      </c>
    </row>
    <row r="64" spans="1:21">
      <c r="A64" s="5" t="s">
        <v>172</v>
      </c>
      <c r="B64">
        <v>2</v>
      </c>
      <c r="C64">
        <v>1</v>
      </c>
      <c r="D64">
        <v>3</v>
      </c>
      <c r="G64" s="5" t="s">
        <v>175</v>
      </c>
      <c r="H64">
        <f t="shared" si="0"/>
        <v>6</v>
      </c>
      <c r="I64">
        <f t="shared" si="1"/>
        <v>2</v>
      </c>
      <c r="K64">
        <f>VLOOKUP(G64,'Resumen Estudiantes y Profesore'!$B$3:$Y$171,19,0)</f>
        <v>6</v>
      </c>
      <c r="L64">
        <f>VLOOKUP(G64,'Resumen Estudiantes y Profesore'!$B$3:$Y$171,12,0)</f>
        <v>2</v>
      </c>
      <c r="N64">
        <f t="shared" si="2"/>
        <v>0</v>
      </c>
      <c r="O64">
        <f t="shared" si="3"/>
        <v>0</v>
      </c>
      <c r="Q64">
        <f>VLOOKUP(G64,'Resumen Estudiantes y Profesore'!$B$3:$Y$171,17,0)</f>
        <v>0</v>
      </c>
      <c r="R64" t="str">
        <f>VLOOKUP(G64,'Resumen Estudiantes y Profesore'!$B$3:$Y$171,10,0)</f>
        <v>Encuesta</v>
      </c>
      <c r="T64">
        <f t="shared" si="4"/>
        <v>-6</v>
      </c>
      <c r="U64" t="e">
        <f t="shared" si="5"/>
        <v>#VALUE!</v>
      </c>
    </row>
    <row r="65" spans="1:21">
      <c r="A65" s="5" t="s">
        <v>149</v>
      </c>
      <c r="B65">
        <v>2</v>
      </c>
      <c r="C65">
        <v>1</v>
      </c>
      <c r="D65">
        <v>3</v>
      </c>
      <c r="G65" s="5" t="s">
        <v>158</v>
      </c>
      <c r="H65">
        <f t="shared" si="0"/>
        <v>3</v>
      </c>
      <c r="I65">
        <f t="shared" si="1"/>
        <v>0</v>
      </c>
      <c r="K65">
        <f>VLOOKUP(G65,'Resumen Estudiantes y Profesore'!$B$3:$Y$171,19,0)</f>
        <v>4</v>
      </c>
      <c r="L65">
        <f>VLOOKUP(G65,'Resumen Estudiantes y Profesore'!$B$3:$Y$171,12,0)</f>
        <v>0</v>
      </c>
      <c r="N65">
        <f t="shared" si="2"/>
        <v>-1</v>
      </c>
      <c r="O65">
        <f t="shared" si="3"/>
        <v>0</v>
      </c>
      <c r="Q65" t="str">
        <f>VLOOKUP(G65,'Resumen Estudiantes y Profesore'!$B$3:$Y$171,17,0)</f>
        <v/>
      </c>
      <c r="R65" t="str">
        <f>VLOOKUP(G65,'Resumen Estudiantes y Profesore'!$B$3:$Y$171,10,0)</f>
        <v>Encuesta</v>
      </c>
      <c r="T65" t="e">
        <f t="shared" si="4"/>
        <v>#VALUE!</v>
      </c>
      <c r="U65" t="e">
        <f t="shared" si="5"/>
        <v>#VALUE!</v>
      </c>
    </row>
    <row r="66" spans="1:21">
      <c r="A66" s="5" t="s">
        <v>115</v>
      </c>
      <c r="C66">
        <v>1</v>
      </c>
      <c r="D66">
        <v>1</v>
      </c>
      <c r="G66" s="5" t="s">
        <v>147</v>
      </c>
      <c r="H66">
        <f t="shared" si="0"/>
        <v>2</v>
      </c>
      <c r="I66">
        <f t="shared" si="1"/>
        <v>1</v>
      </c>
      <c r="K66">
        <f>VLOOKUP(G66,'Resumen Estudiantes y Profesore'!$B$3:$Y$171,19,0)</f>
        <v>3</v>
      </c>
      <c r="L66">
        <f>VLOOKUP(G66,'Resumen Estudiantes y Profesore'!$B$3:$Y$171,12,0)</f>
        <v>1</v>
      </c>
      <c r="N66">
        <f t="shared" si="2"/>
        <v>-1</v>
      </c>
      <c r="O66">
        <f t="shared" si="3"/>
        <v>0</v>
      </c>
      <c r="Q66">
        <f>VLOOKUP(G66,'Resumen Estudiantes y Profesore'!$B$3:$Y$171,17,0)</f>
        <v>0</v>
      </c>
      <c r="R66" t="str">
        <f>VLOOKUP(G66,'Resumen Estudiantes y Profesore'!$B$3:$Y$171,10,0)</f>
        <v>Encuesta</v>
      </c>
      <c r="T66">
        <f t="shared" si="4"/>
        <v>-2</v>
      </c>
      <c r="U66" t="e">
        <f t="shared" si="5"/>
        <v>#VALUE!</v>
      </c>
    </row>
    <row r="67" spans="1:21">
      <c r="A67" s="5" t="s">
        <v>150</v>
      </c>
      <c r="B67">
        <v>1</v>
      </c>
      <c r="C67">
        <v>1</v>
      </c>
      <c r="D67">
        <v>2</v>
      </c>
      <c r="G67" s="5" t="s">
        <v>157</v>
      </c>
      <c r="H67">
        <f t="shared" si="0"/>
        <v>2</v>
      </c>
      <c r="I67">
        <f t="shared" si="1"/>
        <v>0</v>
      </c>
      <c r="K67">
        <f>VLOOKUP(G67,'Resumen Estudiantes y Profesore'!$B$3:$Y$171,19,0)</f>
        <v>3</v>
      </c>
      <c r="L67">
        <f>VLOOKUP(G67,'Resumen Estudiantes y Profesore'!$B$3:$Y$171,12,0)</f>
        <v>0</v>
      </c>
      <c r="N67">
        <f t="shared" si="2"/>
        <v>-1</v>
      </c>
      <c r="O67">
        <f t="shared" si="3"/>
        <v>0</v>
      </c>
      <c r="Q67" t="str">
        <f>VLOOKUP(G67,'Resumen Estudiantes y Profesore'!$B$3:$Y$171,17,0)</f>
        <v/>
      </c>
      <c r="R67" t="str">
        <f>VLOOKUP(G67,'Resumen Estudiantes y Profesore'!$B$3:$Y$171,10,0)</f>
        <v>Encuesta</v>
      </c>
      <c r="T67" t="e">
        <f t="shared" si="4"/>
        <v>#VALUE!</v>
      </c>
      <c r="U67" t="e">
        <f t="shared" si="5"/>
        <v>#VALUE!</v>
      </c>
    </row>
    <row r="68" spans="1:21">
      <c r="A68" s="5" t="s">
        <v>118</v>
      </c>
      <c r="B68">
        <v>1</v>
      </c>
      <c r="C68">
        <v>2</v>
      </c>
      <c r="D68">
        <v>3</v>
      </c>
      <c r="G68" s="5" t="s">
        <v>171</v>
      </c>
      <c r="H68">
        <f t="shared" si="0"/>
        <v>0</v>
      </c>
      <c r="I68">
        <f t="shared" si="1"/>
        <v>0</v>
      </c>
      <c r="K68">
        <f>VLOOKUP(G68,'Resumen Estudiantes y Profesore'!$B$3:$Y$171,19,0)</f>
        <v>1</v>
      </c>
      <c r="L68">
        <f>VLOOKUP(G68,'Resumen Estudiantes y Profesore'!$B$3:$Y$171,12,0)</f>
        <v>0</v>
      </c>
      <c r="N68">
        <f t="shared" si="2"/>
        <v>-1</v>
      </c>
      <c r="O68">
        <f t="shared" si="3"/>
        <v>0</v>
      </c>
      <c r="Q68" t="str">
        <f>VLOOKUP(G68,'Resumen Estudiantes y Profesore'!$B$3:$Y$171,17,0)</f>
        <v/>
      </c>
      <c r="R68" t="str">
        <f>VLOOKUP(G68,'Resumen Estudiantes y Profesore'!$B$3:$Y$171,10,0)</f>
        <v>Sondeo</v>
      </c>
      <c r="T68" t="e">
        <f t="shared" si="4"/>
        <v>#VALUE!</v>
      </c>
      <c r="U68" t="e">
        <f t="shared" si="5"/>
        <v>#VALUE!</v>
      </c>
    </row>
    <row r="69" spans="1:21">
      <c r="A69" s="5" t="s">
        <v>119</v>
      </c>
      <c r="B69">
        <v>3</v>
      </c>
      <c r="C69">
        <v>4</v>
      </c>
      <c r="D69">
        <v>7</v>
      </c>
      <c r="G69" s="5" t="s">
        <v>148</v>
      </c>
      <c r="H69">
        <f t="shared" si="0"/>
        <v>0</v>
      </c>
      <c r="I69">
        <f t="shared" si="1"/>
        <v>2</v>
      </c>
      <c r="K69">
        <f>VLOOKUP(G69,'Resumen Estudiantes y Profesore'!$B$3:$Y$171,19,0)</f>
        <v>2</v>
      </c>
      <c r="L69">
        <f>VLOOKUP(G69,'Resumen Estudiantes y Profesore'!$B$3:$Y$171,12,0)</f>
        <v>3</v>
      </c>
      <c r="N69">
        <f t="shared" si="2"/>
        <v>-2</v>
      </c>
      <c r="O69">
        <f t="shared" si="3"/>
        <v>-1</v>
      </c>
      <c r="Q69">
        <f>VLOOKUP(G69,'Resumen Estudiantes y Profesore'!$B$3:$Y$171,17,0)</f>
        <v>0.41249999999999998</v>
      </c>
      <c r="R69" t="str">
        <f>VLOOKUP(G69,'Resumen Estudiantes y Profesore'!$B$3:$Y$171,10,0)</f>
        <v>Sondeo</v>
      </c>
      <c r="T69">
        <f t="shared" si="4"/>
        <v>0.41249999999999998</v>
      </c>
      <c r="U69" t="e">
        <f t="shared" si="5"/>
        <v>#VALUE!</v>
      </c>
    </row>
    <row r="70" spans="1:21">
      <c r="A70" s="5" t="s">
        <v>120</v>
      </c>
      <c r="B70">
        <v>1</v>
      </c>
      <c r="D70">
        <v>1</v>
      </c>
      <c r="G70" s="5" t="s">
        <v>160</v>
      </c>
      <c r="H70">
        <f t="shared" ref="H70:H133" si="6">IFERROR(VLOOKUP(G70,$A:$D,2,0),0)</f>
        <v>0</v>
      </c>
      <c r="I70">
        <f t="shared" ref="I70:I133" si="7">IFERROR(VLOOKUP(G70,$A:$D,3,0),0)</f>
        <v>1</v>
      </c>
      <c r="K70">
        <f>VLOOKUP(G70,'Resumen Estudiantes y Profesore'!$B$3:$Y$171,19,0)</f>
        <v>2</v>
      </c>
      <c r="L70">
        <f>VLOOKUP(G70,'Resumen Estudiantes y Profesore'!$B$3:$Y$171,12,0)</f>
        <v>1</v>
      </c>
      <c r="N70">
        <f t="shared" ref="N70:N133" si="8">H70-K70</f>
        <v>-2</v>
      </c>
      <c r="O70">
        <f t="shared" ref="O70:O133" si="9">I70-L70</f>
        <v>0</v>
      </c>
      <c r="Q70">
        <f>VLOOKUP(G70,'Resumen Estudiantes y Profesore'!$B$3:$Y$171,17,0)</f>
        <v>0</v>
      </c>
      <c r="R70" t="str">
        <f>VLOOKUP(G70,'Resumen Estudiantes y Profesore'!$B$3:$Y$171,10,0)</f>
        <v>Sondeo</v>
      </c>
      <c r="T70">
        <f t="shared" ref="T70:T133" si="10">Q70-H70</f>
        <v>0</v>
      </c>
      <c r="U70" t="e">
        <f t="shared" ref="U70:U133" si="11">R70-I70</f>
        <v>#VALUE!</v>
      </c>
    </row>
    <row r="71" spans="1:21">
      <c r="A71" s="5" t="s">
        <v>121</v>
      </c>
      <c r="C71">
        <v>2</v>
      </c>
      <c r="D71">
        <v>2</v>
      </c>
      <c r="G71" s="5" t="s">
        <v>172</v>
      </c>
      <c r="H71">
        <f t="shared" si="6"/>
        <v>2</v>
      </c>
      <c r="I71">
        <f t="shared" si="7"/>
        <v>1</v>
      </c>
      <c r="K71">
        <f>VLOOKUP(G71,'Resumen Estudiantes y Profesore'!$B$3:$Y$171,19,0)</f>
        <v>3</v>
      </c>
      <c r="L71">
        <f>VLOOKUP(G71,'Resumen Estudiantes y Profesore'!$B$3:$Y$171,12,0)</f>
        <v>1</v>
      </c>
      <c r="N71">
        <f t="shared" si="8"/>
        <v>-1</v>
      </c>
      <c r="O71">
        <f t="shared" si="9"/>
        <v>0</v>
      </c>
      <c r="Q71">
        <f>VLOOKUP(G71,'Resumen Estudiantes y Profesore'!$B$3:$Y$171,17,0)</f>
        <v>0</v>
      </c>
      <c r="R71" t="str">
        <f>VLOOKUP(G71,'Resumen Estudiantes y Profesore'!$B$3:$Y$171,10,0)</f>
        <v>Encuesta</v>
      </c>
      <c r="T71">
        <f t="shared" si="10"/>
        <v>-2</v>
      </c>
      <c r="U71" t="e">
        <f t="shared" si="11"/>
        <v>#VALUE!</v>
      </c>
    </row>
    <row r="72" spans="1:21">
      <c r="A72" s="5" t="s">
        <v>122</v>
      </c>
      <c r="B72">
        <v>2</v>
      </c>
      <c r="C72">
        <v>1</v>
      </c>
      <c r="D72">
        <v>3</v>
      </c>
      <c r="G72" s="5" t="s">
        <v>149</v>
      </c>
      <c r="H72">
        <f t="shared" si="6"/>
        <v>2</v>
      </c>
      <c r="I72">
        <f t="shared" si="7"/>
        <v>1</v>
      </c>
      <c r="K72">
        <f>VLOOKUP(G72,'Resumen Estudiantes y Profesore'!$B$3:$Y$171,19,0)</f>
        <v>6</v>
      </c>
      <c r="L72">
        <f>VLOOKUP(G72,'Resumen Estudiantes y Profesore'!$B$3:$Y$171,12,0)</f>
        <v>1</v>
      </c>
      <c r="N72">
        <f t="shared" si="8"/>
        <v>-4</v>
      </c>
      <c r="O72">
        <f t="shared" si="9"/>
        <v>0</v>
      </c>
      <c r="Q72">
        <f>VLOOKUP(G72,'Resumen Estudiantes y Profesore'!$B$3:$Y$171,17,0)</f>
        <v>0</v>
      </c>
      <c r="R72" t="str">
        <f>VLOOKUP(G72,'Resumen Estudiantes y Profesore'!$B$3:$Y$171,10,0)</f>
        <v>Sondeo</v>
      </c>
      <c r="T72">
        <f t="shared" si="10"/>
        <v>-2</v>
      </c>
      <c r="U72" t="e">
        <f t="shared" si="11"/>
        <v>#VALUE!</v>
      </c>
    </row>
    <row r="73" spans="1:21">
      <c r="A73" s="5" t="s">
        <v>161</v>
      </c>
      <c r="B73">
        <v>3</v>
      </c>
      <c r="D73">
        <v>3</v>
      </c>
      <c r="G73" s="5" t="s">
        <v>115</v>
      </c>
      <c r="H73">
        <f t="shared" si="6"/>
        <v>0</v>
      </c>
      <c r="I73">
        <f t="shared" si="7"/>
        <v>1</v>
      </c>
      <c r="K73">
        <f>VLOOKUP(G73,'Resumen Estudiantes y Profesore'!$B$3:$Y$171,19,0)</f>
        <v>0</v>
      </c>
      <c r="L73">
        <f>VLOOKUP(G73,'Resumen Estudiantes y Profesore'!$B$3:$Y$171,12,0)</f>
        <v>1</v>
      </c>
      <c r="N73">
        <f t="shared" si="8"/>
        <v>0</v>
      </c>
      <c r="O73">
        <f t="shared" si="9"/>
        <v>0</v>
      </c>
      <c r="Q73">
        <f>VLOOKUP(G73,'Resumen Estudiantes y Profesore'!$B$3:$Y$171,17,0)</f>
        <v>0</v>
      </c>
      <c r="R73" t="str">
        <f>VLOOKUP(G73,'Resumen Estudiantes y Profesore'!$B$3:$Y$171,10,0)</f>
        <v>Sondeo</v>
      </c>
      <c r="T73">
        <f t="shared" si="10"/>
        <v>0</v>
      </c>
      <c r="U73" t="e">
        <f t="shared" si="11"/>
        <v>#VALUE!</v>
      </c>
    </row>
    <row r="74" spans="1:21">
      <c r="A74" s="5" t="s">
        <v>126</v>
      </c>
      <c r="B74">
        <v>1</v>
      </c>
      <c r="C74">
        <v>2</v>
      </c>
      <c r="D74">
        <v>3</v>
      </c>
      <c r="G74" s="5" t="s">
        <v>150</v>
      </c>
      <c r="H74">
        <f t="shared" si="6"/>
        <v>1</v>
      </c>
      <c r="I74">
        <f t="shared" si="7"/>
        <v>1</v>
      </c>
      <c r="K74">
        <f>VLOOKUP(G74,'Resumen Estudiantes y Profesore'!$B$3:$Y$171,19,0)</f>
        <v>2</v>
      </c>
      <c r="L74">
        <f>VLOOKUP(G74,'Resumen Estudiantes y Profesore'!$B$3:$Y$171,12,0)</f>
        <v>1</v>
      </c>
      <c r="N74">
        <f t="shared" si="8"/>
        <v>-1</v>
      </c>
      <c r="O74">
        <f t="shared" si="9"/>
        <v>0</v>
      </c>
      <c r="Q74">
        <f>VLOOKUP(G74,'Resumen Estudiantes y Profesore'!$B$3:$Y$171,17,0)</f>
        <v>0</v>
      </c>
      <c r="R74" t="str">
        <f>VLOOKUP(G74,'Resumen Estudiantes y Profesore'!$B$3:$Y$171,10,0)</f>
        <v>Sondeo</v>
      </c>
      <c r="T74">
        <f t="shared" si="10"/>
        <v>-1</v>
      </c>
      <c r="U74" t="e">
        <f t="shared" si="11"/>
        <v>#VALUE!</v>
      </c>
    </row>
    <row r="75" spans="1:21">
      <c r="A75" s="5" t="s">
        <v>151</v>
      </c>
      <c r="B75">
        <v>9</v>
      </c>
      <c r="C75">
        <v>3</v>
      </c>
      <c r="D75">
        <v>12</v>
      </c>
      <c r="G75" s="5" t="s">
        <v>117</v>
      </c>
      <c r="H75">
        <f t="shared" si="6"/>
        <v>0</v>
      </c>
      <c r="I75">
        <f t="shared" si="7"/>
        <v>0</v>
      </c>
      <c r="K75">
        <f>VLOOKUP(G75,'Resumen Estudiantes y Profesore'!$B$3:$Y$171,19,0)</f>
        <v>1</v>
      </c>
      <c r="L75">
        <f>VLOOKUP(G75,'Resumen Estudiantes y Profesore'!$B$3:$Y$171,12,0)</f>
        <v>0</v>
      </c>
      <c r="N75">
        <f t="shared" si="8"/>
        <v>-1</v>
      </c>
      <c r="O75">
        <f t="shared" si="9"/>
        <v>0</v>
      </c>
      <c r="Q75" t="str">
        <f>VLOOKUP(G75,'Resumen Estudiantes y Profesore'!$B$3:$Y$171,17,0)</f>
        <v/>
      </c>
      <c r="R75" t="str">
        <f>VLOOKUP(G75,'Resumen Estudiantes y Profesore'!$B$3:$Y$171,10,0)</f>
        <v>Sondeo</v>
      </c>
      <c r="T75" t="e">
        <f t="shared" si="10"/>
        <v>#VALUE!</v>
      </c>
      <c r="U75" t="e">
        <f t="shared" si="11"/>
        <v>#VALUE!</v>
      </c>
    </row>
    <row r="76" spans="1:21">
      <c r="A76" s="5" t="s">
        <v>152</v>
      </c>
      <c r="B76">
        <v>3</v>
      </c>
      <c r="C76">
        <v>2</v>
      </c>
      <c r="D76">
        <v>5</v>
      </c>
      <c r="G76" s="5" t="s">
        <v>118</v>
      </c>
      <c r="H76">
        <f t="shared" si="6"/>
        <v>1</v>
      </c>
      <c r="I76">
        <f t="shared" si="7"/>
        <v>2</v>
      </c>
      <c r="K76">
        <f>VLOOKUP(G76,'Resumen Estudiantes y Profesore'!$B$3:$Y$171,19,0)</f>
        <v>1</v>
      </c>
      <c r="L76">
        <f>VLOOKUP(G76,'Resumen Estudiantes y Profesore'!$B$3:$Y$171,12,0)</f>
        <v>2</v>
      </c>
      <c r="N76">
        <f t="shared" si="8"/>
        <v>0</v>
      </c>
      <c r="O76">
        <f t="shared" si="9"/>
        <v>0</v>
      </c>
      <c r="Q76">
        <f>VLOOKUP(G76,'Resumen Estudiantes y Profesore'!$B$3:$Y$171,17,0)</f>
        <v>0</v>
      </c>
      <c r="R76" t="str">
        <f>VLOOKUP(G76,'Resumen Estudiantes y Profesore'!$B$3:$Y$171,10,0)</f>
        <v>Sondeo</v>
      </c>
      <c r="T76">
        <f t="shared" si="10"/>
        <v>-1</v>
      </c>
      <c r="U76" t="e">
        <f t="shared" si="11"/>
        <v>#VALUE!</v>
      </c>
    </row>
    <row r="77" spans="1:21">
      <c r="A77" s="5" t="s">
        <v>133</v>
      </c>
      <c r="B77">
        <v>3</v>
      </c>
      <c r="D77">
        <v>3</v>
      </c>
      <c r="G77" s="5" t="s">
        <v>119</v>
      </c>
      <c r="H77">
        <f t="shared" si="6"/>
        <v>3</v>
      </c>
      <c r="I77">
        <f t="shared" si="7"/>
        <v>4</v>
      </c>
      <c r="K77">
        <f>VLOOKUP(G77,'Resumen Estudiantes y Profesore'!$B$3:$Y$171,19,0)</f>
        <v>10</v>
      </c>
      <c r="L77">
        <f>VLOOKUP(G77,'Resumen Estudiantes y Profesore'!$B$3:$Y$171,12,0)</f>
        <v>4</v>
      </c>
      <c r="N77">
        <f t="shared" si="8"/>
        <v>-7</v>
      </c>
      <c r="O77">
        <f t="shared" si="9"/>
        <v>0</v>
      </c>
      <c r="Q77">
        <f>VLOOKUP(G77,'Resumen Estudiantes y Profesore'!$B$3:$Y$171,17,0)</f>
        <v>0</v>
      </c>
      <c r="R77" t="str">
        <f>VLOOKUP(G77,'Resumen Estudiantes y Profesore'!$B$3:$Y$171,10,0)</f>
        <v>Sondeo</v>
      </c>
      <c r="T77">
        <f t="shared" si="10"/>
        <v>-3</v>
      </c>
      <c r="U77" t="e">
        <f t="shared" si="11"/>
        <v>#VALUE!</v>
      </c>
    </row>
    <row r="78" spans="1:21">
      <c r="A78" s="5" t="s">
        <v>128</v>
      </c>
      <c r="C78">
        <v>2</v>
      </c>
      <c r="D78">
        <v>2</v>
      </c>
      <c r="G78" s="5" t="s">
        <v>120</v>
      </c>
      <c r="H78">
        <f t="shared" si="6"/>
        <v>1</v>
      </c>
      <c r="I78">
        <f t="shared" si="7"/>
        <v>0</v>
      </c>
      <c r="K78">
        <f>VLOOKUP(G78,'Resumen Estudiantes y Profesore'!$B$3:$Y$171,19,0)</f>
        <v>1</v>
      </c>
      <c r="L78">
        <f>VLOOKUP(G78,'Resumen Estudiantes y Profesore'!$B$3:$Y$171,12,0)</f>
        <v>0</v>
      </c>
      <c r="N78">
        <f t="shared" si="8"/>
        <v>0</v>
      </c>
      <c r="O78">
        <f t="shared" si="9"/>
        <v>0</v>
      </c>
      <c r="Q78" t="str">
        <f>VLOOKUP(G78,'Resumen Estudiantes y Profesore'!$B$3:$Y$171,17,0)</f>
        <v/>
      </c>
      <c r="R78" t="str">
        <f>VLOOKUP(G78,'Resumen Estudiantes y Profesore'!$B$3:$Y$171,10,0)</f>
        <v>Encuesta</v>
      </c>
      <c r="T78" t="e">
        <f t="shared" si="10"/>
        <v>#VALUE!</v>
      </c>
      <c r="U78" t="e">
        <f t="shared" si="11"/>
        <v>#VALUE!</v>
      </c>
    </row>
    <row r="79" spans="1:21">
      <c r="A79" s="5" t="s">
        <v>134</v>
      </c>
      <c r="B79">
        <v>4</v>
      </c>
      <c r="D79">
        <v>4</v>
      </c>
      <c r="G79" s="5" t="s">
        <v>121</v>
      </c>
      <c r="H79">
        <f t="shared" si="6"/>
        <v>0</v>
      </c>
      <c r="I79">
        <f t="shared" si="7"/>
        <v>2</v>
      </c>
      <c r="K79">
        <f>VLOOKUP(G79,'Resumen Estudiantes y Profesore'!$B$3:$Y$171,19,0)</f>
        <v>0</v>
      </c>
      <c r="L79">
        <f>VLOOKUP(G79,'Resumen Estudiantes y Profesore'!$B$3:$Y$171,12,0)</f>
        <v>2</v>
      </c>
      <c r="N79">
        <f t="shared" si="8"/>
        <v>0</v>
      </c>
      <c r="O79">
        <f t="shared" si="9"/>
        <v>0</v>
      </c>
      <c r="Q79">
        <f>VLOOKUP(G79,'Resumen Estudiantes y Profesore'!$B$3:$Y$171,17,0)</f>
        <v>0</v>
      </c>
      <c r="R79" t="str">
        <f>VLOOKUP(G79,'Resumen Estudiantes y Profesore'!$B$3:$Y$171,10,0)</f>
        <v>Sondeo</v>
      </c>
      <c r="T79">
        <f t="shared" si="10"/>
        <v>0</v>
      </c>
      <c r="U79" t="e">
        <f t="shared" si="11"/>
        <v>#VALUE!</v>
      </c>
    </row>
    <row r="80" spans="1:21">
      <c r="A80" s="5" t="s">
        <v>154</v>
      </c>
      <c r="B80">
        <v>3</v>
      </c>
      <c r="C80">
        <v>5</v>
      </c>
      <c r="D80">
        <v>8</v>
      </c>
      <c r="G80" s="5" t="s">
        <v>122</v>
      </c>
      <c r="H80">
        <f t="shared" si="6"/>
        <v>2</v>
      </c>
      <c r="I80">
        <f t="shared" si="7"/>
        <v>1</v>
      </c>
      <c r="K80">
        <f>VLOOKUP(G80,'Resumen Estudiantes y Profesore'!$B$3:$Y$171,19,0)</f>
        <v>2</v>
      </c>
      <c r="L80">
        <f>VLOOKUP(G80,'Resumen Estudiantes y Profesore'!$B$3:$Y$171,12,0)</f>
        <v>1</v>
      </c>
      <c r="N80">
        <f t="shared" si="8"/>
        <v>0</v>
      </c>
      <c r="O80">
        <f t="shared" si="9"/>
        <v>0</v>
      </c>
      <c r="Q80">
        <f>VLOOKUP(G80,'Resumen Estudiantes y Profesore'!$B$3:$Y$171,17,0)</f>
        <v>0</v>
      </c>
      <c r="R80" t="str">
        <f>VLOOKUP(G80,'Resumen Estudiantes y Profesore'!$B$3:$Y$171,10,0)</f>
        <v>Encuesta</v>
      </c>
      <c r="T80">
        <f t="shared" si="10"/>
        <v>-2</v>
      </c>
      <c r="U80" t="e">
        <f t="shared" si="11"/>
        <v>#VALUE!</v>
      </c>
    </row>
    <row r="81" spans="1:21">
      <c r="A81" s="5" t="s">
        <v>31</v>
      </c>
      <c r="B81">
        <v>5</v>
      </c>
      <c r="C81">
        <v>5</v>
      </c>
      <c r="D81">
        <v>10</v>
      </c>
      <c r="G81" s="5" t="s">
        <v>123</v>
      </c>
      <c r="H81">
        <f t="shared" si="6"/>
        <v>0</v>
      </c>
      <c r="I81">
        <f t="shared" si="7"/>
        <v>0</v>
      </c>
      <c r="K81">
        <f>VLOOKUP(G81,'Resumen Estudiantes y Profesore'!$B$3:$Y$171,19,0)</f>
        <v>1</v>
      </c>
      <c r="L81">
        <f>VLOOKUP(G81,'Resumen Estudiantes y Profesore'!$B$3:$Y$171,12,0)</f>
        <v>0</v>
      </c>
      <c r="N81">
        <f t="shared" si="8"/>
        <v>-1</v>
      </c>
      <c r="O81">
        <f t="shared" si="9"/>
        <v>0</v>
      </c>
      <c r="Q81" t="str">
        <f>VLOOKUP(G81,'Resumen Estudiantes y Profesore'!$B$3:$Y$171,17,0)</f>
        <v/>
      </c>
      <c r="R81" t="str">
        <f>VLOOKUP(G81,'Resumen Estudiantes y Profesore'!$B$3:$Y$171,10,0)</f>
        <v>Sondeo</v>
      </c>
      <c r="T81" t="e">
        <f t="shared" si="10"/>
        <v>#VALUE!</v>
      </c>
      <c r="U81" t="e">
        <f t="shared" si="11"/>
        <v>#VALUE!</v>
      </c>
    </row>
    <row r="82" spans="1:21">
      <c r="A82" s="5" t="s">
        <v>234</v>
      </c>
      <c r="B82">
        <v>18</v>
      </c>
      <c r="C82">
        <v>3</v>
      </c>
      <c r="D82">
        <v>21</v>
      </c>
      <c r="G82" s="5" t="s">
        <v>124</v>
      </c>
      <c r="H82">
        <f t="shared" si="6"/>
        <v>0</v>
      </c>
      <c r="I82">
        <f t="shared" si="7"/>
        <v>0</v>
      </c>
      <c r="K82">
        <f>VLOOKUP(G82,'Resumen Estudiantes y Profesore'!$B$3:$Y$171,19,0)</f>
        <v>2</v>
      </c>
      <c r="L82">
        <f>VLOOKUP(G82,'Resumen Estudiantes y Profesore'!$B$3:$Y$171,12,0)</f>
        <v>0</v>
      </c>
      <c r="N82">
        <f t="shared" si="8"/>
        <v>-2</v>
      </c>
      <c r="O82">
        <f t="shared" si="9"/>
        <v>0</v>
      </c>
      <c r="Q82" t="str">
        <f>VLOOKUP(G82,'Resumen Estudiantes y Profesore'!$B$3:$Y$171,17,0)</f>
        <v/>
      </c>
      <c r="R82" t="str">
        <f>VLOOKUP(G82,'Resumen Estudiantes y Profesore'!$B$3:$Y$171,10,0)</f>
        <v>Sondeo</v>
      </c>
      <c r="T82" t="e">
        <f t="shared" si="10"/>
        <v>#VALUE!</v>
      </c>
      <c r="U82" t="e">
        <f t="shared" si="11"/>
        <v>#VALUE!</v>
      </c>
    </row>
    <row r="83" spans="1:21">
      <c r="A83" s="5" t="s">
        <v>30</v>
      </c>
      <c r="B83">
        <v>3</v>
      </c>
      <c r="C83">
        <v>23</v>
      </c>
      <c r="D83">
        <v>26</v>
      </c>
      <c r="G83" s="5" t="s">
        <v>125</v>
      </c>
      <c r="H83">
        <f t="shared" si="6"/>
        <v>0</v>
      </c>
      <c r="I83">
        <f t="shared" si="7"/>
        <v>0</v>
      </c>
      <c r="K83">
        <f>VLOOKUP(G83,'Resumen Estudiantes y Profesore'!$B$3:$Y$171,19,0)</f>
        <v>1</v>
      </c>
      <c r="L83">
        <f>VLOOKUP(G83,'Resumen Estudiantes y Profesore'!$B$3:$Y$171,12,0)</f>
        <v>0</v>
      </c>
      <c r="N83">
        <f t="shared" si="8"/>
        <v>-1</v>
      </c>
      <c r="O83">
        <f t="shared" si="9"/>
        <v>0</v>
      </c>
      <c r="Q83" t="str">
        <f>VLOOKUP(G83,'Resumen Estudiantes y Profesore'!$B$3:$Y$171,17,0)</f>
        <v/>
      </c>
      <c r="R83" t="str">
        <f>VLOOKUP(G83,'Resumen Estudiantes y Profesore'!$B$3:$Y$171,10,0)</f>
        <v>Encuesta</v>
      </c>
      <c r="T83" t="e">
        <f t="shared" si="10"/>
        <v>#VALUE!</v>
      </c>
      <c r="U83" t="e">
        <f t="shared" si="11"/>
        <v>#VALUE!</v>
      </c>
    </row>
    <row r="84" spans="1:21">
      <c r="A84" s="5" t="s">
        <v>235</v>
      </c>
      <c r="B84">
        <v>3</v>
      </c>
      <c r="C84">
        <v>2</v>
      </c>
      <c r="D84">
        <v>5</v>
      </c>
      <c r="G84" s="5" t="s">
        <v>161</v>
      </c>
      <c r="H84">
        <f t="shared" si="6"/>
        <v>3</v>
      </c>
      <c r="I84">
        <f t="shared" si="7"/>
        <v>0</v>
      </c>
      <c r="K84">
        <f>VLOOKUP(G84,'Resumen Estudiantes y Profesore'!$B$3:$Y$171,19,0)</f>
        <v>3</v>
      </c>
      <c r="L84">
        <f>VLOOKUP(G84,'Resumen Estudiantes y Profesore'!$B$3:$Y$171,12,0)</f>
        <v>1</v>
      </c>
      <c r="N84">
        <f t="shared" si="8"/>
        <v>0</v>
      </c>
      <c r="O84">
        <f t="shared" si="9"/>
        <v>-1</v>
      </c>
      <c r="Q84" t="str">
        <f>VLOOKUP(G84,'Resumen Estudiantes y Profesore'!$B$3:$Y$171,17,0)</f>
        <v/>
      </c>
      <c r="R84" t="str">
        <f>VLOOKUP(G84,'Resumen Estudiantes y Profesore'!$B$3:$Y$171,10,0)</f>
        <v>Encuesta</v>
      </c>
      <c r="T84" t="e">
        <f t="shared" si="10"/>
        <v>#VALUE!</v>
      </c>
      <c r="U84" t="e">
        <f t="shared" si="11"/>
        <v>#VALUE!</v>
      </c>
    </row>
    <row r="85" spans="1:21">
      <c r="A85" s="5" t="s">
        <v>32</v>
      </c>
      <c r="B85">
        <v>13</v>
      </c>
      <c r="C85">
        <v>5</v>
      </c>
      <c r="D85">
        <v>18</v>
      </c>
      <c r="G85" s="5" t="s">
        <v>126</v>
      </c>
      <c r="H85">
        <f t="shared" si="6"/>
        <v>1</v>
      </c>
      <c r="I85">
        <f t="shared" si="7"/>
        <v>2</v>
      </c>
      <c r="K85">
        <f>VLOOKUP(G85,'Resumen Estudiantes y Profesore'!$B$3:$Y$171,19,0)</f>
        <v>2</v>
      </c>
      <c r="L85">
        <f>VLOOKUP(G85,'Resumen Estudiantes y Profesore'!$B$3:$Y$171,12,0)</f>
        <v>3</v>
      </c>
      <c r="N85">
        <f t="shared" si="8"/>
        <v>-1</v>
      </c>
      <c r="O85">
        <f t="shared" si="9"/>
        <v>-1</v>
      </c>
      <c r="Q85">
        <f>VLOOKUP(G85,'Resumen Estudiantes y Profesore'!$B$3:$Y$171,17,0)</f>
        <v>0.41249999999999998</v>
      </c>
      <c r="R85" t="str">
        <f>VLOOKUP(G85,'Resumen Estudiantes y Profesore'!$B$3:$Y$171,10,0)</f>
        <v>Encuesta</v>
      </c>
      <c r="T85">
        <f t="shared" si="10"/>
        <v>-0.58750000000000002</v>
      </c>
      <c r="U85" t="e">
        <f t="shared" si="11"/>
        <v>#VALUE!</v>
      </c>
    </row>
    <row r="86" spans="1:21">
      <c r="A86" s="5" t="s">
        <v>36</v>
      </c>
      <c r="B86">
        <v>3</v>
      </c>
      <c r="C86">
        <v>8</v>
      </c>
      <c r="D86">
        <v>11</v>
      </c>
      <c r="G86" s="5" t="s">
        <v>151</v>
      </c>
      <c r="H86">
        <f t="shared" si="6"/>
        <v>9</v>
      </c>
      <c r="I86">
        <f t="shared" si="7"/>
        <v>3</v>
      </c>
      <c r="K86">
        <f>VLOOKUP(G86,'Resumen Estudiantes y Profesore'!$B$3:$Y$171,19,0)</f>
        <v>9</v>
      </c>
      <c r="L86">
        <f>VLOOKUP(G86,'Resumen Estudiantes y Profesore'!$B$3:$Y$171,12,0)</f>
        <v>3</v>
      </c>
      <c r="N86">
        <f t="shared" si="8"/>
        <v>0</v>
      </c>
      <c r="O86">
        <f t="shared" si="9"/>
        <v>0</v>
      </c>
      <c r="Q86">
        <f>VLOOKUP(G86,'Resumen Estudiantes y Profesore'!$B$3:$Y$171,17,0)</f>
        <v>0</v>
      </c>
      <c r="R86" t="str">
        <f>VLOOKUP(G86,'Resumen Estudiantes y Profesore'!$B$3:$Y$171,10,0)</f>
        <v>Encuesta</v>
      </c>
      <c r="T86">
        <f t="shared" si="10"/>
        <v>-9</v>
      </c>
      <c r="U86" t="e">
        <f t="shared" si="11"/>
        <v>#VALUE!</v>
      </c>
    </row>
    <row r="87" spans="1:21">
      <c r="A87" s="5" t="s">
        <v>33</v>
      </c>
      <c r="B87">
        <v>15</v>
      </c>
      <c r="C87">
        <v>19</v>
      </c>
      <c r="D87">
        <v>34</v>
      </c>
      <c r="G87" s="5" t="s">
        <v>152</v>
      </c>
      <c r="H87">
        <f t="shared" si="6"/>
        <v>3</v>
      </c>
      <c r="I87">
        <f t="shared" si="7"/>
        <v>2</v>
      </c>
      <c r="K87">
        <f>VLOOKUP(G87,'Resumen Estudiantes y Profesore'!$B$3:$Y$171,19,0)</f>
        <v>3</v>
      </c>
      <c r="L87">
        <f>VLOOKUP(G87,'Resumen Estudiantes y Profesore'!$B$3:$Y$171,12,0)</f>
        <v>2</v>
      </c>
      <c r="N87">
        <f t="shared" si="8"/>
        <v>0</v>
      </c>
      <c r="O87">
        <f t="shared" si="9"/>
        <v>0</v>
      </c>
      <c r="Q87">
        <f>VLOOKUP(G87,'Resumen Estudiantes y Profesore'!$B$3:$Y$171,17,0)</f>
        <v>0</v>
      </c>
      <c r="R87" t="str">
        <f>VLOOKUP(G87,'Resumen Estudiantes y Profesore'!$B$3:$Y$171,10,0)</f>
        <v>Encuesta</v>
      </c>
      <c r="T87">
        <f t="shared" si="10"/>
        <v>-3</v>
      </c>
      <c r="U87" t="e">
        <f t="shared" si="11"/>
        <v>#VALUE!</v>
      </c>
    </row>
    <row r="88" spans="1:21">
      <c r="A88" s="5" t="s">
        <v>34</v>
      </c>
      <c r="B88">
        <v>19</v>
      </c>
      <c r="C88">
        <v>7</v>
      </c>
      <c r="D88">
        <v>26</v>
      </c>
      <c r="G88" s="5" t="s">
        <v>127</v>
      </c>
      <c r="H88">
        <f t="shared" si="6"/>
        <v>0</v>
      </c>
      <c r="I88">
        <f t="shared" si="7"/>
        <v>0</v>
      </c>
      <c r="K88">
        <f>VLOOKUP(G88,'Resumen Estudiantes y Profesore'!$B$3:$Y$171,19,0)</f>
        <v>1</v>
      </c>
      <c r="L88">
        <f>VLOOKUP(G88,'Resumen Estudiantes y Profesore'!$B$3:$Y$171,12,0)</f>
        <v>0</v>
      </c>
      <c r="N88">
        <f t="shared" si="8"/>
        <v>-1</v>
      </c>
      <c r="O88">
        <f t="shared" si="9"/>
        <v>0</v>
      </c>
      <c r="Q88" t="str">
        <f>VLOOKUP(G88,'Resumen Estudiantes y Profesore'!$B$3:$Y$171,17,0)</f>
        <v/>
      </c>
      <c r="R88" t="str">
        <f>VLOOKUP(G88,'Resumen Estudiantes y Profesore'!$B$3:$Y$171,10,0)</f>
        <v>Sondeo</v>
      </c>
      <c r="T88" t="e">
        <f t="shared" si="10"/>
        <v>#VALUE!</v>
      </c>
      <c r="U88" t="e">
        <f t="shared" si="11"/>
        <v>#VALUE!</v>
      </c>
    </row>
    <row r="89" spans="1:21">
      <c r="A89" s="5" t="s">
        <v>35</v>
      </c>
      <c r="B89">
        <v>9</v>
      </c>
      <c r="C89">
        <v>6</v>
      </c>
      <c r="D89">
        <v>15</v>
      </c>
      <c r="G89" s="5" t="s">
        <v>133</v>
      </c>
      <c r="H89">
        <f t="shared" si="6"/>
        <v>3</v>
      </c>
      <c r="I89">
        <f t="shared" si="7"/>
        <v>0</v>
      </c>
      <c r="K89">
        <f>VLOOKUP(G89,'Resumen Estudiantes y Profesore'!$B$3:$Y$171,19,0)</f>
        <v>7</v>
      </c>
      <c r="L89">
        <f>VLOOKUP(G89,'Resumen Estudiantes y Profesore'!$B$3:$Y$171,12,0)</f>
        <v>1</v>
      </c>
      <c r="N89">
        <f t="shared" si="8"/>
        <v>-4</v>
      </c>
      <c r="O89">
        <f t="shared" si="9"/>
        <v>-1</v>
      </c>
      <c r="Q89" t="str">
        <f>VLOOKUP(G89,'Resumen Estudiantes y Profesore'!$B$3:$Y$171,17,0)</f>
        <v/>
      </c>
      <c r="R89" t="str">
        <f>VLOOKUP(G89,'Resumen Estudiantes y Profesore'!$B$3:$Y$171,10,0)</f>
        <v>Sondeo</v>
      </c>
      <c r="T89" t="e">
        <f t="shared" si="10"/>
        <v>#VALUE!</v>
      </c>
      <c r="U89" t="e">
        <f t="shared" si="11"/>
        <v>#VALUE!</v>
      </c>
    </row>
    <row r="90" spans="1:21">
      <c r="A90" s="5" t="s">
        <v>37</v>
      </c>
      <c r="B90">
        <v>18</v>
      </c>
      <c r="C90">
        <v>12</v>
      </c>
      <c r="D90">
        <v>30</v>
      </c>
      <c r="G90" s="5" t="s">
        <v>128</v>
      </c>
      <c r="H90">
        <f t="shared" si="6"/>
        <v>0</v>
      </c>
      <c r="I90">
        <f t="shared" si="7"/>
        <v>2</v>
      </c>
      <c r="K90">
        <f>VLOOKUP(G90,'Resumen Estudiantes y Profesore'!$B$3:$Y$171,19,0)</f>
        <v>0</v>
      </c>
      <c r="L90">
        <f>VLOOKUP(G90,'Resumen Estudiantes y Profesore'!$B$3:$Y$171,12,0)</f>
        <v>2</v>
      </c>
      <c r="N90">
        <f t="shared" si="8"/>
        <v>0</v>
      </c>
      <c r="O90">
        <f t="shared" si="9"/>
        <v>0</v>
      </c>
      <c r="Q90">
        <f>VLOOKUP(G90,'Resumen Estudiantes y Profesore'!$B$3:$Y$171,17,0)</f>
        <v>0</v>
      </c>
      <c r="R90" t="str">
        <f>VLOOKUP(G90,'Resumen Estudiantes y Profesore'!$B$3:$Y$171,10,0)</f>
        <v>Sondeo</v>
      </c>
      <c r="T90">
        <f t="shared" si="10"/>
        <v>0</v>
      </c>
      <c r="U90" t="e">
        <f t="shared" si="11"/>
        <v>#VALUE!</v>
      </c>
    </row>
    <row r="91" spans="1:21">
      <c r="A91" s="5" t="s">
        <v>236</v>
      </c>
      <c r="B91">
        <v>6</v>
      </c>
      <c r="C91">
        <v>2</v>
      </c>
      <c r="D91">
        <v>8</v>
      </c>
      <c r="G91" s="5" t="s">
        <v>134</v>
      </c>
      <c r="H91">
        <f t="shared" si="6"/>
        <v>4</v>
      </c>
      <c r="I91">
        <f t="shared" si="7"/>
        <v>0</v>
      </c>
      <c r="K91">
        <f>VLOOKUP(G91,'Resumen Estudiantes y Profesore'!$B$3:$Y$171,19,0)</f>
        <v>19</v>
      </c>
      <c r="L91">
        <f>VLOOKUP(G91,'Resumen Estudiantes y Profesore'!$B$3:$Y$171,12,0)</f>
        <v>0</v>
      </c>
      <c r="N91">
        <f t="shared" si="8"/>
        <v>-15</v>
      </c>
      <c r="O91">
        <f t="shared" si="9"/>
        <v>0</v>
      </c>
      <c r="Q91" t="str">
        <f>VLOOKUP(G91,'Resumen Estudiantes y Profesore'!$B$3:$Y$171,17,0)</f>
        <v/>
      </c>
      <c r="R91" t="str">
        <f>VLOOKUP(G91,'Resumen Estudiantes y Profesore'!$B$3:$Y$171,10,0)</f>
        <v>Sondeo</v>
      </c>
      <c r="T91" t="e">
        <f t="shared" si="10"/>
        <v>#VALUE!</v>
      </c>
      <c r="U91" t="e">
        <f t="shared" si="11"/>
        <v>#VALUE!</v>
      </c>
    </row>
    <row r="92" spans="1:21">
      <c r="A92" s="5" t="s">
        <v>41</v>
      </c>
      <c r="B92">
        <v>10</v>
      </c>
      <c r="C92">
        <v>7</v>
      </c>
      <c r="D92">
        <v>17</v>
      </c>
      <c r="G92" s="5" t="s">
        <v>154</v>
      </c>
      <c r="H92">
        <f t="shared" si="6"/>
        <v>3</v>
      </c>
      <c r="I92">
        <f t="shared" si="7"/>
        <v>5</v>
      </c>
      <c r="K92">
        <f>VLOOKUP(G92,'Resumen Estudiantes y Profesore'!$B$3:$Y$171,19,0)</f>
        <v>3</v>
      </c>
      <c r="L92">
        <f>VLOOKUP(G92,'Resumen Estudiantes y Profesore'!$B$3:$Y$171,12,0)</f>
        <v>5</v>
      </c>
      <c r="N92">
        <f t="shared" si="8"/>
        <v>0</v>
      </c>
      <c r="O92">
        <f t="shared" si="9"/>
        <v>0</v>
      </c>
      <c r="Q92">
        <f>VLOOKUP(G92,'Resumen Estudiantes y Profesore'!$B$3:$Y$171,17,0)</f>
        <v>0</v>
      </c>
      <c r="R92" t="str">
        <f>VLOOKUP(G92,'Resumen Estudiantes y Profesore'!$B$3:$Y$171,10,0)</f>
        <v>Encuesta</v>
      </c>
      <c r="T92">
        <f t="shared" si="10"/>
        <v>-3</v>
      </c>
      <c r="U92" t="e">
        <f t="shared" si="11"/>
        <v>#VALUE!</v>
      </c>
    </row>
    <row r="93" spans="1:21">
      <c r="A93" s="5" t="s">
        <v>28</v>
      </c>
      <c r="B93">
        <v>13</v>
      </c>
      <c r="C93">
        <v>8</v>
      </c>
      <c r="D93">
        <v>21</v>
      </c>
      <c r="G93" s="5" t="s">
        <v>31</v>
      </c>
      <c r="H93">
        <f t="shared" si="6"/>
        <v>5</v>
      </c>
      <c r="I93">
        <f t="shared" si="7"/>
        <v>5</v>
      </c>
      <c r="K93">
        <f>VLOOKUP(G93,'Resumen Estudiantes y Profesore'!$B$3:$Y$171,19,0)</f>
        <v>5</v>
      </c>
      <c r="L93">
        <f>VLOOKUP(G93,'Resumen Estudiantes y Profesore'!$B$3:$Y$171,12,0)</f>
        <v>5</v>
      </c>
      <c r="N93">
        <f t="shared" si="8"/>
        <v>0</v>
      </c>
      <c r="O93">
        <f t="shared" si="9"/>
        <v>0</v>
      </c>
      <c r="Q93">
        <f>VLOOKUP(G93,'Resumen Estudiantes y Profesore'!$B$3:$Y$171,17,0)</f>
        <v>0</v>
      </c>
      <c r="R93" t="str">
        <f>VLOOKUP(G93,'Resumen Estudiantes y Profesore'!$B$3:$Y$171,10,0)</f>
        <v>Encuesta</v>
      </c>
      <c r="T93">
        <f t="shared" si="10"/>
        <v>-5</v>
      </c>
      <c r="U93" t="e">
        <f t="shared" si="11"/>
        <v>#VALUE!</v>
      </c>
    </row>
    <row r="94" spans="1:21">
      <c r="A94" s="5" t="s">
        <v>178</v>
      </c>
      <c r="B94">
        <v>10</v>
      </c>
      <c r="C94">
        <v>7</v>
      </c>
      <c r="D94">
        <v>17</v>
      </c>
      <c r="G94" s="5" t="s">
        <v>234</v>
      </c>
      <c r="H94">
        <f t="shared" si="6"/>
        <v>18</v>
      </c>
      <c r="I94">
        <f t="shared" si="7"/>
        <v>3</v>
      </c>
      <c r="K94">
        <f>VLOOKUP(G94,'Resumen Estudiantes y Profesore'!$B$3:$Y$171,19,0)</f>
        <v>21</v>
      </c>
      <c r="L94">
        <f>VLOOKUP(G94,'Resumen Estudiantes y Profesore'!$B$3:$Y$171,12,0)</f>
        <v>3</v>
      </c>
      <c r="N94">
        <f t="shared" si="8"/>
        <v>-3</v>
      </c>
      <c r="O94">
        <f t="shared" si="9"/>
        <v>0</v>
      </c>
      <c r="Q94">
        <f>VLOOKUP(G94,'Resumen Estudiantes y Profesore'!$B$3:$Y$171,17,0)</f>
        <v>0</v>
      </c>
      <c r="R94">
        <f>VLOOKUP(G94,'Resumen Estudiantes y Profesore'!$B$3:$Y$171,10,0)</f>
        <v>0</v>
      </c>
      <c r="T94">
        <f t="shared" si="10"/>
        <v>-18</v>
      </c>
      <c r="U94">
        <f t="shared" si="11"/>
        <v>-3</v>
      </c>
    </row>
    <row r="95" spans="1:21">
      <c r="A95" s="5" t="s">
        <v>181</v>
      </c>
      <c r="B95">
        <v>6</v>
      </c>
      <c r="C95">
        <v>6</v>
      </c>
      <c r="D95">
        <v>12</v>
      </c>
      <c r="G95" s="5" t="s">
        <v>30</v>
      </c>
      <c r="H95">
        <f t="shared" si="6"/>
        <v>3</v>
      </c>
      <c r="I95">
        <f t="shared" si="7"/>
        <v>23</v>
      </c>
      <c r="K95">
        <f>VLOOKUP(G95,'Resumen Estudiantes y Profesore'!$B$3:$Y$171,19,0)</f>
        <v>3</v>
      </c>
      <c r="L95">
        <f>VLOOKUP(G95,'Resumen Estudiantes y Profesore'!$B$3:$Y$171,12,0)</f>
        <v>23</v>
      </c>
      <c r="N95">
        <f t="shared" si="8"/>
        <v>0</v>
      </c>
      <c r="O95">
        <f t="shared" si="9"/>
        <v>0</v>
      </c>
      <c r="Q95">
        <f>VLOOKUP(G95,'Resumen Estudiantes y Profesore'!$B$3:$Y$171,17,0)</f>
        <v>0</v>
      </c>
      <c r="R95" t="str">
        <f>VLOOKUP(G95,'Resumen Estudiantes y Profesore'!$B$3:$Y$171,10,0)</f>
        <v>Encuesta</v>
      </c>
      <c r="T95">
        <f t="shared" si="10"/>
        <v>-3</v>
      </c>
      <c r="U95" t="e">
        <f t="shared" si="11"/>
        <v>#VALUE!</v>
      </c>
    </row>
    <row r="96" spans="1:21">
      <c r="A96" s="5" t="s">
        <v>196</v>
      </c>
      <c r="C96">
        <v>2</v>
      </c>
      <c r="D96">
        <v>2</v>
      </c>
      <c r="G96" s="5" t="s">
        <v>235</v>
      </c>
      <c r="H96">
        <f t="shared" si="6"/>
        <v>3</v>
      </c>
      <c r="I96">
        <f t="shared" si="7"/>
        <v>2</v>
      </c>
      <c r="K96">
        <f>VLOOKUP(G96,'Resumen Estudiantes y Profesore'!$B$3:$Y$171,19,0)</f>
        <v>5</v>
      </c>
      <c r="L96">
        <f>VLOOKUP(G96,'Resumen Estudiantes y Profesore'!$B$3:$Y$171,12,0)</f>
        <v>2</v>
      </c>
      <c r="N96">
        <f t="shared" si="8"/>
        <v>-2</v>
      </c>
      <c r="O96">
        <f t="shared" si="9"/>
        <v>0</v>
      </c>
      <c r="Q96">
        <f>VLOOKUP(G96,'Resumen Estudiantes y Profesore'!$B$3:$Y$171,17,0)</f>
        <v>0</v>
      </c>
      <c r="R96">
        <f>VLOOKUP(G96,'Resumen Estudiantes y Profesore'!$B$3:$Y$171,10,0)</f>
        <v>0</v>
      </c>
      <c r="T96">
        <f t="shared" si="10"/>
        <v>-3</v>
      </c>
      <c r="U96">
        <f t="shared" si="11"/>
        <v>-2</v>
      </c>
    </row>
    <row r="97" spans="1:21">
      <c r="A97" s="5" t="s">
        <v>183</v>
      </c>
      <c r="C97">
        <v>2</v>
      </c>
      <c r="D97">
        <v>2</v>
      </c>
      <c r="G97" s="5" t="s">
        <v>32</v>
      </c>
      <c r="H97">
        <f t="shared" si="6"/>
        <v>13</v>
      </c>
      <c r="I97">
        <f t="shared" si="7"/>
        <v>5</v>
      </c>
      <c r="K97">
        <f>VLOOKUP(G97,'Resumen Estudiantes y Profesore'!$B$3:$Y$171,19,0)</f>
        <v>13</v>
      </c>
      <c r="L97">
        <f>VLOOKUP(G97,'Resumen Estudiantes y Profesore'!$B$3:$Y$171,12,0)</f>
        <v>5</v>
      </c>
      <c r="N97">
        <f t="shared" si="8"/>
        <v>0</v>
      </c>
      <c r="O97">
        <f t="shared" si="9"/>
        <v>0</v>
      </c>
      <c r="Q97">
        <f>VLOOKUP(G97,'Resumen Estudiantes y Profesore'!$B$3:$Y$171,17,0)</f>
        <v>0</v>
      </c>
      <c r="R97" t="str">
        <f>VLOOKUP(G97,'Resumen Estudiantes y Profesore'!$B$3:$Y$171,10,0)</f>
        <v>Encuesta</v>
      </c>
      <c r="T97">
        <f t="shared" si="10"/>
        <v>-13</v>
      </c>
      <c r="U97" t="e">
        <f t="shared" si="11"/>
        <v>#VALUE!</v>
      </c>
    </row>
    <row r="98" spans="1:21">
      <c r="A98" s="5" t="s">
        <v>185</v>
      </c>
      <c r="B98">
        <v>5</v>
      </c>
      <c r="C98">
        <v>2</v>
      </c>
      <c r="D98">
        <v>7</v>
      </c>
      <c r="G98" s="5" t="s">
        <v>36</v>
      </c>
      <c r="H98">
        <f t="shared" si="6"/>
        <v>3</v>
      </c>
      <c r="I98">
        <f t="shared" si="7"/>
        <v>8</v>
      </c>
      <c r="K98">
        <f>VLOOKUP(G98,'Resumen Estudiantes y Profesore'!$B$3:$Y$171,19,0)</f>
        <v>4</v>
      </c>
      <c r="L98">
        <f>VLOOKUP(G98,'Resumen Estudiantes y Profesore'!$B$3:$Y$171,12,0)</f>
        <v>10</v>
      </c>
      <c r="N98">
        <f t="shared" si="8"/>
        <v>-1</v>
      </c>
      <c r="O98">
        <f t="shared" si="9"/>
        <v>-2</v>
      </c>
      <c r="Q98">
        <f>VLOOKUP(G98,'Resumen Estudiantes y Profesore'!$B$3:$Y$171,17,0)</f>
        <v>0.12298373876248843</v>
      </c>
      <c r="R98" t="str">
        <f>VLOOKUP(G98,'Resumen Estudiantes y Profesore'!$B$3:$Y$171,10,0)</f>
        <v>Encuesta</v>
      </c>
      <c r="T98">
        <f t="shared" si="10"/>
        <v>-2.8770162612375114</v>
      </c>
      <c r="U98" t="e">
        <f t="shared" si="11"/>
        <v>#VALUE!</v>
      </c>
    </row>
    <row r="99" spans="1:21">
      <c r="A99" s="5" t="s">
        <v>186</v>
      </c>
      <c r="B99">
        <v>1</v>
      </c>
      <c r="C99">
        <v>1</v>
      </c>
      <c r="D99">
        <v>2</v>
      </c>
      <c r="G99" s="5" t="s">
        <v>33</v>
      </c>
      <c r="H99">
        <f t="shared" si="6"/>
        <v>15</v>
      </c>
      <c r="I99">
        <f t="shared" si="7"/>
        <v>19</v>
      </c>
      <c r="K99">
        <f>VLOOKUP(G99,'Resumen Estudiantes y Profesore'!$B$3:$Y$171,19,0)</f>
        <v>21</v>
      </c>
      <c r="L99">
        <f>VLOOKUP(G99,'Resumen Estudiantes y Profesore'!$B$3:$Y$171,12,0)</f>
        <v>20</v>
      </c>
      <c r="N99">
        <f t="shared" si="8"/>
        <v>-6</v>
      </c>
      <c r="O99">
        <f t="shared" si="9"/>
        <v>-1</v>
      </c>
      <c r="Q99">
        <f>VLOOKUP(G99,'Resumen Estudiantes y Profesore'!$B$3:$Y$171,17,0)</f>
        <v>5.985179063407596E-2</v>
      </c>
      <c r="R99" t="str">
        <f>VLOOKUP(G99,'Resumen Estudiantes y Profesore'!$B$3:$Y$171,10,0)</f>
        <v>Encuesta</v>
      </c>
      <c r="T99">
        <f t="shared" si="10"/>
        <v>-14.940148209365924</v>
      </c>
      <c r="U99" t="e">
        <f t="shared" si="11"/>
        <v>#VALUE!</v>
      </c>
    </row>
    <row r="100" spans="1:21">
      <c r="A100" s="5" t="s">
        <v>187</v>
      </c>
      <c r="B100">
        <v>14</v>
      </c>
      <c r="C100">
        <v>1</v>
      </c>
      <c r="D100">
        <v>15</v>
      </c>
      <c r="G100" s="5" t="s">
        <v>34</v>
      </c>
      <c r="H100">
        <f t="shared" si="6"/>
        <v>19</v>
      </c>
      <c r="I100">
        <f t="shared" si="7"/>
        <v>7</v>
      </c>
      <c r="K100">
        <f>VLOOKUP(G100,'Resumen Estudiantes y Profesore'!$B$3:$Y$171,19,0)</f>
        <v>34</v>
      </c>
      <c r="L100">
        <f>VLOOKUP(G100,'Resumen Estudiantes y Profesore'!$B$3:$Y$171,12,0)</f>
        <v>7</v>
      </c>
      <c r="N100">
        <f t="shared" si="8"/>
        <v>-15</v>
      </c>
      <c r="O100">
        <f t="shared" si="9"/>
        <v>0</v>
      </c>
      <c r="Q100">
        <f>VLOOKUP(G100,'Resumen Estudiantes y Profesore'!$B$3:$Y$171,17,0)</f>
        <v>0</v>
      </c>
      <c r="R100" t="str">
        <f>VLOOKUP(G100,'Resumen Estudiantes y Profesore'!$B$3:$Y$171,10,0)</f>
        <v>Encuesta</v>
      </c>
      <c r="T100">
        <f t="shared" si="10"/>
        <v>-19</v>
      </c>
      <c r="U100" t="e">
        <f t="shared" si="11"/>
        <v>#VALUE!</v>
      </c>
    </row>
    <row r="101" spans="1:21">
      <c r="A101" s="5" t="s">
        <v>188</v>
      </c>
      <c r="B101">
        <v>4</v>
      </c>
      <c r="C101">
        <v>5</v>
      </c>
      <c r="D101">
        <v>9</v>
      </c>
      <c r="G101" s="5" t="s">
        <v>35</v>
      </c>
      <c r="H101">
        <f t="shared" si="6"/>
        <v>9</v>
      </c>
      <c r="I101">
        <f t="shared" si="7"/>
        <v>6</v>
      </c>
      <c r="K101">
        <f>VLOOKUP(G101,'Resumen Estudiantes y Profesore'!$B$3:$Y$171,19,0)</f>
        <v>12</v>
      </c>
      <c r="L101">
        <f>VLOOKUP(G101,'Resumen Estudiantes y Profesore'!$B$3:$Y$171,12,0)</f>
        <v>6</v>
      </c>
      <c r="N101">
        <f t="shared" si="8"/>
        <v>-3</v>
      </c>
      <c r="O101">
        <f t="shared" si="9"/>
        <v>0</v>
      </c>
      <c r="Q101">
        <f>VLOOKUP(G101,'Resumen Estudiantes y Profesore'!$B$3:$Y$171,17,0)</f>
        <v>0</v>
      </c>
      <c r="R101" t="str">
        <f>VLOOKUP(G101,'Resumen Estudiantes y Profesore'!$B$3:$Y$171,10,0)</f>
        <v>Encuesta</v>
      </c>
      <c r="T101">
        <f t="shared" si="10"/>
        <v>-9</v>
      </c>
      <c r="U101" t="e">
        <f t="shared" si="11"/>
        <v>#VALUE!</v>
      </c>
    </row>
    <row r="102" spans="1:21">
      <c r="A102" s="5" t="s">
        <v>189</v>
      </c>
      <c r="B102">
        <v>3</v>
      </c>
      <c r="C102">
        <v>1</v>
      </c>
      <c r="D102">
        <v>4</v>
      </c>
      <c r="G102" s="5" t="s">
        <v>37</v>
      </c>
      <c r="H102">
        <f t="shared" si="6"/>
        <v>18</v>
      </c>
      <c r="I102">
        <f t="shared" si="7"/>
        <v>12</v>
      </c>
      <c r="K102">
        <f>VLOOKUP(G102,'Resumen Estudiantes y Profesore'!$B$3:$Y$171,19,0)</f>
        <v>27</v>
      </c>
      <c r="L102">
        <f>VLOOKUP(G102,'Resumen Estudiantes y Profesore'!$B$3:$Y$171,12,0)</f>
        <v>13</v>
      </c>
      <c r="N102">
        <f t="shared" si="8"/>
        <v>-9</v>
      </c>
      <c r="O102">
        <f t="shared" si="9"/>
        <v>-1</v>
      </c>
      <c r="Q102">
        <f>VLOOKUP(G102,'Resumen Estudiantes y Profesore'!$B$3:$Y$171,17,0)</f>
        <v>6.8750000000000006E-2</v>
      </c>
      <c r="R102" t="str">
        <f>VLOOKUP(G102,'Resumen Estudiantes y Profesore'!$B$3:$Y$171,10,0)</f>
        <v>Encuesta</v>
      </c>
      <c r="T102">
        <f t="shared" si="10"/>
        <v>-17.931249999999999</v>
      </c>
      <c r="U102" t="e">
        <f t="shared" si="11"/>
        <v>#VALUE!</v>
      </c>
    </row>
    <row r="103" spans="1:21">
      <c r="A103" s="5" t="s">
        <v>209</v>
      </c>
      <c r="B103">
        <v>2</v>
      </c>
      <c r="D103">
        <v>2</v>
      </c>
      <c r="G103" s="5" t="s">
        <v>236</v>
      </c>
      <c r="H103">
        <f t="shared" si="6"/>
        <v>6</v>
      </c>
      <c r="I103">
        <f t="shared" si="7"/>
        <v>2</v>
      </c>
      <c r="K103">
        <f>VLOOKUP(G103,'Resumen Estudiantes y Profesore'!$B$3:$Y$171,19,0)</f>
        <v>15</v>
      </c>
      <c r="L103">
        <f>VLOOKUP(G103,'Resumen Estudiantes y Profesore'!$B$3:$Y$171,12,0)</f>
        <v>2</v>
      </c>
      <c r="N103">
        <f t="shared" si="8"/>
        <v>-9</v>
      </c>
      <c r="O103">
        <f t="shared" si="9"/>
        <v>0</v>
      </c>
      <c r="Q103">
        <f>VLOOKUP(G103,'Resumen Estudiantes y Profesore'!$B$3:$Y$171,17,0)</f>
        <v>0</v>
      </c>
      <c r="R103">
        <f>VLOOKUP(G103,'Resumen Estudiantes y Profesore'!$B$3:$Y$171,10,0)</f>
        <v>0</v>
      </c>
      <c r="T103">
        <f t="shared" si="10"/>
        <v>-6</v>
      </c>
      <c r="U103">
        <f t="shared" si="11"/>
        <v>-2</v>
      </c>
    </row>
    <row r="104" spans="1:21">
      <c r="A104" s="5" t="s">
        <v>216</v>
      </c>
      <c r="C104">
        <v>2</v>
      </c>
      <c r="D104">
        <v>2</v>
      </c>
      <c r="G104" s="5" t="s">
        <v>41</v>
      </c>
      <c r="H104">
        <f t="shared" si="6"/>
        <v>10</v>
      </c>
      <c r="I104">
        <f t="shared" si="7"/>
        <v>7</v>
      </c>
      <c r="K104">
        <f>VLOOKUP(G104,'Resumen Estudiantes y Profesore'!$B$3:$Y$171,19,0)</f>
        <v>12</v>
      </c>
      <c r="L104">
        <f>VLOOKUP(G104,'Resumen Estudiantes y Profesore'!$B$3:$Y$171,12,0)</f>
        <v>8</v>
      </c>
      <c r="N104">
        <f t="shared" si="8"/>
        <v>-2</v>
      </c>
      <c r="O104">
        <f t="shared" si="9"/>
        <v>-1</v>
      </c>
      <c r="Q104">
        <f>VLOOKUP(G104,'Resumen Estudiantes y Profesore'!$B$3:$Y$171,17,0)</f>
        <v>0.11785714285714285</v>
      </c>
      <c r="R104" t="str">
        <f>VLOOKUP(G104,'Resumen Estudiantes y Profesore'!$B$3:$Y$171,10,0)</f>
        <v>Sondeo</v>
      </c>
      <c r="T104">
        <f t="shared" si="10"/>
        <v>-9.882142857142858</v>
      </c>
      <c r="U104" t="e">
        <f t="shared" si="11"/>
        <v>#VALUE!</v>
      </c>
    </row>
    <row r="105" spans="1:21">
      <c r="A105" s="5" t="s">
        <v>190</v>
      </c>
      <c r="B105">
        <v>7</v>
      </c>
      <c r="C105">
        <v>1</v>
      </c>
      <c r="D105">
        <v>8</v>
      </c>
      <c r="G105" s="5" t="s">
        <v>28</v>
      </c>
      <c r="H105">
        <f t="shared" si="6"/>
        <v>13</v>
      </c>
      <c r="I105">
        <f t="shared" si="7"/>
        <v>8</v>
      </c>
      <c r="K105">
        <f>VLOOKUP(G105,'Resumen Estudiantes y Profesore'!$B$3:$Y$171,19,0)</f>
        <v>15</v>
      </c>
      <c r="L105">
        <f>VLOOKUP(G105,'Resumen Estudiantes y Profesore'!$B$3:$Y$171,12,0)</f>
        <v>9</v>
      </c>
      <c r="N105">
        <f t="shared" si="8"/>
        <v>-2</v>
      </c>
      <c r="O105">
        <f t="shared" si="9"/>
        <v>-1</v>
      </c>
      <c r="Q105">
        <f>VLOOKUP(G105,'Resumen Estudiantes y Profesore'!$B$3:$Y$171,17,0)</f>
        <v>0.10312499999999999</v>
      </c>
      <c r="R105" t="str">
        <f>VLOOKUP(G105,'Resumen Estudiantes y Profesore'!$B$3:$Y$171,10,0)</f>
        <v>Encuesta</v>
      </c>
      <c r="T105">
        <f t="shared" si="10"/>
        <v>-12.896875</v>
      </c>
      <c r="U105" t="e">
        <f t="shared" si="11"/>
        <v>#VALUE!</v>
      </c>
    </row>
    <row r="106" spans="1:21">
      <c r="A106" s="5" t="s">
        <v>208</v>
      </c>
      <c r="B106">
        <v>2</v>
      </c>
      <c r="C106">
        <v>1</v>
      </c>
      <c r="D106">
        <v>3</v>
      </c>
      <c r="G106" s="5" t="s">
        <v>178</v>
      </c>
      <c r="H106">
        <f t="shared" si="6"/>
        <v>10</v>
      </c>
      <c r="I106">
        <f t="shared" si="7"/>
        <v>7</v>
      </c>
      <c r="K106">
        <f>VLOOKUP(G106,'Resumen Estudiantes y Profesore'!$B$3:$Y$171,19,0)</f>
        <v>13</v>
      </c>
      <c r="L106">
        <f>VLOOKUP(G106,'Resumen Estudiantes y Profesore'!$B$3:$Y$171,12,0)</f>
        <v>7</v>
      </c>
      <c r="N106">
        <f t="shared" si="8"/>
        <v>-3</v>
      </c>
      <c r="O106">
        <f t="shared" si="9"/>
        <v>0</v>
      </c>
      <c r="Q106">
        <f>VLOOKUP(G106,'Resumen Estudiantes y Profesore'!$B$3:$Y$171,17,0)</f>
        <v>0</v>
      </c>
      <c r="R106" t="str">
        <f>VLOOKUP(G106,'Resumen Estudiantes y Profesore'!$B$3:$Y$171,10,0)</f>
        <v>Encuesta</v>
      </c>
      <c r="T106">
        <f t="shared" si="10"/>
        <v>-10</v>
      </c>
      <c r="U106" t="e">
        <f t="shared" si="11"/>
        <v>#VALUE!</v>
      </c>
    </row>
    <row r="107" spans="1:21">
      <c r="A107" s="5" t="s">
        <v>179</v>
      </c>
      <c r="B107">
        <v>6</v>
      </c>
      <c r="C107">
        <v>20</v>
      </c>
      <c r="D107">
        <v>26</v>
      </c>
      <c r="G107" s="5" t="s">
        <v>181</v>
      </c>
      <c r="H107">
        <f t="shared" si="6"/>
        <v>6</v>
      </c>
      <c r="I107">
        <f t="shared" si="7"/>
        <v>6</v>
      </c>
      <c r="K107">
        <f>VLOOKUP(G107,'Resumen Estudiantes y Profesore'!$B$3:$Y$171,19,0)</f>
        <v>6</v>
      </c>
      <c r="L107">
        <f>VLOOKUP(G107,'Resumen Estudiantes y Profesore'!$B$3:$Y$171,12,0)</f>
        <v>6</v>
      </c>
      <c r="N107">
        <f t="shared" si="8"/>
        <v>0</v>
      </c>
      <c r="O107">
        <f t="shared" si="9"/>
        <v>0</v>
      </c>
      <c r="Q107">
        <f>VLOOKUP(G107,'Resumen Estudiantes y Profesore'!$B$3:$Y$171,17,0)</f>
        <v>0</v>
      </c>
      <c r="R107" t="str">
        <f>VLOOKUP(G107,'Resumen Estudiantes y Profesore'!$B$3:$Y$171,10,0)</f>
        <v>Encuesta</v>
      </c>
      <c r="T107">
        <f t="shared" si="10"/>
        <v>-6</v>
      </c>
      <c r="U107" t="e">
        <f t="shared" si="11"/>
        <v>#VALUE!</v>
      </c>
    </row>
    <row r="108" spans="1:21">
      <c r="A108" s="5" t="s">
        <v>191</v>
      </c>
      <c r="B108">
        <v>1</v>
      </c>
      <c r="C108">
        <v>1</v>
      </c>
      <c r="D108">
        <v>2</v>
      </c>
      <c r="G108" s="5" t="s">
        <v>196</v>
      </c>
      <c r="H108">
        <f t="shared" si="6"/>
        <v>0</v>
      </c>
      <c r="I108">
        <f t="shared" si="7"/>
        <v>2</v>
      </c>
      <c r="K108">
        <f>VLOOKUP(G108,'Resumen Estudiantes y Profesore'!$B$3:$Y$171,19,0)</f>
        <v>0</v>
      </c>
      <c r="L108">
        <f>VLOOKUP(G108,'Resumen Estudiantes y Profesore'!$B$3:$Y$171,12,0)</f>
        <v>3</v>
      </c>
      <c r="N108">
        <f t="shared" si="8"/>
        <v>0</v>
      </c>
      <c r="O108">
        <f t="shared" si="9"/>
        <v>-1</v>
      </c>
      <c r="Q108">
        <f>VLOOKUP(G108,'Resumen Estudiantes y Profesore'!$B$3:$Y$171,17,0)</f>
        <v>0.41249999999999998</v>
      </c>
      <c r="R108" t="str">
        <f>VLOOKUP(G108,'Resumen Estudiantes y Profesore'!$B$3:$Y$171,10,0)</f>
        <v>Encuesta</v>
      </c>
      <c r="T108">
        <f t="shared" si="10"/>
        <v>0.41249999999999998</v>
      </c>
      <c r="U108" t="e">
        <f t="shared" si="11"/>
        <v>#VALUE!</v>
      </c>
    </row>
    <row r="109" spans="1:21">
      <c r="A109" s="5" t="s">
        <v>193</v>
      </c>
      <c r="C109">
        <v>1</v>
      </c>
      <c r="D109">
        <v>1</v>
      </c>
      <c r="G109" s="5" t="s">
        <v>183</v>
      </c>
      <c r="H109">
        <f t="shared" si="6"/>
        <v>0</v>
      </c>
      <c r="I109">
        <f t="shared" si="7"/>
        <v>2</v>
      </c>
      <c r="K109">
        <f>VLOOKUP(G109,'Resumen Estudiantes y Profesore'!$B$3:$Y$171,19,0)</f>
        <v>2</v>
      </c>
      <c r="L109">
        <f>VLOOKUP(G109,'Resumen Estudiantes y Profesore'!$B$3:$Y$171,12,0)</f>
        <v>5</v>
      </c>
      <c r="N109">
        <f t="shared" si="8"/>
        <v>-2</v>
      </c>
      <c r="O109">
        <f t="shared" si="9"/>
        <v>-3</v>
      </c>
      <c r="Q109">
        <f>VLOOKUP(G109,'Resumen Estudiantes y Profesore'!$B$3:$Y$171,17,0)</f>
        <v>0.50520725944903044</v>
      </c>
      <c r="R109" t="str">
        <f>VLOOKUP(G109,'Resumen Estudiantes y Profesore'!$B$3:$Y$171,10,0)</f>
        <v>Sondeo</v>
      </c>
      <c r="T109">
        <f t="shared" si="10"/>
        <v>0.50520725944903044</v>
      </c>
      <c r="U109" t="e">
        <f t="shared" si="11"/>
        <v>#VALUE!</v>
      </c>
    </row>
    <row r="110" spans="1:21">
      <c r="A110" s="5" t="s">
        <v>197</v>
      </c>
      <c r="B110">
        <v>2</v>
      </c>
      <c r="C110">
        <v>7</v>
      </c>
      <c r="D110">
        <v>9</v>
      </c>
      <c r="G110" s="5" t="s">
        <v>185</v>
      </c>
      <c r="H110">
        <f t="shared" si="6"/>
        <v>5</v>
      </c>
      <c r="I110">
        <f t="shared" si="7"/>
        <v>2</v>
      </c>
      <c r="K110">
        <f>VLOOKUP(G110,'Resumen Estudiantes y Profesore'!$B$3:$Y$171,19,0)</f>
        <v>16</v>
      </c>
      <c r="L110">
        <f>VLOOKUP(G110,'Resumen Estudiantes y Profesore'!$B$3:$Y$171,12,0)</f>
        <v>3</v>
      </c>
      <c r="N110">
        <f t="shared" si="8"/>
        <v>-11</v>
      </c>
      <c r="O110">
        <f t="shared" si="9"/>
        <v>-1</v>
      </c>
      <c r="Q110">
        <f>VLOOKUP(G110,'Resumen Estudiantes y Profesore'!$B$3:$Y$171,17,0)</f>
        <v>0.41249999999999998</v>
      </c>
      <c r="R110" t="str">
        <f>VLOOKUP(G110,'Resumen Estudiantes y Profesore'!$B$3:$Y$171,10,0)</f>
        <v>Encuesta</v>
      </c>
      <c r="T110">
        <f t="shared" si="10"/>
        <v>-4.5875000000000004</v>
      </c>
      <c r="U110" t="e">
        <f t="shared" si="11"/>
        <v>#VALUE!</v>
      </c>
    </row>
    <row r="111" spans="1:21">
      <c r="A111" s="5" t="s">
        <v>212</v>
      </c>
      <c r="B111">
        <v>2</v>
      </c>
      <c r="C111">
        <v>7</v>
      </c>
      <c r="D111">
        <v>9</v>
      </c>
      <c r="G111" s="5" t="s">
        <v>186</v>
      </c>
      <c r="H111">
        <f t="shared" si="6"/>
        <v>1</v>
      </c>
      <c r="I111">
        <f t="shared" si="7"/>
        <v>1</v>
      </c>
      <c r="K111">
        <f>VLOOKUP(G111,'Resumen Estudiantes y Profesore'!$B$3:$Y$171,19,0)</f>
        <v>8</v>
      </c>
      <c r="L111">
        <f>VLOOKUP(G111,'Resumen Estudiantes y Profesore'!$B$3:$Y$171,12,0)</f>
        <v>2</v>
      </c>
      <c r="N111">
        <f t="shared" si="8"/>
        <v>-7</v>
      </c>
      <c r="O111">
        <f t="shared" si="9"/>
        <v>-1</v>
      </c>
      <c r="Q111">
        <f>VLOOKUP(G111,'Resumen Estudiantes y Profesore'!$B$3:$Y$171,17,0)</f>
        <v>0.82499999999999996</v>
      </c>
      <c r="R111" t="str">
        <f>VLOOKUP(G111,'Resumen Estudiantes y Profesore'!$B$3:$Y$171,10,0)</f>
        <v>Encuesta</v>
      </c>
      <c r="T111">
        <f t="shared" si="10"/>
        <v>-0.17500000000000004</v>
      </c>
      <c r="U111" t="e">
        <f t="shared" si="11"/>
        <v>#VALUE!</v>
      </c>
    </row>
    <row r="112" spans="1:21">
      <c r="A112" s="5" t="s">
        <v>195</v>
      </c>
      <c r="B112">
        <v>2</v>
      </c>
      <c r="C112">
        <v>2</v>
      </c>
      <c r="D112">
        <v>4</v>
      </c>
      <c r="G112" s="5" t="s">
        <v>187</v>
      </c>
      <c r="H112">
        <f t="shared" si="6"/>
        <v>14</v>
      </c>
      <c r="I112">
        <f t="shared" si="7"/>
        <v>1</v>
      </c>
      <c r="K112">
        <f>VLOOKUP(G112,'Resumen Estudiantes y Profesore'!$B$3:$Y$171,19,0)</f>
        <v>15</v>
      </c>
      <c r="L112">
        <f>VLOOKUP(G112,'Resumen Estudiantes y Profesore'!$B$3:$Y$171,12,0)</f>
        <v>2</v>
      </c>
      <c r="N112">
        <f t="shared" si="8"/>
        <v>-1</v>
      </c>
      <c r="O112">
        <f t="shared" si="9"/>
        <v>-1</v>
      </c>
      <c r="Q112">
        <f>VLOOKUP(G112,'Resumen Estudiantes y Profesore'!$B$3:$Y$171,17,0)</f>
        <v>0.82499999999999996</v>
      </c>
      <c r="R112" t="str">
        <f>VLOOKUP(G112,'Resumen Estudiantes y Profesore'!$B$3:$Y$171,10,0)</f>
        <v>Sondeo</v>
      </c>
      <c r="T112">
        <f t="shared" si="10"/>
        <v>-13.175000000000001</v>
      </c>
      <c r="U112" t="e">
        <f t="shared" si="11"/>
        <v>#VALUE!</v>
      </c>
    </row>
    <row r="113" spans="1:21">
      <c r="A113" s="5" t="s">
        <v>211</v>
      </c>
      <c r="C113">
        <v>9</v>
      </c>
      <c r="D113">
        <v>9</v>
      </c>
      <c r="G113" s="5" t="s">
        <v>188</v>
      </c>
      <c r="H113">
        <f t="shared" si="6"/>
        <v>4</v>
      </c>
      <c r="I113">
        <f t="shared" si="7"/>
        <v>5</v>
      </c>
      <c r="K113">
        <f>VLOOKUP(G113,'Resumen Estudiantes y Profesore'!$B$3:$Y$171,19,0)</f>
        <v>6</v>
      </c>
      <c r="L113">
        <f>VLOOKUP(G113,'Resumen Estudiantes y Profesore'!$B$3:$Y$171,12,0)</f>
        <v>6</v>
      </c>
      <c r="N113">
        <f t="shared" si="8"/>
        <v>-2</v>
      </c>
      <c r="O113">
        <f t="shared" si="9"/>
        <v>-1</v>
      </c>
      <c r="Q113">
        <f>VLOOKUP(G113,'Resumen Estudiantes y Profesore'!$B$3:$Y$171,17,0)</f>
        <v>0.16499999999999998</v>
      </c>
      <c r="R113" t="str">
        <f>VLOOKUP(G113,'Resumen Estudiantes y Profesore'!$B$3:$Y$171,10,0)</f>
        <v>Encuesta</v>
      </c>
      <c r="T113">
        <f t="shared" si="10"/>
        <v>-3.835</v>
      </c>
      <c r="U113" t="e">
        <f t="shared" si="11"/>
        <v>#VALUE!</v>
      </c>
    </row>
    <row r="114" spans="1:21">
      <c r="A114" s="5" t="s">
        <v>180</v>
      </c>
      <c r="B114">
        <v>8</v>
      </c>
      <c r="C114">
        <v>3</v>
      </c>
      <c r="D114">
        <v>11</v>
      </c>
      <c r="G114" s="5" t="s">
        <v>189</v>
      </c>
      <c r="H114">
        <f t="shared" si="6"/>
        <v>3</v>
      </c>
      <c r="I114">
        <f t="shared" si="7"/>
        <v>1</v>
      </c>
      <c r="K114">
        <f>VLOOKUP(G114,'Resumen Estudiantes y Profesore'!$B$3:$Y$171,19,0)</f>
        <v>3</v>
      </c>
      <c r="L114">
        <f>VLOOKUP(G114,'Resumen Estudiantes y Profesore'!$B$3:$Y$171,12,0)</f>
        <v>1</v>
      </c>
      <c r="N114">
        <f t="shared" si="8"/>
        <v>0</v>
      </c>
      <c r="O114">
        <f t="shared" si="9"/>
        <v>0</v>
      </c>
      <c r="Q114">
        <f>VLOOKUP(G114,'Resumen Estudiantes y Profesore'!$B$3:$Y$171,17,0)</f>
        <v>0</v>
      </c>
      <c r="R114" t="str">
        <f>VLOOKUP(G114,'Resumen Estudiantes y Profesore'!$B$3:$Y$171,10,0)</f>
        <v>Sondeo</v>
      </c>
      <c r="T114">
        <f t="shared" si="10"/>
        <v>-3</v>
      </c>
      <c r="U114" t="e">
        <f t="shared" si="11"/>
        <v>#VALUE!</v>
      </c>
    </row>
    <row r="115" spans="1:21">
      <c r="A115" s="5" t="s">
        <v>198</v>
      </c>
      <c r="B115">
        <v>5</v>
      </c>
      <c r="C115">
        <v>3</v>
      </c>
      <c r="D115">
        <v>8</v>
      </c>
      <c r="G115" s="5" t="s">
        <v>209</v>
      </c>
      <c r="H115">
        <f t="shared" si="6"/>
        <v>2</v>
      </c>
      <c r="I115">
        <f t="shared" si="7"/>
        <v>0</v>
      </c>
      <c r="K115">
        <f>VLOOKUP(G115,'Resumen Estudiantes y Profesore'!$B$3:$Y$171,19,0)</f>
        <v>4</v>
      </c>
      <c r="L115">
        <f>VLOOKUP(G115,'Resumen Estudiantes y Profesore'!$B$3:$Y$171,12,0)</f>
        <v>1</v>
      </c>
      <c r="N115">
        <f t="shared" si="8"/>
        <v>-2</v>
      </c>
      <c r="O115">
        <f t="shared" si="9"/>
        <v>-1</v>
      </c>
      <c r="Q115" t="str">
        <f>VLOOKUP(G115,'Resumen Estudiantes y Profesore'!$B$3:$Y$171,17,0)</f>
        <v/>
      </c>
      <c r="R115" t="str">
        <f>VLOOKUP(G115,'Resumen Estudiantes y Profesore'!$B$3:$Y$171,10,0)</f>
        <v>Sondeo</v>
      </c>
      <c r="T115" t="e">
        <f t="shared" si="10"/>
        <v>#VALUE!</v>
      </c>
      <c r="U115" t="e">
        <f t="shared" si="11"/>
        <v>#VALUE!</v>
      </c>
    </row>
    <row r="116" spans="1:21">
      <c r="A116" s="5" t="s">
        <v>214</v>
      </c>
      <c r="B116">
        <v>3</v>
      </c>
      <c r="C116">
        <v>3</v>
      </c>
      <c r="D116">
        <v>6</v>
      </c>
      <c r="G116" s="5" t="s">
        <v>216</v>
      </c>
      <c r="H116">
        <f t="shared" si="6"/>
        <v>0</v>
      </c>
      <c r="I116">
        <f t="shared" si="7"/>
        <v>2</v>
      </c>
      <c r="K116">
        <f>VLOOKUP(G116,'Resumen Estudiantes y Profesore'!$B$3:$Y$171,19,0)</f>
        <v>0</v>
      </c>
      <c r="L116">
        <f>VLOOKUP(G116,'Resumen Estudiantes y Profesore'!$B$3:$Y$171,12,0)</f>
        <v>2</v>
      </c>
      <c r="N116">
        <f t="shared" si="8"/>
        <v>0</v>
      </c>
      <c r="O116">
        <f t="shared" si="9"/>
        <v>0</v>
      </c>
      <c r="Q116">
        <f>VLOOKUP(G116,'Resumen Estudiantes y Profesore'!$B$3:$Y$171,17,0)</f>
        <v>0</v>
      </c>
      <c r="R116" t="str">
        <f>VLOOKUP(G116,'Resumen Estudiantes y Profesore'!$B$3:$Y$171,10,0)</f>
        <v xml:space="preserve">Sondeo </v>
      </c>
      <c r="T116">
        <f t="shared" si="10"/>
        <v>0</v>
      </c>
      <c r="U116" t="e">
        <f t="shared" si="11"/>
        <v>#VALUE!</v>
      </c>
    </row>
    <row r="117" spans="1:21">
      <c r="A117" s="5" t="s">
        <v>199</v>
      </c>
      <c r="B117">
        <v>11</v>
      </c>
      <c r="C117">
        <v>4</v>
      </c>
      <c r="D117">
        <v>15</v>
      </c>
      <c r="G117" s="5" t="s">
        <v>190</v>
      </c>
      <c r="H117">
        <f t="shared" si="6"/>
        <v>7</v>
      </c>
      <c r="I117">
        <f t="shared" si="7"/>
        <v>1</v>
      </c>
      <c r="K117">
        <f>VLOOKUP(G117,'Resumen Estudiantes y Profesore'!$B$3:$Y$171,19,0)</f>
        <v>9</v>
      </c>
      <c r="L117">
        <f>VLOOKUP(G117,'Resumen Estudiantes y Profesore'!$B$3:$Y$171,12,0)</f>
        <v>2</v>
      </c>
      <c r="N117">
        <f t="shared" si="8"/>
        <v>-2</v>
      </c>
      <c r="O117">
        <f t="shared" si="9"/>
        <v>-1</v>
      </c>
      <c r="Q117">
        <f>VLOOKUP(G117,'Resumen Estudiantes y Profesore'!$B$3:$Y$171,17,0)</f>
        <v>0.82499999999999996</v>
      </c>
      <c r="R117" t="str">
        <f>VLOOKUP(G117,'Resumen Estudiantes y Profesore'!$B$3:$Y$171,10,0)</f>
        <v>Sondeo</v>
      </c>
      <c r="T117">
        <f t="shared" si="10"/>
        <v>-6.1749999999999998</v>
      </c>
      <c r="U117" t="e">
        <f t="shared" si="11"/>
        <v>#VALUE!</v>
      </c>
    </row>
    <row r="118" spans="1:21">
      <c r="A118" s="5" t="s">
        <v>200</v>
      </c>
      <c r="B118">
        <v>2</v>
      </c>
      <c r="C118">
        <v>3</v>
      </c>
      <c r="D118">
        <v>5</v>
      </c>
      <c r="G118" s="5" t="s">
        <v>208</v>
      </c>
      <c r="H118">
        <f t="shared" si="6"/>
        <v>2</v>
      </c>
      <c r="I118">
        <f t="shared" si="7"/>
        <v>1</v>
      </c>
      <c r="K118">
        <f>VLOOKUP(G118,'Resumen Estudiantes y Profesore'!$B$3:$Y$171,19,0)</f>
        <v>4</v>
      </c>
      <c r="L118">
        <f>VLOOKUP(G118,'Resumen Estudiantes y Profesore'!$B$3:$Y$171,12,0)</f>
        <v>2</v>
      </c>
      <c r="N118">
        <f t="shared" si="8"/>
        <v>-2</v>
      </c>
      <c r="O118">
        <f t="shared" si="9"/>
        <v>-1</v>
      </c>
      <c r="Q118">
        <f>VLOOKUP(G118,'Resumen Estudiantes y Profesore'!$B$3:$Y$171,17,0)</f>
        <v>0.82499999999999996</v>
      </c>
      <c r="R118" t="str">
        <f>VLOOKUP(G118,'Resumen Estudiantes y Profesore'!$B$3:$Y$171,10,0)</f>
        <v>Sondeo</v>
      </c>
      <c r="T118">
        <f t="shared" si="10"/>
        <v>-1.175</v>
      </c>
      <c r="U118" t="e">
        <f t="shared" si="11"/>
        <v>#VALUE!</v>
      </c>
    </row>
    <row r="119" spans="1:21">
      <c r="A119" s="5" t="s">
        <v>201</v>
      </c>
      <c r="B119">
        <v>8</v>
      </c>
      <c r="C119">
        <v>4</v>
      </c>
      <c r="D119">
        <v>12</v>
      </c>
      <c r="G119" s="5" t="s">
        <v>179</v>
      </c>
      <c r="H119">
        <f t="shared" si="6"/>
        <v>6</v>
      </c>
      <c r="I119">
        <f t="shared" si="7"/>
        <v>20</v>
      </c>
      <c r="K119">
        <f>VLOOKUP(G119,'Resumen Estudiantes y Profesore'!$B$3:$Y$171,19,0)</f>
        <v>10</v>
      </c>
      <c r="L119">
        <f>VLOOKUP(G119,'Resumen Estudiantes y Profesore'!$B$3:$Y$171,12,0)</f>
        <v>23</v>
      </c>
      <c r="N119">
        <f t="shared" si="8"/>
        <v>-4</v>
      </c>
      <c r="O119">
        <f t="shared" si="9"/>
        <v>-3</v>
      </c>
      <c r="Q119">
        <f>VLOOKUP(G119,'Resumen Estudiantes y Profesore'!$B$3:$Y$171,17,0)</f>
        <v>7.6931646679825882E-2</v>
      </c>
      <c r="R119" t="str">
        <f>VLOOKUP(G119,'Resumen Estudiantes y Profesore'!$B$3:$Y$171,10,0)</f>
        <v>Sondeo</v>
      </c>
      <c r="T119">
        <f t="shared" si="10"/>
        <v>-5.9230683533201738</v>
      </c>
      <c r="U119" t="e">
        <f t="shared" si="11"/>
        <v>#VALUE!</v>
      </c>
    </row>
    <row r="120" spans="1:21">
      <c r="A120" s="5" t="s">
        <v>202</v>
      </c>
      <c r="B120">
        <v>3</v>
      </c>
      <c r="C120">
        <v>2</v>
      </c>
      <c r="D120">
        <v>5</v>
      </c>
      <c r="G120" s="5" t="s">
        <v>191</v>
      </c>
      <c r="H120">
        <f t="shared" si="6"/>
        <v>1</v>
      </c>
      <c r="I120">
        <f t="shared" si="7"/>
        <v>1</v>
      </c>
      <c r="K120">
        <f>VLOOKUP(G120,'Resumen Estudiantes y Profesore'!$B$3:$Y$171,19,0)</f>
        <v>1</v>
      </c>
      <c r="L120">
        <f>VLOOKUP(G120,'Resumen Estudiantes y Profesore'!$B$3:$Y$171,12,0)</f>
        <v>3</v>
      </c>
      <c r="N120">
        <f t="shared" si="8"/>
        <v>0</v>
      </c>
      <c r="O120">
        <f t="shared" si="9"/>
        <v>-2</v>
      </c>
      <c r="Q120">
        <f>VLOOKUP(G120,'Resumen Estudiantes y Profesore'!$B$3:$Y$171,17,0)</f>
        <v>0.82499999999999996</v>
      </c>
      <c r="R120" t="str">
        <f>VLOOKUP(G120,'Resumen Estudiantes y Profesore'!$B$3:$Y$171,10,0)</f>
        <v>Sondeo</v>
      </c>
      <c r="T120">
        <f t="shared" si="10"/>
        <v>-0.17500000000000004</v>
      </c>
      <c r="U120" t="e">
        <f t="shared" si="11"/>
        <v>#VALUE!</v>
      </c>
    </row>
    <row r="121" spans="1:21">
      <c r="A121" s="5" t="s">
        <v>204</v>
      </c>
      <c r="B121">
        <v>11</v>
      </c>
      <c r="C121">
        <v>4</v>
      </c>
      <c r="D121">
        <v>15</v>
      </c>
      <c r="G121" s="5" t="s">
        <v>193</v>
      </c>
      <c r="H121">
        <f t="shared" si="6"/>
        <v>0</v>
      </c>
      <c r="I121">
        <f t="shared" si="7"/>
        <v>1</v>
      </c>
      <c r="K121">
        <f>VLOOKUP(G121,'Resumen Estudiantes y Profesore'!$B$3:$Y$171,19,0)</f>
        <v>2</v>
      </c>
      <c r="L121">
        <f>VLOOKUP(G121,'Resumen Estudiantes y Profesore'!$B$3:$Y$171,12,0)</f>
        <v>2</v>
      </c>
      <c r="N121">
        <f t="shared" si="8"/>
        <v>-2</v>
      </c>
      <c r="O121">
        <f t="shared" si="9"/>
        <v>-1</v>
      </c>
      <c r="Q121">
        <f>VLOOKUP(G121,'Resumen Estudiantes y Profesore'!$B$3:$Y$171,17,0)</f>
        <v>0.82499999999999996</v>
      </c>
      <c r="R121" t="str">
        <f>VLOOKUP(G121,'Resumen Estudiantes y Profesore'!$B$3:$Y$171,10,0)</f>
        <v xml:space="preserve">Sondeo </v>
      </c>
      <c r="T121">
        <f t="shared" si="10"/>
        <v>0.82499999999999996</v>
      </c>
      <c r="U121" t="e">
        <f t="shared" si="11"/>
        <v>#VALUE!</v>
      </c>
    </row>
    <row r="122" spans="1:21">
      <c r="A122" s="5" t="s">
        <v>217</v>
      </c>
      <c r="B122">
        <v>2</v>
      </c>
      <c r="C122">
        <v>4</v>
      </c>
      <c r="D122">
        <v>6</v>
      </c>
      <c r="G122" s="5" t="s">
        <v>197</v>
      </c>
      <c r="H122">
        <f t="shared" si="6"/>
        <v>2</v>
      </c>
      <c r="I122">
        <f t="shared" si="7"/>
        <v>7</v>
      </c>
      <c r="K122">
        <f>VLOOKUP(G122,'Resumen Estudiantes y Profesore'!$B$3:$Y$171,19,0)</f>
        <v>2</v>
      </c>
      <c r="L122">
        <f>VLOOKUP(G122,'Resumen Estudiantes y Profesore'!$B$3:$Y$171,12,0)</f>
        <v>8</v>
      </c>
      <c r="N122">
        <f t="shared" si="8"/>
        <v>0</v>
      </c>
      <c r="O122">
        <f t="shared" si="9"/>
        <v>-1</v>
      </c>
      <c r="Q122">
        <f>VLOOKUP(G122,'Resumen Estudiantes y Profesore'!$B$3:$Y$171,17,0)</f>
        <v>0.11785714285714285</v>
      </c>
      <c r="R122" t="str">
        <f>VLOOKUP(G122,'Resumen Estudiantes y Profesore'!$B$3:$Y$171,10,0)</f>
        <v>Sondeo</v>
      </c>
      <c r="T122">
        <f t="shared" si="10"/>
        <v>-1.8821428571428571</v>
      </c>
      <c r="U122" t="e">
        <f t="shared" si="11"/>
        <v>#VALUE!</v>
      </c>
    </row>
    <row r="123" spans="1:21">
      <c r="A123" s="5" t="s">
        <v>213</v>
      </c>
      <c r="B123">
        <v>4</v>
      </c>
      <c r="C123">
        <v>2</v>
      </c>
      <c r="D123">
        <v>6</v>
      </c>
      <c r="G123" s="5" t="s">
        <v>212</v>
      </c>
      <c r="H123">
        <f t="shared" si="6"/>
        <v>2</v>
      </c>
      <c r="I123">
        <f t="shared" si="7"/>
        <v>7</v>
      </c>
      <c r="K123">
        <f>VLOOKUP(G123,'Resumen Estudiantes y Profesore'!$B$3:$Y$171,19,0)</f>
        <v>2</v>
      </c>
      <c r="L123">
        <f>VLOOKUP(G123,'Resumen Estudiantes y Profesore'!$B$3:$Y$171,12,0)</f>
        <v>9</v>
      </c>
      <c r="N123">
        <f t="shared" si="8"/>
        <v>0</v>
      </c>
      <c r="O123">
        <f t="shared" si="9"/>
        <v>-2</v>
      </c>
      <c r="Q123">
        <f>VLOOKUP(G123,'Resumen Estudiantes y Profesore'!$B$3:$Y$171,17,0)</f>
        <v>0.15591034511630622</v>
      </c>
      <c r="R123" t="str">
        <f>VLOOKUP(G123,'Resumen Estudiantes y Profesore'!$B$3:$Y$171,10,0)</f>
        <v>Sondeo</v>
      </c>
      <c r="T123">
        <f t="shared" si="10"/>
        <v>-1.8440896548836938</v>
      </c>
      <c r="U123" t="e">
        <f t="shared" si="11"/>
        <v>#VALUE!</v>
      </c>
    </row>
    <row r="124" spans="1:21">
      <c r="A124" s="5" t="s">
        <v>192</v>
      </c>
      <c r="B124">
        <v>3</v>
      </c>
      <c r="C124">
        <v>1</v>
      </c>
      <c r="D124">
        <v>4</v>
      </c>
      <c r="G124" s="5" t="s">
        <v>195</v>
      </c>
      <c r="H124">
        <f t="shared" si="6"/>
        <v>2</v>
      </c>
      <c r="I124">
        <f t="shared" si="7"/>
        <v>2</v>
      </c>
      <c r="K124">
        <f>VLOOKUP(G124,'Resumen Estudiantes y Profesore'!$B$3:$Y$171,19,0)</f>
        <v>2</v>
      </c>
      <c r="L124">
        <f>VLOOKUP(G124,'Resumen Estudiantes y Profesore'!$B$3:$Y$171,12,0)</f>
        <v>5</v>
      </c>
      <c r="N124">
        <f t="shared" si="8"/>
        <v>0</v>
      </c>
      <c r="O124">
        <f t="shared" si="9"/>
        <v>-3</v>
      </c>
      <c r="Q124">
        <f>VLOOKUP(G124,'Resumen Estudiantes y Profesore'!$B$3:$Y$171,17,0)</f>
        <v>0.50520725944903044</v>
      </c>
      <c r="R124">
        <f>VLOOKUP(G124,'Resumen Estudiantes y Profesore'!$B$3:$Y$171,10,0)</f>
        <v>0</v>
      </c>
      <c r="T124">
        <f t="shared" si="10"/>
        <v>-1.4947927405509696</v>
      </c>
      <c r="U124">
        <f t="shared" si="11"/>
        <v>-2</v>
      </c>
    </row>
    <row r="125" spans="1:21">
      <c r="A125" s="5" t="s">
        <v>210</v>
      </c>
      <c r="B125">
        <v>3</v>
      </c>
      <c r="D125">
        <v>3</v>
      </c>
      <c r="G125" s="5" t="s">
        <v>211</v>
      </c>
      <c r="H125">
        <f t="shared" si="6"/>
        <v>0</v>
      </c>
      <c r="I125">
        <f t="shared" si="7"/>
        <v>9</v>
      </c>
      <c r="K125">
        <f>VLOOKUP(G125,'Resumen Estudiantes y Profesore'!$B$3:$Y$171,19,0)</f>
        <v>0</v>
      </c>
      <c r="L125">
        <f>VLOOKUP(G125,'Resumen Estudiantes y Profesore'!$B$3:$Y$171,12,0)</f>
        <v>13</v>
      </c>
      <c r="N125">
        <f t="shared" si="8"/>
        <v>0</v>
      </c>
      <c r="O125">
        <f t="shared" si="9"/>
        <v>-4</v>
      </c>
      <c r="Q125">
        <f>VLOOKUP(G125,'Resumen Estudiantes y Profesore'!$B$3:$Y$171,17,0)</f>
        <v>0.15877132402714708</v>
      </c>
      <c r="R125">
        <f>VLOOKUP(G125,'Resumen Estudiantes y Profesore'!$B$3:$Y$171,10,0)</f>
        <v>0</v>
      </c>
      <c r="T125">
        <f t="shared" si="10"/>
        <v>0.15877132402714708</v>
      </c>
      <c r="U125">
        <f t="shared" si="11"/>
        <v>-9</v>
      </c>
    </row>
    <row r="126" spans="1:21">
      <c r="A126" s="5" t="s">
        <v>215</v>
      </c>
      <c r="B126">
        <v>5</v>
      </c>
      <c r="C126">
        <v>1</v>
      </c>
      <c r="D126">
        <v>6</v>
      </c>
      <c r="G126" s="5" t="s">
        <v>180</v>
      </c>
      <c r="H126">
        <f t="shared" si="6"/>
        <v>8</v>
      </c>
      <c r="I126">
        <f t="shared" si="7"/>
        <v>3</v>
      </c>
      <c r="K126">
        <f>VLOOKUP(G126,'Resumen Estudiantes y Profesore'!$B$3:$Y$171,19,0)</f>
        <v>8</v>
      </c>
      <c r="L126">
        <f>VLOOKUP(G126,'Resumen Estudiantes y Profesore'!$B$3:$Y$171,12,0)</f>
        <v>4</v>
      </c>
      <c r="N126">
        <f t="shared" si="8"/>
        <v>0</v>
      </c>
      <c r="O126">
        <f t="shared" si="9"/>
        <v>-1</v>
      </c>
      <c r="Q126">
        <f>VLOOKUP(G126,'Resumen Estudiantes y Profesore'!$B$3:$Y$171,17,0)</f>
        <v>0.27500000000000002</v>
      </c>
      <c r="R126" t="str">
        <f>VLOOKUP(G126,'Resumen Estudiantes y Profesore'!$B$3:$Y$171,10,0)</f>
        <v>Sondeo</v>
      </c>
      <c r="T126">
        <f t="shared" si="10"/>
        <v>-7.7249999999999996</v>
      </c>
      <c r="U126" t="e">
        <f t="shared" si="11"/>
        <v>#VALUE!</v>
      </c>
    </row>
    <row r="127" spans="1:21">
      <c r="A127" s="5" t="s">
        <v>184</v>
      </c>
      <c r="B127">
        <v>1</v>
      </c>
      <c r="C127">
        <v>2</v>
      </c>
      <c r="D127">
        <v>3</v>
      </c>
      <c r="G127" s="5" t="s">
        <v>198</v>
      </c>
      <c r="H127">
        <f t="shared" si="6"/>
        <v>5</v>
      </c>
      <c r="I127">
        <f t="shared" si="7"/>
        <v>3</v>
      </c>
      <c r="K127">
        <f>VLOOKUP(G127,'Resumen Estudiantes y Profesore'!$B$3:$Y$171,19,0)</f>
        <v>6</v>
      </c>
      <c r="L127">
        <f>VLOOKUP(G127,'Resumen Estudiantes y Profesore'!$B$3:$Y$171,12,0)</f>
        <v>3</v>
      </c>
      <c r="N127">
        <f t="shared" si="8"/>
        <v>-1</v>
      </c>
      <c r="O127">
        <f t="shared" si="9"/>
        <v>0</v>
      </c>
      <c r="Q127">
        <f>VLOOKUP(G127,'Resumen Estudiantes y Profesore'!$B$3:$Y$171,17,0)</f>
        <v>0</v>
      </c>
      <c r="R127" t="str">
        <f>VLOOKUP(G127,'Resumen Estudiantes y Profesore'!$B$3:$Y$171,10,0)</f>
        <v>Encuesta</v>
      </c>
      <c r="T127">
        <f t="shared" si="10"/>
        <v>-5</v>
      </c>
      <c r="U127" t="e">
        <f t="shared" si="11"/>
        <v>#VALUE!</v>
      </c>
    </row>
    <row r="128" spans="1:21">
      <c r="A128" s="5" t="s">
        <v>205</v>
      </c>
      <c r="B128">
        <v>1</v>
      </c>
      <c r="C128">
        <v>8</v>
      </c>
      <c r="D128">
        <v>9</v>
      </c>
      <c r="G128" s="5" t="s">
        <v>214</v>
      </c>
      <c r="H128">
        <f t="shared" si="6"/>
        <v>3</v>
      </c>
      <c r="I128">
        <f t="shared" si="7"/>
        <v>3</v>
      </c>
      <c r="K128">
        <f>VLOOKUP(G128,'Resumen Estudiantes y Profesore'!$B$3:$Y$171,19,0)</f>
        <v>7</v>
      </c>
      <c r="L128">
        <f>VLOOKUP(G128,'Resumen Estudiantes y Profesore'!$B$3:$Y$171,12,0)</f>
        <v>3</v>
      </c>
      <c r="N128">
        <f t="shared" si="8"/>
        <v>-4</v>
      </c>
      <c r="O128">
        <f t="shared" si="9"/>
        <v>0</v>
      </c>
      <c r="Q128">
        <f>VLOOKUP(G128,'Resumen Estudiantes y Profesore'!$B$3:$Y$171,17,0)</f>
        <v>0</v>
      </c>
      <c r="R128">
        <f>VLOOKUP(G128,'Resumen Estudiantes y Profesore'!$B$3:$Y$171,10,0)</f>
        <v>0</v>
      </c>
      <c r="T128">
        <f t="shared" si="10"/>
        <v>-3</v>
      </c>
      <c r="U128">
        <f t="shared" si="11"/>
        <v>-3</v>
      </c>
    </row>
    <row r="129" spans="1:21">
      <c r="A129" s="5" t="s">
        <v>206</v>
      </c>
      <c r="C129">
        <v>3</v>
      </c>
      <c r="D129">
        <v>3</v>
      </c>
      <c r="G129" s="5" t="s">
        <v>199</v>
      </c>
      <c r="H129">
        <f t="shared" si="6"/>
        <v>11</v>
      </c>
      <c r="I129">
        <f t="shared" si="7"/>
        <v>4</v>
      </c>
      <c r="K129">
        <f>VLOOKUP(G129,'Resumen Estudiantes y Profesore'!$B$3:$Y$171,19,0)</f>
        <v>14</v>
      </c>
      <c r="L129">
        <f>VLOOKUP(G129,'Resumen Estudiantes y Profesore'!$B$3:$Y$171,12,0)</f>
        <v>4</v>
      </c>
      <c r="N129">
        <f t="shared" si="8"/>
        <v>-3</v>
      </c>
      <c r="O129">
        <f t="shared" si="9"/>
        <v>0</v>
      </c>
      <c r="Q129">
        <f>VLOOKUP(G129,'Resumen Estudiantes y Profesore'!$B$3:$Y$171,17,0)</f>
        <v>0</v>
      </c>
      <c r="R129" t="str">
        <f>VLOOKUP(G129,'Resumen Estudiantes y Profesore'!$B$3:$Y$171,10,0)</f>
        <v>Encuesta</v>
      </c>
      <c r="T129">
        <f t="shared" si="10"/>
        <v>-11</v>
      </c>
      <c r="U129" t="e">
        <f t="shared" si="11"/>
        <v>#VALUE!</v>
      </c>
    </row>
    <row r="130" spans="1:21">
      <c r="A130" s="5" t="s">
        <v>207</v>
      </c>
      <c r="B130">
        <v>2</v>
      </c>
      <c r="C130">
        <v>2</v>
      </c>
      <c r="D130">
        <v>4</v>
      </c>
      <c r="G130" s="5" t="s">
        <v>200</v>
      </c>
      <c r="H130">
        <f t="shared" si="6"/>
        <v>2</v>
      </c>
      <c r="I130">
        <f t="shared" si="7"/>
        <v>3</v>
      </c>
      <c r="K130">
        <f>VLOOKUP(G130,'Resumen Estudiantes y Profesore'!$B$3:$Y$171,19,0)</f>
        <v>6</v>
      </c>
      <c r="L130">
        <f>VLOOKUP(G130,'Resumen Estudiantes y Profesore'!$B$3:$Y$171,12,0)</f>
        <v>3</v>
      </c>
      <c r="N130">
        <f t="shared" si="8"/>
        <v>-4</v>
      </c>
      <c r="O130">
        <f t="shared" si="9"/>
        <v>0</v>
      </c>
      <c r="Q130">
        <f>VLOOKUP(G130,'Resumen Estudiantes y Profesore'!$B$3:$Y$171,17,0)</f>
        <v>0</v>
      </c>
      <c r="R130" t="str">
        <f>VLOOKUP(G130,'Resumen Estudiantes y Profesore'!$B$3:$Y$171,10,0)</f>
        <v>Encuesta</v>
      </c>
      <c r="T130">
        <f t="shared" si="10"/>
        <v>-2</v>
      </c>
      <c r="U130" t="e">
        <f t="shared" si="11"/>
        <v>#VALUE!</v>
      </c>
    </row>
    <row r="131" spans="1:21">
      <c r="A131" s="5" t="s">
        <v>194</v>
      </c>
      <c r="B131">
        <v>2</v>
      </c>
      <c r="C131">
        <v>2</v>
      </c>
      <c r="D131">
        <v>4</v>
      </c>
      <c r="G131" s="5" t="s">
        <v>201</v>
      </c>
      <c r="H131">
        <f t="shared" si="6"/>
        <v>8</v>
      </c>
      <c r="I131">
        <f t="shared" si="7"/>
        <v>4</v>
      </c>
      <c r="K131">
        <f>VLOOKUP(G131,'Resumen Estudiantes y Profesore'!$B$3:$Y$171,19,0)</f>
        <v>9</v>
      </c>
      <c r="L131">
        <f>VLOOKUP(G131,'Resumen Estudiantes y Profesore'!$B$3:$Y$171,12,0)</f>
        <v>4</v>
      </c>
      <c r="N131">
        <f t="shared" si="8"/>
        <v>-1</v>
      </c>
      <c r="O131">
        <f t="shared" si="9"/>
        <v>0</v>
      </c>
      <c r="Q131">
        <f>VLOOKUP(G131,'Resumen Estudiantes y Profesore'!$B$3:$Y$171,17,0)</f>
        <v>0</v>
      </c>
      <c r="R131" t="str">
        <f>VLOOKUP(G131,'Resumen Estudiantes y Profesore'!$B$3:$Y$171,10,0)</f>
        <v>Encuesta</v>
      </c>
      <c r="T131">
        <f t="shared" si="10"/>
        <v>-8</v>
      </c>
      <c r="U131" t="e">
        <f t="shared" si="11"/>
        <v>#VALUE!</v>
      </c>
    </row>
    <row r="132" spans="1:21">
      <c r="A132" s="5" t="s">
        <v>203</v>
      </c>
      <c r="B132">
        <v>4</v>
      </c>
      <c r="C132">
        <v>2</v>
      </c>
      <c r="D132">
        <v>6</v>
      </c>
      <c r="G132" s="5" t="s">
        <v>202</v>
      </c>
      <c r="H132">
        <f t="shared" si="6"/>
        <v>3</v>
      </c>
      <c r="I132">
        <f t="shared" si="7"/>
        <v>2</v>
      </c>
      <c r="K132">
        <f>VLOOKUP(G132,'Resumen Estudiantes y Profesore'!$B$3:$Y$171,19,0)</f>
        <v>4</v>
      </c>
      <c r="L132">
        <f>VLOOKUP(G132,'Resumen Estudiantes y Profesore'!$B$3:$Y$171,12,0)</f>
        <v>2</v>
      </c>
      <c r="N132">
        <f t="shared" si="8"/>
        <v>-1</v>
      </c>
      <c r="O132">
        <f t="shared" si="9"/>
        <v>0</v>
      </c>
      <c r="Q132">
        <f>VLOOKUP(G132,'Resumen Estudiantes y Profesore'!$B$3:$Y$171,17,0)</f>
        <v>0</v>
      </c>
      <c r="R132" t="str">
        <f>VLOOKUP(G132,'Resumen Estudiantes y Profesore'!$B$3:$Y$171,10,0)</f>
        <v>Encuesta</v>
      </c>
      <c r="T132">
        <f t="shared" si="10"/>
        <v>-3</v>
      </c>
      <c r="U132" t="e">
        <f t="shared" si="11"/>
        <v>#VALUE!</v>
      </c>
    </row>
    <row r="133" spans="1:21">
      <c r="A133" s="5" t="s">
        <v>38</v>
      </c>
      <c r="B133">
        <v>45</v>
      </c>
      <c r="C133">
        <v>48</v>
      </c>
      <c r="D133">
        <v>93</v>
      </c>
      <c r="G133" s="5" t="s">
        <v>204</v>
      </c>
      <c r="H133">
        <f t="shared" si="6"/>
        <v>11</v>
      </c>
      <c r="I133">
        <f t="shared" si="7"/>
        <v>4</v>
      </c>
      <c r="K133">
        <f>VLOOKUP(G133,'Resumen Estudiantes y Profesore'!$B$3:$Y$171,19,0)</f>
        <v>14</v>
      </c>
      <c r="L133">
        <f>VLOOKUP(G133,'Resumen Estudiantes y Profesore'!$B$3:$Y$171,12,0)</f>
        <v>4</v>
      </c>
      <c r="N133">
        <f t="shared" si="8"/>
        <v>-3</v>
      </c>
      <c r="O133">
        <f t="shared" si="9"/>
        <v>0</v>
      </c>
      <c r="Q133">
        <f>VLOOKUP(G133,'Resumen Estudiantes y Profesore'!$B$3:$Y$171,17,0)</f>
        <v>0.27500000000000002</v>
      </c>
      <c r="R133" t="str">
        <f>VLOOKUP(G133,'Resumen Estudiantes y Profesore'!$B$3:$Y$171,10,0)</f>
        <v>Sondeo</v>
      </c>
      <c r="T133">
        <f t="shared" si="10"/>
        <v>-10.725</v>
      </c>
      <c r="U133" t="e">
        <f t="shared" si="11"/>
        <v>#VALUE!</v>
      </c>
    </row>
    <row r="134" spans="1:21">
      <c r="A134" s="5" t="s">
        <v>237</v>
      </c>
      <c r="B134">
        <v>11</v>
      </c>
      <c r="C134">
        <v>3</v>
      </c>
      <c r="D134">
        <v>14</v>
      </c>
      <c r="G134" s="5" t="s">
        <v>217</v>
      </c>
      <c r="H134">
        <f t="shared" ref="H134:H151" si="12">IFERROR(VLOOKUP(G134,$A:$D,2,0),0)</f>
        <v>2</v>
      </c>
      <c r="I134">
        <f t="shared" ref="I134:I151" si="13">IFERROR(VLOOKUP(G134,$A:$D,3,0),0)</f>
        <v>4</v>
      </c>
      <c r="K134">
        <f>VLOOKUP(G134,'Resumen Estudiantes y Profesore'!$B$3:$Y$171,19,0)</f>
        <v>2</v>
      </c>
      <c r="L134">
        <f>VLOOKUP(G134,'Resumen Estudiantes y Profesore'!$B$3:$Y$171,12,0)</f>
        <v>5</v>
      </c>
      <c r="N134">
        <f t="shared" ref="N134:N151" si="14">H134-K134</f>
        <v>0</v>
      </c>
      <c r="O134">
        <f t="shared" ref="O134:O151" si="15">I134-L134</f>
        <v>-1</v>
      </c>
      <c r="Q134">
        <f>VLOOKUP(G134,'Resumen Estudiantes y Profesore'!$B$3:$Y$171,17,0)</f>
        <v>0.20624999999999999</v>
      </c>
      <c r="R134" t="str">
        <f>VLOOKUP(G134,'Resumen Estudiantes y Profesore'!$B$3:$Y$171,10,0)</f>
        <v>Sondeo</v>
      </c>
      <c r="T134">
        <f t="shared" ref="T134:T152" si="16">Q134-H134</f>
        <v>-1.79375</v>
      </c>
      <c r="U134" t="e">
        <f t="shared" ref="U134:U152" si="17">R134-I134</f>
        <v>#VALUE!</v>
      </c>
    </row>
    <row r="135" spans="1:21">
      <c r="A135" s="5" t="s">
        <v>238</v>
      </c>
      <c r="B135">
        <v>7</v>
      </c>
      <c r="C135">
        <v>4</v>
      </c>
      <c r="D135">
        <v>11</v>
      </c>
      <c r="G135" s="5" t="s">
        <v>213</v>
      </c>
      <c r="H135">
        <f t="shared" si="12"/>
        <v>4</v>
      </c>
      <c r="I135">
        <f t="shared" si="13"/>
        <v>2</v>
      </c>
      <c r="K135">
        <f>VLOOKUP(G135,'Resumen Estudiantes y Profesore'!$B$3:$Y$171,19,0)</f>
        <v>4</v>
      </c>
      <c r="L135">
        <f>VLOOKUP(G135,'Resumen Estudiantes y Profesore'!$B$3:$Y$171,12,0)</f>
        <v>2</v>
      </c>
      <c r="N135">
        <f t="shared" si="14"/>
        <v>0</v>
      </c>
      <c r="O135">
        <f t="shared" si="15"/>
        <v>0</v>
      </c>
      <c r="Q135">
        <f>VLOOKUP(G135,'Resumen Estudiantes y Profesore'!$B$3:$Y$171,17,0)</f>
        <v>0</v>
      </c>
      <c r="R135" t="str">
        <f>VLOOKUP(G135,'Resumen Estudiantes y Profesore'!$B$3:$Y$171,10,0)</f>
        <v>Sondeo</v>
      </c>
      <c r="T135">
        <f t="shared" si="16"/>
        <v>-4</v>
      </c>
      <c r="U135" t="e">
        <f t="shared" si="17"/>
        <v>#VALUE!</v>
      </c>
    </row>
    <row r="136" spans="1:21">
      <c r="A136" s="5" t="s">
        <v>39</v>
      </c>
      <c r="B136">
        <v>13</v>
      </c>
      <c r="C136">
        <v>16</v>
      </c>
      <c r="D136">
        <v>29</v>
      </c>
      <c r="G136" s="5" t="s">
        <v>192</v>
      </c>
      <c r="H136">
        <f t="shared" si="12"/>
        <v>3</v>
      </c>
      <c r="I136">
        <f t="shared" si="13"/>
        <v>1</v>
      </c>
      <c r="K136">
        <f>VLOOKUP(G136,'Resumen Estudiantes y Profesore'!$B$3:$Y$171,19,0)</f>
        <v>3</v>
      </c>
      <c r="L136">
        <f>VLOOKUP(G136,'Resumen Estudiantes y Profesore'!$B$3:$Y$171,12,0)</f>
        <v>2</v>
      </c>
      <c r="N136">
        <f t="shared" si="14"/>
        <v>0</v>
      </c>
      <c r="O136">
        <f t="shared" si="15"/>
        <v>-1</v>
      </c>
      <c r="Q136">
        <f>VLOOKUP(G136,'Resumen Estudiantes y Profesore'!$B$3:$Y$171,17,0)</f>
        <v>0.82499999999999996</v>
      </c>
      <c r="R136" t="str">
        <f>VLOOKUP(G136,'Resumen Estudiantes y Profesore'!$B$3:$Y$171,10,0)</f>
        <v>Sondeo</v>
      </c>
      <c r="T136">
        <f t="shared" si="16"/>
        <v>-2.1749999999999998</v>
      </c>
      <c r="U136" t="e">
        <f t="shared" si="17"/>
        <v>#VALUE!</v>
      </c>
    </row>
    <row r="137" spans="1:21">
      <c r="A137" s="5" t="s">
        <v>239</v>
      </c>
      <c r="B137">
        <v>9</v>
      </c>
      <c r="C137">
        <v>4</v>
      </c>
      <c r="D137">
        <v>13</v>
      </c>
      <c r="G137" s="5" t="s">
        <v>210</v>
      </c>
      <c r="H137">
        <f t="shared" si="12"/>
        <v>3</v>
      </c>
      <c r="I137">
        <f t="shared" si="13"/>
        <v>0</v>
      </c>
      <c r="K137">
        <f>VLOOKUP(G137,'Resumen Estudiantes y Profesore'!$B$3:$Y$171,19,0)</f>
        <v>4</v>
      </c>
      <c r="L137">
        <f>VLOOKUP(G137,'Resumen Estudiantes y Profesore'!$B$3:$Y$171,12,0)</f>
        <v>0</v>
      </c>
      <c r="N137">
        <f t="shared" si="14"/>
        <v>-1</v>
      </c>
      <c r="O137">
        <f t="shared" si="15"/>
        <v>0</v>
      </c>
      <c r="Q137" t="str">
        <f>VLOOKUP(G137,'Resumen Estudiantes y Profesore'!$B$3:$Y$171,17,0)</f>
        <v/>
      </c>
      <c r="R137" t="str">
        <f>VLOOKUP(G137,'Resumen Estudiantes y Profesore'!$B$3:$Y$171,10,0)</f>
        <v>Sondeo</v>
      </c>
      <c r="T137" t="e">
        <f t="shared" si="16"/>
        <v>#VALUE!</v>
      </c>
      <c r="U137" t="e">
        <f t="shared" si="17"/>
        <v>#VALUE!</v>
      </c>
    </row>
    <row r="138" spans="1:21">
      <c r="A138" s="5" t="s">
        <v>159</v>
      </c>
      <c r="B138">
        <v>5</v>
      </c>
      <c r="C138">
        <v>2</v>
      </c>
      <c r="D138">
        <v>7</v>
      </c>
      <c r="G138" s="5" t="s">
        <v>215</v>
      </c>
      <c r="H138">
        <f t="shared" si="12"/>
        <v>5</v>
      </c>
      <c r="I138">
        <f t="shared" si="13"/>
        <v>1</v>
      </c>
      <c r="K138">
        <f>VLOOKUP(G138,'Resumen Estudiantes y Profesore'!$B$3:$Y$171,19,0)</f>
        <v>7</v>
      </c>
      <c r="L138">
        <f>VLOOKUP(G138,'Resumen Estudiantes y Profesore'!$B$3:$Y$171,12,0)</f>
        <v>2</v>
      </c>
      <c r="N138">
        <f t="shared" si="14"/>
        <v>-2</v>
      </c>
      <c r="O138">
        <f t="shared" si="15"/>
        <v>-1</v>
      </c>
      <c r="Q138">
        <f>VLOOKUP(G138,'Resumen Estudiantes y Profesore'!$B$3:$Y$171,17,0)</f>
        <v>0.82499999999999996</v>
      </c>
      <c r="R138" t="str">
        <f>VLOOKUP(G138,'Resumen Estudiantes y Profesore'!$B$3:$Y$171,10,0)</f>
        <v>Sondeo</v>
      </c>
      <c r="T138">
        <f t="shared" si="16"/>
        <v>-4.1749999999999998</v>
      </c>
      <c r="U138" t="e">
        <f t="shared" si="17"/>
        <v>#VALUE!</v>
      </c>
    </row>
    <row r="139" spans="1:21">
      <c r="A139" s="5" t="s">
        <v>162</v>
      </c>
      <c r="B139">
        <v>2</v>
      </c>
      <c r="D139">
        <v>2</v>
      </c>
      <c r="G139" s="5" t="s">
        <v>184</v>
      </c>
      <c r="H139">
        <f t="shared" si="12"/>
        <v>1</v>
      </c>
      <c r="I139">
        <f t="shared" si="13"/>
        <v>2</v>
      </c>
      <c r="K139">
        <f>VLOOKUP(G139,'Resumen Estudiantes y Profesore'!$B$3:$Y$171,19,0)</f>
        <v>1</v>
      </c>
      <c r="L139">
        <f>VLOOKUP(G139,'Resumen Estudiantes y Profesore'!$B$3:$Y$171,12,0)</f>
        <v>4</v>
      </c>
      <c r="N139">
        <f t="shared" si="14"/>
        <v>0</v>
      </c>
      <c r="O139">
        <f t="shared" si="15"/>
        <v>-2</v>
      </c>
      <c r="Q139">
        <f>VLOOKUP(G139,'Resumen Estudiantes y Profesore'!$B$3:$Y$171,17,0)</f>
        <v>0.47631397208144122</v>
      </c>
      <c r="R139" t="str">
        <f>VLOOKUP(G139,'Resumen Estudiantes y Profesore'!$B$3:$Y$171,10,0)</f>
        <v>Sondeo</v>
      </c>
      <c r="T139">
        <f t="shared" si="16"/>
        <v>-0.52368602791855878</v>
      </c>
      <c r="U139" t="e">
        <f t="shared" si="17"/>
        <v>#VALUE!</v>
      </c>
    </row>
    <row r="140" spans="1:21">
      <c r="A140" s="5" t="s">
        <v>93</v>
      </c>
      <c r="B140">
        <v>22</v>
      </c>
      <c r="C140">
        <v>20</v>
      </c>
      <c r="D140">
        <v>42</v>
      </c>
      <c r="G140" s="5" t="s">
        <v>205</v>
      </c>
      <c r="H140">
        <f t="shared" si="12"/>
        <v>1</v>
      </c>
      <c r="I140">
        <f t="shared" si="13"/>
        <v>8</v>
      </c>
      <c r="K140">
        <f>VLOOKUP(G140,'Resumen Estudiantes y Profesore'!$B$3:$Y$171,19,0)</f>
        <v>1</v>
      </c>
      <c r="L140">
        <f>VLOOKUP(G140,'Resumen Estudiantes y Profesore'!$B$3:$Y$171,12,0)</f>
        <v>14</v>
      </c>
      <c r="N140">
        <f t="shared" si="14"/>
        <v>0</v>
      </c>
      <c r="O140">
        <f t="shared" si="15"/>
        <v>-6</v>
      </c>
      <c r="Q140">
        <f>VLOOKUP(G140,'Resumen Estudiantes y Profesore'!$B$3:$Y$171,17,0)</f>
        <v>0.19815859033379532</v>
      </c>
      <c r="R140" t="str">
        <f>VLOOKUP(G140,'Resumen Estudiantes y Profesore'!$B$3:$Y$171,10,0)</f>
        <v>Encuesta</v>
      </c>
      <c r="T140">
        <f t="shared" si="16"/>
        <v>-0.80184140966620465</v>
      </c>
      <c r="U140" t="e">
        <f t="shared" si="17"/>
        <v>#VALUE!</v>
      </c>
    </row>
    <row r="141" spans="1:21">
      <c r="A141" s="5" t="s">
        <v>536</v>
      </c>
      <c r="B141">
        <v>5</v>
      </c>
      <c r="C141">
        <v>2</v>
      </c>
      <c r="D141">
        <v>7</v>
      </c>
      <c r="G141" s="5" t="s">
        <v>206</v>
      </c>
      <c r="H141">
        <f t="shared" si="12"/>
        <v>0</v>
      </c>
      <c r="I141">
        <f t="shared" si="13"/>
        <v>3</v>
      </c>
      <c r="K141">
        <f>VLOOKUP(G141,'Resumen Estudiantes y Profesore'!$B$3:$Y$171,19,0)</f>
        <v>6</v>
      </c>
      <c r="L141">
        <f>VLOOKUP(G141,'Resumen Estudiantes y Profesore'!$B$3:$Y$171,12,0)</f>
        <v>5</v>
      </c>
      <c r="N141">
        <f t="shared" si="14"/>
        <v>-6</v>
      </c>
      <c r="O141">
        <f t="shared" si="15"/>
        <v>-2</v>
      </c>
      <c r="Q141">
        <f>VLOOKUP(G141,'Resumen Estudiantes y Profesore'!$B$3:$Y$171,17,0)</f>
        <v>0.33680483963268698</v>
      </c>
      <c r="R141" t="str">
        <f>VLOOKUP(G141,'Resumen Estudiantes y Profesore'!$B$3:$Y$171,10,0)</f>
        <v>Sondeo</v>
      </c>
      <c r="T141">
        <f t="shared" si="16"/>
        <v>0.33680483963268698</v>
      </c>
      <c r="U141" t="e">
        <f t="shared" si="17"/>
        <v>#VALUE!</v>
      </c>
    </row>
    <row r="142" spans="1:21">
      <c r="A142" s="5" t="s">
        <v>112</v>
      </c>
      <c r="C142">
        <v>2</v>
      </c>
      <c r="D142">
        <v>2</v>
      </c>
      <c r="G142" s="5" t="s">
        <v>207</v>
      </c>
      <c r="H142">
        <f t="shared" si="12"/>
        <v>2</v>
      </c>
      <c r="I142">
        <f t="shared" si="13"/>
        <v>2</v>
      </c>
      <c r="K142">
        <f>VLOOKUP(G142,'Resumen Estudiantes y Profesore'!$B$3:$Y$171,19,0)</f>
        <v>2</v>
      </c>
      <c r="L142">
        <f>VLOOKUP(G142,'Resumen Estudiantes y Profesore'!$B$3:$Y$171,12,0)</f>
        <v>2</v>
      </c>
      <c r="N142">
        <f t="shared" si="14"/>
        <v>0</v>
      </c>
      <c r="O142">
        <f t="shared" si="15"/>
        <v>0</v>
      </c>
      <c r="Q142">
        <f>VLOOKUP(G142,'Resumen Estudiantes y Profesore'!$B$3:$Y$171,17,0)</f>
        <v>0</v>
      </c>
      <c r="R142" t="str">
        <f>VLOOKUP(G142,'Resumen Estudiantes y Profesore'!$B$3:$Y$171,10,0)</f>
        <v>Encuesta</v>
      </c>
      <c r="T142">
        <f t="shared" si="16"/>
        <v>-2</v>
      </c>
      <c r="U142" t="e">
        <f t="shared" si="17"/>
        <v>#VALUE!</v>
      </c>
    </row>
    <row r="143" spans="1:21">
      <c r="A143" s="5" t="s">
        <v>62</v>
      </c>
      <c r="B143">
        <v>744</v>
      </c>
      <c r="C143">
        <v>582</v>
      </c>
      <c r="D143">
        <v>1326</v>
      </c>
      <c r="G143" s="5" t="s">
        <v>194</v>
      </c>
      <c r="H143">
        <f t="shared" si="12"/>
        <v>2</v>
      </c>
      <c r="I143">
        <f t="shared" si="13"/>
        <v>2</v>
      </c>
      <c r="K143">
        <f>VLOOKUP(G143,'Resumen Estudiantes y Profesore'!$B$3:$Y$171,19,0)</f>
        <v>4</v>
      </c>
      <c r="L143">
        <f>VLOOKUP(G143,'Resumen Estudiantes y Profesore'!$B$3:$Y$171,12,0)</f>
        <v>4</v>
      </c>
      <c r="N143">
        <f t="shared" si="14"/>
        <v>-2</v>
      </c>
      <c r="O143">
        <f t="shared" si="15"/>
        <v>-2</v>
      </c>
      <c r="Q143">
        <f>VLOOKUP(G143,'Resumen Estudiantes y Profesore'!$B$3:$Y$171,17,0)</f>
        <v>0.47631397208144122</v>
      </c>
      <c r="R143" t="str">
        <f>VLOOKUP(G143,'Resumen Estudiantes y Profesore'!$B$3:$Y$171,10,0)</f>
        <v>Sondeo</v>
      </c>
      <c r="T143">
        <f t="shared" si="16"/>
        <v>-1.5236860279185587</v>
      </c>
      <c r="U143" t="e">
        <f t="shared" si="17"/>
        <v>#VALUE!</v>
      </c>
    </row>
    <row r="144" spans="1:21">
      <c r="G144" s="5" t="s">
        <v>203</v>
      </c>
      <c r="H144">
        <f t="shared" si="12"/>
        <v>4</v>
      </c>
      <c r="I144">
        <f t="shared" si="13"/>
        <v>2</v>
      </c>
      <c r="K144">
        <f>VLOOKUP(G144,'Resumen Estudiantes y Profesore'!$B$3:$Y$171,19,0)</f>
        <v>4</v>
      </c>
      <c r="L144">
        <f>VLOOKUP(G144,'Resumen Estudiantes y Profesore'!$B$3:$Y$171,12,0)</f>
        <v>2</v>
      </c>
      <c r="N144">
        <f t="shared" si="14"/>
        <v>0</v>
      </c>
      <c r="O144">
        <f t="shared" si="15"/>
        <v>0</v>
      </c>
      <c r="Q144">
        <f>VLOOKUP(G144,'Resumen Estudiantes y Profesore'!$B$3:$Y$171,17,0)</f>
        <v>0</v>
      </c>
      <c r="R144" t="str">
        <f>VLOOKUP(G144,'Resumen Estudiantes y Profesore'!$B$3:$Y$171,10,0)</f>
        <v>Sondeo</v>
      </c>
      <c r="T144">
        <f t="shared" si="16"/>
        <v>-4</v>
      </c>
      <c r="U144" t="e">
        <f t="shared" si="17"/>
        <v>#VALUE!</v>
      </c>
    </row>
    <row r="145" spans="7:21">
      <c r="G145" s="5" t="s">
        <v>38</v>
      </c>
      <c r="H145">
        <f t="shared" si="12"/>
        <v>45</v>
      </c>
      <c r="I145">
        <f t="shared" si="13"/>
        <v>48</v>
      </c>
      <c r="K145">
        <f>VLOOKUP(G145,'Resumen Estudiantes y Profesore'!$B$3:$Y$171,19,0)</f>
        <v>70</v>
      </c>
      <c r="L145">
        <f>VLOOKUP(G145,'Resumen Estudiantes y Profesore'!$B$3:$Y$171,12,0)</f>
        <v>50</v>
      </c>
      <c r="N145">
        <f t="shared" si="14"/>
        <v>-25</v>
      </c>
      <c r="O145">
        <f t="shared" si="15"/>
        <v>-2</v>
      </c>
      <c r="Q145">
        <f>VLOOKUP(G145,'Resumen Estudiantes y Profesore'!$B$3:$Y$171,17,0)</f>
        <v>3.6924673192658256E-2</v>
      </c>
      <c r="R145" t="str">
        <f>VLOOKUP(G145,'Resumen Estudiantes y Profesore'!$B$3:$Y$171,10,0)</f>
        <v>Encuesta</v>
      </c>
      <c r="T145">
        <f t="shared" si="16"/>
        <v>-44.963075326807342</v>
      </c>
      <c r="U145" t="e">
        <f t="shared" si="17"/>
        <v>#VALUE!</v>
      </c>
    </row>
    <row r="146" spans="7:21">
      <c r="G146" s="5" t="s">
        <v>237</v>
      </c>
      <c r="H146">
        <f t="shared" si="12"/>
        <v>11</v>
      </c>
      <c r="I146">
        <f t="shared" si="13"/>
        <v>3</v>
      </c>
      <c r="K146">
        <f>VLOOKUP(G146,'Resumen Estudiantes y Profesore'!$B$3:$Y$171,19,0)</f>
        <v>13</v>
      </c>
      <c r="L146">
        <f>VLOOKUP(G146,'Resumen Estudiantes y Profesore'!$B$3:$Y$171,12,0)</f>
        <v>3</v>
      </c>
      <c r="N146">
        <f t="shared" si="14"/>
        <v>-2</v>
      </c>
      <c r="O146">
        <f t="shared" si="15"/>
        <v>0</v>
      </c>
      <c r="Q146">
        <f>VLOOKUP(G146,'Resumen Estudiantes y Profesore'!$B$3:$Y$171,17,0)</f>
        <v>0</v>
      </c>
      <c r="R146">
        <f>VLOOKUP(G146,'Resumen Estudiantes y Profesore'!$B$3:$Y$171,10,0)</f>
        <v>0</v>
      </c>
      <c r="T146">
        <f t="shared" si="16"/>
        <v>-11</v>
      </c>
      <c r="U146">
        <f t="shared" si="17"/>
        <v>-3</v>
      </c>
    </row>
    <row r="147" spans="7:21">
      <c r="G147" s="5" t="s">
        <v>238</v>
      </c>
      <c r="H147">
        <f t="shared" si="12"/>
        <v>7</v>
      </c>
      <c r="I147">
        <f t="shared" si="13"/>
        <v>4</v>
      </c>
      <c r="K147">
        <f>VLOOKUP(G147,'Resumen Estudiantes y Profesore'!$B$3:$Y$171,19,0)</f>
        <v>10</v>
      </c>
      <c r="L147">
        <f>VLOOKUP(G147,'Resumen Estudiantes y Profesore'!$B$3:$Y$171,12,0)</f>
        <v>4</v>
      </c>
      <c r="N147">
        <f t="shared" si="14"/>
        <v>-3</v>
      </c>
      <c r="O147">
        <f t="shared" si="15"/>
        <v>0</v>
      </c>
      <c r="Q147">
        <f>VLOOKUP(G147,'Resumen Estudiantes y Profesore'!$B$3:$Y$171,17,0)</f>
        <v>0</v>
      </c>
      <c r="R147">
        <f>VLOOKUP(G147,'Resumen Estudiantes y Profesore'!$B$3:$Y$171,10,0)</f>
        <v>0</v>
      </c>
      <c r="T147">
        <f t="shared" si="16"/>
        <v>-7</v>
      </c>
      <c r="U147">
        <f t="shared" si="17"/>
        <v>-4</v>
      </c>
    </row>
    <row r="148" spans="7:21">
      <c r="G148" s="5" t="s">
        <v>39</v>
      </c>
      <c r="H148">
        <f t="shared" si="12"/>
        <v>13</v>
      </c>
      <c r="I148">
        <f t="shared" si="13"/>
        <v>16</v>
      </c>
      <c r="K148">
        <f>VLOOKUP(G148,'Resumen Estudiantes y Profesore'!$B$3:$Y$171,19,0)</f>
        <v>14</v>
      </c>
      <c r="L148">
        <f>VLOOKUP(G148,'Resumen Estudiantes y Profesore'!$B$3:$Y$171,12,0)</f>
        <v>16</v>
      </c>
      <c r="N148">
        <f t="shared" si="14"/>
        <v>-1</v>
      </c>
      <c r="O148">
        <f t="shared" si="15"/>
        <v>0</v>
      </c>
      <c r="Q148">
        <f>VLOOKUP(G148,'Resumen Estudiantes y Profesore'!$B$3:$Y$171,17,0)</f>
        <v>5.1562499999999997E-2</v>
      </c>
      <c r="R148" t="str">
        <f>VLOOKUP(G148,'Resumen Estudiantes y Profesore'!$B$3:$Y$171,10,0)</f>
        <v>Encuesta</v>
      </c>
      <c r="T148">
        <f t="shared" si="16"/>
        <v>-12.948437500000001</v>
      </c>
      <c r="U148" t="e">
        <f t="shared" si="17"/>
        <v>#VALUE!</v>
      </c>
    </row>
    <row r="149" spans="7:21">
      <c r="G149" s="5" t="s">
        <v>239</v>
      </c>
      <c r="H149">
        <f t="shared" si="12"/>
        <v>9</v>
      </c>
      <c r="I149">
        <f t="shared" si="13"/>
        <v>4</v>
      </c>
      <c r="K149">
        <f>VLOOKUP(G149,'Resumen Estudiantes y Profesore'!$B$3:$Y$171,19,0)</f>
        <v>9</v>
      </c>
      <c r="L149">
        <f>VLOOKUP(G149,'Resumen Estudiantes y Profesore'!$B$3:$Y$171,12,0)</f>
        <v>4</v>
      </c>
      <c r="N149">
        <f t="shared" si="14"/>
        <v>0</v>
      </c>
      <c r="O149">
        <f t="shared" si="15"/>
        <v>0</v>
      </c>
      <c r="Q149">
        <f>VLOOKUP(G149,'Resumen Estudiantes y Profesore'!$B$3:$Y$171,17,0)</f>
        <v>0</v>
      </c>
      <c r="R149">
        <f>VLOOKUP(G149,'Resumen Estudiantes y Profesore'!$B$3:$Y$171,10,0)</f>
        <v>0</v>
      </c>
      <c r="T149">
        <f t="shared" si="16"/>
        <v>-9</v>
      </c>
      <c r="U149">
        <f t="shared" si="17"/>
        <v>-4</v>
      </c>
    </row>
    <row r="150" spans="7:21">
      <c r="G150" s="5" t="s">
        <v>159</v>
      </c>
      <c r="H150">
        <f t="shared" si="12"/>
        <v>5</v>
      </c>
      <c r="I150">
        <f t="shared" si="13"/>
        <v>2</v>
      </c>
      <c r="K150">
        <f>VLOOKUP(G150,'Resumen Estudiantes y Profesore'!$B$3:$Y$171,19,0)</f>
        <v>5</v>
      </c>
      <c r="L150">
        <f>VLOOKUP(G150,'Resumen Estudiantes y Profesore'!$B$3:$Y$171,12,0)</f>
        <v>2</v>
      </c>
      <c r="P150" t="s">
        <v>572</v>
      </c>
      <c r="Q150">
        <f>VLOOKUP(G150,'Resumen Estudiantes y Profesore'!$B$3:$Y$171,17,0)</f>
        <v>0</v>
      </c>
      <c r="R150" t="str">
        <f>VLOOKUP(G150,'Resumen Estudiantes y Profesore'!$B$3:$Y$171,10,0)</f>
        <v>Encuesta</v>
      </c>
      <c r="T150">
        <f t="shared" si="16"/>
        <v>-5</v>
      </c>
      <c r="U150" t="e">
        <f t="shared" si="17"/>
        <v>#VALUE!</v>
      </c>
    </row>
    <row r="151" spans="7:21">
      <c r="G151" s="5" t="s">
        <v>162</v>
      </c>
      <c r="H151">
        <f t="shared" si="12"/>
        <v>2</v>
      </c>
      <c r="I151">
        <f t="shared" si="13"/>
        <v>0</v>
      </c>
      <c r="K151">
        <f>VLOOKUP(G151,'Resumen Estudiantes y Profesore'!$B$3:$Y$171,19,0)</f>
        <v>2</v>
      </c>
      <c r="L151">
        <f>VLOOKUP(G151,'Resumen Estudiantes y Profesore'!$B$3:$Y$171,12,0)</f>
        <v>0</v>
      </c>
      <c r="N151">
        <f t="shared" si="14"/>
        <v>0</v>
      </c>
      <c r="O151">
        <f t="shared" si="15"/>
        <v>0</v>
      </c>
      <c r="Q151" t="str">
        <f>VLOOKUP(G151,'Resumen Estudiantes y Profesore'!$B$3:$Y$171,17,0)</f>
        <v/>
      </c>
      <c r="R151" t="str">
        <f>VLOOKUP(G151,'Resumen Estudiantes y Profesore'!$B$3:$Y$171,10,0)</f>
        <v>Sondeo</v>
      </c>
      <c r="T151" t="e">
        <f t="shared" si="16"/>
        <v>#VALUE!</v>
      </c>
      <c r="U151" t="e">
        <f t="shared" si="17"/>
        <v>#VALUE!</v>
      </c>
    </row>
    <row r="152" spans="7:21">
      <c r="G152" s="5"/>
      <c r="T152">
        <f t="shared" si="16"/>
        <v>0</v>
      </c>
      <c r="U152">
        <f t="shared" si="17"/>
        <v>0</v>
      </c>
    </row>
    <row r="153" spans="7:21">
      <c r="G153" s="133" t="s">
        <v>55</v>
      </c>
      <c r="H153" s="133">
        <f>SUM(H5:H152)</f>
        <v>744</v>
      </c>
      <c r="I153" s="133">
        <f t="shared" ref="I153" si="18">SUM(I5:I152)</f>
        <v>580</v>
      </c>
      <c r="J153" s="133"/>
      <c r="K153" s="133" t="e">
        <f>SUM(K5:K152)</f>
        <v>#N/A</v>
      </c>
      <c r="L153" s="133" t="e">
        <f t="shared" ref="L153" si="19">SUM(L5:L152)</f>
        <v>#N/A</v>
      </c>
      <c r="N153" s="133" t="e">
        <f t="shared" ref="N153:O153" si="20">SUM(N5:N152)</f>
        <v>#N/A</v>
      </c>
      <c r="O153" s="133" t="e">
        <f t="shared" si="20"/>
        <v>#N/A</v>
      </c>
      <c r="Q153" s="133" t="e">
        <f>SUM(Q5:Q152)</f>
        <v>#N/A</v>
      </c>
      <c r="R153" s="133" t="e">
        <f t="shared" ref="R153" si="21">SUM(R5:R152)</f>
        <v>#N/A</v>
      </c>
      <c r="T153" t="e">
        <f t="shared" ref="T153" si="22">Q153-H153</f>
        <v>#N/A</v>
      </c>
      <c r="U153" t="e">
        <f t="shared" ref="U153" si="23">R153-I153</f>
        <v>#N/A</v>
      </c>
    </row>
  </sheetData>
  <autoFilter ref="G4:U151" xr:uid="{00000000-0001-0000-0A00-000000000000}"/>
  <mergeCells count="6">
    <mergeCell ref="T3:U3"/>
    <mergeCell ref="N3:O3"/>
    <mergeCell ref="K3:L3"/>
    <mergeCell ref="H3:I3"/>
    <mergeCell ref="A2:D2"/>
    <mergeCell ref="Q3:R3"/>
  </mergeCells>
  <conditionalFormatting sqref="N1:O2 N5:O1048576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T1:U2 T5:U104857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zoomScale="90" zoomScaleNormal="90" workbookViewId="0">
      <selection activeCell="D17" sqref="D17"/>
    </sheetView>
  </sheetViews>
  <sheetFormatPr defaultColWidth="9.140625" defaultRowHeight="15"/>
  <cols>
    <col min="1" max="1" width="67.7109375" style="4" bestFit="1" customWidth="1"/>
    <col min="2" max="7" width="13.28515625" style="4" customWidth="1"/>
    <col min="8" max="8" width="9.140625" style="4"/>
    <col min="9" max="9" width="13.85546875" style="4" customWidth="1"/>
    <col min="10" max="10" width="21.42578125" style="4" customWidth="1"/>
    <col min="11" max="16384" width="9.140625" style="4"/>
  </cols>
  <sheetData>
    <row r="1" spans="1:10" ht="31.5" customHeight="1">
      <c r="A1" s="52" t="s">
        <v>68</v>
      </c>
      <c r="B1" s="53" t="s">
        <v>411</v>
      </c>
      <c r="C1" s="53" t="s">
        <v>14</v>
      </c>
      <c r="D1" s="53" t="s">
        <v>408</v>
      </c>
      <c r="E1" s="53" t="s">
        <v>54</v>
      </c>
      <c r="F1" s="54" t="s">
        <v>230</v>
      </c>
      <c r="G1" s="55" t="s">
        <v>5384</v>
      </c>
      <c r="I1" s="74" t="s">
        <v>5385</v>
      </c>
      <c r="J1" s="102" t="s">
        <v>5386</v>
      </c>
    </row>
    <row r="2" spans="1:10">
      <c r="A2" s="92" t="s">
        <v>90</v>
      </c>
      <c r="B2" s="93">
        <v>48</v>
      </c>
      <c r="C2" s="93">
        <v>43</v>
      </c>
      <c r="D2" s="93">
        <v>39</v>
      </c>
      <c r="E2" s="93">
        <f>C2-D2</f>
        <v>4</v>
      </c>
      <c r="F2" s="95">
        <f>D2/B2</f>
        <v>0.8125</v>
      </c>
      <c r="G2" s="94">
        <f>IFERROR((((1.96^2*0.5*0.5*($B2-D2))/(D2*($B2-1)))^0.5),"")</f>
        <v>6.8669849872456598E-2</v>
      </c>
      <c r="J2" s="103"/>
    </row>
    <row r="3" spans="1:10">
      <c r="A3" s="68" t="s">
        <v>77</v>
      </c>
      <c r="B3" s="65">
        <v>24</v>
      </c>
      <c r="C3" s="65">
        <v>24</v>
      </c>
      <c r="D3" s="65">
        <v>24</v>
      </c>
      <c r="E3" s="65">
        <f t="shared" ref="E3:E15" si="0">C3-D3</f>
        <v>0</v>
      </c>
      <c r="F3" s="66">
        <f t="shared" ref="F3:F16" si="1">D3/B3</f>
        <v>1</v>
      </c>
      <c r="G3" s="67">
        <f t="shared" ref="G3:G17" si="2">IFERROR((((1.96^2*0.5*0.5*($B3-D3))/(D3*($B3-1)))^0.5),"")</f>
        <v>0</v>
      </c>
    </row>
    <row r="4" spans="1:10">
      <c r="A4" s="56" t="s">
        <v>83</v>
      </c>
      <c r="B4" s="50">
        <v>24</v>
      </c>
      <c r="C4" s="50">
        <v>23</v>
      </c>
      <c r="D4" s="50">
        <v>17</v>
      </c>
      <c r="E4" s="50">
        <f t="shared" si="0"/>
        <v>6</v>
      </c>
      <c r="F4" s="51">
        <f t="shared" si="1"/>
        <v>0.70833333333333337</v>
      </c>
      <c r="G4" s="57">
        <f t="shared" si="2"/>
        <v>0.13112536708273925</v>
      </c>
    </row>
    <row r="5" spans="1:10">
      <c r="A5" s="56" t="s">
        <v>84</v>
      </c>
      <c r="B5" s="50">
        <v>30</v>
      </c>
      <c r="C5" s="50">
        <v>28</v>
      </c>
      <c r="D5" s="50">
        <v>22</v>
      </c>
      <c r="E5" s="50">
        <f t="shared" si="0"/>
        <v>6</v>
      </c>
      <c r="F5" s="51">
        <f t="shared" si="1"/>
        <v>0.73333333333333328</v>
      </c>
      <c r="G5" s="57">
        <f t="shared" si="2"/>
        <v>0.10973893214734744</v>
      </c>
    </row>
    <row r="6" spans="1:10">
      <c r="A6" s="92" t="s">
        <v>85</v>
      </c>
      <c r="B6" s="93">
        <v>32</v>
      </c>
      <c r="C6" s="93">
        <v>30</v>
      </c>
      <c r="D6" s="93">
        <v>27</v>
      </c>
      <c r="E6" s="93">
        <f t="shared" si="0"/>
        <v>3</v>
      </c>
      <c r="F6" s="95">
        <f t="shared" si="1"/>
        <v>0.84375</v>
      </c>
      <c r="G6" s="94">
        <f t="shared" si="2"/>
        <v>7.5744019640827484E-2</v>
      </c>
    </row>
    <row r="7" spans="1:10">
      <c r="A7" s="92" t="s">
        <v>87</v>
      </c>
      <c r="B7" s="93">
        <v>21</v>
      </c>
      <c r="C7" s="93">
        <v>20</v>
      </c>
      <c r="D7" s="93">
        <v>20</v>
      </c>
      <c r="E7" s="93">
        <f t="shared" si="0"/>
        <v>0</v>
      </c>
      <c r="F7" s="95">
        <f t="shared" si="1"/>
        <v>0.95238095238095233</v>
      </c>
      <c r="G7" s="94">
        <f t="shared" si="2"/>
        <v>4.9000000000000002E-2</v>
      </c>
    </row>
    <row r="8" spans="1:10">
      <c r="A8" s="92" t="s">
        <v>88</v>
      </c>
      <c r="B8" s="93">
        <v>7</v>
      </c>
      <c r="C8" s="93">
        <v>7</v>
      </c>
      <c r="D8" s="93">
        <v>6</v>
      </c>
      <c r="E8" s="93">
        <f t="shared" si="0"/>
        <v>1</v>
      </c>
      <c r="F8" s="95">
        <f t="shared" si="1"/>
        <v>0.8571428571428571</v>
      </c>
      <c r="G8" s="94">
        <f t="shared" si="2"/>
        <v>0.16333333333333333</v>
      </c>
    </row>
    <row r="9" spans="1:10">
      <c r="A9" s="92" t="s">
        <v>89</v>
      </c>
      <c r="B9" s="93">
        <v>24</v>
      </c>
      <c r="C9" s="93">
        <v>22</v>
      </c>
      <c r="D9" s="93">
        <v>19</v>
      </c>
      <c r="E9" s="93">
        <f t="shared" si="0"/>
        <v>3</v>
      </c>
      <c r="F9" s="95">
        <f t="shared" si="1"/>
        <v>0.79166666666666663</v>
      </c>
      <c r="G9" s="94">
        <f t="shared" si="2"/>
        <v>0.10482632471093672</v>
      </c>
    </row>
    <row r="10" spans="1:10">
      <c r="A10" s="68" t="s">
        <v>91</v>
      </c>
      <c r="B10" s="65">
        <v>20</v>
      </c>
      <c r="C10" s="65">
        <v>20</v>
      </c>
      <c r="D10" s="65">
        <v>20</v>
      </c>
      <c r="E10" s="65">
        <f t="shared" si="0"/>
        <v>0</v>
      </c>
      <c r="F10" s="66">
        <f t="shared" si="1"/>
        <v>1</v>
      </c>
      <c r="G10" s="67">
        <f t="shared" si="2"/>
        <v>0</v>
      </c>
    </row>
    <row r="11" spans="1:10">
      <c r="A11" s="68" t="s">
        <v>182</v>
      </c>
      <c r="B11" s="65">
        <v>6</v>
      </c>
      <c r="C11" s="65">
        <v>6</v>
      </c>
      <c r="D11" s="65">
        <v>6</v>
      </c>
      <c r="E11" s="65">
        <f t="shared" si="0"/>
        <v>0</v>
      </c>
      <c r="F11" s="66">
        <f t="shared" si="1"/>
        <v>1</v>
      </c>
      <c r="G11" s="67">
        <f t="shared" si="2"/>
        <v>0</v>
      </c>
    </row>
    <row r="12" spans="1:10">
      <c r="A12" s="68" t="s">
        <v>5387</v>
      </c>
      <c r="B12" s="65">
        <v>33</v>
      </c>
      <c r="C12" s="65">
        <v>33</v>
      </c>
      <c r="D12" s="65">
        <v>33</v>
      </c>
      <c r="E12" s="65">
        <f t="shared" si="0"/>
        <v>0</v>
      </c>
      <c r="F12" s="66">
        <f t="shared" si="1"/>
        <v>1</v>
      </c>
      <c r="G12" s="67">
        <f t="shared" si="2"/>
        <v>0</v>
      </c>
    </row>
    <row r="13" spans="1:10">
      <c r="A13" s="56" t="s">
        <v>1471</v>
      </c>
      <c r="B13" s="50">
        <v>2</v>
      </c>
      <c r="C13" s="50">
        <v>2</v>
      </c>
      <c r="D13" s="50">
        <v>1</v>
      </c>
      <c r="E13" s="50">
        <f t="shared" si="0"/>
        <v>1</v>
      </c>
      <c r="F13" s="51">
        <f t="shared" si="1"/>
        <v>0.5</v>
      </c>
      <c r="G13" s="57">
        <f t="shared" si="2"/>
        <v>0.98</v>
      </c>
    </row>
    <row r="14" spans="1:10">
      <c r="A14" s="92" t="s">
        <v>95</v>
      </c>
      <c r="B14" s="93">
        <v>4</v>
      </c>
      <c r="C14" s="93">
        <v>4</v>
      </c>
      <c r="D14" s="93">
        <v>3</v>
      </c>
      <c r="E14" s="93">
        <f t="shared" si="0"/>
        <v>1</v>
      </c>
      <c r="F14" s="95">
        <f t="shared" si="1"/>
        <v>0.75</v>
      </c>
      <c r="G14" s="94">
        <f t="shared" si="2"/>
        <v>0.32666666666666666</v>
      </c>
    </row>
    <row r="15" spans="1:10">
      <c r="A15" s="92" t="s">
        <v>93</v>
      </c>
      <c r="B15" s="93">
        <v>5</v>
      </c>
      <c r="C15" s="93">
        <v>5</v>
      </c>
      <c r="D15" s="93">
        <v>4</v>
      </c>
      <c r="E15" s="93">
        <f t="shared" si="0"/>
        <v>1</v>
      </c>
      <c r="F15" s="95">
        <f t="shared" si="1"/>
        <v>0.8</v>
      </c>
      <c r="G15" s="94">
        <f t="shared" si="2"/>
        <v>0.245</v>
      </c>
    </row>
    <row r="16" spans="1:10" ht="15.75" thickBot="1">
      <c r="A16" s="79" t="s">
        <v>5388</v>
      </c>
      <c r="B16" s="72">
        <v>40</v>
      </c>
      <c r="C16" s="72">
        <v>37</v>
      </c>
      <c r="D16" s="72">
        <v>38</v>
      </c>
      <c r="E16" s="72">
        <v>0</v>
      </c>
      <c r="F16" s="80">
        <f t="shared" si="1"/>
        <v>0.95</v>
      </c>
      <c r="G16" s="73">
        <f t="shared" si="2"/>
        <v>3.6001199560161602E-2</v>
      </c>
    </row>
    <row r="17" spans="1:7" ht="16.5" thickBot="1">
      <c r="A17" s="58" t="s">
        <v>55</v>
      </c>
      <c r="B17" s="59">
        <f>SUM(B2:B16)</f>
        <v>320</v>
      </c>
      <c r="C17" s="59">
        <f>SUM(C2:C16)</f>
        <v>304</v>
      </c>
      <c r="D17" s="59">
        <f>SUM(D2:D16)</f>
        <v>279</v>
      </c>
      <c r="E17" s="59">
        <f>SUM(E2:E16)</f>
        <v>26</v>
      </c>
      <c r="F17" s="60">
        <f t="shared" ref="F17" si="3">E17/B17</f>
        <v>8.1250000000000003E-2</v>
      </c>
      <c r="G17" s="61">
        <f t="shared" si="2"/>
        <v>2.1033936616572862E-2</v>
      </c>
    </row>
    <row r="42" spans="5:5">
      <c r="E42" s="6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4"/>
  <sheetViews>
    <sheetView zoomScale="90" zoomScaleNormal="90" workbookViewId="0">
      <selection activeCell="D18" sqref="D18"/>
    </sheetView>
  </sheetViews>
  <sheetFormatPr defaultColWidth="9.140625" defaultRowHeight="15"/>
  <cols>
    <col min="1" max="1" width="67.7109375" style="4" bestFit="1" customWidth="1"/>
    <col min="2" max="7" width="13.28515625" style="4" customWidth="1"/>
    <col min="8" max="8" width="20.7109375" style="4" customWidth="1"/>
    <col min="9" max="9" width="9.140625" style="4" hidden="1" customWidth="1"/>
    <col min="10" max="10" width="11.85546875" style="4" customWidth="1"/>
    <col min="11" max="11" width="21.28515625" style="4" customWidth="1"/>
    <col min="12" max="16384" width="9.140625" style="4"/>
  </cols>
  <sheetData>
    <row r="1" spans="1:11" ht="37.5" customHeight="1">
      <c r="A1" s="52" t="s">
        <v>68</v>
      </c>
      <c r="B1" s="53" t="s">
        <v>5389</v>
      </c>
      <c r="C1" s="54" t="s">
        <v>5390</v>
      </c>
      <c r="D1" s="53" t="s">
        <v>408</v>
      </c>
      <c r="E1" s="53" t="s">
        <v>54</v>
      </c>
      <c r="F1" s="54" t="s">
        <v>73</v>
      </c>
      <c r="G1" s="55" t="s">
        <v>5384</v>
      </c>
      <c r="J1" s="74" t="s">
        <v>5385</v>
      </c>
      <c r="K1" s="102" t="s">
        <v>5386</v>
      </c>
    </row>
    <row r="2" spans="1:11">
      <c r="A2" s="92" t="s">
        <v>90</v>
      </c>
      <c r="B2" s="93">
        <v>18</v>
      </c>
      <c r="C2" s="93">
        <v>18</v>
      </c>
      <c r="D2" s="93">
        <v>16</v>
      </c>
      <c r="E2" s="93">
        <f>C2-D2</f>
        <v>2</v>
      </c>
      <c r="F2" s="95">
        <f>D2/B2</f>
        <v>0.88888888888888884</v>
      </c>
      <c r="G2" s="94">
        <f>IFERROR((((1.96^2*0.5*0.5*($B2-D2))/(D2*($B2-1)))^0.5),"")</f>
        <v>8.4034306719829324E-2</v>
      </c>
    </row>
    <row r="3" spans="1:11">
      <c r="A3" s="68" t="s">
        <v>77</v>
      </c>
      <c r="B3" s="65">
        <v>37</v>
      </c>
      <c r="C3" s="65">
        <v>36</v>
      </c>
      <c r="D3" s="65">
        <v>36</v>
      </c>
      <c r="E3" s="65">
        <f t="shared" ref="E3:E16" si="0">C3-D3</f>
        <v>0</v>
      </c>
      <c r="F3" s="66">
        <f t="shared" ref="F3:F17" si="1">D3/B3</f>
        <v>0.97297297297297303</v>
      </c>
      <c r="G3" s="67">
        <f t="shared" ref="G3:G18" si="2">IFERROR((((1.96^2*0.5*0.5*($B3-D3))/(D3*($B3-1)))^0.5),"")</f>
        <v>2.7222222222222221E-2</v>
      </c>
    </row>
    <row r="4" spans="1:11">
      <c r="A4" s="68" t="s">
        <v>83</v>
      </c>
      <c r="B4" s="65">
        <v>24</v>
      </c>
      <c r="C4" s="65">
        <v>24</v>
      </c>
      <c r="D4" s="65">
        <v>24</v>
      </c>
      <c r="E4" s="65">
        <f t="shared" si="0"/>
        <v>0</v>
      </c>
      <c r="F4" s="66">
        <f t="shared" si="1"/>
        <v>1</v>
      </c>
      <c r="G4" s="67">
        <f t="shared" si="2"/>
        <v>0</v>
      </c>
    </row>
    <row r="5" spans="1:11">
      <c r="A5" s="68" t="s">
        <v>84</v>
      </c>
      <c r="B5" s="65">
        <v>20</v>
      </c>
      <c r="C5" s="65">
        <v>19</v>
      </c>
      <c r="D5" s="65">
        <v>19</v>
      </c>
      <c r="E5" s="65">
        <f t="shared" si="0"/>
        <v>0</v>
      </c>
      <c r="F5" s="66">
        <f t="shared" si="1"/>
        <v>0.95</v>
      </c>
      <c r="G5" s="67">
        <f t="shared" si="2"/>
        <v>5.1578947368421051E-2</v>
      </c>
    </row>
    <row r="6" spans="1:11">
      <c r="A6" s="68" t="s">
        <v>85</v>
      </c>
      <c r="B6" s="65">
        <v>6</v>
      </c>
      <c r="C6" s="65">
        <v>6</v>
      </c>
      <c r="D6" s="65">
        <v>6</v>
      </c>
      <c r="E6" s="65">
        <f t="shared" si="0"/>
        <v>0</v>
      </c>
      <c r="F6" s="66">
        <f t="shared" si="1"/>
        <v>1</v>
      </c>
      <c r="G6" s="67">
        <f t="shared" si="2"/>
        <v>0</v>
      </c>
    </row>
    <row r="7" spans="1:11">
      <c r="A7" s="68" t="s">
        <v>87</v>
      </c>
      <c r="B7" s="65">
        <v>9</v>
      </c>
      <c r="C7" s="65">
        <v>9</v>
      </c>
      <c r="D7" s="65">
        <v>9</v>
      </c>
      <c r="E7" s="65">
        <f t="shared" si="0"/>
        <v>0</v>
      </c>
      <c r="F7" s="66">
        <f t="shared" si="1"/>
        <v>1</v>
      </c>
      <c r="G7" s="67">
        <f t="shared" si="2"/>
        <v>0</v>
      </c>
    </row>
    <row r="8" spans="1:11">
      <c r="A8" s="68" t="s">
        <v>88</v>
      </c>
      <c r="B8" s="65">
        <v>3</v>
      </c>
      <c r="C8" s="65">
        <v>3</v>
      </c>
      <c r="D8" s="65">
        <v>3</v>
      </c>
      <c r="E8" s="65">
        <f t="shared" si="0"/>
        <v>0</v>
      </c>
      <c r="F8" s="66">
        <f t="shared" si="1"/>
        <v>1</v>
      </c>
      <c r="G8" s="67">
        <f t="shared" si="2"/>
        <v>0</v>
      </c>
    </row>
    <row r="9" spans="1:11">
      <c r="A9" s="92" t="s">
        <v>89</v>
      </c>
      <c r="B9" s="93">
        <v>28</v>
      </c>
      <c r="C9" s="93">
        <v>27</v>
      </c>
      <c r="D9" s="93">
        <v>26</v>
      </c>
      <c r="E9" s="93">
        <f t="shared" si="0"/>
        <v>1</v>
      </c>
      <c r="F9" s="95">
        <f t="shared" si="1"/>
        <v>0.9285714285714286</v>
      </c>
      <c r="G9" s="94">
        <f t="shared" si="2"/>
        <v>5.230853024299513E-2</v>
      </c>
    </row>
    <row r="10" spans="1:11">
      <c r="A10" s="92" t="s">
        <v>91</v>
      </c>
      <c r="B10" s="93">
        <v>12</v>
      </c>
      <c r="C10" s="93">
        <v>12</v>
      </c>
      <c r="D10" s="93">
        <v>11</v>
      </c>
      <c r="E10" s="93">
        <f t="shared" si="0"/>
        <v>1</v>
      </c>
      <c r="F10" s="95">
        <f t="shared" si="1"/>
        <v>0.91666666666666663</v>
      </c>
      <c r="G10" s="94">
        <f t="shared" si="2"/>
        <v>8.9090909090909082E-2</v>
      </c>
    </row>
    <row r="11" spans="1:11">
      <c r="A11" s="68" t="s">
        <v>182</v>
      </c>
      <c r="B11" s="65">
        <v>3</v>
      </c>
      <c r="C11" s="65">
        <v>3</v>
      </c>
      <c r="D11" s="65">
        <v>3</v>
      </c>
      <c r="E11" s="65">
        <f t="shared" si="0"/>
        <v>0</v>
      </c>
      <c r="F11" s="66">
        <f t="shared" si="1"/>
        <v>1</v>
      </c>
      <c r="G11" s="67">
        <f t="shared" si="2"/>
        <v>0</v>
      </c>
    </row>
    <row r="12" spans="1:11">
      <c r="A12" s="68" t="s">
        <v>5387</v>
      </c>
      <c r="B12" s="65">
        <v>47</v>
      </c>
      <c r="C12" s="65">
        <v>45</v>
      </c>
      <c r="D12" s="65">
        <v>45</v>
      </c>
      <c r="E12" s="65">
        <f t="shared" si="0"/>
        <v>0</v>
      </c>
      <c r="F12" s="66">
        <f t="shared" si="1"/>
        <v>0.95744680851063835</v>
      </c>
      <c r="G12" s="67">
        <f t="shared" si="2"/>
        <v>3.0461823735850248E-2</v>
      </c>
    </row>
    <row r="13" spans="1:11">
      <c r="A13" s="68" t="s">
        <v>1471</v>
      </c>
      <c r="B13" s="65">
        <v>1</v>
      </c>
      <c r="C13" s="65">
        <v>1</v>
      </c>
      <c r="D13" s="65">
        <v>1</v>
      </c>
      <c r="E13" s="65">
        <f t="shared" si="0"/>
        <v>0</v>
      </c>
      <c r="F13" s="66">
        <f t="shared" si="1"/>
        <v>1</v>
      </c>
      <c r="G13" s="67">
        <v>0</v>
      </c>
    </row>
    <row r="14" spans="1:11">
      <c r="A14" s="68" t="s">
        <v>95</v>
      </c>
      <c r="B14" s="65">
        <v>2</v>
      </c>
      <c r="C14" s="65">
        <v>2</v>
      </c>
      <c r="D14" s="65">
        <v>2</v>
      </c>
      <c r="E14" s="65">
        <f t="shared" si="0"/>
        <v>0</v>
      </c>
      <c r="F14" s="66">
        <f t="shared" si="1"/>
        <v>1</v>
      </c>
      <c r="G14" s="67">
        <f t="shared" si="2"/>
        <v>0</v>
      </c>
    </row>
    <row r="15" spans="1:11">
      <c r="A15" s="68" t="s">
        <v>93</v>
      </c>
      <c r="B15" s="65">
        <v>9</v>
      </c>
      <c r="C15" s="65">
        <v>9</v>
      </c>
      <c r="D15" s="65">
        <v>9</v>
      </c>
      <c r="E15" s="65">
        <f t="shared" si="0"/>
        <v>0</v>
      </c>
      <c r="F15" s="66">
        <f t="shared" si="1"/>
        <v>1</v>
      </c>
      <c r="G15" s="67">
        <f t="shared" si="2"/>
        <v>0</v>
      </c>
    </row>
    <row r="16" spans="1:11">
      <c r="A16" s="96" t="s">
        <v>5391</v>
      </c>
      <c r="B16" s="97">
        <v>512</v>
      </c>
      <c r="C16" s="97">
        <v>481</v>
      </c>
      <c r="D16" s="97">
        <v>451</v>
      </c>
      <c r="E16" s="93">
        <f t="shared" si="0"/>
        <v>30</v>
      </c>
      <c r="F16" s="95">
        <f t="shared" si="1"/>
        <v>0.880859375</v>
      </c>
      <c r="G16" s="98">
        <f>IFERROR((((1.96^2*0.5*0.5*($B16-D16))/(D16*($B16-1)))^0.5),"")</f>
        <v>1.5943815943328485E-2</v>
      </c>
      <c r="H16" s="4" t="s">
        <v>5392</v>
      </c>
    </row>
    <row r="17" spans="1:9" ht="15.75" thickBot="1">
      <c r="A17" s="70" t="s">
        <v>5393</v>
      </c>
      <c r="B17" s="71">
        <v>250</v>
      </c>
      <c r="C17" s="71">
        <v>192</v>
      </c>
      <c r="D17" s="71">
        <v>189</v>
      </c>
      <c r="E17" s="72">
        <v>0</v>
      </c>
      <c r="F17" s="66">
        <f t="shared" si="1"/>
        <v>0.75600000000000001</v>
      </c>
      <c r="G17" s="73">
        <f t="shared" si="2"/>
        <v>3.5282586713309583E-2</v>
      </c>
      <c r="H17" s="4" t="s">
        <v>5392</v>
      </c>
    </row>
    <row r="18" spans="1:9" ht="16.5" thickBot="1">
      <c r="A18" s="58" t="s">
        <v>55</v>
      </c>
      <c r="B18" s="59">
        <f>SUM(B2:B17)</f>
        <v>981</v>
      </c>
      <c r="C18" s="59">
        <f>SUM(C2:C17)</f>
        <v>887</v>
      </c>
      <c r="D18" s="59">
        <f>SUM(D2:D17)</f>
        <v>850</v>
      </c>
      <c r="E18" s="59">
        <f>SUM(E2:E17)</f>
        <v>34</v>
      </c>
      <c r="F18" s="60">
        <f>D18/B18</f>
        <v>0.86646279306829765</v>
      </c>
      <c r="G18" s="61">
        <f t="shared" si="2"/>
        <v>1.2289641740817633E-2</v>
      </c>
    </row>
    <row r="19" spans="1:9" ht="15.75" thickBot="1"/>
    <row r="20" spans="1:9" ht="25.5">
      <c r="A20" s="53" t="s">
        <v>5393</v>
      </c>
      <c r="B20" s="53" t="s">
        <v>5389</v>
      </c>
      <c r="C20" s="54" t="s">
        <v>5390</v>
      </c>
      <c r="D20" s="53" t="s">
        <v>408</v>
      </c>
      <c r="E20" s="53" t="s">
        <v>54</v>
      </c>
      <c r="F20" s="54" t="s">
        <v>73</v>
      </c>
      <c r="G20" s="55" t="s">
        <v>5384</v>
      </c>
    </row>
    <row r="21" spans="1:9">
      <c r="A21" s="68" t="s">
        <v>5394</v>
      </c>
      <c r="B21" s="65">
        <v>136</v>
      </c>
      <c r="C21" s="65">
        <v>105</v>
      </c>
      <c r="D21" s="65">
        <v>105</v>
      </c>
      <c r="E21" s="65">
        <f t="shared" ref="E21:E22" si="3">C21-D21</f>
        <v>0</v>
      </c>
      <c r="F21" s="66">
        <f t="shared" ref="F21:F22" si="4">D21/B21</f>
        <v>0.7720588235294118</v>
      </c>
      <c r="G21" s="67">
        <f t="shared" ref="G21:G22" si="5">IFERROR((((1.96^2*0.5*0.5*($B21-D21))/(D21*($B21-1)))^0.5),"")</f>
        <v>4.5829528461597172E-2</v>
      </c>
    </row>
    <row r="22" spans="1:9">
      <c r="A22" s="79" t="s">
        <v>5395</v>
      </c>
      <c r="B22" s="72">
        <v>8</v>
      </c>
      <c r="C22" s="72">
        <v>8</v>
      </c>
      <c r="D22" s="72">
        <v>1</v>
      </c>
      <c r="E22" s="65">
        <f t="shared" si="3"/>
        <v>7</v>
      </c>
      <c r="F22" s="66">
        <f t="shared" si="4"/>
        <v>0.125</v>
      </c>
      <c r="G22" s="73">
        <f t="shared" si="5"/>
        <v>0.98</v>
      </c>
    </row>
    <row r="23" spans="1:9" ht="15.75" thickBot="1">
      <c r="A23" s="70" t="s">
        <v>5396</v>
      </c>
      <c r="B23" s="71">
        <v>106</v>
      </c>
      <c r="C23" s="71">
        <v>83</v>
      </c>
      <c r="D23" s="71">
        <v>83</v>
      </c>
      <c r="E23" s="72">
        <v>0</v>
      </c>
      <c r="F23" s="66">
        <f>D23/B23</f>
        <v>0.78301886792452835</v>
      </c>
      <c r="G23" s="73">
        <f>IFERROR((((1.96^2*0.5*0.5*($B23-D23))/(D23*($B23-1)))^0.5),"")</f>
        <v>5.034499452672115E-2</v>
      </c>
    </row>
    <row r="24" spans="1:9" ht="16.5" thickBot="1">
      <c r="A24" s="104" t="s">
        <v>55</v>
      </c>
      <c r="B24" s="105">
        <f>SUM(B21:B23)</f>
        <v>250</v>
      </c>
      <c r="C24" s="105">
        <f>SUM(C21:C23)</f>
        <v>196</v>
      </c>
      <c r="D24" s="105">
        <f>SUM(D21:D23)</f>
        <v>189</v>
      </c>
      <c r="E24" s="105">
        <f>SUM(E21:E23)</f>
        <v>7</v>
      </c>
      <c r="F24" s="106">
        <f t="shared" ref="F24" si="6">E24/B24</f>
        <v>2.8000000000000001E-2</v>
      </c>
      <c r="G24" s="107">
        <f t="shared" ref="G24" si="7">IFERROR((((1.96^2*0.5*0.5*($B24-D24))/(D24*($B24-1)))^0.5),"")</f>
        <v>3.5282586713309583E-2</v>
      </c>
    </row>
    <row r="25" spans="1:9" ht="15.75" thickBot="1"/>
    <row r="26" spans="1:9" ht="25.5">
      <c r="A26" s="53" t="s">
        <v>5391</v>
      </c>
      <c r="B26" s="53" t="s">
        <v>5389</v>
      </c>
      <c r="C26" s="54" t="s">
        <v>5390</v>
      </c>
      <c r="D26" s="53" t="s">
        <v>408</v>
      </c>
      <c r="E26" s="53" t="s">
        <v>54</v>
      </c>
      <c r="F26" s="54" t="s">
        <v>73</v>
      </c>
      <c r="G26" s="55" t="s">
        <v>5384</v>
      </c>
    </row>
    <row r="27" spans="1:9">
      <c r="A27" s="50" t="s">
        <v>5397</v>
      </c>
      <c r="B27" s="50">
        <v>3</v>
      </c>
      <c r="C27" s="50">
        <v>3</v>
      </c>
      <c r="D27" s="50">
        <f>IFERROR(I27,0)</f>
        <v>1</v>
      </c>
      <c r="E27" s="50">
        <f>C27-D27</f>
        <v>2</v>
      </c>
      <c r="F27" s="51">
        <f>D27/B27</f>
        <v>0.33333333333333331</v>
      </c>
      <c r="G27" s="57">
        <f>IFERROR((((1.96^2*0.5*0.5*($B27-D27))/(D27*($B27-1)))^0.5),"")</f>
        <v>0.98</v>
      </c>
      <c r="I27" s="4">
        <f>VLOOKUP(A27,'BDD Admin. Centrales'!$G$4:$H$40,2,0)</f>
        <v>1</v>
      </c>
    </row>
    <row r="28" spans="1:9">
      <c r="A28" s="65" t="s">
        <v>5267</v>
      </c>
      <c r="B28" s="65">
        <v>35</v>
      </c>
      <c r="C28" s="65">
        <v>35</v>
      </c>
      <c r="D28" s="65">
        <f t="shared" ref="D28:D63" si="8">IFERROR(I28,0)</f>
        <v>35</v>
      </c>
      <c r="E28" s="65">
        <f t="shared" ref="E28:E63" si="9">C28-D28</f>
        <v>0</v>
      </c>
      <c r="F28" s="66">
        <f t="shared" ref="F28:F63" si="10">D28/B28</f>
        <v>1</v>
      </c>
      <c r="G28" s="67">
        <f t="shared" ref="G28:G63" si="11">IFERROR((((1.96^2*0.5*0.5*($B28-D28))/(D28*($B28-1)))^0.5),"")</f>
        <v>0</v>
      </c>
      <c r="I28" s="4">
        <f>VLOOKUP(A28,'BDD Admin. Centrales'!$G$4:$H$40,2,0)</f>
        <v>35</v>
      </c>
    </row>
    <row r="29" spans="1:9">
      <c r="A29" s="50" t="s">
        <v>5394</v>
      </c>
      <c r="B29" s="50">
        <v>41</v>
      </c>
      <c r="C29" s="50">
        <v>37</v>
      </c>
      <c r="D29" s="50">
        <f t="shared" si="8"/>
        <v>26</v>
      </c>
      <c r="E29" s="50">
        <f t="shared" si="9"/>
        <v>11</v>
      </c>
      <c r="F29" s="51">
        <f t="shared" si="10"/>
        <v>0.63414634146341464</v>
      </c>
      <c r="G29" s="57">
        <f t="shared" si="11"/>
        <v>0.11769419304673905</v>
      </c>
      <c r="I29" s="4">
        <f>VLOOKUP(A29,'BDD Admin. Centrales'!$G$4:$H$40,2,0)</f>
        <v>26</v>
      </c>
    </row>
    <row r="30" spans="1:9">
      <c r="A30" s="65" t="s">
        <v>5398</v>
      </c>
      <c r="B30" s="65">
        <v>5</v>
      </c>
      <c r="C30" s="65">
        <v>5</v>
      </c>
      <c r="D30" s="65">
        <f t="shared" si="8"/>
        <v>5</v>
      </c>
      <c r="E30" s="65">
        <f t="shared" si="9"/>
        <v>0</v>
      </c>
      <c r="F30" s="66">
        <f t="shared" si="10"/>
        <v>1</v>
      </c>
      <c r="G30" s="67">
        <f t="shared" si="11"/>
        <v>0</v>
      </c>
      <c r="I30" s="4">
        <f>VLOOKUP(A30,'BDD Admin. Centrales'!$G$4:$H$40,2,0)</f>
        <v>5</v>
      </c>
    </row>
    <row r="31" spans="1:9">
      <c r="A31" s="93" t="s">
        <v>5399</v>
      </c>
      <c r="B31" s="93">
        <v>24</v>
      </c>
      <c r="C31" s="93">
        <v>23</v>
      </c>
      <c r="D31" s="93">
        <f t="shared" si="8"/>
        <v>22</v>
      </c>
      <c r="E31" s="93">
        <f t="shared" si="9"/>
        <v>1</v>
      </c>
      <c r="F31" s="95">
        <f t="shared" si="10"/>
        <v>0.91666666666666663</v>
      </c>
      <c r="G31" s="94">
        <f t="shared" si="11"/>
        <v>6.1612072119269279E-2</v>
      </c>
      <c r="I31" s="4">
        <f>VLOOKUP(A31,'BDD Admin. Centrales'!$G$4:$H$40,2,0)</f>
        <v>22</v>
      </c>
    </row>
    <row r="32" spans="1:9">
      <c r="A32" s="65" t="s">
        <v>5400</v>
      </c>
      <c r="B32" s="65">
        <v>30</v>
      </c>
      <c r="C32" s="65">
        <v>28</v>
      </c>
      <c r="D32" s="65">
        <f t="shared" si="8"/>
        <v>28</v>
      </c>
      <c r="E32" s="65">
        <f t="shared" si="9"/>
        <v>0</v>
      </c>
      <c r="F32" s="66">
        <f t="shared" si="10"/>
        <v>0.93333333333333335</v>
      </c>
      <c r="G32" s="67">
        <f t="shared" si="11"/>
        <v>4.8636583364575582E-2</v>
      </c>
      <c r="I32" s="4">
        <f>VLOOKUP(A32,'BDD Admin. Centrales'!$G$4:$H$40,2,0)</f>
        <v>28</v>
      </c>
    </row>
    <row r="33" spans="1:9">
      <c r="A33" s="50" t="s">
        <v>5401</v>
      </c>
      <c r="B33" s="50">
        <v>17</v>
      </c>
      <c r="C33" s="50">
        <v>16</v>
      </c>
      <c r="D33" s="50">
        <f t="shared" si="8"/>
        <v>11</v>
      </c>
      <c r="E33" s="50">
        <f t="shared" si="9"/>
        <v>5</v>
      </c>
      <c r="F33" s="51">
        <f t="shared" si="10"/>
        <v>0.6470588235294118</v>
      </c>
      <c r="G33" s="57">
        <f t="shared" si="11"/>
        <v>0.18094449173961913</v>
      </c>
      <c r="I33" s="4">
        <f>VLOOKUP(A33,'BDD Admin. Centrales'!$G$4:$H$40,2,0)</f>
        <v>11</v>
      </c>
    </row>
    <row r="34" spans="1:9">
      <c r="A34" s="65" t="s">
        <v>5402</v>
      </c>
      <c r="B34" s="65">
        <v>1</v>
      </c>
      <c r="C34" s="65">
        <v>1</v>
      </c>
      <c r="D34" s="65">
        <f t="shared" si="8"/>
        <v>0</v>
      </c>
      <c r="E34" s="65">
        <f t="shared" si="9"/>
        <v>1</v>
      </c>
      <c r="F34" s="66">
        <f t="shared" si="10"/>
        <v>0</v>
      </c>
      <c r="G34" s="67">
        <v>0</v>
      </c>
      <c r="I34" s="4" t="e">
        <f>VLOOKUP(A34,'BDD Admin. Centrales'!$G$4:$H$40,2,0)</f>
        <v>#N/A</v>
      </c>
    </row>
    <row r="35" spans="1:9">
      <c r="A35" s="50" t="s">
        <v>5403</v>
      </c>
      <c r="B35" s="50">
        <v>2</v>
      </c>
      <c r="C35" s="50">
        <v>2</v>
      </c>
      <c r="D35" s="50">
        <f t="shared" si="8"/>
        <v>1</v>
      </c>
      <c r="E35" s="50">
        <f t="shared" si="9"/>
        <v>1</v>
      </c>
      <c r="F35" s="51">
        <f t="shared" si="10"/>
        <v>0.5</v>
      </c>
      <c r="G35" s="57">
        <v>0</v>
      </c>
      <c r="I35" s="4">
        <f>VLOOKUP(A35,'BDD Admin. Centrales'!$G$4:$H$40,2,0)</f>
        <v>1</v>
      </c>
    </row>
    <row r="36" spans="1:9">
      <c r="A36" s="65" t="s">
        <v>5404</v>
      </c>
      <c r="B36" s="65">
        <v>15</v>
      </c>
      <c r="C36" s="65">
        <v>14</v>
      </c>
      <c r="D36" s="65">
        <f t="shared" si="8"/>
        <v>15</v>
      </c>
      <c r="E36" s="65">
        <v>0</v>
      </c>
      <c r="F36" s="66">
        <f t="shared" si="10"/>
        <v>1</v>
      </c>
      <c r="G36" s="67">
        <f t="shared" si="11"/>
        <v>0</v>
      </c>
      <c r="I36" s="4">
        <f>VLOOKUP(A36,'BDD Admin. Centrales'!$G$4:$H$40,2,0)</f>
        <v>15</v>
      </c>
    </row>
    <row r="37" spans="1:9">
      <c r="A37" s="65" t="s">
        <v>5405</v>
      </c>
      <c r="B37" s="65">
        <v>18</v>
      </c>
      <c r="C37" s="65">
        <v>17</v>
      </c>
      <c r="D37" s="65">
        <f t="shared" si="8"/>
        <v>18</v>
      </c>
      <c r="E37" s="65">
        <v>0</v>
      </c>
      <c r="F37" s="66">
        <f t="shared" si="10"/>
        <v>1</v>
      </c>
      <c r="G37" s="67">
        <f t="shared" si="11"/>
        <v>0</v>
      </c>
      <c r="I37" s="4">
        <f>VLOOKUP(A37,'BDD Admin. Centrales'!$G$4:$H$40,2,0)</f>
        <v>18</v>
      </c>
    </row>
    <row r="38" spans="1:9">
      <c r="A38" s="93" t="s">
        <v>5290</v>
      </c>
      <c r="B38" s="93">
        <v>25</v>
      </c>
      <c r="C38" s="93">
        <v>24</v>
      </c>
      <c r="D38" s="93">
        <f t="shared" si="8"/>
        <v>22</v>
      </c>
      <c r="E38" s="93">
        <f t="shared" si="9"/>
        <v>2</v>
      </c>
      <c r="F38" s="95">
        <f t="shared" si="10"/>
        <v>0.88</v>
      </c>
      <c r="G38" s="94">
        <f t="shared" si="11"/>
        <v>7.3870279421552082E-2</v>
      </c>
      <c r="I38" s="4">
        <f>VLOOKUP(A38,'BDD Admin. Centrales'!$G$4:$H$40,2,0)</f>
        <v>22</v>
      </c>
    </row>
    <row r="39" spans="1:9">
      <c r="A39" s="65" t="s">
        <v>5258</v>
      </c>
      <c r="B39" s="65">
        <v>8</v>
      </c>
      <c r="C39" s="65">
        <v>8</v>
      </c>
      <c r="D39" s="65">
        <f t="shared" si="8"/>
        <v>8</v>
      </c>
      <c r="E39" s="65">
        <f t="shared" si="9"/>
        <v>0</v>
      </c>
      <c r="F39" s="66">
        <f t="shared" si="10"/>
        <v>1</v>
      </c>
      <c r="G39" s="67">
        <f t="shared" si="11"/>
        <v>0</v>
      </c>
      <c r="I39" s="4">
        <f>VLOOKUP(A39,'BDD Admin. Centrales'!$G$4:$H$40,2,0)</f>
        <v>8</v>
      </c>
    </row>
    <row r="40" spans="1:9">
      <c r="A40" s="65" t="s">
        <v>5395</v>
      </c>
      <c r="B40" s="65">
        <v>2</v>
      </c>
      <c r="C40" s="65">
        <v>2</v>
      </c>
      <c r="D40" s="65">
        <f t="shared" si="8"/>
        <v>2</v>
      </c>
      <c r="E40" s="65">
        <f t="shared" si="9"/>
        <v>0</v>
      </c>
      <c r="F40" s="66">
        <f t="shared" si="10"/>
        <v>1</v>
      </c>
      <c r="G40" s="67">
        <f t="shared" si="11"/>
        <v>0</v>
      </c>
      <c r="I40" s="4">
        <f>VLOOKUP(A40,'BDD Admin. Centrales'!$G$4:$H$40,2,0)</f>
        <v>2</v>
      </c>
    </row>
    <row r="41" spans="1:9">
      <c r="A41" s="65" t="s">
        <v>5406</v>
      </c>
      <c r="B41" s="65">
        <v>8</v>
      </c>
      <c r="C41" s="65">
        <v>8</v>
      </c>
      <c r="D41" s="65">
        <f t="shared" si="8"/>
        <v>8</v>
      </c>
      <c r="E41" s="65">
        <f t="shared" si="9"/>
        <v>0</v>
      </c>
      <c r="F41" s="66">
        <f t="shared" si="10"/>
        <v>1</v>
      </c>
      <c r="G41" s="67">
        <f t="shared" si="11"/>
        <v>0</v>
      </c>
      <c r="I41" s="4">
        <f>VLOOKUP(A41,'BDD Admin. Centrales'!$G$4:$H$40,2,0)</f>
        <v>8</v>
      </c>
    </row>
    <row r="42" spans="1:9">
      <c r="A42" s="65" t="s">
        <v>5407</v>
      </c>
      <c r="B42" s="65">
        <v>3</v>
      </c>
      <c r="C42" s="65">
        <v>3</v>
      </c>
      <c r="D42" s="65">
        <f t="shared" si="8"/>
        <v>3</v>
      </c>
      <c r="E42" s="65">
        <f t="shared" si="9"/>
        <v>0</v>
      </c>
      <c r="F42" s="66">
        <f t="shared" si="10"/>
        <v>1</v>
      </c>
      <c r="G42" s="67">
        <f t="shared" si="11"/>
        <v>0</v>
      </c>
      <c r="I42" s="4">
        <f>VLOOKUP(A42,'BDD Admin. Centrales'!$G$4:$H$40,2,0)</f>
        <v>3</v>
      </c>
    </row>
    <row r="43" spans="1:9">
      <c r="A43" s="65" t="s">
        <v>5408</v>
      </c>
      <c r="B43" s="65">
        <v>23</v>
      </c>
      <c r="C43" s="65">
        <v>22</v>
      </c>
      <c r="D43" s="65">
        <f t="shared" si="8"/>
        <v>22</v>
      </c>
      <c r="E43" s="65">
        <f t="shared" si="9"/>
        <v>0</v>
      </c>
      <c r="F43" s="66">
        <f t="shared" si="10"/>
        <v>0.95652173913043481</v>
      </c>
      <c r="G43" s="67">
        <f t="shared" si="11"/>
        <v>4.4545454545454541E-2</v>
      </c>
      <c r="I43" s="4">
        <f>VLOOKUP(A43,'BDD Admin. Centrales'!$G$4:$H$40,2,0)</f>
        <v>22</v>
      </c>
    </row>
    <row r="44" spans="1:9">
      <c r="A44" s="65" t="s">
        <v>5396</v>
      </c>
      <c r="B44" s="65">
        <v>27</v>
      </c>
      <c r="C44" s="65">
        <v>25</v>
      </c>
      <c r="D44" s="65">
        <f t="shared" si="8"/>
        <v>25</v>
      </c>
      <c r="E44" s="65">
        <f t="shared" si="9"/>
        <v>0</v>
      </c>
      <c r="F44" s="66">
        <f t="shared" si="10"/>
        <v>0.92592592592592593</v>
      </c>
      <c r="G44" s="67">
        <f t="shared" si="11"/>
        <v>5.4360619230072453E-2</v>
      </c>
      <c r="I44" s="4">
        <f>VLOOKUP(A44,'BDD Admin. Centrales'!$G$4:$H$40,2,0)</f>
        <v>25</v>
      </c>
    </row>
    <row r="45" spans="1:9">
      <c r="A45" s="50" t="s">
        <v>5409</v>
      </c>
      <c r="B45" s="50">
        <v>3</v>
      </c>
      <c r="C45" s="50">
        <v>3</v>
      </c>
      <c r="D45" s="50">
        <f t="shared" si="8"/>
        <v>2</v>
      </c>
      <c r="E45" s="50">
        <f t="shared" si="9"/>
        <v>1</v>
      </c>
      <c r="F45" s="51">
        <f t="shared" si="10"/>
        <v>0.66666666666666663</v>
      </c>
      <c r="G45" s="57">
        <f t="shared" si="11"/>
        <v>0.49</v>
      </c>
      <c r="I45" s="4">
        <f>VLOOKUP(A45,'BDD Admin. Centrales'!$G$4:$H$40,2,0)</f>
        <v>2</v>
      </c>
    </row>
    <row r="46" spans="1:9">
      <c r="A46" s="65" t="s">
        <v>5410</v>
      </c>
      <c r="B46" s="65">
        <v>3</v>
      </c>
      <c r="C46" s="65">
        <v>3</v>
      </c>
      <c r="D46" s="65">
        <f t="shared" si="8"/>
        <v>3</v>
      </c>
      <c r="E46" s="65">
        <f t="shared" si="9"/>
        <v>0</v>
      </c>
      <c r="F46" s="66">
        <f t="shared" si="10"/>
        <v>1</v>
      </c>
      <c r="G46" s="67">
        <f t="shared" si="11"/>
        <v>0</v>
      </c>
      <c r="I46" s="4">
        <f>VLOOKUP(A46,'BDD Admin. Centrales'!$G$4:$H$40,2,0)</f>
        <v>3</v>
      </c>
    </row>
    <row r="47" spans="1:9">
      <c r="A47" s="93" t="s">
        <v>5411</v>
      </c>
      <c r="B47" s="93">
        <v>10</v>
      </c>
      <c r="C47" s="93">
        <v>10</v>
      </c>
      <c r="D47" s="93">
        <f t="shared" si="8"/>
        <v>8</v>
      </c>
      <c r="E47" s="93">
        <f t="shared" si="9"/>
        <v>2</v>
      </c>
      <c r="F47" s="95">
        <f t="shared" si="10"/>
        <v>0.8</v>
      </c>
      <c r="G47" s="94">
        <f t="shared" si="11"/>
        <v>0.16333333333333333</v>
      </c>
      <c r="I47" s="4">
        <f>VLOOKUP(A47,'BDD Admin. Centrales'!$G$4:$H$40,2,0)</f>
        <v>8</v>
      </c>
    </row>
    <row r="48" spans="1:9">
      <c r="A48" s="65" t="s">
        <v>5278</v>
      </c>
      <c r="B48" s="65">
        <v>4</v>
      </c>
      <c r="C48" s="65">
        <v>4</v>
      </c>
      <c r="D48" s="65">
        <f t="shared" si="8"/>
        <v>4</v>
      </c>
      <c r="E48" s="65">
        <f t="shared" si="9"/>
        <v>0</v>
      </c>
      <c r="F48" s="66">
        <f t="shared" si="10"/>
        <v>1</v>
      </c>
      <c r="G48" s="67">
        <f t="shared" si="11"/>
        <v>0</v>
      </c>
      <c r="I48" s="4">
        <f>VLOOKUP(A48,'BDD Admin. Centrales'!$G$4:$H$40,2,0)</f>
        <v>4</v>
      </c>
    </row>
    <row r="49" spans="1:9">
      <c r="A49" s="65" t="s">
        <v>5261</v>
      </c>
      <c r="B49" s="65">
        <v>72</v>
      </c>
      <c r="C49" s="65">
        <v>62</v>
      </c>
      <c r="D49" s="65">
        <f t="shared" si="8"/>
        <v>62</v>
      </c>
      <c r="E49" s="65">
        <f t="shared" si="9"/>
        <v>0</v>
      </c>
      <c r="F49" s="66">
        <f t="shared" si="10"/>
        <v>0.86111111111111116</v>
      </c>
      <c r="G49" s="67">
        <f t="shared" si="11"/>
        <v>4.6709052385364817E-2</v>
      </c>
      <c r="I49" s="4">
        <f>VLOOKUP(A49,'BDD Admin. Centrales'!$G$4:$H$40,2,0)</f>
        <v>62</v>
      </c>
    </row>
    <row r="50" spans="1:9">
      <c r="A50" s="93" t="s">
        <v>5264</v>
      </c>
      <c r="B50" s="93">
        <v>55</v>
      </c>
      <c r="C50" s="93">
        <v>49</v>
      </c>
      <c r="D50" s="93">
        <f t="shared" si="8"/>
        <v>47</v>
      </c>
      <c r="E50" s="93">
        <f t="shared" si="9"/>
        <v>2</v>
      </c>
      <c r="F50" s="95">
        <f t="shared" si="10"/>
        <v>0.8545454545454545</v>
      </c>
      <c r="G50" s="94">
        <f t="shared" si="11"/>
        <v>5.5020592176345903E-2</v>
      </c>
      <c r="I50" s="4">
        <f>VLOOKUP(A50,'BDD Admin. Centrales'!$G$4:$H$40,2,0)</f>
        <v>47</v>
      </c>
    </row>
    <row r="51" spans="1:9">
      <c r="A51" s="65" t="s">
        <v>5412</v>
      </c>
      <c r="B51" s="65">
        <v>4</v>
      </c>
      <c r="C51" s="65">
        <v>4</v>
      </c>
      <c r="D51" s="65">
        <f t="shared" si="8"/>
        <v>4</v>
      </c>
      <c r="E51" s="65">
        <f t="shared" si="9"/>
        <v>0</v>
      </c>
      <c r="F51" s="66">
        <f t="shared" si="10"/>
        <v>1</v>
      </c>
      <c r="G51" s="67">
        <f t="shared" si="11"/>
        <v>0</v>
      </c>
      <c r="I51" s="4">
        <f>VLOOKUP(A51,'BDD Admin. Centrales'!$G$4:$H$40,2,0)</f>
        <v>4</v>
      </c>
    </row>
    <row r="52" spans="1:9">
      <c r="A52" s="65" t="s">
        <v>5287</v>
      </c>
      <c r="B52" s="65">
        <v>3</v>
      </c>
      <c r="C52" s="65">
        <v>3</v>
      </c>
      <c r="D52" s="65">
        <f t="shared" si="8"/>
        <v>3</v>
      </c>
      <c r="E52" s="65">
        <f t="shared" si="9"/>
        <v>0</v>
      </c>
      <c r="F52" s="66">
        <f t="shared" si="10"/>
        <v>1</v>
      </c>
      <c r="G52" s="67">
        <f t="shared" si="11"/>
        <v>0</v>
      </c>
      <c r="I52" s="4">
        <f>VLOOKUP(A52,'BDD Admin. Centrales'!$G$4:$H$40,2,0)</f>
        <v>3</v>
      </c>
    </row>
    <row r="53" spans="1:9">
      <c r="A53" s="65" t="s">
        <v>5413</v>
      </c>
      <c r="B53" s="65">
        <v>3</v>
      </c>
      <c r="C53" s="65">
        <v>3</v>
      </c>
      <c r="D53" s="65">
        <f t="shared" si="8"/>
        <v>3</v>
      </c>
      <c r="E53" s="65">
        <f t="shared" si="9"/>
        <v>0</v>
      </c>
      <c r="F53" s="66">
        <f t="shared" si="10"/>
        <v>1</v>
      </c>
      <c r="G53" s="67">
        <f t="shared" si="11"/>
        <v>0</v>
      </c>
      <c r="I53" s="4">
        <f>VLOOKUP(A53,'BDD Admin. Centrales'!$G$4:$H$40,2,0)</f>
        <v>3</v>
      </c>
    </row>
    <row r="54" spans="1:9">
      <c r="A54" s="65" t="s">
        <v>5414</v>
      </c>
      <c r="B54" s="65">
        <v>1</v>
      </c>
      <c r="C54" s="65">
        <v>1</v>
      </c>
      <c r="D54" s="65">
        <f t="shared" si="8"/>
        <v>1</v>
      </c>
      <c r="E54" s="65">
        <f t="shared" si="9"/>
        <v>0</v>
      </c>
      <c r="F54" s="66">
        <f t="shared" si="10"/>
        <v>1</v>
      </c>
      <c r="G54" s="67">
        <v>0</v>
      </c>
      <c r="I54" s="4">
        <f>VLOOKUP(A54,'BDD Admin. Centrales'!$G$4:$H$40,2,0)</f>
        <v>1</v>
      </c>
    </row>
    <row r="55" spans="1:9">
      <c r="A55" s="65" t="s">
        <v>5415</v>
      </c>
      <c r="B55" s="65">
        <v>1</v>
      </c>
      <c r="C55" s="65">
        <v>1</v>
      </c>
      <c r="D55" s="65">
        <f t="shared" si="8"/>
        <v>1</v>
      </c>
      <c r="E55" s="65">
        <f t="shared" si="9"/>
        <v>0</v>
      </c>
      <c r="F55" s="66">
        <f t="shared" si="10"/>
        <v>1</v>
      </c>
      <c r="G55" s="67">
        <v>0</v>
      </c>
      <c r="I55" s="4">
        <f>VLOOKUP(A55,'BDD Admin. Centrales'!$G$4:$H$40,2,0)</f>
        <v>1</v>
      </c>
    </row>
    <row r="56" spans="1:9">
      <c r="A56" s="65" t="s">
        <v>5416</v>
      </c>
      <c r="B56" s="65">
        <v>1</v>
      </c>
      <c r="C56" s="65">
        <v>1</v>
      </c>
      <c r="D56" s="65">
        <f t="shared" si="8"/>
        <v>1</v>
      </c>
      <c r="E56" s="65">
        <f t="shared" si="9"/>
        <v>0</v>
      </c>
      <c r="F56" s="66">
        <f t="shared" si="10"/>
        <v>1</v>
      </c>
      <c r="G56" s="67">
        <v>0</v>
      </c>
      <c r="I56" s="4">
        <f>VLOOKUP(A56,'BDD Admin. Centrales'!$G$4:$H$40,2,0)</f>
        <v>1</v>
      </c>
    </row>
    <row r="57" spans="1:9">
      <c r="A57" s="65" t="s">
        <v>5417</v>
      </c>
      <c r="B57" s="65">
        <v>2</v>
      </c>
      <c r="C57" s="65">
        <v>2</v>
      </c>
      <c r="D57" s="65">
        <f t="shared" si="8"/>
        <v>2</v>
      </c>
      <c r="E57" s="65">
        <f t="shared" si="9"/>
        <v>0</v>
      </c>
      <c r="F57" s="66">
        <f t="shared" si="10"/>
        <v>1</v>
      </c>
      <c r="G57" s="67">
        <f t="shared" si="11"/>
        <v>0</v>
      </c>
      <c r="I57" s="4">
        <f>VLOOKUP(A57,'BDD Admin. Centrales'!$G$4:$H$40,2,0)</f>
        <v>2</v>
      </c>
    </row>
    <row r="58" spans="1:9">
      <c r="A58" s="93" t="s">
        <v>5418</v>
      </c>
      <c r="B58" s="93">
        <v>4</v>
      </c>
      <c r="C58" s="93">
        <v>4</v>
      </c>
      <c r="D58" s="93">
        <f t="shared" si="8"/>
        <v>3</v>
      </c>
      <c r="E58" s="93">
        <f t="shared" si="9"/>
        <v>1</v>
      </c>
      <c r="F58" s="95">
        <f t="shared" si="10"/>
        <v>0.75</v>
      </c>
      <c r="G58" s="94">
        <f t="shared" si="11"/>
        <v>0.32666666666666666</v>
      </c>
      <c r="I58" s="4">
        <f>VLOOKUP(A58,'BDD Admin. Centrales'!$G$4:$H$40,2,0)</f>
        <v>3</v>
      </c>
    </row>
    <row r="59" spans="1:9">
      <c r="A59" s="65" t="s">
        <v>5419</v>
      </c>
      <c r="B59" s="65">
        <v>1</v>
      </c>
      <c r="C59" s="65">
        <v>1</v>
      </c>
      <c r="D59" s="65">
        <f t="shared" si="8"/>
        <v>1</v>
      </c>
      <c r="E59" s="65">
        <f t="shared" si="9"/>
        <v>0</v>
      </c>
      <c r="F59" s="66">
        <f t="shared" si="10"/>
        <v>1</v>
      </c>
      <c r="G59" s="67">
        <v>0</v>
      </c>
      <c r="I59" s="4">
        <f>VLOOKUP(A59,'BDD Admin. Centrales'!$G$4:$H$40,2,0)</f>
        <v>1</v>
      </c>
    </row>
    <row r="60" spans="1:9">
      <c r="A60" s="93" t="s">
        <v>5420</v>
      </c>
      <c r="B60" s="93">
        <v>6</v>
      </c>
      <c r="C60" s="93">
        <v>6</v>
      </c>
      <c r="D60" s="93">
        <f t="shared" si="8"/>
        <v>5</v>
      </c>
      <c r="E60" s="93">
        <f t="shared" si="9"/>
        <v>1</v>
      </c>
      <c r="F60" s="95">
        <f t="shared" si="10"/>
        <v>0.83333333333333337</v>
      </c>
      <c r="G60" s="94">
        <f t="shared" si="11"/>
        <v>0.19600000000000001</v>
      </c>
      <c r="I60" s="4">
        <f>VLOOKUP(A60,'BDD Admin. Centrales'!$G$4:$H$40,2,0)</f>
        <v>5</v>
      </c>
    </row>
    <row r="61" spans="1:9">
      <c r="A61" s="65" t="s">
        <v>5421</v>
      </c>
      <c r="B61" s="65">
        <v>1</v>
      </c>
      <c r="C61" s="65">
        <v>1</v>
      </c>
      <c r="D61" s="65">
        <f t="shared" si="8"/>
        <v>1</v>
      </c>
      <c r="E61" s="65">
        <f t="shared" si="9"/>
        <v>0</v>
      </c>
      <c r="F61" s="66">
        <f t="shared" si="10"/>
        <v>1</v>
      </c>
      <c r="G61" s="67">
        <v>0</v>
      </c>
      <c r="I61" s="4">
        <f>VLOOKUP(A61,'BDD Admin. Centrales'!$G$4:$H$40,2,0)</f>
        <v>1</v>
      </c>
    </row>
    <row r="62" spans="1:9">
      <c r="A62" s="65" t="s">
        <v>5270</v>
      </c>
      <c r="B62" s="65">
        <v>26</v>
      </c>
      <c r="C62" s="65">
        <v>26</v>
      </c>
      <c r="D62" s="65">
        <f t="shared" si="8"/>
        <v>26</v>
      </c>
      <c r="E62" s="65">
        <f t="shared" si="9"/>
        <v>0</v>
      </c>
      <c r="F62" s="66">
        <f t="shared" si="10"/>
        <v>1</v>
      </c>
      <c r="G62" s="67">
        <f t="shared" si="11"/>
        <v>0</v>
      </c>
      <c r="I62" s="4">
        <f>VLOOKUP(A62,'BDD Admin. Centrales'!$G$4:$H$40,2,0)</f>
        <v>26</v>
      </c>
    </row>
    <row r="63" spans="1:9" ht="15.75" thickBot="1">
      <c r="A63" s="97" t="s">
        <v>5273</v>
      </c>
      <c r="B63" s="97">
        <v>24</v>
      </c>
      <c r="C63" s="97">
        <v>24</v>
      </c>
      <c r="D63" s="97">
        <f t="shared" si="8"/>
        <v>22</v>
      </c>
      <c r="E63" s="97">
        <f t="shared" si="9"/>
        <v>2</v>
      </c>
      <c r="F63" s="99">
        <f t="shared" si="10"/>
        <v>0.91666666666666663</v>
      </c>
      <c r="G63" s="98">
        <f t="shared" si="11"/>
        <v>6.1612072119269279E-2</v>
      </c>
      <c r="I63" s="4">
        <f>VLOOKUP(A63,'BDD Admin. Centrales'!$G$4:$H$40,2,0)</f>
        <v>22</v>
      </c>
    </row>
    <row r="64" spans="1:9" ht="16.5" thickBot="1">
      <c r="A64" s="58" t="s">
        <v>55</v>
      </c>
      <c r="B64" s="59">
        <f>SUM(B27:B63)</f>
        <v>511</v>
      </c>
      <c r="C64" s="59">
        <f t="shared" ref="C64:D64" si="12">SUM(C27:C63)</f>
        <v>481</v>
      </c>
      <c r="D64" s="59">
        <f t="shared" si="12"/>
        <v>451</v>
      </c>
      <c r="E64" s="59">
        <f>C64-D64</f>
        <v>30</v>
      </c>
      <c r="F64" s="60">
        <f>D64/B64</f>
        <v>0.88258317025440314</v>
      </c>
      <c r="G64" s="61">
        <f>IFERROR((((1.96^2*0.5*0.5*($B64-D64))/(D64*($B64-1)))^0.5),"")</f>
        <v>1.5828083835471046E-2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124"/>
  <sheetViews>
    <sheetView zoomScale="90" zoomScaleNormal="90" workbookViewId="0">
      <selection activeCell="E95" sqref="E95"/>
    </sheetView>
  </sheetViews>
  <sheetFormatPr defaultColWidth="9.140625" defaultRowHeight="15"/>
  <cols>
    <col min="1" max="1" width="37.140625" bestFit="1" customWidth="1"/>
    <col min="2" max="3" width="37.140625" customWidth="1"/>
    <col min="4" max="4" width="13.85546875" customWidth="1"/>
    <col min="5" max="5" width="131.140625" bestFit="1" customWidth="1"/>
  </cols>
  <sheetData>
    <row r="1" spans="1:6">
      <c r="A1" s="6" t="s">
        <v>5160</v>
      </c>
      <c r="B1" s="6" t="s">
        <v>5422</v>
      </c>
      <c r="C1" s="6" t="s">
        <v>5423</v>
      </c>
      <c r="D1" s="6" t="s">
        <v>5297</v>
      </c>
      <c r="E1" s="6" t="s">
        <v>5424</v>
      </c>
      <c r="F1" s="49"/>
    </row>
    <row r="2" spans="1:6">
      <c r="A2" t="s">
        <v>3595</v>
      </c>
      <c r="B2" t="s">
        <v>5425</v>
      </c>
      <c r="C2" t="s">
        <v>85</v>
      </c>
      <c r="D2" t="s">
        <v>5299</v>
      </c>
      <c r="E2" t="s">
        <v>5426</v>
      </c>
    </row>
    <row r="3" spans="1:6">
      <c r="A3" t="s">
        <v>5427</v>
      </c>
      <c r="B3" t="s">
        <v>5428</v>
      </c>
      <c r="C3" t="s">
        <v>85</v>
      </c>
      <c r="D3" t="s">
        <v>5299</v>
      </c>
      <c r="E3" t="s">
        <v>5429</v>
      </c>
    </row>
    <row r="4" spans="1:6" hidden="1">
      <c r="A4" t="s">
        <v>5430</v>
      </c>
      <c r="B4" t="s">
        <v>5431</v>
      </c>
      <c r="C4" t="s">
        <v>5432</v>
      </c>
      <c r="D4" t="s">
        <v>5433</v>
      </c>
      <c r="E4" t="s">
        <v>5434</v>
      </c>
    </row>
    <row r="5" spans="1:6" hidden="1">
      <c r="A5" t="s">
        <v>3645</v>
      </c>
      <c r="B5" t="s">
        <v>5435</v>
      </c>
      <c r="C5" t="s">
        <v>85</v>
      </c>
      <c r="D5" t="s">
        <v>5433</v>
      </c>
      <c r="E5" t="s">
        <v>5436</v>
      </c>
    </row>
    <row r="6" spans="1:6" hidden="1">
      <c r="A6" t="s">
        <v>5437</v>
      </c>
      <c r="B6" t="s">
        <v>5438</v>
      </c>
      <c r="C6" t="s">
        <v>85</v>
      </c>
      <c r="D6" t="s">
        <v>5433</v>
      </c>
      <c r="E6" t="s">
        <v>5439</v>
      </c>
    </row>
    <row r="7" spans="1:6" hidden="1">
      <c r="A7" t="s">
        <v>5440</v>
      </c>
      <c r="B7" t="s">
        <v>5441</v>
      </c>
      <c r="C7" t="s">
        <v>5432</v>
      </c>
      <c r="D7" t="s">
        <v>5433</v>
      </c>
      <c r="E7" t="s">
        <v>5442</v>
      </c>
    </row>
    <row r="8" spans="1:6" hidden="1">
      <c r="A8" t="s">
        <v>5443</v>
      </c>
      <c r="B8" t="s">
        <v>5444</v>
      </c>
      <c r="C8" t="s">
        <v>5432</v>
      </c>
      <c r="D8" t="s">
        <v>5433</v>
      </c>
      <c r="E8" t="s">
        <v>5445</v>
      </c>
    </row>
    <row r="9" spans="1:6" hidden="1">
      <c r="A9" t="s">
        <v>5446</v>
      </c>
      <c r="B9" t="s">
        <v>5447</v>
      </c>
      <c r="C9" t="s">
        <v>90</v>
      </c>
      <c r="D9" t="s">
        <v>5433</v>
      </c>
      <c r="E9" t="s">
        <v>5448</v>
      </c>
    </row>
    <row r="10" spans="1:6" hidden="1">
      <c r="A10" t="s">
        <v>5449</v>
      </c>
      <c r="B10" t="s">
        <v>5450</v>
      </c>
      <c r="C10" t="s">
        <v>5451</v>
      </c>
      <c r="D10" t="s">
        <v>5433</v>
      </c>
      <c r="E10" t="s">
        <v>5452</v>
      </c>
    </row>
    <row r="11" spans="1:6" hidden="1">
      <c r="A11" t="s">
        <v>5453</v>
      </c>
      <c r="B11" t="s">
        <v>5454</v>
      </c>
      <c r="C11" t="s">
        <v>90</v>
      </c>
      <c r="D11" t="s">
        <v>5433</v>
      </c>
      <c r="E11" t="s">
        <v>5455</v>
      </c>
    </row>
    <row r="12" spans="1:6">
      <c r="A12" t="s">
        <v>5348</v>
      </c>
      <c r="B12" t="s">
        <v>5456</v>
      </c>
      <c r="C12" t="s">
        <v>90</v>
      </c>
      <c r="D12" t="s">
        <v>5299</v>
      </c>
      <c r="E12" t="s">
        <v>5457</v>
      </c>
    </row>
    <row r="13" spans="1:6" hidden="1">
      <c r="A13" t="s">
        <v>5458</v>
      </c>
      <c r="B13" t="s">
        <v>5459</v>
      </c>
      <c r="C13" t="s">
        <v>90</v>
      </c>
      <c r="D13" t="s">
        <v>5433</v>
      </c>
      <c r="E13" t="s">
        <v>5460</v>
      </c>
    </row>
    <row r="14" spans="1:6">
      <c r="A14" t="s">
        <v>5461</v>
      </c>
      <c r="B14" t="s">
        <v>5294</v>
      </c>
      <c r="C14" t="s">
        <v>5432</v>
      </c>
      <c r="D14" t="s">
        <v>5299</v>
      </c>
      <c r="E14" t="s">
        <v>5462</v>
      </c>
    </row>
    <row r="15" spans="1:6" hidden="1">
      <c r="A15" t="s">
        <v>4006</v>
      </c>
      <c r="B15" t="s">
        <v>5463</v>
      </c>
      <c r="C15" t="s">
        <v>85</v>
      </c>
      <c r="D15" t="s">
        <v>5433</v>
      </c>
      <c r="E15" t="s">
        <v>5464</v>
      </c>
    </row>
    <row r="16" spans="1:6" hidden="1">
      <c r="A16" t="s">
        <v>5465</v>
      </c>
      <c r="B16" t="s">
        <v>5466</v>
      </c>
      <c r="C16" t="s">
        <v>138</v>
      </c>
      <c r="D16" t="s">
        <v>5433</v>
      </c>
      <c r="E16" t="s">
        <v>5467</v>
      </c>
    </row>
    <row r="17" spans="1:5" hidden="1">
      <c r="A17" t="s">
        <v>5468</v>
      </c>
      <c r="B17" t="s">
        <v>5469</v>
      </c>
      <c r="C17" t="s">
        <v>138</v>
      </c>
      <c r="D17" t="s">
        <v>5433</v>
      </c>
      <c r="E17" t="s">
        <v>5470</v>
      </c>
    </row>
    <row r="18" spans="1:5" hidden="1">
      <c r="A18" t="s">
        <v>5471</v>
      </c>
      <c r="B18" t="s">
        <v>5472</v>
      </c>
      <c r="C18" t="s">
        <v>138</v>
      </c>
      <c r="D18" t="s">
        <v>5433</v>
      </c>
      <c r="E18" t="s">
        <v>5473</v>
      </c>
    </row>
    <row r="19" spans="1:5" hidden="1">
      <c r="A19" t="s">
        <v>5474</v>
      </c>
      <c r="B19" t="s">
        <v>5475</v>
      </c>
      <c r="C19" t="s">
        <v>138</v>
      </c>
      <c r="D19" t="s">
        <v>5433</v>
      </c>
      <c r="E19" t="s">
        <v>5476</v>
      </c>
    </row>
    <row r="20" spans="1:5" hidden="1">
      <c r="A20" t="s">
        <v>5477</v>
      </c>
      <c r="B20" t="s">
        <v>5478</v>
      </c>
      <c r="C20" t="s">
        <v>138</v>
      </c>
      <c r="D20" t="s">
        <v>5433</v>
      </c>
      <c r="E20" t="s">
        <v>5479</v>
      </c>
    </row>
    <row r="21" spans="1:5" hidden="1">
      <c r="A21" t="s">
        <v>5480</v>
      </c>
      <c r="B21" t="s">
        <v>5481</v>
      </c>
      <c r="C21" t="s">
        <v>138</v>
      </c>
      <c r="D21" t="s">
        <v>5433</v>
      </c>
      <c r="E21" t="s">
        <v>5482</v>
      </c>
    </row>
    <row r="22" spans="1:5" hidden="1">
      <c r="A22" t="s">
        <v>5483</v>
      </c>
      <c r="B22" t="s">
        <v>5484</v>
      </c>
      <c r="C22" t="s">
        <v>138</v>
      </c>
      <c r="D22" t="s">
        <v>5433</v>
      </c>
      <c r="E22" t="s">
        <v>5485</v>
      </c>
    </row>
    <row r="23" spans="1:5" hidden="1">
      <c r="A23" t="s">
        <v>5486</v>
      </c>
      <c r="B23" t="s">
        <v>5487</v>
      </c>
      <c r="C23" t="s">
        <v>138</v>
      </c>
      <c r="D23" t="s">
        <v>5433</v>
      </c>
      <c r="E23" t="s">
        <v>5488</v>
      </c>
    </row>
    <row r="24" spans="1:5">
      <c r="A24" t="s">
        <v>2156</v>
      </c>
      <c r="B24" t="s">
        <v>5489</v>
      </c>
      <c r="C24" t="s">
        <v>90</v>
      </c>
      <c r="D24" t="s">
        <v>5299</v>
      </c>
      <c r="E24" t="s">
        <v>5490</v>
      </c>
    </row>
    <row r="25" spans="1:5" hidden="1">
      <c r="A25" t="s">
        <v>5491</v>
      </c>
      <c r="B25" t="s">
        <v>5492</v>
      </c>
      <c r="C25" t="s">
        <v>5451</v>
      </c>
      <c r="D25" t="s">
        <v>5433</v>
      </c>
      <c r="E25" t="s">
        <v>5493</v>
      </c>
    </row>
    <row r="26" spans="1:5">
      <c r="A26" t="s">
        <v>5494</v>
      </c>
      <c r="B26" t="s">
        <v>5495</v>
      </c>
      <c r="C26" t="s">
        <v>5451</v>
      </c>
      <c r="D26" t="s">
        <v>5299</v>
      </c>
      <c r="E26" t="s">
        <v>5496</v>
      </c>
    </row>
    <row r="27" spans="1:5">
      <c r="A27" t="s">
        <v>5497</v>
      </c>
      <c r="B27" t="s">
        <v>5498</v>
      </c>
      <c r="C27" t="s">
        <v>90</v>
      </c>
      <c r="D27" t="s">
        <v>5299</v>
      </c>
      <c r="E27" t="s">
        <v>5499</v>
      </c>
    </row>
    <row r="28" spans="1:5" hidden="1">
      <c r="A28" t="s">
        <v>5500</v>
      </c>
      <c r="B28" t="s">
        <v>5501</v>
      </c>
      <c r="C28" t="s">
        <v>90</v>
      </c>
      <c r="D28" t="s">
        <v>5433</v>
      </c>
      <c r="E28" t="s">
        <v>5502</v>
      </c>
    </row>
    <row r="29" spans="1:5">
      <c r="A29" t="s">
        <v>5503</v>
      </c>
      <c r="B29" t="s">
        <v>5504</v>
      </c>
      <c r="C29" t="s">
        <v>90</v>
      </c>
      <c r="D29" t="s">
        <v>5299</v>
      </c>
      <c r="E29" t="s">
        <v>5505</v>
      </c>
    </row>
    <row r="30" spans="1:5">
      <c r="A30" t="s">
        <v>5506</v>
      </c>
      <c r="B30" t="s">
        <v>5507</v>
      </c>
      <c r="C30" t="s">
        <v>90</v>
      </c>
      <c r="D30" t="s">
        <v>5299</v>
      </c>
      <c r="E30" t="s">
        <v>5508</v>
      </c>
    </row>
    <row r="31" spans="1:5" hidden="1">
      <c r="A31" t="s">
        <v>5509</v>
      </c>
      <c r="B31" t="s">
        <v>5510</v>
      </c>
      <c r="C31" t="s">
        <v>85</v>
      </c>
      <c r="D31" t="s">
        <v>5433</v>
      </c>
      <c r="E31" t="s">
        <v>5511</v>
      </c>
    </row>
    <row r="32" spans="1:5">
      <c r="A32" t="s">
        <v>5512</v>
      </c>
      <c r="B32" t="s">
        <v>5513</v>
      </c>
      <c r="C32" t="s">
        <v>5451</v>
      </c>
      <c r="D32" t="s">
        <v>5299</v>
      </c>
      <c r="E32" t="s">
        <v>5514</v>
      </c>
    </row>
    <row r="33" spans="1:5" hidden="1">
      <c r="A33" t="s">
        <v>5515</v>
      </c>
      <c r="B33" t="s">
        <v>5516</v>
      </c>
      <c r="C33" t="s">
        <v>90</v>
      </c>
      <c r="D33" t="s">
        <v>5433</v>
      </c>
      <c r="E33" t="s">
        <v>5517</v>
      </c>
    </row>
    <row r="34" spans="1:5" hidden="1">
      <c r="A34" t="s">
        <v>5518</v>
      </c>
      <c r="B34" t="s">
        <v>5519</v>
      </c>
      <c r="C34" t="s">
        <v>90</v>
      </c>
      <c r="D34" t="s">
        <v>5433</v>
      </c>
      <c r="E34" t="s">
        <v>5520</v>
      </c>
    </row>
    <row r="35" spans="1:5" hidden="1">
      <c r="A35" t="s">
        <v>5521</v>
      </c>
      <c r="B35" t="s">
        <v>5522</v>
      </c>
      <c r="C35" t="s">
        <v>5523</v>
      </c>
      <c r="D35" t="s">
        <v>5433</v>
      </c>
      <c r="E35" t="s">
        <v>5524</v>
      </c>
    </row>
    <row r="36" spans="1:5" hidden="1">
      <c r="A36" t="s">
        <v>5525</v>
      </c>
      <c r="B36" t="s">
        <v>5526</v>
      </c>
      <c r="C36" t="s">
        <v>5527</v>
      </c>
      <c r="D36" t="s">
        <v>5433</v>
      </c>
      <c r="E36" t="s">
        <v>5528</v>
      </c>
    </row>
    <row r="37" spans="1:5" hidden="1">
      <c r="A37" t="s">
        <v>5529</v>
      </c>
      <c r="B37" t="s">
        <v>5530</v>
      </c>
      <c r="C37" t="s">
        <v>83</v>
      </c>
      <c r="D37" t="s">
        <v>5433</v>
      </c>
      <c r="E37" t="s">
        <v>5531</v>
      </c>
    </row>
    <row r="38" spans="1:5" hidden="1">
      <c r="A38" t="s">
        <v>5532</v>
      </c>
      <c r="B38" t="s">
        <v>5533</v>
      </c>
      <c r="C38" t="s">
        <v>5534</v>
      </c>
      <c r="D38" t="s">
        <v>5433</v>
      </c>
      <c r="E38" t="s">
        <v>5535</v>
      </c>
    </row>
    <row r="39" spans="1:5">
      <c r="A39" t="s">
        <v>4609</v>
      </c>
      <c r="B39" t="s">
        <v>5536</v>
      </c>
      <c r="C39" t="s">
        <v>89</v>
      </c>
      <c r="D39" t="s">
        <v>5299</v>
      </c>
      <c r="E39" t="s">
        <v>5537</v>
      </c>
    </row>
    <row r="40" spans="1:5" hidden="1">
      <c r="A40" t="s">
        <v>4634</v>
      </c>
      <c r="B40" t="s">
        <v>5538</v>
      </c>
      <c r="C40" t="s">
        <v>89</v>
      </c>
      <c r="D40" t="s">
        <v>5433</v>
      </c>
      <c r="E40" t="s">
        <v>5539</v>
      </c>
    </row>
    <row r="41" spans="1:5" hidden="1">
      <c r="A41" t="s">
        <v>4662</v>
      </c>
      <c r="B41" t="s">
        <v>5540</v>
      </c>
      <c r="C41" t="s">
        <v>90</v>
      </c>
      <c r="D41" t="s">
        <v>5433</v>
      </c>
      <c r="E41" t="s">
        <v>5541</v>
      </c>
    </row>
    <row r="42" spans="1:5" hidden="1">
      <c r="A42" t="s">
        <v>5542</v>
      </c>
      <c r="B42" t="s">
        <v>5543</v>
      </c>
      <c r="C42" t="s">
        <v>5400</v>
      </c>
      <c r="D42" t="s">
        <v>5433</v>
      </c>
      <c r="E42" t="s">
        <v>5544</v>
      </c>
    </row>
    <row r="43" spans="1:5">
      <c r="A43" t="s">
        <v>5545</v>
      </c>
      <c r="B43" t="s">
        <v>5546</v>
      </c>
      <c r="C43" t="s">
        <v>5451</v>
      </c>
      <c r="D43" t="s">
        <v>5299</v>
      </c>
      <c r="E43" t="s">
        <v>5547</v>
      </c>
    </row>
    <row r="44" spans="1:5" hidden="1">
      <c r="A44" t="s">
        <v>5548</v>
      </c>
      <c r="B44" t="s">
        <v>5549</v>
      </c>
      <c r="C44" t="s">
        <v>87</v>
      </c>
      <c r="D44" t="s">
        <v>5433</v>
      </c>
      <c r="E44" t="s">
        <v>5550</v>
      </c>
    </row>
    <row r="45" spans="1:5" hidden="1">
      <c r="A45" t="s">
        <v>5551</v>
      </c>
      <c r="B45" t="s">
        <v>5552</v>
      </c>
      <c r="C45" t="s">
        <v>87</v>
      </c>
      <c r="D45" t="s">
        <v>5433</v>
      </c>
      <c r="E45" t="s">
        <v>5553</v>
      </c>
    </row>
    <row r="46" spans="1:5" hidden="1">
      <c r="A46" t="s">
        <v>5554</v>
      </c>
      <c r="B46" t="s">
        <v>5555</v>
      </c>
      <c r="C46" t="s">
        <v>85</v>
      </c>
      <c r="D46" t="s">
        <v>5433</v>
      </c>
      <c r="E46" t="s">
        <v>5556</v>
      </c>
    </row>
    <row r="47" spans="1:5" hidden="1">
      <c r="A47" t="s">
        <v>5557</v>
      </c>
      <c r="B47" t="s">
        <v>5558</v>
      </c>
      <c r="C47" t="s">
        <v>90</v>
      </c>
      <c r="D47" t="s">
        <v>5433</v>
      </c>
      <c r="E47" t="s">
        <v>5559</v>
      </c>
    </row>
    <row r="48" spans="1:5">
      <c r="A48" t="s">
        <v>5560</v>
      </c>
      <c r="B48" t="s">
        <v>5561</v>
      </c>
      <c r="C48" t="s">
        <v>90</v>
      </c>
      <c r="D48" t="s">
        <v>5299</v>
      </c>
      <c r="E48" t="s">
        <v>5562</v>
      </c>
    </row>
    <row r="49" spans="1:5" hidden="1">
      <c r="A49" t="s">
        <v>5563</v>
      </c>
      <c r="B49" t="s">
        <v>5564</v>
      </c>
      <c r="C49" t="s">
        <v>5420</v>
      </c>
      <c r="D49" t="s">
        <v>5433</v>
      </c>
      <c r="E49" t="s">
        <v>5565</v>
      </c>
    </row>
    <row r="50" spans="1:5" hidden="1">
      <c r="A50" t="s">
        <v>5566</v>
      </c>
      <c r="B50" t="s">
        <v>5567</v>
      </c>
      <c r="C50" t="s">
        <v>89</v>
      </c>
      <c r="D50" t="s">
        <v>5433</v>
      </c>
      <c r="E50" t="s">
        <v>5568</v>
      </c>
    </row>
    <row r="51" spans="1:5" hidden="1">
      <c r="A51" t="s">
        <v>5569</v>
      </c>
      <c r="B51" t="s">
        <v>5570</v>
      </c>
      <c r="C51" t="s">
        <v>138</v>
      </c>
      <c r="D51" t="s">
        <v>5433</v>
      </c>
      <c r="E51" t="s">
        <v>5571</v>
      </c>
    </row>
    <row r="52" spans="1:5" hidden="1">
      <c r="A52" t="s">
        <v>5572</v>
      </c>
      <c r="B52" t="s">
        <v>5573</v>
      </c>
      <c r="C52" t="s">
        <v>138</v>
      </c>
      <c r="D52" t="s">
        <v>5433</v>
      </c>
      <c r="E52" t="s">
        <v>5574</v>
      </c>
    </row>
    <row r="53" spans="1:5" hidden="1">
      <c r="A53" t="s">
        <v>5575</v>
      </c>
      <c r="B53" t="s">
        <v>5576</v>
      </c>
      <c r="C53" t="s">
        <v>138</v>
      </c>
      <c r="D53" t="s">
        <v>5433</v>
      </c>
      <c r="E53" t="s">
        <v>5577</v>
      </c>
    </row>
    <row r="54" spans="1:5" hidden="1">
      <c r="A54" t="s">
        <v>5578</v>
      </c>
      <c r="B54" t="s">
        <v>5579</v>
      </c>
      <c r="C54" t="s">
        <v>138</v>
      </c>
      <c r="D54" t="s">
        <v>5433</v>
      </c>
      <c r="E54" t="s">
        <v>5580</v>
      </c>
    </row>
    <row r="55" spans="1:5" hidden="1">
      <c r="A55" s="76" t="s">
        <v>5581</v>
      </c>
      <c r="B55" t="s">
        <v>5582</v>
      </c>
      <c r="C55" t="s">
        <v>89</v>
      </c>
      <c r="D55" t="s">
        <v>5433</v>
      </c>
      <c r="E55" s="76" t="s">
        <v>5583</v>
      </c>
    </row>
    <row r="56" spans="1:5" hidden="1">
      <c r="A56" t="s">
        <v>5584</v>
      </c>
      <c r="B56" t="s">
        <v>5585</v>
      </c>
      <c r="C56" t="s">
        <v>87</v>
      </c>
      <c r="D56" t="s">
        <v>5433</v>
      </c>
      <c r="E56" t="s">
        <v>5586</v>
      </c>
    </row>
    <row r="57" spans="1:5" hidden="1">
      <c r="A57" t="s">
        <v>5587</v>
      </c>
      <c r="B57" t="s">
        <v>5588</v>
      </c>
      <c r="C57" t="s">
        <v>87</v>
      </c>
      <c r="D57" t="s">
        <v>5433</v>
      </c>
      <c r="E57" t="s">
        <v>5589</v>
      </c>
    </row>
    <row r="58" spans="1:5" hidden="1">
      <c r="A58" t="s">
        <v>5590</v>
      </c>
      <c r="B58" t="s">
        <v>5591</v>
      </c>
      <c r="C58" t="s">
        <v>5432</v>
      </c>
      <c r="D58" t="s">
        <v>5433</v>
      </c>
      <c r="E58" t="s">
        <v>5592</v>
      </c>
    </row>
    <row r="59" spans="1:5">
      <c r="A59" t="s">
        <v>5593</v>
      </c>
      <c r="B59" t="s">
        <v>5594</v>
      </c>
      <c r="C59" t="s">
        <v>5451</v>
      </c>
      <c r="D59" t="s">
        <v>5299</v>
      </c>
      <c r="E59" t="s">
        <v>5595</v>
      </c>
    </row>
    <row r="60" spans="1:5" hidden="1">
      <c r="A60" t="s">
        <v>5596</v>
      </c>
      <c r="B60" t="s">
        <v>5597</v>
      </c>
      <c r="C60" t="s">
        <v>5598</v>
      </c>
      <c r="D60" t="s">
        <v>5433</v>
      </c>
      <c r="E60" t="s">
        <v>5599</v>
      </c>
    </row>
    <row r="61" spans="1:5" hidden="1">
      <c r="A61" t="s">
        <v>5600</v>
      </c>
      <c r="B61" t="s">
        <v>5597</v>
      </c>
      <c r="C61" t="s">
        <v>5451</v>
      </c>
      <c r="D61" t="s">
        <v>5433</v>
      </c>
      <c r="E61" t="s">
        <v>5601</v>
      </c>
    </row>
    <row r="62" spans="1:5" hidden="1">
      <c r="A62" t="s">
        <v>5602</v>
      </c>
      <c r="B62" t="s">
        <v>5597</v>
      </c>
      <c r="C62" t="s">
        <v>90</v>
      </c>
      <c r="D62" t="s">
        <v>5433</v>
      </c>
      <c r="E62" t="s">
        <v>5603</v>
      </c>
    </row>
    <row r="63" spans="1:5">
      <c r="A63" t="s">
        <v>5604</v>
      </c>
      <c r="B63" t="s">
        <v>5605</v>
      </c>
      <c r="C63" t="s">
        <v>93</v>
      </c>
      <c r="D63" t="s">
        <v>5299</v>
      </c>
      <c r="E63" t="s">
        <v>5606</v>
      </c>
    </row>
    <row r="64" spans="1:5" hidden="1">
      <c r="A64" t="s">
        <v>5607</v>
      </c>
      <c r="B64" t="s">
        <v>5597</v>
      </c>
      <c r="C64" t="s">
        <v>85</v>
      </c>
      <c r="D64" t="s">
        <v>5433</v>
      </c>
      <c r="E64" t="s">
        <v>5608</v>
      </c>
    </row>
    <row r="65" spans="1:5" hidden="1">
      <c r="A65" t="s">
        <v>5609</v>
      </c>
      <c r="B65" t="s">
        <v>5610</v>
      </c>
      <c r="C65" t="s">
        <v>93</v>
      </c>
      <c r="D65" t="s">
        <v>5433</v>
      </c>
      <c r="E65" t="s">
        <v>5611</v>
      </c>
    </row>
    <row r="66" spans="1:5" hidden="1">
      <c r="A66" t="s">
        <v>5612</v>
      </c>
      <c r="B66" t="s">
        <v>5613</v>
      </c>
      <c r="C66" t="s">
        <v>5614</v>
      </c>
      <c r="D66" t="s">
        <v>5433</v>
      </c>
      <c r="E66" t="s">
        <v>5615</v>
      </c>
    </row>
    <row r="67" spans="1:5" hidden="1">
      <c r="A67" t="s">
        <v>4504</v>
      </c>
      <c r="B67" t="s">
        <v>5616</v>
      </c>
      <c r="C67" t="s">
        <v>89</v>
      </c>
      <c r="D67" t="s">
        <v>5433</v>
      </c>
      <c r="E67" t="s">
        <v>5617</v>
      </c>
    </row>
    <row r="68" spans="1:5" hidden="1">
      <c r="A68" t="s">
        <v>5618</v>
      </c>
      <c r="B68" t="s">
        <v>5619</v>
      </c>
      <c r="C68" t="s">
        <v>93</v>
      </c>
      <c r="D68" t="s">
        <v>5433</v>
      </c>
      <c r="E68" t="s">
        <v>5620</v>
      </c>
    </row>
    <row r="69" spans="1:5">
      <c r="A69" t="s">
        <v>4647</v>
      </c>
      <c r="B69" t="s">
        <v>5621</v>
      </c>
      <c r="C69" t="s">
        <v>89</v>
      </c>
      <c r="D69" t="s">
        <v>5299</v>
      </c>
      <c r="E69" t="s">
        <v>5622</v>
      </c>
    </row>
    <row r="70" spans="1:5" hidden="1">
      <c r="A70" t="s">
        <v>5623</v>
      </c>
      <c r="B70" t="s">
        <v>5624</v>
      </c>
      <c r="C70" t="s">
        <v>83</v>
      </c>
      <c r="D70" t="s">
        <v>5433</v>
      </c>
      <c r="E70" t="s">
        <v>5625</v>
      </c>
    </row>
    <row r="71" spans="1:5">
      <c r="A71" t="s">
        <v>5626</v>
      </c>
      <c r="B71" t="s">
        <v>5627</v>
      </c>
      <c r="C71" t="s">
        <v>83</v>
      </c>
      <c r="D71" t="s">
        <v>5299</v>
      </c>
      <c r="E71" t="s">
        <v>5628</v>
      </c>
    </row>
    <row r="72" spans="1:5">
      <c r="A72" t="s">
        <v>4855</v>
      </c>
      <c r="B72" t="s">
        <v>5629</v>
      </c>
      <c r="C72" t="s">
        <v>89</v>
      </c>
      <c r="D72" t="s">
        <v>5299</v>
      </c>
      <c r="E72" t="s">
        <v>5630</v>
      </c>
    </row>
    <row r="73" spans="1:5" hidden="1">
      <c r="A73" t="s">
        <v>5631</v>
      </c>
      <c r="B73" t="s">
        <v>5597</v>
      </c>
      <c r="C73" t="s">
        <v>87</v>
      </c>
      <c r="D73" t="s">
        <v>5433</v>
      </c>
      <c r="E73" t="s">
        <v>5632</v>
      </c>
    </row>
    <row r="74" spans="1:5">
      <c r="A74" t="s">
        <v>5633</v>
      </c>
      <c r="B74" t="s">
        <v>5634</v>
      </c>
      <c r="C74" t="s">
        <v>5635</v>
      </c>
      <c r="D74" t="s">
        <v>5299</v>
      </c>
      <c r="E74" t="s">
        <v>5636</v>
      </c>
    </row>
    <row r="75" spans="1:5">
      <c r="A75" t="s">
        <v>5112</v>
      </c>
      <c r="B75" t="s">
        <v>5637</v>
      </c>
      <c r="C75" t="s">
        <v>85</v>
      </c>
      <c r="D75" t="s">
        <v>5299</v>
      </c>
      <c r="E75" t="s">
        <v>5638</v>
      </c>
    </row>
    <row r="76" spans="1:5" hidden="1">
      <c r="A76" t="s">
        <v>5639</v>
      </c>
      <c r="B76" t="s">
        <v>5585</v>
      </c>
      <c r="C76" t="s">
        <v>87</v>
      </c>
      <c r="D76" t="s">
        <v>5433</v>
      </c>
      <c r="E76" t="s">
        <v>5640</v>
      </c>
    </row>
    <row r="77" spans="1:5">
      <c r="A77" t="s">
        <v>5641</v>
      </c>
      <c r="B77" t="s">
        <v>5585</v>
      </c>
      <c r="C77" t="s">
        <v>83</v>
      </c>
      <c r="D77" t="s">
        <v>5299</v>
      </c>
      <c r="E77" t="s">
        <v>5642</v>
      </c>
    </row>
    <row r="78" spans="1:5" hidden="1">
      <c r="A78" t="s">
        <v>5643</v>
      </c>
      <c r="B78" t="s">
        <v>5585</v>
      </c>
      <c r="C78" t="s">
        <v>5534</v>
      </c>
      <c r="D78" t="s">
        <v>5433</v>
      </c>
      <c r="E78" t="s">
        <v>5644</v>
      </c>
    </row>
    <row r="79" spans="1:5" hidden="1">
      <c r="A79" t="s">
        <v>5645</v>
      </c>
      <c r="B79" t="s">
        <v>5588</v>
      </c>
      <c r="C79" t="s">
        <v>87</v>
      </c>
      <c r="D79" t="s">
        <v>5433</v>
      </c>
      <c r="E79" t="s">
        <v>5646</v>
      </c>
    </row>
    <row r="80" spans="1:5" hidden="1">
      <c r="A80" t="s">
        <v>5647</v>
      </c>
      <c r="B80" t="s">
        <v>5591</v>
      </c>
      <c r="C80" t="s">
        <v>5432</v>
      </c>
      <c r="D80" t="s">
        <v>5433</v>
      </c>
      <c r="E80" t="s">
        <v>5648</v>
      </c>
    </row>
    <row r="81" spans="1:5" hidden="1">
      <c r="A81" t="s">
        <v>5649</v>
      </c>
      <c r="B81" t="s">
        <v>5624</v>
      </c>
      <c r="C81" t="s">
        <v>89</v>
      </c>
      <c r="D81" t="s">
        <v>5433</v>
      </c>
      <c r="E81" t="s">
        <v>5650</v>
      </c>
    </row>
    <row r="82" spans="1:5">
      <c r="A82" t="s">
        <v>5651</v>
      </c>
      <c r="B82" t="s">
        <v>5594</v>
      </c>
      <c r="C82" t="s">
        <v>5451</v>
      </c>
      <c r="D82" t="s">
        <v>5299</v>
      </c>
      <c r="E82" t="s">
        <v>5652</v>
      </c>
    </row>
    <row r="83" spans="1:5">
      <c r="A83" t="s">
        <v>5653</v>
      </c>
      <c r="B83" t="s">
        <v>5597</v>
      </c>
      <c r="C83" t="s">
        <v>89</v>
      </c>
      <c r="D83" t="s">
        <v>5299</v>
      </c>
      <c r="E83" t="s">
        <v>5654</v>
      </c>
    </row>
    <row r="84" spans="1:5" hidden="1">
      <c r="A84" t="s">
        <v>5655</v>
      </c>
      <c r="B84" t="s">
        <v>5597</v>
      </c>
      <c r="C84" t="s">
        <v>5451</v>
      </c>
      <c r="D84" t="s">
        <v>5433</v>
      </c>
      <c r="E84" t="s">
        <v>5656</v>
      </c>
    </row>
    <row r="85" spans="1:5">
      <c r="A85" t="s">
        <v>5657</v>
      </c>
      <c r="B85" t="s">
        <v>5597</v>
      </c>
      <c r="C85" t="s">
        <v>90</v>
      </c>
      <c r="D85" t="s">
        <v>5299</v>
      </c>
      <c r="E85" t="s">
        <v>5658</v>
      </c>
    </row>
    <row r="86" spans="1:5" hidden="1">
      <c r="A86" t="s">
        <v>5659</v>
      </c>
      <c r="B86" t="s">
        <v>5624</v>
      </c>
      <c r="C86" t="s">
        <v>90</v>
      </c>
      <c r="D86" t="s">
        <v>5433</v>
      </c>
      <c r="E86" t="s">
        <v>5660</v>
      </c>
    </row>
    <row r="87" spans="1:5">
      <c r="A87" t="s">
        <v>5661</v>
      </c>
      <c r="B87" t="s">
        <v>5624</v>
      </c>
      <c r="C87" t="s">
        <v>5451</v>
      </c>
      <c r="D87" t="s">
        <v>5299</v>
      </c>
      <c r="E87" t="s">
        <v>5662</v>
      </c>
    </row>
    <row r="88" spans="1:5">
      <c r="A88" t="s">
        <v>5663</v>
      </c>
      <c r="B88" t="s">
        <v>5597</v>
      </c>
      <c r="C88" t="s">
        <v>85</v>
      </c>
      <c r="D88" t="s">
        <v>5299</v>
      </c>
      <c r="E88" t="s">
        <v>5664</v>
      </c>
    </row>
    <row r="89" spans="1:5">
      <c r="A89" t="s">
        <v>5665</v>
      </c>
      <c r="B89" t="s">
        <v>5613</v>
      </c>
      <c r="C89" t="s">
        <v>5614</v>
      </c>
      <c r="D89" t="s">
        <v>5299</v>
      </c>
      <c r="E89" t="s">
        <v>5666</v>
      </c>
    </row>
    <row r="90" spans="1:5" hidden="1">
      <c r="A90" t="s">
        <v>5667</v>
      </c>
      <c r="B90" t="s">
        <v>5668</v>
      </c>
      <c r="C90" t="s">
        <v>5451</v>
      </c>
      <c r="D90" t="s">
        <v>5433</v>
      </c>
      <c r="E90" t="s">
        <v>5669</v>
      </c>
    </row>
    <row r="91" spans="1:5">
      <c r="A91" t="s">
        <v>5670</v>
      </c>
      <c r="B91" t="s">
        <v>5671</v>
      </c>
      <c r="C91" t="s">
        <v>83</v>
      </c>
      <c r="D91" t="s">
        <v>5299</v>
      </c>
      <c r="E91" t="s">
        <v>5672</v>
      </c>
    </row>
    <row r="92" spans="1:5" hidden="1">
      <c r="A92" t="s">
        <v>5673</v>
      </c>
      <c r="B92" t="s">
        <v>5621</v>
      </c>
      <c r="C92" t="s">
        <v>89</v>
      </c>
      <c r="D92" t="s">
        <v>5433</v>
      </c>
      <c r="E92" t="s">
        <v>5674</v>
      </c>
    </row>
    <row r="93" spans="1:5" hidden="1">
      <c r="A93" t="s">
        <v>5675</v>
      </c>
      <c r="B93" t="s">
        <v>5624</v>
      </c>
      <c r="C93" t="s">
        <v>83</v>
      </c>
      <c r="D93" t="s">
        <v>5433</v>
      </c>
      <c r="E93" t="s">
        <v>5676</v>
      </c>
    </row>
    <row r="94" spans="1:5" hidden="1">
      <c r="A94" t="s">
        <v>5677</v>
      </c>
      <c r="B94" t="s">
        <v>5678</v>
      </c>
      <c r="C94" t="s">
        <v>90</v>
      </c>
      <c r="D94" t="s">
        <v>5433</v>
      </c>
      <c r="E94" t="s">
        <v>5679</v>
      </c>
    </row>
    <row r="95" spans="1:5">
      <c r="A95" t="s">
        <v>5680</v>
      </c>
      <c r="B95" t="s">
        <v>5627</v>
      </c>
      <c r="C95" t="s">
        <v>83</v>
      </c>
      <c r="D95" t="s">
        <v>5299</v>
      </c>
      <c r="E95" t="s">
        <v>5681</v>
      </c>
    </row>
    <row r="96" spans="1:5">
      <c r="A96" t="s">
        <v>5682</v>
      </c>
      <c r="B96" t="s">
        <v>5629</v>
      </c>
      <c r="C96" t="s">
        <v>89</v>
      </c>
      <c r="D96" t="s">
        <v>5299</v>
      </c>
      <c r="E96" t="s">
        <v>5683</v>
      </c>
    </row>
    <row r="97" spans="1:5" hidden="1">
      <c r="A97" t="s">
        <v>5684</v>
      </c>
      <c r="B97" t="s">
        <v>5597</v>
      </c>
      <c r="C97" t="s">
        <v>87</v>
      </c>
      <c r="D97" t="s">
        <v>5433</v>
      </c>
      <c r="E97" t="s">
        <v>5685</v>
      </c>
    </row>
    <row r="98" spans="1:5" hidden="1">
      <c r="A98" t="s">
        <v>5686</v>
      </c>
      <c r="B98" t="s">
        <v>5597</v>
      </c>
      <c r="C98" t="s">
        <v>5534</v>
      </c>
      <c r="D98" t="s">
        <v>5433</v>
      </c>
      <c r="E98" t="s">
        <v>5687</v>
      </c>
    </row>
    <row r="99" spans="1:5" hidden="1">
      <c r="A99" t="s">
        <v>5688</v>
      </c>
      <c r="B99" t="s">
        <v>5689</v>
      </c>
      <c r="C99" t="s">
        <v>630</v>
      </c>
      <c r="D99" t="s">
        <v>5433</v>
      </c>
      <c r="E99" s="49" t="s">
        <v>5690</v>
      </c>
    </row>
    <row r="100" spans="1:5" hidden="1">
      <c r="A100" t="s">
        <v>5691</v>
      </c>
      <c r="B100" t="s">
        <v>5585</v>
      </c>
      <c r="C100" t="s">
        <v>87</v>
      </c>
      <c r="D100" t="s">
        <v>5433</v>
      </c>
      <c r="E100" t="s">
        <v>5692</v>
      </c>
    </row>
    <row r="101" spans="1:5">
      <c r="A101" t="s">
        <v>5693</v>
      </c>
      <c r="B101" t="s">
        <v>5585</v>
      </c>
      <c r="C101" t="s">
        <v>83</v>
      </c>
      <c r="D101" t="s">
        <v>5299</v>
      </c>
      <c r="E101" t="s">
        <v>5694</v>
      </c>
    </row>
    <row r="102" spans="1:5" hidden="1">
      <c r="A102" t="s">
        <v>5695</v>
      </c>
      <c r="B102" t="s">
        <v>5585</v>
      </c>
      <c r="C102" t="s">
        <v>85</v>
      </c>
      <c r="D102" t="s">
        <v>5433</v>
      </c>
      <c r="E102" t="s">
        <v>5696</v>
      </c>
    </row>
    <row r="103" spans="1:5" hidden="1">
      <c r="A103" t="s">
        <v>5697</v>
      </c>
      <c r="B103" t="s">
        <v>5588</v>
      </c>
      <c r="C103" t="s">
        <v>87</v>
      </c>
      <c r="D103" t="s">
        <v>5433</v>
      </c>
      <c r="E103" t="s">
        <v>5698</v>
      </c>
    </row>
    <row r="104" spans="1:5">
      <c r="A104" t="s">
        <v>5699</v>
      </c>
      <c r="B104" t="s">
        <v>5594</v>
      </c>
      <c r="C104" t="s">
        <v>5451</v>
      </c>
      <c r="D104" t="s">
        <v>5299</v>
      </c>
      <c r="E104" t="s">
        <v>5700</v>
      </c>
    </row>
    <row r="105" spans="1:5" hidden="1">
      <c r="A105" t="s">
        <v>5701</v>
      </c>
      <c r="B105" t="s">
        <v>5702</v>
      </c>
      <c r="C105" t="s">
        <v>85</v>
      </c>
      <c r="D105" t="s">
        <v>5433</v>
      </c>
      <c r="E105" t="s">
        <v>5703</v>
      </c>
    </row>
    <row r="106" spans="1:5" hidden="1">
      <c r="A106" t="s">
        <v>5704</v>
      </c>
      <c r="B106" t="s">
        <v>5597</v>
      </c>
      <c r="C106" t="s">
        <v>5451</v>
      </c>
      <c r="D106" t="s">
        <v>5433</v>
      </c>
      <c r="E106" t="s">
        <v>5705</v>
      </c>
    </row>
    <row r="107" spans="1:5">
      <c r="A107" t="s">
        <v>5706</v>
      </c>
      <c r="B107" t="s">
        <v>5597</v>
      </c>
      <c r="C107" t="s">
        <v>90</v>
      </c>
      <c r="D107" t="s">
        <v>5299</v>
      </c>
      <c r="E107" t="s">
        <v>5707</v>
      </c>
    </row>
    <row r="108" spans="1:5" hidden="1">
      <c r="A108" t="s">
        <v>5708</v>
      </c>
      <c r="B108" t="s">
        <v>5624</v>
      </c>
      <c r="C108" t="s">
        <v>90</v>
      </c>
      <c r="D108" t="s">
        <v>5433</v>
      </c>
      <c r="E108" t="s">
        <v>5709</v>
      </c>
    </row>
    <row r="109" spans="1:5">
      <c r="A109" t="s">
        <v>5710</v>
      </c>
      <c r="B109" t="s">
        <v>5624</v>
      </c>
      <c r="C109" t="s">
        <v>5451</v>
      </c>
      <c r="D109" t="s">
        <v>5299</v>
      </c>
      <c r="E109" t="s">
        <v>5711</v>
      </c>
    </row>
    <row r="110" spans="1:5">
      <c r="A110" t="s">
        <v>5712</v>
      </c>
      <c r="B110" t="s">
        <v>5597</v>
      </c>
      <c r="C110" t="s">
        <v>85</v>
      </c>
      <c r="D110" t="s">
        <v>5299</v>
      </c>
      <c r="E110" t="s">
        <v>5713</v>
      </c>
    </row>
    <row r="111" spans="1:5" hidden="1">
      <c r="A111" t="s">
        <v>5714</v>
      </c>
      <c r="B111" t="s">
        <v>5668</v>
      </c>
      <c r="C111" t="s">
        <v>5451</v>
      </c>
      <c r="D111" t="s">
        <v>5433</v>
      </c>
      <c r="E111" t="s">
        <v>5715</v>
      </c>
    </row>
    <row r="112" spans="1:5">
      <c r="A112" t="s">
        <v>5716</v>
      </c>
      <c r="B112" t="s">
        <v>5671</v>
      </c>
      <c r="C112" t="s">
        <v>83</v>
      </c>
      <c r="D112" t="s">
        <v>5299</v>
      </c>
      <c r="E112" t="s">
        <v>5717</v>
      </c>
    </row>
    <row r="113" spans="1:5" hidden="1">
      <c r="A113" t="s">
        <v>5718</v>
      </c>
      <c r="B113" t="s">
        <v>5624</v>
      </c>
      <c r="C113" t="s">
        <v>83</v>
      </c>
      <c r="D113" t="s">
        <v>5433</v>
      </c>
      <c r="E113" t="s">
        <v>5719</v>
      </c>
    </row>
    <row r="114" spans="1:5">
      <c r="A114" t="s">
        <v>5720</v>
      </c>
      <c r="B114" t="s">
        <v>5721</v>
      </c>
      <c r="C114" t="s">
        <v>83</v>
      </c>
      <c r="D114" t="s">
        <v>5299</v>
      </c>
      <c r="E114" t="s">
        <v>5722</v>
      </c>
    </row>
    <row r="115" spans="1:5">
      <c r="A115" t="s">
        <v>5723</v>
      </c>
      <c r="B115" t="s">
        <v>5597</v>
      </c>
      <c r="C115" t="s">
        <v>87</v>
      </c>
      <c r="D115" t="s">
        <v>5299</v>
      </c>
      <c r="E115" t="s">
        <v>5724</v>
      </c>
    </row>
    <row r="116" spans="1:5" hidden="1">
      <c r="A116" t="s">
        <v>5725</v>
      </c>
      <c r="B116" t="s">
        <v>5597</v>
      </c>
      <c r="C116" t="s">
        <v>5534</v>
      </c>
      <c r="D116" t="s">
        <v>5433</v>
      </c>
      <c r="E116" t="s">
        <v>5726</v>
      </c>
    </row>
    <row r="117" spans="1:5">
      <c r="A117" t="s">
        <v>5255</v>
      </c>
      <c r="B117" t="s">
        <v>5727</v>
      </c>
      <c r="C117" t="s">
        <v>630</v>
      </c>
      <c r="D117" t="s">
        <v>5299</v>
      </c>
      <c r="E117" s="49" t="s">
        <v>5728</v>
      </c>
    </row>
    <row r="118" spans="1:5" hidden="1">
      <c r="A118" t="s">
        <v>5729</v>
      </c>
      <c r="B118" t="s">
        <v>5730</v>
      </c>
      <c r="C118" t="s">
        <v>87</v>
      </c>
      <c r="D118" t="s">
        <v>5433</v>
      </c>
      <c r="E118" t="s">
        <v>5731</v>
      </c>
    </row>
    <row r="119" spans="1:5">
      <c r="A119" t="s">
        <v>5732</v>
      </c>
      <c r="B119" t="s">
        <v>5597</v>
      </c>
      <c r="C119" t="s">
        <v>90</v>
      </c>
      <c r="D119" t="s">
        <v>5299</v>
      </c>
      <c r="E119" t="s">
        <v>5733</v>
      </c>
    </row>
    <row r="120" spans="1:5" hidden="1">
      <c r="A120" t="s">
        <v>5734</v>
      </c>
      <c r="B120" t="s">
        <v>5624</v>
      </c>
      <c r="C120" t="s">
        <v>90</v>
      </c>
      <c r="D120" t="s">
        <v>5433</v>
      </c>
      <c r="E120" t="s">
        <v>5735</v>
      </c>
    </row>
    <row r="121" spans="1:5" hidden="1">
      <c r="A121" t="s">
        <v>5736</v>
      </c>
      <c r="B121" t="s">
        <v>5678</v>
      </c>
      <c r="C121" t="s">
        <v>90</v>
      </c>
      <c r="D121" t="s">
        <v>5433</v>
      </c>
      <c r="E121" t="s">
        <v>5737</v>
      </c>
    </row>
    <row r="122" spans="1:5" hidden="1">
      <c r="A122" t="s">
        <v>5738</v>
      </c>
      <c r="B122" t="s">
        <v>5739</v>
      </c>
      <c r="C122" t="s">
        <v>87</v>
      </c>
      <c r="D122" t="s">
        <v>5433</v>
      </c>
      <c r="E122" t="s">
        <v>5740</v>
      </c>
    </row>
    <row r="123" spans="1:5" hidden="1">
      <c r="A123" t="s">
        <v>5741</v>
      </c>
      <c r="B123" t="s">
        <v>5294</v>
      </c>
      <c r="C123" t="s">
        <v>5432</v>
      </c>
      <c r="D123" t="s">
        <v>5433</v>
      </c>
      <c r="E123" t="s">
        <v>5742</v>
      </c>
    </row>
    <row r="124" spans="1:5">
      <c r="A124" t="s">
        <v>5743</v>
      </c>
      <c r="B124" t="s">
        <v>5597</v>
      </c>
      <c r="C124" t="s">
        <v>89</v>
      </c>
      <c r="D124" t="s">
        <v>5299</v>
      </c>
      <c r="E124" t="s">
        <v>5744</v>
      </c>
    </row>
  </sheetData>
  <autoFilter ref="A1:E124" xr:uid="{00000000-0009-0000-0000-000006000000}">
    <filterColumn colId="3">
      <filters>
        <filter val="No"/>
      </filters>
    </filterColumn>
  </autoFilter>
  <hyperlinks>
    <hyperlink ref="A55" r:id="rId1" xr:uid="{00000000-0004-0000-0600-000000000000}"/>
    <hyperlink ref="E55" r:id="rId2" xr:uid="{00000000-0004-0000-0600-000001000000}"/>
    <hyperlink ref="E99" r:id="rId3" xr:uid="{00000000-0004-0000-0600-000002000000}"/>
    <hyperlink ref="E117" r:id="rId4" xr:uid="{00000000-0004-0000-0600-000003000000}"/>
  </hyperlinks>
  <pageMargins left="0.7" right="0.7" top="0.75" bottom="0.75" header="0.3" footer="0.3"/>
  <pageSetup paperSize="0"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F265"/>
  <sheetViews>
    <sheetView zoomScale="90" zoomScaleNormal="90" workbookViewId="0">
      <selection activeCell="D96" sqref="D96"/>
    </sheetView>
  </sheetViews>
  <sheetFormatPr defaultColWidth="11.42578125" defaultRowHeight="15"/>
  <cols>
    <col min="1" max="1" width="39.140625" bestFit="1" customWidth="1"/>
    <col min="2" max="2" width="31.42578125" customWidth="1"/>
    <col min="3" max="3" width="57" customWidth="1"/>
    <col min="4" max="4" width="13.85546875" bestFit="1" customWidth="1"/>
    <col min="5" max="5" width="126.28515625" bestFit="1" customWidth="1"/>
    <col min="6" max="6" width="11.42578125" style="78"/>
  </cols>
  <sheetData>
    <row r="1" spans="1:6">
      <c r="A1" s="6" t="s">
        <v>5160</v>
      </c>
      <c r="B1" s="6" t="s">
        <v>5422</v>
      </c>
      <c r="C1" s="6" t="s">
        <v>5423</v>
      </c>
      <c r="D1" s="6" t="s">
        <v>5297</v>
      </c>
      <c r="E1" s="6" t="s">
        <v>5424</v>
      </c>
      <c r="F1" s="77"/>
    </row>
    <row r="2" spans="1:6" hidden="1">
      <c r="A2" t="s">
        <v>5745</v>
      </c>
      <c r="B2" t="s">
        <v>5746</v>
      </c>
      <c r="C2" t="s">
        <v>5412</v>
      </c>
      <c r="D2" t="s">
        <v>5433</v>
      </c>
      <c r="E2" t="s">
        <v>5747</v>
      </c>
    </row>
    <row r="3" spans="1:6" hidden="1">
      <c r="A3" t="s">
        <v>5748</v>
      </c>
      <c r="B3" t="s">
        <v>5749</v>
      </c>
      <c r="C3" t="s">
        <v>5750</v>
      </c>
      <c r="D3" t="s">
        <v>5433</v>
      </c>
      <c r="E3" t="s">
        <v>5751</v>
      </c>
    </row>
    <row r="4" spans="1:6" hidden="1">
      <c r="A4" t="s">
        <v>5752</v>
      </c>
      <c r="B4" t="s">
        <v>5746</v>
      </c>
      <c r="C4" t="s">
        <v>5258</v>
      </c>
      <c r="D4" t="s">
        <v>5433</v>
      </c>
      <c r="E4" t="s">
        <v>5753</v>
      </c>
    </row>
    <row r="5" spans="1:6">
      <c r="A5" t="s">
        <v>5754</v>
      </c>
      <c r="B5" t="s">
        <v>5755</v>
      </c>
      <c r="C5" t="s">
        <v>5403</v>
      </c>
      <c r="D5" t="s">
        <v>5299</v>
      </c>
      <c r="E5" t="s">
        <v>5756</v>
      </c>
    </row>
    <row r="6" spans="1:6" hidden="1">
      <c r="A6" t="s">
        <v>5757</v>
      </c>
      <c r="B6" t="s">
        <v>5758</v>
      </c>
      <c r="C6" t="s">
        <v>5403</v>
      </c>
      <c r="D6" t="s">
        <v>5433</v>
      </c>
      <c r="E6" t="s">
        <v>5759</v>
      </c>
    </row>
    <row r="7" spans="1:6" hidden="1">
      <c r="A7" t="s">
        <v>5760</v>
      </c>
      <c r="B7" t="s">
        <v>5761</v>
      </c>
      <c r="C7" t="s">
        <v>5404</v>
      </c>
      <c r="D7" t="s">
        <v>5433</v>
      </c>
      <c r="E7" t="s">
        <v>5762</v>
      </c>
    </row>
    <row r="8" spans="1:6" hidden="1">
      <c r="A8" t="s">
        <v>5763</v>
      </c>
      <c r="B8" t="s">
        <v>5764</v>
      </c>
      <c r="C8" t="s">
        <v>5404</v>
      </c>
      <c r="D8" t="s">
        <v>5433</v>
      </c>
      <c r="E8" t="s">
        <v>5765</v>
      </c>
    </row>
    <row r="9" spans="1:6" hidden="1">
      <c r="A9" t="s">
        <v>5766</v>
      </c>
      <c r="B9" t="s">
        <v>5767</v>
      </c>
      <c r="C9" t="s">
        <v>5400</v>
      </c>
      <c r="D9" t="s">
        <v>5433</v>
      </c>
      <c r="E9" t="s">
        <v>5768</v>
      </c>
    </row>
    <row r="10" spans="1:6" hidden="1">
      <c r="A10" t="s">
        <v>5769</v>
      </c>
      <c r="B10" t="s">
        <v>5770</v>
      </c>
      <c r="C10" t="s">
        <v>5400</v>
      </c>
      <c r="D10" t="s">
        <v>5433</v>
      </c>
      <c r="E10" t="s">
        <v>5771</v>
      </c>
    </row>
    <row r="11" spans="1:6" hidden="1">
      <c r="A11" t="s">
        <v>5772</v>
      </c>
      <c r="B11" t="s">
        <v>5773</v>
      </c>
      <c r="C11" t="s">
        <v>5400</v>
      </c>
      <c r="D11" t="s">
        <v>5433</v>
      </c>
      <c r="E11" t="s">
        <v>5774</v>
      </c>
    </row>
    <row r="12" spans="1:6" hidden="1">
      <c r="A12" t="s">
        <v>5775</v>
      </c>
      <c r="B12" t="s">
        <v>5776</v>
      </c>
      <c r="C12" t="s">
        <v>5400</v>
      </c>
      <c r="D12" t="s">
        <v>5433</v>
      </c>
      <c r="E12" t="s">
        <v>5777</v>
      </c>
    </row>
    <row r="13" spans="1:6" hidden="1">
      <c r="A13" t="s">
        <v>5778</v>
      </c>
      <c r="B13" t="s">
        <v>5779</v>
      </c>
      <c r="C13" t="s">
        <v>5400</v>
      </c>
      <c r="D13" t="s">
        <v>5433</v>
      </c>
      <c r="E13" t="s">
        <v>5780</v>
      </c>
    </row>
    <row r="14" spans="1:6">
      <c r="A14" t="s">
        <v>5781</v>
      </c>
      <c r="B14" t="s">
        <v>5782</v>
      </c>
      <c r="C14" t="s">
        <v>5400</v>
      </c>
      <c r="D14" t="s">
        <v>5299</v>
      </c>
      <c r="E14" t="s">
        <v>5783</v>
      </c>
    </row>
    <row r="15" spans="1:6">
      <c r="A15" t="s">
        <v>5784</v>
      </c>
      <c r="B15" t="s">
        <v>5785</v>
      </c>
      <c r="C15" t="s">
        <v>5400</v>
      </c>
      <c r="D15" t="s">
        <v>5299</v>
      </c>
      <c r="E15" t="s">
        <v>5786</v>
      </c>
    </row>
    <row r="16" spans="1:6" hidden="1">
      <c r="A16" t="s">
        <v>5787</v>
      </c>
      <c r="B16" t="s">
        <v>5788</v>
      </c>
      <c r="C16" t="s">
        <v>5400</v>
      </c>
      <c r="D16" t="s">
        <v>5433</v>
      </c>
      <c r="E16" t="s">
        <v>5789</v>
      </c>
    </row>
    <row r="17" spans="1:5" hidden="1">
      <c r="A17" t="s">
        <v>5790</v>
      </c>
      <c r="B17" t="s">
        <v>5791</v>
      </c>
      <c r="C17" t="s">
        <v>5400</v>
      </c>
      <c r="D17" t="s">
        <v>5433</v>
      </c>
      <c r="E17" t="s">
        <v>5792</v>
      </c>
    </row>
    <row r="18" spans="1:5" hidden="1">
      <c r="A18" t="s">
        <v>5793</v>
      </c>
      <c r="B18" t="s">
        <v>5794</v>
      </c>
      <c r="C18" t="s">
        <v>5400</v>
      </c>
      <c r="D18" t="s">
        <v>5433</v>
      </c>
      <c r="E18" t="s">
        <v>5795</v>
      </c>
    </row>
    <row r="19" spans="1:5">
      <c r="A19" t="s">
        <v>5796</v>
      </c>
      <c r="B19" t="s">
        <v>5797</v>
      </c>
      <c r="C19" t="s">
        <v>5399</v>
      </c>
      <c r="D19" t="s">
        <v>5299</v>
      </c>
      <c r="E19" t="s">
        <v>5798</v>
      </c>
    </row>
    <row r="20" spans="1:5" hidden="1">
      <c r="A20" t="s">
        <v>5799</v>
      </c>
      <c r="B20" t="s">
        <v>5800</v>
      </c>
      <c r="C20" t="s">
        <v>5399</v>
      </c>
      <c r="D20" t="s">
        <v>5433</v>
      </c>
      <c r="E20" t="s">
        <v>5801</v>
      </c>
    </row>
    <row r="21" spans="1:5">
      <c r="A21" t="s">
        <v>5802</v>
      </c>
      <c r="B21" t="s">
        <v>5803</v>
      </c>
      <c r="C21" t="s">
        <v>5399</v>
      </c>
      <c r="D21" t="s">
        <v>5299</v>
      </c>
      <c r="E21" t="s">
        <v>5804</v>
      </c>
    </row>
    <row r="22" spans="1:5" hidden="1">
      <c r="A22" t="s">
        <v>5805</v>
      </c>
      <c r="B22" t="s">
        <v>5797</v>
      </c>
      <c r="C22" t="s">
        <v>5399</v>
      </c>
      <c r="D22" t="s">
        <v>5433</v>
      </c>
      <c r="E22" t="s">
        <v>5806</v>
      </c>
    </row>
    <row r="23" spans="1:5" hidden="1">
      <c r="A23" t="s">
        <v>5807</v>
      </c>
      <c r="B23" t="s">
        <v>5808</v>
      </c>
      <c r="C23" t="s">
        <v>5399</v>
      </c>
      <c r="D23" t="s">
        <v>5433</v>
      </c>
      <c r="E23" t="s">
        <v>5809</v>
      </c>
    </row>
    <row r="24" spans="1:5" hidden="1">
      <c r="A24" t="s">
        <v>5810</v>
      </c>
      <c r="B24" t="s">
        <v>5746</v>
      </c>
      <c r="C24" t="s">
        <v>5278</v>
      </c>
      <c r="D24" t="s">
        <v>5433</v>
      </c>
      <c r="E24" t="s">
        <v>5811</v>
      </c>
    </row>
    <row r="25" spans="1:5" hidden="1">
      <c r="A25" t="s">
        <v>5812</v>
      </c>
      <c r="B25" t="s">
        <v>5813</v>
      </c>
      <c r="C25" t="s">
        <v>5290</v>
      </c>
      <c r="D25" t="s">
        <v>5433</v>
      </c>
      <c r="E25" t="s">
        <v>5814</v>
      </c>
    </row>
    <row r="26" spans="1:5">
      <c r="A26" t="s">
        <v>5815</v>
      </c>
      <c r="B26" t="s">
        <v>5816</v>
      </c>
      <c r="C26" t="s">
        <v>5290</v>
      </c>
      <c r="D26" t="s">
        <v>5299</v>
      </c>
      <c r="E26" t="s">
        <v>5817</v>
      </c>
    </row>
    <row r="27" spans="1:5" hidden="1">
      <c r="A27" t="s">
        <v>5818</v>
      </c>
      <c r="B27" t="s">
        <v>5819</v>
      </c>
      <c r="C27" t="s">
        <v>5290</v>
      </c>
      <c r="D27" t="s">
        <v>5433</v>
      </c>
      <c r="E27" t="s">
        <v>5820</v>
      </c>
    </row>
    <row r="28" spans="1:5" hidden="1">
      <c r="A28" t="s">
        <v>5821</v>
      </c>
      <c r="B28" t="s">
        <v>5822</v>
      </c>
      <c r="C28" t="s">
        <v>5290</v>
      </c>
      <c r="D28" t="s">
        <v>5433</v>
      </c>
      <c r="E28" t="s">
        <v>5823</v>
      </c>
    </row>
    <row r="29" spans="1:5">
      <c r="A29" t="s">
        <v>5824</v>
      </c>
      <c r="B29" t="s">
        <v>5289</v>
      </c>
      <c r="C29" t="s">
        <v>5290</v>
      </c>
      <c r="D29" t="s">
        <v>5299</v>
      </c>
      <c r="E29" t="s">
        <v>5825</v>
      </c>
    </row>
    <row r="30" spans="1:5" hidden="1">
      <c r="A30" t="s">
        <v>5826</v>
      </c>
      <c r="B30" t="s">
        <v>5827</v>
      </c>
      <c r="C30" t="s">
        <v>5290</v>
      </c>
      <c r="D30" t="s">
        <v>5433</v>
      </c>
      <c r="E30" t="s">
        <v>5828</v>
      </c>
    </row>
    <row r="31" spans="1:5" hidden="1">
      <c r="A31" t="s">
        <v>5829</v>
      </c>
      <c r="B31" t="s">
        <v>5830</v>
      </c>
      <c r="C31" t="s">
        <v>5290</v>
      </c>
      <c r="D31" t="s">
        <v>5433</v>
      </c>
      <c r="E31" t="s">
        <v>5831</v>
      </c>
    </row>
    <row r="32" spans="1:5">
      <c r="A32" t="s">
        <v>5832</v>
      </c>
      <c r="B32" t="s">
        <v>5822</v>
      </c>
      <c r="C32" t="s">
        <v>5290</v>
      </c>
      <c r="D32" t="s">
        <v>5299</v>
      </c>
      <c r="E32" t="s">
        <v>5833</v>
      </c>
    </row>
    <row r="33" spans="1:5">
      <c r="A33" t="s">
        <v>5834</v>
      </c>
      <c r="B33" t="s">
        <v>5835</v>
      </c>
      <c r="C33" t="s">
        <v>5290</v>
      </c>
      <c r="D33" t="s">
        <v>5299</v>
      </c>
      <c r="E33" t="s">
        <v>5836</v>
      </c>
    </row>
    <row r="34" spans="1:5" hidden="1">
      <c r="A34" t="s">
        <v>5837</v>
      </c>
      <c r="B34" t="s">
        <v>5838</v>
      </c>
      <c r="C34" t="s">
        <v>5290</v>
      </c>
      <c r="D34" t="s">
        <v>5433</v>
      </c>
      <c r="E34" t="s">
        <v>5839</v>
      </c>
    </row>
    <row r="35" spans="1:5" hidden="1">
      <c r="A35" t="s">
        <v>5840</v>
      </c>
      <c r="B35" t="s">
        <v>5841</v>
      </c>
      <c r="C35" t="s">
        <v>5290</v>
      </c>
      <c r="D35" t="s">
        <v>5433</v>
      </c>
      <c r="E35" t="s">
        <v>5842</v>
      </c>
    </row>
    <row r="36" spans="1:5">
      <c r="A36" t="s">
        <v>5843</v>
      </c>
      <c r="B36" t="s">
        <v>5844</v>
      </c>
      <c r="C36" t="s">
        <v>5261</v>
      </c>
      <c r="D36" t="s">
        <v>5299</v>
      </c>
      <c r="E36" t="s">
        <v>5845</v>
      </c>
    </row>
    <row r="37" spans="1:5" hidden="1">
      <c r="A37" t="s">
        <v>5846</v>
      </c>
      <c r="B37" t="s">
        <v>5847</v>
      </c>
      <c r="C37" t="s">
        <v>5261</v>
      </c>
      <c r="D37" t="s">
        <v>5433</v>
      </c>
      <c r="E37" t="s">
        <v>5848</v>
      </c>
    </row>
    <row r="38" spans="1:5" hidden="1">
      <c r="A38" t="s">
        <v>5849</v>
      </c>
      <c r="B38" t="s">
        <v>5850</v>
      </c>
      <c r="C38" t="s">
        <v>5261</v>
      </c>
      <c r="D38" t="s">
        <v>5433</v>
      </c>
      <c r="E38" t="s">
        <v>5851</v>
      </c>
    </row>
    <row r="39" spans="1:5" hidden="1">
      <c r="A39" t="s">
        <v>5852</v>
      </c>
      <c r="B39" t="s">
        <v>5853</v>
      </c>
      <c r="C39" t="s">
        <v>5261</v>
      </c>
      <c r="D39" t="s">
        <v>5433</v>
      </c>
      <c r="E39" t="s">
        <v>5854</v>
      </c>
    </row>
    <row r="40" spans="1:5" hidden="1">
      <c r="A40" t="s">
        <v>5855</v>
      </c>
      <c r="B40" t="s">
        <v>5850</v>
      </c>
      <c r="C40" t="s">
        <v>5261</v>
      </c>
      <c r="D40" t="s">
        <v>5433</v>
      </c>
      <c r="E40" t="s">
        <v>5856</v>
      </c>
    </row>
    <row r="41" spans="1:5">
      <c r="A41" t="s">
        <v>5857</v>
      </c>
      <c r="B41" t="s">
        <v>5858</v>
      </c>
      <c r="C41" t="s">
        <v>5261</v>
      </c>
      <c r="D41" t="s">
        <v>5299</v>
      </c>
      <c r="E41" t="s">
        <v>5859</v>
      </c>
    </row>
    <row r="42" spans="1:5">
      <c r="A42" t="s">
        <v>5860</v>
      </c>
      <c r="B42" t="s">
        <v>5861</v>
      </c>
      <c r="C42" t="s">
        <v>5261</v>
      </c>
      <c r="D42" t="s">
        <v>5299</v>
      </c>
      <c r="E42" t="s">
        <v>5862</v>
      </c>
    </row>
    <row r="43" spans="1:5" hidden="1">
      <c r="A43" t="s">
        <v>5863</v>
      </c>
      <c r="B43" t="s">
        <v>5847</v>
      </c>
      <c r="C43" t="s">
        <v>5261</v>
      </c>
      <c r="D43" t="s">
        <v>5433</v>
      </c>
      <c r="E43" t="s">
        <v>5864</v>
      </c>
    </row>
    <row r="44" spans="1:5" hidden="1">
      <c r="A44" t="s">
        <v>5865</v>
      </c>
      <c r="B44" t="s">
        <v>5853</v>
      </c>
      <c r="C44" t="s">
        <v>5261</v>
      </c>
      <c r="D44" t="s">
        <v>5433</v>
      </c>
      <c r="E44" t="s">
        <v>5866</v>
      </c>
    </row>
    <row r="45" spans="1:5" hidden="1">
      <c r="A45" t="s">
        <v>5867</v>
      </c>
      <c r="B45" t="s">
        <v>5850</v>
      </c>
      <c r="C45" t="s">
        <v>5261</v>
      </c>
      <c r="D45" t="s">
        <v>5433</v>
      </c>
      <c r="E45" t="s">
        <v>5868</v>
      </c>
    </row>
    <row r="46" spans="1:5" hidden="1">
      <c r="A46" t="s">
        <v>5869</v>
      </c>
      <c r="B46" t="s">
        <v>5870</v>
      </c>
      <c r="C46" t="s">
        <v>5261</v>
      </c>
      <c r="D46" t="s">
        <v>5433</v>
      </c>
      <c r="E46" t="s">
        <v>5871</v>
      </c>
    </row>
    <row r="47" spans="1:5" hidden="1">
      <c r="A47" t="s">
        <v>5872</v>
      </c>
      <c r="B47" t="s">
        <v>5847</v>
      </c>
      <c r="C47" t="s">
        <v>5261</v>
      </c>
      <c r="D47" t="s">
        <v>5433</v>
      </c>
      <c r="E47" t="s">
        <v>5873</v>
      </c>
    </row>
    <row r="48" spans="1:5">
      <c r="A48" t="s">
        <v>2737</v>
      </c>
      <c r="B48" t="s">
        <v>5874</v>
      </c>
      <c r="C48" t="s">
        <v>5261</v>
      </c>
      <c r="D48" t="s">
        <v>5299</v>
      </c>
      <c r="E48" t="s">
        <v>5875</v>
      </c>
    </row>
    <row r="49" spans="1:5" hidden="1">
      <c r="A49" t="s">
        <v>5876</v>
      </c>
      <c r="B49" t="s">
        <v>5850</v>
      </c>
      <c r="C49" t="s">
        <v>5261</v>
      </c>
      <c r="D49" t="s">
        <v>5433</v>
      </c>
      <c r="E49" t="s">
        <v>5877</v>
      </c>
    </row>
    <row r="50" spans="1:5">
      <c r="A50" t="s">
        <v>5878</v>
      </c>
      <c r="B50" t="s">
        <v>5879</v>
      </c>
      <c r="C50" t="s">
        <v>5261</v>
      </c>
      <c r="D50" t="s">
        <v>5299</v>
      </c>
      <c r="E50" t="s">
        <v>5880</v>
      </c>
    </row>
    <row r="51" spans="1:5" hidden="1">
      <c r="A51" t="s">
        <v>1896</v>
      </c>
      <c r="B51" t="s">
        <v>5847</v>
      </c>
      <c r="C51" t="s">
        <v>5261</v>
      </c>
      <c r="D51" t="s">
        <v>5433</v>
      </c>
      <c r="E51" t="s">
        <v>5881</v>
      </c>
    </row>
    <row r="52" spans="1:5">
      <c r="A52" t="s">
        <v>5882</v>
      </c>
      <c r="B52" t="s">
        <v>5853</v>
      </c>
      <c r="C52" t="s">
        <v>5261</v>
      </c>
      <c r="D52" t="s">
        <v>5299</v>
      </c>
      <c r="E52" t="s">
        <v>5883</v>
      </c>
    </row>
    <row r="53" spans="1:5" hidden="1">
      <c r="A53" t="s">
        <v>5884</v>
      </c>
      <c r="B53" t="s">
        <v>5858</v>
      </c>
      <c r="C53" t="s">
        <v>5261</v>
      </c>
      <c r="D53" t="s">
        <v>5433</v>
      </c>
      <c r="E53" t="s">
        <v>5885</v>
      </c>
    </row>
    <row r="54" spans="1:5" hidden="1">
      <c r="A54" t="s">
        <v>5886</v>
      </c>
      <c r="B54" t="s">
        <v>5847</v>
      </c>
      <c r="C54" t="s">
        <v>5261</v>
      </c>
      <c r="D54" t="s">
        <v>5433</v>
      </c>
      <c r="E54" t="s">
        <v>5887</v>
      </c>
    </row>
    <row r="55" spans="1:5" hidden="1">
      <c r="A55" t="s">
        <v>5888</v>
      </c>
      <c r="B55" t="s">
        <v>5847</v>
      </c>
      <c r="C55" t="s">
        <v>5261</v>
      </c>
      <c r="D55" t="s">
        <v>5433</v>
      </c>
      <c r="E55" t="s">
        <v>5889</v>
      </c>
    </row>
    <row r="56" spans="1:5">
      <c r="A56" t="s">
        <v>5890</v>
      </c>
      <c r="B56" t="s">
        <v>5858</v>
      </c>
      <c r="C56" t="s">
        <v>5261</v>
      </c>
      <c r="D56" t="s">
        <v>5299</v>
      </c>
      <c r="E56" t="s">
        <v>5891</v>
      </c>
    </row>
    <row r="57" spans="1:5">
      <c r="A57" t="s">
        <v>5892</v>
      </c>
      <c r="B57" t="s">
        <v>5893</v>
      </c>
      <c r="C57" t="s">
        <v>5261</v>
      </c>
      <c r="D57" t="s">
        <v>5299</v>
      </c>
      <c r="E57" t="s">
        <v>5894</v>
      </c>
    </row>
    <row r="58" spans="1:5" hidden="1">
      <c r="A58" t="s">
        <v>5895</v>
      </c>
      <c r="B58" t="s">
        <v>5844</v>
      </c>
      <c r="C58" t="s">
        <v>5261</v>
      </c>
      <c r="D58" t="s">
        <v>5433</v>
      </c>
      <c r="E58" t="s">
        <v>5896</v>
      </c>
    </row>
    <row r="59" spans="1:5" hidden="1">
      <c r="A59" t="s">
        <v>5897</v>
      </c>
      <c r="B59" t="s">
        <v>5850</v>
      </c>
      <c r="C59" t="s">
        <v>5261</v>
      </c>
      <c r="D59" t="s">
        <v>5433</v>
      </c>
      <c r="E59" t="s">
        <v>5898</v>
      </c>
    </row>
    <row r="60" spans="1:5" hidden="1">
      <c r="A60" t="s">
        <v>5899</v>
      </c>
      <c r="B60" t="s">
        <v>5853</v>
      </c>
      <c r="C60" t="s">
        <v>5261</v>
      </c>
      <c r="D60" t="s">
        <v>5433</v>
      </c>
      <c r="E60" t="s">
        <v>5900</v>
      </c>
    </row>
    <row r="61" spans="1:5" hidden="1">
      <c r="A61" t="s">
        <v>5901</v>
      </c>
      <c r="B61" t="s">
        <v>5761</v>
      </c>
      <c r="C61" t="s">
        <v>5261</v>
      </c>
      <c r="D61" t="s">
        <v>5433</v>
      </c>
      <c r="E61" t="s">
        <v>5902</v>
      </c>
    </row>
    <row r="62" spans="1:5">
      <c r="A62" t="s">
        <v>5903</v>
      </c>
      <c r="B62" t="s">
        <v>5853</v>
      </c>
      <c r="C62" t="s">
        <v>5261</v>
      </c>
      <c r="D62" t="s">
        <v>5299</v>
      </c>
      <c r="E62" t="s">
        <v>5904</v>
      </c>
    </row>
    <row r="63" spans="1:5" hidden="1">
      <c r="A63" t="s">
        <v>5905</v>
      </c>
      <c r="B63" t="s">
        <v>5761</v>
      </c>
      <c r="C63" t="s">
        <v>5261</v>
      </c>
      <c r="D63" t="s">
        <v>5433</v>
      </c>
      <c r="E63" t="s">
        <v>5906</v>
      </c>
    </row>
    <row r="64" spans="1:5" hidden="1">
      <c r="A64" t="s">
        <v>5907</v>
      </c>
      <c r="B64" t="s">
        <v>5853</v>
      </c>
      <c r="C64" t="s">
        <v>5261</v>
      </c>
      <c r="D64" t="s">
        <v>5433</v>
      </c>
      <c r="E64" t="s">
        <v>5908</v>
      </c>
    </row>
    <row r="65" spans="1:5">
      <c r="A65" t="s">
        <v>5909</v>
      </c>
      <c r="B65" t="s">
        <v>5853</v>
      </c>
      <c r="C65" t="s">
        <v>5261</v>
      </c>
      <c r="D65" t="s">
        <v>5299</v>
      </c>
      <c r="E65" t="s">
        <v>5910</v>
      </c>
    </row>
    <row r="66" spans="1:5" hidden="1">
      <c r="A66" t="s">
        <v>5911</v>
      </c>
      <c r="B66" t="s">
        <v>5847</v>
      </c>
      <c r="C66" t="s">
        <v>5261</v>
      </c>
      <c r="D66" t="s">
        <v>5433</v>
      </c>
      <c r="E66" t="s">
        <v>5912</v>
      </c>
    </row>
    <row r="67" spans="1:5">
      <c r="A67" t="s">
        <v>5913</v>
      </c>
      <c r="B67" t="s">
        <v>5914</v>
      </c>
      <c r="C67" t="s">
        <v>5396</v>
      </c>
      <c r="D67" t="s">
        <v>5299</v>
      </c>
      <c r="E67" t="s">
        <v>5915</v>
      </c>
    </row>
    <row r="68" spans="1:5">
      <c r="A68" t="s">
        <v>5916</v>
      </c>
      <c r="B68" t="s">
        <v>5914</v>
      </c>
      <c r="C68" t="s">
        <v>5396</v>
      </c>
      <c r="D68" t="s">
        <v>5299</v>
      </c>
      <c r="E68" t="s">
        <v>5917</v>
      </c>
    </row>
    <row r="69" spans="1:5">
      <c r="A69" t="s">
        <v>5918</v>
      </c>
      <c r="B69" t="s">
        <v>5919</v>
      </c>
      <c r="C69" t="s">
        <v>5264</v>
      </c>
      <c r="D69" t="s">
        <v>5299</v>
      </c>
      <c r="E69" t="s">
        <v>5920</v>
      </c>
    </row>
    <row r="70" spans="1:5">
      <c r="A70" t="s">
        <v>5921</v>
      </c>
      <c r="B70" t="s">
        <v>5922</v>
      </c>
      <c r="C70" t="s">
        <v>5264</v>
      </c>
      <c r="D70" t="s">
        <v>5299</v>
      </c>
      <c r="E70" t="s">
        <v>5923</v>
      </c>
    </row>
    <row r="71" spans="1:5" hidden="1">
      <c r="A71" t="s">
        <v>5924</v>
      </c>
      <c r="B71" t="s">
        <v>5925</v>
      </c>
      <c r="C71" t="s">
        <v>5264</v>
      </c>
      <c r="D71" t="s">
        <v>5433</v>
      </c>
      <c r="E71" t="s">
        <v>5926</v>
      </c>
    </row>
    <row r="72" spans="1:5">
      <c r="A72" t="s">
        <v>5927</v>
      </c>
      <c r="B72" t="s">
        <v>5925</v>
      </c>
      <c r="C72" t="s">
        <v>5264</v>
      </c>
      <c r="D72" t="s">
        <v>5299</v>
      </c>
      <c r="E72" t="s">
        <v>5928</v>
      </c>
    </row>
    <row r="73" spans="1:5" hidden="1">
      <c r="A73" t="s">
        <v>5929</v>
      </c>
      <c r="B73" t="s">
        <v>5925</v>
      </c>
      <c r="C73" t="s">
        <v>5264</v>
      </c>
      <c r="D73" t="s">
        <v>5433</v>
      </c>
      <c r="E73" t="s">
        <v>5930</v>
      </c>
    </row>
    <row r="74" spans="1:5">
      <c r="A74" t="s">
        <v>5931</v>
      </c>
      <c r="B74" t="s">
        <v>5919</v>
      </c>
      <c r="C74" t="s">
        <v>5264</v>
      </c>
      <c r="D74" t="s">
        <v>5299</v>
      </c>
      <c r="E74" t="s">
        <v>5932</v>
      </c>
    </row>
    <row r="75" spans="1:5" hidden="1">
      <c r="A75" t="s">
        <v>5933</v>
      </c>
      <c r="B75" t="s">
        <v>5934</v>
      </c>
      <c r="C75" t="s">
        <v>5264</v>
      </c>
      <c r="D75" t="s">
        <v>5433</v>
      </c>
      <c r="E75" t="s">
        <v>5935</v>
      </c>
    </row>
    <row r="76" spans="1:5" hidden="1">
      <c r="A76" t="s">
        <v>5936</v>
      </c>
      <c r="B76" t="s">
        <v>5925</v>
      </c>
      <c r="C76" t="s">
        <v>5264</v>
      </c>
      <c r="D76" t="s">
        <v>5433</v>
      </c>
      <c r="E76" t="s">
        <v>5937</v>
      </c>
    </row>
    <row r="77" spans="1:5" hidden="1">
      <c r="A77" t="s">
        <v>5938</v>
      </c>
      <c r="B77" t="s">
        <v>5939</v>
      </c>
      <c r="C77" t="s">
        <v>5264</v>
      </c>
      <c r="D77" t="s">
        <v>5433</v>
      </c>
      <c r="E77" t="s">
        <v>5940</v>
      </c>
    </row>
    <row r="78" spans="1:5">
      <c r="A78" t="s">
        <v>5941</v>
      </c>
      <c r="B78" t="s">
        <v>5942</v>
      </c>
      <c r="C78" t="s">
        <v>5264</v>
      </c>
      <c r="D78" t="s">
        <v>5299</v>
      </c>
      <c r="E78" t="s">
        <v>5943</v>
      </c>
    </row>
    <row r="79" spans="1:5" hidden="1">
      <c r="A79" t="s">
        <v>5944</v>
      </c>
      <c r="B79" t="s">
        <v>5945</v>
      </c>
      <c r="C79" t="s">
        <v>5264</v>
      </c>
      <c r="D79" t="s">
        <v>5433</v>
      </c>
      <c r="E79" t="s">
        <v>5946</v>
      </c>
    </row>
    <row r="80" spans="1:5" hidden="1">
      <c r="A80" t="s">
        <v>5947</v>
      </c>
      <c r="B80" t="s">
        <v>5948</v>
      </c>
      <c r="C80" t="s">
        <v>5264</v>
      </c>
      <c r="D80" t="s">
        <v>5433</v>
      </c>
      <c r="E80" t="s">
        <v>5949</v>
      </c>
    </row>
    <row r="81" spans="1:5" hidden="1">
      <c r="A81" t="s">
        <v>5950</v>
      </c>
      <c r="B81" t="s">
        <v>5939</v>
      </c>
      <c r="C81" t="s">
        <v>5264</v>
      </c>
      <c r="D81" t="s">
        <v>5433</v>
      </c>
      <c r="E81" t="s">
        <v>5951</v>
      </c>
    </row>
    <row r="82" spans="1:5" hidden="1">
      <c r="A82" t="s">
        <v>5952</v>
      </c>
      <c r="B82" t="s">
        <v>5925</v>
      </c>
      <c r="C82" t="s">
        <v>5264</v>
      </c>
      <c r="D82" t="s">
        <v>5433</v>
      </c>
      <c r="E82" t="s">
        <v>5953</v>
      </c>
    </row>
    <row r="83" spans="1:5" hidden="1">
      <c r="A83" t="s">
        <v>5954</v>
      </c>
      <c r="B83" t="s">
        <v>5955</v>
      </c>
      <c r="C83" t="s">
        <v>5264</v>
      </c>
      <c r="D83" t="s">
        <v>5433</v>
      </c>
      <c r="E83" t="s">
        <v>5956</v>
      </c>
    </row>
    <row r="84" spans="1:5" hidden="1">
      <c r="A84" t="s">
        <v>5957</v>
      </c>
      <c r="B84" t="s">
        <v>5925</v>
      </c>
      <c r="C84" t="s">
        <v>5264</v>
      </c>
      <c r="D84" t="s">
        <v>5433</v>
      </c>
      <c r="E84" t="s">
        <v>5958</v>
      </c>
    </row>
    <row r="85" spans="1:5">
      <c r="A85" t="s">
        <v>5959</v>
      </c>
      <c r="B85" t="s">
        <v>5960</v>
      </c>
      <c r="C85" t="s">
        <v>5264</v>
      </c>
      <c r="D85" t="s">
        <v>5299</v>
      </c>
      <c r="E85" t="s">
        <v>5961</v>
      </c>
    </row>
    <row r="86" spans="1:5">
      <c r="A86" t="s">
        <v>5962</v>
      </c>
      <c r="B86" t="s">
        <v>5963</v>
      </c>
      <c r="C86" t="s">
        <v>5264</v>
      </c>
      <c r="D86" t="s">
        <v>5299</v>
      </c>
      <c r="E86" t="s">
        <v>5964</v>
      </c>
    </row>
    <row r="87" spans="1:5">
      <c r="A87" t="s">
        <v>5965</v>
      </c>
      <c r="B87" t="s">
        <v>5966</v>
      </c>
      <c r="C87" t="s">
        <v>5264</v>
      </c>
      <c r="D87" t="s">
        <v>5299</v>
      </c>
      <c r="E87" t="s">
        <v>5967</v>
      </c>
    </row>
    <row r="88" spans="1:5">
      <c r="A88" t="s">
        <v>5968</v>
      </c>
      <c r="B88" t="s">
        <v>5969</v>
      </c>
      <c r="C88" t="s">
        <v>5970</v>
      </c>
      <c r="D88" t="s">
        <v>5299</v>
      </c>
      <c r="E88" t="s">
        <v>5971</v>
      </c>
    </row>
    <row r="89" spans="1:5" hidden="1">
      <c r="A89" t="s">
        <v>5972</v>
      </c>
      <c r="B89" t="s">
        <v>5969</v>
      </c>
      <c r="C89" t="s">
        <v>5970</v>
      </c>
      <c r="D89" t="s">
        <v>5433</v>
      </c>
      <c r="E89" t="s">
        <v>5973</v>
      </c>
    </row>
    <row r="90" spans="1:5">
      <c r="A90" t="s">
        <v>5974</v>
      </c>
      <c r="B90" t="s">
        <v>5934</v>
      </c>
      <c r="C90" t="s">
        <v>5970</v>
      </c>
      <c r="D90" t="s">
        <v>5299</v>
      </c>
      <c r="E90" t="s">
        <v>5975</v>
      </c>
    </row>
    <row r="91" spans="1:5" hidden="1">
      <c r="A91" t="s">
        <v>5976</v>
      </c>
      <c r="B91" t="s">
        <v>5969</v>
      </c>
      <c r="C91" t="s">
        <v>5970</v>
      </c>
      <c r="D91" t="s">
        <v>5433</v>
      </c>
      <c r="E91" t="s">
        <v>5977</v>
      </c>
    </row>
    <row r="92" spans="1:5" hidden="1">
      <c r="A92" t="s">
        <v>5978</v>
      </c>
      <c r="B92" t="s">
        <v>5969</v>
      </c>
      <c r="C92" t="s">
        <v>5970</v>
      </c>
      <c r="D92" t="s">
        <v>5433</v>
      </c>
      <c r="E92" t="s">
        <v>5979</v>
      </c>
    </row>
    <row r="93" spans="1:5">
      <c r="A93" t="s">
        <v>5980</v>
      </c>
      <c r="B93" t="s">
        <v>5286</v>
      </c>
      <c r="C93" t="s">
        <v>5981</v>
      </c>
      <c r="D93" t="s">
        <v>5299</v>
      </c>
      <c r="E93" t="s">
        <v>5982</v>
      </c>
    </row>
    <row r="94" spans="1:5" hidden="1">
      <c r="A94" t="s">
        <v>5983</v>
      </c>
      <c r="B94" t="s">
        <v>5286</v>
      </c>
      <c r="C94" t="s">
        <v>5981</v>
      </c>
      <c r="D94" t="s">
        <v>5433</v>
      </c>
      <c r="E94" t="s">
        <v>5984</v>
      </c>
    </row>
    <row r="95" spans="1:5" hidden="1">
      <c r="A95" t="s">
        <v>5985</v>
      </c>
      <c r="B95" t="s">
        <v>5986</v>
      </c>
      <c r="C95" t="s">
        <v>5401</v>
      </c>
      <c r="D95" t="s">
        <v>5433</v>
      </c>
      <c r="E95" t="s">
        <v>5987</v>
      </c>
    </row>
    <row r="96" spans="1:5">
      <c r="A96" t="s">
        <v>5988</v>
      </c>
      <c r="B96" t="s">
        <v>5989</v>
      </c>
      <c r="C96" t="s">
        <v>5401</v>
      </c>
      <c r="D96" t="s">
        <v>5299</v>
      </c>
      <c r="E96" t="s">
        <v>5990</v>
      </c>
    </row>
    <row r="97" spans="1:5" hidden="1">
      <c r="A97" t="s">
        <v>5991</v>
      </c>
      <c r="B97" t="s">
        <v>5992</v>
      </c>
      <c r="C97" t="s">
        <v>5401</v>
      </c>
      <c r="D97" t="s">
        <v>5433</v>
      </c>
      <c r="E97" t="s">
        <v>5993</v>
      </c>
    </row>
    <row r="98" spans="1:5">
      <c r="A98" t="s">
        <v>5994</v>
      </c>
      <c r="B98" t="s">
        <v>5995</v>
      </c>
      <c r="C98" t="s">
        <v>5401</v>
      </c>
      <c r="D98" t="s">
        <v>5299</v>
      </c>
      <c r="E98" t="s">
        <v>5996</v>
      </c>
    </row>
    <row r="99" spans="1:5" hidden="1">
      <c r="A99" t="s">
        <v>5997</v>
      </c>
      <c r="B99" t="s">
        <v>5995</v>
      </c>
      <c r="C99" t="s">
        <v>5401</v>
      </c>
      <c r="D99" t="s">
        <v>5433</v>
      </c>
      <c r="E99" t="s">
        <v>5998</v>
      </c>
    </row>
    <row r="100" spans="1:5">
      <c r="A100" t="s">
        <v>5999</v>
      </c>
      <c r="B100" t="s">
        <v>6000</v>
      </c>
      <c r="C100" t="s">
        <v>5401</v>
      </c>
      <c r="D100" t="s">
        <v>5299</v>
      </c>
      <c r="E100" t="s">
        <v>6001</v>
      </c>
    </row>
    <row r="101" spans="1:5" hidden="1">
      <c r="A101" t="s">
        <v>6002</v>
      </c>
      <c r="B101" t="s">
        <v>5992</v>
      </c>
      <c r="C101" t="s">
        <v>5401</v>
      </c>
      <c r="D101" t="s">
        <v>5433</v>
      </c>
      <c r="E101" t="s">
        <v>6003</v>
      </c>
    </row>
    <row r="102" spans="1:5">
      <c r="A102" t="s">
        <v>6004</v>
      </c>
      <c r="B102" t="s">
        <v>5986</v>
      </c>
      <c r="C102" t="s">
        <v>5401</v>
      </c>
      <c r="D102" t="s">
        <v>5299</v>
      </c>
      <c r="E102" t="s">
        <v>6005</v>
      </c>
    </row>
    <row r="103" spans="1:5">
      <c r="A103" t="s">
        <v>6006</v>
      </c>
      <c r="B103" t="s">
        <v>5761</v>
      </c>
      <c r="C103" t="s">
        <v>5401</v>
      </c>
      <c r="D103" t="s">
        <v>5299</v>
      </c>
      <c r="E103" t="s">
        <v>6007</v>
      </c>
    </row>
    <row r="104" spans="1:5">
      <c r="A104" t="s">
        <v>6008</v>
      </c>
      <c r="B104" t="s">
        <v>6009</v>
      </c>
      <c r="C104" t="s">
        <v>5401</v>
      </c>
      <c r="D104" t="s">
        <v>5299</v>
      </c>
      <c r="E104" t="s">
        <v>6010</v>
      </c>
    </row>
    <row r="105" spans="1:5" hidden="1">
      <c r="A105" t="s">
        <v>6011</v>
      </c>
      <c r="B105" t="s">
        <v>6012</v>
      </c>
      <c r="C105" t="s">
        <v>5401</v>
      </c>
      <c r="D105" t="s">
        <v>5433</v>
      </c>
      <c r="E105" t="s">
        <v>6013</v>
      </c>
    </row>
    <row r="106" spans="1:5" hidden="1">
      <c r="A106" t="s">
        <v>6014</v>
      </c>
      <c r="B106" t="s">
        <v>6015</v>
      </c>
      <c r="C106" t="s">
        <v>6016</v>
      </c>
      <c r="D106" t="s">
        <v>5433</v>
      </c>
      <c r="E106" t="s">
        <v>6017</v>
      </c>
    </row>
    <row r="107" spans="1:5" hidden="1">
      <c r="A107" t="s">
        <v>6018</v>
      </c>
      <c r="B107" t="s">
        <v>6019</v>
      </c>
      <c r="C107" t="s">
        <v>6016</v>
      </c>
      <c r="D107" t="s">
        <v>5433</v>
      </c>
      <c r="E107" t="s">
        <v>6020</v>
      </c>
    </row>
    <row r="108" spans="1:5" hidden="1">
      <c r="A108" t="s">
        <v>6021</v>
      </c>
      <c r="B108" t="s">
        <v>6019</v>
      </c>
      <c r="C108" t="s">
        <v>6016</v>
      </c>
      <c r="D108" t="s">
        <v>5433</v>
      </c>
      <c r="E108" t="s">
        <v>6022</v>
      </c>
    </row>
    <row r="109" spans="1:5">
      <c r="A109" t="s">
        <v>6023</v>
      </c>
      <c r="B109" t="s">
        <v>6024</v>
      </c>
      <c r="C109" t="s">
        <v>5402</v>
      </c>
      <c r="D109" t="s">
        <v>5299</v>
      </c>
      <c r="E109" t="s">
        <v>6025</v>
      </c>
    </row>
    <row r="110" spans="1:5">
      <c r="A110" t="s">
        <v>6026</v>
      </c>
      <c r="B110" t="s">
        <v>6027</v>
      </c>
      <c r="C110" t="s">
        <v>6028</v>
      </c>
      <c r="D110" t="s">
        <v>5299</v>
      </c>
      <c r="E110" t="s">
        <v>6029</v>
      </c>
    </row>
    <row r="111" spans="1:5" hidden="1">
      <c r="A111" t="s">
        <v>6030</v>
      </c>
      <c r="B111" t="s">
        <v>6031</v>
      </c>
      <c r="C111" t="s">
        <v>6028</v>
      </c>
      <c r="D111" t="s">
        <v>5433</v>
      </c>
      <c r="E111" t="s">
        <v>6032</v>
      </c>
    </row>
    <row r="112" spans="1:5">
      <c r="A112" t="s">
        <v>6033</v>
      </c>
      <c r="B112" t="s">
        <v>6031</v>
      </c>
      <c r="C112" t="s">
        <v>6028</v>
      </c>
      <c r="D112" t="s">
        <v>5299</v>
      </c>
      <c r="E112" t="s">
        <v>6034</v>
      </c>
    </row>
    <row r="113" spans="1:5" hidden="1">
      <c r="A113" t="s">
        <v>6035</v>
      </c>
      <c r="B113" t="s">
        <v>6036</v>
      </c>
      <c r="C113" t="s">
        <v>5267</v>
      </c>
      <c r="D113" t="s">
        <v>5433</v>
      </c>
      <c r="E113" t="s">
        <v>6037</v>
      </c>
    </row>
    <row r="114" spans="1:5" hidden="1">
      <c r="A114" t="s">
        <v>6038</v>
      </c>
      <c r="B114" t="s">
        <v>6039</v>
      </c>
      <c r="C114" t="s">
        <v>5267</v>
      </c>
      <c r="D114" t="s">
        <v>5433</v>
      </c>
      <c r="E114" t="s">
        <v>6040</v>
      </c>
    </row>
    <row r="115" spans="1:5" hidden="1">
      <c r="A115" t="s">
        <v>6041</v>
      </c>
      <c r="B115" t="s">
        <v>6042</v>
      </c>
      <c r="C115" t="s">
        <v>5267</v>
      </c>
      <c r="D115" t="s">
        <v>5433</v>
      </c>
      <c r="E115" t="s">
        <v>6043</v>
      </c>
    </row>
    <row r="116" spans="1:5" hidden="1">
      <c r="A116" t="s">
        <v>6044</v>
      </c>
      <c r="B116" t="s">
        <v>6036</v>
      </c>
      <c r="C116" t="s">
        <v>5267</v>
      </c>
      <c r="D116" t="s">
        <v>5433</v>
      </c>
      <c r="E116" t="s">
        <v>6045</v>
      </c>
    </row>
    <row r="117" spans="1:5" hidden="1">
      <c r="A117" t="s">
        <v>6046</v>
      </c>
      <c r="B117" t="s">
        <v>6047</v>
      </c>
      <c r="C117" t="s">
        <v>5267</v>
      </c>
      <c r="D117" t="s">
        <v>5433</v>
      </c>
      <c r="E117" t="s">
        <v>6048</v>
      </c>
    </row>
    <row r="118" spans="1:5" hidden="1">
      <c r="A118" t="s">
        <v>6049</v>
      </c>
      <c r="B118" t="s">
        <v>6050</v>
      </c>
      <c r="C118" t="s">
        <v>5267</v>
      </c>
      <c r="D118" t="s">
        <v>5433</v>
      </c>
      <c r="E118" t="s">
        <v>6051</v>
      </c>
    </row>
    <row r="119" spans="1:5" hidden="1">
      <c r="A119" t="s">
        <v>6052</v>
      </c>
      <c r="B119" t="s">
        <v>6053</v>
      </c>
      <c r="C119" t="s">
        <v>5267</v>
      </c>
      <c r="D119" t="s">
        <v>5433</v>
      </c>
      <c r="E119" t="s">
        <v>6054</v>
      </c>
    </row>
    <row r="120" spans="1:5" hidden="1">
      <c r="A120" t="s">
        <v>6055</v>
      </c>
      <c r="B120" t="s">
        <v>6053</v>
      </c>
      <c r="C120" t="s">
        <v>5267</v>
      </c>
      <c r="D120" t="s">
        <v>5433</v>
      </c>
      <c r="E120" t="s">
        <v>6056</v>
      </c>
    </row>
    <row r="121" spans="1:5" hidden="1">
      <c r="A121" t="s">
        <v>6057</v>
      </c>
      <c r="B121" t="s">
        <v>6053</v>
      </c>
      <c r="C121" t="s">
        <v>5267</v>
      </c>
      <c r="D121" t="s">
        <v>5433</v>
      </c>
      <c r="E121" t="s">
        <v>6058</v>
      </c>
    </row>
    <row r="122" spans="1:5" hidden="1">
      <c r="A122" t="s">
        <v>6059</v>
      </c>
      <c r="B122" t="s">
        <v>6053</v>
      </c>
      <c r="C122" t="s">
        <v>5267</v>
      </c>
      <c r="D122" t="s">
        <v>5433</v>
      </c>
      <c r="E122" t="s">
        <v>6060</v>
      </c>
    </row>
    <row r="123" spans="1:5" hidden="1">
      <c r="A123" t="s">
        <v>6061</v>
      </c>
      <c r="B123" t="s">
        <v>6053</v>
      </c>
      <c r="C123" t="s">
        <v>5267</v>
      </c>
      <c r="D123" t="s">
        <v>5433</v>
      </c>
      <c r="E123" t="s">
        <v>6062</v>
      </c>
    </row>
    <row r="124" spans="1:5" hidden="1">
      <c r="A124" t="s">
        <v>6063</v>
      </c>
      <c r="B124" t="s">
        <v>6053</v>
      </c>
      <c r="C124" t="s">
        <v>5267</v>
      </c>
      <c r="D124" t="s">
        <v>5433</v>
      </c>
      <c r="E124" t="s">
        <v>6064</v>
      </c>
    </row>
    <row r="125" spans="1:5" hidden="1">
      <c r="A125" t="s">
        <v>6065</v>
      </c>
      <c r="B125" t="s">
        <v>6053</v>
      </c>
      <c r="C125" t="s">
        <v>5267</v>
      </c>
      <c r="D125" t="s">
        <v>5433</v>
      </c>
      <c r="E125" t="s">
        <v>6066</v>
      </c>
    </row>
    <row r="126" spans="1:5" hidden="1">
      <c r="A126" t="s">
        <v>6067</v>
      </c>
      <c r="B126" t="s">
        <v>6053</v>
      </c>
      <c r="C126" t="s">
        <v>5267</v>
      </c>
      <c r="D126" t="s">
        <v>5433</v>
      </c>
      <c r="E126" t="s">
        <v>6068</v>
      </c>
    </row>
    <row r="127" spans="1:5" hidden="1">
      <c r="A127" t="s">
        <v>6069</v>
      </c>
      <c r="B127" t="s">
        <v>6053</v>
      </c>
      <c r="C127" t="s">
        <v>5267</v>
      </c>
      <c r="D127" t="s">
        <v>5433</v>
      </c>
      <c r="E127" t="s">
        <v>6070</v>
      </c>
    </row>
    <row r="128" spans="1:5" hidden="1">
      <c r="A128" t="s">
        <v>6071</v>
      </c>
      <c r="B128" t="s">
        <v>6053</v>
      </c>
      <c r="C128" t="s">
        <v>5267</v>
      </c>
      <c r="D128" t="s">
        <v>5433</v>
      </c>
      <c r="E128" t="s">
        <v>6072</v>
      </c>
    </row>
    <row r="129" spans="1:5" hidden="1">
      <c r="A129" t="s">
        <v>6073</v>
      </c>
      <c r="B129" t="s">
        <v>6053</v>
      </c>
      <c r="C129" t="s">
        <v>5267</v>
      </c>
      <c r="D129" t="s">
        <v>5433</v>
      </c>
      <c r="E129" t="s">
        <v>6074</v>
      </c>
    </row>
    <row r="130" spans="1:5" hidden="1">
      <c r="A130" t="s">
        <v>6075</v>
      </c>
      <c r="B130" t="s">
        <v>6076</v>
      </c>
      <c r="C130" t="s">
        <v>5408</v>
      </c>
      <c r="D130" t="s">
        <v>5433</v>
      </c>
      <c r="E130" t="s">
        <v>6077</v>
      </c>
    </row>
    <row r="131" spans="1:5">
      <c r="A131" t="s">
        <v>6078</v>
      </c>
      <c r="B131" t="s">
        <v>6076</v>
      </c>
      <c r="C131" t="s">
        <v>5408</v>
      </c>
      <c r="D131" t="s">
        <v>5299</v>
      </c>
      <c r="E131" t="s">
        <v>6079</v>
      </c>
    </row>
    <row r="132" spans="1:5" hidden="1">
      <c r="A132" t="s">
        <v>6080</v>
      </c>
      <c r="B132" t="s">
        <v>6081</v>
      </c>
      <c r="C132" t="s">
        <v>5408</v>
      </c>
      <c r="D132" t="s">
        <v>5433</v>
      </c>
      <c r="E132" t="s">
        <v>6082</v>
      </c>
    </row>
    <row r="133" spans="1:5" hidden="1">
      <c r="A133" t="s">
        <v>6083</v>
      </c>
      <c r="B133" t="s">
        <v>6084</v>
      </c>
      <c r="C133" t="s">
        <v>5408</v>
      </c>
      <c r="D133" t="s">
        <v>5433</v>
      </c>
      <c r="E133" t="s">
        <v>6085</v>
      </c>
    </row>
    <row r="134" spans="1:5" hidden="1">
      <c r="A134" t="s">
        <v>6086</v>
      </c>
      <c r="B134" t="s">
        <v>6076</v>
      </c>
      <c r="C134" t="s">
        <v>5408</v>
      </c>
      <c r="D134" t="s">
        <v>5433</v>
      </c>
      <c r="E134" t="s">
        <v>6087</v>
      </c>
    </row>
    <row r="135" spans="1:5" hidden="1">
      <c r="A135" t="s">
        <v>6088</v>
      </c>
      <c r="B135" t="s">
        <v>6053</v>
      </c>
      <c r="C135" t="s">
        <v>5408</v>
      </c>
      <c r="D135" t="s">
        <v>5433</v>
      </c>
      <c r="E135" t="s">
        <v>6089</v>
      </c>
    </row>
    <row r="136" spans="1:5" hidden="1">
      <c r="A136" t="s">
        <v>6090</v>
      </c>
      <c r="B136" t="s">
        <v>6081</v>
      </c>
      <c r="C136" t="s">
        <v>5408</v>
      </c>
      <c r="D136" t="s">
        <v>5433</v>
      </c>
      <c r="E136" t="s">
        <v>6091</v>
      </c>
    </row>
    <row r="137" spans="1:5" hidden="1">
      <c r="A137" t="s">
        <v>6092</v>
      </c>
      <c r="B137" t="s">
        <v>6081</v>
      </c>
      <c r="C137" t="s">
        <v>5408</v>
      </c>
      <c r="D137" t="s">
        <v>5433</v>
      </c>
      <c r="E137" t="s">
        <v>6093</v>
      </c>
    </row>
    <row r="138" spans="1:5" hidden="1">
      <c r="A138" t="s">
        <v>6094</v>
      </c>
      <c r="B138" t="s">
        <v>6095</v>
      </c>
      <c r="C138" t="s">
        <v>5408</v>
      </c>
      <c r="D138" t="s">
        <v>5433</v>
      </c>
      <c r="E138" t="s">
        <v>6096</v>
      </c>
    </row>
    <row r="139" spans="1:5" hidden="1">
      <c r="A139" t="s">
        <v>6097</v>
      </c>
      <c r="B139" t="s">
        <v>6098</v>
      </c>
      <c r="C139" t="s">
        <v>5408</v>
      </c>
      <c r="D139" t="s">
        <v>5433</v>
      </c>
      <c r="E139" t="s">
        <v>6099</v>
      </c>
    </row>
    <row r="140" spans="1:5" hidden="1">
      <c r="A140" t="s">
        <v>6100</v>
      </c>
      <c r="B140" t="s">
        <v>6081</v>
      </c>
      <c r="C140" t="s">
        <v>5408</v>
      </c>
      <c r="D140" t="s">
        <v>5433</v>
      </c>
      <c r="E140" t="s">
        <v>6101</v>
      </c>
    </row>
    <row r="141" spans="1:5" hidden="1">
      <c r="A141" t="s">
        <v>6102</v>
      </c>
      <c r="B141" t="s">
        <v>6042</v>
      </c>
      <c r="C141" t="s">
        <v>5408</v>
      </c>
      <c r="D141" t="s">
        <v>5433</v>
      </c>
      <c r="E141" t="s">
        <v>6103</v>
      </c>
    </row>
    <row r="142" spans="1:5" hidden="1">
      <c r="A142" t="s">
        <v>6104</v>
      </c>
      <c r="B142" t="s">
        <v>6105</v>
      </c>
      <c r="C142" t="s">
        <v>5408</v>
      </c>
      <c r="D142" t="s">
        <v>5433</v>
      </c>
      <c r="E142" t="s">
        <v>6106</v>
      </c>
    </row>
    <row r="143" spans="1:5" hidden="1">
      <c r="A143" t="s">
        <v>6107</v>
      </c>
      <c r="B143" t="s">
        <v>6053</v>
      </c>
      <c r="C143" t="s">
        <v>5408</v>
      </c>
      <c r="D143" t="s">
        <v>5433</v>
      </c>
      <c r="E143" t="s">
        <v>6108</v>
      </c>
    </row>
    <row r="144" spans="1:5" hidden="1">
      <c r="A144" t="s">
        <v>6109</v>
      </c>
      <c r="B144" t="s">
        <v>5746</v>
      </c>
      <c r="C144" t="s">
        <v>5270</v>
      </c>
      <c r="D144" t="s">
        <v>5433</v>
      </c>
      <c r="E144" t="s">
        <v>6110</v>
      </c>
    </row>
    <row r="145" spans="1:5" hidden="1">
      <c r="A145" t="s">
        <v>6111</v>
      </c>
      <c r="B145" t="s">
        <v>6112</v>
      </c>
      <c r="C145" t="s">
        <v>5270</v>
      </c>
      <c r="D145" t="s">
        <v>5433</v>
      </c>
      <c r="E145" t="s">
        <v>6113</v>
      </c>
    </row>
    <row r="146" spans="1:5" hidden="1">
      <c r="A146" t="s">
        <v>6114</v>
      </c>
      <c r="B146" t="s">
        <v>5597</v>
      </c>
      <c r="C146" t="s">
        <v>5270</v>
      </c>
      <c r="D146" t="s">
        <v>5433</v>
      </c>
      <c r="E146" t="s">
        <v>6115</v>
      </c>
    </row>
    <row r="147" spans="1:5" hidden="1">
      <c r="A147" t="s">
        <v>6116</v>
      </c>
      <c r="B147" t="s">
        <v>6117</v>
      </c>
      <c r="C147" t="s">
        <v>5270</v>
      </c>
      <c r="D147" t="s">
        <v>5433</v>
      </c>
      <c r="E147" t="s">
        <v>6118</v>
      </c>
    </row>
    <row r="148" spans="1:5" hidden="1">
      <c r="A148" t="s">
        <v>6119</v>
      </c>
      <c r="B148" t="s">
        <v>6120</v>
      </c>
      <c r="C148" t="s">
        <v>5270</v>
      </c>
      <c r="D148" t="s">
        <v>5433</v>
      </c>
      <c r="E148" t="s">
        <v>6121</v>
      </c>
    </row>
    <row r="149" spans="1:5" hidden="1">
      <c r="A149" t="s">
        <v>6122</v>
      </c>
      <c r="B149" t="s">
        <v>6123</v>
      </c>
      <c r="C149" t="s">
        <v>5270</v>
      </c>
      <c r="D149" t="s">
        <v>5433</v>
      </c>
      <c r="E149" t="s">
        <v>6124</v>
      </c>
    </row>
    <row r="150" spans="1:5" hidden="1">
      <c r="A150" t="s">
        <v>6125</v>
      </c>
      <c r="B150" t="s">
        <v>6126</v>
      </c>
      <c r="C150" t="s">
        <v>5270</v>
      </c>
      <c r="D150" t="s">
        <v>5433</v>
      </c>
      <c r="E150" t="s">
        <v>6127</v>
      </c>
    </row>
    <row r="151" spans="1:5" hidden="1">
      <c r="A151" t="s">
        <v>6128</v>
      </c>
      <c r="B151" t="s">
        <v>6120</v>
      </c>
      <c r="C151" t="s">
        <v>5270</v>
      </c>
      <c r="D151" t="s">
        <v>5433</v>
      </c>
      <c r="E151" t="s">
        <v>6129</v>
      </c>
    </row>
    <row r="152" spans="1:5" hidden="1">
      <c r="A152" t="s">
        <v>6130</v>
      </c>
      <c r="B152" t="s">
        <v>6123</v>
      </c>
      <c r="C152" t="s">
        <v>5270</v>
      </c>
      <c r="D152" t="s">
        <v>5433</v>
      </c>
      <c r="E152" t="s">
        <v>6131</v>
      </c>
    </row>
    <row r="153" spans="1:5">
      <c r="A153" t="s">
        <v>6132</v>
      </c>
      <c r="B153" t="s">
        <v>6133</v>
      </c>
      <c r="C153" t="s">
        <v>5394</v>
      </c>
      <c r="D153" t="s">
        <v>5299</v>
      </c>
      <c r="E153" t="s">
        <v>6134</v>
      </c>
    </row>
    <row r="154" spans="1:5" hidden="1">
      <c r="A154" t="s">
        <v>6135</v>
      </c>
      <c r="B154" t="s">
        <v>6133</v>
      </c>
      <c r="C154" t="s">
        <v>5394</v>
      </c>
      <c r="D154" t="s">
        <v>5433</v>
      </c>
      <c r="E154" t="s">
        <v>6136</v>
      </c>
    </row>
    <row r="155" spans="1:5">
      <c r="A155" t="s">
        <v>6137</v>
      </c>
      <c r="B155" t="s">
        <v>6138</v>
      </c>
      <c r="C155" t="s">
        <v>5394</v>
      </c>
      <c r="D155" t="s">
        <v>5299</v>
      </c>
      <c r="E155" t="s">
        <v>6139</v>
      </c>
    </row>
    <row r="156" spans="1:5">
      <c r="A156" t="s">
        <v>6140</v>
      </c>
      <c r="B156" t="s">
        <v>6141</v>
      </c>
      <c r="C156" t="s">
        <v>5394</v>
      </c>
      <c r="D156" t="s">
        <v>5299</v>
      </c>
      <c r="E156" t="s">
        <v>6142</v>
      </c>
    </row>
    <row r="157" spans="1:5">
      <c r="A157" t="s">
        <v>6143</v>
      </c>
      <c r="B157" t="s">
        <v>6144</v>
      </c>
      <c r="C157" t="s">
        <v>5394</v>
      </c>
      <c r="D157" t="s">
        <v>5299</v>
      </c>
      <c r="E157" t="s">
        <v>6145</v>
      </c>
    </row>
    <row r="158" spans="1:5">
      <c r="A158" t="s">
        <v>6146</v>
      </c>
      <c r="B158" t="s">
        <v>6147</v>
      </c>
      <c r="C158" t="s">
        <v>5394</v>
      </c>
      <c r="D158" t="s">
        <v>5299</v>
      </c>
      <c r="E158" t="s">
        <v>6148</v>
      </c>
    </row>
    <row r="159" spans="1:5">
      <c r="A159" t="s">
        <v>6149</v>
      </c>
      <c r="B159" t="s">
        <v>6150</v>
      </c>
      <c r="C159" t="s">
        <v>5394</v>
      </c>
      <c r="D159" t="s">
        <v>5299</v>
      </c>
      <c r="E159" t="s">
        <v>6151</v>
      </c>
    </row>
    <row r="160" spans="1:5">
      <c r="A160" t="s">
        <v>6152</v>
      </c>
      <c r="B160" t="s">
        <v>6153</v>
      </c>
      <c r="C160" t="s">
        <v>5394</v>
      </c>
      <c r="D160" t="s">
        <v>5299</v>
      </c>
      <c r="E160" t="s">
        <v>6154</v>
      </c>
    </row>
    <row r="161" spans="1:5">
      <c r="A161" t="s">
        <v>6155</v>
      </c>
      <c r="B161" t="s">
        <v>6147</v>
      </c>
      <c r="C161" t="s">
        <v>5394</v>
      </c>
      <c r="D161" t="s">
        <v>5299</v>
      </c>
      <c r="E161" t="s">
        <v>6156</v>
      </c>
    </row>
    <row r="162" spans="1:5">
      <c r="A162" t="s">
        <v>6157</v>
      </c>
      <c r="B162" t="s">
        <v>6150</v>
      </c>
      <c r="C162" t="s">
        <v>5394</v>
      </c>
      <c r="D162" t="s">
        <v>5299</v>
      </c>
      <c r="E162" t="s">
        <v>6158</v>
      </c>
    </row>
    <row r="163" spans="1:5">
      <c r="A163" t="s">
        <v>6159</v>
      </c>
      <c r="B163" t="s">
        <v>6160</v>
      </c>
      <c r="C163" t="s">
        <v>5394</v>
      </c>
      <c r="D163" t="s">
        <v>5299</v>
      </c>
      <c r="E163" t="s">
        <v>6161</v>
      </c>
    </row>
    <row r="164" spans="1:5">
      <c r="A164" t="s">
        <v>6162</v>
      </c>
      <c r="B164" t="s">
        <v>6163</v>
      </c>
      <c r="C164" t="s">
        <v>5394</v>
      </c>
      <c r="D164" t="s">
        <v>5299</v>
      </c>
      <c r="E164" t="s">
        <v>6164</v>
      </c>
    </row>
    <row r="165" spans="1:5">
      <c r="A165" t="s">
        <v>6165</v>
      </c>
      <c r="B165" t="s">
        <v>6138</v>
      </c>
      <c r="C165" t="s">
        <v>5394</v>
      </c>
      <c r="D165" t="s">
        <v>5299</v>
      </c>
      <c r="E165" t="s">
        <v>6166</v>
      </c>
    </row>
    <row r="166" spans="1:5">
      <c r="A166" t="s">
        <v>6167</v>
      </c>
      <c r="B166" t="s">
        <v>6133</v>
      </c>
      <c r="C166" t="s">
        <v>5394</v>
      </c>
      <c r="D166" t="s">
        <v>5299</v>
      </c>
      <c r="E166" t="s">
        <v>6168</v>
      </c>
    </row>
    <row r="167" spans="1:5">
      <c r="A167" t="s">
        <v>6169</v>
      </c>
      <c r="B167" t="s">
        <v>6170</v>
      </c>
      <c r="C167" t="s">
        <v>5394</v>
      </c>
      <c r="D167" t="s">
        <v>5299</v>
      </c>
      <c r="E167" t="s">
        <v>6171</v>
      </c>
    </row>
    <row r="168" spans="1:5">
      <c r="A168" t="s">
        <v>6172</v>
      </c>
      <c r="B168" t="s">
        <v>6147</v>
      </c>
      <c r="C168" t="s">
        <v>5394</v>
      </c>
      <c r="D168" t="s">
        <v>5299</v>
      </c>
      <c r="E168" t="s">
        <v>6173</v>
      </c>
    </row>
    <row r="169" spans="1:5">
      <c r="A169" t="s">
        <v>6174</v>
      </c>
      <c r="B169" t="s">
        <v>6175</v>
      </c>
      <c r="C169" t="s">
        <v>5409</v>
      </c>
      <c r="D169" t="s">
        <v>5299</v>
      </c>
      <c r="E169" t="s">
        <v>6176</v>
      </c>
    </row>
    <row r="170" spans="1:5" hidden="1">
      <c r="A170" t="s">
        <v>6177</v>
      </c>
      <c r="B170" t="s">
        <v>5948</v>
      </c>
      <c r="C170" t="s">
        <v>5398</v>
      </c>
      <c r="D170" t="s">
        <v>5433</v>
      </c>
      <c r="E170" t="s">
        <v>6178</v>
      </c>
    </row>
    <row r="171" spans="1:5" hidden="1">
      <c r="A171" t="s">
        <v>6179</v>
      </c>
      <c r="B171" t="s">
        <v>6180</v>
      </c>
      <c r="C171" t="s">
        <v>5398</v>
      </c>
      <c r="D171" t="s">
        <v>5433</v>
      </c>
      <c r="E171" t="s">
        <v>6181</v>
      </c>
    </row>
    <row r="172" spans="1:5">
      <c r="A172" t="s">
        <v>6182</v>
      </c>
      <c r="B172" t="s">
        <v>6183</v>
      </c>
      <c r="C172" t="s">
        <v>5273</v>
      </c>
      <c r="D172" t="s">
        <v>5299</v>
      </c>
      <c r="E172" t="s">
        <v>6184</v>
      </c>
    </row>
    <row r="173" spans="1:5" hidden="1">
      <c r="A173" t="s">
        <v>6185</v>
      </c>
      <c r="B173" t="s">
        <v>6186</v>
      </c>
      <c r="C173" t="s">
        <v>5273</v>
      </c>
      <c r="D173" t="s">
        <v>5433</v>
      </c>
      <c r="E173" t="s">
        <v>6187</v>
      </c>
    </row>
    <row r="174" spans="1:5" hidden="1">
      <c r="A174" t="s">
        <v>6188</v>
      </c>
      <c r="B174" t="s">
        <v>6186</v>
      </c>
      <c r="C174" t="s">
        <v>5273</v>
      </c>
      <c r="D174" t="s">
        <v>5433</v>
      </c>
      <c r="E174" t="s">
        <v>6189</v>
      </c>
    </row>
    <row r="175" spans="1:5" hidden="1">
      <c r="A175" t="s">
        <v>6190</v>
      </c>
      <c r="B175" t="s">
        <v>6191</v>
      </c>
      <c r="C175" t="s">
        <v>5273</v>
      </c>
      <c r="D175" t="s">
        <v>5433</v>
      </c>
      <c r="E175" t="s">
        <v>6192</v>
      </c>
    </row>
    <row r="176" spans="1:5" hidden="1">
      <c r="A176" t="s">
        <v>6193</v>
      </c>
      <c r="B176" t="s">
        <v>6194</v>
      </c>
      <c r="C176" t="s">
        <v>5273</v>
      </c>
      <c r="D176" t="s">
        <v>5433</v>
      </c>
      <c r="E176" t="s">
        <v>6195</v>
      </c>
    </row>
    <row r="177" spans="1:5">
      <c r="A177" t="s">
        <v>6196</v>
      </c>
      <c r="B177" t="s">
        <v>5761</v>
      </c>
      <c r="C177" t="s">
        <v>5273</v>
      </c>
      <c r="D177" t="s">
        <v>5299</v>
      </c>
      <c r="E177" t="s">
        <v>6197</v>
      </c>
    </row>
    <row r="178" spans="1:5" hidden="1">
      <c r="A178" t="s">
        <v>6198</v>
      </c>
      <c r="B178" t="s">
        <v>6186</v>
      </c>
      <c r="C178" t="s">
        <v>5273</v>
      </c>
      <c r="D178" t="s">
        <v>5433</v>
      </c>
      <c r="E178" t="s">
        <v>6199</v>
      </c>
    </row>
    <row r="179" spans="1:5" hidden="1">
      <c r="A179" t="s">
        <v>6200</v>
      </c>
      <c r="B179" t="s">
        <v>6194</v>
      </c>
      <c r="C179" t="s">
        <v>5273</v>
      </c>
      <c r="D179" t="s">
        <v>5433</v>
      </c>
      <c r="E179" t="s">
        <v>6201</v>
      </c>
    </row>
    <row r="180" spans="1:5" hidden="1">
      <c r="A180" t="s">
        <v>6202</v>
      </c>
      <c r="B180" t="s">
        <v>6203</v>
      </c>
      <c r="C180" t="s">
        <v>6204</v>
      </c>
      <c r="D180" t="s">
        <v>5433</v>
      </c>
      <c r="E180" t="s">
        <v>6205</v>
      </c>
    </row>
    <row r="181" spans="1:5">
      <c r="A181" t="s">
        <v>6206</v>
      </c>
      <c r="B181" t="s">
        <v>6207</v>
      </c>
      <c r="C181" t="s">
        <v>5418</v>
      </c>
      <c r="D181" t="s">
        <v>5299</v>
      </c>
      <c r="E181" t="s">
        <v>6208</v>
      </c>
    </row>
    <row r="182" spans="1:5" hidden="1">
      <c r="A182" t="s">
        <v>6209</v>
      </c>
      <c r="B182" t="s">
        <v>6210</v>
      </c>
      <c r="C182" t="s">
        <v>5417</v>
      </c>
      <c r="D182" t="s">
        <v>5433</v>
      </c>
      <c r="E182" t="s">
        <v>6211</v>
      </c>
    </row>
    <row r="183" spans="1:5" hidden="1">
      <c r="A183" t="s">
        <v>6212</v>
      </c>
      <c r="B183" t="s">
        <v>6213</v>
      </c>
      <c r="C183" t="s">
        <v>5417</v>
      </c>
      <c r="D183" t="s">
        <v>5433</v>
      </c>
      <c r="E183" t="s">
        <v>6214</v>
      </c>
    </row>
    <row r="184" spans="1:5" hidden="1">
      <c r="A184" t="s">
        <v>6215</v>
      </c>
      <c r="B184" t="s">
        <v>6216</v>
      </c>
      <c r="C184" t="s">
        <v>5420</v>
      </c>
      <c r="D184" t="s">
        <v>5433</v>
      </c>
      <c r="E184" t="s">
        <v>6217</v>
      </c>
    </row>
    <row r="185" spans="1:5" hidden="1">
      <c r="A185" t="s">
        <v>6218</v>
      </c>
      <c r="B185" t="s">
        <v>6216</v>
      </c>
      <c r="C185" t="s">
        <v>5420</v>
      </c>
      <c r="D185" t="s">
        <v>5433</v>
      </c>
      <c r="E185" t="s">
        <v>6219</v>
      </c>
    </row>
    <row r="186" spans="1:5" hidden="1">
      <c r="A186" t="s">
        <v>6220</v>
      </c>
      <c r="B186" t="s">
        <v>6216</v>
      </c>
      <c r="C186" t="s">
        <v>5420</v>
      </c>
      <c r="D186" t="s">
        <v>5433</v>
      </c>
      <c r="E186" t="s">
        <v>6221</v>
      </c>
    </row>
    <row r="187" spans="1:5">
      <c r="A187" t="s">
        <v>6222</v>
      </c>
      <c r="B187" t="s">
        <v>6223</v>
      </c>
      <c r="C187" t="s">
        <v>5420</v>
      </c>
      <c r="D187" t="s">
        <v>5299</v>
      </c>
      <c r="E187" t="s">
        <v>6224</v>
      </c>
    </row>
    <row r="188" spans="1:5" hidden="1">
      <c r="A188" t="s">
        <v>6225</v>
      </c>
      <c r="B188" t="s">
        <v>6226</v>
      </c>
      <c r="C188" t="s">
        <v>5598</v>
      </c>
      <c r="D188" t="s">
        <v>5433</v>
      </c>
      <c r="E188" t="s">
        <v>6227</v>
      </c>
    </row>
    <row r="189" spans="1:5" hidden="1">
      <c r="A189" t="s">
        <v>6228</v>
      </c>
      <c r="B189" t="s">
        <v>6229</v>
      </c>
      <c r="C189" t="s">
        <v>93</v>
      </c>
      <c r="D189" t="s">
        <v>5433</v>
      </c>
      <c r="E189" t="s">
        <v>6230</v>
      </c>
    </row>
    <row r="190" spans="1:5" hidden="1">
      <c r="A190" t="s">
        <v>6231</v>
      </c>
      <c r="B190" t="s">
        <v>6232</v>
      </c>
      <c r="C190" t="s">
        <v>93</v>
      </c>
      <c r="D190" t="s">
        <v>5433</v>
      </c>
      <c r="E190" t="s">
        <v>6233</v>
      </c>
    </row>
    <row r="191" spans="1:5" hidden="1">
      <c r="A191" t="s">
        <v>6234</v>
      </c>
      <c r="B191" t="s">
        <v>6235</v>
      </c>
      <c r="C191" t="s">
        <v>77</v>
      </c>
      <c r="D191" t="s">
        <v>5433</v>
      </c>
      <c r="E191" t="s">
        <v>6236</v>
      </c>
    </row>
    <row r="192" spans="1:5" hidden="1">
      <c r="A192" t="s">
        <v>6237</v>
      </c>
      <c r="B192" t="s">
        <v>5948</v>
      </c>
      <c r="C192" t="s">
        <v>77</v>
      </c>
      <c r="D192" t="s">
        <v>5433</v>
      </c>
      <c r="E192" t="s">
        <v>6238</v>
      </c>
    </row>
    <row r="193" spans="1:5" hidden="1">
      <c r="A193" t="s">
        <v>6239</v>
      </c>
      <c r="B193" t="s">
        <v>5948</v>
      </c>
      <c r="C193" t="s">
        <v>77</v>
      </c>
      <c r="D193" t="s">
        <v>5433</v>
      </c>
      <c r="E193" t="s">
        <v>6240</v>
      </c>
    </row>
    <row r="194" spans="1:5" hidden="1">
      <c r="A194" t="s">
        <v>6241</v>
      </c>
      <c r="B194" t="s">
        <v>6242</v>
      </c>
      <c r="C194" t="s">
        <v>77</v>
      </c>
      <c r="D194" t="s">
        <v>5433</v>
      </c>
      <c r="E194" t="s">
        <v>6243</v>
      </c>
    </row>
    <row r="195" spans="1:5">
      <c r="A195" t="s">
        <v>6244</v>
      </c>
      <c r="B195" t="s">
        <v>6242</v>
      </c>
      <c r="C195" t="s">
        <v>77</v>
      </c>
      <c r="D195" t="s">
        <v>5299</v>
      </c>
      <c r="E195" t="s">
        <v>6245</v>
      </c>
    </row>
    <row r="196" spans="1:5" hidden="1">
      <c r="A196" t="s">
        <v>6246</v>
      </c>
      <c r="B196" t="s">
        <v>6247</v>
      </c>
      <c r="C196" t="s">
        <v>77</v>
      </c>
      <c r="D196" t="s">
        <v>5433</v>
      </c>
      <c r="E196" t="s">
        <v>6248</v>
      </c>
    </row>
    <row r="197" spans="1:5" hidden="1">
      <c r="A197" t="s">
        <v>6249</v>
      </c>
      <c r="B197" t="s">
        <v>5746</v>
      </c>
      <c r="C197" t="s">
        <v>77</v>
      </c>
      <c r="D197" t="s">
        <v>5433</v>
      </c>
      <c r="E197" t="s">
        <v>6250</v>
      </c>
    </row>
    <row r="198" spans="1:5" hidden="1">
      <c r="A198" t="s">
        <v>6251</v>
      </c>
      <c r="B198" t="s">
        <v>6242</v>
      </c>
      <c r="C198" t="s">
        <v>77</v>
      </c>
      <c r="D198" t="s">
        <v>5433</v>
      </c>
      <c r="E198" t="s">
        <v>6252</v>
      </c>
    </row>
    <row r="199" spans="1:5" hidden="1">
      <c r="A199" t="s">
        <v>6253</v>
      </c>
      <c r="B199" t="s">
        <v>6254</v>
      </c>
      <c r="C199" t="s">
        <v>77</v>
      </c>
      <c r="D199" t="s">
        <v>5433</v>
      </c>
      <c r="E199" t="s">
        <v>6255</v>
      </c>
    </row>
    <row r="200" spans="1:5" hidden="1">
      <c r="A200" t="s">
        <v>6256</v>
      </c>
      <c r="B200" t="s">
        <v>6254</v>
      </c>
      <c r="C200" t="s">
        <v>77</v>
      </c>
      <c r="D200" t="s">
        <v>5433</v>
      </c>
      <c r="E200" t="s">
        <v>6257</v>
      </c>
    </row>
    <row r="201" spans="1:5" hidden="1">
      <c r="A201" t="s">
        <v>6258</v>
      </c>
      <c r="B201" t="s">
        <v>6254</v>
      </c>
      <c r="C201" t="s">
        <v>77</v>
      </c>
      <c r="D201" t="s">
        <v>5433</v>
      </c>
      <c r="E201" t="s">
        <v>6259</v>
      </c>
    </row>
    <row r="202" spans="1:5" hidden="1">
      <c r="A202" t="s">
        <v>6260</v>
      </c>
      <c r="B202" t="s">
        <v>6254</v>
      </c>
      <c r="C202" t="s">
        <v>77</v>
      </c>
      <c r="D202" t="s">
        <v>5433</v>
      </c>
      <c r="E202" t="s">
        <v>6261</v>
      </c>
    </row>
    <row r="203" spans="1:5" hidden="1">
      <c r="A203" t="s">
        <v>6262</v>
      </c>
      <c r="B203" t="s">
        <v>6254</v>
      </c>
      <c r="C203" t="s">
        <v>77</v>
      </c>
      <c r="D203" t="s">
        <v>5433</v>
      </c>
      <c r="E203" t="s">
        <v>6263</v>
      </c>
    </row>
    <row r="204" spans="1:5" hidden="1">
      <c r="A204" t="s">
        <v>6264</v>
      </c>
      <c r="B204" t="s">
        <v>6254</v>
      </c>
      <c r="C204" t="s">
        <v>77</v>
      </c>
      <c r="D204" t="s">
        <v>5433</v>
      </c>
      <c r="E204" t="s">
        <v>6265</v>
      </c>
    </row>
    <row r="205" spans="1:5" hidden="1">
      <c r="A205" t="s">
        <v>6266</v>
      </c>
      <c r="B205" t="s">
        <v>5948</v>
      </c>
      <c r="C205" t="s">
        <v>83</v>
      </c>
      <c r="D205" t="s">
        <v>5433</v>
      </c>
      <c r="E205" t="s">
        <v>6267</v>
      </c>
    </row>
    <row r="206" spans="1:5" hidden="1">
      <c r="A206" t="s">
        <v>6268</v>
      </c>
      <c r="B206" t="s">
        <v>6269</v>
      </c>
      <c r="C206" t="s">
        <v>83</v>
      </c>
      <c r="D206" t="s">
        <v>5433</v>
      </c>
      <c r="E206" t="s">
        <v>6270</v>
      </c>
    </row>
    <row r="207" spans="1:5" hidden="1">
      <c r="A207" t="s">
        <v>6271</v>
      </c>
      <c r="B207" t="s">
        <v>5948</v>
      </c>
      <c r="C207" t="s">
        <v>83</v>
      </c>
      <c r="D207" t="s">
        <v>5433</v>
      </c>
      <c r="E207" t="s">
        <v>6272</v>
      </c>
    </row>
    <row r="208" spans="1:5" hidden="1">
      <c r="A208" t="s">
        <v>6273</v>
      </c>
      <c r="B208" t="s">
        <v>6274</v>
      </c>
      <c r="C208" t="s">
        <v>83</v>
      </c>
      <c r="D208" t="s">
        <v>5433</v>
      </c>
      <c r="E208" t="s">
        <v>6275</v>
      </c>
    </row>
    <row r="209" spans="1:5" hidden="1">
      <c r="A209" t="s">
        <v>6276</v>
      </c>
      <c r="B209" t="s">
        <v>6277</v>
      </c>
      <c r="C209" t="s">
        <v>83</v>
      </c>
      <c r="D209" t="s">
        <v>5433</v>
      </c>
      <c r="E209" t="s">
        <v>6278</v>
      </c>
    </row>
    <row r="210" spans="1:5" hidden="1">
      <c r="A210" t="s">
        <v>6279</v>
      </c>
      <c r="B210" t="s">
        <v>6280</v>
      </c>
      <c r="C210" t="s">
        <v>83</v>
      </c>
      <c r="D210" t="s">
        <v>5433</v>
      </c>
      <c r="E210" t="s">
        <v>6281</v>
      </c>
    </row>
    <row r="211" spans="1:5" hidden="1">
      <c r="A211" t="s">
        <v>6282</v>
      </c>
      <c r="B211" t="s">
        <v>6283</v>
      </c>
      <c r="C211" t="s">
        <v>83</v>
      </c>
      <c r="D211" t="s">
        <v>5433</v>
      </c>
      <c r="E211" t="s">
        <v>6284</v>
      </c>
    </row>
    <row r="212" spans="1:5" hidden="1">
      <c r="A212" t="s">
        <v>6285</v>
      </c>
      <c r="B212" t="s">
        <v>6269</v>
      </c>
      <c r="C212" t="s">
        <v>83</v>
      </c>
      <c r="D212" t="s">
        <v>5433</v>
      </c>
      <c r="E212" t="s">
        <v>6286</v>
      </c>
    </row>
    <row r="213" spans="1:5" hidden="1">
      <c r="A213" t="s">
        <v>6287</v>
      </c>
      <c r="B213" t="s">
        <v>6288</v>
      </c>
      <c r="C213" t="s">
        <v>83</v>
      </c>
      <c r="D213" t="s">
        <v>5433</v>
      </c>
      <c r="E213" t="s">
        <v>6289</v>
      </c>
    </row>
    <row r="214" spans="1:5" hidden="1">
      <c r="A214" t="s">
        <v>6290</v>
      </c>
      <c r="B214" t="s">
        <v>6291</v>
      </c>
      <c r="C214" t="s">
        <v>87</v>
      </c>
      <c r="D214" t="s">
        <v>5433</v>
      </c>
      <c r="E214" t="s">
        <v>6292</v>
      </c>
    </row>
    <row r="215" spans="1:5" hidden="1">
      <c r="A215" t="s">
        <v>6293</v>
      </c>
      <c r="B215" t="s">
        <v>6294</v>
      </c>
      <c r="C215" t="s">
        <v>87</v>
      </c>
      <c r="D215" t="s">
        <v>5433</v>
      </c>
      <c r="E215" t="s">
        <v>6295</v>
      </c>
    </row>
    <row r="216" spans="1:5" hidden="1">
      <c r="A216" t="s">
        <v>6296</v>
      </c>
      <c r="B216" t="s">
        <v>6294</v>
      </c>
      <c r="C216" t="s">
        <v>87</v>
      </c>
      <c r="D216" t="s">
        <v>5433</v>
      </c>
      <c r="E216" t="s">
        <v>6297</v>
      </c>
    </row>
    <row r="217" spans="1:5" hidden="1">
      <c r="A217" t="s">
        <v>6298</v>
      </c>
      <c r="B217" t="s">
        <v>6299</v>
      </c>
      <c r="C217" t="s">
        <v>89</v>
      </c>
      <c r="D217" t="s">
        <v>5433</v>
      </c>
      <c r="E217" t="s">
        <v>6300</v>
      </c>
    </row>
    <row r="218" spans="1:5" hidden="1">
      <c r="A218" t="s">
        <v>6301</v>
      </c>
      <c r="B218" t="s">
        <v>6302</v>
      </c>
      <c r="C218" t="s">
        <v>89</v>
      </c>
      <c r="D218" t="s">
        <v>5433</v>
      </c>
      <c r="E218" t="s">
        <v>6303</v>
      </c>
    </row>
    <row r="219" spans="1:5" hidden="1">
      <c r="A219" t="s">
        <v>6304</v>
      </c>
      <c r="B219" t="s">
        <v>6305</v>
      </c>
      <c r="C219" t="s">
        <v>89</v>
      </c>
      <c r="D219" t="s">
        <v>5433</v>
      </c>
      <c r="E219" t="s">
        <v>6306</v>
      </c>
    </row>
    <row r="220" spans="1:5">
      <c r="A220" t="s">
        <v>6307</v>
      </c>
      <c r="B220" t="s">
        <v>5986</v>
      </c>
      <c r="C220" t="s">
        <v>89</v>
      </c>
      <c r="D220" t="s">
        <v>5299</v>
      </c>
      <c r="E220" t="s">
        <v>6308</v>
      </c>
    </row>
    <row r="221" spans="1:5">
      <c r="A221" t="s">
        <v>870</v>
      </c>
      <c r="B221" t="s">
        <v>6309</v>
      </c>
      <c r="C221" t="s">
        <v>89</v>
      </c>
      <c r="D221" t="s">
        <v>5299</v>
      </c>
      <c r="E221" t="s">
        <v>6310</v>
      </c>
    </row>
    <row r="222" spans="1:5" hidden="1">
      <c r="A222" t="s">
        <v>6311</v>
      </c>
      <c r="B222" t="s">
        <v>6280</v>
      </c>
      <c r="C222" t="s">
        <v>89</v>
      </c>
      <c r="D222" t="s">
        <v>5433</v>
      </c>
      <c r="E222" t="s">
        <v>6312</v>
      </c>
    </row>
    <row r="223" spans="1:5" hidden="1">
      <c r="A223" t="s">
        <v>6313</v>
      </c>
      <c r="B223" t="s">
        <v>6302</v>
      </c>
      <c r="C223" t="s">
        <v>89</v>
      </c>
      <c r="D223" t="s">
        <v>5433</v>
      </c>
      <c r="E223" t="s">
        <v>6314</v>
      </c>
    </row>
    <row r="224" spans="1:5" hidden="1">
      <c r="A224" t="s">
        <v>6315</v>
      </c>
      <c r="B224" t="s">
        <v>6302</v>
      </c>
      <c r="C224" t="s">
        <v>89</v>
      </c>
      <c r="D224" t="s">
        <v>5433</v>
      </c>
      <c r="E224" t="s">
        <v>6316</v>
      </c>
    </row>
    <row r="225" spans="1:5" hidden="1">
      <c r="A225" t="s">
        <v>6317</v>
      </c>
      <c r="B225" t="s">
        <v>6318</v>
      </c>
      <c r="C225" t="s">
        <v>5451</v>
      </c>
      <c r="D225" t="s">
        <v>5433</v>
      </c>
      <c r="E225" t="s">
        <v>6319</v>
      </c>
    </row>
    <row r="226" spans="1:5" hidden="1">
      <c r="A226" t="s">
        <v>6320</v>
      </c>
      <c r="B226" t="s">
        <v>5948</v>
      </c>
      <c r="C226" t="s">
        <v>5451</v>
      </c>
      <c r="D226" t="s">
        <v>5433</v>
      </c>
      <c r="E226" t="s">
        <v>6321</v>
      </c>
    </row>
    <row r="227" spans="1:5">
      <c r="A227" t="s">
        <v>6322</v>
      </c>
      <c r="B227" t="s">
        <v>6277</v>
      </c>
      <c r="C227" t="s">
        <v>5451</v>
      </c>
      <c r="D227" t="s">
        <v>5299</v>
      </c>
      <c r="E227" t="s">
        <v>6323</v>
      </c>
    </row>
    <row r="228" spans="1:5" hidden="1">
      <c r="A228" t="s">
        <v>6324</v>
      </c>
      <c r="B228" t="s">
        <v>5948</v>
      </c>
      <c r="C228" t="s">
        <v>5451</v>
      </c>
      <c r="D228" t="s">
        <v>5433</v>
      </c>
      <c r="E228" t="s">
        <v>6325</v>
      </c>
    </row>
    <row r="229" spans="1:5" hidden="1">
      <c r="A229" t="s">
        <v>6326</v>
      </c>
      <c r="B229" t="s">
        <v>5934</v>
      </c>
      <c r="C229" t="s">
        <v>5451</v>
      </c>
      <c r="D229" t="s">
        <v>5433</v>
      </c>
      <c r="E229" t="s">
        <v>6327</v>
      </c>
    </row>
    <row r="230" spans="1:5" hidden="1">
      <c r="A230" t="s">
        <v>6328</v>
      </c>
      <c r="B230" t="s">
        <v>6277</v>
      </c>
      <c r="C230" t="s">
        <v>5451</v>
      </c>
      <c r="D230" t="s">
        <v>5433</v>
      </c>
      <c r="E230" t="s">
        <v>6329</v>
      </c>
    </row>
    <row r="231" spans="1:5" hidden="1">
      <c r="A231" t="s">
        <v>6330</v>
      </c>
      <c r="B231" t="s">
        <v>6331</v>
      </c>
      <c r="C231" t="s">
        <v>5451</v>
      </c>
      <c r="D231" t="s">
        <v>5433</v>
      </c>
      <c r="E231" t="s">
        <v>6332</v>
      </c>
    </row>
    <row r="232" spans="1:5" hidden="1">
      <c r="A232" t="s">
        <v>6333</v>
      </c>
      <c r="B232" t="s">
        <v>5948</v>
      </c>
      <c r="C232" t="s">
        <v>85</v>
      </c>
      <c r="D232" t="s">
        <v>5433</v>
      </c>
      <c r="E232" t="s">
        <v>6334</v>
      </c>
    </row>
    <row r="233" spans="1:5" hidden="1">
      <c r="A233" t="s">
        <v>6335</v>
      </c>
      <c r="B233" t="s">
        <v>6277</v>
      </c>
      <c r="C233" t="s">
        <v>85</v>
      </c>
      <c r="D233" t="s">
        <v>5433</v>
      </c>
      <c r="E233" t="s">
        <v>6336</v>
      </c>
    </row>
    <row r="234" spans="1:5" hidden="1">
      <c r="A234" t="s">
        <v>6337</v>
      </c>
      <c r="B234" t="s">
        <v>5770</v>
      </c>
      <c r="C234" t="s">
        <v>5614</v>
      </c>
      <c r="D234" t="s">
        <v>5433</v>
      </c>
      <c r="E234" t="s">
        <v>6338</v>
      </c>
    </row>
    <row r="235" spans="1:5" hidden="1">
      <c r="A235" t="s">
        <v>6339</v>
      </c>
      <c r="B235" t="s">
        <v>5948</v>
      </c>
      <c r="C235" t="s">
        <v>5614</v>
      </c>
      <c r="D235" t="s">
        <v>5433</v>
      </c>
      <c r="E235" t="s">
        <v>6340</v>
      </c>
    </row>
    <row r="236" spans="1:5" hidden="1">
      <c r="A236" t="s">
        <v>6341</v>
      </c>
      <c r="B236" t="s">
        <v>5948</v>
      </c>
      <c r="C236" t="s">
        <v>5614</v>
      </c>
      <c r="D236" t="s">
        <v>5433</v>
      </c>
      <c r="E236" t="s">
        <v>6342</v>
      </c>
    </row>
    <row r="237" spans="1:5" hidden="1">
      <c r="A237" t="s">
        <v>6343</v>
      </c>
      <c r="B237" t="s">
        <v>6294</v>
      </c>
      <c r="C237" t="s">
        <v>90</v>
      </c>
      <c r="D237" t="s">
        <v>5433</v>
      </c>
      <c r="E237" t="s">
        <v>6344</v>
      </c>
    </row>
    <row r="238" spans="1:5">
      <c r="A238" t="s">
        <v>6345</v>
      </c>
      <c r="B238" t="s">
        <v>6291</v>
      </c>
      <c r="C238" t="s">
        <v>90</v>
      </c>
      <c r="D238" t="s">
        <v>5299</v>
      </c>
      <c r="E238" t="s">
        <v>6346</v>
      </c>
    </row>
    <row r="239" spans="1:5" hidden="1">
      <c r="A239" t="s">
        <v>6347</v>
      </c>
      <c r="B239" t="s">
        <v>5948</v>
      </c>
      <c r="C239" t="s">
        <v>90</v>
      </c>
      <c r="D239" t="s">
        <v>5433</v>
      </c>
      <c r="E239" t="s">
        <v>6348</v>
      </c>
    </row>
    <row r="240" spans="1:5" hidden="1">
      <c r="A240" t="s">
        <v>6349</v>
      </c>
      <c r="B240" t="s">
        <v>6235</v>
      </c>
      <c r="C240" t="s">
        <v>90</v>
      </c>
      <c r="D240" t="s">
        <v>5433</v>
      </c>
      <c r="E240" t="s">
        <v>6350</v>
      </c>
    </row>
    <row r="241" spans="1:5" hidden="1">
      <c r="A241" t="s">
        <v>6351</v>
      </c>
      <c r="B241" t="s">
        <v>5948</v>
      </c>
      <c r="C241" t="s">
        <v>90</v>
      </c>
      <c r="D241" t="s">
        <v>5433</v>
      </c>
      <c r="E241" t="s">
        <v>6352</v>
      </c>
    </row>
    <row r="242" spans="1:5" hidden="1">
      <c r="A242" t="s">
        <v>6353</v>
      </c>
      <c r="B242" t="s">
        <v>6277</v>
      </c>
      <c r="C242" t="s">
        <v>90</v>
      </c>
      <c r="D242" t="s">
        <v>5433</v>
      </c>
      <c r="E242" t="s">
        <v>6354</v>
      </c>
    </row>
    <row r="243" spans="1:5" hidden="1">
      <c r="A243" t="s">
        <v>6355</v>
      </c>
      <c r="B243" t="s">
        <v>6216</v>
      </c>
      <c r="C243" t="s">
        <v>90</v>
      </c>
      <c r="D243" t="s">
        <v>5433</v>
      </c>
      <c r="E243" t="s">
        <v>6356</v>
      </c>
    </row>
    <row r="244" spans="1:5">
      <c r="A244" t="s">
        <v>6357</v>
      </c>
      <c r="B244" t="s">
        <v>6302</v>
      </c>
      <c r="C244" t="s">
        <v>90</v>
      </c>
      <c r="D244" t="s">
        <v>5299</v>
      </c>
      <c r="E244" t="s">
        <v>6358</v>
      </c>
    </row>
    <row r="245" spans="1:5" hidden="1">
      <c r="A245" t="s">
        <v>6359</v>
      </c>
      <c r="B245" t="s">
        <v>6291</v>
      </c>
      <c r="C245" t="s">
        <v>90</v>
      </c>
      <c r="D245" t="s">
        <v>5433</v>
      </c>
      <c r="E245" t="s">
        <v>6360</v>
      </c>
    </row>
    <row r="246" spans="1:5" hidden="1">
      <c r="A246" t="s">
        <v>6361</v>
      </c>
      <c r="B246" t="s">
        <v>6216</v>
      </c>
      <c r="C246" t="s">
        <v>90</v>
      </c>
      <c r="D246" t="s">
        <v>5433</v>
      </c>
      <c r="E246" t="s">
        <v>6362</v>
      </c>
    </row>
    <row r="247" spans="1:5">
      <c r="A247" t="s">
        <v>2698</v>
      </c>
      <c r="B247" t="s">
        <v>6363</v>
      </c>
      <c r="C247" t="s">
        <v>6364</v>
      </c>
      <c r="D247" t="s">
        <v>5299</v>
      </c>
      <c r="E247" t="s">
        <v>6365</v>
      </c>
    </row>
    <row r="248" spans="1:5" hidden="1">
      <c r="A248" t="s">
        <v>6366</v>
      </c>
      <c r="B248" t="s">
        <v>5948</v>
      </c>
      <c r="C248" t="s">
        <v>6364</v>
      </c>
      <c r="D248" t="s">
        <v>5433</v>
      </c>
      <c r="E248" t="s">
        <v>6367</v>
      </c>
    </row>
    <row r="249" spans="1:5" hidden="1">
      <c r="A249" t="s">
        <v>6368</v>
      </c>
      <c r="B249" t="s">
        <v>6369</v>
      </c>
      <c r="C249" t="s">
        <v>6364</v>
      </c>
      <c r="D249" t="s">
        <v>5433</v>
      </c>
      <c r="E249" t="s">
        <v>6370</v>
      </c>
    </row>
    <row r="250" spans="1:5" hidden="1">
      <c r="A250" t="s">
        <v>6371</v>
      </c>
      <c r="B250" t="s">
        <v>6053</v>
      </c>
      <c r="C250" t="s">
        <v>138</v>
      </c>
      <c r="D250" t="s">
        <v>5433</v>
      </c>
      <c r="E250" t="s">
        <v>6372</v>
      </c>
    </row>
    <row r="251" spans="1:5" hidden="1">
      <c r="A251" t="s">
        <v>6373</v>
      </c>
      <c r="B251" t="s">
        <v>6053</v>
      </c>
      <c r="C251" t="s">
        <v>138</v>
      </c>
      <c r="D251" t="s">
        <v>5433</v>
      </c>
      <c r="E251" t="s">
        <v>6374</v>
      </c>
    </row>
    <row r="252" spans="1:5" hidden="1">
      <c r="A252" t="s">
        <v>6375</v>
      </c>
      <c r="B252" t="s">
        <v>6235</v>
      </c>
      <c r="C252" t="s">
        <v>138</v>
      </c>
      <c r="D252" t="s">
        <v>5433</v>
      </c>
      <c r="E252" t="s">
        <v>6376</v>
      </c>
    </row>
    <row r="253" spans="1:5" hidden="1">
      <c r="A253" t="s">
        <v>6377</v>
      </c>
      <c r="B253" t="s">
        <v>6378</v>
      </c>
      <c r="C253" t="s">
        <v>138</v>
      </c>
      <c r="D253" t="s">
        <v>5433</v>
      </c>
      <c r="E253" t="s">
        <v>6379</v>
      </c>
    </row>
    <row r="254" spans="1:5">
      <c r="A254" t="s">
        <v>6380</v>
      </c>
      <c r="B254" t="s">
        <v>6381</v>
      </c>
      <c r="C254" t="s">
        <v>138</v>
      </c>
      <c r="D254" t="s">
        <v>5299</v>
      </c>
      <c r="E254" t="s">
        <v>6382</v>
      </c>
    </row>
    <row r="255" spans="1:5" hidden="1">
      <c r="A255" t="s">
        <v>6383</v>
      </c>
      <c r="B255" t="s">
        <v>6277</v>
      </c>
      <c r="C255" t="s">
        <v>138</v>
      </c>
      <c r="D255" t="s">
        <v>5433</v>
      </c>
      <c r="E255" t="s">
        <v>6384</v>
      </c>
    </row>
    <row r="256" spans="1:5" hidden="1">
      <c r="A256" t="s">
        <v>6385</v>
      </c>
      <c r="B256" t="s">
        <v>6053</v>
      </c>
      <c r="C256" t="s">
        <v>138</v>
      </c>
      <c r="D256" t="s">
        <v>5433</v>
      </c>
      <c r="E256" t="s">
        <v>6386</v>
      </c>
    </row>
    <row r="257" spans="1:5" hidden="1">
      <c r="A257" t="s">
        <v>6387</v>
      </c>
      <c r="B257" t="s">
        <v>6053</v>
      </c>
      <c r="C257" t="s">
        <v>138</v>
      </c>
      <c r="D257" t="s">
        <v>5433</v>
      </c>
      <c r="E257" t="s">
        <v>6388</v>
      </c>
    </row>
    <row r="258" spans="1:5" hidden="1">
      <c r="A258" t="s">
        <v>6389</v>
      </c>
      <c r="B258" t="s">
        <v>6390</v>
      </c>
      <c r="C258" t="s">
        <v>138</v>
      </c>
      <c r="D258" t="s">
        <v>5433</v>
      </c>
      <c r="E258" t="s">
        <v>6391</v>
      </c>
    </row>
    <row r="259" spans="1:5" hidden="1">
      <c r="A259" t="s">
        <v>6392</v>
      </c>
      <c r="B259" t="s">
        <v>6277</v>
      </c>
      <c r="C259" t="s">
        <v>138</v>
      </c>
      <c r="D259" t="s">
        <v>5433</v>
      </c>
      <c r="E259" t="s">
        <v>6393</v>
      </c>
    </row>
    <row r="260" spans="1:5" hidden="1">
      <c r="A260" t="s">
        <v>6394</v>
      </c>
      <c r="B260" t="s">
        <v>6235</v>
      </c>
      <c r="C260" t="s">
        <v>138</v>
      </c>
      <c r="D260" t="s">
        <v>5433</v>
      </c>
      <c r="E260" t="s">
        <v>6395</v>
      </c>
    </row>
    <row r="261" spans="1:5" hidden="1">
      <c r="A261" t="s">
        <v>6396</v>
      </c>
      <c r="B261" t="s">
        <v>6053</v>
      </c>
      <c r="C261" t="s">
        <v>138</v>
      </c>
      <c r="D261" t="s">
        <v>5433</v>
      </c>
      <c r="E261" t="s">
        <v>6397</v>
      </c>
    </row>
    <row r="262" spans="1:5" hidden="1">
      <c r="A262" t="s">
        <v>6398</v>
      </c>
      <c r="B262" t="s">
        <v>6378</v>
      </c>
      <c r="C262" t="s">
        <v>138</v>
      </c>
      <c r="D262" t="s">
        <v>5433</v>
      </c>
      <c r="E262" t="s">
        <v>6399</v>
      </c>
    </row>
    <row r="263" spans="1:5" hidden="1">
      <c r="A263" t="s">
        <v>6400</v>
      </c>
      <c r="B263" t="s">
        <v>6277</v>
      </c>
      <c r="C263" t="s">
        <v>138</v>
      </c>
      <c r="D263" t="s">
        <v>5433</v>
      </c>
      <c r="E263" t="s">
        <v>6401</v>
      </c>
    </row>
    <row r="264" spans="1:5" hidden="1">
      <c r="A264" t="s">
        <v>6402</v>
      </c>
      <c r="B264" t="s">
        <v>5770</v>
      </c>
      <c r="C264" t="s">
        <v>6403</v>
      </c>
      <c r="D264" t="s">
        <v>5433</v>
      </c>
      <c r="E264" t="s">
        <v>6404</v>
      </c>
    </row>
    <row r="265" spans="1:5" hidden="1">
      <c r="A265" t="s">
        <v>6405</v>
      </c>
      <c r="B265" t="s">
        <v>6406</v>
      </c>
      <c r="C265" t="s">
        <v>6403</v>
      </c>
      <c r="D265" t="s">
        <v>5433</v>
      </c>
      <c r="E265" t="s">
        <v>6407</v>
      </c>
    </row>
  </sheetData>
  <autoFilter ref="A1:E265" xr:uid="{00000000-0009-0000-0000-000007000000}">
    <filterColumn colId="3">
      <filters>
        <filter val="No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171"/>
  <sheetViews>
    <sheetView topLeftCell="A19" workbookViewId="0">
      <selection activeCell="E59" sqref="E59"/>
    </sheetView>
  </sheetViews>
  <sheetFormatPr defaultColWidth="11.42578125" defaultRowHeight="15"/>
  <cols>
    <col min="1" max="1" width="102.28515625" bestFit="1" customWidth="1"/>
  </cols>
  <sheetData>
    <row r="3" spans="1:1">
      <c r="A3" s="48" t="s">
        <v>61</v>
      </c>
    </row>
    <row r="4" spans="1:1">
      <c r="A4" s="5" t="s">
        <v>1471</v>
      </c>
    </row>
    <row r="5" spans="1:1">
      <c r="A5" s="89" t="s">
        <v>630</v>
      </c>
    </row>
    <row r="6" spans="1:1">
      <c r="A6" s="5" t="s">
        <v>93</v>
      </c>
    </row>
    <row r="7" spans="1:1">
      <c r="A7" s="89" t="s">
        <v>93</v>
      </c>
    </row>
    <row r="8" spans="1:1">
      <c r="A8" s="5" t="s">
        <v>95</v>
      </c>
    </row>
    <row r="9" spans="1:1">
      <c r="A9" s="89" t="s">
        <v>95</v>
      </c>
    </row>
    <row r="10" spans="1:1">
      <c r="A10" s="5" t="s">
        <v>77</v>
      </c>
    </row>
    <row r="11" spans="1:1">
      <c r="A11" s="89" t="s">
        <v>417</v>
      </c>
    </row>
    <row r="12" spans="1:1">
      <c r="A12" s="89" t="s">
        <v>418</v>
      </c>
    </row>
    <row r="13" spans="1:1">
      <c r="A13" s="89" t="s">
        <v>531</v>
      </c>
    </row>
    <row r="14" spans="1:1">
      <c r="A14" s="89" t="s">
        <v>419</v>
      </c>
    </row>
    <row r="15" spans="1:1">
      <c r="A15" s="89" t="s">
        <v>234</v>
      </c>
    </row>
    <row r="16" spans="1:1">
      <c r="A16" s="89" t="s">
        <v>420</v>
      </c>
    </row>
    <row r="17" spans="1:1">
      <c r="A17" s="89" t="s">
        <v>421</v>
      </c>
    </row>
    <row r="18" spans="1:1">
      <c r="A18" s="89" t="s">
        <v>565</v>
      </c>
    </row>
    <row r="19" spans="1:1">
      <c r="A19" s="89" t="s">
        <v>648</v>
      </c>
    </row>
    <row r="20" spans="1:1">
      <c r="A20" s="89" t="s">
        <v>626</v>
      </c>
    </row>
    <row r="21" spans="1:1">
      <c r="A21" s="89" t="s">
        <v>566</v>
      </c>
    </row>
    <row r="22" spans="1:1">
      <c r="A22" s="89" t="s">
        <v>567</v>
      </c>
    </row>
    <row r="23" spans="1:1">
      <c r="A23" s="89" t="s">
        <v>568</v>
      </c>
    </row>
    <row r="24" spans="1:1">
      <c r="A24" s="89" t="s">
        <v>237</v>
      </c>
    </row>
    <row r="25" spans="1:1">
      <c r="A25" s="89" t="s">
        <v>422</v>
      </c>
    </row>
    <row r="26" spans="1:1">
      <c r="A26" s="89" t="s">
        <v>239</v>
      </c>
    </row>
    <row r="27" spans="1:1">
      <c r="A27" s="5" t="s">
        <v>83</v>
      </c>
    </row>
    <row r="28" spans="1:1">
      <c r="A28" s="89" t="s">
        <v>424</v>
      </c>
    </row>
    <row r="29" spans="1:1">
      <c r="A29" s="89" t="s">
        <v>426</v>
      </c>
    </row>
    <row r="30" spans="1:1">
      <c r="A30" s="89" t="s">
        <v>428</v>
      </c>
    </row>
    <row r="31" spans="1:1">
      <c r="A31" s="89" t="s">
        <v>498</v>
      </c>
    </row>
    <row r="32" spans="1:1">
      <c r="A32" s="89" t="s">
        <v>588</v>
      </c>
    </row>
    <row r="33" spans="1:1">
      <c r="A33" s="89" t="s">
        <v>550</v>
      </c>
    </row>
    <row r="34" spans="1:1">
      <c r="A34" s="89" t="s">
        <v>551</v>
      </c>
    </row>
    <row r="35" spans="1:1">
      <c r="A35" s="5" t="s">
        <v>84</v>
      </c>
    </row>
    <row r="36" spans="1:1">
      <c r="A36" s="89" t="s">
        <v>430</v>
      </c>
    </row>
    <row r="37" spans="1:1">
      <c r="A37" s="89" t="s">
        <v>431</v>
      </c>
    </row>
    <row r="38" spans="1:1">
      <c r="A38" s="89" t="s">
        <v>102</v>
      </c>
    </row>
    <row r="39" spans="1:1">
      <c r="A39" s="89" t="s">
        <v>589</v>
      </c>
    </row>
    <row r="40" spans="1:1">
      <c r="A40" s="89" t="s">
        <v>590</v>
      </c>
    </row>
    <row r="41" spans="1:1">
      <c r="A41" s="89" t="s">
        <v>591</v>
      </c>
    </row>
    <row r="42" spans="1:1">
      <c r="A42" s="89" t="s">
        <v>592</v>
      </c>
    </row>
    <row r="43" spans="1:1">
      <c r="A43" s="89" t="s">
        <v>593</v>
      </c>
    </row>
    <row r="44" spans="1:1">
      <c r="A44" s="89" t="s">
        <v>594</v>
      </c>
    </row>
    <row r="45" spans="1:1">
      <c r="A45" s="89" t="s">
        <v>611</v>
      </c>
    </row>
    <row r="46" spans="1:1">
      <c r="A46" s="89" t="s">
        <v>612</v>
      </c>
    </row>
    <row r="47" spans="1:1">
      <c r="A47" s="89" t="s">
        <v>456</v>
      </c>
    </row>
    <row r="48" spans="1:1">
      <c r="A48" s="89" t="s">
        <v>457</v>
      </c>
    </row>
    <row r="49" spans="1:1">
      <c r="A49" s="89" t="s">
        <v>458</v>
      </c>
    </row>
    <row r="50" spans="1:1">
      <c r="A50" s="89" t="s">
        <v>459</v>
      </c>
    </row>
    <row r="51" spans="1:1">
      <c r="A51" s="5" t="s">
        <v>85</v>
      </c>
    </row>
    <row r="52" spans="1:1">
      <c r="A52" s="89" t="s">
        <v>499</v>
      </c>
    </row>
    <row r="53" spans="1:1">
      <c r="A53" s="89" t="s">
        <v>636</v>
      </c>
    </row>
    <row r="54" spans="1:1">
      <c r="A54" s="89" t="s">
        <v>595</v>
      </c>
    </row>
    <row r="55" spans="1:1">
      <c r="A55" s="89" t="s">
        <v>6408</v>
      </c>
    </row>
    <row r="56" spans="1:1">
      <c r="A56" s="89" t="s">
        <v>610</v>
      </c>
    </row>
    <row r="57" spans="1:1">
      <c r="A57" s="89" t="s">
        <v>644</v>
      </c>
    </row>
    <row r="58" spans="1:1">
      <c r="A58" s="89" t="s">
        <v>432</v>
      </c>
    </row>
    <row r="59" spans="1:1">
      <c r="A59" s="89" t="s">
        <v>434</v>
      </c>
    </row>
    <row r="60" spans="1:1">
      <c r="A60" s="89" t="s">
        <v>552</v>
      </c>
    </row>
    <row r="61" spans="1:1">
      <c r="A61" s="89" t="s">
        <v>645</v>
      </c>
    </row>
    <row r="62" spans="1:1">
      <c r="A62" s="89" t="s">
        <v>646</v>
      </c>
    </row>
    <row r="63" spans="1:1">
      <c r="A63" s="89" t="s">
        <v>481</v>
      </c>
    </row>
    <row r="64" spans="1:1">
      <c r="A64" s="89" t="s">
        <v>544</v>
      </c>
    </row>
    <row r="65" spans="1:1">
      <c r="A65" s="89" t="s">
        <v>553</v>
      </c>
    </row>
    <row r="66" spans="1:1">
      <c r="A66" s="89" t="s">
        <v>525</v>
      </c>
    </row>
    <row r="67" spans="1:1">
      <c r="A67" s="89" t="s">
        <v>647</v>
      </c>
    </row>
    <row r="68" spans="1:1">
      <c r="A68" s="89" t="s">
        <v>554</v>
      </c>
    </row>
    <row r="69" spans="1:1">
      <c r="A69" s="89" t="s">
        <v>482</v>
      </c>
    </row>
    <row r="70" spans="1:1">
      <c r="A70" s="89" t="s">
        <v>555</v>
      </c>
    </row>
    <row r="71" spans="1:1">
      <c r="A71" s="89" t="s">
        <v>624</v>
      </c>
    </row>
    <row r="72" spans="1:1">
      <c r="A72" s="89" t="s">
        <v>649</v>
      </c>
    </row>
    <row r="73" spans="1:1">
      <c r="A73" s="89" t="s">
        <v>650</v>
      </c>
    </row>
    <row r="74" spans="1:1">
      <c r="A74" s="89" t="s">
        <v>570</v>
      </c>
    </row>
    <row r="75" spans="1:1">
      <c r="A75" s="89" t="s">
        <v>571</v>
      </c>
    </row>
    <row r="76" spans="1:1">
      <c r="A76" s="5" t="s">
        <v>87</v>
      </c>
    </row>
    <row r="77" spans="1:1">
      <c r="A77" s="89" t="s">
        <v>587</v>
      </c>
    </row>
    <row r="78" spans="1:1">
      <c r="A78" s="89" t="s">
        <v>436</v>
      </c>
    </row>
    <row r="79" spans="1:1">
      <c r="A79" s="89" t="s">
        <v>596</v>
      </c>
    </row>
    <row r="80" spans="1:1">
      <c r="A80" s="89" t="s">
        <v>597</v>
      </c>
    </row>
    <row r="81" spans="1:1">
      <c r="A81" s="89" t="s">
        <v>437</v>
      </c>
    </row>
    <row r="82" spans="1:1">
      <c r="A82" s="89" t="s">
        <v>556</v>
      </c>
    </row>
    <row r="83" spans="1:1">
      <c r="A83" s="89" t="s">
        <v>573</v>
      </c>
    </row>
    <row r="84" spans="1:1">
      <c r="A84" s="89" t="s">
        <v>545</v>
      </c>
    </row>
    <row r="85" spans="1:1">
      <c r="A85" s="89" t="s">
        <v>546</v>
      </c>
    </row>
    <row r="86" spans="1:1">
      <c r="A86" s="5" t="s">
        <v>88</v>
      </c>
    </row>
    <row r="87" spans="1:1">
      <c r="A87" s="89" t="s">
        <v>439</v>
      </c>
    </row>
    <row r="88" spans="1:1">
      <c r="A88" s="89" t="s">
        <v>557</v>
      </c>
    </row>
    <row r="89" spans="1:1">
      <c r="A89" s="89" t="s">
        <v>558</v>
      </c>
    </row>
    <row r="90" spans="1:1">
      <c r="A90" s="5" t="s">
        <v>89</v>
      </c>
    </row>
    <row r="91" spans="1:1">
      <c r="A91" s="89" t="s">
        <v>535</v>
      </c>
    </row>
    <row r="92" spans="1:1">
      <c r="A92" s="89" t="s">
        <v>99</v>
      </c>
    </row>
    <row r="93" spans="1:1">
      <c r="A93" s="89" t="s">
        <v>538</v>
      </c>
    </row>
    <row r="94" spans="1:1">
      <c r="A94" s="89" t="s">
        <v>537</v>
      </c>
    </row>
    <row r="95" spans="1:1">
      <c r="A95" s="89" t="s">
        <v>441</v>
      </c>
    </row>
    <row r="96" spans="1:1">
      <c r="A96" s="89" t="s">
        <v>534</v>
      </c>
    </row>
    <row r="97" spans="1:1">
      <c r="A97" s="89" t="s">
        <v>4343</v>
      </c>
    </row>
    <row r="98" spans="1:1">
      <c r="A98" s="89" t="s">
        <v>444</v>
      </c>
    </row>
    <row r="99" spans="1:1">
      <c r="A99" s="89" t="s">
        <v>446</v>
      </c>
    </row>
    <row r="100" spans="1:1">
      <c r="A100" s="89" t="s">
        <v>448</v>
      </c>
    </row>
    <row r="101" spans="1:1">
      <c r="A101" s="89" t="s">
        <v>450</v>
      </c>
    </row>
    <row r="102" spans="1:1">
      <c r="A102" s="89" t="s">
        <v>559</v>
      </c>
    </row>
    <row r="103" spans="1:1">
      <c r="A103" s="89" t="s">
        <v>560</v>
      </c>
    </row>
    <row r="104" spans="1:1">
      <c r="A104" s="89" t="s">
        <v>561</v>
      </c>
    </row>
    <row r="105" spans="1:1">
      <c r="A105" s="5" t="s">
        <v>90</v>
      </c>
    </row>
    <row r="106" spans="1:1">
      <c r="A106" s="89" t="s">
        <v>488</v>
      </c>
    </row>
    <row r="107" spans="1:1">
      <c r="A107" s="89" t="s">
        <v>574</v>
      </c>
    </row>
    <row r="108" spans="1:1">
      <c r="A108" s="89" t="s">
        <v>575</v>
      </c>
    </row>
    <row r="109" spans="1:1">
      <c r="A109" s="89" t="s">
        <v>576</v>
      </c>
    </row>
    <row r="110" spans="1:1">
      <c r="A110" s="89" t="s">
        <v>577</v>
      </c>
    </row>
    <row r="111" spans="1:1">
      <c r="A111" s="89" t="s">
        <v>628</v>
      </c>
    </row>
    <row r="112" spans="1:1">
      <c r="A112" s="89" t="s">
        <v>492</v>
      </c>
    </row>
    <row r="113" spans="1:1">
      <c r="A113" s="89" t="s">
        <v>578</v>
      </c>
    </row>
    <row r="114" spans="1:1">
      <c r="A114" s="89" t="s">
        <v>579</v>
      </c>
    </row>
    <row r="115" spans="1:1">
      <c r="A115" s="89" t="s">
        <v>580</v>
      </c>
    </row>
    <row r="116" spans="1:1">
      <c r="A116" s="89" t="s">
        <v>581</v>
      </c>
    </row>
    <row r="117" spans="1:1">
      <c r="A117" s="89" t="s">
        <v>495</v>
      </c>
    </row>
    <row r="118" spans="1:1">
      <c r="A118" s="89" t="s">
        <v>582</v>
      </c>
    </row>
    <row r="119" spans="1:1">
      <c r="A119" s="89" t="s">
        <v>643</v>
      </c>
    </row>
    <row r="120" spans="1:1">
      <c r="A120" s="89" t="s">
        <v>583</v>
      </c>
    </row>
    <row r="121" spans="1:1">
      <c r="A121" s="89" t="s">
        <v>584</v>
      </c>
    </row>
    <row r="122" spans="1:1">
      <c r="A122" s="89" t="s">
        <v>585</v>
      </c>
    </row>
    <row r="123" spans="1:1">
      <c r="A123" s="89" t="s">
        <v>586</v>
      </c>
    </row>
    <row r="124" spans="1:1">
      <c r="A124" s="89" t="s">
        <v>497</v>
      </c>
    </row>
    <row r="125" spans="1:1">
      <c r="A125" s="89" t="s">
        <v>471</v>
      </c>
    </row>
    <row r="126" spans="1:1">
      <c r="A126" s="89" t="s">
        <v>562</v>
      </c>
    </row>
    <row r="127" spans="1:1">
      <c r="A127" s="89" t="s">
        <v>563</v>
      </c>
    </row>
    <row r="128" spans="1:1">
      <c r="A128" s="89" t="s">
        <v>629</v>
      </c>
    </row>
    <row r="129" spans="1:1">
      <c r="A129" s="89" t="s">
        <v>451</v>
      </c>
    </row>
    <row r="130" spans="1:1">
      <c r="A130" s="5" t="s">
        <v>91</v>
      </c>
    </row>
    <row r="131" spans="1:1">
      <c r="A131" s="89" t="s">
        <v>599</v>
      </c>
    </row>
    <row r="132" spans="1:1">
      <c r="A132" s="89" t="s">
        <v>508</v>
      </c>
    </row>
    <row r="133" spans="1:1">
      <c r="A133" s="89" t="s">
        <v>564</v>
      </c>
    </row>
    <row r="134" spans="1:1">
      <c r="A134" s="89" t="s">
        <v>475</v>
      </c>
    </row>
    <row r="135" spans="1:1">
      <c r="A135" s="89" t="s">
        <v>476</v>
      </c>
    </row>
    <row r="136" spans="1:1">
      <c r="A136" s="89" t="s">
        <v>453</v>
      </c>
    </row>
    <row r="137" spans="1:1">
      <c r="A137" s="5" t="s">
        <v>5598</v>
      </c>
    </row>
    <row r="138" spans="1:1">
      <c r="A138" s="89" t="s">
        <v>486</v>
      </c>
    </row>
    <row r="139" spans="1:1">
      <c r="A139" s="5" t="s">
        <v>138</v>
      </c>
    </row>
    <row r="140" spans="1:1">
      <c r="A140" s="89" t="s">
        <v>637</v>
      </c>
    </row>
    <row r="141" spans="1:1">
      <c r="A141" s="89" t="s">
        <v>600</v>
      </c>
    </row>
    <row r="142" spans="1:1">
      <c r="A142" s="89" t="s">
        <v>613</v>
      </c>
    </row>
    <row r="143" spans="1:1">
      <c r="A143" s="89" t="s">
        <v>633</v>
      </c>
    </row>
    <row r="144" spans="1:1">
      <c r="A144" s="89" t="s">
        <v>601</v>
      </c>
    </row>
    <row r="145" spans="1:1">
      <c r="A145" s="89" t="s">
        <v>614</v>
      </c>
    </row>
    <row r="146" spans="1:1">
      <c r="A146" s="89" t="s">
        <v>615</v>
      </c>
    </row>
    <row r="147" spans="1:1">
      <c r="A147" s="89" t="s">
        <v>616</v>
      </c>
    </row>
    <row r="148" spans="1:1">
      <c r="A148" s="89" t="s">
        <v>638</v>
      </c>
    </row>
    <row r="149" spans="1:1">
      <c r="A149" s="89" t="s">
        <v>602</v>
      </c>
    </row>
    <row r="150" spans="1:1">
      <c r="A150" s="89" t="s">
        <v>639</v>
      </c>
    </row>
    <row r="151" spans="1:1">
      <c r="A151" s="89" t="s">
        <v>603</v>
      </c>
    </row>
    <row r="152" spans="1:1">
      <c r="A152" s="89" t="s">
        <v>640</v>
      </c>
    </row>
    <row r="153" spans="1:1">
      <c r="A153" s="89" t="s">
        <v>604</v>
      </c>
    </row>
    <row r="154" spans="1:1">
      <c r="A154" s="89" t="s">
        <v>617</v>
      </c>
    </row>
    <row r="155" spans="1:1">
      <c r="A155" s="89" t="s">
        <v>618</v>
      </c>
    </row>
    <row r="156" spans="1:1">
      <c r="A156" s="89" t="s">
        <v>605</v>
      </c>
    </row>
    <row r="157" spans="1:1">
      <c r="A157" s="89" t="s">
        <v>619</v>
      </c>
    </row>
    <row r="158" spans="1:1">
      <c r="A158" s="89" t="s">
        <v>620</v>
      </c>
    </row>
    <row r="159" spans="1:1">
      <c r="A159" s="89" t="s">
        <v>621</v>
      </c>
    </row>
    <row r="160" spans="1:1">
      <c r="A160" s="89" t="s">
        <v>641</v>
      </c>
    </row>
    <row r="161" spans="1:1">
      <c r="A161" s="89" t="s">
        <v>606</v>
      </c>
    </row>
    <row r="162" spans="1:1">
      <c r="A162" s="89" t="s">
        <v>632</v>
      </c>
    </row>
    <row r="163" spans="1:1">
      <c r="A163" s="89" t="s">
        <v>607</v>
      </c>
    </row>
    <row r="164" spans="1:1">
      <c r="A164" s="89" t="s">
        <v>634</v>
      </c>
    </row>
    <row r="165" spans="1:1">
      <c r="A165" s="89" t="s">
        <v>622</v>
      </c>
    </row>
    <row r="166" spans="1:1">
      <c r="A166" s="89" t="s">
        <v>608</v>
      </c>
    </row>
    <row r="167" spans="1:1">
      <c r="A167" s="89" t="s">
        <v>635</v>
      </c>
    </row>
    <row r="168" spans="1:1">
      <c r="A168" s="89" t="s">
        <v>623</v>
      </c>
    </row>
    <row r="169" spans="1:1">
      <c r="A169" s="89" t="s">
        <v>609</v>
      </c>
    </row>
    <row r="170" spans="1:1">
      <c r="A170" s="89" t="s">
        <v>642</v>
      </c>
    </row>
    <row r="171" spans="1:1">
      <c r="A171" s="5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workbookViewId="0">
      <selection activeCell="A6" sqref="A6:XFD8"/>
    </sheetView>
  </sheetViews>
  <sheetFormatPr defaultColWidth="11.42578125" defaultRowHeight="15"/>
  <sheetData>
    <row r="1" spans="1:9">
      <c r="A1" s="6" t="s">
        <v>663</v>
      </c>
      <c r="B1" s="6" t="s">
        <v>664</v>
      </c>
      <c r="C1" s="6"/>
      <c r="D1" s="6" t="s">
        <v>67</v>
      </c>
      <c r="E1" s="6" t="s">
        <v>667</v>
      </c>
      <c r="F1" s="6" t="s">
        <v>240</v>
      </c>
      <c r="G1" s="6" t="s">
        <v>669</v>
      </c>
      <c r="H1" s="6" t="s">
        <v>68</v>
      </c>
      <c r="I1" s="6" t="s">
        <v>670</v>
      </c>
    </row>
    <row r="2" spans="1:9">
      <c r="A2" t="s">
        <v>5216</v>
      </c>
      <c r="B2" t="s">
        <v>5151</v>
      </c>
      <c r="C2" t="s">
        <v>5151</v>
      </c>
      <c r="D2" t="s">
        <v>41</v>
      </c>
      <c r="E2" t="s">
        <v>243</v>
      </c>
      <c r="F2" t="s">
        <v>246</v>
      </c>
      <c r="G2" t="s">
        <v>682</v>
      </c>
      <c r="H2" t="s">
        <v>85</v>
      </c>
      <c r="I2" s="120" t="s">
        <v>6409</v>
      </c>
    </row>
    <row r="3" spans="1:9">
      <c r="A3" t="s">
        <v>5322</v>
      </c>
      <c r="B3" t="s">
        <v>5154</v>
      </c>
      <c r="C3" t="s">
        <v>5154</v>
      </c>
      <c r="D3" t="s">
        <v>140</v>
      </c>
      <c r="E3" t="s">
        <v>243</v>
      </c>
      <c r="F3" t="s">
        <v>246</v>
      </c>
      <c r="G3" t="s">
        <v>674</v>
      </c>
      <c r="H3" t="s">
        <v>138</v>
      </c>
      <c r="I3" s="120" t="s">
        <v>6410</v>
      </c>
    </row>
    <row r="4" spans="1:9">
      <c r="A4" t="s">
        <v>5327</v>
      </c>
      <c r="B4" t="s">
        <v>5153</v>
      </c>
      <c r="C4" t="s">
        <v>5153</v>
      </c>
      <c r="D4" t="s">
        <v>168</v>
      </c>
      <c r="E4" t="s">
        <v>243</v>
      </c>
      <c r="F4" t="s">
        <v>246</v>
      </c>
      <c r="G4" t="s">
        <v>674</v>
      </c>
      <c r="H4" t="s">
        <v>138</v>
      </c>
      <c r="I4" s="120" t="s">
        <v>6411</v>
      </c>
    </row>
    <row r="5" spans="1:9">
      <c r="A5" t="s">
        <v>5319</v>
      </c>
      <c r="B5" t="s">
        <v>5155</v>
      </c>
      <c r="C5" t="s">
        <v>5155</v>
      </c>
      <c r="D5" t="s">
        <v>143</v>
      </c>
      <c r="E5" t="s">
        <v>243</v>
      </c>
      <c r="F5" t="s">
        <v>246</v>
      </c>
      <c r="G5" t="s">
        <v>674</v>
      </c>
      <c r="H5" t="s">
        <v>138</v>
      </c>
      <c r="I5" s="120" t="s">
        <v>6412</v>
      </c>
    </row>
    <row r="6" spans="1:9">
      <c r="A6" t="s">
        <v>5062</v>
      </c>
      <c r="B6" t="s">
        <v>6413</v>
      </c>
      <c r="C6" t="s">
        <v>6413</v>
      </c>
      <c r="D6" t="s">
        <v>36</v>
      </c>
      <c r="E6" t="s">
        <v>244</v>
      </c>
      <c r="F6" t="s">
        <v>246</v>
      </c>
      <c r="G6" t="s">
        <v>682</v>
      </c>
      <c r="H6" t="s">
        <v>89</v>
      </c>
      <c r="I6" s="120" t="s">
        <v>6414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22"/>
  <sheetViews>
    <sheetView zoomScale="90" zoomScaleNormal="90" workbookViewId="0">
      <selection activeCell="A45" sqref="A45"/>
    </sheetView>
  </sheetViews>
  <sheetFormatPr defaultColWidth="11.42578125" defaultRowHeight="15"/>
  <cols>
    <col min="1" max="1" width="37.85546875" bestFit="1" customWidth="1"/>
    <col min="2" max="2" width="56.42578125" bestFit="1" customWidth="1"/>
    <col min="3" max="3" width="11.85546875" bestFit="1" customWidth="1"/>
    <col min="7" max="7" width="56.42578125" bestFit="1" customWidth="1"/>
    <col min="8" max="8" width="25" bestFit="1" customWidth="1"/>
  </cols>
  <sheetData>
    <row r="1" spans="1:8">
      <c r="A1" t="s">
        <v>5160</v>
      </c>
      <c r="B1" t="s">
        <v>6415</v>
      </c>
      <c r="C1" t="s">
        <v>6416</v>
      </c>
      <c r="G1" s="48" t="s">
        <v>6416</v>
      </c>
      <c r="H1" t="s">
        <v>5433</v>
      </c>
    </row>
    <row r="2" spans="1:8">
      <c r="A2" t="s">
        <v>6417</v>
      </c>
      <c r="B2" t="s">
        <v>5412</v>
      </c>
      <c r="C2" t="s">
        <v>5433</v>
      </c>
    </row>
    <row r="3" spans="1:8">
      <c r="A3" t="s">
        <v>6418</v>
      </c>
      <c r="B3" t="s">
        <v>5412</v>
      </c>
      <c r="C3" t="s">
        <v>5433</v>
      </c>
      <c r="G3" s="48" t="s">
        <v>61</v>
      </c>
      <c r="H3" t="s">
        <v>6419</v>
      </c>
    </row>
    <row r="4" spans="1:8">
      <c r="A4" t="s">
        <v>6420</v>
      </c>
      <c r="B4" t="s">
        <v>5412</v>
      </c>
      <c r="C4" t="s">
        <v>5433</v>
      </c>
      <c r="G4" s="5" t="s">
        <v>5397</v>
      </c>
      <c r="H4">
        <v>1</v>
      </c>
    </row>
    <row r="5" spans="1:8">
      <c r="A5" t="s">
        <v>5745</v>
      </c>
      <c r="B5" t="s">
        <v>5412</v>
      </c>
      <c r="C5" t="s">
        <v>5433</v>
      </c>
      <c r="G5" s="5" t="s">
        <v>5267</v>
      </c>
      <c r="H5">
        <v>35</v>
      </c>
    </row>
    <row r="6" spans="1:8">
      <c r="A6" t="s">
        <v>5748</v>
      </c>
      <c r="B6" t="s">
        <v>5410</v>
      </c>
      <c r="C6" t="s">
        <v>5433</v>
      </c>
      <c r="G6" s="5" t="s">
        <v>5394</v>
      </c>
      <c r="H6">
        <v>26</v>
      </c>
    </row>
    <row r="7" spans="1:8">
      <c r="A7" t="s">
        <v>6421</v>
      </c>
      <c r="B7" t="s">
        <v>5410</v>
      </c>
      <c r="C7" t="s">
        <v>5433</v>
      </c>
      <c r="G7" s="5" t="s">
        <v>5398</v>
      </c>
      <c r="H7">
        <v>5</v>
      </c>
    </row>
    <row r="8" spans="1:8">
      <c r="A8" t="s">
        <v>6422</v>
      </c>
      <c r="B8" t="s">
        <v>5410</v>
      </c>
      <c r="C8" t="s">
        <v>5433</v>
      </c>
      <c r="G8" s="5" t="s">
        <v>5399</v>
      </c>
      <c r="H8">
        <v>22</v>
      </c>
    </row>
    <row r="9" spans="1:8">
      <c r="A9" t="s">
        <v>6423</v>
      </c>
      <c r="B9" t="s">
        <v>5258</v>
      </c>
      <c r="C9" t="s">
        <v>5433</v>
      </c>
      <c r="G9" s="5" t="s">
        <v>5400</v>
      </c>
      <c r="H9">
        <v>28</v>
      </c>
    </row>
    <row r="10" spans="1:8">
      <c r="A10" t="s">
        <v>6424</v>
      </c>
      <c r="B10" t="s">
        <v>5258</v>
      </c>
      <c r="C10" t="s">
        <v>5433</v>
      </c>
      <c r="G10" s="5" t="s">
        <v>5401</v>
      </c>
      <c r="H10">
        <v>11</v>
      </c>
    </row>
    <row r="11" spans="1:8">
      <c r="A11" t="s">
        <v>5259</v>
      </c>
      <c r="B11" t="s">
        <v>5258</v>
      </c>
      <c r="C11" t="s">
        <v>5299</v>
      </c>
      <c r="G11" s="5" t="s">
        <v>5403</v>
      </c>
      <c r="H11">
        <v>1</v>
      </c>
    </row>
    <row r="12" spans="1:8">
      <c r="A12" t="s">
        <v>6425</v>
      </c>
      <c r="B12" t="s">
        <v>5258</v>
      </c>
      <c r="C12" t="s">
        <v>5433</v>
      </c>
      <c r="G12" s="5" t="s">
        <v>5404</v>
      </c>
      <c r="H12">
        <v>15</v>
      </c>
    </row>
    <row r="13" spans="1:8">
      <c r="A13" t="s">
        <v>6426</v>
      </c>
      <c r="B13" t="s">
        <v>5258</v>
      </c>
      <c r="C13" t="s">
        <v>5433</v>
      </c>
      <c r="G13" s="5" t="s">
        <v>5405</v>
      </c>
      <c r="H13">
        <v>18</v>
      </c>
    </row>
    <row r="14" spans="1:8">
      <c r="A14" t="s">
        <v>6427</v>
      </c>
      <c r="B14" t="s">
        <v>5258</v>
      </c>
      <c r="C14" t="s">
        <v>5433</v>
      </c>
      <c r="G14" s="5" t="s">
        <v>5290</v>
      </c>
      <c r="H14">
        <v>22</v>
      </c>
    </row>
    <row r="15" spans="1:8">
      <c r="A15" t="s">
        <v>6428</v>
      </c>
      <c r="B15" t="s">
        <v>5258</v>
      </c>
      <c r="C15" t="s">
        <v>5433</v>
      </c>
      <c r="G15" s="5" t="s">
        <v>5258</v>
      </c>
      <c r="H15">
        <v>8</v>
      </c>
    </row>
    <row r="16" spans="1:8">
      <c r="A16" t="s">
        <v>6429</v>
      </c>
      <c r="B16" t="s">
        <v>5258</v>
      </c>
      <c r="C16" t="s">
        <v>5433</v>
      </c>
      <c r="G16" s="5" t="s">
        <v>5395</v>
      </c>
      <c r="H16">
        <v>2</v>
      </c>
    </row>
    <row r="17" spans="1:8">
      <c r="A17" t="s">
        <v>5752</v>
      </c>
      <c r="B17" t="s">
        <v>5258</v>
      </c>
      <c r="C17" t="s">
        <v>5433</v>
      </c>
      <c r="G17" s="5" t="s">
        <v>5406</v>
      </c>
      <c r="H17">
        <v>8</v>
      </c>
    </row>
    <row r="18" spans="1:8">
      <c r="A18" t="s">
        <v>5754</v>
      </c>
      <c r="B18" t="s">
        <v>5403</v>
      </c>
      <c r="C18" t="s">
        <v>5299</v>
      </c>
      <c r="G18" s="5" t="s">
        <v>5407</v>
      </c>
      <c r="H18">
        <v>3</v>
      </c>
    </row>
    <row r="19" spans="1:8">
      <c r="A19" t="s">
        <v>5757</v>
      </c>
      <c r="B19" t="s">
        <v>5403</v>
      </c>
      <c r="C19" t="s">
        <v>5433</v>
      </c>
      <c r="G19" s="5" t="s">
        <v>5408</v>
      </c>
      <c r="H19">
        <v>22</v>
      </c>
    </row>
    <row r="20" spans="1:8">
      <c r="A20" t="s">
        <v>6430</v>
      </c>
      <c r="B20" t="s">
        <v>5404</v>
      </c>
      <c r="C20" t="s">
        <v>5433</v>
      </c>
      <c r="G20" s="5" t="s">
        <v>5396</v>
      </c>
      <c r="H20">
        <v>25</v>
      </c>
    </row>
    <row r="21" spans="1:8">
      <c r="A21" t="s">
        <v>6431</v>
      </c>
      <c r="B21" t="s">
        <v>5404</v>
      </c>
      <c r="C21" t="s">
        <v>5433</v>
      </c>
      <c r="G21" s="5" t="s">
        <v>5409</v>
      </c>
      <c r="H21">
        <v>2</v>
      </c>
    </row>
    <row r="22" spans="1:8">
      <c r="A22" t="s">
        <v>6432</v>
      </c>
      <c r="B22" t="s">
        <v>5404</v>
      </c>
      <c r="C22" t="s">
        <v>5433</v>
      </c>
      <c r="G22" s="5" t="s">
        <v>5410</v>
      </c>
      <c r="H22">
        <v>3</v>
      </c>
    </row>
    <row r="23" spans="1:8">
      <c r="A23" t="s">
        <v>6433</v>
      </c>
      <c r="B23" t="s">
        <v>5404</v>
      </c>
      <c r="C23" t="s">
        <v>5433</v>
      </c>
      <c r="G23" s="5" t="s">
        <v>5411</v>
      </c>
      <c r="H23">
        <v>8</v>
      </c>
    </row>
    <row r="24" spans="1:8">
      <c r="A24" t="s">
        <v>6434</v>
      </c>
      <c r="B24" t="s">
        <v>5404</v>
      </c>
      <c r="C24" t="s">
        <v>5433</v>
      </c>
      <c r="G24" s="5" t="s">
        <v>5278</v>
      </c>
      <c r="H24">
        <v>4</v>
      </c>
    </row>
    <row r="25" spans="1:8">
      <c r="A25" t="s">
        <v>6435</v>
      </c>
      <c r="B25" t="s">
        <v>5404</v>
      </c>
      <c r="C25" t="s">
        <v>5433</v>
      </c>
      <c r="G25" s="5" t="s">
        <v>5261</v>
      </c>
      <c r="H25">
        <v>62</v>
      </c>
    </row>
    <row r="26" spans="1:8">
      <c r="A26" t="s">
        <v>6436</v>
      </c>
      <c r="B26" t="s">
        <v>5404</v>
      </c>
      <c r="C26" t="s">
        <v>5433</v>
      </c>
      <c r="G26" s="5" t="s">
        <v>5264</v>
      </c>
      <c r="H26">
        <v>47</v>
      </c>
    </row>
    <row r="27" spans="1:8">
      <c r="A27" t="s">
        <v>5760</v>
      </c>
      <c r="B27" t="s">
        <v>5404</v>
      </c>
      <c r="C27" t="s">
        <v>5433</v>
      </c>
      <c r="G27" s="5" t="s">
        <v>5412</v>
      </c>
      <c r="H27">
        <v>4</v>
      </c>
    </row>
    <row r="28" spans="1:8">
      <c r="A28" t="s">
        <v>5763</v>
      </c>
      <c r="B28" t="s">
        <v>5404</v>
      </c>
      <c r="C28" t="s">
        <v>5433</v>
      </c>
      <c r="G28" s="5" t="s">
        <v>5287</v>
      </c>
      <c r="H28">
        <v>3</v>
      </c>
    </row>
    <row r="29" spans="1:8">
      <c r="A29" t="s">
        <v>6437</v>
      </c>
      <c r="B29" t="s">
        <v>5404</v>
      </c>
      <c r="C29" t="s">
        <v>5433</v>
      </c>
      <c r="G29" s="5" t="s">
        <v>5413</v>
      </c>
      <c r="H29">
        <v>3</v>
      </c>
    </row>
    <row r="30" spans="1:8">
      <c r="A30" t="s">
        <v>6438</v>
      </c>
      <c r="B30" t="s">
        <v>5404</v>
      </c>
      <c r="C30" t="s">
        <v>5433</v>
      </c>
      <c r="G30" s="5" t="s">
        <v>5414</v>
      </c>
      <c r="H30">
        <v>1</v>
      </c>
    </row>
    <row r="31" spans="1:8">
      <c r="A31" t="s">
        <v>6439</v>
      </c>
      <c r="B31" t="s">
        <v>5404</v>
      </c>
      <c r="C31" t="s">
        <v>5433</v>
      </c>
      <c r="G31" s="5" t="s">
        <v>5415</v>
      </c>
      <c r="H31">
        <v>1</v>
      </c>
    </row>
    <row r="32" spans="1:8">
      <c r="A32" t="s">
        <v>6440</v>
      </c>
      <c r="B32" t="s">
        <v>5404</v>
      </c>
      <c r="C32" t="s">
        <v>5433</v>
      </c>
      <c r="G32" s="5" t="s">
        <v>5416</v>
      </c>
      <c r="H32">
        <v>1</v>
      </c>
    </row>
    <row r="33" spans="1:8">
      <c r="A33" t="s">
        <v>6441</v>
      </c>
      <c r="B33" t="s">
        <v>5404</v>
      </c>
      <c r="C33" t="s">
        <v>5433</v>
      </c>
      <c r="G33" s="5" t="s">
        <v>5417</v>
      </c>
      <c r="H33">
        <v>2</v>
      </c>
    </row>
    <row r="34" spans="1:8">
      <c r="A34" t="s">
        <v>6442</v>
      </c>
      <c r="B34" t="s">
        <v>5404</v>
      </c>
      <c r="C34" t="s">
        <v>5433</v>
      </c>
      <c r="G34" s="5" t="s">
        <v>5418</v>
      </c>
      <c r="H34">
        <v>3</v>
      </c>
    </row>
    <row r="35" spans="1:8">
      <c r="A35" t="s">
        <v>6443</v>
      </c>
      <c r="B35" t="s">
        <v>5400</v>
      </c>
      <c r="C35" t="s">
        <v>5433</v>
      </c>
      <c r="G35" s="5" t="s">
        <v>5419</v>
      </c>
      <c r="H35">
        <v>1</v>
      </c>
    </row>
    <row r="36" spans="1:8">
      <c r="A36" t="s">
        <v>5766</v>
      </c>
      <c r="B36" t="s">
        <v>5400</v>
      </c>
      <c r="C36" t="s">
        <v>5433</v>
      </c>
      <c r="G36" s="5" t="s">
        <v>5420</v>
      </c>
      <c r="H36">
        <v>5</v>
      </c>
    </row>
    <row r="37" spans="1:8">
      <c r="A37" t="s">
        <v>6444</v>
      </c>
      <c r="B37" t="s">
        <v>5400</v>
      </c>
      <c r="C37" t="s">
        <v>5433</v>
      </c>
      <c r="G37" s="5" t="s">
        <v>5421</v>
      </c>
      <c r="H37">
        <v>1</v>
      </c>
    </row>
    <row r="38" spans="1:8">
      <c r="A38" t="s">
        <v>6445</v>
      </c>
      <c r="B38" t="s">
        <v>5400</v>
      </c>
      <c r="C38" t="s">
        <v>5433</v>
      </c>
      <c r="G38" s="5" t="s">
        <v>5270</v>
      </c>
      <c r="H38">
        <v>26</v>
      </c>
    </row>
    <row r="39" spans="1:8">
      <c r="A39" t="s">
        <v>6446</v>
      </c>
      <c r="B39" t="s">
        <v>5400</v>
      </c>
      <c r="C39" t="s">
        <v>5433</v>
      </c>
      <c r="G39" s="5" t="s">
        <v>5273</v>
      </c>
      <c r="H39">
        <v>22</v>
      </c>
    </row>
    <row r="40" spans="1:8">
      <c r="A40" t="s">
        <v>5769</v>
      </c>
      <c r="B40" t="s">
        <v>5400</v>
      </c>
      <c r="C40" t="s">
        <v>5433</v>
      </c>
      <c r="G40" s="5" t="s">
        <v>62</v>
      </c>
      <c r="H40">
        <v>451</v>
      </c>
    </row>
    <row r="41" spans="1:8">
      <c r="A41" t="s">
        <v>5772</v>
      </c>
      <c r="B41" t="s">
        <v>5400</v>
      </c>
      <c r="C41" t="s">
        <v>5433</v>
      </c>
    </row>
    <row r="42" spans="1:8">
      <c r="A42" t="s">
        <v>6447</v>
      </c>
      <c r="B42" t="s">
        <v>5400</v>
      </c>
      <c r="C42" t="s">
        <v>5433</v>
      </c>
    </row>
    <row r="43" spans="1:8">
      <c r="A43" t="s">
        <v>5775</v>
      </c>
      <c r="B43" t="s">
        <v>5400</v>
      </c>
      <c r="C43" t="s">
        <v>5433</v>
      </c>
    </row>
    <row r="44" spans="1:8">
      <c r="A44" t="s">
        <v>6448</v>
      </c>
      <c r="B44" t="s">
        <v>5400</v>
      </c>
      <c r="C44" t="s">
        <v>5433</v>
      </c>
    </row>
    <row r="45" spans="1:8">
      <c r="A45" t="s">
        <v>6449</v>
      </c>
      <c r="B45" t="s">
        <v>5400</v>
      </c>
      <c r="C45" t="s">
        <v>5433</v>
      </c>
    </row>
    <row r="46" spans="1:8">
      <c r="A46" t="s">
        <v>6450</v>
      </c>
      <c r="B46" t="s">
        <v>5400</v>
      </c>
      <c r="C46" t="s">
        <v>5433</v>
      </c>
    </row>
    <row r="47" spans="1:8">
      <c r="A47" t="s">
        <v>6451</v>
      </c>
      <c r="B47" t="s">
        <v>5400</v>
      </c>
      <c r="C47" t="s">
        <v>5433</v>
      </c>
    </row>
    <row r="48" spans="1:8">
      <c r="A48" t="s">
        <v>6452</v>
      </c>
      <c r="B48" t="s">
        <v>5400</v>
      </c>
      <c r="C48" t="s">
        <v>5433</v>
      </c>
    </row>
    <row r="49" spans="1:3">
      <c r="A49" t="s">
        <v>6453</v>
      </c>
      <c r="B49" t="s">
        <v>5400</v>
      </c>
      <c r="C49" t="s">
        <v>5433</v>
      </c>
    </row>
    <row r="50" spans="1:3">
      <c r="A50" t="s">
        <v>5778</v>
      </c>
      <c r="B50" t="s">
        <v>5400</v>
      </c>
      <c r="C50" t="s">
        <v>5433</v>
      </c>
    </row>
    <row r="51" spans="1:3">
      <c r="A51" t="s">
        <v>6454</v>
      </c>
      <c r="B51" t="s">
        <v>5400</v>
      </c>
      <c r="C51" t="s">
        <v>5433</v>
      </c>
    </row>
    <row r="52" spans="1:3">
      <c r="A52" t="s">
        <v>6455</v>
      </c>
      <c r="B52" t="s">
        <v>5400</v>
      </c>
      <c r="C52" t="s">
        <v>5433</v>
      </c>
    </row>
    <row r="53" spans="1:3">
      <c r="A53" t="s">
        <v>6456</v>
      </c>
      <c r="B53" t="s">
        <v>5400</v>
      </c>
      <c r="C53" t="s">
        <v>5433</v>
      </c>
    </row>
    <row r="54" spans="1:3">
      <c r="A54" t="s">
        <v>6457</v>
      </c>
      <c r="B54" t="s">
        <v>5400</v>
      </c>
      <c r="C54" t="s">
        <v>5433</v>
      </c>
    </row>
    <row r="55" spans="1:3">
      <c r="A55" t="s">
        <v>5781</v>
      </c>
      <c r="B55" t="s">
        <v>5400</v>
      </c>
      <c r="C55" t="s">
        <v>5299</v>
      </c>
    </row>
    <row r="56" spans="1:3">
      <c r="A56" t="s">
        <v>6458</v>
      </c>
      <c r="B56" t="s">
        <v>5400</v>
      </c>
      <c r="C56" t="s">
        <v>5433</v>
      </c>
    </row>
    <row r="57" spans="1:3">
      <c r="A57" t="s">
        <v>5784</v>
      </c>
      <c r="B57" t="s">
        <v>5400</v>
      </c>
      <c r="C57" t="s">
        <v>5299</v>
      </c>
    </row>
    <row r="58" spans="1:3">
      <c r="A58" t="s">
        <v>6459</v>
      </c>
      <c r="B58" t="s">
        <v>5400</v>
      </c>
      <c r="C58" t="s">
        <v>5433</v>
      </c>
    </row>
    <row r="59" spans="1:3">
      <c r="A59" t="s">
        <v>5787</v>
      </c>
      <c r="B59" t="s">
        <v>5400</v>
      </c>
      <c r="C59" t="s">
        <v>5433</v>
      </c>
    </row>
    <row r="60" spans="1:3">
      <c r="A60" t="s">
        <v>6460</v>
      </c>
      <c r="B60" t="s">
        <v>5400</v>
      </c>
      <c r="C60" t="s">
        <v>5433</v>
      </c>
    </row>
    <row r="61" spans="1:3">
      <c r="A61" t="s">
        <v>6461</v>
      </c>
      <c r="B61" t="s">
        <v>5400</v>
      </c>
      <c r="C61" t="s">
        <v>5433</v>
      </c>
    </row>
    <row r="62" spans="1:3">
      <c r="A62" t="s">
        <v>6462</v>
      </c>
      <c r="B62" t="s">
        <v>5416</v>
      </c>
      <c r="C62" t="s">
        <v>5433</v>
      </c>
    </row>
    <row r="63" spans="1:3">
      <c r="A63" t="s">
        <v>6463</v>
      </c>
      <c r="B63" t="s">
        <v>5400</v>
      </c>
      <c r="C63" t="s">
        <v>5433</v>
      </c>
    </row>
    <row r="64" spans="1:3">
      <c r="A64" t="s">
        <v>5790</v>
      </c>
      <c r="B64" t="s">
        <v>5400</v>
      </c>
      <c r="C64" t="s">
        <v>5433</v>
      </c>
    </row>
    <row r="65" spans="1:3">
      <c r="A65" t="s">
        <v>5793</v>
      </c>
      <c r="B65" t="s">
        <v>5400</v>
      </c>
      <c r="C65" t="s">
        <v>5433</v>
      </c>
    </row>
    <row r="66" spans="1:3">
      <c r="A66" t="s">
        <v>6464</v>
      </c>
      <c r="B66" t="s">
        <v>5399</v>
      </c>
      <c r="C66" t="s">
        <v>5433</v>
      </c>
    </row>
    <row r="67" spans="1:3">
      <c r="A67" t="s">
        <v>6465</v>
      </c>
      <c r="B67" t="s">
        <v>5399</v>
      </c>
      <c r="C67" t="s">
        <v>5433</v>
      </c>
    </row>
    <row r="68" spans="1:3">
      <c r="A68" t="s">
        <v>6466</v>
      </c>
      <c r="B68" t="s">
        <v>5399</v>
      </c>
      <c r="C68" t="s">
        <v>5433</v>
      </c>
    </row>
    <row r="69" spans="1:3">
      <c r="A69" t="s">
        <v>6467</v>
      </c>
      <c r="B69" t="s">
        <v>5399</v>
      </c>
      <c r="C69" t="s">
        <v>5433</v>
      </c>
    </row>
    <row r="70" spans="1:3">
      <c r="A70" t="s">
        <v>6468</v>
      </c>
      <c r="B70" t="s">
        <v>5399</v>
      </c>
      <c r="C70" t="s">
        <v>5433</v>
      </c>
    </row>
    <row r="71" spans="1:3">
      <c r="A71" t="s">
        <v>6469</v>
      </c>
      <c r="B71" t="s">
        <v>5399</v>
      </c>
      <c r="C71" t="s">
        <v>5433</v>
      </c>
    </row>
    <row r="72" spans="1:3">
      <c r="A72" t="s">
        <v>6470</v>
      </c>
      <c r="B72" t="s">
        <v>5399</v>
      </c>
      <c r="C72" t="s">
        <v>5433</v>
      </c>
    </row>
    <row r="73" spans="1:3">
      <c r="A73" t="s">
        <v>5796</v>
      </c>
      <c r="B73" t="s">
        <v>5399</v>
      </c>
      <c r="C73" t="s">
        <v>5299</v>
      </c>
    </row>
    <row r="74" spans="1:3">
      <c r="A74" t="s">
        <v>6471</v>
      </c>
      <c r="B74" t="s">
        <v>5399</v>
      </c>
      <c r="C74" t="s">
        <v>5433</v>
      </c>
    </row>
    <row r="75" spans="1:3">
      <c r="A75" t="s">
        <v>6472</v>
      </c>
      <c r="B75" t="s">
        <v>5399</v>
      </c>
      <c r="C75" t="s">
        <v>5433</v>
      </c>
    </row>
    <row r="76" spans="1:3">
      <c r="A76" t="s">
        <v>5799</v>
      </c>
      <c r="B76" t="s">
        <v>5399</v>
      </c>
      <c r="C76" t="s">
        <v>5433</v>
      </c>
    </row>
    <row r="77" spans="1:3">
      <c r="A77" t="s">
        <v>6473</v>
      </c>
      <c r="B77" t="s">
        <v>5399</v>
      </c>
      <c r="C77" t="s">
        <v>5433</v>
      </c>
    </row>
    <row r="78" spans="1:3">
      <c r="A78" t="s">
        <v>5802</v>
      </c>
      <c r="B78" t="s">
        <v>5399</v>
      </c>
      <c r="C78" t="s">
        <v>5299</v>
      </c>
    </row>
    <row r="79" spans="1:3">
      <c r="A79" t="s">
        <v>6474</v>
      </c>
      <c r="B79" t="s">
        <v>5399</v>
      </c>
      <c r="C79" t="s">
        <v>5433</v>
      </c>
    </row>
    <row r="80" spans="1:3">
      <c r="A80" t="s">
        <v>6475</v>
      </c>
      <c r="B80" t="s">
        <v>5399</v>
      </c>
      <c r="C80" t="s">
        <v>5433</v>
      </c>
    </row>
    <row r="81" spans="1:3">
      <c r="A81" t="s">
        <v>6476</v>
      </c>
      <c r="B81" t="s">
        <v>5399</v>
      </c>
      <c r="C81" t="s">
        <v>5433</v>
      </c>
    </row>
    <row r="82" spans="1:3">
      <c r="A82" t="s">
        <v>6477</v>
      </c>
      <c r="B82" t="s">
        <v>5399</v>
      </c>
      <c r="C82" t="s">
        <v>5433</v>
      </c>
    </row>
    <row r="83" spans="1:3">
      <c r="A83" t="s">
        <v>6478</v>
      </c>
      <c r="B83" t="s">
        <v>5399</v>
      </c>
      <c r="C83" t="s">
        <v>5433</v>
      </c>
    </row>
    <row r="84" spans="1:3">
      <c r="A84" t="s">
        <v>6479</v>
      </c>
      <c r="B84" t="s">
        <v>5399</v>
      </c>
      <c r="C84" t="s">
        <v>5433</v>
      </c>
    </row>
    <row r="85" spans="1:3">
      <c r="A85" t="s">
        <v>5805</v>
      </c>
      <c r="B85" t="s">
        <v>5399</v>
      </c>
      <c r="C85" t="s">
        <v>5433</v>
      </c>
    </row>
    <row r="86" spans="1:3">
      <c r="A86" t="s">
        <v>5807</v>
      </c>
      <c r="B86" t="s">
        <v>5399</v>
      </c>
      <c r="C86" t="s">
        <v>5433</v>
      </c>
    </row>
    <row r="87" spans="1:3">
      <c r="A87" t="s">
        <v>6480</v>
      </c>
      <c r="B87" t="s">
        <v>5399</v>
      </c>
      <c r="C87" t="s">
        <v>5433</v>
      </c>
    </row>
    <row r="88" spans="1:3">
      <c r="A88" t="s">
        <v>6481</v>
      </c>
      <c r="B88" t="s">
        <v>5399</v>
      </c>
      <c r="C88" t="s">
        <v>5433</v>
      </c>
    </row>
    <row r="89" spans="1:3">
      <c r="A89" t="s">
        <v>6482</v>
      </c>
      <c r="B89" t="s">
        <v>5399</v>
      </c>
      <c r="C89" t="s">
        <v>5433</v>
      </c>
    </row>
    <row r="90" spans="1:3">
      <c r="A90" t="s">
        <v>5279</v>
      </c>
      <c r="B90" t="s">
        <v>5278</v>
      </c>
      <c r="C90" t="s">
        <v>5299</v>
      </c>
    </row>
    <row r="91" spans="1:3">
      <c r="A91" t="s">
        <v>6483</v>
      </c>
      <c r="B91" t="s">
        <v>5278</v>
      </c>
      <c r="C91" t="s">
        <v>5433</v>
      </c>
    </row>
    <row r="92" spans="1:3">
      <c r="A92" t="s">
        <v>6484</v>
      </c>
      <c r="B92" t="s">
        <v>5278</v>
      </c>
      <c r="C92" t="s">
        <v>5433</v>
      </c>
    </row>
    <row r="93" spans="1:3">
      <c r="A93" t="s">
        <v>5810</v>
      </c>
      <c r="B93" t="s">
        <v>5278</v>
      </c>
      <c r="C93" t="s">
        <v>5433</v>
      </c>
    </row>
    <row r="94" spans="1:3">
      <c r="A94" t="s">
        <v>6485</v>
      </c>
      <c r="B94" t="s">
        <v>5278</v>
      </c>
      <c r="C94" t="s">
        <v>5433</v>
      </c>
    </row>
    <row r="95" spans="1:3">
      <c r="A95" t="s">
        <v>6486</v>
      </c>
      <c r="B95" t="s">
        <v>5290</v>
      </c>
      <c r="C95" t="s">
        <v>5433</v>
      </c>
    </row>
    <row r="96" spans="1:3">
      <c r="A96" t="s">
        <v>6487</v>
      </c>
      <c r="B96" t="s">
        <v>5290</v>
      </c>
      <c r="C96" t="s">
        <v>5433</v>
      </c>
    </row>
    <row r="97" spans="1:3">
      <c r="A97" t="s">
        <v>6488</v>
      </c>
      <c r="B97" t="s">
        <v>5290</v>
      </c>
      <c r="C97" t="s">
        <v>5433</v>
      </c>
    </row>
    <row r="98" spans="1:3">
      <c r="A98" t="s">
        <v>6489</v>
      </c>
      <c r="B98" t="s">
        <v>5290</v>
      </c>
      <c r="C98" t="s">
        <v>5433</v>
      </c>
    </row>
    <row r="99" spans="1:3">
      <c r="A99" t="s">
        <v>6490</v>
      </c>
      <c r="B99" t="s">
        <v>5290</v>
      </c>
      <c r="C99" t="s">
        <v>5433</v>
      </c>
    </row>
    <row r="100" spans="1:3">
      <c r="A100" t="s">
        <v>6491</v>
      </c>
      <c r="B100" t="s">
        <v>5290</v>
      </c>
      <c r="C100" t="s">
        <v>5433</v>
      </c>
    </row>
    <row r="101" spans="1:3">
      <c r="A101" t="s">
        <v>6492</v>
      </c>
      <c r="B101" t="s">
        <v>5290</v>
      </c>
      <c r="C101" t="s">
        <v>5433</v>
      </c>
    </row>
    <row r="102" spans="1:3">
      <c r="A102" t="s">
        <v>5812</v>
      </c>
      <c r="B102" t="s">
        <v>5290</v>
      </c>
      <c r="C102" t="s">
        <v>5433</v>
      </c>
    </row>
    <row r="103" spans="1:3">
      <c r="A103" t="s">
        <v>5815</v>
      </c>
      <c r="B103" t="s">
        <v>5290</v>
      </c>
      <c r="C103" t="s">
        <v>5299</v>
      </c>
    </row>
    <row r="104" spans="1:3">
      <c r="A104" t="s">
        <v>5818</v>
      </c>
      <c r="B104" t="s">
        <v>5290</v>
      </c>
      <c r="C104" t="s">
        <v>5433</v>
      </c>
    </row>
    <row r="105" spans="1:3">
      <c r="A105" t="s">
        <v>6493</v>
      </c>
      <c r="B105" t="s">
        <v>5290</v>
      </c>
      <c r="C105" t="s">
        <v>5433</v>
      </c>
    </row>
    <row r="106" spans="1:3">
      <c r="A106" t="s">
        <v>6494</v>
      </c>
      <c r="B106" t="s">
        <v>5290</v>
      </c>
      <c r="C106" t="s">
        <v>5433</v>
      </c>
    </row>
    <row r="107" spans="1:3">
      <c r="A107" t="s">
        <v>5821</v>
      </c>
      <c r="B107" t="s">
        <v>5290</v>
      </c>
      <c r="C107" t="s">
        <v>5433</v>
      </c>
    </row>
    <row r="108" spans="1:3">
      <c r="A108" t="s">
        <v>5824</v>
      </c>
      <c r="B108" t="s">
        <v>5290</v>
      </c>
      <c r="C108" t="s">
        <v>5299</v>
      </c>
    </row>
    <row r="109" spans="1:3">
      <c r="A109" t="s">
        <v>6495</v>
      </c>
      <c r="B109" t="s">
        <v>5290</v>
      </c>
      <c r="C109" t="s">
        <v>5433</v>
      </c>
    </row>
    <row r="110" spans="1:3">
      <c r="A110" t="s">
        <v>6496</v>
      </c>
      <c r="B110" t="s">
        <v>5290</v>
      </c>
      <c r="C110" t="s">
        <v>5433</v>
      </c>
    </row>
    <row r="111" spans="1:3">
      <c r="A111" t="s">
        <v>5826</v>
      </c>
      <c r="B111" t="s">
        <v>5290</v>
      </c>
      <c r="C111" t="s">
        <v>5433</v>
      </c>
    </row>
    <row r="112" spans="1:3">
      <c r="A112" t="s">
        <v>6497</v>
      </c>
      <c r="B112" t="s">
        <v>5290</v>
      </c>
      <c r="C112" t="s">
        <v>5433</v>
      </c>
    </row>
    <row r="113" spans="1:3">
      <c r="A113" t="s">
        <v>5829</v>
      </c>
      <c r="B113" t="s">
        <v>5290</v>
      </c>
      <c r="C113" t="s">
        <v>5433</v>
      </c>
    </row>
    <row r="114" spans="1:3">
      <c r="A114" t="s">
        <v>6498</v>
      </c>
      <c r="B114" t="s">
        <v>5290</v>
      </c>
      <c r="C114" t="s">
        <v>5433</v>
      </c>
    </row>
    <row r="115" spans="1:3">
      <c r="A115" t="s">
        <v>5832</v>
      </c>
      <c r="B115" t="s">
        <v>5290</v>
      </c>
      <c r="C115" t="s">
        <v>5299</v>
      </c>
    </row>
    <row r="116" spans="1:3">
      <c r="A116" t="s">
        <v>5834</v>
      </c>
      <c r="B116" t="s">
        <v>5290</v>
      </c>
      <c r="C116" t="s">
        <v>5299</v>
      </c>
    </row>
    <row r="117" spans="1:3">
      <c r="A117" t="s">
        <v>5837</v>
      </c>
      <c r="B117" t="s">
        <v>5290</v>
      </c>
      <c r="C117" t="s">
        <v>5433</v>
      </c>
    </row>
    <row r="118" spans="1:3">
      <c r="A118" t="s">
        <v>5840</v>
      </c>
      <c r="B118" t="s">
        <v>5290</v>
      </c>
      <c r="C118" t="s">
        <v>5433</v>
      </c>
    </row>
    <row r="119" spans="1:3">
      <c r="A119" t="s">
        <v>6499</v>
      </c>
      <c r="B119" t="s">
        <v>5290</v>
      </c>
      <c r="C119" t="s">
        <v>5433</v>
      </c>
    </row>
    <row r="120" spans="1:3">
      <c r="A120" t="s">
        <v>6500</v>
      </c>
      <c r="B120" t="s">
        <v>5290</v>
      </c>
      <c r="C120" t="s">
        <v>5433</v>
      </c>
    </row>
    <row r="121" spans="1:3">
      <c r="A121" t="s">
        <v>6501</v>
      </c>
      <c r="B121" t="s">
        <v>5405</v>
      </c>
      <c r="C121" t="s">
        <v>5433</v>
      </c>
    </row>
    <row r="122" spans="1:3">
      <c r="A122" t="s">
        <v>6502</v>
      </c>
      <c r="B122" t="s">
        <v>5405</v>
      </c>
      <c r="C122" t="s">
        <v>5433</v>
      </c>
    </row>
    <row r="123" spans="1:3">
      <c r="A123" t="s">
        <v>6503</v>
      </c>
      <c r="B123" t="s">
        <v>5405</v>
      </c>
      <c r="C123" t="s">
        <v>5433</v>
      </c>
    </row>
    <row r="124" spans="1:3">
      <c r="A124" t="s">
        <v>6504</v>
      </c>
      <c r="B124" t="s">
        <v>5405</v>
      </c>
      <c r="C124" t="s">
        <v>5433</v>
      </c>
    </row>
    <row r="125" spans="1:3">
      <c r="A125" t="s">
        <v>6505</v>
      </c>
      <c r="B125" t="s">
        <v>5405</v>
      </c>
      <c r="C125" t="s">
        <v>5433</v>
      </c>
    </row>
    <row r="126" spans="1:3">
      <c r="A126" t="s">
        <v>6506</v>
      </c>
      <c r="B126" t="s">
        <v>5405</v>
      </c>
      <c r="C126" t="s">
        <v>5433</v>
      </c>
    </row>
    <row r="127" spans="1:3">
      <c r="A127" t="s">
        <v>6507</v>
      </c>
      <c r="B127" t="s">
        <v>5405</v>
      </c>
      <c r="C127" t="s">
        <v>5433</v>
      </c>
    </row>
    <row r="128" spans="1:3">
      <c r="A128" t="s">
        <v>6508</v>
      </c>
      <c r="B128" t="s">
        <v>5405</v>
      </c>
      <c r="C128" t="s">
        <v>5433</v>
      </c>
    </row>
    <row r="129" spans="1:3">
      <c r="A129" t="s">
        <v>6509</v>
      </c>
      <c r="B129" t="s">
        <v>5405</v>
      </c>
      <c r="C129" t="s">
        <v>5433</v>
      </c>
    </row>
    <row r="130" spans="1:3">
      <c r="A130" t="s">
        <v>6510</v>
      </c>
      <c r="B130" t="s">
        <v>5405</v>
      </c>
      <c r="C130" t="s">
        <v>5433</v>
      </c>
    </row>
    <row r="131" spans="1:3">
      <c r="A131" t="s">
        <v>6511</v>
      </c>
      <c r="B131" t="s">
        <v>5405</v>
      </c>
      <c r="C131" t="s">
        <v>5433</v>
      </c>
    </row>
    <row r="132" spans="1:3">
      <c r="A132" t="s">
        <v>6512</v>
      </c>
      <c r="B132" t="s">
        <v>5405</v>
      </c>
      <c r="C132" t="s">
        <v>5433</v>
      </c>
    </row>
    <row r="133" spans="1:3">
      <c r="A133" t="s">
        <v>6513</v>
      </c>
      <c r="B133" t="s">
        <v>5405</v>
      </c>
      <c r="C133" t="s">
        <v>5433</v>
      </c>
    </row>
    <row r="134" spans="1:3">
      <c r="A134" t="s">
        <v>6514</v>
      </c>
      <c r="B134" t="s">
        <v>5405</v>
      </c>
      <c r="C134" t="s">
        <v>5433</v>
      </c>
    </row>
    <row r="135" spans="1:3">
      <c r="A135" t="s">
        <v>6515</v>
      </c>
      <c r="B135" t="s">
        <v>5405</v>
      </c>
      <c r="C135" t="s">
        <v>5433</v>
      </c>
    </row>
    <row r="136" spans="1:3">
      <c r="A136" t="s">
        <v>929</v>
      </c>
      <c r="B136" t="s">
        <v>5405</v>
      </c>
      <c r="C136" t="s">
        <v>5433</v>
      </c>
    </row>
    <row r="137" spans="1:3">
      <c r="A137" t="s">
        <v>6516</v>
      </c>
      <c r="B137" t="s">
        <v>5405</v>
      </c>
      <c r="C137" t="s">
        <v>5433</v>
      </c>
    </row>
    <row r="138" spans="1:3">
      <c r="A138" t="s">
        <v>6517</v>
      </c>
      <c r="B138" t="s">
        <v>5405</v>
      </c>
      <c r="C138" t="s">
        <v>5433</v>
      </c>
    </row>
    <row r="139" spans="1:3">
      <c r="A139" t="s">
        <v>5843</v>
      </c>
      <c r="B139" t="s">
        <v>5261</v>
      </c>
      <c r="C139" t="s">
        <v>5299</v>
      </c>
    </row>
    <row r="140" spans="1:3">
      <c r="A140" t="s">
        <v>5846</v>
      </c>
      <c r="B140" t="s">
        <v>5261</v>
      </c>
      <c r="C140" t="s">
        <v>5433</v>
      </c>
    </row>
    <row r="141" spans="1:3">
      <c r="A141" t="s">
        <v>6518</v>
      </c>
      <c r="B141" t="s">
        <v>5261</v>
      </c>
      <c r="C141" t="s">
        <v>5433</v>
      </c>
    </row>
    <row r="142" spans="1:3">
      <c r="A142" t="s">
        <v>6519</v>
      </c>
      <c r="B142" t="s">
        <v>5261</v>
      </c>
      <c r="C142" t="s">
        <v>5433</v>
      </c>
    </row>
    <row r="143" spans="1:3">
      <c r="A143" t="s">
        <v>5849</v>
      </c>
      <c r="B143" t="s">
        <v>5261</v>
      </c>
      <c r="C143" t="s">
        <v>5433</v>
      </c>
    </row>
    <row r="144" spans="1:3">
      <c r="A144" t="s">
        <v>6520</v>
      </c>
      <c r="B144" t="s">
        <v>5261</v>
      </c>
      <c r="C144" t="s">
        <v>5433</v>
      </c>
    </row>
    <row r="145" spans="1:3">
      <c r="A145" t="s">
        <v>5852</v>
      </c>
      <c r="B145" t="s">
        <v>5261</v>
      </c>
      <c r="C145" t="s">
        <v>5433</v>
      </c>
    </row>
    <row r="146" spans="1:3">
      <c r="A146" t="s">
        <v>6521</v>
      </c>
      <c r="B146" t="s">
        <v>5261</v>
      </c>
      <c r="C146" t="s">
        <v>5433</v>
      </c>
    </row>
    <row r="147" spans="1:3">
      <c r="A147" t="s">
        <v>5855</v>
      </c>
      <c r="B147" t="s">
        <v>5261</v>
      </c>
      <c r="C147" t="s">
        <v>5433</v>
      </c>
    </row>
    <row r="148" spans="1:3">
      <c r="A148" t="s">
        <v>6522</v>
      </c>
      <c r="B148" t="s">
        <v>5261</v>
      </c>
      <c r="C148" t="s">
        <v>5433</v>
      </c>
    </row>
    <row r="149" spans="1:3">
      <c r="A149" t="s">
        <v>5857</v>
      </c>
      <c r="B149" t="s">
        <v>5261</v>
      </c>
      <c r="C149" t="s">
        <v>5299</v>
      </c>
    </row>
    <row r="150" spans="1:3">
      <c r="A150" t="s">
        <v>6523</v>
      </c>
      <c r="B150" t="s">
        <v>5261</v>
      </c>
      <c r="C150" t="s">
        <v>5433</v>
      </c>
    </row>
    <row r="151" spans="1:3">
      <c r="A151" t="s">
        <v>5860</v>
      </c>
      <c r="B151" t="s">
        <v>5261</v>
      </c>
      <c r="C151" t="s">
        <v>5299</v>
      </c>
    </row>
    <row r="152" spans="1:3">
      <c r="A152" t="s">
        <v>6524</v>
      </c>
      <c r="B152" t="s">
        <v>5261</v>
      </c>
      <c r="C152" t="s">
        <v>5433</v>
      </c>
    </row>
    <row r="153" spans="1:3">
      <c r="A153" t="s">
        <v>5863</v>
      </c>
      <c r="B153" t="s">
        <v>5261</v>
      </c>
      <c r="C153" t="s">
        <v>5433</v>
      </c>
    </row>
    <row r="154" spans="1:3">
      <c r="A154" t="s">
        <v>6525</v>
      </c>
      <c r="B154" t="s">
        <v>5261</v>
      </c>
      <c r="C154" t="s">
        <v>5433</v>
      </c>
    </row>
    <row r="155" spans="1:3">
      <c r="A155" t="s">
        <v>6526</v>
      </c>
      <c r="B155" t="s">
        <v>5261</v>
      </c>
      <c r="C155" t="s">
        <v>5433</v>
      </c>
    </row>
    <row r="156" spans="1:3">
      <c r="A156" t="s">
        <v>6527</v>
      </c>
      <c r="B156" t="s">
        <v>5261</v>
      </c>
      <c r="C156" t="s">
        <v>5433</v>
      </c>
    </row>
    <row r="157" spans="1:3">
      <c r="A157" t="s">
        <v>6528</v>
      </c>
      <c r="B157" t="s">
        <v>5261</v>
      </c>
      <c r="C157" t="s">
        <v>5433</v>
      </c>
    </row>
    <row r="158" spans="1:3">
      <c r="A158" t="s">
        <v>6529</v>
      </c>
      <c r="B158" t="s">
        <v>5261</v>
      </c>
      <c r="C158" t="s">
        <v>5433</v>
      </c>
    </row>
    <row r="159" spans="1:3">
      <c r="A159" t="s">
        <v>6530</v>
      </c>
      <c r="B159" t="s">
        <v>5261</v>
      </c>
      <c r="C159" t="s">
        <v>5433</v>
      </c>
    </row>
    <row r="160" spans="1:3">
      <c r="A160" t="s">
        <v>6531</v>
      </c>
      <c r="B160" t="s">
        <v>5261</v>
      </c>
      <c r="C160" t="s">
        <v>5433</v>
      </c>
    </row>
    <row r="161" spans="1:3">
      <c r="A161" t="s">
        <v>5865</v>
      </c>
      <c r="B161" t="s">
        <v>5261</v>
      </c>
      <c r="C161" t="s">
        <v>5433</v>
      </c>
    </row>
    <row r="162" spans="1:3">
      <c r="A162" t="s">
        <v>6532</v>
      </c>
      <c r="B162" t="s">
        <v>5261</v>
      </c>
      <c r="C162" t="s">
        <v>5433</v>
      </c>
    </row>
    <row r="163" spans="1:3">
      <c r="A163" t="s">
        <v>5867</v>
      </c>
      <c r="B163" t="s">
        <v>5261</v>
      </c>
      <c r="C163" t="s">
        <v>5433</v>
      </c>
    </row>
    <row r="164" spans="1:3">
      <c r="A164" t="s">
        <v>6533</v>
      </c>
      <c r="B164" t="s">
        <v>5261</v>
      </c>
      <c r="C164" t="s">
        <v>5433</v>
      </c>
    </row>
    <row r="165" spans="1:3">
      <c r="A165" t="s">
        <v>6534</v>
      </c>
      <c r="B165" t="s">
        <v>5261</v>
      </c>
      <c r="C165" t="s">
        <v>5433</v>
      </c>
    </row>
    <row r="166" spans="1:3">
      <c r="A166" t="s">
        <v>5869</v>
      </c>
      <c r="B166" t="s">
        <v>5261</v>
      </c>
      <c r="C166" t="s">
        <v>5433</v>
      </c>
    </row>
    <row r="167" spans="1:3">
      <c r="A167" t="s">
        <v>6535</v>
      </c>
      <c r="B167" t="s">
        <v>5261</v>
      </c>
      <c r="C167" t="s">
        <v>5433</v>
      </c>
    </row>
    <row r="168" spans="1:3">
      <c r="A168" t="s">
        <v>5872</v>
      </c>
      <c r="B168" t="s">
        <v>5261</v>
      </c>
      <c r="C168" t="s">
        <v>5433</v>
      </c>
    </row>
    <row r="169" spans="1:3">
      <c r="A169" t="s">
        <v>5262</v>
      </c>
      <c r="B169" t="s">
        <v>5261</v>
      </c>
      <c r="C169" t="s">
        <v>5299</v>
      </c>
    </row>
    <row r="170" spans="1:3">
      <c r="A170" t="s">
        <v>6536</v>
      </c>
      <c r="B170" t="s">
        <v>5261</v>
      </c>
      <c r="C170" t="s">
        <v>5433</v>
      </c>
    </row>
    <row r="171" spans="1:3">
      <c r="A171" t="s">
        <v>2737</v>
      </c>
      <c r="B171" t="s">
        <v>5261</v>
      </c>
      <c r="C171" t="s">
        <v>5299</v>
      </c>
    </row>
    <row r="172" spans="1:3">
      <c r="A172" t="s">
        <v>6537</v>
      </c>
      <c r="B172" t="s">
        <v>5261</v>
      </c>
      <c r="C172" t="s">
        <v>5433</v>
      </c>
    </row>
    <row r="173" spans="1:3">
      <c r="A173" t="s">
        <v>6538</v>
      </c>
      <c r="B173" t="s">
        <v>5261</v>
      </c>
      <c r="C173" t="s">
        <v>5433</v>
      </c>
    </row>
    <row r="174" spans="1:3">
      <c r="A174" t="s">
        <v>6539</v>
      </c>
      <c r="B174" t="s">
        <v>5261</v>
      </c>
      <c r="C174" t="s">
        <v>5433</v>
      </c>
    </row>
    <row r="175" spans="1:3">
      <c r="A175" t="s">
        <v>5876</v>
      </c>
      <c r="B175" t="s">
        <v>5261</v>
      </c>
      <c r="C175" t="s">
        <v>5433</v>
      </c>
    </row>
    <row r="176" spans="1:3">
      <c r="A176" t="s">
        <v>5878</v>
      </c>
      <c r="B176" t="s">
        <v>5261</v>
      </c>
      <c r="C176" t="s">
        <v>5299</v>
      </c>
    </row>
    <row r="177" spans="1:3">
      <c r="A177" t="s">
        <v>1896</v>
      </c>
      <c r="B177" t="s">
        <v>5261</v>
      </c>
      <c r="C177" t="s">
        <v>5433</v>
      </c>
    </row>
    <row r="178" spans="1:3">
      <c r="A178" t="s">
        <v>5882</v>
      </c>
      <c r="B178" t="s">
        <v>5261</v>
      </c>
      <c r="C178" t="s">
        <v>5299</v>
      </c>
    </row>
    <row r="179" spans="1:3">
      <c r="A179" t="s">
        <v>5884</v>
      </c>
      <c r="B179" t="s">
        <v>5261</v>
      </c>
      <c r="C179" t="s">
        <v>5433</v>
      </c>
    </row>
    <row r="180" spans="1:3">
      <c r="A180" t="s">
        <v>6540</v>
      </c>
      <c r="B180" t="s">
        <v>5261</v>
      </c>
      <c r="C180" t="s">
        <v>5433</v>
      </c>
    </row>
    <row r="181" spans="1:3">
      <c r="A181" t="s">
        <v>5886</v>
      </c>
      <c r="B181" t="s">
        <v>5261</v>
      </c>
      <c r="C181" t="s">
        <v>5433</v>
      </c>
    </row>
    <row r="182" spans="1:3">
      <c r="A182" t="s">
        <v>6541</v>
      </c>
      <c r="B182" t="s">
        <v>5261</v>
      </c>
      <c r="C182" t="s">
        <v>5433</v>
      </c>
    </row>
    <row r="183" spans="1:3">
      <c r="A183" t="s">
        <v>6542</v>
      </c>
      <c r="B183" t="s">
        <v>5261</v>
      </c>
      <c r="C183" t="s">
        <v>5433</v>
      </c>
    </row>
    <row r="184" spans="1:3">
      <c r="A184" t="s">
        <v>6543</v>
      </c>
      <c r="B184" t="s">
        <v>5261</v>
      </c>
      <c r="C184" t="s">
        <v>5433</v>
      </c>
    </row>
    <row r="185" spans="1:3">
      <c r="A185" t="s">
        <v>5888</v>
      </c>
      <c r="B185" t="s">
        <v>5261</v>
      </c>
      <c r="C185" t="s">
        <v>5433</v>
      </c>
    </row>
    <row r="186" spans="1:3">
      <c r="A186" t="s">
        <v>6544</v>
      </c>
      <c r="B186" t="s">
        <v>5261</v>
      </c>
      <c r="C186" t="s">
        <v>5433</v>
      </c>
    </row>
    <row r="187" spans="1:3">
      <c r="A187" t="s">
        <v>6545</v>
      </c>
      <c r="B187" t="s">
        <v>5261</v>
      </c>
      <c r="C187" t="s">
        <v>5433</v>
      </c>
    </row>
    <row r="188" spans="1:3">
      <c r="A188" t="s">
        <v>6546</v>
      </c>
      <c r="B188" t="s">
        <v>5261</v>
      </c>
      <c r="C188" t="s">
        <v>5433</v>
      </c>
    </row>
    <row r="189" spans="1:3">
      <c r="A189" t="s">
        <v>6547</v>
      </c>
      <c r="B189" t="s">
        <v>5261</v>
      </c>
      <c r="C189" t="s">
        <v>5433</v>
      </c>
    </row>
    <row r="190" spans="1:3">
      <c r="A190" t="s">
        <v>5890</v>
      </c>
      <c r="B190" t="s">
        <v>5261</v>
      </c>
      <c r="C190" t="s">
        <v>5299</v>
      </c>
    </row>
    <row r="191" spans="1:3">
      <c r="A191" t="s">
        <v>6548</v>
      </c>
      <c r="B191" t="s">
        <v>5261</v>
      </c>
      <c r="C191" t="s">
        <v>5433</v>
      </c>
    </row>
    <row r="192" spans="1:3">
      <c r="A192" t="s">
        <v>6549</v>
      </c>
      <c r="B192" t="s">
        <v>5261</v>
      </c>
      <c r="C192" t="s">
        <v>5433</v>
      </c>
    </row>
    <row r="193" spans="1:3">
      <c r="A193" t="s">
        <v>6550</v>
      </c>
      <c r="B193" t="s">
        <v>5261</v>
      </c>
      <c r="C193" t="s">
        <v>5433</v>
      </c>
    </row>
    <row r="194" spans="1:3">
      <c r="A194" t="s">
        <v>6551</v>
      </c>
      <c r="B194" t="s">
        <v>5261</v>
      </c>
      <c r="C194" t="s">
        <v>5433</v>
      </c>
    </row>
    <row r="195" spans="1:3">
      <c r="A195" t="s">
        <v>5892</v>
      </c>
      <c r="B195" t="s">
        <v>5261</v>
      </c>
      <c r="C195" t="s">
        <v>5299</v>
      </c>
    </row>
    <row r="196" spans="1:3">
      <c r="A196" t="s">
        <v>5895</v>
      </c>
      <c r="B196" t="s">
        <v>5261</v>
      </c>
      <c r="C196" t="s">
        <v>5433</v>
      </c>
    </row>
    <row r="197" spans="1:3">
      <c r="A197" t="s">
        <v>6552</v>
      </c>
      <c r="B197" t="s">
        <v>5261</v>
      </c>
      <c r="C197" t="s">
        <v>5433</v>
      </c>
    </row>
    <row r="198" spans="1:3">
      <c r="A198" t="s">
        <v>6553</v>
      </c>
      <c r="B198" t="s">
        <v>5261</v>
      </c>
      <c r="C198" t="s">
        <v>5433</v>
      </c>
    </row>
    <row r="199" spans="1:3">
      <c r="A199" t="s">
        <v>5897</v>
      </c>
      <c r="B199" t="s">
        <v>5261</v>
      </c>
      <c r="C199" t="s">
        <v>5433</v>
      </c>
    </row>
    <row r="200" spans="1:3">
      <c r="A200" t="s">
        <v>5899</v>
      </c>
      <c r="B200" t="s">
        <v>5261</v>
      </c>
      <c r="C200" t="s">
        <v>5433</v>
      </c>
    </row>
    <row r="201" spans="1:3">
      <c r="A201" t="s">
        <v>5901</v>
      </c>
      <c r="B201" t="s">
        <v>5261</v>
      </c>
      <c r="C201" t="s">
        <v>5433</v>
      </c>
    </row>
    <row r="202" spans="1:3">
      <c r="A202" t="s">
        <v>5903</v>
      </c>
      <c r="B202" t="s">
        <v>5261</v>
      </c>
      <c r="C202" t="s">
        <v>5299</v>
      </c>
    </row>
    <row r="203" spans="1:3">
      <c r="A203" t="s">
        <v>6554</v>
      </c>
      <c r="B203" t="s">
        <v>5261</v>
      </c>
      <c r="C203" t="s">
        <v>5433</v>
      </c>
    </row>
    <row r="204" spans="1:3">
      <c r="A204" t="s">
        <v>5905</v>
      </c>
      <c r="B204" t="s">
        <v>5261</v>
      </c>
      <c r="C204" t="s">
        <v>5433</v>
      </c>
    </row>
    <row r="205" spans="1:3">
      <c r="A205" t="s">
        <v>5907</v>
      </c>
      <c r="B205" t="s">
        <v>5261</v>
      </c>
      <c r="C205" t="s">
        <v>5433</v>
      </c>
    </row>
    <row r="206" spans="1:3">
      <c r="A206" t="s">
        <v>5909</v>
      </c>
      <c r="B206" t="s">
        <v>5261</v>
      </c>
      <c r="C206" t="s">
        <v>5299</v>
      </c>
    </row>
    <row r="207" spans="1:3">
      <c r="A207" t="s">
        <v>6555</v>
      </c>
      <c r="B207" t="s">
        <v>5261</v>
      </c>
      <c r="C207" t="s">
        <v>5433</v>
      </c>
    </row>
    <row r="208" spans="1:3">
      <c r="A208" t="s">
        <v>6556</v>
      </c>
      <c r="B208" t="s">
        <v>5261</v>
      </c>
      <c r="C208" t="s">
        <v>5433</v>
      </c>
    </row>
    <row r="209" spans="1:3">
      <c r="A209" t="s">
        <v>6557</v>
      </c>
      <c r="B209" t="s">
        <v>5261</v>
      </c>
      <c r="C209" t="s">
        <v>5433</v>
      </c>
    </row>
    <row r="210" spans="1:3">
      <c r="A210" t="s">
        <v>5911</v>
      </c>
      <c r="B210" t="s">
        <v>5261</v>
      </c>
      <c r="C210" t="s">
        <v>5433</v>
      </c>
    </row>
    <row r="211" spans="1:3">
      <c r="A211" t="s">
        <v>6558</v>
      </c>
      <c r="B211" t="s">
        <v>5261</v>
      </c>
      <c r="C211" t="s">
        <v>5433</v>
      </c>
    </row>
    <row r="212" spans="1:3">
      <c r="A212" t="s">
        <v>6559</v>
      </c>
      <c r="B212" t="s">
        <v>5419</v>
      </c>
      <c r="C212" t="s">
        <v>5433</v>
      </c>
    </row>
    <row r="213" spans="1:3">
      <c r="A213" t="s">
        <v>6560</v>
      </c>
      <c r="B213" t="s">
        <v>5414</v>
      </c>
      <c r="C213" t="s">
        <v>5433</v>
      </c>
    </row>
    <row r="214" spans="1:3">
      <c r="A214" t="s">
        <v>6561</v>
      </c>
      <c r="B214" t="s">
        <v>5396</v>
      </c>
      <c r="C214" t="s">
        <v>5433</v>
      </c>
    </row>
    <row r="215" spans="1:3">
      <c r="A215" t="s">
        <v>6562</v>
      </c>
      <c r="B215" t="s">
        <v>5396</v>
      </c>
      <c r="C215" t="s">
        <v>5433</v>
      </c>
    </row>
    <row r="216" spans="1:3">
      <c r="A216" t="s">
        <v>6563</v>
      </c>
      <c r="B216" t="s">
        <v>5396</v>
      </c>
      <c r="C216" t="s">
        <v>5433</v>
      </c>
    </row>
    <row r="217" spans="1:3">
      <c r="A217" t="s">
        <v>6564</v>
      </c>
      <c r="B217" t="s">
        <v>5396</v>
      </c>
      <c r="C217" t="s">
        <v>5433</v>
      </c>
    </row>
    <row r="218" spans="1:3">
      <c r="A218" t="s">
        <v>5913</v>
      </c>
      <c r="B218" t="s">
        <v>5396</v>
      </c>
      <c r="C218" t="s">
        <v>5299</v>
      </c>
    </row>
    <row r="219" spans="1:3">
      <c r="A219" t="s">
        <v>6565</v>
      </c>
      <c r="B219" t="s">
        <v>5396</v>
      </c>
      <c r="C219" t="s">
        <v>5433</v>
      </c>
    </row>
    <row r="220" spans="1:3">
      <c r="A220" t="s">
        <v>6566</v>
      </c>
      <c r="B220" t="s">
        <v>5396</v>
      </c>
      <c r="C220" t="s">
        <v>5433</v>
      </c>
    </row>
    <row r="221" spans="1:3">
      <c r="A221" t="s">
        <v>6567</v>
      </c>
      <c r="B221" t="s">
        <v>5396</v>
      </c>
      <c r="C221" t="s">
        <v>5433</v>
      </c>
    </row>
    <row r="222" spans="1:3">
      <c r="A222" t="s">
        <v>6568</v>
      </c>
      <c r="B222" t="s">
        <v>5396</v>
      </c>
      <c r="C222" t="s">
        <v>5433</v>
      </c>
    </row>
    <row r="223" spans="1:3">
      <c r="A223" t="s">
        <v>6569</v>
      </c>
      <c r="B223" t="s">
        <v>5396</v>
      </c>
      <c r="C223" t="s">
        <v>5433</v>
      </c>
    </row>
    <row r="224" spans="1:3">
      <c r="A224" t="s">
        <v>6570</v>
      </c>
      <c r="B224" t="s">
        <v>5396</v>
      </c>
      <c r="C224" t="s">
        <v>5433</v>
      </c>
    </row>
    <row r="225" spans="1:3">
      <c r="A225" t="s">
        <v>6571</v>
      </c>
      <c r="B225" t="s">
        <v>5396</v>
      </c>
      <c r="C225" t="s">
        <v>5433</v>
      </c>
    </row>
    <row r="226" spans="1:3">
      <c r="A226" t="s">
        <v>6572</v>
      </c>
      <c r="B226" t="s">
        <v>5396</v>
      </c>
      <c r="C226" t="s">
        <v>5433</v>
      </c>
    </row>
    <row r="227" spans="1:3">
      <c r="A227" t="s">
        <v>6573</v>
      </c>
      <c r="B227" t="s">
        <v>5396</v>
      </c>
      <c r="C227" t="s">
        <v>5433</v>
      </c>
    </row>
    <row r="228" spans="1:3">
      <c r="A228" t="s">
        <v>6574</v>
      </c>
      <c r="B228" t="s">
        <v>5396</v>
      </c>
      <c r="C228" t="s">
        <v>5433</v>
      </c>
    </row>
    <row r="229" spans="1:3">
      <c r="A229" t="s">
        <v>6575</v>
      </c>
      <c r="B229" t="s">
        <v>5396</v>
      </c>
      <c r="C229" t="s">
        <v>5433</v>
      </c>
    </row>
    <row r="230" spans="1:3">
      <c r="A230" t="s">
        <v>6576</v>
      </c>
      <c r="B230" t="s">
        <v>5396</v>
      </c>
      <c r="C230" t="s">
        <v>5433</v>
      </c>
    </row>
    <row r="231" spans="1:3">
      <c r="A231" t="s">
        <v>6577</v>
      </c>
      <c r="B231" t="s">
        <v>5396</v>
      </c>
      <c r="C231" t="s">
        <v>5433</v>
      </c>
    </row>
    <row r="232" spans="1:3">
      <c r="A232" t="s">
        <v>6578</v>
      </c>
      <c r="B232" t="s">
        <v>5396</v>
      </c>
      <c r="C232" t="s">
        <v>5433</v>
      </c>
    </row>
    <row r="233" spans="1:3">
      <c r="A233" t="s">
        <v>6579</v>
      </c>
      <c r="B233" t="s">
        <v>5396</v>
      </c>
      <c r="C233" t="s">
        <v>5433</v>
      </c>
    </row>
    <row r="234" spans="1:3">
      <c r="A234" t="s">
        <v>6580</v>
      </c>
      <c r="B234" t="s">
        <v>5396</v>
      </c>
      <c r="C234" t="s">
        <v>5433</v>
      </c>
    </row>
    <row r="235" spans="1:3">
      <c r="A235" t="s">
        <v>6581</v>
      </c>
      <c r="B235" t="s">
        <v>5396</v>
      </c>
      <c r="C235" t="s">
        <v>5433</v>
      </c>
    </row>
    <row r="236" spans="1:3">
      <c r="A236" t="s">
        <v>6582</v>
      </c>
      <c r="B236" t="s">
        <v>5396</v>
      </c>
      <c r="C236" t="s">
        <v>5433</v>
      </c>
    </row>
    <row r="237" spans="1:3">
      <c r="A237" t="s">
        <v>5916</v>
      </c>
      <c r="B237" t="s">
        <v>5396</v>
      </c>
      <c r="C237" t="s">
        <v>5299</v>
      </c>
    </row>
    <row r="238" spans="1:3">
      <c r="A238" t="s">
        <v>6583</v>
      </c>
      <c r="B238" t="s">
        <v>5396</v>
      </c>
      <c r="C238" t="s">
        <v>5433</v>
      </c>
    </row>
    <row r="239" spans="1:3">
      <c r="A239" t="s">
        <v>6584</v>
      </c>
      <c r="B239" t="s">
        <v>5396</v>
      </c>
      <c r="C239" t="s">
        <v>5433</v>
      </c>
    </row>
    <row r="240" spans="1:3">
      <c r="A240" t="s">
        <v>6585</v>
      </c>
      <c r="B240" t="s">
        <v>5396</v>
      </c>
      <c r="C240" t="s">
        <v>5433</v>
      </c>
    </row>
    <row r="241" spans="1:3">
      <c r="A241" t="s">
        <v>6586</v>
      </c>
      <c r="B241" t="s">
        <v>5264</v>
      </c>
      <c r="C241" t="s">
        <v>5433</v>
      </c>
    </row>
    <row r="242" spans="1:3">
      <c r="A242" t="s">
        <v>6587</v>
      </c>
      <c r="B242" t="s">
        <v>5264</v>
      </c>
      <c r="C242" t="s">
        <v>5433</v>
      </c>
    </row>
    <row r="243" spans="1:3">
      <c r="A243" t="s">
        <v>6588</v>
      </c>
      <c r="B243" t="s">
        <v>5264</v>
      </c>
      <c r="C243" t="s">
        <v>5433</v>
      </c>
    </row>
    <row r="244" spans="1:3">
      <c r="A244" t="s">
        <v>5918</v>
      </c>
      <c r="B244" t="s">
        <v>5264</v>
      </c>
      <c r="C244" t="s">
        <v>5299</v>
      </c>
    </row>
    <row r="245" spans="1:3">
      <c r="A245" t="s">
        <v>6589</v>
      </c>
      <c r="B245" t="s">
        <v>5264</v>
      </c>
      <c r="C245" t="s">
        <v>5433</v>
      </c>
    </row>
    <row r="246" spans="1:3">
      <c r="A246" t="s">
        <v>6590</v>
      </c>
      <c r="B246" t="s">
        <v>5264</v>
      </c>
      <c r="C246" t="s">
        <v>5433</v>
      </c>
    </row>
    <row r="247" spans="1:3">
      <c r="A247" t="s">
        <v>5921</v>
      </c>
      <c r="B247" t="s">
        <v>5264</v>
      </c>
      <c r="C247" t="s">
        <v>5299</v>
      </c>
    </row>
    <row r="248" spans="1:3">
      <c r="A248" t="s">
        <v>6591</v>
      </c>
      <c r="B248" t="s">
        <v>5264</v>
      </c>
      <c r="C248" t="s">
        <v>5433</v>
      </c>
    </row>
    <row r="249" spans="1:3">
      <c r="A249" t="s">
        <v>5924</v>
      </c>
      <c r="B249" t="s">
        <v>5264</v>
      </c>
      <c r="C249" t="s">
        <v>5433</v>
      </c>
    </row>
    <row r="250" spans="1:3">
      <c r="A250" t="s">
        <v>6592</v>
      </c>
      <c r="B250" t="s">
        <v>5264</v>
      </c>
      <c r="C250" t="s">
        <v>5433</v>
      </c>
    </row>
    <row r="251" spans="1:3">
      <c r="A251" t="s">
        <v>6593</v>
      </c>
      <c r="B251" t="s">
        <v>5264</v>
      </c>
      <c r="C251" t="s">
        <v>5433</v>
      </c>
    </row>
    <row r="252" spans="1:3">
      <c r="A252" t="s">
        <v>5927</v>
      </c>
      <c r="B252" t="s">
        <v>5264</v>
      </c>
      <c r="C252" t="s">
        <v>5299</v>
      </c>
    </row>
    <row r="253" spans="1:3">
      <c r="A253" t="s">
        <v>6594</v>
      </c>
      <c r="B253" t="s">
        <v>5264</v>
      </c>
      <c r="C253" t="s">
        <v>5433</v>
      </c>
    </row>
    <row r="254" spans="1:3">
      <c r="A254" t="s">
        <v>5929</v>
      </c>
      <c r="B254" t="s">
        <v>5264</v>
      </c>
      <c r="C254" t="s">
        <v>5433</v>
      </c>
    </row>
    <row r="255" spans="1:3">
      <c r="A255" t="s">
        <v>6595</v>
      </c>
      <c r="B255" t="s">
        <v>5264</v>
      </c>
      <c r="C255" t="s">
        <v>5433</v>
      </c>
    </row>
    <row r="256" spans="1:3">
      <c r="A256" t="s">
        <v>6596</v>
      </c>
      <c r="B256" t="s">
        <v>5264</v>
      </c>
      <c r="C256" t="s">
        <v>5433</v>
      </c>
    </row>
    <row r="257" spans="1:3">
      <c r="A257" t="s">
        <v>5931</v>
      </c>
      <c r="B257" t="s">
        <v>5264</v>
      </c>
      <c r="C257" t="s">
        <v>5299</v>
      </c>
    </row>
    <row r="258" spans="1:3">
      <c r="A258" t="s">
        <v>5933</v>
      </c>
      <c r="B258" t="s">
        <v>5264</v>
      </c>
      <c r="C258" t="s">
        <v>5433</v>
      </c>
    </row>
    <row r="259" spans="1:3">
      <c r="A259" t="s">
        <v>5936</v>
      </c>
      <c r="B259" t="s">
        <v>5264</v>
      </c>
      <c r="C259" t="s">
        <v>5433</v>
      </c>
    </row>
    <row r="260" spans="1:3">
      <c r="A260" t="s">
        <v>6597</v>
      </c>
      <c r="B260" t="s">
        <v>5264</v>
      </c>
      <c r="C260" t="s">
        <v>5433</v>
      </c>
    </row>
    <row r="261" spans="1:3">
      <c r="A261" t="s">
        <v>6598</v>
      </c>
      <c r="B261" t="s">
        <v>5264</v>
      </c>
      <c r="C261" t="s">
        <v>5433</v>
      </c>
    </row>
    <row r="262" spans="1:3">
      <c r="A262" t="s">
        <v>6599</v>
      </c>
      <c r="B262" t="s">
        <v>5264</v>
      </c>
      <c r="C262" t="s">
        <v>5433</v>
      </c>
    </row>
    <row r="263" spans="1:3">
      <c r="A263" t="s">
        <v>6600</v>
      </c>
      <c r="B263" t="s">
        <v>5264</v>
      </c>
      <c r="C263" t="s">
        <v>5433</v>
      </c>
    </row>
    <row r="264" spans="1:3">
      <c r="A264" t="s">
        <v>6601</v>
      </c>
      <c r="B264" t="s">
        <v>5264</v>
      </c>
      <c r="C264" t="s">
        <v>5433</v>
      </c>
    </row>
    <row r="265" spans="1:3">
      <c r="A265" t="s">
        <v>6602</v>
      </c>
      <c r="B265" t="s">
        <v>5264</v>
      </c>
      <c r="C265" t="s">
        <v>5433</v>
      </c>
    </row>
    <row r="266" spans="1:3">
      <c r="A266" t="s">
        <v>6603</v>
      </c>
      <c r="B266" t="s">
        <v>5264</v>
      </c>
      <c r="C266" t="s">
        <v>5433</v>
      </c>
    </row>
    <row r="267" spans="1:3">
      <c r="A267" t="s">
        <v>5938</v>
      </c>
      <c r="B267" t="s">
        <v>5264</v>
      </c>
      <c r="C267" t="s">
        <v>5433</v>
      </c>
    </row>
    <row r="268" spans="1:3">
      <c r="A268" t="s">
        <v>6604</v>
      </c>
      <c r="B268" t="s">
        <v>5264</v>
      </c>
      <c r="C268" t="s">
        <v>5433</v>
      </c>
    </row>
    <row r="269" spans="1:3">
      <c r="A269" t="s">
        <v>5941</v>
      </c>
      <c r="B269" t="s">
        <v>5264</v>
      </c>
      <c r="C269" t="s">
        <v>5299</v>
      </c>
    </row>
    <row r="270" spans="1:3">
      <c r="A270" t="s">
        <v>5944</v>
      </c>
      <c r="B270" t="s">
        <v>5264</v>
      </c>
      <c r="C270" t="s">
        <v>5433</v>
      </c>
    </row>
    <row r="271" spans="1:3">
      <c r="A271" t="s">
        <v>6605</v>
      </c>
      <c r="B271" t="s">
        <v>5264</v>
      </c>
      <c r="C271" t="s">
        <v>5433</v>
      </c>
    </row>
    <row r="272" spans="1:3">
      <c r="A272" t="s">
        <v>6606</v>
      </c>
      <c r="B272" t="s">
        <v>5264</v>
      </c>
      <c r="C272" t="s">
        <v>5433</v>
      </c>
    </row>
    <row r="273" spans="1:3">
      <c r="A273" t="s">
        <v>6607</v>
      </c>
      <c r="B273" t="s">
        <v>5264</v>
      </c>
      <c r="C273" t="s">
        <v>5433</v>
      </c>
    </row>
    <row r="274" spans="1:3">
      <c r="A274" t="s">
        <v>5947</v>
      </c>
      <c r="B274" t="s">
        <v>5264</v>
      </c>
      <c r="C274" t="s">
        <v>5433</v>
      </c>
    </row>
    <row r="275" spans="1:3">
      <c r="A275" t="s">
        <v>6608</v>
      </c>
      <c r="B275" t="s">
        <v>5264</v>
      </c>
      <c r="C275" t="s">
        <v>5433</v>
      </c>
    </row>
    <row r="276" spans="1:3">
      <c r="A276" t="s">
        <v>6609</v>
      </c>
      <c r="B276" t="s">
        <v>5264</v>
      </c>
      <c r="C276" t="s">
        <v>5433</v>
      </c>
    </row>
    <row r="277" spans="1:3">
      <c r="A277" t="s">
        <v>5950</v>
      </c>
      <c r="B277" t="s">
        <v>5264</v>
      </c>
      <c r="C277" t="s">
        <v>5433</v>
      </c>
    </row>
    <row r="278" spans="1:3">
      <c r="A278" t="s">
        <v>6610</v>
      </c>
      <c r="B278" t="s">
        <v>5264</v>
      </c>
      <c r="C278" t="s">
        <v>5433</v>
      </c>
    </row>
    <row r="279" spans="1:3">
      <c r="A279" t="s">
        <v>6611</v>
      </c>
      <c r="B279" t="s">
        <v>5264</v>
      </c>
      <c r="C279" t="s">
        <v>5433</v>
      </c>
    </row>
    <row r="280" spans="1:3">
      <c r="A280" t="s">
        <v>5265</v>
      </c>
      <c r="B280" t="s">
        <v>5264</v>
      </c>
      <c r="C280" t="s">
        <v>5299</v>
      </c>
    </row>
    <row r="281" spans="1:3">
      <c r="A281" t="s">
        <v>5952</v>
      </c>
      <c r="B281" t="s">
        <v>5264</v>
      </c>
      <c r="C281" t="s">
        <v>5433</v>
      </c>
    </row>
    <row r="282" spans="1:3">
      <c r="A282" t="s">
        <v>6612</v>
      </c>
      <c r="B282" t="s">
        <v>5264</v>
      </c>
      <c r="C282" t="s">
        <v>5433</v>
      </c>
    </row>
    <row r="283" spans="1:3">
      <c r="A283" t="s">
        <v>6613</v>
      </c>
      <c r="B283" t="s">
        <v>5264</v>
      </c>
      <c r="C283" t="s">
        <v>5433</v>
      </c>
    </row>
    <row r="284" spans="1:3">
      <c r="A284" t="s">
        <v>5954</v>
      </c>
      <c r="B284" t="s">
        <v>5264</v>
      </c>
      <c r="C284" t="s">
        <v>5433</v>
      </c>
    </row>
    <row r="285" spans="1:3">
      <c r="A285" t="s">
        <v>6614</v>
      </c>
      <c r="B285" t="s">
        <v>5264</v>
      </c>
      <c r="C285" t="s">
        <v>5433</v>
      </c>
    </row>
    <row r="286" spans="1:3">
      <c r="A286" t="s">
        <v>6615</v>
      </c>
      <c r="B286" t="s">
        <v>5264</v>
      </c>
      <c r="C286" t="s">
        <v>5433</v>
      </c>
    </row>
    <row r="287" spans="1:3">
      <c r="A287" t="s">
        <v>6616</v>
      </c>
      <c r="B287" t="s">
        <v>5264</v>
      </c>
      <c r="C287" t="s">
        <v>5433</v>
      </c>
    </row>
    <row r="288" spans="1:3">
      <c r="A288" t="s">
        <v>5957</v>
      </c>
      <c r="B288" t="s">
        <v>5264</v>
      </c>
      <c r="C288" t="s">
        <v>5433</v>
      </c>
    </row>
    <row r="289" spans="1:3">
      <c r="A289" t="s">
        <v>6617</v>
      </c>
      <c r="B289" t="s">
        <v>5264</v>
      </c>
      <c r="C289" t="s">
        <v>5433</v>
      </c>
    </row>
    <row r="290" spans="1:3">
      <c r="A290" t="s">
        <v>5959</v>
      </c>
      <c r="B290" t="s">
        <v>5264</v>
      </c>
      <c r="C290" t="s">
        <v>5299</v>
      </c>
    </row>
    <row r="291" spans="1:3">
      <c r="A291" t="s">
        <v>5962</v>
      </c>
      <c r="B291" t="s">
        <v>5264</v>
      </c>
      <c r="C291" t="s">
        <v>5299</v>
      </c>
    </row>
    <row r="292" spans="1:3">
      <c r="A292" t="s">
        <v>6618</v>
      </c>
      <c r="B292" t="s">
        <v>5264</v>
      </c>
      <c r="C292" t="s">
        <v>5433</v>
      </c>
    </row>
    <row r="293" spans="1:3">
      <c r="A293" t="s">
        <v>6619</v>
      </c>
      <c r="B293" t="s">
        <v>5264</v>
      </c>
      <c r="C293" t="s">
        <v>5433</v>
      </c>
    </row>
    <row r="294" spans="1:3">
      <c r="A294" t="s">
        <v>6620</v>
      </c>
      <c r="B294" t="s">
        <v>5264</v>
      </c>
      <c r="C294" t="s">
        <v>5433</v>
      </c>
    </row>
    <row r="295" spans="1:3">
      <c r="A295" t="s">
        <v>5965</v>
      </c>
      <c r="B295" t="s">
        <v>5264</v>
      </c>
      <c r="C295" t="s">
        <v>5299</v>
      </c>
    </row>
    <row r="296" spans="1:3">
      <c r="A296" t="s">
        <v>6621</v>
      </c>
      <c r="B296" t="s">
        <v>5264</v>
      </c>
      <c r="C296" t="s">
        <v>5433</v>
      </c>
    </row>
    <row r="297" spans="1:3">
      <c r="A297" t="s">
        <v>5968</v>
      </c>
      <c r="B297" t="s">
        <v>5411</v>
      </c>
      <c r="C297" t="s">
        <v>5299</v>
      </c>
    </row>
    <row r="298" spans="1:3">
      <c r="A298" t="s">
        <v>5972</v>
      </c>
      <c r="B298" t="s">
        <v>5411</v>
      </c>
      <c r="C298" t="s">
        <v>5433</v>
      </c>
    </row>
    <row r="299" spans="1:3">
      <c r="A299" t="s">
        <v>5974</v>
      </c>
      <c r="B299" t="s">
        <v>5411</v>
      </c>
      <c r="C299" t="s">
        <v>5299</v>
      </c>
    </row>
    <row r="300" spans="1:3">
      <c r="A300" t="s">
        <v>6622</v>
      </c>
      <c r="B300" t="s">
        <v>5411</v>
      </c>
      <c r="C300" t="s">
        <v>5433</v>
      </c>
    </row>
    <row r="301" spans="1:3">
      <c r="A301" t="s">
        <v>6623</v>
      </c>
      <c r="B301" t="s">
        <v>5411</v>
      </c>
      <c r="C301" t="s">
        <v>5433</v>
      </c>
    </row>
    <row r="302" spans="1:3">
      <c r="A302" t="s">
        <v>6624</v>
      </c>
      <c r="B302" t="s">
        <v>5411</v>
      </c>
      <c r="C302" t="s">
        <v>5433</v>
      </c>
    </row>
    <row r="303" spans="1:3">
      <c r="A303" t="s">
        <v>5976</v>
      </c>
      <c r="B303" t="s">
        <v>5411</v>
      </c>
      <c r="C303" t="s">
        <v>5433</v>
      </c>
    </row>
    <row r="304" spans="1:3">
      <c r="A304" t="s">
        <v>6625</v>
      </c>
      <c r="B304" t="s">
        <v>5411</v>
      </c>
      <c r="C304" t="s">
        <v>5433</v>
      </c>
    </row>
    <row r="305" spans="1:3">
      <c r="A305" t="s">
        <v>5978</v>
      </c>
      <c r="B305" t="s">
        <v>5411</v>
      </c>
      <c r="C305" t="s">
        <v>5433</v>
      </c>
    </row>
    <row r="306" spans="1:3">
      <c r="A306" t="s">
        <v>6626</v>
      </c>
      <c r="B306" t="s">
        <v>5411</v>
      </c>
      <c r="C306" t="s">
        <v>5433</v>
      </c>
    </row>
    <row r="307" spans="1:3">
      <c r="A307" t="s">
        <v>5980</v>
      </c>
      <c r="B307" t="s">
        <v>5287</v>
      </c>
      <c r="C307" t="s">
        <v>5299</v>
      </c>
    </row>
    <row r="308" spans="1:3">
      <c r="A308" t="s">
        <v>5983</v>
      </c>
      <c r="B308" t="s">
        <v>5287</v>
      </c>
      <c r="C308" t="s">
        <v>5433</v>
      </c>
    </row>
    <row r="309" spans="1:3">
      <c r="A309" t="s">
        <v>6627</v>
      </c>
      <c r="B309" t="s">
        <v>5287</v>
      </c>
      <c r="C309" t="s">
        <v>5433</v>
      </c>
    </row>
    <row r="310" spans="1:3">
      <c r="A310" t="s">
        <v>6628</v>
      </c>
      <c r="B310" t="s">
        <v>5287</v>
      </c>
      <c r="C310" t="s">
        <v>5433</v>
      </c>
    </row>
    <row r="311" spans="1:3">
      <c r="A311" t="s">
        <v>5985</v>
      </c>
      <c r="B311" t="s">
        <v>5401</v>
      </c>
      <c r="C311" t="s">
        <v>5433</v>
      </c>
    </row>
    <row r="312" spans="1:3">
      <c r="A312" t="s">
        <v>5988</v>
      </c>
      <c r="B312" t="s">
        <v>5401</v>
      </c>
      <c r="C312" t="s">
        <v>5299</v>
      </c>
    </row>
    <row r="313" spans="1:3">
      <c r="A313" t="s">
        <v>5991</v>
      </c>
      <c r="B313" t="s">
        <v>5401</v>
      </c>
      <c r="C313" t="s">
        <v>5433</v>
      </c>
    </row>
    <row r="314" spans="1:3">
      <c r="A314" t="s">
        <v>5994</v>
      </c>
      <c r="B314" t="s">
        <v>5401</v>
      </c>
      <c r="C314" t="s">
        <v>5299</v>
      </c>
    </row>
    <row r="315" spans="1:3">
      <c r="A315" t="s">
        <v>5997</v>
      </c>
      <c r="B315" t="s">
        <v>5401</v>
      </c>
      <c r="C315" t="s">
        <v>5433</v>
      </c>
    </row>
    <row r="316" spans="1:3">
      <c r="A316" t="s">
        <v>5999</v>
      </c>
      <c r="B316" t="s">
        <v>5401</v>
      </c>
      <c r="C316" t="s">
        <v>5299</v>
      </c>
    </row>
    <row r="317" spans="1:3">
      <c r="A317" t="s">
        <v>6002</v>
      </c>
      <c r="B317" t="s">
        <v>5401</v>
      </c>
      <c r="C317" t="s">
        <v>5433</v>
      </c>
    </row>
    <row r="318" spans="1:3">
      <c r="A318" t="s">
        <v>6004</v>
      </c>
      <c r="B318" t="s">
        <v>5401</v>
      </c>
      <c r="C318" t="s">
        <v>5299</v>
      </c>
    </row>
    <row r="319" spans="1:3">
      <c r="A319" t="s">
        <v>6006</v>
      </c>
      <c r="B319" t="s">
        <v>5401</v>
      </c>
      <c r="C319" t="s">
        <v>5299</v>
      </c>
    </row>
    <row r="320" spans="1:3">
      <c r="A320" t="s">
        <v>6629</v>
      </c>
      <c r="B320" t="s">
        <v>5401</v>
      </c>
      <c r="C320" t="s">
        <v>5433</v>
      </c>
    </row>
    <row r="321" spans="1:3">
      <c r="A321" t="s">
        <v>6630</v>
      </c>
      <c r="B321" t="s">
        <v>5401</v>
      </c>
      <c r="C321" t="s">
        <v>5433</v>
      </c>
    </row>
    <row r="322" spans="1:3">
      <c r="A322" t="s">
        <v>6631</v>
      </c>
      <c r="B322" t="s">
        <v>5401</v>
      </c>
      <c r="C322" t="s">
        <v>5433</v>
      </c>
    </row>
    <row r="323" spans="1:3">
      <c r="A323" t="s">
        <v>6632</v>
      </c>
      <c r="B323" t="s">
        <v>5401</v>
      </c>
      <c r="C323" t="s">
        <v>5433</v>
      </c>
    </row>
    <row r="324" spans="1:3">
      <c r="A324" t="s">
        <v>6633</v>
      </c>
      <c r="B324" t="s">
        <v>5401</v>
      </c>
      <c r="C324" t="s">
        <v>5433</v>
      </c>
    </row>
    <row r="325" spans="1:3">
      <c r="A325" t="s">
        <v>6634</v>
      </c>
      <c r="B325" t="s">
        <v>5401</v>
      </c>
      <c r="C325" t="s">
        <v>5433</v>
      </c>
    </row>
    <row r="326" spans="1:3">
      <c r="A326" t="s">
        <v>6008</v>
      </c>
      <c r="B326" t="s">
        <v>5401</v>
      </c>
      <c r="C326" t="s">
        <v>5299</v>
      </c>
    </row>
    <row r="327" spans="1:3">
      <c r="A327" t="s">
        <v>6011</v>
      </c>
      <c r="B327" t="s">
        <v>5401</v>
      </c>
      <c r="C327" t="s">
        <v>5433</v>
      </c>
    </row>
    <row r="328" spans="1:3">
      <c r="A328" t="s">
        <v>6635</v>
      </c>
      <c r="B328" t="s">
        <v>5406</v>
      </c>
      <c r="C328" t="s">
        <v>5433</v>
      </c>
    </row>
    <row r="329" spans="1:3">
      <c r="A329" t="s">
        <v>6636</v>
      </c>
      <c r="B329" t="s">
        <v>5406</v>
      </c>
      <c r="C329" t="s">
        <v>5433</v>
      </c>
    </row>
    <row r="330" spans="1:3">
      <c r="A330" t="s">
        <v>6014</v>
      </c>
      <c r="B330" t="s">
        <v>5406</v>
      </c>
      <c r="C330" t="s">
        <v>5433</v>
      </c>
    </row>
    <row r="331" spans="1:3">
      <c r="A331" t="s">
        <v>6637</v>
      </c>
      <c r="B331" t="s">
        <v>5406</v>
      </c>
      <c r="C331" t="s">
        <v>5433</v>
      </c>
    </row>
    <row r="332" spans="1:3">
      <c r="A332" t="s">
        <v>6638</v>
      </c>
      <c r="B332" t="s">
        <v>5406</v>
      </c>
      <c r="C332" t="s">
        <v>5433</v>
      </c>
    </row>
    <row r="333" spans="1:3">
      <c r="A333" t="s">
        <v>6018</v>
      </c>
      <c r="B333" t="s">
        <v>5406</v>
      </c>
      <c r="C333" t="s">
        <v>5433</v>
      </c>
    </row>
    <row r="334" spans="1:3">
      <c r="A334" t="s">
        <v>6021</v>
      </c>
      <c r="B334" t="s">
        <v>5406</v>
      </c>
      <c r="C334" t="s">
        <v>5433</v>
      </c>
    </row>
    <row r="335" spans="1:3">
      <c r="A335" t="s">
        <v>6639</v>
      </c>
      <c r="B335" t="s">
        <v>5406</v>
      </c>
      <c r="C335" t="s">
        <v>5433</v>
      </c>
    </row>
    <row r="336" spans="1:3">
      <c r="A336" t="s">
        <v>6640</v>
      </c>
      <c r="B336" t="s">
        <v>5395</v>
      </c>
      <c r="C336" t="s">
        <v>5433</v>
      </c>
    </row>
    <row r="337" spans="1:3">
      <c r="A337" t="s">
        <v>1439</v>
      </c>
      <c r="B337" t="s">
        <v>5395</v>
      </c>
      <c r="C337" t="s">
        <v>5433</v>
      </c>
    </row>
    <row r="338" spans="1:3">
      <c r="A338" t="s">
        <v>6023</v>
      </c>
      <c r="B338" t="s">
        <v>5402</v>
      </c>
      <c r="C338" t="s">
        <v>5299</v>
      </c>
    </row>
    <row r="339" spans="1:3">
      <c r="A339" t="s">
        <v>6641</v>
      </c>
      <c r="B339" t="s">
        <v>5415</v>
      </c>
      <c r="C339" t="s">
        <v>5433</v>
      </c>
    </row>
    <row r="340" spans="1:3">
      <c r="A340" t="s">
        <v>6026</v>
      </c>
      <c r="B340" t="s">
        <v>5397</v>
      </c>
      <c r="C340" t="s">
        <v>5299</v>
      </c>
    </row>
    <row r="341" spans="1:3">
      <c r="A341" t="s">
        <v>6030</v>
      </c>
      <c r="B341" t="s">
        <v>5397</v>
      </c>
      <c r="C341" t="s">
        <v>5433</v>
      </c>
    </row>
    <row r="342" spans="1:3">
      <c r="A342" t="s">
        <v>6033</v>
      </c>
      <c r="B342" t="s">
        <v>5397</v>
      </c>
      <c r="C342" t="s">
        <v>5299</v>
      </c>
    </row>
    <row r="343" spans="1:3">
      <c r="A343" t="s">
        <v>6642</v>
      </c>
      <c r="B343" t="s">
        <v>5267</v>
      </c>
      <c r="C343" t="s">
        <v>5433</v>
      </c>
    </row>
    <row r="344" spans="1:3">
      <c r="A344" t="s">
        <v>6035</v>
      </c>
      <c r="B344" t="s">
        <v>5267</v>
      </c>
      <c r="C344" t="s">
        <v>5433</v>
      </c>
    </row>
    <row r="345" spans="1:3">
      <c r="A345" t="s">
        <v>6038</v>
      </c>
      <c r="B345" t="s">
        <v>5267</v>
      </c>
      <c r="C345" t="s">
        <v>5433</v>
      </c>
    </row>
    <row r="346" spans="1:3">
      <c r="A346" t="s">
        <v>6643</v>
      </c>
      <c r="B346" t="s">
        <v>5267</v>
      </c>
      <c r="C346" t="s">
        <v>5433</v>
      </c>
    </row>
    <row r="347" spans="1:3">
      <c r="A347" t="s">
        <v>6644</v>
      </c>
      <c r="B347" t="s">
        <v>5267</v>
      </c>
      <c r="C347" t="s">
        <v>5433</v>
      </c>
    </row>
    <row r="348" spans="1:3">
      <c r="A348" t="s">
        <v>6645</v>
      </c>
      <c r="B348" t="s">
        <v>5267</v>
      </c>
      <c r="C348" t="s">
        <v>5433</v>
      </c>
    </row>
    <row r="349" spans="1:3">
      <c r="A349" t="s">
        <v>6646</v>
      </c>
      <c r="B349" t="s">
        <v>5267</v>
      </c>
      <c r="C349" t="s">
        <v>5433</v>
      </c>
    </row>
    <row r="350" spans="1:3">
      <c r="A350" t="s">
        <v>6647</v>
      </c>
      <c r="B350" t="s">
        <v>5267</v>
      </c>
      <c r="C350" t="s">
        <v>5433</v>
      </c>
    </row>
    <row r="351" spans="1:3">
      <c r="A351" t="s">
        <v>6648</v>
      </c>
      <c r="B351" t="s">
        <v>5267</v>
      </c>
      <c r="C351" t="s">
        <v>5433</v>
      </c>
    </row>
    <row r="352" spans="1:3">
      <c r="A352" t="s">
        <v>6649</v>
      </c>
      <c r="B352" t="s">
        <v>5267</v>
      </c>
      <c r="C352" t="s">
        <v>5433</v>
      </c>
    </row>
    <row r="353" spans="1:3">
      <c r="A353" t="s">
        <v>6041</v>
      </c>
      <c r="B353" t="s">
        <v>5267</v>
      </c>
      <c r="C353" t="s">
        <v>5433</v>
      </c>
    </row>
    <row r="354" spans="1:3">
      <c r="A354" t="s">
        <v>6650</v>
      </c>
      <c r="B354" t="s">
        <v>5267</v>
      </c>
      <c r="C354" t="s">
        <v>5433</v>
      </c>
    </row>
    <row r="355" spans="1:3">
      <c r="A355" t="s">
        <v>6651</v>
      </c>
      <c r="B355" t="s">
        <v>5267</v>
      </c>
      <c r="C355" t="s">
        <v>5433</v>
      </c>
    </row>
    <row r="356" spans="1:3">
      <c r="A356" t="s">
        <v>6652</v>
      </c>
      <c r="B356" t="s">
        <v>5267</v>
      </c>
      <c r="C356" t="s">
        <v>5433</v>
      </c>
    </row>
    <row r="357" spans="1:3">
      <c r="A357" t="s">
        <v>6044</v>
      </c>
      <c r="B357" t="s">
        <v>5267</v>
      </c>
      <c r="C357" t="s">
        <v>5433</v>
      </c>
    </row>
    <row r="358" spans="1:3">
      <c r="A358" t="s">
        <v>6046</v>
      </c>
      <c r="B358" t="s">
        <v>5267</v>
      </c>
      <c r="C358" t="s">
        <v>5433</v>
      </c>
    </row>
    <row r="359" spans="1:3">
      <c r="A359" t="s">
        <v>6049</v>
      </c>
      <c r="B359" t="s">
        <v>5267</v>
      </c>
      <c r="C359" t="s">
        <v>5433</v>
      </c>
    </row>
    <row r="360" spans="1:3">
      <c r="A360" t="s">
        <v>6653</v>
      </c>
      <c r="B360" t="s">
        <v>5267</v>
      </c>
      <c r="C360" t="s">
        <v>5433</v>
      </c>
    </row>
    <row r="361" spans="1:3">
      <c r="A361" t="s">
        <v>6654</v>
      </c>
      <c r="B361" t="s">
        <v>5267</v>
      </c>
      <c r="C361" t="s">
        <v>5433</v>
      </c>
    </row>
    <row r="362" spans="1:3">
      <c r="A362" t="s">
        <v>6052</v>
      </c>
      <c r="B362" t="s">
        <v>5267</v>
      </c>
      <c r="C362" t="s">
        <v>5433</v>
      </c>
    </row>
    <row r="363" spans="1:3">
      <c r="A363" t="s">
        <v>6055</v>
      </c>
      <c r="B363" t="s">
        <v>5267</v>
      </c>
      <c r="C363" t="s">
        <v>5433</v>
      </c>
    </row>
    <row r="364" spans="1:3">
      <c r="A364" t="s">
        <v>6057</v>
      </c>
      <c r="B364" t="s">
        <v>5267</v>
      </c>
      <c r="C364" t="s">
        <v>5433</v>
      </c>
    </row>
    <row r="365" spans="1:3">
      <c r="A365" t="s">
        <v>6655</v>
      </c>
      <c r="B365" t="s">
        <v>5267</v>
      </c>
      <c r="C365" t="s">
        <v>5433</v>
      </c>
    </row>
    <row r="366" spans="1:3">
      <c r="A366" t="s">
        <v>5268</v>
      </c>
      <c r="B366" t="s">
        <v>5267</v>
      </c>
      <c r="C366" t="s">
        <v>5299</v>
      </c>
    </row>
    <row r="367" spans="1:3">
      <c r="A367" t="s">
        <v>6059</v>
      </c>
      <c r="B367" t="s">
        <v>5267</v>
      </c>
      <c r="C367" t="s">
        <v>5433</v>
      </c>
    </row>
    <row r="368" spans="1:3">
      <c r="A368" t="s">
        <v>6656</v>
      </c>
      <c r="B368" t="s">
        <v>5267</v>
      </c>
      <c r="C368" t="s">
        <v>5433</v>
      </c>
    </row>
    <row r="369" spans="1:3">
      <c r="A369" t="s">
        <v>6061</v>
      </c>
      <c r="B369" t="s">
        <v>5267</v>
      </c>
      <c r="C369" t="s">
        <v>5433</v>
      </c>
    </row>
    <row r="370" spans="1:3">
      <c r="A370" t="s">
        <v>6657</v>
      </c>
      <c r="B370" t="s">
        <v>5267</v>
      </c>
      <c r="C370" t="s">
        <v>5433</v>
      </c>
    </row>
    <row r="371" spans="1:3">
      <c r="A371" t="s">
        <v>6063</v>
      </c>
      <c r="B371" t="s">
        <v>5267</v>
      </c>
      <c r="C371" t="s">
        <v>5433</v>
      </c>
    </row>
    <row r="372" spans="1:3">
      <c r="A372" t="s">
        <v>6658</v>
      </c>
      <c r="B372" t="s">
        <v>5267</v>
      </c>
      <c r="C372" t="s">
        <v>5433</v>
      </c>
    </row>
    <row r="373" spans="1:3">
      <c r="A373" t="s">
        <v>6065</v>
      </c>
      <c r="B373" t="s">
        <v>5267</v>
      </c>
      <c r="C373" t="s">
        <v>5433</v>
      </c>
    </row>
    <row r="374" spans="1:3">
      <c r="A374" t="s">
        <v>6067</v>
      </c>
      <c r="B374" t="s">
        <v>5267</v>
      </c>
      <c r="C374" t="s">
        <v>5433</v>
      </c>
    </row>
    <row r="375" spans="1:3">
      <c r="A375" t="s">
        <v>6069</v>
      </c>
      <c r="B375" t="s">
        <v>5267</v>
      </c>
      <c r="C375" t="s">
        <v>5433</v>
      </c>
    </row>
    <row r="376" spans="1:3">
      <c r="A376" t="s">
        <v>6071</v>
      </c>
      <c r="B376" t="s">
        <v>5267</v>
      </c>
      <c r="C376" t="s">
        <v>5433</v>
      </c>
    </row>
    <row r="377" spans="1:3">
      <c r="A377" t="s">
        <v>6073</v>
      </c>
      <c r="B377" t="s">
        <v>5267</v>
      </c>
      <c r="C377" t="s">
        <v>5433</v>
      </c>
    </row>
    <row r="378" spans="1:3">
      <c r="A378" t="s">
        <v>6659</v>
      </c>
      <c r="B378" t="s">
        <v>5267</v>
      </c>
      <c r="C378" t="s">
        <v>5433</v>
      </c>
    </row>
    <row r="379" spans="1:3">
      <c r="A379" t="s">
        <v>6075</v>
      </c>
      <c r="B379" t="s">
        <v>5408</v>
      </c>
      <c r="C379" t="s">
        <v>5433</v>
      </c>
    </row>
    <row r="380" spans="1:3">
      <c r="A380" t="s">
        <v>6078</v>
      </c>
      <c r="B380" t="s">
        <v>5408</v>
      </c>
      <c r="C380" t="s">
        <v>5299</v>
      </c>
    </row>
    <row r="381" spans="1:3">
      <c r="A381" t="s">
        <v>6660</v>
      </c>
      <c r="B381" t="s">
        <v>5408</v>
      </c>
      <c r="C381" t="s">
        <v>5433</v>
      </c>
    </row>
    <row r="382" spans="1:3">
      <c r="A382" t="s">
        <v>6661</v>
      </c>
      <c r="B382" t="s">
        <v>5408</v>
      </c>
      <c r="C382" t="s">
        <v>5433</v>
      </c>
    </row>
    <row r="383" spans="1:3">
      <c r="A383" t="s">
        <v>6080</v>
      </c>
      <c r="B383" t="s">
        <v>5408</v>
      </c>
      <c r="C383" t="s">
        <v>5433</v>
      </c>
    </row>
    <row r="384" spans="1:3">
      <c r="A384" t="s">
        <v>6083</v>
      </c>
      <c r="B384" t="s">
        <v>5408</v>
      </c>
      <c r="C384" t="s">
        <v>5433</v>
      </c>
    </row>
    <row r="385" spans="1:3">
      <c r="A385" t="s">
        <v>6662</v>
      </c>
      <c r="B385" t="s">
        <v>5408</v>
      </c>
      <c r="C385" t="s">
        <v>5433</v>
      </c>
    </row>
    <row r="386" spans="1:3">
      <c r="A386" t="s">
        <v>6663</v>
      </c>
      <c r="B386" t="s">
        <v>5408</v>
      </c>
      <c r="C386" t="s">
        <v>5433</v>
      </c>
    </row>
    <row r="387" spans="1:3">
      <c r="A387" t="s">
        <v>6086</v>
      </c>
      <c r="B387" t="s">
        <v>5408</v>
      </c>
      <c r="C387" t="s">
        <v>5433</v>
      </c>
    </row>
    <row r="388" spans="1:3">
      <c r="A388" t="s">
        <v>6088</v>
      </c>
      <c r="B388" t="s">
        <v>5408</v>
      </c>
      <c r="C388" t="s">
        <v>5433</v>
      </c>
    </row>
    <row r="389" spans="1:3">
      <c r="A389" t="s">
        <v>6090</v>
      </c>
      <c r="B389" t="s">
        <v>5408</v>
      </c>
      <c r="C389" t="s">
        <v>5433</v>
      </c>
    </row>
    <row r="390" spans="1:3">
      <c r="A390" t="s">
        <v>6092</v>
      </c>
      <c r="B390" t="s">
        <v>5408</v>
      </c>
      <c r="C390" t="s">
        <v>5433</v>
      </c>
    </row>
    <row r="391" spans="1:3">
      <c r="A391" t="s">
        <v>6664</v>
      </c>
      <c r="B391" t="s">
        <v>5408</v>
      </c>
      <c r="C391" t="s">
        <v>5433</v>
      </c>
    </row>
    <row r="392" spans="1:3">
      <c r="A392" t="s">
        <v>6094</v>
      </c>
      <c r="B392" t="s">
        <v>5408</v>
      </c>
      <c r="C392" t="s">
        <v>5433</v>
      </c>
    </row>
    <row r="393" spans="1:3">
      <c r="A393" t="s">
        <v>6665</v>
      </c>
      <c r="B393" t="s">
        <v>5408</v>
      </c>
      <c r="C393" t="s">
        <v>5433</v>
      </c>
    </row>
    <row r="394" spans="1:3">
      <c r="A394" t="s">
        <v>6666</v>
      </c>
      <c r="B394" t="s">
        <v>5408</v>
      </c>
      <c r="C394" t="s">
        <v>5433</v>
      </c>
    </row>
    <row r="395" spans="1:3">
      <c r="A395" t="s">
        <v>6097</v>
      </c>
      <c r="B395" t="s">
        <v>5408</v>
      </c>
      <c r="C395" t="s">
        <v>5433</v>
      </c>
    </row>
    <row r="396" spans="1:3">
      <c r="A396" t="s">
        <v>6100</v>
      </c>
      <c r="B396" t="s">
        <v>5408</v>
      </c>
      <c r="C396" t="s">
        <v>5433</v>
      </c>
    </row>
    <row r="397" spans="1:3">
      <c r="A397" t="s">
        <v>6102</v>
      </c>
      <c r="B397" t="s">
        <v>5408</v>
      </c>
      <c r="C397" t="s">
        <v>5433</v>
      </c>
    </row>
    <row r="398" spans="1:3">
      <c r="A398" t="s">
        <v>6667</v>
      </c>
      <c r="B398" t="s">
        <v>5408</v>
      </c>
      <c r="C398" t="s">
        <v>5433</v>
      </c>
    </row>
    <row r="399" spans="1:3">
      <c r="A399" t="s">
        <v>6104</v>
      </c>
      <c r="B399" t="s">
        <v>5408</v>
      </c>
      <c r="C399" t="s">
        <v>5433</v>
      </c>
    </row>
    <row r="400" spans="1:3">
      <c r="A400" t="s">
        <v>6668</v>
      </c>
      <c r="B400" t="s">
        <v>5408</v>
      </c>
      <c r="C400" t="s">
        <v>5433</v>
      </c>
    </row>
    <row r="401" spans="1:3">
      <c r="A401" t="s">
        <v>6107</v>
      </c>
      <c r="B401" t="s">
        <v>5408</v>
      </c>
      <c r="C401" t="s">
        <v>5433</v>
      </c>
    </row>
    <row r="402" spans="1:3">
      <c r="A402" t="s">
        <v>6669</v>
      </c>
      <c r="B402" t="s">
        <v>5270</v>
      </c>
      <c r="C402" t="s">
        <v>5433</v>
      </c>
    </row>
    <row r="403" spans="1:3">
      <c r="A403" t="s">
        <v>6670</v>
      </c>
      <c r="B403" t="s">
        <v>5270</v>
      </c>
      <c r="C403" t="s">
        <v>5433</v>
      </c>
    </row>
    <row r="404" spans="1:3">
      <c r="A404" t="s">
        <v>6671</v>
      </c>
      <c r="B404" t="s">
        <v>5270</v>
      </c>
      <c r="C404" t="s">
        <v>5433</v>
      </c>
    </row>
    <row r="405" spans="1:3">
      <c r="A405" t="s">
        <v>6672</v>
      </c>
      <c r="B405" t="s">
        <v>5270</v>
      </c>
      <c r="C405" t="s">
        <v>5433</v>
      </c>
    </row>
    <row r="406" spans="1:3">
      <c r="A406" t="s">
        <v>6673</v>
      </c>
      <c r="B406" t="s">
        <v>5270</v>
      </c>
      <c r="C406" t="s">
        <v>5433</v>
      </c>
    </row>
    <row r="407" spans="1:3">
      <c r="A407" t="s">
        <v>6674</v>
      </c>
      <c r="B407" t="s">
        <v>5270</v>
      </c>
      <c r="C407" t="s">
        <v>5433</v>
      </c>
    </row>
    <row r="408" spans="1:3">
      <c r="A408" t="s">
        <v>6109</v>
      </c>
      <c r="B408" t="s">
        <v>5270</v>
      </c>
      <c r="C408" t="s">
        <v>5433</v>
      </c>
    </row>
    <row r="409" spans="1:3">
      <c r="A409" t="s">
        <v>6675</v>
      </c>
      <c r="B409" t="s">
        <v>5270</v>
      </c>
      <c r="C409" t="s">
        <v>5433</v>
      </c>
    </row>
    <row r="410" spans="1:3">
      <c r="A410" t="s">
        <v>6676</v>
      </c>
      <c r="B410" t="s">
        <v>5270</v>
      </c>
      <c r="C410" t="s">
        <v>5433</v>
      </c>
    </row>
    <row r="411" spans="1:3">
      <c r="A411" t="s">
        <v>6111</v>
      </c>
      <c r="B411" t="s">
        <v>5270</v>
      </c>
      <c r="C411" t="s">
        <v>5433</v>
      </c>
    </row>
    <row r="412" spans="1:3">
      <c r="A412" t="s">
        <v>6114</v>
      </c>
      <c r="B412" t="s">
        <v>5270</v>
      </c>
      <c r="C412" t="s">
        <v>5433</v>
      </c>
    </row>
    <row r="413" spans="1:3">
      <c r="A413" t="s">
        <v>6677</v>
      </c>
      <c r="B413" t="s">
        <v>5270</v>
      </c>
      <c r="C413" t="s">
        <v>5433</v>
      </c>
    </row>
    <row r="414" spans="1:3">
      <c r="A414" t="s">
        <v>6678</v>
      </c>
      <c r="B414" t="s">
        <v>5270</v>
      </c>
      <c r="C414" t="s">
        <v>5433</v>
      </c>
    </row>
    <row r="415" spans="1:3">
      <c r="A415" t="s">
        <v>6679</v>
      </c>
      <c r="B415" t="s">
        <v>5270</v>
      </c>
      <c r="C415" t="s">
        <v>5433</v>
      </c>
    </row>
    <row r="416" spans="1:3">
      <c r="A416" t="s">
        <v>6680</v>
      </c>
      <c r="B416" t="s">
        <v>5270</v>
      </c>
      <c r="C416" t="s">
        <v>5433</v>
      </c>
    </row>
    <row r="417" spans="1:3">
      <c r="A417" t="s">
        <v>6681</v>
      </c>
      <c r="B417" t="s">
        <v>5270</v>
      </c>
      <c r="C417" t="s">
        <v>5433</v>
      </c>
    </row>
    <row r="418" spans="1:3">
      <c r="A418" t="s">
        <v>6116</v>
      </c>
      <c r="B418" t="s">
        <v>5270</v>
      </c>
      <c r="C418" t="s">
        <v>5433</v>
      </c>
    </row>
    <row r="419" spans="1:3">
      <c r="A419" t="s">
        <v>6682</v>
      </c>
      <c r="B419" t="s">
        <v>5270</v>
      </c>
      <c r="C419" t="s">
        <v>5433</v>
      </c>
    </row>
    <row r="420" spans="1:3">
      <c r="A420" t="s">
        <v>6119</v>
      </c>
      <c r="B420" t="s">
        <v>5270</v>
      </c>
      <c r="C420" t="s">
        <v>5433</v>
      </c>
    </row>
    <row r="421" spans="1:3">
      <c r="A421" t="s">
        <v>6122</v>
      </c>
      <c r="B421" t="s">
        <v>5270</v>
      </c>
      <c r="C421" t="s">
        <v>5433</v>
      </c>
    </row>
    <row r="422" spans="1:3">
      <c r="A422" t="s">
        <v>6683</v>
      </c>
      <c r="B422" t="s">
        <v>5270</v>
      </c>
      <c r="C422" t="s">
        <v>5433</v>
      </c>
    </row>
    <row r="423" spans="1:3">
      <c r="A423" t="s">
        <v>6125</v>
      </c>
      <c r="B423" t="s">
        <v>5270</v>
      </c>
      <c r="C423" t="s">
        <v>5433</v>
      </c>
    </row>
    <row r="424" spans="1:3">
      <c r="A424" t="s">
        <v>6684</v>
      </c>
      <c r="B424" t="s">
        <v>5270</v>
      </c>
      <c r="C424" t="s">
        <v>5433</v>
      </c>
    </row>
    <row r="425" spans="1:3">
      <c r="A425" t="s">
        <v>6128</v>
      </c>
      <c r="B425" t="s">
        <v>5270</v>
      </c>
      <c r="C425" t="s">
        <v>5433</v>
      </c>
    </row>
    <row r="426" spans="1:3">
      <c r="A426" t="s">
        <v>5271</v>
      </c>
      <c r="B426" t="s">
        <v>5270</v>
      </c>
      <c r="C426" t="s">
        <v>5299</v>
      </c>
    </row>
    <row r="427" spans="1:3">
      <c r="A427" t="s">
        <v>6130</v>
      </c>
      <c r="B427" t="s">
        <v>5270</v>
      </c>
      <c r="C427" t="s">
        <v>5433</v>
      </c>
    </row>
    <row r="428" spans="1:3">
      <c r="A428" t="s">
        <v>6685</v>
      </c>
      <c r="B428" t="s">
        <v>5270</v>
      </c>
      <c r="C428" t="s">
        <v>5433</v>
      </c>
    </row>
    <row r="429" spans="1:3">
      <c r="A429" t="s">
        <v>6686</v>
      </c>
      <c r="B429" t="s">
        <v>5394</v>
      </c>
      <c r="C429" t="s">
        <v>5433</v>
      </c>
    </row>
    <row r="430" spans="1:3">
      <c r="A430" t="s">
        <v>6132</v>
      </c>
      <c r="B430" t="s">
        <v>5394</v>
      </c>
      <c r="C430" t="s">
        <v>5299</v>
      </c>
    </row>
    <row r="431" spans="1:3">
      <c r="A431" t="s">
        <v>6135</v>
      </c>
      <c r="B431" t="s">
        <v>5394</v>
      </c>
      <c r="C431" t="s">
        <v>5433</v>
      </c>
    </row>
    <row r="432" spans="1:3">
      <c r="A432" t="s">
        <v>6687</v>
      </c>
      <c r="B432" t="s">
        <v>5394</v>
      </c>
      <c r="C432" t="s">
        <v>5433</v>
      </c>
    </row>
    <row r="433" spans="1:3">
      <c r="A433" t="s">
        <v>6688</v>
      </c>
      <c r="B433" t="s">
        <v>5394</v>
      </c>
      <c r="C433" t="s">
        <v>5433</v>
      </c>
    </row>
    <row r="434" spans="1:3">
      <c r="A434" t="s">
        <v>6689</v>
      </c>
      <c r="B434" t="s">
        <v>5394</v>
      </c>
      <c r="C434" t="s">
        <v>5433</v>
      </c>
    </row>
    <row r="435" spans="1:3">
      <c r="A435" t="s">
        <v>6137</v>
      </c>
      <c r="B435" t="s">
        <v>5394</v>
      </c>
      <c r="C435" t="s">
        <v>5299</v>
      </c>
    </row>
    <row r="436" spans="1:3">
      <c r="A436" t="s">
        <v>6690</v>
      </c>
      <c r="B436" t="s">
        <v>5394</v>
      </c>
      <c r="C436" t="s">
        <v>5433</v>
      </c>
    </row>
    <row r="437" spans="1:3">
      <c r="A437" t="s">
        <v>6691</v>
      </c>
      <c r="B437" t="s">
        <v>5394</v>
      </c>
      <c r="C437" t="s">
        <v>5433</v>
      </c>
    </row>
    <row r="438" spans="1:3">
      <c r="A438" t="s">
        <v>6692</v>
      </c>
      <c r="B438" t="s">
        <v>5394</v>
      </c>
      <c r="C438" t="s">
        <v>5433</v>
      </c>
    </row>
    <row r="439" spans="1:3">
      <c r="A439" t="s">
        <v>6693</v>
      </c>
      <c r="B439" t="s">
        <v>5394</v>
      </c>
      <c r="C439" t="s">
        <v>5433</v>
      </c>
    </row>
    <row r="440" spans="1:3">
      <c r="A440" t="s">
        <v>6140</v>
      </c>
      <c r="B440" t="s">
        <v>5394</v>
      </c>
      <c r="C440" t="s">
        <v>5299</v>
      </c>
    </row>
    <row r="441" spans="1:3">
      <c r="A441" t="s">
        <v>6694</v>
      </c>
      <c r="B441" t="s">
        <v>5394</v>
      </c>
      <c r="C441" t="s">
        <v>5433</v>
      </c>
    </row>
    <row r="442" spans="1:3">
      <c r="A442" t="s">
        <v>6695</v>
      </c>
      <c r="B442" t="s">
        <v>5394</v>
      </c>
      <c r="C442" t="s">
        <v>5433</v>
      </c>
    </row>
    <row r="443" spans="1:3">
      <c r="A443" t="s">
        <v>6696</v>
      </c>
      <c r="B443" t="s">
        <v>5394</v>
      </c>
      <c r="C443" t="s">
        <v>5433</v>
      </c>
    </row>
    <row r="444" spans="1:3">
      <c r="A444" t="s">
        <v>6697</v>
      </c>
      <c r="B444" t="s">
        <v>5394</v>
      </c>
      <c r="C444" t="s">
        <v>5433</v>
      </c>
    </row>
    <row r="445" spans="1:3">
      <c r="A445" t="s">
        <v>6698</v>
      </c>
      <c r="B445" t="s">
        <v>5394</v>
      </c>
      <c r="C445" t="s">
        <v>5433</v>
      </c>
    </row>
    <row r="446" spans="1:3">
      <c r="A446" t="s">
        <v>6699</v>
      </c>
      <c r="B446" t="s">
        <v>5394</v>
      </c>
      <c r="C446" t="s">
        <v>5433</v>
      </c>
    </row>
    <row r="447" spans="1:3">
      <c r="A447" t="s">
        <v>6700</v>
      </c>
      <c r="B447" t="s">
        <v>5394</v>
      </c>
      <c r="C447" t="s">
        <v>5433</v>
      </c>
    </row>
    <row r="448" spans="1:3">
      <c r="A448" t="s">
        <v>6143</v>
      </c>
      <c r="B448" t="s">
        <v>5394</v>
      </c>
      <c r="C448" t="s">
        <v>5299</v>
      </c>
    </row>
    <row r="449" spans="1:3">
      <c r="A449" t="s">
        <v>6146</v>
      </c>
      <c r="B449" t="s">
        <v>5394</v>
      </c>
      <c r="C449" t="s">
        <v>5299</v>
      </c>
    </row>
    <row r="450" spans="1:3">
      <c r="A450" t="s">
        <v>6149</v>
      </c>
      <c r="B450" t="s">
        <v>5394</v>
      </c>
      <c r="C450" t="s">
        <v>5299</v>
      </c>
    </row>
    <row r="451" spans="1:3">
      <c r="A451" t="s">
        <v>6152</v>
      </c>
      <c r="B451" t="s">
        <v>5394</v>
      </c>
      <c r="C451" t="s">
        <v>5299</v>
      </c>
    </row>
    <row r="452" spans="1:3">
      <c r="A452" t="s">
        <v>6701</v>
      </c>
      <c r="B452" t="s">
        <v>5394</v>
      </c>
      <c r="C452" t="s">
        <v>5433</v>
      </c>
    </row>
    <row r="453" spans="1:3">
      <c r="A453" t="s">
        <v>6155</v>
      </c>
      <c r="B453" t="s">
        <v>5394</v>
      </c>
      <c r="C453" t="s">
        <v>5299</v>
      </c>
    </row>
    <row r="454" spans="1:3">
      <c r="A454" t="s">
        <v>6702</v>
      </c>
      <c r="B454" t="s">
        <v>5394</v>
      </c>
      <c r="C454" t="s">
        <v>5433</v>
      </c>
    </row>
    <row r="455" spans="1:3">
      <c r="A455" t="s">
        <v>6703</v>
      </c>
      <c r="B455" t="s">
        <v>5394</v>
      </c>
      <c r="C455" t="s">
        <v>5433</v>
      </c>
    </row>
    <row r="456" spans="1:3">
      <c r="A456" t="s">
        <v>6704</v>
      </c>
      <c r="B456" t="s">
        <v>5394</v>
      </c>
      <c r="C456" t="s">
        <v>5433</v>
      </c>
    </row>
    <row r="457" spans="1:3">
      <c r="A457" t="s">
        <v>6157</v>
      </c>
      <c r="B457" t="s">
        <v>5394</v>
      </c>
      <c r="C457" t="s">
        <v>5299</v>
      </c>
    </row>
    <row r="458" spans="1:3">
      <c r="A458" t="s">
        <v>6159</v>
      </c>
      <c r="B458" t="s">
        <v>5394</v>
      </c>
      <c r="C458" t="s">
        <v>5299</v>
      </c>
    </row>
    <row r="459" spans="1:3">
      <c r="A459" t="s">
        <v>6705</v>
      </c>
      <c r="B459" t="s">
        <v>5394</v>
      </c>
      <c r="C459" t="s">
        <v>5433</v>
      </c>
    </row>
    <row r="460" spans="1:3">
      <c r="A460" t="s">
        <v>6162</v>
      </c>
      <c r="B460" t="s">
        <v>5394</v>
      </c>
      <c r="C460" t="s">
        <v>5299</v>
      </c>
    </row>
    <row r="461" spans="1:3">
      <c r="A461" t="s">
        <v>6165</v>
      </c>
      <c r="B461" t="s">
        <v>5394</v>
      </c>
      <c r="C461" t="s">
        <v>5299</v>
      </c>
    </row>
    <row r="462" spans="1:3">
      <c r="A462" t="s">
        <v>6167</v>
      </c>
      <c r="B462" t="s">
        <v>5394</v>
      </c>
      <c r="C462" t="s">
        <v>5299</v>
      </c>
    </row>
    <row r="463" spans="1:3">
      <c r="A463" t="s">
        <v>6169</v>
      </c>
      <c r="B463" t="s">
        <v>5394</v>
      </c>
      <c r="C463" t="s">
        <v>5299</v>
      </c>
    </row>
    <row r="464" spans="1:3">
      <c r="A464" t="s">
        <v>6172</v>
      </c>
      <c r="B464" t="s">
        <v>5394</v>
      </c>
      <c r="C464" t="s">
        <v>5299</v>
      </c>
    </row>
    <row r="465" spans="1:3">
      <c r="A465" t="s">
        <v>6706</v>
      </c>
      <c r="B465" t="s">
        <v>5394</v>
      </c>
      <c r="C465" t="s">
        <v>5433</v>
      </c>
    </row>
    <row r="466" spans="1:3">
      <c r="A466" t="s">
        <v>6707</v>
      </c>
      <c r="B466" t="s">
        <v>5394</v>
      </c>
      <c r="C466" t="s">
        <v>5433</v>
      </c>
    </row>
    <row r="467" spans="1:3">
      <c r="A467" t="s">
        <v>6708</v>
      </c>
      <c r="B467" t="s">
        <v>5394</v>
      </c>
      <c r="C467" t="s">
        <v>5433</v>
      </c>
    </row>
    <row r="468" spans="1:3">
      <c r="A468" t="s">
        <v>6709</v>
      </c>
      <c r="B468" t="s">
        <v>5394</v>
      </c>
      <c r="C468" t="s">
        <v>5433</v>
      </c>
    </row>
    <row r="469" spans="1:3">
      <c r="A469" t="s">
        <v>6710</v>
      </c>
      <c r="B469" t="s">
        <v>5394</v>
      </c>
      <c r="C469" t="s">
        <v>5433</v>
      </c>
    </row>
    <row r="470" spans="1:3">
      <c r="A470" t="s">
        <v>6174</v>
      </c>
      <c r="B470" t="s">
        <v>5409</v>
      </c>
      <c r="C470" t="s">
        <v>5299</v>
      </c>
    </row>
    <row r="471" spans="1:3">
      <c r="A471" t="s">
        <v>6711</v>
      </c>
      <c r="B471" t="s">
        <v>5409</v>
      </c>
      <c r="C471" t="s">
        <v>5433</v>
      </c>
    </row>
    <row r="472" spans="1:3">
      <c r="A472" t="s">
        <v>6712</v>
      </c>
      <c r="B472" t="s">
        <v>5409</v>
      </c>
      <c r="C472" t="s">
        <v>5433</v>
      </c>
    </row>
    <row r="473" spans="1:3">
      <c r="A473" t="s">
        <v>6713</v>
      </c>
      <c r="B473" t="s">
        <v>5407</v>
      </c>
      <c r="C473" t="s">
        <v>5433</v>
      </c>
    </row>
    <row r="474" spans="1:3">
      <c r="A474" t="s">
        <v>6714</v>
      </c>
      <c r="B474" t="s">
        <v>5407</v>
      </c>
      <c r="C474" t="s">
        <v>5433</v>
      </c>
    </row>
    <row r="475" spans="1:3">
      <c r="A475" t="s">
        <v>6715</v>
      </c>
      <c r="B475" t="s">
        <v>5407</v>
      </c>
      <c r="C475" t="s">
        <v>5433</v>
      </c>
    </row>
    <row r="476" spans="1:3">
      <c r="A476" t="s">
        <v>6177</v>
      </c>
      <c r="B476" t="s">
        <v>5398</v>
      </c>
      <c r="C476" t="s">
        <v>5433</v>
      </c>
    </row>
    <row r="477" spans="1:3">
      <c r="A477" t="s">
        <v>6716</v>
      </c>
      <c r="B477" t="s">
        <v>5398</v>
      </c>
      <c r="C477" t="s">
        <v>5433</v>
      </c>
    </row>
    <row r="478" spans="1:3">
      <c r="A478" t="s">
        <v>6717</v>
      </c>
      <c r="B478" t="s">
        <v>5398</v>
      </c>
      <c r="C478" t="s">
        <v>5433</v>
      </c>
    </row>
    <row r="479" spans="1:3">
      <c r="A479" t="s">
        <v>6179</v>
      </c>
      <c r="B479" t="s">
        <v>5398</v>
      </c>
      <c r="C479" t="s">
        <v>5433</v>
      </c>
    </row>
    <row r="480" spans="1:3">
      <c r="A480" t="s">
        <v>6718</v>
      </c>
      <c r="B480" t="s">
        <v>5398</v>
      </c>
      <c r="C480" t="s">
        <v>5433</v>
      </c>
    </row>
    <row r="481" spans="1:3">
      <c r="A481" t="s">
        <v>5274</v>
      </c>
      <c r="B481" t="s">
        <v>5273</v>
      </c>
      <c r="C481" t="s">
        <v>5299</v>
      </c>
    </row>
    <row r="482" spans="1:3">
      <c r="A482" t="s">
        <v>6719</v>
      </c>
      <c r="B482" t="s">
        <v>5273</v>
      </c>
      <c r="C482" t="s">
        <v>5433</v>
      </c>
    </row>
    <row r="483" spans="1:3">
      <c r="A483" t="s">
        <v>5276</v>
      </c>
      <c r="B483" t="s">
        <v>5273</v>
      </c>
      <c r="C483" t="s">
        <v>5299</v>
      </c>
    </row>
    <row r="484" spans="1:3">
      <c r="A484" t="s">
        <v>6182</v>
      </c>
      <c r="B484" t="s">
        <v>5273</v>
      </c>
      <c r="C484" t="s">
        <v>5299</v>
      </c>
    </row>
    <row r="485" spans="1:3">
      <c r="A485" t="s">
        <v>6720</v>
      </c>
      <c r="B485" t="s">
        <v>5273</v>
      </c>
      <c r="C485" t="s">
        <v>5433</v>
      </c>
    </row>
    <row r="486" spans="1:3">
      <c r="A486" t="s">
        <v>6721</v>
      </c>
      <c r="B486" t="s">
        <v>5273</v>
      </c>
      <c r="C486" t="s">
        <v>5433</v>
      </c>
    </row>
    <row r="487" spans="1:3">
      <c r="A487" t="s">
        <v>6722</v>
      </c>
      <c r="B487" t="s">
        <v>5273</v>
      </c>
      <c r="C487" t="s">
        <v>5433</v>
      </c>
    </row>
    <row r="488" spans="1:3">
      <c r="A488" t="s">
        <v>6723</v>
      </c>
      <c r="B488" t="s">
        <v>5273</v>
      </c>
      <c r="C488" t="s">
        <v>5433</v>
      </c>
    </row>
    <row r="489" spans="1:3">
      <c r="A489" t="s">
        <v>6724</v>
      </c>
      <c r="B489" t="s">
        <v>5273</v>
      </c>
      <c r="C489" t="s">
        <v>5433</v>
      </c>
    </row>
    <row r="490" spans="1:3">
      <c r="A490" t="s">
        <v>6725</v>
      </c>
      <c r="B490" t="s">
        <v>5273</v>
      </c>
      <c r="C490" t="s">
        <v>5433</v>
      </c>
    </row>
    <row r="491" spans="1:3">
      <c r="A491" t="s">
        <v>6726</v>
      </c>
      <c r="B491" t="s">
        <v>5273</v>
      </c>
      <c r="C491" t="s">
        <v>5433</v>
      </c>
    </row>
    <row r="492" spans="1:3">
      <c r="A492" t="s">
        <v>6185</v>
      </c>
      <c r="B492" t="s">
        <v>5273</v>
      </c>
      <c r="C492" t="s">
        <v>5433</v>
      </c>
    </row>
    <row r="493" spans="1:3">
      <c r="A493" t="s">
        <v>6188</v>
      </c>
      <c r="B493" t="s">
        <v>5273</v>
      </c>
      <c r="C493" t="s">
        <v>5433</v>
      </c>
    </row>
    <row r="494" spans="1:3">
      <c r="A494" t="s">
        <v>6727</v>
      </c>
      <c r="B494" t="s">
        <v>5273</v>
      </c>
      <c r="C494" t="s">
        <v>5433</v>
      </c>
    </row>
    <row r="495" spans="1:3">
      <c r="A495" t="s">
        <v>6728</v>
      </c>
      <c r="B495" t="s">
        <v>5273</v>
      </c>
      <c r="C495" t="s">
        <v>5433</v>
      </c>
    </row>
    <row r="496" spans="1:3">
      <c r="A496" t="s">
        <v>6729</v>
      </c>
      <c r="B496" t="s">
        <v>5273</v>
      </c>
      <c r="C496" t="s">
        <v>5433</v>
      </c>
    </row>
    <row r="497" spans="1:3">
      <c r="A497" t="s">
        <v>6730</v>
      </c>
      <c r="B497" t="s">
        <v>5273</v>
      </c>
      <c r="C497" t="s">
        <v>5433</v>
      </c>
    </row>
    <row r="498" spans="1:3">
      <c r="A498" t="s">
        <v>6190</v>
      </c>
      <c r="B498" t="s">
        <v>5273</v>
      </c>
      <c r="C498" t="s">
        <v>5433</v>
      </c>
    </row>
    <row r="499" spans="1:3">
      <c r="A499" t="s">
        <v>6193</v>
      </c>
      <c r="B499" t="s">
        <v>5273</v>
      </c>
      <c r="C499" t="s">
        <v>5433</v>
      </c>
    </row>
    <row r="500" spans="1:3">
      <c r="A500" t="s">
        <v>6196</v>
      </c>
      <c r="B500" t="s">
        <v>5273</v>
      </c>
      <c r="C500" t="s">
        <v>5299</v>
      </c>
    </row>
    <row r="501" spans="1:3">
      <c r="A501" t="s">
        <v>6731</v>
      </c>
      <c r="B501" t="s">
        <v>5273</v>
      </c>
      <c r="C501" t="s">
        <v>5433</v>
      </c>
    </row>
    <row r="502" spans="1:3">
      <c r="A502" t="s">
        <v>6732</v>
      </c>
      <c r="B502" t="s">
        <v>5273</v>
      </c>
      <c r="C502" t="s">
        <v>5433</v>
      </c>
    </row>
    <row r="503" spans="1:3">
      <c r="A503" t="s">
        <v>6198</v>
      </c>
      <c r="B503" t="s">
        <v>5273</v>
      </c>
      <c r="C503" t="s">
        <v>5433</v>
      </c>
    </row>
    <row r="504" spans="1:3">
      <c r="A504" t="s">
        <v>6733</v>
      </c>
      <c r="B504" t="s">
        <v>5273</v>
      </c>
      <c r="C504" t="s">
        <v>5433</v>
      </c>
    </row>
    <row r="505" spans="1:3">
      <c r="A505" t="s">
        <v>6200</v>
      </c>
      <c r="B505" t="s">
        <v>5273</v>
      </c>
      <c r="C505" t="s">
        <v>5433</v>
      </c>
    </row>
    <row r="506" spans="1:3">
      <c r="A506" t="s">
        <v>6734</v>
      </c>
      <c r="B506" t="s">
        <v>5273</v>
      </c>
      <c r="C506" t="s">
        <v>5433</v>
      </c>
    </row>
    <row r="507" spans="1:3">
      <c r="A507" t="s">
        <v>6735</v>
      </c>
      <c r="B507" t="s">
        <v>5413</v>
      </c>
      <c r="C507" t="s">
        <v>5433</v>
      </c>
    </row>
    <row r="508" spans="1:3">
      <c r="A508" t="s">
        <v>6736</v>
      </c>
      <c r="B508" t="s">
        <v>5413</v>
      </c>
      <c r="C508" t="s">
        <v>5433</v>
      </c>
    </row>
    <row r="509" spans="1:3">
      <c r="A509" t="s">
        <v>6202</v>
      </c>
      <c r="B509" t="s">
        <v>5413</v>
      </c>
      <c r="C509" t="s">
        <v>5433</v>
      </c>
    </row>
    <row r="510" spans="1:3">
      <c r="A510" t="s">
        <v>6737</v>
      </c>
      <c r="B510" t="s">
        <v>5418</v>
      </c>
      <c r="C510" t="s">
        <v>5433</v>
      </c>
    </row>
    <row r="511" spans="1:3">
      <c r="A511" t="s">
        <v>6738</v>
      </c>
      <c r="B511" t="s">
        <v>5418</v>
      </c>
      <c r="C511" t="s">
        <v>5433</v>
      </c>
    </row>
    <row r="512" spans="1:3">
      <c r="A512" t="s">
        <v>6739</v>
      </c>
      <c r="B512" t="s">
        <v>5418</v>
      </c>
      <c r="C512" t="s">
        <v>5433</v>
      </c>
    </row>
    <row r="513" spans="1:3">
      <c r="A513" t="s">
        <v>6206</v>
      </c>
      <c r="B513" t="s">
        <v>5418</v>
      </c>
      <c r="C513" t="s">
        <v>5299</v>
      </c>
    </row>
    <row r="514" spans="1:3">
      <c r="A514" t="s">
        <v>6209</v>
      </c>
      <c r="B514" t="s">
        <v>5417</v>
      </c>
      <c r="C514" t="s">
        <v>5433</v>
      </c>
    </row>
    <row r="515" spans="1:3">
      <c r="A515" t="s">
        <v>6212</v>
      </c>
      <c r="B515" t="s">
        <v>5417</v>
      </c>
      <c r="C515" t="s">
        <v>5433</v>
      </c>
    </row>
    <row r="516" spans="1:3">
      <c r="A516" t="s">
        <v>6215</v>
      </c>
      <c r="B516" t="s">
        <v>5420</v>
      </c>
      <c r="C516" t="s">
        <v>5433</v>
      </c>
    </row>
    <row r="517" spans="1:3">
      <c r="A517" t="s">
        <v>6218</v>
      </c>
      <c r="B517" t="s">
        <v>5420</v>
      </c>
      <c r="C517" t="s">
        <v>5433</v>
      </c>
    </row>
    <row r="518" spans="1:3">
      <c r="A518" t="s">
        <v>6740</v>
      </c>
      <c r="B518" t="s">
        <v>5420</v>
      </c>
      <c r="C518" t="s">
        <v>5433</v>
      </c>
    </row>
    <row r="519" spans="1:3">
      <c r="A519" t="s">
        <v>6741</v>
      </c>
      <c r="B519" t="s">
        <v>5420</v>
      </c>
      <c r="C519" t="s">
        <v>5433</v>
      </c>
    </row>
    <row r="520" spans="1:3">
      <c r="A520" t="s">
        <v>6220</v>
      </c>
      <c r="B520" t="s">
        <v>5420</v>
      </c>
      <c r="C520" t="s">
        <v>5433</v>
      </c>
    </row>
    <row r="521" spans="1:3">
      <c r="A521" t="s">
        <v>6222</v>
      </c>
      <c r="B521" t="s">
        <v>5420</v>
      </c>
      <c r="C521" t="s">
        <v>5299</v>
      </c>
    </row>
    <row r="522" spans="1:3">
      <c r="A522" t="s">
        <v>6742</v>
      </c>
      <c r="B522" t="s">
        <v>5421</v>
      </c>
      <c r="C522" t="s">
        <v>5433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7"/>
  <sheetViews>
    <sheetView workbookViewId="0">
      <selection sqref="A1:C67"/>
    </sheetView>
  </sheetViews>
  <sheetFormatPr defaultColWidth="11.42578125" defaultRowHeight="15"/>
  <cols>
    <col min="2" max="2" width="11.5703125" customWidth="1"/>
    <col min="3" max="3" width="22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>
        <v>20</v>
      </c>
      <c r="B2">
        <v>2</v>
      </c>
      <c r="C2" t="s">
        <v>17</v>
      </c>
    </row>
    <row r="3" spans="1:3">
      <c r="A3">
        <v>20</v>
      </c>
      <c r="B3">
        <v>2</v>
      </c>
      <c r="C3" t="s">
        <v>17</v>
      </c>
    </row>
    <row r="4" spans="1:3">
      <c r="A4">
        <v>20</v>
      </c>
      <c r="B4">
        <v>2</v>
      </c>
      <c r="C4" t="s">
        <v>17</v>
      </c>
    </row>
    <row r="5" spans="1:3">
      <c r="A5">
        <v>20</v>
      </c>
      <c r="B5">
        <v>2</v>
      </c>
      <c r="C5" t="s">
        <v>17</v>
      </c>
    </row>
    <row r="6" spans="1:3">
      <c r="A6">
        <v>20</v>
      </c>
      <c r="B6">
        <v>2</v>
      </c>
      <c r="C6" t="s">
        <v>17</v>
      </c>
    </row>
    <row r="7" spans="1:3">
      <c r="A7">
        <v>20</v>
      </c>
      <c r="B7">
        <v>2</v>
      </c>
      <c r="C7" t="s">
        <v>17</v>
      </c>
    </row>
    <row r="8" spans="1:3">
      <c r="A8">
        <v>20</v>
      </c>
      <c r="B8">
        <v>2</v>
      </c>
      <c r="C8" t="s">
        <v>17</v>
      </c>
    </row>
    <row r="9" spans="1:3">
      <c r="A9">
        <v>20</v>
      </c>
      <c r="B9">
        <v>2</v>
      </c>
      <c r="C9" t="s">
        <v>17</v>
      </c>
    </row>
    <row r="10" spans="1:3">
      <c r="A10">
        <v>20</v>
      </c>
      <c r="B10">
        <v>2</v>
      </c>
      <c r="C10" t="s">
        <v>17</v>
      </c>
    </row>
    <row r="11" spans="1:3">
      <c r="A11">
        <v>20</v>
      </c>
      <c r="B11">
        <v>3</v>
      </c>
      <c r="C11" t="s">
        <v>17</v>
      </c>
    </row>
    <row r="12" spans="1:3">
      <c r="A12">
        <v>20</v>
      </c>
      <c r="B12">
        <v>3</v>
      </c>
      <c r="C12" t="s">
        <v>17</v>
      </c>
    </row>
    <row r="13" spans="1:3">
      <c r="A13">
        <v>20</v>
      </c>
      <c r="B13">
        <v>3</v>
      </c>
      <c r="C13" t="s">
        <v>17</v>
      </c>
    </row>
    <row r="14" spans="1:3">
      <c r="A14">
        <v>20</v>
      </c>
      <c r="B14">
        <v>3</v>
      </c>
      <c r="C14" t="s">
        <v>17</v>
      </c>
    </row>
    <row r="15" spans="1:3">
      <c r="A15">
        <v>20</v>
      </c>
      <c r="B15">
        <v>3</v>
      </c>
      <c r="C15" t="s">
        <v>17</v>
      </c>
    </row>
    <row r="16" spans="1:3">
      <c r="A16">
        <v>20</v>
      </c>
      <c r="B16">
        <v>3</v>
      </c>
      <c r="C16" t="s">
        <v>17</v>
      </c>
    </row>
    <row r="17" spans="1:3">
      <c r="A17">
        <v>20</v>
      </c>
      <c r="B17">
        <v>3</v>
      </c>
      <c r="C17" t="s">
        <v>17</v>
      </c>
    </row>
    <row r="18" spans="1:3">
      <c r="A18">
        <v>20</v>
      </c>
      <c r="B18">
        <v>3</v>
      </c>
      <c r="C18" t="s">
        <v>17</v>
      </c>
    </row>
    <row r="19" spans="1:3">
      <c r="A19">
        <v>20</v>
      </c>
      <c r="B19">
        <v>3</v>
      </c>
      <c r="C19" t="s">
        <v>17</v>
      </c>
    </row>
    <row r="20" spans="1:3">
      <c r="A20">
        <v>20</v>
      </c>
      <c r="B20">
        <v>3</v>
      </c>
      <c r="C20" t="s">
        <v>17</v>
      </c>
    </row>
    <row r="21" spans="1:3">
      <c r="A21">
        <v>20</v>
      </c>
      <c r="B21">
        <v>3</v>
      </c>
      <c r="C21" t="s">
        <v>17</v>
      </c>
    </row>
    <row r="22" spans="1:3">
      <c r="A22">
        <v>20</v>
      </c>
      <c r="B22">
        <v>4</v>
      </c>
      <c r="C22" t="s">
        <v>17</v>
      </c>
    </row>
    <row r="23" spans="1:3">
      <c r="A23">
        <v>20</v>
      </c>
      <c r="B23">
        <v>4</v>
      </c>
      <c r="C23" t="s">
        <v>17</v>
      </c>
    </row>
    <row r="24" spans="1:3">
      <c r="A24">
        <v>20</v>
      </c>
      <c r="B24">
        <v>4</v>
      </c>
      <c r="C24" t="s">
        <v>17</v>
      </c>
    </row>
    <row r="25" spans="1:3">
      <c r="A25">
        <v>20</v>
      </c>
      <c r="B25">
        <v>5</v>
      </c>
      <c r="C25" t="s">
        <v>17</v>
      </c>
    </row>
    <row r="26" spans="1:3">
      <c r="A26">
        <v>20</v>
      </c>
      <c r="B26">
        <v>5</v>
      </c>
      <c r="C26" t="s">
        <v>17</v>
      </c>
    </row>
    <row r="27" spans="1:3">
      <c r="A27">
        <v>20</v>
      </c>
      <c r="B27">
        <v>5</v>
      </c>
      <c r="C27" t="s">
        <v>17</v>
      </c>
    </row>
    <row r="28" spans="1:3">
      <c r="A28">
        <v>20</v>
      </c>
      <c r="B28">
        <v>5</v>
      </c>
      <c r="C28" t="s">
        <v>17</v>
      </c>
    </row>
    <row r="29" spans="1:3">
      <c r="A29">
        <v>20</v>
      </c>
      <c r="B29">
        <v>5</v>
      </c>
      <c r="C29" t="s">
        <v>17</v>
      </c>
    </row>
    <row r="30" spans="1:3">
      <c r="A30">
        <v>20</v>
      </c>
      <c r="B30">
        <v>5</v>
      </c>
      <c r="C30" t="s">
        <v>17</v>
      </c>
    </row>
    <row r="31" spans="1:3">
      <c r="A31">
        <v>20</v>
      </c>
      <c r="B31">
        <v>5</v>
      </c>
      <c r="C31" t="s">
        <v>17</v>
      </c>
    </row>
    <row r="32" spans="1:3">
      <c r="A32">
        <v>20</v>
      </c>
      <c r="B32">
        <v>6</v>
      </c>
      <c r="C32" t="s">
        <v>17</v>
      </c>
    </row>
    <row r="33" spans="1:3">
      <c r="A33">
        <v>20</v>
      </c>
      <c r="B33">
        <v>6</v>
      </c>
      <c r="C33" t="s">
        <v>17</v>
      </c>
    </row>
    <row r="34" spans="1:3">
      <c r="A34">
        <v>20</v>
      </c>
      <c r="B34">
        <v>6</v>
      </c>
      <c r="C34" t="s">
        <v>17</v>
      </c>
    </row>
    <row r="35" spans="1:3">
      <c r="A35">
        <v>20</v>
      </c>
      <c r="B35">
        <v>6</v>
      </c>
      <c r="C35" t="s">
        <v>17</v>
      </c>
    </row>
    <row r="36" spans="1:3">
      <c r="A36">
        <v>20</v>
      </c>
      <c r="B36">
        <v>6</v>
      </c>
      <c r="C36" t="s">
        <v>17</v>
      </c>
    </row>
    <row r="37" spans="1:3">
      <c r="A37">
        <v>20</v>
      </c>
      <c r="B37">
        <v>6</v>
      </c>
      <c r="C37" t="s">
        <v>17</v>
      </c>
    </row>
    <row r="38" spans="1:3">
      <c r="A38">
        <v>20</v>
      </c>
      <c r="B38">
        <v>6</v>
      </c>
      <c r="C38" t="s">
        <v>17</v>
      </c>
    </row>
    <row r="39" spans="1:3">
      <c r="A39">
        <v>20</v>
      </c>
      <c r="B39">
        <v>6</v>
      </c>
      <c r="C39" t="s">
        <v>17</v>
      </c>
    </row>
    <row r="40" spans="1:3">
      <c r="A40">
        <v>20</v>
      </c>
      <c r="B40">
        <v>6</v>
      </c>
      <c r="C40" t="s">
        <v>17</v>
      </c>
    </row>
    <row r="41" spans="1:3">
      <c r="A41">
        <v>20</v>
      </c>
      <c r="B41">
        <v>6</v>
      </c>
      <c r="C41" t="s">
        <v>17</v>
      </c>
    </row>
    <row r="42" spans="1:3">
      <c r="A42">
        <v>20</v>
      </c>
      <c r="B42">
        <v>6</v>
      </c>
      <c r="C42" t="s">
        <v>17</v>
      </c>
    </row>
    <row r="43" spans="1:3">
      <c r="A43">
        <v>20</v>
      </c>
      <c r="B43">
        <v>6</v>
      </c>
      <c r="C43" t="s">
        <v>17</v>
      </c>
    </row>
    <row r="44" spans="1:3">
      <c r="A44">
        <v>20</v>
      </c>
      <c r="B44">
        <v>7</v>
      </c>
      <c r="C44" t="s">
        <v>17</v>
      </c>
    </row>
    <row r="45" spans="1:3">
      <c r="A45">
        <v>20</v>
      </c>
      <c r="B45">
        <v>7</v>
      </c>
      <c r="C45" t="s">
        <v>17</v>
      </c>
    </row>
    <row r="46" spans="1:3">
      <c r="A46">
        <v>20</v>
      </c>
      <c r="B46">
        <v>7</v>
      </c>
      <c r="C46" t="s">
        <v>17</v>
      </c>
    </row>
    <row r="47" spans="1:3">
      <c r="A47">
        <v>20</v>
      </c>
      <c r="B47">
        <v>7</v>
      </c>
      <c r="C47" t="s">
        <v>17</v>
      </c>
    </row>
    <row r="48" spans="1:3">
      <c r="A48">
        <v>20</v>
      </c>
      <c r="B48">
        <v>7</v>
      </c>
      <c r="C48" t="s">
        <v>17</v>
      </c>
    </row>
    <row r="49" spans="1:3">
      <c r="A49">
        <v>20</v>
      </c>
      <c r="B49">
        <v>7</v>
      </c>
      <c r="C49" t="s">
        <v>17</v>
      </c>
    </row>
    <row r="50" spans="1:3">
      <c r="A50">
        <v>20</v>
      </c>
      <c r="B50">
        <v>7</v>
      </c>
      <c r="C50" t="s">
        <v>17</v>
      </c>
    </row>
    <row r="51" spans="1:3">
      <c r="A51">
        <v>20</v>
      </c>
      <c r="B51">
        <v>7</v>
      </c>
      <c r="C51" t="s">
        <v>17</v>
      </c>
    </row>
    <row r="52" spans="1:3">
      <c r="A52">
        <v>20</v>
      </c>
      <c r="B52">
        <v>7</v>
      </c>
      <c r="C52" t="s">
        <v>17</v>
      </c>
    </row>
    <row r="53" spans="1:3">
      <c r="A53">
        <v>20</v>
      </c>
      <c r="B53">
        <v>7</v>
      </c>
      <c r="C53" t="s">
        <v>17</v>
      </c>
    </row>
    <row r="54" spans="1:3">
      <c r="A54">
        <v>20</v>
      </c>
      <c r="B54">
        <v>7</v>
      </c>
      <c r="C54" t="s">
        <v>17</v>
      </c>
    </row>
    <row r="55" spans="1:3">
      <c r="A55">
        <v>20</v>
      </c>
      <c r="B55">
        <v>7</v>
      </c>
      <c r="C55" t="s">
        <v>17</v>
      </c>
    </row>
    <row r="56" spans="1:3">
      <c r="A56">
        <v>20</v>
      </c>
      <c r="B56">
        <v>8</v>
      </c>
      <c r="C56" t="s">
        <v>17</v>
      </c>
    </row>
    <row r="57" spans="1:3">
      <c r="A57">
        <v>20</v>
      </c>
      <c r="B57">
        <v>8</v>
      </c>
      <c r="C57" t="s">
        <v>17</v>
      </c>
    </row>
    <row r="58" spans="1:3">
      <c r="A58">
        <v>20</v>
      </c>
      <c r="B58">
        <v>8</v>
      </c>
      <c r="C58" t="s">
        <v>17</v>
      </c>
    </row>
    <row r="59" spans="1:3">
      <c r="A59">
        <v>20</v>
      </c>
      <c r="B59">
        <v>8</v>
      </c>
      <c r="C59" t="s">
        <v>17</v>
      </c>
    </row>
    <row r="60" spans="1:3">
      <c r="A60">
        <v>20</v>
      </c>
      <c r="B60">
        <v>8</v>
      </c>
      <c r="C60" t="s">
        <v>17</v>
      </c>
    </row>
    <row r="61" spans="1:3">
      <c r="A61">
        <v>20</v>
      </c>
      <c r="B61">
        <v>8</v>
      </c>
      <c r="C61" t="s">
        <v>17</v>
      </c>
    </row>
    <row r="62" spans="1:3">
      <c r="A62">
        <v>20</v>
      </c>
      <c r="B62">
        <v>8</v>
      </c>
      <c r="C62" t="s">
        <v>17</v>
      </c>
    </row>
    <row r="63" spans="1:3">
      <c r="A63">
        <v>20</v>
      </c>
      <c r="B63">
        <v>8</v>
      </c>
      <c r="C63" t="s">
        <v>17</v>
      </c>
    </row>
    <row r="64" spans="1:3">
      <c r="A64">
        <v>20</v>
      </c>
      <c r="B64">
        <v>8</v>
      </c>
      <c r="C64" t="s">
        <v>17</v>
      </c>
    </row>
    <row r="65" spans="1:3">
      <c r="A65">
        <v>20</v>
      </c>
      <c r="B65">
        <v>8</v>
      </c>
      <c r="C65" t="s">
        <v>17</v>
      </c>
    </row>
    <row r="66" spans="1:3">
      <c r="A66">
        <v>20</v>
      </c>
      <c r="B66">
        <v>8</v>
      </c>
      <c r="C66" t="s">
        <v>17</v>
      </c>
    </row>
    <row r="67" spans="1:3">
      <c r="A67">
        <v>20</v>
      </c>
      <c r="B67">
        <v>8</v>
      </c>
      <c r="C67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274"/>
  <sheetViews>
    <sheetView topLeftCell="D1" zoomScale="80" zoomScaleNormal="80" workbookViewId="0">
      <pane ySplit="1" topLeftCell="A374" activePane="bottomLeft" state="frozen"/>
      <selection pane="bottomLeft" activeCell="M2" sqref="M2:M2274"/>
    </sheetView>
  </sheetViews>
  <sheetFormatPr defaultColWidth="13" defaultRowHeight="15"/>
  <cols>
    <col min="1" max="1" width="6.7109375" customWidth="1"/>
    <col min="2" max="2" width="52.7109375" customWidth="1"/>
    <col min="3" max="3" width="39.28515625" hidden="1" customWidth="1"/>
    <col min="4" max="4" width="73.5703125" customWidth="1"/>
    <col min="5" max="5" width="58.140625" hidden="1" customWidth="1"/>
    <col min="6" max="6" width="40.140625" bestFit="1" customWidth="1"/>
    <col min="8" max="8" width="43.5703125" bestFit="1" customWidth="1"/>
    <col min="9" max="9" width="16.7109375" customWidth="1"/>
    <col min="10" max="10" width="26.140625" style="117" bestFit="1" customWidth="1"/>
    <col min="11" max="11" width="95.28515625" style="117" bestFit="1" customWidth="1"/>
    <col min="12" max="12" width="25.140625" bestFit="1" customWidth="1"/>
    <col min="13" max="13" width="20.7109375" bestFit="1" customWidth="1"/>
  </cols>
  <sheetData>
    <row r="1" spans="1:13" s="109" customFormat="1" ht="30" customHeight="1">
      <c r="A1" s="108" t="s">
        <v>666</v>
      </c>
      <c r="B1" s="108" t="s">
        <v>6743</v>
      </c>
      <c r="C1" s="108" t="s">
        <v>6744</v>
      </c>
      <c r="D1" s="108" t="s">
        <v>67</v>
      </c>
      <c r="E1" s="108" t="s">
        <v>6745</v>
      </c>
      <c r="F1" s="108" t="s">
        <v>6746</v>
      </c>
      <c r="G1" s="108" t="s">
        <v>6747</v>
      </c>
      <c r="H1" s="108" t="s">
        <v>664</v>
      </c>
      <c r="I1" s="108" t="s">
        <v>6748</v>
      </c>
      <c r="J1" s="108" t="s">
        <v>6749</v>
      </c>
      <c r="K1" s="108" t="s">
        <v>670</v>
      </c>
      <c r="L1" s="108" t="s">
        <v>6750</v>
      </c>
      <c r="M1" s="108" t="s">
        <v>6751</v>
      </c>
    </row>
    <row r="2" spans="1:13">
      <c r="A2" s="110">
        <v>1</v>
      </c>
      <c r="B2" s="45" t="s">
        <v>83</v>
      </c>
      <c r="C2" s="45">
        <v>3</v>
      </c>
      <c r="D2" s="45" t="s">
        <v>101</v>
      </c>
      <c r="E2" s="45">
        <v>50</v>
      </c>
      <c r="F2" s="45" t="s">
        <v>6752</v>
      </c>
      <c r="G2" s="110">
        <v>3</v>
      </c>
      <c r="H2" s="45" t="s">
        <v>6753</v>
      </c>
      <c r="I2" s="45" t="s">
        <v>6754</v>
      </c>
      <c r="J2" s="111">
        <v>45699</v>
      </c>
      <c r="K2" s="112" t="s">
        <v>6755</v>
      </c>
      <c r="L2" s="113">
        <v>45702</v>
      </c>
      <c r="M2" s="45" t="s">
        <v>246</v>
      </c>
    </row>
    <row r="3" spans="1:13">
      <c r="A3" s="110">
        <v>2</v>
      </c>
      <c r="B3" s="45" t="s">
        <v>83</v>
      </c>
      <c r="C3" s="45">
        <v>3</v>
      </c>
      <c r="D3" s="45" t="s">
        <v>101</v>
      </c>
      <c r="E3" s="45">
        <v>50</v>
      </c>
      <c r="F3" s="114" t="s">
        <v>6756</v>
      </c>
      <c r="G3" s="110">
        <v>3</v>
      </c>
      <c r="H3" s="45" t="s">
        <v>6757</v>
      </c>
      <c r="I3" s="45" t="s">
        <v>6754</v>
      </c>
      <c r="J3" s="111">
        <v>45699</v>
      </c>
      <c r="K3" s="112" t="s">
        <v>6758</v>
      </c>
      <c r="L3" s="113">
        <v>45702</v>
      </c>
      <c r="M3" s="45" t="s">
        <v>247</v>
      </c>
    </row>
    <row r="4" spans="1:13">
      <c r="A4" s="110">
        <v>3</v>
      </c>
      <c r="B4" s="45" t="s">
        <v>83</v>
      </c>
      <c r="C4" s="45">
        <v>3</v>
      </c>
      <c r="D4" s="45" t="s">
        <v>101</v>
      </c>
      <c r="E4" s="45">
        <v>50</v>
      </c>
      <c r="F4" s="45" t="s">
        <v>6759</v>
      </c>
      <c r="G4" s="110">
        <v>3</v>
      </c>
      <c r="H4" s="45" t="s">
        <v>5051</v>
      </c>
      <c r="I4" s="45" t="s">
        <v>6754</v>
      </c>
      <c r="J4" s="111">
        <v>45699</v>
      </c>
      <c r="K4" s="112" t="s">
        <v>6760</v>
      </c>
      <c r="L4" s="113">
        <v>45702</v>
      </c>
      <c r="M4" s="45" t="s">
        <v>246</v>
      </c>
    </row>
    <row r="5" spans="1:13">
      <c r="A5" s="110">
        <v>4</v>
      </c>
      <c r="B5" s="45" t="s">
        <v>83</v>
      </c>
      <c r="C5" s="45">
        <v>3</v>
      </c>
      <c r="D5" s="45" t="s">
        <v>101</v>
      </c>
      <c r="E5" s="45">
        <v>50</v>
      </c>
      <c r="F5" s="45" t="s">
        <v>6761</v>
      </c>
      <c r="G5" s="110">
        <v>5</v>
      </c>
      <c r="H5" s="45" t="s">
        <v>1539</v>
      </c>
      <c r="I5" s="45" t="s">
        <v>6754</v>
      </c>
      <c r="J5" s="111">
        <v>45699</v>
      </c>
      <c r="K5" s="112" t="s">
        <v>6762</v>
      </c>
      <c r="L5" s="113">
        <v>45702</v>
      </c>
      <c r="M5" s="45" t="s">
        <v>246</v>
      </c>
    </row>
    <row r="6" spans="1:13">
      <c r="A6" s="110">
        <v>5</v>
      </c>
      <c r="B6" s="45" t="s">
        <v>83</v>
      </c>
      <c r="C6" s="45">
        <v>3</v>
      </c>
      <c r="D6" s="45" t="s">
        <v>101</v>
      </c>
      <c r="E6" s="45">
        <v>50</v>
      </c>
      <c r="F6" s="45" t="s">
        <v>6763</v>
      </c>
      <c r="G6" s="110">
        <v>5</v>
      </c>
      <c r="H6" s="45" t="s">
        <v>6764</v>
      </c>
      <c r="I6" s="45" t="s">
        <v>6754</v>
      </c>
      <c r="J6" s="111">
        <v>45699</v>
      </c>
      <c r="K6" s="112" t="s">
        <v>6765</v>
      </c>
      <c r="L6" s="113">
        <v>45702</v>
      </c>
      <c r="M6" s="45" t="s">
        <v>246</v>
      </c>
    </row>
    <row r="7" spans="1:13">
      <c r="A7" s="110">
        <v>6</v>
      </c>
      <c r="B7" s="45" t="s">
        <v>83</v>
      </c>
      <c r="C7" s="45">
        <v>3</v>
      </c>
      <c r="D7" s="45" t="s">
        <v>101</v>
      </c>
      <c r="E7" s="45">
        <v>50</v>
      </c>
      <c r="F7" s="45" t="s">
        <v>6766</v>
      </c>
      <c r="G7" s="110">
        <v>7</v>
      </c>
      <c r="H7" s="45" t="s">
        <v>6767</v>
      </c>
      <c r="I7" s="45" t="s">
        <v>6754</v>
      </c>
      <c r="J7" s="111">
        <v>45699</v>
      </c>
      <c r="K7" s="112" t="s">
        <v>6768</v>
      </c>
      <c r="L7" s="113">
        <v>45702</v>
      </c>
      <c r="M7" s="45" t="s">
        <v>247</v>
      </c>
    </row>
    <row r="8" spans="1:13">
      <c r="A8" s="110">
        <v>7</v>
      </c>
      <c r="B8" s="45" t="s">
        <v>83</v>
      </c>
      <c r="C8" s="45">
        <v>3</v>
      </c>
      <c r="D8" s="45" t="s">
        <v>101</v>
      </c>
      <c r="E8" s="45">
        <v>50</v>
      </c>
      <c r="F8" s="45" t="s">
        <v>6769</v>
      </c>
      <c r="G8" s="110">
        <v>7</v>
      </c>
      <c r="H8" s="45" t="s">
        <v>6770</v>
      </c>
      <c r="I8" s="45" t="s">
        <v>6754</v>
      </c>
      <c r="J8" s="111">
        <v>45699</v>
      </c>
      <c r="K8" s="112" t="s">
        <v>6771</v>
      </c>
      <c r="L8" s="113">
        <v>45702</v>
      </c>
      <c r="M8" s="45" t="s">
        <v>247</v>
      </c>
    </row>
    <row r="9" spans="1:13">
      <c r="A9" s="110">
        <v>8</v>
      </c>
      <c r="B9" s="45" t="s">
        <v>83</v>
      </c>
      <c r="C9" s="45">
        <v>3</v>
      </c>
      <c r="D9" s="45" t="s">
        <v>101</v>
      </c>
      <c r="E9" s="45">
        <v>50</v>
      </c>
      <c r="F9" s="45" t="s">
        <v>6772</v>
      </c>
      <c r="G9" s="110">
        <v>7</v>
      </c>
      <c r="H9" s="45" t="s">
        <v>6773</v>
      </c>
      <c r="I9" s="45" t="s">
        <v>6754</v>
      </c>
      <c r="J9" s="111">
        <v>45699</v>
      </c>
      <c r="K9" s="112" t="s">
        <v>6774</v>
      </c>
      <c r="L9" s="113">
        <v>45702</v>
      </c>
      <c r="M9" s="45" t="s">
        <v>246</v>
      </c>
    </row>
    <row r="10" spans="1:13">
      <c r="A10" s="110">
        <v>9</v>
      </c>
      <c r="B10" s="45" t="s">
        <v>83</v>
      </c>
      <c r="C10" s="45">
        <v>3</v>
      </c>
      <c r="D10" s="45" t="s">
        <v>101</v>
      </c>
      <c r="E10" s="45">
        <v>50</v>
      </c>
      <c r="F10" s="45" t="s">
        <v>6775</v>
      </c>
      <c r="G10" s="110">
        <v>8</v>
      </c>
      <c r="H10" s="45" t="s">
        <v>6776</v>
      </c>
      <c r="I10" s="45" t="s">
        <v>6754</v>
      </c>
      <c r="J10" s="111">
        <v>45699</v>
      </c>
      <c r="K10" s="112" t="s">
        <v>6777</v>
      </c>
      <c r="L10" s="113">
        <v>45702</v>
      </c>
      <c r="M10" s="45" t="s">
        <v>247</v>
      </c>
    </row>
    <row r="11" spans="1:13">
      <c r="A11" s="110">
        <v>10</v>
      </c>
      <c r="B11" s="45" t="s">
        <v>83</v>
      </c>
      <c r="C11" s="45">
        <v>3</v>
      </c>
      <c r="D11" s="45" t="s">
        <v>101</v>
      </c>
      <c r="E11" s="45">
        <v>50</v>
      </c>
      <c r="F11" s="45" t="s">
        <v>6778</v>
      </c>
      <c r="G11" s="110">
        <v>8</v>
      </c>
      <c r="H11" s="45" t="s">
        <v>6779</v>
      </c>
      <c r="I11" s="45" t="s">
        <v>6754</v>
      </c>
      <c r="J11" s="111">
        <v>45699</v>
      </c>
      <c r="K11" s="112" t="s">
        <v>6780</v>
      </c>
      <c r="L11" s="113">
        <v>45702</v>
      </c>
      <c r="M11" s="45" t="s">
        <v>247</v>
      </c>
    </row>
    <row r="12" spans="1:13">
      <c r="A12" s="110">
        <v>11</v>
      </c>
      <c r="B12" s="45" t="s">
        <v>83</v>
      </c>
      <c r="C12" s="45">
        <v>3</v>
      </c>
      <c r="D12" s="45" t="s">
        <v>101</v>
      </c>
      <c r="E12" s="45">
        <v>50</v>
      </c>
      <c r="F12" s="45" t="s">
        <v>6781</v>
      </c>
      <c r="G12" s="110">
        <v>8</v>
      </c>
      <c r="H12" s="45" t="s">
        <v>6782</v>
      </c>
      <c r="I12" s="45" t="s">
        <v>6754</v>
      </c>
      <c r="J12" s="111">
        <v>45699</v>
      </c>
      <c r="K12" s="112" t="s">
        <v>6783</v>
      </c>
      <c r="L12" s="113">
        <v>45702</v>
      </c>
      <c r="M12" s="45" t="s">
        <v>246</v>
      </c>
    </row>
    <row r="13" spans="1:13">
      <c r="A13" s="110">
        <v>12</v>
      </c>
      <c r="B13" s="45" t="s">
        <v>83</v>
      </c>
      <c r="C13" s="45">
        <v>3</v>
      </c>
      <c r="D13" s="45" t="s">
        <v>184</v>
      </c>
      <c r="E13" s="45">
        <v>52</v>
      </c>
      <c r="F13" s="45" t="s">
        <v>6784</v>
      </c>
      <c r="G13" s="110">
        <v>3</v>
      </c>
      <c r="H13" s="45" t="s">
        <v>6785</v>
      </c>
      <c r="I13" s="45" t="s">
        <v>6754</v>
      </c>
      <c r="J13" s="111">
        <v>45699</v>
      </c>
      <c r="K13" s="112" t="s">
        <v>6786</v>
      </c>
      <c r="L13" s="113">
        <v>45702</v>
      </c>
      <c r="M13" s="45" t="s">
        <v>246</v>
      </c>
    </row>
    <row r="14" spans="1:13">
      <c r="A14" s="110">
        <v>13</v>
      </c>
      <c r="B14" s="45" t="s">
        <v>83</v>
      </c>
      <c r="C14" s="45">
        <v>3</v>
      </c>
      <c r="D14" s="45" t="s">
        <v>184</v>
      </c>
      <c r="E14" s="45">
        <v>52</v>
      </c>
      <c r="F14" s="45" t="s">
        <v>6787</v>
      </c>
      <c r="G14" s="110">
        <v>3</v>
      </c>
      <c r="H14" s="45" t="s">
        <v>6788</v>
      </c>
      <c r="I14" s="45" t="s">
        <v>6754</v>
      </c>
      <c r="J14" s="111">
        <v>45699</v>
      </c>
      <c r="K14" s="112" t="s">
        <v>6789</v>
      </c>
      <c r="L14" s="113">
        <v>45702</v>
      </c>
      <c r="M14" s="45" t="s">
        <v>246</v>
      </c>
    </row>
    <row r="15" spans="1:13">
      <c r="A15" s="110">
        <v>14</v>
      </c>
      <c r="B15" s="45" t="s">
        <v>83</v>
      </c>
      <c r="C15" s="45">
        <v>3</v>
      </c>
      <c r="D15" s="45" t="s">
        <v>184</v>
      </c>
      <c r="E15" s="45">
        <v>52</v>
      </c>
      <c r="F15" s="45" t="s">
        <v>6790</v>
      </c>
      <c r="G15" s="110">
        <v>3</v>
      </c>
      <c r="H15" s="45" t="s">
        <v>6791</v>
      </c>
      <c r="I15" s="45" t="s">
        <v>6754</v>
      </c>
      <c r="J15" s="111">
        <v>45699</v>
      </c>
      <c r="K15" s="112" t="s">
        <v>6792</v>
      </c>
      <c r="L15" s="113">
        <v>45702</v>
      </c>
      <c r="M15" s="45" t="s">
        <v>247</v>
      </c>
    </row>
    <row r="16" spans="1:13">
      <c r="A16" s="110">
        <v>15</v>
      </c>
      <c r="B16" s="45" t="s">
        <v>83</v>
      </c>
      <c r="C16" s="45">
        <v>3</v>
      </c>
      <c r="D16" s="45" t="s">
        <v>184</v>
      </c>
      <c r="E16" s="45">
        <v>52</v>
      </c>
      <c r="F16" s="45" t="s">
        <v>6793</v>
      </c>
      <c r="G16" s="110">
        <v>3</v>
      </c>
      <c r="H16" s="45" t="s">
        <v>6794</v>
      </c>
      <c r="I16" s="45" t="s">
        <v>6754</v>
      </c>
      <c r="J16" s="111">
        <v>45699</v>
      </c>
      <c r="K16" s="112" t="s">
        <v>6795</v>
      </c>
      <c r="L16" s="113">
        <v>45702</v>
      </c>
      <c r="M16" s="45" t="s">
        <v>246</v>
      </c>
    </row>
    <row r="17" spans="1:13">
      <c r="A17" s="110">
        <v>16</v>
      </c>
      <c r="B17" s="45" t="s">
        <v>83</v>
      </c>
      <c r="C17" s="45">
        <v>3</v>
      </c>
      <c r="D17" s="45" t="s">
        <v>184</v>
      </c>
      <c r="E17" s="45">
        <v>52</v>
      </c>
      <c r="F17" s="45" t="s">
        <v>6796</v>
      </c>
      <c r="G17" s="110">
        <v>3</v>
      </c>
      <c r="H17" s="45" t="s">
        <v>6797</v>
      </c>
      <c r="I17" s="45" t="s">
        <v>6754</v>
      </c>
      <c r="J17" s="111">
        <v>45699</v>
      </c>
      <c r="K17" s="112" t="s">
        <v>6798</v>
      </c>
      <c r="L17" s="113">
        <v>45702</v>
      </c>
      <c r="M17" s="45" t="s">
        <v>247</v>
      </c>
    </row>
    <row r="18" spans="1:13">
      <c r="A18" s="110">
        <v>17</v>
      </c>
      <c r="B18" s="45" t="s">
        <v>83</v>
      </c>
      <c r="C18" s="45">
        <v>3</v>
      </c>
      <c r="D18" s="45" t="s">
        <v>184</v>
      </c>
      <c r="E18" s="45">
        <v>52</v>
      </c>
      <c r="F18" s="45" t="s">
        <v>6799</v>
      </c>
      <c r="G18" s="110">
        <v>3</v>
      </c>
      <c r="H18" s="45" t="s">
        <v>6800</v>
      </c>
      <c r="I18" s="45" t="s">
        <v>6754</v>
      </c>
      <c r="J18" s="111">
        <v>45699</v>
      </c>
      <c r="K18" s="112" t="s">
        <v>6801</v>
      </c>
      <c r="L18" s="113">
        <v>45702</v>
      </c>
      <c r="M18" s="45" t="s">
        <v>247</v>
      </c>
    </row>
    <row r="19" spans="1:13">
      <c r="A19" s="110">
        <v>18</v>
      </c>
      <c r="B19" s="45" t="s">
        <v>83</v>
      </c>
      <c r="C19" s="45">
        <v>3</v>
      </c>
      <c r="D19" s="45" t="s">
        <v>184</v>
      </c>
      <c r="E19" s="45">
        <v>52</v>
      </c>
      <c r="F19" s="45" t="s">
        <v>6802</v>
      </c>
      <c r="G19" s="110">
        <v>3</v>
      </c>
      <c r="H19" s="45" t="s">
        <v>6803</v>
      </c>
      <c r="I19" s="45" t="s">
        <v>6754</v>
      </c>
      <c r="J19" s="111">
        <v>45699</v>
      </c>
      <c r="K19" s="112" t="s">
        <v>6804</v>
      </c>
      <c r="L19" s="113">
        <v>45702</v>
      </c>
      <c r="M19" s="45" t="s">
        <v>247</v>
      </c>
    </row>
    <row r="20" spans="1:13">
      <c r="A20" s="110">
        <v>19</v>
      </c>
      <c r="B20" s="45" t="s">
        <v>83</v>
      </c>
      <c r="C20" s="45">
        <v>3</v>
      </c>
      <c r="D20" s="45" t="s">
        <v>184</v>
      </c>
      <c r="E20" s="45">
        <v>52</v>
      </c>
      <c r="F20" s="45" t="s">
        <v>6805</v>
      </c>
      <c r="G20" s="110">
        <v>3</v>
      </c>
      <c r="H20" s="45" t="s">
        <v>6806</v>
      </c>
      <c r="I20" s="45" t="s">
        <v>6754</v>
      </c>
      <c r="J20" s="111">
        <v>45699</v>
      </c>
      <c r="K20" s="112" t="s">
        <v>6807</v>
      </c>
      <c r="L20" s="113">
        <v>45702</v>
      </c>
      <c r="M20" s="45" t="s">
        <v>247</v>
      </c>
    </row>
    <row r="21" spans="1:13">
      <c r="A21" s="110">
        <v>20</v>
      </c>
      <c r="B21" s="45" t="s">
        <v>83</v>
      </c>
      <c r="C21" s="45">
        <v>3</v>
      </c>
      <c r="D21" s="45" t="s">
        <v>184</v>
      </c>
      <c r="E21" s="45">
        <v>52</v>
      </c>
      <c r="F21" s="45" t="s">
        <v>6808</v>
      </c>
      <c r="G21" s="110">
        <v>3</v>
      </c>
      <c r="H21" s="45" t="s">
        <v>6809</v>
      </c>
      <c r="I21" s="45" t="s">
        <v>6754</v>
      </c>
      <c r="J21" s="111">
        <v>45699</v>
      </c>
      <c r="K21" s="112" t="s">
        <v>6810</v>
      </c>
      <c r="L21" s="113">
        <v>45702</v>
      </c>
      <c r="M21" s="45" t="s">
        <v>247</v>
      </c>
    </row>
    <row r="22" spans="1:13">
      <c r="A22" s="110">
        <v>21</v>
      </c>
      <c r="B22" s="45" t="s">
        <v>83</v>
      </c>
      <c r="C22" s="45">
        <v>3</v>
      </c>
      <c r="D22" s="45" t="s">
        <v>184</v>
      </c>
      <c r="E22" s="45">
        <v>52</v>
      </c>
      <c r="F22" s="45" t="s">
        <v>6811</v>
      </c>
      <c r="G22" s="110">
        <v>3</v>
      </c>
      <c r="H22" s="45" t="s">
        <v>6812</v>
      </c>
      <c r="I22" s="45" t="s">
        <v>6754</v>
      </c>
      <c r="J22" s="111">
        <v>45699</v>
      </c>
      <c r="K22" s="112" t="s">
        <v>6813</v>
      </c>
      <c r="L22" s="113">
        <v>45702</v>
      </c>
      <c r="M22" s="45" t="s">
        <v>246</v>
      </c>
    </row>
    <row r="23" spans="1:13">
      <c r="A23" s="110">
        <v>22</v>
      </c>
      <c r="B23" s="45" t="s">
        <v>83</v>
      </c>
      <c r="C23" s="45">
        <v>3</v>
      </c>
      <c r="D23" s="45" t="s">
        <v>184</v>
      </c>
      <c r="E23" s="45">
        <v>52</v>
      </c>
      <c r="F23" s="45" t="s">
        <v>6814</v>
      </c>
      <c r="G23" s="110">
        <v>3</v>
      </c>
      <c r="H23" s="115" t="s">
        <v>6815</v>
      </c>
      <c r="I23" s="45" t="s">
        <v>6754</v>
      </c>
      <c r="J23" s="111">
        <v>45699</v>
      </c>
      <c r="K23" s="112" t="s">
        <v>6816</v>
      </c>
      <c r="L23" s="113">
        <v>45702</v>
      </c>
      <c r="M23" s="45" t="s">
        <v>247</v>
      </c>
    </row>
    <row r="24" spans="1:13">
      <c r="A24" s="110">
        <v>23</v>
      </c>
      <c r="B24" s="45" t="s">
        <v>84</v>
      </c>
      <c r="C24" s="45">
        <v>4</v>
      </c>
      <c r="D24" s="45" t="s">
        <v>187</v>
      </c>
      <c r="E24" s="45">
        <v>55</v>
      </c>
      <c r="F24" s="45" t="s">
        <v>6817</v>
      </c>
      <c r="G24" s="110">
        <v>2</v>
      </c>
      <c r="H24" s="45" t="s">
        <v>6818</v>
      </c>
      <c r="I24" s="45" t="s">
        <v>6754</v>
      </c>
      <c r="J24" s="111">
        <v>45699</v>
      </c>
      <c r="K24" s="112" t="s">
        <v>6819</v>
      </c>
      <c r="L24" s="113">
        <v>45702</v>
      </c>
      <c r="M24" s="45" t="s">
        <v>247</v>
      </c>
    </row>
    <row r="25" spans="1:13">
      <c r="A25" s="110">
        <v>24</v>
      </c>
      <c r="B25" s="45" t="s">
        <v>84</v>
      </c>
      <c r="C25" s="45">
        <v>4</v>
      </c>
      <c r="D25" s="45" t="s">
        <v>187</v>
      </c>
      <c r="E25" s="45">
        <v>55</v>
      </c>
      <c r="F25" s="45" t="s">
        <v>6820</v>
      </c>
      <c r="G25" s="110">
        <v>2</v>
      </c>
      <c r="H25" s="45" t="s">
        <v>6821</v>
      </c>
      <c r="I25" s="45" t="s">
        <v>6754</v>
      </c>
      <c r="J25" s="111">
        <v>45699</v>
      </c>
      <c r="K25" s="112" t="s">
        <v>6822</v>
      </c>
      <c r="L25" s="113">
        <v>45702</v>
      </c>
      <c r="M25" s="45" t="s">
        <v>247</v>
      </c>
    </row>
    <row r="26" spans="1:13">
      <c r="A26" s="110">
        <v>25</v>
      </c>
      <c r="B26" s="45" t="s">
        <v>84</v>
      </c>
      <c r="C26" s="45">
        <v>4</v>
      </c>
      <c r="D26" s="45" t="s">
        <v>187</v>
      </c>
      <c r="E26" s="45">
        <v>55</v>
      </c>
      <c r="F26" s="45" t="s">
        <v>6823</v>
      </c>
      <c r="G26" s="110">
        <v>2</v>
      </c>
      <c r="H26" s="45" t="s">
        <v>6824</v>
      </c>
      <c r="I26" s="45" t="s">
        <v>6754</v>
      </c>
      <c r="J26" s="111">
        <v>45699</v>
      </c>
      <c r="K26" s="112" t="s">
        <v>6825</v>
      </c>
      <c r="L26" s="113">
        <v>45702</v>
      </c>
      <c r="M26" s="45" t="s">
        <v>247</v>
      </c>
    </row>
    <row r="27" spans="1:13">
      <c r="A27" s="110">
        <v>26</v>
      </c>
      <c r="B27" s="45" t="s">
        <v>84</v>
      </c>
      <c r="C27" s="45">
        <v>4</v>
      </c>
      <c r="D27" s="45" t="s">
        <v>187</v>
      </c>
      <c r="E27" s="45">
        <v>55</v>
      </c>
      <c r="F27" s="45" t="s">
        <v>6826</v>
      </c>
      <c r="G27" s="110">
        <v>2</v>
      </c>
      <c r="H27" s="45" t="s">
        <v>6827</v>
      </c>
      <c r="I27" s="45" t="s">
        <v>6754</v>
      </c>
      <c r="J27" s="111">
        <v>45699</v>
      </c>
      <c r="K27" s="112" t="s">
        <v>6828</v>
      </c>
      <c r="L27" s="113">
        <v>45702</v>
      </c>
      <c r="M27" s="45" t="s">
        <v>247</v>
      </c>
    </row>
    <row r="28" spans="1:13">
      <c r="A28" s="110">
        <v>27</v>
      </c>
      <c r="B28" s="45" t="s">
        <v>84</v>
      </c>
      <c r="C28" s="45">
        <v>4</v>
      </c>
      <c r="D28" s="45" t="s">
        <v>187</v>
      </c>
      <c r="E28" s="45">
        <v>55</v>
      </c>
      <c r="F28" s="45" t="s">
        <v>6829</v>
      </c>
      <c r="G28" s="110">
        <v>2</v>
      </c>
      <c r="H28" s="45" t="s">
        <v>6830</v>
      </c>
      <c r="I28" s="45" t="s">
        <v>6754</v>
      </c>
      <c r="J28" s="111">
        <v>45699</v>
      </c>
      <c r="K28" s="112" t="s">
        <v>6831</v>
      </c>
      <c r="L28" s="113">
        <v>45702</v>
      </c>
      <c r="M28" s="45" t="s">
        <v>247</v>
      </c>
    </row>
    <row r="29" spans="1:13">
      <c r="A29" s="110">
        <v>28</v>
      </c>
      <c r="B29" s="45" t="s">
        <v>84</v>
      </c>
      <c r="C29" s="45">
        <v>4</v>
      </c>
      <c r="D29" s="45" t="s">
        <v>187</v>
      </c>
      <c r="E29" s="45">
        <v>55</v>
      </c>
      <c r="F29" s="45" t="s">
        <v>6832</v>
      </c>
      <c r="G29" s="110">
        <v>2</v>
      </c>
      <c r="H29" s="45" t="s">
        <v>6833</v>
      </c>
      <c r="I29" s="45" t="s">
        <v>6754</v>
      </c>
      <c r="J29" s="111">
        <v>45699</v>
      </c>
      <c r="K29" s="112" t="s">
        <v>6834</v>
      </c>
      <c r="L29" s="113">
        <v>45702</v>
      </c>
      <c r="M29" s="45" t="s">
        <v>247</v>
      </c>
    </row>
    <row r="30" spans="1:13">
      <c r="A30" s="110">
        <v>29</v>
      </c>
      <c r="B30" s="45" t="s">
        <v>84</v>
      </c>
      <c r="C30" s="45">
        <v>4</v>
      </c>
      <c r="D30" s="45" t="s">
        <v>187</v>
      </c>
      <c r="E30" s="45">
        <v>55</v>
      </c>
      <c r="F30" s="45" t="s">
        <v>6835</v>
      </c>
      <c r="G30" s="110">
        <v>4</v>
      </c>
      <c r="H30" s="45" t="s">
        <v>6836</v>
      </c>
      <c r="I30" s="45" t="s">
        <v>6754</v>
      </c>
      <c r="J30" s="111">
        <v>45699</v>
      </c>
      <c r="K30" s="112" t="s">
        <v>6837</v>
      </c>
      <c r="L30" s="113">
        <v>45702</v>
      </c>
      <c r="M30" s="45" t="s">
        <v>247</v>
      </c>
    </row>
    <row r="31" spans="1:13">
      <c r="A31" s="110">
        <v>30</v>
      </c>
      <c r="B31" s="45" t="s">
        <v>84</v>
      </c>
      <c r="C31" s="45">
        <v>4</v>
      </c>
      <c r="D31" s="45" t="s">
        <v>187</v>
      </c>
      <c r="E31" s="45">
        <v>55</v>
      </c>
      <c r="F31" s="45" t="s">
        <v>6838</v>
      </c>
      <c r="G31" s="110">
        <v>4</v>
      </c>
      <c r="H31" s="45" t="s">
        <v>6839</v>
      </c>
      <c r="I31" s="45" t="s">
        <v>6754</v>
      </c>
      <c r="J31" s="111">
        <v>45699</v>
      </c>
      <c r="K31" s="112" t="s">
        <v>6840</v>
      </c>
      <c r="L31" s="113">
        <v>45702</v>
      </c>
      <c r="M31" s="45" t="s">
        <v>247</v>
      </c>
    </row>
    <row r="32" spans="1:13">
      <c r="A32" s="110">
        <v>31</v>
      </c>
      <c r="B32" s="45" t="s">
        <v>84</v>
      </c>
      <c r="C32" s="45">
        <v>4</v>
      </c>
      <c r="D32" s="45" t="s">
        <v>187</v>
      </c>
      <c r="E32" s="45">
        <v>55</v>
      </c>
      <c r="F32" s="45" t="s">
        <v>6841</v>
      </c>
      <c r="G32" s="110">
        <v>4</v>
      </c>
      <c r="H32" s="45" t="s">
        <v>6842</v>
      </c>
      <c r="I32" s="45" t="s">
        <v>6754</v>
      </c>
      <c r="J32" s="111">
        <v>45699</v>
      </c>
      <c r="K32" s="112" t="s">
        <v>6843</v>
      </c>
      <c r="L32" s="113">
        <v>45702</v>
      </c>
      <c r="M32" s="45" t="s">
        <v>247</v>
      </c>
    </row>
    <row r="33" spans="1:13">
      <c r="A33" s="110">
        <v>32</v>
      </c>
      <c r="B33" s="45" t="s">
        <v>84</v>
      </c>
      <c r="C33" s="45">
        <v>4</v>
      </c>
      <c r="D33" s="45" t="s">
        <v>187</v>
      </c>
      <c r="E33" s="45">
        <v>55</v>
      </c>
      <c r="F33" s="45" t="s">
        <v>6844</v>
      </c>
      <c r="G33" s="110">
        <v>4</v>
      </c>
      <c r="H33" s="45" t="s">
        <v>6845</v>
      </c>
      <c r="I33" s="45" t="s">
        <v>6754</v>
      </c>
      <c r="J33" s="111">
        <v>45699</v>
      </c>
      <c r="K33" s="112" t="s">
        <v>6846</v>
      </c>
      <c r="L33" s="113">
        <v>45702</v>
      </c>
      <c r="M33" s="45" t="s">
        <v>247</v>
      </c>
    </row>
    <row r="34" spans="1:13">
      <c r="A34" s="110">
        <v>33</v>
      </c>
      <c r="B34" s="45" t="s">
        <v>84</v>
      </c>
      <c r="C34" s="45">
        <v>4</v>
      </c>
      <c r="D34" s="45" t="s">
        <v>187</v>
      </c>
      <c r="E34" s="45">
        <v>55</v>
      </c>
      <c r="F34" s="45" t="s">
        <v>6847</v>
      </c>
      <c r="G34" s="110">
        <v>4</v>
      </c>
      <c r="H34" s="45" t="s">
        <v>6848</v>
      </c>
      <c r="I34" s="45" t="s">
        <v>6754</v>
      </c>
      <c r="J34" s="111">
        <v>45699</v>
      </c>
      <c r="K34" s="112" t="s">
        <v>6849</v>
      </c>
      <c r="L34" s="113">
        <v>45702</v>
      </c>
      <c r="M34" s="45" t="s">
        <v>247</v>
      </c>
    </row>
    <row r="35" spans="1:13">
      <c r="A35" s="110">
        <v>34</v>
      </c>
      <c r="B35" s="45" t="s">
        <v>84</v>
      </c>
      <c r="C35" s="45">
        <v>4</v>
      </c>
      <c r="D35" s="45" t="s">
        <v>187</v>
      </c>
      <c r="E35" s="45">
        <v>55</v>
      </c>
      <c r="F35" s="45" t="s">
        <v>6850</v>
      </c>
      <c r="G35" s="110">
        <v>4</v>
      </c>
      <c r="H35" s="45" t="s">
        <v>6851</v>
      </c>
      <c r="I35" s="45" t="s">
        <v>6754</v>
      </c>
      <c r="J35" s="111">
        <v>45699</v>
      </c>
      <c r="K35" s="112" t="s">
        <v>6852</v>
      </c>
      <c r="L35" s="113">
        <v>45702</v>
      </c>
      <c r="M35" s="45" t="s">
        <v>247</v>
      </c>
    </row>
    <row r="36" spans="1:13">
      <c r="A36" s="110">
        <v>35</v>
      </c>
      <c r="B36" s="45" t="s">
        <v>84</v>
      </c>
      <c r="C36" s="45">
        <v>4</v>
      </c>
      <c r="D36" s="45" t="s">
        <v>187</v>
      </c>
      <c r="E36" s="45">
        <v>55</v>
      </c>
      <c r="F36" s="45" t="s">
        <v>6853</v>
      </c>
      <c r="G36" s="110">
        <v>4</v>
      </c>
      <c r="H36" s="45" t="s">
        <v>6854</v>
      </c>
      <c r="I36" s="45" t="s">
        <v>6754</v>
      </c>
      <c r="J36" s="111">
        <v>45699</v>
      </c>
      <c r="K36" s="112" t="s">
        <v>6855</v>
      </c>
      <c r="L36" s="113">
        <v>45702</v>
      </c>
      <c r="M36" s="45" t="s">
        <v>247</v>
      </c>
    </row>
    <row r="37" spans="1:13">
      <c r="A37" s="110">
        <v>36</v>
      </c>
      <c r="B37" s="45" t="s">
        <v>84</v>
      </c>
      <c r="C37" s="45">
        <v>4</v>
      </c>
      <c r="D37" s="45" t="s">
        <v>187</v>
      </c>
      <c r="E37" s="45">
        <v>55</v>
      </c>
      <c r="F37" s="45" t="s">
        <v>6856</v>
      </c>
      <c r="G37" s="110">
        <v>4</v>
      </c>
      <c r="H37" s="45" t="s">
        <v>6857</v>
      </c>
      <c r="I37" s="45" t="s">
        <v>6754</v>
      </c>
      <c r="J37" s="111">
        <v>45699</v>
      </c>
      <c r="K37" s="112" t="s">
        <v>6858</v>
      </c>
      <c r="L37" s="113">
        <v>45702</v>
      </c>
      <c r="M37" s="45" t="s">
        <v>247</v>
      </c>
    </row>
    <row r="38" spans="1:13">
      <c r="A38" s="110">
        <v>37</v>
      </c>
      <c r="B38" s="45" t="s">
        <v>84</v>
      </c>
      <c r="C38" s="45">
        <v>4</v>
      </c>
      <c r="D38" s="45" t="s">
        <v>187</v>
      </c>
      <c r="E38" s="45">
        <v>55</v>
      </c>
      <c r="F38" s="45" t="s">
        <v>6859</v>
      </c>
      <c r="G38" s="110">
        <v>4</v>
      </c>
      <c r="H38" s="45" t="s">
        <v>6860</v>
      </c>
      <c r="I38" s="45" t="s">
        <v>6754</v>
      </c>
      <c r="J38" s="111">
        <v>45699</v>
      </c>
      <c r="K38" s="112" t="s">
        <v>6861</v>
      </c>
      <c r="L38" s="113">
        <v>45702</v>
      </c>
      <c r="M38" s="45" t="s">
        <v>246</v>
      </c>
    </row>
    <row r="39" spans="1:13">
      <c r="A39" s="110">
        <v>38</v>
      </c>
      <c r="B39" s="45" t="s">
        <v>84</v>
      </c>
      <c r="C39" s="45">
        <v>4</v>
      </c>
      <c r="D39" s="45" t="s">
        <v>187</v>
      </c>
      <c r="E39" s="45">
        <v>55</v>
      </c>
      <c r="F39" s="45" t="s">
        <v>6862</v>
      </c>
      <c r="G39" s="110">
        <v>4</v>
      </c>
      <c r="H39" s="45" t="s">
        <v>6863</v>
      </c>
      <c r="I39" s="45" t="s">
        <v>6754</v>
      </c>
      <c r="J39" s="111">
        <v>45699</v>
      </c>
      <c r="K39" s="112" t="s">
        <v>6864</v>
      </c>
      <c r="L39" s="113">
        <v>45702</v>
      </c>
      <c r="M39" s="45" t="s">
        <v>247</v>
      </c>
    </row>
    <row r="40" spans="1:13">
      <c r="A40" s="110">
        <v>39</v>
      </c>
      <c r="B40" s="45" t="s">
        <v>84</v>
      </c>
      <c r="C40" s="45">
        <v>4</v>
      </c>
      <c r="D40" s="45" t="s">
        <v>187</v>
      </c>
      <c r="E40" s="45">
        <v>55</v>
      </c>
      <c r="F40" s="45" t="s">
        <v>6865</v>
      </c>
      <c r="G40" s="110">
        <v>4</v>
      </c>
      <c r="H40" s="45" t="s">
        <v>6866</v>
      </c>
      <c r="I40" s="45" t="s">
        <v>6754</v>
      </c>
      <c r="J40" s="111">
        <v>45699</v>
      </c>
      <c r="K40" s="112" t="s">
        <v>6867</v>
      </c>
      <c r="L40" s="113">
        <v>45702</v>
      </c>
      <c r="M40" s="45" t="s">
        <v>247</v>
      </c>
    </row>
    <row r="41" spans="1:13">
      <c r="A41" s="110">
        <v>40</v>
      </c>
      <c r="B41" s="45" t="s">
        <v>84</v>
      </c>
      <c r="C41" s="45">
        <v>4</v>
      </c>
      <c r="D41" s="45" t="s">
        <v>187</v>
      </c>
      <c r="E41" s="45">
        <v>55</v>
      </c>
      <c r="F41" s="45" t="s">
        <v>6868</v>
      </c>
      <c r="G41" s="110">
        <v>4</v>
      </c>
      <c r="H41" s="45" t="s">
        <v>6869</v>
      </c>
      <c r="I41" s="45" t="s">
        <v>6754</v>
      </c>
      <c r="J41" s="111">
        <v>45699</v>
      </c>
      <c r="K41" s="112" t="s">
        <v>6870</v>
      </c>
      <c r="L41" s="113">
        <v>45702</v>
      </c>
      <c r="M41" s="45" t="s">
        <v>247</v>
      </c>
    </row>
    <row r="42" spans="1:13">
      <c r="A42" s="110">
        <v>41</v>
      </c>
      <c r="B42" s="45" t="s">
        <v>84</v>
      </c>
      <c r="C42" s="45">
        <v>4</v>
      </c>
      <c r="D42" s="45" t="s">
        <v>187</v>
      </c>
      <c r="E42" s="45">
        <v>55</v>
      </c>
      <c r="F42" s="45" t="s">
        <v>6871</v>
      </c>
      <c r="G42" s="110">
        <v>4</v>
      </c>
      <c r="H42" s="45" t="s">
        <v>6872</v>
      </c>
      <c r="I42" s="45" t="s">
        <v>6754</v>
      </c>
      <c r="J42" s="111">
        <v>45699</v>
      </c>
      <c r="K42" s="112" t="s">
        <v>6873</v>
      </c>
      <c r="L42" s="113">
        <v>45702</v>
      </c>
      <c r="M42" s="45" t="s">
        <v>247</v>
      </c>
    </row>
    <row r="43" spans="1:13">
      <c r="A43" s="110">
        <v>42</v>
      </c>
      <c r="B43" s="45" t="s">
        <v>84</v>
      </c>
      <c r="C43" s="45">
        <v>4</v>
      </c>
      <c r="D43" s="45" t="s">
        <v>187</v>
      </c>
      <c r="E43" s="45">
        <v>55</v>
      </c>
      <c r="F43" s="45" t="s">
        <v>6874</v>
      </c>
      <c r="G43" s="110">
        <v>4</v>
      </c>
      <c r="H43" s="45" t="s">
        <v>6875</v>
      </c>
      <c r="I43" s="45" t="s">
        <v>6754</v>
      </c>
      <c r="J43" s="111">
        <v>45699</v>
      </c>
      <c r="K43" s="112" t="s">
        <v>6876</v>
      </c>
      <c r="L43" s="113">
        <v>45702</v>
      </c>
      <c r="M43" s="45" t="s">
        <v>247</v>
      </c>
    </row>
    <row r="44" spans="1:13">
      <c r="A44" s="110">
        <v>43</v>
      </c>
      <c r="B44" s="45" t="s">
        <v>84</v>
      </c>
      <c r="C44" s="45">
        <v>4</v>
      </c>
      <c r="D44" s="45" t="s">
        <v>187</v>
      </c>
      <c r="E44" s="45">
        <v>55</v>
      </c>
      <c r="F44" s="45" t="s">
        <v>6877</v>
      </c>
      <c r="G44" s="110">
        <v>4</v>
      </c>
      <c r="H44" s="115" t="s">
        <v>6878</v>
      </c>
      <c r="I44" s="45" t="s">
        <v>6754</v>
      </c>
      <c r="J44" s="111">
        <v>45699</v>
      </c>
      <c r="K44" s="112" t="s">
        <v>6879</v>
      </c>
      <c r="L44" s="113">
        <v>45702</v>
      </c>
      <c r="M44" s="45" t="s">
        <v>247</v>
      </c>
    </row>
    <row r="45" spans="1:13">
      <c r="A45" s="110">
        <v>44</v>
      </c>
      <c r="B45" s="45" t="s">
        <v>6364</v>
      </c>
      <c r="C45" s="45">
        <v>9</v>
      </c>
      <c r="D45" s="45" t="s">
        <v>204</v>
      </c>
      <c r="E45" s="45">
        <v>81</v>
      </c>
      <c r="F45" s="45" t="s">
        <v>6880</v>
      </c>
      <c r="G45" s="110">
        <v>2</v>
      </c>
      <c r="H45" s="45" t="s">
        <v>6881</v>
      </c>
      <c r="I45" s="45" t="s">
        <v>6754</v>
      </c>
      <c r="J45" s="111">
        <v>45699</v>
      </c>
      <c r="K45" s="112" t="s">
        <v>6882</v>
      </c>
      <c r="L45" s="113">
        <v>45702</v>
      </c>
      <c r="M45" s="45" t="s">
        <v>247</v>
      </c>
    </row>
    <row r="46" spans="1:13">
      <c r="A46" s="110">
        <v>45</v>
      </c>
      <c r="B46" s="45" t="s">
        <v>6364</v>
      </c>
      <c r="C46" s="45">
        <v>9</v>
      </c>
      <c r="D46" s="45" t="s">
        <v>204</v>
      </c>
      <c r="E46" s="45">
        <v>81</v>
      </c>
      <c r="F46" s="45" t="s">
        <v>6883</v>
      </c>
      <c r="G46" s="110">
        <v>2</v>
      </c>
      <c r="H46" s="45" t="s">
        <v>6884</v>
      </c>
      <c r="I46" s="45" t="s">
        <v>6754</v>
      </c>
      <c r="J46" s="111">
        <v>45699</v>
      </c>
      <c r="K46" s="112" t="s">
        <v>6885</v>
      </c>
      <c r="L46" s="113">
        <v>45702</v>
      </c>
      <c r="M46" s="45" t="s">
        <v>247</v>
      </c>
    </row>
    <row r="47" spans="1:13">
      <c r="A47" s="110">
        <v>46</v>
      </c>
      <c r="B47" s="45" t="s">
        <v>6364</v>
      </c>
      <c r="C47" s="45">
        <v>9</v>
      </c>
      <c r="D47" s="45" t="s">
        <v>204</v>
      </c>
      <c r="E47" s="45">
        <v>81</v>
      </c>
      <c r="F47" s="45" t="s">
        <v>6886</v>
      </c>
      <c r="G47" s="110">
        <v>2</v>
      </c>
      <c r="H47" s="115" t="s">
        <v>6887</v>
      </c>
      <c r="I47" s="45" t="s">
        <v>6754</v>
      </c>
      <c r="J47" s="111">
        <v>45699</v>
      </c>
      <c r="K47" s="112" t="s">
        <v>6888</v>
      </c>
      <c r="L47" s="113">
        <v>45702</v>
      </c>
      <c r="M47" s="45" t="s">
        <v>247</v>
      </c>
    </row>
    <row r="48" spans="1:13">
      <c r="A48" s="110">
        <v>47</v>
      </c>
      <c r="B48" s="45" t="s">
        <v>6364</v>
      </c>
      <c r="C48" s="45">
        <v>9</v>
      </c>
      <c r="D48" s="45" t="s">
        <v>204</v>
      </c>
      <c r="E48" s="45">
        <v>81</v>
      </c>
      <c r="F48" s="45" t="s">
        <v>6889</v>
      </c>
      <c r="G48" s="110">
        <v>2</v>
      </c>
      <c r="H48" s="45" t="s">
        <v>6890</v>
      </c>
      <c r="I48" s="45" t="s">
        <v>6754</v>
      </c>
      <c r="J48" s="111">
        <v>45699</v>
      </c>
      <c r="K48" s="112" t="s">
        <v>6891</v>
      </c>
      <c r="L48" s="113">
        <v>45702</v>
      </c>
      <c r="M48" s="45" t="s">
        <v>247</v>
      </c>
    </row>
    <row r="49" spans="1:13">
      <c r="A49" s="110">
        <v>48</v>
      </c>
      <c r="B49" s="45" t="s">
        <v>6364</v>
      </c>
      <c r="C49" s="45">
        <v>9</v>
      </c>
      <c r="D49" s="45" t="s">
        <v>204</v>
      </c>
      <c r="E49" s="45">
        <v>81</v>
      </c>
      <c r="F49" s="45" t="s">
        <v>6892</v>
      </c>
      <c r="G49" s="110">
        <v>2</v>
      </c>
      <c r="H49" s="45" t="s">
        <v>6893</v>
      </c>
      <c r="I49" s="45" t="s">
        <v>6754</v>
      </c>
      <c r="J49" s="111">
        <v>45699</v>
      </c>
      <c r="K49" s="112" t="s">
        <v>6894</v>
      </c>
      <c r="L49" s="113">
        <v>45702</v>
      </c>
      <c r="M49" s="45" t="s">
        <v>247</v>
      </c>
    </row>
    <row r="50" spans="1:13">
      <c r="A50" s="110">
        <v>49</v>
      </c>
      <c r="B50" s="45" t="s">
        <v>6364</v>
      </c>
      <c r="C50" s="45">
        <v>9</v>
      </c>
      <c r="D50" s="45" t="s">
        <v>204</v>
      </c>
      <c r="E50" s="45">
        <v>81</v>
      </c>
      <c r="F50" s="45" t="s">
        <v>6895</v>
      </c>
      <c r="G50" s="110">
        <v>2</v>
      </c>
      <c r="H50" s="45" t="s">
        <v>6896</v>
      </c>
      <c r="I50" s="45" t="s">
        <v>6754</v>
      </c>
      <c r="J50" s="111">
        <v>45699</v>
      </c>
      <c r="K50" s="112" t="s">
        <v>6897</v>
      </c>
      <c r="L50" s="113">
        <v>45702</v>
      </c>
      <c r="M50" s="45" t="s">
        <v>246</v>
      </c>
    </row>
    <row r="51" spans="1:13">
      <c r="A51" s="110">
        <v>50</v>
      </c>
      <c r="B51" s="45" t="s">
        <v>6364</v>
      </c>
      <c r="C51" s="45">
        <v>9</v>
      </c>
      <c r="D51" s="45" t="s">
        <v>204</v>
      </c>
      <c r="E51" s="45">
        <v>81</v>
      </c>
      <c r="F51" s="45" t="s">
        <v>6898</v>
      </c>
      <c r="G51" s="110">
        <v>2</v>
      </c>
      <c r="H51" s="45" t="s">
        <v>6899</v>
      </c>
      <c r="I51" s="45" t="s">
        <v>6754</v>
      </c>
      <c r="J51" s="111">
        <v>45699</v>
      </c>
      <c r="K51" s="112" t="s">
        <v>6900</v>
      </c>
      <c r="L51" s="113">
        <v>45702</v>
      </c>
      <c r="M51" s="45" t="s">
        <v>247</v>
      </c>
    </row>
    <row r="52" spans="1:13">
      <c r="A52" s="110">
        <v>51</v>
      </c>
      <c r="B52" s="45" t="s">
        <v>6364</v>
      </c>
      <c r="C52" s="45">
        <v>9</v>
      </c>
      <c r="D52" s="45" t="s">
        <v>204</v>
      </c>
      <c r="E52" s="45">
        <v>81</v>
      </c>
      <c r="F52" s="45" t="s">
        <v>6901</v>
      </c>
      <c r="G52" s="110">
        <v>2</v>
      </c>
      <c r="H52" s="45" t="s">
        <v>6902</v>
      </c>
      <c r="I52" s="45" t="s">
        <v>6754</v>
      </c>
      <c r="J52" s="111">
        <v>45699</v>
      </c>
      <c r="K52" s="112" t="s">
        <v>6903</v>
      </c>
      <c r="L52" s="113">
        <v>45702</v>
      </c>
      <c r="M52" s="45" t="s">
        <v>246</v>
      </c>
    </row>
    <row r="53" spans="1:13">
      <c r="A53" s="110">
        <v>52</v>
      </c>
      <c r="B53" s="45" t="s">
        <v>6364</v>
      </c>
      <c r="C53" s="45">
        <v>9</v>
      </c>
      <c r="D53" s="45" t="s">
        <v>204</v>
      </c>
      <c r="E53" s="45">
        <v>81</v>
      </c>
      <c r="F53" s="45" t="s">
        <v>6904</v>
      </c>
      <c r="G53" s="110">
        <v>2</v>
      </c>
      <c r="H53" s="45" t="s">
        <v>6905</v>
      </c>
      <c r="I53" s="45" t="s">
        <v>6754</v>
      </c>
      <c r="J53" s="111">
        <v>45699</v>
      </c>
      <c r="K53" s="112" t="s">
        <v>6906</v>
      </c>
      <c r="L53" s="113">
        <v>45702</v>
      </c>
      <c r="M53" s="45" t="s">
        <v>246</v>
      </c>
    </row>
    <row r="54" spans="1:13">
      <c r="A54" s="110">
        <v>53</v>
      </c>
      <c r="B54" s="45" t="s">
        <v>6364</v>
      </c>
      <c r="C54" s="45">
        <v>9</v>
      </c>
      <c r="D54" s="45" t="s">
        <v>204</v>
      </c>
      <c r="E54" s="45">
        <v>81</v>
      </c>
      <c r="F54" s="45" t="s">
        <v>6907</v>
      </c>
      <c r="G54" s="110">
        <v>2</v>
      </c>
      <c r="H54" s="45" t="s">
        <v>6908</v>
      </c>
      <c r="I54" s="45" t="s">
        <v>6754</v>
      </c>
      <c r="J54" s="111">
        <v>45699</v>
      </c>
      <c r="K54" s="112" t="s">
        <v>6909</v>
      </c>
      <c r="L54" s="113">
        <v>45702</v>
      </c>
      <c r="M54" s="45" t="s">
        <v>247</v>
      </c>
    </row>
    <row r="55" spans="1:13">
      <c r="A55" s="110">
        <v>54</v>
      </c>
      <c r="B55" s="45" t="s">
        <v>6364</v>
      </c>
      <c r="C55" s="45">
        <v>9</v>
      </c>
      <c r="D55" s="45" t="s">
        <v>204</v>
      </c>
      <c r="E55" s="45">
        <v>81</v>
      </c>
      <c r="F55" s="45" t="s">
        <v>6910</v>
      </c>
      <c r="G55" s="110">
        <v>2</v>
      </c>
      <c r="H55" s="45" t="s">
        <v>6911</v>
      </c>
      <c r="I55" s="45" t="s">
        <v>6754</v>
      </c>
      <c r="J55" s="111">
        <v>45699</v>
      </c>
      <c r="K55" s="112" t="s">
        <v>6912</v>
      </c>
      <c r="L55" s="113">
        <v>45702</v>
      </c>
      <c r="M55" s="45" t="s">
        <v>247</v>
      </c>
    </row>
    <row r="56" spans="1:13">
      <c r="A56" s="110">
        <v>55</v>
      </c>
      <c r="B56" s="45" t="s">
        <v>6364</v>
      </c>
      <c r="C56" s="45">
        <v>9</v>
      </c>
      <c r="D56" s="45" t="s">
        <v>204</v>
      </c>
      <c r="E56" s="45">
        <v>81</v>
      </c>
      <c r="F56" s="45" t="s">
        <v>6913</v>
      </c>
      <c r="G56" s="110">
        <v>2</v>
      </c>
      <c r="H56" s="45" t="s">
        <v>6914</v>
      </c>
      <c r="I56" s="45" t="s">
        <v>6754</v>
      </c>
      <c r="J56" s="111">
        <v>45699</v>
      </c>
      <c r="K56" s="112" t="s">
        <v>6915</v>
      </c>
      <c r="L56" s="113">
        <v>45702</v>
      </c>
      <c r="M56" s="45" t="s">
        <v>247</v>
      </c>
    </row>
    <row r="57" spans="1:13">
      <c r="A57" s="110">
        <v>56</v>
      </c>
      <c r="B57" s="45" t="s">
        <v>6364</v>
      </c>
      <c r="C57" s="45">
        <v>9</v>
      </c>
      <c r="D57" s="45" t="s">
        <v>204</v>
      </c>
      <c r="E57" s="45">
        <v>81</v>
      </c>
      <c r="F57" s="45" t="s">
        <v>6916</v>
      </c>
      <c r="G57" s="110">
        <v>3</v>
      </c>
      <c r="H57" s="45" t="s">
        <v>6917</v>
      </c>
      <c r="I57" s="45" t="s">
        <v>6754</v>
      </c>
      <c r="J57" s="111">
        <v>45699</v>
      </c>
      <c r="K57" s="112" t="s">
        <v>6918</v>
      </c>
      <c r="L57" s="113">
        <v>45702</v>
      </c>
      <c r="M57" s="45" t="s">
        <v>247</v>
      </c>
    </row>
    <row r="58" spans="1:13">
      <c r="A58" s="110">
        <v>57</v>
      </c>
      <c r="B58" s="45" t="s">
        <v>6364</v>
      </c>
      <c r="C58" s="45">
        <v>9</v>
      </c>
      <c r="D58" s="45" t="s">
        <v>204</v>
      </c>
      <c r="E58" s="45">
        <v>81</v>
      </c>
      <c r="F58" s="45" t="s">
        <v>6919</v>
      </c>
      <c r="G58" s="110">
        <v>3</v>
      </c>
      <c r="H58" s="45" t="s">
        <v>6920</v>
      </c>
      <c r="I58" s="45" t="s">
        <v>6754</v>
      </c>
      <c r="J58" s="111">
        <v>45699</v>
      </c>
      <c r="K58" s="112" t="s">
        <v>6921</v>
      </c>
      <c r="L58" s="113">
        <v>45702</v>
      </c>
      <c r="M58" s="45" t="s">
        <v>246</v>
      </c>
    </row>
    <row r="59" spans="1:13">
      <c r="A59" s="110">
        <v>58</v>
      </c>
      <c r="B59" s="45" t="s">
        <v>6364</v>
      </c>
      <c r="C59" s="45">
        <v>9</v>
      </c>
      <c r="D59" s="45" t="s">
        <v>204</v>
      </c>
      <c r="E59" s="45">
        <v>81</v>
      </c>
      <c r="F59" s="45" t="s">
        <v>6922</v>
      </c>
      <c r="G59" s="110">
        <v>3</v>
      </c>
      <c r="H59" s="45" t="s">
        <v>6923</v>
      </c>
      <c r="I59" s="45" t="s">
        <v>6754</v>
      </c>
      <c r="J59" s="111">
        <v>45699</v>
      </c>
      <c r="K59" s="112" t="s">
        <v>6924</v>
      </c>
      <c r="L59" s="113">
        <v>45702</v>
      </c>
      <c r="M59" s="45" t="s">
        <v>246</v>
      </c>
    </row>
    <row r="60" spans="1:13">
      <c r="A60" s="110">
        <v>59</v>
      </c>
      <c r="B60" s="45" t="s">
        <v>6364</v>
      </c>
      <c r="C60" s="45">
        <v>9</v>
      </c>
      <c r="D60" s="45" t="s">
        <v>204</v>
      </c>
      <c r="E60" s="45">
        <v>81</v>
      </c>
      <c r="F60" s="45" t="s">
        <v>6925</v>
      </c>
      <c r="G60" s="110">
        <v>3</v>
      </c>
      <c r="H60" s="45" t="s">
        <v>6926</v>
      </c>
      <c r="I60" s="45" t="s">
        <v>6754</v>
      </c>
      <c r="J60" s="111">
        <v>45699</v>
      </c>
      <c r="K60" s="112" t="s">
        <v>6927</v>
      </c>
      <c r="L60" s="113">
        <v>45702</v>
      </c>
      <c r="M60" s="45" t="s">
        <v>247</v>
      </c>
    </row>
    <row r="61" spans="1:13">
      <c r="A61" s="110">
        <v>60</v>
      </c>
      <c r="B61" s="45" t="s">
        <v>6364</v>
      </c>
      <c r="C61" s="45">
        <v>9</v>
      </c>
      <c r="D61" s="45" t="s">
        <v>204</v>
      </c>
      <c r="E61" s="45">
        <v>81</v>
      </c>
      <c r="F61" s="45" t="s">
        <v>6928</v>
      </c>
      <c r="G61" s="110">
        <v>3</v>
      </c>
      <c r="H61" s="45" t="s">
        <v>6929</v>
      </c>
      <c r="I61" s="45" t="s">
        <v>6754</v>
      </c>
      <c r="J61" s="111">
        <v>45699</v>
      </c>
      <c r="K61" s="112" t="s">
        <v>6930</v>
      </c>
      <c r="L61" s="113">
        <v>45702</v>
      </c>
      <c r="M61" s="45" t="s">
        <v>246</v>
      </c>
    </row>
    <row r="62" spans="1:13">
      <c r="A62" s="110">
        <v>61</v>
      </c>
      <c r="B62" s="45" t="s">
        <v>6364</v>
      </c>
      <c r="C62" s="45">
        <v>9</v>
      </c>
      <c r="D62" s="45" t="s">
        <v>204</v>
      </c>
      <c r="E62" s="45">
        <v>81</v>
      </c>
      <c r="F62" s="45" t="s">
        <v>6931</v>
      </c>
      <c r="G62" s="110">
        <v>3</v>
      </c>
      <c r="H62" s="45" t="s">
        <v>6932</v>
      </c>
      <c r="I62" s="45" t="s">
        <v>6754</v>
      </c>
      <c r="J62" s="111">
        <v>45699</v>
      </c>
      <c r="K62" s="112" t="s">
        <v>6933</v>
      </c>
      <c r="L62" s="113">
        <v>45702</v>
      </c>
      <c r="M62" s="45" t="s">
        <v>246</v>
      </c>
    </row>
    <row r="63" spans="1:13">
      <c r="A63" s="110">
        <v>62</v>
      </c>
      <c r="B63" s="45" t="s">
        <v>6364</v>
      </c>
      <c r="C63" s="45">
        <v>9</v>
      </c>
      <c r="D63" s="45" t="s">
        <v>204</v>
      </c>
      <c r="E63" s="45">
        <v>81</v>
      </c>
      <c r="F63" s="45" t="s">
        <v>6934</v>
      </c>
      <c r="G63" s="110">
        <v>3</v>
      </c>
      <c r="H63" s="45" t="s">
        <v>6935</v>
      </c>
      <c r="I63" s="45" t="s">
        <v>6754</v>
      </c>
      <c r="J63" s="111">
        <v>45699</v>
      </c>
      <c r="K63" s="112" t="s">
        <v>6936</v>
      </c>
      <c r="L63" s="113">
        <v>45702</v>
      </c>
      <c r="M63" s="45" t="s">
        <v>246</v>
      </c>
    </row>
    <row r="64" spans="1:13">
      <c r="A64" s="110">
        <v>63</v>
      </c>
      <c r="B64" s="45" t="s">
        <v>6364</v>
      </c>
      <c r="C64" s="45">
        <v>9</v>
      </c>
      <c r="D64" s="45" t="s">
        <v>204</v>
      </c>
      <c r="E64" s="45">
        <v>81</v>
      </c>
      <c r="F64" s="45" t="s">
        <v>6937</v>
      </c>
      <c r="G64" s="110">
        <v>3</v>
      </c>
      <c r="H64" s="45" t="s">
        <v>6938</v>
      </c>
      <c r="I64" s="45" t="s">
        <v>6754</v>
      </c>
      <c r="J64" s="111">
        <v>45699</v>
      </c>
      <c r="K64" s="112" t="s">
        <v>6939</v>
      </c>
      <c r="L64" s="113">
        <v>45702</v>
      </c>
      <c r="M64" s="45" t="s">
        <v>247</v>
      </c>
    </row>
    <row r="65" spans="1:13">
      <c r="A65" s="110">
        <v>64</v>
      </c>
      <c r="B65" s="45" t="s">
        <v>6364</v>
      </c>
      <c r="C65" s="45">
        <v>9</v>
      </c>
      <c r="D65" s="45" t="s">
        <v>204</v>
      </c>
      <c r="E65" s="45">
        <v>81</v>
      </c>
      <c r="F65" s="45" t="s">
        <v>6940</v>
      </c>
      <c r="G65" s="110">
        <v>3</v>
      </c>
      <c r="H65" s="45" t="s">
        <v>6941</v>
      </c>
      <c r="I65" s="45" t="s">
        <v>6754</v>
      </c>
      <c r="J65" s="111">
        <v>45699</v>
      </c>
      <c r="K65" s="112" t="s">
        <v>6942</v>
      </c>
      <c r="L65" s="113">
        <v>45702</v>
      </c>
      <c r="M65" s="45" t="s">
        <v>247</v>
      </c>
    </row>
    <row r="66" spans="1:13">
      <c r="A66" s="110">
        <v>65</v>
      </c>
      <c r="B66" s="45" t="s">
        <v>6364</v>
      </c>
      <c r="C66" s="45">
        <v>9</v>
      </c>
      <c r="D66" s="45" t="s">
        <v>204</v>
      </c>
      <c r="E66" s="45">
        <v>81</v>
      </c>
      <c r="F66" s="45" t="s">
        <v>6943</v>
      </c>
      <c r="G66" s="110">
        <v>4</v>
      </c>
      <c r="H66" s="45" t="s">
        <v>6944</v>
      </c>
      <c r="I66" s="45" t="s">
        <v>6754</v>
      </c>
      <c r="J66" s="111">
        <v>45699</v>
      </c>
      <c r="K66" s="112" t="s">
        <v>6945</v>
      </c>
      <c r="L66" s="113">
        <v>45702</v>
      </c>
      <c r="M66" s="45" t="s">
        <v>247</v>
      </c>
    </row>
    <row r="67" spans="1:13">
      <c r="A67" s="110">
        <v>66</v>
      </c>
      <c r="B67" s="45" t="s">
        <v>6364</v>
      </c>
      <c r="C67" s="45">
        <v>9</v>
      </c>
      <c r="D67" s="45" t="s">
        <v>204</v>
      </c>
      <c r="E67" s="45">
        <v>81</v>
      </c>
      <c r="F67" s="45" t="s">
        <v>6946</v>
      </c>
      <c r="G67" s="110">
        <v>4</v>
      </c>
      <c r="H67" s="45" t="s">
        <v>6947</v>
      </c>
      <c r="I67" s="45" t="s">
        <v>6754</v>
      </c>
      <c r="J67" s="111">
        <v>45699</v>
      </c>
      <c r="K67" s="112" t="s">
        <v>6948</v>
      </c>
      <c r="L67" s="113">
        <v>45702</v>
      </c>
      <c r="M67" s="45" t="s">
        <v>246</v>
      </c>
    </row>
    <row r="68" spans="1:13">
      <c r="A68" s="110">
        <v>67</v>
      </c>
      <c r="B68" s="45" t="s">
        <v>6364</v>
      </c>
      <c r="C68" s="45">
        <v>9</v>
      </c>
      <c r="D68" s="45" t="s">
        <v>204</v>
      </c>
      <c r="E68" s="45">
        <v>81</v>
      </c>
      <c r="F68" s="45" t="s">
        <v>6949</v>
      </c>
      <c r="G68" s="110">
        <v>4</v>
      </c>
      <c r="H68" s="45" t="s">
        <v>6950</v>
      </c>
      <c r="I68" s="45" t="s">
        <v>6754</v>
      </c>
      <c r="J68" s="111">
        <v>45699</v>
      </c>
      <c r="K68" s="112" t="s">
        <v>6951</v>
      </c>
      <c r="L68" s="113">
        <v>45702</v>
      </c>
      <c r="M68" s="45" t="s">
        <v>247</v>
      </c>
    </row>
    <row r="69" spans="1:13">
      <c r="A69" s="110">
        <v>68</v>
      </c>
      <c r="B69" s="45" t="s">
        <v>6364</v>
      </c>
      <c r="C69" s="45">
        <v>9</v>
      </c>
      <c r="D69" s="45" t="s">
        <v>204</v>
      </c>
      <c r="E69" s="45">
        <v>81</v>
      </c>
      <c r="F69" s="45" t="s">
        <v>6952</v>
      </c>
      <c r="G69" s="110">
        <v>4</v>
      </c>
      <c r="H69" s="45" t="s">
        <v>6953</v>
      </c>
      <c r="I69" s="45" t="s">
        <v>6754</v>
      </c>
      <c r="J69" s="111">
        <v>45699</v>
      </c>
      <c r="K69" s="112" t="s">
        <v>6954</v>
      </c>
      <c r="L69" s="113">
        <v>45702</v>
      </c>
      <c r="M69" s="45" t="s">
        <v>246</v>
      </c>
    </row>
    <row r="70" spans="1:13">
      <c r="A70" s="110">
        <v>69</v>
      </c>
      <c r="B70" s="45" t="s">
        <v>6364</v>
      </c>
      <c r="C70" s="45">
        <v>9</v>
      </c>
      <c r="D70" s="45" t="s">
        <v>204</v>
      </c>
      <c r="E70" s="45">
        <v>81</v>
      </c>
      <c r="F70" s="45" t="s">
        <v>6955</v>
      </c>
      <c r="G70" s="110">
        <v>4</v>
      </c>
      <c r="H70" s="45" t="s">
        <v>6956</v>
      </c>
      <c r="I70" s="45" t="s">
        <v>6754</v>
      </c>
      <c r="J70" s="111">
        <v>45699</v>
      </c>
      <c r="K70" s="112" t="s">
        <v>6957</v>
      </c>
      <c r="L70" s="113">
        <v>45702</v>
      </c>
      <c r="M70" s="45" t="s">
        <v>247</v>
      </c>
    </row>
    <row r="71" spans="1:13">
      <c r="A71" s="110">
        <v>70</v>
      </c>
      <c r="B71" s="45" t="s">
        <v>6364</v>
      </c>
      <c r="C71" s="45">
        <v>9</v>
      </c>
      <c r="D71" s="45" t="s">
        <v>204</v>
      </c>
      <c r="E71" s="45">
        <v>81</v>
      </c>
      <c r="F71" s="45" t="s">
        <v>6958</v>
      </c>
      <c r="G71" s="110">
        <v>4</v>
      </c>
      <c r="H71" s="45" t="s">
        <v>6959</v>
      </c>
      <c r="I71" s="45" t="s">
        <v>6754</v>
      </c>
      <c r="J71" s="111">
        <v>45699</v>
      </c>
      <c r="K71" s="112" t="s">
        <v>6960</v>
      </c>
      <c r="L71" s="113">
        <v>45702</v>
      </c>
      <c r="M71" s="45" t="s">
        <v>247</v>
      </c>
    </row>
    <row r="72" spans="1:13">
      <c r="A72" s="110">
        <v>71</v>
      </c>
      <c r="B72" s="45" t="s">
        <v>6364</v>
      </c>
      <c r="C72" s="45">
        <v>9</v>
      </c>
      <c r="D72" s="45" t="s">
        <v>204</v>
      </c>
      <c r="E72" s="45">
        <v>81</v>
      </c>
      <c r="F72" s="45" t="s">
        <v>6961</v>
      </c>
      <c r="G72" s="110">
        <v>4</v>
      </c>
      <c r="H72" s="45" t="s">
        <v>6962</v>
      </c>
      <c r="I72" s="45" t="s">
        <v>6754</v>
      </c>
      <c r="J72" s="111">
        <v>45699</v>
      </c>
      <c r="K72" s="112" t="s">
        <v>6963</v>
      </c>
      <c r="L72" s="113">
        <v>45702</v>
      </c>
      <c r="M72" s="45" t="s">
        <v>246</v>
      </c>
    </row>
    <row r="73" spans="1:13">
      <c r="A73" s="110">
        <v>72</v>
      </c>
      <c r="B73" s="45" t="s">
        <v>6364</v>
      </c>
      <c r="C73" s="45">
        <v>9</v>
      </c>
      <c r="D73" s="45" t="s">
        <v>204</v>
      </c>
      <c r="E73" s="45">
        <v>81</v>
      </c>
      <c r="F73" s="45" t="s">
        <v>6964</v>
      </c>
      <c r="G73" s="110">
        <v>4</v>
      </c>
      <c r="H73" s="45" t="s">
        <v>6965</v>
      </c>
      <c r="I73" s="45" t="s">
        <v>6754</v>
      </c>
      <c r="J73" s="111">
        <v>45699</v>
      </c>
      <c r="K73" s="112" t="s">
        <v>6966</v>
      </c>
      <c r="L73" s="113">
        <v>45702</v>
      </c>
      <c r="M73" s="45" t="s">
        <v>247</v>
      </c>
    </row>
    <row r="74" spans="1:13">
      <c r="A74" s="110">
        <v>73</v>
      </c>
      <c r="B74" s="45" t="s">
        <v>6364</v>
      </c>
      <c r="C74" s="45">
        <v>9</v>
      </c>
      <c r="D74" s="45" t="s">
        <v>204</v>
      </c>
      <c r="E74" s="45">
        <v>81</v>
      </c>
      <c r="F74" s="45" t="s">
        <v>6967</v>
      </c>
      <c r="G74" s="110">
        <v>4</v>
      </c>
      <c r="H74" s="45" t="s">
        <v>6968</v>
      </c>
      <c r="I74" s="45" t="s">
        <v>6754</v>
      </c>
      <c r="J74" s="111">
        <v>45699</v>
      </c>
      <c r="K74" s="112" t="s">
        <v>6969</v>
      </c>
      <c r="L74" s="113">
        <v>45702</v>
      </c>
      <c r="M74" s="45" t="s">
        <v>247</v>
      </c>
    </row>
    <row r="75" spans="1:13">
      <c r="A75" s="110">
        <v>74</v>
      </c>
      <c r="B75" s="45" t="s">
        <v>6364</v>
      </c>
      <c r="C75" s="45">
        <v>9</v>
      </c>
      <c r="D75" s="45" t="s">
        <v>204</v>
      </c>
      <c r="E75" s="45">
        <v>81</v>
      </c>
      <c r="F75" s="45" t="s">
        <v>6970</v>
      </c>
      <c r="G75" s="110">
        <v>4</v>
      </c>
      <c r="H75" s="45" t="s">
        <v>6971</v>
      </c>
      <c r="I75" s="45" t="s">
        <v>6754</v>
      </c>
      <c r="J75" s="111">
        <v>45699</v>
      </c>
      <c r="K75" s="112" t="s">
        <v>6972</v>
      </c>
      <c r="L75" s="113">
        <v>45702</v>
      </c>
      <c r="M75" s="45" t="s">
        <v>247</v>
      </c>
    </row>
    <row r="76" spans="1:13">
      <c r="A76" s="110">
        <v>75</v>
      </c>
      <c r="B76" s="45" t="s">
        <v>6364</v>
      </c>
      <c r="C76" s="45">
        <v>9</v>
      </c>
      <c r="D76" s="45" t="s">
        <v>204</v>
      </c>
      <c r="E76" s="45">
        <v>81</v>
      </c>
      <c r="F76" s="45" t="s">
        <v>6973</v>
      </c>
      <c r="G76" s="110">
        <v>4</v>
      </c>
      <c r="H76" s="45" t="s">
        <v>6974</v>
      </c>
      <c r="I76" s="45" t="s">
        <v>6754</v>
      </c>
      <c r="J76" s="111">
        <v>45699</v>
      </c>
      <c r="K76" s="112" t="s">
        <v>6975</v>
      </c>
      <c r="L76" s="113">
        <v>45702</v>
      </c>
      <c r="M76" s="45" t="s">
        <v>247</v>
      </c>
    </row>
    <row r="77" spans="1:13">
      <c r="A77" s="110">
        <v>76</v>
      </c>
      <c r="B77" s="45" t="s">
        <v>6976</v>
      </c>
      <c r="C77" s="45">
        <v>6</v>
      </c>
      <c r="D77" s="45" t="s">
        <v>154</v>
      </c>
      <c r="E77" s="45">
        <v>105</v>
      </c>
      <c r="F77" s="45" t="s">
        <v>6977</v>
      </c>
      <c r="G77" s="110">
        <v>2</v>
      </c>
      <c r="H77" s="45" t="s">
        <v>6978</v>
      </c>
      <c r="I77" s="45" t="s">
        <v>6754</v>
      </c>
      <c r="J77" s="111">
        <v>45699</v>
      </c>
      <c r="K77" s="112" t="s">
        <v>6979</v>
      </c>
      <c r="L77" s="113">
        <v>45702</v>
      </c>
      <c r="M77" s="45" t="s">
        <v>246</v>
      </c>
    </row>
    <row r="78" spans="1:13">
      <c r="A78" s="110">
        <v>77</v>
      </c>
      <c r="B78" s="45" t="s">
        <v>87</v>
      </c>
      <c r="C78" s="45">
        <v>6</v>
      </c>
      <c r="D78" s="45" t="s">
        <v>154</v>
      </c>
      <c r="E78" s="45">
        <v>105</v>
      </c>
      <c r="F78" s="45" t="s">
        <v>6980</v>
      </c>
      <c r="G78" s="110">
        <v>2</v>
      </c>
      <c r="H78" s="45" t="s">
        <v>6981</v>
      </c>
      <c r="I78" s="45" t="s">
        <v>6754</v>
      </c>
      <c r="J78" s="111">
        <v>45699</v>
      </c>
      <c r="K78" s="112" t="s">
        <v>6982</v>
      </c>
      <c r="L78" s="113">
        <v>45702</v>
      </c>
      <c r="M78" s="45" t="s">
        <v>246</v>
      </c>
    </row>
    <row r="79" spans="1:13">
      <c r="A79" s="110">
        <v>78</v>
      </c>
      <c r="B79" s="45" t="s">
        <v>87</v>
      </c>
      <c r="C79" s="45">
        <v>6</v>
      </c>
      <c r="D79" s="45" t="s">
        <v>154</v>
      </c>
      <c r="E79" s="45">
        <v>105</v>
      </c>
      <c r="F79" s="45" t="s">
        <v>6983</v>
      </c>
      <c r="G79" s="110">
        <v>2</v>
      </c>
      <c r="H79" s="45" t="s">
        <v>6984</v>
      </c>
      <c r="I79" s="45" t="s">
        <v>6754</v>
      </c>
      <c r="J79" s="111">
        <v>45699</v>
      </c>
      <c r="K79" s="112" t="s">
        <v>6985</v>
      </c>
      <c r="L79" s="113">
        <v>45702</v>
      </c>
      <c r="M79" s="45" t="s">
        <v>246</v>
      </c>
    </row>
    <row r="80" spans="1:13">
      <c r="A80" s="110">
        <v>79</v>
      </c>
      <c r="B80" s="45" t="s">
        <v>87</v>
      </c>
      <c r="C80" s="45">
        <v>6</v>
      </c>
      <c r="D80" s="45" t="s">
        <v>154</v>
      </c>
      <c r="E80" s="45">
        <v>105</v>
      </c>
      <c r="F80" s="45" t="s">
        <v>6986</v>
      </c>
      <c r="G80" s="110">
        <v>2</v>
      </c>
      <c r="H80" s="45" t="s">
        <v>6987</v>
      </c>
      <c r="I80" s="45" t="s">
        <v>6754</v>
      </c>
      <c r="J80" s="111">
        <v>45699</v>
      </c>
      <c r="K80" s="112" t="s">
        <v>6988</v>
      </c>
      <c r="L80" s="113">
        <v>45702</v>
      </c>
      <c r="M80" s="45" t="s">
        <v>246</v>
      </c>
    </row>
    <row r="81" spans="1:13">
      <c r="A81" s="110">
        <v>80</v>
      </c>
      <c r="B81" s="45" t="s">
        <v>87</v>
      </c>
      <c r="C81" s="45">
        <v>6</v>
      </c>
      <c r="D81" s="45" t="s">
        <v>154</v>
      </c>
      <c r="E81" s="45">
        <v>105</v>
      </c>
      <c r="F81" s="45" t="s">
        <v>6989</v>
      </c>
      <c r="G81" s="110">
        <v>2</v>
      </c>
      <c r="H81" s="45" t="s">
        <v>6990</v>
      </c>
      <c r="I81" s="45" t="s">
        <v>6754</v>
      </c>
      <c r="J81" s="111">
        <v>45699</v>
      </c>
      <c r="K81" s="112" t="s">
        <v>6991</v>
      </c>
      <c r="L81" s="113">
        <v>45702</v>
      </c>
      <c r="M81" s="45" t="s">
        <v>247</v>
      </c>
    </row>
    <row r="82" spans="1:13">
      <c r="A82" s="110">
        <v>81</v>
      </c>
      <c r="B82" s="45" t="s">
        <v>87</v>
      </c>
      <c r="C82" s="45">
        <v>6</v>
      </c>
      <c r="D82" s="45" t="s">
        <v>154</v>
      </c>
      <c r="E82" s="45">
        <v>105</v>
      </c>
      <c r="F82" s="45" t="s">
        <v>6992</v>
      </c>
      <c r="G82" s="110">
        <v>2</v>
      </c>
      <c r="H82" s="45" t="s">
        <v>6993</v>
      </c>
      <c r="I82" s="45" t="s">
        <v>6754</v>
      </c>
      <c r="J82" s="111">
        <v>45699</v>
      </c>
      <c r="K82" s="112" t="s">
        <v>6994</v>
      </c>
      <c r="L82" s="113">
        <v>45702</v>
      </c>
      <c r="M82" s="45" t="s">
        <v>246</v>
      </c>
    </row>
    <row r="83" spans="1:13">
      <c r="A83" s="110">
        <v>82</v>
      </c>
      <c r="B83" s="45" t="s">
        <v>87</v>
      </c>
      <c r="C83" s="45">
        <v>6</v>
      </c>
      <c r="D83" s="45" t="s">
        <v>154</v>
      </c>
      <c r="E83" s="45">
        <v>105</v>
      </c>
      <c r="F83" s="45" t="s">
        <v>6995</v>
      </c>
      <c r="G83" s="110">
        <v>2</v>
      </c>
      <c r="H83" s="45" t="s">
        <v>6996</v>
      </c>
      <c r="I83" s="45" t="s">
        <v>6754</v>
      </c>
      <c r="J83" s="111">
        <v>45699</v>
      </c>
      <c r="K83" s="112" t="s">
        <v>6997</v>
      </c>
      <c r="L83" s="113">
        <v>45702</v>
      </c>
      <c r="M83" s="45" t="s">
        <v>246</v>
      </c>
    </row>
    <row r="84" spans="1:13">
      <c r="A84" s="110">
        <v>83</v>
      </c>
      <c r="B84" s="45" t="s">
        <v>87</v>
      </c>
      <c r="C84" s="45">
        <v>6</v>
      </c>
      <c r="D84" s="45" t="s">
        <v>154</v>
      </c>
      <c r="E84" s="45">
        <v>105</v>
      </c>
      <c r="F84" s="45" t="s">
        <v>6998</v>
      </c>
      <c r="G84" s="110">
        <v>2</v>
      </c>
      <c r="H84" s="45" t="s">
        <v>6999</v>
      </c>
      <c r="I84" s="45" t="s">
        <v>6754</v>
      </c>
      <c r="J84" s="111">
        <v>45699</v>
      </c>
      <c r="K84" s="112" t="s">
        <v>7000</v>
      </c>
      <c r="L84" s="113">
        <v>45702</v>
      </c>
      <c r="M84" s="45" t="s">
        <v>246</v>
      </c>
    </row>
    <row r="85" spans="1:13">
      <c r="A85" s="110">
        <v>84</v>
      </c>
      <c r="B85" s="45" t="s">
        <v>87</v>
      </c>
      <c r="C85" s="45">
        <v>6</v>
      </c>
      <c r="D85" s="45" t="s">
        <v>154</v>
      </c>
      <c r="E85" s="45">
        <v>105</v>
      </c>
      <c r="F85" s="45" t="s">
        <v>7001</v>
      </c>
      <c r="G85" s="110">
        <v>2</v>
      </c>
      <c r="H85" s="45" t="s">
        <v>7002</v>
      </c>
      <c r="I85" s="45" t="s">
        <v>6754</v>
      </c>
      <c r="J85" s="111">
        <v>45699</v>
      </c>
      <c r="K85" s="112" t="s">
        <v>7003</v>
      </c>
      <c r="L85" s="113">
        <v>45702</v>
      </c>
      <c r="M85" s="45" t="s">
        <v>246</v>
      </c>
    </row>
    <row r="86" spans="1:13">
      <c r="A86" s="110">
        <v>85</v>
      </c>
      <c r="B86" s="45" t="s">
        <v>87</v>
      </c>
      <c r="C86" s="45">
        <v>6</v>
      </c>
      <c r="D86" s="45" t="s">
        <v>154</v>
      </c>
      <c r="E86" s="45">
        <v>105</v>
      </c>
      <c r="F86" s="45" t="s">
        <v>7004</v>
      </c>
      <c r="G86" s="110">
        <v>2</v>
      </c>
      <c r="H86" s="45" t="s">
        <v>7005</v>
      </c>
      <c r="I86" s="45" t="s">
        <v>6754</v>
      </c>
      <c r="J86" s="111">
        <v>45699</v>
      </c>
      <c r="K86" s="112" t="s">
        <v>7006</v>
      </c>
      <c r="L86" s="113">
        <v>45702</v>
      </c>
      <c r="M86" s="45" t="s">
        <v>246</v>
      </c>
    </row>
    <row r="87" spans="1:13">
      <c r="A87" s="110">
        <v>86</v>
      </c>
      <c r="B87" s="45" t="s">
        <v>87</v>
      </c>
      <c r="C87" s="45">
        <v>6</v>
      </c>
      <c r="D87" s="45" t="s">
        <v>154</v>
      </c>
      <c r="E87" s="45">
        <v>105</v>
      </c>
      <c r="F87" s="45" t="s">
        <v>7007</v>
      </c>
      <c r="G87" s="110">
        <v>2</v>
      </c>
      <c r="H87" s="45" t="s">
        <v>7008</v>
      </c>
      <c r="I87" s="45" t="s">
        <v>6754</v>
      </c>
      <c r="J87" s="111">
        <v>45699</v>
      </c>
      <c r="K87" s="112" t="s">
        <v>7009</v>
      </c>
      <c r="L87" s="113">
        <v>45702</v>
      </c>
      <c r="M87" s="45" t="s">
        <v>246</v>
      </c>
    </row>
    <row r="88" spans="1:13">
      <c r="A88" s="110">
        <v>87</v>
      </c>
      <c r="B88" s="45" t="s">
        <v>87</v>
      </c>
      <c r="C88" s="45">
        <v>6</v>
      </c>
      <c r="D88" s="45" t="s">
        <v>154</v>
      </c>
      <c r="E88" s="45">
        <v>105</v>
      </c>
      <c r="F88" s="45" t="s">
        <v>7010</v>
      </c>
      <c r="G88" s="110">
        <v>2</v>
      </c>
      <c r="H88" s="45" t="s">
        <v>7011</v>
      </c>
      <c r="I88" s="45" t="s">
        <v>6754</v>
      </c>
      <c r="J88" s="111">
        <v>45699</v>
      </c>
      <c r="K88" s="112" t="s">
        <v>7012</v>
      </c>
      <c r="L88" s="113">
        <v>45702</v>
      </c>
      <c r="M88" s="45" t="s">
        <v>246</v>
      </c>
    </row>
    <row r="89" spans="1:13">
      <c r="A89" s="110">
        <v>88</v>
      </c>
      <c r="B89" s="45" t="s">
        <v>87</v>
      </c>
      <c r="C89" s="45">
        <v>6</v>
      </c>
      <c r="D89" s="45" t="s">
        <v>211</v>
      </c>
      <c r="E89" s="45">
        <v>154</v>
      </c>
      <c r="F89" s="45" t="s">
        <v>7013</v>
      </c>
      <c r="G89" s="110">
        <v>3</v>
      </c>
      <c r="H89" s="45" t="s">
        <v>7014</v>
      </c>
      <c r="I89" s="45" t="s">
        <v>6754</v>
      </c>
      <c r="J89" s="111">
        <v>45699</v>
      </c>
      <c r="K89" s="112" t="s">
        <v>7015</v>
      </c>
      <c r="L89" s="113">
        <v>45702</v>
      </c>
      <c r="M89" s="45" t="s">
        <v>247</v>
      </c>
    </row>
    <row r="90" spans="1:13">
      <c r="A90" s="110">
        <v>89</v>
      </c>
      <c r="B90" s="45" t="s">
        <v>87</v>
      </c>
      <c r="C90" s="45">
        <v>6</v>
      </c>
      <c r="D90" s="45" t="s">
        <v>211</v>
      </c>
      <c r="E90" s="45">
        <v>154</v>
      </c>
      <c r="F90" s="45" t="s">
        <v>7016</v>
      </c>
      <c r="G90" s="110">
        <v>3</v>
      </c>
      <c r="H90" s="45" t="s">
        <v>7017</v>
      </c>
      <c r="I90" s="45" t="s">
        <v>6754</v>
      </c>
      <c r="J90" s="111">
        <v>45699</v>
      </c>
      <c r="K90" s="112" t="s">
        <v>7018</v>
      </c>
      <c r="L90" s="113">
        <v>45702</v>
      </c>
      <c r="M90" s="45" t="s">
        <v>247</v>
      </c>
    </row>
    <row r="91" spans="1:13">
      <c r="A91" s="110">
        <v>90</v>
      </c>
      <c r="B91" s="45" t="s">
        <v>87</v>
      </c>
      <c r="C91" s="45">
        <v>6</v>
      </c>
      <c r="D91" s="45" t="s">
        <v>211</v>
      </c>
      <c r="E91" s="45">
        <v>154</v>
      </c>
      <c r="F91" s="45" t="s">
        <v>7019</v>
      </c>
      <c r="G91" s="110">
        <v>3</v>
      </c>
      <c r="H91" s="45" t="s">
        <v>7020</v>
      </c>
      <c r="I91" s="45" t="s">
        <v>6754</v>
      </c>
      <c r="J91" s="111">
        <v>45699</v>
      </c>
      <c r="K91" s="112" t="s">
        <v>7021</v>
      </c>
      <c r="L91" s="113">
        <v>45702</v>
      </c>
      <c r="M91" s="45" t="s">
        <v>247</v>
      </c>
    </row>
    <row r="92" spans="1:13">
      <c r="A92" s="110">
        <v>91</v>
      </c>
      <c r="B92" s="45" t="s">
        <v>6364</v>
      </c>
      <c r="C92" s="45">
        <v>9</v>
      </c>
      <c r="D92" s="45" t="s">
        <v>207</v>
      </c>
      <c r="E92" s="45">
        <v>82</v>
      </c>
      <c r="F92" s="45" t="s">
        <v>7022</v>
      </c>
      <c r="G92" s="110">
        <v>2</v>
      </c>
      <c r="H92" s="45" t="s">
        <v>7023</v>
      </c>
      <c r="I92" s="45" t="s">
        <v>6754</v>
      </c>
      <c r="J92" s="111">
        <v>45700</v>
      </c>
      <c r="K92" s="112" t="s">
        <v>7024</v>
      </c>
      <c r="L92" s="113">
        <v>45702</v>
      </c>
      <c r="M92" s="45" t="s">
        <v>246</v>
      </c>
    </row>
    <row r="93" spans="1:13">
      <c r="A93" s="110">
        <v>92</v>
      </c>
      <c r="B93" s="45" t="s">
        <v>6364</v>
      </c>
      <c r="C93" s="45">
        <v>9</v>
      </c>
      <c r="D93" s="45" t="s">
        <v>207</v>
      </c>
      <c r="E93" s="45">
        <v>82</v>
      </c>
      <c r="F93" s="45" t="s">
        <v>7025</v>
      </c>
      <c r="G93" s="110">
        <v>2</v>
      </c>
      <c r="H93" s="45" t="s">
        <v>7026</v>
      </c>
      <c r="I93" s="45" t="s">
        <v>6754</v>
      </c>
      <c r="J93" s="111">
        <v>45700</v>
      </c>
      <c r="K93" s="112" t="s">
        <v>7027</v>
      </c>
      <c r="L93" s="113">
        <v>45702</v>
      </c>
      <c r="M93" s="45" t="s">
        <v>247</v>
      </c>
    </row>
    <row r="94" spans="1:13">
      <c r="A94" s="110">
        <v>93</v>
      </c>
      <c r="B94" s="45" t="s">
        <v>6364</v>
      </c>
      <c r="C94" s="45">
        <v>9</v>
      </c>
      <c r="D94" s="45" t="s">
        <v>207</v>
      </c>
      <c r="E94" s="45">
        <v>82</v>
      </c>
      <c r="F94" s="45" t="s">
        <v>7028</v>
      </c>
      <c r="G94" s="110">
        <v>2</v>
      </c>
      <c r="H94" s="45" t="s">
        <v>7029</v>
      </c>
      <c r="I94" s="45" t="s">
        <v>6754</v>
      </c>
      <c r="J94" s="111">
        <v>45700</v>
      </c>
      <c r="K94" s="112" t="s">
        <v>7030</v>
      </c>
      <c r="L94" s="113">
        <v>45702</v>
      </c>
      <c r="M94" s="45" t="s">
        <v>246</v>
      </c>
    </row>
    <row r="95" spans="1:13">
      <c r="A95" s="110">
        <v>94</v>
      </c>
      <c r="B95" s="45" t="s">
        <v>6364</v>
      </c>
      <c r="C95" s="45">
        <v>9</v>
      </c>
      <c r="D95" s="45" t="s">
        <v>207</v>
      </c>
      <c r="E95" s="45">
        <v>82</v>
      </c>
      <c r="F95" s="45" t="s">
        <v>7031</v>
      </c>
      <c r="G95" s="110">
        <v>2</v>
      </c>
      <c r="H95" s="45" t="s">
        <v>7032</v>
      </c>
      <c r="I95" s="45" t="s">
        <v>6754</v>
      </c>
      <c r="J95" s="111">
        <v>45700</v>
      </c>
      <c r="K95" s="112" t="s">
        <v>7033</v>
      </c>
      <c r="L95" s="113">
        <v>45702</v>
      </c>
      <c r="M95" s="45" t="s">
        <v>246</v>
      </c>
    </row>
    <row r="96" spans="1:13">
      <c r="A96" s="110">
        <v>95</v>
      </c>
      <c r="B96" s="45" t="s">
        <v>6364</v>
      </c>
      <c r="C96" s="45">
        <v>9</v>
      </c>
      <c r="D96" s="45" t="s">
        <v>207</v>
      </c>
      <c r="E96" s="45">
        <v>82</v>
      </c>
      <c r="F96" s="45" t="s">
        <v>7034</v>
      </c>
      <c r="G96" s="110">
        <v>4</v>
      </c>
      <c r="H96" s="45" t="s">
        <v>7035</v>
      </c>
      <c r="I96" s="45" t="s">
        <v>6754</v>
      </c>
      <c r="J96" s="111">
        <v>45700</v>
      </c>
      <c r="K96" s="112" t="s">
        <v>7036</v>
      </c>
      <c r="L96" s="113">
        <v>45702</v>
      </c>
      <c r="M96" s="45" t="s">
        <v>247</v>
      </c>
    </row>
    <row r="97" spans="1:13">
      <c r="A97" s="110">
        <v>96</v>
      </c>
      <c r="B97" s="45" t="s">
        <v>6364</v>
      </c>
      <c r="C97" s="45">
        <v>9</v>
      </c>
      <c r="D97" s="45" t="s">
        <v>207</v>
      </c>
      <c r="E97" s="45">
        <v>82</v>
      </c>
      <c r="F97" s="45" t="s">
        <v>7037</v>
      </c>
      <c r="G97" s="110">
        <v>4</v>
      </c>
      <c r="H97" s="45" t="s">
        <v>7038</v>
      </c>
      <c r="I97" s="45" t="s">
        <v>6754</v>
      </c>
      <c r="J97" s="111">
        <v>45700</v>
      </c>
      <c r="K97" s="112" t="s">
        <v>7039</v>
      </c>
      <c r="L97" s="113">
        <v>45702</v>
      </c>
      <c r="M97" s="45" t="s">
        <v>247</v>
      </c>
    </row>
    <row r="98" spans="1:13">
      <c r="A98" s="110">
        <v>97</v>
      </c>
      <c r="B98" s="45" t="s">
        <v>6364</v>
      </c>
      <c r="C98" s="45">
        <v>9</v>
      </c>
      <c r="D98" s="45" t="s">
        <v>207</v>
      </c>
      <c r="E98" s="45">
        <v>82</v>
      </c>
      <c r="F98" s="45" t="s">
        <v>7040</v>
      </c>
      <c r="G98" s="110">
        <v>4</v>
      </c>
      <c r="H98" s="45" t="s">
        <v>7041</v>
      </c>
      <c r="I98" s="45" t="s">
        <v>6754</v>
      </c>
      <c r="J98" s="111">
        <v>45700</v>
      </c>
      <c r="K98" s="112" t="s">
        <v>7042</v>
      </c>
      <c r="L98" s="113">
        <v>45702</v>
      </c>
      <c r="M98" s="45" t="s">
        <v>247</v>
      </c>
    </row>
    <row r="99" spans="1:13">
      <c r="A99" s="110">
        <v>98</v>
      </c>
      <c r="B99" s="45" t="s">
        <v>6364</v>
      </c>
      <c r="C99" s="45">
        <v>9</v>
      </c>
      <c r="D99" s="45" t="s">
        <v>207</v>
      </c>
      <c r="E99" s="45">
        <v>82</v>
      </c>
      <c r="F99" s="45" t="s">
        <v>7043</v>
      </c>
      <c r="G99" s="110">
        <v>4</v>
      </c>
      <c r="H99" s="45" t="s">
        <v>7044</v>
      </c>
      <c r="I99" s="45" t="s">
        <v>6754</v>
      </c>
      <c r="J99" s="111">
        <v>45700</v>
      </c>
      <c r="K99" s="112" t="s">
        <v>7045</v>
      </c>
      <c r="L99" s="113">
        <v>45702</v>
      </c>
      <c r="M99" s="45" t="s">
        <v>246</v>
      </c>
    </row>
    <row r="100" spans="1:13">
      <c r="A100" s="110">
        <v>99</v>
      </c>
      <c r="B100" s="45" t="s">
        <v>6364</v>
      </c>
      <c r="C100" s="45">
        <v>9</v>
      </c>
      <c r="D100" s="45" t="s">
        <v>207</v>
      </c>
      <c r="E100" s="45">
        <v>82</v>
      </c>
      <c r="F100" s="45" t="s">
        <v>7046</v>
      </c>
      <c r="G100" s="110">
        <v>4</v>
      </c>
      <c r="H100" s="45" t="s">
        <v>7047</v>
      </c>
      <c r="I100" s="45" t="s">
        <v>6754</v>
      </c>
      <c r="J100" s="111">
        <v>45700</v>
      </c>
      <c r="K100" s="112" t="s">
        <v>7048</v>
      </c>
      <c r="L100" s="113">
        <v>45702</v>
      </c>
      <c r="M100" s="45" t="s">
        <v>247</v>
      </c>
    </row>
    <row r="101" spans="1:13">
      <c r="A101" s="110">
        <v>100</v>
      </c>
      <c r="B101" s="45" t="s">
        <v>6364</v>
      </c>
      <c r="C101" s="45">
        <v>9</v>
      </c>
      <c r="D101" s="45" t="s">
        <v>207</v>
      </c>
      <c r="E101" s="45">
        <v>82</v>
      </c>
      <c r="F101" s="45" t="s">
        <v>7049</v>
      </c>
      <c r="G101" s="110">
        <v>4</v>
      </c>
      <c r="H101" s="45" t="s">
        <v>7050</v>
      </c>
      <c r="I101" s="45" t="s">
        <v>6754</v>
      </c>
      <c r="J101" s="111">
        <v>45700</v>
      </c>
      <c r="K101" s="112" t="s">
        <v>7051</v>
      </c>
      <c r="L101" s="113">
        <v>45702</v>
      </c>
      <c r="M101" s="45" t="s">
        <v>247</v>
      </c>
    </row>
    <row r="102" spans="1:13">
      <c r="A102" s="110">
        <v>101</v>
      </c>
      <c r="B102" s="45" t="s">
        <v>6364</v>
      </c>
      <c r="C102" s="45">
        <v>9</v>
      </c>
      <c r="D102" s="45" t="s">
        <v>207</v>
      </c>
      <c r="E102" s="45">
        <v>82</v>
      </c>
      <c r="F102" s="45" t="s">
        <v>7052</v>
      </c>
      <c r="G102" s="110">
        <v>4</v>
      </c>
      <c r="H102" s="45" t="s">
        <v>7053</v>
      </c>
      <c r="I102" s="45" t="s">
        <v>6754</v>
      </c>
      <c r="J102" s="111">
        <v>45700</v>
      </c>
      <c r="K102" s="112" t="s">
        <v>7054</v>
      </c>
      <c r="L102" s="113">
        <v>45702</v>
      </c>
      <c r="M102" s="45" t="s">
        <v>246</v>
      </c>
    </row>
    <row r="103" spans="1:13">
      <c r="A103" s="110">
        <v>102</v>
      </c>
      <c r="B103" s="45" t="s">
        <v>7055</v>
      </c>
      <c r="C103" s="45">
        <v>10</v>
      </c>
      <c r="D103" s="45" t="s">
        <v>7056</v>
      </c>
      <c r="E103" s="45">
        <v>95</v>
      </c>
      <c r="F103" s="45" t="s">
        <v>7057</v>
      </c>
      <c r="G103" s="110">
        <v>2</v>
      </c>
      <c r="H103" s="45" t="s">
        <v>7058</v>
      </c>
      <c r="I103" s="45" t="s">
        <v>6754</v>
      </c>
      <c r="J103" s="111">
        <v>45700</v>
      </c>
      <c r="K103" s="112" t="s">
        <v>7059</v>
      </c>
      <c r="L103" s="113">
        <v>45702</v>
      </c>
      <c r="M103" s="45" t="s">
        <v>246</v>
      </c>
    </row>
    <row r="104" spans="1:13">
      <c r="A104" s="110">
        <v>103</v>
      </c>
      <c r="B104" s="45" t="s">
        <v>7055</v>
      </c>
      <c r="C104" s="45">
        <v>10</v>
      </c>
      <c r="D104" s="45" t="s">
        <v>7056</v>
      </c>
      <c r="E104" s="45">
        <v>95</v>
      </c>
      <c r="F104" s="45" t="s">
        <v>7060</v>
      </c>
      <c r="G104" s="110">
        <v>2</v>
      </c>
      <c r="H104" s="45" t="s">
        <v>7061</v>
      </c>
      <c r="I104" s="45" t="s">
        <v>6754</v>
      </c>
      <c r="J104" s="111">
        <v>45700</v>
      </c>
      <c r="K104" s="112" t="s">
        <v>7062</v>
      </c>
      <c r="L104" s="113">
        <v>45702</v>
      </c>
      <c r="M104" s="45" t="s">
        <v>246</v>
      </c>
    </row>
    <row r="105" spans="1:13">
      <c r="A105" s="110">
        <v>104</v>
      </c>
      <c r="B105" s="45" t="s">
        <v>7055</v>
      </c>
      <c r="C105" s="45">
        <v>10</v>
      </c>
      <c r="D105" s="45" t="s">
        <v>7056</v>
      </c>
      <c r="E105" s="45">
        <v>95</v>
      </c>
      <c r="F105" s="45" t="s">
        <v>7063</v>
      </c>
      <c r="G105" s="110">
        <v>2</v>
      </c>
      <c r="H105" s="45" t="s">
        <v>7064</v>
      </c>
      <c r="I105" s="45" t="s">
        <v>6754</v>
      </c>
      <c r="J105" s="111">
        <v>45700</v>
      </c>
      <c r="K105" s="112" t="s">
        <v>7065</v>
      </c>
      <c r="L105" s="113">
        <v>45702</v>
      </c>
      <c r="M105" s="45" t="s">
        <v>246</v>
      </c>
    </row>
    <row r="106" spans="1:13">
      <c r="A106" s="110">
        <v>105</v>
      </c>
      <c r="B106" s="45" t="s">
        <v>7055</v>
      </c>
      <c r="C106" s="45">
        <v>10</v>
      </c>
      <c r="D106" s="45" t="s">
        <v>7056</v>
      </c>
      <c r="E106" s="45">
        <v>95</v>
      </c>
      <c r="F106" s="45" t="s">
        <v>7066</v>
      </c>
      <c r="G106" s="110">
        <v>2</v>
      </c>
      <c r="H106" s="45" t="s">
        <v>7067</v>
      </c>
      <c r="I106" s="45" t="s">
        <v>6754</v>
      </c>
      <c r="J106" s="111">
        <v>45700</v>
      </c>
      <c r="K106" s="112" t="s">
        <v>7068</v>
      </c>
      <c r="L106" s="113">
        <v>45702</v>
      </c>
      <c r="M106" s="45" t="s">
        <v>247</v>
      </c>
    </row>
    <row r="107" spans="1:13">
      <c r="A107" s="110">
        <v>106</v>
      </c>
      <c r="B107" s="45" t="s">
        <v>7055</v>
      </c>
      <c r="C107" s="45">
        <v>10</v>
      </c>
      <c r="D107" s="45" t="s">
        <v>7056</v>
      </c>
      <c r="E107" s="45">
        <v>95</v>
      </c>
      <c r="F107" s="45" t="s">
        <v>7069</v>
      </c>
      <c r="G107" s="110">
        <v>2</v>
      </c>
      <c r="H107" s="45" t="s">
        <v>7070</v>
      </c>
      <c r="I107" s="45" t="s">
        <v>6754</v>
      </c>
      <c r="J107" s="111">
        <v>45700</v>
      </c>
      <c r="K107" s="112" t="s">
        <v>7071</v>
      </c>
      <c r="L107" s="113">
        <v>45702</v>
      </c>
      <c r="M107" s="45" t="s">
        <v>246</v>
      </c>
    </row>
    <row r="108" spans="1:13">
      <c r="A108" s="110">
        <v>107</v>
      </c>
      <c r="B108" s="45" t="s">
        <v>7055</v>
      </c>
      <c r="C108" s="45">
        <v>10</v>
      </c>
      <c r="D108" s="45" t="s">
        <v>7056</v>
      </c>
      <c r="E108" s="45">
        <v>95</v>
      </c>
      <c r="F108" s="45" t="s">
        <v>7072</v>
      </c>
      <c r="G108" s="110">
        <v>2</v>
      </c>
      <c r="H108" s="45" t="s">
        <v>7073</v>
      </c>
      <c r="I108" s="45" t="s">
        <v>6754</v>
      </c>
      <c r="J108" s="111">
        <v>45700</v>
      </c>
      <c r="K108" s="112" t="s">
        <v>7074</v>
      </c>
      <c r="L108" s="113">
        <v>45702</v>
      </c>
      <c r="M108" s="45" t="s">
        <v>246</v>
      </c>
    </row>
    <row r="109" spans="1:13">
      <c r="A109" s="110">
        <v>108</v>
      </c>
      <c r="B109" s="45" t="s">
        <v>7055</v>
      </c>
      <c r="C109" s="45">
        <v>10</v>
      </c>
      <c r="D109" s="45" t="s">
        <v>7056</v>
      </c>
      <c r="E109" s="45">
        <v>95</v>
      </c>
      <c r="F109" s="45" t="s">
        <v>7075</v>
      </c>
      <c r="G109" s="110">
        <v>2</v>
      </c>
      <c r="H109" s="45" t="s">
        <v>7076</v>
      </c>
      <c r="I109" s="45" t="s">
        <v>6754</v>
      </c>
      <c r="J109" s="111">
        <v>45700</v>
      </c>
      <c r="K109" s="112" t="s">
        <v>7077</v>
      </c>
      <c r="L109" s="113">
        <v>45702</v>
      </c>
      <c r="M109" s="45" t="s">
        <v>246</v>
      </c>
    </row>
    <row r="110" spans="1:13">
      <c r="A110" s="110">
        <v>109</v>
      </c>
      <c r="B110" s="45" t="s">
        <v>7055</v>
      </c>
      <c r="C110" s="45">
        <v>10</v>
      </c>
      <c r="D110" s="45" t="s">
        <v>7056</v>
      </c>
      <c r="E110" s="45">
        <v>95</v>
      </c>
      <c r="F110" s="45" t="s">
        <v>7078</v>
      </c>
      <c r="G110" s="110">
        <v>2</v>
      </c>
      <c r="H110" s="45" t="s">
        <v>7079</v>
      </c>
      <c r="I110" s="45" t="s">
        <v>6754</v>
      </c>
      <c r="J110" s="111">
        <v>45700</v>
      </c>
      <c r="K110" s="112" t="s">
        <v>7080</v>
      </c>
      <c r="L110" s="113">
        <v>45702</v>
      </c>
      <c r="M110" s="45" t="s">
        <v>246</v>
      </c>
    </row>
    <row r="111" spans="1:13">
      <c r="A111" s="110">
        <v>110</v>
      </c>
      <c r="B111" s="45" t="s">
        <v>7055</v>
      </c>
      <c r="C111" s="45">
        <v>10</v>
      </c>
      <c r="D111" s="45" t="s">
        <v>7056</v>
      </c>
      <c r="E111" s="45">
        <v>95</v>
      </c>
      <c r="F111" s="45" t="s">
        <v>7081</v>
      </c>
      <c r="G111" s="110">
        <v>2</v>
      </c>
      <c r="H111" s="45" t="s">
        <v>7082</v>
      </c>
      <c r="I111" s="45" t="s">
        <v>6754</v>
      </c>
      <c r="J111" s="111">
        <v>45700</v>
      </c>
      <c r="K111" s="112" t="s">
        <v>7083</v>
      </c>
      <c r="L111" s="113">
        <v>45702</v>
      </c>
      <c r="M111" s="45" t="s">
        <v>246</v>
      </c>
    </row>
    <row r="112" spans="1:13">
      <c r="A112" s="110">
        <v>111</v>
      </c>
      <c r="B112" s="45" t="s">
        <v>7055</v>
      </c>
      <c r="C112" s="45">
        <v>10</v>
      </c>
      <c r="D112" s="45" t="s">
        <v>7056</v>
      </c>
      <c r="E112" s="45">
        <v>95</v>
      </c>
      <c r="F112" s="45" t="s">
        <v>7084</v>
      </c>
      <c r="G112" s="110">
        <v>2</v>
      </c>
      <c r="H112" s="45" t="s">
        <v>7085</v>
      </c>
      <c r="I112" s="45" t="s">
        <v>6754</v>
      </c>
      <c r="J112" s="111">
        <v>45700</v>
      </c>
      <c r="K112" s="112" t="s">
        <v>7086</v>
      </c>
      <c r="L112" s="113">
        <v>45702</v>
      </c>
      <c r="M112" s="45" t="s">
        <v>246</v>
      </c>
    </row>
    <row r="113" spans="1:13">
      <c r="A113" s="110">
        <v>112</v>
      </c>
      <c r="B113" s="45" t="s">
        <v>7055</v>
      </c>
      <c r="C113" s="45">
        <v>10</v>
      </c>
      <c r="D113" s="45" t="s">
        <v>7056</v>
      </c>
      <c r="E113" s="45">
        <v>95</v>
      </c>
      <c r="F113" s="45" t="s">
        <v>7087</v>
      </c>
      <c r="G113" s="110">
        <v>2</v>
      </c>
      <c r="H113" s="45" t="s">
        <v>7088</v>
      </c>
      <c r="I113" s="45" t="s">
        <v>6754</v>
      </c>
      <c r="J113" s="111">
        <v>45700</v>
      </c>
      <c r="K113" s="112" t="s">
        <v>7089</v>
      </c>
      <c r="L113" s="113">
        <v>45702</v>
      </c>
      <c r="M113" s="45" t="s">
        <v>246</v>
      </c>
    </row>
    <row r="114" spans="1:13">
      <c r="A114" s="110">
        <v>113</v>
      </c>
      <c r="B114" s="45" t="s">
        <v>7055</v>
      </c>
      <c r="C114" s="45">
        <v>10</v>
      </c>
      <c r="D114" s="45" t="s">
        <v>7056</v>
      </c>
      <c r="E114" s="45">
        <v>95</v>
      </c>
      <c r="F114" s="45" t="s">
        <v>7090</v>
      </c>
      <c r="G114" s="110">
        <v>2</v>
      </c>
      <c r="H114" s="45" t="s">
        <v>7091</v>
      </c>
      <c r="I114" s="45" t="s">
        <v>6754</v>
      </c>
      <c r="J114" s="111">
        <v>45700</v>
      </c>
      <c r="K114" s="112" t="s">
        <v>7092</v>
      </c>
      <c r="L114" s="113">
        <v>45702</v>
      </c>
      <c r="M114" s="45" t="s">
        <v>246</v>
      </c>
    </row>
    <row r="115" spans="1:13">
      <c r="A115" s="110">
        <v>114</v>
      </c>
      <c r="B115" s="45" t="s">
        <v>7055</v>
      </c>
      <c r="C115" s="45">
        <v>10</v>
      </c>
      <c r="D115" s="45" t="s">
        <v>7056</v>
      </c>
      <c r="E115" s="45">
        <v>95</v>
      </c>
      <c r="F115" s="45" t="s">
        <v>7093</v>
      </c>
      <c r="G115" s="110">
        <v>2</v>
      </c>
      <c r="H115" s="45" t="s">
        <v>7094</v>
      </c>
      <c r="I115" s="45" t="s">
        <v>6754</v>
      </c>
      <c r="J115" s="111">
        <v>45700</v>
      </c>
      <c r="K115" s="112" t="s">
        <v>7095</v>
      </c>
      <c r="L115" s="113">
        <v>45702</v>
      </c>
      <c r="M115" s="45" t="s">
        <v>246</v>
      </c>
    </row>
    <row r="116" spans="1:13">
      <c r="A116" s="110">
        <v>115</v>
      </c>
      <c r="B116" s="45" t="s">
        <v>7055</v>
      </c>
      <c r="C116" s="45">
        <v>10</v>
      </c>
      <c r="D116" s="45" t="s">
        <v>7056</v>
      </c>
      <c r="E116" s="45">
        <v>95</v>
      </c>
      <c r="F116" s="45" t="s">
        <v>7096</v>
      </c>
      <c r="G116" s="110">
        <v>2</v>
      </c>
      <c r="H116" s="45" t="s">
        <v>7097</v>
      </c>
      <c r="I116" s="45" t="s">
        <v>6754</v>
      </c>
      <c r="J116" s="111">
        <v>45700</v>
      </c>
      <c r="K116" s="112" t="s">
        <v>7098</v>
      </c>
      <c r="L116" s="113">
        <v>45702</v>
      </c>
      <c r="M116" s="45" t="s">
        <v>246</v>
      </c>
    </row>
    <row r="117" spans="1:13">
      <c r="A117" s="110">
        <v>116</v>
      </c>
      <c r="B117" s="45" t="s">
        <v>7055</v>
      </c>
      <c r="C117" s="45">
        <v>10</v>
      </c>
      <c r="D117" s="45" t="s">
        <v>7056</v>
      </c>
      <c r="E117" s="45">
        <v>95</v>
      </c>
      <c r="F117" s="45" t="s">
        <v>7099</v>
      </c>
      <c r="G117" s="110">
        <v>2</v>
      </c>
      <c r="H117" s="45" t="s">
        <v>7100</v>
      </c>
      <c r="I117" s="45" t="s">
        <v>6754</v>
      </c>
      <c r="J117" s="111">
        <v>45700</v>
      </c>
      <c r="K117" s="112" t="s">
        <v>7101</v>
      </c>
      <c r="L117" s="113">
        <v>45702</v>
      </c>
      <c r="M117" s="45" t="s">
        <v>246</v>
      </c>
    </row>
    <row r="118" spans="1:13">
      <c r="A118" s="110">
        <v>117</v>
      </c>
      <c r="B118" s="45" t="s">
        <v>7055</v>
      </c>
      <c r="C118" s="45">
        <v>10</v>
      </c>
      <c r="D118" s="45" t="s">
        <v>7056</v>
      </c>
      <c r="E118" s="45">
        <v>95</v>
      </c>
      <c r="F118" s="45" t="s">
        <v>7102</v>
      </c>
      <c r="G118" s="110">
        <v>2</v>
      </c>
      <c r="H118" s="45" t="s">
        <v>7103</v>
      </c>
      <c r="I118" s="45" t="s">
        <v>6754</v>
      </c>
      <c r="J118" s="111">
        <v>45700</v>
      </c>
      <c r="K118" s="112" t="s">
        <v>7104</v>
      </c>
      <c r="L118" s="113">
        <v>45702</v>
      </c>
      <c r="M118" s="45" t="s">
        <v>246</v>
      </c>
    </row>
    <row r="119" spans="1:13">
      <c r="A119" s="110">
        <v>118</v>
      </c>
      <c r="B119" s="45" t="s">
        <v>7055</v>
      </c>
      <c r="C119" s="45">
        <v>10</v>
      </c>
      <c r="D119" s="45" t="s">
        <v>7056</v>
      </c>
      <c r="E119" s="45">
        <v>95</v>
      </c>
      <c r="F119" s="45" t="s">
        <v>7105</v>
      </c>
      <c r="G119" s="110">
        <v>3</v>
      </c>
      <c r="H119" s="45" t="s">
        <v>7106</v>
      </c>
      <c r="I119" s="45" t="s">
        <v>6754</v>
      </c>
      <c r="J119" s="111">
        <v>45700</v>
      </c>
      <c r="K119" s="112" t="s">
        <v>7107</v>
      </c>
      <c r="L119" s="113">
        <v>45702</v>
      </c>
      <c r="M119" s="45" t="s">
        <v>246</v>
      </c>
    </row>
    <row r="120" spans="1:13">
      <c r="A120" s="110">
        <v>119</v>
      </c>
      <c r="B120" s="45" t="s">
        <v>7055</v>
      </c>
      <c r="C120" s="45">
        <v>10</v>
      </c>
      <c r="D120" s="45" t="s">
        <v>7056</v>
      </c>
      <c r="E120" s="45">
        <v>95</v>
      </c>
      <c r="F120" s="45" t="s">
        <v>7108</v>
      </c>
      <c r="G120" s="110">
        <v>3</v>
      </c>
      <c r="H120" s="45" t="s">
        <v>7109</v>
      </c>
      <c r="I120" s="45" t="s">
        <v>6754</v>
      </c>
      <c r="J120" s="111">
        <v>45700</v>
      </c>
      <c r="K120" s="112" t="s">
        <v>7110</v>
      </c>
      <c r="L120" s="113">
        <v>45702</v>
      </c>
      <c r="M120" s="45" t="s">
        <v>246</v>
      </c>
    </row>
    <row r="121" spans="1:13">
      <c r="A121" s="110">
        <v>120</v>
      </c>
      <c r="B121" s="45" t="s">
        <v>7055</v>
      </c>
      <c r="C121" s="45">
        <v>10</v>
      </c>
      <c r="D121" s="45" t="s">
        <v>7056</v>
      </c>
      <c r="E121" s="45">
        <v>95</v>
      </c>
      <c r="F121" s="45" t="s">
        <v>7111</v>
      </c>
      <c r="G121" s="110">
        <v>3</v>
      </c>
      <c r="H121" s="45" t="s">
        <v>7112</v>
      </c>
      <c r="I121" s="45" t="s">
        <v>6754</v>
      </c>
      <c r="J121" s="111">
        <v>45700</v>
      </c>
      <c r="K121" s="112" t="s">
        <v>7113</v>
      </c>
      <c r="L121" s="113">
        <v>45702</v>
      </c>
      <c r="M121" s="45" t="s">
        <v>246</v>
      </c>
    </row>
    <row r="122" spans="1:13">
      <c r="A122" s="110">
        <v>121</v>
      </c>
      <c r="B122" s="45" t="s">
        <v>7055</v>
      </c>
      <c r="C122" s="45">
        <v>10</v>
      </c>
      <c r="D122" s="45" t="s">
        <v>7056</v>
      </c>
      <c r="E122" s="45">
        <v>95</v>
      </c>
      <c r="F122" s="45" t="s">
        <v>7114</v>
      </c>
      <c r="G122" s="110">
        <v>3</v>
      </c>
      <c r="H122" s="45" t="s">
        <v>7115</v>
      </c>
      <c r="I122" s="45" t="s">
        <v>6754</v>
      </c>
      <c r="J122" s="111">
        <v>45700</v>
      </c>
      <c r="K122" s="112" t="s">
        <v>7116</v>
      </c>
      <c r="L122" s="113">
        <v>45702</v>
      </c>
      <c r="M122" s="45" t="s">
        <v>246</v>
      </c>
    </row>
    <row r="123" spans="1:13">
      <c r="A123" s="110">
        <v>122</v>
      </c>
      <c r="B123" s="45" t="s">
        <v>7055</v>
      </c>
      <c r="C123" s="45">
        <v>10</v>
      </c>
      <c r="D123" s="45" t="s">
        <v>7056</v>
      </c>
      <c r="E123" s="45">
        <v>95</v>
      </c>
      <c r="F123" s="45" t="s">
        <v>7117</v>
      </c>
      <c r="G123" s="110">
        <v>3</v>
      </c>
      <c r="H123" s="45" t="s">
        <v>7118</v>
      </c>
      <c r="I123" s="45" t="s">
        <v>6754</v>
      </c>
      <c r="J123" s="111">
        <v>45700</v>
      </c>
      <c r="K123" s="112" t="s">
        <v>7119</v>
      </c>
      <c r="L123" s="113">
        <v>45702</v>
      </c>
      <c r="M123" s="45" t="s">
        <v>247</v>
      </c>
    </row>
    <row r="124" spans="1:13">
      <c r="A124" s="110">
        <v>123</v>
      </c>
      <c r="B124" s="45" t="s">
        <v>7055</v>
      </c>
      <c r="C124" s="45">
        <v>10</v>
      </c>
      <c r="D124" s="45" t="s">
        <v>7056</v>
      </c>
      <c r="E124" s="45">
        <v>95</v>
      </c>
      <c r="F124" s="45" t="s">
        <v>7120</v>
      </c>
      <c r="G124" s="110">
        <v>3</v>
      </c>
      <c r="H124" s="45" t="s">
        <v>7121</v>
      </c>
      <c r="I124" s="45" t="s">
        <v>6754</v>
      </c>
      <c r="J124" s="111">
        <v>45700</v>
      </c>
      <c r="K124" s="112" t="s">
        <v>7122</v>
      </c>
      <c r="L124" s="113">
        <v>45702</v>
      </c>
      <c r="M124" s="45" t="s">
        <v>246</v>
      </c>
    </row>
    <row r="125" spans="1:13">
      <c r="A125" s="110">
        <v>124</v>
      </c>
      <c r="B125" s="45" t="s">
        <v>7055</v>
      </c>
      <c r="C125" s="45">
        <v>10</v>
      </c>
      <c r="D125" s="45" t="s">
        <v>7056</v>
      </c>
      <c r="E125" s="45">
        <v>95</v>
      </c>
      <c r="F125" s="45" t="s">
        <v>7123</v>
      </c>
      <c r="G125" s="110">
        <v>3</v>
      </c>
      <c r="H125" s="45" t="s">
        <v>7124</v>
      </c>
      <c r="I125" s="45" t="s">
        <v>6754</v>
      </c>
      <c r="J125" s="111">
        <v>45700</v>
      </c>
      <c r="K125" s="112" t="s">
        <v>7125</v>
      </c>
      <c r="L125" s="113">
        <v>45702</v>
      </c>
      <c r="M125" s="45" t="s">
        <v>246</v>
      </c>
    </row>
    <row r="126" spans="1:13">
      <c r="A126" s="110">
        <v>125</v>
      </c>
      <c r="B126" s="45" t="s">
        <v>7055</v>
      </c>
      <c r="C126" s="45">
        <v>10</v>
      </c>
      <c r="D126" s="45" t="s">
        <v>7056</v>
      </c>
      <c r="E126" s="45">
        <v>95</v>
      </c>
      <c r="F126" s="45" t="s">
        <v>7126</v>
      </c>
      <c r="G126" s="110">
        <v>3</v>
      </c>
      <c r="H126" s="45" t="s">
        <v>7127</v>
      </c>
      <c r="I126" s="45" t="s">
        <v>6754</v>
      </c>
      <c r="J126" s="111">
        <v>45700</v>
      </c>
      <c r="K126" s="112" t="s">
        <v>7128</v>
      </c>
      <c r="L126" s="113">
        <v>45702</v>
      </c>
      <c r="M126" s="45" t="s">
        <v>246</v>
      </c>
    </row>
    <row r="127" spans="1:13">
      <c r="A127" s="110">
        <v>126</v>
      </c>
      <c r="B127" s="45" t="s">
        <v>7055</v>
      </c>
      <c r="C127" s="45">
        <v>10</v>
      </c>
      <c r="D127" s="45" t="s">
        <v>7056</v>
      </c>
      <c r="E127" s="45">
        <v>95</v>
      </c>
      <c r="F127" s="45" t="s">
        <v>7129</v>
      </c>
      <c r="G127" s="110">
        <v>3</v>
      </c>
      <c r="H127" s="45" t="s">
        <v>7130</v>
      </c>
      <c r="I127" s="45" t="s">
        <v>6754</v>
      </c>
      <c r="J127" s="111">
        <v>45700</v>
      </c>
      <c r="K127" s="112" t="s">
        <v>7131</v>
      </c>
      <c r="L127" s="113">
        <v>45702</v>
      </c>
      <c r="M127" s="45" t="s">
        <v>246</v>
      </c>
    </row>
    <row r="128" spans="1:13">
      <c r="A128" s="110">
        <v>127</v>
      </c>
      <c r="B128" s="45" t="s">
        <v>7055</v>
      </c>
      <c r="C128" s="45">
        <v>10</v>
      </c>
      <c r="D128" s="45" t="s">
        <v>7056</v>
      </c>
      <c r="E128" s="45">
        <v>95</v>
      </c>
      <c r="F128" s="45" t="s">
        <v>7132</v>
      </c>
      <c r="G128" s="110">
        <v>3</v>
      </c>
      <c r="H128" s="45" t="s">
        <v>7133</v>
      </c>
      <c r="I128" s="45" t="s">
        <v>6754</v>
      </c>
      <c r="J128" s="111">
        <v>45700</v>
      </c>
      <c r="K128" s="112" t="s">
        <v>7134</v>
      </c>
      <c r="L128" s="113">
        <v>45702</v>
      </c>
      <c r="M128" s="45" t="s">
        <v>246</v>
      </c>
    </row>
    <row r="129" spans="1:13">
      <c r="A129" s="110">
        <v>128</v>
      </c>
      <c r="B129" s="45" t="s">
        <v>7055</v>
      </c>
      <c r="C129" s="45">
        <v>10</v>
      </c>
      <c r="D129" s="45" t="s">
        <v>7056</v>
      </c>
      <c r="E129" s="45">
        <v>95</v>
      </c>
      <c r="F129" s="45" t="s">
        <v>7135</v>
      </c>
      <c r="G129" s="110">
        <v>3</v>
      </c>
      <c r="H129" s="45" t="s">
        <v>7136</v>
      </c>
      <c r="I129" s="45" t="s">
        <v>6754</v>
      </c>
      <c r="J129" s="111">
        <v>45700</v>
      </c>
      <c r="K129" s="112" t="s">
        <v>7137</v>
      </c>
      <c r="L129" s="113">
        <v>45702</v>
      </c>
      <c r="M129" s="45" t="s">
        <v>247</v>
      </c>
    </row>
    <row r="130" spans="1:13">
      <c r="A130" s="110">
        <v>129</v>
      </c>
      <c r="B130" s="45" t="s">
        <v>7055</v>
      </c>
      <c r="C130" s="45">
        <v>10</v>
      </c>
      <c r="D130" s="45" t="s">
        <v>7056</v>
      </c>
      <c r="E130" s="45">
        <v>95</v>
      </c>
      <c r="F130" s="45" t="s">
        <v>7138</v>
      </c>
      <c r="G130" s="110">
        <v>3</v>
      </c>
      <c r="H130" s="45" t="s">
        <v>7139</v>
      </c>
      <c r="I130" s="45" t="s">
        <v>6754</v>
      </c>
      <c r="J130" s="111">
        <v>45700</v>
      </c>
      <c r="K130" s="112" t="s">
        <v>7140</v>
      </c>
      <c r="L130" s="113">
        <v>45702</v>
      </c>
      <c r="M130" s="45" t="s">
        <v>246</v>
      </c>
    </row>
    <row r="131" spans="1:13">
      <c r="A131" s="110">
        <v>130</v>
      </c>
      <c r="B131" s="45" t="s">
        <v>7055</v>
      </c>
      <c r="C131" s="45">
        <v>10</v>
      </c>
      <c r="D131" s="45" t="s">
        <v>7056</v>
      </c>
      <c r="E131" s="45">
        <v>95</v>
      </c>
      <c r="F131" s="45" t="s">
        <v>7141</v>
      </c>
      <c r="G131" s="110">
        <v>3</v>
      </c>
      <c r="H131" s="45" t="s">
        <v>7142</v>
      </c>
      <c r="I131" s="45" t="s">
        <v>6754</v>
      </c>
      <c r="J131" s="111">
        <v>45700</v>
      </c>
      <c r="K131" s="112" t="s">
        <v>7143</v>
      </c>
      <c r="L131" s="113">
        <v>45702</v>
      </c>
      <c r="M131" s="45" t="s">
        <v>246</v>
      </c>
    </row>
    <row r="132" spans="1:13">
      <c r="A132" s="110">
        <v>131</v>
      </c>
      <c r="B132" s="45" t="s">
        <v>7055</v>
      </c>
      <c r="C132" s="45">
        <v>10</v>
      </c>
      <c r="D132" s="45" t="s">
        <v>7056</v>
      </c>
      <c r="E132" s="45">
        <v>95</v>
      </c>
      <c r="F132" s="45" t="s">
        <v>7144</v>
      </c>
      <c r="G132" s="110">
        <v>3</v>
      </c>
      <c r="H132" s="45" t="s">
        <v>7145</v>
      </c>
      <c r="I132" s="45" t="s">
        <v>6754</v>
      </c>
      <c r="J132" s="111">
        <v>45700</v>
      </c>
      <c r="K132" s="112" t="s">
        <v>7146</v>
      </c>
      <c r="L132" s="113">
        <v>45702</v>
      </c>
      <c r="M132" s="45" t="s">
        <v>247</v>
      </c>
    </row>
    <row r="133" spans="1:13">
      <c r="A133" s="110">
        <v>132</v>
      </c>
      <c r="B133" s="45" t="s">
        <v>7055</v>
      </c>
      <c r="C133" s="45">
        <v>10</v>
      </c>
      <c r="D133" s="45" t="s">
        <v>7056</v>
      </c>
      <c r="E133" s="45">
        <v>95</v>
      </c>
      <c r="F133" s="45" t="s">
        <v>7147</v>
      </c>
      <c r="G133" s="110">
        <v>3</v>
      </c>
      <c r="H133" s="45" t="s">
        <v>7148</v>
      </c>
      <c r="I133" s="45" t="s">
        <v>6754</v>
      </c>
      <c r="J133" s="111">
        <v>45700</v>
      </c>
      <c r="K133" s="112" t="s">
        <v>7149</v>
      </c>
      <c r="L133" s="113">
        <v>45702</v>
      </c>
      <c r="M133" s="45" t="s">
        <v>246</v>
      </c>
    </row>
    <row r="134" spans="1:13">
      <c r="A134" s="110">
        <v>133</v>
      </c>
      <c r="B134" s="45" t="s">
        <v>7055</v>
      </c>
      <c r="C134" s="45">
        <v>10</v>
      </c>
      <c r="D134" s="45" t="s">
        <v>7056</v>
      </c>
      <c r="E134" s="45">
        <v>95</v>
      </c>
      <c r="F134" s="45" t="s">
        <v>7150</v>
      </c>
      <c r="G134" s="110">
        <v>3</v>
      </c>
      <c r="H134" s="45" t="s">
        <v>7151</v>
      </c>
      <c r="I134" s="45" t="s">
        <v>6754</v>
      </c>
      <c r="J134" s="111">
        <v>45700</v>
      </c>
      <c r="K134" s="112" t="s">
        <v>7152</v>
      </c>
      <c r="L134" s="113">
        <v>45702</v>
      </c>
      <c r="M134" s="45" t="s">
        <v>246</v>
      </c>
    </row>
    <row r="135" spans="1:13">
      <c r="A135" s="110">
        <v>134</v>
      </c>
      <c r="B135" s="45" t="s">
        <v>7055</v>
      </c>
      <c r="C135" s="45">
        <v>10</v>
      </c>
      <c r="D135" s="45" t="s">
        <v>7056</v>
      </c>
      <c r="E135" s="45">
        <v>95</v>
      </c>
      <c r="F135" s="45" t="s">
        <v>7153</v>
      </c>
      <c r="G135" s="110">
        <v>3</v>
      </c>
      <c r="H135" s="45" t="s">
        <v>7154</v>
      </c>
      <c r="I135" s="45" t="s">
        <v>6754</v>
      </c>
      <c r="J135" s="111">
        <v>45700</v>
      </c>
      <c r="K135" s="112" t="s">
        <v>7155</v>
      </c>
      <c r="L135" s="113">
        <v>45702</v>
      </c>
      <c r="M135" s="45" t="s">
        <v>247</v>
      </c>
    </row>
    <row r="136" spans="1:13">
      <c r="A136" s="110">
        <v>135</v>
      </c>
      <c r="B136" s="45" t="s">
        <v>7055</v>
      </c>
      <c r="C136" s="45">
        <v>10</v>
      </c>
      <c r="D136" s="45" t="s">
        <v>7056</v>
      </c>
      <c r="E136" s="45">
        <v>95</v>
      </c>
      <c r="F136" s="45" t="s">
        <v>7156</v>
      </c>
      <c r="G136" s="110">
        <v>3</v>
      </c>
      <c r="H136" s="45" t="s">
        <v>7157</v>
      </c>
      <c r="I136" s="45" t="s">
        <v>6754</v>
      </c>
      <c r="J136" s="111">
        <v>45700</v>
      </c>
      <c r="K136" s="112" t="s">
        <v>7158</v>
      </c>
      <c r="L136" s="113">
        <v>45702</v>
      </c>
      <c r="M136" s="45" t="s">
        <v>246</v>
      </c>
    </row>
    <row r="137" spans="1:13">
      <c r="A137" s="110">
        <v>136</v>
      </c>
      <c r="B137" s="45" t="s">
        <v>7055</v>
      </c>
      <c r="C137" s="45">
        <v>10</v>
      </c>
      <c r="D137" s="45" t="s">
        <v>7056</v>
      </c>
      <c r="E137" s="45">
        <v>95</v>
      </c>
      <c r="F137" s="45" t="s">
        <v>7159</v>
      </c>
      <c r="G137" s="110">
        <v>3</v>
      </c>
      <c r="H137" s="45" t="s">
        <v>7160</v>
      </c>
      <c r="I137" s="45" t="s">
        <v>6754</v>
      </c>
      <c r="J137" s="111">
        <v>45700</v>
      </c>
      <c r="K137" s="112" t="s">
        <v>7161</v>
      </c>
      <c r="L137" s="113">
        <v>45702</v>
      </c>
      <c r="M137" s="45" t="s">
        <v>246</v>
      </c>
    </row>
    <row r="138" spans="1:13">
      <c r="A138" s="110">
        <v>137</v>
      </c>
      <c r="B138" s="45" t="s">
        <v>7055</v>
      </c>
      <c r="C138" s="45">
        <v>10</v>
      </c>
      <c r="D138" s="45" t="s">
        <v>7056</v>
      </c>
      <c r="E138" s="45">
        <v>95</v>
      </c>
      <c r="F138" s="45" t="s">
        <v>7162</v>
      </c>
      <c r="G138" s="110">
        <v>3</v>
      </c>
      <c r="H138" s="45" t="s">
        <v>7163</v>
      </c>
      <c r="I138" s="45" t="s">
        <v>6754</v>
      </c>
      <c r="J138" s="111">
        <v>45700</v>
      </c>
      <c r="K138" s="112" t="s">
        <v>7164</v>
      </c>
      <c r="L138" s="113">
        <v>45702</v>
      </c>
      <c r="M138" s="45" t="s">
        <v>246</v>
      </c>
    </row>
    <row r="139" spans="1:13">
      <c r="A139" s="110">
        <v>138</v>
      </c>
      <c r="B139" s="45" t="s">
        <v>7055</v>
      </c>
      <c r="C139" s="45">
        <v>10</v>
      </c>
      <c r="D139" s="45" t="s">
        <v>7056</v>
      </c>
      <c r="E139" s="45">
        <v>95</v>
      </c>
      <c r="F139" s="45" t="s">
        <v>7165</v>
      </c>
      <c r="G139" s="110">
        <v>3</v>
      </c>
      <c r="H139" s="45" t="s">
        <v>7166</v>
      </c>
      <c r="I139" s="45" t="s">
        <v>6754</v>
      </c>
      <c r="J139" s="111">
        <v>45700</v>
      </c>
      <c r="K139" s="112" t="s">
        <v>7167</v>
      </c>
      <c r="L139" s="113">
        <v>45702</v>
      </c>
      <c r="M139" s="45" t="s">
        <v>246</v>
      </c>
    </row>
    <row r="140" spans="1:13">
      <c r="A140" s="110">
        <v>139</v>
      </c>
      <c r="B140" s="45" t="s">
        <v>7055</v>
      </c>
      <c r="C140" s="45">
        <v>10</v>
      </c>
      <c r="D140" s="45" t="s">
        <v>7056</v>
      </c>
      <c r="E140" s="45">
        <v>95</v>
      </c>
      <c r="F140" s="45" t="s">
        <v>7168</v>
      </c>
      <c r="G140" s="110">
        <v>3</v>
      </c>
      <c r="H140" s="45" t="s">
        <v>7169</v>
      </c>
      <c r="I140" s="45" t="s">
        <v>6754</v>
      </c>
      <c r="J140" s="111">
        <v>45700</v>
      </c>
      <c r="K140" s="112" t="s">
        <v>7170</v>
      </c>
      <c r="L140" s="113">
        <v>45702</v>
      </c>
      <c r="M140" s="45" t="s">
        <v>247</v>
      </c>
    </row>
    <row r="141" spans="1:13">
      <c r="A141" s="110">
        <v>140</v>
      </c>
      <c r="B141" s="45" t="s">
        <v>7055</v>
      </c>
      <c r="C141" s="45">
        <v>10</v>
      </c>
      <c r="D141" s="45" t="s">
        <v>7056</v>
      </c>
      <c r="E141" s="45">
        <v>95</v>
      </c>
      <c r="F141" s="45" t="s">
        <v>7171</v>
      </c>
      <c r="G141" s="110">
        <v>3</v>
      </c>
      <c r="H141" s="45" t="s">
        <v>7172</v>
      </c>
      <c r="I141" s="45" t="s">
        <v>6754</v>
      </c>
      <c r="J141" s="111">
        <v>45700</v>
      </c>
      <c r="K141" s="112" t="s">
        <v>7173</v>
      </c>
      <c r="L141" s="113">
        <v>45702</v>
      </c>
      <c r="M141" s="45" t="s">
        <v>246</v>
      </c>
    </row>
    <row r="142" spans="1:13">
      <c r="A142" s="110">
        <v>141</v>
      </c>
      <c r="B142" s="45" t="s">
        <v>7055</v>
      </c>
      <c r="C142" s="45">
        <v>10</v>
      </c>
      <c r="D142" s="45" t="s">
        <v>7056</v>
      </c>
      <c r="E142" s="45">
        <v>95</v>
      </c>
      <c r="F142" s="45" t="s">
        <v>7174</v>
      </c>
      <c r="G142" s="110">
        <v>3</v>
      </c>
      <c r="H142" s="45" t="s">
        <v>7175</v>
      </c>
      <c r="I142" s="45" t="s">
        <v>6754</v>
      </c>
      <c r="J142" s="111">
        <v>45700</v>
      </c>
      <c r="K142" s="112" t="s">
        <v>7176</v>
      </c>
      <c r="L142" s="113">
        <v>45702</v>
      </c>
      <c r="M142" s="45" t="s">
        <v>246</v>
      </c>
    </row>
    <row r="143" spans="1:13">
      <c r="A143" s="110">
        <v>142</v>
      </c>
      <c r="B143" s="45" t="s">
        <v>7055</v>
      </c>
      <c r="C143" s="45">
        <v>10</v>
      </c>
      <c r="D143" s="45" t="s">
        <v>7056</v>
      </c>
      <c r="E143" s="45">
        <v>95</v>
      </c>
      <c r="F143" s="45" t="s">
        <v>7177</v>
      </c>
      <c r="G143" s="110">
        <v>4</v>
      </c>
      <c r="H143" s="45" t="s">
        <v>7178</v>
      </c>
      <c r="I143" s="45" t="s">
        <v>6754</v>
      </c>
      <c r="J143" s="111">
        <v>45700</v>
      </c>
      <c r="K143" s="112" t="s">
        <v>7179</v>
      </c>
      <c r="L143" s="113">
        <v>45702</v>
      </c>
      <c r="M143" s="45" t="s">
        <v>246</v>
      </c>
    </row>
    <row r="144" spans="1:13">
      <c r="A144" s="110">
        <v>143</v>
      </c>
      <c r="B144" s="45" t="s">
        <v>7055</v>
      </c>
      <c r="C144" s="45">
        <v>10</v>
      </c>
      <c r="D144" s="45" t="s">
        <v>7056</v>
      </c>
      <c r="E144" s="45">
        <v>95</v>
      </c>
      <c r="F144" s="45" t="s">
        <v>7180</v>
      </c>
      <c r="G144" s="110">
        <v>4</v>
      </c>
      <c r="H144" s="45" t="s">
        <v>7181</v>
      </c>
      <c r="I144" s="45" t="s">
        <v>6754</v>
      </c>
      <c r="J144" s="111">
        <v>45700</v>
      </c>
      <c r="K144" s="112" t="s">
        <v>7182</v>
      </c>
      <c r="L144" s="113">
        <v>45702</v>
      </c>
      <c r="M144" s="45" t="s">
        <v>246</v>
      </c>
    </row>
    <row r="145" spans="1:13">
      <c r="A145" s="110">
        <v>144</v>
      </c>
      <c r="B145" s="45" t="s">
        <v>7055</v>
      </c>
      <c r="C145" s="45">
        <v>10</v>
      </c>
      <c r="D145" s="45" t="s">
        <v>7056</v>
      </c>
      <c r="E145" s="45">
        <v>95</v>
      </c>
      <c r="F145" s="45" t="s">
        <v>7183</v>
      </c>
      <c r="G145" s="110">
        <v>4</v>
      </c>
      <c r="H145" s="45" t="s">
        <v>7184</v>
      </c>
      <c r="I145" s="45" t="s">
        <v>6754</v>
      </c>
      <c r="J145" s="111">
        <v>45700</v>
      </c>
      <c r="K145" s="112" t="s">
        <v>7185</v>
      </c>
      <c r="L145" s="113">
        <v>45702</v>
      </c>
      <c r="M145" s="45" t="s">
        <v>246</v>
      </c>
    </row>
    <row r="146" spans="1:13">
      <c r="A146" s="110">
        <v>145</v>
      </c>
      <c r="B146" s="45" t="s">
        <v>7055</v>
      </c>
      <c r="C146" s="45">
        <v>10</v>
      </c>
      <c r="D146" s="45" t="s">
        <v>7056</v>
      </c>
      <c r="E146" s="45">
        <v>95</v>
      </c>
      <c r="F146" s="45" t="s">
        <v>7186</v>
      </c>
      <c r="G146" s="110">
        <v>4</v>
      </c>
      <c r="H146" s="45" t="s">
        <v>7187</v>
      </c>
      <c r="I146" s="45" t="s">
        <v>6754</v>
      </c>
      <c r="J146" s="111">
        <v>45700</v>
      </c>
      <c r="K146" s="112" t="s">
        <v>7188</v>
      </c>
      <c r="L146" s="113">
        <v>45702</v>
      </c>
      <c r="M146" s="45" t="s">
        <v>246</v>
      </c>
    </row>
    <row r="147" spans="1:13">
      <c r="A147" s="110">
        <v>146</v>
      </c>
      <c r="B147" s="45" t="s">
        <v>7055</v>
      </c>
      <c r="C147" s="45">
        <v>10</v>
      </c>
      <c r="D147" s="45" t="s">
        <v>7056</v>
      </c>
      <c r="E147" s="45">
        <v>95</v>
      </c>
      <c r="F147" s="45" t="s">
        <v>7189</v>
      </c>
      <c r="G147" s="110">
        <v>4</v>
      </c>
      <c r="H147" s="45" t="s">
        <v>7190</v>
      </c>
      <c r="I147" s="45" t="s">
        <v>6754</v>
      </c>
      <c r="J147" s="111">
        <v>45700</v>
      </c>
      <c r="K147" s="112" t="s">
        <v>7191</v>
      </c>
      <c r="L147" s="113">
        <v>45702</v>
      </c>
      <c r="M147" s="45" t="s">
        <v>246</v>
      </c>
    </row>
    <row r="148" spans="1:13">
      <c r="A148" s="110">
        <v>147</v>
      </c>
      <c r="B148" s="45" t="s">
        <v>7055</v>
      </c>
      <c r="C148" s="45">
        <v>10</v>
      </c>
      <c r="D148" s="45" t="s">
        <v>7056</v>
      </c>
      <c r="E148" s="45">
        <v>95</v>
      </c>
      <c r="F148" s="45" t="s">
        <v>7192</v>
      </c>
      <c r="G148" s="110">
        <v>4</v>
      </c>
      <c r="H148" s="45" t="s">
        <v>7193</v>
      </c>
      <c r="I148" s="45" t="s">
        <v>6754</v>
      </c>
      <c r="J148" s="111">
        <v>45700</v>
      </c>
      <c r="K148" s="112" t="s">
        <v>7194</v>
      </c>
      <c r="L148" s="113">
        <v>45702</v>
      </c>
      <c r="M148" s="45" t="s">
        <v>246</v>
      </c>
    </row>
    <row r="149" spans="1:13">
      <c r="A149" s="110">
        <v>148</v>
      </c>
      <c r="B149" s="45" t="s">
        <v>7055</v>
      </c>
      <c r="C149" s="45">
        <v>10</v>
      </c>
      <c r="D149" s="45" t="s">
        <v>7056</v>
      </c>
      <c r="E149" s="45">
        <v>95</v>
      </c>
      <c r="F149" s="45" t="s">
        <v>7195</v>
      </c>
      <c r="G149" s="110">
        <v>4</v>
      </c>
      <c r="H149" s="45" t="s">
        <v>7196</v>
      </c>
      <c r="I149" s="45" t="s">
        <v>6754</v>
      </c>
      <c r="J149" s="111">
        <v>45700</v>
      </c>
      <c r="K149" s="112" t="s">
        <v>7197</v>
      </c>
      <c r="L149" s="113">
        <v>45702</v>
      </c>
      <c r="M149" s="45" t="s">
        <v>247</v>
      </c>
    </row>
    <row r="150" spans="1:13">
      <c r="A150" s="110">
        <v>149</v>
      </c>
      <c r="B150" s="45" t="s">
        <v>7055</v>
      </c>
      <c r="C150" s="45">
        <v>10</v>
      </c>
      <c r="D150" s="45" t="s">
        <v>7056</v>
      </c>
      <c r="E150" s="45">
        <v>95</v>
      </c>
      <c r="F150" s="45" t="s">
        <v>7198</v>
      </c>
      <c r="G150" s="110">
        <v>4</v>
      </c>
      <c r="H150" s="45" t="s">
        <v>7199</v>
      </c>
      <c r="I150" s="45" t="s">
        <v>6754</v>
      </c>
      <c r="J150" s="111">
        <v>45700</v>
      </c>
      <c r="K150" s="112" t="s">
        <v>7200</v>
      </c>
      <c r="L150" s="113">
        <v>45702</v>
      </c>
      <c r="M150" s="45" t="s">
        <v>246</v>
      </c>
    </row>
    <row r="151" spans="1:13">
      <c r="A151" s="110">
        <v>150</v>
      </c>
      <c r="B151" s="45" t="s">
        <v>7055</v>
      </c>
      <c r="C151" s="45">
        <v>10</v>
      </c>
      <c r="D151" s="45" t="s">
        <v>7056</v>
      </c>
      <c r="E151" s="45">
        <v>95</v>
      </c>
      <c r="F151" s="45" t="s">
        <v>7201</v>
      </c>
      <c r="G151" s="110">
        <v>4</v>
      </c>
      <c r="H151" s="45" t="s">
        <v>7202</v>
      </c>
      <c r="I151" s="45" t="s">
        <v>6754</v>
      </c>
      <c r="J151" s="111">
        <v>45700</v>
      </c>
      <c r="K151" s="112" t="s">
        <v>7203</v>
      </c>
      <c r="L151" s="113">
        <v>45702</v>
      </c>
      <c r="M151" s="45" t="s">
        <v>246</v>
      </c>
    </row>
    <row r="152" spans="1:13">
      <c r="A152" s="110">
        <v>151</v>
      </c>
      <c r="B152" s="45" t="s">
        <v>7055</v>
      </c>
      <c r="C152" s="45">
        <v>10</v>
      </c>
      <c r="D152" s="45" t="s">
        <v>7056</v>
      </c>
      <c r="E152" s="45">
        <v>95</v>
      </c>
      <c r="F152" s="45" t="s">
        <v>7204</v>
      </c>
      <c r="G152" s="110">
        <v>4</v>
      </c>
      <c r="H152" s="45" t="s">
        <v>7205</v>
      </c>
      <c r="I152" s="45" t="s">
        <v>6754</v>
      </c>
      <c r="J152" s="111">
        <v>45700</v>
      </c>
      <c r="K152" s="112" t="s">
        <v>7206</v>
      </c>
      <c r="L152" s="113">
        <v>45702</v>
      </c>
      <c r="M152" s="45" t="s">
        <v>246</v>
      </c>
    </row>
    <row r="153" spans="1:13">
      <c r="A153" s="110">
        <v>152</v>
      </c>
      <c r="B153" s="45" t="s">
        <v>7055</v>
      </c>
      <c r="C153" s="45">
        <v>10</v>
      </c>
      <c r="D153" s="45" t="s">
        <v>7056</v>
      </c>
      <c r="E153" s="45">
        <v>95</v>
      </c>
      <c r="F153" s="45" t="s">
        <v>7207</v>
      </c>
      <c r="G153" s="110">
        <v>4</v>
      </c>
      <c r="H153" s="45" t="s">
        <v>7208</v>
      </c>
      <c r="I153" s="45" t="s">
        <v>6754</v>
      </c>
      <c r="J153" s="111">
        <v>45700</v>
      </c>
      <c r="K153" s="112" t="s">
        <v>7209</v>
      </c>
      <c r="L153" s="113">
        <v>45702</v>
      </c>
      <c r="M153" s="45" t="s">
        <v>246</v>
      </c>
    </row>
    <row r="154" spans="1:13">
      <c r="A154" s="110">
        <v>153</v>
      </c>
      <c r="B154" s="45" t="s">
        <v>7055</v>
      </c>
      <c r="C154" s="45">
        <v>10</v>
      </c>
      <c r="D154" s="45" t="s">
        <v>7056</v>
      </c>
      <c r="E154" s="45">
        <v>95</v>
      </c>
      <c r="F154" s="45" t="s">
        <v>7210</v>
      </c>
      <c r="G154" s="110">
        <v>4</v>
      </c>
      <c r="H154" s="45" t="s">
        <v>7211</v>
      </c>
      <c r="I154" s="45" t="s">
        <v>6754</v>
      </c>
      <c r="J154" s="111">
        <v>45700</v>
      </c>
      <c r="K154" s="112" t="s">
        <v>7212</v>
      </c>
      <c r="L154" s="113">
        <v>45702</v>
      </c>
      <c r="M154" s="45" t="s">
        <v>246</v>
      </c>
    </row>
    <row r="155" spans="1:13">
      <c r="A155" s="110">
        <v>154</v>
      </c>
      <c r="B155" s="45" t="s">
        <v>7055</v>
      </c>
      <c r="C155" s="45">
        <v>10</v>
      </c>
      <c r="D155" s="45" t="s">
        <v>7056</v>
      </c>
      <c r="E155" s="45">
        <v>95</v>
      </c>
      <c r="F155" s="45" t="s">
        <v>7213</v>
      </c>
      <c r="G155" s="110">
        <v>4</v>
      </c>
      <c r="H155" s="45" t="s">
        <v>7214</v>
      </c>
      <c r="I155" s="45" t="s">
        <v>6754</v>
      </c>
      <c r="J155" s="111">
        <v>45700</v>
      </c>
      <c r="K155" s="112" t="s">
        <v>7215</v>
      </c>
      <c r="L155" s="113">
        <v>45702</v>
      </c>
      <c r="M155" s="45" t="s">
        <v>246</v>
      </c>
    </row>
    <row r="156" spans="1:13">
      <c r="A156" s="110">
        <v>155</v>
      </c>
      <c r="B156" s="45" t="s">
        <v>7055</v>
      </c>
      <c r="C156" s="45">
        <v>10</v>
      </c>
      <c r="D156" s="45" t="s">
        <v>7056</v>
      </c>
      <c r="E156" s="45">
        <v>95</v>
      </c>
      <c r="F156" s="45" t="s">
        <v>7216</v>
      </c>
      <c r="G156" s="110">
        <v>4</v>
      </c>
      <c r="H156" s="45" t="s">
        <v>7217</v>
      </c>
      <c r="I156" s="45" t="s">
        <v>6754</v>
      </c>
      <c r="J156" s="111">
        <v>45700</v>
      </c>
      <c r="K156" s="112" t="s">
        <v>7218</v>
      </c>
      <c r="L156" s="113">
        <v>45702</v>
      </c>
      <c r="M156" s="45" t="s">
        <v>247</v>
      </c>
    </row>
    <row r="157" spans="1:13">
      <c r="A157" s="110">
        <v>156</v>
      </c>
      <c r="B157" s="45" t="s">
        <v>7055</v>
      </c>
      <c r="C157" s="45">
        <v>10</v>
      </c>
      <c r="D157" s="45" t="s">
        <v>7056</v>
      </c>
      <c r="E157" s="45">
        <v>95</v>
      </c>
      <c r="F157" s="45" t="s">
        <v>7219</v>
      </c>
      <c r="G157" s="110">
        <v>4</v>
      </c>
      <c r="H157" s="45" t="s">
        <v>7220</v>
      </c>
      <c r="I157" s="45" t="s">
        <v>6754</v>
      </c>
      <c r="J157" s="111">
        <v>45700</v>
      </c>
      <c r="K157" s="112" t="s">
        <v>7221</v>
      </c>
      <c r="L157" s="113">
        <v>45702</v>
      </c>
      <c r="M157" s="45" t="s">
        <v>246</v>
      </c>
    </row>
    <row r="158" spans="1:13">
      <c r="A158" s="110">
        <v>157</v>
      </c>
      <c r="B158" s="45" t="s">
        <v>7055</v>
      </c>
      <c r="C158" s="45">
        <v>10</v>
      </c>
      <c r="D158" s="45" t="s">
        <v>7056</v>
      </c>
      <c r="E158" s="45">
        <v>95</v>
      </c>
      <c r="F158" s="45" t="s">
        <v>7222</v>
      </c>
      <c r="G158" s="110">
        <v>4</v>
      </c>
      <c r="H158" s="45" t="s">
        <v>7223</v>
      </c>
      <c r="I158" s="45" t="s">
        <v>6754</v>
      </c>
      <c r="J158" s="111">
        <v>45700</v>
      </c>
      <c r="K158" s="112" t="s">
        <v>7224</v>
      </c>
      <c r="L158" s="113">
        <v>45702</v>
      </c>
      <c r="M158" s="45" t="s">
        <v>246</v>
      </c>
    </row>
    <row r="159" spans="1:13">
      <c r="A159" s="110">
        <v>158</v>
      </c>
      <c r="B159" s="45" t="s">
        <v>7055</v>
      </c>
      <c r="C159" s="45">
        <v>10</v>
      </c>
      <c r="D159" s="45" t="s">
        <v>7056</v>
      </c>
      <c r="E159" s="45">
        <v>95</v>
      </c>
      <c r="F159" s="45" t="s">
        <v>7225</v>
      </c>
      <c r="G159" s="110">
        <v>4</v>
      </c>
      <c r="H159" s="45" t="s">
        <v>7226</v>
      </c>
      <c r="I159" s="45" t="s">
        <v>6754</v>
      </c>
      <c r="J159" s="111">
        <v>45700</v>
      </c>
      <c r="K159" s="112" t="s">
        <v>7227</v>
      </c>
      <c r="L159" s="113">
        <v>45702</v>
      </c>
      <c r="M159" s="45" t="s">
        <v>246</v>
      </c>
    </row>
    <row r="160" spans="1:13">
      <c r="A160" s="110">
        <v>159</v>
      </c>
      <c r="B160" s="45" t="s">
        <v>7055</v>
      </c>
      <c r="C160" s="45">
        <v>10</v>
      </c>
      <c r="D160" s="45" t="s">
        <v>7056</v>
      </c>
      <c r="E160" s="45">
        <v>95</v>
      </c>
      <c r="F160" s="45" t="s">
        <v>7228</v>
      </c>
      <c r="G160" s="110">
        <v>4</v>
      </c>
      <c r="H160" s="45" t="s">
        <v>7229</v>
      </c>
      <c r="I160" s="45" t="s">
        <v>6754</v>
      </c>
      <c r="J160" s="111">
        <v>45700</v>
      </c>
      <c r="K160" s="112" t="s">
        <v>7230</v>
      </c>
      <c r="L160" s="113">
        <v>45702</v>
      </c>
      <c r="M160" s="45" t="s">
        <v>246</v>
      </c>
    </row>
    <row r="161" spans="1:13">
      <c r="A161" s="110">
        <v>160</v>
      </c>
      <c r="B161" s="45" t="s">
        <v>7055</v>
      </c>
      <c r="C161" s="45">
        <v>10</v>
      </c>
      <c r="D161" s="45" t="s">
        <v>7056</v>
      </c>
      <c r="E161" s="45">
        <v>95</v>
      </c>
      <c r="F161" s="45" t="s">
        <v>7231</v>
      </c>
      <c r="G161" s="110">
        <v>4</v>
      </c>
      <c r="H161" s="45" t="s">
        <v>7232</v>
      </c>
      <c r="I161" s="45" t="s">
        <v>6754</v>
      </c>
      <c r="J161" s="111">
        <v>45700</v>
      </c>
      <c r="K161" s="112" t="s">
        <v>7233</v>
      </c>
      <c r="L161" s="113">
        <v>45702</v>
      </c>
      <c r="M161" s="45" t="s">
        <v>246</v>
      </c>
    </row>
    <row r="162" spans="1:13">
      <c r="A162" s="110">
        <v>161</v>
      </c>
      <c r="B162" s="45" t="s">
        <v>7055</v>
      </c>
      <c r="C162" s="45">
        <v>10</v>
      </c>
      <c r="D162" s="45" t="s">
        <v>7056</v>
      </c>
      <c r="E162" s="45">
        <v>95</v>
      </c>
      <c r="F162" s="45" t="s">
        <v>7234</v>
      </c>
      <c r="G162" s="110">
        <v>4</v>
      </c>
      <c r="H162" s="45" t="s">
        <v>7235</v>
      </c>
      <c r="I162" s="45" t="s">
        <v>6754</v>
      </c>
      <c r="J162" s="111">
        <v>45700</v>
      </c>
      <c r="K162" s="112" t="s">
        <v>7236</v>
      </c>
      <c r="L162" s="113">
        <v>45702</v>
      </c>
      <c r="M162" s="45" t="s">
        <v>246</v>
      </c>
    </row>
    <row r="163" spans="1:13">
      <c r="A163" s="110">
        <v>162</v>
      </c>
      <c r="B163" s="45" t="s">
        <v>90</v>
      </c>
      <c r="C163" s="45">
        <v>1</v>
      </c>
      <c r="D163" s="45" t="s">
        <v>109</v>
      </c>
      <c r="E163" s="45">
        <v>1</v>
      </c>
      <c r="F163" s="45" t="s">
        <v>7237</v>
      </c>
      <c r="G163" s="110">
        <v>4</v>
      </c>
      <c r="H163" s="45" t="s">
        <v>7238</v>
      </c>
      <c r="I163" s="45" t="s">
        <v>6754</v>
      </c>
      <c r="J163" s="111">
        <v>45700</v>
      </c>
      <c r="K163" s="112" t="s">
        <v>7239</v>
      </c>
      <c r="L163" s="113">
        <v>45702</v>
      </c>
      <c r="M163" s="45" t="s">
        <v>247</v>
      </c>
    </row>
    <row r="164" spans="1:13">
      <c r="A164" s="110">
        <v>163</v>
      </c>
      <c r="B164" s="45" t="s">
        <v>90</v>
      </c>
      <c r="C164" s="45">
        <v>1</v>
      </c>
      <c r="D164" s="45" t="s">
        <v>109</v>
      </c>
      <c r="E164" s="45">
        <v>1</v>
      </c>
      <c r="F164" s="45" t="s">
        <v>7240</v>
      </c>
      <c r="G164" s="110">
        <v>4</v>
      </c>
      <c r="H164" s="45" t="s">
        <v>7241</v>
      </c>
      <c r="I164" s="45" t="s">
        <v>6754</v>
      </c>
      <c r="J164" s="111">
        <v>45700</v>
      </c>
      <c r="K164" s="112" t="s">
        <v>7242</v>
      </c>
      <c r="L164" s="113">
        <v>45702</v>
      </c>
      <c r="M164" s="45" t="s">
        <v>247</v>
      </c>
    </row>
    <row r="165" spans="1:13">
      <c r="A165" s="110">
        <v>164</v>
      </c>
      <c r="B165" s="45" t="s">
        <v>90</v>
      </c>
      <c r="C165" s="45">
        <v>1</v>
      </c>
      <c r="D165" s="45" t="s">
        <v>109</v>
      </c>
      <c r="E165" s="45">
        <v>1</v>
      </c>
      <c r="F165" s="45" t="s">
        <v>7243</v>
      </c>
      <c r="G165" s="110">
        <v>4</v>
      </c>
      <c r="H165" s="45" t="s">
        <v>7244</v>
      </c>
      <c r="I165" s="45" t="s">
        <v>6754</v>
      </c>
      <c r="J165" s="111">
        <v>45700</v>
      </c>
      <c r="K165" s="112" t="s">
        <v>7245</v>
      </c>
      <c r="L165" s="113">
        <v>45702</v>
      </c>
      <c r="M165" s="45" t="s">
        <v>247</v>
      </c>
    </row>
    <row r="166" spans="1:13">
      <c r="A166" s="110">
        <v>165</v>
      </c>
      <c r="B166" s="45" t="s">
        <v>90</v>
      </c>
      <c r="C166" s="45">
        <v>1</v>
      </c>
      <c r="D166" s="45" t="s">
        <v>109</v>
      </c>
      <c r="E166" s="45">
        <v>1</v>
      </c>
      <c r="F166" s="45" t="s">
        <v>7246</v>
      </c>
      <c r="G166" s="110">
        <v>4</v>
      </c>
      <c r="H166" s="45" t="s">
        <v>7247</v>
      </c>
      <c r="I166" s="45" t="s">
        <v>6754</v>
      </c>
      <c r="J166" s="111">
        <v>45700</v>
      </c>
      <c r="K166" s="112" t="s">
        <v>7248</v>
      </c>
      <c r="L166" s="113">
        <v>45702</v>
      </c>
      <c r="M166" s="45" t="s">
        <v>247</v>
      </c>
    </row>
    <row r="167" spans="1:13">
      <c r="A167" s="110">
        <v>166</v>
      </c>
      <c r="B167" s="45" t="s">
        <v>90</v>
      </c>
      <c r="C167" s="45">
        <v>1</v>
      </c>
      <c r="D167" s="45" t="s">
        <v>109</v>
      </c>
      <c r="E167" s="45">
        <v>1</v>
      </c>
      <c r="F167" s="45" t="s">
        <v>7249</v>
      </c>
      <c r="G167" s="110">
        <v>4</v>
      </c>
      <c r="H167" s="45" t="s">
        <v>7250</v>
      </c>
      <c r="I167" s="45" t="s">
        <v>6754</v>
      </c>
      <c r="J167" s="111">
        <v>45700</v>
      </c>
      <c r="K167" s="112" t="s">
        <v>7251</v>
      </c>
      <c r="L167" s="113">
        <v>45702</v>
      </c>
      <c r="M167" s="45" t="s">
        <v>247</v>
      </c>
    </row>
    <row r="168" spans="1:13">
      <c r="A168" s="110">
        <v>167</v>
      </c>
      <c r="B168" s="45" t="s">
        <v>90</v>
      </c>
      <c r="C168" s="45">
        <v>1</v>
      </c>
      <c r="D168" s="45" t="s">
        <v>109</v>
      </c>
      <c r="E168" s="45">
        <v>1</v>
      </c>
      <c r="F168" s="45" t="s">
        <v>7252</v>
      </c>
      <c r="G168" s="110">
        <v>4</v>
      </c>
      <c r="H168" s="45" t="s">
        <v>7253</v>
      </c>
      <c r="I168" s="45" t="s">
        <v>6754</v>
      </c>
      <c r="J168" s="111">
        <v>45700</v>
      </c>
      <c r="K168" s="112" t="s">
        <v>7254</v>
      </c>
      <c r="L168" s="113">
        <v>45702</v>
      </c>
      <c r="M168" s="45" t="s">
        <v>247</v>
      </c>
    </row>
    <row r="169" spans="1:13">
      <c r="A169" s="110">
        <v>168</v>
      </c>
      <c r="B169" s="45" t="s">
        <v>90</v>
      </c>
      <c r="C169" s="45">
        <v>1</v>
      </c>
      <c r="D169" s="45" t="s">
        <v>109</v>
      </c>
      <c r="E169" s="45">
        <v>1</v>
      </c>
      <c r="F169" s="45" t="s">
        <v>7255</v>
      </c>
      <c r="G169" s="110">
        <v>3</v>
      </c>
      <c r="H169" s="45" t="s">
        <v>7256</v>
      </c>
      <c r="I169" s="45" t="s">
        <v>6754</v>
      </c>
      <c r="J169" s="111">
        <v>45700</v>
      </c>
      <c r="K169" s="112" t="s">
        <v>7257</v>
      </c>
      <c r="L169" s="113">
        <v>45702</v>
      </c>
      <c r="M169" s="45" t="s">
        <v>246</v>
      </c>
    </row>
    <row r="170" spans="1:13">
      <c r="A170" s="110">
        <v>169</v>
      </c>
      <c r="B170" s="45" t="s">
        <v>90</v>
      </c>
      <c r="C170" s="45">
        <v>1</v>
      </c>
      <c r="D170" s="45" t="s">
        <v>109</v>
      </c>
      <c r="E170" s="45">
        <v>1</v>
      </c>
      <c r="F170" s="45" t="s">
        <v>7258</v>
      </c>
      <c r="G170" s="110">
        <v>3</v>
      </c>
      <c r="H170" s="45" t="s">
        <v>7259</v>
      </c>
      <c r="I170" s="45" t="s">
        <v>6754</v>
      </c>
      <c r="J170" s="111">
        <v>45700</v>
      </c>
      <c r="K170" s="112" t="s">
        <v>7260</v>
      </c>
      <c r="L170" s="113">
        <v>45702</v>
      </c>
      <c r="M170" s="45" t="s">
        <v>247</v>
      </c>
    </row>
    <row r="171" spans="1:13">
      <c r="A171" s="110">
        <v>170</v>
      </c>
      <c r="B171" s="45" t="s">
        <v>90</v>
      </c>
      <c r="C171" s="45">
        <v>1</v>
      </c>
      <c r="D171" s="45" t="s">
        <v>109</v>
      </c>
      <c r="E171" s="45">
        <v>1</v>
      </c>
      <c r="F171" s="45" t="s">
        <v>7261</v>
      </c>
      <c r="G171" s="110">
        <v>3</v>
      </c>
      <c r="H171" s="45" t="s">
        <v>7262</v>
      </c>
      <c r="I171" s="45" t="s">
        <v>6754</v>
      </c>
      <c r="J171" s="111">
        <v>45700</v>
      </c>
      <c r="K171" s="112" t="s">
        <v>7263</v>
      </c>
      <c r="L171" s="113">
        <v>45702</v>
      </c>
      <c r="M171" s="45" t="s">
        <v>246</v>
      </c>
    </row>
    <row r="172" spans="1:13">
      <c r="A172" s="110">
        <v>171</v>
      </c>
      <c r="B172" s="45" t="s">
        <v>90</v>
      </c>
      <c r="C172" s="45">
        <v>1</v>
      </c>
      <c r="D172" s="45" t="s">
        <v>109</v>
      </c>
      <c r="E172" s="45">
        <v>1</v>
      </c>
      <c r="F172" s="45" t="s">
        <v>7264</v>
      </c>
      <c r="G172" s="110">
        <v>3</v>
      </c>
      <c r="H172" s="45" t="s">
        <v>7265</v>
      </c>
      <c r="I172" s="45" t="s">
        <v>6754</v>
      </c>
      <c r="J172" s="111">
        <v>45700</v>
      </c>
      <c r="K172" s="112" t="s">
        <v>7266</v>
      </c>
      <c r="L172" s="113">
        <v>45702</v>
      </c>
      <c r="M172" s="45" t="s">
        <v>246</v>
      </c>
    </row>
    <row r="173" spans="1:13">
      <c r="A173" s="110">
        <v>172</v>
      </c>
      <c r="B173" s="45" t="s">
        <v>90</v>
      </c>
      <c r="C173" s="45">
        <v>1</v>
      </c>
      <c r="D173" s="45" t="s">
        <v>109</v>
      </c>
      <c r="E173" s="45">
        <v>1</v>
      </c>
      <c r="F173" s="45" t="s">
        <v>7267</v>
      </c>
      <c r="G173" s="110">
        <v>3</v>
      </c>
      <c r="H173" s="45" t="s">
        <v>7268</v>
      </c>
      <c r="I173" s="45" t="s">
        <v>6754</v>
      </c>
      <c r="J173" s="111">
        <v>45700</v>
      </c>
      <c r="K173" s="112" t="s">
        <v>7269</v>
      </c>
      <c r="L173" s="113">
        <v>45702</v>
      </c>
      <c r="M173" s="45" t="s">
        <v>246</v>
      </c>
    </row>
    <row r="174" spans="1:13">
      <c r="A174" s="110">
        <v>173</v>
      </c>
      <c r="B174" s="45" t="s">
        <v>90</v>
      </c>
      <c r="C174" s="45">
        <v>1</v>
      </c>
      <c r="D174" s="45" t="s">
        <v>109</v>
      </c>
      <c r="E174" s="45">
        <v>1</v>
      </c>
      <c r="F174" s="45" t="s">
        <v>7270</v>
      </c>
      <c r="G174" s="110">
        <v>3</v>
      </c>
      <c r="H174" s="45" t="s">
        <v>7271</v>
      </c>
      <c r="I174" s="45" t="s">
        <v>6754</v>
      </c>
      <c r="J174" s="111">
        <v>45700</v>
      </c>
      <c r="K174" s="112" t="s">
        <v>7272</v>
      </c>
      <c r="L174" s="113">
        <v>45702</v>
      </c>
      <c r="M174" s="45" t="s">
        <v>246</v>
      </c>
    </row>
    <row r="175" spans="1:13">
      <c r="A175" s="110">
        <v>174</v>
      </c>
      <c r="B175" s="45" t="s">
        <v>90</v>
      </c>
      <c r="C175" s="45">
        <v>1</v>
      </c>
      <c r="D175" s="45" t="s">
        <v>109</v>
      </c>
      <c r="E175" s="45">
        <v>1</v>
      </c>
      <c r="F175" s="45" t="s">
        <v>7273</v>
      </c>
      <c r="G175" s="110">
        <v>2</v>
      </c>
      <c r="H175" s="45" t="s">
        <v>7274</v>
      </c>
      <c r="I175" s="45" t="s">
        <v>6754</v>
      </c>
      <c r="J175" s="111">
        <v>45700</v>
      </c>
      <c r="K175" s="112" t="s">
        <v>7275</v>
      </c>
      <c r="L175" s="113">
        <v>45702</v>
      </c>
      <c r="M175" s="45" t="s">
        <v>247</v>
      </c>
    </row>
    <row r="176" spans="1:13">
      <c r="A176" s="110">
        <v>175</v>
      </c>
      <c r="B176" s="45" t="s">
        <v>90</v>
      </c>
      <c r="C176" s="45">
        <v>1</v>
      </c>
      <c r="D176" s="45" t="s">
        <v>109</v>
      </c>
      <c r="E176" s="45">
        <v>1</v>
      </c>
      <c r="F176" s="45" t="s">
        <v>7276</v>
      </c>
      <c r="G176" s="110">
        <v>2</v>
      </c>
      <c r="H176" s="45" t="s">
        <v>7277</v>
      </c>
      <c r="I176" s="45" t="s">
        <v>6754</v>
      </c>
      <c r="J176" s="111">
        <v>45700</v>
      </c>
      <c r="K176" s="112" t="s">
        <v>7278</v>
      </c>
      <c r="L176" s="113">
        <v>45702</v>
      </c>
      <c r="M176" s="45" t="s">
        <v>247</v>
      </c>
    </row>
    <row r="177" spans="1:13">
      <c r="A177" s="110">
        <v>176</v>
      </c>
      <c r="B177" s="45" t="s">
        <v>90</v>
      </c>
      <c r="C177" s="45">
        <v>1</v>
      </c>
      <c r="D177" s="45" t="s">
        <v>109</v>
      </c>
      <c r="E177" s="45">
        <v>1</v>
      </c>
      <c r="F177" s="45" t="s">
        <v>7279</v>
      </c>
      <c r="G177" s="110">
        <v>2</v>
      </c>
      <c r="H177" s="45" t="s">
        <v>7280</v>
      </c>
      <c r="I177" s="45" t="s">
        <v>6754</v>
      </c>
      <c r="J177" s="111">
        <v>45700</v>
      </c>
      <c r="K177" s="112" t="s">
        <v>7281</v>
      </c>
      <c r="L177" s="113">
        <v>45702</v>
      </c>
      <c r="M177" s="45" t="s">
        <v>247</v>
      </c>
    </row>
    <row r="178" spans="1:13">
      <c r="A178" s="110">
        <v>177</v>
      </c>
      <c r="B178" s="45" t="s">
        <v>90</v>
      </c>
      <c r="C178" s="45">
        <v>1</v>
      </c>
      <c r="D178" s="45" t="s">
        <v>109</v>
      </c>
      <c r="E178" s="45">
        <v>1</v>
      </c>
      <c r="F178" s="45" t="s">
        <v>7282</v>
      </c>
      <c r="G178" s="110">
        <v>2</v>
      </c>
      <c r="H178" s="45" t="s">
        <v>7283</v>
      </c>
      <c r="I178" s="45" t="s">
        <v>6754</v>
      </c>
      <c r="J178" s="111">
        <v>45700</v>
      </c>
      <c r="K178" s="112" t="s">
        <v>7284</v>
      </c>
      <c r="L178" s="113">
        <v>45702</v>
      </c>
      <c r="M178" s="45" t="s">
        <v>247</v>
      </c>
    </row>
    <row r="179" spans="1:13">
      <c r="A179" s="110">
        <v>178</v>
      </c>
      <c r="B179" s="45" t="s">
        <v>90</v>
      </c>
      <c r="C179" s="45">
        <v>1</v>
      </c>
      <c r="D179" s="45" t="s">
        <v>109</v>
      </c>
      <c r="E179" s="45">
        <v>1</v>
      </c>
      <c r="F179" s="45" t="s">
        <v>7285</v>
      </c>
      <c r="G179" s="110">
        <v>2</v>
      </c>
      <c r="H179" s="45" t="s">
        <v>7286</v>
      </c>
      <c r="I179" s="45" t="s">
        <v>6754</v>
      </c>
      <c r="J179" s="111">
        <v>45700</v>
      </c>
      <c r="K179" s="112" t="s">
        <v>7287</v>
      </c>
      <c r="L179" s="113">
        <v>45702</v>
      </c>
      <c r="M179" s="45" t="s">
        <v>246</v>
      </c>
    </row>
    <row r="180" spans="1:13">
      <c r="A180" s="110">
        <v>179</v>
      </c>
      <c r="B180" s="45" t="s">
        <v>90</v>
      </c>
      <c r="C180" s="45">
        <v>1</v>
      </c>
      <c r="D180" s="45" t="s">
        <v>109</v>
      </c>
      <c r="E180" s="45">
        <v>1</v>
      </c>
      <c r="F180" s="45" t="s">
        <v>7288</v>
      </c>
      <c r="G180" s="110">
        <v>2</v>
      </c>
      <c r="H180" s="45" t="s">
        <v>7289</v>
      </c>
      <c r="I180" s="45" t="s">
        <v>6754</v>
      </c>
      <c r="J180" s="111">
        <v>45700</v>
      </c>
      <c r="K180" s="112" t="s">
        <v>7290</v>
      </c>
      <c r="L180" s="113">
        <v>45702</v>
      </c>
      <c r="M180" s="45" t="s">
        <v>246</v>
      </c>
    </row>
    <row r="181" spans="1:13">
      <c r="A181" s="110">
        <v>180</v>
      </c>
      <c r="B181" s="45" t="s">
        <v>90</v>
      </c>
      <c r="C181" s="45">
        <v>1</v>
      </c>
      <c r="D181" s="45" t="s">
        <v>110</v>
      </c>
      <c r="E181" s="45">
        <v>2</v>
      </c>
      <c r="F181" s="45" t="s">
        <v>7291</v>
      </c>
      <c r="G181" s="110">
        <v>5</v>
      </c>
      <c r="H181" s="45" t="s">
        <v>7292</v>
      </c>
      <c r="I181" s="45" t="s">
        <v>6754</v>
      </c>
      <c r="J181" s="111">
        <v>45700</v>
      </c>
      <c r="K181" s="112" t="s">
        <v>7293</v>
      </c>
      <c r="L181" s="113">
        <v>45702</v>
      </c>
      <c r="M181" s="45" t="s">
        <v>246</v>
      </c>
    </row>
    <row r="182" spans="1:13">
      <c r="A182" s="110">
        <v>181</v>
      </c>
      <c r="B182" s="45" t="s">
        <v>90</v>
      </c>
      <c r="C182" s="45">
        <v>1</v>
      </c>
      <c r="D182" s="45" t="s">
        <v>110</v>
      </c>
      <c r="E182" s="45">
        <v>2</v>
      </c>
      <c r="F182" s="45" t="s">
        <v>7294</v>
      </c>
      <c r="G182" s="110">
        <v>4</v>
      </c>
      <c r="H182" s="45" t="s">
        <v>7295</v>
      </c>
      <c r="I182" s="45" t="s">
        <v>6754</v>
      </c>
      <c r="J182" s="111">
        <v>45700</v>
      </c>
      <c r="K182" s="112" t="s">
        <v>7296</v>
      </c>
      <c r="L182" s="113">
        <v>45702</v>
      </c>
      <c r="M182" s="45" t="s">
        <v>246</v>
      </c>
    </row>
    <row r="183" spans="1:13">
      <c r="A183" s="110">
        <v>182</v>
      </c>
      <c r="B183" s="45" t="s">
        <v>90</v>
      </c>
      <c r="C183" s="45">
        <v>1</v>
      </c>
      <c r="D183" s="45" t="s">
        <v>110</v>
      </c>
      <c r="E183" s="45">
        <v>2</v>
      </c>
      <c r="F183" s="45" t="s">
        <v>7297</v>
      </c>
      <c r="G183" s="110">
        <v>4</v>
      </c>
      <c r="H183" s="45" t="s">
        <v>7298</v>
      </c>
      <c r="I183" s="45" t="s">
        <v>6754</v>
      </c>
      <c r="J183" s="111">
        <v>45700</v>
      </c>
      <c r="K183" s="112" t="s">
        <v>7299</v>
      </c>
      <c r="L183" s="113">
        <v>45702</v>
      </c>
      <c r="M183" s="45" t="s">
        <v>246</v>
      </c>
    </row>
    <row r="184" spans="1:13">
      <c r="A184" s="110">
        <v>183</v>
      </c>
      <c r="B184" s="45" t="s">
        <v>90</v>
      </c>
      <c r="C184" s="45">
        <v>1</v>
      </c>
      <c r="D184" s="45" t="s">
        <v>110</v>
      </c>
      <c r="E184" s="45">
        <v>2</v>
      </c>
      <c r="F184" s="45" t="s">
        <v>7300</v>
      </c>
      <c r="G184" s="110">
        <v>4</v>
      </c>
      <c r="H184" s="45" t="s">
        <v>7301</v>
      </c>
      <c r="I184" s="45" t="s">
        <v>6754</v>
      </c>
      <c r="J184" s="111">
        <v>45700</v>
      </c>
      <c r="K184" s="112" t="s">
        <v>7302</v>
      </c>
      <c r="L184" s="113">
        <v>45702</v>
      </c>
      <c r="M184" s="45" t="s">
        <v>246</v>
      </c>
    </row>
    <row r="185" spans="1:13">
      <c r="A185" s="110">
        <v>184</v>
      </c>
      <c r="B185" s="45" t="s">
        <v>90</v>
      </c>
      <c r="C185" s="45">
        <v>1</v>
      </c>
      <c r="D185" s="45" t="s">
        <v>110</v>
      </c>
      <c r="E185" s="45">
        <v>2</v>
      </c>
      <c r="F185" s="45" t="s">
        <v>7303</v>
      </c>
      <c r="G185" s="110">
        <v>4</v>
      </c>
      <c r="H185" s="45" t="s">
        <v>7304</v>
      </c>
      <c r="I185" s="45" t="s">
        <v>6754</v>
      </c>
      <c r="J185" s="111">
        <v>45700</v>
      </c>
      <c r="K185" s="112" t="s">
        <v>7305</v>
      </c>
      <c r="L185" s="113">
        <v>45702</v>
      </c>
      <c r="M185" s="45" t="s">
        <v>246</v>
      </c>
    </row>
    <row r="186" spans="1:13">
      <c r="A186" s="110">
        <v>185</v>
      </c>
      <c r="B186" s="45" t="s">
        <v>90</v>
      </c>
      <c r="C186" s="45">
        <v>1</v>
      </c>
      <c r="D186" s="45" t="s">
        <v>110</v>
      </c>
      <c r="E186" s="45">
        <v>2</v>
      </c>
      <c r="F186" s="45" t="s">
        <v>7306</v>
      </c>
      <c r="G186" s="110">
        <v>4</v>
      </c>
      <c r="H186" s="45" t="s">
        <v>7307</v>
      </c>
      <c r="I186" s="45" t="s">
        <v>6754</v>
      </c>
      <c r="J186" s="111">
        <v>45700</v>
      </c>
      <c r="K186" s="112" t="s">
        <v>7308</v>
      </c>
      <c r="L186" s="113">
        <v>45702</v>
      </c>
      <c r="M186" s="45" t="s">
        <v>246</v>
      </c>
    </row>
    <row r="187" spans="1:13">
      <c r="A187" s="110">
        <v>186</v>
      </c>
      <c r="B187" s="45" t="s">
        <v>90</v>
      </c>
      <c r="C187" s="45">
        <v>1</v>
      </c>
      <c r="D187" s="45" t="s">
        <v>110</v>
      </c>
      <c r="E187" s="45">
        <v>2</v>
      </c>
      <c r="F187" s="45" t="s">
        <v>7309</v>
      </c>
      <c r="G187" s="110">
        <v>3</v>
      </c>
      <c r="H187" s="45" t="s">
        <v>7310</v>
      </c>
      <c r="I187" s="45" t="s">
        <v>6754</v>
      </c>
      <c r="J187" s="111">
        <v>45700</v>
      </c>
      <c r="K187" s="112" t="s">
        <v>7311</v>
      </c>
      <c r="L187" s="113">
        <v>45702</v>
      </c>
      <c r="M187" s="45" t="s">
        <v>246</v>
      </c>
    </row>
    <row r="188" spans="1:13">
      <c r="A188" s="110">
        <v>187</v>
      </c>
      <c r="B188" s="45" t="s">
        <v>90</v>
      </c>
      <c r="C188" s="45">
        <v>1</v>
      </c>
      <c r="D188" s="45" t="s">
        <v>110</v>
      </c>
      <c r="E188" s="45">
        <v>2</v>
      </c>
      <c r="F188" s="45" t="s">
        <v>7312</v>
      </c>
      <c r="G188" s="110">
        <v>3</v>
      </c>
      <c r="H188" s="45" t="s">
        <v>7313</v>
      </c>
      <c r="I188" s="45" t="s">
        <v>6754</v>
      </c>
      <c r="J188" s="111">
        <v>45700</v>
      </c>
      <c r="K188" s="112" t="s">
        <v>7314</v>
      </c>
      <c r="L188" s="113">
        <v>45702</v>
      </c>
      <c r="M188" s="45" t="s">
        <v>246</v>
      </c>
    </row>
    <row r="189" spans="1:13">
      <c r="A189" s="110">
        <v>188</v>
      </c>
      <c r="B189" s="45" t="s">
        <v>90</v>
      </c>
      <c r="C189" s="45">
        <v>1</v>
      </c>
      <c r="D189" s="45" t="s">
        <v>110</v>
      </c>
      <c r="E189" s="45">
        <v>2</v>
      </c>
      <c r="F189" s="45" t="s">
        <v>7315</v>
      </c>
      <c r="G189" s="110">
        <v>3</v>
      </c>
      <c r="H189" s="45" t="s">
        <v>7316</v>
      </c>
      <c r="I189" s="45" t="s">
        <v>6754</v>
      </c>
      <c r="J189" s="111">
        <v>45700</v>
      </c>
      <c r="K189" s="112" t="s">
        <v>7317</v>
      </c>
      <c r="L189" s="113">
        <v>45702</v>
      </c>
      <c r="M189" s="45" t="s">
        <v>246</v>
      </c>
    </row>
    <row r="190" spans="1:13">
      <c r="A190" s="110">
        <v>189</v>
      </c>
      <c r="B190" s="45" t="s">
        <v>90</v>
      </c>
      <c r="C190" s="45">
        <v>1</v>
      </c>
      <c r="D190" s="45" t="s">
        <v>110</v>
      </c>
      <c r="E190" s="45">
        <v>2</v>
      </c>
      <c r="F190" s="45" t="s">
        <v>7318</v>
      </c>
      <c r="G190" s="110">
        <v>3</v>
      </c>
      <c r="H190" s="45" t="s">
        <v>7319</v>
      </c>
      <c r="I190" s="45" t="s">
        <v>6754</v>
      </c>
      <c r="J190" s="111">
        <v>45700</v>
      </c>
      <c r="K190" s="112" t="s">
        <v>7320</v>
      </c>
      <c r="L190" s="113">
        <v>45702</v>
      </c>
      <c r="M190" s="45" t="s">
        <v>247</v>
      </c>
    </row>
    <row r="191" spans="1:13">
      <c r="A191" s="110">
        <v>190</v>
      </c>
      <c r="B191" s="45" t="s">
        <v>90</v>
      </c>
      <c r="C191" s="45">
        <v>1</v>
      </c>
      <c r="D191" s="45" t="s">
        <v>110</v>
      </c>
      <c r="E191" s="45">
        <v>2</v>
      </c>
      <c r="F191" s="45" t="s">
        <v>7321</v>
      </c>
      <c r="G191" s="110">
        <v>3</v>
      </c>
      <c r="H191" s="45" t="s">
        <v>7322</v>
      </c>
      <c r="I191" s="45" t="s">
        <v>6754</v>
      </c>
      <c r="J191" s="111">
        <v>45700</v>
      </c>
      <c r="K191" s="112" t="s">
        <v>7323</v>
      </c>
      <c r="L191" s="113">
        <v>45702</v>
      </c>
      <c r="M191" s="45" t="s">
        <v>246</v>
      </c>
    </row>
    <row r="192" spans="1:13">
      <c r="A192" s="110">
        <v>191</v>
      </c>
      <c r="B192" s="45" t="s">
        <v>90</v>
      </c>
      <c r="C192" s="45">
        <v>1</v>
      </c>
      <c r="D192" s="45" t="s">
        <v>110</v>
      </c>
      <c r="E192" s="45">
        <v>2</v>
      </c>
      <c r="F192" s="45" t="s">
        <v>7324</v>
      </c>
      <c r="G192" s="110">
        <v>3</v>
      </c>
      <c r="H192" s="45" t="s">
        <v>7325</v>
      </c>
      <c r="I192" s="45" t="s">
        <v>6754</v>
      </c>
      <c r="J192" s="111">
        <v>45700</v>
      </c>
      <c r="K192" s="112" t="s">
        <v>7326</v>
      </c>
      <c r="L192" s="113">
        <v>45702</v>
      </c>
      <c r="M192" s="45" t="s">
        <v>247</v>
      </c>
    </row>
    <row r="193" spans="1:13">
      <c r="A193" s="110">
        <v>192</v>
      </c>
      <c r="B193" s="45" t="s">
        <v>90</v>
      </c>
      <c r="C193" s="45">
        <v>1</v>
      </c>
      <c r="D193" s="45" t="s">
        <v>110</v>
      </c>
      <c r="E193" s="45">
        <v>2</v>
      </c>
      <c r="F193" s="45" t="s">
        <v>7327</v>
      </c>
      <c r="G193" s="110">
        <v>2</v>
      </c>
      <c r="H193" s="45" t="s">
        <v>7328</v>
      </c>
      <c r="I193" s="45" t="s">
        <v>6754</v>
      </c>
      <c r="J193" s="111">
        <v>45700</v>
      </c>
      <c r="K193" s="112" t="s">
        <v>7329</v>
      </c>
      <c r="L193" s="113">
        <v>45702</v>
      </c>
      <c r="M193" s="45" t="s">
        <v>246</v>
      </c>
    </row>
    <row r="194" spans="1:13">
      <c r="A194" s="110">
        <v>193</v>
      </c>
      <c r="B194" s="45" t="s">
        <v>90</v>
      </c>
      <c r="C194" s="45">
        <v>1</v>
      </c>
      <c r="D194" s="45" t="s">
        <v>110</v>
      </c>
      <c r="E194" s="45">
        <v>2</v>
      </c>
      <c r="F194" s="45" t="s">
        <v>7330</v>
      </c>
      <c r="G194" s="110">
        <v>2</v>
      </c>
      <c r="H194" s="45" t="s">
        <v>7331</v>
      </c>
      <c r="I194" s="45" t="s">
        <v>6754</v>
      </c>
      <c r="J194" s="111">
        <v>45700</v>
      </c>
      <c r="K194" s="112" t="s">
        <v>7332</v>
      </c>
      <c r="L194" s="113">
        <v>45702</v>
      </c>
      <c r="M194" s="45" t="s">
        <v>246</v>
      </c>
    </row>
    <row r="195" spans="1:13">
      <c r="A195" s="110">
        <v>194</v>
      </c>
      <c r="B195" s="45" t="s">
        <v>90</v>
      </c>
      <c r="C195" s="45">
        <v>1</v>
      </c>
      <c r="D195" s="45" t="s">
        <v>110</v>
      </c>
      <c r="E195" s="45">
        <v>2</v>
      </c>
      <c r="F195" s="45" t="s">
        <v>7333</v>
      </c>
      <c r="G195" s="110">
        <v>2</v>
      </c>
      <c r="H195" s="45" t="s">
        <v>7334</v>
      </c>
      <c r="I195" s="45" t="s">
        <v>6754</v>
      </c>
      <c r="J195" s="111">
        <v>45700</v>
      </c>
      <c r="K195" s="112" t="s">
        <v>7335</v>
      </c>
      <c r="L195" s="113">
        <v>45702</v>
      </c>
      <c r="M195" s="45" t="s">
        <v>246</v>
      </c>
    </row>
    <row r="196" spans="1:13">
      <c r="A196" s="110">
        <v>195</v>
      </c>
      <c r="B196" s="45" t="s">
        <v>90</v>
      </c>
      <c r="C196" s="45">
        <v>1</v>
      </c>
      <c r="D196" s="45" t="s">
        <v>110</v>
      </c>
      <c r="E196" s="45">
        <v>2</v>
      </c>
      <c r="F196" s="45" t="s">
        <v>7336</v>
      </c>
      <c r="G196" s="110">
        <v>2</v>
      </c>
      <c r="H196" s="45" t="s">
        <v>7337</v>
      </c>
      <c r="I196" s="45" t="s">
        <v>6754</v>
      </c>
      <c r="J196" s="111">
        <v>45700</v>
      </c>
      <c r="K196" s="112" t="s">
        <v>7338</v>
      </c>
      <c r="L196" s="113">
        <v>45702</v>
      </c>
      <c r="M196" s="45" t="s">
        <v>246</v>
      </c>
    </row>
    <row r="197" spans="1:13">
      <c r="A197" s="110">
        <v>196</v>
      </c>
      <c r="B197" s="45" t="s">
        <v>90</v>
      </c>
      <c r="C197" s="45">
        <v>1</v>
      </c>
      <c r="D197" s="45" t="s">
        <v>110</v>
      </c>
      <c r="E197" s="45">
        <v>2</v>
      </c>
      <c r="F197" s="45" t="s">
        <v>7339</v>
      </c>
      <c r="G197" s="110">
        <v>2</v>
      </c>
      <c r="H197" s="45" t="s">
        <v>7340</v>
      </c>
      <c r="I197" s="45" t="s">
        <v>6754</v>
      </c>
      <c r="J197" s="111">
        <v>45700</v>
      </c>
      <c r="K197" s="112" t="s">
        <v>7341</v>
      </c>
      <c r="L197" s="113">
        <v>45702</v>
      </c>
      <c r="M197" s="45" t="s">
        <v>246</v>
      </c>
    </row>
    <row r="198" spans="1:13">
      <c r="A198" s="110">
        <v>197</v>
      </c>
      <c r="B198" s="45" t="s">
        <v>90</v>
      </c>
      <c r="C198" s="45">
        <v>1</v>
      </c>
      <c r="D198" s="45" t="s">
        <v>110</v>
      </c>
      <c r="E198" s="45">
        <v>2</v>
      </c>
      <c r="F198" s="45" t="s">
        <v>7342</v>
      </c>
      <c r="G198" s="110">
        <v>2</v>
      </c>
      <c r="H198" s="45" t="s">
        <v>7343</v>
      </c>
      <c r="I198" s="45" t="s">
        <v>6754</v>
      </c>
      <c r="J198" s="111">
        <v>45700</v>
      </c>
      <c r="K198" s="112" t="s">
        <v>7344</v>
      </c>
      <c r="L198" s="113">
        <v>45702</v>
      </c>
      <c r="M198" s="45" t="s">
        <v>246</v>
      </c>
    </row>
    <row r="199" spans="1:13">
      <c r="A199" s="110">
        <v>198</v>
      </c>
      <c r="B199" s="45" t="s">
        <v>90</v>
      </c>
      <c r="C199" s="45">
        <v>1</v>
      </c>
      <c r="D199" s="45" t="s">
        <v>110</v>
      </c>
      <c r="E199" s="45">
        <v>2</v>
      </c>
      <c r="F199" s="45" t="s">
        <v>7345</v>
      </c>
      <c r="G199" s="110">
        <v>1</v>
      </c>
      <c r="H199" s="45" t="s">
        <v>7346</v>
      </c>
      <c r="I199" s="45" t="s">
        <v>6754</v>
      </c>
      <c r="J199" s="111">
        <v>45700</v>
      </c>
      <c r="K199" s="112" t="s">
        <v>7347</v>
      </c>
      <c r="L199" s="113">
        <v>45702</v>
      </c>
      <c r="M199" s="45" t="s">
        <v>246</v>
      </c>
    </row>
    <row r="200" spans="1:13">
      <c r="A200" s="110">
        <v>199</v>
      </c>
      <c r="B200" s="45" t="s">
        <v>90</v>
      </c>
      <c r="C200" s="45">
        <v>1</v>
      </c>
      <c r="D200" s="45" t="s">
        <v>110</v>
      </c>
      <c r="E200" s="45">
        <v>2</v>
      </c>
      <c r="F200" s="45" t="s">
        <v>7348</v>
      </c>
      <c r="G200" s="110">
        <v>1</v>
      </c>
      <c r="H200" s="45" t="s">
        <v>7349</v>
      </c>
      <c r="I200" s="45" t="s">
        <v>6754</v>
      </c>
      <c r="J200" s="111">
        <v>45700</v>
      </c>
      <c r="K200" s="112" t="s">
        <v>7350</v>
      </c>
      <c r="L200" s="113">
        <v>45702</v>
      </c>
      <c r="M200" s="45" t="s">
        <v>246</v>
      </c>
    </row>
    <row r="201" spans="1:13">
      <c r="A201" s="110">
        <v>200</v>
      </c>
      <c r="B201" s="45" t="s">
        <v>90</v>
      </c>
      <c r="C201" s="45">
        <v>1</v>
      </c>
      <c r="D201" s="45" t="s">
        <v>110</v>
      </c>
      <c r="E201" s="45">
        <v>2</v>
      </c>
      <c r="F201" s="45" t="s">
        <v>7351</v>
      </c>
      <c r="G201" s="110">
        <v>1</v>
      </c>
      <c r="H201" s="45" t="s">
        <v>7352</v>
      </c>
      <c r="I201" s="45" t="s">
        <v>6754</v>
      </c>
      <c r="J201" s="111">
        <v>45700</v>
      </c>
      <c r="K201" s="112" t="s">
        <v>7353</v>
      </c>
      <c r="L201" s="113">
        <v>45702</v>
      </c>
      <c r="M201" s="45" t="s">
        <v>246</v>
      </c>
    </row>
    <row r="202" spans="1:13">
      <c r="A202" s="110">
        <v>201</v>
      </c>
      <c r="B202" s="45" t="s">
        <v>90</v>
      </c>
      <c r="C202" s="45">
        <v>1</v>
      </c>
      <c r="D202" s="45" t="s">
        <v>110</v>
      </c>
      <c r="E202" s="45">
        <v>2</v>
      </c>
      <c r="F202" s="45" t="s">
        <v>7354</v>
      </c>
      <c r="G202" s="110">
        <v>1</v>
      </c>
      <c r="H202" s="45" t="s">
        <v>7355</v>
      </c>
      <c r="I202" s="45" t="s">
        <v>6754</v>
      </c>
      <c r="J202" s="111">
        <v>45700</v>
      </c>
      <c r="K202" s="112" t="s">
        <v>7356</v>
      </c>
      <c r="L202" s="113">
        <v>45702</v>
      </c>
      <c r="M202" s="45" t="s">
        <v>246</v>
      </c>
    </row>
    <row r="203" spans="1:13">
      <c r="A203" s="110">
        <v>202</v>
      </c>
      <c r="B203" s="45" t="s">
        <v>90</v>
      </c>
      <c r="C203" s="45">
        <v>1</v>
      </c>
      <c r="D203" s="45" t="s">
        <v>110</v>
      </c>
      <c r="E203" s="45">
        <v>2</v>
      </c>
      <c r="F203" s="45" t="s">
        <v>7357</v>
      </c>
      <c r="G203" s="110">
        <v>1</v>
      </c>
      <c r="H203" s="45" t="s">
        <v>7358</v>
      </c>
      <c r="I203" s="45" t="s">
        <v>6754</v>
      </c>
      <c r="J203" s="111">
        <v>45700</v>
      </c>
      <c r="K203" s="112" t="s">
        <v>7359</v>
      </c>
      <c r="L203" s="113">
        <v>45702</v>
      </c>
      <c r="M203" s="45" t="s">
        <v>246</v>
      </c>
    </row>
    <row r="204" spans="1:13">
      <c r="A204" s="110">
        <v>203</v>
      </c>
      <c r="B204" s="45" t="s">
        <v>90</v>
      </c>
      <c r="C204" s="45">
        <v>1</v>
      </c>
      <c r="D204" s="45" t="s">
        <v>110</v>
      </c>
      <c r="E204" s="45">
        <v>2</v>
      </c>
      <c r="F204" s="45" t="s">
        <v>7360</v>
      </c>
      <c r="G204" s="110">
        <v>1</v>
      </c>
      <c r="H204" s="45" t="s">
        <v>7361</v>
      </c>
      <c r="I204" s="45" t="s">
        <v>6754</v>
      </c>
      <c r="J204" s="111">
        <v>45700</v>
      </c>
      <c r="K204" s="112" t="s">
        <v>7362</v>
      </c>
      <c r="L204" s="113">
        <v>45702</v>
      </c>
      <c r="M204" s="45" t="s">
        <v>246</v>
      </c>
    </row>
    <row r="205" spans="1:13">
      <c r="A205" s="110">
        <v>204</v>
      </c>
      <c r="B205" s="45" t="s">
        <v>90</v>
      </c>
      <c r="C205" s="45">
        <v>1</v>
      </c>
      <c r="D205" s="45" t="s">
        <v>111</v>
      </c>
      <c r="E205" s="45">
        <v>3</v>
      </c>
      <c r="F205" s="45" t="s">
        <v>7363</v>
      </c>
      <c r="G205" s="110">
        <v>5</v>
      </c>
      <c r="H205" s="45" t="s">
        <v>7364</v>
      </c>
      <c r="I205" s="45" t="s">
        <v>6754</v>
      </c>
      <c r="J205" s="111">
        <v>45700</v>
      </c>
      <c r="K205" s="112" t="s">
        <v>7365</v>
      </c>
      <c r="L205" s="113">
        <v>45702</v>
      </c>
      <c r="M205" s="45" t="s">
        <v>246</v>
      </c>
    </row>
    <row r="206" spans="1:13">
      <c r="A206" s="110">
        <v>205</v>
      </c>
      <c r="B206" s="45" t="s">
        <v>90</v>
      </c>
      <c r="C206" s="45">
        <v>1</v>
      </c>
      <c r="D206" s="45" t="s">
        <v>111</v>
      </c>
      <c r="E206" s="45">
        <v>3</v>
      </c>
      <c r="F206" s="45" t="s">
        <v>7366</v>
      </c>
      <c r="G206" s="110">
        <v>5</v>
      </c>
      <c r="H206" s="45" t="s">
        <v>7367</v>
      </c>
      <c r="I206" s="45" t="s">
        <v>6754</v>
      </c>
      <c r="J206" s="111">
        <v>45700</v>
      </c>
      <c r="K206" s="112" t="s">
        <v>7368</v>
      </c>
      <c r="L206" s="113">
        <v>45702</v>
      </c>
      <c r="M206" s="45" t="s">
        <v>247</v>
      </c>
    </row>
    <row r="207" spans="1:13">
      <c r="A207" s="110">
        <v>206</v>
      </c>
      <c r="B207" s="45" t="s">
        <v>90</v>
      </c>
      <c r="C207" s="45">
        <v>1</v>
      </c>
      <c r="D207" s="45" t="s">
        <v>111</v>
      </c>
      <c r="E207" s="45">
        <v>3</v>
      </c>
      <c r="F207" s="45" t="s">
        <v>7369</v>
      </c>
      <c r="G207" s="110">
        <v>4</v>
      </c>
      <c r="H207" s="45" t="s">
        <v>7370</v>
      </c>
      <c r="I207" s="45" t="s">
        <v>6754</v>
      </c>
      <c r="J207" s="111">
        <v>45700</v>
      </c>
      <c r="K207" s="112" t="s">
        <v>7371</v>
      </c>
      <c r="L207" s="113">
        <v>45702</v>
      </c>
      <c r="M207" s="45" t="s">
        <v>246</v>
      </c>
    </row>
    <row r="208" spans="1:13">
      <c r="A208" s="110">
        <v>207</v>
      </c>
      <c r="B208" s="45" t="s">
        <v>90</v>
      </c>
      <c r="C208" s="45">
        <v>1</v>
      </c>
      <c r="D208" s="45" t="s">
        <v>111</v>
      </c>
      <c r="E208" s="45">
        <v>3</v>
      </c>
      <c r="F208" s="45" t="s">
        <v>7372</v>
      </c>
      <c r="G208" s="110">
        <v>3</v>
      </c>
      <c r="H208" s="45" t="s">
        <v>7373</v>
      </c>
      <c r="I208" s="45" t="s">
        <v>6754</v>
      </c>
      <c r="J208" s="111">
        <v>45700</v>
      </c>
      <c r="K208" s="112" t="s">
        <v>7374</v>
      </c>
      <c r="L208" s="113">
        <v>45702</v>
      </c>
      <c r="M208" s="45" t="s">
        <v>246</v>
      </c>
    </row>
    <row r="209" spans="1:13">
      <c r="A209" s="110">
        <v>208</v>
      </c>
      <c r="B209" s="45" t="s">
        <v>90</v>
      </c>
      <c r="C209" s="45">
        <v>1</v>
      </c>
      <c r="D209" s="45" t="s">
        <v>111</v>
      </c>
      <c r="E209" s="45">
        <v>3</v>
      </c>
      <c r="F209" s="45" t="s">
        <v>7375</v>
      </c>
      <c r="G209" s="110">
        <v>2</v>
      </c>
      <c r="H209" s="45" t="s">
        <v>7376</v>
      </c>
      <c r="I209" s="45" t="s">
        <v>6754</v>
      </c>
      <c r="J209" s="111">
        <v>45700</v>
      </c>
      <c r="K209" s="112" t="s">
        <v>7377</v>
      </c>
      <c r="L209" s="113">
        <v>45702</v>
      </c>
      <c r="M209" s="45" t="s">
        <v>246</v>
      </c>
    </row>
    <row r="210" spans="1:13">
      <c r="A210" s="110">
        <v>209</v>
      </c>
      <c r="B210" s="45" t="s">
        <v>90</v>
      </c>
      <c r="C210" s="45">
        <v>1</v>
      </c>
      <c r="D210" s="45" t="s">
        <v>7378</v>
      </c>
      <c r="E210" s="45">
        <v>4</v>
      </c>
      <c r="F210" s="45" t="s">
        <v>7379</v>
      </c>
      <c r="G210" s="110">
        <v>2</v>
      </c>
      <c r="H210" s="45" t="s">
        <v>7380</v>
      </c>
      <c r="I210" s="45" t="s">
        <v>6754</v>
      </c>
      <c r="J210" s="111">
        <v>45700</v>
      </c>
      <c r="K210" s="112" t="s">
        <v>7381</v>
      </c>
      <c r="L210" s="113">
        <v>45702</v>
      </c>
      <c r="M210" s="45" t="s">
        <v>246</v>
      </c>
    </row>
    <row r="211" spans="1:13">
      <c r="A211" s="110">
        <v>210</v>
      </c>
      <c r="B211" s="45" t="s">
        <v>90</v>
      </c>
      <c r="C211" s="45">
        <v>1</v>
      </c>
      <c r="D211" s="45" t="s">
        <v>7378</v>
      </c>
      <c r="E211" s="45">
        <v>4</v>
      </c>
      <c r="F211" s="45" t="s">
        <v>7382</v>
      </c>
      <c r="G211" s="110">
        <v>2</v>
      </c>
      <c r="H211" s="45" t="s">
        <v>7383</v>
      </c>
      <c r="I211" s="45" t="s">
        <v>6754</v>
      </c>
      <c r="J211" s="111">
        <v>45700</v>
      </c>
      <c r="K211" s="112" t="s">
        <v>7384</v>
      </c>
      <c r="L211" s="113">
        <v>45702</v>
      </c>
      <c r="M211" s="45" t="s">
        <v>247</v>
      </c>
    </row>
    <row r="212" spans="1:13">
      <c r="A212" s="110">
        <v>211</v>
      </c>
      <c r="B212" s="45" t="s">
        <v>90</v>
      </c>
      <c r="C212" s="45">
        <v>1</v>
      </c>
      <c r="D212" s="45" t="s">
        <v>7378</v>
      </c>
      <c r="E212" s="45">
        <v>4</v>
      </c>
      <c r="F212" s="45" t="s">
        <v>7385</v>
      </c>
      <c r="G212" s="110">
        <v>3</v>
      </c>
      <c r="H212" s="45" t="s">
        <v>7386</v>
      </c>
      <c r="I212" s="45" t="s">
        <v>6754</v>
      </c>
      <c r="J212" s="111">
        <v>45700</v>
      </c>
      <c r="K212" s="116" t="s">
        <v>7387</v>
      </c>
      <c r="L212" s="113">
        <v>45702</v>
      </c>
      <c r="M212" s="45" t="s">
        <v>247</v>
      </c>
    </row>
    <row r="213" spans="1:13">
      <c r="A213" s="45">
        <v>212</v>
      </c>
      <c r="B213" s="45" t="s">
        <v>90</v>
      </c>
      <c r="C213" s="45">
        <v>1</v>
      </c>
      <c r="D213" s="45" t="s">
        <v>122</v>
      </c>
      <c r="E213" s="45">
        <v>11</v>
      </c>
      <c r="F213" s="45" t="s">
        <v>7388</v>
      </c>
      <c r="G213" s="110">
        <v>2</v>
      </c>
      <c r="H213" s="45" t="s">
        <v>7389</v>
      </c>
      <c r="I213" s="45" t="s">
        <v>6754</v>
      </c>
      <c r="J213" s="111">
        <v>45702</v>
      </c>
      <c r="K213" s="110" t="str">
        <f>CONCATENATE("https://Estud2024.sawtoothsoftware.com/cgi-bin/ciwweb.pl?studyname=Estud2024&amp;ID=",A213)</f>
        <v>https://Estud2024.sawtoothsoftware.com/cgi-bin/ciwweb.pl?studyname=Estud2024&amp;ID=212</v>
      </c>
      <c r="L213" s="113">
        <v>45705</v>
      </c>
      <c r="M213" s="45" t="s">
        <v>246</v>
      </c>
    </row>
    <row r="214" spans="1:13">
      <c r="A214" s="45">
        <v>213</v>
      </c>
      <c r="B214" s="45" t="s">
        <v>90</v>
      </c>
      <c r="C214" s="45">
        <v>1</v>
      </c>
      <c r="D214" s="45" t="s">
        <v>122</v>
      </c>
      <c r="E214" s="45">
        <v>11</v>
      </c>
      <c r="F214" s="45" t="s">
        <v>7390</v>
      </c>
      <c r="G214" s="110">
        <v>2</v>
      </c>
      <c r="H214" s="45" t="s">
        <v>7391</v>
      </c>
      <c r="I214" s="45" t="s">
        <v>6754</v>
      </c>
      <c r="J214" s="111">
        <v>45702</v>
      </c>
      <c r="K214" s="110" t="str">
        <f t="shared" ref="K214:K277" si="0">CONCATENATE("https://Estud2024.sawtoothsoftware.com/cgi-bin/ciwweb.pl?studyname=Estud2024&amp;ID=",A214)</f>
        <v>https://Estud2024.sawtoothsoftware.com/cgi-bin/ciwweb.pl?studyname=Estud2024&amp;ID=213</v>
      </c>
      <c r="L214" s="113">
        <v>45705</v>
      </c>
      <c r="M214" s="45" t="s">
        <v>246</v>
      </c>
    </row>
    <row r="215" spans="1:13">
      <c r="A215" s="45">
        <v>214</v>
      </c>
      <c r="B215" s="45" t="s">
        <v>90</v>
      </c>
      <c r="C215" s="45">
        <v>1</v>
      </c>
      <c r="D215" s="45" t="s">
        <v>122</v>
      </c>
      <c r="E215" s="45">
        <v>11</v>
      </c>
      <c r="F215" s="45" t="s">
        <v>7392</v>
      </c>
      <c r="G215" s="110">
        <v>3</v>
      </c>
      <c r="H215" s="45" t="s">
        <v>7393</v>
      </c>
      <c r="I215" s="45" t="s">
        <v>6754</v>
      </c>
      <c r="J215" s="111">
        <v>45702</v>
      </c>
      <c r="K215" s="110" t="str">
        <f t="shared" si="0"/>
        <v>https://Estud2024.sawtoothsoftware.com/cgi-bin/ciwweb.pl?studyname=Estud2024&amp;ID=214</v>
      </c>
      <c r="L215" s="113">
        <v>45705</v>
      </c>
      <c r="M215" s="45" t="s">
        <v>246</v>
      </c>
    </row>
    <row r="216" spans="1:13">
      <c r="A216" s="45">
        <v>215</v>
      </c>
      <c r="B216" s="45" t="s">
        <v>90</v>
      </c>
      <c r="C216" s="45">
        <v>1</v>
      </c>
      <c r="D216" s="45" t="s">
        <v>122</v>
      </c>
      <c r="E216" s="45">
        <v>11</v>
      </c>
      <c r="F216" s="45" t="s">
        <v>7394</v>
      </c>
      <c r="G216" s="110">
        <v>3</v>
      </c>
      <c r="H216" s="45" t="s">
        <v>7395</v>
      </c>
      <c r="I216" s="45" t="s">
        <v>6754</v>
      </c>
      <c r="J216" s="111">
        <v>45702</v>
      </c>
      <c r="K216" s="110" t="str">
        <f t="shared" si="0"/>
        <v>https://Estud2024.sawtoothsoftware.com/cgi-bin/ciwweb.pl?studyname=Estud2024&amp;ID=215</v>
      </c>
      <c r="L216" s="113">
        <v>45705</v>
      </c>
      <c r="M216" s="45" t="s">
        <v>246</v>
      </c>
    </row>
    <row r="217" spans="1:13">
      <c r="A217" s="45">
        <v>216</v>
      </c>
      <c r="B217" s="45" t="s">
        <v>90</v>
      </c>
      <c r="C217" s="45">
        <v>1</v>
      </c>
      <c r="D217" s="45" t="s">
        <v>122</v>
      </c>
      <c r="E217" s="45">
        <v>11</v>
      </c>
      <c r="F217" s="45" t="s">
        <v>7396</v>
      </c>
      <c r="G217" s="110">
        <v>3</v>
      </c>
      <c r="H217" s="45" t="s">
        <v>7397</v>
      </c>
      <c r="I217" s="45" t="s">
        <v>6754</v>
      </c>
      <c r="J217" s="111">
        <v>45702</v>
      </c>
      <c r="K217" s="110" t="str">
        <f t="shared" si="0"/>
        <v>https://Estud2024.sawtoothsoftware.com/cgi-bin/ciwweb.pl?studyname=Estud2024&amp;ID=216</v>
      </c>
      <c r="L217" s="113">
        <v>45705</v>
      </c>
      <c r="M217" s="45" t="s">
        <v>246</v>
      </c>
    </row>
    <row r="218" spans="1:13">
      <c r="A218" s="45">
        <v>217</v>
      </c>
      <c r="B218" s="45" t="s">
        <v>90</v>
      </c>
      <c r="C218" s="45">
        <v>1</v>
      </c>
      <c r="D218" s="45" t="s">
        <v>122</v>
      </c>
      <c r="E218" s="45">
        <v>11</v>
      </c>
      <c r="F218" s="45" t="s">
        <v>7398</v>
      </c>
      <c r="G218" s="110">
        <v>5</v>
      </c>
      <c r="H218" s="45" t="s">
        <v>7399</v>
      </c>
      <c r="I218" s="45" t="s">
        <v>6754</v>
      </c>
      <c r="J218" s="111">
        <v>45702</v>
      </c>
      <c r="K218" s="110" t="str">
        <f t="shared" si="0"/>
        <v>https://Estud2024.sawtoothsoftware.com/cgi-bin/ciwweb.pl?studyname=Estud2024&amp;ID=217</v>
      </c>
      <c r="L218" s="113">
        <v>45705</v>
      </c>
      <c r="M218" s="45" t="s">
        <v>246</v>
      </c>
    </row>
    <row r="219" spans="1:13">
      <c r="A219" s="45">
        <v>218</v>
      </c>
      <c r="B219" s="45" t="s">
        <v>90</v>
      </c>
      <c r="C219" s="45">
        <v>1</v>
      </c>
      <c r="D219" s="45" t="s">
        <v>122</v>
      </c>
      <c r="E219" s="45">
        <v>11</v>
      </c>
      <c r="F219" s="45" t="s">
        <v>7400</v>
      </c>
      <c r="G219" s="110">
        <v>5</v>
      </c>
      <c r="H219" s="45" t="s">
        <v>7401</v>
      </c>
      <c r="I219" s="45" t="s">
        <v>6754</v>
      </c>
      <c r="J219" s="111">
        <v>45702</v>
      </c>
      <c r="K219" s="110" t="str">
        <f t="shared" si="0"/>
        <v>https://Estud2024.sawtoothsoftware.com/cgi-bin/ciwweb.pl?studyname=Estud2024&amp;ID=218</v>
      </c>
      <c r="L219" s="113">
        <v>45705</v>
      </c>
      <c r="M219" s="45" t="s">
        <v>246</v>
      </c>
    </row>
    <row r="220" spans="1:13">
      <c r="A220" s="45">
        <v>219</v>
      </c>
      <c r="B220" s="45" t="s">
        <v>90</v>
      </c>
      <c r="C220" s="45">
        <v>1</v>
      </c>
      <c r="D220" s="45" t="s">
        <v>122</v>
      </c>
      <c r="E220" s="45">
        <v>11</v>
      </c>
      <c r="F220" s="45" t="s">
        <v>7402</v>
      </c>
      <c r="G220" s="110">
        <v>5</v>
      </c>
      <c r="H220" s="45" t="s">
        <v>7403</v>
      </c>
      <c r="I220" s="45" t="s">
        <v>6754</v>
      </c>
      <c r="J220" s="111">
        <v>45702</v>
      </c>
      <c r="K220" s="110" t="str">
        <f t="shared" si="0"/>
        <v>https://Estud2024.sawtoothsoftware.com/cgi-bin/ciwweb.pl?studyname=Estud2024&amp;ID=219</v>
      </c>
      <c r="L220" s="113">
        <v>45705</v>
      </c>
      <c r="M220" s="45" t="s">
        <v>246</v>
      </c>
    </row>
    <row r="221" spans="1:13">
      <c r="A221" s="45">
        <v>220</v>
      </c>
      <c r="B221" s="45" t="s">
        <v>90</v>
      </c>
      <c r="C221" s="45">
        <v>1</v>
      </c>
      <c r="D221" s="45" t="s">
        <v>114</v>
      </c>
      <c r="E221" s="45">
        <v>5</v>
      </c>
      <c r="F221" s="45" t="s">
        <v>7404</v>
      </c>
      <c r="G221" s="110">
        <v>2</v>
      </c>
      <c r="H221" s="45" t="s">
        <v>7405</v>
      </c>
      <c r="I221" s="45" t="s">
        <v>6754</v>
      </c>
      <c r="J221" s="111">
        <v>45702</v>
      </c>
      <c r="K221" s="110" t="str">
        <f t="shared" si="0"/>
        <v>https://Estud2024.sawtoothsoftware.com/cgi-bin/ciwweb.pl?studyname=Estud2024&amp;ID=220</v>
      </c>
      <c r="L221" s="113">
        <v>45705</v>
      </c>
      <c r="M221" s="45" t="s">
        <v>246</v>
      </c>
    </row>
    <row r="222" spans="1:13">
      <c r="A222" s="45">
        <v>221</v>
      </c>
      <c r="B222" s="45" t="s">
        <v>90</v>
      </c>
      <c r="C222" s="45">
        <v>1</v>
      </c>
      <c r="D222" s="45" t="s">
        <v>114</v>
      </c>
      <c r="E222" s="45">
        <v>5</v>
      </c>
      <c r="F222" s="45" t="s">
        <v>7406</v>
      </c>
      <c r="G222" s="110">
        <v>2</v>
      </c>
      <c r="H222" s="45" t="s">
        <v>7407</v>
      </c>
      <c r="I222" s="45" t="s">
        <v>6754</v>
      </c>
      <c r="J222" s="111">
        <v>45702</v>
      </c>
      <c r="K222" s="110" t="str">
        <f t="shared" si="0"/>
        <v>https://Estud2024.sawtoothsoftware.com/cgi-bin/ciwweb.pl?studyname=Estud2024&amp;ID=221</v>
      </c>
      <c r="L222" s="113">
        <v>45705</v>
      </c>
      <c r="M222" s="45" t="s">
        <v>246</v>
      </c>
    </row>
    <row r="223" spans="1:13">
      <c r="A223" s="45">
        <v>222</v>
      </c>
      <c r="B223" s="45" t="s">
        <v>90</v>
      </c>
      <c r="C223" s="45">
        <v>1</v>
      </c>
      <c r="D223" s="45" t="s">
        <v>114</v>
      </c>
      <c r="E223" s="45">
        <v>5</v>
      </c>
      <c r="F223" s="45" t="s">
        <v>7408</v>
      </c>
      <c r="G223" s="110">
        <v>2</v>
      </c>
      <c r="H223" s="45" t="s">
        <v>7409</v>
      </c>
      <c r="I223" s="45" t="s">
        <v>6754</v>
      </c>
      <c r="J223" s="111">
        <v>45702</v>
      </c>
      <c r="K223" s="110" t="str">
        <f t="shared" si="0"/>
        <v>https://Estud2024.sawtoothsoftware.com/cgi-bin/ciwweb.pl?studyname=Estud2024&amp;ID=222</v>
      </c>
      <c r="L223" s="113">
        <v>45705</v>
      </c>
      <c r="M223" s="45" t="s">
        <v>246</v>
      </c>
    </row>
    <row r="224" spans="1:13">
      <c r="A224" s="45">
        <v>223</v>
      </c>
      <c r="B224" s="45" t="s">
        <v>90</v>
      </c>
      <c r="C224" s="45">
        <v>1</v>
      </c>
      <c r="D224" s="45" t="s">
        <v>114</v>
      </c>
      <c r="E224" s="45">
        <v>5</v>
      </c>
      <c r="F224" s="45" t="s">
        <v>7410</v>
      </c>
      <c r="G224" s="110">
        <v>3</v>
      </c>
      <c r="H224" s="45" t="s">
        <v>7411</v>
      </c>
      <c r="I224" s="45" t="s">
        <v>6754</v>
      </c>
      <c r="J224" s="111">
        <v>45702</v>
      </c>
      <c r="K224" s="110" t="str">
        <f t="shared" si="0"/>
        <v>https://Estud2024.sawtoothsoftware.com/cgi-bin/ciwweb.pl?studyname=Estud2024&amp;ID=223</v>
      </c>
      <c r="L224" s="113">
        <v>45705</v>
      </c>
      <c r="M224" s="45" t="s">
        <v>246</v>
      </c>
    </row>
    <row r="225" spans="1:13">
      <c r="A225" s="45">
        <v>224</v>
      </c>
      <c r="B225" s="45" t="s">
        <v>90</v>
      </c>
      <c r="C225" s="45">
        <v>1</v>
      </c>
      <c r="D225" s="45" t="s">
        <v>114</v>
      </c>
      <c r="E225" s="45">
        <v>5</v>
      </c>
      <c r="F225" s="45" t="s">
        <v>7412</v>
      </c>
      <c r="G225" s="110">
        <v>3</v>
      </c>
      <c r="H225" s="45" t="s">
        <v>7413</v>
      </c>
      <c r="I225" s="45" t="s">
        <v>6754</v>
      </c>
      <c r="J225" s="111">
        <v>45702</v>
      </c>
      <c r="K225" s="110" t="str">
        <f t="shared" si="0"/>
        <v>https://Estud2024.sawtoothsoftware.com/cgi-bin/ciwweb.pl?studyname=Estud2024&amp;ID=224</v>
      </c>
      <c r="L225" s="113">
        <v>45705</v>
      </c>
      <c r="M225" s="45" t="s">
        <v>246</v>
      </c>
    </row>
    <row r="226" spans="1:13">
      <c r="A226" s="45">
        <v>225</v>
      </c>
      <c r="B226" s="45" t="s">
        <v>90</v>
      </c>
      <c r="C226" s="45">
        <v>1</v>
      </c>
      <c r="D226" s="45" t="s">
        <v>114</v>
      </c>
      <c r="E226" s="45">
        <v>5</v>
      </c>
      <c r="F226" s="45" t="s">
        <v>7414</v>
      </c>
      <c r="G226" s="110">
        <v>4</v>
      </c>
      <c r="H226" s="45" t="s">
        <v>7415</v>
      </c>
      <c r="I226" s="45" t="s">
        <v>6754</v>
      </c>
      <c r="J226" s="111">
        <v>45702</v>
      </c>
      <c r="K226" s="110" t="str">
        <f t="shared" si="0"/>
        <v>https://Estud2024.sawtoothsoftware.com/cgi-bin/ciwweb.pl?studyname=Estud2024&amp;ID=225</v>
      </c>
      <c r="L226" s="113">
        <v>45705</v>
      </c>
      <c r="M226" s="45" t="s">
        <v>246</v>
      </c>
    </row>
    <row r="227" spans="1:13">
      <c r="A227" s="45">
        <v>226</v>
      </c>
      <c r="B227" s="45" t="s">
        <v>90</v>
      </c>
      <c r="C227" s="45">
        <v>1</v>
      </c>
      <c r="D227" s="45" t="s">
        <v>114</v>
      </c>
      <c r="E227" s="45">
        <v>5</v>
      </c>
      <c r="F227" s="45" t="s">
        <v>7416</v>
      </c>
      <c r="G227" s="110">
        <v>4</v>
      </c>
      <c r="H227" s="45" t="s">
        <v>7417</v>
      </c>
      <c r="I227" s="45" t="s">
        <v>6754</v>
      </c>
      <c r="J227" s="111">
        <v>45702</v>
      </c>
      <c r="K227" s="110" t="str">
        <f t="shared" si="0"/>
        <v>https://Estud2024.sawtoothsoftware.com/cgi-bin/ciwweb.pl?studyname=Estud2024&amp;ID=226</v>
      </c>
      <c r="L227" s="113">
        <v>45705</v>
      </c>
      <c r="M227" s="45" t="s">
        <v>246</v>
      </c>
    </row>
    <row r="228" spans="1:13">
      <c r="A228" s="45">
        <v>227</v>
      </c>
      <c r="B228" s="45" t="s">
        <v>90</v>
      </c>
      <c r="C228" s="45">
        <v>1</v>
      </c>
      <c r="D228" s="45" t="s">
        <v>114</v>
      </c>
      <c r="E228" s="45">
        <v>5</v>
      </c>
      <c r="F228" s="45" t="s">
        <v>7418</v>
      </c>
      <c r="G228" s="110">
        <v>5</v>
      </c>
      <c r="H228" s="45" t="s">
        <v>7419</v>
      </c>
      <c r="I228" s="45" t="s">
        <v>6754</v>
      </c>
      <c r="J228" s="111">
        <v>45702</v>
      </c>
      <c r="K228" s="110" t="str">
        <f t="shared" si="0"/>
        <v>https://Estud2024.sawtoothsoftware.com/cgi-bin/ciwweb.pl?studyname=Estud2024&amp;ID=227</v>
      </c>
      <c r="L228" s="113">
        <v>45705</v>
      </c>
      <c r="M228" s="45" t="s">
        <v>246</v>
      </c>
    </row>
    <row r="229" spans="1:13">
      <c r="A229" s="45">
        <v>228</v>
      </c>
      <c r="B229" s="45" t="s">
        <v>90</v>
      </c>
      <c r="C229" s="45">
        <v>1</v>
      </c>
      <c r="D229" s="45" t="s">
        <v>114</v>
      </c>
      <c r="E229" s="45">
        <v>5</v>
      </c>
      <c r="F229" s="45" t="s">
        <v>7420</v>
      </c>
      <c r="G229" s="110">
        <v>5</v>
      </c>
      <c r="H229" s="45" t="s">
        <v>7421</v>
      </c>
      <c r="I229" s="45" t="s">
        <v>6754</v>
      </c>
      <c r="J229" s="111">
        <v>45702</v>
      </c>
      <c r="K229" s="110" t="str">
        <f t="shared" si="0"/>
        <v>https://Estud2024.sawtoothsoftware.com/cgi-bin/ciwweb.pl?studyname=Estud2024&amp;ID=228</v>
      </c>
      <c r="L229" s="113">
        <v>45705</v>
      </c>
      <c r="M229" s="45" t="s">
        <v>246</v>
      </c>
    </row>
    <row r="230" spans="1:13">
      <c r="A230" s="45">
        <v>229</v>
      </c>
      <c r="B230" s="45" t="s">
        <v>90</v>
      </c>
      <c r="C230" s="45">
        <v>1</v>
      </c>
      <c r="D230" s="45" t="s">
        <v>114</v>
      </c>
      <c r="E230" s="45">
        <v>5</v>
      </c>
      <c r="F230" s="45" t="s">
        <v>7422</v>
      </c>
      <c r="G230" s="110">
        <v>5</v>
      </c>
      <c r="H230" s="45" t="s">
        <v>7423</v>
      </c>
      <c r="I230" s="45" t="s">
        <v>6754</v>
      </c>
      <c r="J230" s="111">
        <v>45702</v>
      </c>
      <c r="K230" s="110" t="str">
        <f t="shared" si="0"/>
        <v>https://Estud2024.sawtoothsoftware.com/cgi-bin/ciwweb.pl?studyname=Estud2024&amp;ID=229</v>
      </c>
      <c r="L230" s="113">
        <v>45705</v>
      </c>
      <c r="M230" s="45" t="s">
        <v>247</v>
      </c>
    </row>
    <row r="231" spans="1:13">
      <c r="A231" s="45">
        <v>230</v>
      </c>
      <c r="B231" s="45" t="s">
        <v>90</v>
      </c>
      <c r="C231" s="45">
        <v>1</v>
      </c>
      <c r="D231" s="45" t="s">
        <v>114</v>
      </c>
      <c r="E231" s="45">
        <v>5</v>
      </c>
      <c r="F231" s="45" t="s">
        <v>7424</v>
      </c>
      <c r="G231" s="110">
        <v>6</v>
      </c>
      <c r="H231" s="45" t="s">
        <v>7425</v>
      </c>
      <c r="I231" s="45" t="s">
        <v>6754</v>
      </c>
      <c r="J231" s="111">
        <v>45702</v>
      </c>
      <c r="K231" s="110" t="str">
        <f t="shared" si="0"/>
        <v>https://Estud2024.sawtoothsoftware.com/cgi-bin/ciwweb.pl?studyname=Estud2024&amp;ID=230</v>
      </c>
      <c r="L231" s="113">
        <v>45705</v>
      </c>
      <c r="M231" s="45" t="s">
        <v>246</v>
      </c>
    </row>
    <row r="232" spans="1:13">
      <c r="A232" s="45">
        <v>231</v>
      </c>
      <c r="B232" s="45" t="s">
        <v>90</v>
      </c>
      <c r="C232" s="45">
        <v>1</v>
      </c>
      <c r="D232" s="45" t="s">
        <v>114</v>
      </c>
      <c r="E232" s="45">
        <v>5</v>
      </c>
      <c r="F232" s="45" t="s">
        <v>7426</v>
      </c>
      <c r="G232" s="110">
        <v>6</v>
      </c>
      <c r="H232" s="45" t="s">
        <v>7427</v>
      </c>
      <c r="I232" s="45" t="s">
        <v>6754</v>
      </c>
      <c r="J232" s="111">
        <v>45702</v>
      </c>
      <c r="K232" s="110" t="str">
        <f t="shared" si="0"/>
        <v>https://Estud2024.sawtoothsoftware.com/cgi-bin/ciwweb.pl?studyname=Estud2024&amp;ID=231</v>
      </c>
      <c r="L232" s="113">
        <v>45705</v>
      </c>
      <c r="M232" s="45" t="s">
        <v>247</v>
      </c>
    </row>
    <row r="233" spans="1:13">
      <c r="A233" s="45">
        <v>232</v>
      </c>
      <c r="B233" s="45" t="s">
        <v>90</v>
      </c>
      <c r="C233" s="45">
        <v>1</v>
      </c>
      <c r="D233" s="45" t="s">
        <v>116</v>
      </c>
      <c r="E233" s="45">
        <v>17</v>
      </c>
      <c r="F233" s="45" t="s">
        <v>7428</v>
      </c>
      <c r="G233" s="110">
        <v>2</v>
      </c>
      <c r="H233" s="45" t="s">
        <v>7429</v>
      </c>
      <c r="I233" s="45" t="s">
        <v>6754</v>
      </c>
      <c r="J233" s="111">
        <v>45702</v>
      </c>
      <c r="K233" s="110" t="str">
        <f t="shared" si="0"/>
        <v>https://Estud2024.sawtoothsoftware.com/cgi-bin/ciwweb.pl?studyname=Estud2024&amp;ID=232</v>
      </c>
      <c r="L233" s="113">
        <v>45705</v>
      </c>
      <c r="M233" s="45" t="s">
        <v>246</v>
      </c>
    </row>
    <row r="234" spans="1:13">
      <c r="A234" s="45">
        <v>233</v>
      </c>
      <c r="B234" s="45" t="s">
        <v>90</v>
      </c>
      <c r="C234" s="45">
        <v>1</v>
      </c>
      <c r="D234" s="45" t="s">
        <v>116</v>
      </c>
      <c r="E234" s="45">
        <v>17</v>
      </c>
      <c r="F234" s="45" t="s">
        <v>7430</v>
      </c>
      <c r="G234" s="110">
        <v>2</v>
      </c>
      <c r="H234" s="45" t="s">
        <v>7431</v>
      </c>
      <c r="I234" s="45" t="s">
        <v>6754</v>
      </c>
      <c r="J234" s="111">
        <v>45702</v>
      </c>
      <c r="K234" s="110" t="str">
        <f t="shared" si="0"/>
        <v>https://Estud2024.sawtoothsoftware.com/cgi-bin/ciwweb.pl?studyname=Estud2024&amp;ID=233</v>
      </c>
      <c r="L234" s="113">
        <v>45705</v>
      </c>
      <c r="M234" s="45" t="s">
        <v>246</v>
      </c>
    </row>
    <row r="235" spans="1:13">
      <c r="A235" s="45">
        <v>234</v>
      </c>
      <c r="B235" s="45" t="s">
        <v>90</v>
      </c>
      <c r="C235" s="45">
        <v>1</v>
      </c>
      <c r="D235" s="45" t="s">
        <v>116</v>
      </c>
      <c r="E235" s="45">
        <v>17</v>
      </c>
      <c r="F235" s="45" t="s">
        <v>7432</v>
      </c>
      <c r="G235" s="110">
        <v>3</v>
      </c>
      <c r="H235" s="45" t="s">
        <v>7433</v>
      </c>
      <c r="I235" s="45" t="s">
        <v>6754</v>
      </c>
      <c r="J235" s="111">
        <v>45702</v>
      </c>
      <c r="K235" s="110" t="str">
        <f t="shared" si="0"/>
        <v>https://Estud2024.sawtoothsoftware.com/cgi-bin/ciwweb.pl?studyname=Estud2024&amp;ID=234</v>
      </c>
      <c r="L235" s="113">
        <v>45705</v>
      </c>
      <c r="M235" s="45" t="s">
        <v>247</v>
      </c>
    </row>
    <row r="236" spans="1:13">
      <c r="A236" s="45">
        <v>235</v>
      </c>
      <c r="B236" s="45" t="s">
        <v>90</v>
      </c>
      <c r="C236" s="45">
        <v>1</v>
      </c>
      <c r="D236" s="45" t="s">
        <v>116</v>
      </c>
      <c r="E236" s="45">
        <v>17</v>
      </c>
      <c r="F236" s="45" t="s">
        <v>7434</v>
      </c>
      <c r="G236" s="110">
        <v>3</v>
      </c>
      <c r="H236" s="45" t="s">
        <v>7435</v>
      </c>
      <c r="I236" s="45" t="s">
        <v>6754</v>
      </c>
      <c r="J236" s="111">
        <v>45702</v>
      </c>
      <c r="K236" s="110" t="str">
        <f t="shared" si="0"/>
        <v>https://Estud2024.sawtoothsoftware.com/cgi-bin/ciwweb.pl?studyname=Estud2024&amp;ID=235</v>
      </c>
      <c r="L236" s="113">
        <v>45705</v>
      </c>
      <c r="M236" s="45" t="s">
        <v>246</v>
      </c>
    </row>
    <row r="237" spans="1:13">
      <c r="A237" s="45">
        <v>236</v>
      </c>
      <c r="B237" s="45" t="s">
        <v>90</v>
      </c>
      <c r="C237" s="45">
        <v>1</v>
      </c>
      <c r="D237" s="45" t="s">
        <v>115</v>
      </c>
      <c r="E237" s="45">
        <v>6</v>
      </c>
      <c r="F237" s="45" t="s">
        <v>7436</v>
      </c>
      <c r="G237" s="110">
        <v>2</v>
      </c>
      <c r="H237" s="45" t="s">
        <v>7437</v>
      </c>
      <c r="I237" s="45" t="s">
        <v>6754</v>
      </c>
      <c r="J237" s="111">
        <v>45702</v>
      </c>
      <c r="K237" s="110" t="str">
        <f t="shared" si="0"/>
        <v>https://Estud2024.sawtoothsoftware.com/cgi-bin/ciwweb.pl?studyname=Estud2024&amp;ID=236</v>
      </c>
      <c r="L237" s="113">
        <v>45705</v>
      </c>
      <c r="M237" s="45" t="s">
        <v>246</v>
      </c>
    </row>
    <row r="238" spans="1:13">
      <c r="A238" s="45">
        <v>237</v>
      </c>
      <c r="B238" s="45" t="s">
        <v>90</v>
      </c>
      <c r="C238" s="45">
        <v>1</v>
      </c>
      <c r="D238" s="45" t="s">
        <v>115</v>
      </c>
      <c r="E238" s="45">
        <v>6</v>
      </c>
      <c r="F238" s="45" t="s">
        <v>7438</v>
      </c>
      <c r="G238" s="110">
        <v>2</v>
      </c>
      <c r="H238" s="45" t="s">
        <v>7439</v>
      </c>
      <c r="I238" s="45" t="s">
        <v>6754</v>
      </c>
      <c r="J238" s="111">
        <v>45702</v>
      </c>
      <c r="K238" s="110" t="str">
        <f t="shared" si="0"/>
        <v>https://Estud2024.sawtoothsoftware.com/cgi-bin/ciwweb.pl?studyname=Estud2024&amp;ID=237</v>
      </c>
      <c r="L238" s="113">
        <v>45705</v>
      </c>
      <c r="M238" s="45" t="s">
        <v>246</v>
      </c>
    </row>
    <row r="239" spans="1:13">
      <c r="A239" s="45">
        <v>238</v>
      </c>
      <c r="B239" s="45" t="s">
        <v>90</v>
      </c>
      <c r="C239" s="45">
        <v>1</v>
      </c>
      <c r="D239" s="45" t="s">
        <v>115</v>
      </c>
      <c r="E239" s="45">
        <v>6</v>
      </c>
      <c r="F239" s="45" t="s">
        <v>7440</v>
      </c>
      <c r="G239" s="110">
        <v>2</v>
      </c>
      <c r="H239" s="45" t="s">
        <v>7441</v>
      </c>
      <c r="I239" s="45" t="s">
        <v>6754</v>
      </c>
      <c r="J239" s="111">
        <v>45702</v>
      </c>
      <c r="K239" s="110" t="str">
        <f t="shared" si="0"/>
        <v>https://Estud2024.sawtoothsoftware.com/cgi-bin/ciwweb.pl?studyname=Estud2024&amp;ID=238</v>
      </c>
      <c r="L239" s="113">
        <v>45705</v>
      </c>
      <c r="M239" s="45" t="s">
        <v>246</v>
      </c>
    </row>
    <row r="240" spans="1:13">
      <c r="A240" s="45">
        <v>239</v>
      </c>
      <c r="B240" s="45" t="s">
        <v>90</v>
      </c>
      <c r="C240" s="45">
        <v>1</v>
      </c>
      <c r="D240" s="45" t="s">
        <v>115</v>
      </c>
      <c r="E240" s="45">
        <v>6</v>
      </c>
      <c r="F240" s="45" t="s">
        <v>7442</v>
      </c>
      <c r="G240" s="110">
        <v>2</v>
      </c>
      <c r="H240" s="45" t="s">
        <v>7443</v>
      </c>
      <c r="I240" s="45" t="s">
        <v>6754</v>
      </c>
      <c r="J240" s="111">
        <v>45702</v>
      </c>
      <c r="K240" s="110" t="str">
        <f t="shared" si="0"/>
        <v>https://Estud2024.sawtoothsoftware.com/cgi-bin/ciwweb.pl?studyname=Estud2024&amp;ID=239</v>
      </c>
      <c r="L240" s="113">
        <v>45705</v>
      </c>
      <c r="M240" s="45" t="s">
        <v>246</v>
      </c>
    </row>
    <row r="241" spans="1:13">
      <c r="A241" s="45">
        <v>240</v>
      </c>
      <c r="B241" s="45" t="s">
        <v>90</v>
      </c>
      <c r="C241" s="45">
        <v>1</v>
      </c>
      <c r="D241" s="45" t="s">
        <v>115</v>
      </c>
      <c r="E241" s="45">
        <v>6</v>
      </c>
      <c r="F241" s="45" t="s">
        <v>7444</v>
      </c>
      <c r="G241" s="110">
        <v>3</v>
      </c>
      <c r="H241" s="45" t="s">
        <v>7445</v>
      </c>
      <c r="I241" s="45" t="s">
        <v>6754</v>
      </c>
      <c r="J241" s="111">
        <v>45702</v>
      </c>
      <c r="K241" s="110" t="str">
        <f t="shared" si="0"/>
        <v>https://Estud2024.sawtoothsoftware.com/cgi-bin/ciwweb.pl?studyname=Estud2024&amp;ID=240</v>
      </c>
      <c r="L241" s="113">
        <v>45705</v>
      </c>
      <c r="M241" s="45" t="s">
        <v>246</v>
      </c>
    </row>
    <row r="242" spans="1:13">
      <c r="A242" s="45">
        <v>241</v>
      </c>
      <c r="B242" s="45" t="s">
        <v>90</v>
      </c>
      <c r="C242" s="45">
        <v>1</v>
      </c>
      <c r="D242" s="45" t="s">
        <v>115</v>
      </c>
      <c r="E242" s="45">
        <v>6</v>
      </c>
      <c r="F242" s="45" t="s">
        <v>7446</v>
      </c>
      <c r="G242" s="110">
        <v>3</v>
      </c>
      <c r="H242" s="45" t="s">
        <v>7447</v>
      </c>
      <c r="I242" s="45" t="s">
        <v>6754</v>
      </c>
      <c r="J242" s="111">
        <v>45702</v>
      </c>
      <c r="K242" s="110" t="str">
        <f t="shared" si="0"/>
        <v>https://Estud2024.sawtoothsoftware.com/cgi-bin/ciwweb.pl?studyname=Estud2024&amp;ID=241</v>
      </c>
      <c r="L242" s="113">
        <v>45705</v>
      </c>
      <c r="M242" s="45" t="s">
        <v>246</v>
      </c>
    </row>
    <row r="243" spans="1:13">
      <c r="A243" s="45">
        <v>242</v>
      </c>
      <c r="B243" s="45" t="s">
        <v>90</v>
      </c>
      <c r="C243" s="45">
        <v>1</v>
      </c>
      <c r="D243" s="45" t="s">
        <v>115</v>
      </c>
      <c r="E243" s="45">
        <v>6</v>
      </c>
      <c r="F243" s="45" t="s">
        <v>7448</v>
      </c>
      <c r="G243" s="110">
        <v>3</v>
      </c>
      <c r="H243" s="45" t="s">
        <v>7449</v>
      </c>
      <c r="I243" s="45" t="s">
        <v>6754</v>
      </c>
      <c r="J243" s="111">
        <v>45702</v>
      </c>
      <c r="K243" s="110" t="str">
        <f t="shared" si="0"/>
        <v>https://Estud2024.sawtoothsoftware.com/cgi-bin/ciwweb.pl?studyname=Estud2024&amp;ID=242</v>
      </c>
      <c r="L243" s="113">
        <v>45705</v>
      </c>
      <c r="M243" s="45" t="s">
        <v>246</v>
      </c>
    </row>
    <row r="244" spans="1:13">
      <c r="A244" s="45">
        <v>243</v>
      </c>
      <c r="B244" s="45" t="s">
        <v>90</v>
      </c>
      <c r="C244" s="45">
        <v>1</v>
      </c>
      <c r="D244" s="45" t="s">
        <v>115</v>
      </c>
      <c r="E244" s="45">
        <v>6</v>
      </c>
      <c r="F244" s="45" t="s">
        <v>7450</v>
      </c>
      <c r="G244" s="110">
        <v>3</v>
      </c>
      <c r="H244" s="45" t="s">
        <v>7451</v>
      </c>
      <c r="I244" s="45" t="s">
        <v>6754</v>
      </c>
      <c r="J244" s="111">
        <v>45702</v>
      </c>
      <c r="K244" s="110" t="str">
        <f t="shared" si="0"/>
        <v>https://Estud2024.sawtoothsoftware.com/cgi-bin/ciwweb.pl?studyname=Estud2024&amp;ID=243</v>
      </c>
      <c r="L244" s="113">
        <v>45705</v>
      </c>
      <c r="M244" s="45" t="s">
        <v>246</v>
      </c>
    </row>
    <row r="245" spans="1:13">
      <c r="A245" s="45">
        <v>244</v>
      </c>
      <c r="B245" s="45" t="s">
        <v>90</v>
      </c>
      <c r="C245" s="45">
        <v>1</v>
      </c>
      <c r="D245" s="45" t="s">
        <v>115</v>
      </c>
      <c r="E245" s="45">
        <v>6</v>
      </c>
      <c r="F245" s="45" t="s">
        <v>7452</v>
      </c>
      <c r="G245" s="110">
        <v>4</v>
      </c>
      <c r="H245" s="45" t="s">
        <v>7453</v>
      </c>
      <c r="I245" s="45" t="s">
        <v>6754</v>
      </c>
      <c r="J245" s="111">
        <v>45702</v>
      </c>
      <c r="K245" s="110" t="str">
        <f t="shared" si="0"/>
        <v>https://Estud2024.sawtoothsoftware.com/cgi-bin/ciwweb.pl?studyname=Estud2024&amp;ID=244</v>
      </c>
      <c r="L245" s="113">
        <v>45705</v>
      </c>
      <c r="M245" s="45" t="s">
        <v>246</v>
      </c>
    </row>
    <row r="246" spans="1:13">
      <c r="A246" s="45">
        <v>245</v>
      </c>
      <c r="B246" s="45" t="s">
        <v>90</v>
      </c>
      <c r="C246" s="45">
        <v>1</v>
      </c>
      <c r="D246" s="45" t="s">
        <v>115</v>
      </c>
      <c r="E246" s="45">
        <v>6</v>
      </c>
      <c r="F246" s="45" t="s">
        <v>7454</v>
      </c>
      <c r="G246" s="110">
        <v>4</v>
      </c>
      <c r="H246" s="45" t="s">
        <v>7455</v>
      </c>
      <c r="I246" s="45" t="s">
        <v>6754</v>
      </c>
      <c r="J246" s="111">
        <v>45702</v>
      </c>
      <c r="K246" s="110" t="str">
        <f t="shared" si="0"/>
        <v>https://Estud2024.sawtoothsoftware.com/cgi-bin/ciwweb.pl?studyname=Estud2024&amp;ID=245</v>
      </c>
      <c r="L246" s="113">
        <v>45705</v>
      </c>
      <c r="M246" s="45" t="s">
        <v>246</v>
      </c>
    </row>
    <row r="247" spans="1:13">
      <c r="A247" s="45">
        <v>246</v>
      </c>
      <c r="B247" s="45" t="s">
        <v>90</v>
      </c>
      <c r="C247" s="45">
        <v>1</v>
      </c>
      <c r="D247" s="45" t="s">
        <v>115</v>
      </c>
      <c r="E247" s="45">
        <v>6</v>
      </c>
      <c r="F247" s="45" t="s">
        <v>7456</v>
      </c>
      <c r="G247" s="110">
        <v>5</v>
      </c>
      <c r="H247" s="45" t="s">
        <v>7457</v>
      </c>
      <c r="I247" s="45" t="s">
        <v>6754</v>
      </c>
      <c r="J247" s="111">
        <v>45702</v>
      </c>
      <c r="K247" s="110" t="str">
        <f t="shared" si="0"/>
        <v>https://Estud2024.sawtoothsoftware.com/cgi-bin/ciwweb.pl?studyname=Estud2024&amp;ID=246</v>
      </c>
      <c r="L247" s="113">
        <v>45705</v>
      </c>
      <c r="M247" s="45" t="s">
        <v>247</v>
      </c>
    </row>
    <row r="248" spans="1:13">
      <c r="A248" s="45">
        <v>247</v>
      </c>
      <c r="B248" s="45" t="s">
        <v>90</v>
      </c>
      <c r="C248" s="45">
        <v>1</v>
      </c>
      <c r="D248" s="45" t="s">
        <v>115</v>
      </c>
      <c r="E248" s="45">
        <v>6</v>
      </c>
      <c r="F248" s="45" t="s">
        <v>7458</v>
      </c>
      <c r="G248" s="110">
        <v>5</v>
      </c>
      <c r="H248" s="45" t="s">
        <v>7459</v>
      </c>
      <c r="I248" s="45" t="s">
        <v>6754</v>
      </c>
      <c r="J248" s="111">
        <v>45702</v>
      </c>
      <c r="K248" s="110" t="str">
        <f t="shared" si="0"/>
        <v>https://Estud2024.sawtoothsoftware.com/cgi-bin/ciwweb.pl?studyname=Estud2024&amp;ID=247</v>
      </c>
      <c r="L248" s="113">
        <v>45705</v>
      </c>
      <c r="M248" s="45" t="s">
        <v>247</v>
      </c>
    </row>
    <row r="249" spans="1:13">
      <c r="A249" s="45">
        <v>248</v>
      </c>
      <c r="B249" s="45" t="s">
        <v>90</v>
      </c>
      <c r="C249" s="45">
        <v>1</v>
      </c>
      <c r="D249" s="45" t="s">
        <v>115</v>
      </c>
      <c r="E249" s="45">
        <v>6</v>
      </c>
      <c r="F249" s="45" t="s">
        <v>7460</v>
      </c>
      <c r="G249" s="110">
        <v>5</v>
      </c>
      <c r="H249" s="45" t="s">
        <v>7461</v>
      </c>
      <c r="I249" s="45" t="s">
        <v>6754</v>
      </c>
      <c r="J249" s="111">
        <v>45702</v>
      </c>
      <c r="K249" s="110" t="str">
        <f t="shared" si="0"/>
        <v>https://Estud2024.sawtoothsoftware.com/cgi-bin/ciwweb.pl?studyname=Estud2024&amp;ID=248</v>
      </c>
      <c r="L249" s="113">
        <v>45705</v>
      </c>
      <c r="M249" s="45" t="s">
        <v>247</v>
      </c>
    </row>
    <row r="250" spans="1:13">
      <c r="A250" s="45">
        <v>249</v>
      </c>
      <c r="B250" s="45" t="s">
        <v>90</v>
      </c>
      <c r="C250" s="45">
        <v>1</v>
      </c>
      <c r="D250" s="45" t="s">
        <v>115</v>
      </c>
      <c r="E250" s="45">
        <v>6</v>
      </c>
      <c r="F250" s="45" t="s">
        <v>7462</v>
      </c>
      <c r="G250" s="110">
        <v>5</v>
      </c>
      <c r="H250" s="45" t="s">
        <v>7463</v>
      </c>
      <c r="I250" s="45" t="s">
        <v>6754</v>
      </c>
      <c r="J250" s="111">
        <v>45702</v>
      </c>
      <c r="K250" s="110" t="str">
        <f t="shared" si="0"/>
        <v>https://Estud2024.sawtoothsoftware.com/cgi-bin/ciwweb.pl?studyname=Estud2024&amp;ID=249</v>
      </c>
      <c r="L250" s="113">
        <v>45705</v>
      </c>
      <c r="M250" s="45" t="s">
        <v>247</v>
      </c>
    </row>
    <row r="251" spans="1:13">
      <c r="A251" s="45">
        <v>250</v>
      </c>
      <c r="B251" s="45" t="s">
        <v>90</v>
      </c>
      <c r="C251" s="45">
        <v>1</v>
      </c>
      <c r="D251" s="45" t="s">
        <v>117</v>
      </c>
      <c r="E251" s="45">
        <v>7</v>
      </c>
      <c r="F251" s="45" t="s">
        <v>7464</v>
      </c>
      <c r="G251" s="110">
        <v>2</v>
      </c>
      <c r="H251" s="45" t="s">
        <v>7465</v>
      </c>
      <c r="I251" s="45" t="s">
        <v>6754</v>
      </c>
      <c r="J251" s="111">
        <v>45702</v>
      </c>
      <c r="K251" s="110" t="str">
        <f t="shared" si="0"/>
        <v>https://Estud2024.sawtoothsoftware.com/cgi-bin/ciwweb.pl?studyname=Estud2024&amp;ID=250</v>
      </c>
      <c r="L251" s="113">
        <v>45705</v>
      </c>
      <c r="M251" s="45" t="s">
        <v>247</v>
      </c>
    </row>
    <row r="252" spans="1:13">
      <c r="A252" s="45">
        <v>251</v>
      </c>
      <c r="B252" s="45" t="s">
        <v>90</v>
      </c>
      <c r="C252" s="45">
        <v>1</v>
      </c>
      <c r="D252" s="45" t="s">
        <v>117</v>
      </c>
      <c r="E252" s="45">
        <v>7</v>
      </c>
      <c r="F252" s="45" t="s">
        <v>7466</v>
      </c>
      <c r="G252" s="110">
        <v>2</v>
      </c>
      <c r="H252" s="45" t="s">
        <v>7467</v>
      </c>
      <c r="I252" s="45" t="s">
        <v>6754</v>
      </c>
      <c r="J252" s="111">
        <v>45702</v>
      </c>
      <c r="K252" s="110" t="str">
        <f t="shared" si="0"/>
        <v>https://Estud2024.sawtoothsoftware.com/cgi-bin/ciwweb.pl?studyname=Estud2024&amp;ID=251</v>
      </c>
      <c r="L252" s="113">
        <v>45705</v>
      </c>
      <c r="M252" s="45" t="s">
        <v>247</v>
      </c>
    </row>
    <row r="253" spans="1:13">
      <c r="A253" s="45">
        <v>252</v>
      </c>
      <c r="B253" s="45" t="s">
        <v>90</v>
      </c>
      <c r="C253" s="45">
        <v>1</v>
      </c>
      <c r="D253" s="45" t="s">
        <v>117</v>
      </c>
      <c r="E253" s="45">
        <v>7</v>
      </c>
      <c r="F253" s="45" t="s">
        <v>7468</v>
      </c>
      <c r="G253" s="110">
        <v>2</v>
      </c>
      <c r="H253" s="45" t="s">
        <v>7469</v>
      </c>
      <c r="I253" s="45" t="s">
        <v>6754</v>
      </c>
      <c r="J253" s="111">
        <v>45702</v>
      </c>
      <c r="K253" s="110" t="str">
        <f t="shared" si="0"/>
        <v>https://Estud2024.sawtoothsoftware.com/cgi-bin/ciwweb.pl?studyname=Estud2024&amp;ID=252</v>
      </c>
      <c r="L253" s="113">
        <v>45705</v>
      </c>
      <c r="M253" s="45" t="s">
        <v>247</v>
      </c>
    </row>
    <row r="254" spans="1:13">
      <c r="A254" s="45">
        <v>253</v>
      </c>
      <c r="B254" s="45" t="s">
        <v>90</v>
      </c>
      <c r="C254" s="45">
        <v>1</v>
      </c>
      <c r="D254" s="45" t="s">
        <v>117</v>
      </c>
      <c r="E254" s="45">
        <v>7</v>
      </c>
      <c r="F254" s="45" t="s">
        <v>7470</v>
      </c>
      <c r="G254" s="110">
        <v>3</v>
      </c>
      <c r="H254" s="45" t="s">
        <v>7471</v>
      </c>
      <c r="I254" s="45" t="s">
        <v>6754</v>
      </c>
      <c r="J254" s="111">
        <v>45702</v>
      </c>
      <c r="K254" s="110" t="str">
        <f t="shared" si="0"/>
        <v>https://Estud2024.sawtoothsoftware.com/cgi-bin/ciwweb.pl?studyname=Estud2024&amp;ID=253</v>
      </c>
      <c r="L254" s="113">
        <v>45705</v>
      </c>
      <c r="M254" s="45" t="s">
        <v>246</v>
      </c>
    </row>
    <row r="255" spans="1:13">
      <c r="A255" s="45">
        <v>254</v>
      </c>
      <c r="B255" s="45" t="s">
        <v>90</v>
      </c>
      <c r="C255" s="45">
        <v>1</v>
      </c>
      <c r="D255" s="45" t="s">
        <v>117</v>
      </c>
      <c r="E255" s="45">
        <v>7</v>
      </c>
      <c r="F255" s="45" t="s">
        <v>7472</v>
      </c>
      <c r="G255" s="110">
        <v>3</v>
      </c>
      <c r="H255" s="45" t="s">
        <v>7473</v>
      </c>
      <c r="I255" s="45" t="s">
        <v>6754</v>
      </c>
      <c r="J255" s="111">
        <v>45702</v>
      </c>
      <c r="K255" s="110" t="str">
        <f t="shared" si="0"/>
        <v>https://Estud2024.sawtoothsoftware.com/cgi-bin/ciwweb.pl?studyname=Estud2024&amp;ID=254</v>
      </c>
      <c r="L255" s="113">
        <v>45705</v>
      </c>
      <c r="M255" s="45" t="s">
        <v>246</v>
      </c>
    </row>
    <row r="256" spans="1:13">
      <c r="A256" s="45">
        <v>255</v>
      </c>
      <c r="B256" s="45" t="s">
        <v>90</v>
      </c>
      <c r="C256" s="45">
        <v>1</v>
      </c>
      <c r="D256" s="45" t="s">
        <v>117</v>
      </c>
      <c r="E256" s="45">
        <v>7</v>
      </c>
      <c r="F256" s="45" t="s">
        <v>7474</v>
      </c>
      <c r="G256" s="110">
        <v>3</v>
      </c>
      <c r="H256" s="45" t="s">
        <v>7475</v>
      </c>
      <c r="I256" s="45" t="s">
        <v>6754</v>
      </c>
      <c r="J256" s="111">
        <v>45702</v>
      </c>
      <c r="K256" s="110" t="str">
        <f t="shared" si="0"/>
        <v>https://Estud2024.sawtoothsoftware.com/cgi-bin/ciwweb.pl?studyname=Estud2024&amp;ID=255</v>
      </c>
      <c r="L256" s="113">
        <v>45705</v>
      </c>
      <c r="M256" s="45" t="s">
        <v>247</v>
      </c>
    </row>
    <row r="257" spans="1:13">
      <c r="A257" s="45">
        <v>256</v>
      </c>
      <c r="B257" s="45" t="s">
        <v>90</v>
      </c>
      <c r="C257" s="45">
        <v>1</v>
      </c>
      <c r="D257" s="45" t="s">
        <v>117</v>
      </c>
      <c r="E257" s="45">
        <v>7</v>
      </c>
      <c r="F257" s="45" t="s">
        <v>7476</v>
      </c>
      <c r="G257" s="110">
        <v>4</v>
      </c>
      <c r="H257" s="45" t="s">
        <v>7477</v>
      </c>
      <c r="I257" s="45" t="s">
        <v>6754</v>
      </c>
      <c r="J257" s="111">
        <v>45702</v>
      </c>
      <c r="K257" s="110" t="str">
        <f t="shared" si="0"/>
        <v>https://Estud2024.sawtoothsoftware.com/cgi-bin/ciwweb.pl?studyname=Estud2024&amp;ID=256</v>
      </c>
      <c r="L257" s="113">
        <v>45705</v>
      </c>
      <c r="M257" s="45" t="s">
        <v>247</v>
      </c>
    </row>
    <row r="258" spans="1:13">
      <c r="A258" s="45">
        <v>257</v>
      </c>
      <c r="B258" s="45" t="s">
        <v>90</v>
      </c>
      <c r="C258" s="45">
        <v>1</v>
      </c>
      <c r="D258" s="45" t="s">
        <v>117</v>
      </c>
      <c r="E258" s="45">
        <v>7</v>
      </c>
      <c r="F258" s="45" t="s">
        <v>7478</v>
      </c>
      <c r="G258" s="110">
        <v>4</v>
      </c>
      <c r="H258" s="45" t="s">
        <v>7479</v>
      </c>
      <c r="I258" s="45" t="s">
        <v>6754</v>
      </c>
      <c r="J258" s="111">
        <v>45702</v>
      </c>
      <c r="K258" s="110" t="str">
        <f t="shared" si="0"/>
        <v>https://Estud2024.sawtoothsoftware.com/cgi-bin/ciwweb.pl?studyname=Estud2024&amp;ID=257</v>
      </c>
      <c r="L258" s="113">
        <v>45705</v>
      </c>
      <c r="M258" s="45" t="s">
        <v>247</v>
      </c>
    </row>
    <row r="259" spans="1:13">
      <c r="A259" s="45">
        <v>258</v>
      </c>
      <c r="B259" s="45" t="s">
        <v>90</v>
      </c>
      <c r="C259" s="45">
        <v>1</v>
      </c>
      <c r="D259" s="45" t="s">
        <v>117</v>
      </c>
      <c r="E259" s="45">
        <v>7</v>
      </c>
      <c r="F259" s="45" t="s">
        <v>7480</v>
      </c>
      <c r="G259" s="110">
        <v>4</v>
      </c>
      <c r="H259" s="45" t="s">
        <v>7481</v>
      </c>
      <c r="I259" s="45" t="s">
        <v>6754</v>
      </c>
      <c r="J259" s="111">
        <v>45702</v>
      </c>
      <c r="K259" s="110" t="str">
        <f t="shared" si="0"/>
        <v>https://Estud2024.sawtoothsoftware.com/cgi-bin/ciwweb.pl?studyname=Estud2024&amp;ID=258</v>
      </c>
      <c r="L259" s="113">
        <v>45705</v>
      </c>
      <c r="M259" s="45" t="s">
        <v>247</v>
      </c>
    </row>
    <row r="260" spans="1:13">
      <c r="A260" s="45">
        <v>259</v>
      </c>
      <c r="B260" s="45" t="s">
        <v>90</v>
      </c>
      <c r="C260" s="45">
        <v>1</v>
      </c>
      <c r="D260" s="45" t="s">
        <v>117</v>
      </c>
      <c r="E260" s="45">
        <v>7</v>
      </c>
      <c r="F260" s="45" t="s">
        <v>7482</v>
      </c>
      <c r="G260" s="110">
        <v>5</v>
      </c>
      <c r="H260" s="45" t="s">
        <v>7483</v>
      </c>
      <c r="I260" s="45" t="s">
        <v>6754</v>
      </c>
      <c r="J260" s="111">
        <v>45702</v>
      </c>
      <c r="K260" s="110" t="str">
        <f t="shared" si="0"/>
        <v>https://Estud2024.sawtoothsoftware.com/cgi-bin/ciwweb.pl?studyname=Estud2024&amp;ID=259</v>
      </c>
      <c r="L260" s="113">
        <v>45705</v>
      </c>
      <c r="M260" s="45" t="s">
        <v>247</v>
      </c>
    </row>
    <row r="261" spans="1:13">
      <c r="A261" s="45">
        <v>260</v>
      </c>
      <c r="B261" s="45" t="s">
        <v>90</v>
      </c>
      <c r="C261" s="45">
        <v>1</v>
      </c>
      <c r="D261" s="45" t="s">
        <v>117</v>
      </c>
      <c r="E261" s="45">
        <v>7</v>
      </c>
      <c r="F261" s="45" t="s">
        <v>7484</v>
      </c>
      <c r="G261" s="110">
        <v>5</v>
      </c>
      <c r="H261" s="45" t="s">
        <v>7485</v>
      </c>
      <c r="I261" s="45" t="s">
        <v>6754</v>
      </c>
      <c r="J261" s="111">
        <v>45702</v>
      </c>
      <c r="K261" s="110" t="str">
        <f t="shared" si="0"/>
        <v>https://Estud2024.sawtoothsoftware.com/cgi-bin/ciwweb.pl?studyname=Estud2024&amp;ID=260</v>
      </c>
      <c r="L261" s="113">
        <v>45705</v>
      </c>
      <c r="M261" s="45" t="s">
        <v>247</v>
      </c>
    </row>
    <row r="262" spans="1:13">
      <c r="A262" s="45">
        <v>261</v>
      </c>
      <c r="B262" s="45" t="s">
        <v>90</v>
      </c>
      <c r="C262" s="45">
        <v>1</v>
      </c>
      <c r="D262" s="45" t="s">
        <v>117</v>
      </c>
      <c r="E262" s="45">
        <v>7</v>
      </c>
      <c r="F262" s="45" t="s">
        <v>7486</v>
      </c>
      <c r="G262" s="110">
        <v>5</v>
      </c>
      <c r="H262" s="45" t="s">
        <v>7487</v>
      </c>
      <c r="I262" s="45" t="s">
        <v>6754</v>
      </c>
      <c r="J262" s="111">
        <v>45702</v>
      </c>
      <c r="K262" s="110" t="str">
        <f t="shared" si="0"/>
        <v>https://Estud2024.sawtoothsoftware.com/cgi-bin/ciwweb.pl?studyname=Estud2024&amp;ID=261</v>
      </c>
      <c r="L262" s="113">
        <v>45705</v>
      </c>
      <c r="M262" s="45" t="s">
        <v>247</v>
      </c>
    </row>
    <row r="263" spans="1:13">
      <c r="A263" s="45">
        <v>262</v>
      </c>
      <c r="B263" s="45" t="s">
        <v>90</v>
      </c>
      <c r="C263" s="45">
        <v>1</v>
      </c>
      <c r="D263" s="45" t="s">
        <v>117</v>
      </c>
      <c r="E263" s="45">
        <v>7</v>
      </c>
      <c r="F263" s="45" t="s">
        <v>7488</v>
      </c>
      <c r="G263" s="110">
        <v>6</v>
      </c>
      <c r="H263" s="45" t="s">
        <v>7489</v>
      </c>
      <c r="I263" s="45" t="s">
        <v>6754</v>
      </c>
      <c r="J263" s="111">
        <v>45702</v>
      </c>
      <c r="K263" s="110" t="str">
        <f t="shared" si="0"/>
        <v>https://Estud2024.sawtoothsoftware.com/cgi-bin/ciwweb.pl?studyname=Estud2024&amp;ID=262</v>
      </c>
      <c r="L263" s="113">
        <v>45705</v>
      </c>
      <c r="M263" s="45" t="s">
        <v>247</v>
      </c>
    </row>
    <row r="264" spans="1:13">
      <c r="A264" s="45">
        <v>263</v>
      </c>
      <c r="B264" s="45" t="s">
        <v>90</v>
      </c>
      <c r="C264" s="45">
        <v>1</v>
      </c>
      <c r="D264" s="45" t="s">
        <v>117</v>
      </c>
      <c r="E264" s="45">
        <v>7</v>
      </c>
      <c r="F264" s="45" t="s">
        <v>7490</v>
      </c>
      <c r="G264" s="110">
        <v>6</v>
      </c>
      <c r="H264" s="45" t="s">
        <v>7491</v>
      </c>
      <c r="I264" s="45" t="s">
        <v>6754</v>
      </c>
      <c r="J264" s="111">
        <v>45702</v>
      </c>
      <c r="K264" s="110" t="str">
        <f t="shared" si="0"/>
        <v>https://Estud2024.sawtoothsoftware.com/cgi-bin/ciwweb.pl?studyname=Estud2024&amp;ID=263</v>
      </c>
      <c r="L264" s="113">
        <v>45705</v>
      </c>
      <c r="M264" s="45" t="s">
        <v>247</v>
      </c>
    </row>
    <row r="265" spans="1:13">
      <c r="A265" s="45">
        <v>264</v>
      </c>
      <c r="B265" s="45" t="s">
        <v>90</v>
      </c>
      <c r="C265" s="45">
        <v>1</v>
      </c>
      <c r="D265" s="45" t="s">
        <v>117</v>
      </c>
      <c r="E265" s="45">
        <v>7</v>
      </c>
      <c r="F265" s="45" t="s">
        <v>7492</v>
      </c>
      <c r="G265" s="110">
        <v>6</v>
      </c>
      <c r="H265" s="45" t="s">
        <v>7493</v>
      </c>
      <c r="I265" s="45" t="s">
        <v>6754</v>
      </c>
      <c r="J265" s="111">
        <v>45702</v>
      </c>
      <c r="K265" s="110" t="str">
        <f t="shared" si="0"/>
        <v>https://Estud2024.sawtoothsoftware.com/cgi-bin/ciwweb.pl?studyname=Estud2024&amp;ID=264</v>
      </c>
      <c r="L265" s="113">
        <v>45705</v>
      </c>
      <c r="M265" s="45" t="s">
        <v>247</v>
      </c>
    </row>
    <row r="266" spans="1:13">
      <c r="A266" s="45">
        <v>265</v>
      </c>
      <c r="B266" s="45" t="s">
        <v>90</v>
      </c>
      <c r="C266" s="45">
        <v>1</v>
      </c>
      <c r="D266" s="45" t="s">
        <v>117</v>
      </c>
      <c r="E266" s="45">
        <v>7</v>
      </c>
      <c r="F266" s="45" t="s">
        <v>7494</v>
      </c>
      <c r="G266" s="110">
        <v>6</v>
      </c>
      <c r="H266" s="45" t="s">
        <v>7495</v>
      </c>
      <c r="I266" s="45" t="s">
        <v>6754</v>
      </c>
      <c r="J266" s="111">
        <v>45702</v>
      </c>
      <c r="K266" s="110" t="str">
        <f t="shared" si="0"/>
        <v>https://Estud2024.sawtoothsoftware.com/cgi-bin/ciwweb.pl?studyname=Estud2024&amp;ID=265</v>
      </c>
      <c r="L266" s="113">
        <v>45705</v>
      </c>
      <c r="M266" s="45" t="s">
        <v>246</v>
      </c>
    </row>
    <row r="267" spans="1:13">
      <c r="A267" s="45">
        <v>266</v>
      </c>
      <c r="B267" s="45" t="s">
        <v>90</v>
      </c>
      <c r="C267" s="45">
        <v>1</v>
      </c>
      <c r="D267" s="45" t="s">
        <v>117</v>
      </c>
      <c r="E267" s="45">
        <v>7</v>
      </c>
      <c r="F267" s="45" t="s">
        <v>7496</v>
      </c>
      <c r="G267" s="110">
        <v>6</v>
      </c>
      <c r="H267" s="45" t="s">
        <v>7497</v>
      </c>
      <c r="I267" s="45" t="s">
        <v>6754</v>
      </c>
      <c r="J267" s="111">
        <v>45702</v>
      </c>
      <c r="K267" s="110" t="str">
        <f t="shared" si="0"/>
        <v>https://Estud2024.sawtoothsoftware.com/cgi-bin/ciwweb.pl?studyname=Estud2024&amp;ID=266</v>
      </c>
      <c r="L267" s="113">
        <v>45705</v>
      </c>
      <c r="M267" s="45" t="s">
        <v>246</v>
      </c>
    </row>
    <row r="268" spans="1:13">
      <c r="A268" s="45">
        <v>267</v>
      </c>
      <c r="B268" s="45" t="s">
        <v>90</v>
      </c>
      <c r="C268" s="45">
        <v>1</v>
      </c>
      <c r="D268" s="45" t="s">
        <v>117</v>
      </c>
      <c r="E268" s="45">
        <v>7</v>
      </c>
      <c r="F268" s="45" t="s">
        <v>7498</v>
      </c>
      <c r="G268" s="110">
        <v>6</v>
      </c>
      <c r="H268" s="45" t="s">
        <v>7499</v>
      </c>
      <c r="I268" s="45" t="s">
        <v>6754</v>
      </c>
      <c r="J268" s="111">
        <v>45702</v>
      </c>
      <c r="K268" s="110" t="str">
        <f t="shared" si="0"/>
        <v>https://Estud2024.sawtoothsoftware.com/cgi-bin/ciwweb.pl?studyname=Estud2024&amp;ID=267</v>
      </c>
      <c r="L268" s="113">
        <v>45705</v>
      </c>
      <c r="M268" s="45" t="s">
        <v>247</v>
      </c>
    </row>
    <row r="269" spans="1:13">
      <c r="A269" s="45">
        <v>268</v>
      </c>
      <c r="B269" s="45" t="s">
        <v>90</v>
      </c>
      <c r="C269" s="45">
        <v>1</v>
      </c>
      <c r="D269" s="45" t="s">
        <v>117</v>
      </c>
      <c r="E269" s="45">
        <v>7</v>
      </c>
      <c r="F269" s="45" t="s">
        <v>7500</v>
      </c>
      <c r="G269" s="110">
        <v>6</v>
      </c>
      <c r="H269" s="45" t="s">
        <v>7501</v>
      </c>
      <c r="I269" s="45" t="s">
        <v>6754</v>
      </c>
      <c r="J269" s="111">
        <v>45702</v>
      </c>
      <c r="K269" s="110" t="str">
        <f t="shared" si="0"/>
        <v>https://Estud2024.sawtoothsoftware.com/cgi-bin/ciwweb.pl?studyname=Estud2024&amp;ID=268</v>
      </c>
      <c r="L269" s="113">
        <v>45705</v>
      </c>
      <c r="M269" s="45" t="s">
        <v>247</v>
      </c>
    </row>
    <row r="270" spans="1:13">
      <c r="A270" s="45">
        <v>269</v>
      </c>
      <c r="B270" s="45" t="s">
        <v>90</v>
      </c>
      <c r="C270" s="45">
        <v>1</v>
      </c>
      <c r="D270" s="45" t="s">
        <v>117</v>
      </c>
      <c r="E270" s="45">
        <v>7</v>
      </c>
      <c r="F270" s="45" t="s">
        <v>7502</v>
      </c>
      <c r="G270" s="110">
        <v>7</v>
      </c>
      <c r="H270" s="45" t="s">
        <v>7503</v>
      </c>
      <c r="I270" s="45" t="s">
        <v>6754</v>
      </c>
      <c r="J270" s="111">
        <v>45702</v>
      </c>
      <c r="K270" s="110" t="str">
        <f t="shared" si="0"/>
        <v>https://Estud2024.sawtoothsoftware.com/cgi-bin/ciwweb.pl?studyname=Estud2024&amp;ID=269</v>
      </c>
      <c r="L270" s="113">
        <v>45705</v>
      </c>
      <c r="M270" s="45" t="s">
        <v>246</v>
      </c>
    </row>
    <row r="271" spans="1:13">
      <c r="A271" s="45">
        <v>270</v>
      </c>
      <c r="B271" s="45" t="s">
        <v>90</v>
      </c>
      <c r="C271" s="45">
        <v>1</v>
      </c>
      <c r="D271" s="45" t="s">
        <v>117</v>
      </c>
      <c r="E271" s="45">
        <v>7</v>
      </c>
      <c r="F271" s="45" t="s">
        <v>7504</v>
      </c>
      <c r="G271" s="110">
        <v>7</v>
      </c>
      <c r="H271" s="45" t="s">
        <v>7505</v>
      </c>
      <c r="I271" s="45" t="s">
        <v>6754</v>
      </c>
      <c r="J271" s="111">
        <v>45702</v>
      </c>
      <c r="K271" s="110" t="str">
        <f t="shared" si="0"/>
        <v>https://Estud2024.sawtoothsoftware.com/cgi-bin/ciwweb.pl?studyname=Estud2024&amp;ID=270</v>
      </c>
      <c r="L271" s="113">
        <v>45705</v>
      </c>
      <c r="M271" s="45" t="s">
        <v>247</v>
      </c>
    </row>
    <row r="272" spans="1:13">
      <c r="A272" s="45">
        <v>271</v>
      </c>
      <c r="B272" s="45" t="s">
        <v>90</v>
      </c>
      <c r="C272" s="45">
        <v>1</v>
      </c>
      <c r="D272" s="45" t="s">
        <v>117</v>
      </c>
      <c r="E272" s="45">
        <v>7</v>
      </c>
      <c r="F272" s="45" t="s">
        <v>7506</v>
      </c>
      <c r="G272" s="110">
        <v>7</v>
      </c>
      <c r="H272" s="45" t="s">
        <v>7507</v>
      </c>
      <c r="I272" s="45" t="s">
        <v>6754</v>
      </c>
      <c r="J272" s="111">
        <v>45702</v>
      </c>
      <c r="K272" s="110" t="str">
        <f t="shared" si="0"/>
        <v>https://Estud2024.sawtoothsoftware.com/cgi-bin/ciwweb.pl?studyname=Estud2024&amp;ID=271</v>
      </c>
      <c r="L272" s="113">
        <v>45705</v>
      </c>
      <c r="M272" s="45" t="s">
        <v>246</v>
      </c>
    </row>
    <row r="273" spans="1:13">
      <c r="A273" s="45">
        <v>272</v>
      </c>
      <c r="B273" s="45" t="s">
        <v>90</v>
      </c>
      <c r="C273" s="45">
        <v>1</v>
      </c>
      <c r="D273" s="45" t="s">
        <v>117</v>
      </c>
      <c r="E273" s="45">
        <v>7</v>
      </c>
      <c r="F273" s="45" t="s">
        <v>7508</v>
      </c>
      <c r="G273" s="110">
        <v>7</v>
      </c>
      <c r="H273" s="45" t="s">
        <v>7509</v>
      </c>
      <c r="I273" s="45" t="s">
        <v>6754</v>
      </c>
      <c r="J273" s="111">
        <v>45702</v>
      </c>
      <c r="K273" s="110" t="str">
        <f t="shared" si="0"/>
        <v>https://Estud2024.sawtoothsoftware.com/cgi-bin/ciwweb.pl?studyname=Estud2024&amp;ID=272</v>
      </c>
      <c r="L273" s="113">
        <v>45705</v>
      </c>
      <c r="M273" s="45" t="s">
        <v>247</v>
      </c>
    </row>
    <row r="274" spans="1:13">
      <c r="A274" s="45">
        <v>273</v>
      </c>
      <c r="B274" s="45" t="s">
        <v>90</v>
      </c>
      <c r="C274" s="45">
        <v>1</v>
      </c>
      <c r="D274" s="45" t="s">
        <v>117</v>
      </c>
      <c r="E274" s="45">
        <v>7</v>
      </c>
      <c r="F274" s="45" t="s">
        <v>7510</v>
      </c>
      <c r="G274" s="110">
        <v>7</v>
      </c>
      <c r="H274" s="45" t="s">
        <v>7511</v>
      </c>
      <c r="I274" s="45" t="s">
        <v>6754</v>
      </c>
      <c r="J274" s="111">
        <v>45702</v>
      </c>
      <c r="K274" s="110" t="str">
        <f t="shared" si="0"/>
        <v>https://Estud2024.sawtoothsoftware.com/cgi-bin/ciwweb.pl?studyname=Estud2024&amp;ID=273</v>
      </c>
      <c r="L274" s="113">
        <v>45705</v>
      </c>
      <c r="M274" s="45" t="s">
        <v>247</v>
      </c>
    </row>
    <row r="275" spans="1:13">
      <c r="A275" s="45">
        <v>274</v>
      </c>
      <c r="B275" s="45" t="s">
        <v>90</v>
      </c>
      <c r="C275" s="45">
        <v>1</v>
      </c>
      <c r="D275" s="45" t="s">
        <v>117</v>
      </c>
      <c r="E275" s="45">
        <v>7</v>
      </c>
      <c r="F275" s="45" t="s">
        <v>7512</v>
      </c>
      <c r="G275" s="110">
        <v>8</v>
      </c>
      <c r="H275" s="45" t="s">
        <v>7513</v>
      </c>
      <c r="I275" s="45" t="s">
        <v>6754</v>
      </c>
      <c r="J275" s="111">
        <v>45702</v>
      </c>
      <c r="K275" s="110" t="str">
        <f t="shared" si="0"/>
        <v>https://Estud2024.sawtoothsoftware.com/cgi-bin/ciwweb.pl?studyname=Estud2024&amp;ID=274</v>
      </c>
      <c r="L275" s="113">
        <v>45705</v>
      </c>
      <c r="M275" s="45" t="s">
        <v>247</v>
      </c>
    </row>
    <row r="276" spans="1:13">
      <c r="A276" s="45">
        <v>275</v>
      </c>
      <c r="B276" s="45" t="s">
        <v>90</v>
      </c>
      <c r="C276" s="45">
        <v>1</v>
      </c>
      <c r="D276" s="45" t="s">
        <v>117</v>
      </c>
      <c r="E276" s="45">
        <v>7</v>
      </c>
      <c r="F276" s="45" t="s">
        <v>7514</v>
      </c>
      <c r="G276" s="110">
        <v>8</v>
      </c>
      <c r="H276" s="45" t="s">
        <v>7515</v>
      </c>
      <c r="I276" s="45" t="s">
        <v>6754</v>
      </c>
      <c r="J276" s="111">
        <v>45702</v>
      </c>
      <c r="K276" s="110" t="str">
        <f t="shared" si="0"/>
        <v>https://Estud2024.sawtoothsoftware.com/cgi-bin/ciwweb.pl?studyname=Estud2024&amp;ID=275</v>
      </c>
      <c r="L276" s="113">
        <v>45705</v>
      </c>
      <c r="M276" s="45" t="s">
        <v>246</v>
      </c>
    </row>
    <row r="277" spans="1:13">
      <c r="A277" s="45">
        <v>276</v>
      </c>
      <c r="B277" s="45" t="s">
        <v>90</v>
      </c>
      <c r="C277" s="45">
        <v>1</v>
      </c>
      <c r="D277" s="45" t="s">
        <v>117</v>
      </c>
      <c r="E277" s="45">
        <v>7</v>
      </c>
      <c r="F277" s="45" t="s">
        <v>7516</v>
      </c>
      <c r="G277" s="110">
        <v>8</v>
      </c>
      <c r="H277" s="45" t="s">
        <v>7517</v>
      </c>
      <c r="I277" s="45" t="s">
        <v>6754</v>
      </c>
      <c r="J277" s="111">
        <v>45702</v>
      </c>
      <c r="K277" s="110" t="str">
        <f t="shared" si="0"/>
        <v>https://Estud2024.sawtoothsoftware.com/cgi-bin/ciwweb.pl?studyname=Estud2024&amp;ID=276</v>
      </c>
      <c r="L277" s="113">
        <v>45705</v>
      </c>
      <c r="M277" s="45" t="s">
        <v>247</v>
      </c>
    </row>
    <row r="278" spans="1:13">
      <c r="A278" s="45">
        <v>277</v>
      </c>
      <c r="B278" s="45" t="s">
        <v>90</v>
      </c>
      <c r="C278" s="45">
        <v>1</v>
      </c>
      <c r="D278" s="45" t="s">
        <v>117</v>
      </c>
      <c r="E278" s="45">
        <v>7</v>
      </c>
      <c r="F278" s="45" t="s">
        <v>7518</v>
      </c>
      <c r="G278" s="110">
        <v>8</v>
      </c>
      <c r="H278" s="45" t="s">
        <v>7519</v>
      </c>
      <c r="I278" s="45" t="s">
        <v>6754</v>
      </c>
      <c r="J278" s="111">
        <v>45702</v>
      </c>
      <c r="K278" s="110" t="str">
        <f t="shared" ref="K278:K341" si="1">CONCATENATE("https://Estud2024.sawtoothsoftware.com/cgi-bin/ciwweb.pl?studyname=Estud2024&amp;ID=",A278)</f>
        <v>https://Estud2024.sawtoothsoftware.com/cgi-bin/ciwweb.pl?studyname=Estud2024&amp;ID=277</v>
      </c>
      <c r="L278" s="113">
        <v>45705</v>
      </c>
      <c r="M278" s="45" t="s">
        <v>247</v>
      </c>
    </row>
    <row r="279" spans="1:13">
      <c r="A279" s="45">
        <v>278</v>
      </c>
      <c r="B279" s="45" t="s">
        <v>90</v>
      </c>
      <c r="C279" s="45">
        <v>1</v>
      </c>
      <c r="D279" s="45" t="s">
        <v>117</v>
      </c>
      <c r="E279" s="45">
        <v>7</v>
      </c>
      <c r="F279" s="45" t="s">
        <v>7520</v>
      </c>
      <c r="G279" s="110">
        <v>8</v>
      </c>
      <c r="H279" s="45" t="s">
        <v>7521</v>
      </c>
      <c r="I279" s="45" t="s">
        <v>6754</v>
      </c>
      <c r="J279" s="111">
        <v>45702</v>
      </c>
      <c r="K279" s="110" t="str">
        <f t="shared" si="1"/>
        <v>https://Estud2024.sawtoothsoftware.com/cgi-bin/ciwweb.pl?studyname=Estud2024&amp;ID=278</v>
      </c>
      <c r="L279" s="113">
        <v>45705</v>
      </c>
      <c r="M279" s="45" t="s">
        <v>247</v>
      </c>
    </row>
    <row r="280" spans="1:13">
      <c r="A280" s="45">
        <v>279</v>
      </c>
      <c r="B280" s="45" t="s">
        <v>90</v>
      </c>
      <c r="C280" s="45">
        <v>1</v>
      </c>
      <c r="D280" s="45" t="s">
        <v>117</v>
      </c>
      <c r="E280" s="45">
        <v>7</v>
      </c>
      <c r="F280" s="45" t="s">
        <v>7522</v>
      </c>
      <c r="G280" s="110">
        <v>9</v>
      </c>
      <c r="H280" s="45" t="s">
        <v>7523</v>
      </c>
      <c r="I280" s="45" t="s">
        <v>6754</v>
      </c>
      <c r="J280" s="111">
        <v>45702</v>
      </c>
      <c r="K280" s="110" t="str">
        <f t="shared" si="1"/>
        <v>https://Estud2024.sawtoothsoftware.com/cgi-bin/ciwweb.pl?studyname=Estud2024&amp;ID=279</v>
      </c>
      <c r="L280" s="113">
        <v>45705</v>
      </c>
      <c r="M280" s="45" t="s">
        <v>247</v>
      </c>
    </row>
    <row r="281" spans="1:13">
      <c r="A281" s="45">
        <v>280</v>
      </c>
      <c r="B281" s="45" t="s">
        <v>90</v>
      </c>
      <c r="C281" s="45">
        <v>1</v>
      </c>
      <c r="D281" s="45" t="s">
        <v>117</v>
      </c>
      <c r="E281" s="45">
        <v>7</v>
      </c>
      <c r="F281" s="45" t="s">
        <v>7524</v>
      </c>
      <c r="G281" s="110">
        <v>9</v>
      </c>
      <c r="H281" s="45" t="s">
        <v>7525</v>
      </c>
      <c r="I281" s="45" t="s">
        <v>6754</v>
      </c>
      <c r="J281" s="111">
        <v>45702</v>
      </c>
      <c r="K281" s="110" t="str">
        <f t="shared" si="1"/>
        <v>https://Estud2024.sawtoothsoftware.com/cgi-bin/ciwweb.pl?studyname=Estud2024&amp;ID=280</v>
      </c>
      <c r="L281" s="113">
        <v>45705</v>
      </c>
      <c r="M281" s="45" t="s">
        <v>247</v>
      </c>
    </row>
    <row r="282" spans="1:13">
      <c r="A282" s="45">
        <v>281</v>
      </c>
      <c r="B282" s="45" t="s">
        <v>90</v>
      </c>
      <c r="C282" s="45">
        <v>1</v>
      </c>
      <c r="D282" s="45" t="s">
        <v>117</v>
      </c>
      <c r="E282" s="45">
        <v>7</v>
      </c>
      <c r="F282" s="45" t="s">
        <v>7526</v>
      </c>
      <c r="G282" s="110">
        <v>9</v>
      </c>
      <c r="H282" s="45" t="s">
        <v>7527</v>
      </c>
      <c r="I282" s="45" t="s">
        <v>6754</v>
      </c>
      <c r="J282" s="111">
        <v>45702</v>
      </c>
      <c r="K282" s="110" t="str">
        <f t="shared" si="1"/>
        <v>https://Estud2024.sawtoothsoftware.com/cgi-bin/ciwweb.pl?studyname=Estud2024&amp;ID=281</v>
      </c>
      <c r="L282" s="113">
        <v>45705</v>
      </c>
      <c r="M282" s="45" t="s">
        <v>246</v>
      </c>
    </row>
    <row r="283" spans="1:13">
      <c r="A283" s="45">
        <v>282</v>
      </c>
      <c r="B283" s="45" t="s">
        <v>90</v>
      </c>
      <c r="C283" s="45">
        <v>1</v>
      </c>
      <c r="D283" s="45" t="s">
        <v>117</v>
      </c>
      <c r="E283" s="45">
        <v>7</v>
      </c>
      <c r="F283" s="45" t="s">
        <v>7528</v>
      </c>
      <c r="G283" s="110">
        <v>9</v>
      </c>
      <c r="H283" s="45" t="s">
        <v>7529</v>
      </c>
      <c r="I283" s="45" t="s">
        <v>6754</v>
      </c>
      <c r="J283" s="111">
        <v>45702</v>
      </c>
      <c r="K283" s="110" t="str">
        <f t="shared" si="1"/>
        <v>https://Estud2024.sawtoothsoftware.com/cgi-bin/ciwweb.pl?studyname=Estud2024&amp;ID=282</v>
      </c>
      <c r="L283" s="113">
        <v>45705</v>
      </c>
      <c r="M283" s="45" t="s">
        <v>247</v>
      </c>
    </row>
    <row r="284" spans="1:13">
      <c r="A284" s="45">
        <v>283</v>
      </c>
      <c r="B284" s="45" t="s">
        <v>90</v>
      </c>
      <c r="C284" s="45">
        <v>1</v>
      </c>
      <c r="D284" s="45" t="s">
        <v>118</v>
      </c>
      <c r="E284" s="45">
        <v>18</v>
      </c>
      <c r="F284" s="45" t="s">
        <v>7530</v>
      </c>
      <c r="G284" s="110">
        <v>2</v>
      </c>
      <c r="H284" s="45" t="s">
        <v>7531</v>
      </c>
      <c r="I284" s="45" t="s">
        <v>6754</v>
      </c>
      <c r="J284" s="111">
        <v>45702</v>
      </c>
      <c r="K284" s="110" t="str">
        <f t="shared" si="1"/>
        <v>https://Estud2024.sawtoothsoftware.com/cgi-bin/ciwweb.pl?studyname=Estud2024&amp;ID=283</v>
      </c>
      <c r="L284" s="113">
        <v>45705</v>
      </c>
      <c r="M284" s="45" t="s">
        <v>246</v>
      </c>
    </row>
    <row r="285" spans="1:13">
      <c r="A285" s="45">
        <v>284</v>
      </c>
      <c r="B285" s="45" t="s">
        <v>90</v>
      </c>
      <c r="C285" s="45">
        <v>1</v>
      </c>
      <c r="D285" s="45" t="s">
        <v>118</v>
      </c>
      <c r="E285" s="45">
        <v>18</v>
      </c>
      <c r="F285" s="45" t="s">
        <v>7532</v>
      </c>
      <c r="G285" s="110">
        <v>2</v>
      </c>
      <c r="H285" s="45" t="s">
        <v>7533</v>
      </c>
      <c r="I285" s="45" t="s">
        <v>6754</v>
      </c>
      <c r="J285" s="111">
        <v>45702</v>
      </c>
      <c r="K285" s="110" t="str">
        <f t="shared" si="1"/>
        <v>https://Estud2024.sawtoothsoftware.com/cgi-bin/ciwweb.pl?studyname=Estud2024&amp;ID=284</v>
      </c>
      <c r="L285" s="113">
        <v>45705</v>
      </c>
      <c r="M285" s="45" t="s">
        <v>246</v>
      </c>
    </row>
    <row r="286" spans="1:13">
      <c r="A286" s="45">
        <v>285</v>
      </c>
      <c r="B286" s="45" t="s">
        <v>90</v>
      </c>
      <c r="C286" s="45">
        <v>1</v>
      </c>
      <c r="D286" s="45" t="s">
        <v>118</v>
      </c>
      <c r="E286" s="45">
        <v>18</v>
      </c>
      <c r="F286" s="45" t="s">
        <v>7534</v>
      </c>
      <c r="G286" s="110">
        <v>2</v>
      </c>
      <c r="H286" s="45" t="s">
        <v>7535</v>
      </c>
      <c r="I286" s="45" t="s">
        <v>6754</v>
      </c>
      <c r="J286" s="111">
        <v>45702</v>
      </c>
      <c r="K286" s="110" t="str">
        <f t="shared" si="1"/>
        <v>https://Estud2024.sawtoothsoftware.com/cgi-bin/ciwweb.pl?studyname=Estud2024&amp;ID=285</v>
      </c>
      <c r="L286" s="113">
        <v>45705</v>
      </c>
      <c r="M286" s="45" t="s">
        <v>246</v>
      </c>
    </row>
    <row r="287" spans="1:13">
      <c r="A287" s="45">
        <v>286</v>
      </c>
      <c r="B287" s="45" t="s">
        <v>90</v>
      </c>
      <c r="C287" s="45">
        <v>1</v>
      </c>
      <c r="D287" s="45" t="s">
        <v>118</v>
      </c>
      <c r="E287" s="45">
        <v>18</v>
      </c>
      <c r="F287" s="45" t="s">
        <v>7536</v>
      </c>
      <c r="G287" s="110">
        <v>3</v>
      </c>
      <c r="H287" s="45" t="s">
        <v>7537</v>
      </c>
      <c r="I287" s="45" t="s">
        <v>6754</v>
      </c>
      <c r="J287" s="111">
        <v>45702</v>
      </c>
      <c r="K287" s="110" t="str">
        <f t="shared" si="1"/>
        <v>https://Estud2024.sawtoothsoftware.com/cgi-bin/ciwweb.pl?studyname=Estud2024&amp;ID=286</v>
      </c>
      <c r="L287" s="113">
        <v>45705</v>
      </c>
      <c r="M287" s="45" t="s">
        <v>247</v>
      </c>
    </row>
    <row r="288" spans="1:13">
      <c r="A288" s="45">
        <v>287</v>
      </c>
      <c r="B288" s="45" t="s">
        <v>90</v>
      </c>
      <c r="C288" s="45">
        <v>1</v>
      </c>
      <c r="D288" s="45" t="s">
        <v>118</v>
      </c>
      <c r="E288" s="45">
        <v>18</v>
      </c>
      <c r="F288" s="45" t="s">
        <v>7538</v>
      </c>
      <c r="G288" s="110">
        <v>3</v>
      </c>
      <c r="H288" s="45" t="s">
        <v>7539</v>
      </c>
      <c r="I288" s="45" t="s">
        <v>6754</v>
      </c>
      <c r="J288" s="111">
        <v>45702</v>
      </c>
      <c r="K288" s="110" t="str">
        <f t="shared" si="1"/>
        <v>https://Estud2024.sawtoothsoftware.com/cgi-bin/ciwweb.pl?studyname=Estud2024&amp;ID=287</v>
      </c>
      <c r="L288" s="113">
        <v>45705</v>
      </c>
      <c r="M288" s="45" t="s">
        <v>247</v>
      </c>
    </row>
    <row r="289" spans="1:13">
      <c r="A289" s="45">
        <v>288</v>
      </c>
      <c r="B289" s="45" t="s">
        <v>90</v>
      </c>
      <c r="C289" s="45">
        <v>1</v>
      </c>
      <c r="D289" s="45" t="s">
        <v>118</v>
      </c>
      <c r="E289" s="45">
        <v>18</v>
      </c>
      <c r="F289" s="45" t="s">
        <v>7540</v>
      </c>
      <c r="G289" s="110">
        <v>3</v>
      </c>
      <c r="H289" s="45" t="s">
        <v>7541</v>
      </c>
      <c r="I289" s="45" t="s">
        <v>6754</v>
      </c>
      <c r="J289" s="111">
        <v>45702</v>
      </c>
      <c r="K289" s="110" t="str">
        <f t="shared" si="1"/>
        <v>https://Estud2024.sawtoothsoftware.com/cgi-bin/ciwweb.pl?studyname=Estud2024&amp;ID=288</v>
      </c>
      <c r="L289" s="113">
        <v>45705</v>
      </c>
      <c r="M289" s="45" t="s">
        <v>246</v>
      </c>
    </row>
    <row r="290" spans="1:13">
      <c r="A290" s="45">
        <v>289</v>
      </c>
      <c r="B290" s="45" t="s">
        <v>90</v>
      </c>
      <c r="C290" s="45">
        <v>1</v>
      </c>
      <c r="D290" s="45" t="s">
        <v>118</v>
      </c>
      <c r="E290" s="45">
        <v>18</v>
      </c>
      <c r="F290" s="45" t="s">
        <v>7542</v>
      </c>
      <c r="G290" s="110">
        <v>4</v>
      </c>
      <c r="H290" s="45" t="s">
        <v>7543</v>
      </c>
      <c r="I290" s="45" t="s">
        <v>6754</v>
      </c>
      <c r="J290" s="111">
        <v>45702</v>
      </c>
      <c r="K290" s="110" t="str">
        <f t="shared" si="1"/>
        <v>https://Estud2024.sawtoothsoftware.com/cgi-bin/ciwweb.pl?studyname=Estud2024&amp;ID=289</v>
      </c>
      <c r="L290" s="113">
        <v>45705</v>
      </c>
      <c r="M290" s="45" t="s">
        <v>246</v>
      </c>
    </row>
    <row r="291" spans="1:13">
      <c r="A291" s="45">
        <v>290</v>
      </c>
      <c r="B291" s="45" t="s">
        <v>90</v>
      </c>
      <c r="C291" s="45">
        <v>1</v>
      </c>
      <c r="D291" s="45" t="s">
        <v>118</v>
      </c>
      <c r="E291" s="45">
        <v>18</v>
      </c>
      <c r="F291" s="45" t="s">
        <v>7544</v>
      </c>
      <c r="G291" s="110">
        <v>4</v>
      </c>
      <c r="H291" s="45" t="s">
        <v>7545</v>
      </c>
      <c r="I291" s="45" t="s">
        <v>6754</v>
      </c>
      <c r="J291" s="111">
        <v>45702</v>
      </c>
      <c r="K291" s="110" t="str">
        <f t="shared" si="1"/>
        <v>https://Estud2024.sawtoothsoftware.com/cgi-bin/ciwweb.pl?studyname=Estud2024&amp;ID=290</v>
      </c>
      <c r="L291" s="113">
        <v>45705</v>
      </c>
      <c r="M291" s="45" t="s">
        <v>246</v>
      </c>
    </row>
    <row r="292" spans="1:13">
      <c r="A292" s="45">
        <v>291</v>
      </c>
      <c r="B292" s="45" t="s">
        <v>90</v>
      </c>
      <c r="C292" s="45">
        <v>1</v>
      </c>
      <c r="D292" s="45" t="s">
        <v>118</v>
      </c>
      <c r="E292" s="45">
        <v>18</v>
      </c>
      <c r="F292" s="45" t="s">
        <v>7546</v>
      </c>
      <c r="G292" s="110">
        <v>4</v>
      </c>
      <c r="H292" s="45" t="s">
        <v>7547</v>
      </c>
      <c r="I292" s="45" t="s">
        <v>6754</v>
      </c>
      <c r="J292" s="111">
        <v>45702</v>
      </c>
      <c r="K292" s="110" t="str">
        <f t="shared" si="1"/>
        <v>https://Estud2024.sawtoothsoftware.com/cgi-bin/ciwweb.pl?studyname=Estud2024&amp;ID=291</v>
      </c>
      <c r="L292" s="113">
        <v>45705</v>
      </c>
      <c r="M292" s="45" t="s">
        <v>246</v>
      </c>
    </row>
    <row r="293" spans="1:13">
      <c r="A293" s="45">
        <v>292</v>
      </c>
      <c r="B293" s="45" t="s">
        <v>90</v>
      </c>
      <c r="C293" s="45">
        <v>1</v>
      </c>
      <c r="D293" s="45" t="s">
        <v>118</v>
      </c>
      <c r="E293" s="45">
        <v>18</v>
      </c>
      <c r="F293" s="45" t="s">
        <v>7548</v>
      </c>
      <c r="G293" s="110">
        <v>5</v>
      </c>
      <c r="H293" s="45" t="s">
        <v>7549</v>
      </c>
      <c r="I293" s="45" t="s">
        <v>6754</v>
      </c>
      <c r="J293" s="111">
        <v>45702</v>
      </c>
      <c r="K293" s="110" t="str">
        <f t="shared" si="1"/>
        <v>https://Estud2024.sawtoothsoftware.com/cgi-bin/ciwweb.pl?studyname=Estud2024&amp;ID=292</v>
      </c>
      <c r="L293" s="113">
        <v>45705</v>
      </c>
      <c r="M293" s="45" t="s">
        <v>246</v>
      </c>
    </row>
    <row r="294" spans="1:13">
      <c r="A294" s="45">
        <v>293</v>
      </c>
      <c r="B294" s="45" t="s">
        <v>90</v>
      </c>
      <c r="C294" s="45">
        <v>1</v>
      </c>
      <c r="D294" s="45" t="s">
        <v>118</v>
      </c>
      <c r="E294" s="45">
        <v>18</v>
      </c>
      <c r="F294" s="45" t="s">
        <v>7550</v>
      </c>
      <c r="G294" s="110">
        <v>5</v>
      </c>
      <c r="H294" s="45" t="s">
        <v>7551</v>
      </c>
      <c r="I294" s="45" t="s">
        <v>6754</v>
      </c>
      <c r="J294" s="111">
        <v>45702</v>
      </c>
      <c r="K294" s="110" t="str">
        <f t="shared" si="1"/>
        <v>https://Estud2024.sawtoothsoftware.com/cgi-bin/ciwweb.pl?studyname=Estud2024&amp;ID=293</v>
      </c>
      <c r="L294" s="113">
        <v>45705</v>
      </c>
      <c r="M294" s="45" t="s">
        <v>246</v>
      </c>
    </row>
    <row r="295" spans="1:13">
      <c r="A295" s="45">
        <v>294</v>
      </c>
      <c r="B295" s="45" t="s">
        <v>90</v>
      </c>
      <c r="C295" s="45">
        <v>1</v>
      </c>
      <c r="D295" s="45" t="s">
        <v>118</v>
      </c>
      <c r="E295" s="45">
        <v>18</v>
      </c>
      <c r="F295" s="45" t="s">
        <v>7552</v>
      </c>
      <c r="G295" s="110">
        <v>5</v>
      </c>
      <c r="H295" s="45" t="s">
        <v>7553</v>
      </c>
      <c r="I295" s="45" t="s">
        <v>6754</v>
      </c>
      <c r="J295" s="111">
        <v>45702</v>
      </c>
      <c r="K295" s="110" t="str">
        <f t="shared" si="1"/>
        <v>https://Estud2024.sawtoothsoftware.com/cgi-bin/ciwweb.pl?studyname=Estud2024&amp;ID=294</v>
      </c>
      <c r="L295" s="113">
        <v>45705</v>
      </c>
      <c r="M295" s="45" t="s">
        <v>246</v>
      </c>
    </row>
    <row r="296" spans="1:13">
      <c r="A296" s="45">
        <v>295</v>
      </c>
      <c r="B296" s="45" t="s">
        <v>90</v>
      </c>
      <c r="C296" s="45">
        <v>1</v>
      </c>
      <c r="D296" s="45" t="s">
        <v>118</v>
      </c>
      <c r="E296" s="45">
        <v>18</v>
      </c>
      <c r="F296" s="45" t="s">
        <v>7554</v>
      </c>
      <c r="G296" s="110">
        <v>6</v>
      </c>
      <c r="H296" s="45" t="s">
        <v>7555</v>
      </c>
      <c r="I296" s="45" t="s">
        <v>6754</v>
      </c>
      <c r="J296" s="111">
        <v>45702</v>
      </c>
      <c r="K296" s="110" t="str">
        <f t="shared" si="1"/>
        <v>https://Estud2024.sawtoothsoftware.com/cgi-bin/ciwweb.pl?studyname=Estud2024&amp;ID=295</v>
      </c>
      <c r="L296" s="113">
        <v>45705</v>
      </c>
      <c r="M296" s="45" t="s">
        <v>246</v>
      </c>
    </row>
    <row r="297" spans="1:13">
      <c r="A297" s="45">
        <v>296</v>
      </c>
      <c r="B297" s="45" t="s">
        <v>90</v>
      </c>
      <c r="C297" s="45">
        <v>1</v>
      </c>
      <c r="D297" s="45" t="s">
        <v>118</v>
      </c>
      <c r="E297" s="45">
        <v>18</v>
      </c>
      <c r="F297" s="45" t="s">
        <v>7556</v>
      </c>
      <c r="G297" s="110">
        <v>6</v>
      </c>
      <c r="H297" s="45" t="s">
        <v>7557</v>
      </c>
      <c r="I297" s="45" t="s">
        <v>6754</v>
      </c>
      <c r="J297" s="111">
        <v>45702</v>
      </c>
      <c r="K297" s="110" t="str">
        <f t="shared" si="1"/>
        <v>https://Estud2024.sawtoothsoftware.com/cgi-bin/ciwweb.pl?studyname=Estud2024&amp;ID=296</v>
      </c>
      <c r="L297" s="113">
        <v>45705</v>
      </c>
      <c r="M297" s="45" t="s">
        <v>246</v>
      </c>
    </row>
    <row r="298" spans="1:13">
      <c r="A298" s="45">
        <v>297</v>
      </c>
      <c r="B298" s="45" t="s">
        <v>90</v>
      </c>
      <c r="C298" s="45">
        <v>1</v>
      </c>
      <c r="D298" s="45" t="s">
        <v>118</v>
      </c>
      <c r="E298" s="45">
        <v>18</v>
      </c>
      <c r="F298" s="45" t="s">
        <v>7558</v>
      </c>
      <c r="G298" s="110">
        <v>6</v>
      </c>
      <c r="H298" s="45" t="s">
        <v>7559</v>
      </c>
      <c r="I298" s="45" t="s">
        <v>6754</v>
      </c>
      <c r="J298" s="111">
        <v>45702</v>
      </c>
      <c r="K298" s="110" t="str">
        <f t="shared" si="1"/>
        <v>https://Estud2024.sawtoothsoftware.com/cgi-bin/ciwweb.pl?studyname=Estud2024&amp;ID=297</v>
      </c>
      <c r="L298" s="113">
        <v>45705</v>
      </c>
      <c r="M298" s="45" t="s">
        <v>246</v>
      </c>
    </row>
    <row r="299" spans="1:13">
      <c r="A299" s="45">
        <v>298</v>
      </c>
      <c r="B299" s="45" t="s">
        <v>90</v>
      </c>
      <c r="C299" s="45">
        <v>1</v>
      </c>
      <c r="D299" s="45" t="s">
        <v>118</v>
      </c>
      <c r="E299" s="45">
        <v>18</v>
      </c>
      <c r="F299" s="45" t="s">
        <v>7560</v>
      </c>
      <c r="G299" s="110" t="s">
        <v>7561</v>
      </c>
      <c r="H299" s="45" t="s">
        <v>7562</v>
      </c>
      <c r="I299" s="45" t="s">
        <v>6754</v>
      </c>
      <c r="J299" s="111">
        <v>45702</v>
      </c>
      <c r="K299" s="110" t="str">
        <f t="shared" si="1"/>
        <v>https://Estud2024.sawtoothsoftware.com/cgi-bin/ciwweb.pl?studyname=Estud2024&amp;ID=298</v>
      </c>
      <c r="L299" s="113">
        <v>45705</v>
      </c>
      <c r="M299" s="45" t="s">
        <v>247</v>
      </c>
    </row>
    <row r="300" spans="1:13">
      <c r="A300" s="45">
        <v>299</v>
      </c>
      <c r="B300" s="45" t="s">
        <v>90</v>
      </c>
      <c r="C300" s="45">
        <v>1</v>
      </c>
      <c r="D300" s="45" t="s">
        <v>118</v>
      </c>
      <c r="E300" s="45">
        <v>18</v>
      </c>
      <c r="F300" s="45" t="s">
        <v>7563</v>
      </c>
      <c r="G300" s="110" t="s">
        <v>7561</v>
      </c>
      <c r="H300" s="45" t="s">
        <v>7564</v>
      </c>
      <c r="I300" s="45" t="s">
        <v>6754</v>
      </c>
      <c r="J300" s="111">
        <v>45702</v>
      </c>
      <c r="K300" s="110" t="str">
        <f t="shared" si="1"/>
        <v>https://Estud2024.sawtoothsoftware.com/cgi-bin/ciwweb.pl?studyname=Estud2024&amp;ID=299</v>
      </c>
      <c r="L300" s="113">
        <v>45705</v>
      </c>
      <c r="M300" s="45" t="s">
        <v>247</v>
      </c>
    </row>
    <row r="301" spans="1:13">
      <c r="A301" s="45">
        <v>300</v>
      </c>
      <c r="B301" s="45" t="s">
        <v>90</v>
      </c>
      <c r="C301" s="45">
        <v>1</v>
      </c>
      <c r="D301" s="45" t="s">
        <v>118</v>
      </c>
      <c r="E301" s="45">
        <v>18</v>
      </c>
      <c r="F301" s="45" t="s">
        <v>7565</v>
      </c>
      <c r="G301" s="110" t="s">
        <v>7561</v>
      </c>
      <c r="H301" s="45" t="s">
        <v>7566</v>
      </c>
      <c r="I301" s="45" t="s">
        <v>6754</v>
      </c>
      <c r="J301" s="111">
        <v>45702</v>
      </c>
      <c r="K301" s="110" t="str">
        <f t="shared" si="1"/>
        <v>https://Estud2024.sawtoothsoftware.com/cgi-bin/ciwweb.pl?studyname=Estud2024&amp;ID=300</v>
      </c>
      <c r="L301" s="113">
        <v>45705</v>
      </c>
      <c r="M301" s="45" t="s">
        <v>247</v>
      </c>
    </row>
    <row r="302" spans="1:13">
      <c r="A302" s="45">
        <v>301</v>
      </c>
      <c r="B302" s="45" t="s">
        <v>90</v>
      </c>
      <c r="C302" s="45">
        <v>1</v>
      </c>
      <c r="D302" s="45" t="s">
        <v>118</v>
      </c>
      <c r="E302" s="45">
        <v>18</v>
      </c>
      <c r="F302" s="45" t="s">
        <v>7567</v>
      </c>
      <c r="G302" s="110" t="s">
        <v>7561</v>
      </c>
      <c r="H302" s="45" t="s">
        <v>7568</v>
      </c>
      <c r="I302" s="45" t="s">
        <v>6754</v>
      </c>
      <c r="J302" s="111">
        <v>45702</v>
      </c>
      <c r="K302" s="110" t="str">
        <f t="shared" si="1"/>
        <v>https://Estud2024.sawtoothsoftware.com/cgi-bin/ciwweb.pl?studyname=Estud2024&amp;ID=301</v>
      </c>
      <c r="L302" s="113">
        <v>45705</v>
      </c>
      <c r="M302" s="45" t="s">
        <v>247</v>
      </c>
    </row>
    <row r="303" spans="1:13">
      <c r="A303" s="45">
        <v>302</v>
      </c>
      <c r="B303" s="45" t="s">
        <v>90</v>
      </c>
      <c r="C303" s="45">
        <v>1</v>
      </c>
      <c r="D303" s="45" t="s">
        <v>119</v>
      </c>
      <c r="E303" s="45">
        <v>8</v>
      </c>
      <c r="F303" s="45" t="s">
        <v>7569</v>
      </c>
      <c r="G303" s="110">
        <v>2</v>
      </c>
      <c r="H303" s="45" t="s">
        <v>7570</v>
      </c>
      <c r="I303" s="45" t="s">
        <v>6754</v>
      </c>
      <c r="J303" s="111">
        <v>45702</v>
      </c>
      <c r="K303" s="110" t="str">
        <f t="shared" si="1"/>
        <v>https://Estud2024.sawtoothsoftware.com/cgi-bin/ciwweb.pl?studyname=Estud2024&amp;ID=302</v>
      </c>
      <c r="L303" s="113">
        <v>45705</v>
      </c>
      <c r="M303" s="45" t="s">
        <v>246</v>
      </c>
    </row>
    <row r="304" spans="1:13">
      <c r="A304" s="45">
        <v>303</v>
      </c>
      <c r="B304" s="45" t="s">
        <v>90</v>
      </c>
      <c r="C304" s="45">
        <v>1</v>
      </c>
      <c r="D304" s="45" t="s">
        <v>119</v>
      </c>
      <c r="E304" s="45">
        <v>8</v>
      </c>
      <c r="F304" s="45" t="s">
        <v>7571</v>
      </c>
      <c r="G304" s="110">
        <v>2</v>
      </c>
      <c r="H304" s="45" t="s">
        <v>7572</v>
      </c>
      <c r="I304" s="45" t="s">
        <v>6754</v>
      </c>
      <c r="J304" s="111">
        <v>45702</v>
      </c>
      <c r="K304" s="110" t="str">
        <f t="shared" si="1"/>
        <v>https://Estud2024.sawtoothsoftware.com/cgi-bin/ciwweb.pl?studyname=Estud2024&amp;ID=303</v>
      </c>
      <c r="L304" s="113">
        <v>45705</v>
      </c>
      <c r="M304" s="45" t="s">
        <v>246</v>
      </c>
    </row>
    <row r="305" spans="1:13">
      <c r="A305" s="45">
        <v>304</v>
      </c>
      <c r="B305" s="45" t="s">
        <v>90</v>
      </c>
      <c r="C305" s="45">
        <v>1</v>
      </c>
      <c r="D305" s="45" t="s">
        <v>119</v>
      </c>
      <c r="E305" s="45">
        <v>8</v>
      </c>
      <c r="F305" s="45" t="s">
        <v>7573</v>
      </c>
      <c r="G305" s="110">
        <v>2</v>
      </c>
      <c r="H305" s="45" t="s">
        <v>7574</v>
      </c>
      <c r="I305" s="45" t="s">
        <v>6754</v>
      </c>
      <c r="J305" s="111">
        <v>45702</v>
      </c>
      <c r="K305" s="110" t="str">
        <f t="shared" si="1"/>
        <v>https://Estud2024.sawtoothsoftware.com/cgi-bin/ciwweb.pl?studyname=Estud2024&amp;ID=304</v>
      </c>
      <c r="L305" s="113">
        <v>45705</v>
      </c>
      <c r="M305" s="45" t="s">
        <v>246</v>
      </c>
    </row>
    <row r="306" spans="1:13">
      <c r="A306" s="45">
        <v>305</v>
      </c>
      <c r="B306" s="45" t="s">
        <v>90</v>
      </c>
      <c r="C306" s="45">
        <v>1</v>
      </c>
      <c r="D306" s="45" t="s">
        <v>119</v>
      </c>
      <c r="E306" s="45">
        <v>8</v>
      </c>
      <c r="F306" s="45" t="s">
        <v>7575</v>
      </c>
      <c r="G306" s="110">
        <v>2</v>
      </c>
      <c r="H306" s="45" t="s">
        <v>7576</v>
      </c>
      <c r="I306" s="45" t="s">
        <v>6754</v>
      </c>
      <c r="J306" s="111">
        <v>45702</v>
      </c>
      <c r="K306" s="110" t="str">
        <f t="shared" si="1"/>
        <v>https://Estud2024.sawtoothsoftware.com/cgi-bin/ciwweb.pl?studyname=Estud2024&amp;ID=305</v>
      </c>
      <c r="L306" s="113">
        <v>45705</v>
      </c>
      <c r="M306" s="45" t="s">
        <v>247</v>
      </c>
    </row>
    <row r="307" spans="1:13">
      <c r="A307" s="45">
        <v>306</v>
      </c>
      <c r="B307" s="45" t="s">
        <v>90</v>
      </c>
      <c r="C307" s="45">
        <v>1</v>
      </c>
      <c r="D307" s="45" t="s">
        <v>119</v>
      </c>
      <c r="E307" s="45">
        <v>8</v>
      </c>
      <c r="F307" s="45" t="s">
        <v>7577</v>
      </c>
      <c r="G307" s="110">
        <v>2</v>
      </c>
      <c r="H307" s="45" t="s">
        <v>7578</v>
      </c>
      <c r="I307" s="45" t="s">
        <v>6754</v>
      </c>
      <c r="J307" s="111">
        <v>45702</v>
      </c>
      <c r="K307" s="110" t="str">
        <f t="shared" si="1"/>
        <v>https://Estud2024.sawtoothsoftware.com/cgi-bin/ciwweb.pl?studyname=Estud2024&amp;ID=306</v>
      </c>
      <c r="L307" s="113">
        <v>45705</v>
      </c>
      <c r="M307" s="45" t="s">
        <v>246</v>
      </c>
    </row>
    <row r="308" spans="1:13">
      <c r="A308" s="45">
        <v>307</v>
      </c>
      <c r="B308" s="45" t="s">
        <v>90</v>
      </c>
      <c r="C308" s="45">
        <v>1</v>
      </c>
      <c r="D308" s="45" t="s">
        <v>119</v>
      </c>
      <c r="E308" s="45">
        <v>8</v>
      </c>
      <c r="F308" s="45" t="s">
        <v>7579</v>
      </c>
      <c r="G308" s="110">
        <v>2</v>
      </c>
      <c r="H308" s="45" t="s">
        <v>7580</v>
      </c>
      <c r="I308" s="45" t="s">
        <v>6754</v>
      </c>
      <c r="J308" s="111">
        <v>45702</v>
      </c>
      <c r="K308" s="110" t="str">
        <f t="shared" si="1"/>
        <v>https://Estud2024.sawtoothsoftware.com/cgi-bin/ciwweb.pl?studyname=Estud2024&amp;ID=307</v>
      </c>
      <c r="L308" s="113">
        <v>45705</v>
      </c>
      <c r="M308" s="45" t="s">
        <v>247</v>
      </c>
    </row>
    <row r="309" spans="1:13">
      <c r="A309" s="45">
        <v>308</v>
      </c>
      <c r="B309" s="45" t="s">
        <v>90</v>
      </c>
      <c r="C309" s="45">
        <v>1</v>
      </c>
      <c r="D309" s="45" t="s">
        <v>119</v>
      </c>
      <c r="E309" s="45">
        <v>8</v>
      </c>
      <c r="F309" s="45" t="s">
        <v>7581</v>
      </c>
      <c r="G309" s="110">
        <v>3</v>
      </c>
      <c r="H309" s="45" t="s">
        <v>7582</v>
      </c>
      <c r="I309" s="45" t="s">
        <v>6754</v>
      </c>
      <c r="J309" s="111">
        <v>45702</v>
      </c>
      <c r="K309" s="110" t="str">
        <f t="shared" si="1"/>
        <v>https://Estud2024.sawtoothsoftware.com/cgi-bin/ciwweb.pl?studyname=Estud2024&amp;ID=308</v>
      </c>
      <c r="L309" s="113">
        <v>45705</v>
      </c>
      <c r="M309" s="45" t="s">
        <v>247</v>
      </c>
    </row>
    <row r="310" spans="1:13">
      <c r="A310" s="45">
        <v>309</v>
      </c>
      <c r="B310" s="45" t="s">
        <v>90</v>
      </c>
      <c r="C310" s="45">
        <v>1</v>
      </c>
      <c r="D310" s="45" t="s">
        <v>119</v>
      </c>
      <c r="E310" s="45">
        <v>8</v>
      </c>
      <c r="F310" s="45" t="s">
        <v>7583</v>
      </c>
      <c r="G310" s="110">
        <v>3</v>
      </c>
      <c r="H310" s="45" t="s">
        <v>7584</v>
      </c>
      <c r="I310" s="45" t="s">
        <v>6754</v>
      </c>
      <c r="J310" s="111">
        <v>45702</v>
      </c>
      <c r="K310" s="110" t="str">
        <f t="shared" si="1"/>
        <v>https://Estud2024.sawtoothsoftware.com/cgi-bin/ciwweb.pl?studyname=Estud2024&amp;ID=309</v>
      </c>
      <c r="L310" s="113">
        <v>45705</v>
      </c>
      <c r="M310" s="45" t="s">
        <v>246</v>
      </c>
    </row>
    <row r="311" spans="1:13">
      <c r="A311" s="45">
        <v>310</v>
      </c>
      <c r="B311" s="45" t="s">
        <v>90</v>
      </c>
      <c r="C311" s="45">
        <v>1</v>
      </c>
      <c r="D311" s="45" t="s">
        <v>119</v>
      </c>
      <c r="E311" s="45">
        <v>8</v>
      </c>
      <c r="F311" s="45" t="s">
        <v>7585</v>
      </c>
      <c r="G311" s="110">
        <v>3</v>
      </c>
      <c r="H311" s="45" t="s">
        <v>7586</v>
      </c>
      <c r="I311" s="45" t="s">
        <v>6754</v>
      </c>
      <c r="J311" s="111">
        <v>45702</v>
      </c>
      <c r="K311" s="110" t="str">
        <f t="shared" si="1"/>
        <v>https://Estud2024.sawtoothsoftware.com/cgi-bin/ciwweb.pl?studyname=Estud2024&amp;ID=310</v>
      </c>
      <c r="L311" s="113">
        <v>45705</v>
      </c>
      <c r="M311" s="45" t="s">
        <v>246</v>
      </c>
    </row>
    <row r="312" spans="1:13">
      <c r="A312" s="45">
        <v>311</v>
      </c>
      <c r="B312" s="45" t="s">
        <v>90</v>
      </c>
      <c r="C312" s="45">
        <v>1</v>
      </c>
      <c r="D312" s="45" t="s">
        <v>119</v>
      </c>
      <c r="E312" s="45">
        <v>8</v>
      </c>
      <c r="F312" s="45" t="s">
        <v>7587</v>
      </c>
      <c r="G312" s="110">
        <v>3</v>
      </c>
      <c r="H312" s="45" t="s">
        <v>7588</v>
      </c>
      <c r="I312" s="45" t="s">
        <v>6754</v>
      </c>
      <c r="J312" s="111">
        <v>45702</v>
      </c>
      <c r="K312" s="110" t="str">
        <f t="shared" si="1"/>
        <v>https://Estud2024.sawtoothsoftware.com/cgi-bin/ciwweb.pl?studyname=Estud2024&amp;ID=311</v>
      </c>
      <c r="L312" s="113">
        <v>45705</v>
      </c>
      <c r="M312" s="45" t="s">
        <v>246</v>
      </c>
    </row>
    <row r="313" spans="1:13">
      <c r="A313" s="45">
        <v>312</v>
      </c>
      <c r="B313" s="45" t="s">
        <v>90</v>
      </c>
      <c r="C313" s="45">
        <v>1</v>
      </c>
      <c r="D313" s="45" t="s">
        <v>119</v>
      </c>
      <c r="E313" s="45">
        <v>8</v>
      </c>
      <c r="F313" s="45" t="s">
        <v>7589</v>
      </c>
      <c r="G313" s="110">
        <v>3</v>
      </c>
      <c r="H313" s="45" t="s">
        <v>7590</v>
      </c>
      <c r="I313" s="45" t="s">
        <v>6754</v>
      </c>
      <c r="J313" s="111">
        <v>45702</v>
      </c>
      <c r="K313" s="110" t="str">
        <f t="shared" si="1"/>
        <v>https://Estud2024.sawtoothsoftware.com/cgi-bin/ciwweb.pl?studyname=Estud2024&amp;ID=312</v>
      </c>
      <c r="L313" s="113">
        <v>45705</v>
      </c>
      <c r="M313" s="45" t="s">
        <v>246</v>
      </c>
    </row>
    <row r="314" spans="1:13">
      <c r="A314" s="45">
        <v>313</v>
      </c>
      <c r="B314" s="45" t="s">
        <v>90</v>
      </c>
      <c r="C314" s="45">
        <v>1</v>
      </c>
      <c r="D314" s="45" t="s">
        <v>119</v>
      </c>
      <c r="E314" s="45">
        <v>8</v>
      </c>
      <c r="F314" s="45" t="s">
        <v>7591</v>
      </c>
      <c r="G314" s="110">
        <v>4</v>
      </c>
      <c r="H314" s="45" t="s">
        <v>7592</v>
      </c>
      <c r="I314" s="45" t="s">
        <v>6754</v>
      </c>
      <c r="J314" s="111">
        <v>45702</v>
      </c>
      <c r="K314" s="110" t="str">
        <f t="shared" si="1"/>
        <v>https://Estud2024.sawtoothsoftware.com/cgi-bin/ciwweb.pl?studyname=Estud2024&amp;ID=313</v>
      </c>
      <c r="L314" s="113">
        <v>45705</v>
      </c>
      <c r="M314" s="45" t="s">
        <v>247</v>
      </c>
    </row>
    <row r="315" spans="1:13">
      <c r="A315" s="45">
        <v>314</v>
      </c>
      <c r="B315" s="45" t="s">
        <v>90</v>
      </c>
      <c r="C315" s="45">
        <v>1</v>
      </c>
      <c r="D315" s="45" t="s">
        <v>119</v>
      </c>
      <c r="E315" s="45">
        <v>8</v>
      </c>
      <c r="F315" s="45" t="s">
        <v>7593</v>
      </c>
      <c r="G315" s="110">
        <v>4</v>
      </c>
      <c r="H315" s="45" t="s">
        <v>7594</v>
      </c>
      <c r="I315" s="45" t="s">
        <v>6754</v>
      </c>
      <c r="J315" s="111">
        <v>45702</v>
      </c>
      <c r="K315" s="110" t="str">
        <f t="shared" si="1"/>
        <v>https://Estud2024.sawtoothsoftware.com/cgi-bin/ciwweb.pl?studyname=Estud2024&amp;ID=314</v>
      </c>
      <c r="L315" s="113">
        <v>45705</v>
      </c>
      <c r="M315" s="45" t="s">
        <v>247</v>
      </c>
    </row>
    <row r="316" spans="1:13">
      <c r="A316" s="45">
        <v>315</v>
      </c>
      <c r="B316" s="45" t="s">
        <v>90</v>
      </c>
      <c r="C316" s="45">
        <v>1</v>
      </c>
      <c r="D316" s="45" t="s">
        <v>119</v>
      </c>
      <c r="E316" s="45">
        <v>8</v>
      </c>
      <c r="F316" s="45" t="s">
        <v>7595</v>
      </c>
      <c r="G316" s="110">
        <v>4</v>
      </c>
      <c r="H316" s="45" t="s">
        <v>7596</v>
      </c>
      <c r="I316" s="45" t="s">
        <v>6754</v>
      </c>
      <c r="J316" s="111">
        <v>45702</v>
      </c>
      <c r="K316" s="110" t="str">
        <f t="shared" si="1"/>
        <v>https://Estud2024.sawtoothsoftware.com/cgi-bin/ciwweb.pl?studyname=Estud2024&amp;ID=315</v>
      </c>
      <c r="L316" s="113">
        <v>45705</v>
      </c>
      <c r="M316" s="45" t="s">
        <v>247</v>
      </c>
    </row>
    <row r="317" spans="1:13">
      <c r="A317" s="45">
        <v>316</v>
      </c>
      <c r="B317" s="45" t="s">
        <v>90</v>
      </c>
      <c r="C317" s="45">
        <v>1</v>
      </c>
      <c r="D317" s="45" t="s">
        <v>119</v>
      </c>
      <c r="E317" s="45">
        <v>8</v>
      </c>
      <c r="F317" s="45" t="s">
        <v>7597</v>
      </c>
      <c r="G317" s="110">
        <v>4</v>
      </c>
      <c r="H317" s="45" t="s">
        <v>7598</v>
      </c>
      <c r="I317" s="45" t="s">
        <v>6754</v>
      </c>
      <c r="J317" s="111">
        <v>45702</v>
      </c>
      <c r="K317" s="110" t="str">
        <f t="shared" si="1"/>
        <v>https://Estud2024.sawtoothsoftware.com/cgi-bin/ciwweb.pl?studyname=Estud2024&amp;ID=316</v>
      </c>
      <c r="L317" s="113">
        <v>45705</v>
      </c>
      <c r="M317" s="45" t="s">
        <v>246</v>
      </c>
    </row>
    <row r="318" spans="1:13">
      <c r="A318" s="45">
        <v>317</v>
      </c>
      <c r="B318" s="45" t="s">
        <v>90</v>
      </c>
      <c r="C318" s="45">
        <v>1</v>
      </c>
      <c r="D318" s="45" t="s">
        <v>119</v>
      </c>
      <c r="E318" s="45">
        <v>8</v>
      </c>
      <c r="F318" s="45" t="s">
        <v>7599</v>
      </c>
      <c r="G318" s="110">
        <v>4</v>
      </c>
      <c r="H318" s="45" t="s">
        <v>7600</v>
      </c>
      <c r="I318" s="45" t="s">
        <v>6754</v>
      </c>
      <c r="J318" s="111">
        <v>45702</v>
      </c>
      <c r="K318" s="110" t="str">
        <f t="shared" si="1"/>
        <v>https://Estud2024.sawtoothsoftware.com/cgi-bin/ciwweb.pl?studyname=Estud2024&amp;ID=317</v>
      </c>
      <c r="L318" s="113">
        <v>45705</v>
      </c>
      <c r="M318" s="45" t="s">
        <v>247</v>
      </c>
    </row>
    <row r="319" spans="1:13">
      <c r="A319" s="45">
        <v>318</v>
      </c>
      <c r="B319" s="45" t="s">
        <v>90</v>
      </c>
      <c r="C319" s="45">
        <v>1</v>
      </c>
      <c r="D319" s="45" t="s">
        <v>119</v>
      </c>
      <c r="E319" s="45">
        <v>8</v>
      </c>
      <c r="F319" s="45" t="s">
        <v>7601</v>
      </c>
      <c r="G319" s="110">
        <v>5</v>
      </c>
      <c r="H319" s="45" t="s">
        <v>7602</v>
      </c>
      <c r="I319" s="45" t="s">
        <v>6754</v>
      </c>
      <c r="J319" s="111">
        <v>45702</v>
      </c>
      <c r="K319" s="110" t="str">
        <f t="shared" si="1"/>
        <v>https://Estud2024.sawtoothsoftware.com/cgi-bin/ciwweb.pl?studyname=Estud2024&amp;ID=318</v>
      </c>
      <c r="L319" s="113">
        <v>45705</v>
      </c>
      <c r="M319" s="45" t="s">
        <v>247</v>
      </c>
    </row>
    <row r="320" spans="1:13">
      <c r="A320" s="45">
        <v>319</v>
      </c>
      <c r="B320" s="45" t="s">
        <v>90</v>
      </c>
      <c r="C320" s="45">
        <v>1</v>
      </c>
      <c r="D320" s="45" t="s">
        <v>119</v>
      </c>
      <c r="E320" s="45">
        <v>8</v>
      </c>
      <c r="F320" s="45" t="s">
        <v>7603</v>
      </c>
      <c r="G320" s="110">
        <v>5</v>
      </c>
      <c r="H320" s="45" t="s">
        <v>7604</v>
      </c>
      <c r="I320" s="45" t="s">
        <v>6754</v>
      </c>
      <c r="J320" s="111">
        <v>45702</v>
      </c>
      <c r="K320" s="110" t="str">
        <f t="shared" si="1"/>
        <v>https://Estud2024.sawtoothsoftware.com/cgi-bin/ciwweb.pl?studyname=Estud2024&amp;ID=319</v>
      </c>
      <c r="L320" s="113">
        <v>45705</v>
      </c>
      <c r="M320" s="45" t="s">
        <v>247</v>
      </c>
    </row>
    <row r="321" spans="1:13">
      <c r="A321" s="45">
        <v>320</v>
      </c>
      <c r="B321" s="45" t="s">
        <v>90</v>
      </c>
      <c r="C321" s="45">
        <v>1</v>
      </c>
      <c r="D321" s="45" t="s">
        <v>119</v>
      </c>
      <c r="E321" s="45">
        <v>8</v>
      </c>
      <c r="F321" s="45" t="s">
        <v>7605</v>
      </c>
      <c r="G321" s="110">
        <v>5</v>
      </c>
      <c r="H321" s="45" t="s">
        <v>7606</v>
      </c>
      <c r="I321" s="45" t="s">
        <v>6754</v>
      </c>
      <c r="J321" s="111">
        <v>45702</v>
      </c>
      <c r="K321" s="110" t="str">
        <f t="shared" si="1"/>
        <v>https://Estud2024.sawtoothsoftware.com/cgi-bin/ciwweb.pl?studyname=Estud2024&amp;ID=320</v>
      </c>
      <c r="L321" s="113">
        <v>45705</v>
      </c>
      <c r="M321" s="45" t="s">
        <v>246</v>
      </c>
    </row>
    <row r="322" spans="1:13">
      <c r="A322" s="45">
        <v>321</v>
      </c>
      <c r="B322" s="45" t="s">
        <v>90</v>
      </c>
      <c r="C322" s="45">
        <v>1</v>
      </c>
      <c r="D322" s="45" t="s">
        <v>119</v>
      </c>
      <c r="E322" s="45">
        <v>8</v>
      </c>
      <c r="F322" s="45" t="s">
        <v>7607</v>
      </c>
      <c r="G322" s="110">
        <v>5</v>
      </c>
      <c r="H322" s="45" t="s">
        <v>7608</v>
      </c>
      <c r="I322" s="45" t="s">
        <v>6754</v>
      </c>
      <c r="J322" s="111">
        <v>45702</v>
      </c>
      <c r="K322" s="110" t="str">
        <f t="shared" si="1"/>
        <v>https://Estud2024.sawtoothsoftware.com/cgi-bin/ciwweb.pl?studyname=Estud2024&amp;ID=321</v>
      </c>
      <c r="L322" s="113">
        <v>45705</v>
      </c>
      <c r="M322" s="45" t="s">
        <v>246</v>
      </c>
    </row>
    <row r="323" spans="1:13">
      <c r="A323" s="45">
        <v>322</v>
      </c>
      <c r="B323" s="45" t="s">
        <v>90</v>
      </c>
      <c r="C323" s="45">
        <v>1</v>
      </c>
      <c r="D323" s="45" t="s">
        <v>119</v>
      </c>
      <c r="E323" s="45">
        <v>8</v>
      </c>
      <c r="F323" s="45" t="s">
        <v>7609</v>
      </c>
      <c r="G323" s="110">
        <v>5</v>
      </c>
      <c r="H323" s="45" t="s">
        <v>7610</v>
      </c>
      <c r="I323" s="45" t="s">
        <v>6754</v>
      </c>
      <c r="J323" s="111">
        <v>45702</v>
      </c>
      <c r="K323" s="110" t="str">
        <f t="shared" si="1"/>
        <v>https://Estud2024.sawtoothsoftware.com/cgi-bin/ciwweb.pl?studyname=Estud2024&amp;ID=322</v>
      </c>
      <c r="L323" s="113">
        <v>45705</v>
      </c>
      <c r="M323" s="45" t="s">
        <v>246</v>
      </c>
    </row>
    <row r="324" spans="1:13">
      <c r="A324" s="45">
        <v>323</v>
      </c>
      <c r="B324" s="45" t="s">
        <v>90</v>
      </c>
      <c r="C324" s="45">
        <v>1</v>
      </c>
      <c r="D324" s="45" t="s">
        <v>119</v>
      </c>
      <c r="E324" s="45">
        <v>8</v>
      </c>
      <c r="F324" s="45" t="s">
        <v>7611</v>
      </c>
      <c r="G324" s="110">
        <v>6</v>
      </c>
      <c r="H324" s="45" t="s">
        <v>7612</v>
      </c>
      <c r="I324" s="45" t="s">
        <v>6754</v>
      </c>
      <c r="J324" s="111">
        <v>45702</v>
      </c>
      <c r="K324" s="110" t="str">
        <f t="shared" si="1"/>
        <v>https://Estud2024.sawtoothsoftware.com/cgi-bin/ciwweb.pl?studyname=Estud2024&amp;ID=323</v>
      </c>
      <c r="L324" s="113">
        <v>45705</v>
      </c>
      <c r="M324" s="45" t="s">
        <v>246</v>
      </c>
    </row>
    <row r="325" spans="1:13">
      <c r="A325" s="45">
        <v>324</v>
      </c>
      <c r="B325" s="45" t="s">
        <v>90</v>
      </c>
      <c r="C325" s="45">
        <v>1</v>
      </c>
      <c r="D325" s="45" t="s">
        <v>119</v>
      </c>
      <c r="E325" s="45">
        <v>8</v>
      </c>
      <c r="F325" s="45" t="s">
        <v>7613</v>
      </c>
      <c r="G325" s="110">
        <v>6</v>
      </c>
      <c r="H325" s="45" t="s">
        <v>7614</v>
      </c>
      <c r="I325" s="45" t="s">
        <v>6754</v>
      </c>
      <c r="J325" s="111">
        <v>45702</v>
      </c>
      <c r="K325" s="110" t="str">
        <f t="shared" si="1"/>
        <v>https://Estud2024.sawtoothsoftware.com/cgi-bin/ciwweb.pl?studyname=Estud2024&amp;ID=324</v>
      </c>
      <c r="L325" s="113">
        <v>45705</v>
      </c>
      <c r="M325" s="45" t="s">
        <v>246</v>
      </c>
    </row>
    <row r="326" spans="1:13">
      <c r="A326" s="45">
        <v>325</v>
      </c>
      <c r="B326" s="45" t="s">
        <v>90</v>
      </c>
      <c r="C326" s="45">
        <v>1</v>
      </c>
      <c r="D326" s="45" t="s">
        <v>119</v>
      </c>
      <c r="E326" s="45">
        <v>8</v>
      </c>
      <c r="F326" s="45" t="s">
        <v>7615</v>
      </c>
      <c r="G326" s="110">
        <v>6</v>
      </c>
      <c r="H326" s="45" t="s">
        <v>7616</v>
      </c>
      <c r="I326" s="45" t="s">
        <v>6754</v>
      </c>
      <c r="J326" s="111">
        <v>45702</v>
      </c>
      <c r="K326" s="110" t="str">
        <f t="shared" si="1"/>
        <v>https://Estud2024.sawtoothsoftware.com/cgi-bin/ciwweb.pl?studyname=Estud2024&amp;ID=325</v>
      </c>
      <c r="L326" s="113">
        <v>45705</v>
      </c>
      <c r="M326" s="45" t="s">
        <v>246</v>
      </c>
    </row>
    <row r="327" spans="1:13">
      <c r="A327" s="45">
        <v>326</v>
      </c>
      <c r="B327" s="45" t="s">
        <v>90</v>
      </c>
      <c r="C327" s="45">
        <v>1</v>
      </c>
      <c r="D327" s="45" t="s">
        <v>119</v>
      </c>
      <c r="E327" s="45">
        <v>8</v>
      </c>
      <c r="F327" s="45" t="s">
        <v>7617</v>
      </c>
      <c r="G327" s="110">
        <v>6</v>
      </c>
      <c r="H327" s="45" t="s">
        <v>7618</v>
      </c>
      <c r="I327" s="45" t="s">
        <v>6754</v>
      </c>
      <c r="J327" s="111">
        <v>45702</v>
      </c>
      <c r="K327" s="110" t="str">
        <f t="shared" si="1"/>
        <v>https://Estud2024.sawtoothsoftware.com/cgi-bin/ciwweb.pl?studyname=Estud2024&amp;ID=326</v>
      </c>
      <c r="L327" s="113">
        <v>45705</v>
      </c>
      <c r="M327" s="45" t="s">
        <v>246</v>
      </c>
    </row>
    <row r="328" spans="1:13">
      <c r="A328" s="45">
        <v>327</v>
      </c>
      <c r="B328" s="45" t="s">
        <v>90</v>
      </c>
      <c r="C328" s="45">
        <v>1</v>
      </c>
      <c r="D328" s="45" t="s">
        <v>119</v>
      </c>
      <c r="E328" s="45">
        <v>8</v>
      </c>
      <c r="F328" s="45" t="s">
        <v>7619</v>
      </c>
      <c r="G328" s="110">
        <v>6</v>
      </c>
      <c r="H328" s="45" t="s">
        <v>7620</v>
      </c>
      <c r="I328" s="45" t="s">
        <v>6754</v>
      </c>
      <c r="J328" s="111">
        <v>45702</v>
      </c>
      <c r="K328" s="110" t="str">
        <f t="shared" si="1"/>
        <v>https://Estud2024.sawtoothsoftware.com/cgi-bin/ciwweb.pl?studyname=Estud2024&amp;ID=327</v>
      </c>
      <c r="L328" s="113">
        <v>45705</v>
      </c>
      <c r="M328" s="45" t="s">
        <v>246</v>
      </c>
    </row>
    <row r="329" spans="1:13">
      <c r="A329" s="45">
        <v>328</v>
      </c>
      <c r="B329" s="45" t="s">
        <v>90</v>
      </c>
      <c r="C329" s="45">
        <v>1</v>
      </c>
      <c r="D329" s="45" t="s">
        <v>119</v>
      </c>
      <c r="E329" s="45">
        <v>8</v>
      </c>
      <c r="F329" s="45" t="s">
        <v>7621</v>
      </c>
      <c r="G329" s="110">
        <v>7</v>
      </c>
      <c r="H329" s="45" t="s">
        <v>7622</v>
      </c>
      <c r="I329" s="45" t="s">
        <v>6754</v>
      </c>
      <c r="J329" s="111">
        <v>45702</v>
      </c>
      <c r="K329" s="110" t="str">
        <f t="shared" si="1"/>
        <v>https://Estud2024.sawtoothsoftware.com/cgi-bin/ciwweb.pl?studyname=Estud2024&amp;ID=328</v>
      </c>
      <c r="L329" s="113">
        <v>45705</v>
      </c>
      <c r="M329" s="45" t="s">
        <v>246</v>
      </c>
    </row>
    <row r="330" spans="1:13">
      <c r="A330" s="45">
        <v>329</v>
      </c>
      <c r="B330" s="45" t="s">
        <v>90</v>
      </c>
      <c r="C330" s="45">
        <v>1</v>
      </c>
      <c r="D330" s="45" t="s">
        <v>119</v>
      </c>
      <c r="E330" s="45">
        <v>8</v>
      </c>
      <c r="F330" s="45" t="s">
        <v>7623</v>
      </c>
      <c r="G330" s="110">
        <v>7</v>
      </c>
      <c r="H330" s="45" t="s">
        <v>7624</v>
      </c>
      <c r="I330" s="45" t="s">
        <v>6754</v>
      </c>
      <c r="J330" s="111">
        <v>45702</v>
      </c>
      <c r="K330" s="110" t="str">
        <f t="shared" si="1"/>
        <v>https://Estud2024.sawtoothsoftware.com/cgi-bin/ciwweb.pl?studyname=Estud2024&amp;ID=329</v>
      </c>
      <c r="L330" s="113">
        <v>45705</v>
      </c>
      <c r="M330" s="45" t="s">
        <v>247</v>
      </c>
    </row>
    <row r="331" spans="1:13">
      <c r="A331" s="45">
        <v>330</v>
      </c>
      <c r="B331" s="45" t="s">
        <v>90</v>
      </c>
      <c r="C331" s="45">
        <v>1</v>
      </c>
      <c r="D331" s="45" t="s">
        <v>119</v>
      </c>
      <c r="E331" s="45">
        <v>8</v>
      </c>
      <c r="F331" s="45" t="s">
        <v>7625</v>
      </c>
      <c r="G331" s="110">
        <v>7</v>
      </c>
      <c r="H331" s="45" t="s">
        <v>7626</v>
      </c>
      <c r="I331" s="45" t="s">
        <v>6754</v>
      </c>
      <c r="J331" s="111">
        <v>45702</v>
      </c>
      <c r="K331" s="110" t="str">
        <f t="shared" si="1"/>
        <v>https://Estud2024.sawtoothsoftware.com/cgi-bin/ciwweb.pl?studyname=Estud2024&amp;ID=330</v>
      </c>
      <c r="L331" s="113">
        <v>45705</v>
      </c>
      <c r="M331" s="45" t="s">
        <v>246</v>
      </c>
    </row>
    <row r="332" spans="1:13">
      <c r="A332" s="45">
        <v>331</v>
      </c>
      <c r="B332" s="45" t="s">
        <v>90</v>
      </c>
      <c r="C332" s="45">
        <v>1</v>
      </c>
      <c r="D332" s="45" t="s">
        <v>119</v>
      </c>
      <c r="E332" s="45">
        <v>8</v>
      </c>
      <c r="F332" s="45" t="s">
        <v>7627</v>
      </c>
      <c r="G332" s="110">
        <v>7</v>
      </c>
      <c r="H332" s="45" t="s">
        <v>7628</v>
      </c>
      <c r="I332" s="45" t="s">
        <v>6754</v>
      </c>
      <c r="J332" s="111">
        <v>45702</v>
      </c>
      <c r="K332" s="110" t="str">
        <f t="shared" si="1"/>
        <v>https://Estud2024.sawtoothsoftware.com/cgi-bin/ciwweb.pl?studyname=Estud2024&amp;ID=331</v>
      </c>
      <c r="L332" s="113">
        <v>45705</v>
      </c>
      <c r="M332" s="45" t="s">
        <v>246</v>
      </c>
    </row>
    <row r="333" spans="1:13">
      <c r="A333" s="45">
        <v>332</v>
      </c>
      <c r="B333" s="45" t="s">
        <v>90</v>
      </c>
      <c r="C333" s="45">
        <v>1</v>
      </c>
      <c r="D333" s="45" t="s">
        <v>119</v>
      </c>
      <c r="E333" s="45">
        <v>8</v>
      </c>
      <c r="F333" s="45" t="s">
        <v>7629</v>
      </c>
      <c r="G333" s="110">
        <v>7</v>
      </c>
      <c r="H333" s="45" t="s">
        <v>7630</v>
      </c>
      <c r="I333" s="45" t="s">
        <v>6754</v>
      </c>
      <c r="J333" s="111">
        <v>45702</v>
      </c>
      <c r="K333" s="110" t="str">
        <f t="shared" si="1"/>
        <v>https://Estud2024.sawtoothsoftware.com/cgi-bin/ciwweb.pl?studyname=Estud2024&amp;ID=332</v>
      </c>
      <c r="L333" s="113">
        <v>45705</v>
      </c>
      <c r="M333" s="45" t="s">
        <v>247</v>
      </c>
    </row>
    <row r="334" spans="1:13">
      <c r="A334" s="45">
        <v>333</v>
      </c>
      <c r="B334" s="45" t="s">
        <v>90</v>
      </c>
      <c r="C334" s="45">
        <v>1</v>
      </c>
      <c r="D334" s="45" t="s">
        <v>120</v>
      </c>
      <c r="E334" s="45">
        <v>9</v>
      </c>
      <c r="F334" s="45" t="s">
        <v>7631</v>
      </c>
      <c r="G334" s="110">
        <v>2</v>
      </c>
      <c r="H334" s="45" t="s">
        <v>7632</v>
      </c>
      <c r="I334" s="45" t="s">
        <v>6754</v>
      </c>
      <c r="J334" s="111">
        <v>45702</v>
      </c>
      <c r="K334" s="110" t="str">
        <f t="shared" si="1"/>
        <v>https://Estud2024.sawtoothsoftware.com/cgi-bin/ciwweb.pl?studyname=Estud2024&amp;ID=333</v>
      </c>
      <c r="L334" s="113">
        <v>45705</v>
      </c>
      <c r="M334" s="45" t="s">
        <v>246</v>
      </c>
    </row>
    <row r="335" spans="1:13">
      <c r="A335" s="45">
        <v>334</v>
      </c>
      <c r="B335" s="45" t="s">
        <v>90</v>
      </c>
      <c r="C335" s="45">
        <v>1</v>
      </c>
      <c r="D335" s="45" t="s">
        <v>120</v>
      </c>
      <c r="E335" s="45">
        <v>9</v>
      </c>
      <c r="F335" s="45" t="s">
        <v>7633</v>
      </c>
      <c r="G335" s="110">
        <v>2</v>
      </c>
      <c r="H335" s="45" t="s">
        <v>7634</v>
      </c>
      <c r="I335" s="45" t="s">
        <v>6754</v>
      </c>
      <c r="J335" s="111">
        <v>45702</v>
      </c>
      <c r="K335" s="110" t="str">
        <f t="shared" si="1"/>
        <v>https://Estud2024.sawtoothsoftware.com/cgi-bin/ciwweb.pl?studyname=Estud2024&amp;ID=334</v>
      </c>
      <c r="L335" s="113">
        <v>45705</v>
      </c>
      <c r="M335" s="45" t="s">
        <v>246</v>
      </c>
    </row>
    <row r="336" spans="1:13">
      <c r="A336" s="45">
        <v>335</v>
      </c>
      <c r="B336" s="45" t="s">
        <v>90</v>
      </c>
      <c r="C336" s="45">
        <v>1</v>
      </c>
      <c r="D336" s="45" t="s">
        <v>120</v>
      </c>
      <c r="E336" s="45">
        <v>9</v>
      </c>
      <c r="F336" s="45" t="s">
        <v>7635</v>
      </c>
      <c r="G336" s="110">
        <v>2</v>
      </c>
      <c r="H336" s="45" t="s">
        <v>7636</v>
      </c>
      <c r="I336" s="45" t="s">
        <v>6754</v>
      </c>
      <c r="J336" s="111">
        <v>45702</v>
      </c>
      <c r="K336" s="110" t="str">
        <f t="shared" si="1"/>
        <v>https://Estud2024.sawtoothsoftware.com/cgi-bin/ciwweb.pl?studyname=Estud2024&amp;ID=335</v>
      </c>
      <c r="L336" s="113">
        <v>45705</v>
      </c>
      <c r="M336" s="45" t="s">
        <v>246</v>
      </c>
    </row>
    <row r="337" spans="1:13">
      <c r="A337" s="45">
        <v>336</v>
      </c>
      <c r="B337" s="45" t="s">
        <v>90</v>
      </c>
      <c r="C337" s="45">
        <v>1</v>
      </c>
      <c r="D337" s="45" t="s">
        <v>120</v>
      </c>
      <c r="E337" s="45">
        <v>9</v>
      </c>
      <c r="F337" s="45" t="s">
        <v>7637</v>
      </c>
      <c r="G337" s="110">
        <v>2</v>
      </c>
      <c r="H337" s="45" t="s">
        <v>7638</v>
      </c>
      <c r="I337" s="45" t="s">
        <v>6754</v>
      </c>
      <c r="J337" s="111">
        <v>45702</v>
      </c>
      <c r="K337" s="110" t="str">
        <f t="shared" si="1"/>
        <v>https://Estud2024.sawtoothsoftware.com/cgi-bin/ciwweb.pl?studyname=Estud2024&amp;ID=336</v>
      </c>
      <c r="L337" s="113">
        <v>45705</v>
      </c>
      <c r="M337" s="45" t="s">
        <v>246</v>
      </c>
    </row>
    <row r="338" spans="1:13">
      <c r="A338" s="45">
        <v>337</v>
      </c>
      <c r="B338" s="45" t="s">
        <v>90</v>
      </c>
      <c r="C338" s="45">
        <v>1</v>
      </c>
      <c r="D338" s="45" t="s">
        <v>120</v>
      </c>
      <c r="E338" s="45">
        <v>9</v>
      </c>
      <c r="F338" s="45" t="s">
        <v>7639</v>
      </c>
      <c r="G338" s="110">
        <v>3</v>
      </c>
      <c r="H338" s="45" t="s">
        <v>7640</v>
      </c>
      <c r="I338" s="45" t="s">
        <v>6754</v>
      </c>
      <c r="J338" s="111">
        <v>45702</v>
      </c>
      <c r="K338" s="110" t="str">
        <f t="shared" si="1"/>
        <v>https://Estud2024.sawtoothsoftware.com/cgi-bin/ciwweb.pl?studyname=Estud2024&amp;ID=337</v>
      </c>
      <c r="L338" s="113">
        <v>45705</v>
      </c>
      <c r="M338" s="45" t="s">
        <v>246</v>
      </c>
    </row>
    <row r="339" spans="1:13">
      <c r="A339" s="45">
        <v>338</v>
      </c>
      <c r="B339" s="45" t="s">
        <v>90</v>
      </c>
      <c r="C339" s="45">
        <v>1</v>
      </c>
      <c r="D339" s="45" t="s">
        <v>120</v>
      </c>
      <c r="E339" s="45">
        <v>9</v>
      </c>
      <c r="F339" s="45" t="s">
        <v>7641</v>
      </c>
      <c r="G339" s="110">
        <v>3</v>
      </c>
      <c r="H339" s="45" t="s">
        <v>7642</v>
      </c>
      <c r="I339" s="45" t="s">
        <v>6754</v>
      </c>
      <c r="J339" s="111">
        <v>45702</v>
      </c>
      <c r="K339" s="110" t="str">
        <f t="shared" si="1"/>
        <v>https://Estud2024.sawtoothsoftware.com/cgi-bin/ciwweb.pl?studyname=Estud2024&amp;ID=338</v>
      </c>
      <c r="L339" s="113">
        <v>45705</v>
      </c>
      <c r="M339" s="45" t="s">
        <v>246</v>
      </c>
    </row>
    <row r="340" spans="1:13">
      <c r="A340" s="45">
        <v>339</v>
      </c>
      <c r="B340" s="45" t="s">
        <v>90</v>
      </c>
      <c r="C340" s="45">
        <v>1</v>
      </c>
      <c r="D340" s="45" t="s">
        <v>120</v>
      </c>
      <c r="E340" s="45">
        <v>9</v>
      </c>
      <c r="F340" s="45" t="s">
        <v>7643</v>
      </c>
      <c r="G340" s="110">
        <v>3</v>
      </c>
      <c r="H340" s="45" t="s">
        <v>7644</v>
      </c>
      <c r="I340" s="45" t="s">
        <v>6754</v>
      </c>
      <c r="J340" s="111">
        <v>45702</v>
      </c>
      <c r="K340" s="110" t="str">
        <f t="shared" si="1"/>
        <v>https://Estud2024.sawtoothsoftware.com/cgi-bin/ciwweb.pl?studyname=Estud2024&amp;ID=339</v>
      </c>
      <c r="L340" s="113">
        <v>45705</v>
      </c>
      <c r="M340" s="45" t="s">
        <v>246</v>
      </c>
    </row>
    <row r="341" spans="1:13">
      <c r="A341" s="45">
        <v>340</v>
      </c>
      <c r="B341" s="45" t="s">
        <v>90</v>
      </c>
      <c r="C341" s="45">
        <v>1</v>
      </c>
      <c r="D341" s="45" t="s">
        <v>120</v>
      </c>
      <c r="E341" s="45">
        <v>9</v>
      </c>
      <c r="F341" s="45" t="s">
        <v>7645</v>
      </c>
      <c r="G341" s="110">
        <v>3</v>
      </c>
      <c r="H341" s="45" t="s">
        <v>7646</v>
      </c>
      <c r="I341" s="45" t="s">
        <v>6754</v>
      </c>
      <c r="J341" s="111">
        <v>45702</v>
      </c>
      <c r="K341" s="110" t="str">
        <f t="shared" si="1"/>
        <v>https://Estud2024.sawtoothsoftware.com/cgi-bin/ciwweb.pl?studyname=Estud2024&amp;ID=340</v>
      </c>
      <c r="L341" s="113">
        <v>45705</v>
      </c>
      <c r="M341" s="45" t="s">
        <v>246</v>
      </c>
    </row>
    <row r="342" spans="1:13">
      <c r="A342" s="45">
        <v>341</v>
      </c>
      <c r="B342" s="45" t="s">
        <v>90</v>
      </c>
      <c r="C342" s="45">
        <v>1</v>
      </c>
      <c r="D342" s="45" t="s">
        <v>120</v>
      </c>
      <c r="E342" s="45">
        <v>9</v>
      </c>
      <c r="F342" s="45" t="s">
        <v>7647</v>
      </c>
      <c r="G342" s="110">
        <v>4</v>
      </c>
      <c r="H342" s="45" t="s">
        <v>7648</v>
      </c>
      <c r="I342" s="45" t="s">
        <v>6754</v>
      </c>
      <c r="J342" s="111">
        <v>45702</v>
      </c>
      <c r="K342" s="110" t="str">
        <f t="shared" ref="K342:K405" si="2">CONCATENATE("https://Estud2024.sawtoothsoftware.com/cgi-bin/ciwweb.pl?studyname=Estud2024&amp;ID=",A342)</f>
        <v>https://Estud2024.sawtoothsoftware.com/cgi-bin/ciwweb.pl?studyname=Estud2024&amp;ID=341</v>
      </c>
      <c r="L342" s="113">
        <v>45705</v>
      </c>
      <c r="M342" s="45" t="s">
        <v>246</v>
      </c>
    </row>
    <row r="343" spans="1:13">
      <c r="A343" s="45">
        <v>342</v>
      </c>
      <c r="B343" s="45" t="s">
        <v>90</v>
      </c>
      <c r="C343" s="45">
        <v>1</v>
      </c>
      <c r="D343" s="45" t="s">
        <v>120</v>
      </c>
      <c r="E343" s="45">
        <v>9</v>
      </c>
      <c r="F343" s="45" t="s">
        <v>7649</v>
      </c>
      <c r="G343" s="110">
        <v>4</v>
      </c>
      <c r="H343" s="45" t="s">
        <v>7650</v>
      </c>
      <c r="I343" s="45" t="s">
        <v>6754</v>
      </c>
      <c r="J343" s="111">
        <v>45702</v>
      </c>
      <c r="K343" s="110" t="str">
        <f t="shared" si="2"/>
        <v>https://Estud2024.sawtoothsoftware.com/cgi-bin/ciwweb.pl?studyname=Estud2024&amp;ID=342</v>
      </c>
      <c r="L343" s="113">
        <v>45705</v>
      </c>
      <c r="M343" s="45" t="s">
        <v>246</v>
      </c>
    </row>
    <row r="344" spans="1:13">
      <c r="A344" s="45">
        <v>343</v>
      </c>
      <c r="B344" s="45" t="s">
        <v>90</v>
      </c>
      <c r="C344" s="45">
        <v>1</v>
      </c>
      <c r="D344" s="45" t="s">
        <v>120</v>
      </c>
      <c r="E344" s="45">
        <v>9</v>
      </c>
      <c r="F344" s="45" t="s">
        <v>7651</v>
      </c>
      <c r="G344" s="110">
        <v>4</v>
      </c>
      <c r="H344" s="45" t="s">
        <v>7652</v>
      </c>
      <c r="I344" s="45" t="s">
        <v>6754</v>
      </c>
      <c r="J344" s="111">
        <v>45702</v>
      </c>
      <c r="K344" s="110" t="str">
        <f t="shared" si="2"/>
        <v>https://Estud2024.sawtoothsoftware.com/cgi-bin/ciwweb.pl?studyname=Estud2024&amp;ID=343</v>
      </c>
      <c r="L344" s="113">
        <v>45705</v>
      </c>
      <c r="M344" s="45" t="s">
        <v>246</v>
      </c>
    </row>
    <row r="345" spans="1:13">
      <c r="A345" s="45">
        <v>344</v>
      </c>
      <c r="B345" s="45" t="s">
        <v>90</v>
      </c>
      <c r="C345" s="45">
        <v>1</v>
      </c>
      <c r="D345" s="45" t="s">
        <v>120</v>
      </c>
      <c r="E345" s="45">
        <v>9</v>
      </c>
      <c r="F345" s="45" t="s">
        <v>7653</v>
      </c>
      <c r="G345" s="110">
        <v>4</v>
      </c>
      <c r="H345" s="45" t="s">
        <v>7654</v>
      </c>
      <c r="I345" s="45" t="s">
        <v>6754</v>
      </c>
      <c r="J345" s="111">
        <v>45702</v>
      </c>
      <c r="K345" s="110" t="str">
        <f t="shared" si="2"/>
        <v>https://Estud2024.sawtoothsoftware.com/cgi-bin/ciwweb.pl?studyname=Estud2024&amp;ID=344</v>
      </c>
      <c r="L345" s="113">
        <v>45705</v>
      </c>
      <c r="M345" s="45" t="s">
        <v>246</v>
      </c>
    </row>
    <row r="346" spans="1:13">
      <c r="A346" s="45">
        <v>345</v>
      </c>
      <c r="B346" s="45" t="s">
        <v>90</v>
      </c>
      <c r="C346" s="45">
        <v>1</v>
      </c>
      <c r="D346" s="45" t="s">
        <v>123</v>
      </c>
      <c r="E346" s="45">
        <v>19</v>
      </c>
      <c r="F346" s="45" t="s">
        <v>7655</v>
      </c>
      <c r="G346" s="110">
        <v>2</v>
      </c>
      <c r="H346" s="45" t="s">
        <v>7656</v>
      </c>
      <c r="I346" s="45" t="s">
        <v>6754</v>
      </c>
      <c r="J346" s="111">
        <v>45702</v>
      </c>
      <c r="K346" s="110" t="str">
        <f t="shared" si="2"/>
        <v>https://Estud2024.sawtoothsoftware.com/cgi-bin/ciwweb.pl?studyname=Estud2024&amp;ID=345</v>
      </c>
      <c r="L346" s="113">
        <v>45705</v>
      </c>
      <c r="M346" s="45" t="s">
        <v>246</v>
      </c>
    </row>
    <row r="347" spans="1:13">
      <c r="A347" s="45">
        <v>346</v>
      </c>
      <c r="B347" s="45" t="s">
        <v>90</v>
      </c>
      <c r="C347" s="45">
        <v>1</v>
      </c>
      <c r="D347" s="45" t="s">
        <v>123</v>
      </c>
      <c r="E347" s="45">
        <v>19</v>
      </c>
      <c r="F347" s="45" t="s">
        <v>7657</v>
      </c>
      <c r="G347" s="110">
        <v>2</v>
      </c>
      <c r="H347" s="45" t="s">
        <v>7658</v>
      </c>
      <c r="I347" s="45" t="s">
        <v>6754</v>
      </c>
      <c r="J347" s="111">
        <v>45702</v>
      </c>
      <c r="K347" s="110" t="str">
        <f t="shared" si="2"/>
        <v>https://Estud2024.sawtoothsoftware.com/cgi-bin/ciwweb.pl?studyname=Estud2024&amp;ID=346</v>
      </c>
      <c r="L347" s="113">
        <v>45705</v>
      </c>
      <c r="M347" s="45" t="s">
        <v>246</v>
      </c>
    </row>
    <row r="348" spans="1:13">
      <c r="A348" s="45">
        <v>347</v>
      </c>
      <c r="B348" s="45" t="s">
        <v>90</v>
      </c>
      <c r="C348" s="45">
        <v>1</v>
      </c>
      <c r="D348" s="45" t="s">
        <v>123</v>
      </c>
      <c r="E348" s="45">
        <v>19</v>
      </c>
      <c r="F348" s="45" t="s">
        <v>7659</v>
      </c>
      <c r="G348" s="110">
        <v>2</v>
      </c>
      <c r="H348" s="45" t="s">
        <v>7660</v>
      </c>
      <c r="I348" s="45" t="s">
        <v>6754</v>
      </c>
      <c r="J348" s="111">
        <v>45702</v>
      </c>
      <c r="K348" s="110" t="str">
        <f t="shared" si="2"/>
        <v>https://Estud2024.sawtoothsoftware.com/cgi-bin/ciwweb.pl?studyname=Estud2024&amp;ID=347</v>
      </c>
      <c r="L348" s="113">
        <v>45705</v>
      </c>
      <c r="M348" s="45" t="s">
        <v>247</v>
      </c>
    </row>
    <row r="349" spans="1:13">
      <c r="A349" s="45">
        <v>348</v>
      </c>
      <c r="B349" s="45" t="s">
        <v>90</v>
      </c>
      <c r="C349" s="45">
        <v>1</v>
      </c>
      <c r="D349" s="45" t="s">
        <v>123</v>
      </c>
      <c r="E349" s="45">
        <v>19</v>
      </c>
      <c r="F349" s="45" t="s">
        <v>7661</v>
      </c>
      <c r="G349" s="110">
        <v>3</v>
      </c>
      <c r="H349" s="45" t="s">
        <v>7662</v>
      </c>
      <c r="I349" s="45" t="s">
        <v>6754</v>
      </c>
      <c r="J349" s="111">
        <v>45702</v>
      </c>
      <c r="K349" s="110" t="str">
        <f t="shared" si="2"/>
        <v>https://Estud2024.sawtoothsoftware.com/cgi-bin/ciwweb.pl?studyname=Estud2024&amp;ID=348</v>
      </c>
      <c r="L349" s="113">
        <v>45705</v>
      </c>
      <c r="M349" s="45" t="s">
        <v>246</v>
      </c>
    </row>
    <row r="350" spans="1:13">
      <c r="A350" s="45">
        <v>349</v>
      </c>
      <c r="B350" s="45" t="s">
        <v>90</v>
      </c>
      <c r="C350" s="45">
        <v>1</v>
      </c>
      <c r="D350" s="45" t="s">
        <v>123</v>
      </c>
      <c r="E350" s="45">
        <v>19</v>
      </c>
      <c r="F350" s="45" t="s">
        <v>7663</v>
      </c>
      <c r="G350" s="110">
        <v>3</v>
      </c>
      <c r="H350" s="45" t="s">
        <v>7664</v>
      </c>
      <c r="I350" s="45" t="s">
        <v>6754</v>
      </c>
      <c r="J350" s="111">
        <v>45702</v>
      </c>
      <c r="K350" s="110" t="str">
        <f t="shared" si="2"/>
        <v>https://Estud2024.sawtoothsoftware.com/cgi-bin/ciwweb.pl?studyname=Estud2024&amp;ID=349</v>
      </c>
      <c r="L350" s="113">
        <v>45705</v>
      </c>
      <c r="M350" s="45" t="s">
        <v>247</v>
      </c>
    </row>
    <row r="351" spans="1:13">
      <c r="A351" s="45">
        <v>350</v>
      </c>
      <c r="B351" s="45" t="s">
        <v>90</v>
      </c>
      <c r="C351" s="45">
        <v>1</v>
      </c>
      <c r="D351" s="45" t="s">
        <v>123</v>
      </c>
      <c r="E351" s="45">
        <v>19</v>
      </c>
      <c r="F351" s="45" t="s">
        <v>7665</v>
      </c>
      <c r="G351" s="110">
        <v>3</v>
      </c>
      <c r="H351" s="45" t="s">
        <v>7666</v>
      </c>
      <c r="I351" s="45" t="s">
        <v>6754</v>
      </c>
      <c r="J351" s="111">
        <v>45702</v>
      </c>
      <c r="K351" s="110" t="str">
        <f t="shared" si="2"/>
        <v>https://Estud2024.sawtoothsoftware.com/cgi-bin/ciwweb.pl?studyname=Estud2024&amp;ID=350</v>
      </c>
      <c r="L351" s="113">
        <v>45705</v>
      </c>
      <c r="M351" s="45" t="s">
        <v>247</v>
      </c>
    </row>
    <row r="352" spans="1:13">
      <c r="A352">
        <v>351</v>
      </c>
      <c r="B352" t="s">
        <v>90</v>
      </c>
      <c r="C352">
        <v>1</v>
      </c>
      <c r="D352" t="s">
        <v>124</v>
      </c>
      <c r="E352">
        <v>12</v>
      </c>
      <c r="F352" t="s">
        <v>7667</v>
      </c>
      <c r="G352">
        <v>2</v>
      </c>
      <c r="H352" t="s">
        <v>7668</v>
      </c>
      <c r="I352" s="121" t="s">
        <v>6754</v>
      </c>
      <c r="J352" s="111">
        <v>45702</v>
      </c>
      <c r="K352" s="110" t="str">
        <f t="shared" si="2"/>
        <v>https://Estud2024.sawtoothsoftware.com/cgi-bin/ciwweb.pl?studyname=Estud2024&amp;ID=351</v>
      </c>
      <c r="L352" s="113">
        <v>45709</v>
      </c>
      <c r="M352" s="45" t="s">
        <v>247</v>
      </c>
    </row>
    <row r="353" spans="1:13">
      <c r="A353">
        <v>352</v>
      </c>
      <c r="B353" t="s">
        <v>90</v>
      </c>
      <c r="C353">
        <v>1</v>
      </c>
      <c r="D353" t="s">
        <v>124</v>
      </c>
      <c r="E353">
        <v>12</v>
      </c>
      <c r="F353" t="s">
        <v>7669</v>
      </c>
      <c r="G353">
        <v>2</v>
      </c>
      <c r="H353" t="s">
        <v>7670</v>
      </c>
      <c r="I353" s="45" t="s">
        <v>6754</v>
      </c>
      <c r="J353" s="122">
        <v>45702</v>
      </c>
      <c r="K353" s="110" t="str">
        <f t="shared" si="2"/>
        <v>https://Estud2024.sawtoothsoftware.com/cgi-bin/ciwweb.pl?studyname=Estud2024&amp;ID=352</v>
      </c>
      <c r="L353" s="113">
        <v>45709</v>
      </c>
      <c r="M353" s="45" t="s">
        <v>246</v>
      </c>
    </row>
    <row r="354" spans="1:13">
      <c r="A354">
        <v>353</v>
      </c>
      <c r="B354" t="s">
        <v>90</v>
      </c>
      <c r="C354">
        <v>1</v>
      </c>
      <c r="D354" t="s">
        <v>124</v>
      </c>
      <c r="E354">
        <v>12</v>
      </c>
      <c r="F354" t="s">
        <v>7671</v>
      </c>
      <c r="G354">
        <v>2</v>
      </c>
      <c r="H354" t="s">
        <v>7672</v>
      </c>
      <c r="I354" s="45" t="s">
        <v>6754</v>
      </c>
      <c r="J354" s="122">
        <v>45702</v>
      </c>
      <c r="K354" s="110" t="str">
        <f t="shared" si="2"/>
        <v>https://Estud2024.sawtoothsoftware.com/cgi-bin/ciwweb.pl?studyname=Estud2024&amp;ID=353</v>
      </c>
      <c r="L354" s="113">
        <v>45709</v>
      </c>
      <c r="M354" s="45" t="s">
        <v>246</v>
      </c>
    </row>
    <row r="355" spans="1:13">
      <c r="A355">
        <v>354</v>
      </c>
      <c r="B355" t="s">
        <v>90</v>
      </c>
      <c r="C355">
        <v>1</v>
      </c>
      <c r="D355" t="s">
        <v>124</v>
      </c>
      <c r="E355">
        <v>12</v>
      </c>
      <c r="F355" t="s">
        <v>7673</v>
      </c>
      <c r="G355">
        <v>3</v>
      </c>
      <c r="H355" t="s">
        <v>7674</v>
      </c>
      <c r="I355" s="45" t="s">
        <v>6754</v>
      </c>
      <c r="J355" s="122">
        <v>45702</v>
      </c>
      <c r="K355" s="110" t="str">
        <f t="shared" si="2"/>
        <v>https://Estud2024.sawtoothsoftware.com/cgi-bin/ciwweb.pl?studyname=Estud2024&amp;ID=354</v>
      </c>
      <c r="L355" s="113">
        <v>45709</v>
      </c>
      <c r="M355" s="45" t="s">
        <v>247</v>
      </c>
    </row>
    <row r="356" spans="1:13">
      <c r="A356">
        <v>355</v>
      </c>
      <c r="B356" t="s">
        <v>90</v>
      </c>
      <c r="C356">
        <v>1</v>
      </c>
      <c r="D356" t="s">
        <v>124</v>
      </c>
      <c r="E356">
        <v>12</v>
      </c>
      <c r="F356" t="s">
        <v>7675</v>
      </c>
      <c r="G356">
        <v>3</v>
      </c>
      <c r="H356" t="s">
        <v>7676</v>
      </c>
      <c r="I356" s="45" t="s">
        <v>6754</v>
      </c>
      <c r="J356" s="122">
        <v>45702</v>
      </c>
      <c r="K356" s="110" t="str">
        <f t="shared" si="2"/>
        <v>https://Estud2024.sawtoothsoftware.com/cgi-bin/ciwweb.pl?studyname=Estud2024&amp;ID=355</v>
      </c>
      <c r="L356" s="113">
        <v>45709</v>
      </c>
      <c r="M356" s="45" t="s">
        <v>246</v>
      </c>
    </row>
    <row r="357" spans="1:13">
      <c r="A357">
        <v>356</v>
      </c>
      <c r="B357" t="s">
        <v>90</v>
      </c>
      <c r="C357">
        <v>1</v>
      </c>
      <c r="D357" t="s">
        <v>124</v>
      </c>
      <c r="E357">
        <v>12</v>
      </c>
      <c r="F357" t="s">
        <v>7677</v>
      </c>
      <c r="G357">
        <v>3</v>
      </c>
      <c r="H357" t="s">
        <v>7678</v>
      </c>
      <c r="I357" s="45" t="s">
        <v>6754</v>
      </c>
      <c r="J357" s="122">
        <v>45702</v>
      </c>
      <c r="K357" s="110" t="str">
        <f t="shared" si="2"/>
        <v>https://Estud2024.sawtoothsoftware.com/cgi-bin/ciwweb.pl?studyname=Estud2024&amp;ID=356</v>
      </c>
      <c r="L357" s="113">
        <v>45709</v>
      </c>
      <c r="M357" s="45" t="s">
        <v>246</v>
      </c>
    </row>
    <row r="358" spans="1:13">
      <c r="A358">
        <v>357</v>
      </c>
      <c r="B358" t="s">
        <v>90</v>
      </c>
      <c r="C358">
        <v>1</v>
      </c>
      <c r="D358" t="s">
        <v>124</v>
      </c>
      <c r="E358">
        <v>12</v>
      </c>
      <c r="F358" t="s">
        <v>7679</v>
      </c>
      <c r="G358">
        <v>4</v>
      </c>
      <c r="H358" t="s">
        <v>7680</v>
      </c>
      <c r="I358" s="45" t="s">
        <v>6754</v>
      </c>
      <c r="J358" s="122">
        <v>45702</v>
      </c>
      <c r="K358" s="110" t="str">
        <f t="shared" si="2"/>
        <v>https://Estud2024.sawtoothsoftware.com/cgi-bin/ciwweb.pl?studyname=Estud2024&amp;ID=357</v>
      </c>
      <c r="L358" s="113">
        <v>45709</v>
      </c>
      <c r="M358" s="45" t="s">
        <v>246</v>
      </c>
    </row>
    <row r="359" spans="1:13">
      <c r="A359">
        <v>358</v>
      </c>
      <c r="B359" t="s">
        <v>90</v>
      </c>
      <c r="C359">
        <v>1</v>
      </c>
      <c r="D359" t="s">
        <v>124</v>
      </c>
      <c r="E359">
        <v>12</v>
      </c>
      <c r="F359" t="s">
        <v>7681</v>
      </c>
      <c r="G359">
        <v>4</v>
      </c>
      <c r="H359" t="s">
        <v>7682</v>
      </c>
      <c r="I359" s="45" t="s">
        <v>6754</v>
      </c>
      <c r="J359" s="122">
        <v>45702</v>
      </c>
      <c r="K359" s="110" t="str">
        <f t="shared" si="2"/>
        <v>https://Estud2024.sawtoothsoftware.com/cgi-bin/ciwweb.pl?studyname=Estud2024&amp;ID=358</v>
      </c>
      <c r="L359" s="113">
        <v>45709</v>
      </c>
      <c r="M359" s="45" t="s">
        <v>246</v>
      </c>
    </row>
    <row r="360" spans="1:13">
      <c r="A360">
        <v>359</v>
      </c>
      <c r="B360" t="s">
        <v>90</v>
      </c>
      <c r="C360">
        <v>1</v>
      </c>
      <c r="D360" t="s">
        <v>124</v>
      </c>
      <c r="E360">
        <v>12</v>
      </c>
      <c r="F360" t="s">
        <v>7683</v>
      </c>
      <c r="G360">
        <v>4</v>
      </c>
      <c r="H360" t="s">
        <v>7684</v>
      </c>
      <c r="I360" s="45" t="s">
        <v>6754</v>
      </c>
      <c r="J360" s="122">
        <v>45702</v>
      </c>
      <c r="K360" s="110" t="str">
        <f t="shared" si="2"/>
        <v>https://Estud2024.sawtoothsoftware.com/cgi-bin/ciwweb.pl?studyname=Estud2024&amp;ID=359</v>
      </c>
      <c r="L360" s="113">
        <v>45709</v>
      </c>
      <c r="M360" s="45" t="s">
        <v>246</v>
      </c>
    </row>
    <row r="361" spans="1:13">
      <c r="A361">
        <v>360</v>
      </c>
      <c r="B361" t="s">
        <v>90</v>
      </c>
      <c r="C361">
        <v>1</v>
      </c>
      <c r="D361" t="s">
        <v>124</v>
      </c>
      <c r="E361">
        <v>12</v>
      </c>
      <c r="F361" t="s">
        <v>7685</v>
      </c>
      <c r="G361">
        <v>5</v>
      </c>
      <c r="H361" t="s">
        <v>7686</v>
      </c>
      <c r="I361" s="45" t="s">
        <v>6754</v>
      </c>
      <c r="J361" s="122">
        <v>45702</v>
      </c>
      <c r="K361" s="110" t="str">
        <f t="shared" si="2"/>
        <v>https://Estud2024.sawtoothsoftware.com/cgi-bin/ciwweb.pl?studyname=Estud2024&amp;ID=360</v>
      </c>
      <c r="L361" s="113">
        <v>45709</v>
      </c>
      <c r="M361" s="45" t="s">
        <v>246</v>
      </c>
    </row>
    <row r="362" spans="1:13">
      <c r="A362">
        <v>361</v>
      </c>
      <c r="B362" t="s">
        <v>90</v>
      </c>
      <c r="C362">
        <v>1</v>
      </c>
      <c r="D362" t="s">
        <v>124</v>
      </c>
      <c r="E362">
        <v>12</v>
      </c>
      <c r="F362" t="s">
        <v>7687</v>
      </c>
      <c r="G362">
        <v>5</v>
      </c>
      <c r="H362" t="s">
        <v>7688</v>
      </c>
      <c r="I362" s="45" t="s">
        <v>6754</v>
      </c>
      <c r="J362" s="122">
        <v>45702</v>
      </c>
      <c r="K362" s="110" t="str">
        <f t="shared" si="2"/>
        <v>https://Estud2024.sawtoothsoftware.com/cgi-bin/ciwweb.pl?studyname=Estud2024&amp;ID=361</v>
      </c>
      <c r="L362" s="113">
        <v>45709</v>
      </c>
      <c r="M362" s="45" t="s">
        <v>246</v>
      </c>
    </row>
    <row r="363" spans="1:13">
      <c r="A363">
        <v>362</v>
      </c>
      <c r="B363" t="s">
        <v>90</v>
      </c>
      <c r="C363">
        <v>1</v>
      </c>
      <c r="D363" t="s">
        <v>124</v>
      </c>
      <c r="E363">
        <v>12</v>
      </c>
      <c r="F363" t="s">
        <v>7689</v>
      </c>
      <c r="G363">
        <v>6</v>
      </c>
      <c r="H363" t="s">
        <v>7690</v>
      </c>
      <c r="I363" s="45" t="s">
        <v>6754</v>
      </c>
      <c r="J363" s="122">
        <v>45702</v>
      </c>
      <c r="K363" s="110" t="str">
        <f t="shared" si="2"/>
        <v>https://Estud2024.sawtoothsoftware.com/cgi-bin/ciwweb.pl?studyname=Estud2024&amp;ID=362</v>
      </c>
      <c r="L363" s="113">
        <v>45709</v>
      </c>
      <c r="M363" s="45" t="s">
        <v>246</v>
      </c>
    </row>
    <row r="364" spans="1:13">
      <c r="A364">
        <v>363</v>
      </c>
      <c r="B364" t="s">
        <v>90</v>
      </c>
      <c r="C364">
        <v>1</v>
      </c>
      <c r="D364" t="s">
        <v>124</v>
      </c>
      <c r="E364">
        <v>12</v>
      </c>
      <c r="F364" t="s">
        <v>7691</v>
      </c>
      <c r="G364">
        <v>6</v>
      </c>
      <c r="H364" t="s">
        <v>7692</v>
      </c>
      <c r="I364" s="45" t="s">
        <v>6754</v>
      </c>
      <c r="J364" s="122">
        <v>45702</v>
      </c>
      <c r="K364" s="110" t="str">
        <f t="shared" si="2"/>
        <v>https://Estud2024.sawtoothsoftware.com/cgi-bin/ciwweb.pl?studyname=Estud2024&amp;ID=363</v>
      </c>
      <c r="L364" s="113">
        <v>45709</v>
      </c>
      <c r="M364" s="45" t="s">
        <v>246</v>
      </c>
    </row>
    <row r="365" spans="1:13">
      <c r="A365">
        <v>364</v>
      </c>
      <c r="B365" t="s">
        <v>90</v>
      </c>
      <c r="C365">
        <v>1</v>
      </c>
      <c r="D365" t="s">
        <v>124</v>
      </c>
      <c r="E365">
        <v>12</v>
      </c>
      <c r="F365" t="s">
        <v>7693</v>
      </c>
      <c r="G365">
        <v>6</v>
      </c>
      <c r="H365" t="s">
        <v>7694</v>
      </c>
      <c r="I365" s="45" t="s">
        <v>6754</v>
      </c>
      <c r="J365" s="122">
        <v>45702</v>
      </c>
      <c r="K365" s="110" t="str">
        <f t="shared" si="2"/>
        <v>https://Estud2024.sawtoothsoftware.com/cgi-bin/ciwweb.pl?studyname=Estud2024&amp;ID=364</v>
      </c>
      <c r="L365" s="113">
        <v>45709</v>
      </c>
      <c r="M365" s="45" t="s">
        <v>246</v>
      </c>
    </row>
    <row r="366" spans="1:13">
      <c r="A366">
        <v>365</v>
      </c>
      <c r="B366" t="s">
        <v>90</v>
      </c>
      <c r="C366">
        <v>1</v>
      </c>
      <c r="D366" t="s">
        <v>124</v>
      </c>
      <c r="E366">
        <v>12</v>
      </c>
      <c r="F366" t="s">
        <v>7695</v>
      </c>
      <c r="G366">
        <v>7</v>
      </c>
      <c r="H366" t="s">
        <v>7696</v>
      </c>
      <c r="I366" s="45" t="s">
        <v>6754</v>
      </c>
      <c r="J366" s="122">
        <v>45702</v>
      </c>
      <c r="K366" s="110" t="str">
        <f t="shared" si="2"/>
        <v>https://Estud2024.sawtoothsoftware.com/cgi-bin/ciwweb.pl?studyname=Estud2024&amp;ID=365</v>
      </c>
      <c r="L366" s="113">
        <v>45709</v>
      </c>
      <c r="M366" s="45" t="s">
        <v>246</v>
      </c>
    </row>
    <row r="367" spans="1:13">
      <c r="A367">
        <v>366</v>
      </c>
      <c r="B367" t="s">
        <v>90</v>
      </c>
      <c r="C367">
        <v>1</v>
      </c>
      <c r="D367" t="s">
        <v>124</v>
      </c>
      <c r="E367">
        <v>12</v>
      </c>
      <c r="F367" t="s">
        <v>7697</v>
      </c>
      <c r="G367">
        <v>7</v>
      </c>
      <c r="H367" t="s">
        <v>7698</v>
      </c>
      <c r="I367" s="45" t="s">
        <v>6754</v>
      </c>
      <c r="J367" s="122">
        <v>45702</v>
      </c>
      <c r="K367" s="110" t="str">
        <f t="shared" si="2"/>
        <v>https://Estud2024.sawtoothsoftware.com/cgi-bin/ciwweb.pl?studyname=Estud2024&amp;ID=366</v>
      </c>
      <c r="L367" s="113">
        <v>45709</v>
      </c>
      <c r="M367" s="45" t="s">
        <v>247</v>
      </c>
    </row>
    <row r="368" spans="1:13">
      <c r="A368">
        <v>367</v>
      </c>
      <c r="B368" t="s">
        <v>90</v>
      </c>
      <c r="C368">
        <v>1</v>
      </c>
      <c r="D368" t="s">
        <v>124</v>
      </c>
      <c r="E368">
        <v>12</v>
      </c>
      <c r="F368" t="s">
        <v>7699</v>
      </c>
      <c r="G368">
        <v>7</v>
      </c>
      <c r="H368" t="s">
        <v>7700</v>
      </c>
      <c r="I368" s="45" t="s">
        <v>6754</v>
      </c>
      <c r="J368" s="122">
        <v>45702</v>
      </c>
      <c r="K368" s="110" t="str">
        <f t="shared" si="2"/>
        <v>https://Estud2024.sawtoothsoftware.com/cgi-bin/ciwweb.pl?studyname=Estud2024&amp;ID=367</v>
      </c>
      <c r="L368" s="113">
        <v>45709</v>
      </c>
      <c r="M368" s="45" t="s">
        <v>246</v>
      </c>
    </row>
    <row r="369" spans="1:13">
      <c r="A369">
        <v>368</v>
      </c>
      <c r="B369" t="s">
        <v>90</v>
      </c>
      <c r="C369">
        <v>1</v>
      </c>
      <c r="D369" t="s">
        <v>124</v>
      </c>
      <c r="E369">
        <v>12</v>
      </c>
      <c r="F369" t="s">
        <v>7701</v>
      </c>
      <c r="G369">
        <v>7</v>
      </c>
      <c r="H369" t="s">
        <v>7702</v>
      </c>
      <c r="I369" s="45" t="s">
        <v>6754</v>
      </c>
      <c r="J369" s="122">
        <v>45702</v>
      </c>
      <c r="K369" s="110" t="str">
        <f t="shared" si="2"/>
        <v>https://Estud2024.sawtoothsoftware.com/cgi-bin/ciwweb.pl?studyname=Estud2024&amp;ID=368</v>
      </c>
      <c r="L369" s="113">
        <v>45709</v>
      </c>
      <c r="M369" s="45" t="s">
        <v>246</v>
      </c>
    </row>
    <row r="370" spans="1:13">
      <c r="A370">
        <v>369</v>
      </c>
      <c r="B370" t="s">
        <v>90</v>
      </c>
      <c r="C370">
        <v>1</v>
      </c>
      <c r="D370" t="s">
        <v>124</v>
      </c>
      <c r="E370">
        <v>12</v>
      </c>
      <c r="F370" t="s">
        <v>7703</v>
      </c>
      <c r="G370">
        <v>9</v>
      </c>
      <c r="H370" t="s">
        <v>7704</v>
      </c>
      <c r="I370" s="45" t="s">
        <v>6754</v>
      </c>
      <c r="J370" s="122">
        <v>45702</v>
      </c>
      <c r="K370" s="110" t="str">
        <f t="shared" si="2"/>
        <v>https://Estud2024.sawtoothsoftware.com/cgi-bin/ciwweb.pl?studyname=Estud2024&amp;ID=369</v>
      </c>
      <c r="L370" s="113">
        <v>45709</v>
      </c>
      <c r="M370" s="45" t="s">
        <v>247</v>
      </c>
    </row>
    <row r="371" spans="1:13">
      <c r="A371">
        <v>370</v>
      </c>
      <c r="B371" t="s">
        <v>90</v>
      </c>
      <c r="C371">
        <v>1</v>
      </c>
      <c r="D371" t="s">
        <v>124</v>
      </c>
      <c r="E371">
        <v>12</v>
      </c>
      <c r="F371" t="s">
        <v>7705</v>
      </c>
      <c r="G371">
        <v>9</v>
      </c>
      <c r="H371" t="s">
        <v>7706</v>
      </c>
      <c r="I371" s="45" t="s">
        <v>6754</v>
      </c>
      <c r="J371" s="122">
        <v>45702</v>
      </c>
      <c r="K371" s="110" t="str">
        <f t="shared" si="2"/>
        <v>https://Estud2024.sawtoothsoftware.com/cgi-bin/ciwweb.pl?studyname=Estud2024&amp;ID=370</v>
      </c>
      <c r="L371" s="113">
        <v>45709</v>
      </c>
      <c r="M371" s="45" t="s">
        <v>247</v>
      </c>
    </row>
    <row r="372" spans="1:13">
      <c r="A372">
        <v>371</v>
      </c>
      <c r="B372" t="s">
        <v>90</v>
      </c>
      <c r="C372">
        <v>1</v>
      </c>
      <c r="D372" t="s">
        <v>124</v>
      </c>
      <c r="E372">
        <v>12</v>
      </c>
      <c r="F372" t="s">
        <v>7707</v>
      </c>
      <c r="G372">
        <v>9</v>
      </c>
      <c r="H372" t="s">
        <v>7708</v>
      </c>
      <c r="I372" s="45" t="s">
        <v>6754</v>
      </c>
      <c r="J372" s="122">
        <v>45702</v>
      </c>
      <c r="K372" s="110" t="str">
        <f t="shared" si="2"/>
        <v>https://Estud2024.sawtoothsoftware.com/cgi-bin/ciwweb.pl?studyname=Estud2024&amp;ID=371</v>
      </c>
      <c r="L372" s="113">
        <v>45709</v>
      </c>
      <c r="M372" s="45" t="s">
        <v>247</v>
      </c>
    </row>
    <row r="373" spans="1:13">
      <c r="A373">
        <v>372</v>
      </c>
      <c r="B373" t="s">
        <v>90</v>
      </c>
      <c r="C373">
        <v>1</v>
      </c>
      <c r="D373" t="s">
        <v>125</v>
      </c>
      <c r="E373">
        <v>13</v>
      </c>
      <c r="F373" t="s">
        <v>7709</v>
      </c>
      <c r="G373">
        <v>1</v>
      </c>
      <c r="H373" t="s">
        <v>7710</v>
      </c>
      <c r="I373" s="45" t="s">
        <v>6754</v>
      </c>
      <c r="J373" s="122">
        <v>45706</v>
      </c>
      <c r="K373" s="110" t="str">
        <f t="shared" si="2"/>
        <v>https://Estud2024.sawtoothsoftware.com/cgi-bin/ciwweb.pl?studyname=Estud2024&amp;ID=372</v>
      </c>
      <c r="L373" s="113">
        <v>45709</v>
      </c>
      <c r="M373" s="45" t="s">
        <v>246</v>
      </c>
    </row>
    <row r="374" spans="1:13">
      <c r="A374">
        <v>373</v>
      </c>
      <c r="B374" t="s">
        <v>90</v>
      </c>
      <c r="C374">
        <v>1</v>
      </c>
      <c r="D374" t="s">
        <v>125</v>
      </c>
      <c r="E374">
        <v>13</v>
      </c>
      <c r="F374" t="s">
        <v>7711</v>
      </c>
      <c r="G374">
        <v>1</v>
      </c>
      <c r="H374" t="s">
        <v>7712</v>
      </c>
      <c r="I374" s="45" t="s">
        <v>6754</v>
      </c>
      <c r="J374" s="122">
        <v>45706</v>
      </c>
      <c r="K374" s="110" t="str">
        <f t="shared" si="2"/>
        <v>https://Estud2024.sawtoothsoftware.com/cgi-bin/ciwweb.pl?studyname=Estud2024&amp;ID=373</v>
      </c>
      <c r="L374" s="113">
        <v>45709</v>
      </c>
      <c r="M374" s="45" t="s">
        <v>246</v>
      </c>
    </row>
    <row r="375" spans="1:13">
      <c r="A375">
        <v>374</v>
      </c>
      <c r="B375" t="s">
        <v>90</v>
      </c>
      <c r="C375">
        <v>1</v>
      </c>
      <c r="D375" t="s">
        <v>125</v>
      </c>
      <c r="E375">
        <v>13</v>
      </c>
      <c r="F375" t="s">
        <v>7713</v>
      </c>
      <c r="G375">
        <v>2</v>
      </c>
      <c r="H375" t="s">
        <v>7714</v>
      </c>
      <c r="I375" s="45" t="s">
        <v>6754</v>
      </c>
      <c r="J375" s="122">
        <v>45706</v>
      </c>
      <c r="K375" s="110" t="str">
        <f t="shared" si="2"/>
        <v>https://Estud2024.sawtoothsoftware.com/cgi-bin/ciwweb.pl?studyname=Estud2024&amp;ID=374</v>
      </c>
      <c r="L375" s="113">
        <v>45709</v>
      </c>
      <c r="M375" s="45" t="s">
        <v>246</v>
      </c>
    </row>
    <row r="376" spans="1:13">
      <c r="A376">
        <v>375</v>
      </c>
      <c r="B376" t="s">
        <v>90</v>
      </c>
      <c r="C376">
        <v>1</v>
      </c>
      <c r="D376" t="s">
        <v>125</v>
      </c>
      <c r="E376">
        <v>13</v>
      </c>
      <c r="F376" t="s">
        <v>7715</v>
      </c>
      <c r="G376">
        <v>2</v>
      </c>
      <c r="H376" t="s">
        <v>7716</v>
      </c>
      <c r="I376" s="45" t="s">
        <v>6754</v>
      </c>
      <c r="J376" s="122">
        <v>45706</v>
      </c>
      <c r="K376" s="110" t="str">
        <f t="shared" si="2"/>
        <v>https://Estud2024.sawtoothsoftware.com/cgi-bin/ciwweb.pl?studyname=Estud2024&amp;ID=375</v>
      </c>
      <c r="L376" s="113">
        <v>45709</v>
      </c>
      <c r="M376" s="45" t="s">
        <v>246</v>
      </c>
    </row>
    <row r="377" spans="1:13">
      <c r="A377">
        <v>376</v>
      </c>
      <c r="B377" t="s">
        <v>90</v>
      </c>
      <c r="C377">
        <v>1</v>
      </c>
      <c r="D377" t="s">
        <v>125</v>
      </c>
      <c r="E377">
        <v>13</v>
      </c>
      <c r="F377" t="s">
        <v>7717</v>
      </c>
      <c r="G377">
        <v>3</v>
      </c>
      <c r="H377" t="s">
        <v>7718</v>
      </c>
      <c r="I377" s="45" t="s">
        <v>6754</v>
      </c>
      <c r="J377" s="122">
        <v>45706</v>
      </c>
      <c r="K377" s="110" t="str">
        <f t="shared" si="2"/>
        <v>https://Estud2024.sawtoothsoftware.com/cgi-bin/ciwweb.pl?studyname=Estud2024&amp;ID=376</v>
      </c>
      <c r="L377" s="113">
        <v>45709</v>
      </c>
      <c r="M377" s="45" t="s">
        <v>246</v>
      </c>
    </row>
    <row r="378" spans="1:13">
      <c r="A378">
        <v>377</v>
      </c>
      <c r="B378" t="s">
        <v>90</v>
      </c>
      <c r="C378">
        <v>1</v>
      </c>
      <c r="D378" t="s">
        <v>125</v>
      </c>
      <c r="E378">
        <v>13</v>
      </c>
      <c r="F378" t="s">
        <v>7719</v>
      </c>
      <c r="G378">
        <v>3</v>
      </c>
      <c r="H378" t="s">
        <v>7720</v>
      </c>
      <c r="I378" s="45" t="s">
        <v>6754</v>
      </c>
      <c r="J378" s="122">
        <v>45706</v>
      </c>
      <c r="K378" s="110" t="str">
        <f t="shared" si="2"/>
        <v>https://Estud2024.sawtoothsoftware.com/cgi-bin/ciwweb.pl?studyname=Estud2024&amp;ID=377</v>
      </c>
      <c r="L378" s="113">
        <v>45709</v>
      </c>
      <c r="M378" s="45" t="s">
        <v>246</v>
      </c>
    </row>
    <row r="379" spans="1:13">
      <c r="A379">
        <v>378</v>
      </c>
      <c r="B379" t="s">
        <v>90</v>
      </c>
      <c r="C379">
        <v>1</v>
      </c>
      <c r="D379" t="s">
        <v>126</v>
      </c>
      <c r="E379">
        <v>14</v>
      </c>
      <c r="F379" t="s">
        <v>7721</v>
      </c>
      <c r="G379">
        <v>2</v>
      </c>
      <c r="H379" t="s">
        <v>7722</v>
      </c>
      <c r="I379" s="45" t="s">
        <v>6754</v>
      </c>
      <c r="J379" s="122">
        <v>45706</v>
      </c>
      <c r="K379" s="110" t="str">
        <f t="shared" si="2"/>
        <v>https://Estud2024.sawtoothsoftware.com/cgi-bin/ciwweb.pl?studyname=Estud2024&amp;ID=378</v>
      </c>
      <c r="L379" s="113">
        <v>45709</v>
      </c>
      <c r="M379" s="45" t="s">
        <v>246</v>
      </c>
    </row>
    <row r="380" spans="1:13">
      <c r="A380">
        <v>379</v>
      </c>
      <c r="B380" t="s">
        <v>90</v>
      </c>
      <c r="C380">
        <v>1</v>
      </c>
      <c r="D380" t="s">
        <v>126</v>
      </c>
      <c r="E380">
        <v>14</v>
      </c>
      <c r="F380" t="s">
        <v>7723</v>
      </c>
      <c r="G380">
        <v>2</v>
      </c>
      <c r="H380" t="s">
        <v>7724</v>
      </c>
      <c r="I380" s="45" t="s">
        <v>6754</v>
      </c>
      <c r="J380" s="122">
        <v>45706</v>
      </c>
      <c r="K380" s="110" t="str">
        <f t="shared" si="2"/>
        <v>https://Estud2024.sawtoothsoftware.com/cgi-bin/ciwweb.pl?studyname=Estud2024&amp;ID=379</v>
      </c>
      <c r="L380" s="113">
        <v>45709</v>
      </c>
      <c r="M380" s="45" t="s">
        <v>246</v>
      </c>
    </row>
    <row r="381" spans="1:13">
      <c r="A381">
        <v>380</v>
      </c>
      <c r="B381" t="s">
        <v>90</v>
      </c>
      <c r="C381">
        <v>1</v>
      </c>
      <c r="D381" t="s">
        <v>126</v>
      </c>
      <c r="E381">
        <v>14</v>
      </c>
      <c r="F381" t="s">
        <v>7725</v>
      </c>
      <c r="G381">
        <v>2</v>
      </c>
      <c r="H381" t="s">
        <v>7726</v>
      </c>
      <c r="I381" s="45" t="s">
        <v>6754</v>
      </c>
      <c r="J381" s="122">
        <v>45706</v>
      </c>
      <c r="K381" s="110" t="str">
        <f t="shared" si="2"/>
        <v>https://Estud2024.sawtoothsoftware.com/cgi-bin/ciwweb.pl?studyname=Estud2024&amp;ID=380</v>
      </c>
      <c r="L381" s="113">
        <v>45709</v>
      </c>
      <c r="M381" s="45" t="s">
        <v>246</v>
      </c>
    </row>
    <row r="382" spans="1:13">
      <c r="A382">
        <v>381</v>
      </c>
      <c r="B382" t="s">
        <v>90</v>
      </c>
      <c r="C382">
        <v>1</v>
      </c>
      <c r="D382" t="s">
        <v>126</v>
      </c>
      <c r="E382">
        <v>14</v>
      </c>
      <c r="F382" t="s">
        <v>7727</v>
      </c>
      <c r="G382">
        <v>2</v>
      </c>
      <c r="H382" t="s">
        <v>7728</v>
      </c>
      <c r="I382" s="45" t="s">
        <v>6754</v>
      </c>
      <c r="J382" s="122">
        <v>45706</v>
      </c>
      <c r="K382" s="110" t="str">
        <f t="shared" si="2"/>
        <v>https://Estud2024.sawtoothsoftware.com/cgi-bin/ciwweb.pl?studyname=Estud2024&amp;ID=381</v>
      </c>
      <c r="L382" s="113">
        <v>45709</v>
      </c>
      <c r="M382" s="45" t="s">
        <v>246</v>
      </c>
    </row>
    <row r="383" spans="1:13">
      <c r="A383">
        <v>382</v>
      </c>
      <c r="B383" t="s">
        <v>90</v>
      </c>
      <c r="C383">
        <v>1</v>
      </c>
      <c r="D383" t="s">
        <v>126</v>
      </c>
      <c r="E383">
        <v>14</v>
      </c>
      <c r="F383" t="s">
        <v>7729</v>
      </c>
      <c r="G383">
        <v>2</v>
      </c>
      <c r="H383" t="s">
        <v>7730</v>
      </c>
      <c r="I383" s="45" t="s">
        <v>6754</v>
      </c>
      <c r="J383" s="122">
        <v>45706</v>
      </c>
      <c r="K383" s="110" t="str">
        <f t="shared" si="2"/>
        <v>https://Estud2024.sawtoothsoftware.com/cgi-bin/ciwweb.pl?studyname=Estud2024&amp;ID=382</v>
      </c>
      <c r="L383" s="113">
        <v>45709</v>
      </c>
      <c r="M383" s="45" t="s">
        <v>246</v>
      </c>
    </row>
    <row r="384" spans="1:13">
      <c r="A384">
        <v>383</v>
      </c>
      <c r="B384" t="s">
        <v>90</v>
      </c>
      <c r="C384">
        <v>1</v>
      </c>
      <c r="D384" t="s">
        <v>126</v>
      </c>
      <c r="E384">
        <v>14</v>
      </c>
      <c r="F384" t="s">
        <v>7731</v>
      </c>
      <c r="G384">
        <v>2</v>
      </c>
      <c r="H384" t="s">
        <v>7732</v>
      </c>
      <c r="I384" s="45" t="s">
        <v>6754</v>
      </c>
      <c r="J384" s="122">
        <v>45706</v>
      </c>
      <c r="K384" s="110" t="str">
        <f t="shared" si="2"/>
        <v>https://Estud2024.sawtoothsoftware.com/cgi-bin/ciwweb.pl?studyname=Estud2024&amp;ID=383</v>
      </c>
      <c r="L384" s="113">
        <v>45709</v>
      </c>
      <c r="M384" s="45" t="s">
        <v>246</v>
      </c>
    </row>
    <row r="385" spans="1:13">
      <c r="A385">
        <v>384</v>
      </c>
      <c r="B385" t="s">
        <v>90</v>
      </c>
      <c r="C385">
        <v>1</v>
      </c>
      <c r="D385" t="s">
        <v>126</v>
      </c>
      <c r="E385">
        <v>14</v>
      </c>
      <c r="F385" t="s">
        <v>7733</v>
      </c>
      <c r="G385">
        <v>3</v>
      </c>
      <c r="H385" t="s">
        <v>7734</v>
      </c>
      <c r="I385" s="45" t="s">
        <v>6754</v>
      </c>
      <c r="J385" s="122">
        <v>45706</v>
      </c>
      <c r="K385" s="110" t="str">
        <f t="shared" si="2"/>
        <v>https://Estud2024.sawtoothsoftware.com/cgi-bin/ciwweb.pl?studyname=Estud2024&amp;ID=384</v>
      </c>
      <c r="L385" s="113">
        <v>45709</v>
      </c>
      <c r="M385" s="45" t="s">
        <v>246</v>
      </c>
    </row>
    <row r="386" spans="1:13">
      <c r="A386">
        <v>385</v>
      </c>
      <c r="B386" t="s">
        <v>90</v>
      </c>
      <c r="C386">
        <v>1</v>
      </c>
      <c r="D386" t="s">
        <v>126</v>
      </c>
      <c r="E386">
        <v>14</v>
      </c>
      <c r="F386" t="s">
        <v>7735</v>
      </c>
      <c r="G386">
        <v>3</v>
      </c>
      <c r="H386" t="s">
        <v>7736</v>
      </c>
      <c r="I386" s="45" t="s">
        <v>6754</v>
      </c>
      <c r="J386" s="122">
        <v>45706</v>
      </c>
      <c r="K386" s="110" t="str">
        <f t="shared" si="2"/>
        <v>https://Estud2024.sawtoothsoftware.com/cgi-bin/ciwweb.pl?studyname=Estud2024&amp;ID=385</v>
      </c>
      <c r="L386" s="113">
        <v>45709</v>
      </c>
      <c r="M386" s="45" t="s">
        <v>246</v>
      </c>
    </row>
    <row r="387" spans="1:13">
      <c r="A387">
        <v>386</v>
      </c>
      <c r="B387" t="s">
        <v>90</v>
      </c>
      <c r="C387">
        <v>1</v>
      </c>
      <c r="D387" t="s">
        <v>126</v>
      </c>
      <c r="E387">
        <v>14</v>
      </c>
      <c r="F387" t="s">
        <v>7737</v>
      </c>
      <c r="G387">
        <v>3</v>
      </c>
      <c r="H387" t="s">
        <v>7738</v>
      </c>
      <c r="I387" s="45" t="s">
        <v>6754</v>
      </c>
      <c r="J387" s="122">
        <v>45706</v>
      </c>
      <c r="K387" s="110" t="str">
        <f t="shared" si="2"/>
        <v>https://Estud2024.sawtoothsoftware.com/cgi-bin/ciwweb.pl?studyname=Estud2024&amp;ID=386</v>
      </c>
      <c r="L387" s="113">
        <v>45709</v>
      </c>
      <c r="M387" s="45" t="s">
        <v>246</v>
      </c>
    </row>
    <row r="388" spans="1:13">
      <c r="A388">
        <v>387</v>
      </c>
      <c r="B388" t="s">
        <v>90</v>
      </c>
      <c r="C388">
        <v>1</v>
      </c>
      <c r="D388" t="s">
        <v>126</v>
      </c>
      <c r="E388">
        <v>14</v>
      </c>
      <c r="F388" t="s">
        <v>7739</v>
      </c>
      <c r="G388">
        <v>3</v>
      </c>
      <c r="H388" t="s">
        <v>7740</v>
      </c>
      <c r="I388" s="45" t="s">
        <v>6754</v>
      </c>
      <c r="J388" s="122">
        <v>45706</v>
      </c>
      <c r="K388" s="110" t="str">
        <f t="shared" si="2"/>
        <v>https://Estud2024.sawtoothsoftware.com/cgi-bin/ciwweb.pl?studyname=Estud2024&amp;ID=387</v>
      </c>
      <c r="L388" s="113">
        <v>45709</v>
      </c>
      <c r="M388" s="45" t="s">
        <v>247</v>
      </c>
    </row>
    <row r="389" spans="1:13">
      <c r="A389">
        <v>388</v>
      </c>
      <c r="B389" t="s">
        <v>90</v>
      </c>
      <c r="C389">
        <v>1</v>
      </c>
      <c r="D389" t="s">
        <v>126</v>
      </c>
      <c r="E389">
        <v>14</v>
      </c>
      <c r="F389" t="s">
        <v>7741</v>
      </c>
      <c r="G389">
        <v>3</v>
      </c>
      <c r="H389" t="s">
        <v>7742</v>
      </c>
      <c r="I389" s="45" t="s">
        <v>6754</v>
      </c>
      <c r="J389" s="122">
        <v>45706</v>
      </c>
      <c r="K389" s="110" t="str">
        <f t="shared" si="2"/>
        <v>https://Estud2024.sawtoothsoftware.com/cgi-bin/ciwweb.pl?studyname=Estud2024&amp;ID=388</v>
      </c>
      <c r="L389" s="113">
        <v>45709</v>
      </c>
      <c r="M389" s="45" t="s">
        <v>246</v>
      </c>
    </row>
    <row r="390" spans="1:13">
      <c r="A390">
        <v>389</v>
      </c>
      <c r="B390" t="s">
        <v>90</v>
      </c>
      <c r="C390">
        <v>1</v>
      </c>
      <c r="D390" t="s">
        <v>126</v>
      </c>
      <c r="E390">
        <v>14</v>
      </c>
      <c r="F390" t="s">
        <v>7743</v>
      </c>
      <c r="G390">
        <v>3</v>
      </c>
      <c r="H390" t="s">
        <v>7744</v>
      </c>
      <c r="I390" s="45" t="s">
        <v>6754</v>
      </c>
      <c r="J390" s="122">
        <v>45706</v>
      </c>
      <c r="K390" s="110" t="str">
        <f t="shared" si="2"/>
        <v>https://Estud2024.sawtoothsoftware.com/cgi-bin/ciwweb.pl?studyname=Estud2024&amp;ID=389</v>
      </c>
      <c r="L390" s="113">
        <v>45709</v>
      </c>
      <c r="M390" s="45" t="s">
        <v>246</v>
      </c>
    </row>
    <row r="391" spans="1:13">
      <c r="A391">
        <v>390</v>
      </c>
      <c r="B391" t="s">
        <v>90</v>
      </c>
      <c r="C391">
        <v>1</v>
      </c>
      <c r="D391" t="s">
        <v>126</v>
      </c>
      <c r="E391">
        <v>14</v>
      </c>
      <c r="F391" t="s">
        <v>7745</v>
      </c>
      <c r="G391">
        <v>4</v>
      </c>
      <c r="H391" t="s">
        <v>7746</v>
      </c>
      <c r="I391" s="45" t="s">
        <v>6754</v>
      </c>
      <c r="J391" s="122">
        <v>45706</v>
      </c>
      <c r="K391" s="110" t="str">
        <f t="shared" si="2"/>
        <v>https://Estud2024.sawtoothsoftware.com/cgi-bin/ciwweb.pl?studyname=Estud2024&amp;ID=390</v>
      </c>
      <c r="L391" s="113">
        <v>45709</v>
      </c>
      <c r="M391" s="45" t="s">
        <v>246</v>
      </c>
    </row>
    <row r="392" spans="1:13">
      <c r="A392">
        <v>391</v>
      </c>
      <c r="B392" t="s">
        <v>90</v>
      </c>
      <c r="C392">
        <v>1</v>
      </c>
      <c r="D392" t="s">
        <v>126</v>
      </c>
      <c r="E392">
        <v>14</v>
      </c>
      <c r="F392" t="s">
        <v>7747</v>
      </c>
      <c r="G392">
        <v>4</v>
      </c>
      <c r="H392" t="s">
        <v>7748</v>
      </c>
      <c r="I392" s="45" t="s">
        <v>6754</v>
      </c>
      <c r="J392" s="122">
        <v>45706</v>
      </c>
      <c r="K392" s="110" t="str">
        <f t="shared" si="2"/>
        <v>https://Estud2024.sawtoothsoftware.com/cgi-bin/ciwweb.pl?studyname=Estud2024&amp;ID=391</v>
      </c>
      <c r="L392" s="113">
        <v>45709</v>
      </c>
      <c r="M392" s="45" t="s">
        <v>246</v>
      </c>
    </row>
    <row r="393" spans="1:13">
      <c r="A393">
        <v>392</v>
      </c>
      <c r="B393" t="s">
        <v>90</v>
      </c>
      <c r="C393">
        <v>1</v>
      </c>
      <c r="D393" t="s">
        <v>126</v>
      </c>
      <c r="E393">
        <v>14</v>
      </c>
      <c r="F393" t="s">
        <v>7749</v>
      </c>
      <c r="G393">
        <v>4</v>
      </c>
      <c r="H393" t="s">
        <v>7750</v>
      </c>
      <c r="I393" s="45" t="s">
        <v>6754</v>
      </c>
      <c r="J393" s="122">
        <v>45706</v>
      </c>
      <c r="K393" s="110" t="str">
        <f t="shared" si="2"/>
        <v>https://Estud2024.sawtoothsoftware.com/cgi-bin/ciwweb.pl?studyname=Estud2024&amp;ID=392</v>
      </c>
      <c r="L393" s="113">
        <v>45709</v>
      </c>
      <c r="M393" s="45" t="s">
        <v>246</v>
      </c>
    </row>
    <row r="394" spans="1:13">
      <c r="A394">
        <v>393</v>
      </c>
      <c r="B394" t="s">
        <v>90</v>
      </c>
      <c r="C394">
        <v>1</v>
      </c>
      <c r="D394" t="s">
        <v>126</v>
      </c>
      <c r="E394">
        <v>14</v>
      </c>
      <c r="F394" t="s">
        <v>7751</v>
      </c>
      <c r="G394">
        <v>4</v>
      </c>
      <c r="H394" t="s">
        <v>7752</v>
      </c>
      <c r="I394" s="45" t="s">
        <v>6754</v>
      </c>
      <c r="J394" s="122">
        <v>45706</v>
      </c>
      <c r="K394" s="110" t="str">
        <f t="shared" si="2"/>
        <v>https://Estud2024.sawtoothsoftware.com/cgi-bin/ciwweb.pl?studyname=Estud2024&amp;ID=393</v>
      </c>
      <c r="L394" s="113">
        <v>45709</v>
      </c>
      <c r="M394" s="45" t="s">
        <v>246</v>
      </c>
    </row>
    <row r="395" spans="1:13">
      <c r="A395">
        <v>394</v>
      </c>
      <c r="B395" t="s">
        <v>90</v>
      </c>
      <c r="C395">
        <v>1</v>
      </c>
      <c r="D395" t="s">
        <v>126</v>
      </c>
      <c r="E395">
        <v>14</v>
      </c>
      <c r="F395" t="s">
        <v>7753</v>
      </c>
      <c r="G395">
        <v>4</v>
      </c>
      <c r="H395" t="s">
        <v>7754</v>
      </c>
      <c r="I395" s="45" t="s">
        <v>6754</v>
      </c>
      <c r="J395" s="122">
        <v>45706</v>
      </c>
      <c r="K395" s="110" t="str">
        <f t="shared" si="2"/>
        <v>https://Estud2024.sawtoothsoftware.com/cgi-bin/ciwweb.pl?studyname=Estud2024&amp;ID=394</v>
      </c>
      <c r="L395" s="113">
        <v>45709</v>
      </c>
      <c r="M395" s="45" t="s">
        <v>246</v>
      </c>
    </row>
    <row r="396" spans="1:13">
      <c r="A396">
        <v>395</v>
      </c>
      <c r="B396" t="s">
        <v>90</v>
      </c>
      <c r="C396">
        <v>1</v>
      </c>
      <c r="D396" t="s">
        <v>7755</v>
      </c>
      <c r="E396">
        <v>15</v>
      </c>
      <c r="F396" t="s">
        <v>7756</v>
      </c>
      <c r="G396">
        <v>1</v>
      </c>
      <c r="H396" t="s">
        <v>7757</v>
      </c>
      <c r="I396" s="45" t="s">
        <v>6754</v>
      </c>
      <c r="J396" s="122">
        <v>45706</v>
      </c>
      <c r="K396" s="110" t="str">
        <f t="shared" si="2"/>
        <v>https://Estud2024.sawtoothsoftware.com/cgi-bin/ciwweb.pl?studyname=Estud2024&amp;ID=395</v>
      </c>
      <c r="L396" s="113">
        <v>45709</v>
      </c>
      <c r="M396" s="45" t="s">
        <v>247</v>
      </c>
    </row>
    <row r="397" spans="1:13">
      <c r="A397">
        <v>396</v>
      </c>
      <c r="B397" t="s">
        <v>90</v>
      </c>
      <c r="C397">
        <v>1</v>
      </c>
      <c r="D397" t="s">
        <v>7755</v>
      </c>
      <c r="E397">
        <v>15</v>
      </c>
      <c r="F397" t="s">
        <v>7758</v>
      </c>
      <c r="G397">
        <v>2</v>
      </c>
      <c r="H397" t="s">
        <v>7759</v>
      </c>
      <c r="I397" s="45" t="s">
        <v>6754</v>
      </c>
      <c r="J397" s="122">
        <v>45706</v>
      </c>
      <c r="K397" s="110" t="str">
        <f t="shared" si="2"/>
        <v>https://Estud2024.sawtoothsoftware.com/cgi-bin/ciwweb.pl?studyname=Estud2024&amp;ID=396</v>
      </c>
      <c r="L397" s="113">
        <v>45709</v>
      </c>
      <c r="M397" s="45" t="s">
        <v>247</v>
      </c>
    </row>
    <row r="398" spans="1:13">
      <c r="A398">
        <v>397</v>
      </c>
      <c r="B398" t="s">
        <v>90</v>
      </c>
      <c r="C398">
        <v>1</v>
      </c>
      <c r="D398" t="s">
        <v>7755</v>
      </c>
      <c r="E398">
        <v>15</v>
      </c>
      <c r="F398" t="s">
        <v>7760</v>
      </c>
      <c r="G398">
        <v>2</v>
      </c>
      <c r="H398" t="s">
        <v>7761</v>
      </c>
      <c r="I398" s="45" t="s">
        <v>6754</v>
      </c>
      <c r="J398" s="122">
        <v>45706</v>
      </c>
      <c r="K398" s="110" t="str">
        <f t="shared" si="2"/>
        <v>https://Estud2024.sawtoothsoftware.com/cgi-bin/ciwweb.pl?studyname=Estud2024&amp;ID=397</v>
      </c>
      <c r="L398" s="113">
        <v>45709</v>
      </c>
      <c r="M398" s="45" t="s">
        <v>246</v>
      </c>
    </row>
    <row r="399" spans="1:13">
      <c r="A399">
        <v>398</v>
      </c>
      <c r="B399" t="s">
        <v>90</v>
      </c>
      <c r="C399">
        <v>1</v>
      </c>
      <c r="D399" t="s">
        <v>7755</v>
      </c>
      <c r="E399">
        <v>15</v>
      </c>
      <c r="F399" t="s">
        <v>7762</v>
      </c>
      <c r="G399">
        <v>2</v>
      </c>
      <c r="H399" t="s">
        <v>7763</v>
      </c>
      <c r="I399" s="45" t="s">
        <v>6754</v>
      </c>
      <c r="J399" s="122">
        <v>45706</v>
      </c>
      <c r="K399" s="110" t="str">
        <f t="shared" si="2"/>
        <v>https://Estud2024.sawtoothsoftware.com/cgi-bin/ciwweb.pl?studyname=Estud2024&amp;ID=398</v>
      </c>
      <c r="L399" s="113">
        <v>45709</v>
      </c>
      <c r="M399" s="45" t="s">
        <v>247</v>
      </c>
    </row>
    <row r="400" spans="1:13">
      <c r="A400">
        <v>399</v>
      </c>
      <c r="B400" t="s">
        <v>90</v>
      </c>
      <c r="C400">
        <v>1</v>
      </c>
      <c r="D400" t="s">
        <v>7755</v>
      </c>
      <c r="E400">
        <v>15</v>
      </c>
      <c r="F400" t="s">
        <v>7764</v>
      </c>
      <c r="G400">
        <v>2</v>
      </c>
      <c r="H400" t="s">
        <v>7765</v>
      </c>
      <c r="I400" s="45" t="s">
        <v>6754</v>
      </c>
      <c r="J400" s="122">
        <v>45706</v>
      </c>
      <c r="K400" s="110" t="str">
        <f t="shared" si="2"/>
        <v>https://Estud2024.sawtoothsoftware.com/cgi-bin/ciwweb.pl?studyname=Estud2024&amp;ID=399</v>
      </c>
      <c r="L400" s="113">
        <v>45709</v>
      </c>
      <c r="M400" s="45" t="s">
        <v>247</v>
      </c>
    </row>
    <row r="401" spans="1:13">
      <c r="A401">
        <v>400</v>
      </c>
      <c r="B401" t="s">
        <v>90</v>
      </c>
      <c r="C401">
        <v>1</v>
      </c>
      <c r="D401" t="s">
        <v>7755</v>
      </c>
      <c r="E401">
        <v>15</v>
      </c>
      <c r="F401" t="s">
        <v>7766</v>
      </c>
      <c r="G401">
        <v>3</v>
      </c>
      <c r="H401" t="s">
        <v>7767</v>
      </c>
      <c r="I401" s="45" t="s">
        <v>6754</v>
      </c>
      <c r="J401" s="122">
        <v>45706</v>
      </c>
      <c r="K401" s="110" t="str">
        <f t="shared" si="2"/>
        <v>https://Estud2024.sawtoothsoftware.com/cgi-bin/ciwweb.pl?studyname=Estud2024&amp;ID=400</v>
      </c>
      <c r="L401" s="113">
        <v>45709</v>
      </c>
      <c r="M401" s="45" t="s">
        <v>246</v>
      </c>
    </row>
    <row r="402" spans="1:13">
      <c r="A402">
        <v>401</v>
      </c>
      <c r="B402" t="s">
        <v>90</v>
      </c>
      <c r="C402">
        <v>1</v>
      </c>
      <c r="D402" t="s">
        <v>7755</v>
      </c>
      <c r="E402">
        <v>15</v>
      </c>
      <c r="F402" t="s">
        <v>7768</v>
      </c>
      <c r="G402">
        <v>3</v>
      </c>
      <c r="H402" t="s">
        <v>7769</v>
      </c>
      <c r="I402" s="45" t="s">
        <v>6754</v>
      </c>
      <c r="J402" s="122">
        <v>45706</v>
      </c>
      <c r="K402" s="110" t="str">
        <f t="shared" si="2"/>
        <v>https://Estud2024.sawtoothsoftware.com/cgi-bin/ciwweb.pl?studyname=Estud2024&amp;ID=401</v>
      </c>
      <c r="L402" s="113">
        <v>45709</v>
      </c>
      <c r="M402" s="45" t="s">
        <v>247</v>
      </c>
    </row>
    <row r="403" spans="1:13">
      <c r="A403">
        <v>402</v>
      </c>
      <c r="B403" t="s">
        <v>90</v>
      </c>
      <c r="C403">
        <v>1</v>
      </c>
      <c r="D403" t="s">
        <v>7755</v>
      </c>
      <c r="E403">
        <v>15</v>
      </c>
      <c r="F403" t="s">
        <v>7770</v>
      </c>
      <c r="G403">
        <v>3</v>
      </c>
      <c r="H403" t="s">
        <v>7771</v>
      </c>
      <c r="I403" s="45" t="s">
        <v>6754</v>
      </c>
      <c r="J403" s="122">
        <v>45706</v>
      </c>
      <c r="K403" s="110" t="str">
        <f t="shared" si="2"/>
        <v>https://Estud2024.sawtoothsoftware.com/cgi-bin/ciwweb.pl?studyname=Estud2024&amp;ID=402</v>
      </c>
      <c r="L403" s="113">
        <v>45709</v>
      </c>
      <c r="M403" s="45" t="s">
        <v>247</v>
      </c>
    </row>
    <row r="404" spans="1:13">
      <c r="A404">
        <v>403</v>
      </c>
      <c r="B404" t="s">
        <v>90</v>
      </c>
      <c r="C404">
        <v>1</v>
      </c>
      <c r="D404" t="s">
        <v>7755</v>
      </c>
      <c r="E404">
        <v>15</v>
      </c>
      <c r="F404" t="s">
        <v>7772</v>
      </c>
      <c r="G404">
        <v>3</v>
      </c>
      <c r="H404" t="s">
        <v>7773</v>
      </c>
      <c r="I404" s="45" t="s">
        <v>6754</v>
      </c>
      <c r="J404" s="122">
        <v>45706</v>
      </c>
      <c r="K404" s="110" t="str">
        <f t="shared" si="2"/>
        <v>https://Estud2024.sawtoothsoftware.com/cgi-bin/ciwweb.pl?studyname=Estud2024&amp;ID=403</v>
      </c>
      <c r="L404" s="113">
        <v>45709</v>
      </c>
      <c r="M404" s="45" t="s">
        <v>247</v>
      </c>
    </row>
    <row r="405" spans="1:13">
      <c r="A405">
        <v>404</v>
      </c>
      <c r="B405" t="s">
        <v>90</v>
      </c>
      <c r="C405">
        <v>1</v>
      </c>
      <c r="D405" t="s">
        <v>7755</v>
      </c>
      <c r="E405">
        <v>15</v>
      </c>
      <c r="F405" t="s">
        <v>7774</v>
      </c>
      <c r="G405">
        <v>4</v>
      </c>
      <c r="H405" t="s">
        <v>7775</v>
      </c>
      <c r="I405" s="45" t="s">
        <v>6754</v>
      </c>
      <c r="J405" s="122">
        <v>45706</v>
      </c>
      <c r="K405" s="110" t="str">
        <f t="shared" si="2"/>
        <v>https://Estud2024.sawtoothsoftware.com/cgi-bin/ciwweb.pl?studyname=Estud2024&amp;ID=404</v>
      </c>
      <c r="L405" s="113">
        <v>45709</v>
      </c>
      <c r="M405" s="45" t="s">
        <v>247</v>
      </c>
    </row>
    <row r="406" spans="1:13">
      <c r="A406">
        <v>405</v>
      </c>
      <c r="B406" t="s">
        <v>90</v>
      </c>
      <c r="C406">
        <v>1</v>
      </c>
      <c r="D406" t="s">
        <v>7755</v>
      </c>
      <c r="E406">
        <v>15</v>
      </c>
      <c r="F406" t="s">
        <v>7776</v>
      </c>
      <c r="G406">
        <v>4</v>
      </c>
      <c r="H406" t="s">
        <v>7777</v>
      </c>
      <c r="I406" s="45" t="s">
        <v>6754</v>
      </c>
      <c r="J406" s="122">
        <v>45706</v>
      </c>
      <c r="K406" s="110" t="str">
        <f t="shared" ref="K406:K469" si="3">CONCATENATE("https://Estud2024.sawtoothsoftware.com/cgi-bin/ciwweb.pl?studyname=Estud2024&amp;ID=",A406)</f>
        <v>https://Estud2024.sawtoothsoftware.com/cgi-bin/ciwweb.pl?studyname=Estud2024&amp;ID=405</v>
      </c>
      <c r="L406" s="113">
        <v>45709</v>
      </c>
      <c r="M406" s="45" t="s">
        <v>247</v>
      </c>
    </row>
    <row r="407" spans="1:13">
      <c r="A407">
        <v>406</v>
      </c>
      <c r="B407" t="s">
        <v>90</v>
      </c>
      <c r="C407">
        <v>1</v>
      </c>
      <c r="D407" t="s">
        <v>7755</v>
      </c>
      <c r="E407">
        <v>15</v>
      </c>
      <c r="F407" t="s">
        <v>7778</v>
      </c>
      <c r="G407">
        <v>4</v>
      </c>
      <c r="H407" t="s">
        <v>7779</v>
      </c>
      <c r="I407" s="45" t="s">
        <v>6754</v>
      </c>
      <c r="J407" s="122">
        <v>45706</v>
      </c>
      <c r="K407" s="110" t="str">
        <f t="shared" si="3"/>
        <v>https://Estud2024.sawtoothsoftware.com/cgi-bin/ciwweb.pl?studyname=Estud2024&amp;ID=406</v>
      </c>
      <c r="L407" s="113">
        <v>45709</v>
      </c>
      <c r="M407" s="45" t="s">
        <v>247</v>
      </c>
    </row>
    <row r="408" spans="1:13">
      <c r="A408">
        <v>407</v>
      </c>
      <c r="B408" t="s">
        <v>90</v>
      </c>
      <c r="C408">
        <v>1</v>
      </c>
      <c r="D408" t="s">
        <v>7755</v>
      </c>
      <c r="E408">
        <v>15</v>
      </c>
      <c r="F408" t="s">
        <v>7780</v>
      </c>
      <c r="G408">
        <v>4</v>
      </c>
      <c r="H408" t="s">
        <v>7781</v>
      </c>
      <c r="I408" s="45" t="s">
        <v>6754</v>
      </c>
      <c r="J408" s="122">
        <v>45706</v>
      </c>
      <c r="K408" s="110" t="str">
        <f t="shared" si="3"/>
        <v>https://Estud2024.sawtoothsoftware.com/cgi-bin/ciwweb.pl?studyname=Estud2024&amp;ID=407</v>
      </c>
      <c r="L408" s="113">
        <v>45709</v>
      </c>
      <c r="M408" s="45" t="s">
        <v>246</v>
      </c>
    </row>
    <row r="409" spans="1:13">
      <c r="A409">
        <v>408</v>
      </c>
      <c r="B409" t="s">
        <v>90</v>
      </c>
      <c r="C409">
        <v>1</v>
      </c>
      <c r="D409" t="s">
        <v>7755</v>
      </c>
      <c r="E409">
        <v>15</v>
      </c>
      <c r="F409" t="s">
        <v>7782</v>
      </c>
      <c r="G409">
        <v>5</v>
      </c>
      <c r="H409" t="s">
        <v>7783</v>
      </c>
      <c r="I409" s="45" t="s">
        <v>6754</v>
      </c>
      <c r="J409" s="122">
        <v>45706</v>
      </c>
      <c r="K409" s="110" t="str">
        <f t="shared" si="3"/>
        <v>https://Estud2024.sawtoothsoftware.com/cgi-bin/ciwweb.pl?studyname=Estud2024&amp;ID=408</v>
      </c>
      <c r="L409" s="113">
        <v>45709</v>
      </c>
      <c r="M409" s="45" t="s">
        <v>246</v>
      </c>
    </row>
    <row r="410" spans="1:13">
      <c r="A410">
        <v>409</v>
      </c>
      <c r="B410" t="s">
        <v>90</v>
      </c>
      <c r="C410">
        <v>1</v>
      </c>
      <c r="D410" t="s">
        <v>128</v>
      </c>
      <c r="E410">
        <v>16</v>
      </c>
      <c r="F410" t="s">
        <v>7784</v>
      </c>
      <c r="G410">
        <v>2</v>
      </c>
      <c r="H410" t="s">
        <v>7785</v>
      </c>
      <c r="I410" s="45" t="s">
        <v>6754</v>
      </c>
      <c r="J410" s="122">
        <v>45706</v>
      </c>
      <c r="K410" s="110" t="str">
        <f t="shared" si="3"/>
        <v>https://Estud2024.sawtoothsoftware.com/cgi-bin/ciwweb.pl?studyname=Estud2024&amp;ID=409</v>
      </c>
      <c r="L410" s="113">
        <v>45709</v>
      </c>
      <c r="M410" s="45" t="s">
        <v>247</v>
      </c>
    </row>
    <row r="411" spans="1:13">
      <c r="A411">
        <v>410</v>
      </c>
      <c r="B411" t="s">
        <v>90</v>
      </c>
      <c r="C411">
        <v>1</v>
      </c>
      <c r="D411" t="s">
        <v>128</v>
      </c>
      <c r="E411">
        <v>16</v>
      </c>
      <c r="F411" t="s">
        <v>7786</v>
      </c>
      <c r="G411">
        <v>2</v>
      </c>
      <c r="H411" t="s">
        <v>7787</v>
      </c>
      <c r="I411" s="45" t="s">
        <v>6754</v>
      </c>
      <c r="J411" s="122">
        <v>45706</v>
      </c>
      <c r="K411" s="110" t="str">
        <f t="shared" si="3"/>
        <v>https://Estud2024.sawtoothsoftware.com/cgi-bin/ciwweb.pl?studyname=Estud2024&amp;ID=410</v>
      </c>
      <c r="L411" s="113">
        <v>45709</v>
      </c>
      <c r="M411" s="45" t="s">
        <v>247</v>
      </c>
    </row>
    <row r="412" spans="1:13">
      <c r="A412">
        <v>411</v>
      </c>
      <c r="B412" t="s">
        <v>90</v>
      </c>
      <c r="C412">
        <v>1</v>
      </c>
      <c r="D412" t="s">
        <v>128</v>
      </c>
      <c r="E412">
        <v>16</v>
      </c>
      <c r="F412" t="s">
        <v>7788</v>
      </c>
      <c r="G412">
        <v>2</v>
      </c>
      <c r="H412" t="s">
        <v>7789</v>
      </c>
      <c r="I412" s="45" t="s">
        <v>6754</v>
      </c>
      <c r="J412" s="122">
        <v>45706</v>
      </c>
      <c r="K412" s="110" t="str">
        <f t="shared" si="3"/>
        <v>https://Estud2024.sawtoothsoftware.com/cgi-bin/ciwweb.pl?studyname=Estud2024&amp;ID=411</v>
      </c>
      <c r="L412" s="113">
        <v>45709</v>
      </c>
      <c r="M412" s="45" t="s">
        <v>246</v>
      </c>
    </row>
    <row r="413" spans="1:13">
      <c r="A413">
        <v>412</v>
      </c>
      <c r="B413" t="s">
        <v>90</v>
      </c>
      <c r="C413">
        <v>1</v>
      </c>
      <c r="D413" t="s">
        <v>128</v>
      </c>
      <c r="E413">
        <v>16</v>
      </c>
      <c r="F413" t="s">
        <v>7790</v>
      </c>
      <c r="G413">
        <v>3</v>
      </c>
      <c r="H413" t="s">
        <v>7791</v>
      </c>
      <c r="I413" s="45" t="s">
        <v>6754</v>
      </c>
      <c r="J413" s="122">
        <v>45706</v>
      </c>
      <c r="K413" s="110" t="str">
        <f t="shared" si="3"/>
        <v>https://Estud2024.sawtoothsoftware.com/cgi-bin/ciwweb.pl?studyname=Estud2024&amp;ID=412</v>
      </c>
      <c r="L413" s="113">
        <v>45709</v>
      </c>
      <c r="M413" s="45" t="s">
        <v>247</v>
      </c>
    </row>
    <row r="414" spans="1:13">
      <c r="A414">
        <v>413</v>
      </c>
      <c r="B414" t="s">
        <v>90</v>
      </c>
      <c r="C414">
        <v>1</v>
      </c>
      <c r="D414" t="s">
        <v>121</v>
      </c>
      <c r="E414">
        <v>10</v>
      </c>
      <c r="F414" t="s">
        <v>7792</v>
      </c>
      <c r="G414">
        <v>1</v>
      </c>
      <c r="H414" t="s">
        <v>7793</v>
      </c>
      <c r="I414" s="45" t="s">
        <v>6754</v>
      </c>
      <c r="J414" s="122">
        <v>45706</v>
      </c>
      <c r="K414" s="110" t="str">
        <f t="shared" si="3"/>
        <v>https://Estud2024.sawtoothsoftware.com/cgi-bin/ciwweb.pl?studyname=Estud2024&amp;ID=413</v>
      </c>
      <c r="L414" s="113">
        <v>45709</v>
      </c>
      <c r="M414" s="45" t="s">
        <v>247</v>
      </c>
    </row>
    <row r="415" spans="1:13">
      <c r="A415">
        <v>414</v>
      </c>
      <c r="B415" t="s">
        <v>90</v>
      </c>
      <c r="C415">
        <v>1</v>
      </c>
      <c r="D415" t="s">
        <v>121</v>
      </c>
      <c r="E415">
        <v>10</v>
      </c>
      <c r="F415" t="s">
        <v>7794</v>
      </c>
      <c r="G415">
        <v>1</v>
      </c>
      <c r="H415" t="s">
        <v>7795</v>
      </c>
      <c r="I415" s="45" t="s">
        <v>6754</v>
      </c>
      <c r="J415" s="122">
        <v>45706</v>
      </c>
      <c r="K415" s="110" t="str">
        <f t="shared" si="3"/>
        <v>https://Estud2024.sawtoothsoftware.com/cgi-bin/ciwweb.pl?studyname=Estud2024&amp;ID=414</v>
      </c>
      <c r="L415" s="113">
        <v>45709</v>
      </c>
      <c r="M415" s="45" t="s">
        <v>247</v>
      </c>
    </row>
    <row r="416" spans="1:13">
      <c r="A416">
        <v>415</v>
      </c>
      <c r="B416" t="s">
        <v>90</v>
      </c>
      <c r="C416">
        <v>1</v>
      </c>
      <c r="D416" t="s">
        <v>121</v>
      </c>
      <c r="E416">
        <v>10</v>
      </c>
      <c r="F416" t="s">
        <v>7796</v>
      </c>
      <c r="G416">
        <v>1</v>
      </c>
      <c r="H416" t="s">
        <v>7797</v>
      </c>
      <c r="I416" s="45" t="s">
        <v>6754</v>
      </c>
      <c r="J416" s="122">
        <v>45706</v>
      </c>
      <c r="K416" s="110" t="str">
        <f t="shared" si="3"/>
        <v>https://Estud2024.sawtoothsoftware.com/cgi-bin/ciwweb.pl?studyname=Estud2024&amp;ID=415</v>
      </c>
      <c r="L416" s="113">
        <v>45709</v>
      </c>
      <c r="M416" s="45" t="s">
        <v>247</v>
      </c>
    </row>
    <row r="417" spans="1:13">
      <c r="A417">
        <v>416</v>
      </c>
      <c r="B417" t="s">
        <v>90</v>
      </c>
      <c r="C417">
        <v>1</v>
      </c>
      <c r="D417" t="s">
        <v>121</v>
      </c>
      <c r="E417">
        <v>10</v>
      </c>
      <c r="F417" t="s">
        <v>7798</v>
      </c>
      <c r="G417">
        <v>1</v>
      </c>
      <c r="H417" t="s">
        <v>7799</v>
      </c>
      <c r="I417" s="45" t="s">
        <v>6754</v>
      </c>
      <c r="J417" s="122">
        <v>45706</v>
      </c>
      <c r="K417" s="110" t="str">
        <f t="shared" si="3"/>
        <v>https://Estud2024.sawtoothsoftware.com/cgi-bin/ciwweb.pl?studyname=Estud2024&amp;ID=416</v>
      </c>
      <c r="L417" s="113">
        <v>45709</v>
      </c>
      <c r="M417" s="45" t="s">
        <v>246</v>
      </c>
    </row>
    <row r="418" spans="1:13">
      <c r="A418">
        <v>417</v>
      </c>
      <c r="B418" t="s">
        <v>90</v>
      </c>
      <c r="C418">
        <v>1</v>
      </c>
      <c r="D418" t="s">
        <v>121</v>
      </c>
      <c r="E418">
        <v>10</v>
      </c>
      <c r="F418" t="s">
        <v>7800</v>
      </c>
      <c r="G418">
        <v>1</v>
      </c>
      <c r="H418" t="s">
        <v>7801</v>
      </c>
      <c r="I418" s="45" t="s">
        <v>6754</v>
      </c>
      <c r="J418" s="122">
        <v>45706</v>
      </c>
      <c r="K418" s="110" t="str">
        <f t="shared" si="3"/>
        <v>https://Estud2024.sawtoothsoftware.com/cgi-bin/ciwweb.pl?studyname=Estud2024&amp;ID=417</v>
      </c>
      <c r="L418" s="113">
        <v>45709</v>
      </c>
      <c r="M418" s="45" t="s">
        <v>246</v>
      </c>
    </row>
    <row r="419" spans="1:13">
      <c r="A419">
        <v>418</v>
      </c>
      <c r="B419" t="s">
        <v>90</v>
      </c>
      <c r="C419">
        <v>1</v>
      </c>
      <c r="D419" t="s">
        <v>121</v>
      </c>
      <c r="E419">
        <v>10</v>
      </c>
      <c r="F419" t="s">
        <v>7802</v>
      </c>
      <c r="G419">
        <v>1</v>
      </c>
      <c r="H419" t="s">
        <v>7803</v>
      </c>
      <c r="I419" s="45" t="s">
        <v>6754</v>
      </c>
      <c r="J419" s="122">
        <v>45706</v>
      </c>
      <c r="K419" s="110" t="str">
        <f t="shared" si="3"/>
        <v>https://Estud2024.sawtoothsoftware.com/cgi-bin/ciwweb.pl?studyname=Estud2024&amp;ID=418</v>
      </c>
      <c r="L419" s="113">
        <v>45709</v>
      </c>
      <c r="M419" s="45" t="s">
        <v>247</v>
      </c>
    </row>
    <row r="420" spans="1:13">
      <c r="A420">
        <v>419</v>
      </c>
      <c r="B420" t="s">
        <v>90</v>
      </c>
      <c r="C420">
        <v>1</v>
      </c>
      <c r="D420" t="s">
        <v>121</v>
      </c>
      <c r="E420">
        <v>10</v>
      </c>
      <c r="F420" t="s">
        <v>7804</v>
      </c>
      <c r="G420">
        <v>2</v>
      </c>
      <c r="H420" t="s">
        <v>7805</v>
      </c>
      <c r="I420" s="45" t="s">
        <v>6754</v>
      </c>
      <c r="J420" s="122">
        <v>45706</v>
      </c>
      <c r="K420" s="110" t="str">
        <f t="shared" si="3"/>
        <v>https://Estud2024.sawtoothsoftware.com/cgi-bin/ciwweb.pl?studyname=Estud2024&amp;ID=419</v>
      </c>
      <c r="L420" s="113">
        <v>45709</v>
      </c>
      <c r="M420" s="45" t="s">
        <v>246</v>
      </c>
    </row>
    <row r="421" spans="1:13">
      <c r="A421">
        <v>420</v>
      </c>
      <c r="B421" t="s">
        <v>90</v>
      </c>
      <c r="C421">
        <v>1</v>
      </c>
      <c r="D421" t="s">
        <v>121</v>
      </c>
      <c r="E421">
        <v>10</v>
      </c>
      <c r="F421" t="s">
        <v>7806</v>
      </c>
      <c r="G421">
        <v>2</v>
      </c>
      <c r="H421" t="s">
        <v>7807</v>
      </c>
      <c r="I421" s="45" t="s">
        <v>6754</v>
      </c>
      <c r="J421" s="122">
        <v>45706</v>
      </c>
      <c r="K421" s="110" t="str">
        <f t="shared" si="3"/>
        <v>https://Estud2024.sawtoothsoftware.com/cgi-bin/ciwweb.pl?studyname=Estud2024&amp;ID=420</v>
      </c>
      <c r="L421" s="113">
        <v>45709</v>
      </c>
      <c r="M421" s="45" t="s">
        <v>247</v>
      </c>
    </row>
    <row r="422" spans="1:13">
      <c r="A422">
        <v>421</v>
      </c>
      <c r="B422" t="s">
        <v>90</v>
      </c>
      <c r="C422">
        <v>1</v>
      </c>
      <c r="D422" t="s">
        <v>121</v>
      </c>
      <c r="E422">
        <v>10</v>
      </c>
      <c r="F422" t="s">
        <v>7808</v>
      </c>
      <c r="G422">
        <v>2</v>
      </c>
      <c r="H422" t="s">
        <v>7809</v>
      </c>
      <c r="I422" s="45" t="s">
        <v>6754</v>
      </c>
      <c r="J422" s="122">
        <v>45706</v>
      </c>
      <c r="K422" s="110" t="str">
        <f t="shared" si="3"/>
        <v>https://Estud2024.sawtoothsoftware.com/cgi-bin/ciwweb.pl?studyname=Estud2024&amp;ID=421</v>
      </c>
      <c r="L422" s="113">
        <v>45709</v>
      </c>
      <c r="M422" s="45" t="s">
        <v>246</v>
      </c>
    </row>
    <row r="423" spans="1:13">
      <c r="A423">
        <v>422</v>
      </c>
      <c r="B423" t="s">
        <v>90</v>
      </c>
      <c r="C423">
        <v>1</v>
      </c>
      <c r="D423" t="s">
        <v>121</v>
      </c>
      <c r="E423">
        <v>10</v>
      </c>
      <c r="F423" t="s">
        <v>7810</v>
      </c>
      <c r="G423">
        <v>2</v>
      </c>
      <c r="H423" t="s">
        <v>7811</v>
      </c>
      <c r="I423" s="45" t="s">
        <v>6754</v>
      </c>
      <c r="J423" s="122">
        <v>45706</v>
      </c>
      <c r="K423" s="110" t="str">
        <f t="shared" si="3"/>
        <v>https://Estud2024.sawtoothsoftware.com/cgi-bin/ciwweb.pl?studyname=Estud2024&amp;ID=422</v>
      </c>
      <c r="L423" s="113">
        <v>45709</v>
      </c>
      <c r="M423" s="45" t="s">
        <v>247</v>
      </c>
    </row>
    <row r="424" spans="1:13">
      <c r="A424">
        <v>423</v>
      </c>
      <c r="B424" t="s">
        <v>90</v>
      </c>
      <c r="C424">
        <v>1</v>
      </c>
      <c r="D424" t="s">
        <v>121</v>
      </c>
      <c r="E424">
        <v>10</v>
      </c>
      <c r="F424" t="s">
        <v>7812</v>
      </c>
      <c r="G424">
        <v>2</v>
      </c>
      <c r="H424" t="s">
        <v>7813</v>
      </c>
      <c r="I424" s="45" t="s">
        <v>6754</v>
      </c>
      <c r="J424" s="122">
        <v>45706</v>
      </c>
      <c r="K424" s="110" t="str">
        <f t="shared" si="3"/>
        <v>https://Estud2024.sawtoothsoftware.com/cgi-bin/ciwweb.pl?studyname=Estud2024&amp;ID=423</v>
      </c>
      <c r="L424" s="113">
        <v>45709</v>
      </c>
      <c r="M424" s="45" t="s">
        <v>246</v>
      </c>
    </row>
    <row r="425" spans="1:13">
      <c r="A425">
        <v>424</v>
      </c>
      <c r="B425" t="s">
        <v>90</v>
      </c>
      <c r="C425">
        <v>1</v>
      </c>
      <c r="D425" t="s">
        <v>121</v>
      </c>
      <c r="E425">
        <v>10</v>
      </c>
      <c r="F425" t="s">
        <v>7814</v>
      </c>
      <c r="G425">
        <v>2</v>
      </c>
      <c r="H425" t="s">
        <v>7815</v>
      </c>
      <c r="I425" s="45" t="s">
        <v>6754</v>
      </c>
      <c r="J425" s="122">
        <v>45706</v>
      </c>
      <c r="K425" s="110" t="str">
        <f t="shared" si="3"/>
        <v>https://Estud2024.sawtoothsoftware.com/cgi-bin/ciwweb.pl?studyname=Estud2024&amp;ID=424</v>
      </c>
      <c r="L425" s="113">
        <v>45709</v>
      </c>
      <c r="M425" s="45" t="s">
        <v>246</v>
      </c>
    </row>
    <row r="426" spans="1:13">
      <c r="A426">
        <v>425</v>
      </c>
      <c r="B426" t="s">
        <v>90</v>
      </c>
      <c r="C426">
        <v>1</v>
      </c>
      <c r="D426" t="s">
        <v>121</v>
      </c>
      <c r="E426">
        <v>10</v>
      </c>
      <c r="F426" t="s">
        <v>7816</v>
      </c>
      <c r="G426">
        <v>2</v>
      </c>
      <c r="H426" t="s">
        <v>7817</v>
      </c>
      <c r="I426" s="45" t="s">
        <v>6754</v>
      </c>
      <c r="J426" s="122">
        <v>45706</v>
      </c>
      <c r="K426" s="110" t="str">
        <f t="shared" si="3"/>
        <v>https://Estud2024.sawtoothsoftware.com/cgi-bin/ciwweb.pl?studyname=Estud2024&amp;ID=425</v>
      </c>
      <c r="L426" s="113">
        <v>45709</v>
      </c>
      <c r="M426" s="45" t="s">
        <v>246</v>
      </c>
    </row>
    <row r="427" spans="1:13">
      <c r="A427">
        <v>426</v>
      </c>
      <c r="B427" t="s">
        <v>90</v>
      </c>
      <c r="C427">
        <v>1</v>
      </c>
      <c r="D427" t="s">
        <v>121</v>
      </c>
      <c r="E427">
        <v>10</v>
      </c>
      <c r="F427" t="s">
        <v>7818</v>
      </c>
      <c r="G427">
        <v>2</v>
      </c>
      <c r="H427" t="s">
        <v>7819</v>
      </c>
      <c r="I427" s="45" t="s">
        <v>6754</v>
      </c>
      <c r="J427" s="122">
        <v>45706</v>
      </c>
      <c r="K427" s="110" t="str">
        <f t="shared" si="3"/>
        <v>https://Estud2024.sawtoothsoftware.com/cgi-bin/ciwweb.pl?studyname=Estud2024&amp;ID=426</v>
      </c>
      <c r="L427" s="113">
        <v>45709</v>
      </c>
      <c r="M427" s="45" t="s">
        <v>246</v>
      </c>
    </row>
    <row r="428" spans="1:13">
      <c r="A428">
        <v>427</v>
      </c>
      <c r="B428" t="s">
        <v>90</v>
      </c>
      <c r="C428">
        <v>1</v>
      </c>
      <c r="D428" t="s">
        <v>121</v>
      </c>
      <c r="E428">
        <v>10</v>
      </c>
      <c r="F428" t="s">
        <v>7820</v>
      </c>
      <c r="G428">
        <v>2</v>
      </c>
      <c r="H428" t="s">
        <v>7821</v>
      </c>
      <c r="I428" s="45" t="s">
        <v>6754</v>
      </c>
      <c r="J428" s="122">
        <v>45706</v>
      </c>
      <c r="K428" s="110" t="str">
        <f t="shared" si="3"/>
        <v>https://Estud2024.sawtoothsoftware.com/cgi-bin/ciwweb.pl?studyname=Estud2024&amp;ID=427</v>
      </c>
      <c r="L428" s="113">
        <v>45709</v>
      </c>
      <c r="M428" s="45" t="s">
        <v>246</v>
      </c>
    </row>
    <row r="429" spans="1:13">
      <c r="A429">
        <v>428</v>
      </c>
      <c r="B429" t="s">
        <v>90</v>
      </c>
      <c r="C429">
        <v>1</v>
      </c>
      <c r="D429" t="s">
        <v>121</v>
      </c>
      <c r="E429">
        <v>10</v>
      </c>
      <c r="F429" t="s">
        <v>7822</v>
      </c>
      <c r="G429">
        <v>2</v>
      </c>
      <c r="H429" t="s">
        <v>7823</v>
      </c>
      <c r="I429" s="45" t="s">
        <v>6754</v>
      </c>
      <c r="J429" s="122">
        <v>45706</v>
      </c>
      <c r="K429" s="110" t="str">
        <f t="shared" si="3"/>
        <v>https://Estud2024.sawtoothsoftware.com/cgi-bin/ciwweb.pl?studyname=Estud2024&amp;ID=428</v>
      </c>
      <c r="L429" s="113">
        <v>45709</v>
      </c>
      <c r="M429" s="45" t="s">
        <v>246</v>
      </c>
    </row>
    <row r="430" spans="1:13">
      <c r="A430">
        <v>429</v>
      </c>
      <c r="B430" t="s">
        <v>90</v>
      </c>
      <c r="C430">
        <v>1</v>
      </c>
      <c r="D430" t="s">
        <v>121</v>
      </c>
      <c r="E430">
        <v>10</v>
      </c>
      <c r="F430" t="s">
        <v>7824</v>
      </c>
      <c r="G430">
        <v>2</v>
      </c>
      <c r="H430" t="s">
        <v>7825</v>
      </c>
      <c r="I430" s="45" t="s">
        <v>6754</v>
      </c>
      <c r="J430" s="122">
        <v>45706</v>
      </c>
      <c r="K430" s="110" t="str">
        <f t="shared" si="3"/>
        <v>https://Estud2024.sawtoothsoftware.com/cgi-bin/ciwweb.pl?studyname=Estud2024&amp;ID=429</v>
      </c>
      <c r="L430" s="113">
        <v>45709</v>
      </c>
      <c r="M430" s="45" t="s">
        <v>246</v>
      </c>
    </row>
    <row r="431" spans="1:13">
      <c r="A431">
        <v>430</v>
      </c>
      <c r="B431" t="s">
        <v>90</v>
      </c>
      <c r="C431">
        <v>1</v>
      </c>
      <c r="D431" t="s">
        <v>121</v>
      </c>
      <c r="E431">
        <v>10</v>
      </c>
      <c r="F431" t="s">
        <v>7826</v>
      </c>
      <c r="G431">
        <v>2</v>
      </c>
      <c r="H431" t="s">
        <v>7827</v>
      </c>
      <c r="I431" s="45" t="s">
        <v>6754</v>
      </c>
      <c r="J431" s="122">
        <v>45706</v>
      </c>
      <c r="K431" s="110" t="str">
        <f t="shared" si="3"/>
        <v>https://Estud2024.sawtoothsoftware.com/cgi-bin/ciwweb.pl?studyname=Estud2024&amp;ID=430</v>
      </c>
      <c r="L431" s="113">
        <v>45709</v>
      </c>
      <c r="M431" s="45" t="s">
        <v>247</v>
      </c>
    </row>
    <row r="432" spans="1:13">
      <c r="A432">
        <v>431</v>
      </c>
      <c r="B432" t="s">
        <v>90</v>
      </c>
      <c r="C432">
        <v>1</v>
      </c>
      <c r="D432" t="s">
        <v>121</v>
      </c>
      <c r="E432">
        <v>10</v>
      </c>
      <c r="F432" t="s">
        <v>7828</v>
      </c>
      <c r="G432">
        <v>3</v>
      </c>
      <c r="H432" t="s">
        <v>7829</v>
      </c>
      <c r="I432" s="45" t="s">
        <v>6754</v>
      </c>
      <c r="J432" s="122">
        <v>45706</v>
      </c>
      <c r="K432" s="110" t="str">
        <f t="shared" si="3"/>
        <v>https://Estud2024.sawtoothsoftware.com/cgi-bin/ciwweb.pl?studyname=Estud2024&amp;ID=431</v>
      </c>
      <c r="L432" s="113">
        <v>45709</v>
      </c>
      <c r="M432" s="45" t="s">
        <v>247</v>
      </c>
    </row>
    <row r="433" spans="1:13">
      <c r="A433">
        <v>432</v>
      </c>
      <c r="B433" t="s">
        <v>90</v>
      </c>
      <c r="C433">
        <v>1</v>
      </c>
      <c r="D433" t="s">
        <v>121</v>
      </c>
      <c r="E433">
        <v>10</v>
      </c>
      <c r="F433" t="s">
        <v>7830</v>
      </c>
      <c r="G433">
        <v>3</v>
      </c>
      <c r="H433" t="s">
        <v>7831</v>
      </c>
      <c r="I433" s="45" t="s">
        <v>6754</v>
      </c>
      <c r="J433" s="122">
        <v>45706</v>
      </c>
      <c r="K433" s="110" t="str">
        <f t="shared" si="3"/>
        <v>https://Estud2024.sawtoothsoftware.com/cgi-bin/ciwweb.pl?studyname=Estud2024&amp;ID=432</v>
      </c>
      <c r="L433" s="113">
        <v>45709</v>
      </c>
      <c r="M433" s="45" t="s">
        <v>246</v>
      </c>
    </row>
    <row r="434" spans="1:13">
      <c r="A434">
        <v>433</v>
      </c>
      <c r="B434" t="s">
        <v>90</v>
      </c>
      <c r="C434">
        <v>1</v>
      </c>
      <c r="D434" t="s">
        <v>121</v>
      </c>
      <c r="E434">
        <v>10</v>
      </c>
      <c r="F434" t="s">
        <v>7832</v>
      </c>
      <c r="G434">
        <v>3</v>
      </c>
      <c r="H434" t="s">
        <v>7833</v>
      </c>
      <c r="I434" s="45" t="s">
        <v>6754</v>
      </c>
      <c r="J434" s="122">
        <v>45706</v>
      </c>
      <c r="K434" s="110" t="str">
        <f t="shared" si="3"/>
        <v>https://Estud2024.sawtoothsoftware.com/cgi-bin/ciwweb.pl?studyname=Estud2024&amp;ID=433</v>
      </c>
      <c r="L434" s="113">
        <v>45709</v>
      </c>
      <c r="M434" s="45" t="s">
        <v>247</v>
      </c>
    </row>
    <row r="435" spans="1:13">
      <c r="A435">
        <v>434</v>
      </c>
      <c r="B435" t="s">
        <v>90</v>
      </c>
      <c r="C435">
        <v>1</v>
      </c>
      <c r="D435" t="s">
        <v>121</v>
      </c>
      <c r="E435">
        <v>10</v>
      </c>
      <c r="F435" t="s">
        <v>7834</v>
      </c>
      <c r="G435">
        <v>3</v>
      </c>
      <c r="H435" t="s">
        <v>7835</v>
      </c>
      <c r="I435" s="45" t="s">
        <v>6754</v>
      </c>
      <c r="J435" s="122">
        <v>45706</v>
      </c>
      <c r="K435" s="110" t="str">
        <f t="shared" si="3"/>
        <v>https://Estud2024.sawtoothsoftware.com/cgi-bin/ciwweb.pl?studyname=Estud2024&amp;ID=434</v>
      </c>
      <c r="L435" s="113">
        <v>45709</v>
      </c>
      <c r="M435" s="45" t="s">
        <v>247</v>
      </c>
    </row>
    <row r="436" spans="1:13">
      <c r="A436">
        <v>435</v>
      </c>
      <c r="B436" t="s">
        <v>90</v>
      </c>
      <c r="C436">
        <v>1</v>
      </c>
      <c r="D436" t="s">
        <v>121</v>
      </c>
      <c r="E436">
        <v>10</v>
      </c>
      <c r="F436" t="s">
        <v>7836</v>
      </c>
      <c r="G436">
        <v>3</v>
      </c>
      <c r="H436" t="s">
        <v>7837</v>
      </c>
      <c r="I436" s="45" t="s">
        <v>6754</v>
      </c>
      <c r="J436" s="122">
        <v>45706</v>
      </c>
      <c r="K436" s="110" t="str">
        <f t="shared" si="3"/>
        <v>https://Estud2024.sawtoothsoftware.com/cgi-bin/ciwweb.pl?studyname=Estud2024&amp;ID=435</v>
      </c>
      <c r="L436" s="113">
        <v>45709</v>
      </c>
      <c r="M436" s="45" t="s">
        <v>246</v>
      </c>
    </row>
    <row r="437" spans="1:13">
      <c r="A437">
        <v>436</v>
      </c>
      <c r="B437" t="s">
        <v>90</v>
      </c>
      <c r="C437">
        <v>1</v>
      </c>
      <c r="D437" t="s">
        <v>121</v>
      </c>
      <c r="E437">
        <v>10</v>
      </c>
      <c r="F437" t="s">
        <v>7838</v>
      </c>
      <c r="G437">
        <v>3</v>
      </c>
      <c r="H437" t="s">
        <v>7839</v>
      </c>
      <c r="I437" s="45" t="s">
        <v>6754</v>
      </c>
      <c r="J437" s="122">
        <v>45706</v>
      </c>
      <c r="K437" s="110" t="str">
        <f t="shared" si="3"/>
        <v>https://Estud2024.sawtoothsoftware.com/cgi-bin/ciwweb.pl?studyname=Estud2024&amp;ID=436</v>
      </c>
      <c r="L437" s="113">
        <v>45709</v>
      </c>
      <c r="M437" s="45" t="s">
        <v>247</v>
      </c>
    </row>
    <row r="438" spans="1:13">
      <c r="A438">
        <v>437</v>
      </c>
      <c r="B438" t="s">
        <v>90</v>
      </c>
      <c r="C438">
        <v>1</v>
      </c>
      <c r="D438" t="s">
        <v>121</v>
      </c>
      <c r="E438">
        <v>10</v>
      </c>
      <c r="F438" t="s">
        <v>7840</v>
      </c>
      <c r="G438">
        <v>3</v>
      </c>
      <c r="H438" t="s">
        <v>7841</v>
      </c>
      <c r="I438" s="45" t="s">
        <v>6754</v>
      </c>
      <c r="J438" s="122">
        <v>45706</v>
      </c>
      <c r="K438" s="110" t="str">
        <f t="shared" si="3"/>
        <v>https://Estud2024.sawtoothsoftware.com/cgi-bin/ciwweb.pl?studyname=Estud2024&amp;ID=437</v>
      </c>
      <c r="L438" s="113">
        <v>45709</v>
      </c>
      <c r="M438" s="45" t="s">
        <v>247</v>
      </c>
    </row>
    <row r="439" spans="1:13">
      <c r="A439">
        <v>438</v>
      </c>
      <c r="B439" t="s">
        <v>90</v>
      </c>
      <c r="C439">
        <v>1</v>
      </c>
      <c r="D439" t="s">
        <v>121</v>
      </c>
      <c r="E439">
        <v>10</v>
      </c>
      <c r="F439" t="s">
        <v>7842</v>
      </c>
      <c r="G439">
        <v>3</v>
      </c>
      <c r="H439" t="s">
        <v>7843</v>
      </c>
      <c r="I439" s="45" t="s">
        <v>6754</v>
      </c>
      <c r="J439" s="122">
        <v>45706</v>
      </c>
      <c r="K439" s="110" t="str">
        <f t="shared" si="3"/>
        <v>https://Estud2024.sawtoothsoftware.com/cgi-bin/ciwweb.pl?studyname=Estud2024&amp;ID=438</v>
      </c>
      <c r="L439" s="113">
        <v>45709</v>
      </c>
      <c r="M439" s="45" t="s">
        <v>246</v>
      </c>
    </row>
    <row r="440" spans="1:13">
      <c r="A440">
        <v>439</v>
      </c>
      <c r="B440" t="s">
        <v>90</v>
      </c>
      <c r="C440">
        <v>1</v>
      </c>
      <c r="D440" t="s">
        <v>121</v>
      </c>
      <c r="E440">
        <v>10</v>
      </c>
      <c r="F440" t="s">
        <v>7844</v>
      </c>
      <c r="G440">
        <v>3</v>
      </c>
      <c r="H440" t="s">
        <v>7845</v>
      </c>
      <c r="I440" s="45" t="s">
        <v>6754</v>
      </c>
      <c r="J440" s="122">
        <v>45706</v>
      </c>
      <c r="K440" s="110" t="str">
        <f t="shared" si="3"/>
        <v>https://Estud2024.sawtoothsoftware.com/cgi-bin/ciwweb.pl?studyname=Estud2024&amp;ID=439</v>
      </c>
      <c r="L440" s="113">
        <v>45709</v>
      </c>
      <c r="M440" s="45" t="s">
        <v>247</v>
      </c>
    </row>
    <row r="441" spans="1:13">
      <c r="A441">
        <v>440</v>
      </c>
      <c r="B441" t="s">
        <v>90</v>
      </c>
      <c r="C441">
        <v>1</v>
      </c>
      <c r="D441" t="s">
        <v>121</v>
      </c>
      <c r="E441">
        <v>10</v>
      </c>
      <c r="F441" t="s">
        <v>7846</v>
      </c>
      <c r="G441">
        <v>3</v>
      </c>
      <c r="H441" t="s">
        <v>7847</v>
      </c>
      <c r="I441" s="45" t="s">
        <v>6754</v>
      </c>
      <c r="J441" s="122">
        <v>45706</v>
      </c>
      <c r="K441" s="110" t="str">
        <f t="shared" si="3"/>
        <v>https://Estud2024.sawtoothsoftware.com/cgi-bin/ciwweb.pl?studyname=Estud2024&amp;ID=440</v>
      </c>
      <c r="L441" s="113">
        <v>45709</v>
      </c>
      <c r="M441" s="45" t="s">
        <v>246</v>
      </c>
    </row>
    <row r="442" spans="1:13">
      <c r="A442">
        <v>441</v>
      </c>
      <c r="B442" t="s">
        <v>90</v>
      </c>
      <c r="C442">
        <v>1</v>
      </c>
      <c r="D442" t="s">
        <v>121</v>
      </c>
      <c r="E442">
        <v>10</v>
      </c>
      <c r="F442" t="s">
        <v>7848</v>
      </c>
      <c r="G442">
        <v>3</v>
      </c>
      <c r="H442" t="s">
        <v>7849</v>
      </c>
      <c r="I442" s="45" t="s">
        <v>6754</v>
      </c>
      <c r="J442" s="122">
        <v>45706</v>
      </c>
      <c r="K442" s="110" t="str">
        <f t="shared" si="3"/>
        <v>https://Estud2024.sawtoothsoftware.com/cgi-bin/ciwweb.pl?studyname=Estud2024&amp;ID=441</v>
      </c>
      <c r="L442" s="113">
        <v>45709</v>
      </c>
      <c r="M442" s="45" t="s">
        <v>246</v>
      </c>
    </row>
    <row r="443" spans="1:13">
      <c r="A443">
        <v>442</v>
      </c>
      <c r="B443" t="s">
        <v>90</v>
      </c>
      <c r="C443">
        <v>1</v>
      </c>
      <c r="D443" t="s">
        <v>121</v>
      </c>
      <c r="E443">
        <v>10</v>
      </c>
      <c r="F443" t="s">
        <v>7850</v>
      </c>
      <c r="G443">
        <v>3</v>
      </c>
      <c r="H443" t="s">
        <v>7851</v>
      </c>
      <c r="I443" s="45" t="s">
        <v>6754</v>
      </c>
      <c r="J443" s="122">
        <v>45706</v>
      </c>
      <c r="K443" s="110" t="str">
        <f t="shared" si="3"/>
        <v>https://Estud2024.sawtoothsoftware.com/cgi-bin/ciwweb.pl?studyname=Estud2024&amp;ID=442</v>
      </c>
      <c r="L443" s="113">
        <v>45709</v>
      </c>
      <c r="M443" s="45" t="s">
        <v>246</v>
      </c>
    </row>
    <row r="444" spans="1:13">
      <c r="A444">
        <v>443</v>
      </c>
      <c r="B444" t="s">
        <v>90</v>
      </c>
      <c r="C444">
        <v>1</v>
      </c>
      <c r="D444" t="s">
        <v>121</v>
      </c>
      <c r="E444">
        <v>10</v>
      </c>
      <c r="F444" t="s">
        <v>7852</v>
      </c>
      <c r="G444">
        <v>4</v>
      </c>
      <c r="H444" t="s">
        <v>7853</v>
      </c>
      <c r="I444" s="45" t="s">
        <v>6754</v>
      </c>
      <c r="J444" s="122">
        <v>45706</v>
      </c>
      <c r="K444" s="110" t="str">
        <f t="shared" si="3"/>
        <v>https://Estud2024.sawtoothsoftware.com/cgi-bin/ciwweb.pl?studyname=Estud2024&amp;ID=443</v>
      </c>
      <c r="L444" s="113">
        <v>45709</v>
      </c>
      <c r="M444" s="45" t="s">
        <v>247</v>
      </c>
    </row>
    <row r="445" spans="1:13">
      <c r="A445">
        <v>444</v>
      </c>
      <c r="B445" t="s">
        <v>90</v>
      </c>
      <c r="C445">
        <v>1</v>
      </c>
      <c r="D445" t="s">
        <v>121</v>
      </c>
      <c r="E445">
        <v>10</v>
      </c>
      <c r="F445" t="s">
        <v>7854</v>
      </c>
      <c r="G445">
        <v>4</v>
      </c>
      <c r="H445" t="s">
        <v>7855</v>
      </c>
      <c r="I445" s="45" t="s">
        <v>6754</v>
      </c>
      <c r="J445" s="122">
        <v>45706</v>
      </c>
      <c r="K445" s="110" t="str">
        <f t="shared" si="3"/>
        <v>https://Estud2024.sawtoothsoftware.com/cgi-bin/ciwweb.pl?studyname=Estud2024&amp;ID=444</v>
      </c>
      <c r="L445" s="113">
        <v>45709</v>
      </c>
      <c r="M445" s="45" t="s">
        <v>247</v>
      </c>
    </row>
    <row r="446" spans="1:13">
      <c r="A446">
        <v>445</v>
      </c>
      <c r="B446" t="s">
        <v>90</v>
      </c>
      <c r="C446">
        <v>1</v>
      </c>
      <c r="D446" t="s">
        <v>121</v>
      </c>
      <c r="E446">
        <v>10</v>
      </c>
      <c r="F446" t="s">
        <v>7856</v>
      </c>
      <c r="G446">
        <v>4</v>
      </c>
      <c r="H446" t="s">
        <v>7857</v>
      </c>
      <c r="I446" s="45" t="s">
        <v>6754</v>
      </c>
      <c r="J446" s="122">
        <v>45706</v>
      </c>
      <c r="K446" s="110" t="str">
        <f t="shared" si="3"/>
        <v>https://Estud2024.sawtoothsoftware.com/cgi-bin/ciwweb.pl?studyname=Estud2024&amp;ID=445</v>
      </c>
      <c r="L446" s="113">
        <v>45709</v>
      </c>
      <c r="M446" s="45" t="s">
        <v>247</v>
      </c>
    </row>
    <row r="447" spans="1:13">
      <c r="A447">
        <v>446</v>
      </c>
      <c r="B447" t="s">
        <v>90</v>
      </c>
      <c r="C447">
        <v>1</v>
      </c>
      <c r="D447" t="s">
        <v>121</v>
      </c>
      <c r="E447">
        <v>10</v>
      </c>
      <c r="F447" t="s">
        <v>7858</v>
      </c>
      <c r="G447">
        <v>4</v>
      </c>
      <c r="H447" t="s">
        <v>7859</v>
      </c>
      <c r="I447" s="45" t="s">
        <v>6754</v>
      </c>
      <c r="J447" s="122">
        <v>45706</v>
      </c>
      <c r="K447" s="110" t="str">
        <f t="shared" si="3"/>
        <v>https://Estud2024.sawtoothsoftware.com/cgi-bin/ciwweb.pl?studyname=Estud2024&amp;ID=446</v>
      </c>
      <c r="L447" s="113">
        <v>45709</v>
      </c>
      <c r="M447" s="45" t="s">
        <v>247</v>
      </c>
    </row>
    <row r="448" spans="1:13">
      <c r="A448">
        <v>447</v>
      </c>
      <c r="B448" t="s">
        <v>90</v>
      </c>
      <c r="C448">
        <v>1</v>
      </c>
      <c r="D448" t="s">
        <v>121</v>
      </c>
      <c r="E448">
        <v>10</v>
      </c>
      <c r="F448" t="s">
        <v>7860</v>
      </c>
      <c r="G448">
        <v>4</v>
      </c>
      <c r="H448" t="s">
        <v>7861</v>
      </c>
      <c r="I448" s="45" t="s">
        <v>6754</v>
      </c>
      <c r="J448" s="122">
        <v>45706</v>
      </c>
      <c r="K448" s="110" t="str">
        <f t="shared" si="3"/>
        <v>https://Estud2024.sawtoothsoftware.com/cgi-bin/ciwweb.pl?studyname=Estud2024&amp;ID=447</v>
      </c>
      <c r="L448" s="113">
        <v>45709</v>
      </c>
      <c r="M448" s="45" t="s">
        <v>247</v>
      </c>
    </row>
    <row r="449" spans="1:13">
      <c r="A449">
        <v>448</v>
      </c>
      <c r="B449" t="s">
        <v>6364</v>
      </c>
      <c r="C449">
        <v>9</v>
      </c>
      <c r="D449" t="s">
        <v>205</v>
      </c>
      <c r="E449">
        <v>80</v>
      </c>
      <c r="F449" t="s">
        <v>7862</v>
      </c>
      <c r="G449">
        <v>3</v>
      </c>
      <c r="H449" t="s">
        <v>7863</v>
      </c>
      <c r="I449" s="45" t="s">
        <v>6754</v>
      </c>
      <c r="J449" s="122">
        <v>45706</v>
      </c>
      <c r="K449" s="110" t="str">
        <f t="shared" si="3"/>
        <v>https://Estud2024.sawtoothsoftware.com/cgi-bin/ciwweb.pl?studyname=Estud2024&amp;ID=448</v>
      </c>
      <c r="L449" s="113">
        <v>45709</v>
      </c>
      <c r="M449" s="45" t="s">
        <v>247</v>
      </c>
    </row>
    <row r="450" spans="1:13">
      <c r="A450">
        <v>449</v>
      </c>
      <c r="B450" t="s">
        <v>85</v>
      </c>
      <c r="C450">
        <v>5</v>
      </c>
      <c r="D450" t="s">
        <v>106</v>
      </c>
      <c r="E450">
        <v>59</v>
      </c>
      <c r="F450" t="s">
        <v>7864</v>
      </c>
      <c r="G450">
        <v>1</v>
      </c>
      <c r="H450" t="s">
        <v>7865</v>
      </c>
      <c r="I450" s="45" t="s">
        <v>6754</v>
      </c>
      <c r="J450" s="122">
        <v>45706</v>
      </c>
      <c r="K450" s="110" t="str">
        <f t="shared" si="3"/>
        <v>https://Estud2024.sawtoothsoftware.com/cgi-bin/ciwweb.pl?studyname=Estud2024&amp;ID=449</v>
      </c>
      <c r="L450" s="113">
        <v>45709</v>
      </c>
      <c r="M450" s="45" t="s">
        <v>246</v>
      </c>
    </row>
    <row r="451" spans="1:13">
      <c r="A451">
        <v>450</v>
      </c>
      <c r="B451" t="s">
        <v>85</v>
      </c>
      <c r="C451">
        <v>5</v>
      </c>
      <c r="D451" t="s">
        <v>106</v>
      </c>
      <c r="E451">
        <v>59</v>
      </c>
      <c r="F451" t="s">
        <v>7866</v>
      </c>
      <c r="G451">
        <v>1</v>
      </c>
      <c r="H451" t="s">
        <v>7867</v>
      </c>
      <c r="I451" s="45" t="s">
        <v>6754</v>
      </c>
      <c r="J451" s="122">
        <v>45706</v>
      </c>
      <c r="K451" s="110" t="str">
        <f t="shared" si="3"/>
        <v>https://Estud2024.sawtoothsoftware.com/cgi-bin/ciwweb.pl?studyname=Estud2024&amp;ID=450</v>
      </c>
      <c r="L451" s="113">
        <v>45709</v>
      </c>
      <c r="M451" s="45" t="s">
        <v>246</v>
      </c>
    </row>
    <row r="452" spans="1:13">
      <c r="A452">
        <v>451</v>
      </c>
      <c r="B452" t="s">
        <v>85</v>
      </c>
      <c r="C452">
        <v>5</v>
      </c>
      <c r="D452" t="s">
        <v>106</v>
      </c>
      <c r="E452">
        <v>59</v>
      </c>
      <c r="F452" t="s">
        <v>7868</v>
      </c>
      <c r="G452">
        <v>1</v>
      </c>
      <c r="H452" t="s">
        <v>7869</v>
      </c>
      <c r="I452" s="45" t="s">
        <v>6754</v>
      </c>
      <c r="J452" s="122">
        <v>45706</v>
      </c>
      <c r="K452" s="110" t="str">
        <f t="shared" si="3"/>
        <v>https://Estud2024.sawtoothsoftware.com/cgi-bin/ciwweb.pl?studyname=Estud2024&amp;ID=451</v>
      </c>
      <c r="L452" s="113">
        <v>45709</v>
      </c>
      <c r="M452" s="45" t="s">
        <v>247</v>
      </c>
    </row>
    <row r="453" spans="1:13">
      <c r="A453">
        <v>452</v>
      </c>
      <c r="B453" t="s">
        <v>85</v>
      </c>
      <c r="C453">
        <v>5</v>
      </c>
      <c r="D453" t="s">
        <v>106</v>
      </c>
      <c r="E453">
        <v>59</v>
      </c>
      <c r="F453" t="s">
        <v>7870</v>
      </c>
      <c r="G453">
        <v>1</v>
      </c>
      <c r="H453" t="s">
        <v>7871</v>
      </c>
      <c r="I453" s="45" t="s">
        <v>6754</v>
      </c>
      <c r="J453" s="122">
        <v>45706</v>
      </c>
      <c r="K453" s="110" t="str">
        <f t="shared" si="3"/>
        <v>https://Estud2024.sawtoothsoftware.com/cgi-bin/ciwweb.pl?studyname=Estud2024&amp;ID=452</v>
      </c>
      <c r="L453" s="113">
        <v>45709</v>
      </c>
      <c r="M453" s="45" t="s">
        <v>247</v>
      </c>
    </row>
    <row r="454" spans="1:13">
      <c r="A454">
        <v>453</v>
      </c>
      <c r="B454" t="s">
        <v>85</v>
      </c>
      <c r="C454">
        <v>5</v>
      </c>
      <c r="D454" t="s">
        <v>106</v>
      </c>
      <c r="E454">
        <v>59</v>
      </c>
      <c r="F454" t="s">
        <v>7872</v>
      </c>
      <c r="G454">
        <v>1</v>
      </c>
      <c r="H454" t="s">
        <v>7873</v>
      </c>
      <c r="I454" s="45" t="s">
        <v>6754</v>
      </c>
      <c r="J454" s="122">
        <v>45706</v>
      </c>
      <c r="K454" s="110" t="str">
        <f t="shared" si="3"/>
        <v>https://Estud2024.sawtoothsoftware.com/cgi-bin/ciwweb.pl?studyname=Estud2024&amp;ID=453</v>
      </c>
      <c r="L454" s="113">
        <v>45709</v>
      </c>
      <c r="M454" s="45" t="s">
        <v>246</v>
      </c>
    </row>
    <row r="455" spans="1:13">
      <c r="A455">
        <v>454</v>
      </c>
      <c r="B455" t="s">
        <v>85</v>
      </c>
      <c r="C455">
        <v>5</v>
      </c>
      <c r="D455" t="s">
        <v>106</v>
      </c>
      <c r="E455">
        <v>59</v>
      </c>
      <c r="F455" t="s">
        <v>7874</v>
      </c>
      <c r="G455">
        <v>1</v>
      </c>
      <c r="H455" t="s">
        <v>7875</v>
      </c>
      <c r="I455" s="45" t="s">
        <v>6754</v>
      </c>
      <c r="J455" s="122">
        <v>45706</v>
      </c>
      <c r="K455" s="110" t="str">
        <f t="shared" si="3"/>
        <v>https://Estud2024.sawtoothsoftware.com/cgi-bin/ciwweb.pl?studyname=Estud2024&amp;ID=454</v>
      </c>
      <c r="L455" s="113">
        <v>45709</v>
      </c>
      <c r="M455" s="45" t="s">
        <v>247</v>
      </c>
    </row>
    <row r="456" spans="1:13">
      <c r="A456">
        <v>455</v>
      </c>
      <c r="B456" t="s">
        <v>85</v>
      </c>
      <c r="C456">
        <v>5</v>
      </c>
      <c r="D456" t="s">
        <v>106</v>
      </c>
      <c r="E456">
        <v>59</v>
      </c>
      <c r="F456" t="s">
        <v>7876</v>
      </c>
      <c r="G456">
        <v>1</v>
      </c>
      <c r="H456" t="s">
        <v>7877</v>
      </c>
      <c r="I456" s="45" t="s">
        <v>6754</v>
      </c>
      <c r="J456" s="122">
        <v>45706</v>
      </c>
      <c r="K456" s="110" t="str">
        <f t="shared" si="3"/>
        <v>https://Estud2024.sawtoothsoftware.com/cgi-bin/ciwweb.pl?studyname=Estud2024&amp;ID=455</v>
      </c>
      <c r="L456" s="113">
        <v>45709</v>
      </c>
      <c r="M456" s="45" t="s">
        <v>246</v>
      </c>
    </row>
    <row r="457" spans="1:13">
      <c r="A457">
        <v>456</v>
      </c>
      <c r="B457" t="s">
        <v>85</v>
      </c>
      <c r="C457">
        <v>5</v>
      </c>
      <c r="D457" t="s">
        <v>106</v>
      </c>
      <c r="E457">
        <v>59</v>
      </c>
      <c r="F457" t="s">
        <v>7878</v>
      </c>
      <c r="G457">
        <v>1</v>
      </c>
      <c r="H457" t="s">
        <v>7879</v>
      </c>
      <c r="I457" s="45" t="s">
        <v>6754</v>
      </c>
      <c r="J457" s="122">
        <v>45706</v>
      </c>
      <c r="K457" s="110" t="str">
        <f t="shared" si="3"/>
        <v>https://Estud2024.sawtoothsoftware.com/cgi-bin/ciwweb.pl?studyname=Estud2024&amp;ID=456</v>
      </c>
      <c r="L457" s="113">
        <v>45709</v>
      </c>
      <c r="M457" s="45" t="s">
        <v>247</v>
      </c>
    </row>
    <row r="458" spans="1:13">
      <c r="A458">
        <v>457</v>
      </c>
      <c r="B458" t="s">
        <v>85</v>
      </c>
      <c r="C458">
        <v>5</v>
      </c>
      <c r="D458" t="s">
        <v>106</v>
      </c>
      <c r="E458">
        <v>59</v>
      </c>
      <c r="F458" t="s">
        <v>7880</v>
      </c>
      <c r="G458">
        <v>1</v>
      </c>
      <c r="H458" t="s">
        <v>7881</v>
      </c>
      <c r="I458" s="45" t="s">
        <v>6754</v>
      </c>
      <c r="J458" s="122">
        <v>45706</v>
      </c>
      <c r="K458" s="110" t="str">
        <f t="shared" si="3"/>
        <v>https://Estud2024.sawtoothsoftware.com/cgi-bin/ciwweb.pl?studyname=Estud2024&amp;ID=457</v>
      </c>
      <c r="L458" s="113">
        <v>45709</v>
      </c>
      <c r="M458" s="45" t="s">
        <v>246</v>
      </c>
    </row>
    <row r="459" spans="1:13">
      <c r="A459">
        <v>458</v>
      </c>
      <c r="B459" t="s">
        <v>85</v>
      </c>
      <c r="C459">
        <v>5</v>
      </c>
      <c r="D459" t="s">
        <v>106</v>
      </c>
      <c r="E459">
        <v>59</v>
      </c>
      <c r="F459" t="s">
        <v>7882</v>
      </c>
      <c r="G459">
        <v>1</v>
      </c>
      <c r="H459" t="s">
        <v>7883</v>
      </c>
      <c r="I459" s="45" t="s">
        <v>6754</v>
      </c>
      <c r="J459" s="122">
        <v>45706</v>
      </c>
      <c r="K459" s="110" t="str">
        <f t="shared" si="3"/>
        <v>https://Estud2024.sawtoothsoftware.com/cgi-bin/ciwweb.pl?studyname=Estud2024&amp;ID=458</v>
      </c>
      <c r="L459" s="113">
        <v>45709</v>
      </c>
      <c r="M459" s="45" t="s">
        <v>247</v>
      </c>
    </row>
    <row r="460" spans="1:13">
      <c r="A460">
        <v>459</v>
      </c>
      <c r="B460" t="s">
        <v>85</v>
      </c>
      <c r="C460">
        <v>5</v>
      </c>
      <c r="D460" t="s">
        <v>106</v>
      </c>
      <c r="E460">
        <v>59</v>
      </c>
      <c r="F460" t="s">
        <v>7884</v>
      </c>
      <c r="G460">
        <v>2</v>
      </c>
      <c r="H460" t="s">
        <v>7885</v>
      </c>
      <c r="I460" s="45" t="s">
        <v>6754</v>
      </c>
      <c r="J460" s="122">
        <v>45706</v>
      </c>
      <c r="K460" s="110" t="str">
        <f t="shared" si="3"/>
        <v>https://Estud2024.sawtoothsoftware.com/cgi-bin/ciwweb.pl?studyname=Estud2024&amp;ID=459</v>
      </c>
      <c r="L460" s="113">
        <v>45709</v>
      </c>
      <c r="M460" s="45" t="s">
        <v>246</v>
      </c>
    </row>
    <row r="461" spans="1:13">
      <c r="A461">
        <v>460</v>
      </c>
      <c r="B461" t="s">
        <v>85</v>
      </c>
      <c r="C461">
        <v>5</v>
      </c>
      <c r="D461" t="s">
        <v>106</v>
      </c>
      <c r="E461">
        <v>59</v>
      </c>
      <c r="F461" t="s">
        <v>7886</v>
      </c>
      <c r="G461">
        <v>2</v>
      </c>
      <c r="H461" t="s">
        <v>7887</v>
      </c>
      <c r="I461" s="45" t="s">
        <v>6754</v>
      </c>
      <c r="J461" s="122">
        <v>45706</v>
      </c>
      <c r="K461" s="110" t="str">
        <f t="shared" si="3"/>
        <v>https://Estud2024.sawtoothsoftware.com/cgi-bin/ciwweb.pl?studyname=Estud2024&amp;ID=460</v>
      </c>
      <c r="L461" s="113">
        <v>45709</v>
      </c>
      <c r="M461" s="45" t="s">
        <v>246</v>
      </c>
    </row>
    <row r="462" spans="1:13">
      <c r="A462">
        <v>461</v>
      </c>
      <c r="B462" t="s">
        <v>85</v>
      </c>
      <c r="C462">
        <v>5</v>
      </c>
      <c r="D462" t="s">
        <v>106</v>
      </c>
      <c r="E462">
        <v>59</v>
      </c>
      <c r="F462" t="s">
        <v>7888</v>
      </c>
      <c r="G462">
        <v>2</v>
      </c>
      <c r="H462" t="s">
        <v>7889</v>
      </c>
      <c r="I462" s="45" t="s">
        <v>6754</v>
      </c>
      <c r="J462" s="122">
        <v>45706</v>
      </c>
      <c r="K462" s="110" t="str">
        <f t="shared" si="3"/>
        <v>https://Estud2024.sawtoothsoftware.com/cgi-bin/ciwweb.pl?studyname=Estud2024&amp;ID=461</v>
      </c>
      <c r="L462" s="113">
        <v>45709</v>
      </c>
      <c r="M462" s="45" t="s">
        <v>246</v>
      </c>
    </row>
    <row r="463" spans="1:13">
      <c r="A463">
        <v>462</v>
      </c>
      <c r="B463" t="s">
        <v>85</v>
      </c>
      <c r="C463">
        <v>5</v>
      </c>
      <c r="D463" t="s">
        <v>106</v>
      </c>
      <c r="E463">
        <v>59</v>
      </c>
      <c r="F463" t="s">
        <v>7890</v>
      </c>
      <c r="G463">
        <v>2</v>
      </c>
      <c r="H463" t="s">
        <v>7891</v>
      </c>
      <c r="I463" s="45" t="s">
        <v>6754</v>
      </c>
      <c r="J463" s="122">
        <v>45706</v>
      </c>
      <c r="K463" s="110" t="str">
        <f t="shared" si="3"/>
        <v>https://Estud2024.sawtoothsoftware.com/cgi-bin/ciwweb.pl?studyname=Estud2024&amp;ID=462</v>
      </c>
      <c r="L463" s="113">
        <v>45709</v>
      </c>
      <c r="M463" s="45" t="s">
        <v>247</v>
      </c>
    </row>
    <row r="464" spans="1:13">
      <c r="A464">
        <v>463</v>
      </c>
      <c r="B464" t="s">
        <v>85</v>
      </c>
      <c r="C464">
        <v>5</v>
      </c>
      <c r="D464" t="s">
        <v>106</v>
      </c>
      <c r="E464">
        <v>59</v>
      </c>
      <c r="F464" t="s">
        <v>7892</v>
      </c>
      <c r="G464">
        <v>2</v>
      </c>
      <c r="H464" t="s">
        <v>7893</v>
      </c>
      <c r="I464" s="45" t="s">
        <v>6754</v>
      </c>
      <c r="J464" s="122">
        <v>45706</v>
      </c>
      <c r="K464" s="110" t="str">
        <f t="shared" si="3"/>
        <v>https://Estud2024.sawtoothsoftware.com/cgi-bin/ciwweb.pl?studyname=Estud2024&amp;ID=463</v>
      </c>
      <c r="L464" s="113">
        <v>45709</v>
      </c>
      <c r="M464" s="45" t="s">
        <v>246</v>
      </c>
    </row>
    <row r="465" spans="1:13">
      <c r="A465">
        <v>464</v>
      </c>
      <c r="B465" t="s">
        <v>85</v>
      </c>
      <c r="C465">
        <v>5</v>
      </c>
      <c r="D465" t="s">
        <v>106</v>
      </c>
      <c r="E465">
        <v>59</v>
      </c>
      <c r="F465" t="s">
        <v>7894</v>
      </c>
      <c r="G465">
        <v>2</v>
      </c>
      <c r="H465" t="s">
        <v>7895</v>
      </c>
      <c r="I465" s="45" t="s">
        <v>6754</v>
      </c>
      <c r="J465" s="122">
        <v>45706</v>
      </c>
      <c r="K465" s="110" t="str">
        <f t="shared" si="3"/>
        <v>https://Estud2024.sawtoothsoftware.com/cgi-bin/ciwweb.pl?studyname=Estud2024&amp;ID=464</v>
      </c>
      <c r="L465" s="113">
        <v>45709</v>
      </c>
      <c r="M465" s="45" t="s">
        <v>246</v>
      </c>
    </row>
    <row r="466" spans="1:13">
      <c r="A466">
        <v>465</v>
      </c>
      <c r="B466" t="s">
        <v>85</v>
      </c>
      <c r="C466">
        <v>5</v>
      </c>
      <c r="D466" t="s">
        <v>106</v>
      </c>
      <c r="E466">
        <v>59</v>
      </c>
      <c r="F466" t="s">
        <v>7896</v>
      </c>
      <c r="G466">
        <v>2</v>
      </c>
      <c r="H466" t="s">
        <v>7897</v>
      </c>
      <c r="I466" s="45" t="s">
        <v>6754</v>
      </c>
      <c r="J466" s="122">
        <v>45706</v>
      </c>
      <c r="K466" s="110" t="str">
        <f t="shared" si="3"/>
        <v>https://Estud2024.sawtoothsoftware.com/cgi-bin/ciwweb.pl?studyname=Estud2024&amp;ID=465</v>
      </c>
      <c r="L466" s="113">
        <v>45709</v>
      </c>
      <c r="M466" s="45" t="s">
        <v>246</v>
      </c>
    </row>
    <row r="467" spans="1:13">
      <c r="A467">
        <v>466</v>
      </c>
      <c r="B467" t="s">
        <v>85</v>
      </c>
      <c r="C467">
        <v>5</v>
      </c>
      <c r="D467" t="s">
        <v>106</v>
      </c>
      <c r="E467">
        <v>59</v>
      </c>
      <c r="F467" t="s">
        <v>7898</v>
      </c>
      <c r="G467">
        <v>2</v>
      </c>
      <c r="H467" t="s">
        <v>7899</v>
      </c>
      <c r="I467" s="45" t="s">
        <v>6754</v>
      </c>
      <c r="J467" s="122">
        <v>45706</v>
      </c>
      <c r="K467" s="110" t="str">
        <f t="shared" si="3"/>
        <v>https://Estud2024.sawtoothsoftware.com/cgi-bin/ciwweb.pl?studyname=Estud2024&amp;ID=466</v>
      </c>
      <c r="L467" s="113">
        <v>45709</v>
      </c>
      <c r="M467" s="45" t="s">
        <v>246</v>
      </c>
    </row>
    <row r="468" spans="1:13">
      <c r="A468">
        <v>467</v>
      </c>
      <c r="B468" t="s">
        <v>85</v>
      </c>
      <c r="C468">
        <v>5</v>
      </c>
      <c r="D468" t="s">
        <v>106</v>
      </c>
      <c r="E468">
        <v>59</v>
      </c>
      <c r="F468" t="s">
        <v>7900</v>
      </c>
      <c r="G468">
        <v>3</v>
      </c>
      <c r="H468" t="s">
        <v>7901</v>
      </c>
      <c r="I468" s="45" t="s">
        <v>6754</v>
      </c>
      <c r="J468" s="122">
        <v>45706</v>
      </c>
      <c r="K468" s="110" t="str">
        <f t="shared" si="3"/>
        <v>https://Estud2024.sawtoothsoftware.com/cgi-bin/ciwweb.pl?studyname=Estud2024&amp;ID=467</v>
      </c>
      <c r="L468" s="113">
        <v>45709</v>
      </c>
      <c r="M468" s="45" t="s">
        <v>247</v>
      </c>
    </row>
    <row r="469" spans="1:13">
      <c r="A469">
        <v>468</v>
      </c>
      <c r="B469" t="s">
        <v>85</v>
      </c>
      <c r="C469">
        <v>5</v>
      </c>
      <c r="D469" t="s">
        <v>106</v>
      </c>
      <c r="E469">
        <v>59</v>
      </c>
      <c r="F469" t="s">
        <v>7902</v>
      </c>
      <c r="G469">
        <v>3</v>
      </c>
      <c r="H469" t="s">
        <v>7903</v>
      </c>
      <c r="I469" s="45" t="s">
        <v>6754</v>
      </c>
      <c r="J469" s="122">
        <v>45706</v>
      </c>
      <c r="K469" s="110" t="str">
        <f t="shared" si="3"/>
        <v>https://Estud2024.sawtoothsoftware.com/cgi-bin/ciwweb.pl?studyname=Estud2024&amp;ID=468</v>
      </c>
      <c r="L469" s="113">
        <v>45709</v>
      </c>
      <c r="M469" s="45" t="s">
        <v>247</v>
      </c>
    </row>
    <row r="470" spans="1:13">
      <c r="A470">
        <v>469</v>
      </c>
      <c r="B470" t="s">
        <v>85</v>
      </c>
      <c r="C470">
        <v>5</v>
      </c>
      <c r="D470" t="s">
        <v>106</v>
      </c>
      <c r="E470">
        <v>59</v>
      </c>
      <c r="F470" t="s">
        <v>7904</v>
      </c>
      <c r="G470">
        <v>3</v>
      </c>
      <c r="H470" t="s">
        <v>7905</v>
      </c>
      <c r="I470" s="45" t="s">
        <v>6754</v>
      </c>
      <c r="J470" s="122">
        <v>45706</v>
      </c>
      <c r="K470" s="110" t="str">
        <f t="shared" ref="K470:K533" si="4">CONCATENATE("https://Estud2024.sawtoothsoftware.com/cgi-bin/ciwweb.pl?studyname=Estud2024&amp;ID=",A470)</f>
        <v>https://Estud2024.sawtoothsoftware.com/cgi-bin/ciwweb.pl?studyname=Estud2024&amp;ID=469</v>
      </c>
      <c r="L470" s="113">
        <v>45709</v>
      </c>
      <c r="M470" s="45" t="s">
        <v>246</v>
      </c>
    </row>
    <row r="471" spans="1:13">
      <c r="A471">
        <v>470</v>
      </c>
      <c r="B471" t="s">
        <v>85</v>
      </c>
      <c r="C471">
        <v>5</v>
      </c>
      <c r="D471" t="s">
        <v>106</v>
      </c>
      <c r="E471">
        <v>59</v>
      </c>
      <c r="F471" t="s">
        <v>7906</v>
      </c>
      <c r="G471">
        <v>3</v>
      </c>
      <c r="H471" t="s">
        <v>7907</v>
      </c>
      <c r="I471" s="45" t="s">
        <v>6754</v>
      </c>
      <c r="J471" s="122">
        <v>45706</v>
      </c>
      <c r="K471" s="110" t="str">
        <f t="shared" si="4"/>
        <v>https://Estud2024.sawtoothsoftware.com/cgi-bin/ciwweb.pl?studyname=Estud2024&amp;ID=470</v>
      </c>
      <c r="L471" s="113">
        <v>45709</v>
      </c>
      <c r="M471" s="45" t="s">
        <v>246</v>
      </c>
    </row>
    <row r="472" spans="1:13">
      <c r="A472">
        <v>471</v>
      </c>
      <c r="B472" t="s">
        <v>85</v>
      </c>
      <c r="C472">
        <v>5</v>
      </c>
      <c r="D472" t="s">
        <v>106</v>
      </c>
      <c r="E472">
        <v>59</v>
      </c>
      <c r="F472" t="s">
        <v>7908</v>
      </c>
      <c r="G472">
        <v>3</v>
      </c>
      <c r="H472" t="s">
        <v>7909</v>
      </c>
      <c r="I472" s="45" t="s">
        <v>6754</v>
      </c>
      <c r="J472" s="122">
        <v>45706</v>
      </c>
      <c r="K472" s="110" t="str">
        <f t="shared" si="4"/>
        <v>https://Estud2024.sawtoothsoftware.com/cgi-bin/ciwweb.pl?studyname=Estud2024&amp;ID=471</v>
      </c>
      <c r="L472" s="113">
        <v>45709</v>
      </c>
      <c r="M472" s="45" t="s">
        <v>246</v>
      </c>
    </row>
    <row r="473" spans="1:13">
      <c r="A473">
        <v>472</v>
      </c>
      <c r="B473" t="s">
        <v>85</v>
      </c>
      <c r="C473">
        <v>5</v>
      </c>
      <c r="D473" t="s">
        <v>106</v>
      </c>
      <c r="E473">
        <v>59</v>
      </c>
      <c r="F473" t="s">
        <v>7910</v>
      </c>
      <c r="G473">
        <v>3</v>
      </c>
      <c r="H473" t="s">
        <v>7911</v>
      </c>
      <c r="I473" s="45" t="s">
        <v>6754</v>
      </c>
      <c r="J473" s="122">
        <v>45706</v>
      </c>
      <c r="K473" s="110" t="str">
        <f t="shared" si="4"/>
        <v>https://Estud2024.sawtoothsoftware.com/cgi-bin/ciwweb.pl?studyname=Estud2024&amp;ID=472</v>
      </c>
      <c r="L473" s="113">
        <v>45709</v>
      </c>
      <c r="M473" s="45" t="s">
        <v>246</v>
      </c>
    </row>
    <row r="474" spans="1:13">
      <c r="A474">
        <v>473</v>
      </c>
      <c r="B474" t="s">
        <v>85</v>
      </c>
      <c r="C474">
        <v>5</v>
      </c>
      <c r="D474" t="s">
        <v>106</v>
      </c>
      <c r="E474">
        <v>59</v>
      </c>
      <c r="F474" t="s">
        <v>7912</v>
      </c>
      <c r="G474">
        <v>3</v>
      </c>
      <c r="H474" t="s">
        <v>7913</v>
      </c>
      <c r="I474" s="45" t="s">
        <v>6754</v>
      </c>
      <c r="J474" s="122">
        <v>45706</v>
      </c>
      <c r="K474" s="110" t="str">
        <f t="shared" si="4"/>
        <v>https://Estud2024.sawtoothsoftware.com/cgi-bin/ciwweb.pl?studyname=Estud2024&amp;ID=473</v>
      </c>
      <c r="L474" s="113">
        <v>45709</v>
      </c>
      <c r="M474" s="45" t="s">
        <v>246</v>
      </c>
    </row>
    <row r="475" spans="1:13">
      <c r="A475">
        <v>474</v>
      </c>
      <c r="B475" t="s">
        <v>85</v>
      </c>
      <c r="C475">
        <v>5</v>
      </c>
      <c r="D475" t="s">
        <v>106</v>
      </c>
      <c r="E475">
        <v>59</v>
      </c>
      <c r="F475" t="s">
        <v>7914</v>
      </c>
      <c r="G475">
        <v>3</v>
      </c>
      <c r="H475" t="s">
        <v>7915</v>
      </c>
      <c r="I475" s="45" t="s">
        <v>6754</v>
      </c>
      <c r="J475" s="122">
        <v>45706</v>
      </c>
      <c r="K475" s="110" t="str">
        <f t="shared" si="4"/>
        <v>https://Estud2024.sawtoothsoftware.com/cgi-bin/ciwweb.pl?studyname=Estud2024&amp;ID=474</v>
      </c>
      <c r="L475" s="113">
        <v>45709</v>
      </c>
      <c r="M475" s="45" t="s">
        <v>246</v>
      </c>
    </row>
    <row r="476" spans="1:13">
      <c r="A476">
        <v>475</v>
      </c>
      <c r="B476" t="s">
        <v>85</v>
      </c>
      <c r="C476">
        <v>5</v>
      </c>
      <c r="D476" t="s">
        <v>106</v>
      </c>
      <c r="E476">
        <v>59</v>
      </c>
      <c r="F476" t="s">
        <v>7916</v>
      </c>
      <c r="G476">
        <v>3</v>
      </c>
      <c r="H476" t="s">
        <v>7917</v>
      </c>
      <c r="I476" s="45" t="s">
        <v>6754</v>
      </c>
      <c r="J476" s="122">
        <v>45706</v>
      </c>
      <c r="K476" s="110" t="str">
        <f t="shared" si="4"/>
        <v>https://Estud2024.sawtoothsoftware.com/cgi-bin/ciwweb.pl?studyname=Estud2024&amp;ID=475</v>
      </c>
      <c r="L476" s="113">
        <v>45709</v>
      </c>
      <c r="M476" s="45" t="s">
        <v>246</v>
      </c>
    </row>
    <row r="477" spans="1:13">
      <c r="A477">
        <v>476</v>
      </c>
      <c r="B477" t="s">
        <v>85</v>
      </c>
      <c r="C477">
        <v>5</v>
      </c>
      <c r="D477" t="s">
        <v>106</v>
      </c>
      <c r="E477">
        <v>59</v>
      </c>
      <c r="F477" t="s">
        <v>7918</v>
      </c>
      <c r="G477">
        <v>3</v>
      </c>
      <c r="H477" t="s">
        <v>7919</v>
      </c>
      <c r="I477" s="45" t="s">
        <v>6754</v>
      </c>
      <c r="J477" s="122">
        <v>45706</v>
      </c>
      <c r="K477" s="110" t="str">
        <f t="shared" si="4"/>
        <v>https://Estud2024.sawtoothsoftware.com/cgi-bin/ciwweb.pl?studyname=Estud2024&amp;ID=476</v>
      </c>
      <c r="L477" s="113">
        <v>45709</v>
      </c>
      <c r="M477" s="45" t="s">
        <v>246</v>
      </c>
    </row>
    <row r="478" spans="1:13">
      <c r="A478">
        <v>477</v>
      </c>
      <c r="B478" t="s">
        <v>85</v>
      </c>
      <c r="C478">
        <v>5</v>
      </c>
      <c r="D478" t="s">
        <v>106</v>
      </c>
      <c r="E478">
        <v>59</v>
      </c>
      <c r="F478" t="s">
        <v>7920</v>
      </c>
      <c r="G478">
        <v>3</v>
      </c>
      <c r="H478" t="s">
        <v>7921</v>
      </c>
      <c r="I478" s="45" t="s">
        <v>6754</v>
      </c>
      <c r="J478" s="122">
        <v>45706</v>
      </c>
      <c r="K478" s="110" t="str">
        <f t="shared" si="4"/>
        <v>https://Estud2024.sawtoothsoftware.com/cgi-bin/ciwweb.pl?studyname=Estud2024&amp;ID=477</v>
      </c>
      <c r="L478" s="113">
        <v>45709</v>
      </c>
      <c r="M478" s="45" t="s">
        <v>246</v>
      </c>
    </row>
    <row r="479" spans="1:13">
      <c r="A479">
        <v>478</v>
      </c>
      <c r="B479" t="s">
        <v>85</v>
      </c>
      <c r="C479">
        <v>5</v>
      </c>
      <c r="D479" t="s">
        <v>106</v>
      </c>
      <c r="E479">
        <v>59</v>
      </c>
      <c r="F479" t="s">
        <v>7922</v>
      </c>
      <c r="G479">
        <v>3</v>
      </c>
      <c r="H479" t="s">
        <v>7923</v>
      </c>
      <c r="I479" s="45" t="s">
        <v>6754</v>
      </c>
      <c r="J479" s="122">
        <v>45706</v>
      </c>
      <c r="K479" s="110" t="str">
        <f t="shared" si="4"/>
        <v>https://Estud2024.sawtoothsoftware.com/cgi-bin/ciwweb.pl?studyname=Estud2024&amp;ID=478</v>
      </c>
      <c r="L479" s="113">
        <v>45709</v>
      </c>
      <c r="M479" s="45" t="s">
        <v>246</v>
      </c>
    </row>
    <row r="480" spans="1:13">
      <c r="A480">
        <v>479</v>
      </c>
      <c r="B480" t="s">
        <v>85</v>
      </c>
      <c r="C480">
        <v>5</v>
      </c>
      <c r="D480" t="s">
        <v>106</v>
      </c>
      <c r="E480">
        <v>59</v>
      </c>
      <c r="F480" t="s">
        <v>7924</v>
      </c>
      <c r="G480">
        <v>3</v>
      </c>
      <c r="H480" t="s">
        <v>7925</v>
      </c>
      <c r="I480" s="45" t="s">
        <v>6754</v>
      </c>
      <c r="J480" s="122">
        <v>45706</v>
      </c>
      <c r="K480" s="110" t="str">
        <f t="shared" si="4"/>
        <v>https://Estud2024.sawtoothsoftware.com/cgi-bin/ciwweb.pl?studyname=Estud2024&amp;ID=479</v>
      </c>
      <c r="L480" s="113">
        <v>45709</v>
      </c>
      <c r="M480" s="45" t="s">
        <v>246</v>
      </c>
    </row>
    <row r="481" spans="1:13">
      <c r="A481">
        <v>480</v>
      </c>
      <c r="B481" t="s">
        <v>85</v>
      </c>
      <c r="C481">
        <v>5</v>
      </c>
      <c r="D481" t="s">
        <v>106</v>
      </c>
      <c r="E481">
        <v>59</v>
      </c>
      <c r="F481" t="s">
        <v>7926</v>
      </c>
      <c r="G481">
        <v>3</v>
      </c>
      <c r="H481" t="s">
        <v>7927</v>
      </c>
      <c r="I481" s="45" t="s">
        <v>6754</v>
      </c>
      <c r="J481" s="122">
        <v>45706</v>
      </c>
      <c r="K481" s="110" t="str">
        <f t="shared" si="4"/>
        <v>https://Estud2024.sawtoothsoftware.com/cgi-bin/ciwweb.pl?studyname=Estud2024&amp;ID=480</v>
      </c>
      <c r="L481" s="113">
        <v>45709</v>
      </c>
      <c r="M481" s="45" t="s">
        <v>246</v>
      </c>
    </row>
    <row r="482" spans="1:13">
      <c r="A482">
        <v>481</v>
      </c>
      <c r="B482" t="s">
        <v>89</v>
      </c>
      <c r="C482">
        <v>8</v>
      </c>
      <c r="D482" t="s">
        <v>7928</v>
      </c>
      <c r="E482">
        <v>71</v>
      </c>
      <c r="F482" t="s">
        <v>7929</v>
      </c>
      <c r="G482">
        <v>6</v>
      </c>
      <c r="H482" t="s">
        <v>7930</v>
      </c>
      <c r="I482" s="45" t="s">
        <v>6754</v>
      </c>
      <c r="J482" s="122">
        <v>45707</v>
      </c>
      <c r="K482" s="110" t="str">
        <f t="shared" si="4"/>
        <v>https://Estud2024.sawtoothsoftware.com/cgi-bin/ciwweb.pl?studyname=Estud2024&amp;ID=481</v>
      </c>
      <c r="L482" s="113">
        <v>45709</v>
      </c>
      <c r="M482" s="45" t="s">
        <v>247</v>
      </c>
    </row>
    <row r="483" spans="1:13">
      <c r="A483">
        <v>482</v>
      </c>
      <c r="B483" t="s">
        <v>89</v>
      </c>
      <c r="C483">
        <v>8</v>
      </c>
      <c r="D483" t="s">
        <v>7928</v>
      </c>
      <c r="E483">
        <v>71</v>
      </c>
      <c r="F483" t="s">
        <v>7931</v>
      </c>
      <c r="G483">
        <v>6</v>
      </c>
      <c r="H483" t="s">
        <v>7932</v>
      </c>
      <c r="I483" s="45" t="s">
        <v>6754</v>
      </c>
      <c r="J483" s="122">
        <v>45707</v>
      </c>
      <c r="K483" s="110" t="str">
        <f t="shared" si="4"/>
        <v>https://Estud2024.sawtoothsoftware.com/cgi-bin/ciwweb.pl?studyname=Estud2024&amp;ID=482</v>
      </c>
      <c r="L483" s="113">
        <v>45709</v>
      </c>
      <c r="M483" s="45" t="s">
        <v>246</v>
      </c>
    </row>
    <row r="484" spans="1:13">
      <c r="A484">
        <v>483</v>
      </c>
      <c r="B484" t="s">
        <v>89</v>
      </c>
      <c r="C484">
        <v>8</v>
      </c>
      <c r="D484" t="s">
        <v>7928</v>
      </c>
      <c r="E484">
        <v>71</v>
      </c>
      <c r="F484" t="s">
        <v>7933</v>
      </c>
      <c r="G484">
        <v>6</v>
      </c>
      <c r="H484" t="s">
        <v>7934</v>
      </c>
      <c r="I484" s="45" t="s">
        <v>6754</v>
      </c>
      <c r="J484" s="122">
        <v>45707</v>
      </c>
      <c r="K484" s="110" t="str">
        <f t="shared" si="4"/>
        <v>https://Estud2024.sawtoothsoftware.com/cgi-bin/ciwweb.pl?studyname=Estud2024&amp;ID=483</v>
      </c>
      <c r="L484" s="113">
        <v>45709</v>
      </c>
      <c r="M484" s="45" t="s">
        <v>246</v>
      </c>
    </row>
    <row r="485" spans="1:13">
      <c r="A485">
        <v>484</v>
      </c>
      <c r="B485" t="s">
        <v>89</v>
      </c>
      <c r="C485">
        <v>8</v>
      </c>
      <c r="D485" t="s">
        <v>7928</v>
      </c>
      <c r="E485">
        <v>71</v>
      </c>
      <c r="F485" t="s">
        <v>7935</v>
      </c>
      <c r="G485">
        <v>6</v>
      </c>
      <c r="H485" t="s">
        <v>7936</v>
      </c>
      <c r="I485" s="45" t="s">
        <v>6754</v>
      </c>
      <c r="J485" s="122">
        <v>45707</v>
      </c>
      <c r="K485" s="110" t="str">
        <f t="shared" si="4"/>
        <v>https://Estud2024.sawtoothsoftware.com/cgi-bin/ciwweb.pl?studyname=Estud2024&amp;ID=484</v>
      </c>
      <c r="L485" s="113">
        <v>45709</v>
      </c>
      <c r="M485" s="45" t="s">
        <v>246</v>
      </c>
    </row>
    <row r="486" spans="1:13">
      <c r="A486">
        <v>485</v>
      </c>
      <c r="B486" t="s">
        <v>89</v>
      </c>
      <c r="C486">
        <v>8</v>
      </c>
      <c r="D486" t="s">
        <v>7928</v>
      </c>
      <c r="E486">
        <v>71</v>
      </c>
      <c r="F486" t="s">
        <v>7937</v>
      </c>
      <c r="G486">
        <v>4</v>
      </c>
      <c r="H486" t="s">
        <v>7938</v>
      </c>
      <c r="I486" s="45" t="s">
        <v>6754</v>
      </c>
      <c r="J486" s="122">
        <v>45707</v>
      </c>
      <c r="K486" s="110" t="str">
        <f t="shared" si="4"/>
        <v>https://Estud2024.sawtoothsoftware.com/cgi-bin/ciwweb.pl?studyname=Estud2024&amp;ID=485</v>
      </c>
      <c r="L486" s="113">
        <v>45709</v>
      </c>
      <c r="M486" s="45" t="s">
        <v>246</v>
      </c>
    </row>
    <row r="487" spans="1:13">
      <c r="A487">
        <v>486</v>
      </c>
      <c r="B487" t="s">
        <v>89</v>
      </c>
      <c r="C487">
        <v>8</v>
      </c>
      <c r="D487" t="s">
        <v>7928</v>
      </c>
      <c r="E487">
        <v>71</v>
      </c>
      <c r="F487" t="s">
        <v>7939</v>
      </c>
      <c r="G487">
        <v>4</v>
      </c>
      <c r="H487" t="s">
        <v>7940</v>
      </c>
      <c r="I487" s="45" t="s">
        <v>6754</v>
      </c>
      <c r="J487" s="122">
        <v>45707</v>
      </c>
      <c r="K487" s="110" t="str">
        <f t="shared" si="4"/>
        <v>https://Estud2024.sawtoothsoftware.com/cgi-bin/ciwweb.pl?studyname=Estud2024&amp;ID=486</v>
      </c>
      <c r="L487" s="113">
        <v>45709</v>
      </c>
      <c r="M487" s="45" t="s">
        <v>246</v>
      </c>
    </row>
    <row r="488" spans="1:13">
      <c r="A488">
        <v>487</v>
      </c>
      <c r="B488" t="s">
        <v>89</v>
      </c>
      <c r="C488">
        <v>8</v>
      </c>
      <c r="D488" t="s">
        <v>7928</v>
      </c>
      <c r="E488">
        <v>71</v>
      </c>
      <c r="F488" t="s">
        <v>7941</v>
      </c>
      <c r="G488">
        <v>4</v>
      </c>
      <c r="H488" t="s">
        <v>7942</v>
      </c>
      <c r="I488" s="45" t="s">
        <v>6754</v>
      </c>
      <c r="J488" s="122">
        <v>45707</v>
      </c>
      <c r="K488" s="110" t="str">
        <f t="shared" si="4"/>
        <v>https://Estud2024.sawtoothsoftware.com/cgi-bin/ciwweb.pl?studyname=Estud2024&amp;ID=487</v>
      </c>
      <c r="L488" s="113">
        <v>45709</v>
      </c>
      <c r="M488" s="45" t="s">
        <v>246</v>
      </c>
    </row>
    <row r="489" spans="1:13">
      <c r="A489">
        <v>488</v>
      </c>
      <c r="B489" t="s">
        <v>89</v>
      </c>
      <c r="C489">
        <v>8</v>
      </c>
      <c r="D489" t="s">
        <v>7928</v>
      </c>
      <c r="E489">
        <v>71</v>
      </c>
      <c r="F489" t="s">
        <v>7943</v>
      </c>
      <c r="G489">
        <v>4</v>
      </c>
      <c r="H489" t="s">
        <v>7944</v>
      </c>
      <c r="I489" s="45" t="s">
        <v>6754</v>
      </c>
      <c r="J489" s="122">
        <v>45707</v>
      </c>
      <c r="K489" s="110" t="str">
        <f t="shared" si="4"/>
        <v>https://Estud2024.sawtoothsoftware.com/cgi-bin/ciwweb.pl?studyname=Estud2024&amp;ID=488</v>
      </c>
      <c r="L489" s="113">
        <v>45709</v>
      </c>
      <c r="M489" s="45" t="s">
        <v>246</v>
      </c>
    </row>
    <row r="490" spans="1:13">
      <c r="A490">
        <v>489</v>
      </c>
      <c r="B490" t="s">
        <v>89</v>
      </c>
      <c r="C490">
        <v>8</v>
      </c>
      <c r="D490" t="s">
        <v>7928</v>
      </c>
      <c r="E490">
        <v>71</v>
      </c>
      <c r="F490" t="s">
        <v>7945</v>
      </c>
      <c r="G490">
        <v>4</v>
      </c>
      <c r="H490" t="s">
        <v>7946</v>
      </c>
      <c r="I490" s="45" t="s">
        <v>6754</v>
      </c>
      <c r="J490" s="122">
        <v>45707</v>
      </c>
      <c r="K490" s="110" t="str">
        <f t="shared" si="4"/>
        <v>https://Estud2024.sawtoothsoftware.com/cgi-bin/ciwweb.pl?studyname=Estud2024&amp;ID=489</v>
      </c>
      <c r="L490" s="113">
        <v>45709</v>
      </c>
      <c r="M490" s="45" t="s">
        <v>246</v>
      </c>
    </row>
    <row r="491" spans="1:13">
      <c r="A491">
        <v>490</v>
      </c>
      <c r="B491" t="s">
        <v>89</v>
      </c>
      <c r="C491">
        <v>8</v>
      </c>
      <c r="D491" t="s">
        <v>7928</v>
      </c>
      <c r="E491">
        <v>71</v>
      </c>
      <c r="F491" t="s">
        <v>7947</v>
      </c>
      <c r="G491">
        <v>2</v>
      </c>
      <c r="H491" t="s">
        <v>4608</v>
      </c>
      <c r="I491" s="45" t="s">
        <v>6754</v>
      </c>
      <c r="J491" s="122">
        <v>45707</v>
      </c>
      <c r="K491" s="110" t="str">
        <f t="shared" si="4"/>
        <v>https://Estud2024.sawtoothsoftware.com/cgi-bin/ciwweb.pl?studyname=Estud2024&amp;ID=490</v>
      </c>
      <c r="L491" s="113">
        <v>45709</v>
      </c>
      <c r="M491" s="45" t="s">
        <v>246</v>
      </c>
    </row>
    <row r="492" spans="1:13">
      <c r="A492">
        <v>491</v>
      </c>
      <c r="B492" t="s">
        <v>89</v>
      </c>
      <c r="C492">
        <v>8</v>
      </c>
      <c r="D492" t="s">
        <v>7928</v>
      </c>
      <c r="E492">
        <v>71</v>
      </c>
      <c r="F492" t="s">
        <v>7948</v>
      </c>
      <c r="G492">
        <v>2</v>
      </c>
      <c r="H492" t="s">
        <v>7949</v>
      </c>
      <c r="I492" s="45" t="s">
        <v>6754</v>
      </c>
      <c r="J492" s="122">
        <v>45707</v>
      </c>
      <c r="K492" s="110" t="str">
        <f t="shared" si="4"/>
        <v>https://Estud2024.sawtoothsoftware.com/cgi-bin/ciwweb.pl?studyname=Estud2024&amp;ID=491</v>
      </c>
      <c r="L492" s="113">
        <v>45709</v>
      </c>
      <c r="M492" s="45" t="s">
        <v>246</v>
      </c>
    </row>
    <row r="493" spans="1:13">
      <c r="A493">
        <v>492</v>
      </c>
      <c r="B493" t="s">
        <v>89</v>
      </c>
      <c r="C493">
        <v>8</v>
      </c>
      <c r="D493" t="s">
        <v>7928</v>
      </c>
      <c r="E493">
        <v>71</v>
      </c>
      <c r="F493" t="s">
        <v>7950</v>
      </c>
      <c r="G493">
        <v>2</v>
      </c>
      <c r="H493" t="s">
        <v>7951</v>
      </c>
      <c r="I493" s="45" t="s">
        <v>6754</v>
      </c>
      <c r="J493" s="122">
        <v>45707</v>
      </c>
      <c r="K493" s="110" t="str">
        <f t="shared" si="4"/>
        <v>https://Estud2024.sawtoothsoftware.com/cgi-bin/ciwweb.pl?studyname=Estud2024&amp;ID=492</v>
      </c>
      <c r="L493" s="113">
        <v>45709</v>
      </c>
      <c r="M493" s="45" t="s">
        <v>246</v>
      </c>
    </row>
    <row r="494" spans="1:13">
      <c r="A494">
        <v>493</v>
      </c>
      <c r="B494" t="s">
        <v>89</v>
      </c>
      <c r="C494">
        <v>8</v>
      </c>
      <c r="D494" t="s">
        <v>7928</v>
      </c>
      <c r="E494">
        <v>71</v>
      </c>
      <c r="F494" t="s">
        <v>7952</v>
      </c>
      <c r="G494">
        <v>2</v>
      </c>
      <c r="H494" t="s">
        <v>7953</v>
      </c>
      <c r="I494" s="45" t="s">
        <v>6754</v>
      </c>
      <c r="J494" s="122">
        <v>45707</v>
      </c>
      <c r="K494" s="110" t="str">
        <f t="shared" si="4"/>
        <v>https://Estud2024.sawtoothsoftware.com/cgi-bin/ciwweb.pl?studyname=Estud2024&amp;ID=493</v>
      </c>
      <c r="L494" s="113">
        <v>45709</v>
      </c>
      <c r="M494" s="45" t="s">
        <v>246</v>
      </c>
    </row>
    <row r="495" spans="1:13">
      <c r="A495">
        <v>494</v>
      </c>
      <c r="B495" t="s">
        <v>89</v>
      </c>
      <c r="C495">
        <v>8</v>
      </c>
      <c r="D495" t="s">
        <v>7928</v>
      </c>
      <c r="E495">
        <v>71</v>
      </c>
      <c r="F495" t="s">
        <v>7954</v>
      </c>
      <c r="G495">
        <v>2</v>
      </c>
      <c r="H495" t="s">
        <v>7955</v>
      </c>
      <c r="I495" s="45" t="s">
        <v>6754</v>
      </c>
      <c r="J495" s="122">
        <v>45707</v>
      </c>
      <c r="K495" s="110" t="str">
        <f t="shared" si="4"/>
        <v>https://Estud2024.sawtoothsoftware.com/cgi-bin/ciwweb.pl?studyname=Estud2024&amp;ID=494</v>
      </c>
      <c r="L495" s="113">
        <v>45709</v>
      </c>
      <c r="M495" s="45" t="s">
        <v>246</v>
      </c>
    </row>
    <row r="496" spans="1:13">
      <c r="A496">
        <v>495</v>
      </c>
      <c r="B496" t="s">
        <v>85</v>
      </c>
      <c r="C496">
        <v>5</v>
      </c>
      <c r="D496" t="s">
        <v>215</v>
      </c>
      <c r="E496">
        <v>85</v>
      </c>
      <c r="F496" t="s">
        <v>7956</v>
      </c>
      <c r="G496">
        <v>4</v>
      </c>
      <c r="H496" t="s">
        <v>7957</v>
      </c>
      <c r="I496" s="45" t="s">
        <v>6754</v>
      </c>
      <c r="J496" s="122">
        <v>45707</v>
      </c>
      <c r="K496" s="110" t="str">
        <f t="shared" si="4"/>
        <v>https://Estud2024.sawtoothsoftware.com/cgi-bin/ciwweb.pl?studyname=Estud2024&amp;ID=495</v>
      </c>
      <c r="L496" s="113">
        <v>45709</v>
      </c>
      <c r="M496" s="45" t="s">
        <v>246</v>
      </c>
    </row>
    <row r="497" spans="1:13">
      <c r="A497">
        <v>496</v>
      </c>
      <c r="B497" t="s">
        <v>85</v>
      </c>
      <c r="C497">
        <v>5</v>
      </c>
      <c r="D497" t="s">
        <v>215</v>
      </c>
      <c r="E497">
        <v>85</v>
      </c>
      <c r="F497" t="s">
        <v>7958</v>
      </c>
      <c r="G497">
        <v>4</v>
      </c>
      <c r="H497" t="s">
        <v>7959</v>
      </c>
      <c r="I497" s="45" t="s">
        <v>6754</v>
      </c>
      <c r="J497" s="122">
        <v>45707</v>
      </c>
      <c r="K497" s="110" t="str">
        <f t="shared" si="4"/>
        <v>https://Estud2024.sawtoothsoftware.com/cgi-bin/ciwweb.pl?studyname=Estud2024&amp;ID=496</v>
      </c>
      <c r="L497" s="113">
        <v>45709</v>
      </c>
      <c r="M497" s="45" t="s">
        <v>246</v>
      </c>
    </row>
    <row r="498" spans="1:13">
      <c r="A498">
        <v>497</v>
      </c>
      <c r="B498" t="s">
        <v>85</v>
      </c>
      <c r="C498">
        <v>5</v>
      </c>
      <c r="D498" t="s">
        <v>215</v>
      </c>
      <c r="E498">
        <v>85</v>
      </c>
      <c r="F498" t="s">
        <v>7960</v>
      </c>
      <c r="G498">
        <v>4</v>
      </c>
      <c r="H498" t="s">
        <v>7961</v>
      </c>
      <c r="I498" s="45" t="s">
        <v>6754</v>
      </c>
      <c r="J498" s="122">
        <v>45707</v>
      </c>
      <c r="K498" s="110" t="str">
        <f t="shared" si="4"/>
        <v>https://Estud2024.sawtoothsoftware.com/cgi-bin/ciwweb.pl?studyname=Estud2024&amp;ID=497</v>
      </c>
      <c r="L498" s="113">
        <v>45709</v>
      </c>
      <c r="M498" s="45" t="s">
        <v>246</v>
      </c>
    </row>
    <row r="499" spans="1:13">
      <c r="A499">
        <v>498</v>
      </c>
      <c r="B499" t="s">
        <v>85</v>
      </c>
      <c r="C499">
        <v>5</v>
      </c>
      <c r="D499" t="s">
        <v>215</v>
      </c>
      <c r="E499">
        <v>85</v>
      </c>
      <c r="F499" t="s">
        <v>7962</v>
      </c>
      <c r="G499">
        <v>4</v>
      </c>
      <c r="H499" t="s">
        <v>7963</v>
      </c>
      <c r="I499" s="45" t="s">
        <v>6754</v>
      </c>
      <c r="J499" s="122">
        <v>45707</v>
      </c>
      <c r="K499" s="110" t="str">
        <f t="shared" si="4"/>
        <v>https://Estud2024.sawtoothsoftware.com/cgi-bin/ciwweb.pl?studyname=Estud2024&amp;ID=498</v>
      </c>
      <c r="L499" s="113">
        <v>45709</v>
      </c>
      <c r="M499" s="45" t="s">
        <v>246</v>
      </c>
    </row>
    <row r="500" spans="1:13">
      <c r="A500">
        <v>499</v>
      </c>
      <c r="B500" t="s">
        <v>85</v>
      </c>
      <c r="C500">
        <v>5</v>
      </c>
      <c r="D500" t="s">
        <v>215</v>
      </c>
      <c r="E500">
        <v>85</v>
      </c>
      <c r="F500" t="s">
        <v>7964</v>
      </c>
      <c r="G500">
        <v>4</v>
      </c>
      <c r="H500" t="s">
        <v>7965</v>
      </c>
      <c r="I500" s="45" t="s">
        <v>6754</v>
      </c>
      <c r="J500" s="122">
        <v>45707</v>
      </c>
      <c r="K500" s="110" t="str">
        <f t="shared" si="4"/>
        <v>https://Estud2024.sawtoothsoftware.com/cgi-bin/ciwweb.pl?studyname=Estud2024&amp;ID=499</v>
      </c>
      <c r="L500" s="113">
        <v>45709</v>
      </c>
      <c r="M500" s="45" t="s">
        <v>246</v>
      </c>
    </row>
    <row r="501" spans="1:13">
      <c r="A501">
        <v>500</v>
      </c>
      <c r="B501" t="s">
        <v>85</v>
      </c>
      <c r="C501">
        <v>5</v>
      </c>
      <c r="D501" t="s">
        <v>215</v>
      </c>
      <c r="E501">
        <v>85</v>
      </c>
      <c r="F501" t="s">
        <v>7966</v>
      </c>
      <c r="G501">
        <v>4</v>
      </c>
      <c r="H501" t="s">
        <v>7967</v>
      </c>
      <c r="I501" s="45" t="s">
        <v>6754</v>
      </c>
      <c r="J501" s="122">
        <v>45707</v>
      </c>
      <c r="K501" s="110" t="str">
        <f t="shared" si="4"/>
        <v>https://Estud2024.sawtoothsoftware.com/cgi-bin/ciwweb.pl?studyname=Estud2024&amp;ID=500</v>
      </c>
      <c r="L501" s="113">
        <v>45709</v>
      </c>
      <c r="M501" s="45" t="s">
        <v>247</v>
      </c>
    </row>
    <row r="502" spans="1:13">
      <c r="A502">
        <v>501</v>
      </c>
      <c r="B502" t="s">
        <v>85</v>
      </c>
      <c r="C502">
        <v>5</v>
      </c>
      <c r="D502" t="s">
        <v>215</v>
      </c>
      <c r="E502">
        <v>85</v>
      </c>
      <c r="F502" t="s">
        <v>7968</v>
      </c>
      <c r="G502">
        <v>4</v>
      </c>
      <c r="H502" t="s">
        <v>7969</v>
      </c>
      <c r="I502" s="45" t="s">
        <v>6754</v>
      </c>
      <c r="J502" s="122">
        <v>45707</v>
      </c>
      <c r="K502" s="110" t="str">
        <f t="shared" si="4"/>
        <v>https://Estud2024.sawtoothsoftware.com/cgi-bin/ciwweb.pl?studyname=Estud2024&amp;ID=501</v>
      </c>
      <c r="L502" s="113">
        <v>45709</v>
      </c>
      <c r="M502" s="45" t="s">
        <v>246</v>
      </c>
    </row>
    <row r="503" spans="1:13">
      <c r="A503">
        <v>502</v>
      </c>
      <c r="B503" t="s">
        <v>85</v>
      </c>
      <c r="C503">
        <v>5</v>
      </c>
      <c r="D503" t="s">
        <v>215</v>
      </c>
      <c r="E503">
        <v>85</v>
      </c>
      <c r="F503" t="s">
        <v>7970</v>
      </c>
      <c r="G503">
        <v>4</v>
      </c>
      <c r="H503" t="s">
        <v>7971</v>
      </c>
      <c r="I503" s="45" t="s">
        <v>6754</v>
      </c>
      <c r="J503" s="122">
        <v>45707</v>
      </c>
      <c r="K503" s="110" t="str">
        <f t="shared" si="4"/>
        <v>https://Estud2024.sawtoothsoftware.com/cgi-bin/ciwweb.pl?studyname=Estud2024&amp;ID=502</v>
      </c>
      <c r="L503" s="113">
        <v>45709</v>
      </c>
      <c r="M503" s="45" t="s">
        <v>246</v>
      </c>
    </row>
    <row r="504" spans="1:13">
      <c r="A504">
        <v>503</v>
      </c>
      <c r="B504" t="s">
        <v>85</v>
      </c>
      <c r="C504">
        <v>5</v>
      </c>
      <c r="D504" t="s">
        <v>215</v>
      </c>
      <c r="E504">
        <v>85</v>
      </c>
      <c r="F504" t="s">
        <v>7972</v>
      </c>
      <c r="G504">
        <v>4</v>
      </c>
      <c r="H504" t="s">
        <v>7973</v>
      </c>
      <c r="I504" s="45" t="s">
        <v>6754</v>
      </c>
      <c r="J504" s="122">
        <v>45707</v>
      </c>
      <c r="K504" s="110" t="str">
        <f t="shared" si="4"/>
        <v>https://Estud2024.sawtoothsoftware.com/cgi-bin/ciwweb.pl?studyname=Estud2024&amp;ID=503</v>
      </c>
      <c r="L504" s="113">
        <v>45709</v>
      </c>
      <c r="M504" s="45" t="s">
        <v>246</v>
      </c>
    </row>
    <row r="505" spans="1:13">
      <c r="A505">
        <v>504</v>
      </c>
      <c r="B505" t="s">
        <v>85</v>
      </c>
      <c r="C505">
        <v>5</v>
      </c>
      <c r="D505" t="s">
        <v>215</v>
      </c>
      <c r="E505">
        <v>85</v>
      </c>
      <c r="F505" t="s">
        <v>7974</v>
      </c>
      <c r="G505">
        <v>4</v>
      </c>
      <c r="H505" t="s">
        <v>7975</v>
      </c>
      <c r="I505" s="45" t="s">
        <v>6754</v>
      </c>
      <c r="J505" s="122">
        <v>45707</v>
      </c>
      <c r="K505" s="110" t="str">
        <f t="shared" si="4"/>
        <v>https://Estud2024.sawtoothsoftware.com/cgi-bin/ciwweb.pl?studyname=Estud2024&amp;ID=504</v>
      </c>
      <c r="L505" s="113">
        <v>45709</v>
      </c>
      <c r="M505" s="45" t="s">
        <v>246</v>
      </c>
    </row>
    <row r="506" spans="1:13">
      <c r="A506">
        <v>505</v>
      </c>
      <c r="B506" t="s">
        <v>85</v>
      </c>
      <c r="C506">
        <v>5</v>
      </c>
      <c r="D506" t="s">
        <v>215</v>
      </c>
      <c r="E506">
        <v>85</v>
      </c>
      <c r="F506" t="s">
        <v>7976</v>
      </c>
      <c r="G506">
        <v>4</v>
      </c>
      <c r="H506" t="s">
        <v>7977</v>
      </c>
      <c r="I506" s="45" t="s">
        <v>6754</v>
      </c>
      <c r="J506" s="122">
        <v>45707</v>
      </c>
      <c r="K506" s="110" t="str">
        <f t="shared" si="4"/>
        <v>https://Estud2024.sawtoothsoftware.com/cgi-bin/ciwweb.pl?studyname=Estud2024&amp;ID=505</v>
      </c>
      <c r="L506" s="113">
        <v>45709</v>
      </c>
      <c r="M506" s="45" t="s">
        <v>246</v>
      </c>
    </row>
    <row r="507" spans="1:13">
      <c r="A507">
        <v>506</v>
      </c>
      <c r="B507" t="s">
        <v>85</v>
      </c>
      <c r="C507">
        <v>5</v>
      </c>
      <c r="D507" t="s">
        <v>215</v>
      </c>
      <c r="E507">
        <v>85</v>
      </c>
      <c r="F507" t="s">
        <v>7978</v>
      </c>
      <c r="G507">
        <v>4</v>
      </c>
      <c r="H507" t="s">
        <v>7979</v>
      </c>
      <c r="I507" s="45" t="s">
        <v>6754</v>
      </c>
      <c r="J507" s="122">
        <v>45707</v>
      </c>
      <c r="K507" s="110" t="str">
        <f t="shared" si="4"/>
        <v>https://Estud2024.sawtoothsoftware.com/cgi-bin/ciwweb.pl?studyname=Estud2024&amp;ID=506</v>
      </c>
      <c r="L507" s="113">
        <v>45709</v>
      </c>
      <c r="M507" s="45" t="s">
        <v>246</v>
      </c>
    </row>
    <row r="508" spans="1:13">
      <c r="A508">
        <v>507</v>
      </c>
      <c r="B508" t="s">
        <v>85</v>
      </c>
      <c r="C508">
        <v>5</v>
      </c>
      <c r="D508" t="s">
        <v>215</v>
      </c>
      <c r="E508">
        <v>85</v>
      </c>
      <c r="F508" t="s">
        <v>7980</v>
      </c>
      <c r="G508">
        <v>3</v>
      </c>
      <c r="H508" t="s">
        <v>7981</v>
      </c>
      <c r="I508" s="45" t="s">
        <v>6754</v>
      </c>
      <c r="J508" s="122">
        <v>45707</v>
      </c>
      <c r="K508" s="110" t="str">
        <f t="shared" si="4"/>
        <v>https://Estud2024.sawtoothsoftware.com/cgi-bin/ciwweb.pl?studyname=Estud2024&amp;ID=507</v>
      </c>
      <c r="L508" s="113">
        <v>45709</v>
      </c>
      <c r="M508" s="45" t="s">
        <v>247</v>
      </c>
    </row>
    <row r="509" spans="1:13">
      <c r="A509">
        <v>508</v>
      </c>
      <c r="B509" t="s">
        <v>85</v>
      </c>
      <c r="C509">
        <v>5</v>
      </c>
      <c r="D509" t="s">
        <v>215</v>
      </c>
      <c r="E509">
        <v>85</v>
      </c>
      <c r="F509" t="s">
        <v>7982</v>
      </c>
      <c r="G509">
        <v>3</v>
      </c>
      <c r="H509" t="s">
        <v>7983</v>
      </c>
      <c r="I509" s="45" t="s">
        <v>6754</v>
      </c>
      <c r="J509" s="122">
        <v>45707</v>
      </c>
      <c r="K509" s="110" t="str">
        <f t="shared" si="4"/>
        <v>https://Estud2024.sawtoothsoftware.com/cgi-bin/ciwweb.pl?studyname=Estud2024&amp;ID=508</v>
      </c>
      <c r="L509" s="113">
        <v>45709</v>
      </c>
      <c r="M509" s="45" t="s">
        <v>247</v>
      </c>
    </row>
    <row r="510" spans="1:13">
      <c r="A510">
        <v>509</v>
      </c>
      <c r="B510" t="s">
        <v>85</v>
      </c>
      <c r="C510">
        <v>5</v>
      </c>
      <c r="D510" t="s">
        <v>215</v>
      </c>
      <c r="E510">
        <v>85</v>
      </c>
      <c r="F510" t="s">
        <v>7984</v>
      </c>
      <c r="G510">
        <v>3</v>
      </c>
      <c r="H510" t="s">
        <v>7985</v>
      </c>
      <c r="I510" s="45" t="s">
        <v>6754</v>
      </c>
      <c r="J510" s="122">
        <v>45707</v>
      </c>
      <c r="K510" s="110" t="str">
        <f t="shared" si="4"/>
        <v>https://Estud2024.sawtoothsoftware.com/cgi-bin/ciwweb.pl?studyname=Estud2024&amp;ID=509</v>
      </c>
      <c r="L510" s="113">
        <v>45709</v>
      </c>
      <c r="M510" s="45" t="s">
        <v>247</v>
      </c>
    </row>
    <row r="511" spans="1:13">
      <c r="A511">
        <v>510</v>
      </c>
      <c r="B511" t="s">
        <v>85</v>
      </c>
      <c r="C511">
        <v>5</v>
      </c>
      <c r="D511" t="s">
        <v>215</v>
      </c>
      <c r="E511">
        <v>85</v>
      </c>
      <c r="F511" t="s">
        <v>7986</v>
      </c>
      <c r="G511">
        <v>3</v>
      </c>
      <c r="H511" t="s">
        <v>7987</v>
      </c>
      <c r="I511" s="45" t="s">
        <v>6754</v>
      </c>
      <c r="J511" s="122">
        <v>45707</v>
      </c>
      <c r="K511" s="110" t="str">
        <f t="shared" si="4"/>
        <v>https://Estud2024.sawtoothsoftware.com/cgi-bin/ciwweb.pl?studyname=Estud2024&amp;ID=510</v>
      </c>
      <c r="L511" s="113">
        <v>45709</v>
      </c>
      <c r="M511" s="45" t="s">
        <v>247</v>
      </c>
    </row>
    <row r="512" spans="1:13">
      <c r="A512">
        <v>511</v>
      </c>
      <c r="B512" t="s">
        <v>85</v>
      </c>
      <c r="C512">
        <v>5</v>
      </c>
      <c r="D512" t="s">
        <v>215</v>
      </c>
      <c r="E512">
        <v>85</v>
      </c>
      <c r="F512" t="s">
        <v>7988</v>
      </c>
      <c r="G512">
        <v>3</v>
      </c>
      <c r="H512" t="s">
        <v>7989</v>
      </c>
      <c r="I512" s="45" t="s">
        <v>6754</v>
      </c>
      <c r="J512" s="122">
        <v>45707</v>
      </c>
      <c r="K512" s="110" t="str">
        <f t="shared" si="4"/>
        <v>https://Estud2024.sawtoothsoftware.com/cgi-bin/ciwweb.pl?studyname=Estud2024&amp;ID=511</v>
      </c>
      <c r="L512" s="113">
        <v>45709</v>
      </c>
      <c r="M512" s="45" t="s">
        <v>246</v>
      </c>
    </row>
    <row r="513" spans="1:13">
      <c r="A513">
        <v>512</v>
      </c>
      <c r="B513" t="s">
        <v>85</v>
      </c>
      <c r="C513">
        <v>5</v>
      </c>
      <c r="D513" t="s">
        <v>215</v>
      </c>
      <c r="E513">
        <v>85</v>
      </c>
      <c r="F513" t="s">
        <v>7990</v>
      </c>
      <c r="G513">
        <v>3</v>
      </c>
      <c r="H513" t="s">
        <v>7991</v>
      </c>
      <c r="I513" s="45" t="s">
        <v>6754</v>
      </c>
      <c r="J513" s="122">
        <v>45707</v>
      </c>
      <c r="K513" s="110" t="str">
        <f t="shared" si="4"/>
        <v>https://Estud2024.sawtoothsoftware.com/cgi-bin/ciwweb.pl?studyname=Estud2024&amp;ID=512</v>
      </c>
      <c r="L513" s="113">
        <v>45709</v>
      </c>
      <c r="M513" s="45" t="s">
        <v>247</v>
      </c>
    </row>
    <row r="514" spans="1:13">
      <c r="A514">
        <v>513</v>
      </c>
      <c r="B514" t="s">
        <v>85</v>
      </c>
      <c r="C514">
        <v>5</v>
      </c>
      <c r="D514" t="s">
        <v>215</v>
      </c>
      <c r="E514">
        <v>85</v>
      </c>
      <c r="F514" t="s">
        <v>7992</v>
      </c>
      <c r="G514">
        <v>3</v>
      </c>
      <c r="H514" t="s">
        <v>7993</v>
      </c>
      <c r="I514" s="45" t="s">
        <v>6754</v>
      </c>
      <c r="J514" s="122">
        <v>45707</v>
      </c>
      <c r="K514" s="110" t="str">
        <f t="shared" si="4"/>
        <v>https://Estud2024.sawtoothsoftware.com/cgi-bin/ciwweb.pl?studyname=Estud2024&amp;ID=513</v>
      </c>
      <c r="L514" s="113">
        <v>45709</v>
      </c>
      <c r="M514" s="45" t="s">
        <v>247</v>
      </c>
    </row>
    <row r="515" spans="1:13">
      <c r="A515">
        <v>514</v>
      </c>
      <c r="B515" t="s">
        <v>85</v>
      </c>
      <c r="C515">
        <v>5</v>
      </c>
      <c r="D515" t="s">
        <v>215</v>
      </c>
      <c r="E515">
        <v>85</v>
      </c>
      <c r="F515" t="s">
        <v>7994</v>
      </c>
      <c r="G515">
        <v>3</v>
      </c>
      <c r="H515" t="s">
        <v>7995</v>
      </c>
      <c r="I515" s="45" t="s">
        <v>6754</v>
      </c>
      <c r="J515" s="122">
        <v>45707</v>
      </c>
      <c r="K515" s="110" t="str">
        <f t="shared" si="4"/>
        <v>https://Estud2024.sawtoothsoftware.com/cgi-bin/ciwweb.pl?studyname=Estud2024&amp;ID=514</v>
      </c>
      <c r="L515" s="113">
        <v>45709</v>
      </c>
      <c r="M515" s="45" t="s">
        <v>247</v>
      </c>
    </row>
    <row r="516" spans="1:13">
      <c r="A516">
        <v>515</v>
      </c>
      <c r="B516" t="s">
        <v>85</v>
      </c>
      <c r="C516">
        <v>5</v>
      </c>
      <c r="D516" t="s">
        <v>215</v>
      </c>
      <c r="E516">
        <v>85</v>
      </c>
      <c r="F516" t="s">
        <v>7996</v>
      </c>
      <c r="G516">
        <v>3</v>
      </c>
      <c r="H516" t="s">
        <v>7997</v>
      </c>
      <c r="I516" s="45" t="s">
        <v>6754</v>
      </c>
      <c r="J516" s="122">
        <v>45707</v>
      </c>
      <c r="K516" s="110" t="str">
        <f t="shared" si="4"/>
        <v>https://Estud2024.sawtoothsoftware.com/cgi-bin/ciwweb.pl?studyname=Estud2024&amp;ID=515</v>
      </c>
      <c r="L516" s="113">
        <v>45709</v>
      </c>
      <c r="M516" s="45" t="s">
        <v>246</v>
      </c>
    </row>
    <row r="517" spans="1:13">
      <c r="A517">
        <v>516</v>
      </c>
      <c r="B517" t="s">
        <v>85</v>
      </c>
      <c r="C517">
        <v>5</v>
      </c>
      <c r="D517" t="s">
        <v>215</v>
      </c>
      <c r="E517">
        <v>85</v>
      </c>
      <c r="F517" t="s">
        <v>7998</v>
      </c>
      <c r="G517">
        <v>3</v>
      </c>
      <c r="H517" t="s">
        <v>7999</v>
      </c>
      <c r="I517" s="45" t="s">
        <v>6754</v>
      </c>
      <c r="J517" s="122">
        <v>45707</v>
      </c>
      <c r="K517" s="110" t="str">
        <f t="shared" si="4"/>
        <v>https://Estud2024.sawtoothsoftware.com/cgi-bin/ciwweb.pl?studyname=Estud2024&amp;ID=516</v>
      </c>
      <c r="L517" s="113">
        <v>45709</v>
      </c>
      <c r="M517" s="45" t="s">
        <v>247</v>
      </c>
    </row>
    <row r="518" spans="1:13">
      <c r="A518">
        <v>517</v>
      </c>
      <c r="B518" t="s">
        <v>85</v>
      </c>
      <c r="C518">
        <v>5</v>
      </c>
      <c r="D518" t="s">
        <v>215</v>
      </c>
      <c r="E518">
        <v>85</v>
      </c>
      <c r="F518" t="s">
        <v>8000</v>
      </c>
      <c r="G518">
        <v>3</v>
      </c>
      <c r="H518" t="s">
        <v>8001</v>
      </c>
      <c r="I518" s="45" t="s">
        <v>6754</v>
      </c>
      <c r="J518" s="122">
        <v>45707</v>
      </c>
      <c r="K518" s="110" t="str">
        <f t="shared" si="4"/>
        <v>https://Estud2024.sawtoothsoftware.com/cgi-bin/ciwweb.pl?studyname=Estud2024&amp;ID=517</v>
      </c>
      <c r="L518" s="113">
        <v>45709</v>
      </c>
      <c r="M518" s="45" t="s">
        <v>247</v>
      </c>
    </row>
    <row r="519" spans="1:13">
      <c r="A519">
        <v>518</v>
      </c>
      <c r="B519" t="s">
        <v>85</v>
      </c>
      <c r="C519">
        <v>5</v>
      </c>
      <c r="D519" t="s">
        <v>215</v>
      </c>
      <c r="E519">
        <v>85</v>
      </c>
      <c r="F519" t="s">
        <v>8002</v>
      </c>
      <c r="G519">
        <v>3</v>
      </c>
      <c r="H519" t="s">
        <v>8003</v>
      </c>
      <c r="I519" s="45" t="s">
        <v>6754</v>
      </c>
      <c r="J519" s="122">
        <v>45707</v>
      </c>
      <c r="K519" s="110" t="str">
        <f t="shared" si="4"/>
        <v>https://Estud2024.sawtoothsoftware.com/cgi-bin/ciwweb.pl?studyname=Estud2024&amp;ID=518</v>
      </c>
      <c r="L519" s="113">
        <v>45709</v>
      </c>
      <c r="M519" s="45" t="s">
        <v>246</v>
      </c>
    </row>
    <row r="520" spans="1:13">
      <c r="A520">
        <v>519</v>
      </c>
      <c r="B520" t="s">
        <v>85</v>
      </c>
      <c r="C520">
        <v>5</v>
      </c>
      <c r="D520" t="s">
        <v>215</v>
      </c>
      <c r="E520">
        <v>85</v>
      </c>
      <c r="F520" t="s">
        <v>8004</v>
      </c>
      <c r="G520">
        <v>3</v>
      </c>
      <c r="H520" t="s">
        <v>8005</v>
      </c>
      <c r="I520" s="45" t="s">
        <v>6754</v>
      </c>
      <c r="J520" s="122">
        <v>45707</v>
      </c>
      <c r="K520" s="110" t="str">
        <f t="shared" si="4"/>
        <v>https://Estud2024.sawtoothsoftware.com/cgi-bin/ciwweb.pl?studyname=Estud2024&amp;ID=519</v>
      </c>
      <c r="L520" s="113">
        <v>45709</v>
      </c>
      <c r="M520" s="45" t="s">
        <v>247</v>
      </c>
    </row>
    <row r="521" spans="1:13">
      <c r="A521">
        <v>520</v>
      </c>
      <c r="B521" t="s">
        <v>85</v>
      </c>
      <c r="C521">
        <v>5</v>
      </c>
      <c r="D521" t="s">
        <v>215</v>
      </c>
      <c r="E521">
        <v>85</v>
      </c>
      <c r="F521" t="s">
        <v>8006</v>
      </c>
      <c r="G521">
        <v>3</v>
      </c>
      <c r="H521" t="s">
        <v>8007</v>
      </c>
      <c r="I521" s="45" t="s">
        <v>6754</v>
      </c>
      <c r="J521" s="122">
        <v>45707</v>
      </c>
      <c r="K521" s="110" t="str">
        <f t="shared" si="4"/>
        <v>https://Estud2024.sawtoothsoftware.com/cgi-bin/ciwweb.pl?studyname=Estud2024&amp;ID=520</v>
      </c>
      <c r="L521" s="113">
        <v>45709</v>
      </c>
      <c r="M521" s="45" t="s">
        <v>246</v>
      </c>
    </row>
    <row r="522" spans="1:13">
      <c r="A522">
        <v>521</v>
      </c>
      <c r="B522" t="s">
        <v>85</v>
      </c>
      <c r="C522">
        <v>5</v>
      </c>
      <c r="D522" t="s">
        <v>215</v>
      </c>
      <c r="E522">
        <v>85</v>
      </c>
      <c r="F522" t="s">
        <v>8008</v>
      </c>
      <c r="G522">
        <v>3</v>
      </c>
      <c r="H522" t="s">
        <v>8009</v>
      </c>
      <c r="I522" s="45" t="s">
        <v>6754</v>
      </c>
      <c r="J522" s="122">
        <v>45707</v>
      </c>
      <c r="K522" s="110" t="str">
        <f t="shared" si="4"/>
        <v>https://Estud2024.sawtoothsoftware.com/cgi-bin/ciwweb.pl?studyname=Estud2024&amp;ID=521</v>
      </c>
      <c r="L522" s="113">
        <v>45709</v>
      </c>
      <c r="M522" s="45" t="s">
        <v>246</v>
      </c>
    </row>
    <row r="523" spans="1:13">
      <c r="A523">
        <v>522</v>
      </c>
      <c r="B523" t="s">
        <v>85</v>
      </c>
      <c r="C523">
        <v>5</v>
      </c>
      <c r="D523" t="s">
        <v>215</v>
      </c>
      <c r="E523">
        <v>85</v>
      </c>
      <c r="F523" t="s">
        <v>8010</v>
      </c>
      <c r="G523">
        <v>3</v>
      </c>
      <c r="H523" t="s">
        <v>8011</v>
      </c>
      <c r="I523" s="45" t="s">
        <v>6754</v>
      </c>
      <c r="J523" s="122">
        <v>45707</v>
      </c>
      <c r="K523" s="110" t="str">
        <f t="shared" si="4"/>
        <v>https://Estud2024.sawtoothsoftware.com/cgi-bin/ciwweb.pl?studyname=Estud2024&amp;ID=522</v>
      </c>
      <c r="L523" s="113">
        <v>45709</v>
      </c>
      <c r="M523" s="45" t="s">
        <v>247</v>
      </c>
    </row>
    <row r="524" spans="1:13">
      <c r="A524">
        <v>523</v>
      </c>
      <c r="B524" t="s">
        <v>85</v>
      </c>
      <c r="C524">
        <v>5</v>
      </c>
      <c r="D524" t="s">
        <v>215</v>
      </c>
      <c r="E524">
        <v>85</v>
      </c>
      <c r="F524" t="s">
        <v>8012</v>
      </c>
      <c r="G524">
        <v>3</v>
      </c>
      <c r="H524" t="s">
        <v>8013</v>
      </c>
      <c r="I524" s="45" t="s">
        <v>6754</v>
      </c>
      <c r="J524" s="122">
        <v>45707</v>
      </c>
      <c r="K524" s="110" t="str">
        <f t="shared" si="4"/>
        <v>https://Estud2024.sawtoothsoftware.com/cgi-bin/ciwweb.pl?studyname=Estud2024&amp;ID=523</v>
      </c>
      <c r="L524" s="113">
        <v>45709</v>
      </c>
      <c r="M524" s="45" t="s">
        <v>247</v>
      </c>
    </row>
    <row r="525" spans="1:13">
      <c r="A525">
        <v>524</v>
      </c>
      <c r="B525" t="s">
        <v>85</v>
      </c>
      <c r="C525">
        <v>5</v>
      </c>
      <c r="D525" t="s">
        <v>215</v>
      </c>
      <c r="E525">
        <v>85</v>
      </c>
      <c r="F525" t="s">
        <v>8014</v>
      </c>
      <c r="G525">
        <v>3</v>
      </c>
      <c r="H525" t="s">
        <v>8015</v>
      </c>
      <c r="I525" s="45" t="s">
        <v>6754</v>
      </c>
      <c r="J525" s="122">
        <v>45707</v>
      </c>
      <c r="K525" s="110" t="str">
        <f t="shared" si="4"/>
        <v>https://Estud2024.sawtoothsoftware.com/cgi-bin/ciwweb.pl?studyname=Estud2024&amp;ID=524</v>
      </c>
      <c r="L525" s="113">
        <v>45709</v>
      </c>
      <c r="M525" s="45" t="s">
        <v>247</v>
      </c>
    </row>
    <row r="526" spans="1:13">
      <c r="A526">
        <v>525</v>
      </c>
      <c r="B526" t="s">
        <v>85</v>
      </c>
      <c r="C526">
        <v>5</v>
      </c>
      <c r="D526" t="s">
        <v>215</v>
      </c>
      <c r="E526">
        <v>85</v>
      </c>
      <c r="F526" t="s">
        <v>8016</v>
      </c>
      <c r="G526">
        <v>3</v>
      </c>
      <c r="H526" t="s">
        <v>8017</v>
      </c>
      <c r="I526" s="45" t="s">
        <v>6754</v>
      </c>
      <c r="J526" s="122">
        <v>45707</v>
      </c>
      <c r="K526" s="110" t="str">
        <f t="shared" si="4"/>
        <v>https://Estud2024.sawtoothsoftware.com/cgi-bin/ciwweb.pl?studyname=Estud2024&amp;ID=525</v>
      </c>
      <c r="L526" s="113">
        <v>45709</v>
      </c>
      <c r="M526" s="45" t="s">
        <v>246</v>
      </c>
    </row>
    <row r="527" spans="1:13">
      <c r="A527">
        <v>526</v>
      </c>
      <c r="B527" t="s">
        <v>85</v>
      </c>
      <c r="C527">
        <v>5</v>
      </c>
      <c r="D527" t="s">
        <v>215</v>
      </c>
      <c r="E527">
        <v>85</v>
      </c>
      <c r="F527" t="s">
        <v>8018</v>
      </c>
      <c r="G527">
        <v>3</v>
      </c>
      <c r="H527" t="s">
        <v>8019</v>
      </c>
      <c r="I527" s="45" t="s">
        <v>6754</v>
      </c>
      <c r="J527" s="122">
        <v>45707</v>
      </c>
      <c r="K527" s="110" t="str">
        <f t="shared" si="4"/>
        <v>https://Estud2024.sawtoothsoftware.com/cgi-bin/ciwweb.pl?studyname=Estud2024&amp;ID=526</v>
      </c>
      <c r="L527" s="113">
        <v>45709</v>
      </c>
      <c r="M527" s="45" t="s">
        <v>247</v>
      </c>
    </row>
    <row r="528" spans="1:13">
      <c r="A528">
        <v>527</v>
      </c>
      <c r="B528" t="s">
        <v>85</v>
      </c>
      <c r="C528">
        <v>5</v>
      </c>
      <c r="D528" t="s">
        <v>215</v>
      </c>
      <c r="E528">
        <v>85</v>
      </c>
      <c r="F528" t="s">
        <v>8020</v>
      </c>
      <c r="G528">
        <v>3</v>
      </c>
      <c r="H528" t="s">
        <v>8021</v>
      </c>
      <c r="I528" s="45" t="s">
        <v>6754</v>
      </c>
      <c r="J528" s="122">
        <v>45707</v>
      </c>
      <c r="K528" s="110" t="str">
        <f t="shared" si="4"/>
        <v>https://Estud2024.sawtoothsoftware.com/cgi-bin/ciwweb.pl?studyname=Estud2024&amp;ID=527</v>
      </c>
      <c r="L528" s="113">
        <v>45709</v>
      </c>
      <c r="M528" s="45" t="s">
        <v>247</v>
      </c>
    </row>
    <row r="529" spans="1:13">
      <c r="A529">
        <v>528</v>
      </c>
      <c r="B529" t="s">
        <v>85</v>
      </c>
      <c r="C529">
        <v>5</v>
      </c>
      <c r="D529" t="s">
        <v>215</v>
      </c>
      <c r="E529">
        <v>85</v>
      </c>
      <c r="F529" t="s">
        <v>8022</v>
      </c>
      <c r="G529">
        <v>3</v>
      </c>
      <c r="H529" t="s">
        <v>8023</v>
      </c>
      <c r="I529" s="45" t="s">
        <v>6754</v>
      </c>
      <c r="J529" s="122">
        <v>45707</v>
      </c>
      <c r="K529" s="110" t="str">
        <f t="shared" si="4"/>
        <v>https://Estud2024.sawtoothsoftware.com/cgi-bin/ciwweb.pl?studyname=Estud2024&amp;ID=528</v>
      </c>
      <c r="L529" s="113">
        <v>45709</v>
      </c>
      <c r="M529" s="45" t="s">
        <v>246</v>
      </c>
    </row>
    <row r="530" spans="1:13">
      <c r="A530">
        <v>529</v>
      </c>
      <c r="B530" t="s">
        <v>85</v>
      </c>
      <c r="C530">
        <v>5</v>
      </c>
      <c r="D530" t="s">
        <v>215</v>
      </c>
      <c r="E530">
        <v>85</v>
      </c>
      <c r="F530" t="s">
        <v>8024</v>
      </c>
      <c r="G530">
        <v>3</v>
      </c>
      <c r="H530" t="s">
        <v>8025</v>
      </c>
      <c r="I530" s="45" t="s">
        <v>6754</v>
      </c>
      <c r="J530" s="122">
        <v>45707</v>
      </c>
      <c r="K530" s="110" t="str">
        <f t="shared" si="4"/>
        <v>https://Estud2024.sawtoothsoftware.com/cgi-bin/ciwweb.pl?studyname=Estud2024&amp;ID=529</v>
      </c>
      <c r="L530" s="113">
        <v>45709</v>
      </c>
      <c r="M530" s="45" t="s">
        <v>247</v>
      </c>
    </row>
    <row r="531" spans="1:13">
      <c r="A531">
        <v>530</v>
      </c>
      <c r="B531" t="s">
        <v>85</v>
      </c>
      <c r="C531">
        <v>5</v>
      </c>
      <c r="D531" t="s">
        <v>215</v>
      </c>
      <c r="E531">
        <v>85</v>
      </c>
      <c r="F531" t="s">
        <v>8026</v>
      </c>
      <c r="G531">
        <v>3</v>
      </c>
      <c r="H531" t="s">
        <v>8027</v>
      </c>
      <c r="I531" s="45" t="s">
        <v>6754</v>
      </c>
      <c r="J531" s="122">
        <v>45707</v>
      </c>
      <c r="K531" s="110" t="str">
        <f t="shared" si="4"/>
        <v>https://Estud2024.sawtoothsoftware.com/cgi-bin/ciwweb.pl?studyname=Estud2024&amp;ID=530</v>
      </c>
      <c r="L531" s="113">
        <v>45709</v>
      </c>
      <c r="M531" s="45" t="s">
        <v>247</v>
      </c>
    </row>
    <row r="532" spans="1:13">
      <c r="A532">
        <v>531</v>
      </c>
      <c r="B532" t="s">
        <v>85</v>
      </c>
      <c r="C532">
        <v>5</v>
      </c>
      <c r="D532" t="s">
        <v>215</v>
      </c>
      <c r="E532">
        <v>85</v>
      </c>
      <c r="F532" t="s">
        <v>8028</v>
      </c>
      <c r="G532">
        <v>3</v>
      </c>
      <c r="H532" t="s">
        <v>8029</v>
      </c>
      <c r="I532" s="45" t="s">
        <v>6754</v>
      </c>
      <c r="J532" s="122">
        <v>45707</v>
      </c>
      <c r="K532" s="110" t="str">
        <f t="shared" si="4"/>
        <v>https://Estud2024.sawtoothsoftware.com/cgi-bin/ciwweb.pl?studyname=Estud2024&amp;ID=531</v>
      </c>
      <c r="L532" s="113">
        <v>45709</v>
      </c>
      <c r="M532" s="45" t="s">
        <v>246</v>
      </c>
    </row>
    <row r="533" spans="1:13">
      <c r="A533">
        <v>532</v>
      </c>
      <c r="B533" t="s">
        <v>85</v>
      </c>
      <c r="C533">
        <v>5</v>
      </c>
      <c r="D533" t="s">
        <v>215</v>
      </c>
      <c r="E533">
        <v>85</v>
      </c>
      <c r="F533" t="s">
        <v>8030</v>
      </c>
      <c r="G533">
        <v>3</v>
      </c>
      <c r="H533" t="s">
        <v>8031</v>
      </c>
      <c r="I533" s="45" t="s">
        <v>6754</v>
      </c>
      <c r="J533" s="122">
        <v>45707</v>
      </c>
      <c r="K533" s="110" t="str">
        <f t="shared" si="4"/>
        <v>https://Estud2024.sawtoothsoftware.com/cgi-bin/ciwweb.pl?studyname=Estud2024&amp;ID=532</v>
      </c>
      <c r="L533" s="113">
        <v>45709</v>
      </c>
      <c r="M533" s="45" t="s">
        <v>247</v>
      </c>
    </row>
    <row r="534" spans="1:13">
      <c r="A534">
        <v>533</v>
      </c>
      <c r="B534" t="s">
        <v>85</v>
      </c>
      <c r="C534">
        <v>5</v>
      </c>
      <c r="D534" t="s">
        <v>215</v>
      </c>
      <c r="E534">
        <v>85</v>
      </c>
      <c r="F534" t="s">
        <v>8032</v>
      </c>
      <c r="G534">
        <v>3</v>
      </c>
      <c r="H534" t="s">
        <v>8033</v>
      </c>
      <c r="I534" s="45" t="s">
        <v>6754</v>
      </c>
      <c r="J534" s="122">
        <v>45707</v>
      </c>
      <c r="K534" s="110" t="str">
        <f t="shared" ref="K534:K597" si="5">CONCATENATE("https://Estud2024.sawtoothsoftware.com/cgi-bin/ciwweb.pl?studyname=Estud2024&amp;ID=",A534)</f>
        <v>https://Estud2024.sawtoothsoftware.com/cgi-bin/ciwweb.pl?studyname=Estud2024&amp;ID=533</v>
      </c>
      <c r="L534" s="113">
        <v>45709</v>
      </c>
      <c r="M534" s="45" t="s">
        <v>246</v>
      </c>
    </row>
    <row r="535" spans="1:13">
      <c r="A535">
        <v>534</v>
      </c>
      <c r="B535" t="s">
        <v>85</v>
      </c>
      <c r="C535">
        <v>5</v>
      </c>
      <c r="D535" t="s">
        <v>215</v>
      </c>
      <c r="E535">
        <v>85</v>
      </c>
      <c r="F535" t="s">
        <v>8034</v>
      </c>
      <c r="G535">
        <v>3</v>
      </c>
      <c r="H535" t="s">
        <v>8035</v>
      </c>
      <c r="I535" s="45" t="s">
        <v>6754</v>
      </c>
      <c r="J535" s="122">
        <v>45707</v>
      </c>
      <c r="K535" s="110" t="str">
        <f t="shared" si="5"/>
        <v>https://Estud2024.sawtoothsoftware.com/cgi-bin/ciwweb.pl?studyname=Estud2024&amp;ID=534</v>
      </c>
      <c r="L535" s="113">
        <v>45709</v>
      </c>
      <c r="M535" s="45" t="s">
        <v>246</v>
      </c>
    </row>
    <row r="536" spans="1:13">
      <c r="A536">
        <v>535</v>
      </c>
      <c r="B536" t="s">
        <v>85</v>
      </c>
      <c r="C536">
        <v>5</v>
      </c>
      <c r="D536" t="s">
        <v>215</v>
      </c>
      <c r="E536">
        <v>85</v>
      </c>
      <c r="F536" t="s">
        <v>8036</v>
      </c>
      <c r="G536">
        <v>3</v>
      </c>
      <c r="H536" t="s">
        <v>8037</v>
      </c>
      <c r="I536" s="45" t="s">
        <v>6754</v>
      </c>
      <c r="J536" s="122">
        <v>45707</v>
      </c>
      <c r="K536" s="110" t="str">
        <f t="shared" si="5"/>
        <v>https://Estud2024.sawtoothsoftware.com/cgi-bin/ciwweb.pl?studyname=Estud2024&amp;ID=535</v>
      </c>
      <c r="L536" s="113">
        <v>45709</v>
      </c>
      <c r="M536" s="45" t="s">
        <v>246</v>
      </c>
    </row>
    <row r="537" spans="1:13">
      <c r="A537">
        <v>536</v>
      </c>
      <c r="B537" t="s">
        <v>85</v>
      </c>
      <c r="C537">
        <v>5</v>
      </c>
      <c r="D537" t="s">
        <v>215</v>
      </c>
      <c r="E537">
        <v>85</v>
      </c>
      <c r="F537" t="s">
        <v>8038</v>
      </c>
      <c r="G537">
        <v>3</v>
      </c>
      <c r="H537" t="s">
        <v>8039</v>
      </c>
      <c r="I537" s="45" t="s">
        <v>6754</v>
      </c>
      <c r="J537" s="122">
        <v>45707</v>
      </c>
      <c r="K537" s="110" t="str">
        <f t="shared" si="5"/>
        <v>https://Estud2024.sawtoothsoftware.com/cgi-bin/ciwweb.pl?studyname=Estud2024&amp;ID=536</v>
      </c>
      <c r="L537" s="113">
        <v>45709</v>
      </c>
      <c r="M537" s="45" t="s">
        <v>247</v>
      </c>
    </row>
    <row r="538" spans="1:13">
      <c r="A538">
        <v>537</v>
      </c>
      <c r="B538" t="s">
        <v>85</v>
      </c>
      <c r="C538">
        <v>5</v>
      </c>
      <c r="D538" t="s">
        <v>215</v>
      </c>
      <c r="E538">
        <v>85</v>
      </c>
      <c r="F538" t="s">
        <v>8040</v>
      </c>
      <c r="G538">
        <v>3</v>
      </c>
      <c r="H538" t="s">
        <v>8041</v>
      </c>
      <c r="I538" s="45" t="s">
        <v>6754</v>
      </c>
      <c r="J538" s="122">
        <v>45707</v>
      </c>
      <c r="K538" s="110" t="str">
        <f t="shared" si="5"/>
        <v>https://Estud2024.sawtoothsoftware.com/cgi-bin/ciwweb.pl?studyname=Estud2024&amp;ID=537</v>
      </c>
      <c r="L538" s="113">
        <v>45709</v>
      </c>
      <c r="M538" s="45" t="s">
        <v>246</v>
      </c>
    </row>
    <row r="539" spans="1:13">
      <c r="A539">
        <v>538</v>
      </c>
      <c r="B539" t="s">
        <v>85</v>
      </c>
      <c r="C539">
        <v>5</v>
      </c>
      <c r="D539" t="s">
        <v>215</v>
      </c>
      <c r="E539">
        <v>85</v>
      </c>
      <c r="F539" t="s">
        <v>8042</v>
      </c>
      <c r="G539">
        <v>3</v>
      </c>
      <c r="H539" t="s">
        <v>8043</v>
      </c>
      <c r="I539" s="45" t="s">
        <v>6754</v>
      </c>
      <c r="J539" s="122">
        <v>45707</v>
      </c>
      <c r="K539" s="110" t="str">
        <f t="shared" si="5"/>
        <v>https://Estud2024.sawtoothsoftware.com/cgi-bin/ciwweb.pl?studyname=Estud2024&amp;ID=538</v>
      </c>
      <c r="L539" s="113">
        <v>45709</v>
      </c>
      <c r="M539" s="45" t="s">
        <v>247</v>
      </c>
    </row>
    <row r="540" spans="1:13">
      <c r="A540">
        <v>539</v>
      </c>
      <c r="B540" t="s">
        <v>85</v>
      </c>
      <c r="C540">
        <v>5</v>
      </c>
      <c r="D540" t="s">
        <v>215</v>
      </c>
      <c r="E540">
        <v>85</v>
      </c>
      <c r="F540" t="s">
        <v>8044</v>
      </c>
      <c r="G540">
        <v>3</v>
      </c>
      <c r="H540" t="s">
        <v>8045</v>
      </c>
      <c r="I540" s="45" t="s">
        <v>6754</v>
      </c>
      <c r="J540" s="122">
        <v>45707</v>
      </c>
      <c r="K540" s="110" t="str">
        <f t="shared" si="5"/>
        <v>https://Estud2024.sawtoothsoftware.com/cgi-bin/ciwweb.pl?studyname=Estud2024&amp;ID=539</v>
      </c>
      <c r="L540" s="113">
        <v>45709</v>
      </c>
      <c r="M540" s="45" t="s">
        <v>246</v>
      </c>
    </row>
    <row r="541" spans="1:13">
      <c r="A541">
        <v>540</v>
      </c>
      <c r="B541" t="s">
        <v>85</v>
      </c>
      <c r="C541">
        <v>5</v>
      </c>
      <c r="D541" t="s">
        <v>215</v>
      </c>
      <c r="E541">
        <v>85</v>
      </c>
      <c r="F541" t="s">
        <v>8046</v>
      </c>
      <c r="G541">
        <v>3</v>
      </c>
      <c r="H541" t="s">
        <v>8047</v>
      </c>
      <c r="I541" s="45" t="s">
        <v>6754</v>
      </c>
      <c r="J541" s="122">
        <v>45707</v>
      </c>
      <c r="K541" s="110" t="str">
        <f t="shared" si="5"/>
        <v>https://Estud2024.sawtoothsoftware.com/cgi-bin/ciwweb.pl?studyname=Estud2024&amp;ID=540</v>
      </c>
      <c r="L541" s="113">
        <v>45709</v>
      </c>
      <c r="M541" s="45" t="s">
        <v>247</v>
      </c>
    </row>
    <row r="542" spans="1:13">
      <c r="A542">
        <v>541</v>
      </c>
      <c r="B542" t="s">
        <v>85</v>
      </c>
      <c r="C542">
        <v>5</v>
      </c>
      <c r="D542" t="s">
        <v>215</v>
      </c>
      <c r="E542">
        <v>85</v>
      </c>
      <c r="F542" t="s">
        <v>8048</v>
      </c>
      <c r="G542">
        <v>3</v>
      </c>
      <c r="H542" t="s">
        <v>8049</v>
      </c>
      <c r="I542" s="45" t="s">
        <v>6754</v>
      </c>
      <c r="J542" s="122">
        <v>45707</v>
      </c>
      <c r="K542" s="110" t="str">
        <f t="shared" si="5"/>
        <v>https://Estud2024.sawtoothsoftware.com/cgi-bin/ciwweb.pl?studyname=Estud2024&amp;ID=541</v>
      </c>
      <c r="L542" s="113">
        <v>45709</v>
      </c>
      <c r="M542" s="45" t="s">
        <v>246</v>
      </c>
    </row>
    <row r="543" spans="1:13">
      <c r="A543">
        <v>542</v>
      </c>
      <c r="B543" t="s">
        <v>85</v>
      </c>
      <c r="C543">
        <v>5</v>
      </c>
      <c r="D543" t="s">
        <v>215</v>
      </c>
      <c r="E543">
        <v>85</v>
      </c>
      <c r="F543" t="s">
        <v>8050</v>
      </c>
      <c r="G543">
        <v>3</v>
      </c>
      <c r="H543" t="s">
        <v>8051</v>
      </c>
      <c r="I543" s="45" t="s">
        <v>6754</v>
      </c>
      <c r="J543" s="122">
        <v>45707</v>
      </c>
      <c r="K543" s="110" t="str">
        <f t="shared" si="5"/>
        <v>https://Estud2024.sawtoothsoftware.com/cgi-bin/ciwweb.pl?studyname=Estud2024&amp;ID=542</v>
      </c>
      <c r="L543" s="113">
        <v>45709</v>
      </c>
      <c r="M543" s="45" t="s">
        <v>246</v>
      </c>
    </row>
    <row r="544" spans="1:13">
      <c r="A544">
        <v>543</v>
      </c>
      <c r="B544" t="s">
        <v>85</v>
      </c>
      <c r="C544">
        <v>5</v>
      </c>
      <c r="D544" t="s">
        <v>215</v>
      </c>
      <c r="E544">
        <v>85</v>
      </c>
      <c r="F544" t="s">
        <v>8052</v>
      </c>
      <c r="G544">
        <v>3</v>
      </c>
      <c r="H544" t="s">
        <v>8053</v>
      </c>
      <c r="I544" s="45" t="s">
        <v>6754</v>
      </c>
      <c r="J544" s="122">
        <v>45707</v>
      </c>
      <c r="K544" s="110" t="str">
        <f t="shared" si="5"/>
        <v>https://Estud2024.sawtoothsoftware.com/cgi-bin/ciwweb.pl?studyname=Estud2024&amp;ID=543</v>
      </c>
      <c r="L544" s="113">
        <v>45709</v>
      </c>
      <c r="M544" s="45" t="s">
        <v>247</v>
      </c>
    </row>
    <row r="545" spans="1:13">
      <c r="A545">
        <v>544</v>
      </c>
      <c r="B545" t="s">
        <v>85</v>
      </c>
      <c r="C545">
        <v>5</v>
      </c>
      <c r="D545" t="s">
        <v>215</v>
      </c>
      <c r="E545">
        <v>85</v>
      </c>
      <c r="F545" t="s">
        <v>8054</v>
      </c>
      <c r="G545">
        <v>3</v>
      </c>
      <c r="H545" t="s">
        <v>8055</v>
      </c>
      <c r="I545" s="45" t="s">
        <v>6754</v>
      </c>
      <c r="J545" s="122">
        <v>45707</v>
      </c>
      <c r="K545" s="110" t="str">
        <f t="shared" si="5"/>
        <v>https://Estud2024.sawtoothsoftware.com/cgi-bin/ciwweb.pl?studyname=Estud2024&amp;ID=544</v>
      </c>
      <c r="L545" s="113">
        <v>45709</v>
      </c>
      <c r="M545" s="45" t="s">
        <v>247</v>
      </c>
    </row>
    <row r="546" spans="1:13">
      <c r="A546">
        <v>545</v>
      </c>
      <c r="B546" t="s">
        <v>85</v>
      </c>
      <c r="C546">
        <v>5</v>
      </c>
      <c r="D546" t="s">
        <v>215</v>
      </c>
      <c r="E546">
        <v>85</v>
      </c>
      <c r="F546" t="s">
        <v>8056</v>
      </c>
      <c r="G546">
        <v>3</v>
      </c>
      <c r="H546" t="s">
        <v>8057</v>
      </c>
      <c r="I546" s="45" t="s">
        <v>6754</v>
      </c>
      <c r="J546" s="122">
        <v>45707</v>
      </c>
      <c r="K546" s="110" t="str">
        <f t="shared" si="5"/>
        <v>https://Estud2024.sawtoothsoftware.com/cgi-bin/ciwweb.pl?studyname=Estud2024&amp;ID=545</v>
      </c>
      <c r="L546" s="113">
        <v>45709</v>
      </c>
      <c r="M546" s="45" t="s">
        <v>247</v>
      </c>
    </row>
    <row r="547" spans="1:13">
      <c r="A547">
        <v>546</v>
      </c>
      <c r="B547" t="s">
        <v>85</v>
      </c>
      <c r="C547">
        <v>5</v>
      </c>
      <c r="D547" t="s">
        <v>215</v>
      </c>
      <c r="E547">
        <v>85</v>
      </c>
      <c r="F547" t="s">
        <v>8058</v>
      </c>
      <c r="G547">
        <v>3</v>
      </c>
      <c r="H547" t="s">
        <v>8059</v>
      </c>
      <c r="I547" s="45" t="s">
        <v>6754</v>
      </c>
      <c r="J547" s="122">
        <v>45707</v>
      </c>
      <c r="K547" s="110" t="str">
        <f t="shared" si="5"/>
        <v>https://Estud2024.sawtoothsoftware.com/cgi-bin/ciwweb.pl?studyname=Estud2024&amp;ID=546</v>
      </c>
      <c r="L547" s="113">
        <v>45709</v>
      </c>
      <c r="M547" s="45" t="s">
        <v>246</v>
      </c>
    </row>
    <row r="548" spans="1:13">
      <c r="A548">
        <v>547</v>
      </c>
      <c r="B548" t="s">
        <v>85</v>
      </c>
      <c r="C548">
        <v>5</v>
      </c>
      <c r="D548" t="s">
        <v>215</v>
      </c>
      <c r="E548">
        <v>85</v>
      </c>
      <c r="F548" t="s">
        <v>8060</v>
      </c>
      <c r="G548">
        <v>3</v>
      </c>
      <c r="H548" t="s">
        <v>8061</v>
      </c>
      <c r="I548" s="45" t="s">
        <v>6754</v>
      </c>
      <c r="J548" s="122">
        <v>45707</v>
      </c>
      <c r="K548" s="110" t="str">
        <f t="shared" si="5"/>
        <v>https://Estud2024.sawtoothsoftware.com/cgi-bin/ciwweb.pl?studyname=Estud2024&amp;ID=547</v>
      </c>
      <c r="L548" s="113">
        <v>45709</v>
      </c>
      <c r="M548" s="45" t="s">
        <v>247</v>
      </c>
    </row>
    <row r="549" spans="1:13">
      <c r="A549">
        <v>548</v>
      </c>
      <c r="B549" t="s">
        <v>85</v>
      </c>
      <c r="C549">
        <v>5</v>
      </c>
      <c r="D549" t="s">
        <v>215</v>
      </c>
      <c r="E549">
        <v>85</v>
      </c>
      <c r="F549" t="s">
        <v>8062</v>
      </c>
      <c r="G549">
        <v>3</v>
      </c>
      <c r="H549" t="s">
        <v>8063</v>
      </c>
      <c r="I549" s="45" t="s">
        <v>6754</v>
      </c>
      <c r="J549" s="122">
        <v>45707</v>
      </c>
      <c r="K549" s="110" t="str">
        <f t="shared" si="5"/>
        <v>https://Estud2024.sawtoothsoftware.com/cgi-bin/ciwweb.pl?studyname=Estud2024&amp;ID=548</v>
      </c>
      <c r="L549" s="113">
        <v>45709</v>
      </c>
      <c r="M549" s="45" t="s">
        <v>247</v>
      </c>
    </row>
    <row r="550" spans="1:13">
      <c r="A550">
        <v>549</v>
      </c>
      <c r="B550" t="s">
        <v>85</v>
      </c>
      <c r="C550">
        <v>5</v>
      </c>
      <c r="D550" t="s">
        <v>215</v>
      </c>
      <c r="E550">
        <v>85</v>
      </c>
      <c r="F550" t="s">
        <v>8064</v>
      </c>
      <c r="G550">
        <v>3</v>
      </c>
      <c r="H550" t="s">
        <v>8065</v>
      </c>
      <c r="I550" s="45" t="s">
        <v>6754</v>
      </c>
      <c r="J550" s="122">
        <v>45707</v>
      </c>
      <c r="K550" s="110" t="str">
        <f t="shared" si="5"/>
        <v>https://Estud2024.sawtoothsoftware.com/cgi-bin/ciwweb.pl?studyname=Estud2024&amp;ID=549</v>
      </c>
      <c r="L550" s="113">
        <v>45709</v>
      </c>
      <c r="M550" s="45" t="s">
        <v>247</v>
      </c>
    </row>
    <row r="551" spans="1:13">
      <c r="A551">
        <v>550</v>
      </c>
      <c r="B551" t="s">
        <v>85</v>
      </c>
      <c r="C551">
        <v>5</v>
      </c>
      <c r="D551" t="s">
        <v>215</v>
      </c>
      <c r="E551">
        <v>85</v>
      </c>
      <c r="F551" t="s">
        <v>8066</v>
      </c>
      <c r="G551">
        <v>3</v>
      </c>
      <c r="H551" t="s">
        <v>8067</v>
      </c>
      <c r="I551" s="45" t="s">
        <v>6754</v>
      </c>
      <c r="J551" s="122">
        <v>45707</v>
      </c>
      <c r="K551" s="110" t="str">
        <f t="shared" si="5"/>
        <v>https://Estud2024.sawtoothsoftware.com/cgi-bin/ciwweb.pl?studyname=Estud2024&amp;ID=550</v>
      </c>
      <c r="L551" s="113">
        <v>45709</v>
      </c>
      <c r="M551" s="45" t="s">
        <v>246</v>
      </c>
    </row>
    <row r="552" spans="1:13">
      <c r="A552">
        <v>551</v>
      </c>
      <c r="B552" t="s">
        <v>85</v>
      </c>
      <c r="C552">
        <v>5</v>
      </c>
      <c r="D552" t="s">
        <v>215</v>
      </c>
      <c r="E552">
        <v>85</v>
      </c>
      <c r="F552" t="s">
        <v>8068</v>
      </c>
      <c r="G552">
        <v>3</v>
      </c>
      <c r="H552" t="s">
        <v>8069</v>
      </c>
      <c r="I552" s="45" t="s">
        <v>6754</v>
      </c>
      <c r="J552" s="122">
        <v>45707</v>
      </c>
      <c r="K552" s="110" t="str">
        <f t="shared" si="5"/>
        <v>https://Estud2024.sawtoothsoftware.com/cgi-bin/ciwweb.pl?studyname=Estud2024&amp;ID=551</v>
      </c>
      <c r="L552" s="113">
        <v>45709</v>
      </c>
      <c r="M552" s="45" t="s">
        <v>246</v>
      </c>
    </row>
    <row r="553" spans="1:13">
      <c r="A553">
        <v>552</v>
      </c>
      <c r="B553" t="s">
        <v>85</v>
      </c>
      <c r="C553">
        <v>5</v>
      </c>
      <c r="D553" t="s">
        <v>215</v>
      </c>
      <c r="E553">
        <v>85</v>
      </c>
      <c r="F553" t="s">
        <v>8070</v>
      </c>
      <c r="G553">
        <v>3</v>
      </c>
      <c r="H553" t="s">
        <v>8071</v>
      </c>
      <c r="I553" s="45" t="s">
        <v>6754</v>
      </c>
      <c r="J553" s="122">
        <v>45707</v>
      </c>
      <c r="K553" s="110" t="str">
        <f t="shared" si="5"/>
        <v>https://Estud2024.sawtoothsoftware.com/cgi-bin/ciwweb.pl?studyname=Estud2024&amp;ID=552</v>
      </c>
      <c r="L553" s="113">
        <v>45709</v>
      </c>
      <c r="M553" s="45" t="s">
        <v>246</v>
      </c>
    </row>
    <row r="554" spans="1:13">
      <c r="A554">
        <v>553</v>
      </c>
      <c r="B554" t="s">
        <v>85</v>
      </c>
      <c r="C554">
        <v>5</v>
      </c>
      <c r="D554" t="s">
        <v>215</v>
      </c>
      <c r="E554">
        <v>85</v>
      </c>
      <c r="F554" t="s">
        <v>8072</v>
      </c>
      <c r="G554">
        <v>3</v>
      </c>
      <c r="H554" t="s">
        <v>8073</v>
      </c>
      <c r="I554" s="45" t="s">
        <v>6754</v>
      </c>
      <c r="J554" s="122">
        <v>45707</v>
      </c>
      <c r="K554" s="110" t="str">
        <f t="shared" si="5"/>
        <v>https://Estud2024.sawtoothsoftware.com/cgi-bin/ciwweb.pl?studyname=Estud2024&amp;ID=553</v>
      </c>
      <c r="L554" s="113">
        <v>45709</v>
      </c>
      <c r="M554" s="45" t="s">
        <v>246</v>
      </c>
    </row>
    <row r="555" spans="1:13">
      <c r="A555">
        <v>554</v>
      </c>
      <c r="B555" t="s">
        <v>85</v>
      </c>
      <c r="C555">
        <v>5</v>
      </c>
      <c r="D555" t="s">
        <v>215</v>
      </c>
      <c r="E555">
        <v>85</v>
      </c>
      <c r="F555" t="s">
        <v>8074</v>
      </c>
      <c r="G555">
        <v>3</v>
      </c>
      <c r="H555" t="s">
        <v>8075</v>
      </c>
      <c r="I555" s="45" t="s">
        <v>6754</v>
      </c>
      <c r="J555" s="122">
        <v>45707</v>
      </c>
      <c r="K555" s="110" t="str">
        <f t="shared" si="5"/>
        <v>https://Estud2024.sawtoothsoftware.com/cgi-bin/ciwweb.pl?studyname=Estud2024&amp;ID=554</v>
      </c>
      <c r="L555" s="113">
        <v>45709</v>
      </c>
      <c r="M555" s="45" t="s">
        <v>247</v>
      </c>
    </row>
    <row r="556" spans="1:13">
      <c r="A556">
        <v>555</v>
      </c>
      <c r="B556" t="s">
        <v>85</v>
      </c>
      <c r="C556">
        <v>5</v>
      </c>
      <c r="D556" t="s">
        <v>215</v>
      </c>
      <c r="E556">
        <v>85</v>
      </c>
      <c r="F556" t="s">
        <v>8076</v>
      </c>
      <c r="G556">
        <v>3</v>
      </c>
      <c r="H556" t="s">
        <v>8077</v>
      </c>
      <c r="I556" s="45" t="s">
        <v>6754</v>
      </c>
      <c r="J556" s="122">
        <v>45707</v>
      </c>
      <c r="K556" s="110" t="str">
        <f t="shared" si="5"/>
        <v>https://Estud2024.sawtoothsoftware.com/cgi-bin/ciwweb.pl?studyname=Estud2024&amp;ID=555</v>
      </c>
      <c r="L556" s="113">
        <v>45709</v>
      </c>
      <c r="M556" s="45" t="s">
        <v>247</v>
      </c>
    </row>
    <row r="557" spans="1:13">
      <c r="A557">
        <v>556</v>
      </c>
      <c r="B557" t="s">
        <v>85</v>
      </c>
      <c r="C557">
        <v>5</v>
      </c>
      <c r="D557" t="s">
        <v>215</v>
      </c>
      <c r="E557">
        <v>85</v>
      </c>
      <c r="F557" t="s">
        <v>8078</v>
      </c>
      <c r="G557">
        <v>3</v>
      </c>
      <c r="H557" t="s">
        <v>8079</v>
      </c>
      <c r="I557" s="45" t="s">
        <v>6754</v>
      </c>
      <c r="J557" s="122">
        <v>45707</v>
      </c>
      <c r="K557" s="110" t="str">
        <f t="shared" si="5"/>
        <v>https://Estud2024.sawtoothsoftware.com/cgi-bin/ciwweb.pl?studyname=Estud2024&amp;ID=556</v>
      </c>
      <c r="L557" s="113">
        <v>45709</v>
      </c>
      <c r="M557" s="45" t="s">
        <v>247</v>
      </c>
    </row>
    <row r="558" spans="1:13">
      <c r="A558">
        <v>557</v>
      </c>
      <c r="B558" t="s">
        <v>85</v>
      </c>
      <c r="C558">
        <v>5</v>
      </c>
      <c r="D558" t="s">
        <v>215</v>
      </c>
      <c r="E558">
        <v>85</v>
      </c>
      <c r="F558" t="s">
        <v>8080</v>
      </c>
      <c r="G558">
        <v>3</v>
      </c>
      <c r="H558" t="s">
        <v>8081</v>
      </c>
      <c r="I558" s="45" t="s">
        <v>6754</v>
      </c>
      <c r="J558" s="122">
        <v>45707</v>
      </c>
      <c r="K558" s="110" t="str">
        <f t="shared" si="5"/>
        <v>https://Estud2024.sawtoothsoftware.com/cgi-bin/ciwweb.pl?studyname=Estud2024&amp;ID=557</v>
      </c>
      <c r="L558" s="113">
        <v>45709</v>
      </c>
      <c r="M558" s="45" t="s">
        <v>246</v>
      </c>
    </row>
    <row r="559" spans="1:13">
      <c r="A559">
        <v>558</v>
      </c>
      <c r="B559" t="s">
        <v>85</v>
      </c>
      <c r="C559">
        <v>5</v>
      </c>
      <c r="D559" t="s">
        <v>215</v>
      </c>
      <c r="E559">
        <v>85</v>
      </c>
      <c r="F559" t="s">
        <v>8082</v>
      </c>
      <c r="G559">
        <v>3</v>
      </c>
      <c r="H559" t="s">
        <v>8083</v>
      </c>
      <c r="I559" s="45" t="s">
        <v>6754</v>
      </c>
      <c r="J559" s="122">
        <v>45707</v>
      </c>
      <c r="K559" s="110" t="str">
        <f t="shared" si="5"/>
        <v>https://Estud2024.sawtoothsoftware.com/cgi-bin/ciwweb.pl?studyname=Estud2024&amp;ID=558</v>
      </c>
      <c r="L559" s="113">
        <v>45709</v>
      </c>
      <c r="M559" s="45" t="s">
        <v>246</v>
      </c>
    </row>
    <row r="560" spans="1:13">
      <c r="A560">
        <v>559</v>
      </c>
      <c r="B560" t="s">
        <v>85</v>
      </c>
      <c r="C560">
        <v>5</v>
      </c>
      <c r="D560" t="s">
        <v>215</v>
      </c>
      <c r="E560">
        <v>85</v>
      </c>
      <c r="F560" t="s">
        <v>8084</v>
      </c>
      <c r="G560">
        <v>3</v>
      </c>
      <c r="H560" t="s">
        <v>8085</v>
      </c>
      <c r="I560" s="45" t="s">
        <v>6754</v>
      </c>
      <c r="J560" s="122">
        <v>45707</v>
      </c>
      <c r="K560" s="110" t="str">
        <f t="shared" si="5"/>
        <v>https://Estud2024.sawtoothsoftware.com/cgi-bin/ciwweb.pl?studyname=Estud2024&amp;ID=559</v>
      </c>
      <c r="L560" s="113">
        <v>45709</v>
      </c>
      <c r="M560" s="45" t="s">
        <v>246</v>
      </c>
    </row>
    <row r="561" spans="1:13">
      <c r="A561">
        <v>560</v>
      </c>
      <c r="B561" t="s">
        <v>85</v>
      </c>
      <c r="C561">
        <v>5</v>
      </c>
      <c r="D561" t="s">
        <v>215</v>
      </c>
      <c r="E561">
        <v>85</v>
      </c>
      <c r="F561" t="s">
        <v>8086</v>
      </c>
      <c r="G561">
        <v>3</v>
      </c>
      <c r="H561" t="s">
        <v>8087</v>
      </c>
      <c r="I561" s="45" t="s">
        <v>6754</v>
      </c>
      <c r="J561" s="122">
        <v>45707</v>
      </c>
      <c r="K561" s="110" t="str">
        <f t="shared" si="5"/>
        <v>https://Estud2024.sawtoothsoftware.com/cgi-bin/ciwweb.pl?studyname=Estud2024&amp;ID=560</v>
      </c>
      <c r="L561" s="113">
        <v>45709</v>
      </c>
      <c r="M561" s="45" t="s">
        <v>247</v>
      </c>
    </row>
    <row r="562" spans="1:13">
      <c r="A562">
        <v>561</v>
      </c>
      <c r="B562" t="s">
        <v>85</v>
      </c>
      <c r="C562">
        <v>5</v>
      </c>
      <c r="D562" t="s">
        <v>215</v>
      </c>
      <c r="E562">
        <v>85</v>
      </c>
      <c r="F562" t="s">
        <v>8088</v>
      </c>
      <c r="G562">
        <v>3</v>
      </c>
      <c r="H562" t="s">
        <v>8089</v>
      </c>
      <c r="I562" s="45" t="s">
        <v>6754</v>
      </c>
      <c r="J562" s="122">
        <v>45707</v>
      </c>
      <c r="K562" s="110" t="str">
        <f t="shared" si="5"/>
        <v>https://Estud2024.sawtoothsoftware.com/cgi-bin/ciwweb.pl?studyname=Estud2024&amp;ID=561</v>
      </c>
      <c r="L562" s="113">
        <v>45709</v>
      </c>
      <c r="M562" s="45" t="s">
        <v>247</v>
      </c>
    </row>
    <row r="563" spans="1:13">
      <c r="A563">
        <v>562</v>
      </c>
      <c r="B563" t="s">
        <v>85</v>
      </c>
      <c r="C563">
        <v>5</v>
      </c>
      <c r="D563" t="s">
        <v>215</v>
      </c>
      <c r="E563">
        <v>85</v>
      </c>
      <c r="F563" t="s">
        <v>8090</v>
      </c>
      <c r="G563">
        <v>3</v>
      </c>
      <c r="H563" t="s">
        <v>8091</v>
      </c>
      <c r="I563" s="45" t="s">
        <v>6754</v>
      </c>
      <c r="J563" s="122">
        <v>45707</v>
      </c>
      <c r="K563" s="110" t="str">
        <f t="shared" si="5"/>
        <v>https://Estud2024.sawtoothsoftware.com/cgi-bin/ciwweb.pl?studyname=Estud2024&amp;ID=562</v>
      </c>
      <c r="L563" s="113">
        <v>45709</v>
      </c>
      <c r="M563" s="45" t="s">
        <v>247</v>
      </c>
    </row>
    <row r="564" spans="1:13">
      <c r="A564">
        <v>563</v>
      </c>
      <c r="B564" t="s">
        <v>85</v>
      </c>
      <c r="C564">
        <v>5</v>
      </c>
      <c r="D564" t="s">
        <v>215</v>
      </c>
      <c r="E564">
        <v>85</v>
      </c>
      <c r="F564" t="s">
        <v>8092</v>
      </c>
      <c r="G564">
        <v>3</v>
      </c>
      <c r="H564" t="s">
        <v>8093</v>
      </c>
      <c r="I564" s="45" t="s">
        <v>6754</v>
      </c>
      <c r="J564" s="122">
        <v>45707</v>
      </c>
      <c r="K564" s="110" t="str">
        <f t="shared" si="5"/>
        <v>https://Estud2024.sawtoothsoftware.com/cgi-bin/ciwweb.pl?studyname=Estud2024&amp;ID=563</v>
      </c>
      <c r="L564" s="113">
        <v>45709</v>
      </c>
      <c r="M564" s="45" t="s">
        <v>247</v>
      </c>
    </row>
    <row r="565" spans="1:13">
      <c r="A565">
        <v>564</v>
      </c>
      <c r="B565" t="s">
        <v>85</v>
      </c>
      <c r="C565">
        <v>5</v>
      </c>
      <c r="D565" t="s">
        <v>215</v>
      </c>
      <c r="E565">
        <v>85</v>
      </c>
      <c r="F565" t="s">
        <v>8094</v>
      </c>
      <c r="G565">
        <v>3</v>
      </c>
      <c r="H565" t="s">
        <v>8095</v>
      </c>
      <c r="I565" s="45" t="s">
        <v>6754</v>
      </c>
      <c r="J565" s="122">
        <v>45707</v>
      </c>
      <c r="K565" s="110" t="str">
        <f t="shared" si="5"/>
        <v>https://Estud2024.sawtoothsoftware.com/cgi-bin/ciwweb.pl?studyname=Estud2024&amp;ID=564</v>
      </c>
      <c r="L565" s="113">
        <v>45709</v>
      </c>
      <c r="M565" s="45" t="s">
        <v>247</v>
      </c>
    </row>
    <row r="566" spans="1:13">
      <c r="A566">
        <v>565</v>
      </c>
      <c r="B566" t="s">
        <v>85</v>
      </c>
      <c r="C566">
        <v>5</v>
      </c>
      <c r="D566" t="s">
        <v>215</v>
      </c>
      <c r="E566">
        <v>85</v>
      </c>
      <c r="F566" t="s">
        <v>8096</v>
      </c>
      <c r="G566">
        <v>3</v>
      </c>
      <c r="H566" t="s">
        <v>8097</v>
      </c>
      <c r="I566" s="45" t="s">
        <v>6754</v>
      </c>
      <c r="J566" s="122">
        <v>45707</v>
      </c>
      <c r="K566" s="110" t="str">
        <f t="shared" si="5"/>
        <v>https://Estud2024.sawtoothsoftware.com/cgi-bin/ciwweb.pl?studyname=Estud2024&amp;ID=565</v>
      </c>
      <c r="L566" s="113">
        <v>45709</v>
      </c>
      <c r="M566" s="45" t="s">
        <v>247</v>
      </c>
    </row>
    <row r="567" spans="1:13">
      <c r="A567">
        <v>566</v>
      </c>
      <c r="B567" t="s">
        <v>85</v>
      </c>
      <c r="C567">
        <v>5</v>
      </c>
      <c r="D567" t="s">
        <v>215</v>
      </c>
      <c r="E567">
        <v>85</v>
      </c>
      <c r="F567" t="s">
        <v>8098</v>
      </c>
      <c r="G567">
        <v>3</v>
      </c>
      <c r="H567" t="s">
        <v>8099</v>
      </c>
      <c r="I567" s="45" t="s">
        <v>6754</v>
      </c>
      <c r="J567" s="122">
        <v>45707</v>
      </c>
      <c r="K567" s="110" t="str">
        <f t="shared" si="5"/>
        <v>https://Estud2024.sawtoothsoftware.com/cgi-bin/ciwweb.pl?studyname=Estud2024&amp;ID=566</v>
      </c>
      <c r="L567" s="113">
        <v>45709</v>
      </c>
      <c r="M567" s="45" t="s">
        <v>247</v>
      </c>
    </row>
    <row r="568" spans="1:13">
      <c r="A568">
        <v>567</v>
      </c>
      <c r="B568" t="s">
        <v>85</v>
      </c>
      <c r="C568">
        <v>5</v>
      </c>
      <c r="D568" t="s">
        <v>215</v>
      </c>
      <c r="E568">
        <v>85</v>
      </c>
      <c r="F568" t="s">
        <v>8100</v>
      </c>
      <c r="G568">
        <v>3</v>
      </c>
      <c r="H568" t="s">
        <v>8101</v>
      </c>
      <c r="I568" s="45" t="s">
        <v>6754</v>
      </c>
      <c r="J568" s="122">
        <v>45707</v>
      </c>
      <c r="K568" s="110" t="str">
        <f t="shared" si="5"/>
        <v>https://Estud2024.sawtoothsoftware.com/cgi-bin/ciwweb.pl?studyname=Estud2024&amp;ID=567</v>
      </c>
      <c r="L568" s="113">
        <v>45709</v>
      </c>
      <c r="M568" s="45" t="s">
        <v>246</v>
      </c>
    </row>
    <row r="569" spans="1:13">
      <c r="A569">
        <v>568</v>
      </c>
      <c r="B569" t="s">
        <v>85</v>
      </c>
      <c r="C569">
        <v>5</v>
      </c>
      <c r="D569" t="s">
        <v>215</v>
      </c>
      <c r="E569">
        <v>85</v>
      </c>
      <c r="F569" t="s">
        <v>8102</v>
      </c>
      <c r="G569">
        <v>3</v>
      </c>
      <c r="H569" t="s">
        <v>8103</v>
      </c>
      <c r="I569" s="45" t="s">
        <v>6754</v>
      </c>
      <c r="J569" s="122">
        <v>45707</v>
      </c>
      <c r="K569" s="110" t="str">
        <f t="shared" si="5"/>
        <v>https://Estud2024.sawtoothsoftware.com/cgi-bin/ciwweb.pl?studyname=Estud2024&amp;ID=568</v>
      </c>
      <c r="L569" s="113">
        <v>45709</v>
      </c>
      <c r="M569" s="45" t="s">
        <v>246</v>
      </c>
    </row>
    <row r="570" spans="1:13">
      <c r="A570">
        <v>569</v>
      </c>
      <c r="B570" t="s">
        <v>85</v>
      </c>
      <c r="C570">
        <v>5</v>
      </c>
      <c r="D570" t="s">
        <v>215</v>
      </c>
      <c r="E570">
        <v>85</v>
      </c>
      <c r="F570" t="s">
        <v>8104</v>
      </c>
      <c r="G570">
        <v>3</v>
      </c>
      <c r="H570" t="s">
        <v>8105</v>
      </c>
      <c r="I570" s="45" t="s">
        <v>6754</v>
      </c>
      <c r="J570" s="122">
        <v>45707</v>
      </c>
      <c r="K570" s="110" t="str">
        <f t="shared" si="5"/>
        <v>https://Estud2024.sawtoothsoftware.com/cgi-bin/ciwweb.pl?studyname=Estud2024&amp;ID=569</v>
      </c>
      <c r="L570" s="113">
        <v>45709</v>
      </c>
      <c r="M570" s="45" t="s">
        <v>247</v>
      </c>
    </row>
    <row r="571" spans="1:13">
      <c r="A571">
        <v>570</v>
      </c>
      <c r="B571" t="s">
        <v>85</v>
      </c>
      <c r="C571">
        <v>5</v>
      </c>
      <c r="D571" t="s">
        <v>215</v>
      </c>
      <c r="E571">
        <v>85</v>
      </c>
      <c r="F571" t="s">
        <v>8106</v>
      </c>
      <c r="G571">
        <v>3</v>
      </c>
      <c r="H571" t="s">
        <v>8107</v>
      </c>
      <c r="I571" s="45" t="s">
        <v>6754</v>
      </c>
      <c r="J571" s="122">
        <v>45707</v>
      </c>
      <c r="K571" s="110" t="str">
        <f t="shared" si="5"/>
        <v>https://Estud2024.sawtoothsoftware.com/cgi-bin/ciwweb.pl?studyname=Estud2024&amp;ID=570</v>
      </c>
      <c r="L571" s="113">
        <v>45709</v>
      </c>
      <c r="M571" s="45" t="s">
        <v>246</v>
      </c>
    </row>
    <row r="572" spans="1:13">
      <c r="A572">
        <v>571</v>
      </c>
      <c r="B572" t="s">
        <v>85</v>
      </c>
      <c r="C572">
        <v>5</v>
      </c>
      <c r="D572" t="s">
        <v>215</v>
      </c>
      <c r="E572">
        <v>85</v>
      </c>
      <c r="F572" t="s">
        <v>8108</v>
      </c>
      <c r="G572">
        <v>3</v>
      </c>
      <c r="H572" t="s">
        <v>8109</v>
      </c>
      <c r="I572" s="45" t="s">
        <v>6754</v>
      </c>
      <c r="J572" s="122">
        <v>45707</v>
      </c>
      <c r="K572" s="110" t="str">
        <f t="shared" si="5"/>
        <v>https://Estud2024.sawtoothsoftware.com/cgi-bin/ciwweb.pl?studyname=Estud2024&amp;ID=571</v>
      </c>
      <c r="L572" s="113">
        <v>45709</v>
      </c>
      <c r="M572" s="45" t="s">
        <v>247</v>
      </c>
    </row>
    <row r="573" spans="1:13">
      <c r="A573">
        <v>572</v>
      </c>
      <c r="B573" t="s">
        <v>85</v>
      </c>
      <c r="C573">
        <v>5</v>
      </c>
      <c r="D573" t="s">
        <v>215</v>
      </c>
      <c r="E573">
        <v>85</v>
      </c>
      <c r="F573" t="s">
        <v>8110</v>
      </c>
      <c r="G573">
        <v>3</v>
      </c>
      <c r="H573" t="s">
        <v>8111</v>
      </c>
      <c r="I573" s="45" t="s">
        <v>6754</v>
      </c>
      <c r="J573" s="122">
        <v>45707</v>
      </c>
      <c r="K573" s="110" t="str">
        <f t="shared" si="5"/>
        <v>https://Estud2024.sawtoothsoftware.com/cgi-bin/ciwweb.pl?studyname=Estud2024&amp;ID=572</v>
      </c>
      <c r="L573" s="113">
        <v>45709</v>
      </c>
      <c r="M573" s="45" t="s">
        <v>247</v>
      </c>
    </row>
    <row r="574" spans="1:13">
      <c r="A574">
        <v>573</v>
      </c>
      <c r="B574" t="s">
        <v>85</v>
      </c>
      <c r="C574">
        <v>5</v>
      </c>
      <c r="D574" t="s">
        <v>215</v>
      </c>
      <c r="E574">
        <v>85</v>
      </c>
      <c r="F574" t="s">
        <v>8112</v>
      </c>
      <c r="G574">
        <v>3</v>
      </c>
      <c r="H574" t="s">
        <v>8113</v>
      </c>
      <c r="I574" s="45" t="s">
        <v>6754</v>
      </c>
      <c r="J574" s="122">
        <v>45707</v>
      </c>
      <c r="K574" s="110" t="str">
        <f t="shared" si="5"/>
        <v>https://Estud2024.sawtoothsoftware.com/cgi-bin/ciwweb.pl?studyname=Estud2024&amp;ID=573</v>
      </c>
      <c r="L574" s="113">
        <v>45709</v>
      </c>
      <c r="M574" s="45" t="s">
        <v>246</v>
      </c>
    </row>
    <row r="575" spans="1:13">
      <c r="A575">
        <v>574</v>
      </c>
      <c r="B575" t="s">
        <v>85</v>
      </c>
      <c r="C575">
        <v>5</v>
      </c>
      <c r="D575" t="s">
        <v>215</v>
      </c>
      <c r="E575">
        <v>85</v>
      </c>
      <c r="F575" t="s">
        <v>8114</v>
      </c>
      <c r="G575">
        <v>3</v>
      </c>
      <c r="H575" t="s">
        <v>8115</v>
      </c>
      <c r="I575" s="45" t="s">
        <v>6754</v>
      </c>
      <c r="J575" s="122">
        <v>45707</v>
      </c>
      <c r="K575" s="110" t="str">
        <f t="shared" si="5"/>
        <v>https://Estud2024.sawtoothsoftware.com/cgi-bin/ciwweb.pl?studyname=Estud2024&amp;ID=574</v>
      </c>
      <c r="L575" s="113">
        <v>45709</v>
      </c>
      <c r="M575" s="45" t="s">
        <v>246</v>
      </c>
    </row>
    <row r="576" spans="1:13">
      <c r="A576">
        <v>575</v>
      </c>
      <c r="B576" t="s">
        <v>85</v>
      </c>
      <c r="C576">
        <v>5</v>
      </c>
      <c r="D576" t="s">
        <v>215</v>
      </c>
      <c r="E576">
        <v>85</v>
      </c>
      <c r="F576" t="s">
        <v>8116</v>
      </c>
      <c r="G576">
        <v>3</v>
      </c>
      <c r="H576" t="s">
        <v>8117</v>
      </c>
      <c r="I576" s="45" t="s">
        <v>6754</v>
      </c>
      <c r="J576" s="122">
        <v>45707</v>
      </c>
      <c r="K576" s="110" t="str">
        <f t="shared" si="5"/>
        <v>https://Estud2024.sawtoothsoftware.com/cgi-bin/ciwweb.pl?studyname=Estud2024&amp;ID=575</v>
      </c>
      <c r="L576" s="113">
        <v>45709</v>
      </c>
      <c r="M576" s="45" t="s">
        <v>246</v>
      </c>
    </row>
    <row r="577" spans="1:13">
      <c r="A577">
        <v>576</v>
      </c>
      <c r="B577" t="s">
        <v>85</v>
      </c>
      <c r="C577">
        <v>5</v>
      </c>
      <c r="D577" t="s">
        <v>215</v>
      </c>
      <c r="E577">
        <v>85</v>
      </c>
      <c r="F577" t="s">
        <v>8118</v>
      </c>
      <c r="G577">
        <v>3</v>
      </c>
      <c r="H577" t="s">
        <v>8119</v>
      </c>
      <c r="I577" s="45" t="s">
        <v>6754</v>
      </c>
      <c r="J577" s="122">
        <v>45707</v>
      </c>
      <c r="K577" s="110" t="str">
        <f t="shared" si="5"/>
        <v>https://Estud2024.sawtoothsoftware.com/cgi-bin/ciwweb.pl?studyname=Estud2024&amp;ID=576</v>
      </c>
      <c r="L577" s="113">
        <v>45709</v>
      </c>
      <c r="M577" s="45" t="s">
        <v>246</v>
      </c>
    </row>
    <row r="578" spans="1:13">
      <c r="A578">
        <v>577</v>
      </c>
      <c r="B578" t="s">
        <v>85</v>
      </c>
      <c r="C578">
        <v>5</v>
      </c>
      <c r="D578" t="s">
        <v>215</v>
      </c>
      <c r="E578">
        <v>85</v>
      </c>
      <c r="F578" t="s">
        <v>8120</v>
      </c>
      <c r="G578">
        <v>3</v>
      </c>
      <c r="H578" t="s">
        <v>8121</v>
      </c>
      <c r="I578" s="45" t="s">
        <v>6754</v>
      </c>
      <c r="J578" s="122">
        <v>45707</v>
      </c>
      <c r="K578" s="110" t="str">
        <f t="shared" si="5"/>
        <v>https://Estud2024.sawtoothsoftware.com/cgi-bin/ciwweb.pl?studyname=Estud2024&amp;ID=577</v>
      </c>
      <c r="L578" s="113">
        <v>45709</v>
      </c>
      <c r="M578" s="45" t="s">
        <v>247</v>
      </c>
    </row>
    <row r="579" spans="1:13">
      <c r="A579">
        <v>578</v>
      </c>
      <c r="B579" t="s">
        <v>85</v>
      </c>
      <c r="C579">
        <v>5</v>
      </c>
      <c r="D579" t="s">
        <v>215</v>
      </c>
      <c r="E579">
        <v>85</v>
      </c>
      <c r="F579" t="s">
        <v>8122</v>
      </c>
      <c r="G579">
        <v>3</v>
      </c>
      <c r="H579" t="s">
        <v>8123</v>
      </c>
      <c r="I579" s="45" t="s">
        <v>6754</v>
      </c>
      <c r="J579" s="122">
        <v>45707</v>
      </c>
      <c r="K579" s="110" t="str">
        <f t="shared" si="5"/>
        <v>https://Estud2024.sawtoothsoftware.com/cgi-bin/ciwweb.pl?studyname=Estud2024&amp;ID=578</v>
      </c>
      <c r="L579" s="113">
        <v>45709</v>
      </c>
      <c r="M579" s="45" t="s">
        <v>247</v>
      </c>
    </row>
    <row r="580" spans="1:13">
      <c r="A580">
        <v>579</v>
      </c>
      <c r="B580" t="s">
        <v>85</v>
      </c>
      <c r="C580">
        <v>5</v>
      </c>
      <c r="D580" t="s">
        <v>215</v>
      </c>
      <c r="E580">
        <v>85</v>
      </c>
      <c r="F580" t="s">
        <v>8124</v>
      </c>
      <c r="G580">
        <v>3</v>
      </c>
      <c r="H580" t="s">
        <v>8125</v>
      </c>
      <c r="I580" s="45" t="s">
        <v>6754</v>
      </c>
      <c r="J580" s="122">
        <v>45707</v>
      </c>
      <c r="K580" s="110" t="str">
        <f t="shared" si="5"/>
        <v>https://Estud2024.sawtoothsoftware.com/cgi-bin/ciwweb.pl?studyname=Estud2024&amp;ID=579</v>
      </c>
      <c r="L580" s="113">
        <v>45709</v>
      </c>
      <c r="M580" s="45" t="s">
        <v>246</v>
      </c>
    </row>
    <row r="581" spans="1:13">
      <c r="A581">
        <v>580</v>
      </c>
      <c r="B581" t="s">
        <v>85</v>
      </c>
      <c r="C581">
        <v>5</v>
      </c>
      <c r="D581" t="s">
        <v>215</v>
      </c>
      <c r="E581">
        <v>85</v>
      </c>
      <c r="F581" t="s">
        <v>8126</v>
      </c>
      <c r="G581">
        <v>3</v>
      </c>
      <c r="H581" t="s">
        <v>8127</v>
      </c>
      <c r="I581" s="45" t="s">
        <v>6754</v>
      </c>
      <c r="J581" s="122">
        <v>45707</v>
      </c>
      <c r="K581" s="110" t="str">
        <f t="shared" si="5"/>
        <v>https://Estud2024.sawtoothsoftware.com/cgi-bin/ciwweb.pl?studyname=Estud2024&amp;ID=580</v>
      </c>
      <c r="L581" s="113">
        <v>45709</v>
      </c>
      <c r="M581" s="45" t="s">
        <v>247</v>
      </c>
    </row>
    <row r="582" spans="1:13">
      <c r="A582">
        <v>581</v>
      </c>
      <c r="B582" t="s">
        <v>85</v>
      </c>
      <c r="C582">
        <v>5</v>
      </c>
      <c r="D582" t="s">
        <v>215</v>
      </c>
      <c r="E582">
        <v>85</v>
      </c>
      <c r="F582" t="s">
        <v>8128</v>
      </c>
      <c r="G582">
        <v>3</v>
      </c>
      <c r="H582" t="s">
        <v>8129</v>
      </c>
      <c r="I582" s="45" t="s">
        <v>6754</v>
      </c>
      <c r="J582" s="122">
        <v>45707</v>
      </c>
      <c r="K582" s="110" t="str">
        <f t="shared" si="5"/>
        <v>https://Estud2024.sawtoothsoftware.com/cgi-bin/ciwweb.pl?studyname=Estud2024&amp;ID=581</v>
      </c>
      <c r="L582" s="113">
        <v>45709</v>
      </c>
      <c r="M582" s="45" t="s">
        <v>246</v>
      </c>
    </row>
    <row r="583" spans="1:13">
      <c r="A583">
        <v>582</v>
      </c>
      <c r="B583" t="s">
        <v>85</v>
      </c>
      <c r="C583">
        <v>5</v>
      </c>
      <c r="D583" t="s">
        <v>215</v>
      </c>
      <c r="E583">
        <v>85</v>
      </c>
      <c r="F583" t="s">
        <v>8130</v>
      </c>
      <c r="G583">
        <v>3</v>
      </c>
      <c r="H583" t="s">
        <v>8131</v>
      </c>
      <c r="I583" s="45" t="s">
        <v>6754</v>
      </c>
      <c r="J583" s="122">
        <v>45707</v>
      </c>
      <c r="K583" s="110" t="str">
        <f t="shared" si="5"/>
        <v>https://Estud2024.sawtoothsoftware.com/cgi-bin/ciwweb.pl?studyname=Estud2024&amp;ID=582</v>
      </c>
      <c r="L583" s="113">
        <v>45709</v>
      </c>
      <c r="M583" s="45" t="s">
        <v>247</v>
      </c>
    </row>
    <row r="584" spans="1:13">
      <c r="A584">
        <v>583</v>
      </c>
      <c r="B584" t="s">
        <v>85</v>
      </c>
      <c r="C584">
        <v>5</v>
      </c>
      <c r="D584" t="s">
        <v>215</v>
      </c>
      <c r="E584">
        <v>85</v>
      </c>
      <c r="F584" t="s">
        <v>8132</v>
      </c>
      <c r="G584">
        <v>3</v>
      </c>
      <c r="H584" t="s">
        <v>8133</v>
      </c>
      <c r="I584" s="45" t="s">
        <v>6754</v>
      </c>
      <c r="J584" s="122">
        <v>45707</v>
      </c>
      <c r="K584" s="110" t="str">
        <f t="shared" si="5"/>
        <v>https://Estud2024.sawtoothsoftware.com/cgi-bin/ciwweb.pl?studyname=Estud2024&amp;ID=583</v>
      </c>
      <c r="L584" s="113">
        <v>45709</v>
      </c>
      <c r="M584" s="45" t="s">
        <v>247</v>
      </c>
    </row>
    <row r="585" spans="1:13">
      <c r="A585">
        <v>584</v>
      </c>
      <c r="B585" t="s">
        <v>85</v>
      </c>
      <c r="C585">
        <v>5</v>
      </c>
      <c r="D585" t="s">
        <v>215</v>
      </c>
      <c r="E585">
        <v>85</v>
      </c>
      <c r="F585" t="s">
        <v>8134</v>
      </c>
      <c r="G585">
        <v>3</v>
      </c>
      <c r="H585" t="s">
        <v>8135</v>
      </c>
      <c r="I585" s="45" t="s">
        <v>6754</v>
      </c>
      <c r="J585" s="122">
        <v>45707</v>
      </c>
      <c r="K585" s="110" t="str">
        <f t="shared" si="5"/>
        <v>https://Estud2024.sawtoothsoftware.com/cgi-bin/ciwweb.pl?studyname=Estud2024&amp;ID=584</v>
      </c>
      <c r="L585" s="113">
        <v>45709</v>
      </c>
      <c r="M585" s="45" t="s">
        <v>247</v>
      </c>
    </row>
    <row r="586" spans="1:13">
      <c r="A586">
        <v>585</v>
      </c>
      <c r="B586" t="s">
        <v>85</v>
      </c>
      <c r="C586">
        <v>5</v>
      </c>
      <c r="D586" t="s">
        <v>215</v>
      </c>
      <c r="E586">
        <v>85</v>
      </c>
      <c r="F586" t="s">
        <v>8136</v>
      </c>
      <c r="G586">
        <v>3</v>
      </c>
      <c r="H586" t="s">
        <v>8137</v>
      </c>
      <c r="I586" s="45" t="s">
        <v>6754</v>
      </c>
      <c r="J586" s="122">
        <v>45707</v>
      </c>
      <c r="K586" s="110" t="str">
        <f t="shared" si="5"/>
        <v>https://Estud2024.sawtoothsoftware.com/cgi-bin/ciwweb.pl?studyname=Estud2024&amp;ID=585</v>
      </c>
      <c r="L586" s="113">
        <v>45709</v>
      </c>
      <c r="M586" s="45" t="s">
        <v>247</v>
      </c>
    </row>
    <row r="587" spans="1:13">
      <c r="A587">
        <v>586</v>
      </c>
      <c r="B587" t="s">
        <v>85</v>
      </c>
      <c r="C587">
        <v>5</v>
      </c>
      <c r="D587" t="s">
        <v>215</v>
      </c>
      <c r="E587">
        <v>85</v>
      </c>
      <c r="F587" t="s">
        <v>8138</v>
      </c>
      <c r="G587">
        <v>3</v>
      </c>
      <c r="H587" t="s">
        <v>8139</v>
      </c>
      <c r="I587" s="45" t="s">
        <v>6754</v>
      </c>
      <c r="J587" s="122">
        <v>45707</v>
      </c>
      <c r="K587" s="110" t="str">
        <f t="shared" si="5"/>
        <v>https://Estud2024.sawtoothsoftware.com/cgi-bin/ciwweb.pl?studyname=Estud2024&amp;ID=586</v>
      </c>
      <c r="L587" s="113">
        <v>45709</v>
      </c>
      <c r="M587" s="45" t="s">
        <v>247</v>
      </c>
    </row>
    <row r="588" spans="1:13">
      <c r="A588">
        <v>587</v>
      </c>
      <c r="B588" t="s">
        <v>85</v>
      </c>
      <c r="C588">
        <v>5</v>
      </c>
      <c r="D588" t="s">
        <v>215</v>
      </c>
      <c r="E588">
        <v>85</v>
      </c>
      <c r="F588" t="s">
        <v>8140</v>
      </c>
      <c r="G588">
        <v>3</v>
      </c>
      <c r="H588" t="s">
        <v>8141</v>
      </c>
      <c r="I588" s="45" t="s">
        <v>6754</v>
      </c>
      <c r="J588" s="122">
        <v>45707</v>
      </c>
      <c r="K588" s="110" t="str">
        <f t="shared" si="5"/>
        <v>https://Estud2024.sawtoothsoftware.com/cgi-bin/ciwweb.pl?studyname=Estud2024&amp;ID=587</v>
      </c>
      <c r="L588" s="113">
        <v>45709</v>
      </c>
      <c r="M588" s="45" t="s">
        <v>247</v>
      </c>
    </row>
    <row r="589" spans="1:13">
      <c r="A589">
        <v>588</v>
      </c>
      <c r="B589" t="s">
        <v>85</v>
      </c>
      <c r="C589">
        <v>5</v>
      </c>
      <c r="D589" t="s">
        <v>215</v>
      </c>
      <c r="E589">
        <v>85</v>
      </c>
      <c r="F589" t="s">
        <v>8142</v>
      </c>
      <c r="G589">
        <v>3</v>
      </c>
      <c r="H589" t="s">
        <v>8143</v>
      </c>
      <c r="I589" s="45" t="s">
        <v>6754</v>
      </c>
      <c r="J589" s="122">
        <v>45707</v>
      </c>
      <c r="K589" s="110" t="str">
        <f t="shared" si="5"/>
        <v>https://Estud2024.sawtoothsoftware.com/cgi-bin/ciwweb.pl?studyname=Estud2024&amp;ID=588</v>
      </c>
      <c r="L589" s="113">
        <v>45709</v>
      </c>
      <c r="M589" s="45" t="s">
        <v>246</v>
      </c>
    </row>
    <row r="590" spans="1:13">
      <c r="A590">
        <v>589</v>
      </c>
      <c r="B590" t="s">
        <v>85</v>
      </c>
      <c r="C590">
        <v>5</v>
      </c>
      <c r="D590" t="s">
        <v>8144</v>
      </c>
      <c r="E590">
        <v>84</v>
      </c>
      <c r="F590" t="s">
        <v>8145</v>
      </c>
      <c r="G590">
        <v>4</v>
      </c>
      <c r="H590" t="s">
        <v>8146</v>
      </c>
      <c r="I590" s="45" t="s">
        <v>6754</v>
      </c>
      <c r="J590" s="122">
        <v>45707</v>
      </c>
      <c r="K590" s="110" t="str">
        <f t="shared" si="5"/>
        <v>https://Estud2024.sawtoothsoftware.com/cgi-bin/ciwweb.pl?studyname=Estud2024&amp;ID=589</v>
      </c>
      <c r="L590" s="113">
        <v>45709</v>
      </c>
      <c r="M590" s="45" t="s">
        <v>246</v>
      </c>
    </row>
    <row r="591" spans="1:13">
      <c r="A591">
        <v>590</v>
      </c>
      <c r="B591" t="s">
        <v>85</v>
      </c>
      <c r="C591">
        <v>5</v>
      </c>
      <c r="D591" t="s">
        <v>8144</v>
      </c>
      <c r="E591">
        <v>84</v>
      </c>
      <c r="F591" t="s">
        <v>8147</v>
      </c>
      <c r="G591">
        <v>4</v>
      </c>
      <c r="H591" t="s">
        <v>8148</v>
      </c>
      <c r="I591" s="45" t="s">
        <v>6754</v>
      </c>
      <c r="J591" s="122">
        <v>45707</v>
      </c>
      <c r="K591" s="110" t="str">
        <f t="shared" si="5"/>
        <v>https://Estud2024.sawtoothsoftware.com/cgi-bin/ciwweb.pl?studyname=Estud2024&amp;ID=590</v>
      </c>
      <c r="L591" s="113">
        <v>45709</v>
      </c>
      <c r="M591" s="45" t="s">
        <v>247</v>
      </c>
    </row>
    <row r="592" spans="1:13">
      <c r="A592">
        <v>591</v>
      </c>
      <c r="B592" t="s">
        <v>85</v>
      </c>
      <c r="C592">
        <v>5</v>
      </c>
      <c r="D592" t="s">
        <v>8144</v>
      </c>
      <c r="E592">
        <v>84</v>
      </c>
      <c r="F592" t="s">
        <v>8149</v>
      </c>
      <c r="G592">
        <v>4</v>
      </c>
      <c r="H592" t="s">
        <v>8150</v>
      </c>
      <c r="I592" s="45" t="s">
        <v>6754</v>
      </c>
      <c r="J592" s="122">
        <v>45707</v>
      </c>
      <c r="K592" s="110" t="str">
        <f t="shared" si="5"/>
        <v>https://Estud2024.sawtoothsoftware.com/cgi-bin/ciwweb.pl?studyname=Estud2024&amp;ID=591</v>
      </c>
      <c r="L592" s="113">
        <v>45709</v>
      </c>
      <c r="M592" s="45" t="s">
        <v>247</v>
      </c>
    </row>
    <row r="593" spans="1:13">
      <c r="A593">
        <v>592</v>
      </c>
      <c r="B593" t="s">
        <v>85</v>
      </c>
      <c r="C593">
        <v>5</v>
      </c>
      <c r="D593" t="s">
        <v>8144</v>
      </c>
      <c r="E593">
        <v>84</v>
      </c>
      <c r="F593" t="s">
        <v>8151</v>
      </c>
      <c r="G593">
        <v>3</v>
      </c>
      <c r="H593" t="s">
        <v>8152</v>
      </c>
      <c r="I593" s="45" t="s">
        <v>6754</v>
      </c>
      <c r="J593" s="122">
        <v>45707</v>
      </c>
      <c r="K593" s="110" t="str">
        <f t="shared" si="5"/>
        <v>https://Estud2024.sawtoothsoftware.com/cgi-bin/ciwweb.pl?studyname=Estud2024&amp;ID=592</v>
      </c>
      <c r="L593" s="113">
        <v>45709</v>
      </c>
      <c r="M593" s="45" t="s">
        <v>247</v>
      </c>
    </row>
    <row r="594" spans="1:13">
      <c r="A594">
        <v>593</v>
      </c>
      <c r="B594" t="s">
        <v>85</v>
      </c>
      <c r="C594">
        <v>5</v>
      </c>
      <c r="D594" t="s">
        <v>8144</v>
      </c>
      <c r="E594">
        <v>84</v>
      </c>
      <c r="F594" t="s">
        <v>8153</v>
      </c>
      <c r="G594">
        <v>3</v>
      </c>
      <c r="H594" t="s">
        <v>8154</v>
      </c>
      <c r="I594" s="45" t="s">
        <v>6754</v>
      </c>
      <c r="J594" s="122">
        <v>45707</v>
      </c>
      <c r="K594" s="110" t="str">
        <f t="shared" si="5"/>
        <v>https://Estud2024.sawtoothsoftware.com/cgi-bin/ciwweb.pl?studyname=Estud2024&amp;ID=593</v>
      </c>
      <c r="L594" s="113">
        <v>45709</v>
      </c>
      <c r="M594" s="45" t="s">
        <v>246</v>
      </c>
    </row>
    <row r="595" spans="1:13">
      <c r="A595">
        <v>594</v>
      </c>
      <c r="B595" t="s">
        <v>85</v>
      </c>
      <c r="C595">
        <v>5</v>
      </c>
      <c r="D595" t="s">
        <v>8144</v>
      </c>
      <c r="E595">
        <v>84</v>
      </c>
      <c r="F595" t="s">
        <v>8155</v>
      </c>
      <c r="G595">
        <v>3</v>
      </c>
      <c r="H595" t="s">
        <v>8156</v>
      </c>
      <c r="I595" s="45" t="s">
        <v>6754</v>
      </c>
      <c r="J595" s="122">
        <v>45707</v>
      </c>
      <c r="K595" s="110" t="str">
        <f t="shared" si="5"/>
        <v>https://Estud2024.sawtoothsoftware.com/cgi-bin/ciwweb.pl?studyname=Estud2024&amp;ID=594</v>
      </c>
      <c r="L595" s="113">
        <v>45709</v>
      </c>
      <c r="M595" s="45" t="s">
        <v>246</v>
      </c>
    </row>
    <row r="596" spans="1:13">
      <c r="A596">
        <v>595</v>
      </c>
      <c r="B596" t="s">
        <v>85</v>
      </c>
      <c r="C596">
        <v>5</v>
      </c>
      <c r="D596" t="s">
        <v>8144</v>
      </c>
      <c r="E596">
        <v>84</v>
      </c>
      <c r="F596" t="s">
        <v>8157</v>
      </c>
      <c r="G596">
        <v>3</v>
      </c>
      <c r="H596" t="s">
        <v>8158</v>
      </c>
      <c r="I596" s="45" t="s">
        <v>6754</v>
      </c>
      <c r="J596" s="122">
        <v>45707</v>
      </c>
      <c r="K596" s="110" t="str">
        <f t="shared" si="5"/>
        <v>https://Estud2024.sawtoothsoftware.com/cgi-bin/ciwweb.pl?studyname=Estud2024&amp;ID=595</v>
      </c>
      <c r="L596" s="113">
        <v>45709</v>
      </c>
      <c r="M596" s="45" t="s">
        <v>246</v>
      </c>
    </row>
    <row r="597" spans="1:13">
      <c r="A597">
        <v>596</v>
      </c>
      <c r="B597" t="s">
        <v>85</v>
      </c>
      <c r="C597">
        <v>5</v>
      </c>
      <c r="D597" t="s">
        <v>8144</v>
      </c>
      <c r="E597">
        <v>84</v>
      </c>
      <c r="F597" t="s">
        <v>8159</v>
      </c>
      <c r="G597">
        <v>3</v>
      </c>
      <c r="H597" t="s">
        <v>8160</v>
      </c>
      <c r="I597" s="45" t="s">
        <v>6754</v>
      </c>
      <c r="J597" s="122">
        <v>45707</v>
      </c>
      <c r="K597" s="110" t="str">
        <f t="shared" si="5"/>
        <v>https://Estud2024.sawtoothsoftware.com/cgi-bin/ciwweb.pl?studyname=Estud2024&amp;ID=596</v>
      </c>
      <c r="L597" s="113">
        <v>45709</v>
      </c>
      <c r="M597" s="45" t="s">
        <v>246</v>
      </c>
    </row>
    <row r="598" spans="1:13">
      <c r="A598">
        <v>597</v>
      </c>
      <c r="B598" t="s">
        <v>85</v>
      </c>
      <c r="C598">
        <v>5</v>
      </c>
      <c r="D598" t="s">
        <v>8144</v>
      </c>
      <c r="E598">
        <v>84</v>
      </c>
      <c r="F598" t="s">
        <v>8161</v>
      </c>
      <c r="G598">
        <v>3</v>
      </c>
      <c r="H598" t="s">
        <v>8162</v>
      </c>
      <c r="I598" s="45" t="s">
        <v>6754</v>
      </c>
      <c r="J598" s="122">
        <v>45707</v>
      </c>
      <c r="K598" s="110" t="str">
        <f t="shared" ref="K598:K661" si="6">CONCATENATE("https://Estud2024.sawtoothsoftware.com/cgi-bin/ciwweb.pl?studyname=Estud2024&amp;ID=",A598)</f>
        <v>https://Estud2024.sawtoothsoftware.com/cgi-bin/ciwweb.pl?studyname=Estud2024&amp;ID=597</v>
      </c>
      <c r="L598" s="113">
        <v>45709</v>
      </c>
      <c r="M598" s="45" t="s">
        <v>247</v>
      </c>
    </row>
    <row r="599" spans="1:13">
      <c r="A599">
        <v>598</v>
      </c>
      <c r="B599" t="s">
        <v>85</v>
      </c>
      <c r="C599">
        <v>5</v>
      </c>
      <c r="D599" t="s">
        <v>8144</v>
      </c>
      <c r="E599">
        <v>84</v>
      </c>
      <c r="F599" t="s">
        <v>8163</v>
      </c>
      <c r="G599">
        <v>3</v>
      </c>
      <c r="H599" t="s">
        <v>8164</v>
      </c>
      <c r="I599" s="45" t="s">
        <v>6754</v>
      </c>
      <c r="J599" s="122">
        <v>45707</v>
      </c>
      <c r="K599" s="110" t="str">
        <f t="shared" si="6"/>
        <v>https://Estud2024.sawtoothsoftware.com/cgi-bin/ciwweb.pl?studyname=Estud2024&amp;ID=598</v>
      </c>
      <c r="L599" s="113">
        <v>45709</v>
      </c>
      <c r="M599" s="45" t="s">
        <v>247</v>
      </c>
    </row>
    <row r="600" spans="1:13">
      <c r="A600">
        <v>599</v>
      </c>
      <c r="B600" t="s">
        <v>85</v>
      </c>
      <c r="C600">
        <v>5</v>
      </c>
      <c r="D600" t="s">
        <v>8144</v>
      </c>
      <c r="E600">
        <v>84</v>
      </c>
      <c r="F600" t="s">
        <v>8165</v>
      </c>
      <c r="G600">
        <v>3</v>
      </c>
      <c r="H600" t="s">
        <v>8166</v>
      </c>
      <c r="I600" s="45" t="s">
        <v>6754</v>
      </c>
      <c r="J600" s="122">
        <v>45707</v>
      </c>
      <c r="K600" s="110" t="str">
        <f t="shared" si="6"/>
        <v>https://Estud2024.sawtoothsoftware.com/cgi-bin/ciwweb.pl?studyname=Estud2024&amp;ID=599</v>
      </c>
      <c r="L600" s="113">
        <v>45709</v>
      </c>
      <c r="M600" s="45" t="s">
        <v>247</v>
      </c>
    </row>
    <row r="601" spans="1:13">
      <c r="A601">
        <v>600</v>
      </c>
      <c r="B601" t="s">
        <v>85</v>
      </c>
      <c r="C601">
        <v>5</v>
      </c>
      <c r="D601" t="s">
        <v>8144</v>
      </c>
      <c r="E601">
        <v>84</v>
      </c>
      <c r="F601" t="s">
        <v>8167</v>
      </c>
      <c r="G601">
        <v>3</v>
      </c>
      <c r="H601" t="s">
        <v>8168</v>
      </c>
      <c r="I601" s="45" t="s">
        <v>6754</v>
      </c>
      <c r="J601" s="122">
        <v>45707</v>
      </c>
      <c r="K601" s="110" t="str">
        <f t="shared" si="6"/>
        <v>https://Estud2024.sawtoothsoftware.com/cgi-bin/ciwweb.pl?studyname=Estud2024&amp;ID=600</v>
      </c>
      <c r="L601" s="113">
        <v>45709</v>
      </c>
      <c r="M601" s="45" t="s">
        <v>246</v>
      </c>
    </row>
    <row r="602" spans="1:13">
      <c r="A602">
        <v>601</v>
      </c>
      <c r="B602" t="s">
        <v>6364</v>
      </c>
      <c r="C602">
        <v>9</v>
      </c>
      <c r="D602" t="s">
        <v>152</v>
      </c>
      <c r="E602">
        <v>108</v>
      </c>
      <c r="F602" t="s">
        <v>8169</v>
      </c>
      <c r="G602">
        <v>2</v>
      </c>
      <c r="H602" t="s">
        <v>8170</v>
      </c>
      <c r="I602" s="45" t="s">
        <v>6754</v>
      </c>
      <c r="J602" s="122">
        <v>45707</v>
      </c>
      <c r="K602" s="110" t="str">
        <f t="shared" si="6"/>
        <v>https://Estud2024.sawtoothsoftware.com/cgi-bin/ciwweb.pl?studyname=Estud2024&amp;ID=601</v>
      </c>
      <c r="L602" s="113">
        <v>45709</v>
      </c>
      <c r="M602" s="45" t="s">
        <v>246</v>
      </c>
    </row>
    <row r="603" spans="1:13">
      <c r="A603">
        <v>602</v>
      </c>
      <c r="B603" t="s">
        <v>6364</v>
      </c>
      <c r="C603">
        <v>9</v>
      </c>
      <c r="D603" t="s">
        <v>152</v>
      </c>
      <c r="E603">
        <v>108</v>
      </c>
      <c r="F603" t="s">
        <v>8171</v>
      </c>
      <c r="G603">
        <v>2</v>
      </c>
      <c r="H603" t="s">
        <v>8172</v>
      </c>
      <c r="I603" s="45" t="s">
        <v>6754</v>
      </c>
      <c r="J603" s="122">
        <v>45707</v>
      </c>
      <c r="K603" s="110" t="str">
        <f t="shared" si="6"/>
        <v>https://Estud2024.sawtoothsoftware.com/cgi-bin/ciwweb.pl?studyname=Estud2024&amp;ID=602</v>
      </c>
      <c r="L603" s="113">
        <v>45709</v>
      </c>
      <c r="M603" s="45" t="s">
        <v>246</v>
      </c>
    </row>
    <row r="604" spans="1:13">
      <c r="A604">
        <v>603</v>
      </c>
      <c r="B604" t="s">
        <v>6364</v>
      </c>
      <c r="C604">
        <v>9</v>
      </c>
      <c r="D604" t="s">
        <v>152</v>
      </c>
      <c r="E604">
        <v>108</v>
      </c>
      <c r="F604" t="s">
        <v>8173</v>
      </c>
      <c r="G604">
        <v>2</v>
      </c>
      <c r="H604" t="s">
        <v>8174</v>
      </c>
      <c r="I604" s="45" t="s">
        <v>6754</v>
      </c>
      <c r="J604" s="122">
        <v>45707</v>
      </c>
      <c r="K604" s="110" t="str">
        <f t="shared" si="6"/>
        <v>https://Estud2024.sawtoothsoftware.com/cgi-bin/ciwweb.pl?studyname=Estud2024&amp;ID=603</v>
      </c>
      <c r="L604" s="113">
        <v>45709</v>
      </c>
      <c r="M604" s="45" t="s">
        <v>246</v>
      </c>
    </row>
    <row r="605" spans="1:13">
      <c r="A605">
        <v>604</v>
      </c>
      <c r="B605" t="s">
        <v>6364</v>
      </c>
      <c r="C605">
        <v>9</v>
      </c>
      <c r="D605" t="s">
        <v>152</v>
      </c>
      <c r="E605">
        <v>108</v>
      </c>
      <c r="F605" t="s">
        <v>8175</v>
      </c>
      <c r="G605">
        <v>2</v>
      </c>
      <c r="H605" t="s">
        <v>8176</v>
      </c>
      <c r="I605" s="45" t="s">
        <v>6754</v>
      </c>
      <c r="J605" s="122">
        <v>45707</v>
      </c>
      <c r="K605" s="110" t="str">
        <f t="shared" si="6"/>
        <v>https://Estud2024.sawtoothsoftware.com/cgi-bin/ciwweb.pl?studyname=Estud2024&amp;ID=604</v>
      </c>
      <c r="L605" s="113">
        <v>45709</v>
      </c>
      <c r="M605" s="45" t="s">
        <v>246</v>
      </c>
    </row>
    <row r="606" spans="1:13">
      <c r="A606">
        <v>605</v>
      </c>
      <c r="B606" t="s">
        <v>6364</v>
      </c>
      <c r="C606">
        <v>9</v>
      </c>
      <c r="D606" t="s">
        <v>152</v>
      </c>
      <c r="E606">
        <v>108</v>
      </c>
      <c r="F606" t="s">
        <v>8177</v>
      </c>
      <c r="G606">
        <v>2</v>
      </c>
      <c r="H606" t="s">
        <v>8178</v>
      </c>
      <c r="I606" s="45" t="s">
        <v>6754</v>
      </c>
      <c r="J606" s="122">
        <v>45707</v>
      </c>
      <c r="K606" s="110" t="str">
        <f t="shared" si="6"/>
        <v>https://Estud2024.sawtoothsoftware.com/cgi-bin/ciwweb.pl?studyname=Estud2024&amp;ID=605</v>
      </c>
      <c r="L606" s="113">
        <v>45709</v>
      </c>
      <c r="M606" s="45" t="s">
        <v>246</v>
      </c>
    </row>
    <row r="607" spans="1:13">
      <c r="A607">
        <v>606</v>
      </c>
      <c r="B607" t="s">
        <v>6364</v>
      </c>
      <c r="C607">
        <v>9</v>
      </c>
      <c r="D607" t="s">
        <v>152</v>
      </c>
      <c r="E607">
        <v>108</v>
      </c>
      <c r="F607" t="s">
        <v>8179</v>
      </c>
      <c r="G607">
        <v>2</v>
      </c>
      <c r="H607" t="s">
        <v>8180</v>
      </c>
      <c r="I607" s="45" t="s">
        <v>6754</v>
      </c>
      <c r="J607" s="122">
        <v>45707</v>
      </c>
      <c r="K607" s="110" t="str">
        <f t="shared" si="6"/>
        <v>https://Estud2024.sawtoothsoftware.com/cgi-bin/ciwweb.pl?studyname=Estud2024&amp;ID=606</v>
      </c>
      <c r="L607" s="113">
        <v>45709</v>
      </c>
      <c r="M607" s="45" t="s">
        <v>246</v>
      </c>
    </row>
    <row r="608" spans="1:13">
      <c r="A608">
        <v>607</v>
      </c>
      <c r="B608" t="s">
        <v>6364</v>
      </c>
      <c r="C608">
        <v>9</v>
      </c>
      <c r="D608" t="s">
        <v>152</v>
      </c>
      <c r="E608">
        <v>108</v>
      </c>
      <c r="F608" t="s">
        <v>8181</v>
      </c>
      <c r="G608">
        <v>2</v>
      </c>
      <c r="H608" t="s">
        <v>8182</v>
      </c>
      <c r="I608" s="45" t="s">
        <v>6754</v>
      </c>
      <c r="J608" s="122">
        <v>45707</v>
      </c>
      <c r="K608" s="110" t="str">
        <f t="shared" si="6"/>
        <v>https://Estud2024.sawtoothsoftware.com/cgi-bin/ciwweb.pl?studyname=Estud2024&amp;ID=607</v>
      </c>
      <c r="L608" s="113">
        <v>45709</v>
      </c>
      <c r="M608" s="45" t="s">
        <v>246</v>
      </c>
    </row>
    <row r="609" spans="1:13">
      <c r="A609">
        <v>608</v>
      </c>
      <c r="B609" t="s">
        <v>6364</v>
      </c>
      <c r="C609">
        <v>9</v>
      </c>
      <c r="D609" t="s">
        <v>152</v>
      </c>
      <c r="E609">
        <v>108</v>
      </c>
      <c r="F609" t="s">
        <v>8183</v>
      </c>
      <c r="G609">
        <v>2</v>
      </c>
      <c r="H609" t="s">
        <v>8184</v>
      </c>
      <c r="I609" s="45" t="s">
        <v>6754</v>
      </c>
      <c r="J609" s="122">
        <v>45707</v>
      </c>
      <c r="K609" s="110" t="str">
        <f t="shared" si="6"/>
        <v>https://Estud2024.sawtoothsoftware.com/cgi-bin/ciwweb.pl?studyname=Estud2024&amp;ID=608</v>
      </c>
      <c r="L609" s="113">
        <v>45709</v>
      </c>
      <c r="M609" s="45" t="s">
        <v>246</v>
      </c>
    </row>
    <row r="610" spans="1:13">
      <c r="A610">
        <v>609</v>
      </c>
      <c r="B610" t="s">
        <v>6364</v>
      </c>
      <c r="C610">
        <v>9</v>
      </c>
      <c r="D610" t="s">
        <v>152</v>
      </c>
      <c r="E610">
        <v>108</v>
      </c>
      <c r="F610" t="s">
        <v>8185</v>
      </c>
      <c r="G610">
        <v>2</v>
      </c>
      <c r="H610" t="s">
        <v>8186</v>
      </c>
      <c r="I610" s="45" t="s">
        <v>6754</v>
      </c>
      <c r="J610" s="122">
        <v>45707</v>
      </c>
      <c r="K610" s="110" t="str">
        <f t="shared" si="6"/>
        <v>https://Estud2024.sawtoothsoftware.com/cgi-bin/ciwweb.pl?studyname=Estud2024&amp;ID=609</v>
      </c>
      <c r="L610" s="113">
        <v>45709</v>
      </c>
      <c r="M610" s="45" t="s">
        <v>246</v>
      </c>
    </row>
    <row r="611" spans="1:13">
      <c r="A611">
        <v>610</v>
      </c>
      <c r="B611" t="s">
        <v>6364</v>
      </c>
      <c r="C611">
        <v>9</v>
      </c>
      <c r="D611" t="s">
        <v>152</v>
      </c>
      <c r="E611">
        <v>108</v>
      </c>
      <c r="F611" t="s">
        <v>8187</v>
      </c>
      <c r="G611">
        <v>2</v>
      </c>
      <c r="H611" t="s">
        <v>8188</v>
      </c>
      <c r="I611" s="45" t="s">
        <v>6754</v>
      </c>
      <c r="J611" s="122">
        <v>45707</v>
      </c>
      <c r="K611" s="110" t="str">
        <f t="shared" si="6"/>
        <v>https://Estud2024.sawtoothsoftware.com/cgi-bin/ciwweb.pl?studyname=Estud2024&amp;ID=610</v>
      </c>
      <c r="L611" s="113">
        <v>45709</v>
      </c>
      <c r="M611" s="45" t="s">
        <v>246</v>
      </c>
    </row>
    <row r="612" spans="1:13">
      <c r="A612">
        <v>611</v>
      </c>
      <c r="B612" t="s">
        <v>6364</v>
      </c>
      <c r="C612">
        <v>9</v>
      </c>
      <c r="D612" t="s">
        <v>152</v>
      </c>
      <c r="E612">
        <v>108</v>
      </c>
      <c r="F612" t="s">
        <v>8189</v>
      </c>
      <c r="G612">
        <v>2</v>
      </c>
      <c r="H612" t="s">
        <v>8190</v>
      </c>
      <c r="I612" s="45" t="s">
        <v>6754</v>
      </c>
      <c r="J612" s="122">
        <v>45707</v>
      </c>
      <c r="K612" s="110" t="str">
        <f t="shared" si="6"/>
        <v>https://Estud2024.sawtoothsoftware.com/cgi-bin/ciwweb.pl?studyname=Estud2024&amp;ID=611</v>
      </c>
      <c r="L612" s="113">
        <v>45709</v>
      </c>
      <c r="M612" s="45" t="s">
        <v>246</v>
      </c>
    </row>
    <row r="613" spans="1:13">
      <c r="A613">
        <v>612</v>
      </c>
      <c r="B613" t="s">
        <v>6364</v>
      </c>
      <c r="C613">
        <v>9</v>
      </c>
      <c r="D613" t="s">
        <v>152</v>
      </c>
      <c r="E613">
        <v>108</v>
      </c>
      <c r="F613" t="s">
        <v>8191</v>
      </c>
      <c r="G613">
        <v>2</v>
      </c>
      <c r="H613" t="s">
        <v>8192</v>
      </c>
      <c r="I613" s="45" t="s">
        <v>6754</v>
      </c>
      <c r="J613" s="122">
        <v>45707</v>
      </c>
      <c r="K613" s="110" t="str">
        <f t="shared" si="6"/>
        <v>https://Estud2024.sawtoothsoftware.com/cgi-bin/ciwweb.pl?studyname=Estud2024&amp;ID=612</v>
      </c>
      <c r="L613" s="113">
        <v>45709</v>
      </c>
      <c r="M613" s="45" t="s">
        <v>246</v>
      </c>
    </row>
    <row r="614" spans="1:13">
      <c r="A614">
        <v>613</v>
      </c>
      <c r="B614" t="s">
        <v>6364</v>
      </c>
      <c r="C614">
        <v>9</v>
      </c>
      <c r="D614" t="s">
        <v>152</v>
      </c>
      <c r="E614">
        <v>108</v>
      </c>
      <c r="F614" t="s">
        <v>8193</v>
      </c>
      <c r="G614">
        <v>2</v>
      </c>
      <c r="H614" t="s">
        <v>8194</v>
      </c>
      <c r="I614" s="45" t="s">
        <v>6754</v>
      </c>
      <c r="J614" s="122">
        <v>45707</v>
      </c>
      <c r="K614" s="110" t="str">
        <f t="shared" si="6"/>
        <v>https://Estud2024.sawtoothsoftware.com/cgi-bin/ciwweb.pl?studyname=Estud2024&amp;ID=613</v>
      </c>
      <c r="L614" s="113">
        <v>45709</v>
      </c>
      <c r="M614" s="45" t="s">
        <v>246</v>
      </c>
    </row>
    <row r="615" spans="1:13">
      <c r="A615">
        <v>614</v>
      </c>
      <c r="B615" t="s">
        <v>6364</v>
      </c>
      <c r="C615">
        <v>9</v>
      </c>
      <c r="D615" t="s">
        <v>152</v>
      </c>
      <c r="E615">
        <v>108</v>
      </c>
      <c r="F615" t="s">
        <v>8195</v>
      </c>
      <c r="G615">
        <v>2</v>
      </c>
      <c r="H615" t="s">
        <v>8196</v>
      </c>
      <c r="I615" s="45" t="s">
        <v>6754</v>
      </c>
      <c r="J615" s="122">
        <v>45707</v>
      </c>
      <c r="K615" s="110" t="str">
        <f t="shared" si="6"/>
        <v>https://Estud2024.sawtoothsoftware.com/cgi-bin/ciwweb.pl?studyname=Estud2024&amp;ID=614</v>
      </c>
      <c r="L615" s="113">
        <v>45709</v>
      </c>
      <c r="M615" s="45" t="s">
        <v>246</v>
      </c>
    </row>
    <row r="616" spans="1:13">
      <c r="A616">
        <v>615</v>
      </c>
      <c r="B616" t="s">
        <v>6364</v>
      </c>
      <c r="C616">
        <v>9</v>
      </c>
      <c r="D616" t="s">
        <v>152</v>
      </c>
      <c r="E616">
        <v>108</v>
      </c>
      <c r="F616" t="s">
        <v>8197</v>
      </c>
      <c r="G616">
        <v>2</v>
      </c>
      <c r="H616" t="s">
        <v>8198</v>
      </c>
      <c r="I616" s="45" t="s">
        <v>6754</v>
      </c>
      <c r="J616" s="122">
        <v>45707</v>
      </c>
      <c r="K616" s="110" t="str">
        <f t="shared" si="6"/>
        <v>https://Estud2024.sawtoothsoftware.com/cgi-bin/ciwweb.pl?studyname=Estud2024&amp;ID=615</v>
      </c>
      <c r="L616" s="113">
        <v>45709</v>
      </c>
      <c r="M616" s="45" t="s">
        <v>246</v>
      </c>
    </row>
    <row r="617" spans="1:13">
      <c r="A617">
        <v>616</v>
      </c>
      <c r="B617" t="s">
        <v>85</v>
      </c>
      <c r="C617">
        <v>5</v>
      </c>
      <c r="D617" t="s">
        <v>103</v>
      </c>
      <c r="E617">
        <v>58</v>
      </c>
      <c r="F617" t="s">
        <v>8199</v>
      </c>
      <c r="G617">
        <v>4</v>
      </c>
      <c r="H617" t="s">
        <v>8200</v>
      </c>
      <c r="I617" s="45" t="s">
        <v>6754</v>
      </c>
      <c r="J617" s="122">
        <v>45707</v>
      </c>
      <c r="K617" s="110" t="str">
        <f t="shared" si="6"/>
        <v>https://Estud2024.sawtoothsoftware.com/cgi-bin/ciwweb.pl?studyname=Estud2024&amp;ID=616</v>
      </c>
      <c r="L617" s="113">
        <v>45709</v>
      </c>
      <c r="M617" s="45" t="s">
        <v>246</v>
      </c>
    </row>
    <row r="618" spans="1:13">
      <c r="A618">
        <v>617</v>
      </c>
      <c r="B618" t="s">
        <v>85</v>
      </c>
      <c r="C618">
        <v>5</v>
      </c>
      <c r="D618" t="s">
        <v>103</v>
      </c>
      <c r="E618">
        <v>58</v>
      </c>
      <c r="F618" t="s">
        <v>8201</v>
      </c>
      <c r="G618">
        <v>4</v>
      </c>
      <c r="H618" t="s">
        <v>8202</v>
      </c>
      <c r="I618" s="45" t="s">
        <v>6754</v>
      </c>
      <c r="J618" s="122">
        <v>45707</v>
      </c>
      <c r="K618" s="110" t="str">
        <f t="shared" si="6"/>
        <v>https://Estud2024.sawtoothsoftware.com/cgi-bin/ciwweb.pl?studyname=Estud2024&amp;ID=617</v>
      </c>
      <c r="L618" s="113">
        <v>45709</v>
      </c>
      <c r="M618" s="45" t="s">
        <v>246</v>
      </c>
    </row>
    <row r="619" spans="1:13">
      <c r="A619">
        <v>618</v>
      </c>
      <c r="B619" t="s">
        <v>85</v>
      </c>
      <c r="C619">
        <v>5</v>
      </c>
      <c r="D619" t="s">
        <v>103</v>
      </c>
      <c r="E619">
        <v>58</v>
      </c>
      <c r="F619" t="s">
        <v>8203</v>
      </c>
      <c r="G619">
        <v>4</v>
      </c>
      <c r="H619" t="s">
        <v>8204</v>
      </c>
      <c r="I619" s="45" t="s">
        <v>6754</v>
      </c>
      <c r="J619" s="122">
        <v>45707</v>
      </c>
      <c r="K619" s="110" t="str">
        <f t="shared" si="6"/>
        <v>https://Estud2024.sawtoothsoftware.com/cgi-bin/ciwweb.pl?studyname=Estud2024&amp;ID=618</v>
      </c>
      <c r="L619" s="113">
        <v>45709</v>
      </c>
      <c r="M619" s="45" t="s">
        <v>246</v>
      </c>
    </row>
    <row r="620" spans="1:13">
      <c r="A620">
        <v>619</v>
      </c>
      <c r="B620" t="s">
        <v>85</v>
      </c>
      <c r="C620">
        <v>5</v>
      </c>
      <c r="D620" t="s">
        <v>103</v>
      </c>
      <c r="E620">
        <v>58</v>
      </c>
      <c r="F620" t="s">
        <v>8205</v>
      </c>
      <c r="G620">
        <v>4</v>
      </c>
      <c r="H620" t="s">
        <v>8206</v>
      </c>
      <c r="I620" s="45" t="s">
        <v>6754</v>
      </c>
      <c r="J620" s="122">
        <v>45707</v>
      </c>
      <c r="K620" s="110" t="str">
        <f t="shared" si="6"/>
        <v>https://Estud2024.sawtoothsoftware.com/cgi-bin/ciwweb.pl?studyname=Estud2024&amp;ID=619</v>
      </c>
      <c r="L620" s="113">
        <v>45709</v>
      </c>
      <c r="M620" s="45" t="s">
        <v>246</v>
      </c>
    </row>
    <row r="621" spans="1:13">
      <c r="A621">
        <v>620</v>
      </c>
      <c r="B621" t="s">
        <v>85</v>
      </c>
      <c r="C621">
        <v>5</v>
      </c>
      <c r="D621" t="s">
        <v>103</v>
      </c>
      <c r="E621">
        <v>58</v>
      </c>
      <c r="F621" t="s">
        <v>8207</v>
      </c>
      <c r="G621">
        <v>4</v>
      </c>
      <c r="H621" t="s">
        <v>8208</v>
      </c>
      <c r="I621" s="45" t="s">
        <v>6754</v>
      </c>
      <c r="J621" s="122">
        <v>45707</v>
      </c>
      <c r="K621" s="110" t="str">
        <f t="shared" si="6"/>
        <v>https://Estud2024.sawtoothsoftware.com/cgi-bin/ciwweb.pl?studyname=Estud2024&amp;ID=620</v>
      </c>
      <c r="L621" s="113">
        <v>45709</v>
      </c>
      <c r="M621" s="45" t="s">
        <v>246</v>
      </c>
    </row>
    <row r="622" spans="1:13">
      <c r="A622">
        <v>621</v>
      </c>
      <c r="B622" t="s">
        <v>85</v>
      </c>
      <c r="C622">
        <v>5</v>
      </c>
      <c r="D622" t="s">
        <v>103</v>
      </c>
      <c r="E622">
        <v>58</v>
      </c>
      <c r="F622" t="s">
        <v>8209</v>
      </c>
      <c r="G622">
        <v>4</v>
      </c>
      <c r="H622" t="s">
        <v>8210</v>
      </c>
      <c r="I622" s="45" t="s">
        <v>6754</v>
      </c>
      <c r="J622" s="122">
        <v>45707</v>
      </c>
      <c r="K622" s="110" t="str">
        <f t="shared" si="6"/>
        <v>https://Estud2024.sawtoothsoftware.com/cgi-bin/ciwweb.pl?studyname=Estud2024&amp;ID=621</v>
      </c>
      <c r="L622" s="113">
        <v>45709</v>
      </c>
      <c r="M622" s="45" t="s">
        <v>246</v>
      </c>
    </row>
    <row r="623" spans="1:13">
      <c r="A623">
        <v>622</v>
      </c>
      <c r="B623" t="s">
        <v>85</v>
      </c>
      <c r="C623">
        <v>5</v>
      </c>
      <c r="D623" t="s">
        <v>103</v>
      </c>
      <c r="E623">
        <v>58</v>
      </c>
      <c r="F623" t="s">
        <v>8211</v>
      </c>
      <c r="G623">
        <v>4</v>
      </c>
      <c r="H623" t="s">
        <v>8212</v>
      </c>
      <c r="I623" s="45" t="s">
        <v>6754</v>
      </c>
      <c r="J623" s="122">
        <v>45707</v>
      </c>
      <c r="K623" s="110" t="str">
        <f t="shared" si="6"/>
        <v>https://Estud2024.sawtoothsoftware.com/cgi-bin/ciwweb.pl?studyname=Estud2024&amp;ID=622</v>
      </c>
      <c r="L623" s="113">
        <v>45709</v>
      </c>
      <c r="M623" s="45" t="s">
        <v>246</v>
      </c>
    </row>
    <row r="624" spans="1:13">
      <c r="A624">
        <v>623</v>
      </c>
      <c r="B624" t="s">
        <v>85</v>
      </c>
      <c r="C624">
        <v>5</v>
      </c>
      <c r="D624" t="s">
        <v>103</v>
      </c>
      <c r="E624">
        <v>58</v>
      </c>
      <c r="F624" t="s">
        <v>8213</v>
      </c>
      <c r="G624">
        <v>4</v>
      </c>
      <c r="H624" t="s">
        <v>8214</v>
      </c>
      <c r="I624" s="45" t="s">
        <v>6754</v>
      </c>
      <c r="J624" s="122">
        <v>45707</v>
      </c>
      <c r="K624" s="110" t="str">
        <f t="shared" si="6"/>
        <v>https://Estud2024.sawtoothsoftware.com/cgi-bin/ciwweb.pl?studyname=Estud2024&amp;ID=623</v>
      </c>
      <c r="L624" s="113">
        <v>45709</v>
      </c>
      <c r="M624" s="45" t="s">
        <v>246</v>
      </c>
    </row>
    <row r="625" spans="1:13">
      <c r="A625">
        <v>624</v>
      </c>
      <c r="B625" t="s">
        <v>85</v>
      </c>
      <c r="C625">
        <v>5</v>
      </c>
      <c r="D625" t="s">
        <v>103</v>
      </c>
      <c r="E625">
        <v>58</v>
      </c>
      <c r="F625" t="s">
        <v>8215</v>
      </c>
      <c r="G625">
        <v>4</v>
      </c>
      <c r="H625" t="s">
        <v>8216</v>
      </c>
      <c r="I625" s="45" t="s">
        <v>6754</v>
      </c>
      <c r="J625" s="122">
        <v>45707</v>
      </c>
      <c r="K625" s="110" t="str">
        <f t="shared" si="6"/>
        <v>https://Estud2024.sawtoothsoftware.com/cgi-bin/ciwweb.pl?studyname=Estud2024&amp;ID=624</v>
      </c>
      <c r="L625" s="113">
        <v>45709</v>
      </c>
      <c r="M625" s="45" t="s">
        <v>246</v>
      </c>
    </row>
    <row r="626" spans="1:13">
      <c r="A626">
        <v>625</v>
      </c>
      <c r="B626" t="s">
        <v>85</v>
      </c>
      <c r="C626">
        <v>5</v>
      </c>
      <c r="D626" t="s">
        <v>103</v>
      </c>
      <c r="E626">
        <v>58</v>
      </c>
      <c r="F626" t="s">
        <v>8217</v>
      </c>
      <c r="G626">
        <v>4</v>
      </c>
      <c r="H626" t="s">
        <v>8218</v>
      </c>
      <c r="I626" s="45" t="s">
        <v>6754</v>
      </c>
      <c r="J626" s="122">
        <v>45707</v>
      </c>
      <c r="K626" s="110" t="str">
        <f t="shared" si="6"/>
        <v>https://Estud2024.sawtoothsoftware.com/cgi-bin/ciwweb.pl?studyname=Estud2024&amp;ID=625</v>
      </c>
      <c r="L626" s="113">
        <v>45709</v>
      </c>
      <c r="M626" s="45" t="s">
        <v>246</v>
      </c>
    </row>
    <row r="627" spans="1:13">
      <c r="A627">
        <v>626</v>
      </c>
      <c r="B627" t="s">
        <v>85</v>
      </c>
      <c r="C627">
        <v>5</v>
      </c>
      <c r="D627" t="s">
        <v>103</v>
      </c>
      <c r="E627">
        <v>58</v>
      </c>
      <c r="F627" t="s">
        <v>8219</v>
      </c>
      <c r="G627">
        <v>4</v>
      </c>
      <c r="H627" t="s">
        <v>8220</v>
      </c>
      <c r="I627" s="45" t="s">
        <v>6754</v>
      </c>
      <c r="J627" s="122">
        <v>45707</v>
      </c>
      <c r="K627" s="110" t="str">
        <f t="shared" si="6"/>
        <v>https://Estud2024.sawtoothsoftware.com/cgi-bin/ciwweb.pl?studyname=Estud2024&amp;ID=626</v>
      </c>
      <c r="L627" s="113">
        <v>45709</v>
      </c>
      <c r="M627" s="45" t="s">
        <v>246</v>
      </c>
    </row>
    <row r="628" spans="1:13">
      <c r="A628">
        <v>627</v>
      </c>
      <c r="B628" t="s">
        <v>85</v>
      </c>
      <c r="C628">
        <v>5</v>
      </c>
      <c r="D628" t="s">
        <v>103</v>
      </c>
      <c r="E628">
        <v>58</v>
      </c>
      <c r="F628" t="s">
        <v>8221</v>
      </c>
      <c r="G628">
        <v>4</v>
      </c>
      <c r="H628" t="s">
        <v>8222</v>
      </c>
      <c r="I628" s="45" t="s">
        <v>6754</v>
      </c>
      <c r="J628" s="122">
        <v>45707</v>
      </c>
      <c r="K628" s="110" t="str">
        <f t="shared" si="6"/>
        <v>https://Estud2024.sawtoothsoftware.com/cgi-bin/ciwweb.pl?studyname=Estud2024&amp;ID=627</v>
      </c>
      <c r="L628" s="113">
        <v>45709</v>
      </c>
      <c r="M628" s="45" t="s">
        <v>246</v>
      </c>
    </row>
    <row r="629" spans="1:13">
      <c r="A629">
        <v>628</v>
      </c>
      <c r="B629" t="s">
        <v>85</v>
      </c>
      <c r="C629">
        <v>5</v>
      </c>
      <c r="D629" t="s">
        <v>103</v>
      </c>
      <c r="E629">
        <v>58</v>
      </c>
      <c r="F629" t="s">
        <v>8223</v>
      </c>
      <c r="G629">
        <v>4</v>
      </c>
      <c r="H629" t="s">
        <v>8224</v>
      </c>
      <c r="I629" s="45" t="s">
        <v>6754</v>
      </c>
      <c r="J629" s="122">
        <v>45707</v>
      </c>
      <c r="K629" s="110" t="str">
        <f t="shared" si="6"/>
        <v>https://Estud2024.sawtoothsoftware.com/cgi-bin/ciwweb.pl?studyname=Estud2024&amp;ID=628</v>
      </c>
      <c r="L629" s="113">
        <v>45709</v>
      </c>
      <c r="M629" s="45" t="s">
        <v>246</v>
      </c>
    </row>
    <row r="630" spans="1:13">
      <c r="A630">
        <v>629</v>
      </c>
      <c r="B630" t="s">
        <v>85</v>
      </c>
      <c r="C630">
        <v>5</v>
      </c>
      <c r="D630" t="s">
        <v>103</v>
      </c>
      <c r="E630">
        <v>58</v>
      </c>
      <c r="F630" t="s">
        <v>8225</v>
      </c>
      <c r="G630">
        <v>4</v>
      </c>
      <c r="H630" t="s">
        <v>8226</v>
      </c>
      <c r="I630" s="45" t="s">
        <v>6754</v>
      </c>
      <c r="J630" s="122">
        <v>45707</v>
      </c>
      <c r="K630" s="110" t="str">
        <f t="shared" si="6"/>
        <v>https://Estud2024.sawtoothsoftware.com/cgi-bin/ciwweb.pl?studyname=Estud2024&amp;ID=629</v>
      </c>
      <c r="L630" s="113">
        <v>45709</v>
      </c>
      <c r="M630" s="45" t="s">
        <v>246</v>
      </c>
    </row>
    <row r="631" spans="1:13">
      <c r="A631">
        <v>630</v>
      </c>
      <c r="B631" t="s">
        <v>85</v>
      </c>
      <c r="C631">
        <v>5</v>
      </c>
      <c r="D631" t="s">
        <v>103</v>
      </c>
      <c r="E631">
        <v>58</v>
      </c>
      <c r="F631" t="s">
        <v>8227</v>
      </c>
      <c r="G631">
        <v>4</v>
      </c>
      <c r="H631" t="s">
        <v>8228</v>
      </c>
      <c r="I631" s="45" t="s">
        <v>6754</v>
      </c>
      <c r="J631" s="122">
        <v>45707</v>
      </c>
      <c r="K631" s="110" t="str">
        <f t="shared" si="6"/>
        <v>https://Estud2024.sawtoothsoftware.com/cgi-bin/ciwweb.pl?studyname=Estud2024&amp;ID=630</v>
      </c>
      <c r="L631" s="113">
        <v>45709</v>
      </c>
      <c r="M631" s="45" t="s">
        <v>246</v>
      </c>
    </row>
    <row r="632" spans="1:13">
      <c r="A632">
        <v>631</v>
      </c>
      <c r="B632" t="s">
        <v>85</v>
      </c>
      <c r="C632">
        <v>5</v>
      </c>
      <c r="D632" t="s">
        <v>103</v>
      </c>
      <c r="E632">
        <v>58</v>
      </c>
      <c r="F632" t="s">
        <v>8229</v>
      </c>
      <c r="G632">
        <v>4</v>
      </c>
      <c r="H632" t="s">
        <v>8230</v>
      </c>
      <c r="I632" s="45" t="s">
        <v>6754</v>
      </c>
      <c r="J632" s="122">
        <v>45707</v>
      </c>
      <c r="K632" s="110" t="str">
        <f t="shared" si="6"/>
        <v>https://Estud2024.sawtoothsoftware.com/cgi-bin/ciwweb.pl?studyname=Estud2024&amp;ID=631</v>
      </c>
      <c r="L632" s="113">
        <v>45709</v>
      </c>
      <c r="M632" s="45" t="s">
        <v>246</v>
      </c>
    </row>
    <row r="633" spans="1:13">
      <c r="A633">
        <v>632</v>
      </c>
      <c r="B633" t="s">
        <v>85</v>
      </c>
      <c r="C633">
        <v>5</v>
      </c>
      <c r="D633" t="s">
        <v>103</v>
      </c>
      <c r="E633">
        <v>58</v>
      </c>
      <c r="F633" t="s">
        <v>8231</v>
      </c>
      <c r="G633">
        <v>4</v>
      </c>
      <c r="H633" t="s">
        <v>8232</v>
      </c>
      <c r="I633" s="45" t="s">
        <v>6754</v>
      </c>
      <c r="J633" s="122">
        <v>45707</v>
      </c>
      <c r="K633" s="110" t="str">
        <f t="shared" si="6"/>
        <v>https://Estud2024.sawtoothsoftware.com/cgi-bin/ciwweb.pl?studyname=Estud2024&amp;ID=632</v>
      </c>
      <c r="L633" s="113">
        <v>45709</v>
      </c>
      <c r="M633" s="45" t="s">
        <v>246</v>
      </c>
    </row>
    <row r="634" spans="1:13">
      <c r="A634">
        <v>633</v>
      </c>
      <c r="B634" t="s">
        <v>85</v>
      </c>
      <c r="C634">
        <v>5</v>
      </c>
      <c r="D634" t="s">
        <v>103</v>
      </c>
      <c r="E634">
        <v>58</v>
      </c>
      <c r="F634" t="s">
        <v>8233</v>
      </c>
      <c r="G634">
        <v>4</v>
      </c>
      <c r="H634" t="s">
        <v>8234</v>
      </c>
      <c r="I634" s="45" t="s">
        <v>6754</v>
      </c>
      <c r="J634" s="122">
        <v>45707</v>
      </c>
      <c r="K634" s="110" t="str">
        <f t="shared" si="6"/>
        <v>https://Estud2024.sawtoothsoftware.com/cgi-bin/ciwweb.pl?studyname=Estud2024&amp;ID=633</v>
      </c>
      <c r="L634" s="113">
        <v>45709</v>
      </c>
      <c r="M634" s="45" t="s">
        <v>246</v>
      </c>
    </row>
    <row r="635" spans="1:13">
      <c r="A635">
        <v>634</v>
      </c>
      <c r="B635" t="s">
        <v>85</v>
      </c>
      <c r="C635">
        <v>5</v>
      </c>
      <c r="D635" t="s">
        <v>103</v>
      </c>
      <c r="E635">
        <v>58</v>
      </c>
      <c r="F635" t="s">
        <v>8235</v>
      </c>
      <c r="G635">
        <v>4</v>
      </c>
      <c r="H635" t="s">
        <v>8236</v>
      </c>
      <c r="I635" s="45" t="s">
        <v>6754</v>
      </c>
      <c r="J635" s="122">
        <v>45707</v>
      </c>
      <c r="K635" s="110" t="str">
        <f t="shared" si="6"/>
        <v>https://Estud2024.sawtoothsoftware.com/cgi-bin/ciwweb.pl?studyname=Estud2024&amp;ID=634</v>
      </c>
      <c r="L635" s="113">
        <v>45709</v>
      </c>
      <c r="M635" s="45" t="s">
        <v>247</v>
      </c>
    </row>
    <row r="636" spans="1:13">
      <c r="A636">
        <v>635</v>
      </c>
      <c r="B636" t="s">
        <v>85</v>
      </c>
      <c r="C636">
        <v>5</v>
      </c>
      <c r="D636" t="s">
        <v>103</v>
      </c>
      <c r="E636">
        <v>58</v>
      </c>
      <c r="F636" t="s">
        <v>8237</v>
      </c>
      <c r="G636">
        <v>4</v>
      </c>
      <c r="H636" t="s">
        <v>8238</v>
      </c>
      <c r="I636" s="45" t="s">
        <v>6754</v>
      </c>
      <c r="J636" s="122">
        <v>45707</v>
      </c>
      <c r="K636" s="110" t="str">
        <f t="shared" si="6"/>
        <v>https://Estud2024.sawtoothsoftware.com/cgi-bin/ciwweb.pl?studyname=Estud2024&amp;ID=635</v>
      </c>
      <c r="L636" s="113">
        <v>45709</v>
      </c>
      <c r="M636" s="45" t="s">
        <v>246</v>
      </c>
    </row>
    <row r="637" spans="1:13">
      <c r="A637">
        <v>636</v>
      </c>
      <c r="B637" t="s">
        <v>85</v>
      </c>
      <c r="C637">
        <v>5</v>
      </c>
      <c r="D637" t="s">
        <v>103</v>
      </c>
      <c r="E637">
        <v>58</v>
      </c>
      <c r="F637" t="s">
        <v>8239</v>
      </c>
      <c r="G637">
        <v>4</v>
      </c>
      <c r="H637" t="s">
        <v>8240</v>
      </c>
      <c r="I637" s="45" t="s">
        <v>6754</v>
      </c>
      <c r="J637" s="122">
        <v>45707</v>
      </c>
      <c r="K637" s="110" t="str">
        <f t="shared" si="6"/>
        <v>https://Estud2024.sawtoothsoftware.com/cgi-bin/ciwweb.pl?studyname=Estud2024&amp;ID=636</v>
      </c>
      <c r="L637" s="113">
        <v>45709</v>
      </c>
      <c r="M637" s="45" t="s">
        <v>246</v>
      </c>
    </row>
    <row r="638" spans="1:13">
      <c r="A638">
        <v>637</v>
      </c>
      <c r="B638" t="s">
        <v>85</v>
      </c>
      <c r="C638">
        <v>5</v>
      </c>
      <c r="D638" t="s">
        <v>103</v>
      </c>
      <c r="E638">
        <v>58</v>
      </c>
      <c r="F638" t="s">
        <v>8241</v>
      </c>
      <c r="G638">
        <v>4</v>
      </c>
      <c r="H638" t="s">
        <v>8242</v>
      </c>
      <c r="I638" s="45" t="s">
        <v>6754</v>
      </c>
      <c r="J638" s="122">
        <v>45707</v>
      </c>
      <c r="K638" s="110" t="str">
        <f t="shared" si="6"/>
        <v>https://Estud2024.sawtoothsoftware.com/cgi-bin/ciwweb.pl?studyname=Estud2024&amp;ID=637</v>
      </c>
      <c r="L638" s="113">
        <v>45709</v>
      </c>
      <c r="M638" s="45" t="s">
        <v>246</v>
      </c>
    </row>
    <row r="639" spans="1:13">
      <c r="A639">
        <v>638</v>
      </c>
      <c r="B639" t="s">
        <v>85</v>
      </c>
      <c r="C639">
        <v>5</v>
      </c>
      <c r="D639" t="s">
        <v>103</v>
      </c>
      <c r="E639">
        <v>58</v>
      </c>
      <c r="F639" t="s">
        <v>8243</v>
      </c>
      <c r="G639">
        <v>4</v>
      </c>
      <c r="H639" t="s">
        <v>8244</v>
      </c>
      <c r="I639" s="45" t="s">
        <v>6754</v>
      </c>
      <c r="J639" s="122">
        <v>45707</v>
      </c>
      <c r="K639" s="110" t="str">
        <f t="shared" si="6"/>
        <v>https://Estud2024.sawtoothsoftware.com/cgi-bin/ciwweb.pl?studyname=Estud2024&amp;ID=638</v>
      </c>
      <c r="L639" s="113">
        <v>45709</v>
      </c>
      <c r="M639" s="45" t="s">
        <v>246</v>
      </c>
    </row>
    <row r="640" spans="1:13">
      <c r="A640">
        <v>639</v>
      </c>
      <c r="B640" t="s">
        <v>85</v>
      </c>
      <c r="C640">
        <v>5</v>
      </c>
      <c r="D640" t="s">
        <v>103</v>
      </c>
      <c r="E640">
        <v>58</v>
      </c>
      <c r="F640" t="s">
        <v>8245</v>
      </c>
      <c r="G640">
        <v>4</v>
      </c>
      <c r="H640" t="s">
        <v>8246</v>
      </c>
      <c r="I640" s="45" t="s">
        <v>6754</v>
      </c>
      <c r="J640" s="122">
        <v>45707</v>
      </c>
      <c r="K640" s="110" t="str">
        <f t="shared" si="6"/>
        <v>https://Estud2024.sawtoothsoftware.com/cgi-bin/ciwweb.pl?studyname=Estud2024&amp;ID=639</v>
      </c>
      <c r="L640" s="113">
        <v>45709</v>
      </c>
      <c r="M640" s="45" t="s">
        <v>246</v>
      </c>
    </row>
    <row r="641" spans="1:13">
      <c r="A641">
        <v>640</v>
      </c>
      <c r="B641" t="s">
        <v>85</v>
      </c>
      <c r="C641">
        <v>5</v>
      </c>
      <c r="D641" t="s">
        <v>103</v>
      </c>
      <c r="E641">
        <v>58</v>
      </c>
      <c r="F641" t="s">
        <v>8247</v>
      </c>
      <c r="G641">
        <v>4</v>
      </c>
      <c r="H641" t="s">
        <v>8248</v>
      </c>
      <c r="I641" s="45" t="s">
        <v>6754</v>
      </c>
      <c r="J641" s="122">
        <v>45707</v>
      </c>
      <c r="K641" s="110" t="str">
        <f t="shared" si="6"/>
        <v>https://Estud2024.sawtoothsoftware.com/cgi-bin/ciwweb.pl?studyname=Estud2024&amp;ID=640</v>
      </c>
      <c r="L641" s="113">
        <v>45709</v>
      </c>
      <c r="M641" s="45" t="s">
        <v>246</v>
      </c>
    </row>
    <row r="642" spans="1:13">
      <c r="A642">
        <v>641</v>
      </c>
      <c r="B642" t="s">
        <v>85</v>
      </c>
      <c r="C642">
        <v>5</v>
      </c>
      <c r="D642" t="s">
        <v>103</v>
      </c>
      <c r="E642">
        <v>58</v>
      </c>
      <c r="F642" t="s">
        <v>8249</v>
      </c>
      <c r="G642">
        <v>4</v>
      </c>
      <c r="H642" t="s">
        <v>8250</v>
      </c>
      <c r="I642" s="45" t="s">
        <v>6754</v>
      </c>
      <c r="J642" s="122">
        <v>45707</v>
      </c>
      <c r="K642" s="110" t="str">
        <f t="shared" si="6"/>
        <v>https://Estud2024.sawtoothsoftware.com/cgi-bin/ciwweb.pl?studyname=Estud2024&amp;ID=641</v>
      </c>
      <c r="L642" s="113">
        <v>45709</v>
      </c>
      <c r="M642" s="45" t="s">
        <v>246</v>
      </c>
    </row>
    <row r="643" spans="1:13">
      <c r="A643">
        <v>642</v>
      </c>
      <c r="B643" t="s">
        <v>85</v>
      </c>
      <c r="C643">
        <v>5</v>
      </c>
      <c r="D643" t="s">
        <v>103</v>
      </c>
      <c r="E643">
        <v>58</v>
      </c>
      <c r="F643" t="s">
        <v>8251</v>
      </c>
      <c r="G643">
        <v>4</v>
      </c>
      <c r="H643" t="s">
        <v>8252</v>
      </c>
      <c r="I643" s="45" t="s">
        <v>6754</v>
      </c>
      <c r="J643" s="122">
        <v>45707</v>
      </c>
      <c r="K643" s="110" t="str">
        <f t="shared" si="6"/>
        <v>https://Estud2024.sawtoothsoftware.com/cgi-bin/ciwweb.pl?studyname=Estud2024&amp;ID=642</v>
      </c>
      <c r="L643" s="113">
        <v>45709</v>
      </c>
      <c r="M643" s="45" t="s">
        <v>246</v>
      </c>
    </row>
    <row r="644" spans="1:13">
      <c r="A644">
        <v>643</v>
      </c>
      <c r="B644" t="s">
        <v>85</v>
      </c>
      <c r="C644">
        <v>5</v>
      </c>
      <c r="D644" t="s">
        <v>103</v>
      </c>
      <c r="E644">
        <v>58</v>
      </c>
      <c r="F644" t="s">
        <v>8253</v>
      </c>
      <c r="G644">
        <v>4</v>
      </c>
      <c r="H644" t="s">
        <v>8254</v>
      </c>
      <c r="I644" s="45" t="s">
        <v>6754</v>
      </c>
      <c r="J644" s="122">
        <v>45707</v>
      </c>
      <c r="K644" s="110" t="str">
        <f t="shared" si="6"/>
        <v>https://Estud2024.sawtoothsoftware.com/cgi-bin/ciwweb.pl?studyname=Estud2024&amp;ID=643</v>
      </c>
      <c r="L644" s="113">
        <v>45709</v>
      </c>
      <c r="M644" s="45" t="s">
        <v>246</v>
      </c>
    </row>
    <row r="645" spans="1:13">
      <c r="A645">
        <v>644</v>
      </c>
      <c r="B645" t="s">
        <v>85</v>
      </c>
      <c r="C645">
        <v>5</v>
      </c>
      <c r="D645" t="s">
        <v>103</v>
      </c>
      <c r="E645">
        <v>58</v>
      </c>
      <c r="F645" t="s">
        <v>8255</v>
      </c>
      <c r="G645">
        <v>4</v>
      </c>
      <c r="H645" t="s">
        <v>8256</v>
      </c>
      <c r="I645" s="45" t="s">
        <v>6754</v>
      </c>
      <c r="J645" s="122">
        <v>45707</v>
      </c>
      <c r="K645" s="110" t="str">
        <f t="shared" si="6"/>
        <v>https://Estud2024.sawtoothsoftware.com/cgi-bin/ciwweb.pl?studyname=Estud2024&amp;ID=644</v>
      </c>
      <c r="L645" s="113">
        <v>45709</v>
      </c>
      <c r="M645" s="45" t="s">
        <v>246</v>
      </c>
    </row>
    <row r="646" spans="1:13">
      <c r="A646">
        <v>645</v>
      </c>
      <c r="B646" t="s">
        <v>85</v>
      </c>
      <c r="C646">
        <v>5</v>
      </c>
      <c r="D646" t="s">
        <v>103</v>
      </c>
      <c r="E646">
        <v>58</v>
      </c>
      <c r="F646" t="s">
        <v>8257</v>
      </c>
      <c r="G646">
        <v>5</v>
      </c>
      <c r="H646" t="s">
        <v>8258</v>
      </c>
      <c r="I646" s="45" t="s">
        <v>6754</v>
      </c>
      <c r="J646" s="122">
        <v>45707</v>
      </c>
      <c r="K646" s="110" t="str">
        <f t="shared" si="6"/>
        <v>https://Estud2024.sawtoothsoftware.com/cgi-bin/ciwweb.pl?studyname=Estud2024&amp;ID=645</v>
      </c>
      <c r="L646" s="113">
        <v>45709</v>
      </c>
      <c r="M646" s="45" t="s">
        <v>246</v>
      </c>
    </row>
    <row r="647" spans="1:13">
      <c r="A647">
        <v>646</v>
      </c>
      <c r="B647" t="s">
        <v>85</v>
      </c>
      <c r="C647">
        <v>5</v>
      </c>
      <c r="D647" t="s">
        <v>103</v>
      </c>
      <c r="E647">
        <v>58</v>
      </c>
      <c r="F647" t="s">
        <v>8259</v>
      </c>
      <c r="G647">
        <v>6</v>
      </c>
      <c r="H647" t="s">
        <v>8260</v>
      </c>
      <c r="I647" s="45" t="s">
        <v>6754</v>
      </c>
      <c r="J647" s="122">
        <v>45707</v>
      </c>
      <c r="K647" s="110" t="str">
        <f t="shared" si="6"/>
        <v>https://Estud2024.sawtoothsoftware.com/cgi-bin/ciwweb.pl?studyname=Estud2024&amp;ID=646</v>
      </c>
      <c r="L647" s="113">
        <v>45709</v>
      </c>
      <c r="M647" s="45" t="s">
        <v>246</v>
      </c>
    </row>
    <row r="648" spans="1:13">
      <c r="A648">
        <v>647</v>
      </c>
      <c r="B648" t="s">
        <v>85</v>
      </c>
      <c r="C648">
        <v>5</v>
      </c>
      <c r="D648" t="s">
        <v>103</v>
      </c>
      <c r="E648">
        <v>58</v>
      </c>
      <c r="F648" t="s">
        <v>8261</v>
      </c>
      <c r="G648">
        <v>5</v>
      </c>
      <c r="H648" t="s">
        <v>8262</v>
      </c>
      <c r="I648" s="45" t="s">
        <v>6754</v>
      </c>
      <c r="J648" s="122">
        <v>45707</v>
      </c>
      <c r="K648" s="110" t="str">
        <f t="shared" si="6"/>
        <v>https://Estud2024.sawtoothsoftware.com/cgi-bin/ciwweb.pl?studyname=Estud2024&amp;ID=647</v>
      </c>
      <c r="L648" s="113">
        <v>45709</v>
      </c>
      <c r="M648" s="45" t="s">
        <v>246</v>
      </c>
    </row>
    <row r="649" spans="1:13">
      <c r="A649">
        <v>648</v>
      </c>
      <c r="B649" t="s">
        <v>85</v>
      </c>
      <c r="C649">
        <v>5</v>
      </c>
      <c r="D649" t="s">
        <v>103</v>
      </c>
      <c r="E649">
        <v>58</v>
      </c>
      <c r="F649" t="s">
        <v>8263</v>
      </c>
      <c r="G649">
        <v>5</v>
      </c>
      <c r="H649" t="s">
        <v>8264</v>
      </c>
      <c r="I649" s="45" t="s">
        <v>6754</v>
      </c>
      <c r="J649" s="122">
        <v>45707</v>
      </c>
      <c r="K649" s="110" t="str">
        <f t="shared" si="6"/>
        <v>https://Estud2024.sawtoothsoftware.com/cgi-bin/ciwweb.pl?studyname=Estud2024&amp;ID=648</v>
      </c>
      <c r="L649" s="113">
        <v>45709</v>
      </c>
      <c r="M649" s="45" t="s">
        <v>247</v>
      </c>
    </row>
    <row r="650" spans="1:13">
      <c r="A650">
        <v>649</v>
      </c>
      <c r="B650" t="s">
        <v>85</v>
      </c>
      <c r="C650">
        <v>5</v>
      </c>
      <c r="D650" t="s">
        <v>103</v>
      </c>
      <c r="E650">
        <v>58</v>
      </c>
      <c r="F650" t="s">
        <v>8265</v>
      </c>
      <c r="G650">
        <v>5</v>
      </c>
      <c r="H650" t="s">
        <v>8266</v>
      </c>
      <c r="I650" s="45" t="s">
        <v>6754</v>
      </c>
      <c r="J650" s="122">
        <v>45707</v>
      </c>
      <c r="K650" s="110" t="str">
        <f t="shared" si="6"/>
        <v>https://Estud2024.sawtoothsoftware.com/cgi-bin/ciwweb.pl?studyname=Estud2024&amp;ID=649</v>
      </c>
      <c r="L650" s="113">
        <v>45709</v>
      </c>
      <c r="M650" s="45" t="s">
        <v>247</v>
      </c>
    </row>
    <row r="651" spans="1:13">
      <c r="A651">
        <v>650</v>
      </c>
      <c r="B651" t="s">
        <v>85</v>
      </c>
      <c r="C651">
        <v>5</v>
      </c>
      <c r="D651" t="s">
        <v>103</v>
      </c>
      <c r="E651">
        <v>58</v>
      </c>
      <c r="F651" t="s">
        <v>8267</v>
      </c>
      <c r="G651">
        <v>6</v>
      </c>
      <c r="H651" t="s">
        <v>4304</v>
      </c>
      <c r="I651" s="45" t="s">
        <v>6754</v>
      </c>
      <c r="J651" s="122">
        <v>45707</v>
      </c>
      <c r="K651" s="110" t="str">
        <f t="shared" si="6"/>
        <v>https://Estud2024.sawtoothsoftware.com/cgi-bin/ciwweb.pl?studyname=Estud2024&amp;ID=650</v>
      </c>
      <c r="L651" s="113">
        <v>45709</v>
      </c>
      <c r="M651" s="45" t="s">
        <v>247</v>
      </c>
    </row>
    <row r="652" spans="1:13">
      <c r="A652">
        <v>651</v>
      </c>
      <c r="B652" t="s">
        <v>85</v>
      </c>
      <c r="C652">
        <v>5</v>
      </c>
      <c r="D652" t="s">
        <v>103</v>
      </c>
      <c r="E652">
        <v>58</v>
      </c>
      <c r="F652" t="s">
        <v>8268</v>
      </c>
      <c r="G652">
        <v>7</v>
      </c>
      <c r="H652" t="s">
        <v>8269</v>
      </c>
      <c r="I652" s="45" t="s">
        <v>6754</v>
      </c>
      <c r="J652" s="122">
        <v>45707</v>
      </c>
      <c r="K652" s="110" t="str">
        <f t="shared" si="6"/>
        <v>https://Estud2024.sawtoothsoftware.com/cgi-bin/ciwweb.pl?studyname=Estud2024&amp;ID=651</v>
      </c>
      <c r="L652" s="113">
        <v>45709</v>
      </c>
      <c r="M652" s="45" t="s">
        <v>247</v>
      </c>
    </row>
    <row r="653" spans="1:13">
      <c r="A653">
        <v>652</v>
      </c>
      <c r="B653" t="s">
        <v>85</v>
      </c>
      <c r="C653">
        <v>5</v>
      </c>
      <c r="D653" t="s">
        <v>103</v>
      </c>
      <c r="E653">
        <v>58</v>
      </c>
      <c r="F653" t="s">
        <v>8270</v>
      </c>
      <c r="G653">
        <v>8</v>
      </c>
      <c r="H653" t="s">
        <v>8271</v>
      </c>
      <c r="I653" s="45" t="s">
        <v>6754</v>
      </c>
      <c r="J653" s="122">
        <v>45707</v>
      </c>
      <c r="K653" s="110" t="str">
        <f t="shared" si="6"/>
        <v>https://Estud2024.sawtoothsoftware.com/cgi-bin/ciwweb.pl?studyname=Estud2024&amp;ID=652</v>
      </c>
      <c r="L653" s="113">
        <v>45709</v>
      </c>
      <c r="M653" s="45" t="s">
        <v>246</v>
      </c>
    </row>
    <row r="654" spans="1:13">
      <c r="A654">
        <v>653</v>
      </c>
      <c r="B654" t="s">
        <v>85</v>
      </c>
      <c r="C654">
        <v>5</v>
      </c>
      <c r="D654" t="s">
        <v>103</v>
      </c>
      <c r="E654">
        <v>58</v>
      </c>
      <c r="F654" t="s">
        <v>8272</v>
      </c>
      <c r="G654">
        <v>6</v>
      </c>
      <c r="H654" t="s">
        <v>8273</v>
      </c>
      <c r="I654" s="45" t="s">
        <v>6754</v>
      </c>
      <c r="J654" s="122">
        <v>45707</v>
      </c>
      <c r="K654" s="110" t="str">
        <f t="shared" si="6"/>
        <v>https://Estud2024.sawtoothsoftware.com/cgi-bin/ciwweb.pl?studyname=Estud2024&amp;ID=653</v>
      </c>
      <c r="L654" s="113">
        <v>45709</v>
      </c>
      <c r="M654" s="45" t="s">
        <v>246</v>
      </c>
    </row>
    <row r="655" spans="1:13">
      <c r="A655">
        <v>654</v>
      </c>
      <c r="B655" t="s">
        <v>85</v>
      </c>
      <c r="C655">
        <v>5</v>
      </c>
      <c r="D655" t="s">
        <v>103</v>
      </c>
      <c r="E655">
        <v>58</v>
      </c>
      <c r="F655" t="s">
        <v>8274</v>
      </c>
      <c r="G655">
        <v>8</v>
      </c>
      <c r="H655" t="s">
        <v>8275</v>
      </c>
      <c r="I655" s="45" t="s">
        <v>6754</v>
      </c>
      <c r="J655" s="122">
        <v>45707</v>
      </c>
      <c r="K655" s="110" t="str">
        <f t="shared" si="6"/>
        <v>https://Estud2024.sawtoothsoftware.com/cgi-bin/ciwweb.pl?studyname=Estud2024&amp;ID=654</v>
      </c>
      <c r="L655" s="113">
        <v>45709</v>
      </c>
      <c r="M655" s="45" t="s">
        <v>247</v>
      </c>
    </row>
    <row r="656" spans="1:13">
      <c r="A656">
        <v>655</v>
      </c>
      <c r="B656" t="s">
        <v>85</v>
      </c>
      <c r="C656">
        <v>5</v>
      </c>
      <c r="D656" t="s">
        <v>103</v>
      </c>
      <c r="E656">
        <v>58</v>
      </c>
      <c r="F656" t="s">
        <v>8276</v>
      </c>
      <c r="G656">
        <v>8</v>
      </c>
      <c r="H656" t="s">
        <v>8277</v>
      </c>
      <c r="I656" s="45" t="s">
        <v>6754</v>
      </c>
      <c r="J656" s="122">
        <v>45707</v>
      </c>
      <c r="K656" s="110" t="str">
        <f t="shared" si="6"/>
        <v>https://Estud2024.sawtoothsoftware.com/cgi-bin/ciwweb.pl?studyname=Estud2024&amp;ID=655</v>
      </c>
      <c r="L656" s="113">
        <v>45709</v>
      </c>
      <c r="M656" s="45" t="s">
        <v>247</v>
      </c>
    </row>
    <row r="657" spans="1:13">
      <c r="A657">
        <v>656</v>
      </c>
      <c r="B657" t="s">
        <v>90</v>
      </c>
      <c r="C657">
        <v>1</v>
      </c>
      <c r="D657" t="s">
        <v>195</v>
      </c>
      <c r="E657">
        <v>77</v>
      </c>
      <c r="F657" t="s">
        <v>8278</v>
      </c>
      <c r="G657">
        <v>2</v>
      </c>
      <c r="H657" t="s">
        <v>8279</v>
      </c>
      <c r="I657" s="45" t="s">
        <v>6754</v>
      </c>
      <c r="J657" s="122">
        <v>45707</v>
      </c>
      <c r="K657" s="110" t="str">
        <f t="shared" si="6"/>
        <v>https://Estud2024.sawtoothsoftware.com/cgi-bin/ciwweb.pl?studyname=Estud2024&amp;ID=656</v>
      </c>
      <c r="L657" s="113">
        <v>45709</v>
      </c>
      <c r="M657" s="45" t="s">
        <v>247</v>
      </c>
    </row>
    <row r="658" spans="1:13">
      <c r="A658">
        <v>657</v>
      </c>
      <c r="B658" t="s">
        <v>90</v>
      </c>
      <c r="C658">
        <v>1</v>
      </c>
      <c r="D658" t="s">
        <v>195</v>
      </c>
      <c r="E658">
        <v>77</v>
      </c>
      <c r="F658" t="s">
        <v>8280</v>
      </c>
      <c r="G658">
        <v>2</v>
      </c>
      <c r="H658" t="s">
        <v>8281</v>
      </c>
      <c r="I658" s="45" t="s">
        <v>6754</v>
      </c>
      <c r="J658" s="122">
        <v>45707</v>
      </c>
      <c r="K658" s="110" t="str">
        <f t="shared" si="6"/>
        <v>https://Estud2024.sawtoothsoftware.com/cgi-bin/ciwweb.pl?studyname=Estud2024&amp;ID=657</v>
      </c>
      <c r="L658" s="113">
        <v>45709</v>
      </c>
      <c r="M658" s="45" t="s">
        <v>247</v>
      </c>
    </row>
    <row r="659" spans="1:13">
      <c r="A659">
        <v>658</v>
      </c>
      <c r="B659" t="s">
        <v>90</v>
      </c>
      <c r="C659">
        <v>1</v>
      </c>
      <c r="D659" t="s">
        <v>195</v>
      </c>
      <c r="E659">
        <v>77</v>
      </c>
      <c r="F659" t="s">
        <v>8282</v>
      </c>
      <c r="G659">
        <v>2</v>
      </c>
      <c r="H659" t="s">
        <v>8283</v>
      </c>
      <c r="I659" s="45" t="s">
        <v>6754</v>
      </c>
      <c r="J659" s="122">
        <v>45707</v>
      </c>
      <c r="K659" s="110" t="str">
        <f t="shared" si="6"/>
        <v>https://Estud2024.sawtoothsoftware.com/cgi-bin/ciwweb.pl?studyname=Estud2024&amp;ID=658</v>
      </c>
      <c r="L659" s="113">
        <v>45709</v>
      </c>
      <c r="M659" s="45" t="s">
        <v>247</v>
      </c>
    </row>
    <row r="660" spans="1:13">
      <c r="A660">
        <v>659</v>
      </c>
      <c r="B660" t="s">
        <v>90</v>
      </c>
      <c r="C660">
        <v>1</v>
      </c>
      <c r="D660" t="s">
        <v>195</v>
      </c>
      <c r="E660">
        <v>77</v>
      </c>
      <c r="F660" t="s">
        <v>8284</v>
      </c>
      <c r="G660">
        <v>4</v>
      </c>
      <c r="H660" t="s">
        <v>8285</v>
      </c>
      <c r="I660" s="45" t="s">
        <v>6754</v>
      </c>
      <c r="J660" s="122">
        <v>45707</v>
      </c>
      <c r="K660" s="110" t="str">
        <f t="shared" si="6"/>
        <v>https://Estud2024.sawtoothsoftware.com/cgi-bin/ciwweb.pl?studyname=Estud2024&amp;ID=659</v>
      </c>
      <c r="L660" s="113">
        <v>45709</v>
      </c>
      <c r="M660" s="45" t="s">
        <v>247</v>
      </c>
    </row>
    <row r="661" spans="1:13">
      <c r="A661">
        <v>660</v>
      </c>
      <c r="B661" t="s">
        <v>90</v>
      </c>
      <c r="C661">
        <v>1</v>
      </c>
      <c r="D661" t="s">
        <v>195</v>
      </c>
      <c r="E661">
        <v>77</v>
      </c>
      <c r="F661" t="s">
        <v>8286</v>
      </c>
      <c r="G661">
        <v>4</v>
      </c>
      <c r="H661" t="s">
        <v>8287</v>
      </c>
      <c r="I661" s="45" t="s">
        <v>6754</v>
      </c>
      <c r="J661" s="122">
        <v>45707</v>
      </c>
      <c r="K661" s="110" t="str">
        <f t="shared" si="6"/>
        <v>https://Estud2024.sawtoothsoftware.com/cgi-bin/ciwweb.pl?studyname=Estud2024&amp;ID=660</v>
      </c>
      <c r="L661" s="113">
        <v>45709</v>
      </c>
      <c r="M661" s="45" t="s">
        <v>247</v>
      </c>
    </row>
    <row r="662" spans="1:13">
      <c r="A662">
        <v>661</v>
      </c>
      <c r="B662" t="s">
        <v>90</v>
      </c>
      <c r="C662">
        <v>1</v>
      </c>
      <c r="D662" t="s">
        <v>195</v>
      </c>
      <c r="E662">
        <v>77</v>
      </c>
      <c r="F662" t="s">
        <v>8288</v>
      </c>
      <c r="G662">
        <v>4</v>
      </c>
      <c r="H662" t="s">
        <v>8289</v>
      </c>
      <c r="I662" s="45" t="s">
        <v>6754</v>
      </c>
      <c r="J662" s="122">
        <v>45707</v>
      </c>
      <c r="K662" s="110" t="str">
        <f t="shared" ref="K662:K725" si="7">CONCATENATE("https://Estud2024.sawtoothsoftware.com/cgi-bin/ciwweb.pl?studyname=Estud2024&amp;ID=",A662)</f>
        <v>https://Estud2024.sawtoothsoftware.com/cgi-bin/ciwweb.pl?studyname=Estud2024&amp;ID=661</v>
      </c>
      <c r="L662" s="113">
        <v>45709</v>
      </c>
      <c r="M662" s="45" t="s">
        <v>247</v>
      </c>
    </row>
    <row r="663" spans="1:13">
      <c r="A663">
        <v>662</v>
      </c>
      <c r="B663" t="s">
        <v>90</v>
      </c>
      <c r="C663">
        <v>1</v>
      </c>
      <c r="D663" t="s">
        <v>195</v>
      </c>
      <c r="E663">
        <v>77</v>
      </c>
      <c r="F663" t="s">
        <v>8290</v>
      </c>
      <c r="G663">
        <v>4</v>
      </c>
      <c r="H663" t="s">
        <v>8291</v>
      </c>
      <c r="I663" s="45" t="s">
        <v>6754</v>
      </c>
      <c r="J663" s="122">
        <v>45707</v>
      </c>
      <c r="K663" s="110" t="str">
        <f t="shared" si="7"/>
        <v>https://Estud2024.sawtoothsoftware.com/cgi-bin/ciwweb.pl?studyname=Estud2024&amp;ID=662</v>
      </c>
      <c r="L663" s="113">
        <v>45709</v>
      </c>
      <c r="M663" s="45" t="s">
        <v>247</v>
      </c>
    </row>
    <row r="664" spans="1:13">
      <c r="A664">
        <v>663</v>
      </c>
      <c r="B664" t="s">
        <v>90</v>
      </c>
      <c r="C664">
        <v>1</v>
      </c>
      <c r="D664" t="s">
        <v>195</v>
      </c>
      <c r="E664">
        <v>77</v>
      </c>
      <c r="F664" t="s">
        <v>8292</v>
      </c>
      <c r="G664">
        <v>4</v>
      </c>
      <c r="H664" t="s">
        <v>8293</v>
      </c>
      <c r="I664" s="45" t="s">
        <v>6754</v>
      </c>
      <c r="J664" s="122">
        <v>45707</v>
      </c>
      <c r="K664" s="110" t="str">
        <f t="shared" si="7"/>
        <v>https://Estud2024.sawtoothsoftware.com/cgi-bin/ciwweb.pl?studyname=Estud2024&amp;ID=663</v>
      </c>
      <c r="L664" s="113">
        <v>45709</v>
      </c>
      <c r="M664" s="45" t="s">
        <v>247</v>
      </c>
    </row>
    <row r="665" spans="1:13">
      <c r="A665">
        <v>664</v>
      </c>
      <c r="B665" t="s">
        <v>90</v>
      </c>
      <c r="C665">
        <v>1</v>
      </c>
      <c r="D665" t="s">
        <v>195</v>
      </c>
      <c r="E665">
        <v>77</v>
      </c>
      <c r="F665" t="s">
        <v>8294</v>
      </c>
      <c r="G665">
        <v>4</v>
      </c>
      <c r="H665" t="s">
        <v>8295</v>
      </c>
      <c r="I665" s="45" t="s">
        <v>6754</v>
      </c>
      <c r="J665" s="122">
        <v>45707</v>
      </c>
      <c r="K665" s="110" t="str">
        <f t="shared" si="7"/>
        <v>https://Estud2024.sawtoothsoftware.com/cgi-bin/ciwweb.pl?studyname=Estud2024&amp;ID=664</v>
      </c>
      <c r="L665" s="113">
        <v>45709</v>
      </c>
      <c r="M665" s="45" t="s">
        <v>247</v>
      </c>
    </row>
    <row r="666" spans="1:13">
      <c r="A666">
        <v>665</v>
      </c>
      <c r="B666" t="s">
        <v>90</v>
      </c>
      <c r="C666">
        <v>1</v>
      </c>
      <c r="D666" t="s">
        <v>195</v>
      </c>
      <c r="E666">
        <v>77</v>
      </c>
      <c r="F666" t="s">
        <v>8296</v>
      </c>
      <c r="G666">
        <v>4</v>
      </c>
      <c r="H666" t="s">
        <v>8297</v>
      </c>
      <c r="I666" s="45" t="s">
        <v>6754</v>
      </c>
      <c r="J666" s="122">
        <v>45707</v>
      </c>
      <c r="K666" s="110" t="str">
        <f t="shared" si="7"/>
        <v>https://Estud2024.sawtoothsoftware.com/cgi-bin/ciwweb.pl?studyname=Estud2024&amp;ID=665</v>
      </c>
      <c r="L666" s="113">
        <v>45709</v>
      </c>
      <c r="M666" s="45" t="s">
        <v>247</v>
      </c>
    </row>
    <row r="667" spans="1:13">
      <c r="A667">
        <v>666</v>
      </c>
      <c r="B667" t="s">
        <v>90</v>
      </c>
      <c r="C667">
        <v>1</v>
      </c>
      <c r="D667" t="s">
        <v>195</v>
      </c>
      <c r="E667">
        <v>77</v>
      </c>
      <c r="F667" t="s">
        <v>8298</v>
      </c>
      <c r="G667">
        <v>4</v>
      </c>
      <c r="H667" t="s">
        <v>8299</v>
      </c>
      <c r="I667" s="45" t="s">
        <v>6754</v>
      </c>
      <c r="J667" s="122">
        <v>45707</v>
      </c>
      <c r="K667" s="110" t="str">
        <f t="shared" si="7"/>
        <v>https://Estud2024.sawtoothsoftware.com/cgi-bin/ciwweb.pl?studyname=Estud2024&amp;ID=666</v>
      </c>
      <c r="L667" s="113">
        <v>45709</v>
      </c>
      <c r="M667" s="45" t="s">
        <v>247</v>
      </c>
    </row>
    <row r="668" spans="1:13">
      <c r="A668">
        <v>667</v>
      </c>
      <c r="B668" t="s">
        <v>90</v>
      </c>
      <c r="C668">
        <v>1</v>
      </c>
      <c r="D668" t="s">
        <v>194</v>
      </c>
      <c r="E668">
        <v>79</v>
      </c>
      <c r="F668" t="s">
        <v>8300</v>
      </c>
      <c r="G668">
        <v>2</v>
      </c>
      <c r="H668" t="s">
        <v>8301</v>
      </c>
      <c r="I668" s="45" t="s">
        <v>6754</v>
      </c>
      <c r="J668" s="122">
        <v>45707</v>
      </c>
      <c r="K668" s="110" t="str">
        <f t="shared" si="7"/>
        <v>https://Estud2024.sawtoothsoftware.com/cgi-bin/ciwweb.pl?studyname=Estud2024&amp;ID=667</v>
      </c>
      <c r="L668" s="113">
        <v>45709</v>
      </c>
      <c r="M668" s="45" t="s">
        <v>247</v>
      </c>
    </row>
    <row r="669" spans="1:13">
      <c r="A669">
        <v>668</v>
      </c>
      <c r="B669" t="s">
        <v>90</v>
      </c>
      <c r="C669">
        <v>1</v>
      </c>
      <c r="D669" t="s">
        <v>194</v>
      </c>
      <c r="E669">
        <v>79</v>
      </c>
      <c r="F669" t="s">
        <v>8302</v>
      </c>
      <c r="G669">
        <v>2</v>
      </c>
      <c r="H669" t="s">
        <v>8303</v>
      </c>
      <c r="I669" s="45" t="s">
        <v>6754</v>
      </c>
      <c r="J669" s="122">
        <v>45707</v>
      </c>
      <c r="K669" s="110" t="str">
        <f t="shared" si="7"/>
        <v>https://Estud2024.sawtoothsoftware.com/cgi-bin/ciwweb.pl?studyname=Estud2024&amp;ID=668</v>
      </c>
      <c r="L669" s="113">
        <v>45709</v>
      </c>
      <c r="M669" s="45" t="s">
        <v>246</v>
      </c>
    </row>
    <row r="670" spans="1:13">
      <c r="A670">
        <v>669</v>
      </c>
      <c r="B670" t="s">
        <v>90</v>
      </c>
      <c r="C670">
        <v>1</v>
      </c>
      <c r="D670" t="s">
        <v>194</v>
      </c>
      <c r="E670">
        <v>79</v>
      </c>
      <c r="F670" t="s">
        <v>8304</v>
      </c>
      <c r="G670">
        <v>2</v>
      </c>
      <c r="H670" t="s">
        <v>8305</v>
      </c>
      <c r="I670" s="45" t="s">
        <v>6754</v>
      </c>
      <c r="J670" s="122">
        <v>45707</v>
      </c>
      <c r="K670" s="110" t="str">
        <f t="shared" si="7"/>
        <v>https://Estud2024.sawtoothsoftware.com/cgi-bin/ciwweb.pl?studyname=Estud2024&amp;ID=669</v>
      </c>
      <c r="L670" s="113">
        <v>45709</v>
      </c>
      <c r="M670" s="45" t="s">
        <v>247</v>
      </c>
    </row>
    <row r="671" spans="1:13">
      <c r="A671">
        <v>670</v>
      </c>
      <c r="B671" t="s">
        <v>90</v>
      </c>
      <c r="C671">
        <v>1</v>
      </c>
      <c r="D671" t="s">
        <v>194</v>
      </c>
      <c r="E671">
        <v>79</v>
      </c>
      <c r="F671" t="s">
        <v>8306</v>
      </c>
      <c r="G671">
        <v>2</v>
      </c>
      <c r="H671" t="s">
        <v>8307</v>
      </c>
      <c r="I671" s="45" t="s">
        <v>6754</v>
      </c>
      <c r="J671" s="122">
        <v>45707</v>
      </c>
      <c r="K671" s="110" t="str">
        <f t="shared" si="7"/>
        <v>https://Estud2024.sawtoothsoftware.com/cgi-bin/ciwweb.pl?studyname=Estud2024&amp;ID=670</v>
      </c>
      <c r="L671" s="113">
        <v>45709</v>
      </c>
      <c r="M671" s="45" t="s">
        <v>247</v>
      </c>
    </row>
    <row r="672" spans="1:13">
      <c r="A672">
        <v>671</v>
      </c>
      <c r="B672" t="s">
        <v>90</v>
      </c>
      <c r="C672">
        <v>1</v>
      </c>
      <c r="D672" t="s">
        <v>194</v>
      </c>
      <c r="E672">
        <v>79</v>
      </c>
      <c r="F672" t="s">
        <v>8308</v>
      </c>
      <c r="G672">
        <v>2</v>
      </c>
      <c r="H672" t="s">
        <v>8309</v>
      </c>
      <c r="I672" s="45" t="s">
        <v>6754</v>
      </c>
      <c r="J672" s="122">
        <v>45707</v>
      </c>
      <c r="K672" s="110" t="str">
        <f t="shared" si="7"/>
        <v>https://Estud2024.sawtoothsoftware.com/cgi-bin/ciwweb.pl?studyname=Estud2024&amp;ID=671</v>
      </c>
      <c r="L672" s="113">
        <v>45709</v>
      </c>
      <c r="M672" s="45" t="s">
        <v>247</v>
      </c>
    </row>
    <row r="673" spans="1:13">
      <c r="A673">
        <v>672</v>
      </c>
      <c r="B673" t="s">
        <v>90</v>
      </c>
      <c r="C673">
        <v>1</v>
      </c>
      <c r="D673" t="s">
        <v>194</v>
      </c>
      <c r="E673">
        <v>79</v>
      </c>
      <c r="F673" t="s">
        <v>8310</v>
      </c>
      <c r="G673">
        <v>3</v>
      </c>
      <c r="H673" t="s">
        <v>8311</v>
      </c>
      <c r="I673" s="45" t="s">
        <v>6754</v>
      </c>
      <c r="J673" s="122">
        <v>45707</v>
      </c>
      <c r="K673" s="110" t="str">
        <f t="shared" si="7"/>
        <v>https://Estud2024.sawtoothsoftware.com/cgi-bin/ciwweb.pl?studyname=Estud2024&amp;ID=672</v>
      </c>
      <c r="L673" s="113">
        <v>45709</v>
      </c>
      <c r="M673" s="45" t="s">
        <v>247</v>
      </c>
    </row>
    <row r="674" spans="1:13">
      <c r="A674">
        <v>673</v>
      </c>
      <c r="B674" t="s">
        <v>90</v>
      </c>
      <c r="C674">
        <v>1</v>
      </c>
      <c r="D674" t="s">
        <v>194</v>
      </c>
      <c r="E674">
        <v>79</v>
      </c>
      <c r="F674" t="s">
        <v>8312</v>
      </c>
      <c r="G674">
        <v>3</v>
      </c>
      <c r="H674" t="s">
        <v>8313</v>
      </c>
      <c r="I674" s="45" t="s">
        <v>6754</v>
      </c>
      <c r="J674" s="122">
        <v>45707</v>
      </c>
      <c r="K674" s="110" t="str">
        <f t="shared" si="7"/>
        <v>https://Estud2024.sawtoothsoftware.com/cgi-bin/ciwweb.pl?studyname=Estud2024&amp;ID=673</v>
      </c>
      <c r="L674" s="113">
        <v>45709</v>
      </c>
      <c r="M674" s="45" t="s">
        <v>247</v>
      </c>
    </row>
    <row r="675" spans="1:13">
      <c r="A675">
        <v>674</v>
      </c>
      <c r="B675" t="s">
        <v>90</v>
      </c>
      <c r="C675">
        <v>1</v>
      </c>
      <c r="D675" t="s">
        <v>194</v>
      </c>
      <c r="E675">
        <v>79</v>
      </c>
      <c r="F675" t="s">
        <v>8314</v>
      </c>
      <c r="G675">
        <v>3</v>
      </c>
      <c r="H675" t="s">
        <v>8315</v>
      </c>
      <c r="I675" s="45" t="s">
        <v>6754</v>
      </c>
      <c r="J675" s="122">
        <v>45707</v>
      </c>
      <c r="K675" s="110" t="str">
        <f t="shared" si="7"/>
        <v>https://Estud2024.sawtoothsoftware.com/cgi-bin/ciwweb.pl?studyname=Estud2024&amp;ID=674</v>
      </c>
      <c r="L675" s="113">
        <v>45709</v>
      </c>
      <c r="M675" s="45" t="s">
        <v>247</v>
      </c>
    </row>
    <row r="676" spans="1:13">
      <c r="A676">
        <v>675</v>
      </c>
      <c r="B676" t="s">
        <v>90</v>
      </c>
      <c r="C676">
        <v>1</v>
      </c>
      <c r="D676" t="s">
        <v>194</v>
      </c>
      <c r="E676">
        <v>79</v>
      </c>
      <c r="F676" t="s">
        <v>8316</v>
      </c>
      <c r="G676">
        <v>3</v>
      </c>
      <c r="H676" t="s">
        <v>8317</v>
      </c>
      <c r="I676" s="45" t="s">
        <v>6754</v>
      </c>
      <c r="J676" s="122">
        <v>45707</v>
      </c>
      <c r="K676" s="110" t="str">
        <f t="shared" si="7"/>
        <v>https://Estud2024.sawtoothsoftware.com/cgi-bin/ciwweb.pl?studyname=Estud2024&amp;ID=675</v>
      </c>
      <c r="L676" s="113">
        <v>45709</v>
      </c>
      <c r="M676" s="45" t="s">
        <v>247</v>
      </c>
    </row>
    <row r="677" spans="1:13">
      <c r="A677">
        <v>676</v>
      </c>
      <c r="B677" t="s">
        <v>90</v>
      </c>
      <c r="C677">
        <v>1</v>
      </c>
      <c r="D677" t="s">
        <v>194</v>
      </c>
      <c r="E677">
        <v>79</v>
      </c>
      <c r="F677" t="s">
        <v>8318</v>
      </c>
      <c r="G677">
        <v>4</v>
      </c>
      <c r="H677" t="s">
        <v>8319</v>
      </c>
      <c r="I677" s="45" t="s">
        <v>6754</v>
      </c>
      <c r="J677" s="122">
        <v>45707</v>
      </c>
      <c r="K677" s="110" t="str">
        <f t="shared" si="7"/>
        <v>https://Estud2024.sawtoothsoftware.com/cgi-bin/ciwweb.pl?studyname=Estud2024&amp;ID=676</v>
      </c>
      <c r="L677" s="113">
        <v>45709</v>
      </c>
      <c r="M677" s="45" t="s">
        <v>247</v>
      </c>
    </row>
    <row r="678" spans="1:13">
      <c r="A678">
        <v>677</v>
      </c>
      <c r="B678" t="s">
        <v>90</v>
      </c>
      <c r="C678">
        <v>1</v>
      </c>
      <c r="D678" t="s">
        <v>194</v>
      </c>
      <c r="E678">
        <v>79</v>
      </c>
      <c r="F678" t="s">
        <v>8320</v>
      </c>
      <c r="G678">
        <v>4</v>
      </c>
      <c r="H678" t="s">
        <v>8321</v>
      </c>
      <c r="I678" s="45" t="s">
        <v>6754</v>
      </c>
      <c r="J678" s="122">
        <v>45707</v>
      </c>
      <c r="K678" s="110" t="str">
        <f t="shared" si="7"/>
        <v>https://Estud2024.sawtoothsoftware.com/cgi-bin/ciwweb.pl?studyname=Estud2024&amp;ID=677</v>
      </c>
      <c r="L678" s="113">
        <v>45709</v>
      </c>
      <c r="M678" s="45" t="s">
        <v>247</v>
      </c>
    </row>
    <row r="679" spans="1:13">
      <c r="A679">
        <v>678</v>
      </c>
      <c r="B679" t="s">
        <v>90</v>
      </c>
      <c r="C679">
        <v>1</v>
      </c>
      <c r="D679" t="s">
        <v>194</v>
      </c>
      <c r="E679">
        <v>79</v>
      </c>
      <c r="F679" t="s">
        <v>8322</v>
      </c>
      <c r="G679">
        <v>4</v>
      </c>
      <c r="H679" t="s">
        <v>8323</v>
      </c>
      <c r="I679" s="45" t="s">
        <v>6754</v>
      </c>
      <c r="J679" s="122">
        <v>45707</v>
      </c>
      <c r="K679" s="110" t="str">
        <f t="shared" si="7"/>
        <v>https://Estud2024.sawtoothsoftware.com/cgi-bin/ciwweb.pl?studyname=Estud2024&amp;ID=678</v>
      </c>
      <c r="L679" s="113">
        <v>45709</v>
      </c>
      <c r="M679" s="45" t="s">
        <v>247</v>
      </c>
    </row>
    <row r="680" spans="1:13">
      <c r="A680">
        <v>679</v>
      </c>
      <c r="B680" t="s">
        <v>90</v>
      </c>
      <c r="C680">
        <v>1</v>
      </c>
      <c r="D680" t="s">
        <v>194</v>
      </c>
      <c r="E680">
        <v>79</v>
      </c>
      <c r="F680" t="s">
        <v>8324</v>
      </c>
      <c r="G680">
        <v>4</v>
      </c>
      <c r="H680" t="s">
        <v>8325</v>
      </c>
      <c r="I680" s="45" t="s">
        <v>6754</v>
      </c>
      <c r="J680" s="122">
        <v>45707</v>
      </c>
      <c r="K680" s="110" t="str">
        <f t="shared" si="7"/>
        <v>https://Estud2024.sawtoothsoftware.com/cgi-bin/ciwweb.pl?studyname=Estud2024&amp;ID=679</v>
      </c>
      <c r="L680" s="113">
        <v>45709</v>
      </c>
      <c r="M680" s="45" t="s">
        <v>247</v>
      </c>
    </row>
    <row r="681" spans="1:13">
      <c r="A681">
        <v>680</v>
      </c>
      <c r="B681" t="s">
        <v>90</v>
      </c>
      <c r="C681">
        <v>1</v>
      </c>
      <c r="D681" t="s">
        <v>194</v>
      </c>
      <c r="E681">
        <v>79</v>
      </c>
      <c r="F681" t="s">
        <v>8326</v>
      </c>
      <c r="G681">
        <v>4</v>
      </c>
      <c r="H681" t="s">
        <v>8327</v>
      </c>
      <c r="I681" s="45" t="s">
        <v>6754</v>
      </c>
      <c r="J681" s="122">
        <v>45707</v>
      </c>
      <c r="K681" s="110" t="str">
        <f t="shared" si="7"/>
        <v>https://Estud2024.sawtoothsoftware.com/cgi-bin/ciwweb.pl?studyname=Estud2024&amp;ID=680</v>
      </c>
      <c r="L681" s="113">
        <v>45709</v>
      </c>
      <c r="M681" s="45" t="s">
        <v>247</v>
      </c>
    </row>
    <row r="682" spans="1:13">
      <c r="A682">
        <v>681</v>
      </c>
      <c r="B682" t="s">
        <v>138</v>
      </c>
      <c r="C682">
        <v>11</v>
      </c>
      <c r="D682" t="s">
        <v>170</v>
      </c>
      <c r="E682">
        <v>134</v>
      </c>
      <c r="F682" t="s">
        <v>8328</v>
      </c>
      <c r="G682">
        <v>2</v>
      </c>
      <c r="H682" t="s">
        <v>8329</v>
      </c>
      <c r="I682" s="45" t="s">
        <v>6754</v>
      </c>
      <c r="J682" s="122">
        <v>45707</v>
      </c>
      <c r="K682" s="110" t="str">
        <f t="shared" si="7"/>
        <v>https://Estud2024.sawtoothsoftware.com/cgi-bin/ciwweb.pl?studyname=Estud2024&amp;ID=681</v>
      </c>
      <c r="L682" s="113">
        <v>45709</v>
      </c>
      <c r="M682" s="45" t="s">
        <v>246</v>
      </c>
    </row>
    <row r="683" spans="1:13">
      <c r="A683">
        <v>682</v>
      </c>
      <c r="B683" t="s">
        <v>138</v>
      </c>
      <c r="C683">
        <v>11</v>
      </c>
      <c r="D683" t="s">
        <v>170</v>
      </c>
      <c r="E683">
        <v>134</v>
      </c>
      <c r="F683" t="s">
        <v>8330</v>
      </c>
      <c r="G683">
        <v>2</v>
      </c>
      <c r="H683" t="s">
        <v>8331</v>
      </c>
      <c r="I683" s="45" t="s">
        <v>6754</v>
      </c>
      <c r="J683" s="122">
        <v>45707</v>
      </c>
      <c r="K683" s="110" t="str">
        <f t="shared" si="7"/>
        <v>https://Estud2024.sawtoothsoftware.com/cgi-bin/ciwweb.pl?studyname=Estud2024&amp;ID=682</v>
      </c>
      <c r="L683" s="113">
        <v>45709</v>
      </c>
      <c r="M683" s="45" t="s">
        <v>246</v>
      </c>
    </row>
    <row r="684" spans="1:13">
      <c r="A684">
        <v>683</v>
      </c>
      <c r="B684" t="s">
        <v>138</v>
      </c>
      <c r="C684">
        <v>11</v>
      </c>
      <c r="D684" t="s">
        <v>170</v>
      </c>
      <c r="E684">
        <v>134</v>
      </c>
      <c r="F684" t="s">
        <v>8332</v>
      </c>
      <c r="G684">
        <v>2</v>
      </c>
      <c r="H684" t="s">
        <v>8333</v>
      </c>
      <c r="I684" s="45" t="s">
        <v>6754</v>
      </c>
      <c r="J684" s="122">
        <v>45707</v>
      </c>
      <c r="K684" s="110" t="str">
        <f t="shared" si="7"/>
        <v>https://Estud2024.sawtoothsoftware.com/cgi-bin/ciwweb.pl?studyname=Estud2024&amp;ID=683</v>
      </c>
      <c r="L684" s="113">
        <v>45709</v>
      </c>
      <c r="M684" s="45" t="s">
        <v>246</v>
      </c>
    </row>
    <row r="685" spans="1:13">
      <c r="A685">
        <v>684</v>
      </c>
      <c r="B685" t="s">
        <v>138</v>
      </c>
      <c r="C685">
        <v>11</v>
      </c>
      <c r="D685" t="s">
        <v>170</v>
      </c>
      <c r="E685">
        <v>134</v>
      </c>
      <c r="F685" t="s">
        <v>8334</v>
      </c>
      <c r="G685">
        <v>2</v>
      </c>
      <c r="H685" t="s">
        <v>8335</v>
      </c>
      <c r="I685" s="45" t="s">
        <v>6754</v>
      </c>
      <c r="J685" s="122">
        <v>45707</v>
      </c>
      <c r="K685" s="110" t="str">
        <f t="shared" si="7"/>
        <v>https://Estud2024.sawtoothsoftware.com/cgi-bin/ciwweb.pl?studyname=Estud2024&amp;ID=684</v>
      </c>
      <c r="L685" s="113">
        <v>45709</v>
      </c>
      <c r="M685" s="45" t="s">
        <v>246</v>
      </c>
    </row>
    <row r="686" spans="1:13">
      <c r="A686">
        <v>685</v>
      </c>
      <c r="B686" t="s">
        <v>138</v>
      </c>
      <c r="C686">
        <v>11</v>
      </c>
      <c r="D686" t="s">
        <v>170</v>
      </c>
      <c r="E686">
        <v>134</v>
      </c>
      <c r="F686" t="s">
        <v>8336</v>
      </c>
      <c r="G686">
        <v>2</v>
      </c>
      <c r="H686" t="s">
        <v>8337</v>
      </c>
      <c r="I686" s="45" t="s">
        <v>6754</v>
      </c>
      <c r="J686" s="122">
        <v>45707</v>
      </c>
      <c r="K686" s="110" t="str">
        <f t="shared" si="7"/>
        <v>https://Estud2024.sawtoothsoftware.com/cgi-bin/ciwweb.pl?studyname=Estud2024&amp;ID=685</v>
      </c>
      <c r="L686" s="113">
        <v>45709</v>
      </c>
      <c r="M686" s="45" t="s">
        <v>246</v>
      </c>
    </row>
    <row r="687" spans="1:13">
      <c r="A687">
        <v>686</v>
      </c>
      <c r="B687" t="s">
        <v>138</v>
      </c>
      <c r="C687">
        <v>11</v>
      </c>
      <c r="D687" t="s">
        <v>170</v>
      </c>
      <c r="E687">
        <v>134</v>
      </c>
      <c r="F687" t="s">
        <v>8338</v>
      </c>
      <c r="G687">
        <v>2</v>
      </c>
      <c r="H687" t="s">
        <v>8339</v>
      </c>
      <c r="I687" s="45" t="s">
        <v>6754</v>
      </c>
      <c r="J687" s="122">
        <v>45707</v>
      </c>
      <c r="K687" s="110" t="str">
        <f t="shared" si="7"/>
        <v>https://Estud2024.sawtoothsoftware.com/cgi-bin/ciwweb.pl?studyname=Estud2024&amp;ID=686</v>
      </c>
      <c r="L687" s="113">
        <v>45709</v>
      </c>
      <c r="M687" s="45" t="s">
        <v>247</v>
      </c>
    </row>
    <row r="688" spans="1:13">
      <c r="A688">
        <v>687</v>
      </c>
      <c r="B688" t="s">
        <v>138</v>
      </c>
      <c r="C688">
        <v>11</v>
      </c>
      <c r="D688" t="s">
        <v>170</v>
      </c>
      <c r="E688">
        <v>134</v>
      </c>
      <c r="F688" t="s">
        <v>8340</v>
      </c>
      <c r="G688">
        <v>2</v>
      </c>
      <c r="H688" t="s">
        <v>8341</v>
      </c>
      <c r="I688" s="45" t="s">
        <v>6754</v>
      </c>
      <c r="J688" s="122">
        <v>45707</v>
      </c>
      <c r="K688" s="110" t="str">
        <f t="shared" si="7"/>
        <v>https://Estud2024.sawtoothsoftware.com/cgi-bin/ciwweb.pl?studyname=Estud2024&amp;ID=687</v>
      </c>
      <c r="L688" s="113">
        <v>45709</v>
      </c>
      <c r="M688" s="45" t="s">
        <v>246</v>
      </c>
    </row>
    <row r="689" spans="1:13">
      <c r="A689">
        <v>688</v>
      </c>
      <c r="B689" t="s">
        <v>138</v>
      </c>
      <c r="C689">
        <v>11</v>
      </c>
      <c r="D689" t="s">
        <v>170</v>
      </c>
      <c r="E689">
        <v>134</v>
      </c>
      <c r="F689" t="s">
        <v>8342</v>
      </c>
      <c r="G689">
        <v>2</v>
      </c>
      <c r="H689" t="s">
        <v>8343</v>
      </c>
      <c r="I689" s="45" t="s">
        <v>6754</v>
      </c>
      <c r="J689" s="122">
        <v>45707</v>
      </c>
      <c r="K689" s="110" t="str">
        <f t="shared" si="7"/>
        <v>https://Estud2024.sawtoothsoftware.com/cgi-bin/ciwweb.pl?studyname=Estud2024&amp;ID=688</v>
      </c>
      <c r="L689" s="113">
        <v>45709</v>
      </c>
      <c r="M689" s="45" t="s">
        <v>246</v>
      </c>
    </row>
    <row r="690" spans="1:13">
      <c r="A690">
        <v>689</v>
      </c>
      <c r="B690" t="s">
        <v>138</v>
      </c>
      <c r="C690">
        <v>11</v>
      </c>
      <c r="D690" t="s">
        <v>170</v>
      </c>
      <c r="E690">
        <v>134</v>
      </c>
      <c r="F690" t="s">
        <v>8344</v>
      </c>
      <c r="G690">
        <v>2</v>
      </c>
      <c r="H690" t="s">
        <v>8345</v>
      </c>
      <c r="I690" s="45" t="s">
        <v>6754</v>
      </c>
      <c r="J690" s="122">
        <v>45707</v>
      </c>
      <c r="K690" s="110" t="str">
        <f t="shared" si="7"/>
        <v>https://Estud2024.sawtoothsoftware.com/cgi-bin/ciwweb.pl?studyname=Estud2024&amp;ID=689</v>
      </c>
      <c r="L690" s="113">
        <v>45709</v>
      </c>
      <c r="M690" s="45" t="s">
        <v>246</v>
      </c>
    </row>
    <row r="691" spans="1:13">
      <c r="A691">
        <v>690</v>
      </c>
      <c r="B691" t="s">
        <v>138</v>
      </c>
      <c r="C691">
        <v>11</v>
      </c>
      <c r="D691" t="s">
        <v>170</v>
      </c>
      <c r="E691">
        <v>134</v>
      </c>
      <c r="F691" t="s">
        <v>8346</v>
      </c>
      <c r="G691">
        <v>2</v>
      </c>
      <c r="H691" t="s">
        <v>8347</v>
      </c>
      <c r="I691" s="45" t="s">
        <v>6754</v>
      </c>
      <c r="J691" s="122">
        <v>45707</v>
      </c>
      <c r="K691" s="110" t="str">
        <f t="shared" si="7"/>
        <v>https://Estud2024.sawtoothsoftware.com/cgi-bin/ciwweb.pl?studyname=Estud2024&amp;ID=690</v>
      </c>
      <c r="L691" s="113">
        <v>45709</v>
      </c>
      <c r="M691" s="45" t="s">
        <v>246</v>
      </c>
    </row>
    <row r="692" spans="1:13">
      <c r="A692">
        <v>691</v>
      </c>
      <c r="B692" t="s">
        <v>138</v>
      </c>
      <c r="C692">
        <v>11</v>
      </c>
      <c r="D692" t="s">
        <v>170</v>
      </c>
      <c r="E692">
        <v>134</v>
      </c>
      <c r="F692" t="s">
        <v>8348</v>
      </c>
      <c r="G692">
        <v>2</v>
      </c>
      <c r="H692" t="s">
        <v>8349</v>
      </c>
      <c r="I692" s="45" t="s">
        <v>6754</v>
      </c>
      <c r="J692" s="122">
        <v>45707</v>
      </c>
      <c r="K692" s="110" t="str">
        <f t="shared" si="7"/>
        <v>https://Estud2024.sawtoothsoftware.com/cgi-bin/ciwweb.pl?studyname=Estud2024&amp;ID=691</v>
      </c>
      <c r="L692" s="113">
        <v>45709</v>
      </c>
      <c r="M692" s="45" t="s">
        <v>246</v>
      </c>
    </row>
    <row r="693" spans="1:13">
      <c r="A693">
        <v>692</v>
      </c>
      <c r="B693" t="s">
        <v>138</v>
      </c>
      <c r="C693">
        <v>11</v>
      </c>
      <c r="D693" t="s">
        <v>170</v>
      </c>
      <c r="E693">
        <v>134</v>
      </c>
      <c r="F693" t="s">
        <v>8350</v>
      </c>
      <c r="G693">
        <v>2</v>
      </c>
      <c r="H693" t="s">
        <v>8351</v>
      </c>
      <c r="I693" s="45" t="s">
        <v>6754</v>
      </c>
      <c r="J693" s="122">
        <v>45707</v>
      </c>
      <c r="K693" s="110" t="str">
        <f t="shared" si="7"/>
        <v>https://Estud2024.sawtoothsoftware.com/cgi-bin/ciwweb.pl?studyname=Estud2024&amp;ID=692</v>
      </c>
      <c r="L693" s="113">
        <v>45709</v>
      </c>
      <c r="M693" s="45" t="s">
        <v>246</v>
      </c>
    </row>
    <row r="694" spans="1:13">
      <c r="A694">
        <v>693</v>
      </c>
      <c r="B694" t="s">
        <v>138</v>
      </c>
      <c r="C694">
        <v>11</v>
      </c>
      <c r="D694" t="s">
        <v>170</v>
      </c>
      <c r="E694">
        <v>134</v>
      </c>
      <c r="F694" t="s">
        <v>8352</v>
      </c>
      <c r="G694">
        <v>2</v>
      </c>
      <c r="H694" t="s">
        <v>8353</v>
      </c>
      <c r="I694" s="45" t="s">
        <v>6754</v>
      </c>
      <c r="J694" s="122">
        <v>45707</v>
      </c>
      <c r="K694" s="110" t="str">
        <f t="shared" si="7"/>
        <v>https://Estud2024.sawtoothsoftware.com/cgi-bin/ciwweb.pl?studyname=Estud2024&amp;ID=693</v>
      </c>
      <c r="L694" s="113">
        <v>45709</v>
      </c>
      <c r="M694" s="45" t="s">
        <v>246</v>
      </c>
    </row>
    <row r="695" spans="1:13">
      <c r="A695">
        <v>694</v>
      </c>
      <c r="B695" t="s">
        <v>138</v>
      </c>
      <c r="C695">
        <v>11</v>
      </c>
      <c r="D695" t="s">
        <v>170</v>
      </c>
      <c r="E695">
        <v>134</v>
      </c>
      <c r="F695" t="s">
        <v>8354</v>
      </c>
      <c r="G695">
        <v>2</v>
      </c>
      <c r="H695" t="s">
        <v>8355</v>
      </c>
      <c r="I695" s="45" t="s">
        <v>6754</v>
      </c>
      <c r="J695" s="122">
        <v>45707</v>
      </c>
      <c r="K695" s="110" t="str">
        <f t="shared" si="7"/>
        <v>https://Estud2024.sawtoothsoftware.com/cgi-bin/ciwweb.pl?studyname=Estud2024&amp;ID=694</v>
      </c>
      <c r="L695" s="113">
        <v>45709</v>
      </c>
      <c r="M695" s="45" t="s">
        <v>246</v>
      </c>
    </row>
    <row r="696" spans="1:13">
      <c r="A696">
        <v>695</v>
      </c>
      <c r="B696" t="s">
        <v>138</v>
      </c>
      <c r="C696">
        <v>11</v>
      </c>
      <c r="D696" t="s">
        <v>170</v>
      </c>
      <c r="E696">
        <v>134</v>
      </c>
      <c r="F696" t="s">
        <v>8356</v>
      </c>
      <c r="G696">
        <v>2</v>
      </c>
      <c r="H696" t="s">
        <v>8357</v>
      </c>
      <c r="I696" s="45" t="s">
        <v>6754</v>
      </c>
      <c r="J696" s="122">
        <v>45707</v>
      </c>
      <c r="K696" s="110" t="str">
        <f t="shared" si="7"/>
        <v>https://Estud2024.sawtoothsoftware.com/cgi-bin/ciwweb.pl?studyname=Estud2024&amp;ID=695</v>
      </c>
      <c r="L696" s="113">
        <v>45709</v>
      </c>
      <c r="M696" s="45" t="s">
        <v>246</v>
      </c>
    </row>
    <row r="697" spans="1:13">
      <c r="A697">
        <v>696</v>
      </c>
      <c r="B697" t="s">
        <v>138</v>
      </c>
      <c r="C697">
        <v>11</v>
      </c>
      <c r="D697" t="s">
        <v>170</v>
      </c>
      <c r="E697">
        <v>134</v>
      </c>
      <c r="F697" t="s">
        <v>8358</v>
      </c>
      <c r="G697">
        <v>2</v>
      </c>
      <c r="H697" t="s">
        <v>8359</v>
      </c>
      <c r="I697" s="45" t="s">
        <v>6754</v>
      </c>
      <c r="J697" s="122">
        <v>45707</v>
      </c>
      <c r="K697" s="110" t="str">
        <f t="shared" si="7"/>
        <v>https://Estud2024.sawtoothsoftware.com/cgi-bin/ciwweb.pl?studyname=Estud2024&amp;ID=696</v>
      </c>
      <c r="L697" s="113">
        <v>45709</v>
      </c>
      <c r="M697" s="45" t="s">
        <v>246</v>
      </c>
    </row>
    <row r="698" spans="1:13">
      <c r="A698">
        <v>697</v>
      </c>
      <c r="B698" t="s">
        <v>138</v>
      </c>
      <c r="C698">
        <v>11</v>
      </c>
      <c r="D698" t="s">
        <v>170</v>
      </c>
      <c r="E698">
        <v>134</v>
      </c>
      <c r="F698" t="s">
        <v>8360</v>
      </c>
      <c r="G698">
        <v>2</v>
      </c>
      <c r="H698" t="s">
        <v>8361</v>
      </c>
      <c r="I698" s="45" t="s">
        <v>6754</v>
      </c>
      <c r="J698" s="122">
        <v>45707</v>
      </c>
      <c r="K698" s="110" t="str">
        <f t="shared" si="7"/>
        <v>https://Estud2024.sawtoothsoftware.com/cgi-bin/ciwweb.pl?studyname=Estud2024&amp;ID=697</v>
      </c>
      <c r="L698" s="113">
        <v>45709</v>
      </c>
      <c r="M698" s="45" t="s">
        <v>246</v>
      </c>
    </row>
    <row r="699" spans="1:13">
      <c r="A699">
        <v>698</v>
      </c>
      <c r="B699" t="s">
        <v>138</v>
      </c>
      <c r="C699">
        <v>11</v>
      </c>
      <c r="D699" t="s">
        <v>170</v>
      </c>
      <c r="E699">
        <v>134</v>
      </c>
      <c r="F699" t="s">
        <v>8362</v>
      </c>
      <c r="G699">
        <v>2</v>
      </c>
      <c r="H699" t="s">
        <v>8363</v>
      </c>
      <c r="I699" s="45" t="s">
        <v>6754</v>
      </c>
      <c r="J699" s="122">
        <v>45707</v>
      </c>
      <c r="K699" s="110" t="str">
        <f t="shared" si="7"/>
        <v>https://Estud2024.sawtoothsoftware.com/cgi-bin/ciwweb.pl?studyname=Estud2024&amp;ID=698</v>
      </c>
      <c r="L699" s="113">
        <v>45709</v>
      </c>
      <c r="M699" s="45" t="s">
        <v>246</v>
      </c>
    </row>
    <row r="700" spans="1:13">
      <c r="A700">
        <v>699</v>
      </c>
      <c r="B700" t="s">
        <v>138</v>
      </c>
      <c r="C700">
        <v>11</v>
      </c>
      <c r="D700" t="s">
        <v>170</v>
      </c>
      <c r="E700">
        <v>134</v>
      </c>
      <c r="F700" t="s">
        <v>8364</v>
      </c>
      <c r="G700">
        <v>2</v>
      </c>
      <c r="H700" t="s">
        <v>8365</v>
      </c>
      <c r="I700" s="45" t="s">
        <v>6754</v>
      </c>
      <c r="J700" s="122">
        <v>45707</v>
      </c>
      <c r="K700" s="110" t="str">
        <f t="shared" si="7"/>
        <v>https://Estud2024.sawtoothsoftware.com/cgi-bin/ciwweb.pl?studyname=Estud2024&amp;ID=699</v>
      </c>
      <c r="L700" s="113">
        <v>45709</v>
      </c>
      <c r="M700" s="45" t="s">
        <v>246</v>
      </c>
    </row>
    <row r="701" spans="1:13">
      <c r="A701">
        <v>700</v>
      </c>
      <c r="B701" t="s">
        <v>138</v>
      </c>
      <c r="C701">
        <v>11</v>
      </c>
      <c r="D701" t="s">
        <v>170</v>
      </c>
      <c r="E701">
        <v>134</v>
      </c>
      <c r="F701" t="s">
        <v>8366</v>
      </c>
      <c r="G701">
        <v>2</v>
      </c>
      <c r="H701" t="s">
        <v>8367</v>
      </c>
      <c r="I701" s="45" t="s">
        <v>6754</v>
      </c>
      <c r="J701" s="122">
        <v>45707</v>
      </c>
      <c r="K701" s="110" t="str">
        <f t="shared" si="7"/>
        <v>https://Estud2024.sawtoothsoftware.com/cgi-bin/ciwweb.pl?studyname=Estud2024&amp;ID=700</v>
      </c>
      <c r="L701" s="113">
        <v>45709</v>
      </c>
      <c r="M701" s="45" t="s">
        <v>246</v>
      </c>
    </row>
    <row r="702" spans="1:13">
      <c r="A702">
        <v>701</v>
      </c>
      <c r="B702" t="s">
        <v>138</v>
      </c>
      <c r="C702">
        <v>11</v>
      </c>
      <c r="D702" t="s">
        <v>170</v>
      </c>
      <c r="E702">
        <v>134</v>
      </c>
      <c r="F702" t="s">
        <v>8368</v>
      </c>
      <c r="G702">
        <v>2</v>
      </c>
      <c r="H702" t="s">
        <v>8369</v>
      </c>
      <c r="I702" s="45" t="s">
        <v>6754</v>
      </c>
      <c r="J702" s="122">
        <v>45707</v>
      </c>
      <c r="K702" s="110" t="str">
        <f t="shared" si="7"/>
        <v>https://Estud2024.sawtoothsoftware.com/cgi-bin/ciwweb.pl?studyname=Estud2024&amp;ID=701</v>
      </c>
      <c r="L702" s="113">
        <v>45709</v>
      </c>
      <c r="M702" s="45" t="s">
        <v>246</v>
      </c>
    </row>
    <row r="703" spans="1:13">
      <c r="A703">
        <v>702</v>
      </c>
      <c r="B703" t="s">
        <v>138</v>
      </c>
      <c r="C703">
        <v>11</v>
      </c>
      <c r="D703" t="s">
        <v>170</v>
      </c>
      <c r="E703">
        <v>134</v>
      </c>
      <c r="F703" t="s">
        <v>8370</v>
      </c>
      <c r="G703">
        <v>2</v>
      </c>
      <c r="H703" t="s">
        <v>8371</v>
      </c>
      <c r="I703" s="45" t="s">
        <v>6754</v>
      </c>
      <c r="J703" s="122">
        <v>45707</v>
      </c>
      <c r="K703" s="110" t="str">
        <f t="shared" si="7"/>
        <v>https://Estud2024.sawtoothsoftware.com/cgi-bin/ciwweb.pl?studyname=Estud2024&amp;ID=702</v>
      </c>
      <c r="L703" s="113">
        <v>45709</v>
      </c>
      <c r="M703" s="45" t="s">
        <v>246</v>
      </c>
    </row>
    <row r="704" spans="1:13">
      <c r="A704">
        <v>703</v>
      </c>
      <c r="B704" t="s">
        <v>138</v>
      </c>
      <c r="C704">
        <v>11</v>
      </c>
      <c r="D704" t="s">
        <v>170</v>
      </c>
      <c r="E704">
        <v>134</v>
      </c>
      <c r="F704" t="s">
        <v>8372</v>
      </c>
      <c r="G704">
        <v>2</v>
      </c>
      <c r="H704" t="s">
        <v>8373</v>
      </c>
      <c r="I704" s="45" t="s">
        <v>6754</v>
      </c>
      <c r="J704" s="122">
        <v>45707</v>
      </c>
      <c r="K704" s="110" t="str">
        <f t="shared" si="7"/>
        <v>https://Estud2024.sawtoothsoftware.com/cgi-bin/ciwweb.pl?studyname=Estud2024&amp;ID=703</v>
      </c>
      <c r="L704" s="113">
        <v>45709</v>
      </c>
      <c r="M704" s="45" t="s">
        <v>246</v>
      </c>
    </row>
    <row r="705" spans="1:13">
      <c r="A705">
        <v>704</v>
      </c>
      <c r="B705" t="s">
        <v>138</v>
      </c>
      <c r="C705">
        <v>11</v>
      </c>
      <c r="D705" t="s">
        <v>170</v>
      </c>
      <c r="E705">
        <v>134</v>
      </c>
      <c r="F705" t="s">
        <v>8374</v>
      </c>
      <c r="G705">
        <v>2</v>
      </c>
      <c r="H705" t="s">
        <v>8375</v>
      </c>
      <c r="I705" s="45" t="s">
        <v>6754</v>
      </c>
      <c r="J705" s="122">
        <v>45707</v>
      </c>
      <c r="K705" s="110" t="str">
        <f t="shared" si="7"/>
        <v>https://Estud2024.sawtoothsoftware.com/cgi-bin/ciwweb.pl?studyname=Estud2024&amp;ID=704</v>
      </c>
      <c r="L705" s="113">
        <v>45709</v>
      </c>
      <c r="M705" s="45" t="s">
        <v>246</v>
      </c>
    </row>
    <row r="706" spans="1:13">
      <c r="A706">
        <v>705</v>
      </c>
      <c r="B706" t="s">
        <v>138</v>
      </c>
      <c r="C706">
        <v>11</v>
      </c>
      <c r="D706" t="s">
        <v>170</v>
      </c>
      <c r="E706">
        <v>134</v>
      </c>
      <c r="F706" t="s">
        <v>8376</v>
      </c>
      <c r="G706">
        <v>2</v>
      </c>
      <c r="H706" t="s">
        <v>8377</v>
      </c>
      <c r="I706" s="45" t="s">
        <v>6754</v>
      </c>
      <c r="J706" s="122">
        <v>45707</v>
      </c>
      <c r="K706" s="110" t="str">
        <f t="shared" si="7"/>
        <v>https://Estud2024.sawtoothsoftware.com/cgi-bin/ciwweb.pl?studyname=Estud2024&amp;ID=705</v>
      </c>
      <c r="L706" s="113">
        <v>45709</v>
      </c>
      <c r="M706" s="45" t="s">
        <v>246</v>
      </c>
    </row>
    <row r="707" spans="1:13">
      <c r="A707">
        <v>706</v>
      </c>
      <c r="B707" t="s">
        <v>138</v>
      </c>
      <c r="C707">
        <v>11</v>
      </c>
      <c r="D707" t="s">
        <v>170</v>
      </c>
      <c r="E707">
        <v>134</v>
      </c>
      <c r="F707" t="s">
        <v>8378</v>
      </c>
      <c r="G707">
        <v>2</v>
      </c>
      <c r="H707" t="s">
        <v>8379</v>
      </c>
      <c r="I707" s="45" t="s">
        <v>6754</v>
      </c>
      <c r="J707" s="122">
        <v>45707</v>
      </c>
      <c r="K707" s="110" t="str">
        <f t="shared" si="7"/>
        <v>https://Estud2024.sawtoothsoftware.com/cgi-bin/ciwweb.pl?studyname=Estud2024&amp;ID=706</v>
      </c>
      <c r="L707" s="113">
        <v>45709</v>
      </c>
      <c r="M707" s="45" t="s">
        <v>246</v>
      </c>
    </row>
    <row r="708" spans="1:13">
      <c r="A708">
        <v>707</v>
      </c>
      <c r="B708" t="s">
        <v>138</v>
      </c>
      <c r="C708">
        <v>11</v>
      </c>
      <c r="D708" t="s">
        <v>170</v>
      </c>
      <c r="E708">
        <v>134</v>
      </c>
      <c r="F708" t="s">
        <v>8380</v>
      </c>
      <c r="G708">
        <v>2</v>
      </c>
      <c r="H708" t="s">
        <v>8381</v>
      </c>
      <c r="I708" s="45" t="s">
        <v>6754</v>
      </c>
      <c r="J708" s="122">
        <v>45707</v>
      </c>
      <c r="K708" s="110" t="str">
        <f t="shared" si="7"/>
        <v>https://Estud2024.sawtoothsoftware.com/cgi-bin/ciwweb.pl?studyname=Estud2024&amp;ID=707</v>
      </c>
      <c r="L708" s="113">
        <v>45709</v>
      </c>
      <c r="M708" s="45" t="s">
        <v>247</v>
      </c>
    </row>
    <row r="709" spans="1:13">
      <c r="A709">
        <v>708</v>
      </c>
      <c r="B709" t="s">
        <v>138</v>
      </c>
      <c r="C709">
        <v>11</v>
      </c>
      <c r="D709" t="s">
        <v>170</v>
      </c>
      <c r="E709">
        <v>134</v>
      </c>
      <c r="F709" t="s">
        <v>8382</v>
      </c>
      <c r="G709">
        <v>1</v>
      </c>
      <c r="H709" t="s">
        <v>8383</v>
      </c>
      <c r="I709" s="45" t="s">
        <v>6754</v>
      </c>
      <c r="J709" s="122">
        <v>45707</v>
      </c>
      <c r="K709" s="110" t="str">
        <f t="shared" si="7"/>
        <v>https://Estud2024.sawtoothsoftware.com/cgi-bin/ciwweb.pl?studyname=Estud2024&amp;ID=708</v>
      </c>
      <c r="L709" s="113">
        <v>45709</v>
      </c>
      <c r="M709" s="45" t="s">
        <v>246</v>
      </c>
    </row>
    <row r="710" spans="1:13">
      <c r="A710">
        <v>709</v>
      </c>
      <c r="B710" t="s">
        <v>138</v>
      </c>
      <c r="C710">
        <v>11</v>
      </c>
      <c r="D710" t="s">
        <v>170</v>
      </c>
      <c r="E710">
        <v>134</v>
      </c>
      <c r="F710" t="s">
        <v>8384</v>
      </c>
      <c r="G710">
        <v>1</v>
      </c>
      <c r="H710" t="s">
        <v>8385</v>
      </c>
      <c r="I710" s="45" t="s">
        <v>6754</v>
      </c>
      <c r="J710" s="122">
        <v>45707</v>
      </c>
      <c r="K710" s="110" t="str">
        <f t="shared" si="7"/>
        <v>https://Estud2024.sawtoothsoftware.com/cgi-bin/ciwweb.pl?studyname=Estud2024&amp;ID=709</v>
      </c>
      <c r="L710" s="113">
        <v>45709</v>
      </c>
      <c r="M710" s="45" t="s">
        <v>246</v>
      </c>
    </row>
    <row r="711" spans="1:13">
      <c r="A711">
        <v>710</v>
      </c>
      <c r="B711" t="s">
        <v>138</v>
      </c>
      <c r="C711">
        <v>11</v>
      </c>
      <c r="D711" t="s">
        <v>170</v>
      </c>
      <c r="E711">
        <v>134</v>
      </c>
      <c r="F711" t="s">
        <v>8386</v>
      </c>
      <c r="G711">
        <v>1</v>
      </c>
      <c r="H711" t="s">
        <v>8387</v>
      </c>
      <c r="I711" s="45" t="s">
        <v>6754</v>
      </c>
      <c r="J711" s="122">
        <v>45707</v>
      </c>
      <c r="K711" s="110" t="str">
        <f t="shared" si="7"/>
        <v>https://Estud2024.sawtoothsoftware.com/cgi-bin/ciwweb.pl?studyname=Estud2024&amp;ID=710</v>
      </c>
      <c r="L711" s="113">
        <v>45709</v>
      </c>
      <c r="M711" s="45" t="s">
        <v>246</v>
      </c>
    </row>
    <row r="712" spans="1:13">
      <c r="A712">
        <v>711</v>
      </c>
      <c r="B712" t="s">
        <v>138</v>
      </c>
      <c r="C712">
        <v>11</v>
      </c>
      <c r="D712" t="s">
        <v>170</v>
      </c>
      <c r="E712">
        <v>134</v>
      </c>
      <c r="F712" t="s">
        <v>8388</v>
      </c>
      <c r="G712">
        <v>1</v>
      </c>
      <c r="H712" t="s">
        <v>8389</v>
      </c>
      <c r="I712" s="45" t="s">
        <v>6754</v>
      </c>
      <c r="J712" s="122">
        <v>45707</v>
      </c>
      <c r="K712" s="110" t="str">
        <f t="shared" si="7"/>
        <v>https://Estud2024.sawtoothsoftware.com/cgi-bin/ciwweb.pl?studyname=Estud2024&amp;ID=711</v>
      </c>
      <c r="L712" s="113">
        <v>45709</v>
      </c>
      <c r="M712" s="45" t="s">
        <v>246</v>
      </c>
    </row>
    <row r="713" spans="1:13">
      <c r="A713">
        <v>712</v>
      </c>
      <c r="B713" t="s">
        <v>138</v>
      </c>
      <c r="C713">
        <v>11</v>
      </c>
      <c r="D713" t="s">
        <v>170</v>
      </c>
      <c r="E713">
        <v>134</v>
      </c>
      <c r="F713" t="s">
        <v>8390</v>
      </c>
      <c r="G713">
        <v>1</v>
      </c>
      <c r="H713" t="s">
        <v>8391</v>
      </c>
      <c r="I713" s="45" t="s">
        <v>6754</v>
      </c>
      <c r="J713" s="122">
        <v>45707</v>
      </c>
      <c r="K713" s="110" t="str">
        <f t="shared" si="7"/>
        <v>https://Estud2024.sawtoothsoftware.com/cgi-bin/ciwweb.pl?studyname=Estud2024&amp;ID=712</v>
      </c>
      <c r="L713" s="113">
        <v>45709</v>
      </c>
      <c r="M713" s="45" t="s">
        <v>246</v>
      </c>
    </row>
    <row r="714" spans="1:13">
      <c r="A714">
        <v>713</v>
      </c>
      <c r="B714" t="s">
        <v>138</v>
      </c>
      <c r="C714">
        <v>11</v>
      </c>
      <c r="D714" t="s">
        <v>170</v>
      </c>
      <c r="E714">
        <v>134</v>
      </c>
      <c r="F714" t="s">
        <v>8392</v>
      </c>
      <c r="G714">
        <v>1</v>
      </c>
      <c r="H714" t="s">
        <v>8393</v>
      </c>
      <c r="I714" s="45" t="s">
        <v>6754</v>
      </c>
      <c r="J714" s="122">
        <v>45707</v>
      </c>
      <c r="K714" s="110" t="str">
        <f t="shared" si="7"/>
        <v>https://Estud2024.sawtoothsoftware.com/cgi-bin/ciwweb.pl?studyname=Estud2024&amp;ID=713</v>
      </c>
      <c r="L714" s="113">
        <v>45709</v>
      </c>
      <c r="M714" s="45" t="s">
        <v>246</v>
      </c>
    </row>
    <row r="715" spans="1:13">
      <c r="A715">
        <v>714</v>
      </c>
      <c r="B715" t="s">
        <v>138</v>
      </c>
      <c r="C715">
        <v>11</v>
      </c>
      <c r="D715" t="s">
        <v>170</v>
      </c>
      <c r="E715">
        <v>134</v>
      </c>
      <c r="F715" t="s">
        <v>8394</v>
      </c>
      <c r="G715">
        <v>1</v>
      </c>
      <c r="H715" t="s">
        <v>8395</v>
      </c>
      <c r="I715" s="45" t="s">
        <v>6754</v>
      </c>
      <c r="J715" s="122">
        <v>45707</v>
      </c>
      <c r="K715" s="110" t="str">
        <f t="shared" si="7"/>
        <v>https://Estud2024.sawtoothsoftware.com/cgi-bin/ciwweb.pl?studyname=Estud2024&amp;ID=714</v>
      </c>
      <c r="L715" s="113">
        <v>45709</v>
      </c>
      <c r="M715" s="45" t="s">
        <v>246</v>
      </c>
    </row>
    <row r="716" spans="1:13">
      <c r="A716">
        <v>715</v>
      </c>
      <c r="B716" t="s">
        <v>138</v>
      </c>
      <c r="C716">
        <v>11</v>
      </c>
      <c r="D716" t="s">
        <v>170</v>
      </c>
      <c r="E716">
        <v>134</v>
      </c>
      <c r="F716" t="s">
        <v>8396</v>
      </c>
      <c r="G716">
        <v>1</v>
      </c>
      <c r="H716" t="s">
        <v>8397</v>
      </c>
      <c r="I716" s="45" t="s">
        <v>6754</v>
      </c>
      <c r="J716" s="122">
        <v>45707</v>
      </c>
      <c r="K716" s="110" t="str">
        <f t="shared" si="7"/>
        <v>https://Estud2024.sawtoothsoftware.com/cgi-bin/ciwweb.pl?studyname=Estud2024&amp;ID=715</v>
      </c>
      <c r="L716" s="113">
        <v>45709</v>
      </c>
      <c r="M716" s="45" t="s">
        <v>246</v>
      </c>
    </row>
    <row r="717" spans="1:13">
      <c r="A717">
        <v>716</v>
      </c>
      <c r="B717" t="s">
        <v>138</v>
      </c>
      <c r="C717">
        <v>11</v>
      </c>
      <c r="D717" t="s">
        <v>170</v>
      </c>
      <c r="E717">
        <v>134</v>
      </c>
      <c r="F717" t="s">
        <v>8398</v>
      </c>
      <c r="G717">
        <v>1</v>
      </c>
      <c r="H717" t="s">
        <v>8399</v>
      </c>
      <c r="I717" s="45" t="s">
        <v>6754</v>
      </c>
      <c r="J717" s="122">
        <v>45707</v>
      </c>
      <c r="K717" s="110" t="str">
        <f t="shared" si="7"/>
        <v>https://Estud2024.sawtoothsoftware.com/cgi-bin/ciwweb.pl?studyname=Estud2024&amp;ID=716</v>
      </c>
      <c r="L717" s="113">
        <v>45709</v>
      </c>
      <c r="M717" s="45" t="s">
        <v>246</v>
      </c>
    </row>
    <row r="718" spans="1:13">
      <c r="A718">
        <v>717</v>
      </c>
      <c r="B718" t="s">
        <v>138</v>
      </c>
      <c r="C718">
        <v>11</v>
      </c>
      <c r="D718" t="s">
        <v>170</v>
      </c>
      <c r="E718">
        <v>134</v>
      </c>
      <c r="F718" t="s">
        <v>8400</v>
      </c>
      <c r="G718">
        <v>1</v>
      </c>
      <c r="H718" t="s">
        <v>8401</v>
      </c>
      <c r="I718" s="45" t="s">
        <v>6754</v>
      </c>
      <c r="J718" s="122">
        <v>45707</v>
      </c>
      <c r="K718" s="110" t="str">
        <f t="shared" si="7"/>
        <v>https://Estud2024.sawtoothsoftware.com/cgi-bin/ciwweb.pl?studyname=Estud2024&amp;ID=717</v>
      </c>
      <c r="L718" s="113">
        <v>45709</v>
      </c>
      <c r="M718" s="45" t="s">
        <v>246</v>
      </c>
    </row>
    <row r="719" spans="1:13">
      <c r="A719">
        <v>718</v>
      </c>
      <c r="B719" t="s">
        <v>138</v>
      </c>
      <c r="C719">
        <v>11</v>
      </c>
      <c r="D719" t="s">
        <v>170</v>
      </c>
      <c r="E719">
        <v>134</v>
      </c>
      <c r="F719" t="s">
        <v>8402</v>
      </c>
      <c r="G719">
        <v>1</v>
      </c>
      <c r="H719" t="s">
        <v>8403</v>
      </c>
      <c r="I719" s="45" t="s">
        <v>6754</v>
      </c>
      <c r="J719" s="122">
        <v>45707</v>
      </c>
      <c r="K719" s="110" t="str">
        <f t="shared" si="7"/>
        <v>https://Estud2024.sawtoothsoftware.com/cgi-bin/ciwweb.pl?studyname=Estud2024&amp;ID=718</v>
      </c>
      <c r="L719" s="113">
        <v>45709</v>
      </c>
      <c r="M719" s="45" t="s">
        <v>246</v>
      </c>
    </row>
    <row r="720" spans="1:13">
      <c r="A720">
        <v>719</v>
      </c>
      <c r="B720" t="s">
        <v>138</v>
      </c>
      <c r="C720">
        <v>11</v>
      </c>
      <c r="D720" t="s">
        <v>170</v>
      </c>
      <c r="E720">
        <v>134</v>
      </c>
      <c r="F720" t="s">
        <v>8404</v>
      </c>
      <c r="G720">
        <v>1</v>
      </c>
      <c r="H720" t="s">
        <v>8405</v>
      </c>
      <c r="I720" s="45" t="s">
        <v>6754</v>
      </c>
      <c r="J720" s="122">
        <v>45707</v>
      </c>
      <c r="K720" s="110" t="str">
        <f t="shared" si="7"/>
        <v>https://Estud2024.sawtoothsoftware.com/cgi-bin/ciwweb.pl?studyname=Estud2024&amp;ID=719</v>
      </c>
      <c r="L720" s="113">
        <v>45709</v>
      </c>
      <c r="M720" s="45" t="s">
        <v>246</v>
      </c>
    </row>
    <row r="721" spans="1:13">
      <c r="A721">
        <v>720</v>
      </c>
      <c r="B721" t="s">
        <v>138</v>
      </c>
      <c r="C721">
        <v>11</v>
      </c>
      <c r="D721" t="s">
        <v>170</v>
      </c>
      <c r="E721">
        <v>134</v>
      </c>
      <c r="F721" t="s">
        <v>8406</v>
      </c>
      <c r="G721">
        <v>1</v>
      </c>
      <c r="H721" t="s">
        <v>8407</v>
      </c>
      <c r="I721" s="45" t="s">
        <v>6754</v>
      </c>
      <c r="J721" s="122">
        <v>45707</v>
      </c>
      <c r="K721" s="110" t="str">
        <f t="shared" si="7"/>
        <v>https://Estud2024.sawtoothsoftware.com/cgi-bin/ciwweb.pl?studyname=Estud2024&amp;ID=720</v>
      </c>
      <c r="L721" s="113">
        <v>45709</v>
      </c>
      <c r="M721" s="45" t="s">
        <v>246</v>
      </c>
    </row>
    <row r="722" spans="1:13">
      <c r="A722">
        <v>721</v>
      </c>
      <c r="B722" t="s">
        <v>138</v>
      </c>
      <c r="C722">
        <v>11</v>
      </c>
      <c r="D722" t="s">
        <v>170</v>
      </c>
      <c r="E722">
        <v>134</v>
      </c>
      <c r="F722" t="s">
        <v>8408</v>
      </c>
      <c r="G722">
        <v>1</v>
      </c>
      <c r="H722" t="s">
        <v>8409</v>
      </c>
      <c r="I722" s="45" t="s">
        <v>6754</v>
      </c>
      <c r="J722" s="122">
        <v>45707</v>
      </c>
      <c r="K722" s="110" t="str">
        <f t="shared" si="7"/>
        <v>https://Estud2024.sawtoothsoftware.com/cgi-bin/ciwweb.pl?studyname=Estud2024&amp;ID=721</v>
      </c>
      <c r="L722" s="113">
        <v>45709</v>
      </c>
      <c r="M722" s="45" t="s">
        <v>246</v>
      </c>
    </row>
    <row r="723" spans="1:13">
      <c r="A723">
        <v>722</v>
      </c>
      <c r="B723" t="s">
        <v>138</v>
      </c>
      <c r="C723">
        <v>11</v>
      </c>
      <c r="D723" t="s">
        <v>170</v>
      </c>
      <c r="E723">
        <v>134</v>
      </c>
      <c r="F723" t="s">
        <v>8410</v>
      </c>
      <c r="G723">
        <v>1</v>
      </c>
      <c r="H723" t="s">
        <v>8411</v>
      </c>
      <c r="I723" s="45" t="s">
        <v>6754</v>
      </c>
      <c r="J723" s="122">
        <v>45707</v>
      </c>
      <c r="K723" s="110" t="str">
        <f t="shared" si="7"/>
        <v>https://Estud2024.sawtoothsoftware.com/cgi-bin/ciwweb.pl?studyname=Estud2024&amp;ID=722</v>
      </c>
      <c r="L723" s="113">
        <v>45709</v>
      </c>
      <c r="M723" s="45" t="s">
        <v>246</v>
      </c>
    </row>
    <row r="724" spans="1:13">
      <c r="A724">
        <v>723</v>
      </c>
      <c r="B724" t="s">
        <v>138</v>
      </c>
      <c r="C724">
        <v>11</v>
      </c>
      <c r="D724" t="s">
        <v>170</v>
      </c>
      <c r="E724">
        <v>134</v>
      </c>
      <c r="F724" t="s">
        <v>8412</v>
      </c>
      <c r="G724">
        <v>1</v>
      </c>
      <c r="H724" t="s">
        <v>8413</v>
      </c>
      <c r="I724" s="45" t="s">
        <v>6754</v>
      </c>
      <c r="J724" s="122">
        <v>45707</v>
      </c>
      <c r="K724" s="110" t="str">
        <f t="shared" si="7"/>
        <v>https://Estud2024.sawtoothsoftware.com/cgi-bin/ciwweb.pl?studyname=Estud2024&amp;ID=723</v>
      </c>
      <c r="L724" s="113">
        <v>45709</v>
      </c>
      <c r="M724" s="45" t="s">
        <v>246</v>
      </c>
    </row>
    <row r="725" spans="1:13">
      <c r="A725">
        <v>724</v>
      </c>
      <c r="B725" t="s">
        <v>138</v>
      </c>
      <c r="C725">
        <v>11</v>
      </c>
      <c r="D725" t="s">
        <v>173</v>
      </c>
      <c r="E725">
        <v>132</v>
      </c>
      <c r="F725" t="s">
        <v>8414</v>
      </c>
      <c r="G725">
        <v>1</v>
      </c>
      <c r="H725" t="s">
        <v>8415</v>
      </c>
      <c r="I725" s="45" t="s">
        <v>6754</v>
      </c>
      <c r="J725" s="122">
        <v>45707</v>
      </c>
      <c r="K725" s="110" t="str">
        <f t="shared" si="7"/>
        <v>https://Estud2024.sawtoothsoftware.com/cgi-bin/ciwweb.pl?studyname=Estud2024&amp;ID=724</v>
      </c>
      <c r="L725" s="113">
        <v>45709</v>
      </c>
      <c r="M725" s="45" t="s">
        <v>246</v>
      </c>
    </row>
    <row r="726" spans="1:13">
      <c r="A726">
        <v>725</v>
      </c>
      <c r="B726" t="s">
        <v>138</v>
      </c>
      <c r="C726">
        <v>11</v>
      </c>
      <c r="D726" t="s">
        <v>173</v>
      </c>
      <c r="E726">
        <v>132</v>
      </c>
      <c r="F726" t="s">
        <v>8416</v>
      </c>
      <c r="G726">
        <v>1</v>
      </c>
      <c r="H726" t="s">
        <v>8417</v>
      </c>
      <c r="I726" s="45" t="s">
        <v>6754</v>
      </c>
      <c r="J726" s="122">
        <v>45707</v>
      </c>
      <c r="K726" s="110" t="str">
        <f t="shared" ref="K726:K789" si="8">CONCATENATE("https://Estud2024.sawtoothsoftware.com/cgi-bin/ciwweb.pl?studyname=Estud2024&amp;ID=",A726)</f>
        <v>https://Estud2024.sawtoothsoftware.com/cgi-bin/ciwweb.pl?studyname=Estud2024&amp;ID=725</v>
      </c>
      <c r="L726" s="113">
        <v>45709</v>
      </c>
      <c r="M726" s="45" t="s">
        <v>246</v>
      </c>
    </row>
    <row r="727" spans="1:13">
      <c r="A727">
        <v>726</v>
      </c>
      <c r="B727" t="s">
        <v>138</v>
      </c>
      <c r="C727">
        <v>11</v>
      </c>
      <c r="D727" t="s">
        <v>173</v>
      </c>
      <c r="E727">
        <v>132</v>
      </c>
      <c r="F727" t="s">
        <v>8418</v>
      </c>
      <c r="G727">
        <v>1</v>
      </c>
      <c r="H727" t="s">
        <v>8419</v>
      </c>
      <c r="I727" s="45" t="s">
        <v>6754</v>
      </c>
      <c r="J727" s="122">
        <v>45707</v>
      </c>
      <c r="K727" s="110" t="str">
        <f t="shared" si="8"/>
        <v>https://Estud2024.sawtoothsoftware.com/cgi-bin/ciwweb.pl?studyname=Estud2024&amp;ID=726</v>
      </c>
      <c r="L727" s="113">
        <v>45709</v>
      </c>
      <c r="M727" s="45" t="s">
        <v>246</v>
      </c>
    </row>
    <row r="728" spans="1:13">
      <c r="A728">
        <v>727</v>
      </c>
      <c r="B728" t="s">
        <v>138</v>
      </c>
      <c r="C728">
        <v>11</v>
      </c>
      <c r="D728" t="s">
        <v>173</v>
      </c>
      <c r="E728">
        <v>132</v>
      </c>
      <c r="F728" t="s">
        <v>8420</v>
      </c>
      <c r="G728">
        <v>1</v>
      </c>
      <c r="H728" t="s">
        <v>8421</v>
      </c>
      <c r="I728" s="45" t="s">
        <v>6754</v>
      </c>
      <c r="J728" s="122">
        <v>45707</v>
      </c>
      <c r="K728" s="110" t="str">
        <f t="shared" si="8"/>
        <v>https://Estud2024.sawtoothsoftware.com/cgi-bin/ciwweb.pl?studyname=Estud2024&amp;ID=727</v>
      </c>
      <c r="L728" s="113">
        <v>45709</v>
      </c>
      <c r="M728" s="45" t="s">
        <v>246</v>
      </c>
    </row>
    <row r="729" spans="1:13">
      <c r="A729">
        <v>728</v>
      </c>
      <c r="B729" t="s">
        <v>138</v>
      </c>
      <c r="C729">
        <v>11</v>
      </c>
      <c r="D729" t="s">
        <v>173</v>
      </c>
      <c r="E729">
        <v>132</v>
      </c>
      <c r="F729" t="s">
        <v>8422</v>
      </c>
      <c r="G729">
        <v>1</v>
      </c>
      <c r="H729" t="s">
        <v>8423</v>
      </c>
      <c r="I729" s="45" t="s">
        <v>6754</v>
      </c>
      <c r="J729" s="122">
        <v>45707</v>
      </c>
      <c r="K729" s="110" t="str">
        <f t="shared" si="8"/>
        <v>https://Estud2024.sawtoothsoftware.com/cgi-bin/ciwweb.pl?studyname=Estud2024&amp;ID=728</v>
      </c>
      <c r="L729" s="113">
        <v>45709</v>
      </c>
      <c r="M729" s="45" t="s">
        <v>246</v>
      </c>
    </row>
    <row r="730" spans="1:13">
      <c r="A730">
        <v>729</v>
      </c>
      <c r="B730" t="s">
        <v>138</v>
      </c>
      <c r="C730">
        <v>11</v>
      </c>
      <c r="D730" t="s">
        <v>173</v>
      </c>
      <c r="E730">
        <v>132</v>
      </c>
      <c r="F730" t="s">
        <v>8424</v>
      </c>
      <c r="G730">
        <v>1</v>
      </c>
      <c r="H730" t="s">
        <v>8425</v>
      </c>
      <c r="I730" s="45" t="s">
        <v>6754</v>
      </c>
      <c r="J730" s="122">
        <v>45707</v>
      </c>
      <c r="K730" s="110" t="str">
        <f t="shared" si="8"/>
        <v>https://Estud2024.sawtoothsoftware.com/cgi-bin/ciwweb.pl?studyname=Estud2024&amp;ID=729</v>
      </c>
      <c r="L730" s="113">
        <v>45709</v>
      </c>
      <c r="M730" s="45" t="s">
        <v>246</v>
      </c>
    </row>
    <row r="731" spans="1:13">
      <c r="A731">
        <v>730</v>
      </c>
      <c r="B731" t="s">
        <v>138</v>
      </c>
      <c r="C731">
        <v>11</v>
      </c>
      <c r="D731" t="s">
        <v>173</v>
      </c>
      <c r="E731">
        <v>132</v>
      </c>
      <c r="F731" t="s">
        <v>8426</v>
      </c>
      <c r="G731">
        <v>1</v>
      </c>
      <c r="H731" t="s">
        <v>8427</v>
      </c>
      <c r="I731" s="45" t="s">
        <v>6754</v>
      </c>
      <c r="J731" s="122">
        <v>45707</v>
      </c>
      <c r="K731" s="110" t="str">
        <f t="shared" si="8"/>
        <v>https://Estud2024.sawtoothsoftware.com/cgi-bin/ciwweb.pl?studyname=Estud2024&amp;ID=730</v>
      </c>
      <c r="L731" s="113">
        <v>45709</v>
      </c>
      <c r="M731" s="45" t="s">
        <v>246</v>
      </c>
    </row>
    <row r="732" spans="1:13">
      <c r="A732">
        <v>731</v>
      </c>
      <c r="B732" t="s">
        <v>138</v>
      </c>
      <c r="C732">
        <v>11</v>
      </c>
      <c r="D732" t="s">
        <v>173</v>
      </c>
      <c r="E732">
        <v>132</v>
      </c>
      <c r="F732" t="s">
        <v>8428</v>
      </c>
      <c r="G732">
        <v>1</v>
      </c>
      <c r="H732" t="s">
        <v>8429</v>
      </c>
      <c r="I732" s="45" t="s">
        <v>6754</v>
      </c>
      <c r="J732" s="122">
        <v>45707</v>
      </c>
      <c r="K732" s="110" t="str">
        <f t="shared" si="8"/>
        <v>https://Estud2024.sawtoothsoftware.com/cgi-bin/ciwweb.pl?studyname=Estud2024&amp;ID=731</v>
      </c>
      <c r="L732" s="113">
        <v>45709</v>
      </c>
      <c r="M732" s="45" t="s">
        <v>246</v>
      </c>
    </row>
    <row r="733" spans="1:13">
      <c r="A733">
        <v>732</v>
      </c>
      <c r="B733" t="s">
        <v>138</v>
      </c>
      <c r="C733">
        <v>11</v>
      </c>
      <c r="D733" t="s">
        <v>173</v>
      </c>
      <c r="E733">
        <v>132</v>
      </c>
      <c r="F733" t="s">
        <v>8430</v>
      </c>
      <c r="G733">
        <v>1</v>
      </c>
      <c r="H733" t="s">
        <v>8431</v>
      </c>
      <c r="I733" s="45" t="s">
        <v>6754</v>
      </c>
      <c r="J733" s="122">
        <v>45707</v>
      </c>
      <c r="K733" s="110" t="str">
        <f t="shared" si="8"/>
        <v>https://Estud2024.sawtoothsoftware.com/cgi-bin/ciwweb.pl?studyname=Estud2024&amp;ID=732</v>
      </c>
      <c r="L733" s="113">
        <v>45709</v>
      </c>
      <c r="M733" s="45" t="s">
        <v>246</v>
      </c>
    </row>
    <row r="734" spans="1:13">
      <c r="A734">
        <v>733</v>
      </c>
      <c r="B734" t="s">
        <v>138</v>
      </c>
      <c r="C734">
        <v>11</v>
      </c>
      <c r="D734" t="s">
        <v>173</v>
      </c>
      <c r="E734">
        <v>132</v>
      </c>
      <c r="F734" t="s">
        <v>8432</v>
      </c>
      <c r="G734">
        <v>1</v>
      </c>
      <c r="H734" t="s">
        <v>8433</v>
      </c>
      <c r="I734" s="45" t="s">
        <v>6754</v>
      </c>
      <c r="J734" s="122">
        <v>45707</v>
      </c>
      <c r="K734" s="110" t="str">
        <f t="shared" si="8"/>
        <v>https://Estud2024.sawtoothsoftware.com/cgi-bin/ciwweb.pl?studyname=Estud2024&amp;ID=733</v>
      </c>
      <c r="L734" s="113">
        <v>45709</v>
      </c>
      <c r="M734" s="45" t="s">
        <v>246</v>
      </c>
    </row>
    <row r="735" spans="1:13">
      <c r="A735">
        <v>734</v>
      </c>
      <c r="B735" t="s">
        <v>138</v>
      </c>
      <c r="C735">
        <v>11</v>
      </c>
      <c r="D735" t="s">
        <v>173</v>
      </c>
      <c r="E735">
        <v>132</v>
      </c>
      <c r="F735" t="s">
        <v>8434</v>
      </c>
      <c r="G735">
        <v>1</v>
      </c>
      <c r="H735" t="s">
        <v>8435</v>
      </c>
      <c r="I735" s="45" t="s">
        <v>6754</v>
      </c>
      <c r="J735" s="122">
        <v>45707</v>
      </c>
      <c r="K735" s="110" t="str">
        <f t="shared" si="8"/>
        <v>https://Estud2024.sawtoothsoftware.com/cgi-bin/ciwweb.pl?studyname=Estud2024&amp;ID=734</v>
      </c>
      <c r="L735" s="113">
        <v>45709</v>
      </c>
      <c r="M735" s="45" t="s">
        <v>246</v>
      </c>
    </row>
    <row r="736" spans="1:13">
      <c r="A736">
        <v>735</v>
      </c>
      <c r="B736" t="s">
        <v>138</v>
      </c>
      <c r="C736">
        <v>11</v>
      </c>
      <c r="D736" t="s">
        <v>173</v>
      </c>
      <c r="E736">
        <v>132</v>
      </c>
      <c r="F736" t="s">
        <v>8436</v>
      </c>
      <c r="G736">
        <v>1</v>
      </c>
      <c r="H736" t="s">
        <v>8437</v>
      </c>
      <c r="I736" s="45" t="s">
        <v>6754</v>
      </c>
      <c r="J736" s="122">
        <v>45707</v>
      </c>
      <c r="K736" s="110" t="str">
        <f t="shared" si="8"/>
        <v>https://Estud2024.sawtoothsoftware.com/cgi-bin/ciwweb.pl?studyname=Estud2024&amp;ID=735</v>
      </c>
      <c r="L736" s="113">
        <v>45709</v>
      </c>
      <c r="M736" s="45" t="s">
        <v>246</v>
      </c>
    </row>
    <row r="737" spans="1:13">
      <c r="A737">
        <v>736</v>
      </c>
      <c r="B737" t="s">
        <v>138</v>
      </c>
      <c r="C737">
        <v>11</v>
      </c>
      <c r="D737" t="s">
        <v>173</v>
      </c>
      <c r="E737">
        <v>132</v>
      </c>
      <c r="F737" t="s">
        <v>8438</v>
      </c>
      <c r="G737">
        <v>1</v>
      </c>
      <c r="H737" t="s">
        <v>8439</v>
      </c>
      <c r="I737" s="45" t="s">
        <v>6754</v>
      </c>
      <c r="J737" s="122">
        <v>45707</v>
      </c>
      <c r="K737" s="110" t="str">
        <f t="shared" si="8"/>
        <v>https://Estud2024.sawtoothsoftware.com/cgi-bin/ciwweb.pl?studyname=Estud2024&amp;ID=736</v>
      </c>
      <c r="L737" s="113">
        <v>45709</v>
      </c>
      <c r="M737" s="45" t="s">
        <v>246</v>
      </c>
    </row>
    <row r="738" spans="1:13">
      <c r="A738">
        <v>737</v>
      </c>
      <c r="B738" t="s">
        <v>138</v>
      </c>
      <c r="C738">
        <v>11</v>
      </c>
      <c r="D738" t="s">
        <v>173</v>
      </c>
      <c r="E738">
        <v>132</v>
      </c>
      <c r="F738" t="s">
        <v>8440</v>
      </c>
      <c r="G738">
        <v>1</v>
      </c>
      <c r="H738" t="s">
        <v>8441</v>
      </c>
      <c r="I738" s="45" t="s">
        <v>6754</v>
      </c>
      <c r="J738" s="122">
        <v>45707</v>
      </c>
      <c r="K738" s="110" t="str">
        <f t="shared" si="8"/>
        <v>https://Estud2024.sawtoothsoftware.com/cgi-bin/ciwweb.pl?studyname=Estud2024&amp;ID=737</v>
      </c>
      <c r="L738" s="113">
        <v>45709</v>
      </c>
      <c r="M738" s="45" t="s">
        <v>246</v>
      </c>
    </row>
    <row r="739" spans="1:13">
      <c r="A739">
        <v>738</v>
      </c>
      <c r="B739" t="s">
        <v>138</v>
      </c>
      <c r="C739">
        <v>11</v>
      </c>
      <c r="D739" t="s">
        <v>173</v>
      </c>
      <c r="E739">
        <v>132</v>
      </c>
      <c r="F739" t="s">
        <v>8442</v>
      </c>
      <c r="G739">
        <v>1</v>
      </c>
      <c r="H739" t="s">
        <v>8443</v>
      </c>
      <c r="I739" s="45" t="s">
        <v>6754</v>
      </c>
      <c r="J739" s="122">
        <v>45707</v>
      </c>
      <c r="K739" s="110" t="str">
        <f t="shared" si="8"/>
        <v>https://Estud2024.sawtoothsoftware.com/cgi-bin/ciwweb.pl?studyname=Estud2024&amp;ID=738</v>
      </c>
      <c r="L739" s="113">
        <v>45709</v>
      </c>
      <c r="M739" s="45" t="s">
        <v>246</v>
      </c>
    </row>
    <row r="740" spans="1:13">
      <c r="A740">
        <v>739</v>
      </c>
      <c r="B740" t="s">
        <v>138</v>
      </c>
      <c r="C740">
        <v>11</v>
      </c>
      <c r="D740" t="s">
        <v>173</v>
      </c>
      <c r="E740">
        <v>132</v>
      </c>
      <c r="F740" t="s">
        <v>8444</v>
      </c>
      <c r="G740">
        <v>1</v>
      </c>
      <c r="H740" t="s">
        <v>8445</v>
      </c>
      <c r="I740" s="45" t="s">
        <v>6754</v>
      </c>
      <c r="J740" s="122">
        <v>45707</v>
      </c>
      <c r="K740" s="110" t="str">
        <f t="shared" si="8"/>
        <v>https://Estud2024.sawtoothsoftware.com/cgi-bin/ciwweb.pl?studyname=Estud2024&amp;ID=739</v>
      </c>
      <c r="L740" s="113">
        <v>45709</v>
      </c>
      <c r="M740" s="45" t="s">
        <v>246</v>
      </c>
    </row>
    <row r="741" spans="1:13">
      <c r="A741">
        <v>740</v>
      </c>
      <c r="B741" t="s">
        <v>138</v>
      </c>
      <c r="C741">
        <v>11</v>
      </c>
      <c r="D741" t="s">
        <v>173</v>
      </c>
      <c r="E741">
        <v>132</v>
      </c>
      <c r="F741" t="s">
        <v>8446</v>
      </c>
      <c r="G741">
        <v>1</v>
      </c>
      <c r="H741" t="s">
        <v>8447</v>
      </c>
      <c r="I741" s="45" t="s">
        <v>6754</v>
      </c>
      <c r="J741" s="122">
        <v>45707</v>
      </c>
      <c r="K741" s="110" t="str">
        <f t="shared" si="8"/>
        <v>https://Estud2024.sawtoothsoftware.com/cgi-bin/ciwweb.pl?studyname=Estud2024&amp;ID=740</v>
      </c>
      <c r="L741" s="113">
        <v>45709</v>
      </c>
      <c r="M741" s="45" t="s">
        <v>246</v>
      </c>
    </row>
    <row r="742" spans="1:13">
      <c r="A742">
        <v>741</v>
      </c>
      <c r="B742" t="s">
        <v>138</v>
      </c>
      <c r="C742">
        <v>11</v>
      </c>
      <c r="D742" t="s">
        <v>174</v>
      </c>
      <c r="E742">
        <v>131</v>
      </c>
      <c r="F742" t="s">
        <v>8448</v>
      </c>
      <c r="G742">
        <v>1</v>
      </c>
      <c r="H742" t="s">
        <v>8449</v>
      </c>
      <c r="I742" s="45" t="s">
        <v>6754</v>
      </c>
      <c r="J742" s="122">
        <v>45707</v>
      </c>
      <c r="K742" s="110" t="str">
        <f t="shared" si="8"/>
        <v>https://Estud2024.sawtoothsoftware.com/cgi-bin/ciwweb.pl?studyname=Estud2024&amp;ID=741</v>
      </c>
      <c r="L742" s="113">
        <v>45709</v>
      </c>
      <c r="M742" s="45" t="s">
        <v>246</v>
      </c>
    </row>
    <row r="743" spans="1:13">
      <c r="A743">
        <v>742</v>
      </c>
      <c r="B743" t="s">
        <v>138</v>
      </c>
      <c r="C743">
        <v>11</v>
      </c>
      <c r="D743" t="s">
        <v>174</v>
      </c>
      <c r="E743">
        <v>131</v>
      </c>
      <c r="F743" t="s">
        <v>8450</v>
      </c>
      <c r="G743">
        <v>1</v>
      </c>
      <c r="H743" t="s">
        <v>8451</v>
      </c>
      <c r="I743" s="45" t="s">
        <v>6754</v>
      </c>
      <c r="J743" s="122">
        <v>45707</v>
      </c>
      <c r="K743" s="110" t="str">
        <f t="shared" si="8"/>
        <v>https://Estud2024.sawtoothsoftware.com/cgi-bin/ciwweb.pl?studyname=Estud2024&amp;ID=742</v>
      </c>
      <c r="L743" s="113">
        <v>45709</v>
      </c>
      <c r="M743" s="45" t="s">
        <v>246</v>
      </c>
    </row>
    <row r="744" spans="1:13">
      <c r="A744">
        <v>743</v>
      </c>
      <c r="B744" t="s">
        <v>138</v>
      </c>
      <c r="C744">
        <v>11</v>
      </c>
      <c r="D744" t="s">
        <v>174</v>
      </c>
      <c r="E744">
        <v>131</v>
      </c>
      <c r="F744" t="s">
        <v>8452</v>
      </c>
      <c r="G744">
        <v>1</v>
      </c>
      <c r="H744" t="s">
        <v>8453</v>
      </c>
      <c r="I744" s="45" t="s">
        <v>6754</v>
      </c>
      <c r="J744" s="122">
        <v>45707</v>
      </c>
      <c r="K744" s="110" t="str">
        <f t="shared" si="8"/>
        <v>https://Estud2024.sawtoothsoftware.com/cgi-bin/ciwweb.pl?studyname=Estud2024&amp;ID=743</v>
      </c>
      <c r="L744" s="113">
        <v>45709</v>
      </c>
      <c r="M744" s="45" t="s">
        <v>246</v>
      </c>
    </row>
    <row r="745" spans="1:13">
      <c r="A745">
        <v>744</v>
      </c>
      <c r="B745" t="s">
        <v>138</v>
      </c>
      <c r="C745">
        <v>11</v>
      </c>
      <c r="D745" t="s">
        <v>174</v>
      </c>
      <c r="E745">
        <v>131</v>
      </c>
      <c r="F745" t="s">
        <v>8454</v>
      </c>
      <c r="G745">
        <v>1</v>
      </c>
      <c r="H745" t="s">
        <v>8455</v>
      </c>
      <c r="I745" s="45" t="s">
        <v>6754</v>
      </c>
      <c r="J745" s="122">
        <v>45707</v>
      </c>
      <c r="K745" s="110" t="str">
        <f t="shared" si="8"/>
        <v>https://Estud2024.sawtoothsoftware.com/cgi-bin/ciwweb.pl?studyname=Estud2024&amp;ID=744</v>
      </c>
      <c r="L745" s="113">
        <v>45709</v>
      </c>
      <c r="M745" s="45" t="s">
        <v>246</v>
      </c>
    </row>
    <row r="746" spans="1:13">
      <c r="A746">
        <v>745</v>
      </c>
      <c r="B746" t="s">
        <v>138</v>
      </c>
      <c r="C746">
        <v>11</v>
      </c>
      <c r="D746" t="s">
        <v>174</v>
      </c>
      <c r="E746">
        <v>131</v>
      </c>
      <c r="F746" t="s">
        <v>8456</v>
      </c>
      <c r="G746">
        <v>1</v>
      </c>
      <c r="H746" t="s">
        <v>8457</v>
      </c>
      <c r="I746" s="45" t="s">
        <v>6754</v>
      </c>
      <c r="J746" s="122">
        <v>45707</v>
      </c>
      <c r="K746" s="110" t="str">
        <f t="shared" si="8"/>
        <v>https://Estud2024.sawtoothsoftware.com/cgi-bin/ciwweb.pl?studyname=Estud2024&amp;ID=745</v>
      </c>
      <c r="L746" s="113">
        <v>45709</v>
      </c>
      <c r="M746" s="45" t="s">
        <v>246</v>
      </c>
    </row>
    <row r="747" spans="1:13">
      <c r="A747">
        <v>746</v>
      </c>
      <c r="B747" t="s">
        <v>138</v>
      </c>
      <c r="C747">
        <v>11</v>
      </c>
      <c r="D747" t="s">
        <v>174</v>
      </c>
      <c r="E747">
        <v>131</v>
      </c>
      <c r="F747" t="s">
        <v>8458</v>
      </c>
      <c r="G747">
        <v>1</v>
      </c>
      <c r="H747" t="s">
        <v>8459</v>
      </c>
      <c r="I747" s="45" t="s">
        <v>6754</v>
      </c>
      <c r="J747" s="122">
        <v>45707</v>
      </c>
      <c r="K747" s="110" t="str">
        <f t="shared" si="8"/>
        <v>https://Estud2024.sawtoothsoftware.com/cgi-bin/ciwweb.pl?studyname=Estud2024&amp;ID=746</v>
      </c>
      <c r="L747" s="113">
        <v>45709</v>
      </c>
      <c r="M747" s="45" t="s">
        <v>246</v>
      </c>
    </row>
    <row r="748" spans="1:13">
      <c r="A748">
        <v>747</v>
      </c>
      <c r="B748" t="s">
        <v>138</v>
      </c>
      <c r="C748">
        <v>11</v>
      </c>
      <c r="D748" t="s">
        <v>174</v>
      </c>
      <c r="E748">
        <v>131</v>
      </c>
      <c r="F748" t="s">
        <v>8460</v>
      </c>
      <c r="G748">
        <v>1</v>
      </c>
      <c r="H748" t="s">
        <v>8461</v>
      </c>
      <c r="I748" s="45" t="s">
        <v>6754</v>
      </c>
      <c r="J748" s="122">
        <v>45707</v>
      </c>
      <c r="K748" s="110" t="str">
        <f t="shared" si="8"/>
        <v>https://Estud2024.sawtoothsoftware.com/cgi-bin/ciwweb.pl?studyname=Estud2024&amp;ID=747</v>
      </c>
      <c r="L748" s="113">
        <v>45709</v>
      </c>
      <c r="M748" s="45" t="s">
        <v>246</v>
      </c>
    </row>
    <row r="749" spans="1:13">
      <c r="A749">
        <v>748</v>
      </c>
      <c r="B749" t="s">
        <v>138</v>
      </c>
      <c r="C749">
        <v>11</v>
      </c>
      <c r="D749" t="s">
        <v>174</v>
      </c>
      <c r="E749">
        <v>131</v>
      </c>
      <c r="F749" t="s">
        <v>8462</v>
      </c>
      <c r="G749">
        <v>1</v>
      </c>
      <c r="H749" t="s">
        <v>8463</v>
      </c>
      <c r="I749" s="45" t="s">
        <v>6754</v>
      </c>
      <c r="J749" s="122">
        <v>45707</v>
      </c>
      <c r="K749" s="110" t="str">
        <f t="shared" si="8"/>
        <v>https://Estud2024.sawtoothsoftware.com/cgi-bin/ciwweb.pl?studyname=Estud2024&amp;ID=748</v>
      </c>
      <c r="L749" s="113">
        <v>45709</v>
      </c>
      <c r="M749" s="45" t="s">
        <v>246</v>
      </c>
    </row>
    <row r="750" spans="1:13">
      <c r="A750">
        <v>749</v>
      </c>
      <c r="B750" t="s">
        <v>138</v>
      </c>
      <c r="C750">
        <v>11</v>
      </c>
      <c r="D750" t="s">
        <v>174</v>
      </c>
      <c r="E750">
        <v>131</v>
      </c>
      <c r="F750" t="s">
        <v>8464</v>
      </c>
      <c r="G750">
        <v>1</v>
      </c>
      <c r="H750" t="s">
        <v>8465</v>
      </c>
      <c r="I750" s="45" t="s">
        <v>6754</v>
      </c>
      <c r="J750" s="122">
        <v>45707</v>
      </c>
      <c r="K750" s="110" t="str">
        <f t="shared" si="8"/>
        <v>https://Estud2024.sawtoothsoftware.com/cgi-bin/ciwweb.pl?studyname=Estud2024&amp;ID=749</v>
      </c>
      <c r="L750" s="113">
        <v>45709</v>
      </c>
      <c r="M750" s="45" t="s">
        <v>246</v>
      </c>
    </row>
    <row r="751" spans="1:13">
      <c r="A751">
        <v>750</v>
      </c>
      <c r="B751" t="s">
        <v>138</v>
      </c>
      <c r="C751">
        <v>11</v>
      </c>
      <c r="D751" t="s">
        <v>174</v>
      </c>
      <c r="E751">
        <v>131</v>
      </c>
      <c r="F751" t="s">
        <v>8466</v>
      </c>
      <c r="G751">
        <v>1</v>
      </c>
      <c r="H751" t="s">
        <v>8467</v>
      </c>
      <c r="I751" s="45" t="s">
        <v>6754</v>
      </c>
      <c r="J751" s="122">
        <v>45707</v>
      </c>
      <c r="K751" s="110" t="str">
        <f t="shared" si="8"/>
        <v>https://Estud2024.sawtoothsoftware.com/cgi-bin/ciwweb.pl?studyname=Estud2024&amp;ID=750</v>
      </c>
      <c r="L751" s="113">
        <v>45709</v>
      </c>
      <c r="M751" s="45" t="s">
        <v>246</v>
      </c>
    </row>
    <row r="752" spans="1:13">
      <c r="A752">
        <v>751</v>
      </c>
      <c r="B752" t="s">
        <v>138</v>
      </c>
      <c r="C752">
        <v>11</v>
      </c>
      <c r="D752" t="s">
        <v>174</v>
      </c>
      <c r="E752">
        <v>131</v>
      </c>
      <c r="F752" t="s">
        <v>8468</v>
      </c>
      <c r="G752">
        <v>1</v>
      </c>
      <c r="H752" t="s">
        <v>8469</v>
      </c>
      <c r="I752" s="45" t="s">
        <v>6754</v>
      </c>
      <c r="J752" s="122">
        <v>45707</v>
      </c>
      <c r="K752" s="110" t="str">
        <f t="shared" si="8"/>
        <v>https://Estud2024.sawtoothsoftware.com/cgi-bin/ciwweb.pl?studyname=Estud2024&amp;ID=751</v>
      </c>
      <c r="L752" s="113">
        <v>45709</v>
      </c>
      <c r="M752" s="45" t="s">
        <v>246</v>
      </c>
    </row>
    <row r="753" spans="1:13">
      <c r="A753">
        <v>752</v>
      </c>
      <c r="B753" t="s">
        <v>138</v>
      </c>
      <c r="C753">
        <v>11</v>
      </c>
      <c r="D753" t="s">
        <v>174</v>
      </c>
      <c r="E753">
        <v>131</v>
      </c>
      <c r="F753" t="s">
        <v>8470</v>
      </c>
      <c r="G753">
        <v>1</v>
      </c>
      <c r="H753" t="s">
        <v>8471</v>
      </c>
      <c r="I753" s="45" t="s">
        <v>6754</v>
      </c>
      <c r="J753" s="122">
        <v>45707</v>
      </c>
      <c r="K753" s="110" t="str">
        <f t="shared" si="8"/>
        <v>https://Estud2024.sawtoothsoftware.com/cgi-bin/ciwweb.pl?studyname=Estud2024&amp;ID=752</v>
      </c>
      <c r="L753" s="113">
        <v>45709</v>
      </c>
      <c r="M753" s="45" t="s">
        <v>246</v>
      </c>
    </row>
    <row r="754" spans="1:13">
      <c r="A754">
        <v>753</v>
      </c>
      <c r="B754" t="s">
        <v>138</v>
      </c>
      <c r="C754">
        <v>11</v>
      </c>
      <c r="D754" t="s">
        <v>174</v>
      </c>
      <c r="E754">
        <v>131</v>
      </c>
      <c r="F754" t="s">
        <v>8472</v>
      </c>
      <c r="G754">
        <v>1</v>
      </c>
      <c r="H754" t="s">
        <v>8473</v>
      </c>
      <c r="I754" s="45" t="s">
        <v>6754</v>
      </c>
      <c r="J754" s="122">
        <v>45707</v>
      </c>
      <c r="K754" s="110" t="str">
        <f t="shared" si="8"/>
        <v>https://Estud2024.sawtoothsoftware.com/cgi-bin/ciwweb.pl?studyname=Estud2024&amp;ID=753</v>
      </c>
      <c r="L754" s="113">
        <v>45709</v>
      </c>
      <c r="M754" s="45" t="s">
        <v>246</v>
      </c>
    </row>
    <row r="755" spans="1:13">
      <c r="A755">
        <v>754</v>
      </c>
      <c r="B755" t="s">
        <v>138</v>
      </c>
      <c r="C755">
        <v>11</v>
      </c>
      <c r="D755" t="s">
        <v>174</v>
      </c>
      <c r="E755">
        <v>131</v>
      </c>
      <c r="F755" t="s">
        <v>8474</v>
      </c>
      <c r="G755">
        <v>1</v>
      </c>
      <c r="H755" t="s">
        <v>8475</v>
      </c>
      <c r="I755" s="45" t="s">
        <v>6754</v>
      </c>
      <c r="J755" s="122">
        <v>45707</v>
      </c>
      <c r="K755" s="110" t="str">
        <f t="shared" si="8"/>
        <v>https://Estud2024.sawtoothsoftware.com/cgi-bin/ciwweb.pl?studyname=Estud2024&amp;ID=754</v>
      </c>
      <c r="L755" s="113">
        <v>45709</v>
      </c>
      <c r="M755" s="45" t="s">
        <v>246</v>
      </c>
    </row>
    <row r="756" spans="1:13">
      <c r="A756">
        <v>755</v>
      </c>
      <c r="B756" t="s">
        <v>138</v>
      </c>
      <c r="C756">
        <v>11</v>
      </c>
      <c r="D756" t="s">
        <v>174</v>
      </c>
      <c r="E756">
        <v>131</v>
      </c>
      <c r="F756" t="s">
        <v>8476</v>
      </c>
      <c r="G756">
        <v>1</v>
      </c>
      <c r="H756" t="s">
        <v>8477</v>
      </c>
      <c r="I756" s="45" t="s">
        <v>6754</v>
      </c>
      <c r="J756" s="122">
        <v>45707</v>
      </c>
      <c r="K756" s="110" t="str">
        <f t="shared" si="8"/>
        <v>https://Estud2024.sawtoothsoftware.com/cgi-bin/ciwweb.pl?studyname=Estud2024&amp;ID=755</v>
      </c>
      <c r="L756" s="113">
        <v>45709</v>
      </c>
      <c r="M756" s="45" t="s">
        <v>246</v>
      </c>
    </row>
    <row r="757" spans="1:13">
      <c r="A757">
        <v>756</v>
      </c>
      <c r="B757" t="s">
        <v>138</v>
      </c>
      <c r="C757">
        <v>11</v>
      </c>
      <c r="D757" t="s">
        <v>174</v>
      </c>
      <c r="E757">
        <v>131</v>
      </c>
      <c r="F757" t="s">
        <v>8478</v>
      </c>
      <c r="G757">
        <v>1</v>
      </c>
      <c r="H757" t="s">
        <v>8479</v>
      </c>
      <c r="I757" s="45" t="s">
        <v>6754</v>
      </c>
      <c r="J757" s="122">
        <v>45707</v>
      </c>
      <c r="K757" s="110" t="str">
        <f t="shared" si="8"/>
        <v>https://Estud2024.sawtoothsoftware.com/cgi-bin/ciwweb.pl?studyname=Estud2024&amp;ID=756</v>
      </c>
      <c r="L757" s="113">
        <v>45709</v>
      </c>
      <c r="M757" s="45" t="s">
        <v>246</v>
      </c>
    </row>
    <row r="758" spans="1:13">
      <c r="A758">
        <v>757</v>
      </c>
      <c r="B758" t="s">
        <v>138</v>
      </c>
      <c r="C758">
        <v>11</v>
      </c>
      <c r="D758" t="s">
        <v>174</v>
      </c>
      <c r="E758">
        <v>131</v>
      </c>
      <c r="F758" t="s">
        <v>8480</v>
      </c>
      <c r="G758">
        <v>1</v>
      </c>
      <c r="H758" t="s">
        <v>8481</v>
      </c>
      <c r="I758" s="45" t="s">
        <v>6754</v>
      </c>
      <c r="J758" s="122">
        <v>45707</v>
      </c>
      <c r="K758" s="110" t="str">
        <f t="shared" si="8"/>
        <v>https://Estud2024.sawtoothsoftware.com/cgi-bin/ciwweb.pl?studyname=Estud2024&amp;ID=757</v>
      </c>
      <c r="L758" s="113">
        <v>45709</v>
      </c>
      <c r="M758" s="45" t="s">
        <v>246</v>
      </c>
    </row>
    <row r="759" spans="1:13">
      <c r="A759">
        <v>758</v>
      </c>
      <c r="B759" t="s">
        <v>138</v>
      </c>
      <c r="C759">
        <v>11</v>
      </c>
      <c r="D759" t="s">
        <v>174</v>
      </c>
      <c r="E759">
        <v>131</v>
      </c>
      <c r="F759" t="s">
        <v>8482</v>
      </c>
      <c r="G759">
        <v>1</v>
      </c>
      <c r="H759" t="s">
        <v>8483</v>
      </c>
      <c r="I759" s="45" t="s">
        <v>6754</v>
      </c>
      <c r="J759" s="122">
        <v>45707</v>
      </c>
      <c r="K759" s="110" t="str">
        <f t="shared" si="8"/>
        <v>https://Estud2024.sawtoothsoftware.com/cgi-bin/ciwweb.pl?studyname=Estud2024&amp;ID=758</v>
      </c>
      <c r="L759" s="113">
        <v>45709</v>
      </c>
      <c r="M759" s="45" t="s">
        <v>246</v>
      </c>
    </row>
    <row r="760" spans="1:13">
      <c r="A760">
        <v>759</v>
      </c>
      <c r="B760" t="s">
        <v>138</v>
      </c>
      <c r="C760">
        <v>11</v>
      </c>
      <c r="D760" t="s">
        <v>174</v>
      </c>
      <c r="E760">
        <v>131</v>
      </c>
      <c r="F760" t="s">
        <v>8484</v>
      </c>
      <c r="G760">
        <v>1</v>
      </c>
      <c r="H760" t="s">
        <v>8485</v>
      </c>
      <c r="I760" s="45" t="s">
        <v>6754</v>
      </c>
      <c r="J760" s="122">
        <v>45707</v>
      </c>
      <c r="K760" s="110" t="str">
        <f t="shared" si="8"/>
        <v>https://Estud2024.sawtoothsoftware.com/cgi-bin/ciwweb.pl?studyname=Estud2024&amp;ID=759</v>
      </c>
      <c r="L760" s="113">
        <v>45709</v>
      </c>
      <c r="M760" s="45" t="s">
        <v>246</v>
      </c>
    </row>
    <row r="761" spans="1:13">
      <c r="A761">
        <v>760</v>
      </c>
      <c r="B761" t="s">
        <v>138</v>
      </c>
      <c r="C761">
        <v>11</v>
      </c>
      <c r="D761" t="s">
        <v>174</v>
      </c>
      <c r="E761">
        <v>131</v>
      </c>
      <c r="F761" t="s">
        <v>8486</v>
      </c>
      <c r="G761">
        <v>1</v>
      </c>
      <c r="H761" t="s">
        <v>8487</v>
      </c>
      <c r="I761" s="45" t="s">
        <v>6754</v>
      </c>
      <c r="J761" s="122">
        <v>45707</v>
      </c>
      <c r="K761" s="110" t="str">
        <f t="shared" si="8"/>
        <v>https://Estud2024.sawtoothsoftware.com/cgi-bin/ciwweb.pl?studyname=Estud2024&amp;ID=760</v>
      </c>
      <c r="L761" s="113">
        <v>45709</v>
      </c>
      <c r="M761" s="45" t="s">
        <v>246</v>
      </c>
    </row>
    <row r="762" spans="1:13">
      <c r="A762">
        <v>761</v>
      </c>
      <c r="B762" t="s">
        <v>138</v>
      </c>
      <c r="C762">
        <v>11</v>
      </c>
      <c r="D762" t="s">
        <v>174</v>
      </c>
      <c r="E762">
        <v>131</v>
      </c>
      <c r="F762" t="s">
        <v>8488</v>
      </c>
      <c r="G762">
        <v>1</v>
      </c>
      <c r="H762" t="s">
        <v>8489</v>
      </c>
      <c r="I762" s="45" t="s">
        <v>6754</v>
      </c>
      <c r="J762" s="122">
        <v>45707</v>
      </c>
      <c r="K762" s="110" t="str">
        <f t="shared" si="8"/>
        <v>https://Estud2024.sawtoothsoftware.com/cgi-bin/ciwweb.pl?studyname=Estud2024&amp;ID=761</v>
      </c>
      <c r="L762" s="113">
        <v>45709</v>
      </c>
      <c r="M762" s="45" t="s">
        <v>246</v>
      </c>
    </row>
    <row r="763" spans="1:13">
      <c r="A763">
        <v>762</v>
      </c>
      <c r="B763" t="s">
        <v>138</v>
      </c>
      <c r="C763">
        <v>11</v>
      </c>
      <c r="D763" t="s">
        <v>174</v>
      </c>
      <c r="E763">
        <v>131</v>
      </c>
      <c r="F763" t="s">
        <v>8490</v>
      </c>
      <c r="G763">
        <v>1</v>
      </c>
      <c r="H763" t="s">
        <v>8491</v>
      </c>
      <c r="I763" s="45" t="s">
        <v>6754</v>
      </c>
      <c r="J763" s="122">
        <v>45707</v>
      </c>
      <c r="K763" s="110" t="str">
        <f t="shared" si="8"/>
        <v>https://Estud2024.sawtoothsoftware.com/cgi-bin/ciwweb.pl?studyname=Estud2024&amp;ID=762</v>
      </c>
      <c r="L763" s="113">
        <v>45709</v>
      </c>
      <c r="M763" s="45" t="s">
        <v>246</v>
      </c>
    </row>
    <row r="764" spans="1:13">
      <c r="A764">
        <v>763</v>
      </c>
      <c r="B764" t="s">
        <v>138</v>
      </c>
      <c r="C764">
        <v>11</v>
      </c>
      <c r="D764" t="s">
        <v>174</v>
      </c>
      <c r="E764">
        <v>131</v>
      </c>
      <c r="F764" t="s">
        <v>8492</v>
      </c>
      <c r="G764">
        <v>1</v>
      </c>
      <c r="H764" t="s">
        <v>8493</v>
      </c>
      <c r="I764" s="45" t="s">
        <v>6754</v>
      </c>
      <c r="J764" s="122">
        <v>45707</v>
      </c>
      <c r="K764" s="110" t="str">
        <f t="shared" si="8"/>
        <v>https://Estud2024.sawtoothsoftware.com/cgi-bin/ciwweb.pl?studyname=Estud2024&amp;ID=763</v>
      </c>
      <c r="L764" s="113">
        <v>45709</v>
      </c>
      <c r="M764" s="45" t="s">
        <v>246</v>
      </c>
    </row>
    <row r="765" spans="1:13">
      <c r="A765">
        <v>764</v>
      </c>
      <c r="B765" t="s">
        <v>138</v>
      </c>
      <c r="C765">
        <v>11</v>
      </c>
      <c r="D765" t="s">
        <v>174</v>
      </c>
      <c r="E765">
        <v>131</v>
      </c>
      <c r="F765" t="s">
        <v>8494</v>
      </c>
      <c r="G765">
        <v>1</v>
      </c>
      <c r="H765" t="s">
        <v>8495</v>
      </c>
      <c r="I765" s="45" t="s">
        <v>6754</v>
      </c>
      <c r="J765" s="122">
        <v>45707</v>
      </c>
      <c r="K765" s="110" t="str">
        <f t="shared" si="8"/>
        <v>https://Estud2024.sawtoothsoftware.com/cgi-bin/ciwweb.pl?studyname=Estud2024&amp;ID=764</v>
      </c>
      <c r="L765" s="113">
        <v>45709</v>
      </c>
      <c r="M765" s="45" t="s">
        <v>247</v>
      </c>
    </row>
    <row r="766" spans="1:13">
      <c r="A766">
        <v>765</v>
      </c>
      <c r="B766" t="s">
        <v>138</v>
      </c>
      <c r="C766">
        <v>11</v>
      </c>
      <c r="D766" t="s">
        <v>174</v>
      </c>
      <c r="E766">
        <v>131</v>
      </c>
      <c r="F766" t="s">
        <v>8496</v>
      </c>
      <c r="G766">
        <v>1</v>
      </c>
      <c r="H766" t="s">
        <v>8497</v>
      </c>
      <c r="I766" s="45" t="s">
        <v>6754</v>
      </c>
      <c r="J766" s="122">
        <v>45707</v>
      </c>
      <c r="K766" s="110" t="str">
        <f t="shared" si="8"/>
        <v>https://Estud2024.sawtoothsoftware.com/cgi-bin/ciwweb.pl?studyname=Estud2024&amp;ID=765</v>
      </c>
      <c r="L766" s="113">
        <v>45709</v>
      </c>
      <c r="M766" s="45" t="s">
        <v>247</v>
      </c>
    </row>
    <row r="767" spans="1:13">
      <c r="A767">
        <v>766</v>
      </c>
      <c r="B767" t="s">
        <v>138</v>
      </c>
      <c r="C767">
        <v>11</v>
      </c>
      <c r="D767" t="s">
        <v>174</v>
      </c>
      <c r="E767">
        <v>131</v>
      </c>
      <c r="F767" t="s">
        <v>8498</v>
      </c>
      <c r="G767">
        <v>1</v>
      </c>
      <c r="H767" t="s">
        <v>8499</v>
      </c>
      <c r="I767" s="45" t="s">
        <v>6754</v>
      </c>
      <c r="J767" s="122">
        <v>45707</v>
      </c>
      <c r="K767" s="110" t="str">
        <f t="shared" si="8"/>
        <v>https://Estud2024.sawtoothsoftware.com/cgi-bin/ciwweb.pl?studyname=Estud2024&amp;ID=766</v>
      </c>
      <c r="L767" s="113">
        <v>45709</v>
      </c>
      <c r="M767" s="45" t="s">
        <v>247</v>
      </c>
    </row>
    <row r="768" spans="1:13">
      <c r="A768">
        <v>767</v>
      </c>
      <c r="B768" t="s">
        <v>138</v>
      </c>
      <c r="C768">
        <v>11</v>
      </c>
      <c r="D768" t="s">
        <v>174</v>
      </c>
      <c r="E768">
        <v>131</v>
      </c>
      <c r="F768" t="s">
        <v>8500</v>
      </c>
      <c r="G768">
        <v>1</v>
      </c>
      <c r="H768" t="s">
        <v>8501</v>
      </c>
      <c r="I768" s="45" t="s">
        <v>6754</v>
      </c>
      <c r="J768" s="122">
        <v>45707</v>
      </c>
      <c r="K768" s="110" t="str">
        <f t="shared" si="8"/>
        <v>https://Estud2024.sawtoothsoftware.com/cgi-bin/ciwweb.pl?studyname=Estud2024&amp;ID=767</v>
      </c>
      <c r="L768" s="113">
        <v>45709</v>
      </c>
      <c r="M768" s="45" t="s">
        <v>247</v>
      </c>
    </row>
    <row r="769" spans="1:13">
      <c r="A769">
        <v>768</v>
      </c>
      <c r="B769" t="s">
        <v>138</v>
      </c>
      <c r="C769">
        <v>11</v>
      </c>
      <c r="D769" t="s">
        <v>174</v>
      </c>
      <c r="E769">
        <v>131</v>
      </c>
      <c r="F769" t="s">
        <v>8502</v>
      </c>
      <c r="G769">
        <v>1</v>
      </c>
      <c r="H769" t="s">
        <v>8503</v>
      </c>
      <c r="I769" s="45" t="s">
        <v>6754</v>
      </c>
      <c r="J769" s="122">
        <v>45707</v>
      </c>
      <c r="K769" s="110" t="str">
        <f t="shared" si="8"/>
        <v>https://Estud2024.sawtoothsoftware.com/cgi-bin/ciwweb.pl?studyname=Estud2024&amp;ID=768</v>
      </c>
      <c r="L769" s="113">
        <v>45709</v>
      </c>
      <c r="M769" s="45" t="s">
        <v>247</v>
      </c>
    </row>
    <row r="770" spans="1:13">
      <c r="A770">
        <v>769</v>
      </c>
      <c r="B770" t="s">
        <v>138</v>
      </c>
      <c r="C770">
        <v>11</v>
      </c>
      <c r="D770" t="s">
        <v>174</v>
      </c>
      <c r="E770">
        <v>131</v>
      </c>
      <c r="F770" t="s">
        <v>8504</v>
      </c>
      <c r="G770">
        <v>1</v>
      </c>
      <c r="H770" t="s">
        <v>8505</v>
      </c>
      <c r="I770" s="45" t="s">
        <v>6754</v>
      </c>
      <c r="J770" s="122">
        <v>45707</v>
      </c>
      <c r="K770" s="110" t="str">
        <f t="shared" si="8"/>
        <v>https://Estud2024.sawtoothsoftware.com/cgi-bin/ciwweb.pl?studyname=Estud2024&amp;ID=769</v>
      </c>
      <c r="L770" s="113">
        <v>45709</v>
      </c>
      <c r="M770" s="45" t="s">
        <v>247</v>
      </c>
    </row>
    <row r="771" spans="1:13">
      <c r="A771">
        <v>770</v>
      </c>
      <c r="B771" t="s">
        <v>138</v>
      </c>
      <c r="C771">
        <v>11</v>
      </c>
      <c r="D771" t="s">
        <v>174</v>
      </c>
      <c r="E771">
        <v>131</v>
      </c>
      <c r="F771" t="s">
        <v>8506</v>
      </c>
      <c r="G771">
        <v>1</v>
      </c>
      <c r="H771" t="s">
        <v>8507</v>
      </c>
      <c r="I771" s="45" t="s">
        <v>6754</v>
      </c>
      <c r="J771" s="122">
        <v>45707</v>
      </c>
      <c r="K771" s="110" t="str">
        <f t="shared" si="8"/>
        <v>https://Estud2024.sawtoothsoftware.com/cgi-bin/ciwweb.pl?studyname=Estud2024&amp;ID=770</v>
      </c>
      <c r="L771" s="113">
        <v>45709</v>
      </c>
      <c r="M771" s="45" t="s">
        <v>247</v>
      </c>
    </row>
    <row r="772" spans="1:13">
      <c r="A772">
        <v>771</v>
      </c>
      <c r="B772" t="s">
        <v>138</v>
      </c>
      <c r="C772">
        <v>11</v>
      </c>
      <c r="D772" t="s">
        <v>174</v>
      </c>
      <c r="E772">
        <v>131</v>
      </c>
      <c r="F772" t="s">
        <v>8508</v>
      </c>
      <c r="G772">
        <v>1</v>
      </c>
      <c r="H772" t="s">
        <v>8509</v>
      </c>
      <c r="I772" s="45" t="s">
        <v>6754</v>
      </c>
      <c r="J772" s="122">
        <v>45707</v>
      </c>
      <c r="K772" s="110" t="str">
        <f t="shared" si="8"/>
        <v>https://Estud2024.sawtoothsoftware.com/cgi-bin/ciwweb.pl?studyname=Estud2024&amp;ID=771</v>
      </c>
      <c r="L772" s="113">
        <v>45709</v>
      </c>
      <c r="M772" s="45" t="s">
        <v>247</v>
      </c>
    </row>
    <row r="773" spans="1:13">
      <c r="A773">
        <v>772</v>
      </c>
      <c r="B773" t="s">
        <v>138</v>
      </c>
      <c r="C773">
        <v>11</v>
      </c>
      <c r="D773" t="s">
        <v>174</v>
      </c>
      <c r="E773">
        <v>131</v>
      </c>
      <c r="F773" t="s">
        <v>8510</v>
      </c>
      <c r="G773">
        <v>1</v>
      </c>
      <c r="H773" t="s">
        <v>8511</v>
      </c>
      <c r="I773" s="45" t="s">
        <v>6754</v>
      </c>
      <c r="J773" s="122">
        <v>45707</v>
      </c>
      <c r="K773" s="110" t="str">
        <f t="shared" si="8"/>
        <v>https://Estud2024.sawtoothsoftware.com/cgi-bin/ciwweb.pl?studyname=Estud2024&amp;ID=772</v>
      </c>
      <c r="L773" s="113">
        <v>45709</v>
      </c>
      <c r="M773" s="45" t="s">
        <v>247</v>
      </c>
    </row>
    <row r="774" spans="1:13">
      <c r="A774">
        <v>773</v>
      </c>
      <c r="B774" t="s">
        <v>138</v>
      </c>
      <c r="C774">
        <v>11</v>
      </c>
      <c r="D774" t="s">
        <v>174</v>
      </c>
      <c r="E774">
        <v>131</v>
      </c>
      <c r="F774" t="s">
        <v>8512</v>
      </c>
      <c r="G774">
        <v>1</v>
      </c>
      <c r="H774" t="s">
        <v>8513</v>
      </c>
      <c r="I774" s="45" t="s">
        <v>6754</v>
      </c>
      <c r="J774" s="122">
        <v>45707</v>
      </c>
      <c r="K774" s="110" t="str">
        <f t="shared" si="8"/>
        <v>https://Estud2024.sawtoothsoftware.com/cgi-bin/ciwweb.pl?studyname=Estud2024&amp;ID=773</v>
      </c>
      <c r="L774" s="113">
        <v>45709</v>
      </c>
      <c r="M774" s="45" t="s">
        <v>247</v>
      </c>
    </row>
    <row r="775" spans="1:13">
      <c r="A775">
        <v>774</v>
      </c>
      <c r="B775" t="s">
        <v>138</v>
      </c>
      <c r="C775">
        <v>11</v>
      </c>
      <c r="D775" t="s">
        <v>174</v>
      </c>
      <c r="E775">
        <v>131</v>
      </c>
      <c r="F775" t="s">
        <v>8514</v>
      </c>
      <c r="G775">
        <v>1</v>
      </c>
      <c r="H775" t="s">
        <v>8515</v>
      </c>
      <c r="I775" s="45" t="s">
        <v>6754</v>
      </c>
      <c r="J775" s="122">
        <v>45707</v>
      </c>
      <c r="K775" s="110" t="str">
        <f t="shared" si="8"/>
        <v>https://Estud2024.sawtoothsoftware.com/cgi-bin/ciwweb.pl?studyname=Estud2024&amp;ID=774</v>
      </c>
      <c r="L775" s="113">
        <v>45709</v>
      </c>
      <c r="M775" s="45" t="s">
        <v>247</v>
      </c>
    </row>
    <row r="776" spans="1:13">
      <c r="A776">
        <v>775</v>
      </c>
      <c r="B776" t="s">
        <v>138</v>
      </c>
      <c r="C776">
        <v>11</v>
      </c>
      <c r="D776" t="s">
        <v>174</v>
      </c>
      <c r="E776">
        <v>131</v>
      </c>
      <c r="F776" t="s">
        <v>8516</v>
      </c>
      <c r="G776">
        <v>1</v>
      </c>
      <c r="H776" t="s">
        <v>8517</v>
      </c>
      <c r="I776" s="45" t="s">
        <v>6754</v>
      </c>
      <c r="J776" s="122">
        <v>45707</v>
      </c>
      <c r="K776" s="110" t="str">
        <f t="shared" si="8"/>
        <v>https://Estud2024.sawtoothsoftware.com/cgi-bin/ciwweb.pl?studyname=Estud2024&amp;ID=775</v>
      </c>
      <c r="L776" s="113">
        <v>45709</v>
      </c>
      <c r="M776" s="45" t="s">
        <v>247</v>
      </c>
    </row>
    <row r="777" spans="1:13">
      <c r="A777">
        <v>776</v>
      </c>
      <c r="B777" t="s">
        <v>138</v>
      </c>
      <c r="C777">
        <v>11</v>
      </c>
      <c r="D777" t="s">
        <v>174</v>
      </c>
      <c r="E777">
        <v>131</v>
      </c>
      <c r="F777" t="s">
        <v>8518</v>
      </c>
      <c r="G777">
        <v>1</v>
      </c>
      <c r="H777" t="s">
        <v>8519</v>
      </c>
      <c r="I777" s="45" t="s">
        <v>6754</v>
      </c>
      <c r="J777" s="122">
        <v>45707</v>
      </c>
      <c r="K777" s="110" t="str">
        <f t="shared" si="8"/>
        <v>https://Estud2024.sawtoothsoftware.com/cgi-bin/ciwweb.pl?studyname=Estud2024&amp;ID=776</v>
      </c>
      <c r="L777" s="113">
        <v>45709</v>
      </c>
      <c r="M777" s="45" t="s">
        <v>247</v>
      </c>
    </row>
    <row r="778" spans="1:13">
      <c r="A778">
        <v>777</v>
      </c>
      <c r="B778" t="s">
        <v>138</v>
      </c>
      <c r="C778">
        <v>11</v>
      </c>
      <c r="D778" t="s">
        <v>174</v>
      </c>
      <c r="E778">
        <v>131</v>
      </c>
      <c r="F778" t="s">
        <v>8520</v>
      </c>
      <c r="G778">
        <v>1</v>
      </c>
      <c r="H778" t="s">
        <v>8521</v>
      </c>
      <c r="I778" s="45" t="s">
        <v>6754</v>
      </c>
      <c r="J778" s="122">
        <v>45707</v>
      </c>
      <c r="K778" s="110" t="str">
        <f t="shared" si="8"/>
        <v>https://Estud2024.sawtoothsoftware.com/cgi-bin/ciwweb.pl?studyname=Estud2024&amp;ID=777</v>
      </c>
      <c r="L778" s="113">
        <v>45709</v>
      </c>
      <c r="M778" s="45" t="s">
        <v>247</v>
      </c>
    </row>
    <row r="779" spans="1:13">
      <c r="A779">
        <v>778</v>
      </c>
      <c r="B779" t="s">
        <v>138</v>
      </c>
      <c r="C779">
        <v>11</v>
      </c>
      <c r="D779" t="s">
        <v>174</v>
      </c>
      <c r="E779">
        <v>131</v>
      </c>
      <c r="F779" t="s">
        <v>8522</v>
      </c>
      <c r="G779">
        <v>1</v>
      </c>
      <c r="H779" t="s">
        <v>8523</v>
      </c>
      <c r="I779" s="45" t="s">
        <v>6754</v>
      </c>
      <c r="J779" s="122">
        <v>45707</v>
      </c>
      <c r="K779" s="110" t="str">
        <f t="shared" si="8"/>
        <v>https://Estud2024.sawtoothsoftware.com/cgi-bin/ciwweb.pl?studyname=Estud2024&amp;ID=778</v>
      </c>
      <c r="L779" s="113">
        <v>45709</v>
      </c>
      <c r="M779" s="45" t="s">
        <v>247</v>
      </c>
    </row>
    <row r="780" spans="1:13">
      <c r="A780">
        <v>779</v>
      </c>
      <c r="B780" t="s">
        <v>138</v>
      </c>
      <c r="C780">
        <v>11</v>
      </c>
      <c r="D780" t="s">
        <v>174</v>
      </c>
      <c r="E780">
        <v>131</v>
      </c>
      <c r="F780" t="s">
        <v>8524</v>
      </c>
      <c r="G780">
        <v>1</v>
      </c>
      <c r="H780" t="s">
        <v>8525</v>
      </c>
      <c r="I780" s="45" t="s">
        <v>6754</v>
      </c>
      <c r="J780" s="122">
        <v>45707</v>
      </c>
      <c r="K780" s="110" t="str">
        <f t="shared" si="8"/>
        <v>https://Estud2024.sawtoothsoftware.com/cgi-bin/ciwweb.pl?studyname=Estud2024&amp;ID=779</v>
      </c>
      <c r="L780" s="113">
        <v>45709</v>
      </c>
      <c r="M780" s="45" t="s">
        <v>247</v>
      </c>
    </row>
    <row r="781" spans="1:13">
      <c r="A781">
        <v>780</v>
      </c>
      <c r="B781" t="s">
        <v>138</v>
      </c>
      <c r="C781">
        <v>11</v>
      </c>
      <c r="D781" t="s">
        <v>174</v>
      </c>
      <c r="E781">
        <v>131</v>
      </c>
      <c r="F781" t="s">
        <v>8526</v>
      </c>
      <c r="G781">
        <v>1</v>
      </c>
      <c r="I781" s="45" t="s">
        <v>6754</v>
      </c>
      <c r="J781" s="122">
        <v>45707</v>
      </c>
      <c r="K781" s="110" t="str">
        <f t="shared" si="8"/>
        <v>https://Estud2024.sawtoothsoftware.com/cgi-bin/ciwweb.pl?studyname=Estud2024&amp;ID=780</v>
      </c>
      <c r="L781" s="113">
        <v>45709</v>
      </c>
      <c r="M781" s="45" t="s">
        <v>247</v>
      </c>
    </row>
    <row r="782" spans="1:13">
      <c r="A782">
        <v>781</v>
      </c>
      <c r="B782" t="s">
        <v>138</v>
      </c>
      <c r="C782">
        <v>11</v>
      </c>
      <c r="D782" t="s">
        <v>174</v>
      </c>
      <c r="E782">
        <v>131</v>
      </c>
      <c r="F782" t="s">
        <v>8527</v>
      </c>
      <c r="G782">
        <v>1</v>
      </c>
      <c r="H782" t="s">
        <v>8528</v>
      </c>
      <c r="I782" s="45" t="s">
        <v>6754</v>
      </c>
      <c r="J782" s="122">
        <v>45707</v>
      </c>
      <c r="K782" s="110" t="str">
        <f t="shared" si="8"/>
        <v>https://Estud2024.sawtoothsoftware.com/cgi-bin/ciwweb.pl?studyname=Estud2024&amp;ID=781</v>
      </c>
      <c r="L782" s="113">
        <v>45709</v>
      </c>
      <c r="M782" s="45" t="s">
        <v>247</v>
      </c>
    </row>
    <row r="783" spans="1:13">
      <c r="A783">
        <v>782</v>
      </c>
      <c r="B783" t="s">
        <v>138</v>
      </c>
      <c r="C783">
        <v>11</v>
      </c>
      <c r="D783" t="s">
        <v>174</v>
      </c>
      <c r="E783">
        <v>131</v>
      </c>
      <c r="F783" t="s">
        <v>8529</v>
      </c>
      <c r="G783">
        <v>1</v>
      </c>
      <c r="H783" t="s">
        <v>8530</v>
      </c>
      <c r="I783" s="45" t="s">
        <v>6754</v>
      </c>
      <c r="J783" s="122">
        <v>45707</v>
      </c>
      <c r="K783" s="110" t="str">
        <f t="shared" si="8"/>
        <v>https://Estud2024.sawtoothsoftware.com/cgi-bin/ciwweb.pl?studyname=Estud2024&amp;ID=782</v>
      </c>
      <c r="L783" s="113">
        <v>45709</v>
      </c>
      <c r="M783" s="45" t="s">
        <v>247</v>
      </c>
    </row>
    <row r="784" spans="1:13">
      <c r="A784">
        <v>783</v>
      </c>
      <c r="B784" t="s">
        <v>138</v>
      </c>
      <c r="C784">
        <v>11</v>
      </c>
      <c r="D784" t="s">
        <v>163</v>
      </c>
      <c r="E784">
        <v>124</v>
      </c>
      <c r="F784" t="s">
        <v>8531</v>
      </c>
      <c r="G784">
        <v>2</v>
      </c>
      <c r="H784" t="s">
        <v>8532</v>
      </c>
      <c r="I784" s="45" t="s">
        <v>6754</v>
      </c>
      <c r="J784" s="122">
        <v>45707</v>
      </c>
      <c r="K784" s="110" t="str">
        <f t="shared" si="8"/>
        <v>https://Estud2024.sawtoothsoftware.com/cgi-bin/ciwweb.pl?studyname=Estud2024&amp;ID=783</v>
      </c>
      <c r="L784" s="113">
        <v>45709</v>
      </c>
      <c r="M784" s="45" t="s">
        <v>246</v>
      </c>
    </row>
    <row r="785" spans="1:13">
      <c r="A785">
        <v>784</v>
      </c>
      <c r="B785" t="s">
        <v>138</v>
      </c>
      <c r="C785">
        <v>11</v>
      </c>
      <c r="D785" t="s">
        <v>163</v>
      </c>
      <c r="E785">
        <v>124</v>
      </c>
      <c r="F785" t="s">
        <v>8533</v>
      </c>
      <c r="G785">
        <v>2</v>
      </c>
      <c r="H785" t="s">
        <v>8534</v>
      </c>
      <c r="I785" s="45" t="s">
        <v>6754</v>
      </c>
      <c r="J785" s="122">
        <v>45707</v>
      </c>
      <c r="K785" s="110" t="str">
        <f t="shared" si="8"/>
        <v>https://Estud2024.sawtoothsoftware.com/cgi-bin/ciwweb.pl?studyname=Estud2024&amp;ID=784</v>
      </c>
      <c r="L785" s="113">
        <v>45709</v>
      </c>
      <c r="M785" s="45" t="s">
        <v>246</v>
      </c>
    </row>
    <row r="786" spans="1:13">
      <c r="A786">
        <v>785</v>
      </c>
      <c r="B786" t="s">
        <v>138</v>
      </c>
      <c r="C786">
        <v>11</v>
      </c>
      <c r="D786" t="s">
        <v>163</v>
      </c>
      <c r="E786">
        <v>124</v>
      </c>
      <c r="F786" t="s">
        <v>8535</v>
      </c>
      <c r="G786">
        <v>2</v>
      </c>
      <c r="H786" t="s">
        <v>8536</v>
      </c>
      <c r="I786" s="45" t="s">
        <v>6754</v>
      </c>
      <c r="J786" s="122">
        <v>45707</v>
      </c>
      <c r="K786" s="110" t="str">
        <f t="shared" si="8"/>
        <v>https://Estud2024.sawtoothsoftware.com/cgi-bin/ciwweb.pl?studyname=Estud2024&amp;ID=785</v>
      </c>
      <c r="L786" s="113">
        <v>45709</v>
      </c>
      <c r="M786" s="45" t="s">
        <v>246</v>
      </c>
    </row>
    <row r="787" spans="1:13">
      <c r="A787">
        <v>786</v>
      </c>
      <c r="B787" t="s">
        <v>138</v>
      </c>
      <c r="C787">
        <v>11</v>
      </c>
      <c r="D787" t="s">
        <v>163</v>
      </c>
      <c r="E787">
        <v>124</v>
      </c>
      <c r="F787" t="s">
        <v>8537</v>
      </c>
      <c r="G787">
        <v>2</v>
      </c>
      <c r="H787" t="s">
        <v>8538</v>
      </c>
      <c r="I787" s="45" t="s">
        <v>6754</v>
      </c>
      <c r="J787" s="122">
        <v>45707</v>
      </c>
      <c r="K787" s="110" t="str">
        <f t="shared" si="8"/>
        <v>https://Estud2024.sawtoothsoftware.com/cgi-bin/ciwweb.pl?studyname=Estud2024&amp;ID=786</v>
      </c>
      <c r="L787" s="113">
        <v>45709</v>
      </c>
      <c r="M787" s="45" t="s">
        <v>246</v>
      </c>
    </row>
    <row r="788" spans="1:13">
      <c r="A788">
        <v>787</v>
      </c>
      <c r="B788" t="s">
        <v>138</v>
      </c>
      <c r="C788">
        <v>11</v>
      </c>
      <c r="D788" t="s">
        <v>163</v>
      </c>
      <c r="E788">
        <v>124</v>
      </c>
      <c r="F788" t="s">
        <v>8539</v>
      </c>
      <c r="G788">
        <v>2</v>
      </c>
      <c r="H788" t="s">
        <v>8540</v>
      </c>
      <c r="I788" s="45" t="s">
        <v>6754</v>
      </c>
      <c r="J788" s="122">
        <v>45707</v>
      </c>
      <c r="K788" s="110" t="str">
        <f t="shared" si="8"/>
        <v>https://Estud2024.sawtoothsoftware.com/cgi-bin/ciwweb.pl?studyname=Estud2024&amp;ID=787</v>
      </c>
      <c r="L788" s="113">
        <v>45709</v>
      </c>
      <c r="M788" s="45" t="s">
        <v>246</v>
      </c>
    </row>
    <row r="789" spans="1:13">
      <c r="A789">
        <v>788</v>
      </c>
      <c r="B789" t="s">
        <v>138</v>
      </c>
      <c r="C789">
        <v>11</v>
      </c>
      <c r="D789" t="s">
        <v>163</v>
      </c>
      <c r="E789">
        <v>124</v>
      </c>
      <c r="F789" t="s">
        <v>8541</v>
      </c>
      <c r="G789">
        <v>2</v>
      </c>
      <c r="H789" t="s">
        <v>8542</v>
      </c>
      <c r="I789" s="45" t="s">
        <v>6754</v>
      </c>
      <c r="J789" s="122">
        <v>45707</v>
      </c>
      <c r="K789" s="110" t="str">
        <f t="shared" si="8"/>
        <v>https://Estud2024.sawtoothsoftware.com/cgi-bin/ciwweb.pl?studyname=Estud2024&amp;ID=788</v>
      </c>
      <c r="L789" s="113">
        <v>45709</v>
      </c>
      <c r="M789" s="45" t="s">
        <v>246</v>
      </c>
    </row>
    <row r="790" spans="1:13">
      <c r="A790">
        <v>789</v>
      </c>
      <c r="B790" t="s">
        <v>138</v>
      </c>
      <c r="C790">
        <v>11</v>
      </c>
      <c r="D790" t="s">
        <v>163</v>
      </c>
      <c r="E790">
        <v>124</v>
      </c>
      <c r="F790" t="s">
        <v>8543</v>
      </c>
      <c r="G790">
        <v>2</v>
      </c>
      <c r="H790" t="s">
        <v>8544</v>
      </c>
      <c r="I790" s="45" t="s">
        <v>6754</v>
      </c>
      <c r="J790" s="122">
        <v>45707</v>
      </c>
      <c r="K790" s="110" t="str">
        <f t="shared" ref="K790:K853" si="9">CONCATENATE("https://Estud2024.sawtoothsoftware.com/cgi-bin/ciwweb.pl?studyname=Estud2024&amp;ID=",A790)</f>
        <v>https://Estud2024.sawtoothsoftware.com/cgi-bin/ciwweb.pl?studyname=Estud2024&amp;ID=789</v>
      </c>
      <c r="L790" s="113">
        <v>45709</v>
      </c>
      <c r="M790" s="45" t="s">
        <v>246</v>
      </c>
    </row>
    <row r="791" spans="1:13">
      <c r="A791">
        <v>790</v>
      </c>
      <c r="B791" t="s">
        <v>138</v>
      </c>
      <c r="C791">
        <v>11</v>
      </c>
      <c r="D791" t="s">
        <v>163</v>
      </c>
      <c r="E791">
        <v>124</v>
      </c>
      <c r="F791" t="s">
        <v>8545</v>
      </c>
      <c r="G791">
        <v>2</v>
      </c>
      <c r="H791" t="s">
        <v>8546</v>
      </c>
      <c r="I791" s="45" t="s">
        <v>6754</v>
      </c>
      <c r="J791" s="122">
        <v>45707</v>
      </c>
      <c r="K791" s="110" t="str">
        <f t="shared" si="9"/>
        <v>https://Estud2024.sawtoothsoftware.com/cgi-bin/ciwweb.pl?studyname=Estud2024&amp;ID=790</v>
      </c>
      <c r="L791" s="113">
        <v>45709</v>
      </c>
      <c r="M791" s="45" t="s">
        <v>246</v>
      </c>
    </row>
    <row r="792" spans="1:13">
      <c r="A792">
        <v>791</v>
      </c>
      <c r="B792" t="s">
        <v>138</v>
      </c>
      <c r="C792">
        <v>11</v>
      </c>
      <c r="D792" t="s">
        <v>163</v>
      </c>
      <c r="E792">
        <v>124</v>
      </c>
      <c r="F792" t="s">
        <v>8547</v>
      </c>
      <c r="G792">
        <v>2</v>
      </c>
      <c r="H792" t="s">
        <v>8548</v>
      </c>
      <c r="I792" s="45" t="s">
        <v>6754</v>
      </c>
      <c r="J792" s="122">
        <v>45707</v>
      </c>
      <c r="K792" s="110" t="str">
        <f t="shared" si="9"/>
        <v>https://Estud2024.sawtoothsoftware.com/cgi-bin/ciwweb.pl?studyname=Estud2024&amp;ID=791</v>
      </c>
      <c r="L792" s="113">
        <v>45709</v>
      </c>
      <c r="M792" s="45" t="s">
        <v>247</v>
      </c>
    </row>
    <row r="793" spans="1:13">
      <c r="A793">
        <v>792</v>
      </c>
      <c r="B793" t="s">
        <v>138</v>
      </c>
      <c r="C793">
        <v>11</v>
      </c>
      <c r="D793" t="s">
        <v>163</v>
      </c>
      <c r="E793">
        <v>124</v>
      </c>
      <c r="F793" t="s">
        <v>8549</v>
      </c>
      <c r="G793">
        <v>2</v>
      </c>
      <c r="H793" t="s">
        <v>8550</v>
      </c>
      <c r="I793" s="45" t="s">
        <v>6754</v>
      </c>
      <c r="J793" s="122">
        <v>45707</v>
      </c>
      <c r="K793" s="110" t="str">
        <f t="shared" si="9"/>
        <v>https://Estud2024.sawtoothsoftware.com/cgi-bin/ciwweb.pl?studyname=Estud2024&amp;ID=792</v>
      </c>
      <c r="L793" s="113">
        <v>45709</v>
      </c>
      <c r="M793" s="45" t="s">
        <v>247</v>
      </c>
    </row>
    <row r="794" spans="1:13">
      <c r="A794">
        <v>793</v>
      </c>
      <c r="B794" t="s">
        <v>138</v>
      </c>
      <c r="C794">
        <v>11</v>
      </c>
      <c r="D794" t="s">
        <v>163</v>
      </c>
      <c r="E794">
        <v>124</v>
      </c>
      <c r="F794" t="s">
        <v>8551</v>
      </c>
      <c r="G794">
        <v>2</v>
      </c>
      <c r="H794" t="s">
        <v>8552</v>
      </c>
      <c r="I794" s="45" t="s">
        <v>6754</v>
      </c>
      <c r="J794" s="122">
        <v>45707</v>
      </c>
      <c r="K794" s="110" t="str">
        <f t="shared" si="9"/>
        <v>https://Estud2024.sawtoothsoftware.com/cgi-bin/ciwweb.pl?studyname=Estud2024&amp;ID=793</v>
      </c>
      <c r="L794" s="113">
        <v>45709</v>
      </c>
      <c r="M794" s="45" t="s">
        <v>246</v>
      </c>
    </row>
    <row r="795" spans="1:13">
      <c r="A795">
        <v>794</v>
      </c>
      <c r="B795" t="s">
        <v>138</v>
      </c>
      <c r="C795">
        <v>11</v>
      </c>
      <c r="D795" t="s">
        <v>163</v>
      </c>
      <c r="E795">
        <v>124</v>
      </c>
      <c r="F795" t="s">
        <v>8553</v>
      </c>
      <c r="G795">
        <v>2</v>
      </c>
      <c r="H795" t="s">
        <v>8554</v>
      </c>
      <c r="I795" s="45" t="s">
        <v>6754</v>
      </c>
      <c r="J795" s="122">
        <v>45707</v>
      </c>
      <c r="K795" s="110" t="str">
        <f t="shared" si="9"/>
        <v>https://Estud2024.sawtoothsoftware.com/cgi-bin/ciwweb.pl?studyname=Estud2024&amp;ID=794</v>
      </c>
      <c r="L795" s="113">
        <v>45709</v>
      </c>
      <c r="M795" s="45" t="s">
        <v>246</v>
      </c>
    </row>
    <row r="796" spans="1:13">
      <c r="A796">
        <v>795</v>
      </c>
      <c r="B796" t="s">
        <v>138</v>
      </c>
      <c r="C796">
        <v>11</v>
      </c>
      <c r="D796" t="s">
        <v>163</v>
      </c>
      <c r="E796">
        <v>124</v>
      </c>
      <c r="F796" t="s">
        <v>8555</v>
      </c>
      <c r="G796">
        <v>2</v>
      </c>
      <c r="H796" t="s">
        <v>8556</v>
      </c>
      <c r="I796" s="45" t="s">
        <v>6754</v>
      </c>
      <c r="J796" s="122">
        <v>45707</v>
      </c>
      <c r="K796" s="110" t="str">
        <f t="shared" si="9"/>
        <v>https://Estud2024.sawtoothsoftware.com/cgi-bin/ciwweb.pl?studyname=Estud2024&amp;ID=795</v>
      </c>
      <c r="L796" s="113">
        <v>45709</v>
      </c>
      <c r="M796" s="45" t="s">
        <v>246</v>
      </c>
    </row>
    <row r="797" spans="1:13">
      <c r="A797">
        <v>796</v>
      </c>
      <c r="B797" t="s">
        <v>138</v>
      </c>
      <c r="C797">
        <v>11</v>
      </c>
      <c r="D797" t="s">
        <v>163</v>
      </c>
      <c r="E797">
        <v>124</v>
      </c>
      <c r="F797" t="s">
        <v>8557</v>
      </c>
      <c r="G797">
        <v>2</v>
      </c>
      <c r="H797" t="s">
        <v>8558</v>
      </c>
      <c r="I797" s="45" t="s">
        <v>6754</v>
      </c>
      <c r="J797" s="122">
        <v>45707</v>
      </c>
      <c r="K797" s="110" t="str">
        <f t="shared" si="9"/>
        <v>https://Estud2024.sawtoothsoftware.com/cgi-bin/ciwweb.pl?studyname=Estud2024&amp;ID=796</v>
      </c>
      <c r="L797" s="113">
        <v>45709</v>
      </c>
      <c r="M797" s="45" t="s">
        <v>246</v>
      </c>
    </row>
    <row r="798" spans="1:13" ht="30">
      <c r="A798">
        <v>797</v>
      </c>
      <c r="B798" t="s">
        <v>138</v>
      </c>
      <c r="C798">
        <v>11</v>
      </c>
      <c r="D798" t="s">
        <v>163</v>
      </c>
      <c r="E798">
        <v>124</v>
      </c>
      <c r="F798" t="s">
        <v>8559</v>
      </c>
      <c r="G798">
        <v>2</v>
      </c>
      <c r="H798" s="63" t="s">
        <v>8560</v>
      </c>
      <c r="I798" s="45" t="s">
        <v>6754</v>
      </c>
      <c r="J798" s="122">
        <v>45707</v>
      </c>
      <c r="K798" s="110" t="str">
        <f t="shared" si="9"/>
        <v>https://Estud2024.sawtoothsoftware.com/cgi-bin/ciwweb.pl?studyname=Estud2024&amp;ID=797</v>
      </c>
      <c r="L798" s="113">
        <v>45709</v>
      </c>
      <c r="M798" s="45" t="s">
        <v>246</v>
      </c>
    </row>
    <row r="799" spans="1:13">
      <c r="A799">
        <v>798</v>
      </c>
      <c r="B799" t="s">
        <v>138</v>
      </c>
      <c r="C799">
        <v>11</v>
      </c>
      <c r="D799" t="s">
        <v>163</v>
      </c>
      <c r="E799">
        <v>124</v>
      </c>
      <c r="F799" t="s">
        <v>8561</v>
      </c>
      <c r="G799">
        <v>2</v>
      </c>
      <c r="H799" t="s">
        <v>8562</v>
      </c>
      <c r="I799" s="45" t="s">
        <v>6754</v>
      </c>
      <c r="J799" s="122">
        <v>45707</v>
      </c>
      <c r="K799" s="110" t="str">
        <f t="shared" si="9"/>
        <v>https://Estud2024.sawtoothsoftware.com/cgi-bin/ciwweb.pl?studyname=Estud2024&amp;ID=798</v>
      </c>
      <c r="L799" s="113">
        <v>45709</v>
      </c>
      <c r="M799" s="45" t="s">
        <v>246</v>
      </c>
    </row>
    <row r="800" spans="1:13">
      <c r="A800">
        <v>799</v>
      </c>
      <c r="B800" t="s">
        <v>138</v>
      </c>
      <c r="C800">
        <v>11</v>
      </c>
      <c r="D800" t="s">
        <v>163</v>
      </c>
      <c r="E800">
        <v>124</v>
      </c>
      <c r="F800" t="s">
        <v>8563</v>
      </c>
      <c r="G800">
        <v>2</v>
      </c>
      <c r="H800" t="s">
        <v>8564</v>
      </c>
      <c r="I800" s="45" t="s">
        <v>6754</v>
      </c>
      <c r="J800" s="122">
        <v>45707</v>
      </c>
      <c r="K800" s="110" t="str">
        <f t="shared" si="9"/>
        <v>https://Estud2024.sawtoothsoftware.com/cgi-bin/ciwweb.pl?studyname=Estud2024&amp;ID=799</v>
      </c>
      <c r="L800" s="113">
        <v>45709</v>
      </c>
      <c r="M800" s="45" t="s">
        <v>246</v>
      </c>
    </row>
    <row r="801" spans="1:13">
      <c r="A801">
        <v>800</v>
      </c>
      <c r="B801" t="s">
        <v>138</v>
      </c>
      <c r="C801">
        <v>11</v>
      </c>
      <c r="D801" t="s">
        <v>163</v>
      </c>
      <c r="E801">
        <v>124</v>
      </c>
      <c r="F801" t="s">
        <v>8565</v>
      </c>
      <c r="G801">
        <v>2</v>
      </c>
      <c r="H801" t="s">
        <v>8566</v>
      </c>
      <c r="I801" s="45" t="s">
        <v>6754</v>
      </c>
      <c r="J801" s="122">
        <v>45707</v>
      </c>
      <c r="K801" s="110" t="str">
        <f t="shared" si="9"/>
        <v>https://Estud2024.sawtoothsoftware.com/cgi-bin/ciwweb.pl?studyname=Estud2024&amp;ID=800</v>
      </c>
      <c r="L801" s="113">
        <v>45709</v>
      </c>
      <c r="M801" s="45" t="s">
        <v>246</v>
      </c>
    </row>
    <row r="802" spans="1:13">
      <c r="A802">
        <v>801</v>
      </c>
      <c r="B802" t="s">
        <v>138</v>
      </c>
      <c r="C802">
        <v>11</v>
      </c>
      <c r="D802" t="s">
        <v>163</v>
      </c>
      <c r="E802">
        <v>124</v>
      </c>
      <c r="F802" t="s">
        <v>8567</v>
      </c>
      <c r="G802">
        <v>2</v>
      </c>
      <c r="H802" t="s">
        <v>8568</v>
      </c>
      <c r="I802" s="45" t="s">
        <v>6754</v>
      </c>
      <c r="J802" s="122">
        <v>45707</v>
      </c>
      <c r="K802" s="110" t="str">
        <f t="shared" si="9"/>
        <v>https://Estud2024.sawtoothsoftware.com/cgi-bin/ciwweb.pl?studyname=Estud2024&amp;ID=801</v>
      </c>
      <c r="L802" s="113">
        <v>45709</v>
      </c>
      <c r="M802" s="45" t="s">
        <v>246</v>
      </c>
    </row>
    <row r="803" spans="1:13">
      <c r="A803">
        <v>802</v>
      </c>
      <c r="B803" t="s">
        <v>138</v>
      </c>
      <c r="C803">
        <v>11</v>
      </c>
      <c r="D803" t="s">
        <v>163</v>
      </c>
      <c r="E803">
        <v>124</v>
      </c>
      <c r="F803" t="s">
        <v>8569</v>
      </c>
      <c r="G803">
        <v>2</v>
      </c>
      <c r="H803" t="s">
        <v>8570</v>
      </c>
      <c r="I803" s="45" t="s">
        <v>6754</v>
      </c>
      <c r="J803" s="122">
        <v>45707</v>
      </c>
      <c r="K803" s="110" t="str">
        <f t="shared" si="9"/>
        <v>https://Estud2024.sawtoothsoftware.com/cgi-bin/ciwweb.pl?studyname=Estud2024&amp;ID=802</v>
      </c>
      <c r="L803" s="113">
        <v>45709</v>
      </c>
      <c r="M803" s="45" t="s">
        <v>246</v>
      </c>
    </row>
    <row r="804" spans="1:13">
      <c r="A804">
        <v>803</v>
      </c>
      <c r="B804" t="s">
        <v>138</v>
      </c>
      <c r="C804">
        <v>11</v>
      </c>
      <c r="D804" t="s">
        <v>163</v>
      </c>
      <c r="E804">
        <v>124</v>
      </c>
      <c r="F804" t="s">
        <v>8571</v>
      </c>
      <c r="G804">
        <v>2</v>
      </c>
      <c r="H804" t="s">
        <v>8572</v>
      </c>
      <c r="I804" s="45" t="s">
        <v>6754</v>
      </c>
      <c r="J804" s="122">
        <v>45707</v>
      </c>
      <c r="K804" s="110" t="str">
        <f t="shared" si="9"/>
        <v>https://Estud2024.sawtoothsoftware.com/cgi-bin/ciwweb.pl?studyname=Estud2024&amp;ID=803</v>
      </c>
      <c r="L804" s="113">
        <v>45709</v>
      </c>
      <c r="M804" s="45" t="s">
        <v>246</v>
      </c>
    </row>
    <row r="805" spans="1:13">
      <c r="A805">
        <v>804</v>
      </c>
      <c r="B805" t="s">
        <v>138</v>
      </c>
      <c r="C805">
        <v>11</v>
      </c>
      <c r="D805" t="s">
        <v>163</v>
      </c>
      <c r="E805">
        <v>124</v>
      </c>
      <c r="F805" t="s">
        <v>8573</v>
      </c>
      <c r="G805">
        <v>2</v>
      </c>
      <c r="H805" t="s">
        <v>8574</v>
      </c>
      <c r="I805" s="45" t="s">
        <v>6754</v>
      </c>
      <c r="J805" s="122">
        <v>45707</v>
      </c>
      <c r="K805" s="110" t="str">
        <f t="shared" si="9"/>
        <v>https://Estud2024.sawtoothsoftware.com/cgi-bin/ciwweb.pl?studyname=Estud2024&amp;ID=804</v>
      </c>
      <c r="L805" s="113">
        <v>45709</v>
      </c>
      <c r="M805" s="45" t="s">
        <v>246</v>
      </c>
    </row>
    <row r="806" spans="1:13">
      <c r="A806">
        <v>805</v>
      </c>
      <c r="B806" t="s">
        <v>138</v>
      </c>
      <c r="C806">
        <v>11</v>
      </c>
      <c r="D806" t="s">
        <v>163</v>
      </c>
      <c r="E806">
        <v>124</v>
      </c>
      <c r="F806" t="s">
        <v>8575</v>
      </c>
      <c r="G806">
        <v>2</v>
      </c>
      <c r="H806" t="s">
        <v>8576</v>
      </c>
      <c r="I806" s="45" t="s">
        <v>6754</v>
      </c>
      <c r="J806" s="122">
        <v>45707</v>
      </c>
      <c r="K806" s="110" t="str">
        <f t="shared" si="9"/>
        <v>https://Estud2024.sawtoothsoftware.com/cgi-bin/ciwweb.pl?studyname=Estud2024&amp;ID=805</v>
      </c>
      <c r="L806" s="113">
        <v>45709</v>
      </c>
      <c r="M806" s="45" t="s">
        <v>246</v>
      </c>
    </row>
    <row r="807" spans="1:13">
      <c r="A807">
        <v>806</v>
      </c>
      <c r="B807" t="s">
        <v>138</v>
      </c>
      <c r="C807">
        <v>11</v>
      </c>
      <c r="D807" t="s">
        <v>163</v>
      </c>
      <c r="E807">
        <v>124</v>
      </c>
      <c r="F807" t="s">
        <v>8577</v>
      </c>
      <c r="G807">
        <v>2</v>
      </c>
      <c r="H807" t="s">
        <v>8578</v>
      </c>
      <c r="I807" s="45" t="s">
        <v>6754</v>
      </c>
      <c r="J807" s="122">
        <v>45707</v>
      </c>
      <c r="K807" s="110" t="str">
        <f t="shared" si="9"/>
        <v>https://Estud2024.sawtoothsoftware.com/cgi-bin/ciwweb.pl?studyname=Estud2024&amp;ID=806</v>
      </c>
      <c r="L807" s="113">
        <v>45709</v>
      </c>
      <c r="M807" s="45" t="s">
        <v>246</v>
      </c>
    </row>
    <row r="808" spans="1:13">
      <c r="A808">
        <v>807</v>
      </c>
      <c r="B808" t="s">
        <v>138</v>
      </c>
      <c r="C808">
        <v>11</v>
      </c>
      <c r="D808" t="s">
        <v>163</v>
      </c>
      <c r="E808">
        <v>124</v>
      </c>
      <c r="F808" t="s">
        <v>8579</v>
      </c>
      <c r="G808">
        <v>2</v>
      </c>
      <c r="H808" t="s">
        <v>8580</v>
      </c>
      <c r="I808" s="45" t="s">
        <v>6754</v>
      </c>
      <c r="J808" s="122">
        <v>45707</v>
      </c>
      <c r="K808" s="110" t="str">
        <f t="shared" si="9"/>
        <v>https://Estud2024.sawtoothsoftware.com/cgi-bin/ciwweb.pl?studyname=Estud2024&amp;ID=807</v>
      </c>
      <c r="L808" s="113">
        <v>45709</v>
      </c>
      <c r="M808" s="45" t="s">
        <v>246</v>
      </c>
    </row>
    <row r="809" spans="1:13">
      <c r="A809">
        <v>808</v>
      </c>
      <c r="B809" t="s">
        <v>138</v>
      </c>
      <c r="C809">
        <v>11</v>
      </c>
      <c r="D809" t="s">
        <v>163</v>
      </c>
      <c r="E809">
        <v>124</v>
      </c>
      <c r="F809" t="s">
        <v>8581</v>
      </c>
      <c r="G809">
        <v>2</v>
      </c>
      <c r="H809" t="s">
        <v>8582</v>
      </c>
      <c r="I809" s="45" t="s">
        <v>6754</v>
      </c>
      <c r="J809" s="122">
        <v>45707</v>
      </c>
      <c r="K809" s="110" t="str">
        <f t="shared" si="9"/>
        <v>https://Estud2024.sawtoothsoftware.com/cgi-bin/ciwweb.pl?studyname=Estud2024&amp;ID=808</v>
      </c>
      <c r="L809" s="113">
        <v>45709</v>
      </c>
      <c r="M809" s="45" t="s">
        <v>246</v>
      </c>
    </row>
    <row r="810" spans="1:13">
      <c r="A810">
        <v>809</v>
      </c>
      <c r="B810" t="s">
        <v>138</v>
      </c>
      <c r="C810">
        <v>11</v>
      </c>
      <c r="D810" t="s">
        <v>163</v>
      </c>
      <c r="E810">
        <v>124</v>
      </c>
      <c r="F810" t="s">
        <v>8583</v>
      </c>
      <c r="G810">
        <v>2</v>
      </c>
      <c r="H810" t="s">
        <v>8584</v>
      </c>
      <c r="I810" s="45" t="s">
        <v>6754</v>
      </c>
      <c r="J810" s="122">
        <v>45707</v>
      </c>
      <c r="K810" s="110" t="str">
        <f t="shared" si="9"/>
        <v>https://Estud2024.sawtoothsoftware.com/cgi-bin/ciwweb.pl?studyname=Estud2024&amp;ID=809</v>
      </c>
      <c r="L810" s="113">
        <v>45709</v>
      </c>
      <c r="M810" s="45" t="s">
        <v>246</v>
      </c>
    </row>
    <row r="811" spans="1:13">
      <c r="A811">
        <v>810</v>
      </c>
      <c r="B811" t="s">
        <v>138</v>
      </c>
      <c r="C811">
        <v>11</v>
      </c>
      <c r="D811" t="s">
        <v>163</v>
      </c>
      <c r="E811">
        <v>124</v>
      </c>
      <c r="F811" t="s">
        <v>8585</v>
      </c>
      <c r="G811">
        <v>2</v>
      </c>
      <c r="H811" t="s">
        <v>8586</v>
      </c>
      <c r="I811" s="45" t="s">
        <v>6754</v>
      </c>
      <c r="J811" s="122">
        <v>45707</v>
      </c>
      <c r="K811" s="110" t="str">
        <f t="shared" si="9"/>
        <v>https://Estud2024.sawtoothsoftware.com/cgi-bin/ciwweb.pl?studyname=Estud2024&amp;ID=810</v>
      </c>
      <c r="L811" s="113">
        <v>45709</v>
      </c>
      <c r="M811" s="45" t="s">
        <v>246</v>
      </c>
    </row>
    <row r="812" spans="1:13">
      <c r="A812">
        <v>811</v>
      </c>
      <c r="B812" t="s">
        <v>138</v>
      </c>
      <c r="C812">
        <v>11</v>
      </c>
      <c r="D812" t="s">
        <v>163</v>
      </c>
      <c r="E812">
        <v>124</v>
      </c>
      <c r="F812" t="s">
        <v>8587</v>
      </c>
      <c r="G812">
        <v>2</v>
      </c>
      <c r="H812" t="s">
        <v>8588</v>
      </c>
      <c r="I812" s="45" t="s">
        <v>6754</v>
      </c>
      <c r="J812" s="122">
        <v>45707</v>
      </c>
      <c r="K812" s="110" t="str">
        <f t="shared" si="9"/>
        <v>https://Estud2024.sawtoothsoftware.com/cgi-bin/ciwweb.pl?studyname=Estud2024&amp;ID=811</v>
      </c>
      <c r="L812" s="113">
        <v>45709</v>
      </c>
      <c r="M812" s="45" t="s">
        <v>246</v>
      </c>
    </row>
    <row r="813" spans="1:13">
      <c r="A813">
        <v>812</v>
      </c>
      <c r="B813" t="s">
        <v>138</v>
      </c>
      <c r="C813">
        <v>11</v>
      </c>
      <c r="D813" t="s">
        <v>163</v>
      </c>
      <c r="E813">
        <v>124</v>
      </c>
      <c r="F813" t="s">
        <v>8589</v>
      </c>
      <c r="G813">
        <v>2</v>
      </c>
      <c r="H813" t="s">
        <v>8590</v>
      </c>
      <c r="I813" s="45" t="s">
        <v>6754</v>
      </c>
      <c r="J813" s="122">
        <v>45707</v>
      </c>
      <c r="K813" s="110" t="str">
        <f t="shared" si="9"/>
        <v>https://Estud2024.sawtoothsoftware.com/cgi-bin/ciwweb.pl?studyname=Estud2024&amp;ID=812</v>
      </c>
      <c r="L813" s="113">
        <v>45709</v>
      </c>
      <c r="M813" s="45" t="s">
        <v>246</v>
      </c>
    </row>
    <row r="814" spans="1:13">
      <c r="A814">
        <v>813</v>
      </c>
      <c r="B814" t="s">
        <v>138</v>
      </c>
      <c r="C814">
        <v>11</v>
      </c>
      <c r="D814" t="s">
        <v>163</v>
      </c>
      <c r="E814">
        <v>124</v>
      </c>
      <c r="F814" t="s">
        <v>8591</v>
      </c>
      <c r="G814">
        <v>2</v>
      </c>
      <c r="H814" t="s">
        <v>8592</v>
      </c>
      <c r="I814" s="45" t="s">
        <v>6754</v>
      </c>
      <c r="J814" s="122">
        <v>45707</v>
      </c>
      <c r="K814" s="110" t="str">
        <f t="shared" si="9"/>
        <v>https://Estud2024.sawtoothsoftware.com/cgi-bin/ciwweb.pl?studyname=Estud2024&amp;ID=813</v>
      </c>
      <c r="L814" s="113">
        <v>45709</v>
      </c>
      <c r="M814" s="45" t="s">
        <v>246</v>
      </c>
    </row>
    <row r="815" spans="1:13">
      <c r="A815">
        <v>814</v>
      </c>
      <c r="B815" t="s">
        <v>138</v>
      </c>
      <c r="C815">
        <v>11</v>
      </c>
      <c r="D815" t="s">
        <v>163</v>
      </c>
      <c r="E815">
        <v>124</v>
      </c>
      <c r="F815" t="s">
        <v>8593</v>
      </c>
      <c r="G815">
        <v>2</v>
      </c>
      <c r="H815" t="s">
        <v>8594</v>
      </c>
      <c r="I815" s="45" t="s">
        <v>6754</v>
      </c>
      <c r="J815" s="122">
        <v>45707</v>
      </c>
      <c r="K815" s="110" t="str">
        <f t="shared" si="9"/>
        <v>https://Estud2024.sawtoothsoftware.com/cgi-bin/ciwweb.pl?studyname=Estud2024&amp;ID=814</v>
      </c>
      <c r="L815" s="113">
        <v>45709</v>
      </c>
      <c r="M815" s="45" t="s">
        <v>246</v>
      </c>
    </row>
    <row r="816" spans="1:13">
      <c r="A816">
        <v>815</v>
      </c>
      <c r="B816" t="s">
        <v>138</v>
      </c>
      <c r="C816">
        <v>11</v>
      </c>
      <c r="D816" t="s">
        <v>163</v>
      </c>
      <c r="E816">
        <v>124</v>
      </c>
      <c r="F816" t="s">
        <v>8595</v>
      </c>
      <c r="G816">
        <v>1</v>
      </c>
      <c r="H816" t="s">
        <v>8596</v>
      </c>
      <c r="I816" s="45" t="s">
        <v>6754</v>
      </c>
      <c r="J816" s="122">
        <v>45707</v>
      </c>
      <c r="K816" s="110" t="str">
        <f t="shared" si="9"/>
        <v>https://Estud2024.sawtoothsoftware.com/cgi-bin/ciwweb.pl?studyname=Estud2024&amp;ID=815</v>
      </c>
      <c r="L816" s="113">
        <v>45709</v>
      </c>
      <c r="M816" s="45" t="s">
        <v>246</v>
      </c>
    </row>
    <row r="817" spans="1:13">
      <c r="A817">
        <v>816</v>
      </c>
      <c r="B817" t="s">
        <v>138</v>
      </c>
      <c r="C817">
        <v>11</v>
      </c>
      <c r="D817" t="s">
        <v>163</v>
      </c>
      <c r="E817">
        <v>124</v>
      </c>
      <c r="F817" t="s">
        <v>8597</v>
      </c>
      <c r="G817">
        <v>1</v>
      </c>
      <c r="H817" t="s">
        <v>8598</v>
      </c>
      <c r="I817" s="45" t="s">
        <v>6754</v>
      </c>
      <c r="J817" s="122">
        <v>45707</v>
      </c>
      <c r="K817" s="110" t="str">
        <f t="shared" si="9"/>
        <v>https://Estud2024.sawtoothsoftware.com/cgi-bin/ciwweb.pl?studyname=Estud2024&amp;ID=816</v>
      </c>
      <c r="L817" s="113">
        <v>45709</v>
      </c>
      <c r="M817" s="45" t="s">
        <v>246</v>
      </c>
    </row>
    <row r="818" spans="1:13">
      <c r="A818">
        <v>817</v>
      </c>
      <c r="B818" t="s">
        <v>138</v>
      </c>
      <c r="C818">
        <v>11</v>
      </c>
      <c r="D818" t="s">
        <v>163</v>
      </c>
      <c r="E818">
        <v>124</v>
      </c>
      <c r="F818" t="s">
        <v>8599</v>
      </c>
      <c r="G818">
        <v>1</v>
      </c>
      <c r="H818" t="s">
        <v>8600</v>
      </c>
      <c r="I818" s="45" t="s">
        <v>6754</v>
      </c>
      <c r="J818" s="122">
        <v>45707</v>
      </c>
      <c r="K818" s="110" t="str">
        <f t="shared" si="9"/>
        <v>https://Estud2024.sawtoothsoftware.com/cgi-bin/ciwweb.pl?studyname=Estud2024&amp;ID=817</v>
      </c>
      <c r="L818" s="113">
        <v>45709</v>
      </c>
      <c r="M818" s="45" t="s">
        <v>246</v>
      </c>
    </row>
    <row r="819" spans="1:13">
      <c r="A819">
        <v>818</v>
      </c>
      <c r="B819" t="s">
        <v>138</v>
      </c>
      <c r="C819">
        <v>11</v>
      </c>
      <c r="D819" t="s">
        <v>163</v>
      </c>
      <c r="E819">
        <v>124</v>
      </c>
      <c r="F819" t="s">
        <v>8601</v>
      </c>
      <c r="G819">
        <v>1</v>
      </c>
      <c r="H819" t="s">
        <v>8602</v>
      </c>
      <c r="I819" s="45" t="s">
        <v>6754</v>
      </c>
      <c r="J819" s="122">
        <v>45707</v>
      </c>
      <c r="K819" s="110" t="str">
        <f t="shared" si="9"/>
        <v>https://Estud2024.sawtoothsoftware.com/cgi-bin/ciwweb.pl?studyname=Estud2024&amp;ID=818</v>
      </c>
      <c r="L819" s="113">
        <v>45709</v>
      </c>
      <c r="M819" s="45" t="s">
        <v>247</v>
      </c>
    </row>
    <row r="820" spans="1:13">
      <c r="A820">
        <v>819</v>
      </c>
      <c r="B820" t="s">
        <v>138</v>
      </c>
      <c r="C820">
        <v>11</v>
      </c>
      <c r="D820" t="s">
        <v>163</v>
      </c>
      <c r="E820">
        <v>124</v>
      </c>
      <c r="F820" t="s">
        <v>8603</v>
      </c>
      <c r="G820">
        <v>1</v>
      </c>
      <c r="H820" t="s">
        <v>8604</v>
      </c>
      <c r="I820" s="45" t="s">
        <v>6754</v>
      </c>
      <c r="J820" s="122">
        <v>45707</v>
      </c>
      <c r="K820" s="110" t="str">
        <f t="shared" si="9"/>
        <v>https://Estud2024.sawtoothsoftware.com/cgi-bin/ciwweb.pl?studyname=Estud2024&amp;ID=819</v>
      </c>
      <c r="L820" s="113">
        <v>45709</v>
      </c>
      <c r="M820" s="45" t="s">
        <v>246</v>
      </c>
    </row>
    <row r="821" spans="1:13">
      <c r="A821">
        <v>820</v>
      </c>
      <c r="B821" t="s">
        <v>138</v>
      </c>
      <c r="C821">
        <v>11</v>
      </c>
      <c r="D821" t="s">
        <v>163</v>
      </c>
      <c r="E821">
        <v>124</v>
      </c>
      <c r="F821" t="s">
        <v>8605</v>
      </c>
      <c r="G821">
        <v>1</v>
      </c>
      <c r="H821" t="s">
        <v>8606</v>
      </c>
      <c r="I821" s="45" t="s">
        <v>6754</v>
      </c>
      <c r="J821" s="122">
        <v>45707</v>
      </c>
      <c r="K821" s="110" t="str">
        <f t="shared" si="9"/>
        <v>https://Estud2024.sawtoothsoftware.com/cgi-bin/ciwweb.pl?studyname=Estud2024&amp;ID=820</v>
      </c>
      <c r="L821" s="113">
        <v>45709</v>
      </c>
      <c r="M821" s="45" t="s">
        <v>247</v>
      </c>
    </row>
    <row r="822" spans="1:13">
      <c r="A822">
        <v>821</v>
      </c>
      <c r="B822" t="s">
        <v>138</v>
      </c>
      <c r="C822">
        <v>11</v>
      </c>
      <c r="D822" t="s">
        <v>163</v>
      </c>
      <c r="E822">
        <v>124</v>
      </c>
      <c r="F822" t="s">
        <v>8607</v>
      </c>
      <c r="G822">
        <v>1</v>
      </c>
      <c r="H822" t="s">
        <v>8608</v>
      </c>
      <c r="I822" s="45" t="s">
        <v>6754</v>
      </c>
      <c r="J822" s="122">
        <v>45707</v>
      </c>
      <c r="K822" s="110" t="str">
        <f t="shared" si="9"/>
        <v>https://Estud2024.sawtoothsoftware.com/cgi-bin/ciwweb.pl?studyname=Estud2024&amp;ID=821</v>
      </c>
      <c r="L822" s="113">
        <v>45709</v>
      </c>
      <c r="M822" s="45" t="s">
        <v>246</v>
      </c>
    </row>
    <row r="823" spans="1:13">
      <c r="A823">
        <v>822</v>
      </c>
      <c r="B823" t="s">
        <v>138</v>
      </c>
      <c r="C823">
        <v>11</v>
      </c>
      <c r="D823" t="s">
        <v>163</v>
      </c>
      <c r="E823">
        <v>124</v>
      </c>
      <c r="F823" t="s">
        <v>8609</v>
      </c>
      <c r="G823">
        <v>1</v>
      </c>
      <c r="H823" t="s">
        <v>8610</v>
      </c>
      <c r="I823" s="45" t="s">
        <v>6754</v>
      </c>
      <c r="J823" s="122">
        <v>45707</v>
      </c>
      <c r="K823" s="110" t="str">
        <f t="shared" si="9"/>
        <v>https://Estud2024.sawtoothsoftware.com/cgi-bin/ciwweb.pl?studyname=Estud2024&amp;ID=822</v>
      </c>
      <c r="L823" s="113">
        <v>45709</v>
      </c>
      <c r="M823" s="45" t="s">
        <v>246</v>
      </c>
    </row>
    <row r="824" spans="1:13">
      <c r="A824">
        <v>823</v>
      </c>
      <c r="B824" t="s">
        <v>138</v>
      </c>
      <c r="C824">
        <v>11</v>
      </c>
      <c r="D824" t="s">
        <v>163</v>
      </c>
      <c r="E824">
        <v>124</v>
      </c>
      <c r="F824" t="s">
        <v>8611</v>
      </c>
      <c r="G824">
        <v>1</v>
      </c>
      <c r="H824" t="s">
        <v>8612</v>
      </c>
      <c r="I824" s="45" t="s">
        <v>6754</v>
      </c>
      <c r="J824" s="122">
        <v>45707</v>
      </c>
      <c r="K824" s="110" t="str">
        <f t="shared" si="9"/>
        <v>https://Estud2024.sawtoothsoftware.com/cgi-bin/ciwweb.pl?studyname=Estud2024&amp;ID=823</v>
      </c>
      <c r="L824" s="113">
        <v>45709</v>
      </c>
      <c r="M824" s="45" t="s">
        <v>246</v>
      </c>
    </row>
    <row r="825" spans="1:13">
      <c r="A825">
        <v>824</v>
      </c>
      <c r="B825" t="s">
        <v>138</v>
      </c>
      <c r="C825">
        <v>11</v>
      </c>
      <c r="D825" t="s">
        <v>163</v>
      </c>
      <c r="E825">
        <v>124</v>
      </c>
      <c r="F825" t="s">
        <v>8613</v>
      </c>
      <c r="G825">
        <v>1</v>
      </c>
      <c r="H825" t="s">
        <v>8614</v>
      </c>
      <c r="I825" s="45" t="s">
        <v>6754</v>
      </c>
      <c r="J825" s="122">
        <v>45707</v>
      </c>
      <c r="K825" s="110" t="str">
        <f t="shared" si="9"/>
        <v>https://Estud2024.sawtoothsoftware.com/cgi-bin/ciwweb.pl?studyname=Estud2024&amp;ID=824</v>
      </c>
      <c r="L825" s="113">
        <v>45709</v>
      </c>
      <c r="M825" s="45" t="s">
        <v>246</v>
      </c>
    </row>
    <row r="826" spans="1:13">
      <c r="A826">
        <v>825</v>
      </c>
      <c r="B826" t="s">
        <v>138</v>
      </c>
      <c r="C826">
        <v>11</v>
      </c>
      <c r="D826" t="s">
        <v>163</v>
      </c>
      <c r="E826">
        <v>124</v>
      </c>
      <c r="F826" t="s">
        <v>8615</v>
      </c>
      <c r="G826">
        <v>1</v>
      </c>
      <c r="H826" t="s">
        <v>8616</v>
      </c>
      <c r="I826" s="45" t="s">
        <v>6754</v>
      </c>
      <c r="J826" s="122">
        <v>45707</v>
      </c>
      <c r="K826" s="110" t="str">
        <f t="shared" si="9"/>
        <v>https://Estud2024.sawtoothsoftware.com/cgi-bin/ciwweb.pl?studyname=Estud2024&amp;ID=825</v>
      </c>
      <c r="L826" s="113">
        <v>45709</v>
      </c>
      <c r="M826" s="45" t="s">
        <v>246</v>
      </c>
    </row>
    <row r="827" spans="1:13">
      <c r="A827">
        <v>826</v>
      </c>
      <c r="B827" t="s">
        <v>138</v>
      </c>
      <c r="C827">
        <v>11</v>
      </c>
      <c r="D827" t="s">
        <v>163</v>
      </c>
      <c r="E827">
        <v>124</v>
      </c>
      <c r="F827" t="s">
        <v>8617</v>
      </c>
      <c r="G827">
        <v>1</v>
      </c>
      <c r="H827" t="s">
        <v>8618</v>
      </c>
      <c r="I827" s="45" t="s">
        <v>6754</v>
      </c>
      <c r="J827" s="122">
        <v>45707</v>
      </c>
      <c r="K827" s="110" t="str">
        <f t="shared" si="9"/>
        <v>https://Estud2024.sawtoothsoftware.com/cgi-bin/ciwweb.pl?studyname=Estud2024&amp;ID=826</v>
      </c>
      <c r="L827" s="113">
        <v>45709</v>
      </c>
      <c r="M827" s="45" t="s">
        <v>246</v>
      </c>
    </row>
    <row r="828" spans="1:13" ht="30">
      <c r="A828">
        <v>827</v>
      </c>
      <c r="B828" t="s">
        <v>138</v>
      </c>
      <c r="C828">
        <v>11</v>
      </c>
      <c r="D828" t="s">
        <v>163</v>
      </c>
      <c r="E828">
        <v>124</v>
      </c>
      <c r="F828" t="s">
        <v>8619</v>
      </c>
      <c r="G828">
        <v>1</v>
      </c>
      <c r="H828" s="63" t="s">
        <v>8620</v>
      </c>
      <c r="I828" s="45" t="s">
        <v>6754</v>
      </c>
      <c r="J828" s="122">
        <v>45707</v>
      </c>
      <c r="K828" s="110" t="str">
        <f t="shared" si="9"/>
        <v>https://Estud2024.sawtoothsoftware.com/cgi-bin/ciwweb.pl?studyname=Estud2024&amp;ID=827</v>
      </c>
      <c r="L828" s="113">
        <v>45709</v>
      </c>
      <c r="M828" s="45" t="s">
        <v>246</v>
      </c>
    </row>
    <row r="829" spans="1:13">
      <c r="A829">
        <v>828</v>
      </c>
      <c r="B829" t="s">
        <v>138</v>
      </c>
      <c r="C829">
        <v>11</v>
      </c>
      <c r="D829" t="s">
        <v>163</v>
      </c>
      <c r="E829">
        <v>124</v>
      </c>
      <c r="F829" t="s">
        <v>8621</v>
      </c>
      <c r="G829">
        <v>1</v>
      </c>
      <c r="H829" t="s">
        <v>8622</v>
      </c>
      <c r="I829" s="45" t="s">
        <v>6754</v>
      </c>
      <c r="J829" s="122">
        <v>45707</v>
      </c>
      <c r="K829" s="110" t="str">
        <f t="shared" si="9"/>
        <v>https://Estud2024.sawtoothsoftware.com/cgi-bin/ciwweb.pl?studyname=Estud2024&amp;ID=828</v>
      </c>
      <c r="L829" s="113">
        <v>45709</v>
      </c>
      <c r="M829" s="45" t="s">
        <v>246</v>
      </c>
    </row>
    <row r="830" spans="1:13">
      <c r="A830">
        <v>829</v>
      </c>
      <c r="B830" t="s">
        <v>138</v>
      </c>
      <c r="C830">
        <v>11</v>
      </c>
      <c r="D830" t="s">
        <v>163</v>
      </c>
      <c r="E830">
        <v>124</v>
      </c>
      <c r="F830" t="s">
        <v>8623</v>
      </c>
      <c r="G830">
        <v>1</v>
      </c>
      <c r="H830" t="s">
        <v>8624</v>
      </c>
      <c r="I830" s="45" t="s">
        <v>6754</v>
      </c>
      <c r="J830" s="122">
        <v>45707</v>
      </c>
      <c r="K830" s="110" t="str">
        <f t="shared" si="9"/>
        <v>https://Estud2024.sawtoothsoftware.com/cgi-bin/ciwweb.pl?studyname=Estud2024&amp;ID=829</v>
      </c>
      <c r="L830" s="113">
        <v>45709</v>
      </c>
      <c r="M830" s="45" t="s">
        <v>246</v>
      </c>
    </row>
    <row r="831" spans="1:13">
      <c r="A831">
        <v>830</v>
      </c>
      <c r="B831" t="s">
        <v>138</v>
      </c>
      <c r="C831">
        <v>11</v>
      </c>
      <c r="D831" t="s">
        <v>163</v>
      </c>
      <c r="E831">
        <v>124</v>
      </c>
      <c r="F831" t="s">
        <v>8625</v>
      </c>
      <c r="G831">
        <v>1</v>
      </c>
      <c r="H831" t="s">
        <v>8626</v>
      </c>
      <c r="I831" s="45" t="s">
        <v>6754</v>
      </c>
      <c r="J831" s="122">
        <v>45707</v>
      </c>
      <c r="K831" s="110" t="str">
        <f t="shared" si="9"/>
        <v>https://Estud2024.sawtoothsoftware.com/cgi-bin/ciwweb.pl?studyname=Estud2024&amp;ID=830</v>
      </c>
      <c r="L831" s="113">
        <v>45709</v>
      </c>
      <c r="M831" s="45" t="s">
        <v>246</v>
      </c>
    </row>
    <row r="832" spans="1:13">
      <c r="A832">
        <v>831</v>
      </c>
      <c r="B832" t="s">
        <v>138</v>
      </c>
      <c r="C832">
        <v>11</v>
      </c>
      <c r="D832" t="s">
        <v>163</v>
      </c>
      <c r="E832">
        <v>124</v>
      </c>
      <c r="F832" t="s">
        <v>8627</v>
      </c>
      <c r="G832">
        <v>1</v>
      </c>
      <c r="H832" t="s">
        <v>8628</v>
      </c>
      <c r="I832" s="45" t="s">
        <v>6754</v>
      </c>
      <c r="J832" s="122">
        <v>45707</v>
      </c>
      <c r="K832" s="110" t="str">
        <f t="shared" si="9"/>
        <v>https://Estud2024.sawtoothsoftware.com/cgi-bin/ciwweb.pl?studyname=Estud2024&amp;ID=831</v>
      </c>
      <c r="L832" s="113">
        <v>45709</v>
      </c>
      <c r="M832" s="45" t="s">
        <v>246</v>
      </c>
    </row>
    <row r="833" spans="1:13">
      <c r="A833">
        <v>832</v>
      </c>
      <c r="B833" t="s">
        <v>138</v>
      </c>
      <c r="C833">
        <v>11</v>
      </c>
      <c r="D833" t="s">
        <v>175</v>
      </c>
      <c r="E833">
        <v>133</v>
      </c>
      <c r="F833" t="s">
        <v>8494</v>
      </c>
      <c r="G833">
        <v>1</v>
      </c>
      <c r="H833" t="s">
        <v>8495</v>
      </c>
      <c r="I833" s="45" t="s">
        <v>6754</v>
      </c>
      <c r="J833" s="122">
        <v>45707</v>
      </c>
      <c r="K833" s="110" t="str">
        <f t="shared" si="9"/>
        <v>https://Estud2024.sawtoothsoftware.com/cgi-bin/ciwweb.pl?studyname=Estud2024&amp;ID=832</v>
      </c>
      <c r="L833" s="113">
        <v>45709</v>
      </c>
      <c r="M833" s="45" t="s">
        <v>246</v>
      </c>
    </row>
    <row r="834" spans="1:13">
      <c r="A834">
        <v>833</v>
      </c>
      <c r="B834" t="s">
        <v>138</v>
      </c>
      <c r="C834">
        <v>11</v>
      </c>
      <c r="D834" t="s">
        <v>175</v>
      </c>
      <c r="E834">
        <v>133</v>
      </c>
      <c r="F834" t="s">
        <v>8496</v>
      </c>
      <c r="G834">
        <v>1</v>
      </c>
      <c r="H834" t="s">
        <v>8497</v>
      </c>
      <c r="I834" s="45" t="s">
        <v>6754</v>
      </c>
      <c r="J834" s="122">
        <v>45707</v>
      </c>
      <c r="K834" s="110" t="str">
        <f t="shared" si="9"/>
        <v>https://Estud2024.sawtoothsoftware.com/cgi-bin/ciwweb.pl?studyname=Estud2024&amp;ID=833</v>
      </c>
      <c r="L834" s="113">
        <v>45709</v>
      </c>
      <c r="M834" s="45" t="s">
        <v>246</v>
      </c>
    </row>
    <row r="835" spans="1:13">
      <c r="A835">
        <v>834</v>
      </c>
      <c r="B835" t="s">
        <v>138</v>
      </c>
      <c r="C835">
        <v>11</v>
      </c>
      <c r="D835" t="s">
        <v>175</v>
      </c>
      <c r="E835">
        <v>133</v>
      </c>
      <c r="F835" t="s">
        <v>8498</v>
      </c>
      <c r="G835">
        <v>1</v>
      </c>
      <c r="H835" t="s">
        <v>8499</v>
      </c>
      <c r="I835" s="45" t="s">
        <v>6754</v>
      </c>
      <c r="J835" s="122">
        <v>45707</v>
      </c>
      <c r="K835" s="110" t="str">
        <f t="shared" si="9"/>
        <v>https://Estud2024.sawtoothsoftware.com/cgi-bin/ciwweb.pl?studyname=Estud2024&amp;ID=834</v>
      </c>
      <c r="L835" s="113">
        <v>45709</v>
      </c>
      <c r="M835" s="45" t="s">
        <v>246</v>
      </c>
    </row>
    <row r="836" spans="1:13">
      <c r="A836">
        <v>835</v>
      </c>
      <c r="B836" t="s">
        <v>138</v>
      </c>
      <c r="C836">
        <v>11</v>
      </c>
      <c r="D836" t="s">
        <v>175</v>
      </c>
      <c r="E836">
        <v>133</v>
      </c>
      <c r="F836" t="s">
        <v>8500</v>
      </c>
      <c r="G836">
        <v>1</v>
      </c>
      <c r="H836" t="s">
        <v>8501</v>
      </c>
      <c r="I836" s="45" t="s">
        <v>6754</v>
      </c>
      <c r="J836" s="122">
        <v>45707</v>
      </c>
      <c r="K836" s="110" t="str">
        <f t="shared" si="9"/>
        <v>https://Estud2024.sawtoothsoftware.com/cgi-bin/ciwweb.pl?studyname=Estud2024&amp;ID=835</v>
      </c>
      <c r="L836" s="113">
        <v>45709</v>
      </c>
      <c r="M836" s="45" t="s">
        <v>246</v>
      </c>
    </row>
    <row r="837" spans="1:13">
      <c r="A837">
        <v>836</v>
      </c>
      <c r="B837" t="s">
        <v>138</v>
      </c>
      <c r="C837">
        <v>11</v>
      </c>
      <c r="D837" t="s">
        <v>175</v>
      </c>
      <c r="E837">
        <v>133</v>
      </c>
      <c r="F837" t="s">
        <v>8502</v>
      </c>
      <c r="G837">
        <v>1</v>
      </c>
      <c r="H837" t="s">
        <v>8503</v>
      </c>
      <c r="I837" s="45" t="s">
        <v>6754</v>
      </c>
      <c r="J837" s="122">
        <v>45707</v>
      </c>
      <c r="K837" s="110" t="str">
        <f t="shared" si="9"/>
        <v>https://Estud2024.sawtoothsoftware.com/cgi-bin/ciwweb.pl?studyname=Estud2024&amp;ID=836</v>
      </c>
      <c r="L837" s="113">
        <v>45709</v>
      </c>
      <c r="M837" s="45" t="s">
        <v>246</v>
      </c>
    </row>
    <row r="838" spans="1:13">
      <c r="A838">
        <v>837</v>
      </c>
      <c r="B838" t="s">
        <v>138</v>
      </c>
      <c r="C838">
        <v>11</v>
      </c>
      <c r="D838" t="s">
        <v>175</v>
      </c>
      <c r="E838">
        <v>133</v>
      </c>
      <c r="F838" t="s">
        <v>8504</v>
      </c>
      <c r="G838">
        <v>1</v>
      </c>
      <c r="H838" t="s">
        <v>8505</v>
      </c>
      <c r="I838" s="45" t="s">
        <v>6754</v>
      </c>
      <c r="J838" s="122">
        <v>45707</v>
      </c>
      <c r="K838" s="110" t="str">
        <f t="shared" si="9"/>
        <v>https://Estud2024.sawtoothsoftware.com/cgi-bin/ciwweb.pl?studyname=Estud2024&amp;ID=837</v>
      </c>
      <c r="L838" s="113">
        <v>45709</v>
      </c>
      <c r="M838" s="45" t="s">
        <v>246</v>
      </c>
    </row>
    <row r="839" spans="1:13">
      <c r="A839">
        <v>838</v>
      </c>
      <c r="B839" t="s">
        <v>138</v>
      </c>
      <c r="C839">
        <v>11</v>
      </c>
      <c r="D839" t="s">
        <v>175</v>
      </c>
      <c r="E839">
        <v>133</v>
      </c>
      <c r="F839" t="s">
        <v>8506</v>
      </c>
      <c r="G839">
        <v>1</v>
      </c>
      <c r="H839" t="s">
        <v>8507</v>
      </c>
      <c r="I839" s="45" t="s">
        <v>6754</v>
      </c>
      <c r="J839" s="122">
        <v>45707</v>
      </c>
      <c r="K839" s="110" t="str">
        <f t="shared" si="9"/>
        <v>https://Estud2024.sawtoothsoftware.com/cgi-bin/ciwweb.pl?studyname=Estud2024&amp;ID=838</v>
      </c>
      <c r="L839" s="113">
        <v>45709</v>
      </c>
      <c r="M839" s="45" t="s">
        <v>246</v>
      </c>
    </row>
    <row r="840" spans="1:13">
      <c r="A840">
        <v>839</v>
      </c>
      <c r="B840" t="s">
        <v>138</v>
      </c>
      <c r="C840">
        <v>11</v>
      </c>
      <c r="D840" t="s">
        <v>175</v>
      </c>
      <c r="E840">
        <v>133</v>
      </c>
      <c r="F840" t="s">
        <v>8508</v>
      </c>
      <c r="G840">
        <v>1</v>
      </c>
      <c r="H840" t="s">
        <v>8509</v>
      </c>
      <c r="I840" s="45" t="s">
        <v>6754</v>
      </c>
      <c r="J840" s="122">
        <v>45707</v>
      </c>
      <c r="K840" s="110" t="str">
        <f t="shared" si="9"/>
        <v>https://Estud2024.sawtoothsoftware.com/cgi-bin/ciwweb.pl?studyname=Estud2024&amp;ID=839</v>
      </c>
      <c r="L840" s="113">
        <v>45709</v>
      </c>
      <c r="M840" s="45" t="s">
        <v>246</v>
      </c>
    </row>
    <row r="841" spans="1:13">
      <c r="A841">
        <v>840</v>
      </c>
      <c r="B841" t="s">
        <v>138</v>
      </c>
      <c r="C841">
        <v>11</v>
      </c>
      <c r="D841" t="s">
        <v>175</v>
      </c>
      <c r="E841">
        <v>133</v>
      </c>
      <c r="F841" t="s">
        <v>8510</v>
      </c>
      <c r="G841">
        <v>1</v>
      </c>
      <c r="H841" t="s">
        <v>8511</v>
      </c>
      <c r="I841" s="45" t="s">
        <v>6754</v>
      </c>
      <c r="J841" s="122">
        <v>45707</v>
      </c>
      <c r="K841" s="110" t="str">
        <f t="shared" si="9"/>
        <v>https://Estud2024.sawtoothsoftware.com/cgi-bin/ciwweb.pl?studyname=Estud2024&amp;ID=840</v>
      </c>
      <c r="L841" s="113">
        <v>45709</v>
      </c>
      <c r="M841" s="45" t="s">
        <v>246</v>
      </c>
    </row>
    <row r="842" spans="1:13">
      <c r="A842">
        <v>841</v>
      </c>
      <c r="B842" t="s">
        <v>138</v>
      </c>
      <c r="C842">
        <v>11</v>
      </c>
      <c r="D842" t="s">
        <v>175</v>
      </c>
      <c r="E842">
        <v>133</v>
      </c>
      <c r="F842" t="s">
        <v>8512</v>
      </c>
      <c r="G842">
        <v>1</v>
      </c>
      <c r="H842" t="s">
        <v>8513</v>
      </c>
      <c r="I842" s="45" t="s">
        <v>6754</v>
      </c>
      <c r="J842" s="122">
        <v>45707</v>
      </c>
      <c r="K842" s="110" t="str">
        <f t="shared" si="9"/>
        <v>https://Estud2024.sawtoothsoftware.com/cgi-bin/ciwweb.pl?studyname=Estud2024&amp;ID=841</v>
      </c>
      <c r="L842" s="113">
        <v>45709</v>
      </c>
      <c r="M842" s="45" t="s">
        <v>246</v>
      </c>
    </row>
    <row r="843" spans="1:13">
      <c r="A843">
        <v>842</v>
      </c>
      <c r="B843" t="s">
        <v>138</v>
      </c>
      <c r="C843">
        <v>11</v>
      </c>
      <c r="D843" t="s">
        <v>175</v>
      </c>
      <c r="E843">
        <v>133</v>
      </c>
      <c r="F843" t="s">
        <v>8514</v>
      </c>
      <c r="G843">
        <v>1</v>
      </c>
      <c r="H843" t="s">
        <v>8515</v>
      </c>
      <c r="I843" s="45" t="s">
        <v>6754</v>
      </c>
      <c r="J843" s="122">
        <v>45707</v>
      </c>
      <c r="K843" s="110" t="str">
        <f t="shared" si="9"/>
        <v>https://Estud2024.sawtoothsoftware.com/cgi-bin/ciwweb.pl?studyname=Estud2024&amp;ID=842</v>
      </c>
      <c r="L843" s="113">
        <v>45709</v>
      </c>
      <c r="M843" s="45" t="s">
        <v>246</v>
      </c>
    </row>
    <row r="844" spans="1:13">
      <c r="A844">
        <v>843</v>
      </c>
      <c r="B844" t="s">
        <v>138</v>
      </c>
      <c r="C844">
        <v>11</v>
      </c>
      <c r="D844" t="s">
        <v>175</v>
      </c>
      <c r="E844">
        <v>133</v>
      </c>
      <c r="F844" t="s">
        <v>8516</v>
      </c>
      <c r="G844">
        <v>1</v>
      </c>
      <c r="H844" t="s">
        <v>8517</v>
      </c>
      <c r="I844" s="45" t="s">
        <v>6754</v>
      </c>
      <c r="J844" s="122">
        <v>45707</v>
      </c>
      <c r="K844" s="110" t="str">
        <f t="shared" si="9"/>
        <v>https://Estud2024.sawtoothsoftware.com/cgi-bin/ciwweb.pl?studyname=Estud2024&amp;ID=843</v>
      </c>
      <c r="L844" s="113">
        <v>45709</v>
      </c>
      <c r="M844" s="45" t="s">
        <v>246</v>
      </c>
    </row>
    <row r="845" spans="1:13">
      <c r="A845">
        <v>844</v>
      </c>
      <c r="B845" t="s">
        <v>138</v>
      </c>
      <c r="C845">
        <v>11</v>
      </c>
      <c r="D845" t="s">
        <v>175</v>
      </c>
      <c r="E845">
        <v>133</v>
      </c>
      <c r="F845" t="s">
        <v>8518</v>
      </c>
      <c r="G845">
        <v>1</v>
      </c>
      <c r="H845" t="s">
        <v>8519</v>
      </c>
      <c r="I845" s="45" t="s">
        <v>6754</v>
      </c>
      <c r="J845" s="122">
        <v>45707</v>
      </c>
      <c r="K845" s="110" t="str">
        <f t="shared" si="9"/>
        <v>https://Estud2024.sawtoothsoftware.com/cgi-bin/ciwweb.pl?studyname=Estud2024&amp;ID=844</v>
      </c>
      <c r="L845" s="113">
        <v>45709</v>
      </c>
      <c r="M845" s="45" t="s">
        <v>246</v>
      </c>
    </row>
    <row r="846" spans="1:13">
      <c r="A846">
        <v>845</v>
      </c>
      <c r="B846" t="s">
        <v>138</v>
      </c>
      <c r="C846">
        <v>11</v>
      </c>
      <c r="D846" t="s">
        <v>175</v>
      </c>
      <c r="E846">
        <v>133</v>
      </c>
      <c r="F846" t="s">
        <v>8520</v>
      </c>
      <c r="G846">
        <v>1</v>
      </c>
      <c r="H846" t="s">
        <v>8521</v>
      </c>
      <c r="I846" s="45" t="s">
        <v>6754</v>
      </c>
      <c r="J846" s="122">
        <v>45707</v>
      </c>
      <c r="K846" s="110" t="str">
        <f t="shared" si="9"/>
        <v>https://Estud2024.sawtoothsoftware.com/cgi-bin/ciwweb.pl?studyname=Estud2024&amp;ID=845</v>
      </c>
      <c r="L846" s="113">
        <v>45709</v>
      </c>
      <c r="M846" s="45" t="s">
        <v>246</v>
      </c>
    </row>
    <row r="847" spans="1:13">
      <c r="A847">
        <v>846</v>
      </c>
      <c r="B847" t="s">
        <v>138</v>
      </c>
      <c r="C847">
        <v>11</v>
      </c>
      <c r="D847" t="s">
        <v>175</v>
      </c>
      <c r="E847">
        <v>133</v>
      </c>
      <c r="F847" t="s">
        <v>8522</v>
      </c>
      <c r="G847">
        <v>1</v>
      </c>
      <c r="H847" t="s">
        <v>8523</v>
      </c>
      <c r="I847" s="45" t="s">
        <v>6754</v>
      </c>
      <c r="J847" s="122">
        <v>45707</v>
      </c>
      <c r="K847" s="110" t="str">
        <f t="shared" si="9"/>
        <v>https://Estud2024.sawtoothsoftware.com/cgi-bin/ciwweb.pl?studyname=Estud2024&amp;ID=846</v>
      </c>
      <c r="L847" s="113">
        <v>45709</v>
      </c>
      <c r="M847" s="45" t="s">
        <v>246</v>
      </c>
    </row>
    <row r="848" spans="1:13">
      <c r="A848">
        <v>847</v>
      </c>
      <c r="B848" t="s">
        <v>138</v>
      </c>
      <c r="C848">
        <v>11</v>
      </c>
      <c r="D848" t="s">
        <v>175</v>
      </c>
      <c r="E848">
        <v>133</v>
      </c>
      <c r="F848" t="s">
        <v>8524</v>
      </c>
      <c r="G848">
        <v>1</v>
      </c>
      <c r="H848" t="s">
        <v>8525</v>
      </c>
      <c r="I848" s="45" t="s">
        <v>6754</v>
      </c>
      <c r="J848" s="122">
        <v>45707</v>
      </c>
      <c r="K848" s="110" t="str">
        <f t="shared" si="9"/>
        <v>https://Estud2024.sawtoothsoftware.com/cgi-bin/ciwweb.pl?studyname=Estud2024&amp;ID=847</v>
      </c>
      <c r="L848" s="113">
        <v>45709</v>
      </c>
      <c r="M848" s="45" t="s">
        <v>246</v>
      </c>
    </row>
    <row r="849" spans="1:13">
      <c r="A849">
        <v>848</v>
      </c>
      <c r="B849" t="s">
        <v>138</v>
      </c>
      <c r="C849">
        <v>11</v>
      </c>
      <c r="D849" t="s">
        <v>175</v>
      </c>
      <c r="E849">
        <v>133</v>
      </c>
      <c r="F849" t="s">
        <v>8526</v>
      </c>
      <c r="G849">
        <v>1</v>
      </c>
      <c r="H849" t="s">
        <v>8629</v>
      </c>
      <c r="I849" s="45" t="s">
        <v>6754</v>
      </c>
      <c r="J849" s="122">
        <v>45707</v>
      </c>
      <c r="K849" s="110" t="str">
        <f t="shared" si="9"/>
        <v>https://Estud2024.sawtoothsoftware.com/cgi-bin/ciwweb.pl?studyname=Estud2024&amp;ID=848</v>
      </c>
      <c r="L849" s="113">
        <v>45709</v>
      </c>
      <c r="M849" s="45" t="s">
        <v>246</v>
      </c>
    </row>
    <row r="850" spans="1:13">
      <c r="A850">
        <v>849</v>
      </c>
      <c r="B850" t="s">
        <v>138</v>
      </c>
      <c r="C850">
        <v>11</v>
      </c>
      <c r="D850" t="s">
        <v>175</v>
      </c>
      <c r="E850">
        <v>133</v>
      </c>
      <c r="F850" t="s">
        <v>8527</v>
      </c>
      <c r="G850">
        <v>1</v>
      </c>
      <c r="H850" t="s">
        <v>8528</v>
      </c>
      <c r="I850" s="45" t="s">
        <v>6754</v>
      </c>
      <c r="J850" s="122">
        <v>45707</v>
      </c>
      <c r="K850" s="110" t="str">
        <f t="shared" si="9"/>
        <v>https://Estud2024.sawtoothsoftware.com/cgi-bin/ciwweb.pl?studyname=Estud2024&amp;ID=849</v>
      </c>
      <c r="L850" s="113">
        <v>45709</v>
      </c>
      <c r="M850" s="45" t="s">
        <v>246</v>
      </c>
    </row>
    <row r="851" spans="1:13">
      <c r="A851">
        <v>850</v>
      </c>
      <c r="B851" t="s">
        <v>138</v>
      </c>
      <c r="C851">
        <v>11</v>
      </c>
      <c r="D851" t="s">
        <v>175</v>
      </c>
      <c r="E851">
        <v>133</v>
      </c>
      <c r="F851" t="s">
        <v>8529</v>
      </c>
      <c r="G851">
        <v>1</v>
      </c>
      <c r="H851" t="s">
        <v>8530</v>
      </c>
      <c r="I851" s="45" t="s">
        <v>6754</v>
      </c>
      <c r="J851" s="122">
        <v>45707</v>
      </c>
      <c r="K851" s="110" t="str">
        <f t="shared" si="9"/>
        <v>https://Estud2024.sawtoothsoftware.com/cgi-bin/ciwweb.pl?studyname=Estud2024&amp;ID=850</v>
      </c>
      <c r="L851" s="113">
        <v>45709</v>
      </c>
      <c r="M851" s="45" t="s">
        <v>246</v>
      </c>
    </row>
    <row r="852" spans="1:13">
      <c r="A852">
        <v>851</v>
      </c>
      <c r="B852" t="s">
        <v>84</v>
      </c>
      <c r="C852">
        <v>4</v>
      </c>
      <c r="D852" t="s">
        <v>176</v>
      </c>
      <c r="E852">
        <v>121</v>
      </c>
      <c r="F852" t="s">
        <v>8630</v>
      </c>
      <c r="G852">
        <v>2</v>
      </c>
      <c r="H852" t="s">
        <v>8631</v>
      </c>
      <c r="I852" s="45" t="s">
        <v>6754</v>
      </c>
      <c r="J852" s="122">
        <v>45707</v>
      </c>
      <c r="K852" s="110" t="str">
        <f t="shared" si="9"/>
        <v>https://Estud2024.sawtoothsoftware.com/cgi-bin/ciwweb.pl?studyname=Estud2024&amp;ID=851</v>
      </c>
      <c r="L852" s="113">
        <v>45709</v>
      </c>
      <c r="M852" s="45" t="s">
        <v>247</v>
      </c>
    </row>
    <row r="853" spans="1:13">
      <c r="A853">
        <v>852</v>
      </c>
      <c r="B853" t="s">
        <v>84</v>
      </c>
      <c r="C853">
        <v>4</v>
      </c>
      <c r="D853" t="s">
        <v>176</v>
      </c>
      <c r="E853">
        <v>121</v>
      </c>
      <c r="F853" t="s">
        <v>8632</v>
      </c>
      <c r="G853">
        <v>2</v>
      </c>
      <c r="H853" t="s">
        <v>8633</v>
      </c>
      <c r="I853" s="45" t="s">
        <v>6754</v>
      </c>
      <c r="J853" s="122">
        <v>45707</v>
      </c>
      <c r="K853" s="110" t="str">
        <f t="shared" si="9"/>
        <v>https://Estud2024.sawtoothsoftware.com/cgi-bin/ciwweb.pl?studyname=Estud2024&amp;ID=852</v>
      </c>
      <c r="L853" s="113">
        <v>45709</v>
      </c>
      <c r="M853" s="45" t="s">
        <v>247</v>
      </c>
    </row>
    <row r="854" spans="1:13">
      <c r="A854">
        <v>853</v>
      </c>
      <c r="B854" t="s">
        <v>84</v>
      </c>
      <c r="C854">
        <v>4</v>
      </c>
      <c r="D854" t="s">
        <v>176</v>
      </c>
      <c r="E854">
        <v>121</v>
      </c>
      <c r="F854" t="s">
        <v>8634</v>
      </c>
      <c r="G854">
        <v>2</v>
      </c>
      <c r="H854" t="s">
        <v>8635</v>
      </c>
      <c r="I854" s="45" t="s">
        <v>6754</v>
      </c>
      <c r="J854" s="122">
        <v>45707</v>
      </c>
      <c r="K854" s="110" t="str">
        <f t="shared" ref="K854:K917" si="10">CONCATENATE("https://Estud2024.sawtoothsoftware.com/cgi-bin/ciwweb.pl?studyname=Estud2024&amp;ID=",A854)</f>
        <v>https://Estud2024.sawtoothsoftware.com/cgi-bin/ciwweb.pl?studyname=Estud2024&amp;ID=853</v>
      </c>
      <c r="L854" s="113">
        <v>45709</v>
      </c>
      <c r="M854" s="45" t="s">
        <v>247</v>
      </c>
    </row>
    <row r="855" spans="1:13">
      <c r="A855">
        <v>854</v>
      </c>
      <c r="B855" t="s">
        <v>84</v>
      </c>
      <c r="C855">
        <v>4</v>
      </c>
      <c r="D855" t="s">
        <v>176</v>
      </c>
      <c r="E855">
        <v>121</v>
      </c>
      <c r="F855" t="s">
        <v>8636</v>
      </c>
      <c r="G855">
        <v>2</v>
      </c>
      <c r="H855" t="s">
        <v>8637</v>
      </c>
      <c r="I855" s="45" t="s">
        <v>6754</v>
      </c>
      <c r="J855" s="122">
        <v>45707</v>
      </c>
      <c r="K855" s="110" t="str">
        <f t="shared" si="10"/>
        <v>https://Estud2024.sawtoothsoftware.com/cgi-bin/ciwweb.pl?studyname=Estud2024&amp;ID=854</v>
      </c>
      <c r="L855" s="113">
        <v>45709</v>
      </c>
      <c r="M855" s="45" t="s">
        <v>247</v>
      </c>
    </row>
    <row r="856" spans="1:13">
      <c r="A856">
        <v>855</v>
      </c>
      <c r="B856" t="s">
        <v>84</v>
      </c>
      <c r="C856">
        <v>4</v>
      </c>
      <c r="D856" t="s">
        <v>176</v>
      </c>
      <c r="E856">
        <v>121</v>
      </c>
      <c r="F856" t="s">
        <v>8638</v>
      </c>
      <c r="G856">
        <v>2</v>
      </c>
      <c r="H856" t="s">
        <v>8639</v>
      </c>
      <c r="I856" s="45" t="s">
        <v>6754</v>
      </c>
      <c r="J856" s="122">
        <v>45707</v>
      </c>
      <c r="K856" s="110" t="str">
        <f t="shared" si="10"/>
        <v>https://Estud2024.sawtoothsoftware.com/cgi-bin/ciwweb.pl?studyname=Estud2024&amp;ID=855</v>
      </c>
      <c r="L856" s="113">
        <v>45709</v>
      </c>
      <c r="M856" s="45" t="s">
        <v>247</v>
      </c>
    </row>
    <row r="857" spans="1:13">
      <c r="A857">
        <v>856</v>
      </c>
      <c r="B857" t="s">
        <v>84</v>
      </c>
      <c r="C857">
        <v>4</v>
      </c>
      <c r="D857" t="s">
        <v>176</v>
      </c>
      <c r="E857">
        <v>121</v>
      </c>
      <c r="F857" t="s">
        <v>8640</v>
      </c>
      <c r="G857">
        <v>2</v>
      </c>
      <c r="H857" t="s">
        <v>8641</v>
      </c>
      <c r="I857" s="45" t="s">
        <v>6754</v>
      </c>
      <c r="J857" s="122">
        <v>45707</v>
      </c>
      <c r="K857" s="110" t="str">
        <f t="shared" si="10"/>
        <v>https://Estud2024.sawtoothsoftware.com/cgi-bin/ciwweb.pl?studyname=Estud2024&amp;ID=856</v>
      </c>
      <c r="L857" s="113">
        <v>45709</v>
      </c>
      <c r="M857" s="45" t="s">
        <v>247</v>
      </c>
    </row>
    <row r="858" spans="1:13">
      <c r="A858">
        <v>857</v>
      </c>
      <c r="B858" t="s">
        <v>84</v>
      </c>
      <c r="C858">
        <v>4</v>
      </c>
      <c r="D858" t="s">
        <v>176</v>
      </c>
      <c r="E858">
        <v>121</v>
      </c>
      <c r="F858" t="s">
        <v>8642</v>
      </c>
      <c r="G858">
        <v>2</v>
      </c>
      <c r="H858" t="s">
        <v>8643</v>
      </c>
      <c r="I858" s="45" t="s">
        <v>6754</v>
      </c>
      <c r="J858" s="122">
        <v>45707</v>
      </c>
      <c r="K858" s="110" t="str">
        <f t="shared" si="10"/>
        <v>https://Estud2024.sawtoothsoftware.com/cgi-bin/ciwweb.pl?studyname=Estud2024&amp;ID=857</v>
      </c>
      <c r="L858" s="113">
        <v>45709</v>
      </c>
      <c r="M858" s="45" t="s">
        <v>247</v>
      </c>
    </row>
    <row r="859" spans="1:13">
      <c r="A859">
        <v>858</v>
      </c>
      <c r="B859" t="s">
        <v>84</v>
      </c>
      <c r="C859">
        <v>4</v>
      </c>
      <c r="D859" t="s">
        <v>176</v>
      </c>
      <c r="E859">
        <v>121</v>
      </c>
      <c r="F859" t="s">
        <v>8644</v>
      </c>
      <c r="G859">
        <v>2</v>
      </c>
      <c r="H859" t="s">
        <v>8645</v>
      </c>
      <c r="I859" s="45" t="s">
        <v>6754</v>
      </c>
      <c r="J859" s="122">
        <v>45707</v>
      </c>
      <c r="K859" s="110" t="str">
        <f t="shared" si="10"/>
        <v>https://Estud2024.sawtoothsoftware.com/cgi-bin/ciwweb.pl?studyname=Estud2024&amp;ID=858</v>
      </c>
      <c r="L859" s="113">
        <v>45709</v>
      </c>
      <c r="M859" s="45" t="s">
        <v>247</v>
      </c>
    </row>
    <row r="860" spans="1:13">
      <c r="A860">
        <v>859</v>
      </c>
      <c r="B860" t="s">
        <v>84</v>
      </c>
      <c r="C860">
        <v>4</v>
      </c>
      <c r="D860" t="s">
        <v>176</v>
      </c>
      <c r="E860">
        <v>121</v>
      </c>
      <c r="F860" t="s">
        <v>8646</v>
      </c>
      <c r="G860">
        <v>2</v>
      </c>
      <c r="H860" t="s">
        <v>8647</v>
      </c>
      <c r="I860" s="45" t="s">
        <v>6754</v>
      </c>
      <c r="J860" s="122">
        <v>45707</v>
      </c>
      <c r="K860" s="110" t="str">
        <f t="shared" si="10"/>
        <v>https://Estud2024.sawtoothsoftware.com/cgi-bin/ciwweb.pl?studyname=Estud2024&amp;ID=859</v>
      </c>
      <c r="L860" s="113">
        <v>45709</v>
      </c>
      <c r="M860" s="45" t="s">
        <v>247</v>
      </c>
    </row>
    <row r="861" spans="1:13">
      <c r="A861">
        <v>860</v>
      </c>
      <c r="B861" t="s">
        <v>84</v>
      </c>
      <c r="C861">
        <v>4</v>
      </c>
      <c r="D861" t="s">
        <v>176</v>
      </c>
      <c r="E861">
        <v>121</v>
      </c>
      <c r="F861" t="s">
        <v>8648</v>
      </c>
      <c r="G861">
        <v>2</v>
      </c>
      <c r="H861" t="s">
        <v>8649</v>
      </c>
      <c r="I861" s="45" t="s">
        <v>6754</v>
      </c>
      <c r="J861" s="122">
        <v>45707</v>
      </c>
      <c r="K861" s="110" t="str">
        <f t="shared" si="10"/>
        <v>https://Estud2024.sawtoothsoftware.com/cgi-bin/ciwweb.pl?studyname=Estud2024&amp;ID=860</v>
      </c>
      <c r="L861" s="113">
        <v>45709</v>
      </c>
      <c r="M861" s="45" t="s">
        <v>247</v>
      </c>
    </row>
    <row r="862" spans="1:13">
      <c r="A862">
        <v>861</v>
      </c>
      <c r="B862" t="s">
        <v>84</v>
      </c>
      <c r="C862">
        <v>4</v>
      </c>
      <c r="D862" t="s">
        <v>176</v>
      </c>
      <c r="E862">
        <v>121</v>
      </c>
      <c r="F862" t="s">
        <v>8650</v>
      </c>
      <c r="G862">
        <v>2</v>
      </c>
      <c r="H862" t="s">
        <v>8651</v>
      </c>
      <c r="I862" s="45" t="s">
        <v>6754</v>
      </c>
      <c r="J862" s="122">
        <v>45707</v>
      </c>
      <c r="K862" s="110" t="str">
        <f t="shared" si="10"/>
        <v>https://Estud2024.sawtoothsoftware.com/cgi-bin/ciwweb.pl?studyname=Estud2024&amp;ID=861</v>
      </c>
      <c r="L862" s="113">
        <v>45709</v>
      </c>
      <c r="M862" s="45" t="s">
        <v>247</v>
      </c>
    </row>
    <row r="863" spans="1:13">
      <c r="A863">
        <v>862</v>
      </c>
      <c r="B863" t="s">
        <v>84</v>
      </c>
      <c r="C863">
        <v>4</v>
      </c>
      <c r="D863" t="s">
        <v>176</v>
      </c>
      <c r="E863">
        <v>121</v>
      </c>
      <c r="F863" t="s">
        <v>8652</v>
      </c>
      <c r="G863">
        <v>2</v>
      </c>
      <c r="H863" t="s">
        <v>8653</v>
      </c>
      <c r="I863" s="45" t="s">
        <v>6754</v>
      </c>
      <c r="J863" s="122">
        <v>45707</v>
      </c>
      <c r="K863" s="110" t="str">
        <f t="shared" si="10"/>
        <v>https://Estud2024.sawtoothsoftware.com/cgi-bin/ciwweb.pl?studyname=Estud2024&amp;ID=862</v>
      </c>
      <c r="L863" s="113">
        <v>45709</v>
      </c>
      <c r="M863" s="45" t="s">
        <v>247</v>
      </c>
    </row>
    <row r="864" spans="1:13">
      <c r="A864">
        <v>863</v>
      </c>
      <c r="B864" t="s">
        <v>84</v>
      </c>
      <c r="C864">
        <v>4</v>
      </c>
      <c r="D864" t="s">
        <v>176</v>
      </c>
      <c r="E864">
        <v>121</v>
      </c>
      <c r="F864" t="s">
        <v>8654</v>
      </c>
      <c r="G864">
        <v>2</v>
      </c>
      <c r="H864" t="s">
        <v>8655</v>
      </c>
      <c r="I864" s="45" t="s">
        <v>6754</v>
      </c>
      <c r="J864" s="122">
        <v>45707</v>
      </c>
      <c r="K864" s="110" t="str">
        <f t="shared" si="10"/>
        <v>https://Estud2024.sawtoothsoftware.com/cgi-bin/ciwweb.pl?studyname=Estud2024&amp;ID=863</v>
      </c>
      <c r="L864" s="113">
        <v>45709</v>
      </c>
      <c r="M864" s="45" t="s">
        <v>247</v>
      </c>
    </row>
    <row r="865" spans="1:13">
      <c r="A865">
        <v>864</v>
      </c>
      <c r="B865" t="s">
        <v>84</v>
      </c>
      <c r="C865">
        <v>4</v>
      </c>
      <c r="D865" t="s">
        <v>176</v>
      </c>
      <c r="E865">
        <v>121</v>
      </c>
      <c r="F865" t="s">
        <v>8656</v>
      </c>
      <c r="G865">
        <v>2</v>
      </c>
      <c r="H865" t="s">
        <v>8657</v>
      </c>
      <c r="I865" s="45" t="s">
        <v>6754</v>
      </c>
      <c r="J865" s="122">
        <v>45707</v>
      </c>
      <c r="K865" s="110" t="str">
        <f t="shared" si="10"/>
        <v>https://Estud2024.sawtoothsoftware.com/cgi-bin/ciwweb.pl?studyname=Estud2024&amp;ID=864</v>
      </c>
      <c r="L865" s="113">
        <v>45709</v>
      </c>
      <c r="M865" s="45" t="s">
        <v>247</v>
      </c>
    </row>
    <row r="866" spans="1:13">
      <c r="A866">
        <v>865</v>
      </c>
      <c r="B866" t="s">
        <v>84</v>
      </c>
      <c r="C866">
        <v>4</v>
      </c>
      <c r="D866" t="s">
        <v>176</v>
      </c>
      <c r="E866">
        <v>121</v>
      </c>
      <c r="F866" t="s">
        <v>8658</v>
      </c>
      <c r="G866">
        <v>2</v>
      </c>
      <c r="H866" t="s">
        <v>8659</v>
      </c>
      <c r="I866" s="45" t="s">
        <v>6754</v>
      </c>
      <c r="J866" s="122">
        <v>45707</v>
      </c>
      <c r="K866" s="110" t="str">
        <f t="shared" si="10"/>
        <v>https://Estud2024.sawtoothsoftware.com/cgi-bin/ciwweb.pl?studyname=Estud2024&amp;ID=865</v>
      </c>
      <c r="L866" s="113">
        <v>45709</v>
      </c>
      <c r="M866" s="45" t="s">
        <v>247</v>
      </c>
    </row>
    <row r="867" spans="1:13">
      <c r="A867">
        <v>866</v>
      </c>
      <c r="B867" t="s">
        <v>84</v>
      </c>
      <c r="C867">
        <v>4</v>
      </c>
      <c r="D867" t="s">
        <v>176</v>
      </c>
      <c r="E867">
        <v>121</v>
      </c>
      <c r="F867" t="s">
        <v>8660</v>
      </c>
      <c r="G867">
        <v>2</v>
      </c>
      <c r="H867" t="s">
        <v>8661</v>
      </c>
      <c r="I867" s="45" t="s">
        <v>6754</v>
      </c>
      <c r="J867" s="122">
        <v>45707</v>
      </c>
      <c r="K867" s="110" t="str">
        <f t="shared" si="10"/>
        <v>https://Estud2024.sawtoothsoftware.com/cgi-bin/ciwweb.pl?studyname=Estud2024&amp;ID=866</v>
      </c>
      <c r="L867" s="113">
        <v>45709</v>
      </c>
      <c r="M867" s="45" t="s">
        <v>247</v>
      </c>
    </row>
    <row r="868" spans="1:13">
      <c r="A868">
        <v>867</v>
      </c>
      <c r="B868" t="s">
        <v>84</v>
      </c>
      <c r="C868">
        <v>4</v>
      </c>
      <c r="D868" t="s">
        <v>176</v>
      </c>
      <c r="E868">
        <v>121</v>
      </c>
      <c r="F868" t="s">
        <v>8662</v>
      </c>
      <c r="G868">
        <v>2</v>
      </c>
      <c r="H868" t="s">
        <v>8663</v>
      </c>
      <c r="I868" s="45" t="s">
        <v>6754</v>
      </c>
      <c r="J868" s="122">
        <v>45707</v>
      </c>
      <c r="K868" s="110" t="str">
        <f t="shared" si="10"/>
        <v>https://Estud2024.sawtoothsoftware.com/cgi-bin/ciwweb.pl?studyname=Estud2024&amp;ID=867</v>
      </c>
      <c r="L868" s="113">
        <v>45709</v>
      </c>
      <c r="M868" s="45" t="s">
        <v>247</v>
      </c>
    </row>
    <row r="869" spans="1:13">
      <c r="A869">
        <v>868</v>
      </c>
      <c r="B869" t="s">
        <v>84</v>
      </c>
      <c r="C869">
        <v>4</v>
      </c>
      <c r="D869" t="s">
        <v>176</v>
      </c>
      <c r="E869">
        <v>121</v>
      </c>
      <c r="F869" t="s">
        <v>8664</v>
      </c>
      <c r="G869">
        <v>2</v>
      </c>
      <c r="H869" t="s">
        <v>8665</v>
      </c>
      <c r="I869" s="45" t="s">
        <v>6754</v>
      </c>
      <c r="J869" s="122">
        <v>45707</v>
      </c>
      <c r="K869" s="110" t="str">
        <f t="shared" si="10"/>
        <v>https://Estud2024.sawtoothsoftware.com/cgi-bin/ciwweb.pl?studyname=Estud2024&amp;ID=868</v>
      </c>
      <c r="L869" s="113">
        <v>45709</v>
      </c>
      <c r="M869" s="45" t="s">
        <v>247</v>
      </c>
    </row>
    <row r="870" spans="1:13">
      <c r="A870">
        <v>869</v>
      </c>
      <c r="B870" t="s">
        <v>84</v>
      </c>
      <c r="C870">
        <v>4</v>
      </c>
      <c r="D870" t="s">
        <v>176</v>
      </c>
      <c r="E870">
        <v>121</v>
      </c>
      <c r="F870" t="s">
        <v>8666</v>
      </c>
      <c r="G870">
        <v>2</v>
      </c>
      <c r="H870" t="s">
        <v>8667</v>
      </c>
      <c r="I870" s="45" t="s">
        <v>6754</v>
      </c>
      <c r="J870" s="122">
        <v>45707</v>
      </c>
      <c r="K870" s="110" t="str">
        <f t="shared" si="10"/>
        <v>https://Estud2024.sawtoothsoftware.com/cgi-bin/ciwweb.pl?studyname=Estud2024&amp;ID=869</v>
      </c>
      <c r="L870" s="113">
        <v>45709</v>
      </c>
      <c r="M870" s="45" t="s">
        <v>247</v>
      </c>
    </row>
    <row r="871" spans="1:13">
      <c r="A871">
        <v>870</v>
      </c>
      <c r="B871" t="s">
        <v>84</v>
      </c>
      <c r="C871">
        <v>4</v>
      </c>
      <c r="D871" t="s">
        <v>176</v>
      </c>
      <c r="E871">
        <v>121</v>
      </c>
      <c r="F871" t="s">
        <v>8668</v>
      </c>
      <c r="G871">
        <v>2</v>
      </c>
      <c r="H871" t="s">
        <v>8669</v>
      </c>
      <c r="I871" s="45" t="s">
        <v>6754</v>
      </c>
      <c r="J871" s="122">
        <v>45707</v>
      </c>
      <c r="K871" s="110" t="str">
        <f t="shared" si="10"/>
        <v>https://Estud2024.sawtoothsoftware.com/cgi-bin/ciwweb.pl?studyname=Estud2024&amp;ID=870</v>
      </c>
      <c r="L871" s="113">
        <v>45709</v>
      </c>
      <c r="M871" s="45" t="s">
        <v>247</v>
      </c>
    </row>
    <row r="872" spans="1:13">
      <c r="A872">
        <v>871</v>
      </c>
      <c r="B872" t="s">
        <v>84</v>
      </c>
      <c r="C872">
        <v>4</v>
      </c>
      <c r="D872" t="s">
        <v>176</v>
      </c>
      <c r="E872">
        <v>121</v>
      </c>
      <c r="F872" t="s">
        <v>8670</v>
      </c>
      <c r="G872">
        <v>2</v>
      </c>
      <c r="H872" t="s">
        <v>8671</v>
      </c>
      <c r="I872" s="45" t="s">
        <v>6754</v>
      </c>
      <c r="J872" s="122">
        <v>45707</v>
      </c>
      <c r="K872" s="110" t="str">
        <f t="shared" si="10"/>
        <v>https://Estud2024.sawtoothsoftware.com/cgi-bin/ciwweb.pl?studyname=Estud2024&amp;ID=871</v>
      </c>
      <c r="L872" s="113">
        <v>45709</v>
      </c>
      <c r="M872" s="45" t="s">
        <v>247</v>
      </c>
    </row>
    <row r="873" spans="1:13">
      <c r="A873">
        <v>872</v>
      </c>
      <c r="B873" t="s">
        <v>84</v>
      </c>
      <c r="C873">
        <v>4</v>
      </c>
      <c r="D873" t="s">
        <v>176</v>
      </c>
      <c r="E873">
        <v>121</v>
      </c>
      <c r="F873" t="s">
        <v>8672</v>
      </c>
      <c r="G873">
        <v>2</v>
      </c>
      <c r="H873" t="s">
        <v>8673</v>
      </c>
      <c r="I873" s="45" t="s">
        <v>6754</v>
      </c>
      <c r="J873" s="122">
        <v>45707</v>
      </c>
      <c r="K873" s="110" t="str">
        <f t="shared" si="10"/>
        <v>https://Estud2024.sawtoothsoftware.com/cgi-bin/ciwweb.pl?studyname=Estud2024&amp;ID=872</v>
      </c>
      <c r="L873" s="113">
        <v>45709</v>
      </c>
      <c r="M873" s="45" t="s">
        <v>247</v>
      </c>
    </row>
    <row r="874" spans="1:13">
      <c r="A874">
        <v>873</v>
      </c>
      <c r="B874" t="s">
        <v>84</v>
      </c>
      <c r="C874">
        <v>4</v>
      </c>
      <c r="D874" t="s">
        <v>8674</v>
      </c>
      <c r="E874">
        <v>97</v>
      </c>
      <c r="F874" t="s">
        <v>8675</v>
      </c>
      <c r="G874">
        <v>2</v>
      </c>
      <c r="H874" t="s">
        <v>8676</v>
      </c>
      <c r="I874" s="45" t="s">
        <v>6754</v>
      </c>
      <c r="J874" s="122">
        <v>45707</v>
      </c>
      <c r="K874" s="110" t="str">
        <f t="shared" si="10"/>
        <v>https://Estud2024.sawtoothsoftware.com/cgi-bin/ciwweb.pl?studyname=Estud2024&amp;ID=873</v>
      </c>
      <c r="L874" s="113">
        <v>45709</v>
      </c>
      <c r="M874" s="45" t="s">
        <v>247</v>
      </c>
    </row>
    <row r="875" spans="1:13">
      <c r="A875">
        <v>874</v>
      </c>
      <c r="B875" t="s">
        <v>84</v>
      </c>
      <c r="C875">
        <v>4</v>
      </c>
      <c r="D875" t="s">
        <v>8674</v>
      </c>
      <c r="E875">
        <v>97</v>
      </c>
      <c r="F875" t="s">
        <v>8677</v>
      </c>
      <c r="G875">
        <v>2</v>
      </c>
      <c r="H875" t="s">
        <v>8678</v>
      </c>
      <c r="I875" s="45" t="s">
        <v>6754</v>
      </c>
      <c r="J875" s="122">
        <v>45707</v>
      </c>
      <c r="K875" s="110" t="str">
        <f t="shared" si="10"/>
        <v>https://Estud2024.sawtoothsoftware.com/cgi-bin/ciwweb.pl?studyname=Estud2024&amp;ID=874</v>
      </c>
      <c r="L875" s="113">
        <v>45709</v>
      </c>
      <c r="M875" s="45" t="s">
        <v>247</v>
      </c>
    </row>
    <row r="876" spans="1:13">
      <c r="A876">
        <v>875</v>
      </c>
      <c r="B876" t="s">
        <v>84</v>
      </c>
      <c r="C876">
        <v>4</v>
      </c>
      <c r="D876" t="s">
        <v>8674</v>
      </c>
      <c r="E876">
        <v>97</v>
      </c>
      <c r="F876" t="s">
        <v>8679</v>
      </c>
      <c r="G876">
        <v>2</v>
      </c>
      <c r="H876" t="s">
        <v>8680</v>
      </c>
      <c r="I876" s="45" t="s">
        <v>6754</v>
      </c>
      <c r="J876" s="122">
        <v>45707</v>
      </c>
      <c r="K876" s="110" t="str">
        <f t="shared" si="10"/>
        <v>https://Estud2024.sawtoothsoftware.com/cgi-bin/ciwweb.pl?studyname=Estud2024&amp;ID=875</v>
      </c>
      <c r="L876" s="113">
        <v>45709</v>
      </c>
      <c r="M876" s="45" t="s">
        <v>247</v>
      </c>
    </row>
    <row r="877" spans="1:13">
      <c r="A877">
        <v>876</v>
      </c>
      <c r="B877" t="s">
        <v>84</v>
      </c>
      <c r="C877">
        <v>4</v>
      </c>
      <c r="D877" t="s">
        <v>8674</v>
      </c>
      <c r="E877">
        <v>97</v>
      </c>
      <c r="F877" t="s">
        <v>8681</v>
      </c>
      <c r="G877">
        <v>2</v>
      </c>
      <c r="H877" t="s">
        <v>8682</v>
      </c>
      <c r="I877" s="45" t="s">
        <v>6754</v>
      </c>
      <c r="J877" s="122">
        <v>45707</v>
      </c>
      <c r="K877" s="110" t="str">
        <f t="shared" si="10"/>
        <v>https://Estud2024.sawtoothsoftware.com/cgi-bin/ciwweb.pl?studyname=Estud2024&amp;ID=876</v>
      </c>
      <c r="L877" s="113">
        <v>45709</v>
      </c>
      <c r="M877" s="45" t="s">
        <v>247</v>
      </c>
    </row>
    <row r="878" spans="1:13">
      <c r="A878">
        <v>877</v>
      </c>
      <c r="B878" t="s">
        <v>84</v>
      </c>
      <c r="C878">
        <v>4</v>
      </c>
      <c r="D878" t="s">
        <v>8674</v>
      </c>
      <c r="E878">
        <v>97</v>
      </c>
      <c r="F878" t="s">
        <v>8683</v>
      </c>
      <c r="G878">
        <v>2</v>
      </c>
      <c r="H878" t="s">
        <v>8684</v>
      </c>
      <c r="I878" s="45" t="s">
        <v>6754</v>
      </c>
      <c r="J878" s="122">
        <v>45707</v>
      </c>
      <c r="K878" s="110" t="str">
        <f t="shared" si="10"/>
        <v>https://Estud2024.sawtoothsoftware.com/cgi-bin/ciwweb.pl?studyname=Estud2024&amp;ID=877</v>
      </c>
      <c r="L878" s="113">
        <v>45709</v>
      </c>
      <c r="M878" s="45" t="s">
        <v>247</v>
      </c>
    </row>
    <row r="879" spans="1:13">
      <c r="A879">
        <v>878</v>
      </c>
      <c r="B879" t="s">
        <v>84</v>
      </c>
      <c r="C879">
        <v>4</v>
      </c>
      <c r="D879" t="s">
        <v>8674</v>
      </c>
      <c r="E879">
        <v>97</v>
      </c>
      <c r="F879" t="s">
        <v>8685</v>
      </c>
      <c r="G879">
        <v>2</v>
      </c>
      <c r="H879" t="s">
        <v>8686</v>
      </c>
      <c r="I879" s="45" t="s">
        <v>6754</v>
      </c>
      <c r="J879" s="122">
        <v>45707</v>
      </c>
      <c r="K879" s="110" t="str">
        <f t="shared" si="10"/>
        <v>https://Estud2024.sawtoothsoftware.com/cgi-bin/ciwweb.pl?studyname=Estud2024&amp;ID=878</v>
      </c>
      <c r="L879" s="113">
        <v>45709</v>
      </c>
      <c r="M879" s="45" t="s">
        <v>247</v>
      </c>
    </row>
    <row r="880" spans="1:13">
      <c r="A880">
        <v>879</v>
      </c>
      <c r="B880" t="s">
        <v>84</v>
      </c>
      <c r="C880">
        <v>4</v>
      </c>
      <c r="D880" t="s">
        <v>8674</v>
      </c>
      <c r="E880">
        <v>97</v>
      </c>
      <c r="F880" t="s">
        <v>8687</v>
      </c>
      <c r="G880">
        <v>2</v>
      </c>
      <c r="H880" t="s">
        <v>8688</v>
      </c>
      <c r="I880" s="45" t="s">
        <v>6754</v>
      </c>
      <c r="J880" s="122">
        <v>45707</v>
      </c>
      <c r="K880" s="110" t="str">
        <f t="shared" si="10"/>
        <v>https://Estud2024.sawtoothsoftware.com/cgi-bin/ciwweb.pl?studyname=Estud2024&amp;ID=879</v>
      </c>
      <c r="L880" s="113">
        <v>45709</v>
      </c>
      <c r="M880" s="45" t="s">
        <v>247</v>
      </c>
    </row>
    <row r="881" spans="1:13">
      <c r="A881">
        <v>880</v>
      </c>
      <c r="B881" t="s">
        <v>84</v>
      </c>
      <c r="C881">
        <v>4</v>
      </c>
      <c r="D881" t="s">
        <v>8674</v>
      </c>
      <c r="E881">
        <v>97</v>
      </c>
      <c r="F881" t="s">
        <v>8689</v>
      </c>
      <c r="G881">
        <v>2</v>
      </c>
      <c r="H881" t="s">
        <v>8690</v>
      </c>
      <c r="I881" s="45" t="s">
        <v>6754</v>
      </c>
      <c r="J881" s="122">
        <v>45707</v>
      </c>
      <c r="K881" s="110" t="str">
        <f t="shared" si="10"/>
        <v>https://Estud2024.sawtoothsoftware.com/cgi-bin/ciwweb.pl?studyname=Estud2024&amp;ID=880</v>
      </c>
      <c r="L881" s="113">
        <v>45709</v>
      </c>
      <c r="M881" s="45" t="s">
        <v>247</v>
      </c>
    </row>
    <row r="882" spans="1:13">
      <c r="A882">
        <v>881</v>
      </c>
      <c r="B882" t="s">
        <v>84</v>
      </c>
      <c r="C882">
        <v>4</v>
      </c>
      <c r="D882" t="s">
        <v>8674</v>
      </c>
      <c r="E882">
        <v>97</v>
      </c>
      <c r="F882" t="s">
        <v>8691</v>
      </c>
      <c r="G882">
        <v>2</v>
      </c>
      <c r="H882" t="s">
        <v>8692</v>
      </c>
      <c r="I882" s="45" t="s">
        <v>6754</v>
      </c>
      <c r="J882" s="122">
        <v>45707</v>
      </c>
      <c r="K882" s="110" t="str">
        <f t="shared" si="10"/>
        <v>https://Estud2024.sawtoothsoftware.com/cgi-bin/ciwweb.pl?studyname=Estud2024&amp;ID=881</v>
      </c>
      <c r="L882" s="113">
        <v>45709</v>
      </c>
      <c r="M882" s="45" t="s">
        <v>247</v>
      </c>
    </row>
    <row r="883" spans="1:13">
      <c r="A883">
        <v>882</v>
      </c>
      <c r="B883" t="s">
        <v>84</v>
      </c>
      <c r="C883">
        <v>4</v>
      </c>
      <c r="D883" t="s">
        <v>8674</v>
      </c>
      <c r="E883">
        <v>97</v>
      </c>
      <c r="F883" t="s">
        <v>8693</v>
      </c>
      <c r="G883">
        <v>2</v>
      </c>
      <c r="H883" t="s">
        <v>8694</v>
      </c>
      <c r="I883" s="45" t="s">
        <v>6754</v>
      </c>
      <c r="J883" s="122">
        <v>45707</v>
      </c>
      <c r="K883" s="110" t="str">
        <f t="shared" si="10"/>
        <v>https://Estud2024.sawtoothsoftware.com/cgi-bin/ciwweb.pl?studyname=Estud2024&amp;ID=882</v>
      </c>
      <c r="L883" s="113">
        <v>45709</v>
      </c>
      <c r="M883" s="45" t="s">
        <v>247</v>
      </c>
    </row>
    <row r="884" spans="1:13">
      <c r="A884">
        <v>883</v>
      </c>
      <c r="B884" t="s">
        <v>84</v>
      </c>
      <c r="C884">
        <v>4</v>
      </c>
      <c r="D884" t="s">
        <v>8674</v>
      </c>
      <c r="E884">
        <v>97</v>
      </c>
      <c r="F884" t="s">
        <v>8695</v>
      </c>
      <c r="G884">
        <v>2</v>
      </c>
      <c r="H884" t="s">
        <v>8696</v>
      </c>
      <c r="I884" s="45" t="s">
        <v>6754</v>
      </c>
      <c r="J884" s="122">
        <v>45707</v>
      </c>
      <c r="K884" s="110" t="str">
        <f t="shared" si="10"/>
        <v>https://Estud2024.sawtoothsoftware.com/cgi-bin/ciwweb.pl?studyname=Estud2024&amp;ID=883</v>
      </c>
      <c r="L884" s="113">
        <v>45709</v>
      </c>
      <c r="M884" s="45" t="s">
        <v>247</v>
      </c>
    </row>
    <row r="885" spans="1:13">
      <c r="A885">
        <v>884</v>
      </c>
      <c r="B885" t="s">
        <v>84</v>
      </c>
      <c r="C885">
        <v>4</v>
      </c>
      <c r="D885" t="s">
        <v>8674</v>
      </c>
      <c r="E885">
        <v>97</v>
      </c>
      <c r="F885" t="s">
        <v>8697</v>
      </c>
      <c r="G885">
        <v>2</v>
      </c>
      <c r="H885" t="s">
        <v>8698</v>
      </c>
      <c r="I885" s="45" t="s">
        <v>6754</v>
      </c>
      <c r="J885" s="122">
        <v>45707</v>
      </c>
      <c r="K885" s="110" t="str">
        <f t="shared" si="10"/>
        <v>https://Estud2024.sawtoothsoftware.com/cgi-bin/ciwweb.pl?studyname=Estud2024&amp;ID=884</v>
      </c>
      <c r="L885" s="113">
        <v>45709</v>
      </c>
      <c r="M885" s="45" t="s">
        <v>247</v>
      </c>
    </row>
    <row r="886" spans="1:13">
      <c r="A886">
        <v>885</v>
      </c>
      <c r="B886" t="s">
        <v>84</v>
      </c>
      <c r="C886">
        <v>4</v>
      </c>
      <c r="D886" t="s">
        <v>8674</v>
      </c>
      <c r="E886">
        <v>97</v>
      </c>
      <c r="F886" t="s">
        <v>8699</v>
      </c>
      <c r="G886">
        <v>2</v>
      </c>
      <c r="H886" t="s">
        <v>8700</v>
      </c>
      <c r="I886" s="45" t="s">
        <v>6754</v>
      </c>
      <c r="J886" s="122">
        <v>45707</v>
      </c>
      <c r="K886" s="110" t="str">
        <f t="shared" si="10"/>
        <v>https://Estud2024.sawtoothsoftware.com/cgi-bin/ciwweb.pl?studyname=Estud2024&amp;ID=885</v>
      </c>
      <c r="L886" s="113">
        <v>45709</v>
      </c>
      <c r="M886" s="45" t="s">
        <v>247</v>
      </c>
    </row>
    <row r="887" spans="1:13">
      <c r="A887">
        <v>886</v>
      </c>
      <c r="B887" t="s">
        <v>84</v>
      </c>
      <c r="C887">
        <v>4</v>
      </c>
      <c r="D887" t="s">
        <v>8674</v>
      </c>
      <c r="E887">
        <v>97</v>
      </c>
      <c r="F887" t="s">
        <v>8701</v>
      </c>
      <c r="G887">
        <v>2</v>
      </c>
      <c r="H887" t="s">
        <v>8702</v>
      </c>
      <c r="I887" s="45" t="s">
        <v>6754</v>
      </c>
      <c r="J887" s="122">
        <v>45707</v>
      </c>
      <c r="K887" s="110" t="str">
        <f t="shared" si="10"/>
        <v>https://Estud2024.sawtoothsoftware.com/cgi-bin/ciwweb.pl?studyname=Estud2024&amp;ID=886</v>
      </c>
      <c r="L887" s="113">
        <v>45709</v>
      </c>
      <c r="M887" s="45" t="s">
        <v>247</v>
      </c>
    </row>
    <row r="888" spans="1:13">
      <c r="A888">
        <v>887</v>
      </c>
      <c r="B888" t="s">
        <v>84</v>
      </c>
      <c r="C888">
        <v>4</v>
      </c>
      <c r="D888" t="s">
        <v>8674</v>
      </c>
      <c r="E888">
        <v>97</v>
      </c>
      <c r="F888" t="s">
        <v>8703</v>
      </c>
      <c r="G888">
        <v>2</v>
      </c>
      <c r="H888" t="s">
        <v>8704</v>
      </c>
      <c r="I888" s="45" t="s">
        <v>6754</v>
      </c>
      <c r="J888" s="122">
        <v>45707</v>
      </c>
      <c r="K888" s="110" t="str">
        <f t="shared" si="10"/>
        <v>https://Estud2024.sawtoothsoftware.com/cgi-bin/ciwweb.pl?studyname=Estud2024&amp;ID=887</v>
      </c>
      <c r="L888" s="113">
        <v>45709</v>
      </c>
      <c r="M888" s="45" t="s">
        <v>247</v>
      </c>
    </row>
    <row r="889" spans="1:13">
      <c r="A889">
        <v>888</v>
      </c>
      <c r="B889" t="s">
        <v>84</v>
      </c>
      <c r="C889">
        <v>4</v>
      </c>
      <c r="D889" t="s">
        <v>8674</v>
      </c>
      <c r="E889">
        <v>97</v>
      </c>
      <c r="F889" t="s">
        <v>8705</v>
      </c>
      <c r="G889">
        <v>2</v>
      </c>
      <c r="H889" t="s">
        <v>8706</v>
      </c>
      <c r="I889" s="45" t="s">
        <v>6754</v>
      </c>
      <c r="J889" s="122">
        <v>45707</v>
      </c>
      <c r="K889" s="110" t="str">
        <f t="shared" si="10"/>
        <v>https://Estud2024.sawtoothsoftware.com/cgi-bin/ciwweb.pl?studyname=Estud2024&amp;ID=888</v>
      </c>
      <c r="L889" s="113">
        <v>45709</v>
      </c>
      <c r="M889" s="45" t="s">
        <v>247</v>
      </c>
    </row>
    <row r="890" spans="1:13">
      <c r="A890">
        <v>889</v>
      </c>
      <c r="B890" t="s">
        <v>84</v>
      </c>
      <c r="C890">
        <v>4</v>
      </c>
      <c r="D890" t="s">
        <v>8674</v>
      </c>
      <c r="E890">
        <v>97</v>
      </c>
      <c r="F890" t="s">
        <v>8707</v>
      </c>
      <c r="G890">
        <v>2</v>
      </c>
      <c r="H890" t="s">
        <v>8708</v>
      </c>
      <c r="I890" s="45" t="s">
        <v>6754</v>
      </c>
      <c r="J890" s="122">
        <v>45707</v>
      </c>
      <c r="K890" s="110" t="str">
        <f t="shared" si="10"/>
        <v>https://Estud2024.sawtoothsoftware.com/cgi-bin/ciwweb.pl?studyname=Estud2024&amp;ID=889</v>
      </c>
      <c r="L890" s="113">
        <v>45709</v>
      </c>
      <c r="M890" s="45" t="s">
        <v>247</v>
      </c>
    </row>
    <row r="891" spans="1:13">
      <c r="A891">
        <v>890</v>
      </c>
      <c r="B891" t="s">
        <v>84</v>
      </c>
      <c r="C891">
        <v>4</v>
      </c>
      <c r="D891" t="s">
        <v>8674</v>
      </c>
      <c r="E891">
        <v>97</v>
      </c>
      <c r="F891" t="s">
        <v>8709</v>
      </c>
      <c r="G891">
        <v>2</v>
      </c>
      <c r="H891" t="s">
        <v>8710</v>
      </c>
      <c r="I891" s="45" t="s">
        <v>6754</v>
      </c>
      <c r="J891" s="122">
        <v>45707</v>
      </c>
      <c r="K891" s="110" t="str">
        <f t="shared" si="10"/>
        <v>https://Estud2024.sawtoothsoftware.com/cgi-bin/ciwweb.pl?studyname=Estud2024&amp;ID=890</v>
      </c>
      <c r="L891" s="113">
        <v>45709</v>
      </c>
      <c r="M891" s="45" t="s">
        <v>247</v>
      </c>
    </row>
    <row r="892" spans="1:13">
      <c r="A892">
        <v>891</v>
      </c>
      <c r="B892" t="s">
        <v>84</v>
      </c>
      <c r="C892">
        <v>4</v>
      </c>
      <c r="D892" t="s">
        <v>8674</v>
      </c>
      <c r="E892">
        <v>97</v>
      </c>
      <c r="F892" t="s">
        <v>8711</v>
      </c>
      <c r="G892">
        <v>2</v>
      </c>
      <c r="H892" t="s">
        <v>8712</v>
      </c>
      <c r="I892" s="45" t="s">
        <v>6754</v>
      </c>
      <c r="J892" s="122">
        <v>45707</v>
      </c>
      <c r="K892" s="110" t="str">
        <f t="shared" si="10"/>
        <v>https://Estud2024.sawtoothsoftware.com/cgi-bin/ciwweb.pl?studyname=Estud2024&amp;ID=891</v>
      </c>
      <c r="L892" s="113">
        <v>45709</v>
      </c>
      <c r="M892" s="45" t="s">
        <v>247</v>
      </c>
    </row>
    <row r="893" spans="1:13">
      <c r="A893">
        <v>892</v>
      </c>
      <c r="B893" t="s">
        <v>84</v>
      </c>
      <c r="C893">
        <v>4</v>
      </c>
      <c r="D893" t="s">
        <v>8674</v>
      </c>
      <c r="E893">
        <v>97</v>
      </c>
      <c r="F893" t="s">
        <v>8713</v>
      </c>
      <c r="G893">
        <v>2</v>
      </c>
      <c r="H893" t="s">
        <v>8714</v>
      </c>
      <c r="I893" s="45" t="s">
        <v>6754</v>
      </c>
      <c r="J893" s="122">
        <v>45707</v>
      </c>
      <c r="K893" s="110" t="str">
        <f t="shared" si="10"/>
        <v>https://Estud2024.sawtoothsoftware.com/cgi-bin/ciwweb.pl?studyname=Estud2024&amp;ID=892</v>
      </c>
      <c r="L893" s="113">
        <v>45709</v>
      </c>
      <c r="M893" s="45" t="s">
        <v>247</v>
      </c>
    </row>
    <row r="894" spans="1:13">
      <c r="A894">
        <v>893</v>
      </c>
      <c r="B894" t="s">
        <v>84</v>
      </c>
      <c r="C894">
        <v>4</v>
      </c>
      <c r="D894" t="s">
        <v>8674</v>
      </c>
      <c r="E894">
        <v>97</v>
      </c>
      <c r="F894" t="s">
        <v>8715</v>
      </c>
      <c r="G894">
        <v>2</v>
      </c>
      <c r="H894" t="s">
        <v>8716</v>
      </c>
      <c r="I894" s="45" t="s">
        <v>6754</v>
      </c>
      <c r="J894" s="122">
        <v>45707</v>
      </c>
      <c r="K894" s="110" t="str">
        <f t="shared" si="10"/>
        <v>https://Estud2024.sawtoothsoftware.com/cgi-bin/ciwweb.pl?studyname=Estud2024&amp;ID=893</v>
      </c>
      <c r="L894" s="113">
        <v>45709</v>
      </c>
      <c r="M894" s="45" t="s">
        <v>247</v>
      </c>
    </row>
    <row r="895" spans="1:13">
      <c r="A895">
        <v>894</v>
      </c>
      <c r="B895" t="s">
        <v>84</v>
      </c>
      <c r="C895">
        <v>4</v>
      </c>
      <c r="D895" t="s">
        <v>8717</v>
      </c>
      <c r="E895">
        <v>99</v>
      </c>
      <c r="F895" t="s">
        <v>8718</v>
      </c>
      <c r="G895">
        <v>2</v>
      </c>
      <c r="H895" t="s">
        <v>8719</v>
      </c>
      <c r="I895" s="45" t="s">
        <v>6754</v>
      </c>
      <c r="J895" s="122">
        <v>45707</v>
      </c>
      <c r="K895" s="110" t="str">
        <f t="shared" si="10"/>
        <v>https://Estud2024.sawtoothsoftware.com/cgi-bin/ciwweb.pl?studyname=Estud2024&amp;ID=894</v>
      </c>
      <c r="L895" s="113">
        <v>45709</v>
      </c>
      <c r="M895" s="45" t="s">
        <v>247</v>
      </c>
    </row>
    <row r="896" spans="1:13">
      <c r="A896">
        <v>895</v>
      </c>
      <c r="B896" t="s">
        <v>84</v>
      </c>
      <c r="C896">
        <v>4</v>
      </c>
      <c r="D896" t="s">
        <v>8717</v>
      </c>
      <c r="E896">
        <v>99</v>
      </c>
      <c r="F896" t="s">
        <v>8720</v>
      </c>
      <c r="G896">
        <v>2</v>
      </c>
      <c r="H896" t="s">
        <v>8721</v>
      </c>
      <c r="I896" s="45" t="s">
        <v>6754</v>
      </c>
      <c r="J896" s="122">
        <v>45707</v>
      </c>
      <c r="K896" s="110" t="str">
        <f t="shared" si="10"/>
        <v>https://Estud2024.sawtoothsoftware.com/cgi-bin/ciwweb.pl?studyname=Estud2024&amp;ID=895</v>
      </c>
      <c r="L896" s="113">
        <v>45709</v>
      </c>
      <c r="M896" s="45" t="s">
        <v>247</v>
      </c>
    </row>
    <row r="897" spans="1:13">
      <c r="A897">
        <v>896</v>
      </c>
      <c r="B897" t="s">
        <v>84</v>
      </c>
      <c r="C897">
        <v>4</v>
      </c>
      <c r="D897" t="s">
        <v>8717</v>
      </c>
      <c r="E897">
        <v>99</v>
      </c>
      <c r="F897" t="s">
        <v>8722</v>
      </c>
      <c r="G897">
        <v>2</v>
      </c>
      <c r="H897" t="s">
        <v>8723</v>
      </c>
      <c r="I897" s="45" t="s">
        <v>6754</v>
      </c>
      <c r="J897" s="122">
        <v>45707</v>
      </c>
      <c r="K897" s="110" t="str">
        <f t="shared" si="10"/>
        <v>https://Estud2024.sawtoothsoftware.com/cgi-bin/ciwweb.pl?studyname=Estud2024&amp;ID=896</v>
      </c>
      <c r="L897" s="113">
        <v>45709</v>
      </c>
      <c r="M897" s="45" t="s">
        <v>247</v>
      </c>
    </row>
    <row r="898" spans="1:13">
      <c r="A898">
        <v>897</v>
      </c>
      <c r="B898" t="s">
        <v>84</v>
      </c>
      <c r="C898">
        <v>4</v>
      </c>
      <c r="D898" t="s">
        <v>8717</v>
      </c>
      <c r="E898">
        <v>99</v>
      </c>
      <c r="F898" t="s">
        <v>8724</v>
      </c>
      <c r="G898">
        <v>2</v>
      </c>
      <c r="H898" t="s">
        <v>8725</v>
      </c>
      <c r="I898" s="45" t="s">
        <v>6754</v>
      </c>
      <c r="J898" s="122">
        <v>45707</v>
      </c>
      <c r="K898" s="110" t="str">
        <f t="shared" si="10"/>
        <v>https://Estud2024.sawtoothsoftware.com/cgi-bin/ciwweb.pl?studyname=Estud2024&amp;ID=897</v>
      </c>
      <c r="L898" s="113">
        <v>45709</v>
      </c>
      <c r="M898" s="45" t="s">
        <v>247</v>
      </c>
    </row>
    <row r="899" spans="1:13">
      <c r="A899">
        <v>898</v>
      </c>
      <c r="B899" t="s">
        <v>84</v>
      </c>
      <c r="C899">
        <v>4</v>
      </c>
      <c r="D899" t="s">
        <v>8717</v>
      </c>
      <c r="E899">
        <v>99</v>
      </c>
      <c r="F899" t="s">
        <v>8726</v>
      </c>
      <c r="G899">
        <v>2</v>
      </c>
      <c r="H899" t="s">
        <v>8727</v>
      </c>
      <c r="I899" s="45" t="s">
        <v>6754</v>
      </c>
      <c r="J899" s="122">
        <v>45707</v>
      </c>
      <c r="K899" s="110" t="str">
        <f t="shared" si="10"/>
        <v>https://Estud2024.sawtoothsoftware.com/cgi-bin/ciwweb.pl?studyname=Estud2024&amp;ID=898</v>
      </c>
      <c r="L899" s="113">
        <v>45709</v>
      </c>
      <c r="M899" s="45" t="s">
        <v>247</v>
      </c>
    </row>
    <row r="900" spans="1:13">
      <c r="A900">
        <v>899</v>
      </c>
      <c r="B900" t="s">
        <v>84</v>
      </c>
      <c r="C900">
        <v>4</v>
      </c>
      <c r="D900" t="s">
        <v>8717</v>
      </c>
      <c r="E900">
        <v>99</v>
      </c>
      <c r="F900" t="s">
        <v>8728</v>
      </c>
      <c r="G900">
        <v>2</v>
      </c>
      <c r="H900" t="s">
        <v>8729</v>
      </c>
      <c r="I900" s="45" t="s">
        <v>6754</v>
      </c>
      <c r="J900" s="122">
        <v>45707</v>
      </c>
      <c r="K900" s="110" t="str">
        <f t="shared" si="10"/>
        <v>https://Estud2024.sawtoothsoftware.com/cgi-bin/ciwweb.pl?studyname=Estud2024&amp;ID=899</v>
      </c>
      <c r="L900" s="113">
        <v>45709</v>
      </c>
      <c r="M900" s="45" t="s">
        <v>247</v>
      </c>
    </row>
    <row r="901" spans="1:13">
      <c r="A901">
        <v>900</v>
      </c>
      <c r="B901" t="s">
        <v>84</v>
      </c>
      <c r="C901">
        <v>4</v>
      </c>
      <c r="D901" t="s">
        <v>8717</v>
      </c>
      <c r="E901">
        <v>99</v>
      </c>
      <c r="F901" t="s">
        <v>8730</v>
      </c>
      <c r="G901">
        <v>2</v>
      </c>
      <c r="H901" t="s">
        <v>8731</v>
      </c>
      <c r="I901" s="45" t="s">
        <v>6754</v>
      </c>
      <c r="J901" s="122">
        <v>45707</v>
      </c>
      <c r="K901" s="110" t="str">
        <f t="shared" si="10"/>
        <v>https://Estud2024.sawtoothsoftware.com/cgi-bin/ciwweb.pl?studyname=Estud2024&amp;ID=900</v>
      </c>
      <c r="L901" s="113">
        <v>45709</v>
      </c>
      <c r="M901" s="45" t="s">
        <v>247</v>
      </c>
    </row>
    <row r="902" spans="1:13">
      <c r="A902">
        <v>901</v>
      </c>
      <c r="B902" t="s">
        <v>84</v>
      </c>
      <c r="C902">
        <v>4</v>
      </c>
      <c r="D902" t="s">
        <v>8717</v>
      </c>
      <c r="E902">
        <v>99</v>
      </c>
      <c r="F902" t="s">
        <v>8732</v>
      </c>
      <c r="G902">
        <v>2</v>
      </c>
      <c r="H902" t="s">
        <v>8733</v>
      </c>
      <c r="I902" s="45" t="s">
        <v>6754</v>
      </c>
      <c r="J902" s="122">
        <v>45707</v>
      </c>
      <c r="K902" s="110" t="str">
        <f t="shared" si="10"/>
        <v>https://Estud2024.sawtoothsoftware.com/cgi-bin/ciwweb.pl?studyname=Estud2024&amp;ID=901</v>
      </c>
      <c r="L902" s="113">
        <v>45709</v>
      </c>
      <c r="M902" s="45" t="s">
        <v>247</v>
      </c>
    </row>
    <row r="903" spans="1:13">
      <c r="A903">
        <v>902</v>
      </c>
      <c r="B903" t="s">
        <v>84</v>
      </c>
      <c r="C903">
        <v>4</v>
      </c>
      <c r="D903" t="s">
        <v>8717</v>
      </c>
      <c r="E903">
        <v>99</v>
      </c>
      <c r="F903" t="s">
        <v>8734</v>
      </c>
      <c r="G903">
        <v>2</v>
      </c>
      <c r="H903" t="s">
        <v>8735</v>
      </c>
      <c r="I903" s="45" t="s">
        <v>6754</v>
      </c>
      <c r="J903" s="122">
        <v>45707</v>
      </c>
      <c r="K903" s="110" t="str">
        <f t="shared" si="10"/>
        <v>https://Estud2024.sawtoothsoftware.com/cgi-bin/ciwweb.pl?studyname=Estud2024&amp;ID=902</v>
      </c>
      <c r="L903" s="113">
        <v>45709</v>
      </c>
      <c r="M903" s="45" t="s">
        <v>246</v>
      </c>
    </row>
    <row r="904" spans="1:13">
      <c r="A904">
        <v>903</v>
      </c>
      <c r="B904" t="s">
        <v>84</v>
      </c>
      <c r="C904">
        <v>4</v>
      </c>
      <c r="D904" t="s">
        <v>8717</v>
      </c>
      <c r="E904">
        <v>99</v>
      </c>
      <c r="F904" t="s">
        <v>8736</v>
      </c>
      <c r="G904">
        <v>2</v>
      </c>
      <c r="H904" t="s">
        <v>8737</v>
      </c>
      <c r="I904" s="45" t="s">
        <v>6754</v>
      </c>
      <c r="J904" s="122">
        <v>45707</v>
      </c>
      <c r="K904" s="110" t="str">
        <f t="shared" si="10"/>
        <v>https://Estud2024.sawtoothsoftware.com/cgi-bin/ciwweb.pl?studyname=Estud2024&amp;ID=903</v>
      </c>
      <c r="L904" s="113">
        <v>45709</v>
      </c>
      <c r="M904" s="45" t="s">
        <v>247</v>
      </c>
    </row>
    <row r="905" spans="1:13">
      <c r="A905">
        <v>904</v>
      </c>
      <c r="B905" t="s">
        <v>84</v>
      </c>
      <c r="C905">
        <v>4</v>
      </c>
      <c r="D905" t="s">
        <v>8717</v>
      </c>
      <c r="E905">
        <v>99</v>
      </c>
      <c r="F905" t="s">
        <v>8738</v>
      </c>
      <c r="G905">
        <v>2</v>
      </c>
      <c r="H905" t="s">
        <v>8739</v>
      </c>
      <c r="I905" s="45" t="s">
        <v>6754</v>
      </c>
      <c r="J905" s="122">
        <v>45707</v>
      </c>
      <c r="K905" s="110" t="str">
        <f t="shared" si="10"/>
        <v>https://Estud2024.sawtoothsoftware.com/cgi-bin/ciwweb.pl?studyname=Estud2024&amp;ID=904</v>
      </c>
      <c r="L905" s="113">
        <v>45709</v>
      </c>
      <c r="M905" s="45" t="s">
        <v>247</v>
      </c>
    </row>
    <row r="906" spans="1:13">
      <c r="A906">
        <v>905</v>
      </c>
      <c r="B906" t="s">
        <v>84</v>
      </c>
      <c r="C906">
        <v>4</v>
      </c>
      <c r="D906" t="s">
        <v>8717</v>
      </c>
      <c r="E906">
        <v>99</v>
      </c>
      <c r="F906" t="s">
        <v>8740</v>
      </c>
      <c r="G906">
        <v>2</v>
      </c>
      <c r="H906" t="s">
        <v>8741</v>
      </c>
      <c r="I906" s="45" t="s">
        <v>6754</v>
      </c>
      <c r="J906" s="122">
        <v>45707</v>
      </c>
      <c r="K906" s="110" t="str">
        <f t="shared" si="10"/>
        <v>https://Estud2024.sawtoothsoftware.com/cgi-bin/ciwweb.pl?studyname=Estud2024&amp;ID=905</v>
      </c>
      <c r="L906" s="113">
        <v>45709</v>
      </c>
      <c r="M906" s="45" t="s">
        <v>247</v>
      </c>
    </row>
    <row r="907" spans="1:13">
      <c r="A907">
        <v>906</v>
      </c>
      <c r="B907" t="s">
        <v>84</v>
      </c>
      <c r="C907">
        <v>4</v>
      </c>
      <c r="D907" t="s">
        <v>8742</v>
      </c>
      <c r="E907">
        <v>102</v>
      </c>
      <c r="F907" t="s">
        <v>8743</v>
      </c>
      <c r="G907">
        <v>2</v>
      </c>
      <c r="H907" t="s">
        <v>8744</v>
      </c>
      <c r="I907" s="45" t="s">
        <v>6754</v>
      </c>
      <c r="J907" s="122">
        <v>45707</v>
      </c>
      <c r="K907" s="110" t="str">
        <f t="shared" si="10"/>
        <v>https://Estud2024.sawtoothsoftware.com/cgi-bin/ciwweb.pl?studyname=Estud2024&amp;ID=906</v>
      </c>
      <c r="L907" s="113">
        <v>45709</v>
      </c>
      <c r="M907" s="45" t="s">
        <v>247</v>
      </c>
    </row>
    <row r="908" spans="1:13">
      <c r="A908">
        <v>907</v>
      </c>
      <c r="B908" t="s">
        <v>84</v>
      </c>
      <c r="C908">
        <v>4</v>
      </c>
      <c r="D908" t="s">
        <v>8742</v>
      </c>
      <c r="E908">
        <v>102</v>
      </c>
      <c r="F908" t="s">
        <v>8745</v>
      </c>
      <c r="G908">
        <v>2</v>
      </c>
      <c r="H908" t="s">
        <v>8746</v>
      </c>
      <c r="I908" s="45" t="s">
        <v>6754</v>
      </c>
      <c r="J908" s="122">
        <v>45707</v>
      </c>
      <c r="K908" s="110" t="str">
        <f t="shared" si="10"/>
        <v>https://Estud2024.sawtoothsoftware.com/cgi-bin/ciwweb.pl?studyname=Estud2024&amp;ID=907</v>
      </c>
      <c r="L908" s="113">
        <v>45709</v>
      </c>
      <c r="M908" s="45" t="s">
        <v>247</v>
      </c>
    </row>
    <row r="909" spans="1:13">
      <c r="A909">
        <v>908</v>
      </c>
      <c r="B909" t="s">
        <v>84</v>
      </c>
      <c r="C909">
        <v>4</v>
      </c>
      <c r="D909" t="s">
        <v>8742</v>
      </c>
      <c r="E909">
        <v>102</v>
      </c>
      <c r="F909" t="s">
        <v>8747</v>
      </c>
      <c r="G909">
        <v>2</v>
      </c>
      <c r="H909" t="s">
        <v>8748</v>
      </c>
      <c r="I909" s="45" t="s">
        <v>6754</v>
      </c>
      <c r="J909" s="122">
        <v>45707</v>
      </c>
      <c r="K909" s="110" t="str">
        <f t="shared" si="10"/>
        <v>https://Estud2024.sawtoothsoftware.com/cgi-bin/ciwweb.pl?studyname=Estud2024&amp;ID=908</v>
      </c>
      <c r="L909" s="113">
        <v>45709</v>
      </c>
      <c r="M909" s="45" t="s">
        <v>247</v>
      </c>
    </row>
    <row r="910" spans="1:13">
      <c r="A910">
        <v>909</v>
      </c>
      <c r="B910" t="s">
        <v>84</v>
      </c>
      <c r="C910">
        <v>4</v>
      </c>
      <c r="D910" t="s">
        <v>8742</v>
      </c>
      <c r="E910">
        <v>102</v>
      </c>
      <c r="F910" t="s">
        <v>8749</v>
      </c>
      <c r="G910">
        <v>2</v>
      </c>
      <c r="H910" t="s">
        <v>8750</v>
      </c>
      <c r="I910" s="45" t="s">
        <v>6754</v>
      </c>
      <c r="J910" s="122">
        <v>45707</v>
      </c>
      <c r="K910" s="110" t="str">
        <f t="shared" si="10"/>
        <v>https://Estud2024.sawtoothsoftware.com/cgi-bin/ciwweb.pl?studyname=Estud2024&amp;ID=909</v>
      </c>
      <c r="L910" s="113">
        <v>45709</v>
      </c>
      <c r="M910" s="45" t="s">
        <v>247</v>
      </c>
    </row>
    <row r="911" spans="1:13">
      <c r="A911">
        <v>910</v>
      </c>
      <c r="B911" t="s">
        <v>84</v>
      </c>
      <c r="C911">
        <v>4</v>
      </c>
      <c r="D911" t="s">
        <v>8742</v>
      </c>
      <c r="E911">
        <v>102</v>
      </c>
      <c r="F911" t="s">
        <v>8751</v>
      </c>
      <c r="G911">
        <v>2</v>
      </c>
      <c r="H911" t="s">
        <v>8752</v>
      </c>
      <c r="I911" s="45" t="s">
        <v>6754</v>
      </c>
      <c r="J911" s="122">
        <v>45707</v>
      </c>
      <c r="K911" s="110" t="str">
        <f t="shared" si="10"/>
        <v>https://Estud2024.sawtoothsoftware.com/cgi-bin/ciwweb.pl?studyname=Estud2024&amp;ID=910</v>
      </c>
      <c r="L911" s="113">
        <v>45709</v>
      </c>
      <c r="M911" s="45" t="s">
        <v>247</v>
      </c>
    </row>
    <row r="912" spans="1:13">
      <c r="A912">
        <v>911</v>
      </c>
      <c r="B912" t="s">
        <v>84</v>
      </c>
      <c r="C912">
        <v>4</v>
      </c>
      <c r="D912" t="s">
        <v>8742</v>
      </c>
      <c r="E912">
        <v>102</v>
      </c>
      <c r="F912" t="s">
        <v>8753</v>
      </c>
      <c r="G912">
        <v>2</v>
      </c>
      <c r="H912" t="s">
        <v>8754</v>
      </c>
      <c r="I912" s="45" t="s">
        <v>6754</v>
      </c>
      <c r="J912" s="122">
        <v>45707</v>
      </c>
      <c r="K912" s="110" t="str">
        <f t="shared" si="10"/>
        <v>https://Estud2024.sawtoothsoftware.com/cgi-bin/ciwweb.pl?studyname=Estud2024&amp;ID=911</v>
      </c>
      <c r="L912" s="113">
        <v>45709</v>
      </c>
      <c r="M912" s="45" t="s">
        <v>247</v>
      </c>
    </row>
    <row r="913" spans="1:13">
      <c r="A913">
        <v>912</v>
      </c>
      <c r="B913" t="s">
        <v>84</v>
      </c>
      <c r="C913">
        <v>4</v>
      </c>
      <c r="D913" t="s">
        <v>8742</v>
      </c>
      <c r="E913">
        <v>102</v>
      </c>
      <c r="F913" t="s">
        <v>8755</v>
      </c>
      <c r="G913">
        <v>2</v>
      </c>
      <c r="H913" t="s">
        <v>8756</v>
      </c>
      <c r="I913" s="45" t="s">
        <v>6754</v>
      </c>
      <c r="J913" s="122">
        <v>45707</v>
      </c>
      <c r="K913" s="110" t="str">
        <f t="shared" si="10"/>
        <v>https://Estud2024.sawtoothsoftware.com/cgi-bin/ciwweb.pl?studyname=Estud2024&amp;ID=912</v>
      </c>
      <c r="L913" s="113">
        <v>45709</v>
      </c>
      <c r="M913" s="45" t="s">
        <v>247</v>
      </c>
    </row>
    <row r="914" spans="1:13">
      <c r="A914">
        <v>913</v>
      </c>
      <c r="B914" t="s">
        <v>84</v>
      </c>
      <c r="C914">
        <v>4</v>
      </c>
      <c r="D914" t="s">
        <v>8742</v>
      </c>
      <c r="E914">
        <v>102</v>
      </c>
      <c r="F914" t="s">
        <v>8757</v>
      </c>
      <c r="G914">
        <v>2</v>
      </c>
      <c r="H914" t="s">
        <v>8758</v>
      </c>
      <c r="I914" s="45" t="s">
        <v>6754</v>
      </c>
      <c r="J914" s="122">
        <v>45707</v>
      </c>
      <c r="K914" s="110" t="str">
        <f t="shared" si="10"/>
        <v>https://Estud2024.sawtoothsoftware.com/cgi-bin/ciwweb.pl?studyname=Estud2024&amp;ID=913</v>
      </c>
      <c r="L914" s="113">
        <v>45709</v>
      </c>
      <c r="M914" s="45" t="s">
        <v>247</v>
      </c>
    </row>
    <row r="915" spans="1:13">
      <c r="A915">
        <v>914</v>
      </c>
      <c r="B915" t="s">
        <v>84</v>
      </c>
      <c r="C915">
        <v>4</v>
      </c>
      <c r="D915" t="s">
        <v>8742</v>
      </c>
      <c r="E915">
        <v>102</v>
      </c>
      <c r="F915" t="s">
        <v>8759</v>
      </c>
      <c r="G915">
        <v>2</v>
      </c>
      <c r="H915" t="s">
        <v>8760</v>
      </c>
      <c r="I915" s="45" t="s">
        <v>6754</v>
      </c>
      <c r="J915" s="122">
        <v>45707</v>
      </c>
      <c r="K915" s="110" t="str">
        <f t="shared" si="10"/>
        <v>https://Estud2024.sawtoothsoftware.com/cgi-bin/ciwweb.pl?studyname=Estud2024&amp;ID=914</v>
      </c>
      <c r="L915" s="113">
        <v>45709</v>
      </c>
      <c r="M915" s="45" t="s">
        <v>246</v>
      </c>
    </row>
    <row r="916" spans="1:13">
      <c r="A916">
        <v>915</v>
      </c>
      <c r="B916" t="s">
        <v>84</v>
      </c>
      <c r="C916">
        <v>4</v>
      </c>
      <c r="D916" t="s">
        <v>8742</v>
      </c>
      <c r="E916">
        <v>102</v>
      </c>
      <c r="F916" t="s">
        <v>8761</v>
      </c>
      <c r="G916">
        <v>2</v>
      </c>
      <c r="H916" t="s">
        <v>8762</v>
      </c>
      <c r="I916" s="45" t="s">
        <v>6754</v>
      </c>
      <c r="J916" s="122">
        <v>45707</v>
      </c>
      <c r="K916" s="110" t="str">
        <f t="shared" si="10"/>
        <v>https://Estud2024.sawtoothsoftware.com/cgi-bin/ciwweb.pl?studyname=Estud2024&amp;ID=915</v>
      </c>
      <c r="L916" s="113">
        <v>45709</v>
      </c>
      <c r="M916" s="45" t="s">
        <v>246</v>
      </c>
    </row>
    <row r="917" spans="1:13">
      <c r="A917">
        <v>916</v>
      </c>
      <c r="B917" t="s">
        <v>84</v>
      </c>
      <c r="C917">
        <v>4</v>
      </c>
      <c r="D917" t="s">
        <v>8742</v>
      </c>
      <c r="E917">
        <v>102</v>
      </c>
      <c r="F917" t="s">
        <v>8763</v>
      </c>
      <c r="G917">
        <v>2</v>
      </c>
      <c r="H917" t="s">
        <v>8764</v>
      </c>
      <c r="I917" s="45" t="s">
        <v>6754</v>
      </c>
      <c r="J917" s="122">
        <v>45707</v>
      </c>
      <c r="K917" s="110" t="str">
        <f t="shared" si="10"/>
        <v>https://Estud2024.sawtoothsoftware.com/cgi-bin/ciwweb.pl?studyname=Estud2024&amp;ID=916</v>
      </c>
      <c r="L917" s="113">
        <v>45709</v>
      </c>
      <c r="M917" s="45" t="s">
        <v>246</v>
      </c>
    </row>
    <row r="918" spans="1:13">
      <c r="A918">
        <v>917</v>
      </c>
      <c r="B918" t="s">
        <v>84</v>
      </c>
      <c r="C918">
        <v>4</v>
      </c>
      <c r="D918" t="s">
        <v>8742</v>
      </c>
      <c r="E918">
        <v>102</v>
      </c>
      <c r="F918" t="s">
        <v>8765</v>
      </c>
      <c r="G918">
        <v>2</v>
      </c>
      <c r="H918" t="s">
        <v>8766</v>
      </c>
      <c r="I918" s="45" t="s">
        <v>6754</v>
      </c>
      <c r="J918" s="122">
        <v>45707</v>
      </c>
      <c r="K918" s="110" t="str">
        <f t="shared" ref="K918:K981" si="11">CONCATENATE("https://Estud2024.sawtoothsoftware.com/cgi-bin/ciwweb.pl?studyname=Estud2024&amp;ID=",A918)</f>
        <v>https://Estud2024.sawtoothsoftware.com/cgi-bin/ciwweb.pl?studyname=Estud2024&amp;ID=917</v>
      </c>
      <c r="L918" s="113">
        <v>45709</v>
      </c>
      <c r="M918" s="45" t="s">
        <v>246</v>
      </c>
    </row>
    <row r="919" spans="1:13">
      <c r="A919">
        <v>918</v>
      </c>
      <c r="B919" t="s">
        <v>84</v>
      </c>
      <c r="C919">
        <v>4</v>
      </c>
      <c r="D919" t="s">
        <v>8742</v>
      </c>
      <c r="E919">
        <v>102</v>
      </c>
      <c r="F919" t="s">
        <v>8767</v>
      </c>
      <c r="G919">
        <v>2</v>
      </c>
      <c r="H919" t="s">
        <v>8768</v>
      </c>
      <c r="I919" s="45" t="s">
        <v>6754</v>
      </c>
      <c r="J919" s="122">
        <v>45707</v>
      </c>
      <c r="K919" s="110" t="str">
        <f t="shared" si="11"/>
        <v>https://Estud2024.sawtoothsoftware.com/cgi-bin/ciwweb.pl?studyname=Estud2024&amp;ID=918</v>
      </c>
      <c r="L919" s="113">
        <v>45709</v>
      </c>
      <c r="M919" s="45" t="s">
        <v>247</v>
      </c>
    </row>
    <row r="920" spans="1:13">
      <c r="A920">
        <v>919</v>
      </c>
      <c r="B920" t="s">
        <v>84</v>
      </c>
      <c r="C920">
        <v>4</v>
      </c>
      <c r="D920" t="s">
        <v>8742</v>
      </c>
      <c r="E920">
        <v>102</v>
      </c>
      <c r="F920" t="s">
        <v>8769</v>
      </c>
      <c r="G920">
        <v>2</v>
      </c>
      <c r="H920" t="s">
        <v>8770</v>
      </c>
      <c r="I920" s="45" t="s">
        <v>6754</v>
      </c>
      <c r="J920" s="122">
        <v>45707</v>
      </c>
      <c r="K920" s="110" t="str">
        <f t="shared" si="11"/>
        <v>https://Estud2024.sawtoothsoftware.com/cgi-bin/ciwweb.pl?studyname=Estud2024&amp;ID=919</v>
      </c>
      <c r="L920" s="113">
        <v>45709</v>
      </c>
      <c r="M920" s="45" t="s">
        <v>247</v>
      </c>
    </row>
    <row r="921" spans="1:13">
      <c r="A921">
        <v>920</v>
      </c>
      <c r="B921" t="s">
        <v>84</v>
      </c>
      <c r="C921">
        <v>4</v>
      </c>
      <c r="D921" t="s">
        <v>8742</v>
      </c>
      <c r="E921">
        <v>102</v>
      </c>
      <c r="F921" t="s">
        <v>8771</v>
      </c>
      <c r="G921">
        <v>2</v>
      </c>
      <c r="H921" t="s">
        <v>8772</v>
      </c>
      <c r="I921" s="45" t="s">
        <v>6754</v>
      </c>
      <c r="J921" s="122">
        <v>45707</v>
      </c>
      <c r="K921" s="110" t="str">
        <f t="shared" si="11"/>
        <v>https://Estud2024.sawtoothsoftware.com/cgi-bin/ciwweb.pl?studyname=Estud2024&amp;ID=920</v>
      </c>
      <c r="L921" s="113">
        <v>45709</v>
      </c>
      <c r="M921" s="45" t="s">
        <v>246</v>
      </c>
    </row>
    <row r="922" spans="1:13">
      <c r="A922">
        <v>921</v>
      </c>
      <c r="B922" t="s">
        <v>84</v>
      </c>
      <c r="C922">
        <v>4</v>
      </c>
      <c r="D922" t="s">
        <v>8742</v>
      </c>
      <c r="E922">
        <v>102</v>
      </c>
      <c r="F922" t="s">
        <v>8773</v>
      </c>
      <c r="G922">
        <v>2</v>
      </c>
      <c r="H922" t="s">
        <v>8774</v>
      </c>
      <c r="I922" s="45" t="s">
        <v>6754</v>
      </c>
      <c r="J922" s="122">
        <v>45707</v>
      </c>
      <c r="K922" s="110" t="str">
        <f t="shared" si="11"/>
        <v>https://Estud2024.sawtoothsoftware.com/cgi-bin/ciwweb.pl?studyname=Estud2024&amp;ID=921</v>
      </c>
      <c r="L922" s="113">
        <v>45709</v>
      </c>
      <c r="M922" s="45" t="s">
        <v>247</v>
      </c>
    </row>
    <row r="923" spans="1:13">
      <c r="A923">
        <v>922</v>
      </c>
      <c r="B923" t="s">
        <v>84</v>
      </c>
      <c r="C923">
        <v>4</v>
      </c>
      <c r="D923" t="s">
        <v>8742</v>
      </c>
      <c r="E923">
        <v>102</v>
      </c>
      <c r="F923" t="s">
        <v>8775</v>
      </c>
      <c r="G923">
        <v>2</v>
      </c>
      <c r="H923" t="s">
        <v>8776</v>
      </c>
      <c r="I923" s="45" t="s">
        <v>6754</v>
      </c>
      <c r="J923" s="122">
        <v>45707</v>
      </c>
      <c r="K923" s="110" t="str">
        <f t="shared" si="11"/>
        <v>https://Estud2024.sawtoothsoftware.com/cgi-bin/ciwweb.pl?studyname=Estud2024&amp;ID=922</v>
      </c>
      <c r="L923" s="113">
        <v>45709</v>
      </c>
      <c r="M923" s="45" t="s">
        <v>246</v>
      </c>
    </row>
    <row r="924" spans="1:13">
      <c r="A924">
        <v>923</v>
      </c>
      <c r="B924" t="s">
        <v>84</v>
      </c>
      <c r="C924">
        <v>4</v>
      </c>
      <c r="D924" t="s">
        <v>8742</v>
      </c>
      <c r="E924">
        <v>102</v>
      </c>
      <c r="F924" t="s">
        <v>8777</v>
      </c>
      <c r="G924">
        <v>2</v>
      </c>
      <c r="H924" t="s">
        <v>8778</v>
      </c>
      <c r="I924" s="45" t="s">
        <v>6754</v>
      </c>
      <c r="J924" s="122">
        <v>45707</v>
      </c>
      <c r="K924" s="110" t="str">
        <f t="shared" si="11"/>
        <v>https://Estud2024.sawtoothsoftware.com/cgi-bin/ciwweb.pl?studyname=Estud2024&amp;ID=923</v>
      </c>
      <c r="L924" s="113">
        <v>45709</v>
      </c>
      <c r="M924" s="45" t="s">
        <v>247</v>
      </c>
    </row>
    <row r="925" spans="1:13">
      <c r="A925">
        <v>924</v>
      </c>
      <c r="B925" t="s">
        <v>84</v>
      </c>
      <c r="C925">
        <v>4</v>
      </c>
      <c r="D925" t="s">
        <v>8742</v>
      </c>
      <c r="E925">
        <v>102</v>
      </c>
      <c r="F925" t="s">
        <v>8779</v>
      </c>
      <c r="G925">
        <v>2</v>
      </c>
      <c r="H925" t="s">
        <v>8780</v>
      </c>
      <c r="I925" s="45" t="s">
        <v>6754</v>
      </c>
      <c r="J925" s="122">
        <v>45707</v>
      </c>
      <c r="K925" s="110" t="str">
        <f t="shared" si="11"/>
        <v>https://Estud2024.sawtoothsoftware.com/cgi-bin/ciwweb.pl?studyname=Estud2024&amp;ID=924</v>
      </c>
      <c r="L925" s="113">
        <v>45709</v>
      </c>
      <c r="M925" s="45" t="s">
        <v>246</v>
      </c>
    </row>
    <row r="926" spans="1:13">
      <c r="A926">
        <v>926</v>
      </c>
      <c r="B926" t="s">
        <v>138</v>
      </c>
      <c r="C926">
        <v>11</v>
      </c>
      <c r="D926" t="s">
        <v>168</v>
      </c>
      <c r="E926">
        <v>127</v>
      </c>
      <c r="F926" t="s">
        <v>8781</v>
      </c>
      <c r="G926">
        <v>2</v>
      </c>
      <c r="H926" t="s">
        <v>8782</v>
      </c>
      <c r="I926" s="45" t="s">
        <v>6754</v>
      </c>
      <c r="J926" s="122">
        <v>45708</v>
      </c>
      <c r="K926" s="110" t="str">
        <f t="shared" si="11"/>
        <v>https://Estud2024.sawtoothsoftware.com/cgi-bin/ciwweb.pl?studyname=Estud2024&amp;ID=926</v>
      </c>
      <c r="L926" s="113">
        <v>45727</v>
      </c>
      <c r="M926" s="45" t="s">
        <v>246</v>
      </c>
    </row>
    <row r="927" spans="1:13">
      <c r="A927">
        <v>927</v>
      </c>
      <c r="B927" t="s">
        <v>138</v>
      </c>
      <c r="C927">
        <v>11</v>
      </c>
      <c r="D927" t="s">
        <v>168</v>
      </c>
      <c r="E927">
        <v>127</v>
      </c>
      <c r="F927" t="s">
        <v>8783</v>
      </c>
      <c r="G927">
        <v>2</v>
      </c>
      <c r="H927" t="s">
        <v>8784</v>
      </c>
      <c r="I927" s="45" t="s">
        <v>6754</v>
      </c>
      <c r="J927" s="122">
        <v>45708</v>
      </c>
      <c r="K927" s="110" t="str">
        <f t="shared" si="11"/>
        <v>https://Estud2024.sawtoothsoftware.com/cgi-bin/ciwweb.pl?studyname=Estud2024&amp;ID=927</v>
      </c>
      <c r="L927" s="113">
        <v>45727</v>
      </c>
      <c r="M927" s="45" t="s">
        <v>246</v>
      </c>
    </row>
    <row r="928" spans="1:13">
      <c r="A928">
        <v>928</v>
      </c>
      <c r="B928" t="s">
        <v>138</v>
      </c>
      <c r="C928">
        <v>11</v>
      </c>
      <c r="D928" t="s">
        <v>168</v>
      </c>
      <c r="E928">
        <v>127</v>
      </c>
      <c r="F928" t="s">
        <v>8785</v>
      </c>
      <c r="G928">
        <v>2</v>
      </c>
      <c r="H928" t="s">
        <v>8786</v>
      </c>
      <c r="I928" s="45" t="s">
        <v>6754</v>
      </c>
      <c r="J928" s="122">
        <v>45708</v>
      </c>
      <c r="K928" s="110" t="str">
        <f t="shared" si="11"/>
        <v>https://Estud2024.sawtoothsoftware.com/cgi-bin/ciwweb.pl?studyname=Estud2024&amp;ID=928</v>
      </c>
      <c r="L928" s="113">
        <v>45727</v>
      </c>
      <c r="M928" s="45" t="s">
        <v>246</v>
      </c>
    </row>
    <row r="929" spans="1:13">
      <c r="A929">
        <v>929</v>
      </c>
      <c r="B929" t="s">
        <v>138</v>
      </c>
      <c r="C929">
        <v>11</v>
      </c>
      <c r="D929" t="s">
        <v>168</v>
      </c>
      <c r="E929">
        <v>127</v>
      </c>
      <c r="F929" t="s">
        <v>8787</v>
      </c>
      <c r="G929">
        <v>2</v>
      </c>
      <c r="H929" t="s">
        <v>8788</v>
      </c>
      <c r="I929" s="45" t="s">
        <v>6754</v>
      </c>
      <c r="J929" s="122">
        <v>45708</v>
      </c>
      <c r="K929" s="110" t="str">
        <f t="shared" si="11"/>
        <v>https://Estud2024.sawtoothsoftware.com/cgi-bin/ciwweb.pl?studyname=Estud2024&amp;ID=929</v>
      </c>
      <c r="L929" s="113">
        <v>45727</v>
      </c>
      <c r="M929" s="45" t="s">
        <v>246</v>
      </c>
    </row>
    <row r="930" spans="1:13">
      <c r="A930">
        <v>930</v>
      </c>
      <c r="B930" t="s">
        <v>138</v>
      </c>
      <c r="C930">
        <v>11</v>
      </c>
      <c r="D930" t="s">
        <v>168</v>
      </c>
      <c r="E930">
        <v>127</v>
      </c>
      <c r="F930" t="s">
        <v>8789</v>
      </c>
      <c r="G930">
        <v>2</v>
      </c>
      <c r="H930" t="s">
        <v>8790</v>
      </c>
      <c r="I930" s="45" t="s">
        <v>6754</v>
      </c>
      <c r="J930" s="122">
        <v>45708</v>
      </c>
      <c r="K930" s="110" t="str">
        <f t="shared" si="11"/>
        <v>https://Estud2024.sawtoothsoftware.com/cgi-bin/ciwweb.pl?studyname=Estud2024&amp;ID=930</v>
      </c>
      <c r="L930" s="113">
        <v>45727</v>
      </c>
      <c r="M930" s="45" t="s">
        <v>246</v>
      </c>
    </row>
    <row r="931" spans="1:13">
      <c r="A931">
        <v>931</v>
      </c>
      <c r="B931" t="s">
        <v>138</v>
      </c>
      <c r="C931">
        <v>11</v>
      </c>
      <c r="D931" t="s">
        <v>168</v>
      </c>
      <c r="E931">
        <v>127</v>
      </c>
      <c r="F931" t="s">
        <v>8791</v>
      </c>
      <c r="G931">
        <v>2</v>
      </c>
      <c r="H931" t="s">
        <v>8792</v>
      </c>
      <c r="I931" s="45" t="s">
        <v>6754</v>
      </c>
      <c r="J931" s="122">
        <v>45708</v>
      </c>
      <c r="K931" s="110" t="str">
        <f t="shared" si="11"/>
        <v>https://Estud2024.sawtoothsoftware.com/cgi-bin/ciwweb.pl?studyname=Estud2024&amp;ID=931</v>
      </c>
      <c r="L931" s="113">
        <v>45712</v>
      </c>
      <c r="M931" s="45" t="s">
        <v>246</v>
      </c>
    </row>
    <row r="932" spans="1:13">
      <c r="A932">
        <v>932</v>
      </c>
      <c r="B932" t="s">
        <v>138</v>
      </c>
      <c r="C932">
        <v>11</v>
      </c>
      <c r="D932" t="s">
        <v>168</v>
      </c>
      <c r="E932">
        <v>127</v>
      </c>
      <c r="F932" t="s">
        <v>8793</v>
      </c>
      <c r="G932">
        <v>2</v>
      </c>
      <c r="H932" t="s">
        <v>8794</v>
      </c>
      <c r="I932" s="45" t="s">
        <v>6754</v>
      </c>
      <c r="J932" s="122">
        <v>45708</v>
      </c>
      <c r="K932" s="110" t="str">
        <f t="shared" si="11"/>
        <v>https://Estud2024.sawtoothsoftware.com/cgi-bin/ciwweb.pl?studyname=Estud2024&amp;ID=932</v>
      </c>
      <c r="L932" s="113">
        <v>45712</v>
      </c>
      <c r="M932" s="45" t="s">
        <v>246</v>
      </c>
    </row>
    <row r="933" spans="1:13">
      <c r="A933">
        <v>933</v>
      </c>
      <c r="B933" t="s">
        <v>138</v>
      </c>
      <c r="C933">
        <v>11</v>
      </c>
      <c r="D933" t="s">
        <v>168</v>
      </c>
      <c r="E933">
        <v>127</v>
      </c>
      <c r="F933" t="s">
        <v>8795</v>
      </c>
      <c r="G933">
        <v>2</v>
      </c>
      <c r="H933" t="s">
        <v>8796</v>
      </c>
      <c r="I933" s="45" t="s">
        <v>6754</v>
      </c>
      <c r="J933" s="122">
        <v>45708</v>
      </c>
      <c r="K933" s="110" t="str">
        <f t="shared" si="11"/>
        <v>https://Estud2024.sawtoothsoftware.com/cgi-bin/ciwweb.pl?studyname=Estud2024&amp;ID=933</v>
      </c>
      <c r="L933" s="113">
        <v>45712</v>
      </c>
      <c r="M933" s="45" t="s">
        <v>246</v>
      </c>
    </row>
    <row r="934" spans="1:13">
      <c r="A934">
        <v>934</v>
      </c>
      <c r="B934" t="s">
        <v>138</v>
      </c>
      <c r="C934">
        <v>11</v>
      </c>
      <c r="D934" t="s">
        <v>168</v>
      </c>
      <c r="E934">
        <v>127</v>
      </c>
      <c r="F934" t="s">
        <v>8797</v>
      </c>
      <c r="G934">
        <v>2</v>
      </c>
      <c r="H934" t="s">
        <v>8798</v>
      </c>
      <c r="I934" s="45" t="s">
        <v>6754</v>
      </c>
      <c r="J934" s="122">
        <v>45708</v>
      </c>
      <c r="K934" s="110" t="str">
        <f t="shared" si="11"/>
        <v>https://Estud2024.sawtoothsoftware.com/cgi-bin/ciwweb.pl?studyname=Estud2024&amp;ID=934</v>
      </c>
      <c r="L934" s="113">
        <v>45712</v>
      </c>
      <c r="M934" s="45" t="s">
        <v>246</v>
      </c>
    </row>
    <row r="935" spans="1:13">
      <c r="A935">
        <v>935</v>
      </c>
      <c r="B935" t="s">
        <v>138</v>
      </c>
      <c r="C935">
        <v>11</v>
      </c>
      <c r="D935" t="s">
        <v>168</v>
      </c>
      <c r="E935">
        <v>127</v>
      </c>
      <c r="F935" t="s">
        <v>8799</v>
      </c>
      <c r="G935">
        <v>2</v>
      </c>
      <c r="H935" t="s">
        <v>8800</v>
      </c>
      <c r="I935" s="45" t="s">
        <v>6754</v>
      </c>
      <c r="J935" s="122">
        <v>45708</v>
      </c>
      <c r="K935" s="110" t="str">
        <f t="shared" si="11"/>
        <v>https://Estud2024.sawtoothsoftware.com/cgi-bin/ciwweb.pl?studyname=Estud2024&amp;ID=935</v>
      </c>
      <c r="L935" s="113">
        <v>45712</v>
      </c>
      <c r="M935" s="45" t="s">
        <v>247</v>
      </c>
    </row>
    <row r="936" spans="1:13">
      <c r="A936">
        <v>936</v>
      </c>
      <c r="B936" t="s">
        <v>138</v>
      </c>
      <c r="C936">
        <v>11</v>
      </c>
      <c r="D936" t="s">
        <v>168</v>
      </c>
      <c r="E936">
        <v>127</v>
      </c>
      <c r="F936" t="s">
        <v>8801</v>
      </c>
      <c r="G936">
        <v>2</v>
      </c>
      <c r="H936" t="s">
        <v>8802</v>
      </c>
      <c r="I936" s="45" t="s">
        <v>6754</v>
      </c>
      <c r="J936" s="122">
        <v>45708</v>
      </c>
      <c r="K936" s="110" t="str">
        <f t="shared" si="11"/>
        <v>https://Estud2024.sawtoothsoftware.com/cgi-bin/ciwweb.pl?studyname=Estud2024&amp;ID=936</v>
      </c>
      <c r="L936" s="113">
        <v>45712</v>
      </c>
      <c r="M936" s="45" t="s">
        <v>246</v>
      </c>
    </row>
    <row r="937" spans="1:13">
      <c r="A937">
        <v>937</v>
      </c>
      <c r="B937" t="s">
        <v>138</v>
      </c>
      <c r="C937">
        <v>11</v>
      </c>
      <c r="D937" t="s">
        <v>168</v>
      </c>
      <c r="E937">
        <v>127</v>
      </c>
      <c r="F937" t="s">
        <v>8803</v>
      </c>
      <c r="G937">
        <v>2</v>
      </c>
      <c r="H937" t="s">
        <v>8804</v>
      </c>
      <c r="I937" s="45" t="s">
        <v>6754</v>
      </c>
      <c r="J937" s="122">
        <v>45708</v>
      </c>
      <c r="K937" s="110" t="str">
        <f t="shared" si="11"/>
        <v>https://Estud2024.sawtoothsoftware.com/cgi-bin/ciwweb.pl?studyname=Estud2024&amp;ID=937</v>
      </c>
      <c r="L937" s="113">
        <v>45712</v>
      </c>
      <c r="M937" s="45" t="s">
        <v>246</v>
      </c>
    </row>
    <row r="938" spans="1:13">
      <c r="A938">
        <v>938</v>
      </c>
      <c r="B938" t="s">
        <v>138</v>
      </c>
      <c r="C938">
        <v>11</v>
      </c>
      <c r="D938" t="s">
        <v>168</v>
      </c>
      <c r="E938">
        <v>127</v>
      </c>
      <c r="F938" t="s">
        <v>8805</v>
      </c>
      <c r="G938">
        <v>2</v>
      </c>
      <c r="H938" t="s">
        <v>8806</v>
      </c>
      <c r="I938" s="45" t="s">
        <v>6754</v>
      </c>
      <c r="J938" s="122">
        <v>45708</v>
      </c>
      <c r="K938" s="110" t="str">
        <f t="shared" si="11"/>
        <v>https://Estud2024.sawtoothsoftware.com/cgi-bin/ciwweb.pl?studyname=Estud2024&amp;ID=938</v>
      </c>
      <c r="L938" s="113">
        <v>45712</v>
      </c>
      <c r="M938" s="45" t="s">
        <v>246</v>
      </c>
    </row>
    <row r="939" spans="1:13">
      <c r="A939">
        <v>939</v>
      </c>
      <c r="B939" t="s">
        <v>138</v>
      </c>
      <c r="C939">
        <v>11</v>
      </c>
      <c r="D939" t="s">
        <v>168</v>
      </c>
      <c r="E939">
        <v>127</v>
      </c>
      <c r="F939" t="s">
        <v>8807</v>
      </c>
      <c r="G939">
        <v>2</v>
      </c>
      <c r="H939" t="s">
        <v>8808</v>
      </c>
      <c r="I939" s="45" t="s">
        <v>6754</v>
      </c>
      <c r="J939" s="122">
        <v>45708</v>
      </c>
      <c r="K939" s="110" t="str">
        <f t="shared" si="11"/>
        <v>https://Estud2024.sawtoothsoftware.com/cgi-bin/ciwweb.pl?studyname=Estud2024&amp;ID=939</v>
      </c>
      <c r="L939" s="113">
        <v>45712</v>
      </c>
      <c r="M939" s="45" t="s">
        <v>246</v>
      </c>
    </row>
    <row r="940" spans="1:13">
      <c r="A940">
        <v>940</v>
      </c>
      <c r="B940" t="s">
        <v>138</v>
      </c>
      <c r="C940">
        <v>11</v>
      </c>
      <c r="D940" t="s">
        <v>168</v>
      </c>
      <c r="E940">
        <v>127</v>
      </c>
      <c r="F940" t="s">
        <v>8809</v>
      </c>
      <c r="G940">
        <v>2</v>
      </c>
      <c r="H940" t="s">
        <v>8810</v>
      </c>
      <c r="I940" s="45" t="s">
        <v>6754</v>
      </c>
      <c r="J940" s="122">
        <v>45708</v>
      </c>
      <c r="K940" s="110" t="str">
        <f t="shared" si="11"/>
        <v>https://Estud2024.sawtoothsoftware.com/cgi-bin/ciwweb.pl?studyname=Estud2024&amp;ID=940</v>
      </c>
      <c r="L940" s="113">
        <v>45712</v>
      </c>
      <c r="M940" s="45" t="s">
        <v>246</v>
      </c>
    </row>
    <row r="941" spans="1:13">
      <c r="A941">
        <v>941</v>
      </c>
      <c r="B941" t="s">
        <v>138</v>
      </c>
      <c r="C941">
        <v>11</v>
      </c>
      <c r="D941" t="s">
        <v>168</v>
      </c>
      <c r="E941">
        <v>127</v>
      </c>
      <c r="F941" t="s">
        <v>8811</v>
      </c>
      <c r="G941">
        <v>2</v>
      </c>
      <c r="H941" t="s">
        <v>8812</v>
      </c>
      <c r="I941" s="45" t="s">
        <v>6754</v>
      </c>
      <c r="J941" s="122">
        <v>45708</v>
      </c>
      <c r="K941" s="110" t="str">
        <f t="shared" si="11"/>
        <v>https://Estud2024.sawtoothsoftware.com/cgi-bin/ciwweb.pl?studyname=Estud2024&amp;ID=941</v>
      </c>
      <c r="L941" s="113">
        <v>45712</v>
      </c>
      <c r="M941" s="45" t="s">
        <v>246</v>
      </c>
    </row>
    <row r="942" spans="1:13">
      <c r="A942">
        <v>942</v>
      </c>
      <c r="B942" t="s">
        <v>138</v>
      </c>
      <c r="C942">
        <v>11</v>
      </c>
      <c r="D942" t="s">
        <v>168</v>
      </c>
      <c r="E942">
        <v>127</v>
      </c>
      <c r="F942" t="s">
        <v>8813</v>
      </c>
      <c r="G942">
        <v>2</v>
      </c>
      <c r="H942" t="s">
        <v>8814</v>
      </c>
      <c r="I942" s="45" t="s">
        <v>6754</v>
      </c>
      <c r="J942" s="122">
        <v>45708</v>
      </c>
      <c r="K942" s="110" t="str">
        <f t="shared" si="11"/>
        <v>https://Estud2024.sawtoothsoftware.com/cgi-bin/ciwweb.pl?studyname=Estud2024&amp;ID=942</v>
      </c>
      <c r="L942" s="113">
        <v>45712</v>
      </c>
      <c r="M942" s="45" t="s">
        <v>246</v>
      </c>
    </row>
    <row r="943" spans="1:13">
      <c r="A943">
        <v>943</v>
      </c>
      <c r="B943" t="s">
        <v>138</v>
      </c>
      <c r="C943">
        <v>11</v>
      </c>
      <c r="D943" t="s">
        <v>168</v>
      </c>
      <c r="E943">
        <v>127</v>
      </c>
      <c r="F943" t="s">
        <v>8815</v>
      </c>
      <c r="G943">
        <v>2</v>
      </c>
      <c r="H943" t="s">
        <v>8816</v>
      </c>
      <c r="I943" s="45" t="s">
        <v>6754</v>
      </c>
      <c r="J943" s="122">
        <v>45708</v>
      </c>
      <c r="K943" s="110" t="str">
        <f t="shared" si="11"/>
        <v>https://Estud2024.sawtoothsoftware.com/cgi-bin/ciwweb.pl?studyname=Estud2024&amp;ID=943</v>
      </c>
      <c r="L943" s="113">
        <v>45712</v>
      </c>
      <c r="M943" s="45" t="s">
        <v>246</v>
      </c>
    </row>
    <row r="944" spans="1:13">
      <c r="A944">
        <v>944</v>
      </c>
      <c r="B944" t="s">
        <v>138</v>
      </c>
      <c r="C944">
        <v>11</v>
      </c>
      <c r="D944" t="s">
        <v>168</v>
      </c>
      <c r="E944">
        <v>127</v>
      </c>
      <c r="F944" t="s">
        <v>8817</v>
      </c>
      <c r="G944">
        <v>2</v>
      </c>
      <c r="H944" t="s">
        <v>8818</v>
      </c>
      <c r="I944" s="45" t="s">
        <v>6754</v>
      </c>
      <c r="J944" s="122">
        <v>45708</v>
      </c>
      <c r="K944" s="110" t="str">
        <f t="shared" si="11"/>
        <v>https://Estud2024.sawtoothsoftware.com/cgi-bin/ciwweb.pl?studyname=Estud2024&amp;ID=944</v>
      </c>
      <c r="L944" s="113">
        <v>45712</v>
      </c>
      <c r="M944" s="45" t="s">
        <v>247</v>
      </c>
    </row>
    <row r="945" spans="1:13">
      <c r="A945">
        <v>945</v>
      </c>
      <c r="B945" t="s">
        <v>138</v>
      </c>
      <c r="C945">
        <v>11</v>
      </c>
      <c r="D945" t="s">
        <v>168</v>
      </c>
      <c r="E945">
        <v>127</v>
      </c>
      <c r="F945" t="s">
        <v>8819</v>
      </c>
      <c r="G945">
        <v>2</v>
      </c>
      <c r="H945" t="s">
        <v>8820</v>
      </c>
      <c r="I945" s="45" t="s">
        <v>6754</v>
      </c>
      <c r="J945" s="122">
        <v>45708</v>
      </c>
      <c r="K945" s="110" t="str">
        <f t="shared" si="11"/>
        <v>https://Estud2024.sawtoothsoftware.com/cgi-bin/ciwweb.pl?studyname=Estud2024&amp;ID=945</v>
      </c>
      <c r="L945" s="113">
        <v>45712</v>
      </c>
      <c r="M945" s="45" t="s">
        <v>246</v>
      </c>
    </row>
    <row r="946" spans="1:13">
      <c r="A946">
        <v>946</v>
      </c>
      <c r="B946" t="s">
        <v>138</v>
      </c>
      <c r="C946">
        <v>11</v>
      </c>
      <c r="D946" t="s">
        <v>168</v>
      </c>
      <c r="E946">
        <v>127</v>
      </c>
      <c r="F946" t="s">
        <v>8821</v>
      </c>
      <c r="G946">
        <v>2</v>
      </c>
      <c r="H946" t="s">
        <v>8822</v>
      </c>
      <c r="I946" s="45" t="s">
        <v>6754</v>
      </c>
      <c r="J946" s="122">
        <v>45708</v>
      </c>
      <c r="K946" s="110" t="str">
        <f t="shared" si="11"/>
        <v>https://Estud2024.sawtoothsoftware.com/cgi-bin/ciwweb.pl?studyname=Estud2024&amp;ID=946</v>
      </c>
      <c r="L946" s="113">
        <v>45712</v>
      </c>
      <c r="M946" s="45" t="s">
        <v>246</v>
      </c>
    </row>
    <row r="947" spans="1:13">
      <c r="A947">
        <v>947</v>
      </c>
      <c r="B947" t="s">
        <v>138</v>
      </c>
      <c r="C947">
        <v>11</v>
      </c>
      <c r="D947" t="s">
        <v>168</v>
      </c>
      <c r="E947">
        <v>127</v>
      </c>
      <c r="F947" t="s">
        <v>8823</v>
      </c>
      <c r="G947">
        <v>1</v>
      </c>
      <c r="H947" t="s">
        <v>8792</v>
      </c>
      <c r="I947" s="45" t="s">
        <v>6754</v>
      </c>
      <c r="J947" s="122">
        <v>45708</v>
      </c>
      <c r="K947" s="110" t="str">
        <f t="shared" si="11"/>
        <v>https://Estud2024.sawtoothsoftware.com/cgi-bin/ciwweb.pl?studyname=Estud2024&amp;ID=947</v>
      </c>
      <c r="L947" s="113">
        <v>45712</v>
      </c>
      <c r="M947" s="45" t="s">
        <v>246</v>
      </c>
    </row>
    <row r="948" spans="1:13">
      <c r="A948">
        <v>948</v>
      </c>
      <c r="B948" t="s">
        <v>138</v>
      </c>
      <c r="C948">
        <v>11</v>
      </c>
      <c r="D948" t="s">
        <v>168</v>
      </c>
      <c r="E948">
        <v>127</v>
      </c>
      <c r="F948" t="s">
        <v>8824</v>
      </c>
      <c r="G948">
        <v>1</v>
      </c>
      <c r="H948" t="s">
        <v>8794</v>
      </c>
      <c r="I948" s="45" t="s">
        <v>6754</v>
      </c>
      <c r="J948" s="122">
        <v>45708</v>
      </c>
      <c r="K948" s="110" t="str">
        <f t="shared" si="11"/>
        <v>https://Estud2024.sawtoothsoftware.com/cgi-bin/ciwweb.pl?studyname=Estud2024&amp;ID=948</v>
      </c>
      <c r="L948" s="113">
        <v>45712</v>
      </c>
      <c r="M948" s="45" t="s">
        <v>246</v>
      </c>
    </row>
    <row r="949" spans="1:13">
      <c r="A949">
        <v>949</v>
      </c>
      <c r="B949" t="s">
        <v>138</v>
      </c>
      <c r="C949">
        <v>11</v>
      </c>
      <c r="D949" t="s">
        <v>168</v>
      </c>
      <c r="E949">
        <v>127</v>
      </c>
      <c r="F949" t="s">
        <v>8825</v>
      </c>
      <c r="G949">
        <v>1</v>
      </c>
      <c r="H949" t="s">
        <v>8796</v>
      </c>
      <c r="I949" s="45" t="s">
        <v>6754</v>
      </c>
      <c r="J949" s="122">
        <v>45708</v>
      </c>
      <c r="K949" s="110" t="str">
        <f t="shared" si="11"/>
        <v>https://Estud2024.sawtoothsoftware.com/cgi-bin/ciwweb.pl?studyname=Estud2024&amp;ID=949</v>
      </c>
      <c r="L949" s="113">
        <v>45712</v>
      </c>
      <c r="M949" s="45" t="s">
        <v>246</v>
      </c>
    </row>
    <row r="950" spans="1:13">
      <c r="A950">
        <v>950</v>
      </c>
      <c r="B950" t="s">
        <v>138</v>
      </c>
      <c r="C950">
        <v>11</v>
      </c>
      <c r="D950" t="s">
        <v>168</v>
      </c>
      <c r="E950">
        <v>127</v>
      </c>
      <c r="F950" t="s">
        <v>8826</v>
      </c>
      <c r="G950">
        <v>1</v>
      </c>
      <c r="H950" t="s">
        <v>8798</v>
      </c>
      <c r="I950" s="45" t="s">
        <v>6754</v>
      </c>
      <c r="J950" s="122">
        <v>45708</v>
      </c>
      <c r="K950" s="110" t="str">
        <f t="shared" si="11"/>
        <v>https://Estud2024.sawtoothsoftware.com/cgi-bin/ciwweb.pl?studyname=Estud2024&amp;ID=950</v>
      </c>
      <c r="L950" s="113">
        <v>45712</v>
      </c>
      <c r="M950" s="45" t="s">
        <v>246</v>
      </c>
    </row>
    <row r="951" spans="1:13">
      <c r="A951">
        <v>951</v>
      </c>
      <c r="B951" t="s">
        <v>138</v>
      </c>
      <c r="C951">
        <v>11</v>
      </c>
      <c r="D951" t="s">
        <v>168</v>
      </c>
      <c r="E951">
        <v>127</v>
      </c>
      <c r="F951" t="s">
        <v>8827</v>
      </c>
      <c r="G951">
        <v>1</v>
      </c>
      <c r="H951" t="s">
        <v>8800</v>
      </c>
      <c r="I951" s="45" t="s">
        <v>6754</v>
      </c>
      <c r="J951" s="122">
        <v>45708</v>
      </c>
      <c r="K951" s="110" t="str">
        <f t="shared" si="11"/>
        <v>https://Estud2024.sawtoothsoftware.com/cgi-bin/ciwweb.pl?studyname=Estud2024&amp;ID=951</v>
      </c>
      <c r="L951" s="113">
        <v>45712</v>
      </c>
      <c r="M951" s="45" t="s">
        <v>247</v>
      </c>
    </row>
    <row r="952" spans="1:13">
      <c r="A952">
        <v>952</v>
      </c>
      <c r="B952" t="s">
        <v>138</v>
      </c>
      <c r="C952">
        <v>11</v>
      </c>
      <c r="D952" t="s">
        <v>168</v>
      </c>
      <c r="E952">
        <v>127</v>
      </c>
      <c r="F952" t="s">
        <v>8828</v>
      </c>
      <c r="G952">
        <v>1</v>
      </c>
      <c r="H952" t="s">
        <v>8802</v>
      </c>
      <c r="I952" s="45" t="s">
        <v>6754</v>
      </c>
      <c r="J952" s="122">
        <v>45708</v>
      </c>
      <c r="K952" s="110" t="str">
        <f t="shared" si="11"/>
        <v>https://Estud2024.sawtoothsoftware.com/cgi-bin/ciwweb.pl?studyname=Estud2024&amp;ID=952</v>
      </c>
      <c r="L952" s="113">
        <v>45712</v>
      </c>
      <c r="M952" s="45" t="s">
        <v>246</v>
      </c>
    </row>
    <row r="953" spans="1:13">
      <c r="A953">
        <v>953</v>
      </c>
      <c r="B953" t="s">
        <v>138</v>
      </c>
      <c r="C953">
        <v>11</v>
      </c>
      <c r="D953" t="s">
        <v>168</v>
      </c>
      <c r="E953">
        <v>127</v>
      </c>
      <c r="F953" t="s">
        <v>8829</v>
      </c>
      <c r="G953">
        <v>1</v>
      </c>
      <c r="H953" t="s">
        <v>8804</v>
      </c>
      <c r="I953" s="45" t="s">
        <v>6754</v>
      </c>
      <c r="J953" s="122">
        <v>45708</v>
      </c>
      <c r="K953" s="110" t="str">
        <f t="shared" si="11"/>
        <v>https://Estud2024.sawtoothsoftware.com/cgi-bin/ciwweb.pl?studyname=Estud2024&amp;ID=953</v>
      </c>
      <c r="L953" s="113">
        <v>45712</v>
      </c>
      <c r="M953" s="45" t="s">
        <v>246</v>
      </c>
    </row>
    <row r="954" spans="1:13">
      <c r="A954">
        <v>954</v>
      </c>
      <c r="B954" t="s">
        <v>138</v>
      </c>
      <c r="C954">
        <v>11</v>
      </c>
      <c r="D954" t="s">
        <v>168</v>
      </c>
      <c r="E954">
        <v>127</v>
      </c>
      <c r="F954" t="s">
        <v>8830</v>
      </c>
      <c r="G954">
        <v>1</v>
      </c>
      <c r="H954" t="s">
        <v>8806</v>
      </c>
      <c r="I954" s="45" t="s">
        <v>6754</v>
      </c>
      <c r="J954" s="122">
        <v>45708</v>
      </c>
      <c r="K954" s="110" t="str">
        <f t="shared" si="11"/>
        <v>https://Estud2024.sawtoothsoftware.com/cgi-bin/ciwweb.pl?studyname=Estud2024&amp;ID=954</v>
      </c>
      <c r="L954" s="113">
        <v>45712</v>
      </c>
      <c r="M954" s="45" t="s">
        <v>246</v>
      </c>
    </row>
    <row r="955" spans="1:13">
      <c r="A955">
        <v>955</v>
      </c>
      <c r="B955" t="s">
        <v>138</v>
      </c>
      <c r="C955">
        <v>11</v>
      </c>
      <c r="D955" t="s">
        <v>168</v>
      </c>
      <c r="E955">
        <v>127</v>
      </c>
      <c r="F955" t="s">
        <v>8831</v>
      </c>
      <c r="G955">
        <v>1</v>
      </c>
      <c r="H955" t="s">
        <v>8808</v>
      </c>
      <c r="I955" s="45" t="s">
        <v>6754</v>
      </c>
      <c r="J955" s="122">
        <v>45708</v>
      </c>
      <c r="K955" s="110" t="str">
        <f t="shared" si="11"/>
        <v>https://Estud2024.sawtoothsoftware.com/cgi-bin/ciwweb.pl?studyname=Estud2024&amp;ID=955</v>
      </c>
      <c r="L955" s="113">
        <v>45712</v>
      </c>
      <c r="M955" s="45" t="s">
        <v>246</v>
      </c>
    </row>
    <row r="956" spans="1:13">
      <c r="A956">
        <v>956</v>
      </c>
      <c r="B956" t="s">
        <v>138</v>
      </c>
      <c r="C956">
        <v>11</v>
      </c>
      <c r="D956" t="s">
        <v>168</v>
      </c>
      <c r="E956">
        <v>127</v>
      </c>
      <c r="F956" t="s">
        <v>8832</v>
      </c>
      <c r="G956">
        <v>1</v>
      </c>
      <c r="H956" t="s">
        <v>8810</v>
      </c>
      <c r="I956" s="45" t="s">
        <v>6754</v>
      </c>
      <c r="J956" s="122">
        <v>45708</v>
      </c>
      <c r="K956" s="110" t="str">
        <f t="shared" si="11"/>
        <v>https://Estud2024.sawtoothsoftware.com/cgi-bin/ciwweb.pl?studyname=Estud2024&amp;ID=956</v>
      </c>
      <c r="L956" s="113">
        <v>45712</v>
      </c>
      <c r="M956" s="45" t="s">
        <v>246</v>
      </c>
    </row>
    <row r="957" spans="1:13">
      <c r="A957">
        <v>957</v>
      </c>
      <c r="B957" t="s">
        <v>138</v>
      </c>
      <c r="C957">
        <v>11</v>
      </c>
      <c r="D957" t="s">
        <v>168</v>
      </c>
      <c r="E957">
        <v>127</v>
      </c>
      <c r="F957" t="s">
        <v>8833</v>
      </c>
      <c r="G957">
        <v>1</v>
      </c>
      <c r="H957" t="s">
        <v>8812</v>
      </c>
      <c r="I957" s="45" t="s">
        <v>6754</v>
      </c>
      <c r="J957" s="122">
        <v>45708</v>
      </c>
      <c r="K957" s="110" t="str">
        <f t="shared" si="11"/>
        <v>https://Estud2024.sawtoothsoftware.com/cgi-bin/ciwweb.pl?studyname=Estud2024&amp;ID=957</v>
      </c>
      <c r="L957" s="113">
        <v>45712</v>
      </c>
      <c r="M957" s="45" t="s">
        <v>246</v>
      </c>
    </row>
    <row r="958" spans="1:13">
      <c r="A958">
        <v>958</v>
      </c>
      <c r="B958" t="s">
        <v>138</v>
      </c>
      <c r="C958">
        <v>11</v>
      </c>
      <c r="D958" t="s">
        <v>168</v>
      </c>
      <c r="E958">
        <v>127</v>
      </c>
      <c r="F958" t="s">
        <v>8834</v>
      </c>
      <c r="G958">
        <v>1</v>
      </c>
      <c r="H958" t="s">
        <v>8814</v>
      </c>
      <c r="I958" s="45" t="s">
        <v>6754</v>
      </c>
      <c r="J958" s="122">
        <v>45708</v>
      </c>
      <c r="K958" s="110" t="str">
        <f t="shared" si="11"/>
        <v>https://Estud2024.sawtoothsoftware.com/cgi-bin/ciwweb.pl?studyname=Estud2024&amp;ID=958</v>
      </c>
      <c r="L958" s="113">
        <v>45712</v>
      </c>
      <c r="M958" s="45" t="s">
        <v>246</v>
      </c>
    </row>
    <row r="959" spans="1:13">
      <c r="A959">
        <v>959</v>
      </c>
      <c r="B959" t="s">
        <v>138</v>
      </c>
      <c r="C959">
        <v>11</v>
      </c>
      <c r="D959" t="s">
        <v>168</v>
      </c>
      <c r="E959">
        <v>127</v>
      </c>
      <c r="F959" t="s">
        <v>8835</v>
      </c>
      <c r="G959">
        <v>1</v>
      </c>
      <c r="H959" t="s">
        <v>8816</v>
      </c>
      <c r="I959" s="45" t="s">
        <v>6754</v>
      </c>
      <c r="J959" s="122">
        <v>45708</v>
      </c>
      <c r="K959" s="110" t="str">
        <f t="shared" si="11"/>
        <v>https://Estud2024.sawtoothsoftware.com/cgi-bin/ciwweb.pl?studyname=Estud2024&amp;ID=959</v>
      </c>
      <c r="L959" s="113">
        <v>45712</v>
      </c>
      <c r="M959" s="45" t="s">
        <v>246</v>
      </c>
    </row>
    <row r="960" spans="1:13">
      <c r="A960">
        <v>960</v>
      </c>
      <c r="B960" t="s">
        <v>138</v>
      </c>
      <c r="C960">
        <v>11</v>
      </c>
      <c r="D960" t="s">
        <v>168</v>
      </c>
      <c r="E960">
        <v>127</v>
      </c>
      <c r="F960" t="s">
        <v>8836</v>
      </c>
      <c r="G960">
        <v>1</v>
      </c>
      <c r="H960" t="s">
        <v>8818</v>
      </c>
      <c r="I960" s="45" t="s">
        <v>6754</v>
      </c>
      <c r="J960" s="122">
        <v>45708</v>
      </c>
      <c r="K960" s="110" t="str">
        <f t="shared" si="11"/>
        <v>https://Estud2024.sawtoothsoftware.com/cgi-bin/ciwweb.pl?studyname=Estud2024&amp;ID=960</v>
      </c>
      <c r="L960" s="113">
        <v>45712</v>
      </c>
      <c r="M960" s="45" t="s">
        <v>246</v>
      </c>
    </row>
    <row r="961" spans="1:13">
      <c r="A961">
        <v>961</v>
      </c>
      <c r="B961" t="s">
        <v>138</v>
      </c>
      <c r="C961">
        <v>11</v>
      </c>
      <c r="D961" t="s">
        <v>168</v>
      </c>
      <c r="E961">
        <v>127</v>
      </c>
      <c r="F961" t="s">
        <v>8837</v>
      </c>
      <c r="G961">
        <v>1</v>
      </c>
      <c r="H961" t="s">
        <v>8820</v>
      </c>
      <c r="I961" s="45" t="s">
        <v>6754</v>
      </c>
      <c r="J961" s="122">
        <v>45708</v>
      </c>
      <c r="K961" s="110" t="str">
        <f t="shared" si="11"/>
        <v>https://Estud2024.sawtoothsoftware.com/cgi-bin/ciwweb.pl?studyname=Estud2024&amp;ID=961</v>
      </c>
      <c r="L961" s="113">
        <v>45712</v>
      </c>
      <c r="M961" s="45" t="s">
        <v>246</v>
      </c>
    </row>
    <row r="962" spans="1:13">
      <c r="A962">
        <v>962</v>
      </c>
      <c r="B962" t="s">
        <v>138</v>
      </c>
      <c r="C962">
        <v>11</v>
      </c>
      <c r="D962" t="s">
        <v>168</v>
      </c>
      <c r="E962">
        <v>127</v>
      </c>
      <c r="F962" t="s">
        <v>8838</v>
      </c>
      <c r="G962">
        <v>1</v>
      </c>
      <c r="H962" t="s">
        <v>8822</v>
      </c>
      <c r="I962" s="45" t="s">
        <v>6754</v>
      </c>
      <c r="J962" s="122">
        <v>45708</v>
      </c>
      <c r="K962" s="110" t="str">
        <f t="shared" si="11"/>
        <v>https://Estud2024.sawtoothsoftware.com/cgi-bin/ciwweb.pl?studyname=Estud2024&amp;ID=962</v>
      </c>
      <c r="L962" s="113">
        <v>45712</v>
      </c>
      <c r="M962" s="45" t="s">
        <v>246</v>
      </c>
    </row>
    <row r="963" spans="1:13">
      <c r="A963">
        <v>963</v>
      </c>
      <c r="B963" t="s">
        <v>138</v>
      </c>
      <c r="C963">
        <v>11</v>
      </c>
      <c r="D963" t="s">
        <v>168</v>
      </c>
      <c r="E963">
        <v>127</v>
      </c>
      <c r="F963" t="s">
        <v>8839</v>
      </c>
      <c r="G963">
        <v>1</v>
      </c>
      <c r="H963" t="s">
        <v>8840</v>
      </c>
      <c r="I963" s="45" t="s">
        <v>6754</v>
      </c>
      <c r="J963" s="122">
        <v>45708</v>
      </c>
      <c r="K963" s="110" t="str">
        <f t="shared" si="11"/>
        <v>https://Estud2024.sawtoothsoftware.com/cgi-bin/ciwweb.pl?studyname=Estud2024&amp;ID=963</v>
      </c>
      <c r="L963" s="113">
        <v>45712</v>
      </c>
      <c r="M963" s="45" t="s">
        <v>246</v>
      </c>
    </row>
    <row r="964" spans="1:13">
      <c r="A964">
        <v>964</v>
      </c>
      <c r="B964" t="s">
        <v>138</v>
      </c>
      <c r="C964">
        <v>11</v>
      </c>
      <c r="D964" t="s">
        <v>168</v>
      </c>
      <c r="E964">
        <v>127</v>
      </c>
      <c r="F964" t="s">
        <v>8841</v>
      </c>
      <c r="G964">
        <v>1</v>
      </c>
      <c r="H964" t="s">
        <v>8842</v>
      </c>
      <c r="I964" s="45" t="s">
        <v>6754</v>
      </c>
      <c r="J964" s="122">
        <v>45708</v>
      </c>
      <c r="K964" s="110" t="str">
        <f t="shared" si="11"/>
        <v>https://Estud2024.sawtoothsoftware.com/cgi-bin/ciwweb.pl?studyname=Estud2024&amp;ID=964</v>
      </c>
      <c r="L964" s="113">
        <v>45712</v>
      </c>
      <c r="M964" s="45" t="s">
        <v>246</v>
      </c>
    </row>
    <row r="965" spans="1:13">
      <c r="A965">
        <v>965</v>
      </c>
      <c r="B965" t="s">
        <v>138</v>
      </c>
      <c r="C965">
        <v>11</v>
      </c>
      <c r="D965" t="s">
        <v>168</v>
      </c>
      <c r="E965">
        <v>127</v>
      </c>
      <c r="F965" t="s">
        <v>8843</v>
      </c>
      <c r="G965">
        <v>1</v>
      </c>
      <c r="H965" t="s">
        <v>8844</v>
      </c>
      <c r="I965" s="45" t="s">
        <v>6754</v>
      </c>
      <c r="J965" s="122">
        <v>45708</v>
      </c>
      <c r="K965" s="110" t="str">
        <f t="shared" si="11"/>
        <v>https://Estud2024.sawtoothsoftware.com/cgi-bin/ciwweb.pl?studyname=Estud2024&amp;ID=965</v>
      </c>
      <c r="L965" s="113">
        <v>45712</v>
      </c>
      <c r="M965" s="45" t="s">
        <v>246</v>
      </c>
    </row>
    <row r="966" spans="1:13">
      <c r="A966">
        <v>966</v>
      </c>
      <c r="B966" t="s">
        <v>138</v>
      </c>
      <c r="C966">
        <v>11</v>
      </c>
      <c r="D966" t="s">
        <v>168</v>
      </c>
      <c r="E966">
        <v>127</v>
      </c>
      <c r="F966" t="s">
        <v>8845</v>
      </c>
      <c r="G966">
        <v>1</v>
      </c>
      <c r="H966" t="s">
        <v>8846</v>
      </c>
      <c r="I966" s="45" t="s">
        <v>6754</v>
      </c>
      <c r="J966" s="122">
        <v>45708</v>
      </c>
      <c r="K966" s="110" t="str">
        <f t="shared" si="11"/>
        <v>https://Estud2024.sawtoothsoftware.com/cgi-bin/ciwweb.pl?studyname=Estud2024&amp;ID=966</v>
      </c>
      <c r="L966" s="113">
        <v>45712</v>
      </c>
      <c r="M966" s="45" t="s">
        <v>246</v>
      </c>
    </row>
    <row r="967" spans="1:13">
      <c r="A967">
        <v>967</v>
      </c>
      <c r="B967" t="s">
        <v>138</v>
      </c>
      <c r="C967">
        <v>11</v>
      </c>
      <c r="D967" t="s">
        <v>166</v>
      </c>
      <c r="E967">
        <v>129</v>
      </c>
      <c r="F967" t="s">
        <v>8847</v>
      </c>
      <c r="G967">
        <v>1</v>
      </c>
      <c r="H967" t="s">
        <v>8848</v>
      </c>
      <c r="I967" s="45" t="s">
        <v>6754</v>
      </c>
      <c r="J967" s="122">
        <v>45708</v>
      </c>
      <c r="K967" s="110" t="str">
        <f t="shared" si="11"/>
        <v>https://Estud2024.sawtoothsoftware.com/cgi-bin/ciwweb.pl?studyname=Estud2024&amp;ID=967</v>
      </c>
      <c r="L967" s="113">
        <v>45712</v>
      </c>
      <c r="M967" s="45" t="s">
        <v>247</v>
      </c>
    </row>
    <row r="968" spans="1:13">
      <c r="A968">
        <v>968</v>
      </c>
      <c r="B968" t="s">
        <v>138</v>
      </c>
      <c r="C968">
        <v>11</v>
      </c>
      <c r="D968" t="s">
        <v>166</v>
      </c>
      <c r="E968">
        <v>129</v>
      </c>
      <c r="F968" t="s">
        <v>8849</v>
      </c>
      <c r="G968">
        <v>1</v>
      </c>
      <c r="H968" t="s">
        <v>8850</v>
      </c>
      <c r="I968" s="45" t="s">
        <v>6754</v>
      </c>
      <c r="J968" s="122">
        <v>45708</v>
      </c>
      <c r="K968" s="110" t="str">
        <f t="shared" si="11"/>
        <v>https://Estud2024.sawtoothsoftware.com/cgi-bin/ciwweb.pl?studyname=Estud2024&amp;ID=968</v>
      </c>
      <c r="L968" s="113">
        <v>45712</v>
      </c>
      <c r="M968" s="45" t="s">
        <v>246</v>
      </c>
    </row>
    <row r="969" spans="1:13">
      <c r="A969">
        <v>969</v>
      </c>
      <c r="B969" t="s">
        <v>138</v>
      </c>
      <c r="C969">
        <v>11</v>
      </c>
      <c r="D969" t="s">
        <v>166</v>
      </c>
      <c r="E969">
        <v>129</v>
      </c>
      <c r="F969" t="s">
        <v>8851</v>
      </c>
      <c r="G969">
        <v>1</v>
      </c>
      <c r="H969" t="s">
        <v>8852</v>
      </c>
      <c r="I969" s="45" t="s">
        <v>6754</v>
      </c>
      <c r="J969" s="122">
        <v>45708</v>
      </c>
      <c r="K969" s="110" t="str">
        <f t="shared" si="11"/>
        <v>https://Estud2024.sawtoothsoftware.com/cgi-bin/ciwweb.pl?studyname=Estud2024&amp;ID=969</v>
      </c>
      <c r="L969" s="113">
        <v>45712</v>
      </c>
      <c r="M969" s="45" t="s">
        <v>247</v>
      </c>
    </row>
    <row r="970" spans="1:13">
      <c r="A970">
        <v>970</v>
      </c>
      <c r="B970" t="s">
        <v>138</v>
      </c>
      <c r="C970">
        <v>11</v>
      </c>
      <c r="D970" t="s">
        <v>166</v>
      </c>
      <c r="E970">
        <v>129</v>
      </c>
      <c r="F970" t="s">
        <v>8853</v>
      </c>
      <c r="G970">
        <v>1</v>
      </c>
      <c r="H970" t="s">
        <v>8854</v>
      </c>
      <c r="I970" s="45" t="s">
        <v>6754</v>
      </c>
      <c r="J970" s="122">
        <v>45708</v>
      </c>
      <c r="K970" s="110" t="str">
        <f t="shared" si="11"/>
        <v>https://Estud2024.sawtoothsoftware.com/cgi-bin/ciwweb.pl?studyname=Estud2024&amp;ID=970</v>
      </c>
      <c r="L970" s="113">
        <v>45712</v>
      </c>
      <c r="M970" s="45" t="s">
        <v>246</v>
      </c>
    </row>
    <row r="971" spans="1:13">
      <c r="A971">
        <v>971</v>
      </c>
      <c r="B971" t="s">
        <v>138</v>
      </c>
      <c r="C971">
        <v>11</v>
      </c>
      <c r="D971" t="s">
        <v>166</v>
      </c>
      <c r="E971">
        <v>129</v>
      </c>
      <c r="F971" t="s">
        <v>8855</v>
      </c>
      <c r="G971">
        <v>1</v>
      </c>
      <c r="H971" t="s">
        <v>8856</v>
      </c>
      <c r="I971" s="45" t="s">
        <v>6754</v>
      </c>
      <c r="J971" s="122">
        <v>45708</v>
      </c>
      <c r="K971" s="110" t="str">
        <f t="shared" si="11"/>
        <v>https://Estud2024.sawtoothsoftware.com/cgi-bin/ciwweb.pl?studyname=Estud2024&amp;ID=971</v>
      </c>
      <c r="L971" s="113">
        <v>45712</v>
      </c>
      <c r="M971" s="45" t="s">
        <v>247</v>
      </c>
    </row>
    <row r="972" spans="1:13">
      <c r="A972">
        <v>972</v>
      </c>
      <c r="B972" t="s">
        <v>138</v>
      </c>
      <c r="C972">
        <v>11</v>
      </c>
      <c r="D972" t="s">
        <v>166</v>
      </c>
      <c r="E972">
        <v>129</v>
      </c>
      <c r="F972" t="s">
        <v>8857</v>
      </c>
      <c r="G972">
        <v>1</v>
      </c>
      <c r="H972" t="s">
        <v>8858</v>
      </c>
      <c r="I972" s="45" t="s">
        <v>6754</v>
      </c>
      <c r="J972" s="122">
        <v>45708</v>
      </c>
      <c r="K972" s="110" t="str">
        <f t="shared" si="11"/>
        <v>https://Estud2024.sawtoothsoftware.com/cgi-bin/ciwweb.pl?studyname=Estud2024&amp;ID=972</v>
      </c>
      <c r="L972" s="113">
        <v>45712</v>
      </c>
      <c r="M972" s="45" t="s">
        <v>246</v>
      </c>
    </row>
    <row r="973" spans="1:13">
      <c r="A973">
        <v>973</v>
      </c>
      <c r="B973" t="s">
        <v>138</v>
      </c>
      <c r="C973">
        <v>11</v>
      </c>
      <c r="D973" t="s">
        <v>166</v>
      </c>
      <c r="E973">
        <v>129</v>
      </c>
      <c r="F973" t="s">
        <v>8859</v>
      </c>
      <c r="G973">
        <v>1</v>
      </c>
      <c r="H973" t="s">
        <v>8860</v>
      </c>
      <c r="I973" s="45" t="s">
        <v>6754</v>
      </c>
      <c r="J973" s="122">
        <v>45708</v>
      </c>
      <c r="K973" s="110" t="str">
        <f t="shared" si="11"/>
        <v>https://Estud2024.sawtoothsoftware.com/cgi-bin/ciwweb.pl?studyname=Estud2024&amp;ID=973</v>
      </c>
      <c r="L973" s="113">
        <v>45712</v>
      </c>
      <c r="M973" s="45" t="s">
        <v>246</v>
      </c>
    </row>
    <row r="974" spans="1:13">
      <c r="A974">
        <v>974</v>
      </c>
      <c r="B974" t="s">
        <v>138</v>
      </c>
      <c r="C974">
        <v>11</v>
      </c>
      <c r="D974" t="s">
        <v>166</v>
      </c>
      <c r="E974">
        <v>129</v>
      </c>
      <c r="F974" t="s">
        <v>8861</v>
      </c>
      <c r="G974">
        <v>1</v>
      </c>
      <c r="H974" t="s">
        <v>8862</v>
      </c>
      <c r="I974" s="45" t="s">
        <v>6754</v>
      </c>
      <c r="J974" s="122">
        <v>45708</v>
      </c>
      <c r="K974" s="110" t="str">
        <f t="shared" si="11"/>
        <v>https://Estud2024.sawtoothsoftware.com/cgi-bin/ciwweb.pl?studyname=Estud2024&amp;ID=974</v>
      </c>
      <c r="L974" s="113">
        <v>45712</v>
      </c>
      <c r="M974" s="45" t="s">
        <v>247</v>
      </c>
    </row>
    <row r="975" spans="1:13">
      <c r="A975">
        <v>975</v>
      </c>
      <c r="B975" t="s">
        <v>138</v>
      </c>
      <c r="C975">
        <v>11</v>
      </c>
      <c r="D975" t="s">
        <v>166</v>
      </c>
      <c r="E975">
        <v>129</v>
      </c>
      <c r="F975" t="s">
        <v>8863</v>
      </c>
      <c r="G975">
        <v>1</v>
      </c>
      <c r="H975" t="s">
        <v>8864</v>
      </c>
      <c r="I975" s="45" t="s">
        <v>6754</v>
      </c>
      <c r="J975" s="122">
        <v>45708</v>
      </c>
      <c r="K975" s="110" t="str">
        <f t="shared" si="11"/>
        <v>https://Estud2024.sawtoothsoftware.com/cgi-bin/ciwweb.pl?studyname=Estud2024&amp;ID=975</v>
      </c>
      <c r="L975" s="113">
        <v>45712</v>
      </c>
      <c r="M975" s="45" t="s">
        <v>246</v>
      </c>
    </row>
    <row r="976" spans="1:13">
      <c r="A976">
        <v>976</v>
      </c>
      <c r="B976" t="s">
        <v>138</v>
      </c>
      <c r="C976">
        <v>11</v>
      </c>
      <c r="D976" t="s">
        <v>166</v>
      </c>
      <c r="E976">
        <v>129</v>
      </c>
      <c r="F976" t="s">
        <v>8865</v>
      </c>
      <c r="G976">
        <v>1</v>
      </c>
      <c r="H976" t="s">
        <v>8866</v>
      </c>
      <c r="I976" s="45" t="s">
        <v>6754</v>
      </c>
      <c r="J976" s="122">
        <v>45708</v>
      </c>
      <c r="K976" s="110" t="str">
        <f t="shared" si="11"/>
        <v>https://Estud2024.sawtoothsoftware.com/cgi-bin/ciwweb.pl?studyname=Estud2024&amp;ID=976</v>
      </c>
      <c r="L976" s="113">
        <v>45712</v>
      </c>
      <c r="M976" s="45" t="s">
        <v>246</v>
      </c>
    </row>
    <row r="977" spans="1:13">
      <c r="A977">
        <v>977</v>
      </c>
      <c r="B977" t="s">
        <v>138</v>
      </c>
      <c r="C977">
        <v>11</v>
      </c>
      <c r="D977" t="s">
        <v>166</v>
      </c>
      <c r="E977">
        <v>129</v>
      </c>
      <c r="F977" t="s">
        <v>8867</v>
      </c>
      <c r="G977">
        <v>1</v>
      </c>
      <c r="H977" t="s">
        <v>8868</v>
      </c>
      <c r="I977" s="45" t="s">
        <v>6754</v>
      </c>
      <c r="J977" s="122">
        <v>45708</v>
      </c>
      <c r="K977" s="110" t="str">
        <f t="shared" si="11"/>
        <v>https://Estud2024.sawtoothsoftware.com/cgi-bin/ciwweb.pl?studyname=Estud2024&amp;ID=977</v>
      </c>
      <c r="L977" s="113">
        <v>45712</v>
      </c>
      <c r="M977" s="45" t="s">
        <v>246</v>
      </c>
    </row>
    <row r="978" spans="1:13">
      <c r="A978">
        <v>978</v>
      </c>
      <c r="B978" t="s">
        <v>138</v>
      </c>
      <c r="C978">
        <v>11</v>
      </c>
      <c r="D978" t="s">
        <v>166</v>
      </c>
      <c r="E978">
        <v>129</v>
      </c>
      <c r="F978" t="s">
        <v>8869</v>
      </c>
      <c r="G978">
        <v>1</v>
      </c>
      <c r="H978" t="s">
        <v>8870</v>
      </c>
      <c r="I978" s="45" t="s">
        <v>6754</v>
      </c>
      <c r="J978" s="122">
        <v>45708</v>
      </c>
      <c r="K978" s="110" t="str">
        <f t="shared" si="11"/>
        <v>https://Estud2024.sawtoothsoftware.com/cgi-bin/ciwweb.pl?studyname=Estud2024&amp;ID=978</v>
      </c>
      <c r="L978" s="113">
        <v>45712</v>
      </c>
      <c r="M978" s="45" t="s">
        <v>247</v>
      </c>
    </row>
    <row r="979" spans="1:13">
      <c r="A979">
        <v>979</v>
      </c>
      <c r="B979" t="s">
        <v>138</v>
      </c>
      <c r="C979">
        <v>11</v>
      </c>
      <c r="D979" t="s">
        <v>166</v>
      </c>
      <c r="E979">
        <v>129</v>
      </c>
      <c r="F979" t="s">
        <v>8871</v>
      </c>
      <c r="G979">
        <v>1</v>
      </c>
      <c r="H979" t="s">
        <v>8872</v>
      </c>
      <c r="I979" s="45" t="s">
        <v>6754</v>
      </c>
      <c r="J979" s="122">
        <v>45708</v>
      </c>
      <c r="K979" s="110" t="str">
        <f t="shared" si="11"/>
        <v>https://Estud2024.sawtoothsoftware.com/cgi-bin/ciwweb.pl?studyname=Estud2024&amp;ID=979</v>
      </c>
      <c r="L979" s="113">
        <v>45712</v>
      </c>
      <c r="M979" s="45" t="s">
        <v>247</v>
      </c>
    </row>
    <row r="980" spans="1:13">
      <c r="A980">
        <v>980</v>
      </c>
      <c r="B980" t="s">
        <v>138</v>
      </c>
      <c r="C980">
        <v>11</v>
      </c>
      <c r="D980" t="s">
        <v>166</v>
      </c>
      <c r="E980">
        <v>129</v>
      </c>
      <c r="F980" t="s">
        <v>8873</v>
      </c>
      <c r="G980">
        <v>1</v>
      </c>
      <c r="H980" t="s">
        <v>8874</v>
      </c>
      <c r="I980" s="45" t="s">
        <v>6754</v>
      </c>
      <c r="J980" s="122">
        <v>45708</v>
      </c>
      <c r="K980" s="110" t="str">
        <f t="shared" si="11"/>
        <v>https://Estud2024.sawtoothsoftware.com/cgi-bin/ciwweb.pl?studyname=Estud2024&amp;ID=980</v>
      </c>
      <c r="L980" s="113">
        <v>45712</v>
      </c>
      <c r="M980" s="45" t="s">
        <v>247</v>
      </c>
    </row>
    <row r="981" spans="1:13">
      <c r="A981">
        <v>981</v>
      </c>
      <c r="B981" t="s">
        <v>138</v>
      </c>
      <c r="C981">
        <v>11</v>
      </c>
      <c r="D981" t="s">
        <v>166</v>
      </c>
      <c r="E981">
        <v>129</v>
      </c>
      <c r="F981" t="s">
        <v>8875</v>
      </c>
      <c r="G981">
        <v>1</v>
      </c>
      <c r="H981" t="s">
        <v>8876</v>
      </c>
      <c r="I981" s="45" t="s">
        <v>6754</v>
      </c>
      <c r="J981" s="122">
        <v>45708</v>
      </c>
      <c r="K981" s="110" t="str">
        <f t="shared" si="11"/>
        <v>https://Estud2024.sawtoothsoftware.com/cgi-bin/ciwweb.pl?studyname=Estud2024&amp;ID=981</v>
      </c>
      <c r="L981" s="113">
        <v>45712</v>
      </c>
      <c r="M981" s="45" t="s">
        <v>247</v>
      </c>
    </row>
    <row r="982" spans="1:13">
      <c r="A982">
        <v>982</v>
      </c>
      <c r="B982" t="s">
        <v>138</v>
      </c>
      <c r="C982">
        <v>11</v>
      </c>
      <c r="D982" t="s">
        <v>166</v>
      </c>
      <c r="E982">
        <v>129</v>
      </c>
      <c r="F982" t="s">
        <v>8877</v>
      </c>
      <c r="G982">
        <v>1</v>
      </c>
      <c r="H982" t="s">
        <v>8878</v>
      </c>
      <c r="I982" s="45" t="s">
        <v>6754</v>
      </c>
      <c r="J982" s="122">
        <v>45708</v>
      </c>
      <c r="K982" s="110" t="str">
        <f t="shared" ref="K982:K1045" si="12">CONCATENATE("https://Estud2024.sawtoothsoftware.com/cgi-bin/ciwweb.pl?studyname=Estud2024&amp;ID=",A982)</f>
        <v>https://Estud2024.sawtoothsoftware.com/cgi-bin/ciwweb.pl?studyname=Estud2024&amp;ID=982</v>
      </c>
      <c r="L982" s="113">
        <v>45712</v>
      </c>
      <c r="M982" s="45" t="s">
        <v>246</v>
      </c>
    </row>
    <row r="983" spans="1:13">
      <c r="A983">
        <v>983</v>
      </c>
      <c r="B983" t="s">
        <v>138</v>
      </c>
      <c r="C983">
        <v>11</v>
      </c>
      <c r="D983" t="s">
        <v>166</v>
      </c>
      <c r="E983">
        <v>129</v>
      </c>
      <c r="F983" t="s">
        <v>8879</v>
      </c>
      <c r="G983">
        <v>1</v>
      </c>
      <c r="H983" t="s">
        <v>8880</v>
      </c>
      <c r="I983" s="45" t="s">
        <v>6754</v>
      </c>
      <c r="J983" s="122">
        <v>45708</v>
      </c>
      <c r="K983" s="110" t="str">
        <f t="shared" si="12"/>
        <v>https://Estud2024.sawtoothsoftware.com/cgi-bin/ciwweb.pl?studyname=Estud2024&amp;ID=983</v>
      </c>
      <c r="L983" s="113">
        <v>45712</v>
      </c>
      <c r="M983" s="45" t="s">
        <v>246</v>
      </c>
    </row>
    <row r="984" spans="1:13">
      <c r="A984">
        <v>984</v>
      </c>
      <c r="B984" t="s">
        <v>138</v>
      </c>
      <c r="C984">
        <v>11</v>
      </c>
      <c r="D984" t="s">
        <v>166</v>
      </c>
      <c r="E984">
        <v>129</v>
      </c>
      <c r="F984" t="s">
        <v>8881</v>
      </c>
      <c r="G984">
        <v>1</v>
      </c>
      <c r="H984" t="s">
        <v>8882</v>
      </c>
      <c r="I984" s="45" t="s">
        <v>6754</v>
      </c>
      <c r="J984" s="122">
        <v>45708</v>
      </c>
      <c r="K984" s="110" t="str">
        <f t="shared" si="12"/>
        <v>https://Estud2024.sawtoothsoftware.com/cgi-bin/ciwweb.pl?studyname=Estud2024&amp;ID=984</v>
      </c>
      <c r="L984" s="113">
        <v>45712</v>
      </c>
      <c r="M984" s="45" t="s">
        <v>246</v>
      </c>
    </row>
    <row r="985" spans="1:13">
      <c r="A985">
        <v>985</v>
      </c>
      <c r="B985" t="s">
        <v>138</v>
      </c>
      <c r="C985">
        <v>11</v>
      </c>
      <c r="D985" t="s">
        <v>166</v>
      </c>
      <c r="E985">
        <v>129</v>
      </c>
      <c r="F985" t="s">
        <v>8883</v>
      </c>
      <c r="G985">
        <v>1</v>
      </c>
      <c r="H985" t="s">
        <v>8884</v>
      </c>
      <c r="I985" s="45" t="s">
        <v>6754</v>
      </c>
      <c r="J985" s="122">
        <v>45708</v>
      </c>
      <c r="K985" s="110" t="str">
        <f t="shared" si="12"/>
        <v>https://Estud2024.sawtoothsoftware.com/cgi-bin/ciwweb.pl?studyname=Estud2024&amp;ID=985</v>
      </c>
      <c r="L985" s="113">
        <v>45712</v>
      </c>
      <c r="M985" s="45" t="s">
        <v>246</v>
      </c>
    </row>
    <row r="986" spans="1:13">
      <c r="A986">
        <v>986</v>
      </c>
      <c r="B986" t="s">
        <v>138</v>
      </c>
      <c r="C986">
        <v>11</v>
      </c>
      <c r="D986" t="s">
        <v>166</v>
      </c>
      <c r="E986">
        <v>129</v>
      </c>
      <c r="F986" t="s">
        <v>8885</v>
      </c>
      <c r="G986">
        <v>1</v>
      </c>
      <c r="H986" t="s">
        <v>8886</v>
      </c>
      <c r="I986" s="45" t="s">
        <v>6754</v>
      </c>
      <c r="J986" s="122">
        <v>45708</v>
      </c>
      <c r="K986" s="110" t="str">
        <f t="shared" si="12"/>
        <v>https://Estud2024.sawtoothsoftware.com/cgi-bin/ciwweb.pl?studyname=Estud2024&amp;ID=986</v>
      </c>
      <c r="L986" s="113">
        <v>45712</v>
      </c>
      <c r="M986" s="45" t="s">
        <v>247</v>
      </c>
    </row>
    <row r="987" spans="1:13">
      <c r="A987">
        <v>987</v>
      </c>
      <c r="B987" t="s">
        <v>138</v>
      </c>
      <c r="C987">
        <v>11</v>
      </c>
      <c r="D987" t="s">
        <v>166</v>
      </c>
      <c r="E987">
        <v>129</v>
      </c>
      <c r="F987" t="s">
        <v>8887</v>
      </c>
      <c r="G987">
        <v>1</v>
      </c>
      <c r="H987" t="s">
        <v>8888</v>
      </c>
      <c r="I987" s="45" t="s">
        <v>6754</v>
      </c>
      <c r="J987" s="122">
        <v>45708</v>
      </c>
      <c r="K987" s="110" t="str">
        <f t="shared" si="12"/>
        <v>https://Estud2024.sawtoothsoftware.com/cgi-bin/ciwweb.pl?studyname=Estud2024&amp;ID=987</v>
      </c>
      <c r="L987" s="113">
        <v>45712</v>
      </c>
      <c r="M987" s="45" t="s">
        <v>247</v>
      </c>
    </row>
    <row r="988" spans="1:13">
      <c r="A988">
        <v>988</v>
      </c>
      <c r="B988" t="s">
        <v>138</v>
      </c>
      <c r="C988">
        <v>11</v>
      </c>
      <c r="D988" t="s">
        <v>166</v>
      </c>
      <c r="E988">
        <v>129</v>
      </c>
      <c r="F988" t="s">
        <v>8889</v>
      </c>
      <c r="G988">
        <v>1</v>
      </c>
      <c r="H988" t="s">
        <v>8890</v>
      </c>
      <c r="I988" s="45" t="s">
        <v>6754</v>
      </c>
      <c r="J988" s="122">
        <v>45708</v>
      </c>
      <c r="K988" s="110" t="str">
        <f t="shared" si="12"/>
        <v>https://Estud2024.sawtoothsoftware.com/cgi-bin/ciwweb.pl?studyname=Estud2024&amp;ID=988</v>
      </c>
      <c r="L988" s="113">
        <v>45712</v>
      </c>
      <c r="M988" s="45" t="s">
        <v>247</v>
      </c>
    </row>
    <row r="989" spans="1:13">
      <c r="A989">
        <v>989</v>
      </c>
      <c r="B989" t="s">
        <v>138</v>
      </c>
      <c r="C989">
        <v>11</v>
      </c>
      <c r="D989" t="s">
        <v>164</v>
      </c>
      <c r="E989">
        <v>126</v>
      </c>
      <c r="F989" t="s">
        <v>8891</v>
      </c>
      <c r="G989">
        <v>1</v>
      </c>
      <c r="H989" t="s">
        <v>8892</v>
      </c>
      <c r="I989" s="45" t="s">
        <v>6754</v>
      </c>
      <c r="J989" s="122">
        <v>45708</v>
      </c>
      <c r="K989" s="110" t="str">
        <f t="shared" si="12"/>
        <v>https://Estud2024.sawtoothsoftware.com/cgi-bin/ciwweb.pl?studyname=Estud2024&amp;ID=989</v>
      </c>
      <c r="L989" s="113">
        <v>45712</v>
      </c>
      <c r="M989" s="45" t="s">
        <v>247</v>
      </c>
    </row>
    <row r="990" spans="1:13">
      <c r="A990">
        <v>990</v>
      </c>
      <c r="B990" t="s">
        <v>138</v>
      </c>
      <c r="C990">
        <v>11</v>
      </c>
      <c r="D990" t="s">
        <v>164</v>
      </c>
      <c r="E990">
        <v>126</v>
      </c>
      <c r="F990" t="s">
        <v>8893</v>
      </c>
      <c r="G990">
        <v>1</v>
      </c>
      <c r="H990" t="s">
        <v>8894</v>
      </c>
      <c r="I990" s="45" t="s">
        <v>6754</v>
      </c>
      <c r="J990" s="122">
        <v>45708</v>
      </c>
      <c r="K990" s="110" t="str">
        <f t="shared" si="12"/>
        <v>https://Estud2024.sawtoothsoftware.com/cgi-bin/ciwweb.pl?studyname=Estud2024&amp;ID=990</v>
      </c>
      <c r="L990" s="113">
        <v>45712</v>
      </c>
      <c r="M990" s="45" t="s">
        <v>247</v>
      </c>
    </row>
    <row r="991" spans="1:13">
      <c r="A991">
        <v>991</v>
      </c>
      <c r="B991" t="s">
        <v>138</v>
      </c>
      <c r="C991">
        <v>11</v>
      </c>
      <c r="D991" t="s">
        <v>164</v>
      </c>
      <c r="E991">
        <v>126</v>
      </c>
      <c r="F991" t="s">
        <v>8895</v>
      </c>
      <c r="G991">
        <v>1</v>
      </c>
      <c r="H991" t="s">
        <v>8896</v>
      </c>
      <c r="I991" s="45" t="s">
        <v>6754</v>
      </c>
      <c r="J991" s="122">
        <v>45708</v>
      </c>
      <c r="K991" s="110" t="str">
        <f t="shared" si="12"/>
        <v>https://Estud2024.sawtoothsoftware.com/cgi-bin/ciwweb.pl?studyname=Estud2024&amp;ID=991</v>
      </c>
      <c r="L991" s="113">
        <v>45712</v>
      </c>
      <c r="M991" s="45" t="s">
        <v>247</v>
      </c>
    </row>
    <row r="992" spans="1:13">
      <c r="A992">
        <v>992</v>
      </c>
      <c r="B992" t="s">
        <v>138</v>
      </c>
      <c r="C992">
        <v>11</v>
      </c>
      <c r="D992" t="s">
        <v>164</v>
      </c>
      <c r="E992">
        <v>126</v>
      </c>
      <c r="F992" t="s">
        <v>8897</v>
      </c>
      <c r="G992">
        <v>1</v>
      </c>
      <c r="H992" t="s">
        <v>8898</v>
      </c>
      <c r="I992" s="45" t="s">
        <v>6754</v>
      </c>
      <c r="J992" s="122">
        <v>45708</v>
      </c>
      <c r="K992" s="110" t="str">
        <f t="shared" si="12"/>
        <v>https://Estud2024.sawtoothsoftware.com/cgi-bin/ciwweb.pl?studyname=Estud2024&amp;ID=992</v>
      </c>
      <c r="L992" s="113">
        <v>45712</v>
      </c>
      <c r="M992" s="45" t="s">
        <v>246</v>
      </c>
    </row>
    <row r="993" spans="1:13">
      <c r="A993">
        <v>993</v>
      </c>
      <c r="B993" t="s">
        <v>138</v>
      </c>
      <c r="C993">
        <v>11</v>
      </c>
      <c r="D993" t="s">
        <v>164</v>
      </c>
      <c r="E993">
        <v>126</v>
      </c>
      <c r="F993" t="s">
        <v>8899</v>
      </c>
      <c r="G993">
        <v>1</v>
      </c>
      <c r="H993" t="s">
        <v>8900</v>
      </c>
      <c r="I993" s="45" t="s">
        <v>6754</v>
      </c>
      <c r="J993" s="122">
        <v>45708</v>
      </c>
      <c r="K993" s="110" t="str">
        <f t="shared" si="12"/>
        <v>https://Estud2024.sawtoothsoftware.com/cgi-bin/ciwweb.pl?studyname=Estud2024&amp;ID=993</v>
      </c>
      <c r="L993" s="113">
        <v>45712</v>
      </c>
      <c r="M993" s="45" t="s">
        <v>246</v>
      </c>
    </row>
    <row r="994" spans="1:13">
      <c r="A994">
        <v>994</v>
      </c>
      <c r="B994" t="s">
        <v>138</v>
      </c>
      <c r="C994">
        <v>11</v>
      </c>
      <c r="D994" t="s">
        <v>164</v>
      </c>
      <c r="E994">
        <v>126</v>
      </c>
      <c r="F994" t="s">
        <v>8901</v>
      </c>
      <c r="G994">
        <v>1</v>
      </c>
      <c r="H994" t="s">
        <v>8902</v>
      </c>
      <c r="I994" s="45" t="s">
        <v>6754</v>
      </c>
      <c r="J994" s="122">
        <v>45708</v>
      </c>
      <c r="K994" s="110" t="str">
        <f t="shared" si="12"/>
        <v>https://Estud2024.sawtoothsoftware.com/cgi-bin/ciwweb.pl?studyname=Estud2024&amp;ID=994</v>
      </c>
      <c r="L994" s="113">
        <v>45712</v>
      </c>
      <c r="M994" s="45" t="s">
        <v>246</v>
      </c>
    </row>
    <row r="995" spans="1:13">
      <c r="A995">
        <v>995</v>
      </c>
      <c r="B995" t="s">
        <v>138</v>
      </c>
      <c r="C995">
        <v>11</v>
      </c>
      <c r="D995" t="s">
        <v>164</v>
      </c>
      <c r="E995">
        <v>126</v>
      </c>
      <c r="F995" t="s">
        <v>8903</v>
      </c>
      <c r="G995">
        <v>1</v>
      </c>
      <c r="H995" t="s">
        <v>8904</v>
      </c>
      <c r="I995" s="45" t="s">
        <v>6754</v>
      </c>
      <c r="J995" s="122">
        <v>45708</v>
      </c>
      <c r="K995" s="110" t="str">
        <f t="shared" si="12"/>
        <v>https://Estud2024.sawtoothsoftware.com/cgi-bin/ciwweb.pl?studyname=Estud2024&amp;ID=995</v>
      </c>
      <c r="L995" s="113">
        <v>45712</v>
      </c>
      <c r="M995" s="45" t="s">
        <v>246</v>
      </c>
    </row>
    <row r="996" spans="1:13">
      <c r="A996">
        <v>996</v>
      </c>
      <c r="B996" t="s">
        <v>138</v>
      </c>
      <c r="C996">
        <v>11</v>
      </c>
      <c r="D996" t="s">
        <v>164</v>
      </c>
      <c r="E996">
        <v>126</v>
      </c>
      <c r="F996" t="s">
        <v>8905</v>
      </c>
      <c r="G996">
        <v>1</v>
      </c>
      <c r="H996" t="s">
        <v>8906</v>
      </c>
      <c r="I996" s="45" t="s">
        <v>6754</v>
      </c>
      <c r="J996" s="122">
        <v>45708</v>
      </c>
      <c r="K996" s="110" t="str">
        <f t="shared" si="12"/>
        <v>https://Estud2024.sawtoothsoftware.com/cgi-bin/ciwweb.pl?studyname=Estud2024&amp;ID=996</v>
      </c>
      <c r="L996" s="113">
        <v>45712</v>
      </c>
      <c r="M996" s="45" t="s">
        <v>246</v>
      </c>
    </row>
    <row r="997" spans="1:13">
      <c r="A997">
        <v>997</v>
      </c>
      <c r="B997" t="s">
        <v>138</v>
      </c>
      <c r="C997">
        <v>11</v>
      </c>
      <c r="D997" t="s">
        <v>164</v>
      </c>
      <c r="E997">
        <v>126</v>
      </c>
      <c r="F997" t="s">
        <v>8907</v>
      </c>
      <c r="G997">
        <v>1</v>
      </c>
      <c r="H997" t="s">
        <v>8908</v>
      </c>
      <c r="I997" s="45" t="s">
        <v>6754</v>
      </c>
      <c r="J997" s="122">
        <v>45708</v>
      </c>
      <c r="K997" s="110" t="str">
        <f t="shared" si="12"/>
        <v>https://Estud2024.sawtoothsoftware.com/cgi-bin/ciwweb.pl?studyname=Estud2024&amp;ID=997</v>
      </c>
      <c r="L997" s="113">
        <v>45712</v>
      </c>
      <c r="M997" s="45" t="s">
        <v>247</v>
      </c>
    </row>
    <row r="998" spans="1:13">
      <c r="A998">
        <v>998</v>
      </c>
      <c r="B998" t="s">
        <v>138</v>
      </c>
      <c r="C998">
        <v>11</v>
      </c>
      <c r="D998" t="s">
        <v>164</v>
      </c>
      <c r="E998">
        <v>126</v>
      </c>
      <c r="F998" t="s">
        <v>8909</v>
      </c>
      <c r="G998">
        <v>1</v>
      </c>
      <c r="H998" t="s">
        <v>8910</v>
      </c>
      <c r="I998" s="45" t="s">
        <v>6754</v>
      </c>
      <c r="J998" s="122">
        <v>45708</v>
      </c>
      <c r="K998" s="110" t="str">
        <f t="shared" si="12"/>
        <v>https://Estud2024.sawtoothsoftware.com/cgi-bin/ciwweb.pl?studyname=Estud2024&amp;ID=998</v>
      </c>
      <c r="L998" s="113">
        <v>45712</v>
      </c>
      <c r="M998" s="45" t="s">
        <v>247</v>
      </c>
    </row>
    <row r="999" spans="1:13">
      <c r="A999">
        <v>999</v>
      </c>
      <c r="B999" t="s">
        <v>138</v>
      </c>
      <c r="C999">
        <v>11</v>
      </c>
      <c r="D999" t="s">
        <v>164</v>
      </c>
      <c r="E999">
        <v>126</v>
      </c>
      <c r="F999" t="s">
        <v>8911</v>
      </c>
      <c r="G999">
        <v>1</v>
      </c>
      <c r="H999" t="s">
        <v>8912</v>
      </c>
      <c r="I999" s="45" t="s">
        <v>6754</v>
      </c>
      <c r="J999" s="122">
        <v>45708</v>
      </c>
      <c r="K999" s="110" t="str">
        <f t="shared" si="12"/>
        <v>https://Estud2024.sawtoothsoftware.com/cgi-bin/ciwweb.pl?studyname=Estud2024&amp;ID=999</v>
      </c>
      <c r="L999" s="113">
        <v>45712</v>
      </c>
      <c r="M999" s="45" t="s">
        <v>246</v>
      </c>
    </row>
    <row r="1000" spans="1:13">
      <c r="A1000">
        <v>1000</v>
      </c>
      <c r="B1000" t="s">
        <v>138</v>
      </c>
      <c r="C1000">
        <v>11</v>
      </c>
      <c r="D1000" t="s">
        <v>164</v>
      </c>
      <c r="E1000">
        <v>126</v>
      </c>
      <c r="F1000" t="s">
        <v>8913</v>
      </c>
      <c r="G1000">
        <v>1</v>
      </c>
      <c r="H1000" t="s">
        <v>8914</v>
      </c>
      <c r="I1000" s="45" t="s">
        <v>6754</v>
      </c>
      <c r="J1000" s="122">
        <v>45708</v>
      </c>
      <c r="K1000" s="110" t="str">
        <f t="shared" si="12"/>
        <v>https://Estud2024.sawtoothsoftware.com/cgi-bin/ciwweb.pl?studyname=Estud2024&amp;ID=1000</v>
      </c>
      <c r="L1000" s="113">
        <v>45712</v>
      </c>
      <c r="M1000" s="45" t="s">
        <v>246</v>
      </c>
    </row>
    <row r="1001" spans="1:13">
      <c r="A1001">
        <v>1001</v>
      </c>
      <c r="B1001" t="s">
        <v>138</v>
      </c>
      <c r="C1001">
        <v>11</v>
      </c>
      <c r="D1001" t="s">
        <v>164</v>
      </c>
      <c r="E1001">
        <v>126</v>
      </c>
      <c r="F1001" t="s">
        <v>8915</v>
      </c>
      <c r="G1001">
        <v>1</v>
      </c>
      <c r="H1001" t="s">
        <v>8916</v>
      </c>
      <c r="I1001" s="45" t="s">
        <v>6754</v>
      </c>
      <c r="J1001" s="122">
        <v>45708</v>
      </c>
      <c r="K1001" s="110" t="str">
        <f t="shared" si="12"/>
        <v>https://Estud2024.sawtoothsoftware.com/cgi-bin/ciwweb.pl?studyname=Estud2024&amp;ID=1001</v>
      </c>
      <c r="L1001" s="113">
        <v>45712</v>
      </c>
      <c r="M1001" s="45" t="s">
        <v>247</v>
      </c>
    </row>
    <row r="1002" spans="1:13">
      <c r="A1002">
        <v>1002</v>
      </c>
      <c r="B1002" t="s">
        <v>138</v>
      </c>
      <c r="C1002">
        <v>11</v>
      </c>
      <c r="D1002" t="s">
        <v>164</v>
      </c>
      <c r="E1002">
        <v>126</v>
      </c>
      <c r="F1002" t="s">
        <v>8917</v>
      </c>
      <c r="G1002">
        <v>1</v>
      </c>
      <c r="H1002" t="s">
        <v>8918</v>
      </c>
      <c r="I1002" s="45" t="s">
        <v>6754</v>
      </c>
      <c r="J1002" s="122">
        <v>45708</v>
      </c>
      <c r="K1002" s="110" t="str">
        <f t="shared" si="12"/>
        <v>https://Estud2024.sawtoothsoftware.com/cgi-bin/ciwweb.pl?studyname=Estud2024&amp;ID=1002</v>
      </c>
      <c r="L1002" s="113">
        <v>45712</v>
      </c>
      <c r="M1002" s="45" t="s">
        <v>247</v>
      </c>
    </row>
    <row r="1003" spans="1:13">
      <c r="A1003">
        <v>1003</v>
      </c>
      <c r="B1003" t="s">
        <v>138</v>
      </c>
      <c r="C1003">
        <v>11</v>
      </c>
      <c r="D1003" t="s">
        <v>164</v>
      </c>
      <c r="E1003">
        <v>126</v>
      </c>
      <c r="F1003" t="s">
        <v>8919</v>
      </c>
      <c r="G1003">
        <v>1</v>
      </c>
      <c r="H1003" t="s">
        <v>8920</v>
      </c>
      <c r="I1003" s="45" t="s">
        <v>6754</v>
      </c>
      <c r="J1003" s="122">
        <v>45708</v>
      </c>
      <c r="K1003" s="110" t="str">
        <f t="shared" si="12"/>
        <v>https://Estud2024.sawtoothsoftware.com/cgi-bin/ciwweb.pl?studyname=Estud2024&amp;ID=1003</v>
      </c>
      <c r="L1003" s="113">
        <v>45712</v>
      </c>
      <c r="M1003" s="45" t="s">
        <v>246</v>
      </c>
    </row>
    <row r="1004" spans="1:13">
      <c r="A1004">
        <v>1004</v>
      </c>
      <c r="B1004" t="s">
        <v>138</v>
      </c>
      <c r="C1004">
        <v>11</v>
      </c>
      <c r="D1004" t="s">
        <v>164</v>
      </c>
      <c r="E1004">
        <v>126</v>
      </c>
      <c r="F1004" t="s">
        <v>8921</v>
      </c>
      <c r="G1004">
        <v>1</v>
      </c>
      <c r="H1004" t="s">
        <v>8922</v>
      </c>
      <c r="I1004" s="45" t="s">
        <v>6754</v>
      </c>
      <c r="J1004" s="122">
        <v>45708</v>
      </c>
      <c r="K1004" s="110" t="str">
        <f t="shared" si="12"/>
        <v>https://Estud2024.sawtoothsoftware.com/cgi-bin/ciwweb.pl?studyname=Estud2024&amp;ID=1004</v>
      </c>
      <c r="L1004" s="113">
        <v>45712</v>
      </c>
      <c r="M1004" s="45" t="s">
        <v>246</v>
      </c>
    </row>
    <row r="1005" spans="1:13">
      <c r="A1005">
        <v>1005</v>
      </c>
      <c r="B1005" t="s">
        <v>138</v>
      </c>
      <c r="C1005">
        <v>11</v>
      </c>
      <c r="D1005" t="s">
        <v>164</v>
      </c>
      <c r="E1005">
        <v>126</v>
      </c>
      <c r="F1005" t="s">
        <v>8923</v>
      </c>
      <c r="G1005">
        <v>1</v>
      </c>
      <c r="H1005" t="s">
        <v>8924</v>
      </c>
      <c r="I1005" s="45" t="s">
        <v>6754</v>
      </c>
      <c r="J1005" s="122">
        <v>45708</v>
      </c>
      <c r="K1005" s="110" t="str">
        <f t="shared" si="12"/>
        <v>https://Estud2024.sawtoothsoftware.com/cgi-bin/ciwweb.pl?studyname=Estud2024&amp;ID=1005</v>
      </c>
      <c r="L1005" s="113">
        <v>45712</v>
      </c>
      <c r="M1005" s="45" t="s">
        <v>246</v>
      </c>
    </row>
    <row r="1006" spans="1:13">
      <c r="A1006">
        <v>1006</v>
      </c>
      <c r="B1006" t="s">
        <v>138</v>
      </c>
      <c r="C1006">
        <v>11</v>
      </c>
      <c r="D1006" t="s">
        <v>164</v>
      </c>
      <c r="E1006">
        <v>126</v>
      </c>
      <c r="F1006" t="s">
        <v>8925</v>
      </c>
      <c r="G1006">
        <v>1</v>
      </c>
      <c r="H1006" t="s">
        <v>8926</v>
      </c>
      <c r="I1006" s="45" t="s">
        <v>6754</v>
      </c>
      <c r="J1006" s="122">
        <v>45708</v>
      </c>
      <c r="K1006" s="110" t="str">
        <f t="shared" si="12"/>
        <v>https://Estud2024.sawtoothsoftware.com/cgi-bin/ciwweb.pl?studyname=Estud2024&amp;ID=1006</v>
      </c>
      <c r="L1006" s="113">
        <v>45712</v>
      </c>
      <c r="M1006" s="45" t="s">
        <v>246</v>
      </c>
    </row>
    <row r="1007" spans="1:13">
      <c r="A1007">
        <v>1007</v>
      </c>
      <c r="B1007" t="s">
        <v>138</v>
      </c>
      <c r="C1007">
        <v>11</v>
      </c>
      <c r="D1007" t="s">
        <v>164</v>
      </c>
      <c r="E1007">
        <v>126</v>
      </c>
      <c r="F1007" t="s">
        <v>8927</v>
      </c>
      <c r="G1007">
        <v>1</v>
      </c>
      <c r="H1007" t="s">
        <v>8928</v>
      </c>
      <c r="I1007" s="45" t="s">
        <v>6754</v>
      </c>
      <c r="J1007" s="122">
        <v>45708</v>
      </c>
      <c r="K1007" s="110" t="str">
        <f t="shared" si="12"/>
        <v>https://Estud2024.sawtoothsoftware.com/cgi-bin/ciwweb.pl?studyname=Estud2024&amp;ID=1007</v>
      </c>
      <c r="L1007" s="113">
        <v>45712</v>
      </c>
      <c r="M1007" s="45" t="s">
        <v>247</v>
      </c>
    </row>
    <row r="1008" spans="1:13">
      <c r="A1008">
        <v>1008</v>
      </c>
      <c r="B1008" t="s">
        <v>138</v>
      </c>
      <c r="C1008">
        <v>11</v>
      </c>
      <c r="D1008" t="s">
        <v>164</v>
      </c>
      <c r="E1008">
        <v>126</v>
      </c>
      <c r="F1008" t="s">
        <v>8929</v>
      </c>
      <c r="G1008">
        <v>1</v>
      </c>
      <c r="H1008" t="s">
        <v>8930</v>
      </c>
      <c r="I1008" s="45" t="s">
        <v>6754</v>
      </c>
      <c r="J1008" s="122">
        <v>45708</v>
      </c>
      <c r="K1008" s="110" t="str">
        <f t="shared" si="12"/>
        <v>https://Estud2024.sawtoothsoftware.com/cgi-bin/ciwweb.pl?studyname=Estud2024&amp;ID=1008</v>
      </c>
      <c r="L1008" s="113">
        <v>45712</v>
      </c>
      <c r="M1008" s="45" t="s">
        <v>246</v>
      </c>
    </row>
    <row r="1009" spans="1:13">
      <c r="A1009">
        <v>1009</v>
      </c>
      <c r="B1009" t="s">
        <v>138</v>
      </c>
      <c r="C1009">
        <v>11</v>
      </c>
      <c r="D1009" t="s">
        <v>164</v>
      </c>
      <c r="E1009">
        <v>126</v>
      </c>
      <c r="F1009" t="s">
        <v>8931</v>
      </c>
      <c r="G1009">
        <v>2</v>
      </c>
      <c r="H1009" t="s">
        <v>8932</v>
      </c>
      <c r="I1009" s="45" t="s">
        <v>6754</v>
      </c>
      <c r="J1009" s="122">
        <v>45708</v>
      </c>
      <c r="K1009" s="110" t="str">
        <f t="shared" si="12"/>
        <v>https://Estud2024.sawtoothsoftware.com/cgi-bin/ciwweb.pl?studyname=Estud2024&amp;ID=1009</v>
      </c>
      <c r="L1009" s="113">
        <v>45712</v>
      </c>
      <c r="M1009" s="45" t="s">
        <v>246</v>
      </c>
    </row>
    <row r="1010" spans="1:13">
      <c r="A1010">
        <v>1010</v>
      </c>
      <c r="B1010" t="s">
        <v>138</v>
      </c>
      <c r="C1010">
        <v>11</v>
      </c>
      <c r="D1010" t="s">
        <v>164</v>
      </c>
      <c r="E1010">
        <v>126</v>
      </c>
      <c r="F1010" t="s">
        <v>8933</v>
      </c>
      <c r="G1010">
        <v>2</v>
      </c>
      <c r="H1010" t="s">
        <v>8934</v>
      </c>
      <c r="I1010" s="45" t="s">
        <v>6754</v>
      </c>
      <c r="J1010" s="122">
        <v>45708</v>
      </c>
      <c r="K1010" s="110" t="str">
        <f t="shared" si="12"/>
        <v>https://Estud2024.sawtoothsoftware.com/cgi-bin/ciwweb.pl?studyname=Estud2024&amp;ID=1010</v>
      </c>
      <c r="L1010" s="113">
        <v>45712</v>
      </c>
      <c r="M1010" s="45" t="s">
        <v>246</v>
      </c>
    </row>
    <row r="1011" spans="1:13">
      <c r="A1011">
        <v>1011</v>
      </c>
      <c r="B1011" t="s">
        <v>138</v>
      </c>
      <c r="C1011">
        <v>11</v>
      </c>
      <c r="D1011" t="s">
        <v>164</v>
      </c>
      <c r="E1011">
        <v>126</v>
      </c>
      <c r="F1011" t="s">
        <v>8935</v>
      </c>
      <c r="G1011">
        <v>2</v>
      </c>
      <c r="H1011" t="s">
        <v>8936</v>
      </c>
      <c r="I1011" s="45" t="s">
        <v>6754</v>
      </c>
      <c r="J1011" s="122">
        <v>45708</v>
      </c>
      <c r="K1011" s="110" t="str">
        <f t="shared" si="12"/>
        <v>https://Estud2024.sawtoothsoftware.com/cgi-bin/ciwweb.pl?studyname=Estud2024&amp;ID=1011</v>
      </c>
      <c r="L1011" s="113">
        <v>45712</v>
      </c>
      <c r="M1011" s="45" t="s">
        <v>247</v>
      </c>
    </row>
    <row r="1012" spans="1:13">
      <c r="A1012">
        <v>1012</v>
      </c>
      <c r="B1012" t="s">
        <v>138</v>
      </c>
      <c r="C1012">
        <v>11</v>
      </c>
      <c r="D1012" t="s">
        <v>164</v>
      </c>
      <c r="E1012">
        <v>126</v>
      </c>
      <c r="F1012" t="s">
        <v>8937</v>
      </c>
      <c r="G1012">
        <v>2</v>
      </c>
      <c r="H1012" t="s">
        <v>8938</v>
      </c>
      <c r="I1012" s="45" t="s">
        <v>6754</v>
      </c>
      <c r="J1012" s="122">
        <v>45708</v>
      </c>
      <c r="K1012" s="110" t="str">
        <f t="shared" si="12"/>
        <v>https://Estud2024.sawtoothsoftware.com/cgi-bin/ciwweb.pl?studyname=Estud2024&amp;ID=1012</v>
      </c>
      <c r="L1012" s="113">
        <v>45712</v>
      </c>
      <c r="M1012" s="45" t="s">
        <v>246</v>
      </c>
    </row>
    <row r="1013" spans="1:13">
      <c r="A1013">
        <v>1013</v>
      </c>
      <c r="B1013" t="s">
        <v>138</v>
      </c>
      <c r="C1013">
        <v>11</v>
      </c>
      <c r="D1013" t="s">
        <v>164</v>
      </c>
      <c r="E1013">
        <v>126</v>
      </c>
      <c r="F1013" t="s">
        <v>8939</v>
      </c>
      <c r="G1013">
        <v>2</v>
      </c>
      <c r="H1013" t="s">
        <v>8940</v>
      </c>
      <c r="I1013" s="45" t="s">
        <v>6754</v>
      </c>
      <c r="J1013" s="122">
        <v>45708</v>
      </c>
      <c r="K1013" s="110" t="str">
        <f t="shared" si="12"/>
        <v>https://Estud2024.sawtoothsoftware.com/cgi-bin/ciwweb.pl?studyname=Estud2024&amp;ID=1013</v>
      </c>
      <c r="L1013" s="113">
        <v>45712</v>
      </c>
      <c r="M1013" s="45" t="s">
        <v>247</v>
      </c>
    </row>
    <row r="1014" spans="1:13">
      <c r="A1014">
        <v>1014</v>
      </c>
      <c r="B1014" t="s">
        <v>138</v>
      </c>
      <c r="C1014">
        <v>11</v>
      </c>
      <c r="D1014" t="s">
        <v>164</v>
      </c>
      <c r="E1014">
        <v>126</v>
      </c>
      <c r="F1014" t="s">
        <v>8941</v>
      </c>
      <c r="G1014">
        <v>2</v>
      </c>
      <c r="H1014" t="s">
        <v>8942</v>
      </c>
      <c r="I1014" s="45" t="s">
        <v>6754</v>
      </c>
      <c r="J1014" s="122">
        <v>45708</v>
      </c>
      <c r="K1014" s="110" t="str">
        <f t="shared" si="12"/>
        <v>https://Estud2024.sawtoothsoftware.com/cgi-bin/ciwweb.pl?studyname=Estud2024&amp;ID=1014</v>
      </c>
      <c r="L1014" s="113">
        <v>45712</v>
      </c>
      <c r="M1014" s="45" t="s">
        <v>247</v>
      </c>
    </row>
    <row r="1015" spans="1:13">
      <c r="A1015">
        <v>1015</v>
      </c>
      <c r="B1015" t="s">
        <v>138</v>
      </c>
      <c r="C1015">
        <v>11</v>
      </c>
      <c r="D1015" t="s">
        <v>164</v>
      </c>
      <c r="E1015">
        <v>126</v>
      </c>
      <c r="F1015" t="s">
        <v>8943</v>
      </c>
      <c r="G1015">
        <v>2</v>
      </c>
      <c r="H1015" t="s">
        <v>8944</v>
      </c>
      <c r="I1015" s="45" t="s">
        <v>6754</v>
      </c>
      <c r="J1015" s="122">
        <v>45708</v>
      </c>
      <c r="K1015" s="110" t="str">
        <f t="shared" si="12"/>
        <v>https://Estud2024.sawtoothsoftware.com/cgi-bin/ciwweb.pl?studyname=Estud2024&amp;ID=1015</v>
      </c>
      <c r="L1015" s="113">
        <v>45712</v>
      </c>
      <c r="M1015" s="45" t="s">
        <v>246</v>
      </c>
    </row>
    <row r="1016" spans="1:13">
      <c r="A1016">
        <v>1016</v>
      </c>
      <c r="B1016" t="s">
        <v>138</v>
      </c>
      <c r="C1016">
        <v>11</v>
      </c>
      <c r="D1016" t="s">
        <v>164</v>
      </c>
      <c r="E1016">
        <v>126</v>
      </c>
      <c r="F1016" t="s">
        <v>8945</v>
      </c>
      <c r="G1016">
        <v>2</v>
      </c>
      <c r="H1016" t="s">
        <v>8946</v>
      </c>
      <c r="I1016" s="45" t="s">
        <v>6754</v>
      </c>
      <c r="J1016" s="122">
        <v>45708</v>
      </c>
      <c r="K1016" s="110" t="str">
        <f t="shared" si="12"/>
        <v>https://Estud2024.sawtoothsoftware.com/cgi-bin/ciwweb.pl?studyname=Estud2024&amp;ID=1016</v>
      </c>
      <c r="L1016" s="113">
        <v>45712</v>
      </c>
      <c r="M1016" s="45" t="s">
        <v>246</v>
      </c>
    </row>
    <row r="1017" spans="1:13">
      <c r="A1017">
        <v>1017</v>
      </c>
      <c r="B1017" t="s">
        <v>138</v>
      </c>
      <c r="C1017">
        <v>11</v>
      </c>
      <c r="D1017" t="s">
        <v>164</v>
      </c>
      <c r="E1017">
        <v>126</v>
      </c>
      <c r="F1017" t="s">
        <v>8947</v>
      </c>
      <c r="G1017">
        <v>2</v>
      </c>
      <c r="H1017" t="s">
        <v>8948</v>
      </c>
      <c r="I1017" s="45" t="s">
        <v>6754</v>
      </c>
      <c r="J1017" s="122">
        <v>45708</v>
      </c>
      <c r="K1017" s="110" t="str">
        <f t="shared" si="12"/>
        <v>https://Estud2024.sawtoothsoftware.com/cgi-bin/ciwweb.pl?studyname=Estud2024&amp;ID=1017</v>
      </c>
      <c r="L1017" s="113">
        <v>45712</v>
      </c>
      <c r="M1017" s="45" t="s">
        <v>247</v>
      </c>
    </row>
    <row r="1018" spans="1:13">
      <c r="A1018">
        <v>1018</v>
      </c>
      <c r="B1018" t="s">
        <v>138</v>
      </c>
      <c r="C1018">
        <v>11</v>
      </c>
      <c r="D1018" t="s">
        <v>164</v>
      </c>
      <c r="E1018">
        <v>126</v>
      </c>
      <c r="F1018" t="s">
        <v>8949</v>
      </c>
      <c r="G1018">
        <v>2</v>
      </c>
      <c r="H1018" t="s">
        <v>8950</v>
      </c>
      <c r="I1018" s="45" t="s">
        <v>6754</v>
      </c>
      <c r="J1018" s="122">
        <v>45708</v>
      </c>
      <c r="K1018" s="110" t="str">
        <f t="shared" si="12"/>
        <v>https://Estud2024.sawtoothsoftware.com/cgi-bin/ciwweb.pl?studyname=Estud2024&amp;ID=1018</v>
      </c>
      <c r="L1018" s="113">
        <v>45712</v>
      </c>
      <c r="M1018" s="45" t="s">
        <v>246</v>
      </c>
    </row>
    <row r="1019" spans="1:13">
      <c r="A1019">
        <v>1019</v>
      </c>
      <c r="B1019" t="s">
        <v>138</v>
      </c>
      <c r="C1019">
        <v>11</v>
      </c>
      <c r="D1019" t="s">
        <v>164</v>
      </c>
      <c r="E1019">
        <v>126</v>
      </c>
      <c r="F1019" t="s">
        <v>8951</v>
      </c>
      <c r="G1019">
        <v>2</v>
      </c>
      <c r="H1019" t="s">
        <v>8952</v>
      </c>
      <c r="I1019" s="45" t="s">
        <v>6754</v>
      </c>
      <c r="J1019" s="122">
        <v>45708</v>
      </c>
      <c r="K1019" s="110" t="str">
        <f t="shared" si="12"/>
        <v>https://Estud2024.sawtoothsoftware.com/cgi-bin/ciwweb.pl?studyname=Estud2024&amp;ID=1019</v>
      </c>
      <c r="L1019" s="113">
        <v>45712</v>
      </c>
      <c r="M1019" s="45" t="s">
        <v>247</v>
      </c>
    </row>
    <row r="1020" spans="1:13">
      <c r="A1020">
        <v>1020</v>
      </c>
      <c r="B1020" t="s">
        <v>138</v>
      </c>
      <c r="C1020">
        <v>11</v>
      </c>
      <c r="D1020" t="s">
        <v>164</v>
      </c>
      <c r="E1020">
        <v>126</v>
      </c>
      <c r="F1020" t="s">
        <v>8953</v>
      </c>
      <c r="G1020">
        <v>2</v>
      </c>
      <c r="H1020" t="s">
        <v>8954</v>
      </c>
      <c r="I1020" s="45" t="s">
        <v>6754</v>
      </c>
      <c r="J1020" s="122">
        <v>45708</v>
      </c>
      <c r="K1020" s="110" t="str">
        <f t="shared" si="12"/>
        <v>https://Estud2024.sawtoothsoftware.com/cgi-bin/ciwweb.pl?studyname=Estud2024&amp;ID=1020</v>
      </c>
      <c r="L1020" s="113">
        <v>45712</v>
      </c>
      <c r="M1020" s="45" t="s">
        <v>247</v>
      </c>
    </row>
    <row r="1021" spans="1:13">
      <c r="A1021">
        <v>1021</v>
      </c>
      <c r="B1021" t="s">
        <v>138</v>
      </c>
      <c r="C1021">
        <v>11</v>
      </c>
      <c r="D1021" t="s">
        <v>164</v>
      </c>
      <c r="E1021">
        <v>126</v>
      </c>
      <c r="F1021" t="s">
        <v>8955</v>
      </c>
      <c r="G1021">
        <v>2</v>
      </c>
      <c r="H1021" t="s">
        <v>8956</v>
      </c>
      <c r="I1021" s="45" t="s">
        <v>6754</v>
      </c>
      <c r="J1021" s="122">
        <v>45708</v>
      </c>
      <c r="K1021" s="110" t="str">
        <f t="shared" si="12"/>
        <v>https://Estud2024.sawtoothsoftware.com/cgi-bin/ciwweb.pl?studyname=Estud2024&amp;ID=1021</v>
      </c>
      <c r="L1021" s="113">
        <v>45712</v>
      </c>
      <c r="M1021" s="45" t="s">
        <v>247</v>
      </c>
    </row>
    <row r="1022" spans="1:13">
      <c r="A1022">
        <v>1022</v>
      </c>
      <c r="B1022" t="s">
        <v>138</v>
      </c>
      <c r="C1022">
        <v>11</v>
      </c>
      <c r="D1022" t="s">
        <v>164</v>
      </c>
      <c r="E1022">
        <v>126</v>
      </c>
      <c r="F1022" t="s">
        <v>8957</v>
      </c>
      <c r="G1022">
        <v>2</v>
      </c>
      <c r="H1022" t="s">
        <v>8958</v>
      </c>
      <c r="I1022" s="45" t="s">
        <v>6754</v>
      </c>
      <c r="J1022" s="122">
        <v>45708</v>
      </c>
      <c r="K1022" s="110" t="str">
        <f t="shared" si="12"/>
        <v>https://Estud2024.sawtoothsoftware.com/cgi-bin/ciwweb.pl?studyname=Estud2024&amp;ID=1022</v>
      </c>
      <c r="L1022" s="113">
        <v>45712</v>
      </c>
      <c r="M1022" s="45" t="s">
        <v>247</v>
      </c>
    </row>
    <row r="1023" spans="1:13">
      <c r="A1023">
        <v>1023</v>
      </c>
      <c r="B1023" t="s">
        <v>138</v>
      </c>
      <c r="C1023">
        <v>11</v>
      </c>
      <c r="D1023" t="s">
        <v>164</v>
      </c>
      <c r="E1023">
        <v>126</v>
      </c>
      <c r="F1023" t="s">
        <v>8959</v>
      </c>
      <c r="G1023">
        <v>2</v>
      </c>
      <c r="H1023" t="s">
        <v>8960</v>
      </c>
      <c r="I1023" s="45" t="s">
        <v>6754</v>
      </c>
      <c r="J1023" s="122">
        <v>45708</v>
      </c>
      <c r="K1023" s="110" t="str">
        <f t="shared" si="12"/>
        <v>https://Estud2024.sawtoothsoftware.com/cgi-bin/ciwweb.pl?studyname=Estud2024&amp;ID=1023</v>
      </c>
      <c r="L1023" s="113">
        <v>45712</v>
      </c>
      <c r="M1023" s="45" t="s">
        <v>246</v>
      </c>
    </row>
    <row r="1024" spans="1:13">
      <c r="A1024">
        <v>1024</v>
      </c>
      <c r="B1024" t="s">
        <v>138</v>
      </c>
      <c r="C1024">
        <v>11</v>
      </c>
      <c r="D1024" t="s">
        <v>164</v>
      </c>
      <c r="E1024">
        <v>126</v>
      </c>
      <c r="F1024" t="s">
        <v>8961</v>
      </c>
      <c r="G1024">
        <v>2</v>
      </c>
      <c r="H1024" t="s">
        <v>8962</v>
      </c>
      <c r="I1024" s="45" t="s">
        <v>6754</v>
      </c>
      <c r="J1024" s="122">
        <v>45708</v>
      </c>
      <c r="K1024" s="110" t="str">
        <f t="shared" si="12"/>
        <v>https://Estud2024.sawtoothsoftware.com/cgi-bin/ciwweb.pl?studyname=Estud2024&amp;ID=1024</v>
      </c>
      <c r="L1024" s="113">
        <v>45712</v>
      </c>
      <c r="M1024" s="45" t="s">
        <v>247</v>
      </c>
    </row>
    <row r="1025" spans="1:13">
      <c r="A1025">
        <v>1025</v>
      </c>
      <c r="B1025" t="s">
        <v>138</v>
      </c>
      <c r="C1025">
        <v>11</v>
      </c>
      <c r="D1025" t="s">
        <v>164</v>
      </c>
      <c r="E1025">
        <v>126</v>
      </c>
      <c r="F1025" t="s">
        <v>8963</v>
      </c>
      <c r="G1025">
        <v>2</v>
      </c>
      <c r="H1025" t="s">
        <v>8964</v>
      </c>
      <c r="I1025" s="45" t="s">
        <v>6754</v>
      </c>
      <c r="J1025" s="122">
        <v>45708</v>
      </c>
      <c r="K1025" s="110" t="str">
        <f t="shared" si="12"/>
        <v>https://Estud2024.sawtoothsoftware.com/cgi-bin/ciwweb.pl?studyname=Estud2024&amp;ID=1025</v>
      </c>
      <c r="L1025" s="113">
        <v>45712</v>
      </c>
      <c r="M1025" s="45" t="s">
        <v>247</v>
      </c>
    </row>
    <row r="1026" spans="1:13">
      <c r="A1026">
        <v>1026</v>
      </c>
      <c r="B1026" t="s">
        <v>138</v>
      </c>
      <c r="C1026">
        <v>11</v>
      </c>
      <c r="D1026" t="s">
        <v>164</v>
      </c>
      <c r="E1026">
        <v>126</v>
      </c>
      <c r="F1026" t="s">
        <v>8965</v>
      </c>
      <c r="G1026">
        <v>2</v>
      </c>
      <c r="H1026" t="s">
        <v>8966</v>
      </c>
      <c r="I1026" s="45" t="s">
        <v>6754</v>
      </c>
      <c r="J1026" s="122">
        <v>45708</v>
      </c>
      <c r="K1026" s="110" t="str">
        <f t="shared" si="12"/>
        <v>https://Estud2024.sawtoothsoftware.com/cgi-bin/ciwweb.pl?studyname=Estud2024&amp;ID=1026</v>
      </c>
      <c r="L1026" s="113">
        <v>45712</v>
      </c>
      <c r="M1026" s="45" t="s">
        <v>247</v>
      </c>
    </row>
    <row r="1027" spans="1:13">
      <c r="A1027">
        <v>1027</v>
      </c>
      <c r="B1027" t="s">
        <v>138</v>
      </c>
      <c r="C1027">
        <v>11</v>
      </c>
      <c r="D1027" t="s">
        <v>164</v>
      </c>
      <c r="E1027">
        <v>126</v>
      </c>
      <c r="F1027" t="s">
        <v>8967</v>
      </c>
      <c r="G1027">
        <v>2</v>
      </c>
      <c r="H1027" t="s">
        <v>8968</v>
      </c>
      <c r="I1027" s="45" t="s">
        <v>6754</v>
      </c>
      <c r="J1027" s="122">
        <v>45708</v>
      </c>
      <c r="K1027" s="110" t="str">
        <f t="shared" si="12"/>
        <v>https://Estud2024.sawtoothsoftware.com/cgi-bin/ciwweb.pl?studyname=Estud2024&amp;ID=1027</v>
      </c>
      <c r="L1027" s="113">
        <v>45712</v>
      </c>
      <c r="M1027" s="45" t="s">
        <v>246</v>
      </c>
    </row>
    <row r="1028" spans="1:13">
      <c r="A1028">
        <v>1028</v>
      </c>
      <c r="B1028" t="s">
        <v>138</v>
      </c>
      <c r="C1028">
        <v>11</v>
      </c>
      <c r="D1028" t="s">
        <v>164</v>
      </c>
      <c r="E1028">
        <v>126</v>
      </c>
      <c r="F1028" t="s">
        <v>8969</v>
      </c>
      <c r="G1028">
        <v>2</v>
      </c>
      <c r="H1028" t="s">
        <v>8970</v>
      </c>
      <c r="I1028" s="45" t="s">
        <v>6754</v>
      </c>
      <c r="J1028" s="122">
        <v>45708</v>
      </c>
      <c r="K1028" s="110" t="str">
        <f t="shared" si="12"/>
        <v>https://Estud2024.sawtoothsoftware.com/cgi-bin/ciwweb.pl?studyname=Estud2024&amp;ID=1028</v>
      </c>
      <c r="L1028" s="113">
        <v>45712</v>
      </c>
      <c r="M1028" s="45" t="s">
        <v>247</v>
      </c>
    </row>
    <row r="1029" spans="1:13">
      <c r="A1029">
        <v>1029</v>
      </c>
      <c r="B1029" t="s">
        <v>138</v>
      </c>
      <c r="C1029">
        <v>11</v>
      </c>
      <c r="D1029" t="s">
        <v>164</v>
      </c>
      <c r="E1029">
        <v>126</v>
      </c>
      <c r="F1029" t="s">
        <v>8971</v>
      </c>
      <c r="G1029">
        <v>2</v>
      </c>
      <c r="H1029" t="s">
        <v>8972</v>
      </c>
      <c r="I1029" s="45" t="s">
        <v>6754</v>
      </c>
      <c r="J1029" s="122">
        <v>45708</v>
      </c>
      <c r="K1029" s="110" t="str">
        <f t="shared" si="12"/>
        <v>https://Estud2024.sawtoothsoftware.com/cgi-bin/ciwweb.pl?studyname=Estud2024&amp;ID=1029</v>
      </c>
      <c r="L1029" s="113">
        <v>45712</v>
      </c>
      <c r="M1029" s="45" t="s">
        <v>247</v>
      </c>
    </row>
    <row r="1030" spans="1:13">
      <c r="A1030">
        <v>1030</v>
      </c>
      <c r="B1030" t="s">
        <v>138</v>
      </c>
      <c r="C1030">
        <v>11</v>
      </c>
      <c r="D1030" t="s">
        <v>164</v>
      </c>
      <c r="E1030">
        <v>126</v>
      </c>
      <c r="F1030" t="s">
        <v>8973</v>
      </c>
      <c r="G1030">
        <v>2</v>
      </c>
      <c r="H1030" t="s">
        <v>8974</v>
      </c>
      <c r="I1030" s="45" t="s">
        <v>6754</v>
      </c>
      <c r="J1030" s="122">
        <v>45708</v>
      </c>
      <c r="K1030" s="110" t="str">
        <f t="shared" si="12"/>
        <v>https://Estud2024.sawtoothsoftware.com/cgi-bin/ciwweb.pl?studyname=Estud2024&amp;ID=1030</v>
      </c>
      <c r="L1030" s="113">
        <v>45712</v>
      </c>
      <c r="M1030" s="45" t="s">
        <v>246</v>
      </c>
    </row>
    <row r="1031" spans="1:13">
      <c r="A1031">
        <v>1031</v>
      </c>
      <c r="B1031" t="s">
        <v>138</v>
      </c>
      <c r="C1031">
        <v>11</v>
      </c>
      <c r="D1031" t="s">
        <v>164</v>
      </c>
      <c r="E1031">
        <v>126</v>
      </c>
      <c r="F1031" t="s">
        <v>8975</v>
      </c>
      <c r="G1031">
        <v>2</v>
      </c>
      <c r="H1031" t="s">
        <v>8976</v>
      </c>
      <c r="I1031" s="45" t="s">
        <v>6754</v>
      </c>
      <c r="J1031" s="122">
        <v>45708</v>
      </c>
      <c r="K1031" s="110" t="str">
        <f t="shared" si="12"/>
        <v>https://Estud2024.sawtoothsoftware.com/cgi-bin/ciwweb.pl?studyname=Estud2024&amp;ID=1031</v>
      </c>
      <c r="L1031" s="113">
        <v>45712</v>
      </c>
      <c r="M1031" s="45" t="s">
        <v>246</v>
      </c>
    </row>
    <row r="1032" spans="1:13">
      <c r="A1032">
        <v>1032</v>
      </c>
      <c r="B1032" t="s">
        <v>138</v>
      </c>
      <c r="C1032">
        <v>11</v>
      </c>
      <c r="D1032" t="s">
        <v>164</v>
      </c>
      <c r="E1032">
        <v>126</v>
      </c>
      <c r="F1032" t="s">
        <v>8977</v>
      </c>
      <c r="G1032">
        <v>2</v>
      </c>
      <c r="H1032" t="s">
        <v>8978</v>
      </c>
      <c r="I1032" s="45" t="s">
        <v>6754</v>
      </c>
      <c r="J1032" s="122">
        <v>45708</v>
      </c>
      <c r="K1032" s="110" t="str">
        <f t="shared" si="12"/>
        <v>https://Estud2024.sawtoothsoftware.com/cgi-bin/ciwweb.pl?studyname=Estud2024&amp;ID=1032</v>
      </c>
      <c r="L1032" s="113">
        <v>45712</v>
      </c>
      <c r="M1032" s="45" t="s">
        <v>247</v>
      </c>
    </row>
    <row r="1033" spans="1:13">
      <c r="A1033">
        <v>1033</v>
      </c>
      <c r="B1033" t="s">
        <v>138</v>
      </c>
      <c r="C1033">
        <v>11</v>
      </c>
      <c r="D1033" t="s">
        <v>164</v>
      </c>
      <c r="E1033">
        <v>126</v>
      </c>
      <c r="F1033" t="s">
        <v>8979</v>
      </c>
      <c r="G1033">
        <v>2</v>
      </c>
      <c r="H1033" t="s">
        <v>8980</v>
      </c>
      <c r="I1033" s="45" t="s">
        <v>6754</v>
      </c>
      <c r="J1033" s="122">
        <v>45708</v>
      </c>
      <c r="K1033" s="110" t="str">
        <f t="shared" si="12"/>
        <v>https://Estud2024.sawtoothsoftware.com/cgi-bin/ciwweb.pl?studyname=Estud2024&amp;ID=1033</v>
      </c>
      <c r="L1033" s="113">
        <v>45712</v>
      </c>
      <c r="M1033" s="45" t="s">
        <v>246</v>
      </c>
    </row>
    <row r="1034" spans="1:13">
      <c r="A1034">
        <v>1034</v>
      </c>
      <c r="B1034" t="s">
        <v>89</v>
      </c>
      <c r="C1034">
        <v>8</v>
      </c>
      <c r="D1034" t="s">
        <v>200</v>
      </c>
      <c r="E1034">
        <v>46</v>
      </c>
      <c r="F1034" t="s">
        <v>8981</v>
      </c>
      <c r="G1034">
        <v>4</v>
      </c>
      <c r="H1034" t="s">
        <v>8982</v>
      </c>
      <c r="I1034" s="45" t="s">
        <v>6754</v>
      </c>
      <c r="J1034" s="122">
        <v>45708</v>
      </c>
      <c r="K1034" s="110" t="str">
        <f t="shared" si="12"/>
        <v>https://Estud2024.sawtoothsoftware.com/cgi-bin/ciwweb.pl?studyname=Estud2024&amp;ID=1034</v>
      </c>
      <c r="L1034" s="113">
        <v>45712</v>
      </c>
      <c r="M1034" s="45" t="s">
        <v>246</v>
      </c>
    </row>
    <row r="1035" spans="1:13">
      <c r="A1035">
        <v>1035</v>
      </c>
      <c r="B1035" t="s">
        <v>89</v>
      </c>
      <c r="C1035">
        <v>8</v>
      </c>
      <c r="D1035" t="s">
        <v>200</v>
      </c>
      <c r="E1035">
        <v>46</v>
      </c>
      <c r="F1035" t="s">
        <v>8983</v>
      </c>
      <c r="G1035">
        <v>4</v>
      </c>
      <c r="H1035" t="s">
        <v>8984</v>
      </c>
      <c r="I1035" s="45" t="s">
        <v>6754</v>
      </c>
      <c r="J1035" s="122">
        <v>45708</v>
      </c>
      <c r="K1035" s="110" t="str">
        <f t="shared" si="12"/>
        <v>https://Estud2024.sawtoothsoftware.com/cgi-bin/ciwweb.pl?studyname=Estud2024&amp;ID=1035</v>
      </c>
      <c r="L1035" s="113">
        <v>45712</v>
      </c>
      <c r="M1035" s="45" t="s">
        <v>246</v>
      </c>
    </row>
    <row r="1036" spans="1:13">
      <c r="A1036">
        <v>1036</v>
      </c>
      <c r="B1036" t="s">
        <v>89</v>
      </c>
      <c r="C1036">
        <v>8</v>
      </c>
      <c r="D1036" t="s">
        <v>200</v>
      </c>
      <c r="E1036">
        <v>46</v>
      </c>
      <c r="F1036" t="s">
        <v>8985</v>
      </c>
      <c r="G1036">
        <v>4</v>
      </c>
      <c r="H1036" t="s">
        <v>8986</v>
      </c>
      <c r="I1036" s="45" t="s">
        <v>6754</v>
      </c>
      <c r="J1036" s="122">
        <v>45708</v>
      </c>
      <c r="K1036" s="110" t="str">
        <f t="shared" si="12"/>
        <v>https://Estud2024.sawtoothsoftware.com/cgi-bin/ciwweb.pl?studyname=Estud2024&amp;ID=1036</v>
      </c>
      <c r="L1036" s="113">
        <v>45712</v>
      </c>
      <c r="M1036" s="45" t="s">
        <v>246</v>
      </c>
    </row>
    <row r="1037" spans="1:13">
      <c r="A1037">
        <v>1037</v>
      </c>
      <c r="B1037" t="s">
        <v>89</v>
      </c>
      <c r="C1037">
        <v>8</v>
      </c>
      <c r="D1037" t="s">
        <v>200</v>
      </c>
      <c r="E1037">
        <v>46</v>
      </c>
      <c r="F1037" t="s">
        <v>8987</v>
      </c>
      <c r="G1037">
        <v>4</v>
      </c>
      <c r="H1037" t="s">
        <v>8988</v>
      </c>
      <c r="I1037" s="45" t="s">
        <v>6754</v>
      </c>
      <c r="J1037" s="122">
        <v>45708</v>
      </c>
      <c r="K1037" s="110" t="str">
        <f t="shared" si="12"/>
        <v>https://Estud2024.sawtoothsoftware.com/cgi-bin/ciwweb.pl?studyname=Estud2024&amp;ID=1037</v>
      </c>
      <c r="L1037" s="113">
        <v>45712</v>
      </c>
      <c r="M1037" s="45" t="s">
        <v>246</v>
      </c>
    </row>
    <row r="1038" spans="1:13">
      <c r="A1038">
        <v>1038</v>
      </c>
      <c r="B1038" t="s">
        <v>89</v>
      </c>
      <c r="C1038">
        <v>8</v>
      </c>
      <c r="D1038" t="s">
        <v>200</v>
      </c>
      <c r="E1038">
        <v>46</v>
      </c>
      <c r="F1038" t="s">
        <v>8989</v>
      </c>
      <c r="G1038">
        <v>4</v>
      </c>
      <c r="H1038" t="s">
        <v>8990</v>
      </c>
      <c r="I1038" s="45" t="s">
        <v>6754</v>
      </c>
      <c r="J1038" s="122">
        <v>45708</v>
      </c>
      <c r="K1038" s="110" t="str">
        <f t="shared" si="12"/>
        <v>https://Estud2024.sawtoothsoftware.com/cgi-bin/ciwweb.pl?studyname=Estud2024&amp;ID=1038</v>
      </c>
      <c r="L1038" s="113">
        <v>45712</v>
      </c>
      <c r="M1038" s="45" t="s">
        <v>246</v>
      </c>
    </row>
    <row r="1039" spans="1:13">
      <c r="A1039">
        <v>1039</v>
      </c>
      <c r="B1039" t="s">
        <v>89</v>
      </c>
      <c r="C1039">
        <v>8</v>
      </c>
      <c r="D1039" t="s">
        <v>200</v>
      </c>
      <c r="E1039">
        <v>46</v>
      </c>
      <c r="F1039" t="s">
        <v>8991</v>
      </c>
      <c r="G1039">
        <v>4</v>
      </c>
      <c r="H1039" t="s">
        <v>8992</v>
      </c>
      <c r="I1039" s="45" t="s">
        <v>6754</v>
      </c>
      <c r="J1039" s="122">
        <v>45708</v>
      </c>
      <c r="K1039" s="110" t="str">
        <f t="shared" si="12"/>
        <v>https://Estud2024.sawtoothsoftware.com/cgi-bin/ciwweb.pl?studyname=Estud2024&amp;ID=1039</v>
      </c>
      <c r="L1039" s="113">
        <v>45712</v>
      </c>
      <c r="M1039" s="45" t="s">
        <v>246</v>
      </c>
    </row>
    <row r="1040" spans="1:13">
      <c r="A1040">
        <v>1040</v>
      </c>
      <c r="B1040" t="s">
        <v>89</v>
      </c>
      <c r="C1040">
        <v>8</v>
      </c>
      <c r="D1040" t="s">
        <v>200</v>
      </c>
      <c r="E1040">
        <v>46</v>
      </c>
      <c r="F1040" t="s">
        <v>8993</v>
      </c>
      <c r="G1040">
        <v>4</v>
      </c>
      <c r="H1040" t="s">
        <v>8994</v>
      </c>
      <c r="I1040" s="45" t="s">
        <v>6754</v>
      </c>
      <c r="J1040" s="122">
        <v>45708</v>
      </c>
      <c r="K1040" s="110" t="str">
        <f t="shared" si="12"/>
        <v>https://Estud2024.sawtoothsoftware.com/cgi-bin/ciwweb.pl?studyname=Estud2024&amp;ID=1040</v>
      </c>
      <c r="L1040" s="113">
        <v>45712</v>
      </c>
      <c r="M1040" s="45" t="s">
        <v>246</v>
      </c>
    </row>
    <row r="1041" spans="1:13">
      <c r="A1041">
        <v>1041</v>
      </c>
      <c r="B1041" t="s">
        <v>89</v>
      </c>
      <c r="C1041">
        <v>8</v>
      </c>
      <c r="D1041" t="s">
        <v>200</v>
      </c>
      <c r="E1041">
        <v>46</v>
      </c>
      <c r="F1041" t="s">
        <v>8995</v>
      </c>
      <c r="G1041">
        <v>4</v>
      </c>
      <c r="H1041" t="s">
        <v>8996</v>
      </c>
      <c r="I1041" s="45" t="s">
        <v>6754</v>
      </c>
      <c r="J1041" s="122">
        <v>45708</v>
      </c>
      <c r="K1041" s="110" t="str">
        <f t="shared" si="12"/>
        <v>https://Estud2024.sawtoothsoftware.com/cgi-bin/ciwweb.pl?studyname=Estud2024&amp;ID=1041</v>
      </c>
      <c r="L1041" s="113">
        <v>45712</v>
      </c>
      <c r="M1041" s="45" t="s">
        <v>246</v>
      </c>
    </row>
    <row r="1042" spans="1:13">
      <c r="A1042">
        <v>1042</v>
      </c>
      <c r="B1042" t="s">
        <v>89</v>
      </c>
      <c r="C1042">
        <v>8</v>
      </c>
      <c r="D1042" t="s">
        <v>200</v>
      </c>
      <c r="E1042">
        <v>46</v>
      </c>
      <c r="F1042" t="s">
        <v>8997</v>
      </c>
      <c r="G1042">
        <v>4</v>
      </c>
      <c r="H1042" t="s">
        <v>8998</v>
      </c>
      <c r="I1042" s="45" t="s">
        <v>6754</v>
      </c>
      <c r="J1042" s="122">
        <v>45708</v>
      </c>
      <c r="K1042" s="110" t="str">
        <f t="shared" si="12"/>
        <v>https://Estud2024.sawtoothsoftware.com/cgi-bin/ciwweb.pl?studyname=Estud2024&amp;ID=1042</v>
      </c>
      <c r="L1042" s="113">
        <v>45712</v>
      </c>
      <c r="M1042" s="45" t="s">
        <v>246</v>
      </c>
    </row>
    <row r="1043" spans="1:13">
      <c r="A1043">
        <v>1043</v>
      </c>
      <c r="B1043" t="s">
        <v>89</v>
      </c>
      <c r="C1043">
        <v>8</v>
      </c>
      <c r="D1043" t="s">
        <v>200</v>
      </c>
      <c r="E1043">
        <v>46</v>
      </c>
      <c r="F1043" t="s">
        <v>8999</v>
      </c>
      <c r="G1043">
        <v>4</v>
      </c>
      <c r="H1043" t="s">
        <v>9000</v>
      </c>
      <c r="I1043" s="45" t="s">
        <v>6754</v>
      </c>
      <c r="J1043" s="122">
        <v>45708</v>
      </c>
      <c r="K1043" s="110" t="str">
        <f t="shared" si="12"/>
        <v>https://Estud2024.sawtoothsoftware.com/cgi-bin/ciwweb.pl?studyname=Estud2024&amp;ID=1043</v>
      </c>
      <c r="L1043" s="113">
        <v>45712</v>
      </c>
      <c r="M1043" s="45" t="s">
        <v>246</v>
      </c>
    </row>
    <row r="1044" spans="1:13">
      <c r="A1044">
        <v>1044</v>
      </c>
      <c r="B1044" t="s">
        <v>89</v>
      </c>
      <c r="C1044">
        <v>8</v>
      </c>
      <c r="D1044" t="s">
        <v>200</v>
      </c>
      <c r="E1044">
        <v>46</v>
      </c>
      <c r="F1044" t="s">
        <v>9001</v>
      </c>
      <c r="G1044">
        <v>4</v>
      </c>
      <c r="H1044" t="s">
        <v>9002</v>
      </c>
      <c r="I1044" s="45" t="s">
        <v>6754</v>
      </c>
      <c r="J1044" s="122">
        <v>45708</v>
      </c>
      <c r="K1044" s="110" t="str">
        <f t="shared" si="12"/>
        <v>https://Estud2024.sawtoothsoftware.com/cgi-bin/ciwweb.pl?studyname=Estud2024&amp;ID=1044</v>
      </c>
      <c r="L1044" s="113">
        <v>45712</v>
      </c>
      <c r="M1044" s="45" t="s">
        <v>247</v>
      </c>
    </row>
    <row r="1045" spans="1:13">
      <c r="A1045">
        <v>1045</v>
      </c>
      <c r="B1045" t="s">
        <v>89</v>
      </c>
      <c r="C1045">
        <v>8</v>
      </c>
      <c r="D1045" t="s">
        <v>200</v>
      </c>
      <c r="E1045">
        <v>46</v>
      </c>
      <c r="F1045" t="s">
        <v>9003</v>
      </c>
      <c r="G1045">
        <v>4</v>
      </c>
      <c r="H1045" t="s">
        <v>9004</v>
      </c>
      <c r="I1045" s="45" t="s">
        <v>6754</v>
      </c>
      <c r="J1045" s="122">
        <v>45708</v>
      </c>
      <c r="K1045" s="110" t="str">
        <f t="shared" si="12"/>
        <v>https://Estud2024.sawtoothsoftware.com/cgi-bin/ciwweb.pl?studyname=Estud2024&amp;ID=1045</v>
      </c>
      <c r="L1045" s="113">
        <v>45712</v>
      </c>
      <c r="M1045" s="45" t="s">
        <v>247</v>
      </c>
    </row>
    <row r="1046" spans="1:13">
      <c r="A1046">
        <v>1046</v>
      </c>
      <c r="B1046" t="s">
        <v>89</v>
      </c>
      <c r="C1046">
        <v>8</v>
      </c>
      <c r="D1046" t="s">
        <v>200</v>
      </c>
      <c r="E1046">
        <v>46</v>
      </c>
      <c r="F1046" t="s">
        <v>9005</v>
      </c>
      <c r="G1046">
        <v>2</v>
      </c>
      <c r="H1046" t="s">
        <v>9006</v>
      </c>
      <c r="I1046" s="45" t="s">
        <v>6754</v>
      </c>
      <c r="J1046" s="122">
        <v>45708</v>
      </c>
      <c r="K1046" s="110" t="str">
        <f t="shared" ref="K1046:K1109" si="13">CONCATENATE("https://Estud2024.sawtoothsoftware.com/cgi-bin/ciwweb.pl?studyname=Estud2024&amp;ID=",A1046)</f>
        <v>https://Estud2024.sawtoothsoftware.com/cgi-bin/ciwweb.pl?studyname=Estud2024&amp;ID=1046</v>
      </c>
      <c r="L1046" s="113">
        <v>45712</v>
      </c>
      <c r="M1046" s="45" t="s">
        <v>246</v>
      </c>
    </row>
    <row r="1047" spans="1:13">
      <c r="A1047">
        <v>1047</v>
      </c>
      <c r="B1047" t="s">
        <v>89</v>
      </c>
      <c r="C1047">
        <v>8</v>
      </c>
      <c r="D1047" t="s">
        <v>200</v>
      </c>
      <c r="E1047">
        <v>46</v>
      </c>
      <c r="F1047" t="s">
        <v>9007</v>
      </c>
      <c r="G1047">
        <v>2</v>
      </c>
      <c r="H1047" t="s">
        <v>9008</v>
      </c>
      <c r="I1047" s="45" t="s">
        <v>6754</v>
      </c>
      <c r="J1047" s="122">
        <v>45708</v>
      </c>
      <c r="K1047" s="110" t="str">
        <f t="shared" si="13"/>
        <v>https://Estud2024.sawtoothsoftware.com/cgi-bin/ciwweb.pl?studyname=Estud2024&amp;ID=1047</v>
      </c>
      <c r="L1047" s="113">
        <v>45712</v>
      </c>
      <c r="M1047" s="45" t="s">
        <v>246</v>
      </c>
    </row>
    <row r="1048" spans="1:13">
      <c r="A1048">
        <v>1048</v>
      </c>
      <c r="B1048" t="s">
        <v>89</v>
      </c>
      <c r="C1048">
        <v>8</v>
      </c>
      <c r="D1048" t="s">
        <v>200</v>
      </c>
      <c r="E1048">
        <v>46</v>
      </c>
      <c r="F1048" t="s">
        <v>9009</v>
      </c>
      <c r="G1048">
        <v>2</v>
      </c>
      <c r="H1048" t="s">
        <v>9010</v>
      </c>
      <c r="I1048" s="45" t="s">
        <v>6754</v>
      </c>
      <c r="J1048" s="122">
        <v>45708</v>
      </c>
      <c r="K1048" s="110" t="str">
        <f t="shared" si="13"/>
        <v>https://Estud2024.sawtoothsoftware.com/cgi-bin/ciwweb.pl?studyname=Estud2024&amp;ID=1048</v>
      </c>
      <c r="L1048" s="113">
        <v>45712</v>
      </c>
      <c r="M1048" s="45" t="s">
        <v>246</v>
      </c>
    </row>
    <row r="1049" spans="1:13">
      <c r="A1049">
        <v>1049</v>
      </c>
      <c r="B1049" t="s">
        <v>89</v>
      </c>
      <c r="C1049">
        <v>8</v>
      </c>
      <c r="D1049" t="s">
        <v>200</v>
      </c>
      <c r="E1049">
        <v>46</v>
      </c>
      <c r="F1049" t="s">
        <v>9011</v>
      </c>
      <c r="G1049">
        <v>2</v>
      </c>
      <c r="H1049" t="s">
        <v>9012</v>
      </c>
      <c r="I1049" s="45" t="s">
        <v>6754</v>
      </c>
      <c r="J1049" s="122">
        <v>45708</v>
      </c>
      <c r="K1049" s="110" t="str">
        <f t="shared" si="13"/>
        <v>https://Estud2024.sawtoothsoftware.com/cgi-bin/ciwweb.pl?studyname=Estud2024&amp;ID=1049</v>
      </c>
      <c r="L1049" s="113">
        <v>45712</v>
      </c>
      <c r="M1049" s="45" t="s">
        <v>246</v>
      </c>
    </row>
    <row r="1050" spans="1:13">
      <c r="A1050">
        <v>1050</v>
      </c>
      <c r="B1050" t="s">
        <v>89</v>
      </c>
      <c r="C1050">
        <v>8</v>
      </c>
      <c r="D1050" t="s">
        <v>200</v>
      </c>
      <c r="E1050">
        <v>46</v>
      </c>
      <c r="F1050" t="s">
        <v>9013</v>
      </c>
      <c r="G1050">
        <v>2</v>
      </c>
      <c r="H1050" t="s">
        <v>9014</v>
      </c>
      <c r="I1050" s="45" t="s">
        <v>6754</v>
      </c>
      <c r="J1050" s="122">
        <v>45708</v>
      </c>
      <c r="K1050" s="110" t="str">
        <f t="shared" si="13"/>
        <v>https://Estud2024.sawtoothsoftware.com/cgi-bin/ciwweb.pl?studyname=Estud2024&amp;ID=1050</v>
      </c>
      <c r="L1050" s="113">
        <v>45712</v>
      </c>
      <c r="M1050" s="45" t="s">
        <v>246</v>
      </c>
    </row>
    <row r="1051" spans="1:13">
      <c r="A1051">
        <v>1051</v>
      </c>
      <c r="B1051" t="s">
        <v>89</v>
      </c>
      <c r="C1051">
        <v>8</v>
      </c>
      <c r="D1051" t="s">
        <v>200</v>
      </c>
      <c r="E1051">
        <v>46</v>
      </c>
      <c r="F1051" t="s">
        <v>9015</v>
      </c>
      <c r="G1051">
        <v>2</v>
      </c>
      <c r="H1051" t="s">
        <v>9016</v>
      </c>
      <c r="I1051" s="45" t="s">
        <v>6754</v>
      </c>
      <c r="J1051" s="122">
        <v>45708</v>
      </c>
      <c r="K1051" s="110" t="str">
        <f t="shared" si="13"/>
        <v>https://Estud2024.sawtoothsoftware.com/cgi-bin/ciwweb.pl?studyname=Estud2024&amp;ID=1051</v>
      </c>
      <c r="L1051" s="113">
        <v>45712</v>
      </c>
      <c r="M1051" s="45" t="s">
        <v>246</v>
      </c>
    </row>
    <row r="1052" spans="1:13">
      <c r="A1052">
        <v>1052</v>
      </c>
      <c r="B1052" t="s">
        <v>89</v>
      </c>
      <c r="C1052">
        <v>8</v>
      </c>
      <c r="D1052" t="s">
        <v>200</v>
      </c>
      <c r="E1052">
        <v>46</v>
      </c>
      <c r="F1052" t="s">
        <v>9017</v>
      </c>
      <c r="G1052">
        <v>2</v>
      </c>
      <c r="H1052" t="s">
        <v>9018</v>
      </c>
      <c r="I1052" s="45" t="s">
        <v>6754</v>
      </c>
      <c r="J1052" s="122">
        <v>45708</v>
      </c>
      <c r="K1052" s="110" t="str">
        <f t="shared" si="13"/>
        <v>https://Estud2024.sawtoothsoftware.com/cgi-bin/ciwweb.pl?studyname=Estud2024&amp;ID=1052</v>
      </c>
      <c r="L1052" s="113">
        <v>45712</v>
      </c>
      <c r="M1052" s="45" t="s">
        <v>246</v>
      </c>
    </row>
    <row r="1053" spans="1:13">
      <c r="A1053">
        <v>1053</v>
      </c>
      <c r="B1053" t="s">
        <v>89</v>
      </c>
      <c r="C1053">
        <v>8</v>
      </c>
      <c r="D1053" t="s">
        <v>200</v>
      </c>
      <c r="E1053">
        <v>46</v>
      </c>
      <c r="F1053" t="s">
        <v>9019</v>
      </c>
      <c r="G1053">
        <v>2</v>
      </c>
      <c r="H1053" t="s">
        <v>9020</v>
      </c>
      <c r="I1053" s="45" t="s">
        <v>6754</v>
      </c>
      <c r="J1053" s="122">
        <v>45708</v>
      </c>
      <c r="K1053" s="110" t="str">
        <f t="shared" si="13"/>
        <v>https://Estud2024.sawtoothsoftware.com/cgi-bin/ciwweb.pl?studyname=Estud2024&amp;ID=1053</v>
      </c>
      <c r="L1053" s="113">
        <v>45712</v>
      </c>
      <c r="M1053" s="45" t="s">
        <v>246</v>
      </c>
    </row>
    <row r="1054" spans="1:13">
      <c r="A1054">
        <v>1054</v>
      </c>
      <c r="B1054" t="s">
        <v>89</v>
      </c>
      <c r="C1054">
        <v>8</v>
      </c>
      <c r="D1054" t="s">
        <v>200</v>
      </c>
      <c r="E1054">
        <v>46</v>
      </c>
      <c r="F1054" t="s">
        <v>9021</v>
      </c>
      <c r="G1054">
        <v>2</v>
      </c>
      <c r="H1054" t="s">
        <v>9022</v>
      </c>
      <c r="I1054" s="45" t="s">
        <v>6754</v>
      </c>
      <c r="J1054" s="122">
        <v>45708</v>
      </c>
      <c r="K1054" s="110" t="str">
        <f t="shared" si="13"/>
        <v>https://Estud2024.sawtoothsoftware.com/cgi-bin/ciwweb.pl?studyname=Estud2024&amp;ID=1054</v>
      </c>
      <c r="L1054" s="113">
        <v>45712</v>
      </c>
      <c r="M1054" s="45" t="s">
        <v>246</v>
      </c>
    </row>
    <row r="1055" spans="1:13">
      <c r="A1055">
        <v>1055</v>
      </c>
      <c r="B1055" t="s">
        <v>89</v>
      </c>
      <c r="C1055">
        <v>8</v>
      </c>
      <c r="D1055" t="s">
        <v>200</v>
      </c>
      <c r="E1055">
        <v>46</v>
      </c>
      <c r="F1055" t="s">
        <v>9023</v>
      </c>
      <c r="G1055">
        <v>2</v>
      </c>
      <c r="H1055" t="s">
        <v>9024</v>
      </c>
      <c r="I1055" s="45" t="s">
        <v>6754</v>
      </c>
      <c r="J1055" s="122">
        <v>45708</v>
      </c>
      <c r="K1055" s="110" t="str">
        <f t="shared" si="13"/>
        <v>https://Estud2024.sawtoothsoftware.com/cgi-bin/ciwweb.pl?studyname=Estud2024&amp;ID=1055</v>
      </c>
      <c r="L1055" s="113">
        <v>45712</v>
      </c>
      <c r="M1055" s="45" t="s">
        <v>246</v>
      </c>
    </row>
    <row r="1056" spans="1:13">
      <c r="A1056">
        <v>1056</v>
      </c>
      <c r="B1056" t="s">
        <v>89</v>
      </c>
      <c r="C1056">
        <v>8</v>
      </c>
      <c r="D1056" t="s">
        <v>200</v>
      </c>
      <c r="E1056">
        <v>46</v>
      </c>
      <c r="F1056" t="s">
        <v>9025</v>
      </c>
      <c r="G1056">
        <v>2</v>
      </c>
      <c r="H1056" t="s">
        <v>9026</v>
      </c>
      <c r="I1056" s="45" t="s">
        <v>6754</v>
      </c>
      <c r="J1056" s="122">
        <v>45708</v>
      </c>
      <c r="K1056" s="110" t="str">
        <f t="shared" si="13"/>
        <v>https://Estud2024.sawtoothsoftware.com/cgi-bin/ciwweb.pl?studyname=Estud2024&amp;ID=1056</v>
      </c>
      <c r="L1056" s="113">
        <v>45712</v>
      </c>
      <c r="M1056" s="45" t="s">
        <v>246</v>
      </c>
    </row>
    <row r="1057" spans="1:13">
      <c r="A1057">
        <v>1057</v>
      </c>
      <c r="B1057" t="s">
        <v>89</v>
      </c>
      <c r="C1057">
        <v>8</v>
      </c>
      <c r="D1057" t="s">
        <v>200</v>
      </c>
      <c r="E1057">
        <v>46</v>
      </c>
      <c r="F1057" t="s">
        <v>9027</v>
      </c>
      <c r="G1057">
        <v>2</v>
      </c>
      <c r="H1057" t="s">
        <v>9028</v>
      </c>
      <c r="I1057" s="45" t="s">
        <v>6754</v>
      </c>
      <c r="J1057" s="122">
        <v>45708</v>
      </c>
      <c r="K1057" s="110" t="str">
        <f t="shared" si="13"/>
        <v>https://Estud2024.sawtoothsoftware.com/cgi-bin/ciwweb.pl?studyname=Estud2024&amp;ID=1057</v>
      </c>
      <c r="L1057" s="113">
        <v>45712</v>
      </c>
      <c r="M1057" s="45" t="s">
        <v>246</v>
      </c>
    </row>
    <row r="1058" spans="1:13">
      <c r="A1058">
        <v>1058</v>
      </c>
      <c r="B1058" t="s">
        <v>89</v>
      </c>
      <c r="C1058">
        <v>8</v>
      </c>
      <c r="D1058" t="s">
        <v>200</v>
      </c>
      <c r="E1058">
        <v>46</v>
      </c>
      <c r="F1058" t="s">
        <v>9029</v>
      </c>
      <c r="G1058">
        <v>2</v>
      </c>
      <c r="H1058" t="s">
        <v>9030</v>
      </c>
      <c r="I1058" s="45" t="s">
        <v>6754</v>
      </c>
      <c r="J1058" s="122">
        <v>45708</v>
      </c>
      <c r="K1058" s="110" t="str">
        <f t="shared" si="13"/>
        <v>https://Estud2024.sawtoothsoftware.com/cgi-bin/ciwweb.pl?studyname=Estud2024&amp;ID=1058</v>
      </c>
      <c r="L1058" s="113">
        <v>45712</v>
      </c>
      <c r="M1058" s="45" t="s">
        <v>246</v>
      </c>
    </row>
    <row r="1059" spans="1:13">
      <c r="A1059">
        <v>1059</v>
      </c>
      <c r="B1059" t="s">
        <v>85</v>
      </c>
      <c r="C1059">
        <v>5</v>
      </c>
      <c r="D1059" t="s">
        <v>103</v>
      </c>
      <c r="E1059">
        <v>58</v>
      </c>
      <c r="F1059" t="s">
        <v>9031</v>
      </c>
      <c r="G1059">
        <v>9</v>
      </c>
      <c r="H1059" t="s">
        <v>9032</v>
      </c>
      <c r="I1059" s="45" t="s">
        <v>6754</v>
      </c>
      <c r="J1059" s="122">
        <v>45708</v>
      </c>
      <c r="K1059" s="110" t="str">
        <f t="shared" si="13"/>
        <v>https://Estud2024.sawtoothsoftware.com/cgi-bin/ciwweb.pl?studyname=Estud2024&amp;ID=1059</v>
      </c>
      <c r="L1059" s="113">
        <v>45712</v>
      </c>
      <c r="M1059" s="45" t="s">
        <v>247</v>
      </c>
    </row>
    <row r="1060" spans="1:13">
      <c r="A1060">
        <v>1060</v>
      </c>
      <c r="B1060" t="s">
        <v>85</v>
      </c>
      <c r="C1060">
        <v>5</v>
      </c>
      <c r="D1060" t="s">
        <v>103</v>
      </c>
      <c r="E1060">
        <v>58</v>
      </c>
      <c r="F1060" t="s">
        <v>9033</v>
      </c>
      <c r="G1060">
        <v>9</v>
      </c>
      <c r="H1060" t="s">
        <v>9034</v>
      </c>
      <c r="I1060" s="45" t="s">
        <v>6754</v>
      </c>
      <c r="J1060" s="122">
        <v>45708</v>
      </c>
      <c r="K1060" s="110" t="str">
        <f t="shared" si="13"/>
        <v>https://Estud2024.sawtoothsoftware.com/cgi-bin/ciwweb.pl?studyname=Estud2024&amp;ID=1060</v>
      </c>
      <c r="L1060" s="113">
        <v>45712</v>
      </c>
      <c r="M1060" s="45" t="s">
        <v>246</v>
      </c>
    </row>
    <row r="1061" spans="1:13">
      <c r="A1061">
        <v>1061</v>
      </c>
      <c r="B1061" t="s">
        <v>85</v>
      </c>
      <c r="C1061">
        <v>5</v>
      </c>
      <c r="D1061" t="s">
        <v>103</v>
      </c>
      <c r="E1061">
        <v>58</v>
      </c>
      <c r="F1061" t="s">
        <v>9035</v>
      </c>
      <c r="G1061">
        <v>9</v>
      </c>
      <c r="H1061" t="s">
        <v>9036</v>
      </c>
      <c r="I1061" s="45" t="s">
        <v>6754</v>
      </c>
      <c r="J1061" s="122">
        <v>45708</v>
      </c>
      <c r="K1061" s="110" t="str">
        <f t="shared" si="13"/>
        <v>https://Estud2024.sawtoothsoftware.com/cgi-bin/ciwweb.pl?studyname=Estud2024&amp;ID=1061</v>
      </c>
      <c r="L1061" s="113">
        <v>45712</v>
      </c>
      <c r="M1061" s="45" t="s">
        <v>246</v>
      </c>
    </row>
    <row r="1062" spans="1:13">
      <c r="A1062">
        <v>1062</v>
      </c>
      <c r="B1062" t="s">
        <v>85</v>
      </c>
      <c r="C1062">
        <v>5</v>
      </c>
      <c r="D1062" t="s">
        <v>103</v>
      </c>
      <c r="E1062">
        <v>58</v>
      </c>
      <c r="F1062" t="s">
        <v>9037</v>
      </c>
      <c r="G1062">
        <v>9</v>
      </c>
      <c r="H1062" t="s">
        <v>9038</v>
      </c>
      <c r="I1062" s="45" t="s">
        <v>6754</v>
      </c>
      <c r="J1062" s="122">
        <v>45708</v>
      </c>
      <c r="K1062" s="110" t="str">
        <f t="shared" si="13"/>
        <v>https://Estud2024.sawtoothsoftware.com/cgi-bin/ciwweb.pl?studyname=Estud2024&amp;ID=1062</v>
      </c>
      <c r="L1062" s="113">
        <v>45712</v>
      </c>
      <c r="M1062" s="45" t="s">
        <v>247</v>
      </c>
    </row>
    <row r="1063" spans="1:13">
      <c r="A1063">
        <v>1063</v>
      </c>
      <c r="B1063" t="s">
        <v>85</v>
      </c>
      <c r="C1063">
        <v>5</v>
      </c>
      <c r="D1063" t="s">
        <v>103</v>
      </c>
      <c r="E1063">
        <v>58</v>
      </c>
      <c r="F1063" t="s">
        <v>9039</v>
      </c>
      <c r="G1063">
        <v>8</v>
      </c>
      <c r="H1063" t="s">
        <v>9040</v>
      </c>
      <c r="I1063" s="45" t="s">
        <v>6754</v>
      </c>
      <c r="J1063" s="122">
        <v>45708</v>
      </c>
      <c r="K1063" s="110" t="str">
        <f t="shared" si="13"/>
        <v>https://Estud2024.sawtoothsoftware.com/cgi-bin/ciwweb.pl?studyname=Estud2024&amp;ID=1063</v>
      </c>
      <c r="L1063" s="113">
        <v>45712</v>
      </c>
      <c r="M1063" s="45" t="s">
        <v>246</v>
      </c>
    </row>
    <row r="1064" spans="1:13">
      <c r="A1064">
        <v>1064</v>
      </c>
      <c r="B1064" t="s">
        <v>85</v>
      </c>
      <c r="C1064">
        <v>5</v>
      </c>
      <c r="D1064" t="s">
        <v>103</v>
      </c>
      <c r="E1064">
        <v>58</v>
      </c>
      <c r="F1064" t="s">
        <v>9041</v>
      </c>
      <c r="G1064">
        <v>3</v>
      </c>
      <c r="H1064" t="s">
        <v>9042</v>
      </c>
      <c r="I1064" s="45" t="s">
        <v>6754</v>
      </c>
      <c r="J1064" s="122">
        <v>45708</v>
      </c>
      <c r="K1064" s="110" t="str">
        <f t="shared" si="13"/>
        <v>https://Estud2024.sawtoothsoftware.com/cgi-bin/ciwweb.pl?studyname=Estud2024&amp;ID=1064</v>
      </c>
      <c r="L1064" s="113">
        <v>45712</v>
      </c>
      <c r="M1064" s="45" t="s">
        <v>247</v>
      </c>
    </row>
    <row r="1065" spans="1:13">
      <c r="A1065">
        <v>1065</v>
      </c>
      <c r="B1065" t="s">
        <v>77</v>
      </c>
      <c r="C1065">
        <v>2</v>
      </c>
      <c r="D1065" t="s">
        <v>9043</v>
      </c>
      <c r="E1065">
        <v>47</v>
      </c>
      <c r="F1065" t="s">
        <v>9044</v>
      </c>
      <c r="G1065">
        <v>2</v>
      </c>
      <c r="H1065" t="s">
        <v>9045</v>
      </c>
      <c r="I1065" s="45" t="s">
        <v>6754</v>
      </c>
      <c r="J1065" s="122">
        <v>45708</v>
      </c>
      <c r="K1065" s="110" t="str">
        <f t="shared" si="13"/>
        <v>https://Estud2024.sawtoothsoftware.com/cgi-bin/ciwweb.pl?studyname=Estud2024&amp;ID=1065</v>
      </c>
      <c r="L1065" s="113">
        <v>45712</v>
      </c>
      <c r="M1065" s="45" t="s">
        <v>246</v>
      </c>
    </row>
    <row r="1066" spans="1:13">
      <c r="A1066">
        <v>1066</v>
      </c>
      <c r="B1066" t="s">
        <v>77</v>
      </c>
      <c r="C1066">
        <v>2</v>
      </c>
      <c r="D1066" t="s">
        <v>9043</v>
      </c>
      <c r="E1066">
        <v>47</v>
      </c>
      <c r="F1066" t="s">
        <v>9046</v>
      </c>
      <c r="G1066">
        <v>2</v>
      </c>
      <c r="H1066" t="s">
        <v>9047</v>
      </c>
      <c r="I1066" s="45" t="s">
        <v>6754</v>
      </c>
      <c r="J1066" s="122">
        <v>45708</v>
      </c>
      <c r="K1066" s="110" t="str">
        <f t="shared" si="13"/>
        <v>https://Estud2024.sawtoothsoftware.com/cgi-bin/ciwweb.pl?studyname=Estud2024&amp;ID=1066</v>
      </c>
      <c r="L1066" s="113">
        <v>45712</v>
      </c>
      <c r="M1066" s="45" t="s">
        <v>246</v>
      </c>
    </row>
    <row r="1067" spans="1:13">
      <c r="A1067">
        <v>1067</v>
      </c>
      <c r="B1067" t="s">
        <v>77</v>
      </c>
      <c r="C1067">
        <v>2</v>
      </c>
      <c r="D1067" t="s">
        <v>9043</v>
      </c>
      <c r="E1067">
        <v>47</v>
      </c>
      <c r="F1067" t="s">
        <v>9048</v>
      </c>
      <c r="G1067">
        <v>2</v>
      </c>
      <c r="H1067" t="s">
        <v>9049</v>
      </c>
      <c r="I1067" s="45" t="s">
        <v>6754</v>
      </c>
      <c r="J1067" s="122">
        <v>45708</v>
      </c>
      <c r="K1067" s="110" t="str">
        <f t="shared" si="13"/>
        <v>https://Estud2024.sawtoothsoftware.com/cgi-bin/ciwweb.pl?studyname=Estud2024&amp;ID=1067</v>
      </c>
      <c r="L1067" s="113">
        <v>45712</v>
      </c>
      <c r="M1067" s="45" t="s">
        <v>246</v>
      </c>
    </row>
    <row r="1068" spans="1:13">
      <c r="A1068">
        <v>1068</v>
      </c>
      <c r="B1068" t="s">
        <v>77</v>
      </c>
      <c r="C1068">
        <v>2</v>
      </c>
      <c r="D1068" t="s">
        <v>9043</v>
      </c>
      <c r="E1068">
        <v>47</v>
      </c>
      <c r="F1068" t="s">
        <v>9050</v>
      </c>
      <c r="G1068">
        <v>2</v>
      </c>
      <c r="H1068" t="s">
        <v>9051</v>
      </c>
      <c r="I1068" s="45" t="s">
        <v>6754</v>
      </c>
      <c r="J1068" s="122">
        <v>45708</v>
      </c>
      <c r="K1068" s="110" t="str">
        <f t="shared" si="13"/>
        <v>https://Estud2024.sawtoothsoftware.com/cgi-bin/ciwweb.pl?studyname=Estud2024&amp;ID=1068</v>
      </c>
      <c r="L1068" s="113">
        <v>45712</v>
      </c>
      <c r="M1068" s="45" t="s">
        <v>246</v>
      </c>
    </row>
    <row r="1069" spans="1:13">
      <c r="A1069">
        <v>1069</v>
      </c>
      <c r="B1069" t="s">
        <v>77</v>
      </c>
      <c r="C1069">
        <v>2</v>
      </c>
      <c r="D1069" t="s">
        <v>9043</v>
      </c>
      <c r="E1069">
        <v>47</v>
      </c>
      <c r="F1069" t="s">
        <v>9052</v>
      </c>
      <c r="G1069">
        <v>2</v>
      </c>
      <c r="H1069" t="s">
        <v>9053</v>
      </c>
      <c r="I1069" s="45" t="s">
        <v>6754</v>
      </c>
      <c r="J1069" s="122">
        <v>45708</v>
      </c>
      <c r="K1069" s="110" t="str">
        <f t="shared" si="13"/>
        <v>https://Estud2024.sawtoothsoftware.com/cgi-bin/ciwweb.pl?studyname=Estud2024&amp;ID=1069</v>
      </c>
      <c r="L1069" s="113">
        <v>45712</v>
      </c>
      <c r="M1069" s="45" t="s">
        <v>246</v>
      </c>
    </row>
    <row r="1070" spans="1:13">
      <c r="A1070">
        <v>1070</v>
      </c>
      <c r="B1070" t="s">
        <v>77</v>
      </c>
      <c r="C1070">
        <v>2</v>
      </c>
      <c r="D1070" t="s">
        <v>9043</v>
      </c>
      <c r="E1070">
        <v>47</v>
      </c>
      <c r="F1070" t="s">
        <v>9054</v>
      </c>
      <c r="G1070">
        <v>2</v>
      </c>
      <c r="H1070" t="s">
        <v>9055</v>
      </c>
      <c r="I1070" s="45" t="s">
        <v>6754</v>
      </c>
      <c r="J1070" s="122">
        <v>45708</v>
      </c>
      <c r="K1070" s="110" t="str">
        <f t="shared" si="13"/>
        <v>https://Estud2024.sawtoothsoftware.com/cgi-bin/ciwweb.pl?studyname=Estud2024&amp;ID=1070</v>
      </c>
      <c r="L1070" s="113">
        <v>45712</v>
      </c>
      <c r="M1070" s="45" t="s">
        <v>246</v>
      </c>
    </row>
    <row r="1071" spans="1:13">
      <c r="A1071">
        <v>1071</v>
      </c>
      <c r="B1071" t="s">
        <v>77</v>
      </c>
      <c r="C1071">
        <v>2</v>
      </c>
      <c r="D1071" t="s">
        <v>9043</v>
      </c>
      <c r="E1071">
        <v>47</v>
      </c>
      <c r="F1071" t="s">
        <v>9056</v>
      </c>
      <c r="G1071">
        <v>2</v>
      </c>
      <c r="H1071" t="s">
        <v>9057</v>
      </c>
      <c r="I1071" s="45" t="s">
        <v>6754</v>
      </c>
      <c r="J1071" s="122">
        <v>45708</v>
      </c>
      <c r="K1071" s="110" t="str">
        <f t="shared" si="13"/>
        <v>https://Estud2024.sawtoothsoftware.com/cgi-bin/ciwweb.pl?studyname=Estud2024&amp;ID=1071</v>
      </c>
      <c r="L1071" s="113">
        <v>45712</v>
      </c>
      <c r="M1071" s="45" t="s">
        <v>246</v>
      </c>
    </row>
    <row r="1072" spans="1:13">
      <c r="A1072">
        <v>1072</v>
      </c>
      <c r="B1072" t="s">
        <v>77</v>
      </c>
      <c r="C1072">
        <v>2</v>
      </c>
      <c r="D1072" t="s">
        <v>9043</v>
      </c>
      <c r="E1072">
        <v>47</v>
      </c>
      <c r="F1072" t="s">
        <v>9058</v>
      </c>
      <c r="G1072">
        <v>2</v>
      </c>
      <c r="H1072" t="s">
        <v>9059</v>
      </c>
      <c r="I1072" s="45" t="s">
        <v>6754</v>
      </c>
      <c r="J1072" s="122">
        <v>45708</v>
      </c>
      <c r="K1072" s="110" t="str">
        <f t="shared" si="13"/>
        <v>https://Estud2024.sawtoothsoftware.com/cgi-bin/ciwweb.pl?studyname=Estud2024&amp;ID=1072</v>
      </c>
      <c r="L1072" s="113">
        <v>45712</v>
      </c>
      <c r="M1072" s="45" t="s">
        <v>246</v>
      </c>
    </row>
    <row r="1073" spans="1:13">
      <c r="A1073">
        <v>1073</v>
      </c>
      <c r="B1073" t="s">
        <v>77</v>
      </c>
      <c r="C1073">
        <v>2</v>
      </c>
      <c r="D1073" t="s">
        <v>9043</v>
      </c>
      <c r="E1073">
        <v>47</v>
      </c>
      <c r="F1073" t="s">
        <v>9060</v>
      </c>
      <c r="G1073">
        <v>2</v>
      </c>
      <c r="H1073" t="s">
        <v>9061</v>
      </c>
      <c r="I1073" s="45" t="s">
        <v>6754</v>
      </c>
      <c r="J1073" s="122">
        <v>45708</v>
      </c>
      <c r="K1073" s="110" t="str">
        <f t="shared" si="13"/>
        <v>https://Estud2024.sawtoothsoftware.com/cgi-bin/ciwweb.pl?studyname=Estud2024&amp;ID=1073</v>
      </c>
      <c r="L1073" s="113">
        <v>45712</v>
      </c>
      <c r="M1073" s="45" t="s">
        <v>246</v>
      </c>
    </row>
    <row r="1074" spans="1:13">
      <c r="A1074">
        <v>1074</v>
      </c>
      <c r="B1074" t="s">
        <v>77</v>
      </c>
      <c r="C1074">
        <v>2</v>
      </c>
      <c r="D1074" t="s">
        <v>9043</v>
      </c>
      <c r="E1074">
        <v>47</v>
      </c>
      <c r="F1074" t="s">
        <v>9062</v>
      </c>
      <c r="G1074">
        <v>2</v>
      </c>
      <c r="H1074" t="s">
        <v>9063</v>
      </c>
      <c r="I1074" s="45" t="s">
        <v>6754</v>
      </c>
      <c r="J1074" s="122">
        <v>45708</v>
      </c>
      <c r="K1074" s="110" t="str">
        <f t="shared" si="13"/>
        <v>https://Estud2024.sawtoothsoftware.com/cgi-bin/ciwweb.pl?studyname=Estud2024&amp;ID=1074</v>
      </c>
      <c r="L1074" s="113">
        <v>45712</v>
      </c>
      <c r="M1074" s="45" t="s">
        <v>246</v>
      </c>
    </row>
    <row r="1075" spans="1:13">
      <c r="A1075">
        <v>1075</v>
      </c>
      <c r="B1075" t="s">
        <v>77</v>
      </c>
      <c r="C1075">
        <v>2</v>
      </c>
      <c r="D1075" t="s">
        <v>9043</v>
      </c>
      <c r="E1075">
        <v>47</v>
      </c>
      <c r="F1075" t="s">
        <v>9064</v>
      </c>
      <c r="G1075">
        <v>2</v>
      </c>
      <c r="H1075" t="s">
        <v>9065</v>
      </c>
      <c r="I1075" s="45" t="s">
        <v>6754</v>
      </c>
      <c r="J1075" s="122">
        <v>45708</v>
      </c>
      <c r="K1075" s="110" t="str">
        <f t="shared" si="13"/>
        <v>https://Estud2024.sawtoothsoftware.com/cgi-bin/ciwweb.pl?studyname=Estud2024&amp;ID=1075</v>
      </c>
      <c r="L1075" s="113">
        <v>45712</v>
      </c>
      <c r="M1075" s="45" t="s">
        <v>246</v>
      </c>
    </row>
    <row r="1076" spans="1:13">
      <c r="A1076">
        <v>1076</v>
      </c>
      <c r="B1076" t="s">
        <v>77</v>
      </c>
      <c r="C1076">
        <v>2</v>
      </c>
      <c r="D1076" t="s">
        <v>9043</v>
      </c>
      <c r="E1076">
        <v>47</v>
      </c>
      <c r="F1076" t="s">
        <v>9066</v>
      </c>
      <c r="G1076">
        <v>2</v>
      </c>
      <c r="H1076" t="s">
        <v>9067</v>
      </c>
      <c r="I1076" s="45" t="s">
        <v>6754</v>
      </c>
      <c r="J1076" s="122">
        <v>45708</v>
      </c>
      <c r="K1076" s="110" t="str">
        <f t="shared" si="13"/>
        <v>https://Estud2024.sawtoothsoftware.com/cgi-bin/ciwweb.pl?studyname=Estud2024&amp;ID=1076</v>
      </c>
      <c r="L1076" s="113">
        <v>45712</v>
      </c>
      <c r="M1076" s="45" t="s">
        <v>246</v>
      </c>
    </row>
    <row r="1077" spans="1:13">
      <c r="A1077">
        <v>1077</v>
      </c>
      <c r="B1077" t="s">
        <v>77</v>
      </c>
      <c r="C1077">
        <v>2</v>
      </c>
      <c r="D1077" t="s">
        <v>9043</v>
      </c>
      <c r="E1077">
        <v>47</v>
      </c>
      <c r="F1077" t="s">
        <v>9068</v>
      </c>
      <c r="G1077">
        <v>2</v>
      </c>
      <c r="H1077" t="s">
        <v>9069</v>
      </c>
      <c r="I1077" s="45" t="s">
        <v>6754</v>
      </c>
      <c r="J1077" s="122">
        <v>45708</v>
      </c>
      <c r="K1077" s="110" t="str">
        <f t="shared" si="13"/>
        <v>https://Estud2024.sawtoothsoftware.com/cgi-bin/ciwweb.pl?studyname=Estud2024&amp;ID=1077</v>
      </c>
      <c r="L1077" s="113">
        <v>45712</v>
      </c>
      <c r="M1077" s="45" t="s">
        <v>246</v>
      </c>
    </row>
    <row r="1078" spans="1:13">
      <c r="A1078">
        <v>1078</v>
      </c>
      <c r="B1078" t="s">
        <v>77</v>
      </c>
      <c r="C1078">
        <v>2</v>
      </c>
      <c r="D1078" t="s">
        <v>9043</v>
      </c>
      <c r="E1078">
        <v>47</v>
      </c>
      <c r="F1078" t="s">
        <v>9070</v>
      </c>
      <c r="G1078">
        <v>2</v>
      </c>
      <c r="H1078" t="s">
        <v>9071</v>
      </c>
      <c r="I1078" s="45" t="s">
        <v>6754</v>
      </c>
      <c r="J1078" s="122">
        <v>45708</v>
      </c>
      <c r="K1078" s="110" t="str">
        <f t="shared" si="13"/>
        <v>https://Estud2024.sawtoothsoftware.com/cgi-bin/ciwweb.pl?studyname=Estud2024&amp;ID=1078</v>
      </c>
      <c r="L1078" s="113">
        <v>45712</v>
      </c>
      <c r="M1078" s="45" t="s">
        <v>247</v>
      </c>
    </row>
    <row r="1079" spans="1:13">
      <c r="A1079">
        <v>1079</v>
      </c>
      <c r="B1079" t="s">
        <v>77</v>
      </c>
      <c r="C1079">
        <v>2</v>
      </c>
      <c r="D1079" t="s">
        <v>9043</v>
      </c>
      <c r="E1079">
        <v>47</v>
      </c>
      <c r="F1079" t="s">
        <v>9072</v>
      </c>
      <c r="G1079">
        <v>2</v>
      </c>
      <c r="H1079" t="s">
        <v>9073</v>
      </c>
      <c r="I1079" s="45" t="s">
        <v>6754</v>
      </c>
      <c r="J1079" s="122">
        <v>45708</v>
      </c>
      <c r="K1079" s="110" t="str">
        <f t="shared" si="13"/>
        <v>https://Estud2024.sawtoothsoftware.com/cgi-bin/ciwweb.pl?studyname=Estud2024&amp;ID=1079</v>
      </c>
      <c r="L1079" s="113">
        <v>45712</v>
      </c>
      <c r="M1079" s="45" t="s">
        <v>246</v>
      </c>
    </row>
    <row r="1080" spans="1:13">
      <c r="A1080">
        <v>1080</v>
      </c>
      <c r="B1080" t="s">
        <v>77</v>
      </c>
      <c r="C1080">
        <v>2</v>
      </c>
      <c r="D1080" t="s">
        <v>9043</v>
      </c>
      <c r="E1080">
        <v>47</v>
      </c>
      <c r="F1080" t="s">
        <v>9074</v>
      </c>
      <c r="G1080">
        <v>2</v>
      </c>
      <c r="H1080" t="s">
        <v>9075</v>
      </c>
      <c r="I1080" s="45" t="s">
        <v>6754</v>
      </c>
      <c r="J1080" s="122">
        <v>45708</v>
      </c>
      <c r="K1080" s="110" t="str">
        <f t="shared" si="13"/>
        <v>https://Estud2024.sawtoothsoftware.com/cgi-bin/ciwweb.pl?studyname=Estud2024&amp;ID=1080</v>
      </c>
      <c r="L1080" s="113">
        <v>45712</v>
      </c>
      <c r="M1080" s="45" t="s">
        <v>246</v>
      </c>
    </row>
    <row r="1081" spans="1:13">
      <c r="A1081">
        <v>1081</v>
      </c>
      <c r="B1081" t="s">
        <v>77</v>
      </c>
      <c r="C1081">
        <v>2</v>
      </c>
      <c r="D1081" t="s">
        <v>9043</v>
      </c>
      <c r="E1081">
        <v>47</v>
      </c>
      <c r="F1081" t="s">
        <v>9076</v>
      </c>
      <c r="G1081">
        <v>2</v>
      </c>
      <c r="H1081" t="s">
        <v>9077</v>
      </c>
      <c r="I1081" s="45" t="s">
        <v>6754</v>
      </c>
      <c r="J1081" s="122">
        <v>45708</v>
      </c>
      <c r="K1081" s="110" t="str">
        <f t="shared" si="13"/>
        <v>https://Estud2024.sawtoothsoftware.com/cgi-bin/ciwweb.pl?studyname=Estud2024&amp;ID=1081</v>
      </c>
      <c r="L1081" s="113">
        <v>45712</v>
      </c>
      <c r="M1081" s="45" t="s">
        <v>246</v>
      </c>
    </row>
    <row r="1082" spans="1:13">
      <c r="A1082">
        <v>1082</v>
      </c>
      <c r="B1082" t="s">
        <v>77</v>
      </c>
      <c r="C1082">
        <v>2</v>
      </c>
      <c r="D1082" t="s">
        <v>9043</v>
      </c>
      <c r="E1082">
        <v>47</v>
      </c>
      <c r="F1082" t="s">
        <v>9078</v>
      </c>
      <c r="G1082">
        <v>2</v>
      </c>
      <c r="H1082" t="s">
        <v>9079</v>
      </c>
      <c r="I1082" s="45" t="s">
        <v>6754</v>
      </c>
      <c r="J1082" s="122">
        <v>45708</v>
      </c>
      <c r="K1082" s="110" t="str">
        <f t="shared" si="13"/>
        <v>https://Estud2024.sawtoothsoftware.com/cgi-bin/ciwweb.pl?studyname=Estud2024&amp;ID=1082</v>
      </c>
      <c r="L1082" s="113">
        <v>45712</v>
      </c>
      <c r="M1082" s="45" t="s">
        <v>246</v>
      </c>
    </row>
    <row r="1083" spans="1:13">
      <c r="A1083">
        <v>1083</v>
      </c>
      <c r="B1083" t="s">
        <v>77</v>
      </c>
      <c r="C1083">
        <v>2</v>
      </c>
      <c r="D1083" t="s">
        <v>9043</v>
      </c>
      <c r="E1083">
        <v>47</v>
      </c>
      <c r="F1083" t="s">
        <v>9080</v>
      </c>
      <c r="G1083">
        <v>2</v>
      </c>
      <c r="H1083" t="s">
        <v>9081</v>
      </c>
      <c r="I1083" s="45" t="s">
        <v>6754</v>
      </c>
      <c r="J1083" s="122">
        <v>45708</v>
      </c>
      <c r="K1083" s="110" t="str">
        <f t="shared" si="13"/>
        <v>https://Estud2024.sawtoothsoftware.com/cgi-bin/ciwweb.pl?studyname=Estud2024&amp;ID=1083</v>
      </c>
      <c r="L1083" s="113">
        <v>45712</v>
      </c>
      <c r="M1083" s="45" t="s">
        <v>246</v>
      </c>
    </row>
    <row r="1084" spans="1:13">
      <c r="A1084">
        <v>1084</v>
      </c>
      <c r="B1084" t="s">
        <v>77</v>
      </c>
      <c r="C1084">
        <v>2</v>
      </c>
      <c r="D1084" t="s">
        <v>9043</v>
      </c>
      <c r="E1084">
        <v>47</v>
      </c>
      <c r="F1084" t="s">
        <v>9082</v>
      </c>
      <c r="G1084">
        <v>2</v>
      </c>
      <c r="H1084" t="s">
        <v>9083</v>
      </c>
      <c r="I1084" s="45" t="s">
        <v>6754</v>
      </c>
      <c r="J1084" s="122">
        <v>45708</v>
      </c>
      <c r="K1084" s="110" t="str">
        <f t="shared" si="13"/>
        <v>https://Estud2024.sawtoothsoftware.com/cgi-bin/ciwweb.pl?studyname=Estud2024&amp;ID=1084</v>
      </c>
      <c r="L1084" s="113">
        <v>45712</v>
      </c>
      <c r="M1084" s="45" t="s">
        <v>246</v>
      </c>
    </row>
    <row r="1085" spans="1:13">
      <c r="A1085">
        <v>1085</v>
      </c>
      <c r="B1085" t="s">
        <v>77</v>
      </c>
      <c r="C1085">
        <v>2</v>
      </c>
      <c r="D1085" t="s">
        <v>9043</v>
      </c>
      <c r="E1085">
        <v>47</v>
      </c>
      <c r="F1085" t="s">
        <v>9084</v>
      </c>
      <c r="G1085">
        <v>2</v>
      </c>
      <c r="H1085" t="s">
        <v>9085</v>
      </c>
      <c r="I1085" s="45" t="s">
        <v>6754</v>
      </c>
      <c r="J1085" s="122">
        <v>45708</v>
      </c>
      <c r="K1085" s="110" t="str">
        <f t="shared" si="13"/>
        <v>https://Estud2024.sawtoothsoftware.com/cgi-bin/ciwweb.pl?studyname=Estud2024&amp;ID=1085</v>
      </c>
      <c r="L1085" s="113">
        <v>45712</v>
      </c>
      <c r="M1085" s="45" t="s">
        <v>246</v>
      </c>
    </row>
    <row r="1086" spans="1:13">
      <c r="A1086">
        <v>1086</v>
      </c>
      <c r="B1086" t="s">
        <v>77</v>
      </c>
      <c r="C1086">
        <v>2</v>
      </c>
      <c r="D1086" t="s">
        <v>9043</v>
      </c>
      <c r="E1086">
        <v>47</v>
      </c>
      <c r="F1086" t="s">
        <v>9086</v>
      </c>
      <c r="G1086">
        <v>2</v>
      </c>
      <c r="H1086" t="s">
        <v>9087</v>
      </c>
      <c r="I1086" s="45" t="s">
        <v>6754</v>
      </c>
      <c r="J1086" s="122">
        <v>45708</v>
      </c>
      <c r="K1086" s="110" t="str">
        <f t="shared" si="13"/>
        <v>https://Estud2024.sawtoothsoftware.com/cgi-bin/ciwweb.pl?studyname=Estud2024&amp;ID=1086</v>
      </c>
      <c r="L1086" s="113">
        <v>45712</v>
      </c>
      <c r="M1086" s="45" t="s">
        <v>246</v>
      </c>
    </row>
    <row r="1087" spans="1:13">
      <c r="A1087">
        <v>1087</v>
      </c>
      <c r="B1087" t="s">
        <v>77</v>
      </c>
      <c r="C1087">
        <v>2</v>
      </c>
      <c r="D1087" t="s">
        <v>9043</v>
      </c>
      <c r="E1087">
        <v>47</v>
      </c>
      <c r="F1087" t="s">
        <v>9088</v>
      </c>
      <c r="G1087">
        <v>2</v>
      </c>
      <c r="H1087" t="s">
        <v>9089</v>
      </c>
      <c r="I1087" s="45" t="s">
        <v>6754</v>
      </c>
      <c r="J1087" s="122">
        <v>45708</v>
      </c>
      <c r="K1087" s="110" t="str">
        <f t="shared" si="13"/>
        <v>https://Estud2024.sawtoothsoftware.com/cgi-bin/ciwweb.pl?studyname=Estud2024&amp;ID=1087</v>
      </c>
      <c r="L1087" s="113">
        <v>45712</v>
      </c>
      <c r="M1087" s="45" t="s">
        <v>246</v>
      </c>
    </row>
    <row r="1088" spans="1:13">
      <c r="A1088">
        <v>1088</v>
      </c>
      <c r="B1088" t="s">
        <v>77</v>
      </c>
      <c r="C1088">
        <v>2</v>
      </c>
      <c r="D1088" t="s">
        <v>9043</v>
      </c>
      <c r="E1088">
        <v>47</v>
      </c>
      <c r="F1088" t="s">
        <v>9090</v>
      </c>
      <c r="G1088">
        <v>2</v>
      </c>
      <c r="H1088" t="s">
        <v>9091</v>
      </c>
      <c r="I1088" s="45" t="s">
        <v>6754</v>
      </c>
      <c r="J1088" s="122">
        <v>45708</v>
      </c>
      <c r="K1088" s="110" t="str">
        <f t="shared" si="13"/>
        <v>https://Estud2024.sawtoothsoftware.com/cgi-bin/ciwweb.pl?studyname=Estud2024&amp;ID=1088</v>
      </c>
      <c r="L1088" s="113">
        <v>45712</v>
      </c>
      <c r="M1088" s="45" t="s">
        <v>246</v>
      </c>
    </row>
    <row r="1089" spans="1:13">
      <c r="A1089">
        <v>1089</v>
      </c>
      <c r="B1089" t="s">
        <v>77</v>
      </c>
      <c r="C1089">
        <v>2</v>
      </c>
      <c r="D1089" t="s">
        <v>9043</v>
      </c>
      <c r="E1089">
        <v>47</v>
      </c>
      <c r="F1089" t="s">
        <v>9092</v>
      </c>
      <c r="G1089">
        <v>2</v>
      </c>
      <c r="H1089" t="s">
        <v>9093</v>
      </c>
      <c r="I1089" s="45" t="s">
        <v>6754</v>
      </c>
      <c r="J1089" s="122">
        <v>45708</v>
      </c>
      <c r="K1089" s="110" t="str">
        <f t="shared" si="13"/>
        <v>https://Estud2024.sawtoothsoftware.com/cgi-bin/ciwweb.pl?studyname=Estud2024&amp;ID=1089</v>
      </c>
      <c r="L1089" s="113">
        <v>45712</v>
      </c>
      <c r="M1089" s="45" t="s">
        <v>246</v>
      </c>
    </row>
    <row r="1090" spans="1:13">
      <c r="A1090">
        <v>1090</v>
      </c>
      <c r="B1090" t="s">
        <v>77</v>
      </c>
      <c r="C1090">
        <v>2</v>
      </c>
      <c r="D1090" t="s">
        <v>9043</v>
      </c>
      <c r="E1090">
        <v>47</v>
      </c>
      <c r="F1090" t="s">
        <v>9094</v>
      </c>
      <c r="G1090">
        <v>2</v>
      </c>
      <c r="H1090" t="s">
        <v>9095</v>
      </c>
      <c r="I1090" s="45" t="s">
        <v>6754</v>
      </c>
      <c r="J1090" s="122">
        <v>45708</v>
      </c>
      <c r="K1090" s="110" t="str">
        <f t="shared" si="13"/>
        <v>https://Estud2024.sawtoothsoftware.com/cgi-bin/ciwweb.pl?studyname=Estud2024&amp;ID=1090</v>
      </c>
      <c r="L1090" s="113">
        <v>45712</v>
      </c>
      <c r="M1090" s="45" t="s">
        <v>246</v>
      </c>
    </row>
    <row r="1091" spans="1:13">
      <c r="A1091">
        <v>1091</v>
      </c>
      <c r="B1091" t="s">
        <v>77</v>
      </c>
      <c r="C1091">
        <v>2</v>
      </c>
      <c r="D1091" t="s">
        <v>9043</v>
      </c>
      <c r="E1091">
        <v>47</v>
      </c>
      <c r="F1091" t="s">
        <v>9096</v>
      </c>
      <c r="G1091">
        <v>3</v>
      </c>
      <c r="H1091" t="s">
        <v>9097</v>
      </c>
      <c r="I1091" s="45" t="s">
        <v>6754</v>
      </c>
      <c r="J1091" s="122">
        <v>45708</v>
      </c>
      <c r="K1091" s="110" t="str">
        <f t="shared" si="13"/>
        <v>https://Estud2024.sawtoothsoftware.com/cgi-bin/ciwweb.pl?studyname=Estud2024&amp;ID=1091</v>
      </c>
      <c r="L1091" s="113">
        <v>45712</v>
      </c>
      <c r="M1091" s="45" t="s">
        <v>246</v>
      </c>
    </row>
    <row r="1092" spans="1:13">
      <c r="A1092">
        <v>1092</v>
      </c>
      <c r="B1092" t="s">
        <v>77</v>
      </c>
      <c r="C1092">
        <v>2</v>
      </c>
      <c r="D1092" t="s">
        <v>9043</v>
      </c>
      <c r="E1092">
        <v>47</v>
      </c>
      <c r="F1092" t="s">
        <v>9098</v>
      </c>
      <c r="G1092">
        <v>3</v>
      </c>
      <c r="H1092" t="s">
        <v>9099</v>
      </c>
      <c r="I1092" s="45" t="s">
        <v>6754</v>
      </c>
      <c r="J1092" s="122">
        <v>45708</v>
      </c>
      <c r="K1092" s="110" t="str">
        <f t="shared" si="13"/>
        <v>https://Estud2024.sawtoothsoftware.com/cgi-bin/ciwweb.pl?studyname=Estud2024&amp;ID=1092</v>
      </c>
      <c r="L1092" s="113">
        <v>45712</v>
      </c>
      <c r="M1092" s="45" t="s">
        <v>246</v>
      </c>
    </row>
    <row r="1093" spans="1:13">
      <c r="A1093">
        <v>1093</v>
      </c>
      <c r="B1093" t="s">
        <v>77</v>
      </c>
      <c r="C1093">
        <v>2</v>
      </c>
      <c r="D1093" t="s">
        <v>9043</v>
      </c>
      <c r="E1093">
        <v>47</v>
      </c>
      <c r="F1093" t="s">
        <v>9100</v>
      </c>
      <c r="G1093">
        <v>3</v>
      </c>
      <c r="H1093" t="s">
        <v>9101</v>
      </c>
      <c r="I1093" s="45" t="s">
        <v>6754</v>
      </c>
      <c r="J1093" s="122">
        <v>45708</v>
      </c>
      <c r="K1093" s="110" t="str">
        <f t="shared" si="13"/>
        <v>https://Estud2024.sawtoothsoftware.com/cgi-bin/ciwweb.pl?studyname=Estud2024&amp;ID=1093</v>
      </c>
      <c r="L1093" s="113">
        <v>45712</v>
      </c>
      <c r="M1093" s="45" t="s">
        <v>246</v>
      </c>
    </row>
    <row r="1094" spans="1:13">
      <c r="A1094">
        <v>1094</v>
      </c>
      <c r="B1094" t="s">
        <v>77</v>
      </c>
      <c r="C1094">
        <v>2</v>
      </c>
      <c r="D1094" t="s">
        <v>9043</v>
      </c>
      <c r="E1094">
        <v>47</v>
      </c>
      <c r="F1094" t="s">
        <v>9102</v>
      </c>
      <c r="G1094">
        <v>3</v>
      </c>
      <c r="H1094" t="s">
        <v>9103</v>
      </c>
      <c r="I1094" s="45" t="s">
        <v>6754</v>
      </c>
      <c r="J1094" s="122">
        <v>45708</v>
      </c>
      <c r="K1094" s="110" t="str">
        <f t="shared" si="13"/>
        <v>https://Estud2024.sawtoothsoftware.com/cgi-bin/ciwweb.pl?studyname=Estud2024&amp;ID=1094</v>
      </c>
      <c r="L1094" s="113">
        <v>45712</v>
      </c>
      <c r="M1094" s="45" t="s">
        <v>246</v>
      </c>
    </row>
    <row r="1095" spans="1:13">
      <c r="A1095">
        <v>1095</v>
      </c>
      <c r="B1095" t="s">
        <v>77</v>
      </c>
      <c r="C1095">
        <v>2</v>
      </c>
      <c r="D1095" t="s">
        <v>9043</v>
      </c>
      <c r="E1095">
        <v>47</v>
      </c>
      <c r="F1095" t="s">
        <v>9104</v>
      </c>
      <c r="G1095">
        <v>3</v>
      </c>
      <c r="H1095" t="s">
        <v>9105</v>
      </c>
      <c r="I1095" s="45" t="s">
        <v>6754</v>
      </c>
      <c r="J1095" s="122">
        <v>45708</v>
      </c>
      <c r="K1095" s="110" t="str">
        <f t="shared" si="13"/>
        <v>https://Estud2024.sawtoothsoftware.com/cgi-bin/ciwweb.pl?studyname=Estud2024&amp;ID=1095</v>
      </c>
      <c r="L1095" s="113">
        <v>45712</v>
      </c>
      <c r="M1095" s="45" t="s">
        <v>246</v>
      </c>
    </row>
    <row r="1096" spans="1:13">
      <c r="A1096">
        <v>1096</v>
      </c>
      <c r="B1096" t="s">
        <v>77</v>
      </c>
      <c r="C1096">
        <v>2</v>
      </c>
      <c r="D1096" t="s">
        <v>9043</v>
      </c>
      <c r="E1096">
        <v>47</v>
      </c>
      <c r="F1096" t="s">
        <v>9106</v>
      </c>
      <c r="G1096">
        <v>3</v>
      </c>
      <c r="H1096" t="s">
        <v>9107</v>
      </c>
      <c r="I1096" s="45" t="s">
        <v>6754</v>
      </c>
      <c r="J1096" s="122">
        <v>45708</v>
      </c>
      <c r="K1096" s="110" t="str">
        <f t="shared" si="13"/>
        <v>https://Estud2024.sawtoothsoftware.com/cgi-bin/ciwweb.pl?studyname=Estud2024&amp;ID=1096</v>
      </c>
      <c r="L1096" s="113">
        <v>45712</v>
      </c>
      <c r="M1096" s="45" t="s">
        <v>246</v>
      </c>
    </row>
    <row r="1097" spans="1:13">
      <c r="A1097">
        <v>1097</v>
      </c>
      <c r="B1097" t="s">
        <v>77</v>
      </c>
      <c r="C1097">
        <v>2</v>
      </c>
      <c r="D1097" t="s">
        <v>9043</v>
      </c>
      <c r="E1097">
        <v>47</v>
      </c>
      <c r="F1097" t="s">
        <v>9108</v>
      </c>
      <c r="G1097">
        <v>3</v>
      </c>
      <c r="H1097" t="s">
        <v>9109</v>
      </c>
      <c r="I1097" s="45" t="s">
        <v>6754</v>
      </c>
      <c r="J1097" s="122">
        <v>45708</v>
      </c>
      <c r="K1097" s="110" t="str">
        <f t="shared" si="13"/>
        <v>https://Estud2024.sawtoothsoftware.com/cgi-bin/ciwweb.pl?studyname=Estud2024&amp;ID=1097</v>
      </c>
      <c r="L1097" s="113">
        <v>45712</v>
      </c>
      <c r="M1097" s="45" t="s">
        <v>246</v>
      </c>
    </row>
    <row r="1098" spans="1:13">
      <c r="A1098">
        <v>1098</v>
      </c>
      <c r="B1098" t="s">
        <v>77</v>
      </c>
      <c r="C1098">
        <v>2</v>
      </c>
      <c r="D1098" t="s">
        <v>9043</v>
      </c>
      <c r="E1098">
        <v>47</v>
      </c>
      <c r="F1098" t="s">
        <v>9110</v>
      </c>
      <c r="G1098">
        <v>3</v>
      </c>
      <c r="H1098" t="s">
        <v>9111</v>
      </c>
      <c r="I1098" s="45" t="s">
        <v>6754</v>
      </c>
      <c r="J1098" s="122">
        <v>45708</v>
      </c>
      <c r="K1098" s="110" t="str">
        <f t="shared" si="13"/>
        <v>https://Estud2024.sawtoothsoftware.com/cgi-bin/ciwweb.pl?studyname=Estud2024&amp;ID=1098</v>
      </c>
      <c r="L1098" s="113">
        <v>45712</v>
      </c>
      <c r="M1098" s="45" t="s">
        <v>246</v>
      </c>
    </row>
    <row r="1099" spans="1:13">
      <c r="A1099">
        <v>1099</v>
      </c>
      <c r="B1099" t="s">
        <v>77</v>
      </c>
      <c r="C1099">
        <v>2</v>
      </c>
      <c r="D1099" t="s">
        <v>9043</v>
      </c>
      <c r="E1099">
        <v>47</v>
      </c>
      <c r="F1099" t="s">
        <v>9112</v>
      </c>
      <c r="G1099">
        <v>3</v>
      </c>
      <c r="H1099" t="s">
        <v>9113</v>
      </c>
      <c r="I1099" s="45" t="s">
        <v>6754</v>
      </c>
      <c r="J1099" s="122">
        <v>45708</v>
      </c>
      <c r="K1099" s="110" t="str">
        <f t="shared" si="13"/>
        <v>https://Estud2024.sawtoothsoftware.com/cgi-bin/ciwweb.pl?studyname=Estud2024&amp;ID=1099</v>
      </c>
      <c r="L1099" s="113">
        <v>45712</v>
      </c>
      <c r="M1099" s="45" t="s">
        <v>246</v>
      </c>
    </row>
    <row r="1100" spans="1:13">
      <c r="A1100">
        <v>1100</v>
      </c>
      <c r="B1100" t="s">
        <v>77</v>
      </c>
      <c r="C1100">
        <v>2</v>
      </c>
      <c r="D1100" t="s">
        <v>9043</v>
      </c>
      <c r="E1100">
        <v>47</v>
      </c>
      <c r="F1100" t="s">
        <v>9114</v>
      </c>
      <c r="G1100">
        <v>3</v>
      </c>
      <c r="H1100" t="s">
        <v>9115</v>
      </c>
      <c r="I1100" s="45" t="s">
        <v>6754</v>
      </c>
      <c r="J1100" s="122">
        <v>45708</v>
      </c>
      <c r="K1100" s="110" t="str">
        <f t="shared" si="13"/>
        <v>https://Estud2024.sawtoothsoftware.com/cgi-bin/ciwweb.pl?studyname=Estud2024&amp;ID=1100</v>
      </c>
      <c r="L1100" s="113">
        <v>45712</v>
      </c>
      <c r="M1100" s="45" t="s">
        <v>246</v>
      </c>
    </row>
    <row r="1101" spans="1:13">
      <c r="A1101">
        <v>1101</v>
      </c>
      <c r="B1101" t="s">
        <v>77</v>
      </c>
      <c r="C1101">
        <v>2</v>
      </c>
      <c r="D1101" t="s">
        <v>9043</v>
      </c>
      <c r="E1101">
        <v>47</v>
      </c>
      <c r="F1101" t="s">
        <v>9116</v>
      </c>
      <c r="G1101">
        <v>3</v>
      </c>
      <c r="H1101" t="s">
        <v>9117</v>
      </c>
      <c r="I1101" s="45" t="s">
        <v>6754</v>
      </c>
      <c r="J1101" s="122">
        <v>45708</v>
      </c>
      <c r="K1101" s="110" t="str">
        <f t="shared" si="13"/>
        <v>https://Estud2024.sawtoothsoftware.com/cgi-bin/ciwweb.pl?studyname=Estud2024&amp;ID=1101</v>
      </c>
      <c r="L1101" s="113">
        <v>45712</v>
      </c>
      <c r="M1101" s="45" t="s">
        <v>247</v>
      </c>
    </row>
    <row r="1102" spans="1:13">
      <c r="A1102">
        <v>1102</v>
      </c>
      <c r="B1102" t="s">
        <v>77</v>
      </c>
      <c r="C1102">
        <v>2</v>
      </c>
      <c r="D1102" t="s">
        <v>9043</v>
      </c>
      <c r="E1102">
        <v>47</v>
      </c>
      <c r="F1102" t="s">
        <v>9118</v>
      </c>
      <c r="G1102">
        <v>3</v>
      </c>
      <c r="H1102" t="s">
        <v>9119</v>
      </c>
      <c r="I1102" s="45" t="s">
        <v>6754</v>
      </c>
      <c r="J1102" s="122">
        <v>45708</v>
      </c>
      <c r="K1102" s="110" t="str">
        <f t="shared" si="13"/>
        <v>https://Estud2024.sawtoothsoftware.com/cgi-bin/ciwweb.pl?studyname=Estud2024&amp;ID=1102</v>
      </c>
      <c r="L1102" s="113">
        <v>45712</v>
      </c>
      <c r="M1102" s="45" t="s">
        <v>246</v>
      </c>
    </row>
    <row r="1103" spans="1:13">
      <c r="A1103">
        <v>1103</v>
      </c>
      <c r="B1103" t="s">
        <v>77</v>
      </c>
      <c r="C1103">
        <v>2</v>
      </c>
      <c r="D1103" t="s">
        <v>9043</v>
      </c>
      <c r="E1103">
        <v>47</v>
      </c>
      <c r="F1103" t="s">
        <v>9120</v>
      </c>
      <c r="G1103">
        <v>3</v>
      </c>
      <c r="H1103" t="s">
        <v>9121</v>
      </c>
      <c r="I1103" s="45" t="s">
        <v>6754</v>
      </c>
      <c r="J1103" s="122">
        <v>45708</v>
      </c>
      <c r="K1103" s="110" t="str">
        <f t="shared" si="13"/>
        <v>https://Estud2024.sawtoothsoftware.com/cgi-bin/ciwweb.pl?studyname=Estud2024&amp;ID=1103</v>
      </c>
      <c r="L1103" s="113">
        <v>45712</v>
      </c>
      <c r="M1103" s="45" t="s">
        <v>246</v>
      </c>
    </row>
    <row r="1104" spans="1:13">
      <c r="A1104">
        <v>1104</v>
      </c>
      <c r="B1104" t="s">
        <v>77</v>
      </c>
      <c r="C1104">
        <v>2</v>
      </c>
      <c r="D1104" t="s">
        <v>9043</v>
      </c>
      <c r="E1104">
        <v>47</v>
      </c>
      <c r="F1104" t="s">
        <v>9122</v>
      </c>
      <c r="G1104">
        <v>3</v>
      </c>
      <c r="H1104" t="s">
        <v>9123</v>
      </c>
      <c r="I1104" s="45" t="s">
        <v>6754</v>
      </c>
      <c r="J1104" s="122">
        <v>45708</v>
      </c>
      <c r="K1104" s="110" t="str">
        <f t="shared" si="13"/>
        <v>https://Estud2024.sawtoothsoftware.com/cgi-bin/ciwweb.pl?studyname=Estud2024&amp;ID=1104</v>
      </c>
      <c r="L1104" s="113">
        <v>45712</v>
      </c>
      <c r="M1104" s="45" t="s">
        <v>246</v>
      </c>
    </row>
    <row r="1105" spans="1:13">
      <c r="A1105">
        <v>1105</v>
      </c>
      <c r="B1105" t="s">
        <v>77</v>
      </c>
      <c r="C1105">
        <v>2</v>
      </c>
      <c r="D1105" t="s">
        <v>9043</v>
      </c>
      <c r="E1105">
        <v>47</v>
      </c>
      <c r="F1105" t="s">
        <v>9124</v>
      </c>
      <c r="G1105">
        <v>3</v>
      </c>
      <c r="H1105" t="s">
        <v>8990</v>
      </c>
      <c r="I1105" s="45" t="s">
        <v>6754</v>
      </c>
      <c r="J1105" s="122">
        <v>45708</v>
      </c>
      <c r="K1105" s="110" t="str">
        <f t="shared" si="13"/>
        <v>https://Estud2024.sawtoothsoftware.com/cgi-bin/ciwweb.pl?studyname=Estud2024&amp;ID=1105</v>
      </c>
      <c r="L1105" s="113">
        <v>45712</v>
      </c>
      <c r="M1105" s="45" t="s">
        <v>246</v>
      </c>
    </row>
    <row r="1106" spans="1:13">
      <c r="A1106">
        <v>1106</v>
      </c>
      <c r="B1106" t="s">
        <v>77</v>
      </c>
      <c r="C1106">
        <v>2</v>
      </c>
      <c r="D1106" t="s">
        <v>9043</v>
      </c>
      <c r="E1106">
        <v>47</v>
      </c>
      <c r="F1106" t="s">
        <v>9125</v>
      </c>
      <c r="G1106">
        <v>3</v>
      </c>
      <c r="H1106" t="s">
        <v>9126</v>
      </c>
      <c r="I1106" s="45" t="s">
        <v>6754</v>
      </c>
      <c r="J1106" s="122">
        <v>45708</v>
      </c>
      <c r="K1106" s="110" t="str">
        <f t="shared" si="13"/>
        <v>https://Estud2024.sawtoothsoftware.com/cgi-bin/ciwweb.pl?studyname=Estud2024&amp;ID=1106</v>
      </c>
      <c r="L1106" s="113">
        <v>45712</v>
      </c>
      <c r="M1106" s="45" t="s">
        <v>246</v>
      </c>
    </row>
    <row r="1107" spans="1:13">
      <c r="A1107">
        <v>1107</v>
      </c>
      <c r="B1107" t="s">
        <v>77</v>
      </c>
      <c r="C1107">
        <v>2</v>
      </c>
      <c r="D1107" t="s">
        <v>9043</v>
      </c>
      <c r="E1107">
        <v>47</v>
      </c>
      <c r="F1107" t="s">
        <v>9127</v>
      </c>
      <c r="G1107">
        <v>3</v>
      </c>
      <c r="H1107" t="s">
        <v>9128</v>
      </c>
      <c r="I1107" s="45" t="s">
        <v>6754</v>
      </c>
      <c r="J1107" s="122">
        <v>45708</v>
      </c>
      <c r="K1107" s="110" t="str">
        <f t="shared" si="13"/>
        <v>https://Estud2024.sawtoothsoftware.com/cgi-bin/ciwweb.pl?studyname=Estud2024&amp;ID=1107</v>
      </c>
      <c r="L1107" s="113">
        <v>45712</v>
      </c>
      <c r="M1107" s="45" t="s">
        <v>246</v>
      </c>
    </row>
    <row r="1108" spans="1:13">
      <c r="A1108">
        <v>1108</v>
      </c>
      <c r="B1108" t="s">
        <v>77</v>
      </c>
      <c r="C1108">
        <v>2</v>
      </c>
      <c r="D1108" t="s">
        <v>9043</v>
      </c>
      <c r="E1108">
        <v>47</v>
      </c>
      <c r="F1108" t="s">
        <v>9129</v>
      </c>
      <c r="G1108">
        <v>3</v>
      </c>
      <c r="H1108" t="s">
        <v>9130</v>
      </c>
      <c r="I1108" s="45" t="s">
        <v>6754</v>
      </c>
      <c r="J1108" s="122">
        <v>45708</v>
      </c>
      <c r="K1108" s="110" t="str">
        <f t="shared" si="13"/>
        <v>https://Estud2024.sawtoothsoftware.com/cgi-bin/ciwweb.pl?studyname=Estud2024&amp;ID=1108</v>
      </c>
      <c r="L1108" s="113">
        <v>45712</v>
      </c>
      <c r="M1108" s="45" t="s">
        <v>246</v>
      </c>
    </row>
    <row r="1109" spans="1:13">
      <c r="A1109">
        <v>1109</v>
      </c>
      <c r="B1109" t="s">
        <v>77</v>
      </c>
      <c r="C1109">
        <v>2</v>
      </c>
      <c r="D1109" t="s">
        <v>9043</v>
      </c>
      <c r="E1109">
        <v>47</v>
      </c>
      <c r="F1109" t="s">
        <v>9131</v>
      </c>
      <c r="G1109">
        <v>3</v>
      </c>
      <c r="H1109" t="s">
        <v>9132</v>
      </c>
      <c r="I1109" s="45" t="s">
        <v>6754</v>
      </c>
      <c r="J1109" s="122">
        <v>45708</v>
      </c>
      <c r="K1109" s="110" t="str">
        <f t="shared" si="13"/>
        <v>https://Estud2024.sawtoothsoftware.com/cgi-bin/ciwweb.pl?studyname=Estud2024&amp;ID=1109</v>
      </c>
      <c r="L1109" s="113">
        <v>45712</v>
      </c>
      <c r="M1109" s="45" t="s">
        <v>246</v>
      </c>
    </row>
    <row r="1110" spans="1:13">
      <c r="A1110">
        <v>1110</v>
      </c>
      <c r="B1110" t="s">
        <v>77</v>
      </c>
      <c r="C1110">
        <v>2</v>
      </c>
      <c r="D1110" t="s">
        <v>9043</v>
      </c>
      <c r="E1110">
        <v>47</v>
      </c>
      <c r="F1110" t="s">
        <v>9133</v>
      </c>
      <c r="G1110">
        <v>3</v>
      </c>
      <c r="H1110" t="s">
        <v>9134</v>
      </c>
      <c r="I1110" s="45" t="s">
        <v>6754</v>
      </c>
      <c r="J1110" s="122">
        <v>45708</v>
      </c>
      <c r="K1110" s="110" t="str">
        <f t="shared" ref="K1110:K1173" si="14">CONCATENATE("https://Estud2024.sawtoothsoftware.com/cgi-bin/ciwweb.pl?studyname=Estud2024&amp;ID=",A1110)</f>
        <v>https://Estud2024.sawtoothsoftware.com/cgi-bin/ciwweb.pl?studyname=Estud2024&amp;ID=1110</v>
      </c>
      <c r="L1110" s="113">
        <v>45712</v>
      </c>
      <c r="M1110" s="45" t="s">
        <v>246</v>
      </c>
    </row>
    <row r="1111" spans="1:13">
      <c r="A1111">
        <v>1111</v>
      </c>
      <c r="B1111" t="s">
        <v>77</v>
      </c>
      <c r="C1111">
        <v>2</v>
      </c>
      <c r="D1111" t="s">
        <v>9043</v>
      </c>
      <c r="E1111">
        <v>47</v>
      </c>
      <c r="F1111" t="s">
        <v>9135</v>
      </c>
      <c r="G1111">
        <v>3</v>
      </c>
      <c r="H1111" t="s">
        <v>9136</v>
      </c>
      <c r="I1111" s="45" t="s">
        <v>6754</v>
      </c>
      <c r="J1111" s="122">
        <v>45708</v>
      </c>
      <c r="K1111" s="110" t="str">
        <f t="shared" si="14"/>
        <v>https://Estud2024.sawtoothsoftware.com/cgi-bin/ciwweb.pl?studyname=Estud2024&amp;ID=1111</v>
      </c>
      <c r="L1111" s="113">
        <v>45712</v>
      </c>
      <c r="M1111" s="45" t="s">
        <v>247</v>
      </c>
    </row>
    <row r="1112" spans="1:13">
      <c r="A1112">
        <v>1112</v>
      </c>
      <c r="B1112" t="s">
        <v>77</v>
      </c>
      <c r="C1112">
        <v>2</v>
      </c>
      <c r="D1112" t="s">
        <v>9043</v>
      </c>
      <c r="E1112">
        <v>47</v>
      </c>
      <c r="F1112" t="s">
        <v>9137</v>
      </c>
      <c r="G1112">
        <v>3</v>
      </c>
      <c r="H1112" t="s">
        <v>9138</v>
      </c>
      <c r="I1112" s="45" t="s">
        <v>6754</v>
      </c>
      <c r="J1112" s="122">
        <v>45708</v>
      </c>
      <c r="K1112" s="110" t="str">
        <f t="shared" si="14"/>
        <v>https://Estud2024.sawtoothsoftware.com/cgi-bin/ciwweb.pl?studyname=Estud2024&amp;ID=1112</v>
      </c>
      <c r="L1112" s="113">
        <v>45712</v>
      </c>
      <c r="M1112" s="45" t="s">
        <v>246</v>
      </c>
    </row>
    <row r="1113" spans="1:13">
      <c r="A1113">
        <v>1113</v>
      </c>
      <c r="B1113" t="s">
        <v>77</v>
      </c>
      <c r="C1113">
        <v>2</v>
      </c>
      <c r="D1113" t="s">
        <v>9043</v>
      </c>
      <c r="E1113">
        <v>47</v>
      </c>
      <c r="F1113" t="s">
        <v>9139</v>
      </c>
      <c r="G1113">
        <v>3</v>
      </c>
      <c r="H1113" t="s">
        <v>9140</v>
      </c>
      <c r="I1113" s="45" t="s">
        <v>6754</v>
      </c>
      <c r="J1113" s="122">
        <v>45708</v>
      </c>
      <c r="K1113" s="110" t="str">
        <f t="shared" si="14"/>
        <v>https://Estud2024.sawtoothsoftware.com/cgi-bin/ciwweb.pl?studyname=Estud2024&amp;ID=1113</v>
      </c>
      <c r="L1113" s="113">
        <v>45712</v>
      </c>
      <c r="M1113" s="45" t="s">
        <v>246</v>
      </c>
    </row>
    <row r="1114" spans="1:13">
      <c r="A1114">
        <v>1114</v>
      </c>
      <c r="B1114" t="s">
        <v>77</v>
      </c>
      <c r="C1114">
        <v>2</v>
      </c>
      <c r="D1114" t="s">
        <v>9141</v>
      </c>
      <c r="E1114">
        <v>49</v>
      </c>
      <c r="F1114" t="s">
        <v>9142</v>
      </c>
      <c r="G1114">
        <v>2</v>
      </c>
      <c r="H1114" t="s">
        <v>9143</v>
      </c>
      <c r="I1114" s="45" t="s">
        <v>6754</v>
      </c>
      <c r="J1114" s="122">
        <v>45708</v>
      </c>
      <c r="K1114" s="110" t="str">
        <f t="shared" si="14"/>
        <v>https://Estud2024.sawtoothsoftware.com/cgi-bin/ciwweb.pl?studyname=Estud2024&amp;ID=1114</v>
      </c>
      <c r="L1114" s="113">
        <v>45712</v>
      </c>
      <c r="M1114" s="45" t="s">
        <v>246</v>
      </c>
    </row>
    <row r="1115" spans="1:13">
      <c r="A1115">
        <v>1115</v>
      </c>
      <c r="B1115" t="s">
        <v>77</v>
      </c>
      <c r="C1115">
        <v>2</v>
      </c>
      <c r="D1115" t="s">
        <v>9141</v>
      </c>
      <c r="E1115">
        <v>49</v>
      </c>
      <c r="F1115" t="s">
        <v>9144</v>
      </c>
      <c r="G1115">
        <v>2</v>
      </c>
      <c r="H1115" t="s">
        <v>9145</v>
      </c>
      <c r="I1115" s="45" t="s">
        <v>6754</v>
      </c>
      <c r="J1115" s="122">
        <v>45708</v>
      </c>
      <c r="K1115" s="110" t="str">
        <f t="shared" si="14"/>
        <v>https://Estud2024.sawtoothsoftware.com/cgi-bin/ciwweb.pl?studyname=Estud2024&amp;ID=1115</v>
      </c>
      <c r="L1115" s="113">
        <v>45712</v>
      </c>
      <c r="M1115" s="45" t="s">
        <v>246</v>
      </c>
    </row>
    <row r="1116" spans="1:13">
      <c r="A1116">
        <v>1116</v>
      </c>
      <c r="B1116" t="s">
        <v>77</v>
      </c>
      <c r="C1116">
        <v>2</v>
      </c>
      <c r="D1116" t="s">
        <v>9141</v>
      </c>
      <c r="E1116">
        <v>49</v>
      </c>
      <c r="F1116" t="s">
        <v>9146</v>
      </c>
      <c r="G1116">
        <v>2</v>
      </c>
      <c r="H1116" t="s">
        <v>9147</v>
      </c>
      <c r="I1116" s="45" t="s">
        <v>6754</v>
      </c>
      <c r="J1116" s="122">
        <v>45708</v>
      </c>
      <c r="K1116" s="110" t="str">
        <f t="shared" si="14"/>
        <v>https://Estud2024.sawtoothsoftware.com/cgi-bin/ciwweb.pl?studyname=Estud2024&amp;ID=1116</v>
      </c>
      <c r="L1116" s="113">
        <v>45712</v>
      </c>
      <c r="M1116" s="45" t="s">
        <v>246</v>
      </c>
    </row>
    <row r="1117" spans="1:13">
      <c r="A1117">
        <v>1117</v>
      </c>
      <c r="B1117" t="s">
        <v>77</v>
      </c>
      <c r="C1117">
        <v>2</v>
      </c>
      <c r="D1117" t="s">
        <v>9141</v>
      </c>
      <c r="E1117">
        <v>49</v>
      </c>
      <c r="F1117" t="s">
        <v>9148</v>
      </c>
      <c r="G1117">
        <v>2</v>
      </c>
      <c r="H1117" t="s">
        <v>9149</v>
      </c>
      <c r="I1117" s="45" t="s">
        <v>6754</v>
      </c>
      <c r="J1117" s="122">
        <v>45708</v>
      </c>
      <c r="K1117" s="110" t="str">
        <f t="shared" si="14"/>
        <v>https://Estud2024.sawtoothsoftware.com/cgi-bin/ciwweb.pl?studyname=Estud2024&amp;ID=1117</v>
      </c>
      <c r="L1117" s="113">
        <v>45712</v>
      </c>
      <c r="M1117" s="45" t="s">
        <v>246</v>
      </c>
    </row>
    <row r="1118" spans="1:13">
      <c r="A1118">
        <v>1118</v>
      </c>
      <c r="B1118" t="s">
        <v>77</v>
      </c>
      <c r="C1118">
        <v>2</v>
      </c>
      <c r="D1118" t="s">
        <v>9141</v>
      </c>
      <c r="E1118">
        <v>49</v>
      </c>
      <c r="F1118" t="s">
        <v>9150</v>
      </c>
      <c r="G1118">
        <v>2</v>
      </c>
      <c r="H1118" t="s">
        <v>9151</v>
      </c>
      <c r="I1118" s="45" t="s">
        <v>6754</v>
      </c>
      <c r="J1118" s="122">
        <v>45708</v>
      </c>
      <c r="K1118" s="110" t="str">
        <f t="shared" si="14"/>
        <v>https://Estud2024.sawtoothsoftware.com/cgi-bin/ciwweb.pl?studyname=Estud2024&amp;ID=1118</v>
      </c>
      <c r="L1118" s="113">
        <v>45712</v>
      </c>
      <c r="M1118" s="45" t="s">
        <v>246</v>
      </c>
    </row>
    <row r="1119" spans="1:13">
      <c r="A1119">
        <v>1119</v>
      </c>
      <c r="B1119" t="s">
        <v>77</v>
      </c>
      <c r="C1119">
        <v>2</v>
      </c>
      <c r="D1119" t="s">
        <v>9141</v>
      </c>
      <c r="E1119">
        <v>49</v>
      </c>
      <c r="F1119" t="s">
        <v>9152</v>
      </c>
      <c r="G1119">
        <v>2</v>
      </c>
      <c r="H1119" t="s">
        <v>9153</v>
      </c>
      <c r="I1119" s="45" t="s">
        <v>6754</v>
      </c>
      <c r="J1119" s="122">
        <v>45708</v>
      </c>
      <c r="K1119" s="110" t="str">
        <f t="shared" si="14"/>
        <v>https://Estud2024.sawtoothsoftware.com/cgi-bin/ciwweb.pl?studyname=Estud2024&amp;ID=1119</v>
      </c>
      <c r="L1119" s="113">
        <v>45712</v>
      </c>
      <c r="M1119" s="45" t="s">
        <v>246</v>
      </c>
    </row>
    <row r="1120" spans="1:13">
      <c r="A1120">
        <v>1120</v>
      </c>
      <c r="B1120" t="s">
        <v>77</v>
      </c>
      <c r="C1120">
        <v>2</v>
      </c>
      <c r="D1120" t="s">
        <v>9141</v>
      </c>
      <c r="E1120">
        <v>49</v>
      </c>
      <c r="F1120" t="s">
        <v>9154</v>
      </c>
      <c r="G1120">
        <v>2</v>
      </c>
      <c r="H1120" t="s">
        <v>9155</v>
      </c>
      <c r="I1120" s="45" t="s">
        <v>6754</v>
      </c>
      <c r="J1120" s="122">
        <v>45708</v>
      </c>
      <c r="K1120" s="110" t="str">
        <f t="shared" si="14"/>
        <v>https://Estud2024.sawtoothsoftware.com/cgi-bin/ciwweb.pl?studyname=Estud2024&amp;ID=1120</v>
      </c>
      <c r="L1120" s="113">
        <v>45712</v>
      </c>
      <c r="M1120" s="45" t="s">
        <v>246</v>
      </c>
    </row>
    <row r="1121" spans="1:13">
      <c r="A1121">
        <v>1121</v>
      </c>
      <c r="B1121" t="s">
        <v>77</v>
      </c>
      <c r="C1121">
        <v>2</v>
      </c>
      <c r="D1121" t="s">
        <v>9141</v>
      </c>
      <c r="E1121">
        <v>49</v>
      </c>
      <c r="F1121" t="s">
        <v>9156</v>
      </c>
      <c r="G1121">
        <v>2</v>
      </c>
      <c r="H1121" t="s">
        <v>9157</v>
      </c>
      <c r="I1121" s="45" t="s">
        <v>6754</v>
      </c>
      <c r="J1121" s="122">
        <v>45708</v>
      </c>
      <c r="K1121" s="110" t="str">
        <f t="shared" si="14"/>
        <v>https://Estud2024.sawtoothsoftware.com/cgi-bin/ciwweb.pl?studyname=Estud2024&amp;ID=1121</v>
      </c>
      <c r="L1121" s="113">
        <v>45712</v>
      </c>
      <c r="M1121" s="45" t="s">
        <v>246</v>
      </c>
    </row>
    <row r="1122" spans="1:13">
      <c r="A1122">
        <v>1122</v>
      </c>
      <c r="B1122" t="s">
        <v>77</v>
      </c>
      <c r="C1122">
        <v>2</v>
      </c>
      <c r="D1122" t="s">
        <v>9141</v>
      </c>
      <c r="E1122">
        <v>49</v>
      </c>
      <c r="F1122" t="s">
        <v>9158</v>
      </c>
      <c r="G1122">
        <v>2</v>
      </c>
      <c r="H1122" t="s">
        <v>9159</v>
      </c>
      <c r="I1122" s="45" t="s">
        <v>6754</v>
      </c>
      <c r="J1122" s="122">
        <v>45708</v>
      </c>
      <c r="K1122" s="110" t="str">
        <f t="shared" si="14"/>
        <v>https://Estud2024.sawtoothsoftware.com/cgi-bin/ciwweb.pl?studyname=Estud2024&amp;ID=1122</v>
      </c>
      <c r="L1122" s="113">
        <v>45712</v>
      </c>
      <c r="M1122" s="45" t="s">
        <v>246</v>
      </c>
    </row>
    <row r="1123" spans="1:13">
      <c r="A1123">
        <v>1123</v>
      </c>
      <c r="B1123" t="s">
        <v>77</v>
      </c>
      <c r="C1123">
        <v>2</v>
      </c>
      <c r="D1123" t="s">
        <v>9141</v>
      </c>
      <c r="E1123">
        <v>49</v>
      </c>
      <c r="F1123" t="s">
        <v>9160</v>
      </c>
      <c r="G1123">
        <v>2</v>
      </c>
      <c r="H1123" t="s">
        <v>9161</v>
      </c>
      <c r="I1123" s="45" t="s">
        <v>6754</v>
      </c>
      <c r="J1123" s="122">
        <v>45708</v>
      </c>
      <c r="K1123" s="110" t="str">
        <f t="shared" si="14"/>
        <v>https://Estud2024.sawtoothsoftware.com/cgi-bin/ciwweb.pl?studyname=Estud2024&amp;ID=1123</v>
      </c>
      <c r="L1123" s="113">
        <v>45712</v>
      </c>
      <c r="M1123" s="45" t="s">
        <v>246</v>
      </c>
    </row>
    <row r="1124" spans="1:13">
      <c r="A1124">
        <v>1124</v>
      </c>
      <c r="B1124" t="s">
        <v>77</v>
      </c>
      <c r="C1124">
        <v>2</v>
      </c>
      <c r="D1124" t="s">
        <v>9141</v>
      </c>
      <c r="E1124">
        <v>49</v>
      </c>
      <c r="F1124" t="s">
        <v>9162</v>
      </c>
      <c r="G1124">
        <v>2</v>
      </c>
      <c r="H1124" t="s">
        <v>9163</v>
      </c>
      <c r="I1124" s="45" t="s">
        <v>6754</v>
      </c>
      <c r="J1124" s="122">
        <v>45708</v>
      </c>
      <c r="K1124" s="110" t="str">
        <f t="shared" si="14"/>
        <v>https://Estud2024.sawtoothsoftware.com/cgi-bin/ciwweb.pl?studyname=Estud2024&amp;ID=1124</v>
      </c>
      <c r="L1124" s="113">
        <v>45712</v>
      </c>
      <c r="M1124" s="45" t="s">
        <v>246</v>
      </c>
    </row>
    <row r="1125" spans="1:13">
      <c r="A1125">
        <v>1125</v>
      </c>
      <c r="B1125" t="s">
        <v>77</v>
      </c>
      <c r="C1125">
        <v>2</v>
      </c>
      <c r="D1125" t="s">
        <v>9141</v>
      </c>
      <c r="E1125">
        <v>49</v>
      </c>
      <c r="F1125" t="s">
        <v>9164</v>
      </c>
      <c r="G1125">
        <v>2</v>
      </c>
      <c r="H1125" t="s">
        <v>9165</v>
      </c>
      <c r="I1125" s="45" t="s">
        <v>6754</v>
      </c>
      <c r="J1125" s="122">
        <v>45708</v>
      </c>
      <c r="K1125" s="110" t="str">
        <f t="shared" si="14"/>
        <v>https://Estud2024.sawtoothsoftware.com/cgi-bin/ciwweb.pl?studyname=Estud2024&amp;ID=1125</v>
      </c>
      <c r="L1125" s="113">
        <v>45712</v>
      </c>
      <c r="M1125" s="45" t="s">
        <v>246</v>
      </c>
    </row>
    <row r="1126" spans="1:13">
      <c r="A1126">
        <v>1126</v>
      </c>
      <c r="B1126" t="s">
        <v>77</v>
      </c>
      <c r="C1126">
        <v>2</v>
      </c>
      <c r="D1126" t="s">
        <v>9141</v>
      </c>
      <c r="E1126">
        <v>49</v>
      </c>
      <c r="F1126" t="s">
        <v>9166</v>
      </c>
      <c r="G1126">
        <v>2</v>
      </c>
      <c r="H1126" t="s">
        <v>9167</v>
      </c>
      <c r="I1126" s="45" t="s">
        <v>6754</v>
      </c>
      <c r="J1126" s="122">
        <v>45708</v>
      </c>
      <c r="K1126" s="110" t="str">
        <f t="shared" si="14"/>
        <v>https://Estud2024.sawtoothsoftware.com/cgi-bin/ciwweb.pl?studyname=Estud2024&amp;ID=1126</v>
      </c>
      <c r="L1126" s="113">
        <v>45712</v>
      </c>
      <c r="M1126" s="45" t="s">
        <v>246</v>
      </c>
    </row>
    <row r="1127" spans="1:13">
      <c r="A1127">
        <v>1127</v>
      </c>
      <c r="B1127" t="s">
        <v>77</v>
      </c>
      <c r="C1127">
        <v>2</v>
      </c>
      <c r="D1127" t="s">
        <v>9141</v>
      </c>
      <c r="E1127">
        <v>49</v>
      </c>
      <c r="F1127" t="s">
        <v>9168</v>
      </c>
      <c r="G1127">
        <v>2</v>
      </c>
      <c r="H1127" t="s">
        <v>9169</v>
      </c>
      <c r="I1127" s="45" t="s">
        <v>6754</v>
      </c>
      <c r="J1127" s="122">
        <v>45708</v>
      </c>
      <c r="K1127" s="110" t="str">
        <f t="shared" si="14"/>
        <v>https://Estud2024.sawtoothsoftware.com/cgi-bin/ciwweb.pl?studyname=Estud2024&amp;ID=1127</v>
      </c>
      <c r="L1127" s="113">
        <v>45712</v>
      </c>
      <c r="M1127" s="45" t="s">
        <v>246</v>
      </c>
    </row>
    <row r="1128" spans="1:13">
      <c r="A1128">
        <v>1128</v>
      </c>
      <c r="B1128" t="s">
        <v>77</v>
      </c>
      <c r="C1128">
        <v>2</v>
      </c>
      <c r="D1128" t="s">
        <v>9141</v>
      </c>
      <c r="E1128">
        <v>49</v>
      </c>
      <c r="F1128" t="s">
        <v>9170</v>
      </c>
      <c r="G1128">
        <v>2</v>
      </c>
      <c r="H1128" t="s">
        <v>9171</v>
      </c>
      <c r="I1128" s="45" t="s">
        <v>6754</v>
      </c>
      <c r="J1128" s="122">
        <v>45708</v>
      </c>
      <c r="K1128" s="110" t="str">
        <f t="shared" si="14"/>
        <v>https://Estud2024.sawtoothsoftware.com/cgi-bin/ciwweb.pl?studyname=Estud2024&amp;ID=1128</v>
      </c>
      <c r="L1128" s="113">
        <v>45712</v>
      </c>
      <c r="M1128" s="45" t="s">
        <v>246</v>
      </c>
    </row>
    <row r="1129" spans="1:13">
      <c r="A1129">
        <v>1129</v>
      </c>
      <c r="B1129" t="s">
        <v>77</v>
      </c>
      <c r="C1129">
        <v>2</v>
      </c>
      <c r="D1129" t="s">
        <v>9141</v>
      </c>
      <c r="E1129">
        <v>49</v>
      </c>
      <c r="F1129" t="s">
        <v>9172</v>
      </c>
      <c r="G1129">
        <v>2</v>
      </c>
      <c r="H1129" t="s">
        <v>9173</v>
      </c>
      <c r="I1129" s="45" t="s">
        <v>6754</v>
      </c>
      <c r="J1129" s="122">
        <v>45708</v>
      </c>
      <c r="K1129" s="110" t="str">
        <f t="shared" si="14"/>
        <v>https://Estud2024.sawtoothsoftware.com/cgi-bin/ciwweb.pl?studyname=Estud2024&amp;ID=1129</v>
      </c>
      <c r="L1129" s="113">
        <v>45712</v>
      </c>
      <c r="M1129" s="45" t="s">
        <v>246</v>
      </c>
    </row>
    <row r="1130" spans="1:13">
      <c r="A1130">
        <v>1130</v>
      </c>
      <c r="B1130" t="s">
        <v>77</v>
      </c>
      <c r="C1130">
        <v>2</v>
      </c>
      <c r="D1130" t="s">
        <v>9141</v>
      </c>
      <c r="E1130">
        <v>49</v>
      </c>
      <c r="F1130" t="s">
        <v>9174</v>
      </c>
      <c r="G1130">
        <v>3</v>
      </c>
      <c r="H1130" t="s">
        <v>9175</v>
      </c>
      <c r="I1130" s="45" t="s">
        <v>6754</v>
      </c>
      <c r="J1130" s="122">
        <v>45708</v>
      </c>
      <c r="K1130" s="110" t="str">
        <f t="shared" si="14"/>
        <v>https://Estud2024.sawtoothsoftware.com/cgi-bin/ciwweb.pl?studyname=Estud2024&amp;ID=1130</v>
      </c>
      <c r="L1130" s="113">
        <v>45712</v>
      </c>
      <c r="M1130" s="45" t="s">
        <v>246</v>
      </c>
    </row>
    <row r="1131" spans="1:13">
      <c r="A1131">
        <v>1131</v>
      </c>
      <c r="B1131" t="s">
        <v>77</v>
      </c>
      <c r="C1131">
        <v>2</v>
      </c>
      <c r="D1131" t="s">
        <v>9141</v>
      </c>
      <c r="E1131">
        <v>49</v>
      </c>
      <c r="F1131" t="s">
        <v>9176</v>
      </c>
      <c r="G1131">
        <v>3</v>
      </c>
      <c r="H1131" t="s">
        <v>9177</v>
      </c>
      <c r="I1131" s="45" t="s">
        <v>6754</v>
      </c>
      <c r="J1131" s="122">
        <v>45708</v>
      </c>
      <c r="K1131" s="110" t="str">
        <f t="shared" si="14"/>
        <v>https://Estud2024.sawtoothsoftware.com/cgi-bin/ciwweb.pl?studyname=Estud2024&amp;ID=1131</v>
      </c>
      <c r="L1131" s="113">
        <v>45712</v>
      </c>
      <c r="M1131" s="45" t="s">
        <v>246</v>
      </c>
    </row>
    <row r="1132" spans="1:13">
      <c r="A1132">
        <v>1132</v>
      </c>
      <c r="B1132" t="s">
        <v>77</v>
      </c>
      <c r="C1132">
        <v>2</v>
      </c>
      <c r="D1132" t="s">
        <v>9141</v>
      </c>
      <c r="E1132">
        <v>49</v>
      </c>
      <c r="F1132" t="s">
        <v>9178</v>
      </c>
      <c r="G1132">
        <v>3</v>
      </c>
      <c r="H1132" t="s">
        <v>9179</v>
      </c>
      <c r="I1132" s="45" t="s">
        <v>6754</v>
      </c>
      <c r="J1132" s="122">
        <v>45708</v>
      </c>
      <c r="K1132" s="110" t="str">
        <f t="shared" si="14"/>
        <v>https://Estud2024.sawtoothsoftware.com/cgi-bin/ciwweb.pl?studyname=Estud2024&amp;ID=1132</v>
      </c>
      <c r="L1132" s="113">
        <v>45712</v>
      </c>
      <c r="M1132" s="45" t="s">
        <v>246</v>
      </c>
    </row>
    <row r="1133" spans="1:13">
      <c r="A1133">
        <v>1133</v>
      </c>
      <c r="B1133" t="s">
        <v>77</v>
      </c>
      <c r="C1133">
        <v>2</v>
      </c>
      <c r="D1133" t="s">
        <v>9141</v>
      </c>
      <c r="E1133">
        <v>49</v>
      </c>
      <c r="F1133" t="s">
        <v>9180</v>
      </c>
      <c r="G1133">
        <v>3</v>
      </c>
      <c r="H1133" t="s">
        <v>9181</v>
      </c>
      <c r="I1133" s="45" t="s">
        <v>6754</v>
      </c>
      <c r="J1133" s="122">
        <v>45708</v>
      </c>
      <c r="K1133" s="110" t="str">
        <f t="shared" si="14"/>
        <v>https://Estud2024.sawtoothsoftware.com/cgi-bin/ciwweb.pl?studyname=Estud2024&amp;ID=1133</v>
      </c>
      <c r="L1133" s="113">
        <v>45712</v>
      </c>
      <c r="M1133" s="45" t="s">
        <v>246</v>
      </c>
    </row>
    <row r="1134" spans="1:13">
      <c r="A1134">
        <v>1134</v>
      </c>
      <c r="B1134" t="s">
        <v>77</v>
      </c>
      <c r="C1134">
        <v>2</v>
      </c>
      <c r="D1134" t="s">
        <v>9141</v>
      </c>
      <c r="E1134">
        <v>49</v>
      </c>
      <c r="F1134" t="s">
        <v>9182</v>
      </c>
      <c r="G1134">
        <v>3</v>
      </c>
      <c r="H1134" t="s">
        <v>9183</v>
      </c>
      <c r="I1134" s="45" t="s">
        <v>6754</v>
      </c>
      <c r="J1134" s="122">
        <v>45708</v>
      </c>
      <c r="K1134" s="110" t="str">
        <f t="shared" si="14"/>
        <v>https://Estud2024.sawtoothsoftware.com/cgi-bin/ciwweb.pl?studyname=Estud2024&amp;ID=1134</v>
      </c>
      <c r="L1134" s="113">
        <v>45712</v>
      </c>
      <c r="M1134" s="45" t="s">
        <v>246</v>
      </c>
    </row>
    <row r="1135" spans="1:13">
      <c r="A1135">
        <v>1135</v>
      </c>
      <c r="B1135" t="s">
        <v>77</v>
      </c>
      <c r="C1135">
        <v>2</v>
      </c>
      <c r="D1135" t="s">
        <v>9141</v>
      </c>
      <c r="E1135">
        <v>49</v>
      </c>
      <c r="F1135" t="s">
        <v>9184</v>
      </c>
      <c r="G1135">
        <v>3</v>
      </c>
      <c r="H1135" t="s">
        <v>9185</v>
      </c>
      <c r="I1135" s="45" t="s">
        <v>6754</v>
      </c>
      <c r="J1135" s="122">
        <v>45708</v>
      </c>
      <c r="K1135" s="110" t="str">
        <f t="shared" si="14"/>
        <v>https://Estud2024.sawtoothsoftware.com/cgi-bin/ciwweb.pl?studyname=Estud2024&amp;ID=1135</v>
      </c>
      <c r="L1135" s="113">
        <v>45712</v>
      </c>
      <c r="M1135" s="45" t="s">
        <v>246</v>
      </c>
    </row>
    <row r="1136" spans="1:13">
      <c r="A1136">
        <v>1136</v>
      </c>
      <c r="B1136" t="s">
        <v>77</v>
      </c>
      <c r="C1136">
        <v>2</v>
      </c>
      <c r="D1136" t="s">
        <v>9141</v>
      </c>
      <c r="E1136">
        <v>49</v>
      </c>
      <c r="F1136" t="s">
        <v>9186</v>
      </c>
      <c r="G1136">
        <v>3</v>
      </c>
      <c r="H1136" t="s">
        <v>9187</v>
      </c>
      <c r="I1136" s="45" t="s">
        <v>6754</v>
      </c>
      <c r="J1136" s="122">
        <v>45708</v>
      </c>
      <c r="K1136" s="110" t="str">
        <f t="shared" si="14"/>
        <v>https://Estud2024.sawtoothsoftware.com/cgi-bin/ciwweb.pl?studyname=Estud2024&amp;ID=1136</v>
      </c>
      <c r="L1136" s="113">
        <v>45712</v>
      </c>
      <c r="M1136" s="45" t="s">
        <v>246</v>
      </c>
    </row>
    <row r="1137" spans="1:13">
      <c r="A1137">
        <v>1137</v>
      </c>
      <c r="B1137" t="s">
        <v>77</v>
      </c>
      <c r="C1137">
        <v>2</v>
      </c>
      <c r="D1137" t="s">
        <v>9141</v>
      </c>
      <c r="E1137">
        <v>49</v>
      </c>
      <c r="F1137" t="s">
        <v>9188</v>
      </c>
      <c r="G1137">
        <v>3</v>
      </c>
      <c r="H1137" t="s">
        <v>9189</v>
      </c>
      <c r="I1137" s="45" t="s">
        <v>6754</v>
      </c>
      <c r="J1137" s="122">
        <v>45708</v>
      </c>
      <c r="K1137" s="110" t="str">
        <f t="shared" si="14"/>
        <v>https://Estud2024.sawtoothsoftware.com/cgi-bin/ciwweb.pl?studyname=Estud2024&amp;ID=1137</v>
      </c>
      <c r="L1137" s="113">
        <v>45712</v>
      </c>
      <c r="M1137" s="45" t="s">
        <v>246</v>
      </c>
    </row>
    <row r="1138" spans="1:13">
      <c r="A1138">
        <v>1138</v>
      </c>
      <c r="B1138" t="s">
        <v>77</v>
      </c>
      <c r="C1138">
        <v>2</v>
      </c>
      <c r="D1138" t="s">
        <v>9141</v>
      </c>
      <c r="E1138">
        <v>49</v>
      </c>
      <c r="F1138" t="s">
        <v>9190</v>
      </c>
      <c r="G1138">
        <v>3</v>
      </c>
      <c r="H1138" t="s">
        <v>9191</v>
      </c>
      <c r="I1138" s="45" t="s">
        <v>6754</v>
      </c>
      <c r="J1138" s="122">
        <v>45708</v>
      </c>
      <c r="K1138" s="110" t="str">
        <f t="shared" si="14"/>
        <v>https://Estud2024.sawtoothsoftware.com/cgi-bin/ciwweb.pl?studyname=Estud2024&amp;ID=1138</v>
      </c>
      <c r="L1138" s="113">
        <v>45712</v>
      </c>
      <c r="M1138" s="45" t="s">
        <v>246</v>
      </c>
    </row>
    <row r="1139" spans="1:13">
      <c r="A1139">
        <v>1139</v>
      </c>
      <c r="B1139" t="s">
        <v>77</v>
      </c>
      <c r="C1139">
        <v>2</v>
      </c>
      <c r="D1139" t="s">
        <v>9141</v>
      </c>
      <c r="E1139">
        <v>49</v>
      </c>
      <c r="F1139" t="s">
        <v>9192</v>
      </c>
      <c r="G1139">
        <v>3</v>
      </c>
      <c r="H1139" t="s">
        <v>9193</v>
      </c>
      <c r="I1139" s="45" t="s">
        <v>6754</v>
      </c>
      <c r="J1139" s="122">
        <v>45708</v>
      </c>
      <c r="K1139" s="110" t="str">
        <f t="shared" si="14"/>
        <v>https://Estud2024.sawtoothsoftware.com/cgi-bin/ciwweb.pl?studyname=Estud2024&amp;ID=1139</v>
      </c>
      <c r="L1139" s="113">
        <v>45712</v>
      </c>
      <c r="M1139" s="45" t="s">
        <v>246</v>
      </c>
    </row>
    <row r="1140" spans="1:13">
      <c r="A1140">
        <v>1140</v>
      </c>
      <c r="B1140" t="s">
        <v>77</v>
      </c>
      <c r="C1140">
        <v>2</v>
      </c>
      <c r="D1140" t="s">
        <v>9141</v>
      </c>
      <c r="E1140">
        <v>49</v>
      </c>
      <c r="F1140" t="s">
        <v>9194</v>
      </c>
      <c r="G1140">
        <v>3</v>
      </c>
      <c r="H1140" t="s">
        <v>9195</v>
      </c>
      <c r="I1140" s="45" t="s">
        <v>6754</v>
      </c>
      <c r="J1140" s="122">
        <v>45708</v>
      </c>
      <c r="K1140" s="110" t="str">
        <f t="shared" si="14"/>
        <v>https://Estud2024.sawtoothsoftware.com/cgi-bin/ciwweb.pl?studyname=Estud2024&amp;ID=1140</v>
      </c>
      <c r="L1140" s="113">
        <v>45712</v>
      </c>
      <c r="M1140" s="45" t="s">
        <v>246</v>
      </c>
    </row>
    <row r="1141" spans="1:13">
      <c r="A1141">
        <v>1141</v>
      </c>
      <c r="B1141" t="s">
        <v>77</v>
      </c>
      <c r="C1141">
        <v>2</v>
      </c>
      <c r="D1141" t="s">
        <v>9141</v>
      </c>
      <c r="E1141">
        <v>49</v>
      </c>
      <c r="F1141" t="s">
        <v>9196</v>
      </c>
      <c r="G1141">
        <v>3</v>
      </c>
      <c r="H1141" t="s">
        <v>9197</v>
      </c>
      <c r="I1141" s="45" t="s">
        <v>6754</v>
      </c>
      <c r="J1141" s="122">
        <v>45708</v>
      </c>
      <c r="K1141" s="110" t="str">
        <f t="shared" si="14"/>
        <v>https://Estud2024.sawtoothsoftware.com/cgi-bin/ciwweb.pl?studyname=Estud2024&amp;ID=1141</v>
      </c>
      <c r="L1141" s="113">
        <v>45712</v>
      </c>
      <c r="M1141" s="45" t="s">
        <v>247</v>
      </c>
    </row>
    <row r="1142" spans="1:13">
      <c r="A1142">
        <v>1142</v>
      </c>
      <c r="B1142" t="s">
        <v>77</v>
      </c>
      <c r="C1142">
        <v>2</v>
      </c>
      <c r="D1142" t="s">
        <v>9141</v>
      </c>
      <c r="E1142">
        <v>49</v>
      </c>
      <c r="F1142" t="s">
        <v>9198</v>
      </c>
      <c r="G1142">
        <v>3</v>
      </c>
      <c r="H1142" t="s">
        <v>9199</v>
      </c>
      <c r="I1142" s="45" t="s">
        <v>6754</v>
      </c>
      <c r="J1142" s="122">
        <v>45708</v>
      </c>
      <c r="K1142" s="110" t="str">
        <f t="shared" si="14"/>
        <v>https://Estud2024.sawtoothsoftware.com/cgi-bin/ciwweb.pl?studyname=Estud2024&amp;ID=1142</v>
      </c>
      <c r="L1142" s="113">
        <v>45712</v>
      </c>
      <c r="M1142" s="45" t="s">
        <v>246</v>
      </c>
    </row>
    <row r="1143" spans="1:13">
      <c r="A1143">
        <v>1143</v>
      </c>
      <c r="B1143" t="s">
        <v>77</v>
      </c>
      <c r="C1143">
        <v>2</v>
      </c>
      <c r="D1143" t="s">
        <v>9141</v>
      </c>
      <c r="E1143">
        <v>49</v>
      </c>
      <c r="F1143" t="s">
        <v>9200</v>
      </c>
      <c r="G1143">
        <v>3</v>
      </c>
      <c r="H1143" t="s">
        <v>9201</v>
      </c>
      <c r="I1143" s="45" t="s">
        <v>6754</v>
      </c>
      <c r="J1143" s="122">
        <v>45708</v>
      </c>
      <c r="K1143" s="110" t="str">
        <f t="shared" si="14"/>
        <v>https://Estud2024.sawtoothsoftware.com/cgi-bin/ciwweb.pl?studyname=Estud2024&amp;ID=1143</v>
      </c>
      <c r="L1143" s="113">
        <v>45712</v>
      </c>
      <c r="M1143" s="45" t="s">
        <v>246</v>
      </c>
    </row>
    <row r="1144" spans="1:13">
      <c r="A1144">
        <v>1144</v>
      </c>
      <c r="B1144" t="s">
        <v>77</v>
      </c>
      <c r="C1144">
        <v>2</v>
      </c>
      <c r="D1144" t="s">
        <v>9141</v>
      </c>
      <c r="E1144">
        <v>49</v>
      </c>
      <c r="F1144" t="s">
        <v>9202</v>
      </c>
      <c r="G1144">
        <v>3</v>
      </c>
      <c r="H1144" t="s">
        <v>9203</v>
      </c>
      <c r="I1144" s="45" t="s">
        <v>6754</v>
      </c>
      <c r="J1144" s="122">
        <v>45708</v>
      </c>
      <c r="K1144" s="110" t="str">
        <f t="shared" si="14"/>
        <v>https://Estud2024.sawtoothsoftware.com/cgi-bin/ciwweb.pl?studyname=Estud2024&amp;ID=1144</v>
      </c>
      <c r="L1144" s="113">
        <v>45712</v>
      </c>
      <c r="M1144" s="45" t="s">
        <v>246</v>
      </c>
    </row>
    <row r="1145" spans="1:13">
      <c r="A1145">
        <v>1145</v>
      </c>
      <c r="B1145" t="s">
        <v>77</v>
      </c>
      <c r="C1145">
        <v>2</v>
      </c>
      <c r="D1145" t="s">
        <v>9141</v>
      </c>
      <c r="E1145">
        <v>49</v>
      </c>
      <c r="F1145" t="s">
        <v>9204</v>
      </c>
      <c r="G1145">
        <v>3</v>
      </c>
      <c r="H1145" t="s">
        <v>9205</v>
      </c>
      <c r="I1145" s="45" t="s">
        <v>6754</v>
      </c>
      <c r="J1145" s="122">
        <v>45708</v>
      </c>
      <c r="K1145" s="110" t="str">
        <f t="shared" si="14"/>
        <v>https://Estud2024.sawtoothsoftware.com/cgi-bin/ciwweb.pl?studyname=Estud2024&amp;ID=1145</v>
      </c>
      <c r="L1145" s="113">
        <v>45712</v>
      </c>
      <c r="M1145" s="45" t="s">
        <v>246</v>
      </c>
    </row>
    <row r="1146" spans="1:13">
      <c r="A1146">
        <v>1146</v>
      </c>
      <c r="B1146" t="s">
        <v>77</v>
      </c>
      <c r="C1146">
        <v>2</v>
      </c>
      <c r="D1146" t="s">
        <v>9141</v>
      </c>
      <c r="E1146">
        <v>49</v>
      </c>
      <c r="F1146" t="s">
        <v>9206</v>
      </c>
      <c r="G1146">
        <v>3</v>
      </c>
      <c r="H1146" t="s">
        <v>9207</v>
      </c>
      <c r="I1146" s="45" t="s">
        <v>6754</v>
      </c>
      <c r="J1146" s="122">
        <v>45708</v>
      </c>
      <c r="K1146" s="110" t="str">
        <f t="shared" si="14"/>
        <v>https://Estud2024.sawtoothsoftware.com/cgi-bin/ciwweb.pl?studyname=Estud2024&amp;ID=1146</v>
      </c>
      <c r="L1146" s="113">
        <v>45712</v>
      </c>
      <c r="M1146" s="45" t="s">
        <v>246</v>
      </c>
    </row>
    <row r="1147" spans="1:13">
      <c r="A1147">
        <v>1147</v>
      </c>
      <c r="B1147" t="s">
        <v>77</v>
      </c>
      <c r="C1147">
        <v>2</v>
      </c>
      <c r="D1147" t="s">
        <v>9141</v>
      </c>
      <c r="E1147">
        <v>49</v>
      </c>
      <c r="F1147" t="s">
        <v>9208</v>
      </c>
      <c r="G1147">
        <v>3</v>
      </c>
      <c r="H1147" t="s">
        <v>9209</v>
      </c>
      <c r="I1147" s="45" t="s">
        <v>6754</v>
      </c>
      <c r="J1147" s="122">
        <v>45708</v>
      </c>
      <c r="K1147" s="110" t="str">
        <f t="shared" si="14"/>
        <v>https://Estud2024.sawtoothsoftware.com/cgi-bin/ciwweb.pl?studyname=Estud2024&amp;ID=1147</v>
      </c>
      <c r="L1147" s="113">
        <v>45712</v>
      </c>
      <c r="M1147" s="45" t="s">
        <v>246</v>
      </c>
    </row>
    <row r="1148" spans="1:13">
      <c r="A1148">
        <v>1148</v>
      </c>
      <c r="B1148" t="s">
        <v>89</v>
      </c>
      <c r="C1148">
        <v>8</v>
      </c>
      <c r="D1148" t="s">
        <v>179</v>
      </c>
      <c r="E1148">
        <v>73</v>
      </c>
      <c r="F1148" t="s">
        <v>9210</v>
      </c>
      <c r="G1148">
        <v>2</v>
      </c>
      <c r="H1148" t="s">
        <v>9211</v>
      </c>
      <c r="I1148" s="45" t="s">
        <v>6754</v>
      </c>
      <c r="J1148" s="122">
        <v>45708</v>
      </c>
      <c r="K1148" s="110" t="str">
        <f t="shared" si="14"/>
        <v>https://Estud2024.sawtoothsoftware.com/cgi-bin/ciwweb.pl?studyname=Estud2024&amp;ID=1148</v>
      </c>
      <c r="L1148" s="113">
        <v>45712</v>
      </c>
      <c r="M1148" s="45" t="s">
        <v>246</v>
      </c>
    </row>
    <row r="1149" spans="1:13">
      <c r="A1149">
        <v>1149</v>
      </c>
      <c r="B1149" t="s">
        <v>89</v>
      </c>
      <c r="C1149">
        <v>8</v>
      </c>
      <c r="D1149" t="s">
        <v>179</v>
      </c>
      <c r="E1149">
        <v>73</v>
      </c>
      <c r="F1149" t="s">
        <v>9212</v>
      </c>
      <c r="G1149">
        <v>2</v>
      </c>
      <c r="H1149" t="s">
        <v>9213</v>
      </c>
      <c r="I1149" s="45" t="s">
        <v>6754</v>
      </c>
      <c r="J1149" s="122">
        <v>45708</v>
      </c>
      <c r="K1149" s="110" t="str">
        <f t="shared" si="14"/>
        <v>https://Estud2024.sawtoothsoftware.com/cgi-bin/ciwweb.pl?studyname=Estud2024&amp;ID=1149</v>
      </c>
      <c r="L1149" s="113">
        <v>45712</v>
      </c>
      <c r="M1149" s="45" t="s">
        <v>246</v>
      </c>
    </row>
    <row r="1150" spans="1:13">
      <c r="A1150">
        <v>1150</v>
      </c>
      <c r="B1150" t="s">
        <v>89</v>
      </c>
      <c r="C1150">
        <v>8</v>
      </c>
      <c r="D1150" t="s">
        <v>179</v>
      </c>
      <c r="E1150">
        <v>73</v>
      </c>
      <c r="F1150" t="s">
        <v>9214</v>
      </c>
      <c r="G1150">
        <v>2</v>
      </c>
      <c r="H1150" t="s">
        <v>9215</v>
      </c>
      <c r="I1150" s="45" t="s">
        <v>6754</v>
      </c>
      <c r="J1150" s="122">
        <v>45708</v>
      </c>
      <c r="K1150" s="110" t="str">
        <f t="shared" si="14"/>
        <v>https://Estud2024.sawtoothsoftware.com/cgi-bin/ciwweb.pl?studyname=Estud2024&amp;ID=1150</v>
      </c>
      <c r="L1150" s="113">
        <v>45712</v>
      </c>
      <c r="M1150" s="45" t="s">
        <v>246</v>
      </c>
    </row>
    <row r="1151" spans="1:13">
      <c r="A1151">
        <v>1151</v>
      </c>
      <c r="B1151" t="s">
        <v>89</v>
      </c>
      <c r="C1151">
        <v>8</v>
      </c>
      <c r="D1151" t="s">
        <v>179</v>
      </c>
      <c r="E1151">
        <v>73</v>
      </c>
      <c r="F1151" t="s">
        <v>9216</v>
      </c>
      <c r="G1151">
        <v>2</v>
      </c>
      <c r="H1151" t="s">
        <v>9217</v>
      </c>
      <c r="I1151" s="45" t="s">
        <v>6754</v>
      </c>
      <c r="J1151" s="122">
        <v>45708</v>
      </c>
      <c r="K1151" s="110" t="str">
        <f t="shared" si="14"/>
        <v>https://Estud2024.sawtoothsoftware.com/cgi-bin/ciwweb.pl?studyname=Estud2024&amp;ID=1151</v>
      </c>
      <c r="L1151" s="113">
        <v>45712</v>
      </c>
      <c r="M1151" s="45" t="s">
        <v>246</v>
      </c>
    </row>
    <row r="1152" spans="1:13">
      <c r="A1152">
        <v>1152</v>
      </c>
      <c r="B1152" t="s">
        <v>89</v>
      </c>
      <c r="C1152">
        <v>8</v>
      </c>
      <c r="D1152" t="s">
        <v>179</v>
      </c>
      <c r="E1152">
        <v>73</v>
      </c>
      <c r="F1152" t="s">
        <v>9218</v>
      </c>
      <c r="G1152">
        <v>2</v>
      </c>
      <c r="H1152" t="s">
        <v>9219</v>
      </c>
      <c r="I1152" s="45" t="s">
        <v>6754</v>
      </c>
      <c r="J1152" s="122">
        <v>45708</v>
      </c>
      <c r="K1152" s="110" t="str">
        <f t="shared" si="14"/>
        <v>https://Estud2024.sawtoothsoftware.com/cgi-bin/ciwweb.pl?studyname=Estud2024&amp;ID=1152</v>
      </c>
      <c r="L1152" s="113">
        <v>45712</v>
      </c>
      <c r="M1152" s="45" t="s">
        <v>246</v>
      </c>
    </row>
    <row r="1153" spans="1:13">
      <c r="A1153">
        <v>1153</v>
      </c>
      <c r="B1153" t="s">
        <v>89</v>
      </c>
      <c r="C1153">
        <v>8</v>
      </c>
      <c r="D1153" t="s">
        <v>179</v>
      </c>
      <c r="E1153">
        <v>73</v>
      </c>
      <c r="F1153" t="s">
        <v>9220</v>
      </c>
      <c r="G1153">
        <v>2</v>
      </c>
      <c r="H1153" t="s">
        <v>9221</v>
      </c>
      <c r="I1153" s="45" t="s">
        <v>6754</v>
      </c>
      <c r="J1153" s="122">
        <v>45708</v>
      </c>
      <c r="K1153" s="110" t="str">
        <f t="shared" si="14"/>
        <v>https://Estud2024.sawtoothsoftware.com/cgi-bin/ciwweb.pl?studyname=Estud2024&amp;ID=1153</v>
      </c>
      <c r="L1153" s="113">
        <v>45712</v>
      </c>
      <c r="M1153" s="45" t="s">
        <v>247</v>
      </c>
    </row>
    <row r="1154" spans="1:13">
      <c r="A1154">
        <v>1154</v>
      </c>
      <c r="B1154" t="s">
        <v>89</v>
      </c>
      <c r="C1154">
        <v>8</v>
      </c>
      <c r="D1154" t="s">
        <v>179</v>
      </c>
      <c r="E1154">
        <v>73</v>
      </c>
      <c r="F1154" t="s">
        <v>9222</v>
      </c>
      <c r="G1154">
        <v>2</v>
      </c>
      <c r="H1154" t="s">
        <v>9223</v>
      </c>
      <c r="I1154" s="45" t="s">
        <v>6754</v>
      </c>
      <c r="J1154" s="122">
        <v>45708</v>
      </c>
      <c r="K1154" s="110" t="str">
        <f t="shared" si="14"/>
        <v>https://Estud2024.sawtoothsoftware.com/cgi-bin/ciwweb.pl?studyname=Estud2024&amp;ID=1154</v>
      </c>
      <c r="L1154" s="113">
        <v>45712</v>
      </c>
      <c r="M1154" s="45" t="s">
        <v>246</v>
      </c>
    </row>
    <row r="1155" spans="1:13">
      <c r="A1155">
        <v>1155</v>
      </c>
      <c r="B1155" t="s">
        <v>89</v>
      </c>
      <c r="C1155">
        <v>8</v>
      </c>
      <c r="D1155" t="s">
        <v>179</v>
      </c>
      <c r="E1155">
        <v>73</v>
      </c>
      <c r="F1155" t="s">
        <v>9224</v>
      </c>
      <c r="G1155">
        <v>2</v>
      </c>
      <c r="H1155" t="s">
        <v>9225</v>
      </c>
      <c r="I1155" s="45" t="s">
        <v>6754</v>
      </c>
      <c r="J1155" s="122">
        <v>45708</v>
      </c>
      <c r="K1155" s="110" t="str">
        <f t="shared" si="14"/>
        <v>https://Estud2024.sawtoothsoftware.com/cgi-bin/ciwweb.pl?studyname=Estud2024&amp;ID=1155</v>
      </c>
      <c r="L1155" s="113">
        <v>45712</v>
      </c>
      <c r="M1155" s="45" t="s">
        <v>247</v>
      </c>
    </row>
    <row r="1156" spans="1:13">
      <c r="A1156">
        <v>1156</v>
      </c>
      <c r="B1156" t="s">
        <v>89</v>
      </c>
      <c r="C1156">
        <v>8</v>
      </c>
      <c r="D1156" t="s">
        <v>179</v>
      </c>
      <c r="E1156">
        <v>73</v>
      </c>
      <c r="F1156" t="s">
        <v>9226</v>
      </c>
      <c r="G1156">
        <v>2</v>
      </c>
      <c r="H1156" t="s">
        <v>9227</v>
      </c>
      <c r="I1156" s="45" t="s">
        <v>6754</v>
      </c>
      <c r="J1156" s="122">
        <v>45708</v>
      </c>
      <c r="K1156" s="110" t="str">
        <f t="shared" si="14"/>
        <v>https://Estud2024.sawtoothsoftware.com/cgi-bin/ciwweb.pl?studyname=Estud2024&amp;ID=1156</v>
      </c>
      <c r="L1156" s="113">
        <v>45712</v>
      </c>
      <c r="M1156" s="45" t="s">
        <v>247</v>
      </c>
    </row>
    <row r="1157" spans="1:13">
      <c r="A1157">
        <v>1157</v>
      </c>
      <c r="B1157" t="s">
        <v>89</v>
      </c>
      <c r="C1157">
        <v>8</v>
      </c>
      <c r="D1157" t="s">
        <v>179</v>
      </c>
      <c r="E1157">
        <v>73</v>
      </c>
      <c r="F1157" t="s">
        <v>9228</v>
      </c>
      <c r="G1157">
        <v>2</v>
      </c>
      <c r="H1157" t="s">
        <v>9229</v>
      </c>
      <c r="I1157" s="45" t="s">
        <v>6754</v>
      </c>
      <c r="J1157" s="122">
        <v>45708</v>
      </c>
      <c r="K1157" s="110" t="str">
        <f t="shared" si="14"/>
        <v>https://Estud2024.sawtoothsoftware.com/cgi-bin/ciwweb.pl?studyname=Estud2024&amp;ID=1157</v>
      </c>
      <c r="L1157" s="113">
        <v>45712</v>
      </c>
      <c r="M1157" s="45" t="s">
        <v>247</v>
      </c>
    </row>
    <row r="1158" spans="1:13">
      <c r="A1158">
        <v>1158</v>
      </c>
      <c r="B1158" t="s">
        <v>89</v>
      </c>
      <c r="C1158">
        <v>8</v>
      </c>
      <c r="D1158" t="s">
        <v>179</v>
      </c>
      <c r="E1158">
        <v>73</v>
      </c>
      <c r="F1158" t="s">
        <v>9230</v>
      </c>
      <c r="G1158">
        <v>2</v>
      </c>
      <c r="H1158" t="s">
        <v>9231</v>
      </c>
      <c r="I1158" s="45" t="s">
        <v>6754</v>
      </c>
      <c r="J1158" s="122">
        <v>45708</v>
      </c>
      <c r="K1158" s="110" t="str">
        <f t="shared" si="14"/>
        <v>https://Estud2024.sawtoothsoftware.com/cgi-bin/ciwweb.pl?studyname=Estud2024&amp;ID=1158</v>
      </c>
      <c r="L1158" s="113">
        <v>45712</v>
      </c>
      <c r="M1158" s="45" t="s">
        <v>246</v>
      </c>
    </row>
    <row r="1159" spans="1:13">
      <c r="A1159">
        <v>1159</v>
      </c>
      <c r="B1159" t="s">
        <v>89</v>
      </c>
      <c r="C1159">
        <v>8</v>
      </c>
      <c r="D1159" t="s">
        <v>179</v>
      </c>
      <c r="E1159">
        <v>73</v>
      </c>
      <c r="F1159" t="s">
        <v>9232</v>
      </c>
      <c r="G1159">
        <v>3</v>
      </c>
      <c r="H1159" t="s">
        <v>9233</v>
      </c>
      <c r="I1159" s="45" t="s">
        <v>6754</v>
      </c>
      <c r="J1159" s="122">
        <v>45708</v>
      </c>
      <c r="K1159" s="110" t="str">
        <f t="shared" si="14"/>
        <v>https://Estud2024.sawtoothsoftware.com/cgi-bin/ciwweb.pl?studyname=Estud2024&amp;ID=1159</v>
      </c>
      <c r="L1159" s="113">
        <v>45712</v>
      </c>
      <c r="M1159" s="45" t="s">
        <v>247</v>
      </c>
    </row>
    <row r="1160" spans="1:13">
      <c r="A1160">
        <v>1160</v>
      </c>
      <c r="B1160" t="s">
        <v>89</v>
      </c>
      <c r="C1160">
        <v>8</v>
      </c>
      <c r="D1160" t="s">
        <v>179</v>
      </c>
      <c r="E1160">
        <v>73</v>
      </c>
      <c r="F1160" t="s">
        <v>9234</v>
      </c>
      <c r="G1160">
        <v>3</v>
      </c>
      <c r="H1160" t="s">
        <v>9235</v>
      </c>
      <c r="I1160" s="45" t="s">
        <v>6754</v>
      </c>
      <c r="J1160" s="122">
        <v>45708</v>
      </c>
      <c r="K1160" s="110" t="str">
        <f t="shared" si="14"/>
        <v>https://Estud2024.sawtoothsoftware.com/cgi-bin/ciwweb.pl?studyname=Estud2024&amp;ID=1160</v>
      </c>
      <c r="L1160" s="113">
        <v>45712</v>
      </c>
      <c r="M1160" s="45" t="s">
        <v>246</v>
      </c>
    </row>
    <row r="1161" spans="1:13">
      <c r="A1161">
        <v>1161</v>
      </c>
      <c r="B1161" t="s">
        <v>89</v>
      </c>
      <c r="C1161">
        <v>8</v>
      </c>
      <c r="D1161" t="s">
        <v>179</v>
      </c>
      <c r="E1161">
        <v>73</v>
      </c>
      <c r="F1161" t="s">
        <v>9236</v>
      </c>
      <c r="G1161">
        <v>3</v>
      </c>
      <c r="H1161" t="s">
        <v>9237</v>
      </c>
      <c r="I1161" s="45" t="s">
        <v>6754</v>
      </c>
      <c r="J1161" s="122">
        <v>45708</v>
      </c>
      <c r="K1161" s="110" t="str">
        <f t="shared" si="14"/>
        <v>https://Estud2024.sawtoothsoftware.com/cgi-bin/ciwweb.pl?studyname=Estud2024&amp;ID=1161</v>
      </c>
      <c r="L1161" s="113">
        <v>45712</v>
      </c>
      <c r="M1161" s="45" t="s">
        <v>247</v>
      </c>
    </row>
    <row r="1162" spans="1:13">
      <c r="A1162">
        <v>1162</v>
      </c>
      <c r="B1162" t="s">
        <v>89</v>
      </c>
      <c r="C1162">
        <v>8</v>
      </c>
      <c r="D1162" t="s">
        <v>179</v>
      </c>
      <c r="E1162">
        <v>73</v>
      </c>
      <c r="F1162" t="s">
        <v>9238</v>
      </c>
      <c r="G1162">
        <v>3</v>
      </c>
      <c r="H1162" t="s">
        <v>9239</v>
      </c>
      <c r="I1162" s="45" t="s">
        <v>6754</v>
      </c>
      <c r="J1162" s="122">
        <v>45708</v>
      </c>
      <c r="K1162" s="110" t="str">
        <f t="shared" si="14"/>
        <v>https://Estud2024.sawtoothsoftware.com/cgi-bin/ciwweb.pl?studyname=Estud2024&amp;ID=1162</v>
      </c>
      <c r="L1162" s="113">
        <v>45712</v>
      </c>
      <c r="M1162" s="45" t="s">
        <v>247</v>
      </c>
    </row>
    <row r="1163" spans="1:13">
      <c r="A1163">
        <v>1163</v>
      </c>
      <c r="B1163" t="s">
        <v>89</v>
      </c>
      <c r="C1163">
        <v>8</v>
      </c>
      <c r="D1163" t="s">
        <v>179</v>
      </c>
      <c r="E1163">
        <v>73</v>
      </c>
      <c r="F1163" t="s">
        <v>9240</v>
      </c>
      <c r="G1163">
        <v>4</v>
      </c>
      <c r="H1163" t="s">
        <v>9241</v>
      </c>
      <c r="I1163" s="45" t="s">
        <v>6754</v>
      </c>
      <c r="J1163" s="122">
        <v>45708</v>
      </c>
      <c r="K1163" s="110" t="str">
        <f t="shared" si="14"/>
        <v>https://Estud2024.sawtoothsoftware.com/cgi-bin/ciwweb.pl?studyname=Estud2024&amp;ID=1163</v>
      </c>
      <c r="L1163" s="113">
        <v>45712</v>
      </c>
      <c r="M1163" s="45" t="s">
        <v>247</v>
      </c>
    </row>
    <row r="1164" spans="1:13">
      <c r="A1164">
        <v>1164</v>
      </c>
      <c r="B1164" t="s">
        <v>89</v>
      </c>
      <c r="C1164">
        <v>8</v>
      </c>
      <c r="D1164" t="s">
        <v>179</v>
      </c>
      <c r="E1164">
        <v>73</v>
      </c>
      <c r="F1164" t="s">
        <v>9242</v>
      </c>
      <c r="G1164">
        <v>4</v>
      </c>
      <c r="H1164" t="s">
        <v>9243</v>
      </c>
      <c r="I1164" s="45" t="s">
        <v>6754</v>
      </c>
      <c r="J1164" s="122">
        <v>45708</v>
      </c>
      <c r="K1164" s="110" t="str">
        <f t="shared" si="14"/>
        <v>https://Estud2024.sawtoothsoftware.com/cgi-bin/ciwweb.pl?studyname=Estud2024&amp;ID=1164</v>
      </c>
      <c r="L1164" s="113">
        <v>45712</v>
      </c>
      <c r="M1164" s="45" t="s">
        <v>247</v>
      </c>
    </row>
    <row r="1165" spans="1:13">
      <c r="A1165">
        <v>1165</v>
      </c>
      <c r="B1165" t="s">
        <v>89</v>
      </c>
      <c r="C1165">
        <v>8</v>
      </c>
      <c r="D1165" t="s">
        <v>179</v>
      </c>
      <c r="E1165">
        <v>73</v>
      </c>
      <c r="F1165" t="s">
        <v>9244</v>
      </c>
      <c r="G1165">
        <v>4</v>
      </c>
      <c r="H1165" t="s">
        <v>9245</v>
      </c>
      <c r="I1165" s="45" t="s">
        <v>6754</v>
      </c>
      <c r="J1165" s="122">
        <v>45708</v>
      </c>
      <c r="K1165" s="110" t="str">
        <f t="shared" si="14"/>
        <v>https://Estud2024.sawtoothsoftware.com/cgi-bin/ciwweb.pl?studyname=Estud2024&amp;ID=1165</v>
      </c>
      <c r="L1165" s="113">
        <v>45712</v>
      </c>
      <c r="M1165" s="45" t="s">
        <v>246</v>
      </c>
    </row>
    <row r="1166" spans="1:13">
      <c r="A1166">
        <v>1166</v>
      </c>
      <c r="B1166" t="s">
        <v>89</v>
      </c>
      <c r="C1166">
        <v>8</v>
      </c>
      <c r="D1166" t="s">
        <v>179</v>
      </c>
      <c r="E1166">
        <v>73</v>
      </c>
      <c r="F1166" t="s">
        <v>9246</v>
      </c>
      <c r="G1166">
        <v>4</v>
      </c>
      <c r="H1166" t="s">
        <v>1788</v>
      </c>
      <c r="I1166" s="45" t="s">
        <v>6754</v>
      </c>
      <c r="J1166" s="122">
        <v>45708</v>
      </c>
      <c r="K1166" s="110" t="str">
        <f t="shared" si="14"/>
        <v>https://Estud2024.sawtoothsoftware.com/cgi-bin/ciwweb.pl?studyname=Estud2024&amp;ID=1166</v>
      </c>
      <c r="L1166" s="113">
        <v>45712</v>
      </c>
      <c r="M1166" s="45" t="s">
        <v>247</v>
      </c>
    </row>
    <row r="1167" spans="1:13">
      <c r="A1167">
        <v>1167</v>
      </c>
      <c r="B1167" t="s">
        <v>89</v>
      </c>
      <c r="C1167">
        <v>8</v>
      </c>
      <c r="D1167" t="s">
        <v>179</v>
      </c>
      <c r="E1167">
        <v>73</v>
      </c>
      <c r="F1167" t="s">
        <v>9247</v>
      </c>
      <c r="G1167">
        <v>4</v>
      </c>
      <c r="H1167" t="s">
        <v>9248</v>
      </c>
      <c r="I1167" s="45" t="s">
        <v>6754</v>
      </c>
      <c r="J1167" s="122">
        <v>45708</v>
      </c>
      <c r="K1167" s="110" t="str">
        <f t="shared" si="14"/>
        <v>https://Estud2024.sawtoothsoftware.com/cgi-bin/ciwweb.pl?studyname=Estud2024&amp;ID=1167</v>
      </c>
      <c r="L1167" s="113">
        <v>45712</v>
      </c>
      <c r="M1167" s="45" t="s">
        <v>247</v>
      </c>
    </row>
    <row r="1168" spans="1:13">
      <c r="A1168">
        <v>1168</v>
      </c>
      <c r="B1168" t="s">
        <v>89</v>
      </c>
      <c r="C1168">
        <v>8</v>
      </c>
      <c r="D1168" t="s">
        <v>179</v>
      </c>
      <c r="E1168">
        <v>73</v>
      </c>
      <c r="F1168" t="s">
        <v>9249</v>
      </c>
      <c r="G1168">
        <v>4</v>
      </c>
      <c r="H1168" t="s">
        <v>9250</v>
      </c>
      <c r="I1168" s="45" t="s">
        <v>6754</v>
      </c>
      <c r="J1168" s="122">
        <v>45708</v>
      </c>
      <c r="K1168" s="110" t="str">
        <f t="shared" si="14"/>
        <v>https://Estud2024.sawtoothsoftware.com/cgi-bin/ciwweb.pl?studyname=Estud2024&amp;ID=1168</v>
      </c>
      <c r="L1168" s="113">
        <v>45712</v>
      </c>
      <c r="M1168" s="45" t="s">
        <v>247</v>
      </c>
    </row>
    <row r="1169" spans="1:13">
      <c r="A1169">
        <v>1169</v>
      </c>
      <c r="B1169" t="s">
        <v>89</v>
      </c>
      <c r="C1169">
        <v>8</v>
      </c>
      <c r="D1169" t="s">
        <v>179</v>
      </c>
      <c r="E1169">
        <v>73</v>
      </c>
      <c r="F1169" t="s">
        <v>9251</v>
      </c>
      <c r="G1169">
        <v>4</v>
      </c>
      <c r="H1169" t="s">
        <v>9252</v>
      </c>
      <c r="I1169" s="45" t="s">
        <v>6754</v>
      </c>
      <c r="J1169" s="122">
        <v>45708</v>
      </c>
      <c r="K1169" s="110" t="str">
        <f t="shared" si="14"/>
        <v>https://Estud2024.sawtoothsoftware.com/cgi-bin/ciwweb.pl?studyname=Estud2024&amp;ID=1169</v>
      </c>
      <c r="L1169" s="113">
        <v>45712</v>
      </c>
      <c r="M1169" s="45" t="s">
        <v>246</v>
      </c>
    </row>
    <row r="1170" spans="1:13">
      <c r="A1170">
        <v>1170</v>
      </c>
      <c r="B1170" t="s">
        <v>89</v>
      </c>
      <c r="C1170">
        <v>8</v>
      </c>
      <c r="D1170" t="s">
        <v>179</v>
      </c>
      <c r="E1170">
        <v>73</v>
      </c>
      <c r="F1170" t="s">
        <v>9253</v>
      </c>
      <c r="G1170">
        <v>4</v>
      </c>
      <c r="H1170" t="s">
        <v>9254</v>
      </c>
      <c r="I1170" s="45" t="s">
        <v>6754</v>
      </c>
      <c r="J1170" s="122">
        <v>45708</v>
      </c>
      <c r="K1170" s="110" t="str">
        <f t="shared" si="14"/>
        <v>https://Estud2024.sawtoothsoftware.com/cgi-bin/ciwweb.pl?studyname=Estud2024&amp;ID=1170</v>
      </c>
      <c r="L1170" s="113">
        <v>45712</v>
      </c>
      <c r="M1170" s="45" t="s">
        <v>247</v>
      </c>
    </row>
    <row r="1171" spans="1:13">
      <c r="A1171">
        <v>1171</v>
      </c>
      <c r="B1171" t="s">
        <v>89</v>
      </c>
      <c r="C1171">
        <v>8</v>
      </c>
      <c r="D1171" t="s">
        <v>179</v>
      </c>
      <c r="E1171">
        <v>73</v>
      </c>
      <c r="F1171" t="s">
        <v>9255</v>
      </c>
      <c r="G1171">
        <v>4</v>
      </c>
      <c r="H1171" t="s">
        <v>9256</v>
      </c>
      <c r="I1171" s="45" t="s">
        <v>6754</v>
      </c>
      <c r="J1171" s="122">
        <v>45708</v>
      </c>
      <c r="K1171" s="110" t="str">
        <f t="shared" si="14"/>
        <v>https://Estud2024.sawtoothsoftware.com/cgi-bin/ciwweb.pl?studyname=Estud2024&amp;ID=1171</v>
      </c>
      <c r="L1171" s="113">
        <v>45712</v>
      </c>
      <c r="M1171" s="45" t="s">
        <v>247</v>
      </c>
    </row>
    <row r="1172" spans="1:13">
      <c r="A1172">
        <v>1172</v>
      </c>
      <c r="B1172" t="s">
        <v>89</v>
      </c>
      <c r="C1172">
        <v>8</v>
      </c>
      <c r="D1172" t="s">
        <v>179</v>
      </c>
      <c r="E1172">
        <v>73</v>
      </c>
      <c r="F1172" t="s">
        <v>9257</v>
      </c>
      <c r="G1172">
        <v>4</v>
      </c>
      <c r="H1172" t="s">
        <v>9258</v>
      </c>
      <c r="I1172" s="45" t="s">
        <v>6754</v>
      </c>
      <c r="J1172" s="122">
        <v>45708</v>
      </c>
      <c r="K1172" s="110" t="str">
        <f t="shared" si="14"/>
        <v>https://Estud2024.sawtoothsoftware.com/cgi-bin/ciwweb.pl?studyname=Estud2024&amp;ID=1172</v>
      </c>
      <c r="L1172" s="113">
        <v>45712</v>
      </c>
      <c r="M1172" s="45" t="s">
        <v>247</v>
      </c>
    </row>
    <row r="1173" spans="1:13">
      <c r="A1173">
        <v>1173</v>
      </c>
      <c r="B1173" t="s">
        <v>89</v>
      </c>
      <c r="C1173">
        <v>8</v>
      </c>
      <c r="D1173" t="s">
        <v>179</v>
      </c>
      <c r="E1173">
        <v>73</v>
      </c>
      <c r="F1173" t="s">
        <v>9259</v>
      </c>
      <c r="G1173">
        <v>4</v>
      </c>
      <c r="H1173" t="s">
        <v>9260</v>
      </c>
      <c r="I1173" s="45" t="s">
        <v>6754</v>
      </c>
      <c r="J1173" s="122">
        <v>45708</v>
      </c>
      <c r="K1173" s="110" t="str">
        <f t="shared" si="14"/>
        <v>https://Estud2024.sawtoothsoftware.com/cgi-bin/ciwweb.pl?studyname=Estud2024&amp;ID=1173</v>
      </c>
      <c r="L1173" s="113">
        <v>45712</v>
      </c>
      <c r="M1173" s="45" t="s">
        <v>246</v>
      </c>
    </row>
    <row r="1174" spans="1:13">
      <c r="A1174">
        <v>1174</v>
      </c>
      <c r="B1174" t="s">
        <v>89</v>
      </c>
      <c r="C1174">
        <v>8</v>
      </c>
      <c r="D1174" t="s">
        <v>179</v>
      </c>
      <c r="E1174">
        <v>73</v>
      </c>
      <c r="F1174" t="s">
        <v>9261</v>
      </c>
      <c r="H1174" t="s">
        <v>9262</v>
      </c>
      <c r="I1174" s="45" t="s">
        <v>6754</v>
      </c>
      <c r="J1174" s="122">
        <v>45708</v>
      </c>
      <c r="K1174" s="110" t="str">
        <f t="shared" ref="K1174:K1237" si="15">CONCATENATE("https://Estud2024.sawtoothsoftware.com/cgi-bin/ciwweb.pl?studyname=Estud2024&amp;ID=",A1174)</f>
        <v>https://Estud2024.sawtoothsoftware.com/cgi-bin/ciwweb.pl?studyname=Estud2024&amp;ID=1174</v>
      </c>
      <c r="L1174" s="113">
        <v>45712</v>
      </c>
      <c r="M1174" s="45" t="s">
        <v>247</v>
      </c>
    </row>
    <row r="1175" spans="1:13">
      <c r="A1175">
        <v>1175</v>
      </c>
      <c r="B1175" t="s">
        <v>89</v>
      </c>
      <c r="C1175">
        <v>8</v>
      </c>
      <c r="D1175" t="s">
        <v>179</v>
      </c>
      <c r="E1175">
        <v>73</v>
      </c>
      <c r="F1175" t="s">
        <v>9263</v>
      </c>
      <c r="H1175" t="s">
        <v>9264</v>
      </c>
      <c r="I1175" s="45" t="s">
        <v>6754</v>
      </c>
      <c r="J1175" s="122">
        <v>45708</v>
      </c>
      <c r="K1175" s="110" t="str">
        <f t="shared" si="15"/>
        <v>https://Estud2024.sawtoothsoftware.com/cgi-bin/ciwweb.pl?studyname=Estud2024&amp;ID=1175</v>
      </c>
      <c r="L1175" s="113">
        <v>45712</v>
      </c>
      <c r="M1175" s="45" t="s">
        <v>247</v>
      </c>
    </row>
    <row r="1176" spans="1:13">
      <c r="A1176">
        <v>1176</v>
      </c>
      <c r="B1176" t="s">
        <v>88</v>
      </c>
      <c r="C1176">
        <v>7</v>
      </c>
      <c r="D1176" t="s">
        <v>9265</v>
      </c>
      <c r="E1176">
        <v>68</v>
      </c>
      <c r="F1176" t="s">
        <v>9266</v>
      </c>
      <c r="H1176" t="s">
        <v>9267</v>
      </c>
      <c r="I1176" s="45" t="s">
        <v>6754</v>
      </c>
      <c r="J1176" s="122">
        <v>45708</v>
      </c>
      <c r="K1176" s="110" t="str">
        <f t="shared" si="15"/>
        <v>https://Estud2024.sawtoothsoftware.com/cgi-bin/ciwweb.pl?studyname=Estud2024&amp;ID=1176</v>
      </c>
      <c r="L1176" s="113">
        <v>45712</v>
      </c>
      <c r="M1176" s="45" t="s">
        <v>247</v>
      </c>
    </row>
    <row r="1177" spans="1:13">
      <c r="A1177">
        <v>1177</v>
      </c>
      <c r="B1177" t="s">
        <v>88</v>
      </c>
      <c r="C1177">
        <v>7</v>
      </c>
      <c r="D1177" t="s">
        <v>9265</v>
      </c>
      <c r="E1177">
        <v>68</v>
      </c>
      <c r="F1177" t="s">
        <v>9268</v>
      </c>
      <c r="H1177" t="s">
        <v>9269</v>
      </c>
      <c r="I1177" s="45" t="s">
        <v>6754</v>
      </c>
      <c r="J1177" s="122">
        <v>45708</v>
      </c>
      <c r="K1177" s="110" t="str">
        <f t="shared" si="15"/>
        <v>https://Estud2024.sawtoothsoftware.com/cgi-bin/ciwweb.pl?studyname=Estud2024&amp;ID=1177</v>
      </c>
      <c r="L1177" s="113">
        <v>45712</v>
      </c>
      <c r="M1177" s="45" t="s">
        <v>247</v>
      </c>
    </row>
    <row r="1178" spans="1:13">
      <c r="A1178">
        <v>1178</v>
      </c>
      <c r="B1178" t="s">
        <v>88</v>
      </c>
      <c r="C1178">
        <v>7</v>
      </c>
      <c r="D1178" t="s">
        <v>9265</v>
      </c>
      <c r="E1178">
        <v>68</v>
      </c>
      <c r="F1178" t="s">
        <v>9270</v>
      </c>
      <c r="H1178" t="s">
        <v>9271</v>
      </c>
      <c r="I1178" s="45" t="s">
        <v>6754</v>
      </c>
      <c r="J1178" s="122">
        <v>45708</v>
      </c>
      <c r="K1178" s="110" t="str">
        <f t="shared" si="15"/>
        <v>https://Estud2024.sawtoothsoftware.com/cgi-bin/ciwweb.pl?studyname=Estud2024&amp;ID=1178</v>
      </c>
      <c r="L1178" s="113">
        <v>45712</v>
      </c>
      <c r="M1178" s="45" t="s">
        <v>247</v>
      </c>
    </row>
    <row r="1179" spans="1:13">
      <c r="A1179">
        <v>1179</v>
      </c>
      <c r="B1179" t="s">
        <v>88</v>
      </c>
      <c r="C1179">
        <v>7</v>
      </c>
      <c r="D1179" t="s">
        <v>9265</v>
      </c>
      <c r="E1179">
        <v>68</v>
      </c>
      <c r="F1179" t="s">
        <v>9272</v>
      </c>
      <c r="H1179" t="s">
        <v>9273</v>
      </c>
      <c r="I1179" s="45" t="s">
        <v>6754</v>
      </c>
      <c r="J1179" s="122">
        <v>45708</v>
      </c>
      <c r="K1179" s="110" t="str">
        <f t="shared" si="15"/>
        <v>https://Estud2024.sawtoothsoftware.com/cgi-bin/ciwweb.pl?studyname=Estud2024&amp;ID=1179</v>
      </c>
      <c r="L1179" s="113">
        <v>45712</v>
      </c>
      <c r="M1179" s="45" t="s">
        <v>247</v>
      </c>
    </row>
    <row r="1180" spans="1:13">
      <c r="A1180">
        <v>1180</v>
      </c>
      <c r="B1180" t="s">
        <v>88</v>
      </c>
      <c r="C1180">
        <v>7</v>
      </c>
      <c r="D1180" t="s">
        <v>9265</v>
      </c>
      <c r="E1180">
        <v>68</v>
      </c>
      <c r="F1180" t="s">
        <v>9274</v>
      </c>
      <c r="H1180" t="s">
        <v>9275</v>
      </c>
      <c r="I1180" s="45" t="s">
        <v>6754</v>
      </c>
      <c r="J1180" s="122">
        <v>45708</v>
      </c>
      <c r="K1180" s="110" t="str">
        <f t="shared" si="15"/>
        <v>https://Estud2024.sawtoothsoftware.com/cgi-bin/ciwweb.pl?studyname=Estud2024&amp;ID=1180</v>
      </c>
      <c r="L1180" s="113">
        <v>45712</v>
      </c>
      <c r="M1180" s="45" t="s">
        <v>247</v>
      </c>
    </row>
    <row r="1181" spans="1:13">
      <c r="A1181">
        <v>1181</v>
      </c>
      <c r="B1181" t="s">
        <v>88</v>
      </c>
      <c r="C1181">
        <v>7</v>
      </c>
      <c r="D1181" t="s">
        <v>9265</v>
      </c>
      <c r="E1181">
        <v>68</v>
      </c>
      <c r="F1181" t="s">
        <v>9276</v>
      </c>
      <c r="H1181" t="s">
        <v>9277</v>
      </c>
      <c r="I1181" s="45" t="s">
        <v>6754</v>
      </c>
      <c r="J1181" s="122">
        <v>45708</v>
      </c>
      <c r="K1181" s="110" t="str">
        <f t="shared" si="15"/>
        <v>https://Estud2024.sawtoothsoftware.com/cgi-bin/ciwweb.pl?studyname=Estud2024&amp;ID=1181</v>
      </c>
      <c r="L1181" s="113">
        <v>45712</v>
      </c>
      <c r="M1181" s="45" t="s">
        <v>247</v>
      </c>
    </row>
    <row r="1182" spans="1:13">
      <c r="A1182">
        <v>1182</v>
      </c>
      <c r="B1182" t="s">
        <v>88</v>
      </c>
      <c r="C1182">
        <v>7</v>
      </c>
      <c r="D1182" t="s">
        <v>9265</v>
      </c>
      <c r="E1182">
        <v>68</v>
      </c>
      <c r="F1182" t="s">
        <v>9278</v>
      </c>
      <c r="H1182" t="s">
        <v>9279</v>
      </c>
      <c r="I1182" s="45" t="s">
        <v>6754</v>
      </c>
      <c r="J1182" s="122">
        <v>45708</v>
      </c>
      <c r="K1182" s="110" t="str">
        <f t="shared" si="15"/>
        <v>https://Estud2024.sawtoothsoftware.com/cgi-bin/ciwweb.pl?studyname=Estud2024&amp;ID=1182</v>
      </c>
      <c r="L1182" s="113">
        <v>45712</v>
      </c>
      <c r="M1182" s="45" t="s">
        <v>247</v>
      </c>
    </row>
    <row r="1183" spans="1:13">
      <c r="A1183">
        <v>1183</v>
      </c>
      <c r="B1183" t="s">
        <v>88</v>
      </c>
      <c r="C1183">
        <v>7</v>
      </c>
      <c r="D1183" t="s">
        <v>9265</v>
      </c>
      <c r="E1183">
        <v>68</v>
      </c>
      <c r="F1183" t="s">
        <v>9280</v>
      </c>
      <c r="H1183" t="s">
        <v>9281</v>
      </c>
      <c r="I1183" s="45" t="s">
        <v>6754</v>
      </c>
      <c r="J1183" s="122">
        <v>45708</v>
      </c>
      <c r="K1183" s="110" t="str">
        <f t="shared" si="15"/>
        <v>https://Estud2024.sawtoothsoftware.com/cgi-bin/ciwweb.pl?studyname=Estud2024&amp;ID=1183</v>
      </c>
      <c r="L1183" s="113">
        <v>45712</v>
      </c>
      <c r="M1183" s="45" t="s">
        <v>247</v>
      </c>
    </row>
    <row r="1184" spans="1:13">
      <c r="A1184">
        <v>1184</v>
      </c>
      <c r="B1184" t="s">
        <v>88</v>
      </c>
      <c r="C1184">
        <v>7</v>
      </c>
      <c r="D1184" t="s">
        <v>9265</v>
      </c>
      <c r="E1184">
        <v>68</v>
      </c>
      <c r="F1184" t="s">
        <v>9282</v>
      </c>
      <c r="H1184" t="s">
        <v>9283</v>
      </c>
      <c r="I1184" s="45" t="s">
        <v>6754</v>
      </c>
      <c r="J1184" s="122">
        <v>45708</v>
      </c>
      <c r="K1184" s="110" t="str">
        <f t="shared" si="15"/>
        <v>https://Estud2024.sawtoothsoftware.com/cgi-bin/ciwweb.pl?studyname=Estud2024&amp;ID=1184</v>
      </c>
      <c r="L1184" s="113">
        <v>45712</v>
      </c>
      <c r="M1184" s="45" t="s">
        <v>247</v>
      </c>
    </row>
    <row r="1185" spans="1:13">
      <c r="A1185">
        <v>1185</v>
      </c>
      <c r="B1185" t="s">
        <v>88</v>
      </c>
      <c r="C1185">
        <v>7</v>
      </c>
      <c r="D1185" t="s">
        <v>9265</v>
      </c>
      <c r="E1185">
        <v>68</v>
      </c>
      <c r="F1185" t="s">
        <v>9284</v>
      </c>
      <c r="H1185" t="s">
        <v>9285</v>
      </c>
      <c r="I1185" s="45" t="s">
        <v>6754</v>
      </c>
      <c r="J1185" s="122">
        <v>45708</v>
      </c>
      <c r="K1185" s="110" t="str">
        <f t="shared" si="15"/>
        <v>https://Estud2024.sawtoothsoftware.com/cgi-bin/ciwweb.pl?studyname=Estud2024&amp;ID=1185</v>
      </c>
      <c r="L1185" s="113">
        <v>45712</v>
      </c>
      <c r="M1185" s="45" t="s">
        <v>247</v>
      </c>
    </row>
    <row r="1186" spans="1:13">
      <c r="A1186">
        <v>1186</v>
      </c>
      <c r="B1186" t="s">
        <v>88</v>
      </c>
      <c r="C1186">
        <v>7</v>
      </c>
      <c r="D1186" t="s">
        <v>9265</v>
      </c>
      <c r="E1186">
        <v>68</v>
      </c>
      <c r="F1186" t="s">
        <v>9286</v>
      </c>
      <c r="H1186" t="s">
        <v>9287</v>
      </c>
      <c r="I1186" s="45" t="s">
        <v>6754</v>
      </c>
      <c r="J1186" s="122">
        <v>45708</v>
      </c>
      <c r="K1186" s="110" t="str">
        <f t="shared" si="15"/>
        <v>https://Estud2024.sawtoothsoftware.com/cgi-bin/ciwweb.pl?studyname=Estud2024&amp;ID=1186</v>
      </c>
      <c r="L1186" s="113">
        <v>45712</v>
      </c>
      <c r="M1186" s="45" t="s">
        <v>247</v>
      </c>
    </row>
    <row r="1187" spans="1:13">
      <c r="A1187">
        <v>1187</v>
      </c>
      <c r="B1187" t="s">
        <v>88</v>
      </c>
      <c r="C1187">
        <v>7</v>
      </c>
      <c r="D1187" t="s">
        <v>9265</v>
      </c>
      <c r="E1187">
        <v>68</v>
      </c>
      <c r="F1187" t="s">
        <v>9288</v>
      </c>
      <c r="H1187" t="s">
        <v>9289</v>
      </c>
      <c r="I1187" s="45" t="s">
        <v>6754</v>
      </c>
      <c r="J1187" s="122">
        <v>45708</v>
      </c>
      <c r="K1187" s="110" t="str">
        <f t="shared" si="15"/>
        <v>https://Estud2024.sawtoothsoftware.com/cgi-bin/ciwweb.pl?studyname=Estud2024&amp;ID=1187</v>
      </c>
      <c r="L1187" s="113">
        <v>45712</v>
      </c>
      <c r="M1187" s="45" t="s">
        <v>247</v>
      </c>
    </row>
    <row r="1188" spans="1:13">
      <c r="A1188">
        <v>1188</v>
      </c>
      <c r="B1188" t="s">
        <v>88</v>
      </c>
      <c r="C1188">
        <v>7</v>
      </c>
      <c r="D1188" t="s">
        <v>9265</v>
      </c>
      <c r="E1188">
        <v>68</v>
      </c>
      <c r="F1188" t="s">
        <v>9290</v>
      </c>
      <c r="H1188" t="s">
        <v>9291</v>
      </c>
      <c r="I1188" s="45" t="s">
        <v>6754</v>
      </c>
      <c r="J1188" s="122">
        <v>45708</v>
      </c>
      <c r="K1188" s="110" t="str">
        <f t="shared" si="15"/>
        <v>https://Estud2024.sawtoothsoftware.com/cgi-bin/ciwweb.pl?studyname=Estud2024&amp;ID=1188</v>
      </c>
      <c r="L1188" s="113">
        <v>45712</v>
      </c>
      <c r="M1188" s="45" t="s">
        <v>247</v>
      </c>
    </row>
    <row r="1189" spans="1:13">
      <c r="A1189">
        <v>1189</v>
      </c>
      <c r="B1189" t="s">
        <v>88</v>
      </c>
      <c r="C1189">
        <v>7</v>
      </c>
      <c r="D1189" t="s">
        <v>9265</v>
      </c>
      <c r="E1189">
        <v>68</v>
      </c>
      <c r="F1189" t="s">
        <v>9292</v>
      </c>
      <c r="H1189" t="s">
        <v>9293</v>
      </c>
      <c r="I1189" s="45" t="s">
        <v>6754</v>
      </c>
      <c r="J1189" s="122">
        <v>45708</v>
      </c>
      <c r="K1189" s="110" t="str">
        <f t="shared" si="15"/>
        <v>https://Estud2024.sawtoothsoftware.com/cgi-bin/ciwweb.pl?studyname=Estud2024&amp;ID=1189</v>
      </c>
      <c r="L1189" s="113">
        <v>45712</v>
      </c>
      <c r="M1189" s="45" t="s">
        <v>247</v>
      </c>
    </row>
    <row r="1190" spans="1:13">
      <c r="A1190">
        <v>1190</v>
      </c>
      <c r="B1190" t="s">
        <v>88</v>
      </c>
      <c r="C1190">
        <v>7</v>
      </c>
      <c r="D1190" t="s">
        <v>9265</v>
      </c>
      <c r="E1190">
        <v>68</v>
      </c>
      <c r="F1190" t="s">
        <v>9294</v>
      </c>
      <c r="H1190" t="s">
        <v>9295</v>
      </c>
      <c r="I1190" s="45" t="s">
        <v>6754</v>
      </c>
      <c r="J1190" s="122">
        <v>45708</v>
      </c>
      <c r="K1190" s="110" t="str">
        <f t="shared" si="15"/>
        <v>https://Estud2024.sawtoothsoftware.com/cgi-bin/ciwweb.pl?studyname=Estud2024&amp;ID=1190</v>
      </c>
      <c r="L1190" s="113">
        <v>45712</v>
      </c>
      <c r="M1190" s="45" t="s">
        <v>247</v>
      </c>
    </row>
    <row r="1191" spans="1:13">
      <c r="A1191">
        <v>1191</v>
      </c>
      <c r="B1191" t="s">
        <v>88</v>
      </c>
      <c r="C1191">
        <v>7</v>
      </c>
      <c r="D1191" t="s">
        <v>9265</v>
      </c>
      <c r="E1191">
        <v>68</v>
      </c>
      <c r="F1191" t="s">
        <v>9296</v>
      </c>
      <c r="H1191" t="s">
        <v>9297</v>
      </c>
      <c r="I1191" s="45" t="s">
        <v>6754</v>
      </c>
      <c r="J1191" s="122">
        <v>45708</v>
      </c>
      <c r="K1191" s="110" t="str">
        <f t="shared" si="15"/>
        <v>https://Estud2024.sawtoothsoftware.com/cgi-bin/ciwweb.pl?studyname=Estud2024&amp;ID=1191</v>
      </c>
      <c r="L1191" s="113">
        <v>45712</v>
      </c>
      <c r="M1191" s="45" t="s">
        <v>247</v>
      </c>
    </row>
    <row r="1192" spans="1:13">
      <c r="A1192">
        <v>1192</v>
      </c>
      <c r="B1192" t="s">
        <v>88</v>
      </c>
      <c r="C1192">
        <v>7</v>
      </c>
      <c r="D1192" t="s">
        <v>9265</v>
      </c>
      <c r="E1192">
        <v>68</v>
      </c>
      <c r="F1192" t="s">
        <v>9298</v>
      </c>
      <c r="H1192" t="s">
        <v>9299</v>
      </c>
      <c r="I1192" s="45" t="s">
        <v>6754</v>
      </c>
      <c r="J1192" s="122">
        <v>45708</v>
      </c>
      <c r="K1192" s="110" t="str">
        <f t="shared" si="15"/>
        <v>https://Estud2024.sawtoothsoftware.com/cgi-bin/ciwweb.pl?studyname=Estud2024&amp;ID=1192</v>
      </c>
      <c r="L1192" s="113">
        <v>45712</v>
      </c>
      <c r="M1192" s="45" t="s">
        <v>247</v>
      </c>
    </row>
    <row r="1193" spans="1:13">
      <c r="A1193">
        <v>1193</v>
      </c>
      <c r="B1193" t="s">
        <v>88</v>
      </c>
      <c r="C1193">
        <v>7</v>
      </c>
      <c r="D1193" t="s">
        <v>9265</v>
      </c>
      <c r="E1193">
        <v>68</v>
      </c>
      <c r="F1193" t="s">
        <v>9300</v>
      </c>
      <c r="H1193" t="s">
        <v>9301</v>
      </c>
      <c r="I1193" s="45" t="s">
        <v>6754</v>
      </c>
      <c r="J1193" s="122">
        <v>45708</v>
      </c>
      <c r="K1193" s="110" t="str">
        <f t="shared" si="15"/>
        <v>https://Estud2024.sawtoothsoftware.com/cgi-bin/ciwweb.pl?studyname=Estud2024&amp;ID=1193</v>
      </c>
      <c r="L1193" s="113">
        <v>45712</v>
      </c>
      <c r="M1193" s="45" t="s">
        <v>247</v>
      </c>
    </row>
    <row r="1194" spans="1:13">
      <c r="A1194">
        <v>1194</v>
      </c>
      <c r="B1194" t="s">
        <v>88</v>
      </c>
      <c r="C1194">
        <v>7</v>
      </c>
      <c r="D1194" t="s">
        <v>9265</v>
      </c>
      <c r="E1194">
        <v>68</v>
      </c>
      <c r="F1194" t="s">
        <v>9302</v>
      </c>
      <c r="H1194" t="s">
        <v>9303</v>
      </c>
      <c r="I1194" s="45" t="s">
        <v>6754</v>
      </c>
      <c r="J1194" s="122">
        <v>45708</v>
      </c>
      <c r="K1194" s="110" t="str">
        <f t="shared" si="15"/>
        <v>https://Estud2024.sawtoothsoftware.com/cgi-bin/ciwweb.pl?studyname=Estud2024&amp;ID=1194</v>
      </c>
      <c r="L1194" s="113">
        <v>45712</v>
      </c>
      <c r="M1194" s="45" t="s">
        <v>247</v>
      </c>
    </row>
    <row r="1195" spans="1:13">
      <c r="A1195">
        <v>1195</v>
      </c>
      <c r="B1195" t="s">
        <v>88</v>
      </c>
      <c r="C1195">
        <v>7</v>
      </c>
      <c r="D1195" t="s">
        <v>9265</v>
      </c>
      <c r="E1195">
        <v>68</v>
      </c>
      <c r="F1195" t="s">
        <v>9304</v>
      </c>
      <c r="H1195" t="s">
        <v>9305</v>
      </c>
      <c r="I1195" s="45" t="s">
        <v>6754</v>
      </c>
      <c r="J1195" s="122">
        <v>45708</v>
      </c>
      <c r="K1195" s="110" t="str">
        <f t="shared" si="15"/>
        <v>https://Estud2024.sawtoothsoftware.com/cgi-bin/ciwweb.pl?studyname=Estud2024&amp;ID=1195</v>
      </c>
      <c r="L1195" s="113">
        <v>45712</v>
      </c>
      <c r="M1195" s="45" t="s">
        <v>247</v>
      </c>
    </row>
    <row r="1196" spans="1:13">
      <c r="A1196">
        <v>1196</v>
      </c>
      <c r="B1196" t="s">
        <v>88</v>
      </c>
      <c r="C1196">
        <v>7</v>
      </c>
      <c r="D1196" t="s">
        <v>9265</v>
      </c>
      <c r="E1196">
        <v>68</v>
      </c>
      <c r="F1196" t="s">
        <v>9306</v>
      </c>
      <c r="H1196" t="s">
        <v>9307</v>
      </c>
      <c r="I1196" s="45" t="s">
        <v>6754</v>
      </c>
      <c r="J1196" s="122">
        <v>45708</v>
      </c>
      <c r="K1196" s="110" t="str">
        <f t="shared" si="15"/>
        <v>https://Estud2024.sawtoothsoftware.com/cgi-bin/ciwweb.pl?studyname=Estud2024&amp;ID=1196</v>
      </c>
      <c r="L1196" s="113">
        <v>45712</v>
      </c>
      <c r="M1196" s="45" t="s">
        <v>247</v>
      </c>
    </row>
    <row r="1197" spans="1:13">
      <c r="A1197">
        <v>1197</v>
      </c>
      <c r="B1197" t="s">
        <v>88</v>
      </c>
      <c r="C1197">
        <v>7</v>
      </c>
      <c r="D1197" t="s">
        <v>9265</v>
      </c>
      <c r="E1197">
        <v>68</v>
      </c>
      <c r="F1197" t="s">
        <v>9308</v>
      </c>
      <c r="H1197" t="s">
        <v>9309</v>
      </c>
      <c r="I1197" s="45" t="s">
        <v>6754</v>
      </c>
      <c r="J1197" s="122">
        <v>45708</v>
      </c>
      <c r="K1197" s="110" t="str">
        <f t="shared" si="15"/>
        <v>https://Estud2024.sawtoothsoftware.com/cgi-bin/ciwweb.pl?studyname=Estud2024&amp;ID=1197</v>
      </c>
      <c r="L1197" s="113">
        <v>45712</v>
      </c>
      <c r="M1197" s="45" t="s">
        <v>247</v>
      </c>
    </row>
    <row r="1198" spans="1:13">
      <c r="A1198">
        <v>1198</v>
      </c>
      <c r="B1198" t="s">
        <v>88</v>
      </c>
      <c r="C1198">
        <v>7</v>
      </c>
      <c r="D1198" t="s">
        <v>9265</v>
      </c>
      <c r="E1198">
        <v>68</v>
      </c>
      <c r="F1198" t="s">
        <v>9310</v>
      </c>
      <c r="H1198" t="s">
        <v>9311</v>
      </c>
      <c r="I1198" s="45" t="s">
        <v>6754</v>
      </c>
      <c r="J1198" s="122">
        <v>45708</v>
      </c>
      <c r="K1198" s="110" t="str">
        <f t="shared" si="15"/>
        <v>https://Estud2024.sawtoothsoftware.com/cgi-bin/ciwweb.pl?studyname=Estud2024&amp;ID=1198</v>
      </c>
      <c r="L1198" s="113">
        <v>45712</v>
      </c>
      <c r="M1198" s="45" t="s">
        <v>247</v>
      </c>
    </row>
    <row r="1199" spans="1:13">
      <c r="A1199">
        <v>1199</v>
      </c>
      <c r="B1199" t="s">
        <v>88</v>
      </c>
      <c r="C1199">
        <v>7</v>
      </c>
      <c r="D1199" t="s">
        <v>9265</v>
      </c>
      <c r="E1199">
        <v>68</v>
      </c>
      <c r="F1199" t="s">
        <v>9312</v>
      </c>
      <c r="H1199" t="s">
        <v>9313</v>
      </c>
      <c r="I1199" s="45" t="s">
        <v>6754</v>
      </c>
      <c r="J1199" s="122">
        <v>45708</v>
      </c>
      <c r="K1199" s="110" t="str">
        <f t="shared" si="15"/>
        <v>https://Estud2024.sawtoothsoftware.com/cgi-bin/ciwweb.pl?studyname=Estud2024&amp;ID=1199</v>
      </c>
      <c r="L1199" s="113">
        <v>45712</v>
      </c>
      <c r="M1199" s="45" t="s">
        <v>247</v>
      </c>
    </row>
    <row r="1200" spans="1:13">
      <c r="A1200">
        <v>1200</v>
      </c>
      <c r="B1200" t="s">
        <v>88</v>
      </c>
      <c r="C1200">
        <v>7</v>
      </c>
      <c r="D1200" t="s">
        <v>9265</v>
      </c>
      <c r="E1200">
        <v>68</v>
      </c>
      <c r="F1200" t="s">
        <v>9314</v>
      </c>
      <c r="H1200" t="s">
        <v>9315</v>
      </c>
      <c r="I1200" s="45" t="s">
        <v>6754</v>
      </c>
      <c r="J1200" s="122">
        <v>45708</v>
      </c>
      <c r="K1200" s="110" t="str">
        <f t="shared" si="15"/>
        <v>https://Estud2024.sawtoothsoftware.com/cgi-bin/ciwweb.pl?studyname=Estud2024&amp;ID=1200</v>
      </c>
      <c r="L1200" s="113">
        <v>45712</v>
      </c>
      <c r="M1200" s="45" t="s">
        <v>247</v>
      </c>
    </row>
    <row r="1201" spans="1:13">
      <c r="A1201">
        <v>1201</v>
      </c>
      <c r="B1201" t="s">
        <v>88</v>
      </c>
      <c r="C1201">
        <v>7</v>
      </c>
      <c r="D1201" t="s">
        <v>9265</v>
      </c>
      <c r="E1201">
        <v>68</v>
      </c>
      <c r="F1201" t="s">
        <v>9316</v>
      </c>
      <c r="H1201" t="s">
        <v>9317</v>
      </c>
      <c r="I1201" s="45" t="s">
        <v>6754</v>
      </c>
      <c r="J1201" s="122">
        <v>45708</v>
      </c>
      <c r="K1201" s="110" t="str">
        <f t="shared" si="15"/>
        <v>https://Estud2024.sawtoothsoftware.com/cgi-bin/ciwweb.pl?studyname=Estud2024&amp;ID=1201</v>
      </c>
      <c r="L1201" s="113">
        <v>45712</v>
      </c>
      <c r="M1201" s="45" t="s">
        <v>246</v>
      </c>
    </row>
    <row r="1202" spans="1:13">
      <c r="A1202">
        <v>1202</v>
      </c>
      <c r="B1202" t="s">
        <v>88</v>
      </c>
      <c r="C1202">
        <v>7</v>
      </c>
      <c r="D1202" t="s">
        <v>9265</v>
      </c>
      <c r="E1202">
        <v>68</v>
      </c>
      <c r="F1202" t="s">
        <v>9318</v>
      </c>
      <c r="H1202" t="s">
        <v>9319</v>
      </c>
      <c r="I1202" s="45" t="s">
        <v>6754</v>
      </c>
      <c r="J1202" s="122">
        <v>45708</v>
      </c>
      <c r="K1202" s="110" t="str">
        <f t="shared" si="15"/>
        <v>https://Estud2024.sawtoothsoftware.com/cgi-bin/ciwweb.pl?studyname=Estud2024&amp;ID=1202</v>
      </c>
      <c r="L1202" s="113">
        <v>45712</v>
      </c>
      <c r="M1202" s="45" t="s">
        <v>247</v>
      </c>
    </row>
    <row r="1203" spans="1:13">
      <c r="A1203">
        <v>1203</v>
      </c>
      <c r="B1203" t="s">
        <v>88</v>
      </c>
      <c r="C1203">
        <v>7</v>
      </c>
      <c r="D1203" t="s">
        <v>9265</v>
      </c>
      <c r="E1203">
        <v>68</v>
      </c>
      <c r="F1203" t="s">
        <v>9320</v>
      </c>
      <c r="H1203" t="s">
        <v>9321</v>
      </c>
      <c r="I1203" s="45" t="s">
        <v>6754</v>
      </c>
      <c r="J1203" s="122">
        <v>45708</v>
      </c>
      <c r="K1203" s="110" t="str">
        <f t="shared" si="15"/>
        <v>https://Estud2024.sawtoothsoftware.com/cgi-bin/ciwweb.pl?studyname=Estud2024&amp;ID=1203</v>
      </c>
      <c r="L1203" s="113">
        <v>45712</v>
      </c>
      <c r="M1203" s="45" t="s">
        <v>247</v>
      </c>
    </row>
    <row r="1204" spans="1:13">
      <c r="A1204">
        <v>1204</v>
      </c>
      <c r="B1204" t="s">
        <v>88</v>
      </c>
      <c r="C1204">
        <v>7</v>
      </c>
      <c r="D1204" t="s">
        <v>9265</v>
      </c>
      <c r="E1204">
        <v>68</v>
      </c>
      <c r="F1204" t="s">
        <v>9322</v>
      </c>
      <c r="H1204" t="s">
        <v>9323</v>
      </c>
      <c r="I1204" s="45" t="s">
        <v>6754</v>
      </c>
      <c r="J1204" s="122">
        <v>45708</v>
      </c>
      <c r="K1204" s="110" t="str">
        <f t="shared" si="15"/>
        <v>https://Estud2024.sawtoothsoftware.com/cgi-bin/ciwweb.pl?studyname=Estud2024&amp;ID=1204</v>
      </c>
      <c r="L1204" s="113">
        <v>45712</v>
      </c>
      <c r="M1204" s="45" t="s">
        <v>247</v>
      </c>
    </row>
    <row r="1205" spans="1:13">
      <c r="A1205">
        <v>1205</v>
      </c>
      <c r="B1205" t="s">
        <v>88</v>
      </c>
      <c r="C1205">
        <v>7</v>
      </c>
      <c r="D1205" t="s">
        <v>9265</v>
      </c>
      <c r="E1205">
        <v>68</v>
      </c>
      <c r="F1205" t="s">
        <v>9324</v>
      </c>
      <c r="H1205" t="s">
        <v>9325</v>
      </c>
      <c r="I1205" s="45" t="s">
        <v>6754</v>
      </c>
      <c r="J1205" s="122">
        <v>45708</v>
      </c>
      <c r="K1205" s="110" t="str">
        <f t="shared" si="15"/>
        <v>https://Estud2024.sawtoothsoftware.com/cgi-bin/ciwweb.pl?studyname=Estud2024&amp;ID=1205</v>
      </c>
      <c r="L1205" s="113">
        <v>45712</v>
      </c>
      <c r="M1205" s="45" t="s">
        <v>247</v>
      </c>
    </row>
    <row r="1206" spans="1:13">
      <c r="A1206">
        <v>1206</v>
      </c>
      <c r="B1206" t="s">
        <v>88</v>
      </c>
      <c r="C1206">
        <v>7</v>
      </c>
      <c r="D1206" t="s">
        <v>9265</v>
      </c>
      <c r="E1206">
        <v>68</v>
      </c>
      <c r="F1206" t="s">
        <v>9326</v>
      </c>
      <c r="H1206" t="s">
        <v>9327</v>
      </c>
      <c r="I1206" s="45" t="s">
        <v>6754</v>
      </c>
      <c r="J1206" s="122">
        <v>45708</v>
      </c>
      <c r="K1206" s="110" t="str">
        <f t="shared" si="15"/>
        <v>https://Estud2024.sawtoothsoftware.com/cgi-bin/ciwweb.pl?studyname=Estud2024&amp;ID=1206</v>
      </c>
      <c r="L1206" s="113">
        <v>45712</v>
      </c>
      <c r="M1206" s="45" t="s">
        <v>247</v>
      </c>
    </row>
    <row r="1207" spans="1:13">
      <c r="A1207">
        <v>1207</v>
      </c>
      <c r="B1207" t="s">
        <v>88</v>
      </c>
      <c r="C1207">
        <v>7</v>
      </c>
      <c r="D1207" t="s">
        <v>9265</v>
      </c>
      <c r="E1207">
        <v>68</v>
      </c>
      <c r="F1207" t="s">
        <v>9328</v>
      </c>
      <c r="H1207" t="s">
        <v>9329</v>
      </c>
      <c r="I1207" s="45" t="s">
        <v>6754</v>
      </c>
      <c r="J1207" s="122">
        <v>45708</v>
      </c>
      <c r="K1207" s="110" t="str">
        <f t="shared" si="15"/>
        <v>https://Estud2024.sawtoothsoftware.com/cgi-bin/ciwweb.pl?studyname=Estud2024&amp;ID=1207</v>
      </c>
      <c r="L1207" s="113">
        <v>45712</v>
      </c>
      <c r="M1207" s="45" t="s">
        <v>247</v>
      </c>
    </row>
    <row r="1208" spans="1:13">
      <c r="A1208">
        <v>1208</v>
      </c>
      <c r="B1208" t="s">
        <v>88</v>
      </c>
      <c r="C1208">
        <v>7</v>
      </c>
      <c r="D1208" t="s">
        <v>9265</v>
      </c>
      <c r="E1208">
        <v>68</v>
      </c>
      <c r="F1208" t="s">
        <v>9330</v>
      </c>
      <c r="H1208" t="s">
        <v>9331</v>
      </c>
      <c r="I1208" s="45" t="s">
        <v>6754</v>
      </c>
      <c r="J1208" s="122">
        <v>45708</v>
      </c>
      <c r="K1208" s="110" t="str">
        <f t="shared" si="15"/>
        <v>https://Estud2024.sawtoothsoftware.com/cgi-bin/ciwweb.pl?studyname=Estud2024&amp;ID=1208</v>
      </c>
      <c r="L1208" s="113">
        <v>45712</v>
      </c>
      <c r="M1208" s="45" t="s">
        <v>247</v>
      </c>
    </row>
    <row r="1209" spans="1:13">
      <c r="A1209">
        <v>1209</v>
      </c>
      <c r="B1209" t="s">
        <v>88</v>
      </c>
      <c r="C1209">
        <v>7</v>
      </c>
      <c r="D1209" t="s">
        <v>9265</v>
      </c>
      <c r="E1209">
        <v>68</v>
      </c>
      <c r="F1209" t="s">
        <v>9332</v>
      </c>
      <c r="H1209" t="s">
        <v>9333</v>
      </c>
      <c r="I1209" s="45" t="s">
        <v>6754</v>
      </c>
      <c r="J1209" s="122">
        <v>45708</v>
      </c>
      <c r="K1209" s="110" t="str">
        <f t="shared" si="15"/>
        <v>https://Estud2024.sawtoothsoftware.com/cgi-bin/ciwweb.pl?studyname=Estud2024&amp;ID=1209</v>
      </c>
      <c r="L1209" s="113">
        <v>45712</v>
      </c>
      <c r="M1209" s="45" t="s">
        <v>247</v>
      </c>
    </row>
    <row r="1210" spans="1:13">
      <c r="A1210">
        <v>1210</v>
      </c>
      <c r="B1210" t="s">
        <v>88</v>
      </c>
      <c r="C1210">
        <v>7</v>
      </c>
      <c r="D1210" t="s">
        <v>9265</v>
      </c>
      <c r="E1210">
        <v>68</v>
      </c>
      <c r="F1210" t="s">
        <v>9334</v>
      </c>
      <c r="H1210" t="s">
        <v>9335</v>
      </c>
      <c r="I1210" s="45" t="s">
        <v>6754</v>
      </c>
      <c r="J1210" s="122">
        <v>45708</v>
      </c>
      <c r="K1210" s="110" t="str">
        <f t="shared" si="15"/>
        <v>https://Estud2024.sawtoothsoftware.com/cgi-bin/ciwweb.pl?studyname=Estud2024&amp;ID=1210</v>
      </c>
      <c r="L1210" s="113">
        <v>45712</v>
      </c>
      <c r="M1210" s="45" t="s">
        <v>247</v>
      </c>
    </row>
    <row r="1211" spans="1:13">
      <c r="A1211">
        <v>1211</v>
      </c>
      <c r="B1211" t="s">
        <v>88</v>
      </c>
      <c r="C1211">
        <v>7</v>
      </c>
      <c r="D1211" t="s">
        <v>9265</v>
      </c>
      <c r="E1211">
        <v>68</v>
      </c>
      <c r="F1211" t="s">
        <v>9336</v>
      </c>
      <c r="H1211" t="s">
        <v>9337</v>
      </c>
      <c r="I1211" s="45" t="s">
        <v>6754</v>
      </c>
      <c r="J1211" s="122">
        <v>45708</v>
      </c>
      <c r="K1211" s="110" t="str">
        <f t="shared" si="15"/>
        <v>https://Estud2024.sawtoothsoftware.com/cgi-bin/ciwweb.pl?studyname=Estud2024&amp;ID=1211</v>
      </c>
      <c r="L1211" s="113">
        <v>45712</v>
      </c>
      <c r="M1211" s="45" t="s">
        <v>247</v>
      </c>
    </row>
    <row r="1212" spans="1:13">
      <c r="A1212">
        <v>1212</v>
      </c>
      <c r="B1212" t="s">
        <v>88</v>
      </c>
      <c r="C1212">
        <v>7</v>
      </c>
      <c r="D1212" t="s">
        <v>9265</v>
      </c>
      <c r="E1212">
        <v>68</v>
      </c>
      <c r="F1212" t="s">
        <v>9338</v>
      </c>
      <c r="H1212" t="s">
        <v>9339</v>
      </c>
      <c r="I1212" s="45" t="s">
        <v>6754</v>
      </c>
      <c r="J1212" s="122">
        <v>45708</v>
      </c>
      <c r="K1212" s="110" t="str">
        <f t="shared" si="15"/>
        <v>https://Estud2024.sawtoothsoftware.com/cgi-bin/ciwweb.pl?studyname=Estud2024&amp;ID=1212</v>
      </c>
      <c r="L1212" s="113">
        <v>45712</v>
      </c>
      <c r="M1212" s="45" t="s">
        <v>247</v>
      </c>
    </row>
    <row r="1213" spans="1:13">
      <c r="A1213">
        <v>1213</v>
      </c>
      <c r="B1213" t="s">
        <v>88</v>
      </c>
      <c r="C1213">
        <v>7</v>
      </c>
      <c r="D1213" t="s">
        <v>9265</v>
      </c>
      <c r="E1213">
        <v>68</v>
      </c>
      <c r="F1213" t="s">
        <v>9340</v>
      </c>
      <c r="H1213" t="s">
        <v>9341</v>
      </c>
      <c r="I1213" s="45" t="s">
        <v>6754</v>
      </c>
      <c r="J1213" s="122">
        <v>45708</v>
      </c>
      <c r="K1213" s="110" t="str">
        <f t="shared" si="15"/>
        <v>https://Estud2024.sawtoothsoftware.com/cgi-bin/ciwweb.pl?studyname=Estud2024&amp;ID=1213</v>
      </c>
      <c r="L1213" s="113">
        <v>45712</v>
      </c>
      <c r="M1213" s="45" t="s">
        <v>247</v>
      </c>
    </row>
    <row r="1214" spans="1:13">
      <c r="A1214">
        <v>1214</v>
      </c>
      <c r="B1214" t="s">
        <v>88</v>
      </c>
      <c r="C1214">
        <v>7</v>
      </c>
      <c r="D1214" t="s">
        <v>9265</v>
      </c>
      <c r="E1214">
        <v>68</v>
      </c>
      <c r="F1214" t="s">
        <v>9342</v>
      </c>
      <c r="H1214" t="s">
        <v>9343</v>
      </c>
      <c r="I1214" s="45" t="s">
        <v>6754</v>
      </c>
      <c r="J1214" s="122">
        <v>45708</v>
      </c>
      <c r="K1214" s="110" t="str">
        <f t="shared" si="15"/>
        <v>https://Estud2024.sawtoothsoftware.com/cgi-bin/ciwweb.pl?studyname=Estud2024&amp;ID=1214</v>
      </c>
      <c r="L1214" s="113">
        <v>45712</v>
      </c>
      <c r="M1214" s="45" t="s">
        <v>247</v>
      </c>
    </row>
    <row r="1215" spans="1:13">
      <c r="A1215">
        <v>1215</v>
      </c>
      <c r="B1215" t="s">
        <v>88</v>
      </c>
      <c r="C1215">
        <v>7</v>
      </c>
      <c r="D1215" t="s">
        <v>9265</v>
      </c>
      <c r="E1215">
        <v>68</v>
      </c>
      <c r="F1215" t="s">
        <v>9344</v>
      </c>
      <c r="H1215" t="s">
        <v>9345</v>
      </c>
      <c r="I1215" s="45" t="s">
        <v>6754</v>
      </c>
      <c r="J1215" s="122">
        <v>45708</v>
      </c>
      <c r="K1215" s="110" t="str">
        <f t="shared" si="15"/>
        <v>https://Estud2024.sawtoothsoftware.com/cgi-bin/ciwweb.pl?studyname=Estud2024&amp;ID=1215</v>
      </c>
      <c r="L1215" s="113">
        <v>45712</v>
      </c>
      <c r="M1215" s="45" t="s">
        <v>246</v>
      </c>
    </row>
    <row r="1216" spans="1:13">
      <c r="A1216">
        <v>1216</v>
      </c>
      <c r="B1216" t="s">
        <v>88</v>
      </c>
      <c r="C1216">
        <v>7</v>
      </c>
      <c r="D1216" t="s">
        <v>9265</v>
      </c>
      <c r="E1216">
        <v>68</v>
      </c>
      <c r="F1216" t="s">
        <v>9346</v>
      </c>
      <c r="H1216" t="s">
        <v>9347</v>
      </c>
      <c r="I1216" s="45" t="s">
        <v>6754</v>
      </c>
      <c r="J1216" s="122">
        <v>45708</v>
      </c>
      <c r="K1216" s="110" t="str">
        <f t="shared" si="15"/>
        <v>https://Estud2024.sawtoothsoftware.com/cgi-bin/ciwweb.pl?studyname=Estud2024&amp;ID=1216</v>
      </c>
      <c r="L1216" s="113">
        <v>45712</v>
      </c>
      <c r="M1216" s="45" t="s">
        <v>247</v>
      </c>
    </row>
    <row r="1217" spans="1:13">
      <c r="A1217">
        <v>1217</v>
      </c>
      <c r="B1217" t="s">
        <v>88</v>
      </c>
      <c r="C1217">
        <v>7</v>
      </c>
      <c r="D1217" t="s">
        <v>9265</v>
      </c>
      <c r="E1217">
        <v>68</v>
      </c>
      <c r="F1217" t="s">
        <v>9348</v>
      </c>
      <c r="H1217" t="s">
        <v>9349</v>
      </c>
      <c r="I1217" s="45" t="s">
        <v>6754</v>
      </c>
      <c r="J1217" s="122">
        <v>45708</v>
      </c>
      <c r="K1217" s="110" t="str">
        <f t="shared" si="15"/>
        <v>https://Estud2024.sawtoothsoftware.com/cgi-bin/ciwweb.pl?studyname=Estud2024&amp;ID=1217</v>
      </c>
      <c r="L1217" s="113">
        <v>45712</v>
      </c>
      <c r="M1217" s="45" t="s">
        <v>247</v>
      </c>
    </row>
    <row r="1218" spans="1:13">
      <c r="A1218">
        <v>1218</v>
      </c>
      <c r="B1218" t="s">
        <v>88</v>
      </c>
      <c r="C1218">
        <v>7</v>
      </c>
      <c r="D1218" t="s">
        <v>9265</v>
      </c>
      <c r="E1218">
        <v>68</v>
      </c>
      <c r="F1218" t="s">
        <v>9350</v>
      </c>
      <c r="H1218" t="s">
        <v>9351</v>
      </c>
      <c r="I1218" s="45" t="s">
        <v>6754</v>
      </c>
      <c r="J1218" s="122">
        <v>45708</v>
      </c>
      <c r="K1218" s="110" t="str">
        <f t="shared" si="15"/>
        <v>https://Estud2024.sawtoothsoftware.com/cgi-bin/ciwweb.pl?studyname=Estud2024&amp;ID=1218</v>
      </c>
      <c r="L1218" s="113">
        <v>45712</v>
      </c>
      <c r="M1218" s="45" t="s">
        <v>247</v>
      </c>
    </row>
    <row r="1219" spans="1:13">
      <c r="A1219">
        <v>1219</v>
      </c>
      <c r="B1219" t="s">
        <v>88</v>
      </c>
      <c r="C1219">
        <v>7</v>
      </c>
      <c r="D1219" t="s">
        <v>9265</v>
      </c>
      <c r="E1219">
        <v>68</v>
      </c>
      <c r="F1219" t="s">
        <v>9352</v>
      </c>
      <c r="H1219" t="s">
        <v>9353</v>
      </c>
      <c r="I1219" s="45" t="s">
        <v>6754</v>
      </c>
      <c r="J1219" s="122">
        <v>45708</v>
      </c>
      <c r="K1219" s="110" t="str">
        <f t="shared" si="15"/>
        <v>https://Estud2024.sawtoothsoftware.com/cgi-bin/ciwweb.pl?studyname=Estud2024&amp;ID=1219</v>
      </c>
      <c r="L1219" s="113">
        <v>45712</v>
      </c>
      <c r="M1219" s="45" t="s">
        <v>247</v>
      </c>
    </row>
    <row r="1220" spans="1:13">
      <c r="A1220">
        <v>1220</v>
      </c>
      <c r="B1220" t="s">
        <v>88</v>
      </c>
      <c r="C1220">
        <v>7</v>
      </c>
      <c r="D1220" t="s">
        <v>9265</v>
      </c>
      <c r="E1220">
        <v>68</v>
      </c>
      <c r="F1220" t="s">
        <v>9354</v>
      </c>
      <c r="H1220" t="s">
        <v>9269</v>
      </c>
      <c r="I1220" s="45" t="s">
        <v>6754</v>
      </c>
      <c r="J1220" s="122">
        <v>45708</v>
      </c>
      <c r="K1220" s="110" t="str">
        <f t="shared" si="15"/>
        <v>https://Estud2024.sawtoothsoftware.com/cgi-bin/ciwweb.pl?studyname=Estud2024&amp;ID=1220</v>
      </c>
      <c r="L1220" s="113">
        <v>45712</v>
      </c>
      <c r="M1220" s="45" t="s">
        <v>247</v>
      </c>
    </row>
    <row r="1221" spans="1:13">
      <c r="A1221">
        <v>1221</v>
      </c>
      <c r="B1221" t="s">
        <v>88</v>
      </c>
      <c r="C1221">
        <v>7</v>
      </c>
      <c r="D1221" t="s">
        <v>9265</v>
      </c>
      <c r="E1221">
        <v>68</v>
      </c>
      <c r="F1221" t="s">
        <v>9355</v>
      </c>
      <c r="H1221" t="s">
        <v>9356</v>
      </c>
      <c r="I1221" s="45" t="s">
        <v>6754</v>
      </c>
      <c r="J1221" s="122">
        <v>45708</v>
      </c>
      <c r="K1221" s="110" t="str">
        <f t="shared" si="15"/>
        <v>https://Estud2024.sawtoothsoftware.com/cgi-bin/ciwweb.pl?studyname=Estud2024&amp;ID=1221</v>
      </c>
      <c r="L1221" s="113">
        <v>45712</v>
      </c>
      <c r="M1221" s="45" t="s">
        <v>247</v>
      </c>
    </row>
    <row r="1222" spans="1:13">
      <c r="A1222">
        <v>1222</v>
      </c>
      <c r="B1222" t="s">
        <v>88</v>
      </c>
      <c r="C1222">
        <v>7</v>
      </c>
      <c r="D1222" t="s">
        <v>9265</v>
      </c>
      <c r="E1222">
        <v>68</v>
      </c>
      <c r="F1222" t="s">
        <v>9357</v>
      </c>
      <c r="H1222" t="s">
        <v>9358</v>
      </c>
      <c r="I1222" s="45" t="s">
        <v>6754</v>
      </c>
      <c r="J1222" s="122">
        <v>45708</v>
      </c>
      <c r="K1222" s="110" t="str">
        <f t="shared" si="15"/>
        <v>https://Estud2024.sawtoothsoftware.com/cgi-bin/ciwweb.pl?studyname=Estud2024&amp;ID=1222</v>
      </c>
      <c r="L1222" s="113">
        <v>45712</v>
      </c>
      <c r="M1222" s="45" t="s">
        <v>247</v>
      </c>
    </row>
    <row r="1223" spans="1:13">
      <c r="A1223">
        <v>1223</v>
      </c>
      <c r="B1223" t="s">
        <v>88</v>
      </c>
      <c r="C1223">
        <v>7</v>
      </c>
      <c r="D1223" t="s">
        <v>9265</v>
      </c>
      <c r="E1223">
        <v>68</v>
      </c>
      <c r="F1223" t="s">
        <v>9359</v>
      </c>
      <c r="H1223" t="s">
        <v>9271</v>
      </c>
      <c r="I1223" s="45" t="s">
        <v>6754</v>
      </c>
      <c r="J1223" s="122">
        <v>45708</v>
      </c>
      <c r="K1223" s="110" t="str">
        <f t="shared" si="15"/>
        <v>https://Estud2024.sawtoothsoftware.com/cgi-bin/ciwweb.pl?studyname=Estud2024&amp;ID=1223</v>
      </c>
      <c r="L1223" s="113">
        <v>45712</v>
      </c>
      <c r="M1223" s="45" t="s">
        <v>247</v>
      </c>
    </row>
    <row r="1224" spans="1:13">
      <c r="A1224">
        <v>1224</v>
      </c>
      <c r="B1224" t="s">
        <v>88</v>
      </c>
      <c r="C1224">
        <v>7</v>
      </c>
      <c r="D1224" t="s">
        <v>9265</v>
      </c>
      <c r="E1224">
        <v>68</v>
      </c>
      <c r="F1224" t="s">
        <v>9360</v>
      </c>
      <c r="H1224" t="s">
        <v>9273</v>
      </c>
      <c r="I1224" s="45" t="s">
        <v>6754</v>
      </c>
      <c r="J1224" s="122">
        <v>45708</v>
      </c>
      <c r="K1224" s="110" t="str">
        <f t="shared" si="15"/>
        <v>https://Estud2024.sawtoothsoftware.com/cgi-bin/ciwweb.pl?studyname=Estud2024&amp;ID=1224</v>
      </c>
      <c r="L1224" s="113">
        <v>45712</v>
      </c>
      <c r="M1224" s="45" t="s">
        <v>247</v>
      </c>
    </row>
    <row r="1225" spans="1:13">
      <c r="A1225">
        <v>1225</v>
      </c>
      <c r="B1225" t="s">
        <v>88</v>
      </c>
      <c r="C1225">
        <v>7</v>
      </c>
      <c r="D1225" t="s">
        <v>9265</v>
      </c>
      <c r="E1225">
        <v>68</v>
      </c>
      <c r="F1225" t="s">
        <v>9361</v>
      </c>
      <c r="H1225" t="s">
        <v>9275</v>
      </c>
      <c r="I1225" s="45" t="s">
        <v>6754</v>
      </c>
      <c r="J1225" s="122">
        <v>45708</v>
      </c>
      <c r="K1225" s="110" t="str">
        <f t="shared" si="15"/>
        <v>https://Estud2024.sawtoothsoftware.com/cgi-bin/ciwweb.pl?studyname=Estud2024&amp;ID=1225</v>
      </c>
      <c r="L1225" s="113">
        <v>45712</v>
      </c>
      <c r="M1225" s="45" t="s">
        <v>247</v>
      </c>
    </row>
    <row r="1226" spans="1:13">
      <c r="A1226">
        <v>1226</v>
      </c>
      <c r="B1226" t="s">
        <v>88</v>
      </c>
      <c r="C1226">
        <v>7</v>
      </c>
      <c r="D1226" t="s">
        <v>9265</v>
      </c>
      <c r="E1226">
        <v>68</v>
      </c>
      <c r="F1226" t="s">
        <v>9362</v>
      </c>
      <c r="H1226" t="s">
        <v>9363</v>
      </c>
      <c r="I1226" s="45" t="s">
        <v>6754</v>
      </c>
      <c r="J1226" s="122">
        <v>45708</v>
      </c>
      <c r="K1226" s="110" t="str">
        <f t="shared" si="15"/>
        <v>https://Estud2024.sawtoothsoftware.com/cgi-bin/ciwweb.pl?studyname=Estud2024&amp;ID=1226</v>
      </c>
      <c r="L1226" s="113">
        <v>45712</v>
      </c>
      <c r="M1226" s="45" t="s">
        <v>247</v>
      </c>
    </row>
    <row r="1227" spans="1:13">
      <c r="A1227">
        <v>1227</v>
      </c>
      <c r="B1227" t="s">
        <v>88</v>
      </c>
      <c r="C1227">
        <v>7</v>
      </c>
      <c r="D1227" t="s">
        <v>9265</v>
      </c>
      <c r="E1227">
        <v>68</v>
      </c>
      <c r="F1227" t="s">
        <v>9364</v>
      </c>
      <c r="H1227" t="s">
        <v>9365</v>
      </c>
      <c r="I1227" s="45" t="s">
        <v>6754</v>
      </c>
      <c r="J1227" s="122">
        <v>45708</v>
      </c>
      <c r="K1227" s="110" t="str">
        <f t="shared" si="15"/>
        <v>https://Estud2024.sawtoothsoftware.com/cgi-bin/ciwweb.pl?studyname=Estud2024&amp;ID=1227</v>
      </c>
      <c r="L1227" s="113">
        <v>45712</v>
      </c>
      <c r="M1227" s="45" t="s">
        <v>247</v>
      </c>
    </row>
    <row r="1228" spans="1:13">
      <c r="A1228">
        <v>1228</v>
      </c>
      <c r="B1228" t="s">
        <v>88</v>
      </c>
      <c r="C1228">
        <v>7</v>
      </c>
      <c r="D1228" t="s">
        <v>9265</v>
      </c>
      <c r="E1228">
        <v>68</v>
      </c>
      <c r="F1228" t="s">
        <v>9366</v>
      </c>
      <c r="H1228" t="s">
        <v>9367</v>
      </c>
      <c r="I1228" s="45" t="s">
        <v>6754</v>
      </c>
      <c r="J1228" s="122">
        <v>45708</v>
      </c>
      <c r="K1228" s="110" t="str">
        <f t="shared" si="15"/>
        <v>https://Estud2024.sawtoothsoftware.com/cgi-bin/ciwweb.pl?studyname=Estud2024&amp;ID=1228</v>
      </c>
      <c r="L1228" s="113">
        <v>45712</v>
      </c>
      <c r="M1228" s="45" t="s">
        <v>246</v>
      </c>
    </row>
    <row r="1229" spans="1:13">
      <c r="A1229">
        <v>1229</v>
      </c>
      <c r="B1229" t="s">
        <v>88</v>
      </c>
      <c r="C1229">
        <v>7</v>
      </c>
      <c r="D1229" t="s">
        <v>9265</v>
      </c>
      <c r="E1229">
        <v>68</v>
      </c>
      <c r="F1229" t="s">
        <v>9368</v>
      </c>
      <c r="H1229" t="s">
        <v>9369</v>
      </c>
      <c r="I1229" s="45" t="s">
        <v>6754</v>
      </c>
      <c r="J1229" s="122">
        <v>45708</v>
      </c>
      <c r="K1229" s="110" t="str">
        <f t="shared" si="15"/>
        <v>https://Estud2024.sawtoothsoftware.com/cgi-bin/ciwweb.pl?studyname=Estud2024&amp;ID=1229</v>
      </c>
      <c r="L1229" s="113">
        <v>45712</v>
      </c>
      <c r="M1229" s="45" t="s">
        <v>247</v>
      </c>
    </row>
    <row r="1230" spans="1:13">
      <c r="A1230">
        <v>1230</v>
      </c>
      <c r="B1230" t="s">
        <v>88</v>
      </c>
      <c r="C1230">
        <v>7</v>
      </c>
      <c r="D1230" t="s">
        <v>9265</v>
      </c>
      <c r="E1230">
        <v>68</v>
      </c>
      <c r="F1230" t="s">
        <v>9370</v>
      </c>
      <c r="H1230" t="s">
        <v>9371</v>
      </c>
      <c r="I1230" s="45" t="s">
        <v>6754</v>
      </c>
      <c r="J1230" s="122">
        <v>45708</v>
      </c>
      <c r="K1230" s="110" t="str">
        <f t="shared" si="15"/>
        <v>https://Estud2024.sawtoothsoftware.com/cgi-bin/ciwweb.pl?studyname=Estud2024&amp;ID=1230</v>
      </c>
      <c r="L1230" s="113">
        <v>45712</v>
      </c>
      <c r="M1230" s="45" t="s">
        <v>247</v>
      </c>
    </row>
    <row r="1231" spans="1:13">
      <c r="A1231">
        <v>1231</v>
      </c>
      <c r="B1231" t="s">
        <v>88</v>
      </c>
      <c r="C1231">
        <v>7</v>
      </c>
      <c r="D1231" t="s">
        <v>9265</v>
      </c>
      <c r="E1231">
        <v>68</v>
      </c>
      <c r="F1231" t="s">
        <v>9372</v>
      </c>
      <c r="H1231" t="s">
        <v>9373</v>
      </c>
      <c r="I1231" s="45" t="s">
        <v>6754</v>
      </c>
      <c r="J1231" s="122">
        <v>45708</v>
      </c>
      <c r="K1231" s="110" t="str">
        <f t="shared" si="15"/>
        <v>https://Estud2024.sawtoothsoftware.com/cgi-bin/ciwweb.pl?studyname=Estud2024&amp;ID=1231</v>
      </c>
      <c r="L1231" s="113">
        <v>45712</v>
      </c>
      <c r="M1231" s="45" t="s">
        <v>247</v>
      </c>
    </row>
    <row r="1232" spans="1:13">
      <c r="A1232">
        <v>1232</v>
      </c>
      <c r="B1232" t="s">
        <v>88</v>
      </c>
      <c r="C1232">
        <v>7</v>
      </c>
      <c r="D1232" t="s">
        <v>9265</v>
      </c>
      <c r="E1232">
        <v>68</v>
      </c>
      <c r="F1232" t="s">
        <v>9374</v>
      </c>
      <c r="H1232" t="s">
        <v>9375</v>
      </c>
      <c r="I1232" s="45" t="s">
        <v>6754</v>
      </c>
      <c r="J1232" s="122">
        <v>45708</v>
      </c>
      <c r="K1232" s="110" t="str">
        <f t="shared" si="15"/>
        <v>https://Estud2024.sawtoothsoftware.com/cgi-bin/ciwweb.pl?studyname=Estud2024&amp;ID=1232</v>
      </c>
      <c r="L1232" s="113">
        <v>45712</v>
      </c>
      <c r="M1232" s="45" t="s">
        <v>247</v>
      </c>
    </row>
    <row r="1233" spans="1:13">
      <c r="A1233">
        <v>1233</v>
      </c>
      <c r="B1233" t="s">
        <v>88</v>
      </c>
      <c r="C1233">
        <v>7</v>
      </c>
      <c r="D1233" t="s">
        <v>9265</v>
      </c>
      <c r="E1233">
        <v>68</v>
      </c>
      <c r="F1233" t="s">
        <v>9376</v>
      </c>
      <c r="H1233" t="s">
        <v>9377</v>
      </c>
      <c r="I1233" s="45" t="s">
        <v>6754</v>
      </c>
      <c r="J1233" s="122">
        <v>45708</v>
      </c>
      <c r="K1233" s="110" t="str">
        <f t="shared" si="15"/>
        <v>https://Estud2024.sawtoothsoftware.com/cgi-bin/ciwweb.pl?studyname=Estud2024&amp;ID=1233</v>
      </c>
      <c r="L1233" s="113">
        <v>45712</v>
      </c>
      <c r="M1233" s="45" t="s">
        <v>246</v>
      </c>
    </row>
    <row r="1234" spans="1:13">
      <c r="A1234">
        <v>1234</v>
      </c>
      <c r="B1234" t="s">
        <v>88</v>
      </c>
      <c r="C1234">
        <v>7</v>
      </c>
      <c r="D1234" t="s">
        <v>9265</v>
      </c>
      <c r="E1234">
        <v>68</v>
      </c>
      <c r="F1234" t="s">
        <v>9378</v>
      </c>
      <c r="H1234" t="s">
        <v>9379</v>
      </c>
      <c r="I1234" s="45" t="s">
        <v>6754</v>
      </c>
      <c r="J1234" s="122">
        <v>45708</v>
      </c>
      <c r="K1234" s="110" t="str">
        <f t="shared" si="15"/>
        <v>https://Estud2024.sawtoothsoftware.com/cgi-bin/ciwweb.pl?studyname=Estud2024&amp;ID=1234</v>
      </c>
      <c r="L1234" s="113">
        <v>45712</v>
      </c>
      <c r="M1234" s="45" t="s">
        <v>247</v>
      </c>
    </row>
    <row r="1235" spans="1:13">
      <c r="A1235">
        <v>1235</v>
      </c>
      <c r="B1235" t="s">
        <v>89</v>
      </c>
      <c r="C1235">
        <v>8</v>
      </c>
      <c r="D1235" t="s">
        <v>105</v>
      </c>
      <c r="E1235">
        <v>72</v>
      </c>
      <c r="F1235" t="s">
        <v>9380</v>
      </c>
      <c r="H1235" t="s">
        <v>9381</v>
      </c>
      <c r="I1235" s="45" t="s">
        <v>6754</v>
      </c>
      <c r="J1235" s="122">
        <v>45708</v>
      </c>
      <c r="K1235" s="110" t="str">
        <f t="shared" si="15"/>
        <v>https://Estud2024.sawtoothsoftware.com/cgi-bin/ciwweb.pl?studyname=Estud2024&amp;ID=1235</v>
      </c>
      <c r="L1235" s="113">
        <v>45712</v>
      </c>
      <c r="M1235" s="45" t="s">
        <v>247</v>
      </c>
    </row>
    <row r="1236" spans="1:13">
      <c r="A1236">
        <v>1236</v>
      </c>
      <c r="B1236" t="s">
        <v>89</v>
      </c>
      <c r="C1236">
        <v>8</v>
      </c>
      <c r="D1236" t="s">
        <v>105</v>
      </c>
      <c r="E1236">
        <v>72</v>
      </c>
      <c r="F1236" t="s">
        <v>9382</v>
      </c>
      <c r="H1236" t="s">
        <v>9383</v>
      </c>
      <c r="I1236" s="45" t="s">
        <v>6754</v>
      </c>
      <c r="J1236" s="122">
        <v>45708</v>
      </c>
      <c r="K1236" s="110" t="str">
        <f t="shared" si="15"/>
        <v>https://Estud2024.sawtoothsoftware.com/cgi-bin/ciwweb.pl?studyname=Estud2024&amp;ID=1236</v>
      </c>
      <c r="L1236" s="113">
        <v>45712</v>
      </c>
      <c r="M1236" s="45" t="s">
        <v>246</v>
      </c>
    </row>
    <row r="1237" spans="1:13">
      <c r="A1237">
        <v>1237</v>
      </c>
      <c r="B1237" t="s">
        <v>89</v>
      </c>
      <c r="C1237">
        <v>8</v>
      </c>
      <c r="D1237" t="s">
        <v>105</v>
      </c>
      <c r="E1237">
        <v>72</v>
      </c>
      <c r="F1237" t="s">
        <v>9384</v>
      </c>
      <c r="H1237" t="s">
        <v>9385</v>
      </c>
      <c r="I1237" s="45" t="s">
        <v>6754</v>
      </c>
      <c r="J1237" s="122">
        <v>45708</v>
      </c>
      <c r="K1237" s="110" t="str">
        <f t="shared" si="15"/>
        <v>https://Estud2024.sawtoothsoftware.com/cgi-bin/ciwweb.pl?studyname=Estud2024&amp;ID=1237</v>
      </c>
      <c r="L1237" s="113">
        <v>45712</v>
      </c>
      <c r="M1237" s="45" t="s">
        <v>246</v>
      </c>
    </row>
    <row r="1238" spans="1:13">
      <c r="A1238">
        <v>1238</v>
      </c>
      <c r="B1238" t="s">
        <v>89</v>
      </c>
      <c r="C1238">
        <v>8</v>
      </c>
      <c r="D1238" t="s">
        <v>105</v>
      </c>
      <c r="E1238">
        <v>72</v>
      </c>
      <c r="F1238" t="s">
        <v>9386</v>
      </c>
      <c r="H1238" t="s">
        <v>9387</v>
      </c>
      <c r="I1238" s="45" t="s">
        <v>6754</v>
      </c>
      <c r="J1238" s="122">
        <v>45708</v>
      </c>
      <c r="K1238" s="110" t="str">
        <f t="shared" ref="K1238:K1301" si="16">CONCATENATE("https://Estud2024.sawtoothsoftware.com/cgi-bin/ciwweb.pl?studyname=Estud2024&amp;ID=",A1238)</f>
        <v>https://Estud2024.sawtoothsoftware.com/cgi-bin/ciwweb.pl?studyname=Estud2024&amp;ID=1238</v>
      </c>
      <c r="L1238" s="113">
        <v>45712</v>
      </c>
      <c r="M1238" s="45" t="s">
        <v>247</v>
      </c>
    </row>
    <row r="1239" spans="1:13">
      <c r="A1239">
        <v>1239</v>
      </c>
      <c r="B1239" t="s">
        <v>89</v>
      </c>
      <c r="C1239">
        <v>8</v>
      </c>
      <c r="D1239" t="s">
        <v>105</v>
      </c>
      <c r="E1239">
        <v>72</v>
      </c>
      <c r="F1239" t="s">
        <v>9388</v>
      </c>
      <c r="H1239" t="s">
        <v>9389</v>
      </c>
      <c r="I1239" s="45" t="s">
        <v>6754</v>
      </c>
      <c r="J1239" s="122">
        <v>45708</v>
      </c>
      <c r="K1239" s="110" t="str">
        <f t="shared" si="16"/>
        <v>https://Estud2024.sawtoothsoftware.com/cgi-bin/ciwweb.pl?studyname=Estud2024&amp;ID=1239</v>
      </c>
      <c r="L1239" s="113">
        <v>45712</v>
      </c>
      <c r="M1239" s="45" t="s">
        <v>247</v>
      </c>
    </row>
    <row r="1240" spans="1:13">
      <c r="A1240">
        <v>1240</v>
      </c>
      <c r="B1240" t="s">
        <v>89</v>
      </c>
      <c r="C1240">
        <v>8</v>
      </c>
      <c r="D1240" t="s">
        <v>105</v>
      </c>
      <c r="E1240">
        <v>72</v>
      </c>
      <c r="F1240" t="s">
        <v>9390</v>
      </c>
      <c r="H1240" t="s">
        <v>9391</v>
      </c>
      <c r="I1240" s="45" t="s">
        <v>6754</v>
      </c>
      <c r="J1240" s="122">
        <v>45708</v>
      </c>
      <c r="K1240" s="110" t="str">
        <f t="shared" si="16"/>
        <v>https://Estud2024.sawtoothsoftware.com/cgi-bin/ciwweb.pl?studyname=Estud2024&amp;ID=1240</v>
      </c>
      <c r="L1240" s="113">
        <v>45712</v>
      </c>
      <c r="M1240" s="45" t="s">
        <v>246</v>
      </c>
    </row>
    <row r="1241" spans="1:13">
      <c r="A1241">
        <v>1241</v>
      </c>
      <c r="B1241" t="s">
        <v>89</v>
      </c>
      <c r="C1241">
        <v>8</v>
      </c>
      <c r="D1241" t="s">
        <v>105</v>
      </c>
      <c r="E1241">
        <v>72</v>
      </c>
      <c r="F1241" t="s">
        <v>9392</v>
      </c>
      <c r="H1241" t="s">
        <v>9393</v>
      </c>
      <c r="I1241" s="45" t="s">
        <v>6754</v>
      </c>
      <c r="J1241" s="122">
        <v>45708</v>
      </c>
      <c r="K1241" s="110" t="str">
        <f t="shared" si="16"/>
        <v>https://Estud2024.sawtoothsoftware.com/cgi-bin/ciwweb.pl?studyname=Estud2024&amp;ID=1241</v>
      </c>
      <c r="L1241" s="113">
        <v>45712</v>
      </c>
      <c r="M1241" s="45" t="s">
        <v>247</v>
      </c>
    </row>
    <row r="1242" spans="1:13">
      <c r="A1242">
        <v>1242</v>
      </c>
      <c r="B1242" t="s">
        <v>89</v>
      </c>
      <c r="C1242">
        <v>8</v>
      </c>
      <c r="D1242" t="s">
        <v>105</v>
      </c>
      <c r="E1242">
        <v>72</v>
      </c>
      <c r="F1242" t="s">
        <v>9394</v>
      </c>
      <c r="H1242" t="s">
        <v>9395</v>
      </c>
      <c r="I1242" s="45" t="s">
        <v>6754</v>
      </c>
      <c r="J1242" s="122">
        <v>45708</v>
      </c>
      <c r="K1242" s="110" t="str">
        <f t="shared" si="16"/>
        <v>https://Estud2024.sawtoothsoftware.com/cgi-bin/ciwweb.pl?studyname=Estud2024&amp;ID=1242</v>
      </c>
      <c r="L1242" s="113">
        <v>45712</v>
      </c>
      <c r="M1242" s="45" t="s">
        <v>246</v>
      </c>
    </row>
    <row r="1243" spans="1:13">
      <c r="A1243">
        <v>1243</v>
      </c>
      <c r="B1243" t="s">
        <v>89</v>
      </c>
      <c r="C1243">
        <v>8</v>
      </c>
      <c r="D1243" t="s">
        <v>105</v>
      </c>
      <c r="E1243">
        <v>72</v>
      </c>
      <c r="F1243" t="s">
        <v>9396</v>
      </c>
      <c r="H1243" t="s">
        <v>9397</v>
      </c>
      <c r="I1243" s="45" t="s">
        <v>6754</v>
      </c>
      <c r="J1243" s="122">
        <v>45708</v>
      </c>
      <c r="K1243" s="110" t="str">
        <f t="shared" si="16"/>
        <v>https://Estud2024.sawtoothsoftware.com/cgi-bin/ciwweb.pl?studyname=Estud2024&amp;ID=1243</v>
      </c>
      <c r="L1243" s="113">
        <v>45712</v>
      </c>
      <c r="M1243" s="45" t="s">
        <v>247</v>
      </c>
    </row>
    <row r="1244" spans="1:13">
      <c r="A1244">
        <v>1244</v>
      </c>
      <c r="B1244" t="s">
        <v>89</v>
      </c>
      <c r="C1244">
        <v>8</v>
      </c>
      <c r="D1244" t="s">
        <v>105</v>
      </c>
      <c r="E1244">
        <v>72</v>
      </c>
      <c r="F1244" t="s">
        <v>9398</v>
      </c>
      <c r="H1244" t="s">
        <v>9399</v>
      </c>
      <c r="I1244" s="45" t="s">
        <v>6754</v>
      </c>
      <c r="J1244" s="122">
        <v>45708</v>
      </c>
      <c r="K1244" s="110" t="str">
        <f t="shared" si="16"/>
        <v>https://Estud2024.sawtoothsoftware.com/cgi-bin/ciwweb.pl?studyname=Estud2024&amp;ID=1244</v>
      </c>
      <c r="L1244" s="113">
        <v>45712</v>
      </c>
      <c r="M1244" s="45" t="s">
        <v>246</v>
      </c>
    </row>
    <row r="1245" spans="1:13">
      <c r="A1245">
        <v>1245</v>
      </c>
      <c r="B1245" t="s">
        <v>89</v>
      </c>
      <c r="C1245">
        <v>8</v>
      </c>
      <c r="D1245" t="s">
        <v>105</v>
      </c>
      <c r="E1245">
        <v>72</v>
      </c>
      <c r="F1245" t="s">
        <v>9400</v>
      </c>
      <c r="H1245" t="s">
        <v>9401</v>
      </c>
      <c r="I1245" s="45" t="s">
        <v>6754</v>
      </c>
      <c r="J1245" s="122">
        <v>45708</v>
      </c>
      <c r="K1245" s="110" t="str">
        <f t="shared" si="16"/>
        <v>https://Estud2024.sawtoothsoftware.com/cgi-bin/ciwweb.pl?studyname=Estud2024&amp;ID=1245</v>
      </c>
      <c r="L1245" s="113">
        <v>45712</v>
      </c>
      <c r="M1245" s="45" t="s">
        <v>246</v>
      </c>
    </row>
    <row r="1246" spans="1:13">
      <c r="A1246">
        <v>1246</v>
      </c>
      <c r="B1246" t="s">
        <v>89</v>
      </c>
      <c r="C1246">
        <v>8</v>
      </c>
      <c r="D1246" t="s">
        <v>105</v>
      </c>
      <c r="E1246">
        <v>72</v>
      </c>
      <c r="F1246" t="s">
        <v>9402</v>
      </c>
      <c r="H1246" t="s">
        <v>9403</v>
      </c>
      <c r="I1246" s="45" t="s">
        <v>6754</v>
      </c>
      <c r="J1246" s="122">
        <v>45708</v>
      </c>
      <c r="K1246" s="110" t="str">
        <f t="shared" si="16"/>
        <v>https://Estud2024.sawtoothsoftware.com/cgi-bin/ciwweb.pl?studyname=Estud2024&amp;ID=1246</v>
      </c>
      <c r="L1246" s="113">
        <v>45712</v>
      </c>
      <c r="M1246" s="45" t="s">
        <v>247</v>
      </c>
    </row>
    <row r="1247" spans="1:13">
      <c r="A1247">
        <v>1247</v>
      </c>
      <c r="B1247" t="s">
        <v>89</v>
      </c>
      <c r="C1247">
        <v>8</v>
      </c>
      <c r="D1247" t="s">
        <v>105</v>
      </c>
      <c r="E1247">
        <v>72</v>
      </c>
      <c r="F1247" t="s">
        <v>9404</v>
      </c>
      <c r="H1247" t="s">
        <v>9405</v>
      </c>
      <c r="I1247" s="45" t="s">
        <v>6754</v>
      </c>
      <c r="J1247" s="122">
        <v>45708</v>
      </c>
      <c r="K1247" s="110" t="str">
        <f t="shared" si="16"/>
        <v>https://Estud2024.sawtoothsoftware.com/cgi-bin/ciwweb.pl?studyname=Estud2024&amp;ID=1247</v>
      </c>
      <c r="L1247" s="113">
        <v>45712</v>
      </c>
      <c r="M1247" s="45" t="s">
        <v>247</v>
      </c>
    </row>
    <row r="1248" spans="1:13">
      <c r="A1248">
        <v>1248</v>
      </c>
      <c r="B1248" t="s">
        <v>89</v>
      </c>
      <c r="C1248">
        <v>8</v>
      </c>
      <c r="D1248" t="s">
        <v>105</v>
      </c>
      <c r="E1248">
        <v>72</v>
      </c>
      <c r="F1248" t="s">
        <v>9406</v>
      </c>
      <c r="H1248" t="s">
        <v>9407</v>
      </c>
      <c r="I1248" s="45" t="s">
        <v>6754</v>
      </c>
      <c r="J1248" s="122">
        <v>45708</v>
      </c>
      <c r="K1248" s="110" t="str">
        <f t="shared" si="16"/>
        <v>https://Estud2024.sawtoothsoftware.com/cgi-bin/ciwweb.pl?studyname=Estud2024&amp;ID=1248</v>
      </c>
      <c r="L1248" s="113">
        <v>45712</v>
      </c>
      <c r="M1248" s="45" t="s">
        <v>246</v>
      </c>
    </row>
    <row r="1249" spans="1:13">
      <c r="A1249">
        <v>1249</v>
      </c>
      <c r="B1249" t="s">
        <v>138</v>
      </c>
      <c r="C1249">
        <v>11</v>
      </c>
      <c r="D1249" t="s">
        <v>9408</v>
      </c>
      <c r="E1249">
        <v>117</v>
      </c>
      <c r="F1249" t="s">
        <v>9409</v>
      </c>
      <c r="H1249" t="s">
        <v>9410</v>
      </c>
      <c r="I1249" s="45" t="s">
        <v>6754</v>
      </c>
      <c r="J1249" s="122">
        <v>45708</v>
      </c>
      <c r="K1249" s="110" t="str">
        <f t="shared" si="16"/>
        <v>https://Estud2024.sawtoothsoftware.com/cgi-bin/ciwweb.pl?studyname=Estud2024&amp;ID=1249</v>
      </c>
      <c r="L1249" s="113">
        <v>45712</v>
      </c>
      <c r="M1249" s="45" t="s">
        <v>247</v>
      </c>
    </row>
    <row r="1250" spans="1:13">
      <c r="A1250">
        <v>1250</v>
      </c>
      <c r="B1250" t="s">
        <v>138</v>
      </c>
      <c r="C1250">
        <v>11</v>
      </c>
      <c r="D1250" t="s">
        <v>9408</v>
      </c>
      <c r="E1250">
        <v>117</v>
      </c>
      <c r="F1250" t="s">
        <v>9411</v>
      </c>
      <c r="H1250" t="s">
        <v>9412</v>
      </c>
      <c r="I1250" s="45" t="s">
        <v>6754</v>
      </c>
      <c r="J1250" s="122">
        <v>45708</v>
      </c>
      <c r="K1250" s="110" t="str">
        <f t="shared" si="16"/>
        <v>https://Estud2024.sawtoothsoftware.com/cgi-bin/ciwweb.pl?studyname=Estud2024&amp;ID=1250</v>
      </c>
      <c r="L1250" s="113">
        <v>45712</v>
      </c>
      <c r="M1250" s="45" t="s">
        <v>246</v>
      </c>
    </row>
    <row r="1251" spans="1:13">
      <c r="A1251">
        <v>1251</v>
      </c>
      <c r="B1251" t="s">
        <v>138</v>
      </c>
      <c r="C1251">
        <v>11</v>
      </c>
      <c r="D1251" t="s">
        <v>9408</v>
      </c>
      <c r="E1251">
        <v>117</v>
      </c>
      <c r="F1251" t="s">
        <v>9413</v>
      </c>
      <c r="H1251" t="s">
        <v>9414</v>
      </c>
      <c r="I1251" s="45" t="s">
        <v>6754</v>
      </c>
      <c r="J1251" s="122">
        <v>45708</v>
      </c>
      <c r="K1251" s="110" t="str">
        <f t="shared" si="16"/>
        <v>https://Estud2024.sawtoothsoftware.com/cgi-bin/ciwweb.pl?studyname=Estud2024&amp;ID=1251</v>
      </c>
      <c r="L1251" s="113">
        <v>45712</v>
      </c>
      <c r="M1251" s="45" t="s">
        <v>246</v>
      </c>
    </row>
    <row r="1252" spans="1:13">
      <c r="A1252">
        <v>1252</v>
      </c>
      <c r="B1252" t="s">
        <v>138</v>
      </c>
      <c r="C1252">
        <v>11</v>
      </c>
      <c r="D1252" t="s">
        <v>9408</v>
      </c>
      <c r="E1252">
        <v>117</v>
      </c>
      <c r="F1252" t="s">
        <v>9415</v>
      </c>
      <c r="H1252" t="s">
        <v>9416</v>
      </c>
      <c r="I1252" s="45" t="s">
        <v>6754</v>
      </c>
      <c r="J1252" s="122">
        <v>45708</v>
      </c>
      <c r="K1252" s="110" t="str">
        <f t="shared" si="16"/>
        <v>https://Estud2024.sawtoothsoftware.com/cgi-bin/ciwweb.pl?studyname=Estud2024&amp;ID=1252</v>
      </c>
      <c r="L1252" s="113">
        <v>45712</v>
      </c>
      <c r="M1252" s="45" t="s">
        <v>246</v>
      </c>
    </row>
    <row r="1253" spans="1:13">
      <c r="A1253">
        <v>1253</v>
      </c>
      <c r="B1253" t="s">
        <v>138</v>
      </c>
      <c r="C1253">
        <v>11</v>
      </c>
      <c r="D1253" t="s">
        <v>9408</v>
      </c>
      <c r="E1253">
        <v>117</v>
      </c>
      <c r="F1253" t="s">
        <v>9417</v>
      </c>
      <c r="H1253" t="s">
        <v>9418</v>
      </c>
      <c r="I1253" s="45" t="s">
        <v>6754</v>
      </c>
      <c r="J1253" s="122">
        <v>45708</v>
      </c>
      <c r="K1253" s="110" t="str">
        <f t="shared" si="16"/>
        <v>https://Estud2024.sawtoothsoftware.com/cgi-bin/ciwweb.pl?studyname=Estud2024&amp;ID=1253</v>
      </c>
      <c r="L1253" s="113">
        <v>45712</v>
      </c>
      <c r="M1253" s="45" t="s">
        <v>246</v>
      </c>
    </row>
    <row r="1254" spans="1:13">
      <c r="A1254">
        <v>1254</v>
      </c>
      <c r="B1254" t="s">
        <v>138</v>
      </c>
      <c r="C1254">
        <v>11</v>
      </c>
      <c r="D1254" t="s">
        <v>9408</v>
      </c>
      <c r="E1254">
        <v>117</v>
      </c>
      <c r="F1254" t="s">
        <v>9419</v>
      </c>
      <c r="H1254" t="s">
        <v>9420</v>
      </c>
      <c r="I1254" s="45" t="s">
        <v>6754</v>
      </c>
      <c r="J1254" s="122">
        <v>45708</v>
      </c>
      <c r="K1254" s="110" t="str">
        <f t="shared" si="16"/>
        <v>https://Estud2024.sawtoothsoftware.com/cgi-bin/ciwweb.pl?studyname=Estud2024&amp;ID=1254</v>
      </c>
      <c r="L1254" s="113">
        <v>45712</v>
      </c>
      <c r="M1254" s="45" t="s">
        <v>246</v>
      </c>
    </row>
    <row r="1255" spans="1:13">
      <c r="A1255">
        <v>1255</v>
      </c>
      <c r="B1255" t="s">
        <v>138</v>
      </c>
      <c r="C1255">
        <v>11</v>
      </c>
      <c r="D1255" t="s">
        <v>9408</v>
      </c>
      <c r="E1255">
        <v>117</v>
      </c>
      <c r="F1255" t="s">
        <v>9421</v>
      </c>
      <c r="H1255" t="s">
        <v>9422</v>
      </c>
      <c r="I1255" s="45" t="s">
        <v>6754</v>
      </c>
      <c r="J1255" s="122">
        <v>45708</v>
      </c>
      <c r="K1255" s="110" t="str">
        <f t="shared" si="16"/>
        <v>https://Estud2024.sawtoothsoftware.com/cgi-bin/ciwweb.pl?studyname=Estud2024&amp;ID=1255</v>
      </c>
      <c r="L1255" s="113">
        <v>45712</v>
      </c>
      <c r="M1255" s="45" t="s">
        <v>246</v>
      </c>
    </row>
    <row r="1256" spans="1:13">
      <c r="A1256">
        <v>1256</v>
      </c>
      <c r="B1256" t="s">
        <v>138</v>
      </c>
      <c r="C1256">
        <v>11</v>
      </c>
      <c r="D1256" t="s">
        <v>9408</v>
      </c>
      <c r="E1256">
        <v>117</v>
      </c>
      <c r="F1256" t="s">
        <v>9423</v>
      </c>
      <c r="H1256" t="s">
        <v>9424</v>
      </c>
      <c r="I1256" s="45" t="s">
        <v>6754</v>
      </c>
      <c r="J1256" s="122">
        <v>45708</v>
      </c>
      <c r="K1256" s="110" t="str">
        <f t="shared" si="16"/>
        <v>https://Estud2024.sawtoothsoftware.com/cgi-bin/ciwweb.pl?studyname=Estud2024&amp;ID=1256</v>
      </c>
      <c r="L1256" s="113">
        <v>45712</v>
      </c>
      <c r="M1256" s="45" t="s">
        <v>246</v>
      </c>
    </row>
    <row r="1257" spans="1:13">
      <c r="A1257">
        <v>1257</v>
      </c>
      <c r="B1257" t="s">
        <v>138</v>
      </c>
      <c r="C1257">
        <v>11</v>
      </c>
      <c r="D1257" t="s">
        <v>9408</v>
      </c>
      <c r="E1257">
        <v>117</v>
      </c>
      <c r="F1257" t="s">
        <v>9425</v>
      </c>
      <c r="H1257" t="s">
        <v>9426</v>
      </c>
      <c r="I1257" s="45" t="s">
        <v>6754</v>
      </c>
      <c r="J1257" s="122">
        <v>45708</v>
      </c>
      <c r="K1257" s="110" t="str">
        <f t="shared" si="16"/>
        <v>https://Estud2024.sawtoothsoftware.com/cgi-bin/ciwweb.pl?studyname=Estud2024&amp;ID=1257</v>
      </c>
      <c r="L1257" s="113">
        <v>45712</v>
      </c>
      <c r="M1257" s="45" t="s">
        <v>246</v>
      </c>
    </row>
    <row r="1258" spans="1:13">
      <c r="A1258">
        <v>1258</v>
      </c>
      <c r="B1258" t="s">
        <v>138</v>
      </c>
      <c r="C1258">
        <v>11</v>
      </c>
      <c r="D1258" t="s">
        <v>9408</v>
      </c>
      <c r="E1258">
        <v>117</v>
      </c>
      <c r="F1258" t="s">
        <v>9427</v>
      </c>
      <c r="H1258" t="s">
        <v>9428</v>
      </c>
      <c r="I1258" s="45" t="s">
        <v>6754</v>
      </c>
      <c r="J1258" s="122">
        <v>45708</v>
      </c>
      <c r="K1258" s="110" t="str">
        <f t="shared" si="16"/>
        <v>https://Estud2024.sawtoothsoftware.com/cgi-bin/ciwweb.pl?studyname=Estud2024&amp;ID=1258</v>
      </c>
      <c r="L1258" s="113">
        <v>45712</v>
      </c>
      <c r="M1258" s="45" t="s">
        <v>246</v>
      </c>
    </row>
    <row r="1259" spans="1:13">
      <c r="A1259">
        <v>1259</v>
      </c>
      <c r="B1259" t="s">
        <v>138</v>
      </c>
      <c r="C1259">
        <v>11</v>
      </c>
      <c r="D1259" t="s">
        <v>9408</v>
      </c>
      <c r="E1259">
        <v>117</v>
      </c>
      <c r="F1259" t="s">
        <v>9429</v>
      </c>
      <c r="H1259" t="s">
        <v>9430</v>
      </c>
      <c r="I1259" s="45" t="s">
        <v>6754</v>
      </c>
      <c r="J1259" s="122">
        <v>45708</v>
      </c>
      <c r="K1259" s="110" t="str">
        <f t="shared" si="16"/>
        <v>https://Estud2024.sawtoothsoftware.com/cgi-bin/ciwweb.pl?studyname=Estud2024&amp;ID=1259</v>
      </c>
      <c r="L1259" s="113">
        <v>45712</v>
      </c>
      <c r="M1259" s="45" t="s">
        <v>246</v>
      </c>
    </row>
    <row r="1260" spans="1:13">
      <c r="A1260">
        <v>1260</v>
      </c>
      <c r="B1260" t="s">
        <v>138</v>
      </c>
      <c r="C1260">
        <v>11</v>
      </c>
      <c r="D1260" t="s">
        <v>9408</v>
      </c>
      <c r="E1260">
        <v>117</v>
      </c>
      <c r="F1260" t="s">
        <v>9431</v>
      </c>
      <c r="H1260" t="s">
        <v>9432</v>
      </c>
      <c r="I1260" s="45" t="s">
        <v>6754</v>
      </c>
      <c r="J1260" s="122">
        <v>45708</v>
      </c>
      <c r="K1260" s="110" t="str">
        <f t="shared" si="16"/>
        <v>https://Estud2024.sawtoothsoftware.com/cgi-bin/ciwweb.pl?studyname=Estud2024&amp;ID=1260</v>
      </c>
      <c r="L1260" s="113">
        <v>45712</v>
      </c>
      <c r="M1260" s="45" t="s">
        <v>246</v>
      </c>
    </row>
    <row r="1261" spans="1:13">
      <c r="A1261">
        <v>1261</v>
      </c>
      <c r="B1261" t="s">
        <v>138</v>
      </c>
      <c r="C1261">
        <v>11</v>
      </c>
      <c r="D1261" t="s">
        <v>9408</v>
      </c>
      <c r="E1261">
        <v>117</v>
      </c>
      <c r="F1261" t="s">
        <v>9433</v>
      </c>
      <c r="H1261" t="s">
        <v>9434</v>
      </c>
      <c r="I1261" s="45" t="s">
        <v>6754</v>
      </c>
      <c r="J1261" s="122">
        <v>45708</v>
      </c>
      <c r="K1261" s="110" t="str">
        <f t="shared" si="16"/>
        <v>https://Estud2024.sawtoothsoftware.com/cgi-bin/ciwweb.pl?studyname=Estud2024&amp;ID=1261</v>
      </c>
      <c r="L1261" s="113">
        <v>45712</v>
      </c>
      <c r="M1261" s="45" t="s">
        <v>246</v>
      </c>
    </row>
    <row r="1262" spans="1:13">
      <c r="A1262">
        <v>1262</v>
      </c>
      <c r="B1262" t="s">
        <v>138</v>
      </c>
      <c r="C1262">
        <v>11</v>
      </c>
      <c r="D1262" t="s">
        <v>9408</v>
      </c>
      <c r="E1262">
        <v>117</v>
      </c>
      <c r="F1262" t="s">
        <v>9435</v>
      </c>
      <c r="H1262" t="s">
        <v>9436</v>
      </c>
      <c r="I1262" s="45" t="s">
        <v>6754</v>
      </c>
      <c r="J1262" s="122">
        <v>45708</v>
      </c>
      <c r="K1262" s="110" t="str">
        <f t="shared" si="16"/>
        <v>https://Estud2024.sawtoothsoftware.com/cgi-bin/ciwweb.pl?studyname=Estud2024&amp;ID=1262</v>
      </c>
      <c r="L1262" s="113">
        <v>45712</v>
      </c>
      <c r="M1262" s="45" t="s">
        <v>246</v>
      </c>
    </row>
    <row r="1263" spans="1:13">
      <c r="A1263">
        <v>1263</v>
      </c>
      <c r="B1263" t="s">
        <v>138</v>
      </c>
      <c r="C1263">
        <v>11</v>
      </c>
      <c r="D1263" t="s">
        <v>9408</v>
      </c>
      <c r="E1263">
        <v>117</v>
      </c>
      <c r="F1263" t="s">
        <v>9437</v>
      </c>
      <c r="H1263" t="s">
        <v>9438</v>
      </c>
      <c r="I1263" s="45" t="s">
        <v>6754</v>
      </c>
      <c r="J1263" s="122">
        <v>45708</v>
      </c>
      <c r="K1263" s="110" t="str">
        <f t="shared" si="16"/>
        <v>https://Estud2024.sawtoothsoftware.com/cgi-bin/ciwweb.pl?studyname=Estud2024&amp;ID=1263</v>
      </c>
      <c r="L1263" s="113">
        <v>45712</v>
      </c>
      <c r="M1263" s="45" t="s">
        <v>246</v>
      </c>
    </row>
    <row r="1264" spans="1:13">
      <c r="A1264">
        <v>1264</v>
      </c>
      <c r="B1264" t="s">
        <v>138</v>
      </c>
      <c r="C1264">
        <v>11</v>
      </c>
      <c r="D1264" t="s">
        <v>9408</v>
      </c>
      <c r="E1264">
        <v>117</v>
      </c>
      <c r="F1264" t="s">
        <v>9439</v>
      </c>
      <c r="H1264" t="s">
        <v>9440</v>
      </c>
      <c r="I1264" s="45" t="s">
        <v>6754</v>
      </c>
      <c r="J1264" s="122">
        <v>45708</v>
      </c>
      <c r="K1264" s="110" t="str">
        <f t="shared" si="16"/>
        <v>https://Estud2024.sawtoothsoftware.com/cgi-bin/ciwweb.pl?studyname=Estud2024&amp;ID=1264</v>
      </c>
      <c r="L1264" s="113">
        <v>45712</v>
      </c>
      <c r="M1264" s="45" t="s">
        <v>246</v>
      </c>
    </row>
    <row r="1265" spans="1:13">
      <c r="A1265">
        <v>1265</v>
      </c>
      <c r="B1265" t="s">
        <v>138</v>
      </c>
      <c r="C1265">
        <v>11</v>
      </c>
      <c r="D1265" t="s">
        <v>9408</v>
      </c>
      <c r="E1265">
        <v>117</v>
      </c>
      <c r="F1265" t="s">
        <v>9441</v>
      </c>
      <c r="H1265" t="s">
        <v>9442</v>
      </c>
      <c r="I1265" s="45" t="s">
        <v>6754</v>
      </c>
      <c r="J1265" s="122">
        <v>45708</v>
      </c>
      <c r="K1265" s="110" t="str">
        <f t="shared" si="16"/>
        <v>https://Estud2024.sawtoothsoftware.com/cgi-bin/ciwweb.pl?studyname=Estud2024&amp;ID=1265</v>
      </c>
      <c r="L1265" s="113">
        <v>45712</v>
      </c>
      <c r="M1265" s="45" t="s">
        <v>246</v>
      </c>
    </row>
    <row r="1266" spans="1:13">
      <c r="A1266">
        <v>1266</v>
      </c>
      <c r="B1266" t="s">
        <v>138</v>
      </c>
      <c r="C1266">
        <v>11</v>
      </c>
      <c r="D1266" t="s">
        <v>9408</v>
      </c>
      <c r="E1266">
        <v>117</v>
      </c>
      <c r="F1266" t="s">
        <v>9443</v>
      </c>
      <c r="H1266" t="s">
        <v>9444</v>
      </c>
      <c r="I1266" s="45" t="s">
        <v>6754</v>
      </c>
      <c r="J1266" s="122">
        <v>45708</v>
      </c>
      <c r="K1266" s="110" t="str">
        <f t="shared" si="16"/>
        <v>https://Estud2024.sawtoothsoftware.com/cgi-bin/ciwweb.pl?studyname=Estud2024&amp;ID=1266</v>
      </c>
      <c r="L1266" s="113">
        <v>45712</v>
      </c>
      <c r="M1266" s="45" t="s">
        <v>246</v>
      </c>
    </row>
    <row r="1267" spans="1:13">
      <c r="A1267">
        <v>1267</v>
      </c>
      <c r="B1267" t="s">
        <v>138</v>
      </c>
      <c r="C1267">
        <v>11</v>
      </c>
      <c r="D1267" t="s">
        <v>9408</v>
      </c>
      <c r="E1267">
        <v>117</v>
      </c>
      <c r="F1267" t="s">
        <v>9445</v>
      </c>
      <c r="H1267" t="s">
        <v>9446</v>
      </c>
      <c r="I1267" s="45" t="s">
        <v>6754</v>
      </c>
      <c r="J1267" s="122">
        <v>45708</v>
      </c>
      <c r="K1267" s="110" t="str">
        <f t="shared" si="16"/>
        <v>https://Estud2024.sawtoothsoftware.com/cgi-bin/ciwweb.pl?studyname=Estud2024&amp;ID=1267</v>
      </c>
      <c r="L1267" s="113">
        <v>45712</v>
      </c>
      <c r="M1267" s="45" t="s">
        <v>246</v>
      </c>
    </row>
    <row r="1268" spans="1:13">
      <c r="A1268">
        <v>1268</v>
      </c>
      <c r="B1268" t="s">
        <v>138</v>
      </c>
      <c r="C1268">
        <v>11</v>
      </c>
      <c r="D1268" t="s">
        <v>9408</v>
      </c>
      <c r="E1268">
        <v>117</v>
      </c>
      <c r="F1268" t="s">
        <v>9447</v>
      </c>
      <c r="H1268" t="s">
        <v>9448</v>
      </c>
      <c r="I1268" s="45" t="s">
        <v>6754</v>
      </c>
      <c r="J1268" s="122">
        <v>45708</v>
      </c>
      <c r="K1268" s="110" t="str">
        <f t="shared" si="16"/>
        <v>https://Estud2024.sawtoothsoftware.com/cgi-bin/ciwweb.pl?studyname=Estud2024&amp;ID=1268</v>
      </c>
      <c r="L1268" s="113">
        <v>45712</v>
      </c>
      <c r="M1268" s="45" t="s">
        <v>246</v>
      </c>
    </row>
    <row r="1269" spans="1:13">
      <c r="A1269">
        <v>1269</v>
      </c>
      <c r="B1269" t="s">
        <v>138</v>
      </c>
      <c r="C1269">
        <v>11</v>
      </c>
      <c r="D1269" t="s">
        <v>9408</v>
      </c>
      <c r="E1269">
        <v>117</v>
      </c>
      <c r="F1269" t="s">
        <v>9449</v>
      </c>
      <c r="H1269" t="s">
        <v>9450</v>
      </c>
      <c r="I1269" s="45" t="s">
        <v>6754</v>
      </c>
      <c r="J1269" s="122">
        <v>45708</v>
      </c>
      <c r="K1269" s="110" t="str">
        <f t="shared" si="16"/>
        <v>https://Estud2024.sawtoothsoftware.com/cgi-bin/ciwweb.pl?studyname=Estud2024&amp;ID=1269</v>
      </c>
      <c r="L1269" s="113">
        <v>45712</v>
      </c>
      <c r="M1269" s="45" t="s">
        <v>246</v>
      </c>
    </row>
    <row r="1270" spans="1:13">
      <c r="A1270">
        <v>1270</v>
      </c>
      <c r="B1270" t="s">
        <v>138</v>
      </c>
      <c r="C1270">
        <v>11</v>
      </c>
      <c r="D1270" t="s">
        <v>9408</v>
      </c>
      <c r="E1270">
        <v>117</v>
      </c>
      <c r="F1270" t="s">
        <v>9451</v>
      </c>
      <c r="H1270" t="s">
        <v>9452</v>
      </c>
      <c r="I1270" s="45" t="s">
        <v>6754</v>
      </c>
      <c r="J1270" s="122">
        <v>45708</v>
      </c>
      <c r="K1270" s="110" t="str">
        <f t="shared" si="16"/>
        <v>https://Estud2024.sawtoothsoftware.com/cgi-bin/ciwweb.pl?studyname=Estud2024&amp;ID=1270</v>
      </c>
      <c r="L1270" s="113">
        <v>45712</v>
      </c>
      <c r="M1270" s="45" t="s">
        <v>246</v>
      </c>
    </row>
    <row r="1271" spans="1:13">
      <c r="A1271">
        <v>1271</v>
      </c>
      <c r="B1271" t="s">
        <v>138</v>
      </c>
      <c r="C1271">
        <v>11</v>
      </c>
      <c r="D1271" t="s">
        <v>9408</v>
      </c>
      <c r="E1271">
        <v>117</v>
      </c>
      <c r="F1271" t="s">
        <v>9453</v>
      </c>
      <c r="H1271" t="s">
        <v>9454</v>
      </c>
      <c r="I1271" s="45" t="s">
        <v>6754</v>
      </c>
      <c r="J1271" s="122">
        <v>45708</v>
      </c>
      <c r="K1271" s="110" t="str">
        <f t="shared" si="16"/>
        <v>https://Estud2024.sawtoothsoftware.com/cgi-bin/ciwweb.pl?studyname=Estud2024&amp;ID=1271</v>
      </c>
      <c r="L1271" s="113">
        <v>45712</v>
      </c>
      <c r="M1271" s="45" t="s">
        <v>246</v>
      </c>
    </row>
    <row r="1272" spans="1:13">
      <c r="A1272">
        <v>1272</v>
      </c>
      <c r="B1272" t="s">
        <v>138</v>
      </c>
      <c r="C1272">
        <v>11</v>
      </c>
      <c r="D1272" t="s">
        <v>9408</v>
      </c>
      <c r="E1272">
        <v>117</v>
      </c>
      <c r="F1272" t="s">
        <v>9455</v>
      </c>
      <c r="H1272" t="s">
        <v>9456</v>
      </c>
      <c r="I1272" s="45" t="s">
        <v>6754</v>
      </c>
      <c r="J1272" s="122">
        <v>45708</v>
      </c>
      <c r="K1272" s="110" t="str">
        <f t="shared" si="16"/>
        <v>https://Estud2024.sawtoothsoftware.com/cgi-bin/ciwweb.pl?studyname=Estud2024&amp;ID=1272</v>
      </c>
      <c r="L1272" s="113">
        <v>45712</v>
      </c>
      <c r="M1272" s="45" t="s">
        <v>246</v>
      </c>
    </row>
    <row r="1273" spans="1:13">
      <c r="A1273">
        <v>1273</v>
      </c>
      <c r="B1273" t="s">
        <v>138</v>
      </c>
      <c r="C1273">
        <v>11</v>
      </c>
      <c r="D1273" t="s">
        <v>9408</v>
      </c>
      <c r="E1273">
        <v>117</v>
      </c>
      <c r="F1273" t="s">
        <v>9457</v>
      </c>
      <c r="H1273" t="s">
        <v>9458</v>
      </c>
      <c r="I1273" s="45" t="s">
        <v>6754</v>
      </c>
      <c r="J1273" s="122">
        <v>45708</v>
      </c>
      <c r="K1273" s="110" t="str">
        <f t="shared" si="16"/>
        <v>https://Estud2024.sawtoothsoftware.com/cgi-bin/ciwweb.pl?studyname=Estud2024&amp;ID=1273</v>
      </c>
      <c r="L1273" s="113">
        <v>45712</v>
      </c>
      <c r="M1273" s="45" t="s">
        <v>246</v>
      </c>
    </row>
    <row r="1274" spans="1:13">
      <c r="A1274">
        <v>1274</v>
      </c>
      <c r="B1274" t="s">
        <v>138</v>
      </c>
      <c r="C1274">
        <v>11</v>
      </c>
      <c r="D1274" t="s">
        <v>9408</v>
      </c>
      <c r="E1274">
        <v>117</v>
      </c>
      <c r="F1274" t="s">
        <v>9459</v>
      </c>
      <c r="H1274" t="s">
        <v>9460</v>
      </c>
      <c r="I1274" s="45" t="s">
        <v>6754</v>
      </c>
      <c r="J1274" s="122">
        <v>45708</v>
      </c>
      <c r="K1274" s="110" t="str">
        <f t="shared" si="16"/>
        <v>https://Estud2024.sawtoothsoftware.com/cgi-bin/ciwweb.pl?studyname=Estud2024&amp;ID=1274</v>
      </c>
      <c r="L1274" s="113">
        <v>45712</v>
      </c>
      <c r="M1274" s="45" t="s">
        <v>246</v>
      </c>
    </row>
    <row r="1275" spans="1:13">
      <c r="A1275">
        <v>1275</v>
      </c>
      <c r="B1275" t="s">
        <v>138</v>
      </c>
      <c r="C1275">
        <v>11</v>
      </c>
      <c r="D1275" t="s">
        <v>9408</v>
      </c>
      <c r="E1275">
        <v>117</v>
      </c>
      <c r="F1275" t="s">
        <v>9461</v>
      </c>
      <c r="H1275" t="s">
        <v>9462</v>
      </c>
      <c r="I1275" s="45" t="s">
        <v>6754</v>
      </c>
      <c r="J1275" s="122">
        <v>45708</v>
      </c>
      <c r="K1275" s="110" t="str">
        <f t="shared" si="16"/>
        <v>https://Estud2024.sawtoothsoftware.com/cgi-bin/ciwweb.pl?studyname=Estud2024&amp;ID=1275</v>
      </c>
      <c r="L1275" s="113">
        <v>45712</v>
      </c>
      <c r="M1275" s="45" t="s">
        <v>246</v>
      </c>
    </row>
    <row r="1276" spans="1:13">
      <c r="A1276">
        <v>1276</v>
      </c>
      <c r="B1276" t="s">
        <v>138</v>
      </c>
      <c r="C1276">
        <v>11</v>
      </c>
      <c r="D1276" t="s">
        <v>9408</v>
      </c>
      <c r="E1276">
        <v>117</v>
      </c>
      <c r="F1276" t="s">
        <v>9463</v>
      </c>
      <c r="H1276" t="s">
        <v>9464</v>
      </c>
      <c r="I1276" s="45" t="s">
        <v>6754</v>
      </c>
      <c r="J1276" s="122">
        <v>45708</v>
      </c>
      <c r="K1276" s="110" t="str">
        <f t="shared" si="16"/>
        <v>https://Estud2024.sawtoothsoftware.com/cgi-bin/ciwweb.pl?studyname=Estud2024&amp;ID=1276</v>
      </c>
      <c r="L1276" s="113">
        <v>45712</v>
      </c>
      <c r="M1276" s="45" t="s">
        <v>246</v>
      </c>
    </row>
    <row r="1277" spans="1:13">
      <c r="A1277">
        <v>1277</v>
      </c>
      <c r="B1277" t="s">
        <v>138</v>
      </c>
      <c r="C1277">
        <v>11</v>
      </c>
      <c r="D1277" t="s">
        <v>142</v>
      </c>
      <c r="E1277">
        <v>119</v>
      </c>
      <c r="F1277" t="s">
        <v>9465</v>
      </c>
      <c r="H1277" t="s">
        <v>9466</v>
      </c>
      <c r="I1277" s="45" t="s">
        <v>6754</v>
      </c>
      <c r="J1277" s="122">
        <v>45708</v>
      </c>
      <c r="K1277" s="110" t="str">
        <f t="shared" si="16"/>
        <v>https://Estud2024.sawtoothsoftware.com/cgi-bin/ciwweb.pl?studyname=Estud2024&amp;ID=1277</v>
      </c>
      <c r="L1277" s="113">
        <v>45712</v>
      </c>
      <c r="M1277" s="45" t="s">
        <v>246</v>
      </c>
    </row>
    <row r="1278" spans="1:13">
      <c r="A1278">
        <v>1278</v>
      </c>
      <c r="B1278" t="s">
        <v>138</v>
      </c>
      <c r="C1278">
        <v>11</v>
      </c>
      <c r="D1278" t="s">
        <v>142</v>
      </c>
      <c r="E1278">
        <v>119</v>
      </c>
      <c r="F1278" t="s">
        <v>9467</v>
      </c>
      <c r="H1278" t="s">
        <v>9468</v>
      </c>
      <c r="I1278" s="45" t="s">
        <v>6754</v>
      </c>
      <c r="J1278" s="122">
        <v>45708</v>
      </c>
      <c r="K1278" s="110" t="str">
        <f t="shared" si="16"/>
        <v>https://Estud2024.sawtoothsoftware.com/cgi-bin/ciwweb.pl?studyname=Estud2024&amp;ID=1278</v>
      </c>
      <c r="L1278" s="113">
        <v>45712</v>
      </c>
      <c r="M1278" s="45" t="s">
        <v>246</v>
      </c>
    </row>
    <row r="1279" spans="1:13">
      <c r="A1279">
        <v>1279</v>
      </c>
      <c r="B1279" t="s">
        <v>138</v>
      </c>
      <c r="C1279">
        <v>11</v>
      </c>
      <c r="D1279" t="s">
        <v>142</v>
      </c>
      <c r="E1279">
        <v>119</v>
      </c>
      <c r="F1279" t="s">
        <v>9469</v>
      </c>
      <c r="H1279" t="s">
        <v>9470</v>
      </c>
      <c r="I1279" s="45" t="s">
        <v>6754</v>
      </c>
      <c r="J1279" s="122">
        <v>45708</v>
      </c>
      <c r="K1279" s="110" t="str">
        <f t="shared" si="16"/>
        <v>https://Estud2024.sawtoothsoftware.com/cgi-bin/ciwweb.pl?studyname=Estud2024&amp;ID=1279</v>
      </c>
      <c r="L1279" s="113">
        <v>45712</v>
      </c>
      <c r="M1279" s="45" t="s">
        <v>246</v>
      </c>
    </row>
    <row r="1280" spans="1:13">
      <c r="A1280">
        <v>1280</v>
      </c>
      <c r="B1280" t="s">
        <v>138</v>
      </c>
      <c r="C1280">
        <v>11</v>
      </c>
      <c r="D1280" t="s">
        <v>142</v>
      </c>
      <c r="E1280">
        <v>119</v>
      </c>
      <c r="F1280" t="s">
        <v>9471</v>
      </c>
      <c r="H1280" t="s">
        <v>9472</v>
      </c>
      <c r="I1280" s="45" t="s">
        <v>6754</v>
      </c>
      <c r="J1280" s="122">
        <v>45708</v>
      </c>
      <c r="K1280" s="110" t="str">
        <f t="shared" si="16"/>
        <v>https://Estud2024.sawtoothsoftware.com/cgi-bin/ciwweb.pl?studyname=Estud2024&amp;ID=1280</v>
      </c>
      <c r="L1280" s="113">
        <v>45712</v>
      </c>
      <c r="M1280" s="45" t="s">
        <v>246</v>
      </c>
    </row>
    <row r="1281" spans="1:13">
      <c r="A1281">
        <v>1281</v>
      </c>
      <c r="B1281" t="s">
        <v>138</v>
      </c>
      <c r="C1281">
        <v>11</v>
      </c>
      <c r="D1281" t="s">
        <v>142</v>
      </c>
      <c r="E1281">
        <v>119</v>
      </c>
      <c r="F1281" t="s">
        <v>9473</v>
      </c>
      <c r="H1281" t="s">
        <v>9474</v>
      </c>
      <c r="I1281" s="45" t="s">
        <v>6754</v>
      </c>
      <c r="J1281" s="122">
        <v>45708</v>
      </c>
      <c r="K1281" s="110" t="str">
        <f t="shared" si="16"/>
        <v>https://Estud2024.sawtoothsoftware.com/cgi-bin/ciwweb.pl?studyname=Estud2024&amp;ID=1281</v>
      </c>
      <c r="L1281" s="113">
        <v>45712</v>
      </c>
      <c r="M1281" s="45" t="s">
        <v>246</v>
      </c>
    </row>
    <row r="1282" spans="1:13">
      <c r="A1282">
        <v>1282</v>
      </c>
      <c r="B1282" t="s">
        <v>138</v>
      </c>
      <c r="C1282">
        <v>11</v>
      </c>
      <c r="D1282" t="s">
        <v>142</v>
      </c>
      <c r="E1282">
        <v>119</v>
      </c>
      <c r="F1282" t="s">
        <v>9475</v>
      </c>
      <c r="H1282" t="s">
        <v>9476</v>
      </c>
      <c r="I1282" s="45" t="s">
        <v>6754</v>
      </c>
      <c r="J1282" s="122">
        <v>45708</v>
      </c>
      <c r="K1282" s="110" t="str">
        <f t="shared" si="16"/>
        <v>https://Estud2024.sawtoothsoftware.com/cgi-bin/ciwweb.pl?studyname=Estud2024&amp;ID=1282</v>
      </c>
      <c r="L1282" s="113">
        <v>45712</v>
      </c>
      <c r="M1282" s="45" t="s">
        <v>247</v>
      </c>
    </row>
    <row r="1283" spans="1:13">
      <c r="A1283">
        <v>1283</v>
      </c>
      <c r="B1283" t="s">
        <v>138</v>
      </c>
      <c r="C1283">
        <v>11</v>
      </c>
      <c r="D1283" t="s">
        <v>142</v>
      </c>
      <c r="E1283">
        <v>119</v>
      </c>
      <c r="F1283" t="s">
        <v>9477</v>
      </c>
      <c r="H1283" t="s">
        <v>9478</v>
      </c>
      <c r="I1283" s="45" t="s">
        <v>6754</v>
      </c>
      <c r="J1283" s="122">
        <v>45708</v>
      </c>
      <c r="K1283" s="110" t="str">
        <f t="shared" si="16"/>
        <v>https://Estud2024.sawtoothsoftware.com/cgi-bin/ciwweb.pl?studyname=Estud2024&amp;ID=1283</v>
      </c>
      <c r="L1283" s="113">
        <v>45712</v>
      </c>
      <c r="M1283" s="45" t="s">
        <v>246</v>
      </c>
    </row>
    <row r="1284" spans="1:13">
      <c r="A1284">
        <v>1284</v>
      </c>
      <c r="B1284" t="s">
        <v>138</v>
      </c>
      <c r="C1284">
        <v>11</v>
      </c>
      <c r="D1284" t="s">
        <v>142</v>
      </c>
      <c r="E1284">
        <v>119</v>
      </c>
      <c r="F1284" t="s">
        <v>9479</v>
      </c>
      <c r="H1284" t="s">
        <v>9480</v>
      </c>
      <c r="I1284" s="45" t="s">
        <v>6754</v>
      </c>
      <c r="J1284" s="122">
        <v>45708</v>
      </c>
      <c r="K1284" s="110" t="str">
        <f t="shared" si="16"/>
        <v>https://Estud2024.sawtoothsoftware.com/cgi-bin/ciwweb.pl?studyname=Estud2024&amp;ID=1284</v>
      </c>
      <c r="L1284" s="113">
        <v>45712</v>
      </c>
      <c r="M1284" s="45" t="s">
        <v>246</v>
      </c>
    </row>
    <row r="1285" spans="1:13">
      <c r="A1285">
        <v>1285</v>
      </c>
      <c r="B1285" t="s">
        <v>138</v>
      </c>
      <c r="C1285">
        <v>11</v>
      </c>
      <c r="D1285" t="s">
        <v>142</v>
      </c>
      <c r="E1285">
        <v>119</v>
      </c>
      <c r="F1285" t="s">
        <v>9481</v>
      </c>
      <c r="H1285" t="s">
        <v>9482</v>
      </c>
      <c r="I1285" s="45" t="s">
        <v>6754</v>
      </c>
      <c r="J1285" s="122">
        <v>45708</v>
      </c>
      <c r="K1285" s="110" t="str">
        <f t="shared" si="16"/>
        <v>https://Estud2024.sawtoothsoftware.com/cgi-bin/ciwweb.pl?studyname=Estud2024&amp;ID=1285</v>
      </c>
      <c r="L1285" s="113">
        <v>45712</v>
      </c>
      <c r="M1285" s="45" t="s">
        <v>247</v>
      </c>
    </row>
    <row r="1286" spans="1:13">
      <c r="A1286">
        <v>1286</v>
      </c>
      <c r="B1286" t="s">
        <v>138</v>
      </c>
      <c r="C1286">
        <v>11</v>
      </c>
      <c r="D1286" t="s">
        <v>142</v>
      </c>
      <c r="E1286">
        <v>119</v>
      </c>
      <c r="F1286" t="s">
        <v>9483</v>
      </c>
      <c r="H1286" t="s">
        <v>9484</v>
      </c>
      <c r="I1286" s="45" t="s">
        <v>6754</v>
      </c>
      <c r="J1286" s="122">
        <v>45708</v>
      </c>
      <c r="K1286" s="110" t="str">
        <f t="shared" si="16"/>
        <v>https://Estud2024.sawtoothsoftware.com/cgi-bin/ciwweb.pl?studyname=Estud2024&amp;ID=1286</v>
      </c>
      <c r="L1286" s="113">
        <v>45712</v>
      </c>
      <c r="M1286" s="45" t="s">
        <v>246</v>
      </c>
    </row>
    <row r="1287" spans="1:13">
      <c r="A1287">
        <v>1287</v>
      </c>
      <c r="B1287" t="s">
        <v>138</v>
      </c>
      <c r="C1287">
        <v>11</v>
      </c>
      <c r="D1287" t="s">
        <v>142</v>
      </c>
      <c r="E1287">
        <v>119</v>
      </c>
      <c r="F1287" t="s">
        <v>9485</v>
      </c>
      <c r="H1287" t="s">
        <v>9486</v>
      </c>
      <c r="I1287" s="45" t="s">
        <v>6754</v>
      </c>
      <c r="J1287" s="122">
        <v>45708</v>
      </c>
      <c r="K1287" s="110" t="str">
        <f t="shared" si="16"/>
        <v>https://Estud2024.sawtoothsoftware.com/cgi-bin/ciwweb.pl?studyname=Estud2024&amp;ID=1287</v>
      </c>
      <c r="L1287" s="113">
        <v>45712</v>
      </c>
      <c r="M1287" s="45" t="s">
        <v>246</v>
      </c>
    </row>
    <row r="1288" spans="1:13">
      <c r="A1288">
        <v>1288</v>
      </c>
      <c r="B1288" t="s">
        <v>138</v>
      </c>
      <c r="C1288">
        <v>11</v>
      </c>
      <c r="D1288" t="s">
        <v>142</v>
      </c>
      <c r="E1288">
        <v>119</v>
      </c>
      <c r="F1288" t="s">
        <v>9487</v>
      </c>
      <c r="H1288" t="s">
        <v>9488</v>
      </c>
      <c r="I1288" s="45" t="s">
        <v>6754</v>
      </c>
      <c r="J1288" s="122">
        <v>45708</v>
      </c>
      <c r="K1288" s="110" t="str">
        <f t="shared" si="16"/>
        <v>https://Estud2024.sawtoothsoftware.com/cgi-bin/ciwweb.pl?studyname=Estud2024&amp;ID=1288</v>
      </c>
      <c r="L1288" s="113">
        <v>45712</v>
      </c>
      <c r="M1288" s="45" t="s">
        <v>246</v>
      </c>
    </row>
    <row r="1289" spans="1:13">
      <c r="A1289">
        <v>1289</v>
      </c>
      <c r="B1289" t="s">
        <v>138</v>
      </c>
      <c r="C1289">
        <v>11</v>
      </c>
      <c r="D1289" t="s">
        <v>142</v>
      </c>
      <c r="E1289">
        <v>119</v>
      </c>
      <c r="F1289" t="s">
        <v>9489</v>
      </c>
      <c r="H1289" t="s">
        <v>9490</v>
      </c>
      <c r="I1289" s="45" t="s">
        <v>6754</v>
      </c>
      <c r="J1289" s="122">
        <v>45708</v>
      </c>
      <c r="K1289" s="110" t="str">
        <f t="shared" si="16"/>
        <v>https://Estud2024.sawtoothsoftware.com/cgi-bin/ciwweb.pl?studyname=Estud2024&amp;ID=1289</v>
      </c>
      <c r="L1289" s="113">
        <v>45712</v>
      </c>
      <c r="M1289" s="45" t="s">
        <v>246</v>
      </c>
    </row>
    <row r="1290" spans="1:13">
      <c r="A1290">
        <v>1290</v>
      </c>
      <c r="B1290" t="s">
        <v>138</v>
      </c>
      <c r="C1290">
        <v>11</v>
      </c>
      <c r="D1290" t="s">
        <v>142</v>
      </c>
      <c r="E1290">
        <v>119</v>
      </c>
      <c r="F1290" t="s">
        <v>9491</v>
      </c>
      <c r="H1290" t="s">
        <v>9492</v>
      </c>
      <c r="I1290" s="45" t="s">
        <v>6754</v>
      </c>
      <c r="J1290" s="122">
        <v>45708</v>
      </c>
      <c r="K1290" s="110" t="str">
        <f t="shared" si="16"/>
        <v>https://Estud2024.sawtoothsoftware.com/cgi-bin/ciwweb.pl?studyname=Estud2024&amp;ID=1290</v>
      </c>
      <c r="L1290" s="113">
        <v>45712</v>
      </c>
      <c r="M1290" s="45" t="s">
        <v>246</v>
      </c>
    </row>
    <row r="1291" spans="1:13">
      <c r="A1291">
        <v>1291</v>
      </c>
      <c r="B1291" t="s">
        <v>138</v>
      </c>
      <c r="C1291">
        <v>11</v>
      </c>
      <c r="D1291" t="s">
        <v>142</v>
      </c>
      <c r="E1291">
        <v>119</v>
      </c>
      <c r="F1291" t="s">
        <v>9493</v>
      </c>
      <c r="H1291" t="s">
        <v>9494</v>
      </c>
      <c r="I1291" s="45" t="s">
        <v>6754</v>
      </c>
      <c r="J1291" s="122">
        <v>45708</v>
      </c>
      <c r="K1291" s="110" t="str">
        <f t="shared" si="16"/>
        <v>https://Estud2024.sawtoothsoftware.com/cgi-bin/ciwweb.pl?studyname=Estud2024&amp;ID=1291</v>
      </c>
      <c r="L1291" s="113">
        <v>45712</v>
      </c>
      <c r="M1291" s="45" t="s">
        <v>246</v>
      </c>
    </row>
    <row r="1292" spans="1:13">
      <c r="A1292">
        <v>1292</v>
      </c>
      <c r="B1292" t="s">
        <v>138</v>
      </c>
      <c r="C1292">
        <v>11</v>
      </c>
      <c r="D1292" t="s">
        <v>142</v>
      </c>
      <c r="E1292">
        <v>119</v>
      </c>
      <c r="F1292" t="s">
        <v>9495</v>
      </c>
      <c r="H1292" t="s">
        <v>9496</v>
      </c>
      <c r="I1292" s="45" t="s">
        <v>6754</v>
      </c>
      <c r="J1292" s="122">
        <v>45708</v>
      </c>
      <c r="K1292" s="110" t="str">
        <f t="shared" si="16"/>
        <v>https://Estud2024.sawtoothsoftware.com/cgi-bin/ciwweb.pl?studyname=Estud2024&amp;ID=1292</v>
      </c>
      <c r="L1292" s="113">
        <v>45712</v>
      </c>
      <c r="M1292" s="45" t="s">
        <v>246</v>
      </c>
    </row>
    <row r="1293" spans="1:13">
      <c r="A1293">
        <v>1293</v>
      </c>
      <c r="B1293" t="s">
        <v>138</v>
      </c>
      <c r="C1293">
        <v>11</v>
      </c>
      <c r="D1293" t="s">
        <v>142</v>
      </c>
      <c r="E1293">
        <v>119</v>
      </c>
      <c r="F1293" t="s">
        <v>9497</v>
      </c>
      <c r="H1293" t="s">
        <v>9498</v>
      </c>
      <c r="I1293" s="45" t="s">
        <v>6754</v>
      </c>
      <c r="J1293" s="122">
        <v>45708</v>
      </c>
      <c r="K1293" s="110" t="str">
        <f t="shared" si="16"/>
        <v>https://Estud2024.sawtoothsoftware.com/cgi-bin/ciwweb.pl?studyname=Estud2024&amp;ID=1293</v>
      </c>
      <c r="L1293" s="113">
        <v>45712</v>
      </c>
      <c r="M1293" s="45" t="s">
        <v>246</v>
      </c>
    </row>
    <row r="1294" spans="1:13">
      <c r="A1294">
        <v>1294</v>
      </c>
      <c r="B1294" t="s">
        <v>138</v>
      </c>
      <c r="C1294">
        <v>11</v>
      </c>
      <c r="D1294" t="s">
        <v>142</v>
      </c>
      <c r="E1294">
        <v>119</v>
      </c>
      <c r="F1294" t="s">
        <v>9499</v>
      </c>
      <c r="H1294" t="s">
        <v>9500</v>
      </c>
      <c r="I1294" s="45" t="s">
        <v>6754</v>
      </c>
      <c r="J1294" s="122">
        <v>45708</v>
      </c>
      <c r="K1294" s="110" t="str">
        <f t="shared" si="16"/>
        <v>https://Estud2024.sawtoothsoftware.com/cgi-bin/ciwweb.pl?studyname=Estud2024&amp;ID=1294</v>
      </c>
      <c r="L1294" s="113">
        <v>45712</v>
      </c>
      <c r="M1294" s="45" t="s">
        <v>246</v>
      </c>
    </row>
    <row r="1295" spans="1:13">
      <c r="A1295">
        <v>1295</v>
      </c>
      <c r="B1295" t="s">
        <v>138</v>
      </c>
      <c r="C1295">
        <v>11</v>
      </c>
      <c r="D1295" t="s">
        <v>142</v>
      </c>
      <c r="E1295">
        <v>119</v>
      </c>
      <c r="F1295" t="s">
        <v>9501</v>
      </c>
      <c r="H1295" t="s">
        <v>9502</v>
      </c>
      <c r="I1295" s="45" t="s">
        <v>6754</v>
      </c>
      <c r="J1295" s="122">
        <v>45708</v>
      </c>
      <c r="K1295" s="110" t="str">
        <f t="shared" si="16"/>
        <v>https://Estud2024.sawtoothsoftware.com/cgi-bin/ciwweb.pl?studyname=Estud2024&amp;ID=1295</v>
      </c>
      <c r="L1295" s="113">
        <v>45712</v>
      </c>
      <c r="M1295" s="45" t="s">
        <v>246</v>
      </c>
    </row>
    <row r="1296" spans="1:13">
      <c r="A1296">
        <v>1296</v>
      </c>
      <c r="B1296" t="s">
        <v>138</v>
      </c>
      <c r="C1296">
        <v>11</v>
      </c>
      <c r="D1296" t="s">
        <v>142</v>
      </c>
      <c r="E1296">
        <v>119</v>
      </c>
      <c r="F1296" t="s">
        <v>9503</v>
      </c>
      <c r="H1296" t="s">
        <v>9504</v>
      </c>
      <c r="I1296" s="45" t="s">
        <v>6754</v>
      </c>
      <c r="J1296" s="122">
        <v>45708</v>
      </c>
      <c r="K1296" s="110" t="str">
        <f t="shared" si="16"/>
        <v>https://Estud2024.sawtoothsoftware.com/cgi-bin/ciwweb.pl?studyname=Estud2024&amp;ID=1296</v>
      </c>
      <c r="L1296" s="113">
        <v>45712</v>
      </c>
      <c r="M1296" s="45" t="s">
        <v>246</v>
      </c>
    </row>
    <row r="1297" spans="1:13">
      <c r="A1297">
        <v>1297</v>
      </c>
      <c r="B1297" t="s">
        <v>138</v>
      </c>
      <c r="C1297">
        <v>11</v>
      </c>
      <c r="D1297" t="s">
        <v>142</v>
      </c>
      <c r="E1297">
        <v>119</v>
      </c>
      <c r="F1297" t="s">
        <v>9505</v>
      </c>
      <c r="H1297" t="s">
        <v>9506</v>
      </c>
      <c r="I1297" s="45" t="s">
        <v>6754</v>
      </c>
      <c r="J1297" s="122">
        <v>45708</v>
      </c>
      <c r="K1297" s="110" t="str">
        <f t="shared" si="16"/>
        <v>https://Estud2024.sawtoothsoftware.com/cgi-bin/ciwweb.pl?studyname=Estud2024&amp;ID=1297</v>
      </c>
      <c r="L1297" s="113">
        <v>45712</v>
      </c>
      <c r="M1297" s="45" t="s">
        <v>246</v>
      </c>
    </row>
    <row r="1298" spans="1:13">
      <c r="A1298">
        <v>1298</v>
      </c>
      <c r="B1298" t="s">
        <v>138</v>
      </c>
      <c r="C1298">
        <v>11</v>
      </c>
      <c r="D1298" t="s">
        <v>142</v>
      </c>
      <c r="E1298">
        <v>119</v>
      </c>
      <c r="F1298" t="s">
        <v>9507</v>
      </c>
      <c r="H1298" t="s">
        <v>9508</v>
      </c>
      <c r="I1298" s="45" t="s">
        <v>6754</v>
      </c>
      <c r="J1298" s="122">
        <v>45708</v>
      </c>
      <c r="K1298" s="110" t="str">
        <f t="shared" si="16"/>
        <v>https://Estud2024.sawtoothsoftware.com/cgi-bin/ciwweb.pl?studyname=Estud2024&amp;ID=1298</v>
      </c>
      <c r="L1298" s="113">
        <v>45712</v>
      </c>
      <c r="M1298" s="45" t="s">
        <v>246</v>
      </c>
    </row>
    <row r="1299" spans="1:13">
      <c r="A1299">
        <v>1299</v>
      </c>
      <c r="B1299" t="s">
        <v>138</v>
      </c>
      <c r="C1299">
        <v>11</v>
      </c>
      <c r="D1299" t="s">
        <v>142</v>
      </c>
      <c r="E1299">
        <v>119</v>
      </c>
      <c r="F1299" t="s">
        <v>9509</v>
      </c>
      <c r="H1299" t="s">
        <v>9510</v>
      </c>
      <c r="I1299" s="45" t="s">
        <v>6754</v>
      </c>
      <c r="J1299" s="122">
        <v>45708</v>
      </c>
      <c r="K1299" s="110" t="str">
        <f t="shared" si="16"/>
        <v>https://Estud2024.sawtoothsoftware.com/cgi-bin/ciwweb.pl?studyname=Estud2024&amp;ID=1299</v>
      </c>
      <c r="L1299" s="113">
        <v>45712</v>
      </c>
      <c r="M1299" s="45" t="s">
        <v>247</v>
      </c>
    </row>
    <row r="1300" spans="1:13">
      <c r="A1300">
        <v>1300</v>
      </c>
      <c r="B1300" t="s">
        <v>138</v>
      </c>
      <c r="C1300">
        <v>11</v>
      </c>
      <c r="D1300" t="s">
        <v>142</v>
      </c>
      <c r="E1300">
        <v>119</v>
      </c>
      <c r="F1300" t="s">
        <v>9511</v>
      </c>
      <c r="H1300" t="s">
        <v>9512</v>
      </c>
      <c r="I1300" s="45" t="s">
        <v>6754</v>
      </c>
      <c r="J1300" s="122">
        <v>45708</v>
      </c>
      <c r="K1300" s="110" t="str">
        <f t="shared" si="16"/>
        <v>https://Estud2024.sawtoothsoftware.com/cgi-bin/ciwweb.pl?studyname=Estud2024&amp;ID=1300</v>
      </c>
      <c r="L1300" s="113">
        <v>45712</v>
      </c>
      <c r="M1300" s="45" t="s">
        <v>246</v>
      </c>
    </row>
    <row r="1301" spans="1:13">
      <c r="A1301">
        <v>1301</v>
      </c>
      <c r="B1301" t="s">
        <v>138</v>
      </c>
      <c r="C1301">
        <v>11</v>
      </c>
      <c r="D1301" t="s">
        <v>142</v>
      </c>
      <c r="E1301">
        <v>119</v>
      </c>
      <c r="F1301" t="s">
        <v>9513</v>
      </c>
      <c r="H1301" t="s">
        <v>9514</v>
      </c>
      <c r="I1301" s="45" t="s">
        <v>6754</v>
      </c>
      <c r="J1301" s="122">
        <v>45708</v>
      </c>
      <c r="K1301" s="110" t="str">
        <f t="shared" si="16"/>
        <v>https://Estud2024.sawtoothsoftware.com/cgi-bin/ciwweb.pl?studyname=Estud2024&amp;ID=1301</v>
      </c>
      <c r="L1301" s="113">
        <v>45712</v>
      </c>
      <c r="M1301" s="45" t="s">
        <v>246</v>
      </c>
    </row>
    <row r="1302" spans="1:13">
      <c r="A1302">
        <v>1302</v>
      </c>
      <c r="B1302" t="s">
        <v>138</v>
      </c>
      <c r="C1302">
        <v>11</v>
      </c>
      <c r="D1302" t="s">
        <v>142</v>
      </c>
      <c r="E1302">
        <v>119</v>
      </c>
      <c r="F1302" t="s">
        <v>9515</v>
      </c>
      <c r="H1302" t="s">
        <v>9516</v>
      </c>
      <c r="I1302" s="45" t="s">
        <v>6754</v>
      </c>
      <c r="J1302" s="122">
        <v>45708</v>
      </c>
      <c r="K1302" s="110" t="str">
        <f t="shared" ref="K1302:K1365" si="17">CONCATENATE("https://Estud2024.sawtoothsoftware.com/cgi-bin/ciwweb.pl?studyname=Estud2024&amp;ID=",A1302)</f>
        <v>https://Estud2024.sawtoothsoftware.com/cgi-bin/ciwweb.pl?studyname=Estud2024&amp;ID=1302</v>
      </c>
      <c r="L1302" s="113">
        <v>45712</v>
      </c>
      <c r="M1302" s="45" t="s">
        <v>246</v>
      </c>
    </row>
    <row r="1303" spans="1:13">
      <c r="A1303">
        <v>1303</v>
      </c>
      <c r="B1303" t="s">
        <v>138</v>
      </c>
      <c r="C1303">
        <v>11</v>
      </c>
      <c r="D1303" t="s">
        <v>142</v>
      </c>
      <c r="E1303">
        <v>119</v>
      </c>
      <c r="F1303" t="s">
        <v>9517</v>
      </c>
      <c r="H1303" t="s">
        <v>9518</v>
      </c>
      <c r="I1303" s="45" t="s">
        <v>6754</v>
      </c>
      <c r="J1303" s="122">
        <v>45708</v>
      </c>
      <c r="K1303" s="110" t="str">
        <f t="shared" si="17"/>
        <v>https://Estud2024.sawtoothsoftware.com/cgi-bin/ciwweb.pl?studyname=Estud2024&amp;ID=1303</v>
      </c>
      <c r="L1303" s="113">
        <v>45712</v>
      </c>
      <c r="M1303" s="45" t="s">
        <v>246</v>
      </c>
    </row>
    <row r="1304" spans="1:13">
      <c r="A1304">
        <v>1304</v>
      </c>
      <c r="B1304" t="s">
        <v>138</v>
      </c>
      <c r="C1304">
        <v>11</v>
      </c>
      <c r="D1304" t="s">
        <v>142</v>
      </c>
      <c r="E1304">
        <v>119</v>
      </c>
      <c r="F1304" t="s">
        <v>9519</v>
      </c>
      <c r="H1304" t="s">
        <v>9520</v>
      </c>
      <c r="I1304" s="45" t="s">
        <v>6754</v>
      </c>
      <c r="J1304" s="122">
        <v>45708</v>
      </c>
      <c r="K1304" s="110" t="str">
        <f t="shared" si="17"/>
        <v>https://Estud2024.sawtoothsoftware.com/cgi-bin/ciwweb.pl?studyname=Estud2024&amp;ID=1304</v>
      </c>
      <c r="L1304" s="113">
        <v>45712</v>
      </c>
      <c r="M1304" s="45" t="s">
        <v>246</v>
      </c>
    </row>
    <row r="1305" spans="1:13">
      <c r="A1305">
        <v>1305</v>
      </c>
      <c r="B1305" t="s">
        <v>138</v>
      </c>
      <c r="C1305">
        <v>11</v>
      </c>
      <c r="D1305" t="s">
        <v>142</v>
      </c>
      <c r="E1305">
        <v>119</v>
      </c>
      <c r="F1305" t="s">
        <v>9521</v>
      </c>
      <c r="H1305" t="s">
        <v>9522</v>
      </c>
      <c r="I1305" s="45" t="s">
        <v>6754</v>
      </c>
      <c r="J1305" s="122">
        <v>45708</v>
      </c>
      <c r="K1305" s="110" t="str">
        <f t="shared" si="17"/>
        <v>https://Estud2024.sawtoothsoftware.com/cgi-bin/ciwweb.pl?studyname=Estud2024&amp;ID=1305</v>
      </c>
      <c r="L1305" s="113">
        <v>45712</v>
      </c>
      <c r="M1305" s="45" t="s">
        <v>246</v>
      </c>
    </row>
    <row r="1306" spans="1:13">
      <c r="A1306">
        <v>1306</v>
      </c>
      <c r="B1306" t="s">
        <v>138</v>
      </c>
      <c r="C1306">
        <v>11</v>
      </c>
      <c r="D1306" t="s">
        <v>142</v>
      </c>
      <c r="E1306">
        <v>119</v>
      </c>
      <c r="F1306" t="s">
        <v>9523</v>
      </c>
      <c r="H1306" t="s">
        <v>9524</v>
      </c>
      <c r="I1306" s="45" t="s">
        <v>6754</v>
      </c>
      <c r="J1306" s="122">
        <v>45708</v>
      </c>
      <c r="K1306" s="110" t="str">
        <f t="shared" si="17"/>
        <v>https://Estud2024.sawtoothsoftware.com/cgi-bin/ciwweb.pl?studyname=Estud2024&amp;ID=1306</v>
      </c>
      <c r="L1306" s="113">
        <v>45712</v>
      </c>
      <c r="M1306" s="45" t="s">
        <v>246</v>
      </c>
    </row>
    <row r="1307" spans="1:13">
      <c r="A1307">
        <v>1307</v>
      </c>
      <c r="B1307" t="s">
        <v>138</v>
      </c>
      <c r="C1307">
        <v>11</v>
      </c>
      <c r="D1307" t="s">
        <v>142</v>
      </c>
      <c r="E1307">
        <v>119</v>
      </c>
      <c r="F1307" t="s">
        <v>9525</v>
      </c>
      <c r="H1307" t="s">
        <v>9526</v>
      </c>
      <c r="I1307" s="45" t="s">
        <v>6754</v>
      </c>
      <c r="J1307" s="122">
        <v>45708</v>
      </c>
      <c r="K1307" s="110" t="str">
        <f t="shared" si="17"/>
        <v>https://Estud2024.sawtoothsoftware.com/cgi-bin/ciwweb.pl?studyname=Estud2024&amp;ID=1307</v>
      </c>
      <c r="L1307" s="113">
        <v>45712</v>
      </c>
      <c r="M1307" s="45" t="s">
        <v>246</v>
      </c>
    </row>
    <row r="1308" spans="1:13">
      <c r="A1308">
        <v>1308</v>
      </c>
      <c r="B1308" t="s">
        <v>138</v>
      </c>
      <c r="C1308">
        <v>11</v>
      </c>
      <c r="D1308" t="s">
        <v>142</v>
      </c>
      <c r="E1308">
        <v>119</v>
      </c>
      <c r="F1308" t="s">
        <v>9527</v>
      </c>
      <c r="H1308" t="s">
        <v>9528</v>
      </c>
      <c r="I1308" s="45" t="s">
        <v>6754</v>
      </c>
      <c r="J1308" s="122">
        <v>45708</v>
      </c>
      <c r="K1308" s="110" t="str">
        <f t="shared" si="17"/>
        <v>https://Estud2024.sawtoothsoftware.com/cgi-bin/ciwweb.pl?studyname=Estud2024&amp;ID=1308</v>
      </c>
      <c r="L1308" s="113">
        <v>45712</v>
      </c>
      <c r="M1308" s="45" t="s">
        <v>246</v>
      </c>
    </row>
    <row r="1309" spans="1:13">
      <c r="A1309">
        <v>1309</v>
      </c>
      <c r="B1309" t="s">
        <v>138</v>
      </c>
      <c r="C1309">
        <v>11</v>
      </c>
      <c r="D1309" t="s">
        <v>142</v>
      </c>
      <c r="E1309">
        <v>119</v>
      </c>
      <c r="F1309" t="s">
        <v>9529</v>
      </c>
      <c r="H1309" t="s">
        <v>9530</v>
      </c>
      <c r="I1309" s="45" t="s">
        <v>6754</v>
      </c>
      <c r="J1309" s="122">
        <v>45708</v>
      </c>
      <c r="K1309" s="110" t="str">
        <f t="shared" si="17"/>
        <v>https://Estud2024.sawtoothsoftware.com/cgi-bin/ciwweb.pl?studyname=Estud2024&amp;ID=1309</v>
      </c>
      <c r="L1309" s="113">
        <v>45712</v>
      </c>
      <c r="M1309" s="45" t="s">
        <v>246</v>
      </c>
    </row>
    <row r="1310" spans="1:13">
      <c r="A1310">
        <v>1310</v>
      </c>
      <c r="B1310" t="s">
        <v>138</v>
      </c>
      <c r="C1310">
        <v>11</v>
      </c>
      <c r="D1310" t="s">
        <v>142</v>
      </c>
      <c r="E1310">
        <v>119</v>
      </c>
      <c r="F1310" t="s">
        <v>9531</v>
      </c>
      <c r="H1310" t="s">
        <v>9532</v>
      </c>
      <c r="I1310" s="45" t="s">
        <v>6754</v>
      </c>
      <c r="J1310" s="122">
        <v>45708</v>
      </c>
      <c r="K1310" s="110" t="str">
        <f t="shared" si="17"/>
        <v>https://Estud2024.sawtoothsoftware.com/cgi-bin/ciwweb.pl?studyname=Estud2024&amp;ID=1310</v>
      </c>
      <c r="L1310" s="113">
        <v>45712</v>
      </c>
      <c r="M1310" s="45" t="s">
        <v>246</v>
      </c>
    </row>
    <row r="1311" spans="1:13">
      <c r="A1311">
        <v>1311</v>
      </c>
      <c r="B1311" t="s">
        <v>138</v>
      </c>
      <c r="C1311">
        <v>11</v>
      </c>
      <c r="D1311" t="s">
        <v>142</v>
      </c>
      <c r="E1311">
        <v>119</v>
      </c>
      <c r="F1311" t="s">
        <v>9533</v>
      </c>
      <c r="H1311" t="s">
        <v>9534</v>
      </c>
      <c r="I1311" s="45" t="s">
        <v>6754</v>
      </c>
      <c r="J1311" s="122">
        <v>45708</v>
      </c>
      <c r="K1311" s="110" t="str">
        <f t="shared" si="17"/>
        <v>https://Estud2024.sawtoothsoftware.com/cgi-bin/ciwweb.pl?studyname=Estud2024&amp;ID=1311</v>
      </c>
      <c r="L1311" s="113">
        <v>45712</v>
      </c>
      <c r="M1311" s="45" t="s">
        <v>246</v>
      </c>
    </row>
    <row r="1312" spans="1:13">
      <c r="A1312">
        <v>1312</v>
      </c>
      <c r="B1312" t="s">
        <v>138</v>
      </c>
      <c r="C1312">
        <v>11</v>
      </c>
      <c r="D1312" t="s">
        <v>142</v>
      </c>
      <c r="E1312">
        <v>119</v>
      </c>
      <c r="F1312" t="s">
        <v>9535</v>
      </c>
      <c r="H1312" t="s">
        <v>9536</v>
      </c>
      <c r="I1312" s="45" t="s">
        <v>6754</v>
      </c>
      <c r="J1312" s="122">
        <v>45708</v>
      </c>
      <c r="K1312" s="110" t="str">
        <f t="shared" si="17"/>
        <v>https://Estud2024.sawtoothsoftware.com/cgi-bin/ciwweb.pl?studyname=Estud2024&amp;ID=1312</v>
      </c>
      <c r="L1312" s="113">
        <v>45712</v>
      </c>
      <c r="M1312" s="45" t="s">
        <v>246</v>
      </c>
    </row>
    <row r="1313" spans="1:13">
      <c r="A1313">
        <v>1313</v>
      </c>
      <c r="B1313" t="s">
        <v>138</v>
      </c>
      <c r="C1313">
        <v>11</v>
      </c>
      <c r="D1313" t="s">
        <v>142</v>
      </c>
      <c r="E1313">
        <v>119</v>
      </c>
      <c r="F1313" t="s">
        <v>9537</v>
      </c>
      <c r="H1313" t="s">
        <v>9538</v>
      </c>
      <c r="I1313" s="45" t="s">
        <v>6754</v>
      </c>
      <c r="J1313" s="122">
        <v>45708</v>
      </c>
      <c r="K1313" s="110" t="str">
        <f t="shared" si="17"/>
        <v>https://Estud2024.sawtoothsoftware.com/cgi-bin/ciwweb.pl?studyname=Estud2024&amp;ID=1313</v>
      </c>
      <c r="L1313" s="113">
        <v>45712</v>
      </c>
      <c r="M1313" s="45" t="s">
        <v>246</v>
      </c>
    </row>
    <row r="1314" spans="1:13">
      <c r="A1314">
        <v>1314</v>
      </c>
      <c r="B1314" t="s">
        <v>138</v>
      </c>
      <c r="C1314">
        <v>11</v>
      </c>
      <c r="D1314" t="s">
        <v>142</v>
      </c>
      <c r="E1314">
        <v>119</v>
      </c>
      <c r="F1314" t="s">
        <v>9539</v>
      </c>
      <c r="H1314" t="s">
        <v>9540</v>
      </c>
      <c r="I1314" s="45" t="s">
        <v>6754</v>
      </c>
      <c r="J1314" s="122">
        <v>45708</v>
      </c>
      <c r="K1314" s="110" t="str">
        <f t="shared" si="17"/>
        <v>https://Estud2024.sawtoothsoftware.com/cgi-bin/ciwweb.pl?studyname=Estud2024&amp;ID=1314</v>
      </c>
      <c r="L1314" s="113">
        <v>45712</v>
      </c>
      <c r="M1314" s="45" t="s">
        <v>246</v>
      </c>
    </row>
    <row r="1315" spans="1:13">
      <c r="A1315">
        <v>1315</v>
      </c>
      <c r="B1315" t="s">
        <v>138</v>
      </c>
      <c r="C1315">
        <v>11</v>
      </c>
      <c r="D1315" t="s">
        <v>142</v>
      </c>
      <c r="E1315">
        <v>119</v>
      </c>
      <c r="F1315" t="s">
        <v>9541</v>
      </c>
      <c r="H1315" t="s">
        <v>9542</v>
      </c>
      <c r="I1315" s="45" t="s">
        <v>6754</v>
      </c>
      <c r="J1315" s="122">
        <v>45708</v>
      </c>
      <c r="K1315" s="110" t="str">
        <f t="shared" si="17"/>
        <v>https://Estud2024.sawtoothsoftware.com/cgi-bin/ciwweb.pl?studyname=Estud2024&amp;ID=1315</v>
      </c>
      <c r="L1315" s="113">
        <v>45712</v>
      </c>
      <c r="M1315" s="45" t="s">
        <v>246</v>
      </c>
    </row>
    <row r="1316" spans="1:13">
      <c r="A1316">
        <v>1316</v>
      </c>
      <c r="B1316" t="s">
        <v>138</v>
      </c>
      <c r="C1316">
        <v>11</v>
      </c>
      <c r="D1316" t="s">
        <v>142</v>
      </c>
      <c r="E1316">
        <v>119</v>
      </c>
      <c r="F1316" t="s">
        <v>9543</v>
      </c>
      <c r="H1316" t="s">
        <v>9544</v>
      </c>
      <c r="I1316" s="45" t="s">
        <v>6754</v>
      </c>
      <c r="J1316" s="122">
        <v>45708</v>
      </c>
      <c r="K1316" s="110" t="str">
        <f t="shared" si="17"/>
        <v>https://Estud2024.sawtoothsoftware.com/cgi-bin/ciwweb.pl?studyname=Estud2024&amp;ID=1316</v>
      </c>
      <c r="L1316" s="113">
        <v>45712</v>
      </c>
      <c r="M1316" s="45" t="s">
        <v>246</v>
      </c>
    </row>
    <row r="1317" spans="1:13">
      <c r="A1317">
        <v>1317</v>
      </c>
      <c r="B1317" t="s">
        <v>138</v>
      </c>
      <c r="C1317">
        <v>11</v>
      </c>
      <c r="D1317" t="s">
        <v>142</v>
      </c>
      <c r="E1317">
        <v>119</v>
      </c>
      <c r="F1317" t="s">
        <v>9545</v>
      </c>
      <c r="H1317" t="s">
        <v>9546</v>
      </c>
      <c r="I1317" s="45" t="s">
        <v>6754</v>
      </c>
      <c r="J1317" s="122">
        <v>45708</v>
      </c>
      <c r="K1317" s="110" t="str">
        <f t="shared" si="17"/>
        <v>https://Estud2024.sawtoothsoftware.com/cgi-bin/ciwweb.pl?studyname=Estud2024&amp;ID=1317</v>
      </c>
      <c r="L1317" s="113">
        <v>45712</v>
      </c>
      <c r="M1317" s="45" t="s">
        <v>246</v>
      </c>
    </row>
    <row r="1318" spans="1:13">
      <c r="A1318">
        <v>1318</v>
      </c>
      <c r="B1318" t="s">
        <v>138</v>
      </c>
      <c r="C1318">
        <v>11</v>
      </c>
      <c r="D1318" t="s">
        <v>142</v>
      </c>
      <c r="E1318">
        <v>119</v>
      </c>
      <c r="F1318" t="s">
        <v>9547</v>
      </c>
      <c r="H1318" t="s">
        <v>9548</v>
      </c>
      <c r="I1318" s="45" t="s">
        <v>6754</v>
      </c>
      <c r="J1318" s="122">
        <v>45708</v>
      </c>
      <c r="K1318" s="110" t="str">
        <f t="shared" si="17"/>
        <v>https://Estud2024.sawtoothsoftware.com/cgi-bin/ciwweb.pl?studyname=Estud2024&amp;ID=1318</v>
      </c>
      <c r="L1318" s="113">
        <v>45712</v>
      </c>
      <c r="M1318" s="45" t="s">
        <v>246</v>
      </c>
    </row>
    <row r="1319" spans="1:13">
      <c r="A1319">
        <v>1319</v>
      </c>
      <c r="B1319" t="s">
        <v>138</v>
      </c>
      <c r="C1319">
        <v>11</v>
      </c>
      <c r="D1319" t="s">
        <v>142</v>
      </c>
      <c r="E1319">
        <v>119</v>
      </c>
      <c r="F1319" t="s">
        <v>9549</v>
      </c>
      <c r="H1319" t="s">
        <v>9550</v>
      </c>
      <c r="I1319" s="45" t="s">
        <v>6754</v>
      </c>
      <c r="J1319" s="122">
        <v>45708</v>
      </c>
      <c r="K1319" s="110" t="str">
        <f t="shared" si="17"/>
        <v>https://Estud2024.sawtoothsoftware.com/cgi-bin/ciwweb.pl?studyname=Estud2024&amp;ID=1319</v>
      </c>
      <c r="L1319" s="113">
        <v>45712</v>
      </c>
      <c r="M1319" s="45" t="s">
        <v>246</v>
      </c>
    </row>
    <row r="1320" spans="1:13">
      <c r="A1320">
        <v>1320</v>
      </c>
      <c r="B1320" t="s">
        <v>138</v>
      </c>
      <c r="C1320">
        <v>11</v>
      </c>
      <c r="D1320" t="s">
        <v>142</v>
      </c>
      <c r="E1320">
        <v>119</v>
      </c>
      <c r="F1320" t="s">
        <v>9551</v>
      </c>
      <c r="H1320" t="s">
        <v>9552</v>
      </c>
      <c r="I1320" s="45" t="s">
        <v>6754</v>
      </c>
      <c r="J1320" s="122">
        <v>45708</v>
      </c>
      <c r="K1320" s="110" t="str">
        <f t="shared" si="17"/>
        <v>https://Estud2024.sawtoothsoftware.com/cgi-bin/ciwweb.pl?studyname=Estud2024&amp;ID=1320</v>
      </c>
      <c r="L1320" s="113">
        <v>45712</v>
      </c>
      <c r="M1320" s="45" t="s">
        <v>246</v>
      </c>
    </row>
    <row r="1321" spans="1:13">
      <c r="A1321">
        <v>1321</v>
      </c>
      <c r="B1321" t="s">
        <v>138</v>
      </c>
      <c r="C1321">
        <v>11</v>
      </c>
      <c r="D1321" t="s">
        <v>142</v>
      </c>
      <c r="E1321">
        <v>119</v>
      </c>
      <c r="F1321" t="s">
        <v>9553</v>
      </c>
      <c r="H1321" t="s">
        <v>9554</v>
      </c>
      <c r="I1321" s="45" t="s">
        <v>6754</v>
      </c>
      <c r="J1321" s="122">
        <v>45708</v>
      </c>
      <c r="K1321" s="110" t="str">
        <f t="shared" si="17"/>
        <v>https://Estud2024.sawtoothsoftware.com/cgi-bin/ciwweb.pl?studyname=Estud2024&amp;ID=1321</v>
      </c>
      <c r="L1321" s="113">
        <v>45712</v>
      </c>
      <c r="M1321" s="45" t="s">
        <v>247</v>
      </c>
    </row>
    <row r="1322" spans="1:13">
      <c r="A1322">
        <v>1322</v>
      </c>
      <c r="B1322" t="s">
        <v>138</v>
      </c>
      <c r="C1322">
        <v>11</v>
      </c>
      <c r="D1322" t="s">
        <v>142</v>
      </c>
      <c r="E1322">
        <v>119</v>
      </c>
      <c r="F1322" t="s">
        <v>9555</v>
      </c>
      <c r="H1322" t="s">
        <v>9556</v>
      </c>
      <c r="I1322" s="45" t="s">
        <v>6754</v>
      </c>
      <c r="J1322" s="122">
        <v>45708</v>
      </c>
      <c r="K1322" s="110" t="str">
        <f t="shared" si="17"/>
        <v>https://Estud2024.sawtoothsoftware.com/cgi-bin/ciwweb.pl?studyname=Estud2024&amp;ID=1322</v>
      </c>
      <c r="L1322" s="113">
        <v>45712</v>
      </c>
      <c r="M1322" s="45" t="s">
        <v>246</v>
      </c>
    </row>
    <row r="1323" spans="1:13">
      <c r="A1323">
        <v>1323</v>
      </c>
      <c r="B1323" t="s">
        <v>138</v>
      </c>
      <c r="C1323">
        <v>11</v>
      </c>
      <c r="D1323" t="s">
        <v>142</v>
      </c>
      <c r="E1323">
        <v>119</v>
      </c>
      <c r="F1323" t="s">
        <v>9557</v>
      </c>
      <c r="H1323" t="s">
        <v>9558</v>
      </c>
      <c r="I1323" s="45" t="s">
        <v>6754</v>
      </c>
      <c r="J1323" s="122">
        <v>45708</v>
      </c>
      <c r="K1323" s="110" t="str">
        <f t="shared" si="17"/>
        <v>https://Estud2024.sawtoothsoftware.com/cgi-bin/ciwweb.pl?studyname=Estud2024&amp;ID=1323</v>
      </c>
      <c r="L1323" s="113">
        <v>45712</v>
      </c>
      <c r="M1323" s="45" t="s">
        <v>246</v>
      </c>
    </row>
    <row r="1324" spans="1:13">
      <c r="A1324">
        <v>1324</v>
      </c>
      <c r="B1324" t="s">
        <v>138</v>
      </c>
      <c r="C1324">
        <v>11</v>
      </c>
      <c r="D1324" t="s">
        <v>142</v>
      </c>
      <c r="E1324">
        <v>119</v>
      </c>
      <c r="F1324" t="s">
        <v>9559</v>
      </c>
      <c r="H1324" t="s">
        <v>9560</v>
      </c>
      <c r="I1324" s="45" t="s">
        <v>6754</v>
      </c>
      <c r="J1324" s="122">
        <v>45708</v>
      </c>
      <c r="K1324" s="110" t="str">
        <f t="shared" si="17"/>
        <v>https://Estud2024.sawtoothsoftware.com/cgi-bin/ciwweb.pl?studyname=Estud2024&amp;ID=1324</v>
      </c>
      <c r="L1324" s="113">
        <v>45712</v>
      </c>
      <c r="M1324" s="45" t="s">
        <v>247</v>
      </c>
    </row>
    <row r="1325" spans="1:13">
      <c r="A1325">
        <v>1325</v>
      </c>
      <c r="B1325" t="s">
        <v>138</v>
      </c>
      <c r="C1325">
        <v>11</v>
      </c>
      <c r="D1325" t="s">
        <v>155</v>
      </c>
      <c r="E1325">
        <v>156</v>
      </c>
      <c r="F1325" t="s">
        <v>9561</v>
      </c>
      <c r="H1325" t="s">
        <v>9562</v>
      </c>
      <c r="I1325" s="45" t="s">
        <v>6754</v>
      </c>
      <c r="J1325" s="122">
        <v>45708</v>
      </c>
      <c r="K1325" s="110" t="str">
        <f t="shared" si="17"/>
        <v>https://Estud2024.sawtoothsoftware.com/cgi-bin/ciwweb.pl?studyname=Estud2024&amp;ID=1325</v>
      </c>
      <c r="L1325" s="113">
        <v>45712</v>
      </c>
      <c r="M1325" s="45" t="s">
        <v>247</v>
      </c>
    </row>
    <row r="1326" spans="1:13">
      <c r="A1326">
        <v>1326</v>
      </c>
      <c r="B1326" t="s">
        <v>138</v>
      </c>
      <c r="C1326">
        <v>11</v>
      </c>
      <c r="D1326" t="s">
        <v>155</v>
      </c>
      <c r="E1326">
        <v>156</v>
      </c>
      <c r="F1326" t="s">
        <v>9563</v>
      </c>
      <c r="H1326" t="s">
        <v>9564</v>
      </c>
      <c r="I1326" s="45" t="s">
        <v>6754</v>
      </c>
      <c r="J1326" s="122">
        <v>45708</v>
      </c>
      <c r="K1326" s="110" t="str">
        <f t="shared" si="17"/>
        <v>https://Estud2024.sawtoothsoftware.com/cgi-bin/ciwweb.pl?studyname=Estud2024&amp;ID=1326</v>
      </c>
      <c r="L1326" s="113">
        <v>45712</v>
      </c>
      <c r="M1326" s="45" t="s">
        <v>247</v>
      </c>
    </row>
    <row r="1327" spans="1:13">
      <c r="A1327">
        <v>1327</v>
      </c>
      <c r="B1327" t="s">
        <v>138</v>
      </c>
      <c r="C1327">
        <v>11</v>
      </c>
      <c r="D1327" t="s">
        <v>155</v>
      </c>
      <c r="E1327">
        <v>156</v>
      </c>
      <c r="F1327" t="s">
        <v>9565</v>
      </c>
      <c r="H1327" t="s">
        <v>9566</v>
      </c>
      <c r="I1327" s="45" t="s">
        <v>6754</v>
      </c>
      <c r="J1327" s="122">
        <v>45708</v>
      </c>
      <c r="K1327" s="110" t="str">
        <f t="shared" si="17"/>
        <v>https://Estud2024.sawtoothsoftware.com/cgi-bin/ciwweb.pl?studyname=Estud2024&amp;ID=1327</v>
      </c>
      <c r="L1327" s="113">
        <v>45712</v>
      </c>
      <c r="M1327" s="45" t="s">
        <v>247</v>
      </c>
    </row>
    <row r="1328" spans="1:13">
      <c r="A1328">
        <v>1328</v>
      </c>
      <c r="B1328" t="s">
        <v>138</v>
      </c>
      <c r="C1328">
        <v>11</v>
      </c>
      <c r="D1328" t="s">
        <v>155</v>
      </c>
      <c r="E1328">
        <v>156</v>
      </c>
      <c r="F1328" t="s">
        <v>9567</v>
      </c>
      <c r="H1328" t="s">
        <v>9568</v>
      </c>
      <c r="I1328" s="45" t="s">
        <v>6754</v>
      </c>
      <c r="J1328" s="122">
        <v>45708</v>
      </c>
      <c r="K1328" s="110" t="str">
        <f t="shared" si="17"/>
        <v>https://Estud2024.sawtoothsoftware.com/cgi-bin/ciwweb.pl?studyname=Estud2024&amp;ID=1328</v>
      </c>
      <c r="L1328" s="113">
        <v>45712</v>
      </c>
      <c r="M1328" s="45" t="s">
        <v>247</v>
      </c>
    </row>
    <row r="1329" spans="1:13">
      <c r="A1329">
        <v>1329</v>
      </c>
      <c r="B1329" t="s">
        <v>138</v>
      </c>
      <c r="C1329">
        <v>11</v>
      </c>
      <c r="D1329" t="s">
        <v>155</v>
      </c>
      <c r="E1329">
        <v>156</v>
      </c>
      <c r="F1329" t="s">
        <v>9569</v>
      </c>
      <c r="H1329" t="s">
        <v>9570</v>
      </c>
      <c r="I1329" s="45" t="s">
        <v>6754</v>
      </c>
      <c r="J1329" s="122">
        <v>45708</v>
      </c>
      <c r="K1329" s="110" t="str">
        <f t="shared" si="17"/>
        <v>https://Estud2024.sawtoothsoftware.com/cgi-bin/ciwweb.pl?studyname=Estud2024&amp;ID=1329</v>
      </c>
      <c r="L1329" s="113">
        <v>45712</v>
      </c>
      <c r="M1329" s="45" t="s">
        <v>247</v>
      </c>
    </row>
    <row r="1330" spans="1:13">
      <c r="A1330">
        <v>1330</v>
      </c>
      <c r="B1330" t="s">
        <v>138</v>
      </c>
      <c r="C1330">
        <v>11</v>
      </c>
      <c r="D1330" t="s">
        <v>155</v>
      </c>
      <c r="E1330">
        <v>156</v>
      </c>
      <c r="F1330" t="s">
        <v>9571</v>
      </c>
      <c r="H1330" t="s">
        <v>9572</v>
      </c>
      <c r="I1330" s="45" t="s">
        <v>6754</v>
      </c>
      <c r="J1330" s="122">
        <v>45708</v>
      </c>
      <c r="K1330" s="110" t="str">
        <f t="shared" si="17"/>
        <v>https://Estud2024.sawtoothsoftware.com/cgi-bin/ciwweb.pl?studyname=Estud2024&amp;ID=1330</v>
      </c>
      <c r="L1330" s="113">
        <v>45712</v>
      </c>
      <c r="M1330" s="45" t="s">
        <v>247</v>
      </c>
    </row>
    <row r="1331" spans="1:13">
      <c r="A1331">
        <v>1331</v>
      </c>
      <c r="B1331" t="s">
        <v>138</v>
      </c>
      <c r="C1331">
        <v>11</v>
      </c>
      <c r="D1331" t="s">
        <v>155</v>
      </c>
      <c r="E1331">
        <v>156</v>
      </c>
      <c r="F1331" t="s">
        <v>9573</v>
      </c>
      <c r="H1331" t="s">
        <v>9574</v>
      </c>
      <c r="I1331" s="45" t="s">
        <v>6754</v>
      </c>
      <c r="J1331" s="122">
        <v>45708</v>
      </c>
      <c r="K1331" s="110" t="str">
        <f t="shared" si="17"/>
        <v>https://Estud2024.sawtoothsoftware.com/cgi-bin/ciwweb.pl?studyname=Estud2024&amp;ID=1331</v>
      </c>
      <c r="L1331" s="113">
        <v>45712</v>
      </c>
      <c r="M1331" s="45" t="s">
        <v>247</v>
      </c>
    </row>
    <row r="1332" spans="1:13">
      <c r="A1332">
        <v>1332</v>
      </c>
      <c r="B1332" t="s">
        <v>138</v>
      </c>
      <c r="C1332">
        <v>11</v>
      </c>
      <c r="D1332" t="s">
        <v>155</v>
      </c>
      <c r="E1332">
        <v>156</v>
      </c>
      <c r="F1332" t="s">
        <v>9575</v>
      </c>
      <c r="H1332" t="s">
        <v>9576</v>
      </c>
      <c r="I1332" s="45" t="s">
        <v>6754</v>
      </c>
      <c r="J1332" s="122">
        <v>45708</v>
      </c>
      <c r="K1332" s="110" t="str">
        <f t="shared" si="17"/>
        <v>https://Estud2024.sawtoothsoftware.com/cgi-bin/ciwweb.pl?studyname=Estud2024&amp;ID=1332</v>
      </c>
      <c r="L1332" s="113">
        <v>45712</v>
      </c>
      <c r="M1332" s="45" t="s">
        <v>246</v>
      </c>
    </row>
    <row r="1333" spans="1:13">
      <c r="A1333">
        <v>1333</v>
      </c>
      <c r="B1333" t="s">
        <v>138</v>
      </c>
      <c r="C1333">
        <v>11</v>
      </c>
      <c r="D1333" t="s">
        <v>155</v>
      </c>
      <c r="E1333">
        <v>156</v>
      </c>
      <c r="F1333" t="s">
        <v>9577</v>
      </c>
      <c r="H1333" t="s">
        <v>9578</v>
      </c>
      <c r="I1333" s="45" t="s">
        <v>6754</v>
      </c>
      <c r="J1333" s="122">
        <v>45708</v>
      </c>
      <c r="K1333" s="110" t="str">
        <f t="shared" si="17"/>
        <v>https://Estud2024.sawtoothsoftware.com/cgi-bin/ciwweb.pl?studyname=Estud2024&amp;ID=1333</v>
      </c>
      <c r="L1333" s="113">
        <v>45712</v>
      </c>
      <c r="M1333" s="45" t="s">
        <v>247</v>
      </c>
    </row>
    <row r="1334" spans="1:13">
      <c r="A1334">
        <v>1334</v>
      </c>
      <c r="B1334" t="s">
        <v>138</v>
      </c>
      <c r="C1334">
        <v>11</v>
      </c>
      <c r="D1334" t="s">
        <v>155</v>
      </c>
      <c r="E1334">
        <v>156</v>
      </c>
      <c r="F1334" t="s">
        <v>9579</v>
      </c>
      <c r="H1334" t="s">
        <v>9580</v>
      </c>
      <c r="I1334" s="45" t="s">
        <v>6754</v>
      </c>
      <c r="J1334" s="122">
        <v>45708</v>
      </c>
      <c r="K1334" s="110" t="str">
        <f t="shared" si="17"/>
        <v>https://Estud2024.sawtoothsoftware.com/cgi-bin/ciwweb.pl?studyname=Estud2024&amp;ID=1334</v>
      </c>
      <c r="L1334" s="113">
        <v>45712</v>
      </c>
      <c r="M1334" s="45" t="s">
        <v>247</v>
      </c>
    </row>
    <row r="1335" spans="1:13">
      <c r="A1335">
        <v>1335</v>
      </c>
      <c r="B1335" t="s">
        <v>138</v>
      </c>
      <c r="C1335">
        <v>11</v>
      </c>
      <c r="D1335" t="s">
        <v>155</v>
      </c>
      <c r="E1335">
        <v>156</v>
      </c>
      <c r="F1335" t="s">
        <v>9581</v>
      </c>
      <c r="H1335" t="s">
        <v>9582</v>
      </c>
      <c r="I1335" s="45" t="s">
        <v>6754</v>
      </c>
      <c r="J1335" s="122">
        <v>45708</v>
      </c>
      <c r="K1335" s="110" t="str">
        <f t="shared" si="17"/>
        <v>https://Estud2024.sawtoothsoftware.com/cgi-bin/ciwweb.pl?studyname=Estud2024&amp;ID=1335</v>
      </c>
      <c r="L1335" s="113">
        <v>45712</v>
      </c>
      <c r="M1335" s="45" t="s">
        <v>247</v>
      </c>
    </row>
    <row r="1336" spans="1:13">
      <c r="A1336">
        <v>1336</v>
      </c>
      <c r="B1336" t="s">
        <v>138</v>
      </c>
      <c r="C1336">
        <v>11</v>
      </c>
      <c r="D1336" t="s">
        <v>155</v>
      </c>
      <c r="E1336">
        <v>156</v>
      </c>
      <c r="F1336" t="s">
        <v>9583</v>
      </c>
      <c r="H1336" t="s">
        <v>9584</v>
      </c>
      <c r="I1336" s="45" t="s">
        <v>6754</v>
      </c>
      <c r="J1336" s="122">
        <v>45708</v>
      </c>
      <c r="K1336" s="110" t="str">
        <f t="shared" si="17"/>
        <v>https://Estud2024.sawtoothsoftware.com/cgi-bin/ciwweb.pl?studyname=Estud2024&amp;ID=1336</v>
      </c>
      <c r="L1336" s="113">
        <v>45712</v>
      </c>
      <c r="M1336" s="45" t="s">
        <v>247</v>
      </c>
    </row>
    <row r="1337" spans="1:13">
      <c r="A1337">
        <v>1337</v>
      </c>
      <c r="B1337" t="s">
        <v>138</v>
      </c>
      <c r="C1337">
        <v>11</v>
      </c>
      <c r="D1337" t="s">
        <v>155</v>
      </c>
      <c r="E1337">
        <v>156</v>
      </c>
      <c r="F1337" t="s">
        <v>9585</v>
      </c>
      <c r="H1337" t="s">
        <v>9586</v>
      </c>
      <c r="I1337" s="45" t="s">
        <v>6754</v>
      </c>
      <c r="J1337" s="122">
        <v>45708</v>
      </c>
      <c r="K1337" s="110" t="str">
        <f t="shared" si="17"/>
        <v>https://Estud2024.sawtoothsoftware.com/cgi-bin/ciwweb.pl?studyname=Estud2024&amp;ID=1337</v>
      </c>
      <c r="L1337" s="113">
        <v>45712</v>
      </c>
      <c r="M1337" s="45" t="s">
        <v>247</v>
      </c>
    </row>
    <row r="1338" spans="1:13">
      <c r="A1338">
        <v>1338</v>
      </c>
      <c r="B1338" t="s">
        <v>138</v>
      </c>
      <c r="C1338">
        <v>11</v>
      </c>
      <c r="D1338" t="s">
        <v>155</v>
      </c>
      <c r="E1338">
        <v>156</v>
      </c>
      <c r="F1338" t="s">
        <v>9587</v>
      </c>
      <c r="H1338" t="s">
        <v>9588</v>
      </c>
      <c r="I1338" s="45" t="s">
        <v>6754</v>
      </c>
      <c r="J1338" s="122">
        <v>45708</v>
      </c>
      <c r="K1338" s="110" t="str">
        <f t="shared" si="17"/>
        <v>https://Estud2024.sawtoothsoftware.com/cgi-bin/ciwweb.pl?studyname=Estud2024&amp;ID=1338</v>
      </c>
      <c r="L1338" s="113">
        <v>45712</v>
      </c>
      <c r="M1338" s="45" t="s">
        <v>247</v>
      </c>
    </row>
    <row r="1339" spans="1:13">
      <c r="A1339">
        <v>1339</v>
      </c>
      <c r="B1339" t="s">
        <v>138</v>
      </c>
      <c r="C1339">
        <v>11</v>
      </c>
      <c r="D1339" t="s">
        <v>155</v>
      </c>
      <c r="E1339">
        <v>156</v>
      </c>
      <c r="F1339" t="s">
        <v>9589</v>
      </c>
      <c r="H1339" t="s">
        <v>9590</v>
      </c>
      <c r="I1339" s="45" t="s">
        <v>6754</v>
      </c>
      <c r="J1339" s="122">
        <v>45708</v>
      </c>
      <c r="K1339" s="110" t="str">
        <f t="shared" si="17"/>
        <v>https://Estud2024.sawtoothsoftware.com/cgi-bin/ciwweb.pl?studyname=Estud2024&amp;ID=1339</v>
      </c>
      <c r="L1339" s="113">
        <v>45712</v>
      </c>
      <c r="M1339" s="45" t="s">
        <v>247</v>
      </c>
    </row>
    <row r="1340" spans="1:13">
      <c r="A1340">
        <v>1340</v>
      </c>
      <c r="B1340" t="s">
        <v>138</v>
      </c>
      <c r="C1340">
        <v>11</v>
      </c>
      <c r="D1340" t="s">
        <v>155</v>
      </c>
      <c r="E1340">
        <v>156</v>
      </c>
      <c r="F1340" t="s">
        <v>9591</v>
      </c>
      <c r="H1340" t="s">
        <v>9592</v>
      </c>
      <c r="I1340" s="45" t="s">
        <v>6754</v>
      </c>
      <c r="J1340" s="122">
        <v>45708</v>
      </c>
      <c r="K1340" s="110" t="str">
        <f t="shared" si="17"/>
        <v>https://Estud2024.sawtoothsoftware.com/cgi-bin/ciwweb.pl?studyname=Estud2024&amp;ID=1340</v>
      </c>
      <c r="L1340" s="113">
        <v>45712</v>
      </c>
      <c r="M1340" s="45" t="s">
        <v>247</v>
      </c>
    </row>
    <row r="1341" spans="1:13">
      <c r="A1341">
        <v>1341</v>
      </c>
      <c r="B1341" t="s">
        <v>138</v>
      </c>
      <c r="C1341">
        <v>11</v>
      </c>
      <c r="D1341" t="s">
        <v>155</v>
      </c>
      <c r="E1341">
        <v>156</v>
      </c>
      <c r="F1341" t="s">
        <v>9593</v>
      </c>
      <c r="H1341" t="s">
        <v>9594</v>
      </c>
      <c r="I1341" s="45" t="s">
        <v>6754</v>
      </c>
      <c r="J1341" s="122">
        <v>45708</v>
      </c>
      <c r="K1341" s="110" t="str">
        <f t="shared" si="17"/>
        <v>https://Estud2024.sawtoothsoftware.com/cgi-bin/ciwweb.pl?studyname=Estud2024&amp;ID=1341</v>
      </c>
      <c r="L1341" s="113">
        <v>45712</v>
      </c>
      <c r="M1341" s="45" t="s">
        <v>247</v>
      </c>
    </row>
    <row r="1342" spans="1:13">
      <c r="A1342">
        <v>1342</v>
      </c>
      <c r="B1342" t="s">
        <v>138</v>
      </c>
      <c r="C1342">
        <v>11</v>
      </c>
      <c r="D1342" t="s">
        <v>155</v>
      </c>
      <c r="E1342">
        <v>156</v>
      </c>
      <c r="F1342" t="s">
        <v>9595</v>
      </c>
      <c r="H1342" t="s">
        <v>9596</v>
      </c>
      <c r="I1342" s="45" t="s">
        <v>6754</v>
      </c>
      <c r="J1342" s="122">
        <v>45708</v>
      </c>
      <c r="K1342" s="110" t="str">
        <f t="shared" si="17"/>
        <v>https://Estud2024.sawtoothsoftware.com/cgi-bin/ciwweb.pl?studyname=Estud2024&amp;ID=1342</v>
      </c>
      <c r="L1342" s="113">
        <v>45712</v>
      </c>
      <c r="M1342" s="45" t="s">
        <v>247</v>
      </c>
    </row>
    <row r="1343" spans="1:13">
      <c r="A1343">
        <v>1343</v>
      </c>
      <c r="B1343" t="s">
        <v>138</v>
      </c>
      <c r="C1343">
        <v>11</v>
      </c>
      <c r="D1343" t="s">
        <v>155</v>
      </c>
      <c r="E1343">
        <v>156</v>
      </c>
      <c r="F1343" t="s">
        <v>9597</v>
      </c>
      <c r="H1343" t="s">
        <v>9598</v>
      </c>
      <c r="I1343" s="45" t="s">
        <v>6754</v>
      </c>
      <c r="J1343" s="122">
        <v>45708</v>
      </c>
      <c r="K1343" s="110" t="str">
        <f t="shared" si="17"/>
        <v>https://Estud2024.sawtoothsoftware.com/cgi-bin/ciwweb.pl?studyname=Estud2024&amp;ID=1343</v>
      </c>
      <c r="L1343" s="113">
        <v>45712</v>
      </c>
      <c r="M1343" s="45" t="s">
        <v>247</v>
      </c>
    </row>
    <row r="1344" spans="1:13">
      <c r="A1344">
        <v>1344</v>
      </c>
      <c r="B1344" t="s">
        <v>138</v>
      </c>
      <c r="C1344">
        <v>11</v>
      </c>
      <c r="D1344" t="s">
        <v>155</v>
      </c>
      <c r="E1344">
        <v>156</v>
      </c>
      <c r="F1344" t="s">
        <v>9599</v>
      </c>
      <c r="H1344" t="s">
        <v>9600</v>
      </c>
      <c r="I1344" s="45" t="s">
        <v>6754</v>
      </c>
      <c r="J1344" s="122">
        <v>45708</v>
      </c>
      <c r="K1344" s="110" t="str">
        <f t="shared" si="17"/>
        <v>https://Estud2024.sawtoothsoftware.com/cgi-bin/ciwweb.pl?studyname=Estud2024&amp;ID=1344</v>
      </c>
      <c r="L1344" s="113">
        <v>45712</v>
      </c>
      <c r="M1344" s="45" t="s">
        <v>247</v>
      </c>
    </row>
    <row r="1345" spans="1:13">
      <c r="A1345">
        <v>1345</v>
      </c>
      <c r="B1345" t="s">
        <v>138</v>
      </c>
      <c r="C1345">
        <v>11</v>
      </c>
      <c r="D1345" t="s">
        <v>155</v>
      </c>
      <c r="E1345">
        <v>156</v>
      </c>
      <c r="F1345" t="s">
        <v>9601</v>
      </c>
      <c r="H1345" t="s">
        <v>9602</v>
      </c>
      <c r="I1345" s="45" t="s">
        <v>6754</v>
      </c>
      <c r="J1345" s="122">
        <v>45708</v>
      </c>
      <c r="K1345" s="110" t="str">
        <f t="shared" si="17"/>
        <v>https://Estud2024.sawtoothsoftware.com/cgi-bin/ciwweb.pl?studyname=Estud2024&amp;ID=1345</v>
      </c>
      <c r="L1345" s="113">
        <v>45712</v>
      </c>
      <c r="M1345" s="45" t="s">
        <v>247</v>
      </c>
    </row>
    <row r="1346" spans="1:13">
      <c r="A1346">
        <v>1346</v>
      </c>
      <c r="B1346" t="s">
        <v>138</v>
      </c>
      <c r="C1346">
        <v>11</v>
      </c>
      <c r="D1346" t="s">
        <v>155</v>
      </c>
      <c r="E1346">
        <v>156</v>
      </c>
      <c r="F1346" t="s">
        <v>9603</v>
      </c>
      <c r="H1346" t="s">
        <v>9604</v>
      </c>
      <c r="I1346" s="45" t="s">
        <v>6754</v>
      </c>
      <c r="J1346" s="122">
        <v>45708</v>
      </c>
      <c r="K1346" s="110" t="str">
        <f t="shared" si="17"/>
        <v>https://Estud2024.sawtoothsoftware.com/cgi-bin/ciwweb.pl?studyname=Estud2024&amp;ID=1346</v>
      </c>
      <c r="L1346" s="113">
        <v>45712</v>
      </c>
      <c r="M1346" s="45" t="s">
        <v>246</v>
      </c>
    </row>
    <row r="1347" spans="1:13">
      <c r="A1347">
        <v>1347</v>
      </c>
      <c r="B1347" t="s">
        <v>138</v>
      </c>
      <c r="C1347">
        <v>11</v>
      </c>
      <c r="D1347" t="s">
        <v>155</v>
      </c>
      <c r="E1347">
        <v>156</v>
      </c>
      <c r="F1347" t="s">
        <v>9605</v>
      </c>
      <c r="H1347" t="s">
        <v>9606</v>
      </c>
      <c r="I1347" s="45" t="s">
        <v>6754</v>
      </c>
      <c r="J1347" s="122">
        <v>45708</v>
      </c>
      <c r="K1347" s="110" t="str">
        <f t="shared" si="17"/>
        <v>https://Estud2024.sawtoothsoftware.com/cgi-bin/ciwweb.pl?studyname=Estud2024&amp;ID=1347</v>
      </c>
      <c r="L1347" s="113">
        <v>45712</v>
      </c>
      <c r="M1347" s="45" t="s">
        <v>247</v>
      </c>
    </row>
    <row r="1348" spans="1:13">
      <c r="A1348">
        <v>1348</v>
      </c>
      <c r="B1348" t="s">
        <v>138</v>
      </c>
      <c r="C1348">
        <v>11</v>
      </c>
      <c r="D1348" t="s">
        <v>158</v>
      </c>
      <c r="E1348">
        <v>149</v>
      </c>
      <c r="F1348" t="s">
        <v>9607</v>
      </c>
      <c r="H1348" t="s">
        <v>9608</v>
      </c>
      <c r="I1348" s="45" t="s">
        <v>6754</v>
      </c>
      <c r="J1348" s="122">
        <v>45708</v>
      </c>
      <c r="K1348" s="110" t="str">
        <f t="shared" si="17"/>
        <v>https://Estud2024.sawtoothsoftware.com/cgi-bin/ciwweb.pl?studyname=Estud2024&amp;ID=1348</v>
      </c>
      <c r="L1348" s="113">
        <v>45712</v>
      </c>
      <c r="M1348" s="45" t="s">
        <v>246</v>
      </c>
    </row>
    <row r="1349" spans="1:13">
      <c r="A1349">
        <v>1349</v>
      </c>
      <c r="B1349" t="s">
        <v>138</v>
      </c>
      <c r="C1349">
        <v>11</v>
      </c>
      <c r="D1349" t="s">
        <v>158</v>
      </c>
      <c r="E1349">
        <v>149</v>
      </c>
      <c r="F1349" t="s">
        <v>9609</v>
      </c>
      <c r="H1349" t="s">
        <v>9610</v>
      </c>
      <c r="I1349" s="45" t="s">
        <v>6754</v>
      </c>
      <c r="J1349" s="122">
        <v>45708</v>
      </c>
      <c r="K1349" s="110" t="str">
        <f t="shared" si="17"/>
        <v>https://Estud2024.sawtoothsoftware.com/cgi-bin/ciwweb.pl?studyname=Estud2024&amp;ID=1349</v>
      </c>
      <c r="L1349" s="113">
        <v>45712</v>
      </c>
      <c r="M1349" s="45" t="s">
        <v>247</v>
      </c>
    </row>
    <row r="1350" spans="1:13">
      <c r="A1350">
        <v>1350</v>
      </c>
      <c r="B1350" t="s">
        <v>138</v>
      </c>
      <c r="C1350">
        <v>11</v>
      </c>
      <c r="D1350" t="s">
        <v>158</v>
      </c>
      <c r="E1350">
        <v>149</v>
      </c>
      <c r="F1350" t="s">
        <v>9611</v>
      </c>
      <c r="H1350" t="s">
        <v>9612</v>
      </c>
      <c r="I1350" s="45" t="s">
        <v>6754</v>
      </c>
      <c r="J1350" s="122">
        <v>45708</v>
      </c>
      <c r="K1350" s="110" t="str">
        <f t="shared" si="17"/>
        <v>https://Estud2024.sawtoothsoftware.com/cgi-bin/ciwweb.pl?studyname=Estud2024&amp;ID=1350</v>
      </c>
      <c r="L1350" s="113">
        <v>45712</v>
      </c>
      <c r="M1350" s="45" t="s">
        <v>247</v>
      </c>
    </row>
    <row r="1351" spans="1:13">
      <c r="A1351">
        <v>1351</v>
      </c>
      <c r="B1351" t="s">
        <v>138</v>
      </c>
      <c r="C1351">
        <v>11</v>
      </c>
      <c r="D1351" t="s">
        <v>158</v>
      </c>
      <c r="E1351">
        <v>149</v>
      </c>
      <c r="F1351" t="s">
        <v>9613</v>
      </c>
      <c r="H1351" t="s">
        <v>9614</v>
      </c>
      <c r="I1351" s="45" t="s">
        <v>6754</v>
      </c>
      <c r="J1351" s="122">
        <v>45708</v>
      </c>
      <c r="K1351" s="110" t="str">
        <f t="shared" si="17"/>
        <v>https://Estud2024.sawtoothsoftware.com/cgi-bin/ciwweb.pl?studyname=Estud2024&amp;ID=1351</v>
      </c>
      <c r="L1351" s="113">
        <v>45712</v>
      </c>
      <c r="M1351" s="45" t="s">
        <v>247</v>
      </c>
    </row>
    <row r="1352" spans="1:13">
      <c r="A1352">
        <v>1352</v>
      </c>
      <c r="B1352" t="s">
        <v>138</v>
      </c>
      <c r="C1352">
        <v>11</v>
      </c>
      <c r="D1352" t="s">
        <v>158</v>
      </c>
      <c r="E1352">
        <v>149</v>
      </c>
      <c r="F1352" t="s">
        <v>9615</v>
      </c>
      <c r="H1352" t="s">
        <v>9616</v>
      </c>
      <c r="I1352" s="45" t="s">
        <v>6754</v>
      </c>
      <c r="J1352" s="122">
        <v>45708</v>
      </c>
      <c r="K1352" s="110" t="str">
        <f t="shared" si="17"/>
        <v>https://Estud2024.sawtoothsoftware.com/cgi-bin/ciwweb.pl?studyname=Estud2024&amp;ID=1352</v>
      </c>
      <c r="L1352" s="113">
        <v>45712</v>
      </c>
      <c r="M1352" s="45" t="s">
        <v>247</v>
      </c>
    </row>
    <row r="1353" spans="1:13">
      <c r="A1353">
        <v>1353</v>
      </c>
      <c r="B1353" t="s">
        <v>138</v>
      </c>
      <c r="C1353">
        <v>11</v>
      </c>
      <c r="D1353" t="s">
        <v>158</v>
      </c>
      <c r="E1353">
        <v>149</v>
      </c>
      <c r="F1353" t="s">
        <v>9617</v>
      </c>
      <c r="H1353" t="s">
        <v>9618</v>
      </c>
      <c r="I1353" s="45" t="s">
        <v>6754</v>
      </c>
      <c r="J1353" s="122">
        <v>45708</v>
      </c>
      <c r="K1353" s="110" t="str">
        <f t="shared" si="17"/>
        <v>https://Estud2024.sawtoothsoftware.com/cgi-bin/ciwweb.pl?studyname=Estud2024&amp;ID=1353</v>
      </c>
      <c r="L1353" s="113">
        <v>45712</v>
      </c>
      <c r="M1353" s="45" t="s">
        <v>246</v>
      </c>
    </row>
    <row r="1354" spans="1:13">
      <c r="A1354">
        <v>1354</v>
      </c>
      <c r="B1354" t="s">
        <v>138</v>
      </c>
      <c r="C1354">
        <v>11</v>
      </c>
      <c r="D1354" t="s">
        <v>158</v>
      </c>
      <c r="E1354">
        <v>149</v>
      </c>
      <c r="F1354" t="s">
        <v>9619</v>
      </c>
      <c r="H1354" t="s">
        <v>9620</v>
      </c>
      <c r="I1354" s="45" t="s">
        <v>6754</v>
      </c>
      <c r="J1354" s="122">
        <v>45708</v>
      </c>
      <c r="K1354" s="110" t="str">
        <f t="shared" si="17"/>
        <v>https://Estud2024.sawtoothsoftware.com/cgi-bin/ciwweb.pl?studyname=Estud2024&amp;ID=1354</v>
      </c>
      <c r="L1354" s="113">
        <v>45712</v>
      </c>
      <c r="M1354" s="45" t="s">
        <v>247</v>
      </c>
    </row>
    <row r="1355" spans="1:13">
      <c r="A1355">
        <v>1355</v>
      </c>
      <c r="B1355" t="s">
        <v>138</v>
      </c>
      <c r="C1355">
        <v>11</v>
      </c>
      <c r="D1355" t="s">
        <v>158</v>
      </c>
      <c r="E1355">
        <v>149</v>
      </c>
      <c r="F1355" t="s">
        <v>9621</v>
      </c>
      <c r="H1355" t="s">
        <v>9622</v>
      </c>
      <c r="I1355" s="45" t="s">
        <v>6754</v>
      </c>
      <c r="J1355" s="122">
        <v>45708</v>
      </c>
      <c r="K1355" s="110" t="str">
        <f t="shared" si="17"/>
        <v>https://Estud2024.sawtoothsoftware.com/cgi-bin/ciwweb.pl?studyname=Estud2024&amp;ID=1355</v>
      </c>
      <c r="L1355" s="113">
        <v>45712</v>
      </c>
      <c r="M1355" s="45" t="s">
        <v>247</v>
      </c>
    </row>
    <row r="1356" spans="1:13">
      <c r="A1356">
        <v>1356</v>
      </c>
      <c r="B1356" t="s">
        <v>138</v>
      </c>
      <c r="C1356">
        <v>11</v>
      </c>
      <c r="D1356" t="s">
        <v>158</v>
      </c>
      <c r="E1356">
        <v>149</v>
      </c>
      <c r="F1356" t="s">
        <v>9623</v>
      </c>
      <c r="H1356" t="s">
        <v>9624</v>
      </c>
      <c r="I1356" s="45" t="s">
        <v>6754</v>
      </c>
      <c r="J1356" s="122">
        <v>45708</v>
      </c>
      <c r="K1356" s="110" t="str">
        <f t="shared" si="17"/>
        <v>https://Estud2024.sawtoothsoftware.com/cgi-bin/ciwweb.pl?studyname=Estud2024&amp;ID=1356</v>
      </c>
      <c r="L1356" s="113">
        <v>45712</v>
      </c>
      <c r="M1356" s="45" t="s">
        <v>247</v>
      </c>
    </row>
    <row r="1357" spans="1:13">
      <c r="A1357">
        <v>1357</v>
      </c>
      <c r="B1357" t="s">
        <v>138</v>
      </c>
      <c r="C1357">
        <v>11</v>
      </c>
      <c r="D1357" t="s">
        <v>158</v>
      </c>
      <c r="E1357">
        <v>149</v>
      </c>
      <c r="F1357" t="s">
        <v>9625</v>
      </c>
      <c r="H1357" t="s">
        <v>9626</v>
      </c>
      <c r="I1357" s="45" t="s">
        <v>6754</v>
      </c>
      <c r="J1357" s="122">
        <v>45708</v>
      </c>
      <c r="K1357" s="110" t="str">
        <f t="shared" si="17"/>
        <v>https://Estud2024.sawtoothsoftware.com/cgi-bin/ciwweb.pl?studyname=Estud2024&amp;ID=1357</v>
      </c>
      <c r="L1357" s="113">
        <v>45712</v>
      </c>
      <c r="M1357" s="45" t="s">
        <v>247</v>
      </c>
    </row>
    <row r="1358" spans="1:13">
      <c r="A1358">
        <v>1358</v>
      </c>
      <c r="B1358" t="s">
        <v>138</v>
      </c>
      <c r="C1358">
        <v>11</v>
      </c>
      <c r="D1358" t="s">
        <v>158</v>
      </c>
      <c r="E1358">
        <v>149</v>
      </c>
      <c r="F1358" t="s">
        <v>9627</v>
      </c>
      <c r="H1358" t="s">
        <v>9628</v>
      </c>
      <c r="I1358" s="45" t="s">
        <v>6754</v>
      </c>
      <c r="J1358" s="122">
        <v>45708</v>
      </c>
      <c r="K1358" s="110" t="str">
        <f t="shared" si="17"/>
        <v>https://Estud2024.sawtoothsoftware.com/cgi-bin/ciwweb.pl?studyname=Estud2024&amp;ID=1358</v>
      </c>
      <c r="L1358" s="113">
        <v>45712</v>
      </c>
      <c r="M1358" s="45" t="s">
        <v>247</v>
      </c>
    </row>
    <row r="1359" spans="1:13">
      <c r="A1359">
        <v>1359</v>
      </c>
      <c r="B1359" t="s">
        <v>138</v>
      </c>
      <c r="C1359">
        <v>11</v>
      </c>
      <c r="D1359" t="s">
        <v>158</v>
      </c>
      <c r="E1359">
        <v>149</v>
      </c>
      <c r="F1359" t="s">
        <v>9629</v>
      </c>
      <c r="H1359" t="s">
        <v>9630</v>
      </c>
      <c r="I1359" s="45" t="s">
        <v>6754</v>
      </c>
      <c r="J1359" s="122">
        <v>45708</v>
      </c>
      <c r="K1359" s="110" t="str">
        <f t="shared" si="17"/>
        <v>https://Estud2024.sawtoothsoftware.com/cgi-bin/ciwweb.pl?studyname=Estud2024&amp;ID=1359</v>
      </c>
      <c r="L1359" s="113">
        <v>45712</v>
      </c>
      <c r="M1359" s="45" t="s">
        <v>247</v>
      </c>
    </row>
    <row r="1360" spans="1:13">
      <c r="A1360">
        <v>1360</v>
      </c>
      <c r="B1360" t="s">
        <v>138</v>
      </c>
      <c r="C1360">
        <v>11</v>
      </c>
      <c r="D1360" t="s">
        <v>158</v>
      </c>
      <c r="E1360">
        <v>149</v>
      </c>
      <c r="F1360" t="s">
        <v>9631</v>
      </c>
      <c r="H1360" t="s">
        <v>9632</v>
      </c>
      <c r="I1360" s="45" t="s">
        <v>6754</v>
      </c>
      <c r="J1360" s="122">
        <v>45708</v>
      </c>
      <c r="K1360" s="110" t="str">
        <f t="shared" si="17"/>
        <v>https://Estud2024.sawtoothsoftware.com/cgi-bin/ciwweb.pl?studyname=Estud2024&amp;ID=1360</v>
      </c>
      <c r="L1360" s="113">
        <v>45712</v>
      </c>
      <c r="M1360" s="45" t="s">
        <v>247</v>
      </c>
    </row>
    <row r="1361" spans="1:13">
      <c r="A1361">
        <v>1361</v>
      </c>
      <c r="B1361" t="s">
        <v>138</v>
      </c>
      <c r="C1361">
        <v>11</v>
      </c>
      <c r="D1361" t="s">
        <v>158</v>
      </c>
      <c r="E1361">
        <v>149</v>
      </c>
      <c r="F1361" t="s">
        <v>9633</v>
      </c>
      <c r="H1361" t="s">
        <v>9634</v>
      </c>
      <c r="I1361" s="45" t="s">
        <v>6754</v>
      </c>
      <c r="J1361" s="122">
        <v>45708</v>
      </c>
      <c r="K1361" s="110" t="str">
        <f t="shared" si="17"/>
        <v>https://Estud2024.sawtoothsoftware.com/cgi-bin/ciwweb.pl?studyname=Estud2024&amp;ID=1361</v>
      </c>
      <c r="L1361" s="113">
        <v>45712</v>
      </c>
      <c r="M1361" s="45" t="s">
        <v>247</v>
      </c>
    </row>
    <row r="1362" spans="1:13">
      <c r="A1362">
        <v>1362</v>
      </c>
      <c r="B1362" t="s">
        <v>138</v>
      </c>
      <c r="C1362">
        <v>11</v>
      </c>
      <c r="D1362" t="s">
        <v>143</v>
      </c>
      <c r="E1362">
        <v>120</v>
      </c>
      <c r="F1362" t="s">
        <v>9635</v>
      </c>
      <c r="H1362" t="s">
        <v>9636</v>
      </c>
      <c r="I1362" s="45" t="s">
        <v>6754</v>
      </c>
      <c r="J1362" s="122">
        <v>45708</v>
      </c>
      <c r="K1362" s="110" t="str">
        <f t="shared" si="17"/>
        <v>https://Estud2024.sawtoothsoftware.com/cgi-bin/ciwweb.pl?studyname=Estud2024&amp;ID=1362</v>
      </c>
      <c r="L1362" s="113">
        <v>45712</v>
      </c>
      <c r="M1362" s="45" t="s">
        <v>247</v>
      </c>
    </row>
    <row r="1363" spans="1:13">
      <c r="A1363">
        <v>1363</v>
      </c>
      <c r="B1363" t="s">
        <v>138</v>
      </c>
      <c r="C1363">
        <v>11</v>
      </c>
      <c r="D1363" t="s">
        <v>143</v>
      </c>
      <c r="E1363">
        <v>120</v>
      </c>
      <c r="F1363" t="s">
        <v>9637</v>
      </c>
      <c r="H1363" t="s">
        <v>9638</v>
      </c>
      <c r="I1363" s="45" t="s">
        <v>6754</v>
      </c>
      <c r="J1363" s="122">
        <v>45708</v>
      </c>
      <c r="K1363" s="110" t="str">
        <f t="shared" si="17"/>
        <v>https://Estud2024.sawtoothsoftware.com/cgi-bin/ciwweb.pl?studyname=Estud2024&amp;ID=1363</v>
      </c>
      <c r="L1363" s="113">
        <v>45712</v>
      </c>
      <c r="M1363" s="45" t="s">
        <v>246</v>
      </c>
    </row>
    <row r="1364" spans="1:13">
      <c r="A1364">
        <v>1364</v>
      </c>
      <c r="B1364" t="s">
        <v>138</v>
      </c>
      <c r="C1364">
        <v>11</v>
      </c>
      <c r="D1364" t="s">
        <v>143</v>
      </c>
      <c r="E1364">
        <v>120</v>
      </c>
      <c r="F1364" t="s">
        <v>9639</v>
      </c>
      <c r="H1364" t="s">
        <v>9640</v>
      </c>
      <c r="I1364" s="45" t="s">
        <v>6754</v>
      </c>
      <c r="J1364" s="122">
        <v>45708</v>
      </c>
      <c r="K1364" s="110" t="str">
        <f t="shared" si="17"/>
        <v>https://Estud2024.sawtoothsoftware.com/cgi-bin/ciwweb.pl?studyname=Estud2024&amp;ID=1364</v>
      </c>
      <c r="L1364" s="113">
        <v>45712</v>
      </c>
      <c r="M1364" s="45" t="s">
        <v>246</v>
      </c>
    </row>
    <row r="1365" spans="1:13">
      <c r="A1365">
        <v>1365</v>
      </c>
      <c r="B1365" t="s">
        <v>138</v>
      </c>
      <c r="C1365">
        <v>11</v>
      </c>
      <c r="D1365" t="s">
        <v>143</v>
      </c>
      <c r="E1365">
        <v>120</v>
      </c>
      <c r="F1365" t="s">
        <v>9641</v>
      </c>
      <c r="H1365" t="s">
        <v>9642</v>
      </c>
      <c r="I1365" s="45" t="s">
        <v>6754</v>
      </c>
      <c r="J1365" s="122">
        <v>45708</v>
      </c>
      <c r="K1365" s="110" t="str">
        <f t="shared" si="17"/>
        <v>https://Estud2024.sawtoothsoftware.com/cgi-bin/ciwweb.pl?studyname=Estud2024&amp;ID=1365</v>
      </c>
      <c r="L1365" s="113">
        <v>45712</v>
      </c>
      <c r="M1365" s="45" t="s">
        <v>246</v>
      </c>
    </row>
    <row r="1366" spans="1:13">
      <c r="A1366">
        <v>1366</v>
      </c>
      <c r="B1366" t="s">
        <v>138</v>
      </c>
      <c r="C1366">
        <v>11</v>
      </c>
      <c r="D1366" t="s">
        <v>143</v>
      </c>
      <c r="E1366">
        <v>120</v>
      </c>
      <c r="F1366" t="s">
        <v>9643</v>
      </c>
      <c r="H1366" t="s">
        <v>9644</v>
      </c>
      <c r="I1366" s="45" t="s">
        <v>6754</v>
      </c>
      <c r="J1366" s="122">
        <v>45708</v>
      </c>
      <c r="K1366" s="110" t="str">
        <f t="shared" ref="K1366:K1429" si="18">CONCATENATE("https://Estud2024.sawtoothsoftware.com/cgi-bin/ciwweb.pl?studyname=Estud2024&amp;ID=",A1366)</f>
        <v>https://Estud2024.sawtoothsoftware.com/cgi-bin/ciwweb.pl?studyname=Estud2024&amp;ID=1366</v>
      </c>
      <c r="L1366" s="113">
        <v>45712</v>
      </c>
      <c r="M1366" s="45" t="s">
        <v>247</v>
      </c>
    </row>
    <row r="1367" spans="1:13">
      <c r="A1367">
        <v>1367</v>
      </c>
      <c r="B1367" t="s">
        <v>138</v>
      </c>
      <c r="C1367">
        <v>11</v>
      </c>
      <c r="D1367" t="s">
        <v>143</v>
      </c>
      <c r="E1367">
        <v>120</v>
      </c>
      <c r="F1367" t="s">
        <v>9645</v>
      </c>
      <c r="H1367" t="s">
        <v>9646</v>
      </c>
      <c r="I1367" s="45" t="s">
        <v>6754</v>
      </c>
      <c r="J1367" s="122">
        <v>45708</v>
      </c>
      <c r="K1367" s="110" t="str">
        <f t="shared" si="18"/>
        <v>https://Estud2024.sawtoothsoftware.com/cgi-bin/ciwweb.pl?studyname=Estud2024&amp;ID=1367</v>
      </c>
      <c r="L1367" s="113">
        <v>45712</v>
      </c>
      <c r="M1367" s="45" t="s">
        <v>246</v>
      </c>
    </row>
    <row r="1368" spans="1:13">
      <c r="A1368">
        <v>1368</v>
      </c>
      <c r="B1368" t="s">
        <v>138</v>
      </c>
      <c r="C1368">
        <v>11</v>
      </c>
      <c r="D1368" t="s">
        <v>143</v>
      </c>
      <c r="E1368">
        <v>120</v>
      </c>
      <c r="F1368" t="s">
        <v>9647</v>
      </c>
      <c r="H1368" t="s">
        <v>9648</v>
      </c>
      <c r="I1368" s="45" t="s">
        <v>6754</v>
      </c>
      <c r="J1368" s="122">
        <v>45708</v>
      </c>
      <c r="K1368" s="110" t="str">
        <f t="shared" si="18"/>
        <v>https://Estud2024.sawtoothsoftware.com/cgi-bin/ciwweb.pl?studyname=Estud2024&amp;ID=1368</v>
      </c>
      <c r="L1368" s="113">
        <v>45712</v>
      </c>
      <c r="M1368" s="45" t="s">
        <v>247</v>
      </c>
    </row>
    <row r="1369" spans="1:13">
      <c r="A1369">
        <v>1369</v>
      </c>
      <c r="B1369" t="s">
        <v>138</v>
      </c>
      <c r="C1369">
        <v>11</v>
      </c>
      <c r="D1369" t="s">
        <v>143</v>
      </c>
      <c r="E1369">
        <v>120</v>
      </c>
      <c r="F1369" t="s">
        <v>9649</v>
      </c>
      <c r="H1369" t="s">
        <v>9650</v>
      </c>
      <c r="I1369" s="45" t="s">
        <v>6754</v>
      </c>
      <c r="J1369" s="122">
        <v>45708</v>
      </c>
      <c r="K1369" s="110" t="str">
        <f t="shared" si="18"/>
        <v>https://Estud2024.sawtoothsoftware.com/cgi-bin/ciwweb.pl?studyname=Estud2024&amp;ID=1369</v>
      </c>
      <c r="L1369" s="113">
        <v>45712</v>
      </c>
      <c r="M1369" s="45" t="s">
        <v>246</v>
      </c>
    </row>
    <row r="1370" spans="1:13">
      <c r="A1370">
        <v>1370</v>
      </c>
      <c r="B1370" t="s">
        <v>138</v>
      </c>
      <c r="C1370">
        <v>11</v>
      </c>
      <c r="D1370" t="s">
        <v>143</v>
      </c>
      <c r="E1370">
        <v>120</v>
      </c>
      <c r="F1370" t="s">
        <v>9651</v>
      </c>
      <c r="H1370" t="s">
        <v>9652</v>
      </c>
      <c r="I1370" s="45" t="s">
        <v>6754</v>
      </c>
      <c r="J1370" s="122">
        <v>45708</v>
      </c>
      <c r="K1370" s="110" t="str">
        <f t="shared" si="18"/>
        <v>https://Estud2024.sawtoothsoftware.com/cgi-bin/ciwweb.pl?studyname=Estud2024&amp;ID=1370</v>
      </c>
      <c r="L1370" s="113">
        <v>45712</v>
      </c>
      <c r="M1370" s="45" t="s">
        <v>247</v>
      </c>
    </row>
    <row r="1371" spans="1:13">
      <c r="A1371">
        <v>1371</v>
      </c>
      <c r="B1371" t="s">
        <v>138</v>
      </c>
      <c r="C1371">
        <v>11</v>
      </c>
      <c r="D1371" t="s">
        <v>143</v>
      </c>
      <c r="E1371">
        <v>120</v>
      </c>
      <c r="F1371" t="s">
        <v>9653</v>
      </c>
      <c r="H1371" t="s">
        <v>9654</v>
      </c>
      <c r="I1371" s="45" t="s">
        <v>6754</v>
      </c>
      <c r="J1371" s="122">
        <v>45708</v>
      </c>
      <c r="K1371" s="110" t="str">
        <f t="shared" si="18"/>
        <v>https://Estud2024.sawtoothsoftware.com/cgi-bin/ciwweb.pl?studyname=Estud2024&amp;ID=1371</v>
      </c>
      <c r="L1371" s="113">
        <v>45712</v>
      </c>
      <c r="M1371" s="45" t="s">
        <v>247</v>
      </c>
    </row>
    <row r="1372" spans="1:13">
      <c r="A1372">
        <v>1372</v>
      </c>
      <c r="B1372" t="s">
        <v>138</v>
      </c>
      <c r="C1372">
        <v>11</v>
      </c>
      <c r="D1372" t="s">
        <v>143</v>
      </c>
      <c r="E1372">
        <v>120</v>
      </c>
      <c r="F1372" t="s">
        <v>9655</v>
      </c>
      <c r="H1372" t="s">
        <v>9656</v>
      </c>
      <c r="I1372" s="45" t="s">
        <v>6754</v>
      </c>
      <c r="J1372" s="122">
        <v>45708</v>
      </c>
      <c r="K1372" s="110" t="str">
        <f t="shared" si="18"/>
        <v>https://Estud2024.sawtoothsoftware.com/cgi-bin/ciwweb.pl?studyname=Estud2024&amp;ID=1372</v>
      </c>
      <c r="L1372" s="113">
        <v>45712</v>
      </c>
      <c r="M1372" s="45" t="s">
        <v>247</v>
      </c>
    </row>
    <row r="1373" spans="1:13">
      <c r="A1373">
        <v>1373</v>
      </c>
      <c r="B1373" t="s">
        <v>138</v>
      </c>
      <c r="C1373">
        <v>11</v>
      </c>
      <c r="D1373" t="s">
        <v>143</v>
      </c>
      <c r="E1373">
        <v>120</v>
      </c>
      <c r="F1373" t="s">
        <v>9657</v>
      </c>
      <c r="H1373" t="s">
        <v>9658</v>
      </c>
      <c r="I1373" s="45" t="s">
        <v>6754</v>
      </c>
      <c r="J1373" s="122">
        <v>45708</v>
      </c>
      <c r="K1373" s="110" t="str">
        <f t="shared" si="18"/>
        <v>https://Estud2024.sawtoothsoftware.com/cgi-bin/ciwweb.pl?studyname=Estud2024&amp;ID=1373</v>
      </c>
      <c r="L1373" s="113">
        <v>45712</v>
      </c>
      <c r="M1373" s="45" t="s">
        <v>247</v>
      </c>
    </row>
    <row r="1374" spans="1:13">
      <c r="A1374">
        <v>1374</v>
      </c>
      <c r="B1374" t="s">
        <v>138</v>
      </c>
      <c r="C1374">
        <v>11</v>
      </c>
      <c r="D1374" t="s">
        <v>143</v>
      </c>
      <c r="E1374">
        <v>120</v>
      </c>
      <c r="F1374" t="s">
        <v>9659</v>
      </c>
      <c r="H1374" t="s">
        <v>9660</v>
      </c>
      <c r="I1374" s="45" t="s">
        <v>6754</v>
      </c>
      <c r="J1374" s="122">
        <v>45708</v>
      </c>
      <c r="K1374" s="110" t="str">
        <f t="shared" si="18"/>
        <v>https://Estud2024.sawtoothsoftware.com/cgi-bin/ciwweb.pl?studyname=Estud2024&amp;ID=1374</v>
      </c>
      <c r="L1374" s="113">
        <v>45712</v>
      </c>
      <c r="M1374" s="45" t="s">
        <v>247</v>
      </c>
    </row>
    <row r="1375" spans="1:13">
      <c r="A1375">
        <v>1375</v>
      </c>
      <c r="B1375" t="s">
        <v>138</v>
      </c>
      <c r="C1375">
        <v>11</v>
      </c>
      <c r="D1375" t="s">
        <v>143</v>
      </c>
      <c r="E1375">
        <v>120</v>
      </c>
      <c r="F1375" t="s">
        <v>9661</v>
      </c>
      <c r="H1375" t="s">
        <v>9662</v>
      </c>
      <c r="I1375" s="45" t="s">
        <v>6754</v>
      </c>
      <c r="J1375" s="122">
        <v>45708</v>
      </c>
      <c r="K1375" s="110" t="str">
        <f t="shared" si="18"/>
        <v>https://Estud2024.sawtoothsoftware.com/cgi-bin/ciwweb.pl?studyname=Estud2024&amp;ID=1375</v>
      </c>
      <c r="L1375" s="113">
        <v>45712</v>
      </c>
      <c r="M1375" s="45" t="s">
        <v>247</v>
      </c>
    </row>
    <row r="1376" spans="1:13">
      <c r="A1376">
        <v>1376</v>
      </c>
      <c r="B1376" t="s">
        <v>138</v>
      </c>
      <c r="C1376">
        <v>11</v>
      </c>
      <c r="D1376" t="s">
        <v>143</v>
      </c>
      <c r="E1376">
        <v>120</v>
      </c>
      <c r="F1376" t="s">
        <v>9663</v>
      </c>
      <c r="H1376" t="s">
        <v>9664</v>
      </c>
      <c r="I1376" s="45" t="s">
        <v>6754</v>
      </c>
      <c r="J1376" s="122">
        <v>45708</v>
      </c>
      <c r="K1376" s="110" t="str">
        <f t="shared" si="18"/>
        <v>https://Estud2024.sawtoothsoftware.com/cgi-bin/ciwweb.pl?studyname=Estud2024&amp;ID=1376</v>
      </c>
      <c r="L1376" s="113">
        <v>45712</v>
      </c>
      <c r="M1376" s="45" t="s">
        <v>247</v>
      </c>
    </row>
    <row r="1377" spans="1:13">
      <c r="A1377">
        <v>1377</v>
      </c>
      <c r="B1377" t="s">
        <v>138</v>
      </c>
      <c r="C1377">
        <v>11</v>
      </c>
      <c r="D1377" t="s">
        <v>143</v>
      </c>
      <c r="E1377">
        <v>120</v>
      </c>
      <c r="F1377" t="s">
        <v>9665</v>
      </c>
      <c r="H1377" t="s">
        <v>9666</v>
      </c>
      <c r="I1377" s="45" t="s">
        <v>6754</v>
      </c>
      <c r="J1377" s="122">
        <v>45708</v>
      </c>
      <c r="K1377" s="110" t="str">
        <f t="shared" si="18"/>
        <v>https://Estud2024.sawtoothsoftware.com/cgi-bin/ciwweb.pl?studyname=Estud2024&amp;ID=1377</v>
      </c>
      <c r="L1377" s="113">
        <v>45712</v>
      </c>
      <c r="M1377" s="45" t="s">
        <v>246</v>
      </c>
    </row>
    <row r="1378" spans="1:13">
      <c r="A1378">
        <v>1378</v>
      </c>
      <c r="B1378" t="s">
        <v>138</v>
      </c>
      <c r="C1378">
        <v>11</v>
      </c>
      <c r="D1378" t="s">
        <v>143</v>
      </c>
      <c r="E1378">
        <v>120</v>
      </c>
      <c r="F1378" t="s">
        <v>9667</v>
      </c>
      <c r="H1378" t="s">
        <v>9668</v>
      </c>
      <c r="I1378" s="45" t="s">
        <v>6754</v>
      </c>
      <c r="J1378" s="122">
        <v>45708</v>
      </c>
      <c r="K1378" s="110" t="str">
        <f t="shared" si="18"/>
        <v>https://Estud2024.sawtoothsoftware.com/cgi-bin/ciwweb.pl?studyname=Estud2024&amp;ID=1378</v>
      </c>
      <c r="L1378" s="113">
        <v>45712</v>
      </c>
      <c r="M1378" s="45" t="s">
        <v>246</v>
      </c>
    </row>
    <row r="1379" spans="1:13">
      <c r="A1379">
        <v>1379</v>
      </c>
      <c r="B1379" t="s">
        <v>138</v>
      </c>
      <c r="C1379">
        <v>11</v>
      </c>
      <c r="D1379" t="s">
        <v>143</v>
      </c>
      <c r="E1379">
        <v>120</v>
      </c>
      <c r="F1379" t="s">
        <v>9669</v>
      </c>
      <c r="H1379" t="s">
        <v>9670</v>
      </c>
      <c r="I1379" s="45" t="s">
        <v>6754</v>
      </c>
      <c r="J1379" s="122">
        <v>45708</v>
      </c>
      <c r="K1379" s="110" t="str">
        <f t="shared" si="18"/>
        <v>https://Estud2024.sawtoothsoftware.com/cgi-bin/ciwweb.pl?studyname=Estud2024&amp;ID=1379</v>
      </c>
      <c r="L1379" s="113">
        <v>45712</v>
      </c>
      <c r="M1379" s="45" t="s">
        <v>246</v>
      </c>
    </row>
    <row r="1380" spans="1:13">
      <c r="A1380">
        <v>1380</v>
      </c>
      <c r="B1380" t="s">
        <v>138</v>
      </c>
      <c r="C1380">
        <v>11</v>
      </c>
      <c r="D1380" t="s">
        <v>143</v>
      </c>
      <c r="E1380">
        <v>120</v>
      </c>
      <c r="F1380" t="s">
        <v>9671</v>
      </c>
      <c r="H1380" t="s">
        <v>9672</v>
      </c>
      <c r="I1380" s="45" t="s">
        <v>6754</v>
      </c>
      <c r="J1380" s="122">
        <v>45708</v>
      </c>
      <c r="K1380" s="110" t="str">
        <f t="shared" si="18"/>
        <v>https://Estud2024.sawtoothsoftware.com/cgi-bin/ciwweb.pl?studyname=Estud2024&amp;ID=1380</v>
      </c>
      <c r="L1380" s="113">
        <v>45712</v>
      </c>
      <c r="M1380" s="45" t="s">
        <v>246</v>
      </c>
    </row>
    <row r="1381" spans="1:13">
      <c r="A1381">
        <v>1381</v>
      </c>
      <c r="B1381" t="s">
        <v>138</v>
      </c>
      <c r="C1381">
        <v>11</v>
      </c>
      <c r="D1381" t="s">
        <v>143</v>
      </c>
      <c r="E1381">
        <v>120</v>
      </c>
      <c r="F1381" t="s">
        <v>9673</v>
      </c>
      <c r="H1381" t="s">
        <v>9674</v>
      </c>
      <c r="I1381" s="45" t="s">
        <v>6754</v>
      </c>
      <c r="J1381" s="122">
        <v>45708</v>
      </c>
      <c r="K1381" s="110" t="str">
        <f t="shared" si="18"/>
        <v>https://Estud2024.sawtoothsoftware.com/cgi-bin/ciwweb.pl?studyname=Estud2024&amp;ID=1381</v>
      </c>
      <c r="L1381" s="113">
        <v>45712</v>
      </c>
      <c r="M1381" s="45" t="s">
        <v>246</v>
      </c>
    </row>
    <row r="1382" spans="1:13">
      <c r="A1382">
        <v>1382</v>
      </c>
      <c r="B1382" t="s">
        <v>138</v>
      </c>
      <c r="C1382">
        <v>11</v>
      </c>
      <c r="D1382" t="s">
        <v>143</v>
      </c>
      <c r="E1382">
        <v>120</v>
      </c>
      <c r="F1382" t="s">
        <v>9675</v>
      </c>
      <c r="H1382" t="s">
        <v>9676</v>
      </c>
      <c r="I1382" s="45" t="s">
        <v>6754</v>
      </c>
      <c r="J1382" s="122">
        <v>45708</v>
      </c>
      <c r="K1382" s="110" t="str">
        <f t="shared" si="18"/>
        <v>https://Estud2024.sawtoothsoftware.com/cgi-bin/ciwweb.pl?studyname=Estud2024&amp;ID=1382</v>
      </c>
      <c r="L1382" s="113">
        <v>45712</v>
      </c>
      <c r="M1382" s="45" t="s">
        <v>246</v>
      </c>
    </row>
    <row r="1383" spans="1:13">
      <c r="A1383">
        <v>1383</v>
      </c>
      <c r="B1383" t="s">
        <v>138</v>
      </c>
      <c r="C1383">
        <v>11</v>
      </c>
      <c r="D1383" t="s">
        <v>143</v>
      </c>
      <c r="E1383">
        <v>120</v>
      </c>
      <c r="F1383" t="s">
        <v>9677</v>
      </c>
      <c r="H1383" t="s">
        <v>9678</v>
      </c>
      <c r="I1383" s="45" t="s">
        <v>6754</v>
      </c>
      <c r="J1383" s="122">
        <v>45708</v>
      </c>
      <c r="K1383" s="110" t="str">
        <f t="shared" si="18"/>
        <v>https://Estud2024.sawtoothsoftware.com/cgi-bin/ciwweb.pl?studyname=Estud2024&amp;ID=1383</v>
      </c>
      <c r="L1383" s="113">
        <v>45712</v>
      </c>
      <c r="M1383" s="45" t="s">
        <v>246</v>
      </c>
    </row>
    <row r="1384" spans="1:13">
      <c r="A1384">
        <v>1384</v>
      </c>
      <c r="B1384" t="s">
        <v>138</v>
      </c>
      <c r="C1384">
        <v>11</v>
      </c>
      <c r="D1384" t="s">
        <v>143</v>
      </c>
      <c r="E1384">
        <v>120</v>
      </c>
      <c r="F1384" t="s">
        <v>9679</v>
      </c>
      <c r="H1384" t="s">
        <v>9680</v>
      </c>
      <c r="I1384" s="45" t="s">
        <v>6754</v>
      </c>
      <c r="J1384" s="122">
        <v>45708</v>
      </c>
      <c r="K1384" s="110" t="str">
        <f t="shared" si="18"/>
        <v>https://Estud2024.sawtoothsoftware.com/cgi-bin/ciwweb.pl?studyname=Estud2024&amp;ID=1384</v>
      </c>
      <c r="L1384" s="113">
        <v>45712</v>
      </c>
      <c r="M1384" s="45" t="s">
        <v>246</v>
      </c>
    </row>
    <row r="1385" spans="1:13">
      <c r="A1385">
        <v>1385</v>
      </c>
      <c r="B1385" t="s">
        <v>138</v>
      </c>
      <c r="C1385">
        <v>11</v>
      </c>
      <c r="D1385" t="s">
        <v>143</v>
      </c>
      <c r="E1385">
        <v>120</v>
      </c>
      <c r="F1385" t="s">
        <v>9681</v>
      </c>
      <c r="H1385" t="s">
        <v>9682</v>
      </c>
      <c r="I1385" s="45" t="s">
        <v>6754</v>
      </c>
      <c r="J1385" s="122">
        <v>45708</v>
      </c>
      <c r="K1385" s="110" t="str">
        <f t="shared" si="18"/>
        <v>https://Estud2024.sawtoothsoftware.com/cgi-bin/ciwweb.pl?studyname=Estud2024&amp;ID=1385</v>
      </c>
      <c r="L1385" s="113">
        <v>45712</v>
      </c>
      <c r="M1385" s="45" t="s">
        <v>246</v>
      </c>
    </row>
    <row r="1386" spans="1:13">
      <c r="A1386">
        <v>1386</v>
      </c>
      <c r="B1386" t="s">
        <v>138</v>
      </c>
      <c r="C1386">
        <v>11</v>
      </c>
      <c r="D1386" t="s">
        <v>143</v>
      </c>
      <c r="E1386">
        <v>120</v>
      </c>
      <c r="F1386" t="s">
        <v>9683</v>
      </c>
      <c r="H1386" t="s">
        <v>9684</v>
      </c>
      <c r="I1386" s="45" t="s">
        <v>6754</v>
      </c>
      <c r="J1386" s="122">
        <v>45708</v>
      </c>
      <c r="K1386" s="110" t="str">
        <f t="shared" si="18"/>
        <v>https://Estud2024.sawtoothsoftware.com/cgi-bin/ciwweb.pl?studyname=Estud2024&amp;ID=1386</v>
      </c>
      <c r="L1386" s="113">
        <v>45712</v>
      </c>
      <c r="M1386" s="45" t="s">
        <v>246</v>
      </c>
    </row>
    <row r="1387" spans="1:13">
      <c r="A1387">
        <v>1387</v>
      </c>
      <c r="B1387" t="s">
        <v>87</v>
      </c>
      <c r="C1387">
        <v>6</v>
      </c>
      <c r="D1387" t="s">
        <v>104</v>
      </c>
      <c r="E1387">
        <v>66</v>
      </c>
      <c r="F1387" t="s">
        <v>9685</v>
      </c>
      <c r="G1387">
        <v>2</v>
      </c>
      <c r="H1387" t="s">
        <v>9686</v>
      </c>
      <c r="I1387" s="45" t="s">
        <v>6754</v>
      </c>
      <c r="J1387" s="122">
        <v>45714</v>
      </c>
      <c r="K1387" s="110" t="str">
        <f t="shared" si="18"/>
        <v>https://Estud2024.sawtoothsoftware.com/cgi-bin/ciwweb.pl?studyname=Estud2024&amp;ID=1387</v>
      </c>
      <c r="L1387" s="113">
        <v>45715</v>
      </c>
      <c r="M1387" s="45" t="s">
        <v>246</v>
      </c>
    </row>
    <row r="1388" spans="1:13">
      <c r="A1388">
        <v>1388</v>
      </c>
      <c r="B1388" t="s">
        <v>87</v>
      </c>
      <c r="C1388">
        <v>6</v>
      </c>
      <c r="D1388" t="s">
        <v>104</v>
      </c>
      <c r="E1388">
        <v>66</v>
      </c>
      <c r="F1388" t="s">
        <v>9687</v>
      </c>
      <c r="G1388">
        <v>2</v>
      </c>
      <c r="H1388" t="s">
        <v>9688</v>
      </c>
      <c r="I1388" s="45" t="s">
        <v>6754</v>
      </c>
      <c r="J1388" s="122">
        <v>45714</v>
      </c>
      <c r="K1388" s="110" t="str">
        <f t="shared" si="18"/>
        <v>https://Estud2024.sawtoothsoftware.com/cgi-bin/ciwweb.pl?studyname=Estud2024&amp;ID=1388</v>
      </c>
      <c r="L1388" s="113">
        <v>45715</v>
      </c>
      <c r="M1388" s="45" t="s">
        <v>246</v>
      </c>
    </row>
    <row r="1389" spans="1:13">
      <c r="A1389">
        <v>1389</v>
      </c>
      <c r="B1389" t="s">
        <v>87</v>
      </c>
      <c r="C1389">
        <v>6</v>
      </c>
      <c r="D1389" t="s">
        <v>104</v>
      </c>
      <c r="E1389">
        <v>66</v>
      </c>
      <c r="F1389" t="s">
        <v>9689</v>
      </c>
      <c r="G1389">
        <v>2</v>
      </c>
      <c r="H1389" t="s">
        <v>9690</v>
      </c>
      <c r="I1389" s="45" t="s">
        <v>6754</v>
      </c>
      <c r="J1389" s="122">
        <v>45714</v>
      </c>
      <c r="K1389" s="110" t="str">
        <f t="shared" si="18"/>
        <v>https://Estud2024.sawtoothsoftware.com/cgi-bin/ciwweb.pl?studyname=Estud2024&amp;ID=1389</v>
      </c>
      <c r="L1389" s="113">
        <v>45715</v>
      </c>
      <c r="M1389" s="45" t="s">
        <v>246</v>
      </c>
    </row>
    <row r="1390" spans="1:13">
      <c r="A1390">
        <v>1390</v>
      </c>
      <c r="B1390" t="s">
        <v>87</v>
      </c>
      <c r="C1390">
        <v>6</v>
      </c>
      <c r="D1390" t="s">
        <v>104</v>
      </c>
      <c r="E1390">
        <v>66</v>
      </c>
      <c r="F1390" t="s">
        <v>9691</v>
      </c>
      <c r="G1390">
        <v>2</v>
      </c>
      <c r="H1390" t="s">
        <v>9692</v>
      </c>
      <c r="I1390" s="45" t="s">
        <v>6754</v>
      </c>
      <c r="J1390" s="122">
        <v>45714</v>
      </c>
      <c r="K1390" s="110" t="str">
        <f t="shared" si="18"/>
        <v>https://Estud2024.sawtoothsoftware.com/cgi-bin/ciwweb.pl?studyname=Estud2024&amp;ID=1390</v>
      </c>
      <c r="L1390" s="113">
        <v>45715</v>
      </c>
      <c r="M1390" s="45" t="s">
        <v>246</v>
      </c>
    </row>
    <row r="1391" spans="1:13">
      <c r="A1391">
        <v>1391</v>
      </c>
      <c r="B1391" t="s">
        <v>87</v>
      </c>
      <c r="C1391">
        <v>6</v>
      </c>
      <c r="D1391" t="s">
        <v>104</v>
      </c>
      <c r="E1391">
        <v>66</v>
      </c>
      <c r="F1391" t="s">
        <v>9693</v>
      </c>
      <c r="G1391">
        <v>4</v>
      </c>
      <c r="H1391" t="s">
        <v>9694</v>
      </c>
      <c r="I1391" s="45" t="s">
        <v>6754</v>
      </c>
      <c r="J1391" s="122">
        <v>45714</v>
      </c>
      <c r="K1391" s="110" t="str">
        <f t="shared" si="18"/>
        <v>https://Estud2024.sawtoothsoftware.com/cgi-bin/ciwweb.pl?studyname=Estud2024&amp;ID=1391</v>
      </c>
      <c r="L1391" s="113">
        <v>45715</v>
      </c>
      <c r="M1391" s="45" t="s">
        <v>246</v>
      </c>
    </row>
    <row r="1392" spans="1:13">
      <c r="A1392">
        <v>1392</v>
      </c>
      <c r="B1392" t="s">
        <v>87</v>
      </c>
      <c r="C1392">
        <v>6</v>
      </c>
      <c r="D1392" t="s">
        <v>104</v>
      </c>
      <c r="E1392">
        <v>66</v>
      </c>
      <c r="F1392" t="s">
        <v>9695</v>
      </c>
      <c r="G1392">
        <v>4</v>
      </c>
      <c r="H1392" t="s">
        <v>9696</v>
      </c>
      <c r="I1392" s="45" t="s">
        <v>6754</v>
      </c>
      <c r="J1392" s="122">
        <v>45714</v>
      </c>
      <c r="K1392" s="110" t="str">
        <f t="shared" si="18"/>
        <v>https://Estud2024.sawtoothsoftware.com/cgi-bin/ciwweb.pl?studyname=Estud2024&amp;ID=1392</v>
      </c>
      <c r="L1392" s="113">
        <v>45715</v>
      </c>
      <c r="M1392" s="45" t="s">
        <v>246</v>
      </c>
    </row>
    <row r="1393" spans="1:13">
      <c r="A1393">
        <v>1393</v>
      </c>
      <c r="B1393" t="s">
        <v>87</v>
      </c>
      <c r="C1393">
        <v>6</v>
      </c>
      <c r="D1393" t="s">
        <v>104</v>
      </c>
      <c r="E1393">
        <v>66</v>
      </c>
      <c r="F1393" t="s">
        <v>9697</v>
      </c>
      <c r="G1393">
        <v>4</v>
      </c>
      <c r="H1393" t="s">
        <v>9698</v>
      </c>
      <c r="I1393" s="45" t="s">
        <v>6754</v>
      </c>
      <c r="J1393" s="122">
        <v>45714</v>
      </c>
      <c r="K1393" s="110" t="str">
        <f t="shared" si="18"/>
        <v>https://Estud2024.sawtoothsoftware.com/cgi-bin/ciwweb.pl?studyname=Estud2024&amp;ID=1393</v>
      </c>
      <c r="L1393" s="113">
        <v>45715</v>
      </c>
      <c r="M1393" s="45" t="s">
        <v>246</v>
      </c>
    </row>
    <row r="1394" spans="1:13">
      <c r="A1394">
        <v>1394</v>
      </c>
      <c r="B1394" t="s">
        <v>87</v>
      </c>
      <c r="C1394">
        <v>6</v>
      </c>
      <c r="D1394" t="s">
        <v>104</v>
      </c>
      <c r="E1394">
        <v>66</v>
      </c>
      <c r="F1394" t="s">
        <v>9699</v>
      </c>
      <c r="G1394">
        <v>6</v>
      </c>
      <c r="H1394" t="s">
        <v>9700</v>
      </c>
      <c r="I1394" s="45" t="s">
        <v>6754</v>
      </c>
      <c r="J1394" s="122">
        <v>45714</v>
      </c>
      <c r="K1394" s="110" t="str">
        <f t="shared" si="18"/>
        <v>https://Estud2024.sawtoothsoftware.com/cgi-bin/ciwweb.pl?studyname=Estud2024&amp;ID=1394</v>
      </c>
      <c r="L1394" s="113">
        <v>45715</v>
      </c>
      <c r="M1394" s="45" t="s">
        <v>246</v>
      </c>
    </row>
    <row r="1395" spans="1:13">
      <c r="A1395">
        <v>1395</v>
      </c>
      <c r="B1395" t="s">
        <v>87</v>
      </c>
      <c r="C1395">
        <v>6</v>
      </c>
      <c r="D1395" t="s">
        <v>104</v>
      </c>
      <c r="E1395">
        <v>66</v>
      </c>
      <c r="F1395" t="s">
        <v>9701</v>
      </c>
      <c r="G1395">
        <v>8</v>
      </c>
      <c r="H1395" t="s">
        <v>9702</v>
      </c>
      <c r="I1395" s="45" t="s">
        <v>6754</v>
      </c>
      <c r="J1395" s="122">
        <v>45714</v>
      </c>
      <c r="K1395" s="110" t="str">
        <f t="shared" si="18"/>
        <v>https://Estud2024.sawtoothsoftware.com/cgi-bin/ciwweb.pl?studyname=Estud2024&amp;ID=1395</v>
      </c>
      <c r="L1395" s="113">
        <v>45715</v>
      </c>
      <c r="M1395" s="45" t="s">
        <v>246</v>
      </c>
    </row>
    <row r="1396" spans="1:13">
      <c r="A1396">
        <v>1396</v>
      </c>
      <c r="B1396" t="s">
        <v>87</v>
      </c>
      <c r="C1396">
        <v>6</v>
      </c>
      <c r="D1396" t="s">
        <v>104</v>
      </c>
      <c r="E1396">
        <v>66</v>
      </c>
      <c r="F1396" t="s">
        <v>9703</v>
      </c>
      <c r="G1396">
        <v>8</v>
      </c>
      <c r="H1396" t="s">
        <v>9704</v>
      </c>
      <c r="I1396" s="45" t="s">
        <v>6754</v>
      </c>
      <c r="J1396" s="122">
        <v>45714</v>
      </c>
      <c r="K1396" s="110" t="str">
        <f t="shared" si="18"/>
        <v>https://Estud2024.sawtoothsoftware.com/cgi-bin/ciwweb.pl?studyname=Estud2024&amp;ID=1396</v>
      </c>
      <c r="L1396" s="113">
        <v>45715</v>
      </c>
      <c r="M1396" s="45" t="s">
        <v>246</v>
      </c>
    </row>
    <row r="1397" spans="1:13">
      <c r="A1397">
        <v>1397</v>
      </c>
      <c r="B1397" t="s">
        <v>87</v>
      </c>
      <c r="C1397">
        <v>6</v>
      </c>
      <c r="D1397" t="s">
        <v>104</v>
      </c>
      <c r="E1397">
        <v>66</v>
      </c>
      <c r="F1397" t="s">
        <v>9705</v>
      </c>
      <c r="G1397">
        <v>8</v>
      </c>
      <c r="H1397" t="s">
        <v>9706</v>
      </c>
      <c r="I1397" s="45" t="s">
        <v>6754</v>
      </c>
      <c r="J1397" s="122">
        <v>45714</v>
      </c>
      <c r="K1397" s="110" t="str">
        <f t="shared" si="18"/>
        <v>https://Estud2024.sawtoothsoftware.com/cgi-bin/ciwweb.pl?studyname=Estud2024&amp;ID=1397</v>
      </c>
      <c r="L1397" s="113">
        <v>45715</v>
      </c>
      <c r="M1397" s="45" t="s">
        <v>247</v>
      </c>
    </row>
    <row r="1398" spans="1:13">
      <c r="A1398">
        <v>1398</v>
      </c>
      <c r="B1398" t="s">
        <v>87</v>
      </c>
      <c r="C1398">
        <v>6</v>
      </c>
      <c r="D1398" t="s">
        <v>104</v>
      </c>
      <c r="E1398">
        <v>66</v>
      </c>
      <c r="F1398" t="s">
        <v>9707</v>
      </c>
      <c r="G1398">
        <v>8</v>
      </c>
      <c r="H1398" t="s">
        <v>9708</v>
      </c>
      <c r="I1398" s="45" t="s">
        <v>6754</v>
      </c>
      <c r="J1398" s="122">
        <v>45714</v>
      </c>
      <c r="K1398" s="110" t="str">
        <f t="shared" si="18"/>
        <v>https://Estud2024.sawtoothsoftware.com/cgi-bin/ciwweb.pl?studyname=Estud2024&amp;ID=1398</v>
      </c>
      <c r="L1398" s="113">
        <v>45715</v>
      </c>
      <c r="M1398" s="45" t="s">
        <v>246</v>
      </c>
    </row>
    <row r="1399" spans="1:13">
      <c r="A1399">
        <v>1399</v>
      </c>
      <c r="B1399" t="s">
        <v>87</v>
      </c>
      <c r="C1399">
        <v>6</v>
      </c>
      <c r="D1399" t="s">
        <v>104</v>
      </c>
      <c r="E1399">
        <v>66</v>
      </c>
      <c r="F1399" t="s">
        <v>9709</v>
      </c>
      <c r="G1399">
        <v>9</v>
      </c>
      <c r="H1399" t="s">
        <v>9710</v>
      </c>
      <c r="I1399" s="45" t="s">
        <v>6754</v>
      </c>
      <c r="J1399" s="122">
        <v>45714</v>
      </c>
      <c r="K1399" s="110" t="str">
        <f t="shared" si="18"/>
        <v>https://Estud2024.sawtoothsoftware.com/cgi-bin/ciwweb.pl?studyname=Estud2024&amp;ID=1399</v>
      </c>
      <c r="L1399" s="113">
        <v>45715</v>
      </c>
      <c r="M1399" s="45" t="s">
        <v>247</v>
      </c>
    </row>
    <row r="1400" spans="1:13">
      <c r="A1400">
        <v>1400</v>
      </c>
      <c r="B1400" t="s">
        <v>87</v>
      </c>
      <c r="C1400">
        <v>6</v>
      </c>
      <c r="D1400" t="s">
        <v>104</v>
      </c>
      <c r="E1400">
        <v>66</v>
      </c>
      <c r="F1400" t="s">
        <v>9711</v>
      </c>
      <c r="G1400">
        <v>9</v>
      </c>
      <c r="H1400" t="s">
        <v>9712</v>
      </c>
      <c r="I1400" s="45" t="s">
        <v>6754</v>
      </c>
      <c r="J1400" s="122">
        <v>45714</v>
      </c>
      <c r="K1400" s="110" t="str">
        <f t="shared" si="18"/>
        <v>https://Estud2024.sawtoothsoftware.com/cgi-bin/ciwweb.pl?studyname=Estud2024&amp;ID=1400</v>
      </c>
      <c r="L1400" s="113">
        <v>45715</v>
      </c>
      <c r="M1400" s="45" t="s">
        <v>246</v>
      </c>
    </row>
    <row r="1401" spans="1:13">
      <c r="A1401">
        <v>1401</v>
      </c>
      <c r="B1401" t="s">
        <v>87</v>
      </c>
      <c r="C1401">
        <v>6</v>
      </c>
      <c r="D1401" t="s">
        <v>153</v>
      </c>
      <c r="E1401">
        <v>104</v>
      </c>
      <c r="F1401" t="s">
        <v>9713</v>
      </c>
      <c r="G1401">
        <v>2</v>
      </c>
      <c r="H1401" t="s">
        <v>9714</v>
      </c>
      <c r="I1401" s="45" t="s">
        <v>6754</v>
      </c>
      <c r="J1401" s="122">
        <v>45714</v>
      </c>
      <c r="K1401" s="110" t="str">
        <f t="shared" si="18"/>
        <v>https://Estud2024.sawtoothsoftware.com/cgi-bin/ciwweb.pl?studyname=Estud2024&amp;ID=1401</v>
      </c>
      <c r="L1401" s="113">
        <v>45715</v>
      </c>
      <c r="M1401" s="45" t="s">
        <v>247</v>
      </c>
    </row>
    <row r="1402" spans="1:13">
      <c r="A1402">
        <v>1402</v>
      </c>
      <c r="B1402" t="s">
        <v>87</v>
      </c>
      <c r="C1402">
        <v>6</v>
      </c>
      <c r="D1402" t="s">
        <v>153</v>
      </c>
      <c r="E1402">
        <v>104</v>
      </c>
      <c r="F1402" t="s">
        <v>9715</v>
      </c>
      <c r="G1402">
        <v>2</v>
      </c>
      <c r="H1402" t="s">
        <v>9716</v>
      </c>
      <c r="I1402" s="45" t="s">
        <v>6754</v>
      </c>
      <c r="J1402" s="122">
        <v>45714</v>
      </c>
      <c r="K1402" s="110" t="str">
        <f t="shared" si="18"/>
        <v>https://Estud2024.sawtoothsoftware.com/cgi-bin/ciwweb.pl?studyname=Estud2024&amp;ID=1402</v>
      </c>
      <c r="L1402" s="113">
        <v>45715</v>
      </c>
      <c r="M1402" s="45" t="s">
        <v>247</v>
      </c>
    </row>
    <row r="1403" spans="1:13">
      <c r="A1403">
        <v>1403</v>
      </c>
      <c r="B1403" t="s">
        <v>87</v>
      </c>
      <c r="C1403">
        <v>6</v>
      </c>
      <c r="D1403" t="s">
        <v>153</v>
      </c>
      <c r="E1403">
        <v>104</v>
      </c>
      <c r="F1403" t="s">
        <v>9717</v>
      </c>
      <c r="G1403">
        <v>2</v>
      </c>
      <c r="H1403" t="s">
        <v>9718</v>
      </c>
      <c r="I1403" s="45" t="s">
        <v>6754</v>
      </c>
      <c r="J1403" s="122">
        <v>45714</v>
      </c>
      <c r="K1403" s="110" t="str">
        <f t="shared" si="18"/>
        <v>https://Estud2024.sawtoothsoftware.com/cgi-bin/ciwweb.pl?studyname=Estud2024&amp;ID=1403</v>
      </c>
      <c r="L1403" s="113">
        <v>45715</v>
      </c>
      <c r="M1403" s="45" t="s">
        <v>247</v>
      </c>
    </row>
    <row r="1404" spans="1:13">
      <c r="A1404">
        <v>1404</v>
      </c>
      <c r="B1404" t="s">
        <v>87</v>
      </c>
      <c r="C1404">
        <v>6</v>
      </c>
      <c r="D1404" t="s">
        <v>153</v>
      </c>
      <c r="E1404">
        <v>104</v>
      </c>
      <c r="F1404" t="s">
        <v>9719</v>
      </c>
      <c r="G1404">
        <v>2</v>
      </c>
      <c r="H1404" t="s">
        <v>9720</v>
      </c>
      <c r="I1404" s="45" t="s">
        <v>6754</v>
      </c>
      <c r="J1404" s="122">
        <v>45714</v>
      </c>
      <c r="K1404" s="110" t="str">
        <f t="shared" si="18"/>
        <v>https://Estud2024.sawtoothsoftware.com/cgi-bin/ciwweb.pl?studyname=Estud2024&amp;ID=1404</v>
      </c>
      <c r="L1404" s="113">
        <v>45715</v>
      </c>
      <c r="M1404" s="45" t="s">
        <v>247</v>
      </c>
    </row>
    <row r="1405" spans="1:13">
      <c r="A1405">
        <v>1405</v>
      </c>
      <c r="B1405" t="s">
        <v>87</v>
      </c>
      <c r="C1405">
        <v>6</v>
      </c>
      <c r="D1405" t="s">
        <v>153</v>
      </c>
      <c r="E1405">
        <v>104</v>
      </c>
      <c r="F1405" t="s">
        <v>9721</v>
      </c>
      <c r="G1405">
        <v>2</v>
      </c>
      <c r="H1405" t="s">
        <v>9722</v>
      </c>
      <c r="I1405" s="45" t="s">
        <v>6754</v>
      </c>
      <c r="J1405" s="122">
        <v>45714</v>
      </c>
      <c r="K1405" s="110" t="str">
        <f t="shared" si="18"/>
        <v>https://Estud2024.sawtoothsoftware.com/cgi-bin/ciwweb.pl?studyname=Estud2024&amp;ID=1405</v>
      </c>
      <c r="L1405" s="113">
        <v>45715</v>
      </c>
      <c r="M1405" s="45" t="s">
        <v>247</v>
      </c>
    </row>
    <row r="1406" spans="1:13">
      <c r="A1406">
        <v>1406</v>
      </c>
      <c r="B1406" t="s">
        <v>87</v>
      </c>
      <c r="C1406">
        <v>6</v>
      </c>
      <c r="D1406" t="s">
        <v>153</v>
      </c>
      <c r="E1406">
        <v>104</v>
      </c>
      <c r="F1406" t="s">
        <v>9723</v>
      </c>
      <c r="G1406">
        <v>2</v>
      </c>
      <c r="H1406" t="s">
        <v>9724</v>
      </c>
      <c r="I1406" s="45" t="s">
        <v>6754</v>
      </c>
      <c r="J1406" s="122">
        <v>45714</v>
      </c>
      <c r="K1406" s="110" t="str">
        <f t="shared" si="18"/>
        <v>https://Estud2024.sawtoothsoftware.com/cgi-bin/ciwweb.pl?studyname=Estud2024&amp;ID=1406</v>
      </c>
      <c r="L1406" s="113">
        <v>45715</v>
      </c>
      <c r="M1406" s="45" t="s">
        <v>247</v>
      </c>
    </row>
    <row r="1407" spans="1:13">
      <c r="A1407">
        <v>1407</v>
      </c>
      <c r="B1407" t="s">
        <v>87</v>
      </c>
      <c r="C1407">
        <v>6</v>
      </c>
      <c r="D1407" t="s">
        <v>153</v>
      </c>
      <c r="E1407">
        <v>104</v>
      </c>
      <c r="F1407" t="s">
        <v>9725</v>
      </c>
      <c r="G1407">
        <v>2</v>
      </c>
      <c r="H1407" t="s">
        <v>9726</v>
      </c>
      <c r="I1407" s="45" t="s">
        <v>6754</v>
      </c>
      <c r="J1407" s="122">
        <v>45714</v>
      </c>
      <c r="K1407" s="110" t="str">
        <f t="shared" si="18"/>
        <v>https://Estud2024.sawtoothsoftware.com/cgi-bin/ciwweb.pl?studyname=Estud2024&amp;ID=1407</v>
      </c>
      <c r="L1407" s="113">
        <v>45715</v>
      </c>
      <c r="M1407" s="45" t="s">
        <v>247</v>
      </c>
    </row>
    <row r="1408" spans="1:13">
      <c r="A1408">
        <v>1408</v>
      </c>
      <c r="B1408" t="s">
        <v>87</v>
      </c>
      <c r="C1408">
        <v>6</v>
      </c>
      <c r="D1408" t="s">
        <v>153</v>
      </c>
      <c r="E1408">
        <v>104</v>
      </c>
      <c r="F1408" t="s">
        <v>9727</v>
      </c>
      <c r="G1408">
        <v>2</v>
      </c>
      <c r="H1408" t="s">
        <v>9728</v>
      </c>
      <c r="I1408" s="45" t="s">
        <v>6754</v>
      </c>
      <c r="J1408" s="122">
        <v>45714</v>
      </c>
      <c r="K1408" s="110" t="str">
        <f t="shared" si="18"/>
        <v>https://Estud2024.sawtoothsoftware.com/cgi-bin/ciwweb.pl?studyname=Estud2024&amp;ID=1408</v>
      </c>
      <c r="L1408" s="113">
        <v>45715</v>
      </c>
      <c r="M1408" s="45" t="s">
        <v>246</v>
      </c>
    </row>
    <row r="1409" spans="1:13">
      <c r="A1409">
        <v>1409</v>
      </c>
      <c r="B1409" t="s">
        <v>87</v>
      </c>
      <c r="C1409">
        <v>6</v>
      </c>
      <c r="D1409" t="s">
        <v>153</v>
      </c>
      <c r="E1409">
        <v>104</v>
      </c>
      <c r="F1409" t="s">
        <v>9729</v>
      </c>
      <c r="G1409">
        <v>2</v>
      </c>
      <c r="H1409" t="s">
        <v>9730</v>
      </c>
      <c r="I1409" s="45" t="s">
        <v>6754</v>
      </c>
      <c r="J1409" s="122">
        <v>45714</v>
      </c>
      <c r="K1409" s="110" t="str">
        <f t="shared" si="18"/>
        <v>https://Estud2024.sawtoothsoftware.com/cgi-bin/ciwweb.pl?studyname=Estud2024&amp;ID=1409</v>
      </c>
      <c r="L1409" s="113">
        <v>45715</v>
      </c>
      <c r="M1409" s="45" t="s">
        <v>247</v>
      </c>
    </row>
    <row r="1410" spans="1:13">
      <c r="A1410">
        <v>1410</v>
      </c>
      <c r="B1410" t="s">
        <v>87</v>
      </c>
      <c r="C1410">
        <v>6</v>
      </c>
      <c r="D1410" t="s">
        <v>153</v>
      </c>
      <c r="E1410">
        <v>104</v>
      </c>
      <c r="F1410" t="s">
        <v>9731</v>
      </c>
      <c r="G1410">
        <v>2</v>
      </c>
      <c r="H1410" t="s">
        <v>9732</v>
      </c>
      <c r="I1410" s="45" t="s">
        <v>6754</v>
      </c>
      <c r="J1410" s="122">
        <v>45714</v>
      </c>
      <c r="K1410" s="110" t="str">
        <f t="shared" si="18"/>
        <v>https://Estud2024.sawtoothsoftware.com/cgi-bin/ciwweb.pl?studyname=Estud2024&amp;ID=1410</v>
      </c>
      <c r="L1410" s="113">
        <v>45715</v>
      </c>
      <c r="M1410" s="45" t="s">
        <v>246</v>
      </c>
    </row>
    <row r="1411" spans="1:13">
      <c r="A1411">
        <v>1411</v>
      </c>
      <c r="B1411" t="s">
        <v>87</v>
      </c>
      <c r="C1411">
        <v>6</v>
      </c>
      <c r="D1411" t="s">
        <v>153</v>
      </c>
      <c r="E1411">
        <v>104</v>
      </c>
      <c r="F1411" t="s">
        <v>9733</v>
      </c>
      <c r="G1411">
        <v>2</v>
      </c>
      <c r="H1411" t="s">
        <v>9734</v>
      </c>
      <c r="I1411" s="45" t="s">
        <v>6754</v>
      </c>
      <c r="J1411" s="122">
        <v>45714</v>
      </c>
      <c r="K1411" s="110" t="str">
        <f t="shared" si="18"/>
        <v>https://Estud2024.sawtoothsoftware.com/cgi-bin/ciwweb.pl?studyname=Estud2024&amp;ID=1411</v>
      </c>
      <c r="L1411" s="113">
        <v>45715</v>
      </c>
      <c r="M1411" s="45" t="s">
        <v>246</v>
      </c>
    </row>
    <row r="1412" spans="1:13">
      <c r="A1412">
        <v>1412</v>
      </c>
      <c r="B1412" t="s">
        <v>87</v>
      </c>
      <c r="C1412">
        <v>6</v>
      </c>
      <c r="D1412" t="s">
        <v>153</v>
      </c>
      <c r="E1412">
        <v>104</v>
      </c>
      <c r="F1412" t="s">
        <v>9735</v>
      </c>
      <c r="G1412">
        <v>2</v>
      </c>
      <c r="H1412" t="s">
        <v>9736</v>
      </c>
      <c r="I1412" s="45" t="s">
        <v>6754</v>
      </c>
      <c r="J1412" s="122">
        <v>45714</v>
      </c>
      <c r="K1412" s="110" t="str">
        <f t="shared" si="18"/>
        <v>https://Estud2024.sawtoothsoftware.com/cgi-bin/ciwweb.pl?studyname=Estud2024&amp;ID=1412</v>
      </c>
      <c r="L1412" s="113">
        <v>45715</v>
      </c>
      <c r="M1412" s="45" t="s">
        <v>247</v>
      </c>
    </row>
    <row r="1413" spans="1:13">
      <c r="A1413">
        <v>1413</v>
      </c>
      <c r="B1413" t="s">
        <v>87</v>
      </c>
      <c r="C1413">
        <v>6</v>
      </c>
      <c r="D1413" t="s">
        <v>153</v>
      </c>
      <c r="E1413">
        <v>104</v>
      </c>
      <c r="F1413" t="s">
        <v>9737</v>
      </c>
      <c r="G1413">
        <v>2</v>
      </c>
      <c r="H1413" t="s">
        <v>9738</v>
      </c>
      <c r="I1413" s="45" t="s">
        <v>6754</v>
      </c>
      <c r="J1413" s="122">
        <v>45714</v>
      </c>
      <c r="K1413" s="110" t="str">
        <f t="shared" si="18"/>
        <v>https://Estud2024.sawtoothsoftware.com/cgi-bin/ciwweb.pl?studyname=Estud2024&amp;ID=1413</v>
      </c>
      <c r="L1413" s="113">
        <v>45715</v>
      </c>
      <c r="M1413" s="45" t="s">
        <v>246</v>
      </c>
    </row>
    <row r="1414" spans="1:13">
      <c r="A1414">
        <v>1414</v>
      </c>
      <c r="B1414" t="s">
        <v>87</v>
      </c>
      <c r="C1414">
        <v>6</v>
      </c>
      <c r="D1414" t="s">
        <v>153</v>
      </c>
      <c r="E1414">
        <v>104</v>
      </c>
      <c r="F1414" t="s">
        <v>9739</v>
      </c>
      <c r="G1414">
        <v>2</v>
      </c>
      <c r="H1414" t="s">
        <v>9740</v>
      </c>
      <c r="I1414" s="45" t="s">
        <v>6754</v>
      </c>
      <c r="J1414" s="122">
        <v>45714</v>
      </c>
      <c r="K1414" s="110" t="str">
        <f t="shared" si="18"/>
        <v>https://Estud2024.sawtoothsoftware.com/cgi-bin/ciwweb.pl?studyname=Estud2024&amp;ID=1414</v>
      </c>
      <c r="L1414" s="113">
        <v>45715</v>
      </c>
      <c r="M1414" s="45" t="s">
        <v>247</v>
      </c>
    </row>
    <row r="1415" spans="1:13">
      <c r="A1415">
        <v>1415</v>
      </c>
      <c r="B1415" t="s">
        <v>87</v>
      </c>
      <c r="C1415">
        <v>6</v>
      </c>
      <c r="D1415" t="s">
        <v>153</v>
      </c>
      <c r="E1415">
        <v>104</v>
      </c>
      <c r="F1415" t="s">
        <v>9741</v>
      </c>
      <c r="G1415">
        <v>2</v>
      </c>
      <c r="H1415" t="s">
        <v>9742</v>
      </c>
      <c r="I1415" s="45" t="s">
        <v>6754</v>
      </c>
      <c r="J1415" s="122">
        <v>45714</v>
      </c>
      <c r="K1415" s="110" t="str">
        <f t="shared" si="18"/>
        <v>https://Estud2024.sawtoothsoftware.com/cgi-bin/ciwweb.pl?studyname=Estud2024&amp;ID=1415</v>
      </c>
      <c r="L1415" s="113">
        <v>45715</v>
      </c>
      <c r="M1415" s="45" t="s">
        <v>247</v>
      </c>
    </row>
    <row r="1416" spans="1:13">
      <c r="A1416">
        <v>1416</v>
      </c>
      <c r="B1416" t="s">
        <v>87</v>
      </c>
      <c r="C1416">
        <v>6</v>
      </c>
      <c r="D1416" t="s">
        <v>153</v>
      </c>
      <c r="E1416">
        <v>104</v>
      </c>
      <c r="F1416" t="s">
        <v>9743</v>
      </c>
      <c r="G1416">
        <v>2</v>
      </c>
      <c r="H1416" t="s">
        <v>9744</v>
      </c>
      <c r="I1416" s="45" t="s">
        <v>6754</v>
      </c>
      <c r="J1416" s="122">
        <v>45714</v>
      </c>
      <c r="K1416" s="110" t="str">
        <f t="shared" si="18"/>
        <v>https://Estud2024.sawtoothsoftware.com/cgi-bin/ciwweb.pl?studyname=Estud2024&amp;ID=1416</v>
      </c>
      <c r="L1416" s="113">
        <v>45715</v>
      </c>
      <c r="M1416" s="45" t="s">
        <v>247</v>
      </c>
    </row>
    <row r="1417" spans="1:13">
      <c r="A1417">
        <v>1417</v>
      </c>
      <c r="B1417" t="s">
        <v>87</v>
      </c>
      <c r="C1417">
        <v>6</v>
      </c>
      <c r="D1417" t="s">
        <v>153</v>
      </c>
      <c r="E1417">
        <v>104</v>
      </c>
      <c r="F1417" t="s">
        <v>9745</v>
      </c>
      <c r="G1417">
        <v>2</v>
      </c>
      <c r="H1417" t="s">
        <v>9746</v>
      </c>
      <c r="I1417" s="45" t="s">
        <v>6754</v>
      </c>
      <c r="J1417" s="122">
        <v>45714</v>
      </c>
      <c r="K1417" s="110" t="str">
        <f t="shared" si="18"/>
        <v>https://Estud2024.sawtoothsoftware.com/cgi-bin/ciwweb.pl?studyname=Estud2024&amp;ID=1417</v>
      </c>
      <c r="L1417" s="113">
        <v>45715</v>
      </c>
      <c r="M1417" s="45" t="s">
        <v>246</v>
      </c>
    </row>
    <row r="1418" spans="1:13">
      <c r="A1418">
        <v>1418</v>
      </c>
      <c r="B1418" t="s">
        <v>87</v>
      </c>
      <c r="C1418">
        <v>6</v>
      </c>
      <c r="D1418" t="s">
        <v>153</v>
      </c>
      <c r="E1418">
        <v>104</v>
      </c>
      <c r="F1418" t="s">
        <v>9747</v>
      </c>
      <c r="G1418">
        <v>2</v>
      </c>
      <c r="H1418" t="s">
        <v>9748</v>
      </c>
      <c r="I1418" s="45" t="s">
        <v>6754</v>
      </c>
      <c r="J1418" s="122">
        <v>45714</v>
      </c>
      <c r="K1418" s="110" t="str">
        <f t="shared" si="18"/>
        <v>https://Estud2024.sawtoothsoftware.com/cgi-bin/ciwweb.pl?studyname=Estud2024&amp;ID=1418</v>
      </c>
      <c r="L1418" s="113">
        <v>45715</v>
      </c>
      <c r="M1418" s="45" t="s">
        <v>247</v>
      </c>
    </row>
    <row r="1419" spans="1:13">
      <c r="A1419">
        <v>1419</v>
      </c>
      <c r="B1419" t="s">
        <v>87</v>
      </c>
      <c r="C1419">
        <v>6</v>
      </c>
      <c r="D1419" t="s">
        <v>153</v>
      </c>
      <c r="E1419">
        <v>104</v>
      </c>
      <c r="F1419" t="s">
        <v>9749</v>
      </c>
      <c r="G1419">
        <v>2</v>
      </c>
      <c r="H1419" t="s">
        <v>9750</v>
      </c>
      <c r="I1419" s="45" t="s">
        <v>6754</v>
      </c>
      <c r="J1419" s="122">
        <v>45714</v>
      </c>
      <c r="K1419" s="110" t="str">
        <f t="shared" si="18"/>
        <v>https://Estud2024.sawtoothsoftware.com/cgi-bin/ciwweb.pl?studyname=Estud2024&amp;ID=1419</v>
      </c>
      <c r="L1419" s="113">
        <v>45715</v>
      </c>
      <c r="M1419" s="45" t="s">
        <v>246</v>
      </c>
    </row>
    <row r="1420" spans="1:13">
      <c r="A1420">
        <v>1420</v>
      </c>
      <c r="B1420" t="s">
        <v>87</v>
      </c>
      <c r="C1420">
        <v>6</v>
      </c>
      <c r="D1420" t="s">
        <v>153</v>
      </c>
      <c r="E1420">
        <v>104</v>
      </c>
      <c r="F1420" t="s">
        <v>9751</v>
      </c>
      <c r="G1420">
        <v>2</v>
      </c>
      <c r="H1420" t="s">
        <v>9752</v>
      </c>
      <c r="I1420" s="45" t="s">
        <v>6754</v>
      </c>
      <c r="J1420" s="122">
        <v>45714</v>
      </c>
      <c r="K1420" s="110" t="str">
        <f t="shared" si="18"/>
        <v>https://Estud2024.sawtoothsoftware.com/cgi-bin/ciwweb.pl?studyname=Estud2024&amp;ID=1420</v>
      </c>
      <c r="L1420" s="113">
        <v>45715</v>
      </c>
      <c r="M1420" s="45" t="s">
        <v>246</v>
      </c>
    </row>
    <row r="1421" spans="1:13">
      <c r="A1421">
        <v>1421</v>
      </c>
      <c r="B1421" t="s">
        <v>87</v>
      </c>
      <c r="C1421">
        <v>6</v>
      </c>
      <c r="D1421" t="s">
        <v>153</v>
      </c>
      <c r="E1421">
        <v>104</v>
      </c>
      <c r="F1421" t="s">
        <v>9753</v>
      </c>
      <c r="G1421">
        <v>2</v>
      </c>
      <c r="H1421" t="s">
        <v>9754</v>
      </c>
      <c r="I1421" s="45" t="s">
        <v>6754</v>
      </c>
      <c r="J1421" s="122">
        <v>45714</v>
      </c>
      <c r="K1421" s="110" t="str">
        <f t="shared" si="18"/>
        <v>https://Estud2024.sawtoothsoftware.com/cgi-bin/ciwweb.pl?studyname=Estud2024&amp;ID=1421</v>
      </c>
      <c r="L1421" s="113">
        <v>45715</v>
      </c>
      <c r="M1421" s="45" t="s">
        <v>247</v>
      </c>
    </row>
    <row r="1422" spans="1:13">
      <c r="A1422">
        <v>1422</v>
      </c>
      <c r="B1422" t="s">
        <v>87</v>
      </c>
      <c r="C1422">
        <v>6</v>
      </c>
      <c r="D1422" t="s">
        <v>153</v>
      </c>
      <c r="E1422">
        <v>104</v>
      </c>
      <c r="F1422" t="s">
        <v>9755</v>
      </c>
      <c r="G1422">
        <v>2</v>
      </c>
      <c r="H1422" t="s">
        <v>9756</v>
      </c>
      <c r="I1422" s="45" t="s">
        <v>6754</v>
      </c>
      <c r="J1422" s="122">
        <v>45714</v>
      </c>
      <c r="K1422" s="110" t="str">
        <f t="shared" si="18"/>
        <v>https://Estud2024.sawtoothsoftware.com/cgi-bin/ciwweb.pl?studyname=Estud2024&amp;ID=1422</v>
      </c>
      <c r="L1422" s="113">
        <v>45715</v>
      </c>
      <c r="M1422" s="45" t="s">
        <v>247</v>
      </c>
    </row>
    <row r="1423" spans="1:13">
      <c r="A1423">
        <v>1423</v>
      </c>
      <c r="B1423" t="s">
        <v>87</v>
      </c>
      <c r="C1423">
        <v>6</v>
      </c>
      <c r="D1423" t="s">
        <v>153</v>
      </c>
      <c r="E1423">
        <v>104</v>
      </c>
      <c r="F1423" t="s">
        <v>9757</v>
      </c>
      <c r="G1423">
        <v>2</v>
      </c>
      <c r="H1423" t="s">
        <v>9758</v>
      </c>
      <c r="I1423" s="45" t="s">
        <v>6754</v>
      </c>
      <c r="J1423" s="122">
        <v>45714</v>
      </c>
      <c r="K1423" s="110" t="str">
        <f t="shared" si="18"/>
        <v>https://Estud2024.sawtoothsoftware.com/cgi-bin/ciwweb.pl?studyname=Estud2024&amp;ID=1423</v>
      </c>
      <c r="L1423" s="113">
        <v>45715</v>
      </c>
      <c r="M1423" s="45" t="s">
        <v>247</v>
      </c>
    </row>
    <row r="1424" spans="1:13">
      <c r="A1424">
        <v>1424</v>
      </c>
      <c r="B1424" t="s">
        <v>87</v>
      </c>
      <c r="C1424">
        <v>6</v>
      </c>
      <c r="D1424" t="s">
        <v>153</v>
      </c>
      <c r="E1424">
        <v>104</v>
      </c>
      <c r="F1424" t="s">
        <v>9759</v>
      </c>
      <c r="G1424">
        <v>2</v>
      </c>
      <c r="H1424" t="s">
        <v>9760</v>
      </c>
      <c r="I1424" s="45" t="s">
        <v>6754</v>
      </c>
      <c r="J1424" s="122">
        <v>45714</v>
      </c>
      <c r="K1424" s="110" t="str">
        <f t="shared" si="18"/>
        <v>https://Estud2024.sawtoothsoftware.com/cgi-bin/ciwweb.pl?studyname=Estud2024&amp;ID=1424</v>
      </c>
      <c r="L1424" s="113">
        <v>45715</v>
      </c>
      <c r="M1424" s="45" t="s">
        <v>247</v>
      </c>
    </row>
    <row r="1425" spans="1:13">
      <c r="A1425">
        <v>1425</v>
      </c>
      <c r="B1425" t="s">
        <v>87</v>
      </c>
      <c r="C1425">
        <v>6</v>
      </c>
      <c r="D1425" t="s">
        <v>153</v>
      </c>
      <c r="E1425">
        <v>104</v>
      </c>
      <c r="F1425" t="s">
        <v>9761</v>
      </c>
      <c r="G1425">
        <v>2</v>
      </c>
      <c r="H1425" t="s">
        <v>9762</v>
      </c>
      <c r="I1425" s="45" t="s">
        <v>6754</v>
      </c>
      <c r="J1425" s="122">
        <v>45714</v>
      </c>
      <c r="K1425" s="110" t="str">
        <f t="shared" si="18"/>
        <v>https://Estud2024.sawtoothsoftware.com/cgi-bin/ciwweb.pl?studyname=Estud2024&amp;ID=1425</v>
      </c>
      <c r="L1425" s="113">
        <v>45715</v>
      </c>
      <c r="M1425" s="45" t="s">
        <v>247</v>
      </c>
    </row>
    <row r="1426" spans="1:13">
      <c r="A1426">
        <v>1426</v>
      </c>
      <c r="B1426" t="s">
        <v>87</v>
      </c>
      <c r="C1426">
        <v>6</v>
      </c>
      <c r="D1426" t="s">
        <v>153</v>
      </c>
      <c r="E1426">
        <v>104</v>
      </c>
      <c r="F1426" t="s">
        <v>9763</v>
      </c>
      <c r="G1426">
        <v>2</v>
      </c>
      <c r="H1426" t="s">
        <v>9764</v>
      </c>
      <c r="I1426" s="45" t="s">
        <v>6754</v>
      </c>
      <c r="J1426" s="122">
        <v>45714</v>
      </c>
      <c r="K1426" s="110" t="str">
        <f t="shared" si="18"/>
        <v>https://Estud2024.sawtoothsoftware.com/cgi-bin/ciwweb.pl?studyname=Estud2024&amp;ID=1426</v>
      </c>
      <c r="L1426" s="113">
        <v>45715</v>
      </c>
      <c r="M1426" s="45" t="s">
        <v>247</v>
      </c>
    </row>
    <row r="1427" spans="1:13">
      <c r="A1427">
        <v>1427</v>
      </c>
      <c r="B1427" t="s">
        <v>87</v>
      </c>
      <c r="C1427">
        <v>6</v>
      </c>
      <c r="D1427" t="s">
        <v>153</v>
      </c>
      <c r="E1427">
        <v>104</v>
      </c>
      <c r="F1427" t="s">
        <v>9765</v>
      </c>
      <c r="G1427">
        <v>2</v>
      </c>
      <c r="H1427" t="s">
        <v>9766</v>
      </c>
      <c r="I1427" s="45" t="s">
        <v>6754</v>
      </c>
      <c r="J1427" s="122">
        <v>45714</v>
      </c>
      <c r="K1427" s="110" t="str">
        <f t="shared" si="18"/>
        <v>https://Estud2024.sawtoothsoftware.com/cgi-bin/ciwweb.pl?studyname=Estud2024&amp;ID=1427</v>
      </c>
      <c r="L1427" s="113">
        <v>45715</v>
      </c>
      <c r="M1427" s="45" t="s">
        <v>247</v>
      </c>
    </row>
    <row r="1428" spans="1:13">
      <c r="A1428">
        <v>1428</v>
      </c>
      <c r="B1428" t="s">
        <v>87</v>
      </c>
      <c r="C1428">
        <v>6</v>
      </c>
      <c r="D1428" t="s">
        <v>153</v>
      </c>
      <c r="E1428">
        <v>104</v>
      </c>
      <c r="F1428" t="s">
        <v>9767</v>
      </c>
      <c r="G1428">
        <v>2</v>
      </c>
      <c r="H1428" t="s">
        <v>9768</v>
      </c>
      <c r="I1428" s="45" t="s">
        <v>6754</v>
      </c>
      <c r="J1428" s="122">
        <v>45714</v>
      </c>
      <c r="K1428" s="110" t="str">
        <f t="shared" si="18"/>
        <v>https://Estud2024.sawtoothsoftware.com/cgi-bin/ciwweb.pl?studyname=Estud2024&amp;ID=1428</v>
      </c>
      <c r="L1428" s="113">
        <v>45715</v>
      </c>
      <c r="M1428" s="45" t="s">
        <v>246</v>
      </c>
    </row>
    <row r="1429" spans="1:13">
      <c r="A1429">
        <v>1429</v>
      </c>
      <c r="B1429" t="s">
        <v>87</v>
      </c>
      <c r="C1429">
        <v>6</v>
      </c>
      <c r="D1429" t="s">
        <v>153</v>
      </c>
      <c r="E1429">
        <v>104</v>
      </c>
      <c r="F1429" t="s">
        <v>9769</v>
      </c>
      <c r="G1429">
        <v>2</v>
      </c>
      <c r="H1429" t="s">
        <v>9770</v>
      </c>
      <c r="I1429" s="45" t="s">
        <v>6754</v>
      </c>
      <c r="J1429" s="122">
        <v>45714</v>
      </c>
      <c r="K1429" s="110" t="str">
        <f t="shared" si="18"/>
        <v>https://Estud2024.sawtoothsoftware.com/cgi-bin/ciwweb.pl?studyname=Estud2024&amp;ID=1429</v>
      </c>
      <c r="L1429" s="113">
        <v>45715</v>
      </c>
      <c r="M1429" s="45" t="s">
        <v>247</v>
      </c>
    </row>
    <row r="1430" spans="1:13">
      <c r="A1430">
        <v>1430</v>
      </c>
      <c r="B1430" t="s">
        <v>87</v>
      </c>
      <c r="C1430">
        <v>6</v>
      </c>
      <c r="D1430" t="s">
        <v>153</v>
      </c>
      <c r="E1430">
        <v>104</v>
      </c>
      <c r="F1430" t="s">
        <v>9771</v>
      </c>
      <c r="G1430">
        <v>2</v>
      </c>
      <c r="H1430" t="s">
        <v>9772</v>
      </c>
      <c r="I1430" s="45" t="s">
        <v>6754</v>
      </c>
      <c r="J1430" s="122">
        <v>45714</v>
      </c>
      <c r="K1430" s="110" t="str">
        <f t="shared" ref="K1430:K1493" si="19">CONCATENATE("https://Estud2024.sawtoothsoftware.com/cgi-bin/ciwweb.pl?studyname=Estud2024&amp;ID=",A1430)</f>
        <v>https://Estud2024.sawtoothsoftware.com/cgi-bin/ciwweb.pl?studyname=Estud2024&amp;ID=1430</v>
      </c>
      <c r="L1430" s="113">
        <v>45715</v>
      </c>
      <c r="M1430" s="45" t="s">
        <v>247</v>
      </c>
    </row>
    <row r="1431" spans="1:13">
      <c r="A1431">
        <v>1431</v>
      </c>
      <c r="B1431" t="s">
        <v>87</v>
      </c>
      <c r="C1431">
        <v>6</v>
      </c>
      <c r="D1431" t="s">
        <v>153</v>
      </c>
      <c r="E1431">
        <v>104</v>
      </c>
      <c r="F1431" t="s">
        <v>9773</v>
      </c>
      <c r="G1431">
        <v>2</v>
      </c>
      <c r="H1431" t="s">
        <v>9774</v>
      </c>
      <c r="I1431" s="45" t="s">
        <v>6754</v>
      </c>
      <c r="J1431" s="122">
        <v>45714</v>
      </c>
      <c r="K1431" s="110" t="str">
        <f t="shared" si="19"/>
        <v>https://Estud2024.sawtoothsoftware.com/cgi-bin/ciwweb.pl?studyname=Estud2024&amp;ID=1431</v>
      </c>
      <c r="L1431" s="113">
        <v>45715</v>
      </c>
      <c r="M1431" s="45" t="s">
        <v>246</v>
      </c>
    </row>
    <row r="1432" spans="1:13">
      <c r="A1432">
        <v>1432</v>
      </c>
      <c r="B1432" t="s">
        <v>87</v>
      </c>
      <c r="C1432">
        <v>6</v>
      </c>
      <c r="D1432" t="s">
        <v>153</v>
      </c>
      <c r="E1432">
        <v>104</v>
      </c>
      <c r="F1432" t="s">
        <v>9775</v>
      </c>
      <c r="G1432">
        <v>2</v>
      </c>
      <c r="H1432" t="s">
        <v>9776</v>
      </c>
      <c r="I1432" s="45" t="s">
        <v>6754</v>
      </c>
      <c r="J1432" s="122">
        <v>45714</v>
      </c>
      <c r="K1432" s="110" t="str">
        <f t="shared" si="19"/>
        <v>https://Estud2024.sawtoothsoftware.com/cgi-bin/ciwweb.pl?studyname=Estud2024&amp;ID=1432</v>
      </c>
      <c r="L1432" s="113">
        <v>45715</v>
      </c>
      <c r="M1432" s="45" t="s">
        <v>247</v>
      </c>
    </row>
    <row r="1433" spans="1:13">
      <c r="A1433">
        <v>1433</v>
      </c>
      <c r="B1433" t="s">
        <v>87</v>
      </c>
      <c r="C1433">
        <v>6</v>
      </c>
      <c r="D1433" t="s">
        <v>153</v>
      </c>
      <c r="E1433">
        <v>104</v>
      </c>
      <c r="F1433" t="s">
        <v>9777</v>
      </c>
      <c r="G1433">
        <v>2</v>
      </c>
      <c r="H1433" t="s">
        <v>9778</v>
      </c>
      <c r="I1433" s="45" t="s">
        <v>6754</v>
      </c>
      <c r="J1433" s="122">
        <v>45714</v>
      </c>
      <c r="K1433" s="110" t="str">
        <f t="shared" si="19"/>
        <v>https://Estud2024.sawtoothsoftware.com/cgi-bin/ciwweb.pl?studyname=Estud2024&amp;ID=1433</v>
      </c>
      <c r="L1433" s="113">
        <v>45715</v>
      </c>
      <c r="M1433" s="45" t="s">
        <v>247</v>
      </c>
    </row>
    <row r="1434" spans="1:13">
      <c r="A1434">
        <v>1434</v>
      </c>
      <c r="B1434" t="s">
        <v>87</v>
      </c>
      <c r="C1434">
        <v>6</v>
      </c>
      <c r="D1434" t="s">
        <v>153</v>
      </c>
      <c r="E1434">
        <v>104</v>
      </c>
      <c r="F1434" t="s">
        <v>9779</v>
      </c>
      <c r="G1434">
        <v>2</v>
      </c>
      <c r="H1434" t="s">
        <v>9780</v>
      </c>
      <c r="I1434" s="45" t="s">
        <v>6754</v>
      </c>
      <c r="J1434" s="122">
        <v>45714</v>
      </c>
      <c r="K1434" s="110" t="str">
        <f t="shared" si="19"/>
        <v>https://Estud2024.sawtoothsoftware.com/cgi-bin/ciwweb.pl?studyname=Estud2024&amp;ID=1434</v>
      </c>
      <c r="L1434" s="113">
        <v>45715</v>
      </c>
      <c r="M1434" s="45" t="s">
        <v>247</v>
      </c>
    </row>
    <row r="1435" spans="1:13">
      <c r="A1435">
        <v>1435</v>
      </c>
      <c r="B1435" t="s">
        <v>87</v>
      </c>
      <c r="C1435">
        <v>6</v>
      </c>
      <c r="D1435" t="s">
        <v>153</v>
      </c>
      <c r="E1435">
        <v>104</v>
      </c>
      <c r="F1435" t="s">
        <v>9781</v>
      </c>
      <c r="G1435">
        <v>2</v>
      </c>
      <c r="H1435" t="s">
        <v>9782</v>
      </c>
      <c r="I1435" s="45" t="s">
        <v>6754</v>
      </c>
      <c r="J1435" s="122">
        <v>45714</v>
      </c>
      <c r="K1435" s="110" t="str">
        <f t="shared" si="19"/>
        <v>https://Estud2024.sawtoothsoftware.com/cgi-bin/ciwweb.pl?studyname=Estud2024&amp;ID=1435</v>
      </c>
      <c r="L1435" s="113">
        <v>45715</v>
      </c>
      <c r="M1435" s="45" t="s">
        <v>246</v>
      </c>
    </row>
    <row r="1436" spans="1:13">
      <c r="A1436">
        <v>1436</v>
      </c>
      <c r="B1436" t="s">
        <v>87</v>
      </c>
      <c r="C1436">
        <v>6</v>
      </c>
      <c r="D1436" t="s">
        <v>153</v>
      </c>
      <c r="E1436">
        <v>104</v>
      </c>
      <c r="F1436" t="s">
        <v>9783</v>
      </c>
      <c r="G1436">
        <v>2</v>
      </c>
      <c r="H1436" t="s">
        <v>9784</v>
      </c>
      <c r="I1436" s="45" t="s">
        <v>6754</v>
      </c>
      <c r="J1436" s="122">
        <v>45714</v>
      </c>
      <c r="K1436" s="110" t="str">
        <f t="shared" si="19"/>
        <v>https://Estud2024.sawtoothsoftware.com/cgi-bin/ciwweb.pl?studyname=Estud2024&amp;ID=1436</v>
      </c>
      <c r="L1436" s="113">
        <v>45715</v>
      </c>
      <c r="M1436" s="45" t="s">
        <v>247</v>
      </c>
    </row>
    <row r="1437" spans="1:13">
      <c r="A1437">
        <v>1437</v>
      </c>
      <c r="B1437" t="s">
        <v>87</v>
      </c>
      <c r="C1437">
        <v>6</v>
      </c>
      <c r="D1437" t="s">
        <v>153</v>
      </c>
      <c r="E1437">
        <v>104</v>
      </c>
      <c r="F1437" t="s">
        <v>9785</v>
      </c>
      <c r="G1437">
        <v>2</v>
      </c>
      <c r="H1437" t="s">
        <v>9786</v>
      </c>
      <c r="I1437" s="45" t="s">
        <v>6754</v>
      </c>
      <c r="J1437" s="122">
        <v>45714</v>
      </c>
      <c r="K1437" s="110" t="str">
        <f t="shared" si="19"/>
        <v>https://Estud2024.sawtoothsoftware.com/cgi-bin/ciwweb.pl?studyname=Estud2024&amp;ID=1437</v>
      </c>
      <c r="L1437" s="113">
        <v>45715</v>
      </c>
      <c r="M1437" s="45" t="s">
        <v>247</v>
      </c>
    </row>
    <row r="1438" spans="1:13">
      <c r="A1438">
        <v>1438</v>
      </c>
      <c r="B1438" t="s">
        <v>87</v>
      </c>
      <c r="C1438">
        <v>6</v>
      </c>
      <c r="D1438" t="s">
        <v>153</v>
      </c>
      <c r="E1438">
        <v>104</v>
      </c>
      <c r="F1438" t="s">
        <v>9787</v>
      </c>
      <c r="G1438">
        <v>2</v>
      </c>
      <c r="H1438" t="s">
        <v>9788</v>
      </c>
      <c r="I1438" s="45" t="s">
        <v>6754</v>
      </c>
      <c r="J1438" s="122">
        <v>45714</v>
      </c>
      <c r="K1438" s="110" t="str">
        <f t="shared" si="19"/>
        <v>https://Estud2024.sawtoothsoftware.com/cgi-bin/ciwweb.pl?studyname=Estud2024&amp;ID=1438</v>
      </c>
      <c r="L1438" s="113">
        <v>45715</v>
      </c>
      <c r="M1438" s="45" t="s">
        <v>247</v>
      </c>
    </row>
    <row r="1439" spans="1:13">
      <c r="A1439">
        <v>1439</v>
      </c>
      <c r="B1439" t="s">
        <v>87</v>
      </c>
      <c r="C1439">
        <v>6</v>
      </c>
      <c r="D1439" t="s">
        <v>197</v>
      </c>
      <c r="E1439">
        <v>67</v>
      </c>
      <c r="F1439" t="s">
        <v>9789</v>
      </c>
      <c r="G1439">
        <v>4</v>
      </c>
      <c r="H1439" t="s">
        <v>9790</v>
      </c>
      <c r="I1439" s="45" t="s">
        <v>6754</v>
      </c>
      <c r="J1439" s="122">
        <v>45714</v>
      </c>
      <c r="K1439" s="110" t="str">
        <f t="shared" si="19"/>
        <v>https://Estud2024.sawtoothsoftware.com/cgi-bin/ciwweb.pl?studyname=Estud2024&amp;ID=1439</v>
      </c>
      <c r="L1439" s="113">
        <v>45715</v>
      </c>
      <c r="M1439" s="45" t="s">
        <v>246</v>
      </c>
    </row>
    <row r="1440" spans="1:13">
      <c r="A1440">
        <v>1440</v>
      </c>
      <c r="B1440" t="s">
        <v>87</v>
      </c>
      <c r="C1440">
        <v>6</v>
      </c>
      <c r="D1440" t="s">
        <v>197</v>
      </c>
      <c r="E1440">
        <v>67</v>
      </c>
      <c r="F1440" t="s">
        <v>9791</v>
      </c>
      <c r="G1440">
        <v>4</v>
      </c>
      <c r="H1440" t="s">
        <v>9792</v>
      </c>
      <c r="I1440" s="45" t="s">
        <v>6754</v>
      </c>
      <c r="J1440" s="122">
        <v>45714</v>
      </c>
      <c r="K1440" s="110" t="str">
        <f t="shared" si="19"/>
        <v>https://Estud2024.sawtoothsoftware.com/cgi-bin/ciwweb.pl?studyname=Estud2024&amp;ID=1440</v>
      </c>
      <c r="L1440" s="113">
        <v>45715</v>
      </c>
      <c r="M1440" s="45" t="s">
        <v>246</v>
      </c>
    </row>
    <row r="1441" spans="1:13">
      <c r="A1441">
        <v>1441</v>
      </c>
      <c r="B1441" t="s">
        <v>87</v>
      </c>
      <c r="C1441">
        <v>6</v>
      </c>
      <c r="D1441" t="s">
        <v>197</v>
      </c>
      <c r="E1441">
        <v>67</v>
      </c>
      <c r="F1441" t="s">
        <v>9793</v>
      </c>
      <c r="G1441">
        <v>4</v>
      </c>
      <c r="H1441" t="s">
        <v>9794</v>
      </c>
      <c r="I1441" s="45" t="s">
        <v>6754</v>
      </c>
      <c r="J1441" s="122">
        <v>45714</v>
      </c>
      <c r="K1441" s="110" t="str">
        <f t="shared" si="19"/>
        <v>https://Estud2024.sawtoothsoftware.com/cgi-bin/ciwweb.pl?studyname=Estud2024&amp;ID=1441</v>
      </c>
      <c r="L1441" s="113">
        <v>45715</v>
      </c>
      <c r="M1441" s="45" t="s">
        <v>247</v>
      </c>
    </row>
    <row r="1442" spans="1:13">
      <c r="A1442">
        <v>1442</v>
      </c>
      <c r="B1442" t="s">
        <v>87</v>
      </c>
      <c r="C1442">
        <v>6</v>
      </c>
      <c r="D1442" t="s">
        <v>197</v>
      </c>
      <c r="E1442">
        <v>67</v>
      </c>
      <c r="F1442" t="s">
        <v>9795</v>
      </c>
      <c r="G1442">
        <v>2</v>
      </c>
      <c r="H1442" t="s">
        <v>9796</v>
      </c>
      <c r="I1442" s="45" t="s">
        <v>6754</v>
      </c>
      <c r="J1442" s="122">
        <v>45714</v>
      </c>
      <c r="K1442" s="110" t="str">
        <f t="shared" si="19"/>
        <v>https://Estud2024.sawtoothsoftware.com/cgi-bin/ciwweb.pl?studyname=Estud2024&amp;ID=1442</v>
      </c>
      <c r="L1442" s="113">
        <v>45715</v>
      </c>
      <c r="M1442" s="45" t="s">
        <v>246</v>
      </c>
    </row>
    <row r="1443" spans="1:13">
      <c r="A1443">
        <v>1443</v>
      </c>
      <c r="B1443" t="s">
        <v>87</v>
      </c>
      <c r="C1443">
        <v>6</v>
      </c>
      <c r="D1443" t="s">
        <v>197</v>
      </c>
      <c r="E1443">
        <v>67</v>
      </c>
      <c r="F1443" t="s">
        <v>9797</v>
      </c>
      <c r="G1443">
        <v>2</v>
      </c>
      <c r="H1443" t="s">
        <v>9798</v>
      </c>
      <c r="I1443" s="45" t="s">
        <v>6754</v>
      </c>
      <c r="J1443" s="122">
        <v>45714</v>
      </c>
      <c r="K1443" s="110" t="str">
        <f t="shared" si="19"/>
        <v>https://Estud2024.sawtoothsoftware.com/cgi-bin/ciwweb.pl?studyname=Estud2024&amp;ID=1443</v>
      </c>
      <c r="L1443" s="113">
        <v>45715</v>
      </c>
      <c r="M1443" s="45" t="s">
        <v>246</v>
      </c>
    </row>
    <row r="1444" spans="1:13">
      <c r="A1444">
        <v>1444</v>
      </c>
      <c r="B1444" t="s">
        <v>87</v>
      </c>
      <c r="C1444">
        <v>6</v>
      </c>
      <c r="D1444" t="s">
        <v>197</v>
      </c>
      <c r="E1444">
        <v>67</v>
      </c>
      <c r="F1444" t="s">
        <v>9799</v>
      </c>
      <c r="G1444">
        <v>2</v>
      </c>
      <c r="H1444" t="s">
        <v>9800</v>
      </c>
      <c r="I1444" s="45" t="s">
        <v>6754</v>
      </c>
      <c r="J1444" s="122">
        <v>45714</v>
      </c>
      <c r="K1444" s="110" t="str">
        <f t="shared" si="19"/>
        <v>https://Estud2024.sawtoothsoftware.com/cgi-bin/ciwweb.pl?studyname=Estud2024&amp;ID=1444</v>
      </c>
      <c r="L1444" s="113">
        <v>45715</v>
      </c>
      <c r="M1444" s="45" t="s">
        <v>246</v>
      </c>
    </row>
    <row r="1445" spans="1:13">
      <c r="A1445">
        <v>1445</v>
      </c>
      <c r="B1445" t="s">
        <v>87</v>
      </c>
      <c r="C1445">
        <v>6</v>
      </c>
      <c r="D1445" t="s">
        <v>197</v>
      </c>
      <c r="E1445">
        <v>67</v>
      </c>
      <c r="F1445" t="s">
        <v>9801</v>
      </c>
      <c r="G1445">
        <v>2</v>
      </c>
      <c r="H1445" t="s">
        <v>9802</v>
      </c>
      <c r="I1445" s="45" t="s">
        <v>6754</v>
      </c>
      <c r="J1445" s="122">
        <v>45714</v>
      </c>
      <c r="K1445" s="110" t="str">
        <f t="shared" si="19"/>
        <v>https://Estud2024.sawtoothsoftware.com/cgi-bin/ciwweb.pl?studyname=Estud2024&amp;ID=1445</v>
      </c>
      <c r="L1445" s="113">
        <v>45715</v>
      </c>
      <c r="M1445" s="45" t="s">
        <v>246</v>
      </c>
    </row>
    <row r="1446" spans="1:13">
      <c r="A1446">
        <v>1446</v>
      </c>
      <c r="B1446" t="s">
        <v>87</v>
      </c>
      <c r="C1446">
        <v>6</v>
      </c>
      <c r="D1446" t="s">
        <v>197</v>
      </c>
      <c r="E1446">
        <v>67</v>
      </c>
      <c r="F1446" t="s">
        <v>9803</v>
      </c>
      <c r="G1446">
        <v>2</v>
      </c>
      <c r="H1446" t="s">
        <v>9804</v>
      </c>
      <c r="I1446" s="45" t="s">
        <v>6754</v>
      </c>
      <c r="J1446" s="122">
        <v>45714</v>
      </c>
      <c r="K1446" s="110" t="str">
        <f t="shared" si="19"/>
        <v>https://Estud2024.sawtoothsoftware.com/cgi-bin/ciwweb.pl?studyname=Estud2024&amp;ID=1446</v>
      </c>
      <c r="L1446" s="113">
        <v>45715</v>
      </c>
      <c r="M1446" s="45" t="s">
        <v>247</v>
      </c>
    </row>
    <row r="1447" spans="1:13">
      <c r="A1447">
        <v>1447</v>
      </c>
      <c r="B1447" t="s">
        <v>87</v>
      </c>
      <c r="C1447">
        <v>6</v>
      </c>
      <c r="D1447" t="s">
        <v>197</v>
      </c>
      <c r="E1447">
        <v>67</v>
      </c>
      <c r="F1447" t="s">
        <v>9805</v>
      </c>
      <c r="G1447">
        <v>2</v>
      </c>
      <c r="H1447" t="s">
        <v>9806</v>
      </c>
      <c r="I1447" s="45" t="s">
        <v>6754</v>
      </c>
      <c r="J1447" s="122">
        <v>45714</v>
      </c>
      <c r="K1447" s="110" t="str">
        <f t="shared" si="19"/>
        <v>https://Estud2024.sawtoothsoftware.com/cgi-bin/ciwweb.pl?studyname=Estud2024&amp;ID=1447</v>
      </c>
      <c r="L1447" s="113">
        <v>45715</v>
      </c>
      <c r="M1447" s="45" t="s">
        <v>246</v>
      </c>
    </row>
    <row r="1448" spans="1:13">
      <c r="A1448">
        <v>1448</v>
      </c>
      <c r="B1448" t="s">
        <v>87</v>
      </c>
      <c r="C1448">
        <v>6</v>
      </c>
      <c r="D1448" t="s">
        <v>197</v>
      </c>
      <c r="E1448">
        <v>67</v>
      </c>
      <c r="F1448" t="s">
        <v>9807</v>
      </c>
      <c r="G1448">
        <v>2</v>
      </c>
      <c r="H1448" t="s">
        <v>9808</v>
      </c>
      <c r="I1448" s="45" t="s">
        <v>6754</v>
      </c>
      <c r="J1448" s="122">
        <v>45714</v>
      </c>
      <c r="K1448" s="110" t="str">
        <f t="shared" si="19"/>
        <v>https://Estud2024.sawtoothsoftware.com/cgi-bin/ciwweb.pl?studyname=Estud2024&amp;ID=1448</v>
      </c>
      <c r="L1448" s="113">
        <v>45715</v>
      </c>
      <c r="M1448" s="45" t="s">
        <v>247</v>
      </c>
    </row>
    <row r="1449" spans="1:13">
      <c r="A1449">
        <v>1449</v>
      </c>
      <c r="B1449" t="s">
        <v>87</v>
      </c>
      <c r="C1449">
        <v>6</v>
      </c>
      <c r="D1449" t="s">
        <v>197</v>
      </c>
      <c r="E1449">
        <v>67</v>
      </c>
      <c r="F1449" t="s">
        <v>9809</v>
      </c>
      <c r="G1449">
        <v>2</v>
      </c>
      <c r="H1449" t="s">
        <v>9810</v>
      </c>
      <c r="I1449" s="45" t="s">
        <v>6754</v>
      </c>
      <c r="J1449" s="122">
        <v>45714</v>
      </c>
      <c r="K1449" s="110" t="str">
        <f t="shared" si="19"/>
        <v>https://Estud2024.sawtoothsoftware.com/cgi-bin/ciwweb.pl?studyname=Estud2024&amp;ID=1449</v>
      </c>
      <c r="L1449" s="113">
        <v>45715</v>
      </c>
      <c r="M1449" s="45" t="s">
        <v>247</v>
      </c>
    </row>
    <row r="1450" spans="1:13">
      <c r="A1450">
        <v>1450</v>
      </c>
      <c r="B1450" t="s">
        <v>87</v>
      </c>
      <c r="C1450">
        <v>6</v>
      </c>
      <c r="D1450" t="s">
        <v>197</v>
      </c>
      <c r="E1450">
        <v>67</v>
      </c>
      <c r="F1450" t="s">
        <v>9811</v>
      </c>
      <c r="G1450">
        <v>2</v>
      </c>
      <c r="H1450" t="s">
        <v>9812</v>
      </c>
      <c r="I1450" s="45" t="s">
        <v>6754</v>
      </c>
      <c r="J1450" s="122">
        <v>45714</v>
      </c>
      <c r="K1450" s="110" t="str">
        <f t="shared" si="19"/>
        <v>https://Estud2024.sawtoothsoftware.com/cgi-bin/ciwweb.pl?studyname=Estud2024&amp;ID=1450</v>
      </c>
      <c r="L1450" s="113">
        <v>45715</v>
      </c>
      <c r="M1450" s="45" t="s">
        <v>247</v>
      </c>
    </row>
    <row r="1451" spans="1:13">
      <c r="A1451">
        <v>1451</v>
      </c>
      <c r="B1451" t="s">
        <v>87</v>
      </c>
      <c r="C1451">
        <v>6</v>
      </c>
      <c r="D1451" t="s">
        <v>197</v>
      </c>
      <c r="E1451">
        <v>67</v>
      </c>
      <c r="F1451" t="s">
        <v>9813</v>
      </c>
      <c r="G1451">
        <v>2</v>
      </c>
      <c r="H1451" t="s">
        <v>9814</v>
      </c>
      <c r="I1451" s="45" t="s">
        <v>6754</v>
      </c>
      <c r="J1451" s="122">
        <v>45714</v>
      </c>
      <c r="K1451" s="110" t="str">
        <f t="shared" si="19"/>
        <v>https://Estud2024.sawtoothsoftware.com/cgi-bin/ciwweb.pl?studyname=Estud2024&amp;ID=1451</v>
      </c>
      <c r="L1451" s="113">
        <v>45715</v>
      </c>
      <c r="M1451" s="45" t="s">
        <v>247</v>
      </c>
    </row>
    <row r="1452" spans="1:13">
      <c r="A1452">
        <v>1452</v>
      </c>
      <c r="B1452" t="s">
        <v>87</v>
      </c>
      <c r="C1452">
        <v>6</v>
      </c>
      <c r="D1452" t="s">
        <v>212</v>
      </c>
      <c r="E1452">
        <v>94</v>
      </c>
      <c r="F1452" t="s">
        <v>9815</v>
      </c>
      <c r="G1452">
        <v>3</v>
      </c>
      <c r="H1452" t="s">
        <v>9816</v>
      </c>
      <c r="I1452" s="45" t="s">
        <v>6754</v>
      </c>
      <c r="J1452" s="122">
        <v>45714</v>
      </c>
      <c r="K1452" s="110" t="str">
        <f t="shared" si="19"/>
        <v>https://Estud2024.sawtoothsoftware.com/cgi-bin/ciwweb.pl?studyname=Estud2024&amp;ID=1452</v>
      </c>
      <c r="L1452" s="113">
        <v>45715</v>
      </c>
      <c r="M1452" s="45" t="s">
        <v>246</v>
      </c>
    </row>
    <row r="1453" spans="1:13">
      <c r="A1453">
        <v>1453</v>
      </c>
      <c r="B1453" t="s">
        <v>87</v>
      </c>
      <c r="C1453">
        <v>6</v>
      </c>
      <c r="D1453" t="s">
        <v>212</v>
      </c>
      <c r="E1453">
        <v>94</v>
      </c>
      <c r="F1453" t="s">
        <v>9817</v>
      </c>
      <c r="G1453">
        <v>3</v>
      </c>
      <c r="H1453" t="s">
        <v>9818</v>
      </c>
      <c r="I1453" s="45" t="s">
        <v>6754</v>
      </c>
      <c r="J1453" s="122">
        <v>45714</v>
      </c>
      <c r="K1453" s="110" t="str">
        <f t="shared" si="19"/>
        <v>https://Estud2024.sawtoothsoftware.com/cgi-bin/ciwweb.pl?studyname=Estud2024&amp;ID=1453</v>
      </c>
      <c r="L1453" s="113">
        <v>45715</v>
      </c>
      <c r="M1453" s="45" t="s">
        <v>247</v>
      </c>
    </row>
    <row r="1454" spans="1:13">
      <c r="A1454">
        <v>1454</v>
      </c>
      <c r="B1454" t="s">
        <v>87</v>
      </c>
      <c r="C1454">
        <v>6</v>
      </c>
      <c r="D1454" t="s">
        <v>212</v>
      </c>
      <c r="E1454">
        <v>94</v>
      </c>
      <c r="F1454" t="s">
        <v>9819</v>
      </c>
      <c r="G1454">
        <v>3</v>
      </c>
      <c r="H1454" t="s">
        <v>9820</v>
      </c>
      <c r="I1454" s="45" t="s">
        <v>6754</v>
      </c>
      <c r="J1454" s="122">
        <v>45714</v>
      </c>
      <c r="K1454" s="110" t="str">
        <f t="shared" si="19"/>
        <v>https://Estud2024.sawtoothsoftware.com/cgi-bin/ciwweb.pl?studyname=Estud2024&amp;ID=1454</v>
      </c>
      <c r="L1454" s="113">
        <v>45715</v>
      </c>
      <c r="M1454" s="45" t="s">
        <v>246</v>
      </c>
    </row>
    <row r="1455" spans="1:13">
      <c r="A1455">
        <v>1455</v>
      </c>
      <c r="B1455" t="s">
        <v>87</v>
      </c>
      <c r="C1455">
        <v>6</v>
      </c>
      <c r="D1455" t="s">
        <v>212</v>
      </c>
      <c r="E1455">
        <v>94</v>
      </c>
      <c r="F1455" t="s">
        <v>9821</v>
      </c>
      <c r="G1455">
        <v>3</v>
      </c>
      <c r="H1455" t="s">
        <v>9822</v>
      </c>
      <c r="I1455" s="45" t="s">
        <v>6754</v>
      </c>
      <c r="J1455" s="122">
        <v>45714</v>
      </c>
      <c r="K1455" s="110" t="str">
        <f t="shared" si="19"/>
        <v>https://Estud2024.sawtoothsoftware.com/cgi-bin/ciwweb.pl?studyname=Estud2024&amp;ID=1455</v>
      </c>
      <c r="L1455" s="113">
        <v>45715</v>
      </c>
      <c r="M1455" s="45" t="s">
        <v>247</v>
      </c>
    </row>
    <row r="1456" spans="1:13">
      <c r="A1456">
        <v>1456</v>
      </c>
      <c r="B1456" t="s">
        <v>87</v>
      </c>
      <c r="C1456">
        <v>6</v>
      </c>
      <c r="D1456" t="s">
        <v>212</v>
      </c>
      <c r="E1456">
        <v>94</v>
      </c>
      <c r="F1456" t="s">
        <v>9823</v>
      </c>
      <c r="G1456">
        <v>3</v>
      </c>
      <c r="H1456" t="s">
        <v>9824</v>
      </c>
      <c r="I1456" s="45" t="s">
        <v>6754</v>
      </c>
      <c r="J1456" s="122">
        <v>45714</v>
      </c>
      <c r="K1456" s="110" t="str">
        <f t="shared" si="19"/>
        <v>https://Estud2024.sawtoothsoftware.com/cgi-bin/ciwweb.pl?studyname=Estud2024&amp;ID=1456</v>
      </c>
      <c r="L1456" s="113">
        <v>45715</v>
      </c>
      <c r="M1456" s="45" t="s">
        <v>246</v>
      </c>
    </row>
    <row r="1457" spans="1:13">
      <c r="A1457">
        <v>1457</v>
      </c>
      <c r="B1457" t="s">
        <v>87</v>
      </c>
      <c r="C1457">
        <v>6</v>
      </c>
      <c r="D1457" t="s">
        <v>212</v>
      </c>
      <c r="E1457">
        <v>94</v>
      </c>
      <c r="F1457" t="s">
        <v>9825</v>
      </c>
      <c r="G1457">
        <v>4</v>
      </c>
      <c r="H1457" t="s">
        <v>9826</v>
      </c>
      <c r="I1457" s="45" t="s">
        <v>6754</v>
      </c>
      <c r="J1457" s="122">
        <v>45714</v>
      </c>
      <c r="K1457" s="110" t="str">
        <f t="shared" si="19"/>
        <v>https://Estud2024.sawtoothsoftware.com/cgi-bin/ciwweb.pl?studyname=Estud2024&amp;ID=1457</v>
      </c>
      <c r="L1457" s="113">
        <v>45715</v>
      </c>
      <c r="M1457" s="45" t="s">
        <v>247</v>
      </c>
    </row>
    <row r="1458" spans="1:13">
      <c r="A1458">
        <v>1458</v>
      </c>
      <c r="B1458" t="s">
        <v>87</v>
      </c>
      <c r="C1458">
        <v>6</v>
      </c>
      <c r="D1458" t="s">
        <v>212</v>
      </c>
      <c r="E1458">
        <v>94</v>
      </c>
      <c r="F1458" t="s">
        <v>9827</v>
      </c>
      <c r="G1458">
        <v>4</v>
      </c>
      <c r="H1458" t="s">
        <v>9828</v>
      </c>
      <c r="I1458" s="45" t="s">
        <v>6754</v>
      </c>
      <c r="J1458" s="122">
        <v>45714</v>
      </c>
      <c r="K1458" s="110" t="str">
        <f t="shared" si="19"/>
        <v>https://Estud2024.sawtoothsoftware.com/cgi-bin/ciwweb.pl?studyname=Estud2024&amp;ID=1458</v>
      </c>
      <c r="L1458" s="113">
        <v>45715</v>
      </c>
      <c r="M1458" s="45" t="s">
        <v>247</v>
      </c>
    </row>
    <row r="1459" spans="1:13">
      <c r="A1459">
        <v>1459</v>
      </c>
      <c r="B1459" t="s">
        <v>87</v>
      </c>
      <c r="C1459">
        <v>6</v>
      </c>
      <c r="D1459" t="s">
        <v>212</v>
      </c>
      <c r="E1459">
        <v>94</v>
      </c>
      <c r="F1459" t="s">
        <v>9829</v>
      </c>
      <c r="G1459">
        <v>4</v>
      </c>
      <c r="H1459" t="s">
        <v>9830</v>
      </c>
      <c r="I1459" s="45" t="s">
        <v>6754</v>
      </c>
      <c r="J1459" s="122">
        <v>45714</v>
      </c>
      <c r="K1459" s="110" t="str">
        <f t="shared" si="19"/>
        <v>https://Estud2024.sawtoothsoftware.com/cgi-bin/ciwweb.pl?studyname=Estud2024&amp;ID=1459</v>
      </c>
      <c r="L1459" s="113">
        <v>45715</v>
      </c>
      <c r="M1459" s="45" t="s">
        <v>246</v>
      </c>
    </row>
    <row r="1460" spans="1:13">
      <c r="A1460">
        <v>1460</v>
      </c>
      <c r="B1460" t="s">
        <v>87</v>
      </c>
      <c r="C1460">
        <v>6</v>
      </c>
      <c r="D1460" t="s">
        <v>212</v>
      </c>
      <c r="E1460">
        <v>94</v>
      </c>
      <c r="F1460" t="s">
        <v>9831</v>
      </c>
      <c r="G1460">
        <v>4</v>
      </c>
      <c r="H1460" t="s">
        <v>9832</v>
      </c>
      <c r="I1460" s="45" t="s">
        <v>6754</v>
      </c>
      <c r="J1460" s="122">
        <v>45714</v>
      </c>
      <c r="K1460" s="110" t="str">
        <f t="shared" si="19"/>
        <v>https://Estud2024.sawtoothsoftware.com/cgi-bin/ciwweb.pl?studyname=Estud2024&amp;ID=1460</v>
      </c>
      <c r="L1460" s="113">
        <v>45715</v>
      </c>
      <c r="M1460" s="45" t="s">
        <v>246</v>
      </c>
    </row>
    <row r="1461" spans="1:13">
      <c r="A1461">
        <v>1461</v>
      </c>
      <c r="B1461" t="s">
        <v>87</v>
      </c>
      <c r="C1461">
        <v>6</v>
      </c>
      <c r="D1461" t="s">
        <v>212</v>
      </c>
      <c r="E1461">
        <v>94</v>
      </c>
      <c r="F1461" t="s">
        <v>9833</v>
      </c>
      <c r="G1461">
        <v>4</v>
      </c>
      <c r="H1461" t="s">
        <v>9834</v>
      </c>
      <c r="I1461" s="45" t="s">
        <v>6754</v>
      </c>
      <c r="J1461" s="122">
        <v>45714</v>
      </c>
      <c r="K1461" s="110" t="str">
        <f t="shared" si="19"/>
        <v>https://Estud2024.sawtoothsoftware.com/cgi-bin/ciwweb.pl?studyname=Estud2024&amp;ID=1461</v>
      </c>
      <c r="L1461" s="113">
        <v>45715</v>
      </c>
      <c r="M1461" s="45" t="s">
        <v>247</v>
      </c>
    </row>
    <row r="1462" spans="1:13">
      <c r="A1462">
        <v>1462</v>
      </c>
      <c r="B1462" t="s">
        <v>87</v>
      </c>
      <c r="C1462">
        <v>6</v>
      </c>
      <c r="D1462" t="s">
        <v>212</v>
      </c>
      <c r="E1462">
        <v>94</v>
      </c>
      <c r="F1462" t="s">
        <v>9835</v>
      </c>
      <c r="G1462">
        <v>4</v>
      </c>
      <c r="H1462" t="s">
        <v>9836</v>
      </c>
      <c r="I1462" s="45" t="s">
        <v>6754</v>
      </c>
      <c r="J1462" s="122">
        <v>45714</v>
      </c>
      <c r="K1462" s="110" t="str">
        <f t="shared" si="19"/>
        <v>https://Estud2024.sawtoothsoftware.com/cgi-bin/ciwweb.pl?studyname=Estud2024&amp;ID=1462</v>
      </c>
      <c r="L1462" s="113">
        <v>45715</v>
      </c>
      <c r="M1462" s="45" t="s">
        <v>246</v>
      </c>
    </row>
    <row r="1463" spans="1:13">
      <c r="A1463">
        <v>1463</v>
      </c>
      <c r="B1463" t="s">
        <v>87</v>
      </c>
      <c r="C1463">
        <v>6</v>
      </c>
      <c r="D1463" t="s">
        <v>212</v>
      </c>
      <c r="E1463">
        <v>94</v>
      </c>
      <c r="F1463" t="s">
        <v>9837</v>
      </c>
      <c r="G1463">
        <v>4</v>
      </c>
      <c r="H1463" t="s">
        <v>9838</v>
      </c>
      <c r="I1463" s="45" t="s">
        <v>6754</v>
      </c>
      <c r="J1463" s="122">
        <v>45714</v>
      </c>
      <c r="K1463" s="110" t="str">
        <f t="shared" si="19"/>
        <v>https://Estud2024.sawtoothsoftware.com/cgi-bin/ciwweb.pl?studyname=Estud2024&amp;ID=1463</v>
      </c>
      <c r="L1463" s="113">
        <v>45715</v>
      </c>
      <c r="M1463" s="45" t="s">
        <v>247</v>
      </c>
    </row>
    <row r="1464" spans="1:13">
      <c r="A1464">
        <v>1464</v>
      </c>
      <c r="B1464" t="s">
        <v>87</v>
      </c>
      <c r="C1464">
        <v>6</v>
      </c>
      <c r="D1464" t="s">
        <v>212</v>
      </c>
      <c r="E1464">
        <v>94</v>
      </c>
      <c r="F1464" t="s">
        <v>9839</v>
      </c>
      <c r="G1464">
        <v>6</v>
      </c>
      <c r="H1464" t="s">
        <v>9840</v>
      </c>
      <c r="I1464" s="45" t="s">
        <v>6754</v>
      </c>
      <c r="J1464" s="122">
        <v>45714</v>
      </c>
      <c r="K1464" s="110" t="str">
        <f t="shared" si="19"/>
        <v>https://Estud2024.sawtoothsoftware.com/cgi-bin/ciwweb.pl?studyname=Estud2024&amp;ID=1464</v>
      </c>
      <c r="L1464" s="113">
        <v>45715</v>
      </c>
      <c r="M1464" s="45" t="s">
        <v>247</v>
      </c>
    </row>
    <row r="1465" spans="1:13">
      <c r="A1465">
        <v>1465</v>
      </c>
      <c r="B1465" t="s">
        <v>87</v>
      </c>
      <c r="C1465">
        <v>6</v>
      </c>
      <c r="D1465" t="s">
        <v>212</v>
      </c>
      <c r="E1465">
        <v>94</v>
      </c>
      <c r="F1465" t="s">
        <v>9841</v>
      </c>
      <c r="G1465">
        <v>6</v>
      </c>
      <c r="H1465" t="s">
        <v>9842</v>
      </c>
      <c r="I1465" s="45" t="s">
        <v>6754</v>
      </c>
      <c r="J1465" s="122">
        <v>45714</v>
      </c>
      <c r="K1465" s="110" t="str">
        <f t="shared" si="19"/>
        <v>https://Estud2024.sawtoothsoftware.com/cgi-bin/ciwweb.pl?studyname=Estud2024&amp;ID=1465</v>
      </c>
      <c r="L1465" s="113">
        <v>45715</v>
      </c>
      <c r="M1465" s="45" t="s">
        <v>246</v>
      </c>
    </row>
    <row r="1466" spans="1:13">
      <c r="A1466">
        <v>1466</v>
      </c>
      <c r="B1466" t="s">
        <v>87</v>
      </c>
      <c r="C1466">
        <v>6</v>
      </c>
      <c r="D1466" t="s">
        <v>212</v>
      </c>
      <c r="E1466">
        <v>94</v>
      </c>
      <c r="F1466" t="s">
        <v>9843</v>
      </c>
      <c r="G1466">
        <v>6</v>
      </c>
      <c r="H1466" t="s">
        <v>9844</v>
      </c>
      <c r="I1466" s="45" t="s">
        <v>6754</v>
      </c>
      <c r="J1466" s="122">
        <v>45714</v>
      </c>
      <c r="K1466" s="110" t="str">
        <f t="shared" si="19"/>
        <v>https://Estud2024.sawtoothsoftware.com/cgi-bin/ciwweb.pl?studyname=Estud2024&amp;ID=1466</v>
      </c>
      <c r="L1466" s="113">
        <v>45715</v>
      </c>
      <c r="M1466" s="45" t="s">
        <v>246</v>
      </c>
    </row>
    <row r="1467" spans="1:13">
      <c r="A1467">
        <v>1467</v>
      </c>
      <c r="B1467" t="s">
        <v>87</v>
      </c>
      <c r="C1467">
        <v>6</v>
      </c>
      <c r="D1467" t="s">
        <v>212</v>
      </c>
      <c r="E1467">
        <v>94</v>
      </c>
      <c r="F1467" t="s">
        <v>9845</v>
      </c>
      <c r="G1467">
        <v>6</v>
      </c>
      <c r="H1467" t="s">
        <v>9846</v>
      </c>
      <c r="I1467" s="45" t="s">
        <v>6754</v>
      </c>
      <c r="J1467" s="122">
        <v>45714</v>
      </c>
      <c r="K1467" s="110" t="str">
        <f t="shared" si="19"/>
        <v>https://Estud2024.sawtoothsoftware.com/cgi-bin/ciwweb.pl?studyname=Estud2024&amp;ID=1467</v>
      </c>
      <c r="L1467" s="113">
        <v>45715</v>
      </c>
      <c r="M1467" s="45" t="s">
        <v>246</v>
      </c>
    </row>
    <row r="1468" spans="1:13">
      <c r="A1468">
        <v>1468</v>
      </c>
      <c r="B1468" t="s">
        <v>88</v>
      </c>
      <c r="C1468">
        <v>7</v>
      </c>
      <c r="D1468" t="s">
        <v>203</v>
      </c>
      <c r="E1468">
        <v>69</v>
      </c>
      <c r="F1468" t="s">
        <v>9847</v>
      </c>
      <c r="G1468">
        <v>2</v>
      </c>
      <c r="H1468" t="s">
        <v>9848</v>
      </c>
      <c r="I1468" s="45" t="s">
        <v>6754</v>
      </c>
      <c r="J1468" s="122">
        <v>45714</v>
      </c>
      <c r="K1468" s="110" t="str">
        <f t="shared" si="19"/>
        <v>https://Estud2024.sawtoothsoftware.com/cgi-bin/ciwweb.pl?studyname=Estud2024&amp;ID=1468</v>
      </c>
      <c r="L1468" s="113">
        <v>45715</v>
      </c>
      <c r="M1468" s="45" t="s">
        <v>247</v>
      </c>
    </row>
    <row r="1469" spans="1:13">
      <c r="A1469">
        <v>1469</v>
      </c>
      <c r="B1469" t="s">
        <v>88</v>
      </c>
      <c r="C1469">
        <v>7</v>
      </c>
      <c r="D1469" t="s">
        <v>203</v>
      </c>
      <c r="E1469">
        <v>69</v>
      </c>
      <c r="F1469" t="s">
        <v>9849</v>
      </c>
      <c r="G1469">
        <v>2</v>
      </c>
      <c r="H1469" t="s">
        <v>9850</v>
      </c>
      <c r="I1469" s="45" t="s">
        <v>6754</v>
      </c>
      <c r="J1469" s="122">
        <v>45714</v>
      </c>
      <c r="K1469" s="110" t="str">
        <f t="shared" si="19"/>
        <v>https://Estud2024.sawtoothsoftware.com/cgi-bin/ciwweb.pl?studyname=Estud2024&amp;ID=1469</v>
      </c>
      <c r="L1469" s="113">
        <v>45715</v>
      </c>
      <c r="M1469" s="45" t="s">
        <v>247</v>
      </c>
    </row>
    <row r="1470" spans="1:13">
      <c r="A1470">
        <v>1470</v>
      </c>
      <c r="B1470" t="s">
        <v>88</v>
      </c>
      <c r="C1470">
        <v>7</v>
      </c>
      <c r="D1470" t="s">
        <v>203</v>
      </c>
      <c r="E1470">
        <v>69</v>
      </c>
      <c r="F1470" t="s">
        <v>9851</v>
      </c>
      <c r="G1470">
        <v>2</v>
      </c>
      <c r="H1470" t="s">
        <v>9852</v>
      </c>
      <c r="I1470" s="45" t="s">
        <v>6754</v>
      </c>
      <c r="J1470" s="122">
        <v>45714</v>
      </c>
      <c r="K1470" s="110" t="str">
        <f t="shared" si="19"/>
        <v>https://Estud2024.sawtoothsoftware.com/cgi-bin/ciwweb.pl?studyname=Estud2024&amp;ID=1470</v>
      </c>
      <c r="L1470" s="113">
        <v>45715</v>
      </c>
      <c r="M1470" s="45" t="s">
        <v>247</v>
      </c>
    </row>
    <row r="1471" spans="1:13">
      <c r="A1471">
        <v>1471</v>
      </c>
      <c r="B1471" t="s">
        <v>88</v>
      </c>
      <c r="C1471">
        <v>7</v>
      </c>
      <c r="D1471" t="s">
        <v>203</v>
      </c>
      <c r="E1471">
        <v>69</v>
      </c>
      <c r="F1471" t="s">
        <v>9853</v>
      </c>
      <c r="G1471">
        <v>2</v>
      </c>
      <c r="H1471" t="s">
        <v>9854</v>
      </c>
      <c r="I1471" s="45" t="s">
        <v>6754</v>
      </c>
      <c r="J1471" s="122">
        <v>45714</v>
      </c>
      <c r="K1471" s="110" t="str">
        <f t="shared" si="19"/>
        <v>https://Estud2024.sawtoothsoftware.com/cgi-bin/ciwweb.pl?studyname=Estud2024&amp;ID=1471</v>
      </c>
      <c r="L1471" s="113">
        <v>45715</v>
      </c>
      <c r="M1471" s="45" t="s">
        <v>247</v>
      </c>
    </row>
    <row r="1472" spans="1:13">
      <c r="A1472">
        <v>1472</v>
      </c>
      <c r="B1472" t="s">
        <v>88</v>
      </c>
      <c r="C1472">
        <v>7</v>
      </c>
      <c r="D1472" t="s">
        <v>203</v>
      </c>
      <c r="E1472">
        <v>69</v>
      </c>
      <c r="F1472" t="s">
        <v>9855</v>
      </c>
      <c r="G1472">
        <v>2</v>
      </c>
      <c r="H1472" t="s">
        <v>9856</v>
      </c>
      <c r="I1472" s="45" t="s">
        <v>6754</v>
      </c>
      <c r="J1472" s="122">
        <v>45714</v>
      </c>
      <c r="K1472" s="110" t="str">
        <f t="shared" si="19"/>
        <v>https://Estud2024.sawtoothsoftware.com/cgi-bin/ciwweb.pl?studyname=Estud2024&amp;ID=1472</v>
      </c>
      <c r="L1472" s="113">
        <v>45715</v>
      </c>
      <c r="M1472" s="45" t="s">
        <v>247</v>
      </c>
    </row>
    <row r="1473" spans="1:13">
      <c r="A1473">
        <v>1473</v>
      </c>
      <c r="B1473" t="s">
        <v>88</v>
      </c>
      <c r="C1473">
        <v>7</v>
      </c>
      <c r="D1473" t="s">
        <v>203</v>
      </c>
      <c r="E1473">
        <v>69</v>
      </c>
      <c r="F1473" t="s">
        <v>9857</v>
      </c>
      <c r="G1473">
        <v>2</v>
      </c>
      <c r="H1473" t="s">
        <v>9858</v>
      </c>
      <c r="I1473" s="45" t="s">
        <v>6754</v>
      </c>
      <c r="J1473" s="122">
        <v>45714</v>
      </c>
      <c r="K1473" s="110" t="str">
        <f t="shared" si="19"/>
        <v>https://Estud2024.sawtoothsoftware.com/cgi-bin/ciwweb.pl?studyname=Estud2024&amp;ID=1473</v>
      </c>
      <c r="L1473" s="113">
        <v>45715</v>
      </c>
      <c r="M1473" s="45" t="s">
        <v>247</v>
      </c>
    </row>
    <row r="1474" spans="1:13">
      <c r="A1474">
        <v>1474</v>
      </c>
      <c r="B1474" t="s">
        <v>88</v>
      </c>
      <c r="C1474">
        <v>7</v>
      </c>
      <c r="D1474" t="s">
        <v>203</v>
      </c>
      <c r="E1474">
        <v>69</v>
      </c>
      <c r="F1474" t="s">
        <v>9859</v>
      </c>
      <c r="G1474">
        <v>2</v>
      </c>
      <c r="H1474" t="s">
        <v>9860</v>
      </c>
      <c r="I1474" s="45" t="s">
        <v>6754</v>
      </c>
      <c r="J1474" s="122">
        <v>45714</v>
      </c>
      <c r="K1474" s="110" t="str">
        <f t="shared" si="19"/>
        <v>https://Estud2024.sawtoothsoftware.com/cgi-bin/ciwweb.pl?studyname=Estud2024&amp;ID=1474</v>
      </c>
      <c r="L1474" s="113">
        <v>45715</v>
      </c>
      <c r="M1474" s="45" t="s">
        <v>247</v>
      </c>
    </row>
    <row r="1475" spans="1:13">
      <c r="A1475">
        <v>1475</v>
      </c>
      <c r="B1475" t="s">
        <v>88</v>
      </c>
      <c r="C1475">
        <v>7</v>
      </c>
      <c r="D1475" t="s">
        <v>203</v>
      </c>
      <c r="E1475">
        <v>69</v>
      </c>
      <c r="F1475" t="s">
        <v>9861</v>
      </c>
      <c r="G1475">
        <v>2</v>
      </c>
      <c r="H1475" t="s">
        <v>9862</v>
      </c>
      <c r="I1475" s="45" t="s">
        <v>6754</v>
      </c>
      <c r="J1475" s="122">
        <v>45714</v>
      </c>
      <c r="K1475" s="110" t="str">
        <f t="shared" si="19"/>
        <v>https://Estud2024.sawtoothsoftware.com/cgi-bin/ciwweb.pl?studyname=Estud2024&amp;ID=1475</v>
      </c>
      <c r="L1475" s="113">
        <v>45715</v>
      </c>
      <c r="M1475" s="45" t="s">
        <v>247</v>
      </c>
    </row>
    <row r="1476" spans="1:13">
      <c r="A1476">
        <v>1476</v>
      </c>
      <c r="B1476" t="s">
        <v>88</v>
      </c>
      <c r="C1476">
        <v>7</v>
      </c>
      <c r="D1476" t="s">
        <v>203</v>
      </c>
      <c r="E1476">
        <v>69</v>
      </c>
      <c r="F1476" t="s">
        <v>9863</v>
      </c>
      <c r="G1476">
        <v>2</v>
      </c>
      <c r="H1476" t="s">
        <v>9864</v>
      </c>
      <c r="I1476" s="45" t="s">
        <v>6754</v>
      </c>
      <c r="J1476" s="122">
        <v>45714</v>
      </c>
      <c r="K1476" s="110" t="str">
        <f t="shared" si="19"/>
        <v>https://Estud2024.sawtoothsoftware.com/cgi-bin/ciwweb.pl?studyname=Estud2024&amp;ID=1476</v>
      </c>
      <c r="L1476" s="113">
        <v>45715</v>
      </c>
      <c r="M1476" s="45" t="s">
        <v>247</v>
      </c>
    </row>
    <row r="1477" spans="1:13">
      <c r="A1477">
        <v>1477</v>
      </c>
      <c r="B1477" t="s">
        <v>88</v>
      </c>
      <c r="C1477">
        <v>7</v>
      </c>
      <c r="D1477" t="s">
        <v>203</v>
      </c>
      <c r="E1477">
        <v>69</v>
      </c>
      <c r="F1477" t="s">
        <v>9865</v>
      </c>
      <c r="G1477">
        <v>2</v>
      </c>
      <c r="H1477" t="s">
        <v>9866</v>
      </c>
      <c r="I1477" s="45" t="s">
        <v>6754</v>
      </c>
      <c r="J1477" s="122">
        <v>45714</v>
      </c>
      <c r="K1477" s="110" t="str">
        <f t="shared" si="19"/>
        <v>https://Estud2024.sawtoothsoftware.com/cgi-bin/ciwweb.pl?studyname=Estud2024&amp;ID=1477</v>
      </c>
      <c r="L1477" s="113">
        <v>45715</v>
      </c>
      <c r="M1477" s="45" t="s">
        <v>247</v>
      </c>
    </row>
    <row r="1478" spans="1:13">
      <c r="A1478">
        <v>1478</v>
      </c>
      <c r="B1478" t="s">
        <v>88</v>
      </c>
      <c r="C1478">
        <v>7</v>
      </c>
      <c r="D1478" t="s">
        <v>203</v>
      </c>
      <c r="E1478">
        <v>69</v>
      </c>
      <c r="F1478" t="s">
        <v>9867</v>
      </c>
      <c r="G1478">
        <v>2</v>
      </c>
      <c r="H1478" t="s">
        <v>9868</v>
      </c>
      <c r="I1478" s="45" t="s">
        <v>6754</v>
      </c>
      <c r="J1478" s="122">
        <v>45714</v>
      </c>
      <c r="K1478" s="110" t="str">
        <f t="shared" si="19"/>
        <v>https://Estud2024.sawtoothsoftware.com/cgi-bin/ciwweb.pl?studyname=Estud2024&amp;ID=1478</v>
      </c>
      <c r="L1478" s="113">
        <v>45715</v>
      </c>
      <c r="M1478" s="45" t="s">
        <v>247</v>
      </c>
    </row>
    <row r="1479" spans="1:13">
      <c r="A1479">
        <v>1479</v>
      </c>
      <c r="B1479" t="s">
        <v>88</v>
      </c>
      <c r="C1479">
        <v>7</v>
      </c>
      <c r="D1479" t="s">
        <v>203</v>
      </c>
      <c r="E1479">
        <v>69</v>
      </c>
      <c r="F1479" t="s">
        <v>9869</v>
      </c>
      <c r="G1479">
        <v>2</v>
      </c>
      <c r="H1479" t="s">
        <v>9870</v>
      </c>
      <c r="I1479" s="45" t="s">
        <v>6754</v>
      </c>
      <c r="J1479" s="122">
        <v>45714</v>
      </c>
      <c r="K1479" s="110" t="str">
        <f t="shared" si="19"/>
        <v>https://Estud2024.sawtoothsoftware.com/cgi-bin/ciwweb.pl?studyname=Estud2024&amp;ID=1479</v>
      </c>
      <c r="L1479" s="113">
        <v>45715</v>
      </c>
      <c r="M1479" s="45" t="s">
        <v>247</v>
      </c>
    </row>
    <row r="1480" spans="1:13">
      <c r="A1480">
        <v>1480</v>
      </c>
      <c r="B1480" t="s">
        <v>88</v>
      </c>
      <c r="C1480">
        <v>7</v>
      </c>
      <c r="D1480" t="s">
        <v>203</v>
      </c>
      <c r="E1480">
        <v>69</v>
      </c>
      <c r="F1480" t="s">
        <v>9871</v>
      </c>
      <c r="G1480">
        <v>2</v>
      </c>
      <c r="H1480" t="s">
        <v>9872</v>
      </c>
      <c r="I1480" s="45" t="s">
        <v>6754</v>
      </c>
      <c r="J1480" s="122">
        <v>45714</v>
      </c>
      <c r="K1480" s="110" t="str">
        <f t="shared" si="19"/>
        <v>https://Estud2024.sawtoothsoftware.com/cgi-bin/ciwweb.pl?studyname=Estud2024&amp;ID=1480</v>
      </c>
      <c r="L1480" s="113">
        <v>45715</v>
      </c>
      <c r="M1480" s="45" t="s">
        <v>247</v>
      </c>
    </row>
    <row r="1481" spans="1:13">
      <c r="A1481">
        <v>1481</v>
      </c>
      <c r="B1481" t="s">
        <v>88</v>
      </c>
      <c r="C1481">
        <v>7</v>
      </c>
      <c r="D1481" t="s">
        <v>203</v>
      </c>
      <c r="E1481">
        <v>69</v>
      </c>
      <c r="F1481" t="s">
        <v>9873</v>
      </c>
      <c r="G1481">
        <v>2</v>
      </c>
      <c r="H1481" t="s">
        <v>9874</v>
      </c>
      <c r="I1481" s="45" t="s">
        <v>6754</v>
      </c>
      <c r="J1481" s="122">
        <v>45714</v>
      </c>
      <c r="K1481" s="110" t="str">
        <f t="shared" si="19"/>
        <v>https://Estud2024.sawtoothsoftware.com/cgi-bin/ciwweb.pl?studyname=Estud2024&amp;ID=1481</v>
      </c>
      <c r="L1481" s="113">
        <v>45715</v>
      </c>
      <c r="M1481" s="45" t="s">
        <v>247</v>
      </c>
    </row>
    <row r="1482" spans="1:13">
      <c r="A1482">
        <v>1482</v>
      </c>
      <c r="B1482" t="s">
        <v>88</v>
      </c>
      <c r="C1482">
        <v>7</v>
      </c>
      <c r="D1482" t="s">
        <v>203</v>
      </c>
      <c r="E1482">
        <v>69</v>
      </c>
      <c r="F1482" t="s">
        <v>9875</v>
      </c>
      <c r="G1482">
        <v>2</v>
      </c>
      <c r="H1482" t="s">
        <v>9876</v>
      </c>
      <c r="I1482" s="45" t="s">
        <v>6754</v>
      </c>
      <c r="J1482" s="122">
        <v>45714</v>
      </c>
      <c r="K1482" s="110" t="str">
        <f t="shared" si="19"/>
        <v>https://Estud2024.sawtoothsoftware.com/cgi-bin/ciwweb.pl?studyname=Estud2024&amp;ID=1482</v>
      </c>
      <c r="L1482" s="113">
        <v>45715</v>
      </c>
      <c r="M1482" s="45" t="s">
        <v>247</v>
      </c>
    </row>
    <row r="1483" spans="1:13">
      <c r="A1483">
        <v>1483</v>
      </c>
      <c r="B1483" t="s">
        <v>88</v>
      </c>
      <c r="C1483">
        <v>7</v>
      </c>
      <c r="D1483" t="s">
        <v>203</v>
      </c>
      <c r="E1483">
        <v>69</v>
      </c>
      <c r="F1483" t="s">
        <v>9877</v>
      </c>
      <c r="G1483">
        <v>3</v>
      </c>
      <c r="H1483" t="s">
        <v>9878</v>
      </c>
      <c r="I1483" s="45" t="s">
        <v>6754</v>
      </c>
      <c r="J1483" s="122">
        <v>45714</v>
      </c>
      <c r="K1483" s="110" t="str">
        <f t="shared" si="19"/>
        <v>https://Estud2024.sawtoothsoftware.com/cgi-bin/ciwweb.pl?studyname=Estud2024&amp;ID=1483</v>
      </c>
      <c r="L1483" s="113">
        <v>45715</v>
      </c>
      <c r="M1483" s="45" t="s">
        <v>247</v>
      </c>
    </row>
    <row r="1484" spans="1:13">
      <c r="A1484">
        <v>1484</v>
      </c>
      <c r="B1484" t="s">
        <v>88</v>
      </c>
      <c r="C1484">
        <v>7</v>
      </c>
      <c r="D1484" t="s">
        <v>203</v>
      </c>
      <c r="E1484">
        <v>69</v>
      </c>
      <c r="F1484" t="s">
        <v>9879</v>
      </c>
      <c r="G1484">
        <v>3</v>
      </c>
      <c r="H1484" t="s">
        <v>9880</v>
      </c>
      <c r="I1484" s="45" t="s">
        <v>6754</v>
      </c>
      <c r="J1484" s="122">
        <v>45714</v>
      </c>
      <c r="K1484" s="110" t="str">
        <f t="shared" si="19"/>
        <v>https://Estud2024.sawtoothsoftware.com/cgi-bin/ciwweb.pl?studyname=Estud2024&amp;ID=1484</v>
      </c>
      <c r="L1484" s="113">
        <v>45715</v>
      </c>
      <c r="M1484" s="45" t="s">
        <v>247</v>
      </c>
    </row>
    <row r="1485" spans="1:13">
      <c r="A1485">
        <v>1485</v>
      </c>
      <c r="B1485" t="s">
        <v>88</v>
      </c>
      <c r="C1485">
        <v>7</v>
      </c>
      <c r="D1485" t="s">
        <v>203</v>
      </c>
      <c r="E1485">
        <v>69</v>
      </c>
      <c r="F1485" t="s">
        <v>9881</v>
      </c>
      <c r="G1485">
        <v>3</v>
      </c>
      <c r="H1485" t="s">
        <v>9882</v>
      </c>
      <c r="I1485" s="45" t="s">
        <v>6754</v>
      </c>
      <c r="J1485" s="122">
        <v>45714</v>
      </c>
      <c r="K1485" s="110" t="str">
        <f t="shared" si="19"/>
        <v>https://Estud2024.sawtoothsoftware.com/cgi-bin/ciwweb.pl?studyname=Estud2024&amp;ID=1485</v>
      </c>
      <c r="L1485" s="113">
        <v>45715</v>
      </c>
      <c r="M1485" s="45" t="s">
        <v>246</v>
      </c>
    </row>
    <row r="1486" spans="1:13">
      <c r="A1486">
        <v>1486</v>
      </c>
      <c r="B1486" t="s">
        <v>88</v>
      </c>
      <c r="C1486">
        <v>7</v>
      </c>
      <c r="D1486" t="s">
        <v>203</v>
      </c>
      <c r="E1486">
        <v>69</v>
      </c>
      <c r="F1486" t="s">
        <v>9883</v>
      </c>
      <c r="G1486">
        <v>3</v>
      </c>
      <c r="H1486" t="s">
        <v>9884</v>
      </c>
      <c r="I1486" s="45" t="s">
        <v>6754</v>
      </c>
      <c r="J1486" s="122">
        <v>45714</v>
      </c>
      <c r="K1486" s="110" t="str">
        <f t="shared" si="19"/>
        <v>https://Estud2024.sawtoothsoftware.com/cgi-bin/ciwweb.pl?studyname=Estud2024&amp;ID=1486</v>
      </c>
      <c r="L1486" s="113">
        <v>45715</v>
      </c>
      <c r="M1486" s="45" t="s">
        <v>246</v>
      </c>
    </row>
    <row r="1487" spans="1:13">
      <c r="A1487">
        <v>1487</v>
      </c>
      <c r="B1487" t="s">
        <v>88</v>
      </c>
      <c r="C1487">
        <v>7</v>
      </c>
      <c r="D1487" t="s">
        <v>203</v>
      </c>
      <c r="E1487">
        <v>69</v>
      </c>
      <c r="F1487" t="s">
        <v>9885</v>
      </c>
      <c r="G1487">
        <v>3</v>
      </c>
      <c r="H1487" t="s">
        <v>9886</v>
      </c>
      <c r="I1487" s="45" t="s">
        <v>6754</v>
      </c>
      <c r="J1487" s="122">
        <v>45714</v>
      </c>
      <c r="K1487" s="110" t="str">
        <f t="shared" si="19"/>
        <v>https://Estud2024.sawtoothsoftware.com/cgi-bin/ciwweb.pl?studyname=Estud2024&amp;ID=1487</v>
      </c>
      <c r="L1487" s="113">
        <v>45715</v>
      </c>
      <c r="M1487" s="45" t="s">
        <v>247</v>
      </c>
    </row>
    <row r="1488" spans="1:13">
      <c r="A1488">
        <v>1488</v>
      </c>
      <c r="B1488" t="s">
        <v>88</v>
      </c>
      <c r="C1488">
        <v>7</v>
      </c>
      <c r="D1488" t="s">
        <v>203</v>
      </c>
      <c r="E1488">
        <v>69</v>
      </c>
      <c r="F1488" t="s">
        <v>9887</v>
      </c>
      <c r="G1488">
        <v>3</v>
      </c>
      <c r="H1488" t="s">
        <v>9888</v>
      </c>
      <c r="I1488" s="45" t="s">
        <v>6754</v>
      </c>
      <c r="J1488" s="122">
        <v>45714</v>
      </c>
      <c r="K1488" s="110" t="str">
        <f t="shared" si="19"/>
        <v>https://Estud2024.sawtoothsoftware.com/cgi-bin/ciwweb.pl?studyname=Estud2024&amp;ID=1488</v>
      </c>
      <c r="L1488" s="113">
        <v>45715</v>
      </c>
      <c r="M1488" s="45" t="s">
        <v>247</v>
      </c>
    </row>
    <row r="1489" spans="1:13">
      <c r="A1489">
        <v>1489</v>
      </c>
      <c r="B1489" t="s">
        <v>88</v>
      </c>
      <c r="C1489">
        <v>7</v>
      </c>
      <c r="D1489" t="s">
        <v>203</v>
      </c>
      <c r="E1489">
        <v>69</v>
      </c>
      <c r="F1489" t="s">
        <v>9889</v>
      </c>
      <c r="G1489">
        <v>3</v>
      </c>
      <c r="H1489" t="s">
        <v>9890</v>
      </c>
      <c r="I1489" s="45" t="s">
        <v>6754</v>
      </c>
      <c r="J1489" s="122">
        <v>45714</v>
      </c>
      <c r="K1489" s="110" t="str">
        <f t="shared" si="19"/>
        <v>https://Estud2024.sawtoothsoftware.com/cgi-bin/ciwweb.pl?studyname=Estud2024&amp;ID=1489</v>
      </c>
      <c r="L1489" s="113">
        <v>45715</v>
      </c>
      <c r="M1489" s="45" t="s">
        <v>247</v>
      </c>
    </row>
    <row r="1490" spans="1:13">
      <c r="A1490">
        <v>1490</v>
      </c>
      <c r="B1490" t="s">
        <v>88</v>
      </c>
      <c r="C1490">
        <v>7</v>
      </c>
      <c r="D1490" t="s">
        <v>203</v>
      </c>
      <c r="E1490">
        <v>69</v>
      </c>
      <c r="F1490" t="s">
        <v>9891</v>
      </c>
      <c r="G1490">
        <v>3</v>
      </c>
      <c r="H1490" t="s">
        <v>9892</v>
      </c>
      <c r="I1490" s="45" t="s">
        <v>6754</v>
      </c>
      <c r="J1490" s="122">
        <v>45714</v>
      </c>
      <c r="K1490" s="110" t="str">
        <f t="shared" si="19"/>
        <v>https://Estud2024.sawtoothsoftware.com/cgi-bin/ciwweb.pl?studyname=Estud2024&amp;ID=1490</v>
      </c>
      <c r="L1490" s="113">
        <v>45715</v>
      </c>
      <c r="M1490" s="45" t="s">
        <v>246</v>
      </c>
    </row>
    <row r="1491" spans="1:13">
      <c r="A1491">
        <v>1491</v>
      </c>
      <c r="B1491" t="s">
        <v>88</v>
      </c>
      <c r="C1491">
        <v>7</v>
      </c>
      <c r="D1491" t="s">
        <v>203</v>
      </c>
      <c r="E1491">
        <v>69</v>
      </c>
      <c r="F1491" t="s">
        <v>9893</v>
      </c>
      <c r="G1491">
        <v>3</v>
      </c>
      <c r="H1491" t="s">
        <v>9894</v>
      </c>
      <c r="I1491" s="45" t="s">
        <v>6754</v>
      </c>
      <c r="J1491" s="122">
        <v>45714</v>
      </c>
      <c r="K1491" s="110" t="str">
        <f t="shared" si="19"/>
        <v>https://Estud2024.sawtoothsoftware.com/cgi-bin/ciwweb.pl?studyname=Estud2024&amp;ID=1491</v>
      </c>
      <c r="L1491" s="113">
        <v>45715</v>
      </c>
      <c r="M1491" s="45" t="s">
        <v>247</v>
      </c>
    </row>
    <row r="1492" spans="1:13">
      <c r="A1492">
        <v>1492</v>
      </c>
      <c r="B1492" t="s">
        <v>88</v>
      </c>
      <c r="C1492">
        <v>7</v>
      </c>
      <c r="D1492" t="s">
        <v>203</v>
      </c>
      <c r="E1492">
        <v>69</v>
      </c>
      <c r="F1492" t="s">
        <v>9895</v>
      </c>
      <c r="G1492">
        <v>3</v>
      </c>
      <c r="H1492" t="s">
        <v>9896</v>
      </c>
      <c r="I1492" s="45" t="s">
        <v>6754</v>
      </c>
      <c r="J1492" s="122">
        <v>45714</v>
      </c>
      <c r="K1492" s="110" t="str">
        <f t="shared" si="19"/>
        <v>https://Estud2024.sawtoothsoftware.com/cgi-bin/ciwweb.pl?studyname=Estud2024&amp;ID=1492</v>
      </c>
      <c r="L1492" s="113">
        <v>45715</v>
      </c>
      <c r="M1492" s="45" t="s">
        <v>247</v>
      </c>
    </row>
    <row r="1493" spans="1:13">
      <c r="A1493">
        <v>1493</v>
      </c>
      <c r="B1493" t="s">
        <v>88</v>
      </c>
      <c r="C1493">
        <v>7</v>
      </c>
      <c r="D1493" t="s">
        <v>203</v>
      </c>
      <c r="E1493">
        <v>69</v>
      </c>
      <c r="F1493" t="s">
        <v>9897</v>
      </c>
      <c r="G1493">
        <v>3</v>
      </c>
      <c r="H1493" t="s">
        <v>9898</v>
      </c>
      <c r="I1493" s="45" t="s">
        <v>6754</v>
      </c>
      <c r="J1493" s="122">
        <v>45714</v>
      </c>
      <c r="K1493" s="110" t="str">
        <f t="shared" si="19"/>
        <v>https://Estud2024.sawtoothsoftware.com/cgi-bin/ciwweb.pl?studyname=Estud2024&amp;ID=1493</v>
      </c>
      <c r="L1493" s="113">
        <v>45715</v>
      </c>
      <c r="M1493" s="45" t="s">
        <v>247</v>
      </c>
    </row>
    <row r="1494" spans="1:13">
      <c r="A1494">
        <v>1494</v>
      </c>
      <c r="B1494" t="s">
        <v>88</v>
      </c>
      <c r="C1494">
        <v>7</v>
      </c>
      <c r="D1494" t="s">
        <v>203</v>
      </c>
      <c r="E1494">
        <v>69</v>
      </c>
      <c r="F1494" t="s">
        <v>9899</v>
      </c>
      <c r="G1494">
        <v>3</v>
      </c>
      <c r="H1494" t="s">
        <v>9900</v>
      </c>
      <c r="I1494" s="45" t="s">
        <v>6754</v>
      </c>
      <c r="J1494" s="122">
        <v>45714</v>
      </c>
      <c r="K1494" s="110" t="str">
        <f t="shared" ref="K1494:K1557" si="20">CONCATENATE("https://Estud2024.sawtoothsoftware.com/cgi-bin/ciwweb.pl?studyname=Estud2024&amp;ID=",A1494)</f>
        <v>https://Estud2024.sawtoothsoftware.com/cgi-bin/ciwweb.pl?studyname=Estud2024&amp;ID=1494</v>
      </c>
      <c r="L1494" s="113">
        <v>45715</v>
      </c>
      <c r="M1494" s="45" t="s">
        <v>246</v>
      </c>
    </row>
    <row r="1495" spans="1:13">
      <c r="A1495">
        <v>1495</v>
      </c>
      <c r="B1495" t="s">
        <v>88</v>
      </c>
      <c r="C1495">
        <v>7</v>
      </c>
      <c r="D1495" t="s">
        <v>203</v>
      </c>
      <c r="E1495">
        <v>69</v>
      </c>
      <c r="F1495" t="s">
        <v>9901</v>
      </c>
      <c r="G1495">
        <v>3</v>
      </c>
      <c r="H1495" t="s">
        <v>9902</v>
      </c>
      <c r="I1495" s="45" t="s">
        <v>6754</v>
      </c>
      <c r="J1495" s="122">
        <v>45714</v>
      </c>
      <c r="K1495" s="110" t="str">
        <f t="shared" si="20"/>
        <v>https://Estud2024.sawtoothsoftware.com/cgi-bin/ciwweb.pl?studyname=Estud2024&amp;ID=1495</v>
      </c>
      <c r="L1495" s="113">
        <v>45715</v>
      </c>
      <c r="M1495" s="45" t="s">
        <v>247</v>
      </c>
    </row>
    <row r="1496" spans="1:13">
      <c r="A1496">
        <v>1496</v>
      </c>
      <c r="B1496" t="s">
        <v>88</v>
      </c>
      <c r="C1496">
        <v>7</v>
      </c>
      <c r="D1496" t="s">
        <v>203</v>
      </c>
      <c r="E1496">
        <v>69</v>
      </c>
      <c r="F1496" t="s">
        <v>9903</v>
      </c>
      <c r="G1496">
        <v>3</v>
      </c>
      <c r="H1496" t="s">
        <v>9904</v>
      </c>
      <c r="I1496" s="45" t="s">
        <v>6754</v>
      </c>
      <c r="J1496" s="122">
        <v>45714</v>
      </c>
      <c r="K1496" s="110" t="str">
        <f t="shared" si="20"/>
        <v>https://Estud2024.sawtoothsoftware.com/cgi-bin/ciwweb.pl?studyname=Estud2024&amp;ID=1496</v>
      </c>
      <c r="L1496" s="113">
        <v>45715</v>
      </c>
      <c r="M1496" s="45" t="s">
        <v>247</v>
      </c>
    </row>
    <row r="1497" spans="1:13">
      <c r="A1497">
        <v>1497</v>
      </c>
      <c r="B1497" t="s">
        <v>88</v>
      </c>
      <c r="C1497">
        <v>7</v>
      </c>
      <c r="D1497" t="s">
        <v>203</v>
      </c>
      <c r="E1497">
        <v>69</v>
      </c>
      <c r="F1497" t="s">
        <v>9905</v>
      </c>
      <c r="G1497">
        <v>3</v>
      </c>
      <c r="H1497" t="s">
        <v>9906</v>
      </c>
      <c r="I1497" s="45" t="s">
        <v>6754</v>
      </c>
      <c r="J1497" s="122">
        <v>45714</v>
      </c>
      <c r="K1497" s="110" t="str">
        <f t="shared" si="20"/>
        <v>https://Estud2024.sawtoothsoftware.com/cgi-bin/ciwweb.pl?studyname=Estud2024&amp;ID=1497</v>
      </c>
      <c r="L1497" s="113">
        <v>45715</v>
      </c>
      <c r="M1497" s="45" t="s">
        <v>247</v>
      </c>
    </row>
    <row r="1498" spans="1:13">
      <c r="A1498">
        <v>1498</v>
      </c>
      <c r="B1498" t="s">
        <v>88</v>
      </c>
      <c r="C1498">
        <v>7</v>
      </c>
      <c r="D1498" t="s">
        <v>203</v>
      </c>
      <c r="E1498">
        <v>69</v>
      </c>
      <c r="F1498" t="s">
        <v>9907</v>
      </c>
      <c r="G1498">
        <v>3</v>
      </c>
      <c r="H1498" t="s">
        <v>9908</v>
      </c>
      <c r="I1498" s="45" t="s">
        <v>6754</v>
      </c>
      <c r="J1498" s="122">
        <v>45714</v>
      </c>
      <c r="K1498" s="110" t="str">
        <f t="shared" si="20"/>
        <v>https://Estud2024.sawtoothsoftware.com/cgi-bin/ciwweb.pl?studyname=Estud2024&amp;ID=1498</v>
      </c>
      <c r="L1498" s="113">
        <v>45715</v>
      </c>
      <c r="M1498" s="45" t="s">
        <v>247</v>
      </c>
    </row>
    <row r="1499" spans="1:13">
      <c r="A1499">
        <v>1499</v>
      </c>
      <c r="B1499" t="s">
        <v>88</v>
      </c>
      <c r="C1499">
        <v>7</v>
      </c>
      <c r="D1499" t="s">
        <v>203</v>
      </c>
      <c r="E1499">
        <v>69</v>
      </c>
      <c r="F1499" t="s">
        <v>9909</v>
      </c>
      <c r="G1499">
        <v>3</v>
      </c>
      <c r="H1499" t="s">
        <v>9910</v>
      </c>
      <c r="I1499" s="45" t="s">
        <v>6754</v>
      </c>
      <c r="J1499" s="122">
        <v>45714</v>
      </c>
      <c r="K1499" s="110" t="str">
        <f t="shared" si="20"/>
        <v>https://Estud2024.sawtoothsoftware.com/cgi-bin/ciwweb.pl?studyname=Estud2024&amp;ID=1499</v>
      </c>
      <c r="L1499" s="113">
        <v>45715</v>
      </c>
      <c r="M1499" s="45" t="s">
        <v>247</v>
      </c>
    </row>
    <row r="1500" spans="1:13">
      <c r="A1500">
        <v>1500</v>
      </c>
      <c r="B1500" t="s">
        <v>88</v>
      </c>
      <c r="C1500">
        <v>7</v>
      </c>
      <c r="D1500" t="s">
        <v>203</v>
      </c>
      <c r="E1500">
        <v>69</v>
      </c>
      <c r="F1500" t="s">
        <v>9911</v>
      </c>
      <c r="G1500">
        <v>3</v>
      </c>
      <c r="H1500" t="s">
        <v>9912</v>
      </c>
      <c r="I1500" s="45" t="s">
        <v>6754</v>
      </c>
      <c r="J1500" s="122">
        <v>45714</v>
      </c>
      <c r="K1500" s="110" t="str">
        <f t="shared" si="20"/>
        <v>https://Estud2024.sawtoothsoftware.com/cgi-bin/ciwweb.pl?studyname=Estud2024&amp;ID=1500</v>
      </c>
      <c r="L1500" s="113">
        <v>45715</v>
      </c>
      <c r="M1500" s="45" t="s">
        <v>247</v>
      </c>
    </row>
    <row r="1501" spans="1:13">
      <c r="A1501">
        <v>1501</v>
      </c>
      <c r="B1501" t="s">
        <v>88</v>
      </c>
      <c r="C1501">
        <v>7</v>
      </c>
      <c r="D1501" t="s">
        <v>203</v>
      </c>
      <c r="E1501">
        <v>69</v>
      </c>
      <c r="F1501" t="s">
        <v>9913</v>
      </c>
      <c r="G1501">
        <v>3</v>
      </c>
      <c r="H1501" t="s">
        <v>9914</v>
      </c>
      <c r="I1501" s="45" t="s">
        <v>6754</v>
      </c>
      <c r="J1501" s="122">
        <v>45714</v>
      </c>
      <c r="K1501" s="110" t="str">
        <f t="shared" si="20"/>
        <v>https://Estud2024.sawtoothsoftware.com/cgi-bin/ciwweb.pl?studyname=Estud2024&amp;ID=1501</v>
      </c>
      <c r="L1501" s="113">
        <v>45715</v>
      </c>
      <c r="M1501" s="45" t="s">
        <v>247</v>
      </c>
    </row>
    <row r="1502" spans="1:13">
      <c r="A1502">
        <v>1502</v>
      </c>
      <c r="B1502" t="s">
        <v>88</v>
      </c>
      <c r="C1502">
        <v>7</v>
      </c>
      <c r="D1502" t="s">
        <v>203</v>
      </c>
      <c r="E1502">
        <v>69</v>
      </c>
      <c r="F1502" t="s">
        <v>9915</v>
      </c>
      <c r="G1502">
        <v>3</v>
      </c>
      <c r="H1502" t="s">
        <v>9916</v>
      </c>
      <c r="I1502" s="45" t="s">
        <v>6754</v>
      </c>
      <c r="J1502" s="122">
        <v>45714</v>
      </c>
      <c r="K1502" s="110" t="str">
        <f t="shared" si="20"/>
        <v>https://Estud2024.sawtoothsoftware.com/cgi-bin/ciwweb.pl?studyname=Estud2024&amp;ID=1502</v>
      </c>
      <c r="L1502" s="113">
        <v>45715</v>
      </c>
      <c r="M1502" s="45" t="s">
        <v>247</v>
      </c>
    </row>
    <row r="1503" spans="1:13">
      <c r="A1503">
        <v>1503</v>
      </c>
      <c r="B1503" t="s">
        <v>88</v>
      </c>
      <c r="C1503">
        <v>7</v>
      </c>
      <c r="D1503" t="s">
        <v>203</v>
      </c>
      <c r="E1503">
        <v>69</v>
      </c>
      <c r="F1503" t="s">
        <v>9917</v>
      </c>
      <c r="G1503">
        <v>3</v>
      </c>
      <c r="H1503" t="s">
        <v>9918</v>
      </c>
      <c r="I1503" s="45" t="s">
        <v>6754</v>
      </c>
      <c r="J1503" s="122">
        <v>45714</v>
      </c>
      <c r="K1503" s="110" t="str">
        <f t="shared" si="20"/>
        <v>https://Estud2024.sawtoothsoftware.com/cgi-bin/ciwweb.pl?studyname=Estud2024&amp;ID=1503</v>
      </c>
      <c r="L1503" s="113">
        <v>45715</v>
      </c>
      <c r="M1503" s="45" t="s">
        <v>247</v>
      </c>
    </row>
    <row r="1504" spans="1:13">
      <c r="A1504">
        <v>1504</v>
      </c>
      <c r="B1504" t="s">
        <v>88</v>
      </c>
      <c r="C1504">
        <v>7</v>
      </c>
      <c r="D1504" t="s">
        <v>203</v>
      </c>
      <c r="E1504">
        <v>69</v>
      </c>
      <c r="F1504" t="s">
        <v>9919</v>
      </c>
      <c r="G1504">
        <v>3</v>
      </c>
      <c r="H1504" t="s">
        <v>9920</v>
      </c>
      <c r="I1504" s="45" t="s">
        <v>6754</v>
      </c>
      <c r="J1504" s="122">
        <v>45714</v>
      </c>
      <c r="K1504" s="110" t="str">
        <f t="shared" si="20"/>
        <v>https://Estud2024.sawtoothsoftware.com/cgi-bin/ciwweb.pl?studyname=Estud2024&amp;ID=1504</v>
      </c>
      <c r="L1504" s="113">
        <v>45715</v>
      </c>
      <c r="M1504" s="45" t="s">
        <v>247</v>
      </c>
    </row>
    <row r="1505" spans="1:13">
      <c r="A1505">
        <v>1505</v>
      </c>
      <c r="B1505" t="s">
        <v>88</v>
      </c>
      <c r="C1505">
        <v>7</v>
      </c>
      <c r="D1505" t="s">
        <v>203</v>
      </c>
      <c r="E1505">
        <v>69</v>
      </c>
      <c r="F1505" t="s">
        <v>9921</v>
      </c>
      <c r="G1505">
        <v>3</v>
      </c>
      <c r="H1505" t="s">
        <v>9922</v>
      </c>
      <c r="I1505" s="45" t="s">
        <v>6754</v>
      </c>
      <c r="J1505" s="122">
        <v>45714</v>
      </c>
      <c r="K1505" s="110" t="str">
        <f t="shared" si="20"/>
        <v>https://Estud2024.sawtoothsoftware.com/cgi-bin/ciwweb.pl?studyname=Estud2024&amp;ID=1505</v>
      </c>
      <c r="L1505" s="113">
        <v>45715</v>
      </c>
      <c r="M1505" s="45" t="s">
        <v>247</v>
      </c>
    </row>
    <row r="1506" spans="1:13">
      <c r="A1506">
        <v>1506</v>
      </c>
      <c r="B1506" t="s">
        <v>88</v>
      </c>
      <c r="C1506">
        <v>7</v>
      </c>
      <c r="D1506" t="s">
        <v>203</v>
      </c>
      <c r="E1506">
        <v>69</v>
      </c>
      <c r="F1506" t="s">
        <v>9923</v>
      </c>
      <c r="G1506">
        <v>3</v>
      </c>
      <c r="H1506" t="s">
        <v>9924</v>
      </c>
      <c r="I1506" s="45" t="s">
        <v>6754</v>
      </c>
      <c r="J1506" s="122">
        <v>45714</v>
      </c>
      <c r="K1506" s="110" t="str">
        <f t="shared" si="20"/>
        <v>https://Estud2024.sawtoothsoftware.com/cgi-bin/ciwweb.pl?studyname=Estud2024&amp;ID=1506</v>
      </c>
      <c r="L1506" s="113">
        <v>45715</v>
      </c>
      <c r="M1506" s="45" t="s">
        <v>247</v>
      </c>
    </row>
    <row r="1507" spans="1:13">
      <c r="A1507">
        <v>1507</v>
      </c>
      <c r="B1507" t="s">
        <v>90</v>
      </c>
      <c r="C1507">
        <v>1</v>
      </c>
      <c r="D1507" t="s">
        <v>195</v>
      </c>
      <c r="E1507">
        <v>77</v>
      </c>
      <c r="F1507" t="s">
        <v>9925</v>
      </c>
      <c r="G1507">
        <v>2</v>
      </c>
      <c r="H1507" t="s">
        <v>9926</v>
      </c>
      <c r="I1507" s="45" t="s">
        <v>6754</v>
      </c>
      <c r="J1507" s="122">
        <v>45719</v>
      </c>
      <c r="K1507" s="110" t="str">
        <f t="shared" si="20"/>
        <v>https://Estud2024.sawtoothsoftware.com/cgi-bin/ciwweb.pl?studyname=Estud2024&amp;ID=1507</v>
      </c>
      <c r="L1507" s="113">
        <v>45727</v>
      </c>
      <c r="M1507" s="45" t="s">
        <v>247</v>
      </c>
    </row>
    <row r="1508" spans="1:13">
      <c r="A1508">
        <v>1508</v>
      </c>
      <c r="B1508" t="s">
        <v>90</v>
      </c>
      <c r="C1508">
        <v>1</v>
      </c>
      <c r="D1508" t="s">
        <v>195</v>
      </c>
      <c r="E1508">
        <v>77</v>
      </c>
      <c r="F1508" t="s">
        <v>9927</v>
      </c>
      <c r="G1508">
        <v>2</v>
      </c>
      <c r="H1508" t="s">
        <v>9928</v>
      </c>
      <c r="I1508" s="45" t="s">
        <v>6754</v>
      </c>
      <c r="J1508" s="122">
        <v>45719</v>
      </c>
      <c r="K1508" s="110" t="str">
        <f t="shared" si="20"/>
        <v>https://Estud2024.sawtoothsoftware.com/cgi-bin/ciwweb.pl?studyname=Estud2024&amp;ID=1508</v>
      </c>
      <c r="L1508" s="113">
        <v>45727</v>
      </c>
      <c r="M1508" s="45" t="s">
        <v>247</v>
      </c>
    </row>
    <row r="1509" spans="1:13">
      <c r="A1509">
        <v>1509</v>
      </c>
      <c r="B1509" t="s">
        <v>90</v>
      </c>
      <c r="C1509">
        <v>1</v>
      </c>
      <c r="D1509" t="s">
        <v>195</v>
      </c>
      <c r="E1509">
        <v>77</v>
      </c>
      <c r="F1509" t="s">
        <v>9929</v>
      </c>
      <c r="G1509">
        <v>2</v>
      </c>
      <c r="H1509" t="s">
        <v>9930</v>
      </c>
      <c r="I1509" s="45" t="s">
        <v>6754</v>
      </c>
      <c r="J1509" s="122">
        <v>45719</v>
      </c>
      <c r="K1509" s="110" t="str">
        <f t="shared" si="20"/>
        <v>https://Estud2024.sawtoothsoftware.com/cgi-bin/ciwweb.pl?studyname=Estud2024&amp;ID=1509</v>
      </c>
      <c r="L1509" s="113">
        <v>45727</v>
      </c>
      <c r="M1509" s="45" t="s">
        <v>247</v>
      </c>
    </row>
    <row r="1510" spans="1:13">
      <c r="A1510">
        <v>1510</v>
      </c>
      <c r="B1510" t="s">
        <v>90</v>
      </c>
      <c r="C1510">
        <v>1</v>
      </c>
      <c r="D1510" t="s">
        <v>195</v>
      </c>
      <c r="E1510">
        <v>77</v>
      </c>
      <c r="F1510" t="s">
        <v>9931</v>
      </c>
      <c r="G1510">
        <v>2</v>
      </c>
      <c r="H1510" t="s">
        <v>9932</v>
      </c>
      <c r="I1510" s="45" t="s">
        <v>6754</v>
      </c>
      <c r="J1510" s="122">
        <v>45719</v>
      </c>
      <c r="K1510" s="110" t="str">
        <f t="shared" si="20"/>
        <v>https://Estud2024.sawtoothsoftware.com/cgi-bin/ciwweb.pl?studyname=Estud2024&amp;ID=1510</v>
      </c>
      <c r="L1510" s="113">
        <v>45727</v>
      </c>
      <c r="M1510" s="45" t="s">
        <v>247</v>
      </c>
    </row>
    <row r="1511" spans="1:13">
      <c r="A1511">
        <v>1511</v>
      </c>
      <c r="B1511" t="s">
        <v>90</v>
      </c>
      <c r="C1511">
        <v>1</v>
      </c>
      <c r="D1511" t="s">
        <v>195</v>
      </c>
      <c r="E1511">
        <v>77</v>
      </c>
      <c r="F1511" t="s">
        <v>9933</v>
      </c>
      <c r="G1511">
        <v>2</v>
      </c>
      <c r="H1511" t="s">
        <v>9934</v>
      </c>
      <c r="I1511" s="45" t="s">
        <v>6754</v>
      </c>
      <c r="J1511" s="122">
        <v>45719</v>
      </c>
      <c r="K1511" s="110" t="str">
        <f t="shared" si="20"/>
        <v>https://Estud2024.sawtoothsoftware.com/cgi-bin/ciwweb.pl?studyname=Estud2024&amp;ID=1511</v>
      </c>
      <c r="L1511" s="113">
        <v>45727</v>
      </c>
      <c r="M1511" s="45" t="s">
        <v>247</v>
      </c>
    </row>
    <row r="1512" spans="1:13">
      <c r="A1512">
        <v>1512</v>
      </c>
      <c r="B1512" t="s">
        <v>90</v>
      </c>
      <c r="C1512">
        <v>1</v>
      </c>
      <c r="D1512" t="s">
        <v>196</v>
      </c>
      <c r="E1512">
        <v>76</v>
      </c>
      <c r="F1512" t="s">
        <v>9935</v>
      </c>
      <c r="G1512">
        <v>4</v>
      </c>
      <c r="H1512" t="s">
        <v>9936</v>
      </c>
      <c r="I1512" s="45" t="s">
        <v>6754</v>
      </c>
      <c r="J1512" s="122">
        <v>45719</v>
      </c>
      <c r="K1512" s="110" t="str">
        <f t="shared" si="20"/>
        <v>https://Estud2024.sawtoothsoftware.com/cgi-bin/ciwweb.pl?studyname=Estud2024&amp;ID=1512</v>
      </c>
      <c r="L1512" s="113">
        <v>45727</v>
      </c>
      <c r="M1512" s="45" t="s">
        <v>247</v>
      </c>
    </row>
    <row r="1513" spans="1:13">
      <c r="A1513">
        <v>1513</v>
      </c>
      <c r="B1513" t="s">
        <v>89</v>
      </c>
      <c r="C1513">
        <v>8</v>
      </c>
      <c r="D1513" t="s">
        <v>180</v>
      </c>
      <c r="E1513">
        <v>74</v>
      </c>
      <c r="F1513" t="s">
        <v>9937</v>
      </c>
      <c r="G1513">
        <v>4</v>
      </c>
      <c r="H1513" t="s">
        <v>9938</v>
      </c>
      <c r="I1513" s="45" t="s">
        <v>6754</v>
      </c>
      <c r="J1513" s="122">
        <v>45723</v>
      </c>
      <c r="K1513" s="110" t="str">
        <f t="shared" si="20"/>
        <v>https://Estud2024.sawtoothsoftware.com/cgi-bin/ciwweb.pl?studyname=Estud2024&amp;ID=1513</v>
      </c>
      <c r="L1513" s="113">
        <v>45727</v>
      </c>
      <c r="M1513" s="45" t="s">
        <v>247</v>
      </c>
    </row>
    <row r="1514" spans="1:13">
      <c r="A1514">
        <v>1514</v>
      </c>
      <c r="B1514" t="s">
        <v>89</v>
      </c>
      <c r="C1514">
        <v>8</v>
      </c>
      <c r="D1514" t="s">
        <v>180</v>
      </c>
      <c r="E1514">
        <v>74</v>
      </c>
      <c r="F1514" t="s">
        <v>9939</v>
      </c>
      <c r="G1514">
        <v>3</v>
      </c>
      <c r="H1514" t="s">
        <v>9940</v>
      </c>
      <c r="I1514" s="45" t="s">
        <v>6754</v>
      </c>
      <c r="J1514" s="122">
        <v>45723</v>
      </c>
      <c r="K1514" s="110" t="str">
        <f t="shared" si="20"/>
        <v>https://Estud2024.sawtoothsoftware.com/cgi-bin/ciwweb.pl?studyname=Estud2024&amp;ID=1514</v>
      </c>
      <c r="L1514" s="113">
        <v>45727</v>
      </c>
      <c r="M1514" s="45" t="s">
        <v>247</v>
      </c>
    </row>
    <row r="1515" spans="1:13">
      <c r="A1515">
        <v>1515</v>
      </c>
      <c r="B1515" t="s">
        <v>89</v>
      </c>
      <c r="C1515">
        <v>8</v>
      </c>
      <c r="D1515" t="s">
        <v>180</v>
      </c>
      <c r="E1515">
        <v>74</v>
      </c>
      <c r="F1515" t="s">
        <v>9941</v>
      </c>
      <c r="G1515">
        <v>4</v>
      </c>
      <c r="H1515" t="s">
        <v>9942</v>
      </c>
      <c r="I1515" s="45" t="s">
        <v>6754</v>
      </c>
      <c r="J1515" s="122">
        <v>45723</v>
      </c>
      <c r="K1515" s="110" t="str">
        <f t="shared" si="20"/>
        <v>https://Estud2024.sawtoothsoftware.com/cgi-bin/ciwweb.pl?studyname=Estud2024&amp;ID=1515</v>
      </c>
      <c r="L1515" s="113">
        <v>45727</v>
      </c>
      <c r="M1515" s="45" t="s">
        <v>247</v>
      </c>
    </row>
    <row r="1516" spans="1:13">
      <c r="A1516">
        <v>1516</v>
      </c>
      <c r="B1516" t="s">
        <v>89</v>
      </c>
      <c r="C1516">
        <v>8</v>
      </c>
      <c r="D1516" t="s">
        <v>180</v>
      </c>
      <c r="E1516">
        <v>74</v>
      </c>
      <c r="F1516" t="s">
        <v>9943</v>
      </c>
      <c r="G1516">
        <v>3</v>
      </c>
      <c r="H1516" t="s">
        <v>9944</v>
      </c>
      <c r="I1516" s="45" t="s">
        <v>6754</v>
      </c>
      <c r="J1516" s="122">
        <v>45723</v>
      </c>
      <c r="K1516" s="110" t="str">
        <f t="shared" si="20"/>
        <v>https://Estud2024.sawtoothsoftware.com/cgi-bin/ciwweb.pl?studyname=Estud2024&amp;ID=1516</v>
      </c>
      <c r="L1516" s="113">
        <v>45727</v>
      </c>
      <c r="M1516" s="45" t="s">
        <v>247</v>
      </c>
    </row>
    <row r="1517" spans="1:13">
      <c r="A1517">
        <v>1517</v>
      </c>
      <c r="B1517" t="s">
        <v>89</v>
      </c>
      <c r="C1517">
        <v>8</v>
      </c>
      <c r="D1517" t="s">
        <v>180</v>
      </c>
      <c r="E1517">
        <v>74</v>
      </c>
      <c r="F1517" t="s">
        <v>9945</v>
      </c>
      <c r="G1517">
        <v>1</v>
      </c>
      <c r="H1517" t="s">
        <v>9946</v>
      </c>
      <c r="I1517" s="45" t="s">
        <v>6754</v>
      </c>
      <c r="J1517" s="122">
        <v>45723</v>
      </c>
      <c r="K1517" s="110" t="str">
        <f t="shared" si="20"/>
        <v>https://Estud2024.sawtoothsoftware.com/cgi-bin/ciwweb.pl?studyname=Estud2024&amp;ID=1517</v>
      </c>
      <c r="L1517" s="113">
        <v>45727</v>
      </c>
      <c r="M1517" s="45" t="s">
        <v>246</v>
      </c>
    </row>
    <row r="1518" spans="1:13">
      <c r="A1518">
        <v>1518</v>
      </c>
      <c r="B1518" t="s">
        <v>89</v>
      </c>
      <c r="C1518">
        <v>8</v>
      </c>
      <c r="D1518" t="s">
        <v>180</v>
      </c>
      <c r="E1518">
        <v>74</v>
      </c>
      <c r="F1518" t="s">
        <v>9947</v>
      </c>
      <c r="G1518">
        <v>3</v>
      </c>
      <c r="H1518" t="s">
        <v>9948</v>
      </c>
      <c r="I1518" s="45" t="s">
        <v>6754</v>
      </c>
      <c r="J1518" s="122">
        <v>45723</v>
      </c>
      <c r="K1518" s="110" t="str">
        <f t="shared" si="20"/>
        <v>https://Estud2024.sawtoothsoftware.com/cgi-bin/ciwweb.pl?studyname=Estud2024&amp;ID=1518</v>
      </c>
      <c r="L1518" s="113">
        <v>45727</v>
      </c>
      <c r="M1518" s="45" t="s">
        <v>247</v>
      </c>
    </row>
    <row r="1519" spans="1:13">
      <c r="A1519">
        <v>1519</v>
      </c>
      <c r="B1519" t="s">
        <v>89</v>
      </c>
      <c r="C1519">
        <v>8</v>
      </c>
      <c r="D1519" t="s">
        <v>180</v>
      </c>
      <c r="E1519">
        <v>74</v>
      </c>
      <c r="F1519" t="s">
        <v>9949</v>
      </c>
      <c r="G1519">
        <v>4</v>
      </c>
      <c r="H1519" t="s">
        <v>9950</v>
      </c>
      <c r="I1519" s="45" t="s">
        <v>6754</v>
      </c>
      <c r="J1519" s="122">
        <v>45723</v>
      </c>
      <c r="K1519" s="110" t="str">
        <f t="shared" si="20"/>
        <v>https://Estud2024.sawtoothsoftware.com/cgi-bin/ciwweb.pl?studyname=Estud2024&amp;ID=1519</v>
      </c>
      <c r="L1519" s="113">
        <v>45727</v>
      </c>
      <c r="M1519" s="45" t="s">
        <v>247</v>
      </c>
    </row>
    <row r="1520" spans="1:13">
      <c r="A1520">
        <v>1520</v>
      </c>
      <c r="B1520" t="s">
        <v>89</v>
      </c>
      <c r="C1520">
        <v>8</v>
      </c>
      <c r="D1520" t="s">
        <v>180</v>
      </c>
      <c r="E1520">
        <v>74</v>
      </c>
      <c r="F1520" t="s">
        <v>9951</v>
      </c>
      <c r="G1520">
        <v>4</v>
      </c>
      <c r="H1520" t="s">
        <v>9952</v>
      </c>
      <c r="I1520" s="45" t="s">
        <v>6754</v>
      </c>
      <c r="J1520" s="122">
        <v>45723</v>
      </c>
      <c r="K1520" s="110" t="str">
        <f t="shared" si="20"/>
        <v>https://Estud2024.sawtoothsoftware.com/cgi-bin/ciwweb.pl?studyname=Estud2024&amp;ID=1520</v>
      </c>
      <c r="L1520" s="113">
        <v>45727</v>
      </c>
      <c r="M1520" s="45" t="s">
        <v>247</v>
      </c>
    </row>
    <row r="1521" spans="1:13">
      <c r="A1521">
        <v>1521</v>
      </c>
      <c r="B1521" t="s">
        <v>89</v>
      </c>
      <c r="C1521">
        <v>8</v>
      </c>
      <c r="D1521" t="s">
        <v>180</v>
      </c>
      <c r="E1521">
        <v>74</v>
      </c>
      <c r="F1521" t="s">
        <v>9953</v>
      </c>
      <c r="G1521">
        <v>1</v>
      </c>
      <c r="H1521" t="s">
        <v>9954</v>
      </c>
      <c r="I1521" s="45" t="s">
        <v>6754</v>
      </c>
      <c r="J1521" s="122">
        <v>45723</v>
      </c>
      <c r="K1521" s="110" t="str">
        <f t="shared" si="20"/>
        <v>https://Estud2024.sawtoothsoftware.com/cgi-bin/ciwweb.pl?studyname=Estud2024&amp;ID=1521</v>
      </c>
      <c r="L1521" s="113">
        <v>45727</v>
      </c>
      <c r="M1521" s="45" t="s">
        <v>247</v>
      </c>
    </row>
    <row r="1522" spans="1:13">
      <c r="A1522">
        <v>1522</v>
      </c>
      <c r="B1522" t="s">
        <v>89</v>
      </c>
      <c r="C1522">
        <v>8</v>
      </c>
      <c r="D1522" t="s">
        <v>180</v>
      </c>
      <c r="E1522">
        <v>74</v>
      </c>
      <c r="F1522" t="s">
        <v>9955</v>
      </c>
      <c r="G1522">
        <v>1</v>
      </c>
      <c r="H1522" t="s">
        <v>9956</v>
      </c>
      <c r="I1522" s="45" t="s">
        <v>6754</v>
      </c>
      <c r="J1522" s="122">
        <v>45723</v>
      </c>
      <c r="K1522" s="110" t="str">
        <f t="shared" si="20"/>
        <v>https://Estud2024.sawtoothsoftware.com/cgi-bin/ciwweb.pl?studyname=Estud2024&amp;ID=1522</v>
      </c>
      <c r="L1522" s="113">
        <v>45727</v>
      </c>
      <c r="M1522" s="45" t="s">
        <v>247</v>
      </c>
    </row>
    <row r="1523" spans="1:13">
      <c r="A1523">
        <v>1523</v>
      </c>
      <c r="B1523" t="s">
        <v>89</v>
      </c>
      <c r="C1523">
        <v>8</v>
      </c>
      <c r="D1523" t="s">
        <v>180</v>
      </c>
      <c r="E1523">
        <v>74</v>
      </c>
      <c r="F1523" t="s">
        <v>9957</v>
      </c>
      <c r="G1523">
        <v>4</v>
      </c>
      <c r="H1523" t="s">
        <v>9958</v>
      </c>
      <c r="I1523" s="45" t="s">
        <v>6754</v>
      </c>
      <c r="J1523" s="122">
        <v>45723</v>
      </c>
      <c r="K1523" s="110" t="str">
        <f t="shared" si="20"/>
        <v>https://Estud2024.sawtoothsoftware.com/cgi-bin/ciwweb.pl?studyname=Estud2024&amp;ID=1523</v>
      </c>
      <c r="L1523" s="113">
        <v>45727</v>
      </c>
      <c r="M1523" s="45" t="s">
        <v>247</v>
      </c>
    </row>
    <row r="1524" spans="1:13">
      <c r="A1524">
        <v>1524</v>
      </c>
      <c r="B1524" t="s">
        <v>89</v>
      </c>
      <c r="C1524">
        <v>8</v>
      </c>
      <c r="D1524" t="s">
        <v>180</v>
      </c>
      <c r="E1524">
        <v>74</v>
      </c>
      <c r="F1524" t="s">
        <v>9959</v>
      </c>
      <c r="G1524">
        <v>2</v>
      </c>
      <c r="H1524" t="s">
        <v>9960</v>
      </c>
      <c r="I1524" s="45" t="s">
        <v>6754</v>
      </c>
      <c r="J1524" s="122">
        <v>45723</v>
      </c>
      <c r="K1524" s="110" t="str">
        <f t="shared" si="20"/>
        <v>https://Estud2024.sawtoothsoftware.com/cgi-bin/ciwweb.pl?studyname=Estud2024&amp;ID=1524</v>
      </c>
      <c r="L1524" s="113">
        <v>45727</v>
      </c>
      <c r="M1524" s="45" t="s">
        <v>246</v>
      </c>
    </row>
    <row r="1525" spans="1:13">
      <c r="A1525">
        <v>1525</v>
      </c>
      <c r="B1525" t="s">
        <v>89</v>
      </c>
      <c r="C1525">
        <v>8</v>
      </c>
      <c r="D1525" t="s">
        <v>180</v>
      </c>
      <c r="E1525">
        <v>74</v>
      </c>
      <c r="F1525" t="s">
        <v>9961</v>
      </c>
      <c r="G1525">
        <v>2</v>
      </c>
      <c r="H1525" t="s">
        <v>9962</v>
      </c>
      <c r="I1525" s="45" t="s">
        <v>6754</v>
      </c>
      <c r="J1525" s="122">
        <v>45723</v>
      </c>
      <c r="K1525" s="110" t="str">
        <f t="shared" si="20"/>
        <v>https://Estud2024.sawtoothsoftware.com/cgi-bin/ciwweb.pl?studyname=Estud2024&amp;ID=1525</v>
      </c>
      <c r="L1525" s="113">
        <v>45727</v>
      </c>
      <c r="M1525" s="45" t="s">
        <v>247</v>
      </c>
    </row>
    <row r="1526" spans="1:13">
      <c r="A1526">
        <v>1526</v>
      </c>
      <c r="B1526" t="s">
        <v>89</v>
      </c>
      <c r="C1526">
        <v>8</v>
      </c>
      <c r="D1526" t="s">
        <v>180</v>
      </c>
      <c r="E1526">
        <v>74</v>
      </c>
      <c r="F1526" t="s">
        <v>9963</v>
      </c>
      <c r="G1526">
        <v>3</v>
      </c>
      <c r="H1526" t="s">
        <v>9964</v>
      </c>
      <c r="I1526" s="45" t="s">
        <v>6754</v>
      </c>
      <c r="J1526" s="122">
        <v>45723</v>
      </c>
      <c r="K1526" s="110" t="str">
        <f t="shared" si="20"/>
        <v>https://Estud2024.sawtoothsoftware.com/cgi-bin/ciwweb.pl?studyname=Estud2024&amp;ID=1526</v>
      </c>
      <c r="L1526" s="113">
        <v>45727</v>
      </c>
      <c r="M1526" s="45" t="s">
        <v>247</v>
      </c>
    </row>
    <row r="1527" spans="1:13">
      <c r="A1527">
        <v>1527</v>
      </c>
      <c r="B1527" t="s">
        <v>89</v>
      </c>
      <c r="C1527">
        <v>8</v>
      </c>
      <c r="D1527" t="s">
        <v>180</v>
      </c>
      <c r="E1527">
        <v>74</v>
      </c>
      <c r="F1527" t="s">
        <v>9965</v>
      </c>
      <c r="G1527">
        <v>4</v>
      </c>
      <c r="H1527" t="s">
        <v>9966</v>
      </c>
      <c r="I1527" s="45" t="s">
        <v>6754</v>
      </c>
      <c r="J1527" s="122">
        <v>45723</v>
      </c>
      <c r="K1527" s="110" t="str">
        <f t="shared" si="20"/>
        <v>https://Estud2024.sawtoothsoftware.com/cgi-bin/ciwweb.pl?studyname=Estud2024&amp;ID=1527</v>
      </c>
      <c r="L1527" s="113">
        <v>45727</v>
      </c>
      <c r="M1527" s="45" t="s">
        <v>247</v>
      </c>
    </row>
    <row r="1528" spans="1:13">
      <c r="A1528">
        <v>1528</v>
      </c>
      <c r="B1528" t="s">
        <v>89</v>
      </c>
      <c r="C1528">
        <v>8</v>
      </c>
      <c r="D1528" t="s">
        <v>180</v>
      </c>
      <c r="E1528">
        <v>74</v>
      </c>
      <c r="F1528" t="s">
        <v>9967</v>
      </c>
      <c r="G1528">
        <v>4</v>
      </c>
      <c r="H1528" t="s">
        <v>9968</v>
      </c>
      <c r="I1528" s="45" t="s">
        <v>6754</v>
      </c>
      <c r="J1528" s="122">
        <v>45723</v>
      </c>
      <c r="K1528" s="110" t="str">
        <f t="shared" si="20"/>
        <v>https://Estud2024.sawtoothsoftware.com/cgi-bin/ciwweb.pl?studyname=Estud2024&amp;ID=1528</v>
      </c>
      <c r="L1528" s="113">
        <v>45727</v>
      </c>
      <c r="M1528" s="45" t="s">
        <v>247</v>
      </c>
    </row>
    <row r="1529" spans="1:13">
      <c r="A1529">
        <v>1529</v>
      </c>
      <c r="B1529" t="s">
        <v>89</v>
      </c>
      <c r="C1529">
        <v>8</v>
      </c>
      <c r="D1529" t="s">
        <v>180</v>
      </c>
      <c r="E1529">
        <v>74</v>
      </c>
      <c r="F1529" t="s">
        <v>9969</v>
      </c>
      <c r="G1529">
        <v>4</v>
      </c>
      <c r="H1529" t="s">
        <v>9970</v>
      </c>
      <c r="I1529" s="45" t="s">
        <v>6754</v>
      </c>
      <c r="J1529" s="122">
        <v>45723</v>
      </c>
      <c r="K1529" s="110" t="str">
        <f t="shared" si="20"/>
        <v>https://Estud2024.sawtoothsoftware.com/cgi-bin/ciwweb.pl?studyname=Estud2024&amp;ID=1529</v>
      </c>
      <c r="L1529" s="113">
        <v>45727</v>
      </c>
      <c r="M1529" s="45" t="s">
        <v>247</v>
      </c>
    </row>
    <row r="1530" spans="1:13">
      <c r="A1530">
        <v>1530</v>
      </c>
      <c r="B1530" t="s">
        <v>89</v>
      </c>
      <c r="C1530">
        <v>8</v>
      </c>
      <c r="D1530" t="s">
        <v>180</v>
      </c>
      <c r="E1530">
        <v>74</v>
      </c>
      <c r="F1530" t="s">
        <v>9971</v>
      </c>
      <c r="G1530">
        <v>3</v>
      </c>
      <c r="H1530" t="s">
        <v>9972</v>
      </c>
      <c r="I1530" s="45" t="s">
        <v>6754</v>
      </c>
      <c r="J1530" s="122">
        <v>45723</v>
      </c>
      <c r="K1530" s="110" t="str">
        <f t="shared" si="20"/>
        <v>https://Estud2024.sawtoothsoftware.com/cgi-bin/ciwweb.pl?studyname=Estud2024&amp;ID=1530</v>
      </c>
      <c r="L1530" s="113">
        <v>45727</v>
      </c>
      <c r="M1530" s="45" t="s">
        <v>247</v>
      </c>
    </row>
    <row r="1531" spans="1:13">
      <c r="A1531">
        <v>1531</v>
      </c>
      <c r="B1531" t="s">
        <v>89</v>
      </c>
      <c r="C1531">
        <v>8</v>
      </c>
      <c r="D1531" t="s">
        <v>180</v>
      </c>
      <c r="E1531">
        <v>74</v>
      </c>
      <c r="F1531" t="s">
        <v>9973</v>
      </c>
      <c r="G1531">
        <v>4</v>
      </c>
      <c r="H1531" t="s">
        <v>9974</v>
      </c>
      <c r="I1531" s="45" t="s">
        <v>6754</v>
      </c>
      <c r="J1531" s="122">
        <v>45723</v>
      </c>
      <c r="K1531" s="110" t="str">
        <f t="shared" si="20"/>
        <v>https://Estud2024.sawtoothsoftware.com/cgi-bin/ciwweb.pl?studyname=Estud2024&amp;ID=1531</v>
      </c>
      <c r="L1531" s="113">
        <v>45727</v>
      </c>
      <c r="M1531" s="45" t="s">
        <v>247</v>
      </c>
    </row>
    <row r="1532" spans="1:13">
      <c r="A1532">
        <v>1532</v>
      </c>
      <c r="B1532" t="s">
        <v>89</v>
      </c>
      <c r="C1532">
        <v>8</v>
      </c>
      <c r="D1532" t="s">
        <v>180</v>
      </c>
      <c r="E1532">
        <v>74</v>
      </c>
      <c r="F1532" t="s">
        <v>9975</v>
      </c>
      <c r="G1532">
        <v>1</v>
      </c>
      <c r="H1532" t="s">
        <v>9976</v>
      </c>
      <c r="I1532" s="45" t="s">
        <v>6754</v>
      </c>
      <c r="J1532" s="122">
        <v>45723</v>
      </c>
      <c r="K1532" s="110" t="str">
        <f t="shared" si="20"/>
        <v>https://Estud2024.sawtoothsoftware.com/cgi-bin/ciwweb.pl?studyname=Estud2024&amp;ID=1532</v>
      </c>
      <c r="L1532" s="113">
        <v>45727</v>
      </c>
      <c r="M1532" s="45" t="s">
        <v>247</v>
      </c>
    </row>
    <row r="1533" spans="1:13">
      <c r="A1533">
        <v>1533</v>
      </c>
      <c r="B1533" t="s">
        <v>89</v>
      </c>
      <c r="C1533">
        <v>8</v>
      </c>
      <c r="D1533" t="s">
        <v>180</v>
      </c>
      <c r="E1533">
        <v>74</v>
      </c>
      <c r="F1533" t="s">
        <v>9977</v>
      </c>
      <c r="G1533">
        <v>4</v>
      </c>
      <c r="H1533" t="s">
        <v>9978</v>
      </c>
      <c r="I1533" s="45" t="s">
        <v>6754</v>
      </c>
      <c r="J1533" s="122">
        <v>45723</v>
      </c>
      <c r="K1533" s="110" t="str">
        <f t="shared" si="20"/>
        <v>https://Estud2024.sawtoothsoftware.com/cgi-bin/ciwweb.pl?studyname=Estud2024&amp;ID=1533</v>
      </c>
      <c r="L1533" s="113">
        <v>45727</v>
      </c>
      <c r="M1533" s="45" t="s">
        <v>247</v>
      </c>
    </row>
    <row r="1534" spans="1:13">
      <c r="A1534">
        <v>1534</v>
      </c>
      <c r="B1534" t="s">
        <v>89</v>
      </c>
      <c r="C1534">
        <v>8</v>
      </c>
      <c r="D1534" t="s">
        <v>180</v>
      </c>
      <c r="E1534">
        <v>74</v>
      </c>
      <c r="F1534" t="s">
        <v>9979</v>
      </c>
      <c r="G1534">
        <v>4</v>
      </c>
      <c r="H1534" t="s">
        <v>9980</v>
      </c>
      <c r="I1534" s="45" t="s">
        <v>6754</v>
      </c>
      <c r="J1534" s="122">
        <v>45723</v>
      </c>
      <c r="K1534" s="110" t="str">
        <f t="shared" si="20"/>
        <v>https://Estud2024.sawtoothsoftware.com/cgi-bin/ciwweb.pl?studyname=Estud2024&amp;ID=1534</v>
      </c>
      <c r="L1534" s="113">
        <v>45727</v>
      </c>
      <c r="M1534" s="45" t="s">
        <v>247</v>
      </c>
    </row>
    <row r="1535" spans="1:13">
      <c r="A1535">
        <v>1535</v>
      </c>
      <c r="B1535" t="s">
        <v>89</v>
      </c>
      <c r="C1535">
        <v>8</v>
      </c>
      <c r="D1535" t="s">
        <v>180</v>
      </c>
      <c r="E1535">
        <v>74</v>
      </c>
      <c r="F1535" t="s">
        <v>9981</v>
      </c>
      <c r="G1535">
        <v>4</v>
      </c>
      <c r="H1535" t="s">
        <v>9982</v>
      </c>
      <c r="I1535" s="45" t="s">
        <v>6754</v>
      </c>
      <c r="J1535" s="122">
        <v>45723</v>
      </c>
      <c r="K1535" s="110" t="str">
        <f t="shared" si="20"/>
        <v>https://Estud2024.sawtoothsoftware.com/cgi-bin/ciwweb.pl?studyname=Estud2024&amp;ID=1535</v>
      </c>
      <c r="L1535" s="113">
        <v>45727</v>
      </c>
      <c r="M1535" s="45" t="s">
        <v>247</v>
      </c>
    </row>
    <row r="1536" spans="1:13">
      <c r="A1536">
        <v>1536</v>
      </c>
      <c r="B1536" t="s">
        <v>89</v>
      </c>
      <c r="C1536">
        <v>8</v>
      </c>
      <c r="D1536" t="s">
        <v>180</v>
      </c>
      <c r="E1536">
        <v>74</v>
      </c>
      <c r="F1536" t="s">
        <v>9983</v>
      </c>
      <c r="G1536">
        <v>4</v>
      </c>
      <c r="H1536" t="s">
        <v>9984</v>
      </c>
      <c r="I1536" s="45" t="s">
        <v>6754</v>
      </c>
      <c r="J1536" s="122">
        <v>45723</v>
      </c>
      <c r="K1536" s="110" t="str">
        <f t="shared" si="20"/>
        <v>https://Estud2024.sawtoothsoftware.com/cgi-bin/ciwweb.pl?studyname=Estud2024&amp;ID=1536</v>
      </c>
      <c r="L1536" s="113">
        <v>45727</v>
      </c>
      <c r="M1536" s="45" t="s">
        <v>247</v>
      </c>
    </row>
    <row r="1537" spans="1:13">
      <c r="A1537">
        <v>1537</v>
      </c>
      <c r="B1537" t="s">
        <v>89</v>
      </c>
      <c r="C1537">
        <v>8</v>
      </c>
      <c r="D1537" t="s">
        <v>180</v>
      </c>
      <c r="E1537">
        <v>74</v>
      </c>
      <c r="F1537" t="s">
        <v>9985</v>
      </c>
      <c r="G1537">
        <v>2</v>
      </c>
      <c r="H1537" t="s">
        <v>9986</v>
      </c>
      <c r="I1537" s="45" t="s">
        <v>6754</v>
      </c>
      <c r="J1537" s="122">
        <v>45723</v>
      </c>
      <c r="K1537" s="110" t="str">
        <f t="shared" si="20"/>
        <v>https://Estud2024.sawtoothsoftware.com/cgi-bin/ciwweb.pl?studyname=Estud2024&amp;ID=1537</v>
      </c>
      <c r="L1537" s="113">
        <v>45727</v>
      </c>
      <c r="M1537" s="45" t="s">
        <v>247</v>
      </c>
    </row>
    <row r="1538" spans="1:13">
      <c r="A1538">
        <v>1538</v>
      </c>
      <c r="B1538" t="s">
        <v>89</v>
      </c>
      <c r="C1538">
        <v>8</v>
      </c>
      <c r="D1538" t="s">
        <v>180</v>
      </c>
      <c r="E1538">
        <v>74</v>
      </c>
      <c r="F1538" t="s">
        <v>9987</v>
      </c>
      <c r="G1538">
        <v>4</v>
      </c>
      <c r="H1538" t="s">
        <v>9988</v>
      </c>
      <c r="I1538" s="45" t="s">
        <v>6754</v>
      </c>
      <c r="J1538" s="122">
        <v>45723</v>
      </c>
      <c r="K1538" s="110" t="str">
        <f t="shared" si="20"/>
        <v>https://Estud2024.sawtoothsoftware.com/cgi-bin/ciwweb.pl?studyname=Estud2024&amp;ID=1538</v>
      </c>
      <c r="L1538" s="113">
        <v>45727</v>
      </c>
      <c r="M1538" s="45" t="s">
        <v>247</v>
      </c>
    </row>
    <row r="1539" spans="1:13">
      <c r="A1539">
        <v>1539</v>
      </c>
      <c r="B1539" t="s">
        <v>89</v>
      </c>
      <c r="C1539">
        <v>8</v>
      </c>
      <c r="D1539" t="s">
        <v>180</v>
      </c>
      <c r="E1539">
        <v>74</v>
      </c>
      <c r="F1539" t="s">
        <v>9989</v>
      </c>
      <c r="G1539">
        <v>4</v>
      </c>
      <c r="H1539" t="s">
        <v>9990</v>
      </c>
      <c r="I1539" s="45" t="s">
        <v>6754</v>
      </c>
      <c r="J1539" s="122">
        <v>45723</v>
      </c>
      <c r="K1539" s="110" t="str">
        <f t="shared" si="20"/>
        <v>https://Estud2024.sawtoothsoftware.com/cgi-bin/ciwweb.pl?studyname=Estud2024&amp;ID=1539</v>
      </c>
      <c r="L1539" s="113">
        <v>45727</v>
      </c>
      <c r="M1539" s="45" t="s">
        <v>247</v>
      </c>
    </row>
    <row r="1540" spans="1:13">
      <c r="A1540">
        <v>1540</v>
      </c>
      <c r="B1540" t="s">
        <v>89</v>
      </c>
      <c r="C1540">
        <v>8</v>
      </c>
      <c r="D1540" t="s">
        <v>180</v>
      </c>
      <c r="E1540">
        <v>74</v>
      </c>
      <c r="F1540" t="s">
        <v>9991</v>
      </c>
      <c r="G1540">
        <v>2</v>
      </c>
      <c r="H1540" t="s">
        <v>9992</v>
      </c>
      <c r="I1540" s="45" t="s">
        <v>6754</v>
      </c>
      <c r="J1540" s="122">
        <v>45723</v>
      </c>
      <c r="K1540" s="110" t="str">
        <f t="shared" si="20"/>
        <v>https://Estud2024.sawtoothsoftware.com/cgi-bin/ciwweb.pl?studyname=Estud2024&amp;ID=1540</v>
      </c>
      <c r="L1540" s="113">
        <v>45727</v>
      </c>
      <c r="M1540" s="45" t="s">
        <v>247</v>
      </c>
    </row>
    <row r="1541" spans="1:13">
      <c r="A1541">
        <v>1541</v>
      </c>
      <c r="B1541" t="s">
        <v>89</v>
      </c>
      <c r="C1541">
        <v>8</v>
      </c>
      <c r="D1541" t="s">
        <v>180</v>
      </c>
      <c r="E1541">
        <v>74</v>
      </c>
      <c r="F1541" t="s">
        <v>9993</v>
      </c>
      <c r="G1541">
        <v>3</v>
      </c>
      <c r="H1541" t="s">
        <v>9994</v>
      </c>
      <c r="I1541" s="45" t="s">
        <v>6754</v>
      </c>
      <c r="J1541" s="122">
        <v>45723</v>
      </c>
      <c r="K1541" s="110" t="str">
        <f t="shared" si="20"/>
        <v>https://Estud2024.sawtoothsoftware.com/cgi-bin/ciwweb.pl?studyname=Estud2024&amp;ID=1541</v>
      </c>
      <c r="L1541" s="113">
        <v>45727</v>
      </c>
      <c r="M1541" s="45" t="s">
        <v>247</v>
      </c>
    </row>
    <row r="1542" spans="1:13">
      <c r="A1542">
        <v>1542</v>
      </c>
      <c r="B1542" t="s">
        <v>89</v>
      </c>
      <c r="C1542">
        <v>8</v>
      </c>
      <c r="D1542" t="s">
        <v>180</v>
      </c>
      <c r="E1542">
        <v>74</v>
      </c>
      <c r="F1542" t="s">
        <v>9995</v>
      </c>
      <c r="G1542">
        <v>3</v>
      </c>
      <c r="H1542" t="s">
        <v>9996</v>
      </c>
      <c r="I1542" s="45" t="s">
        <v>6754</v>
      </c>
      <c r="J1542" s="122">
        <v>45723</v>
      </c>
      <c r="K1542" s="110" t="str">
        <f t="shared" si="20"/>
        <v>https://Estud2024.sawtoothsoftware.com/cgi-bin/ciwweb.pl?studyname=Estud2024&amp;ID=1542</v>
      </c>
      <c r="L1542" s="113">
        <v>45727</v>
      </c>
      <c r="M1542" s="45" t="s">
        <v>247</v>
      </c>
    </row>
    <row r="1543" spans="1:13">
      <c r="A1543">
        <v>1543</v>
      </c>
      <c r="B1543" t="s">
        <v>89</v>
      </c>
      <c r="C1543">
        <v>8</v>
      </c>
      <c r="D1543" t="s">
        <v>180</v>
      </c>
      <c r="E1543">
        <v>74</v>
      </c>
      <c r="F1543" t="s">
        <v>9997</v>
      </c>
      <c r="G1543">
        <v>3</v>
      </c>
      <c r="H1543" t="s">
        <v>9998</v>
      </c>
      <c r="I1543" s="45" t="s">
        <v>6754</v>
      </c>
      <c r="J1543" s="122">
        <v>45723</v>
      </c>
      <c r="K1543" s="110" t="str">
        <f t="shared" si="20"/>
        <v>https://Estud2024.sawtoothsoftware.com/cgi-bin/ciwweb.pl?studyname=Estud2024&amp;ID=1543</v>
      </c>
      <c r="L1543" s="113">
        <v>45727</v>
      </c>
      <c r="M1543" s="45" t="s">
        <v>247</v>
      </c>
    </row>
    <row r="1544" spans="1:13">
      <c r="A1544">
        <v>1544</v>
      </c>
      <c r="B1544" t="s">
        <v>89</v>
      </c>
      <c r="C1544">
        <v>8</v>
      </c>
      <c r="D1544" t="s">
        <v>180</v>
      </c>
      <c r="E1544">
        <v>74</v>
      </c>
      <c r="F1544" t="s">
        <v>9999</v>
      </c>
      <c r="G1544">
        <v>3</v>
      </c>
      <c r="H1544" t="s">
        <v>10000</v>
      </c>
      <c r="I1544" s="45" t="s">
        <v>6754</v>
      </c>
      <c r="J1544" s="122">
        <v>45723</v>
      </c>
      <c r="K1544" s="110" t="str">
        <f t="shared" si="20"/>
        <v>https://Estud2024.sawtoothsoftware.com/cgi-bin/ciwweb.pl?studyname=Estud2024&amp;ID=1544</v>
      </c>
      <c r="L1544" s="113">
        <v>45727</v>
      </c>
      <c r="M1544" s="45" t="s">
        <v>247</v>
      </c>
    </row>
    <row r="1545" spans="1:13">
      <c r="A1545">
        <v>1545</v>
      </c>
      <c r="B1545" t="s">
        <v>89</v>
      </c>
      <c r="C1545">
        <v>8</v>
      </c>
      <c r="D1545" t="s">
        <v>180</v>
      </c>
      <c r="E1545">
        <v>74</v>
      </c>
      <c r="F1545" t="s">
        <v>10001</v>
      </c>
      <c r="G1545">
        <v>3</v>
      </c>
      <c r="H1545" t="s">
        <v>10002</v>
      </c>
      <c r="I1545" s="45" t="s">
        <v>6754</v>
      </c>
      <c r="J1545" s="122">
        <v>45723</v>
      </c>
      <c r="K1545" s="110" t="str">
        <f t="shared" si="20"/>
        <v>https://Estud2024.sawtoothsoftware.com/cgi-bin/ciwweb.pl?studyname=Estud2024&amp;ID=1545</v>
      </c>
      <c r="L1545" s="113">
        <v>45727</v>
      </c>
      <c r="M1545" s="45" t="s">
        <v>246</v>
      </c>
    </row>
    <row r="1546" spans="1:13">
      <c r="A1546">
        <v>1546</v>
      </c>
      <c r="B1546" t="s">
        <v>89</v>
      </c>
      <c r="C1546">
        <v>8</v>
      </c>
      <c r="D1546" t="s">
        <v>180</v>
      </c>
      <c r="E1546">
        <v>74</v>
      </c>
      <c r="F1546" t="s">
        <v>10003</v>
      </c>
      <c r="G1546">
        <v>3</v>
      </c>
      <c r="H1546" t="s">
        <v>10004</v>
      </c>
      <c r="I1546" s="45" t="s">
        <v>6754</v>
      </c>
      <c r="J1546" s="122">
        <v>45723</v>
      </c>
      <c r="K1546" s="110" t="str">
        <f t="shared" si="20"/>
        <v>https://Estud2024.sawtoothsoftware.com/cgi-bin/ciwweb.pl?studyname=Estud2024&amp;ID=1546</v>
      </c>
      <c r="L1546" s="113">
        <v>45727</v>
      </c>
      <c r="M1546" s="45" t="s">
        <v>247</v>
      </c>
    </row>
    <row r="1547" spans="1:13">
      <c r="A1547">
        <v>1547</v>
      </c>
      <c r="B1547" t="s">
        <v>89</v>
      </c>
      <c r="C1547">
        <v>8</v>
      </c>
      <c r="D1547" t="s">
        <v>180</v>
      </c>
      <c r="E1547">
        <v>74</v>
      </c>
      <c r="F1547" t="s">
        <v>10005</v>
      </c>
      <c r="G1547">
        <v>2</v>
      </c>
      <c r="H1547" t="s">
        <v>10006</v>
      </c>
      <c r="I1547" s="45" t="s">
        <v>6754</v>
      </c>
      <c r="J1547" s="122">
        <v>45723</v>
      </c>
      <c r="K1547" s="110" t="str">
        <f t="shared" si="20"/>
        <v>https://Estud2024.sawtoothsoftware.com/cgi-bin/ciwweb.pl?studyname=Estud2024&amp;ID=1547</v>
      </c>
      <c r="L1547" s="113">
        <v>45727</v>
      </c>
      <c r="M1547" s="45" t="s">
        <v>247</v>
      </c>
    </row>
    <row r="1548" spans="1:13">
      <c r="A1548">
        <v>1548</v>
      </c>
      <c r="B1548" t="s">
        <v>89</v>
      </c>
      <c r="C1548">
        <v>8</v>
      </c>
      <c r="D1548" t="s">
        <v>180</v>
      </c>
      <c r="E1548">
        <v>74</v>
      </c>
      <c r="F1548" t="s">
        <v>10007</v>
      </c>
      <c r="G1548">
        <v>1</v>
      </c>
      <c r="H1548" t="s">
        <v>10008</v>
      </c>
      <c r="I1548" s="45" t="s">
        <v>6754</v>
      </c>
      <c r="J1548" s="122">
        <v>45723</v>
      </c>
      <c r="K1548" s="110" t="str">
        <f t="shared" si="20"/>
        <v>https://Estud2024.sawtoothsoftware.com/cgi-bin/ciwweb.pl?studyname=Estud2024&amp;ID=1548</v>
      </c>
      <c r="L1548" s="113">
        <v>45727</v>
      </c>
      <c r="M1548" s="45" t="s">
        <v>246</v>
      </c>
    </row>
    <row r="1549" spans="1:13">
      <c r="A1549">
        <v>1549</v>
      </c>
      <c r="B1549" t="s">
        <v>89</v>
      </c>
      <c r="C1549">
        <v>8</v>
      </c>
      <c r="D1549" t="s">
        <v>180</v>
      </c>
      <c r="E1549">
        <v>74</v>
      </c>
      <c r="F1549" t="s">
        <v>10009</v>
      </c>
      <c r="G1549">
        <v>1</v>
      </c>
      <c r="H1549" t="s">
        <v>10010</v>
      </c>
      <c r="I1549" s="45" t="s">
        <v>6754</v>
      </c>
      <c r="J1549" s="122">
        <v>45723</v>
      </c>
      <c r="K1549" s="110" t="str">
        <f t="shared" si="20"/>
        <v>https://Estud2024.sawtoothsoftware.com/cgi-bin/ciwweb.pl?studyname=Estud2024&amp;ID=1549</v>
      </c>
      <c r="L1549" s="113">
        <v>45727</v>
      </c>
      <c r="M1549" s="45" t="s">
        <v>247</v>
      </c>
    </row>
    <row r="1550" spans="1:13">
      <c r="A1550">
        <v>1550</v>
      </c>
      <c r="B1550" t="s">
        <v>89</v>
      </c>
      <c r="C1550">
        <v>8</v>
      </c>
      <c r="D1550" t="s">
        <v>180</v>
      </c>
      <c r="E1550">
        <v>74</v>
      </c>
      <c r="F1550" t="s">
        <v>10011</v>
      </c>
      <c r="G1550">
        <v>2</v>
      </c>
      <c r="H1550" t="s">
        <v>10012</v>
      </c>
      <c r="I1550" s="45" t="s">
        <v>6754</v>
      </c>
      <c r="J1550" s="122">
        <v>45723</v>
      </c>
      <c r="K1550" s="110" t="str">
        <f t="shared" si="20"/>
        <v>https://Estud2024.sawtoothsoftware.com/cgi-bin/ciwweb.pl?studyname=Estud2024&amp;ID=1550</v>
      </c>
      <c r="L1550" s="113">
        <v>45727</v>
      </c>
      <c r="M1550" s="45" t="s">
        <v>247</v>
      </c>
    </row>
    <row r="1551" spans="1:13">
      <c r="A1551">
        <v>1551</v>
      </c>
      <c r="B1551" t="s">
        <v>84</v>
      </c>
      <c r="C1551">
        <v>4</v>
      </c>
      <c r="D1551" t="s">
        <v>188</v>
      </c>
      <c r="E1551">
        <v>56</v>
      </c>
      <c r="F1551" t="s">
        <v>10013</v>
      </c>
      <c r="G1551">
        <v>2</v>
      </c>
      <c r="H1551" t="s">
        <v>10014</v>
      </c>
      <c r="I1551" s="45" t="s">
        <v>6754</v>
      </c>
      <c r="J1551" s="122">
        <v>45726</v>
      </c>
      <c r="K1551" s="110" t="str">
        <f t="shared" si="20"/>
        <v>https://Estud2024.sawtoothsoftware.com/cgi-bin/ciwweb.pl?studyname=Estud2024&amp;ID=1551</v>
      </c>
      <c r="L1551" s="113">
        <v>45727</v>
      </c>
      <c r="M1551" s="45" t="s">
        <v>246</v>
      </c>
    </row>
    <row r="1552" spans="1:13">
      <c r="A1552">
        <v>1552</v>
      </c>
      <c r="B1552" t="s">
        <v>84</v>
      </c>
      <c r="C1552">
        <v>4</v>
      </c>
      <c r="D1552" t="s">
        <v>188</v>
      </c>
      <c r="E1552">
        <v>56</v>
      </c>
      <c r="F1552" t="s">
        <v>10015</v>
      </c>
      <c r="G1552">
        <v>2</v>
      </c>
      <c r="H1552" t="s">
        <v>10016</v>
      </c>
      <c r="I1552" s="45" t="s">
        <v>6754</v>
      </c>
      <c r="J1552" s="122">
        <v>45726</v>
      </c>
      <c r="K1552" s="110" t="str">
        <f t="shared" si="20"/>
        <v>https://Estud2024.sawtoothsoftware.com/cgi-bin/ciwweb.pl?studyname=Estud2024&amp;ID=1552</v>
      </c>
      <c r="L1552" s="113">
        <v>45727</v>
      </c>
      <c r="M1552" s="45" t="s">
        <v>246</v>
      </c>
    </row>
    <row r="1553" spans="1:13">
      <c r="A1553">
        <v>1553</v>
      </c>
      <c r="B1553" t="s">
        <v>84</v>
      </c>
      <c r="C1553">
        <v>4</v>
      </c>
      <c r="D1553" t="s">
        <v>188</v>
      </c>
      <c r="E1553">
        <v>56</v>
      </c>
      <c r="F1553" t="s">
        <v>10017</v>
      </c>
      <c r="G1553">
        <v>2</v>
      </c>
      <c r="H1553" t="s">
        <v>10018</v>
      </c>
      <c r="I1553" s="45" t="s">
        <v>6754</v>
      </c>
      <c r="J1553" s="122">
        <v>45726</v>
      </c>
      <c r="K1553" s="110" t="str">
        <f t="shared" si="20"/>
        <v>https://Estud2024.sawtoothsoftware.com/cgi-bin/ciwweb.pl?studyname=Estud2024&amp;ID=1553</v>
      </c>
      <c r="L1553" s="113">
        <v>45727</v>
      </c>
      <c r="M1553" s="45" t="s">
        <v>246</v>
      </c>
    </row>
    <row r="1554" spans="1:13">
      <c r="A1554">
        <v>1554</v>
      </c>
      <c r="B1554" t="s">
        <v>84</v>
      </c>
      <c r="C1554">
        <v>4</v>
      </c>
      <c r="D1554" t="s">
        <v>188</v>
      </c>
      <c r="E1554">
        <v>56</v>
      </c>
      <c r="F1554" t="s">
        <v>10019</v>
      </c>
      <c r="G1554">
        <v>2</v>
      </c>
      <c r="H1554" t="s">
        <v>10020</v>
      </c>
      <c r="I1554" s="45" t="s">
        <v>6754</v>
      </c>
      <c r="J1554" s="122">
        <v>45726</v>
      </c>
      <c r="K1554" s="110" t="str">
        <f t="shared" si="20"/>
        <v>https://Estud2024.sawtoothsoftware.com/cgi-bin/ciwweb.pl?studyname=Estud2024&amp;ID=1554</v>
      </c>
      <c r="L1554" s="113">
        <v>45727</v>
      </c>
      <c r="M1554" s="45" t="s">
        <v>246</v>
      </c>
    </row>
    <row r="1555" spans="1:13">
      <c r="A1555">
        <v>1555</v>
      </c>
      <c r="B1555" t="s">
        <v>84</v>
      </c>
      <c r="C1555">
        <v>4</v>
      </c>
      <c r="D1555" t="s">
        <v>188</v>
      </c>
      <c r="E1555">
        <v>56</v>
      </c>
      <c r="F1555" t="s">
        <v>10021</v>
      </c>
      <c r="G1555">
        <v>2</v>
      </c>
      <c r="H1555" t="s">
        <v>10022</v>
      </c>
      <c r="I1555" s="45" t="s">
        <v>6754</v>
      </c>
      <c r="J1555" s="122">
        <v>45726</v>
      </c>
      <c r="K1555" s="110" t="str">
        <f t="shared" si="20"/>
        <v>https://Estud2024.sawtoothsoftware.com/cgi-bin/ciwweb.pl?studyname=Estud2024&amp;ID=1555</v>
      </c>
      <c r="L1555" s="113">
        <v>45727</v>
      </c>
      <c r="M1555" s="45" t="s">
        <v>246</v>
      </c>
    </row>
    <row r="1556" spans="1:13">
      <c r="A1556">
        <v>1556</v>
      </c>
      <c r="B1556" t="s">
        <v>84</v>
      </c>
      <c r="C1556">
        <v>4</v>
      </c>
      <c r="D1556" t="s">
        <v>188</v>
      </c>
      <c r="E1556">
        <v>56</v>
      </c>
      <c r="F1556" t="s">
        <v>10023</v>
      </c>
      <c r="G1556">
        <v>2</v>
      </c>
      <c r="H1556" t="s">
        <v>10024</v>
      </c>
      <c r="I1556" s="45" t="s">
        <v>6754</v>
      </c>
      <c r="J1556" s="122">
        <v>45726</v>
      </c>
      <c r="K1556" s="110" t="str">
        <f t="shared" si="20"/>
        <v>https://Estud2024.sawtoothsoftware.com/cgi-bin/ciwweb.pl?studyname=Estud2024&amp;ID=1556</v>
      </c>
      <c r="L1556" s="113">
        <v>45727</v>
      </c>
      <c r="M1556" s="45" t="s">
        <v>246</v>
      </c>
    </row>
    <row r="1557" spans="1:13">
      <c r="A1557">
        <v>1557</v>
      </c>
      <c r="B1557" t="s">
        <v>84</v>
      </c>
      <c r="C1557">
        <v>4</v>
      </c>
      <c r="D1557" t="s">
        <v>188</v>
      </c>
      <c r="E1557">
        <v>56</v>
      </c>
      <c r="F1557" t="s">
        <v>10025</v>
      </c>
      <c r="G1557">
        <v>2</v>
      </c>
      <c r="H1557" t="s">
        <v>10026</v>
      </c>
      <c r="I1557" s="45" t="s">
        <v>6754</v>
      </c>
      <c r="J1557" s="122">
        <v>45726</v>
      </c>
      <c r="K1557" s="110" t="str">
        <f t="shared" si="20"/>
        <v>https://Estud2024.sawtoothsoftware.com/cgi-bin/ciwweb.pl?studyname=Estud2024&amp;ID=1557</v>
      </c>
      <c r="L1557" s="113">
        <v>45727</v>
      </c>
      <c r="M1557" s="45" t="s">
        <v>246</v>
      </c>
    </row>
    <row r="1558" spans="1:13">
      <c r="A1558">
        <v>1558</v>
      </c>
      <c r="B1558" t="s">
        <v>84</v>
      </c>
      <c r="C1558">
        <v>4</v>
      </c>
      <c r="D1558" t="s">
        <v>188</v>
      </c>
      <c r="E1558">
        <v>56</v>
      </c>
      <c r="F1558" t="s">
        <v>10027</v>
      </c>
      <c r="G1558">
        <v>2</v>
      </c>
      <c r="H1558" t="s">
        <v>10028</v>
      </c>
      <c r="I1558" s="45" t="s">
        <v>6754</v>
      </c>
      <c r="J1558" s="122">
        <v>45726</v>
      </c>
      <c r="K1558" s="110" t="str">
        <f t="shared" ref="K1558:K1621" si="21">CONCATENATE("https://Estud2024.sawtoothsoftware.com/cgi-bin/ciwweb.pl?studyname=Estud2024&amp;ID=",A1558)</f>
        <v>https://Estud2024.sawtoothsoftware.com/cgi-bin/ciwweb.pl?studyname=Estud2024&amp;ID=1558</v>
      </c>
      <c r="L1558" s="113">
        <v>45727</v>
      </c>
      <c r="M1558" s="45" t="s">
        <v>246</v>
      </c>
    </row>
    <row r="1559" spans="1:13">
      <c r="A1559">
        <v>1559</v>
      </c>
      <c r="B1559" t="s">
        <v>84</v>
      </c>
      <c r="C1559">
        <v>4</v>
      </c>
      <c r="D1559" t="s">
        <v>188</v>
      </c>
      <c r="E1559">
        <v>56</v>
      </c>
      <c r="F1559" t="s">
        <v>10029</v>
      </c>
      <c r="G1559">
        <v>2</v>
      </c>
      <c r="H1559" t="s">
        <v>10030</v>
      </c>
      <c r="I1559" s="45" t="s">
        <v>6754</v>
      </c>
      <c r="J1559" s="122">
        <v>45726</v>
      </c>
      <c r="K1559" s="110" t="str">
        <f t="shared" si="21"/>
        <v>https://Estud2024.sawtoothsoftware.com/cgi-bin/ciwweb.pl?studyname=Estud2024&amp;ID=1559</v>
      </c>
      <c r="L1559" s="113">
        <v>45727</v>
      </c>
      <c r="M1559" s="45" t="s">
        <v>246</v>
      </c>
    </row>
    <row r="1560" spans="1:13">
      <c r="A1560">
        <v>1560</v>
      </c>
      <c r="B1560" t="s">
        <v>84</v>
      </c>
      <c r="C1560">
        <v>4</v>
      </c>
      <c r="D1560" t="s">
        <v>188</v>
      </c>
      <c r="E1560">
        <v>56</v>
      </c>
      <c r="F1560" t="s">
        <v>10031</v>
      </c>
      <c r="G1560">
        <v>2</v>
      </c>
      <c r="H1560" t="s">
        <v>10032</v>
      </c>
      <c r="I1560" s="45" t="s">
        <v>6754</v>
      </c>
      <c r="J1560" s="122">
        <v>45726</v>
      </c>
      <c r="K1560" s="110" t="str">
        <f t="shared" si="21"/>
        <v>https://Estud2024.sawtoothsoftware.com/cgi-bin/ciwweb.pl?studyname=Estud2024&amp;ID=1560</v>
      </c>
      <c r="L1560" s="113">
        <v>45727</v>
      </c>
      <c r="M1560" s="45" t="s">
        <v>246</v>
      </c>
    </row>
    <row r="1561" spans="1:13">
      <c r="A1561">
        <v>1561</v>
      </c>
      <c r="B1561" t="s">
        <v>84</v>
      </c>
      <c r="C1561">
        <v>4</v>
      </c>
      <c r="D1561" t="s">
        <v>188</v>
      </c>
      <c r="E1561">
        <v>56</v>
      </c>
      <c r="F1561" t="s">
        <v>10033</v>
      </c>
      <c r="G1561">
        <v>2</v>
      </c>
      <c r="H1561" t="s">
        <v>10034</v>
      </c>
      <c r="I1561" s="45" t="s">
        <v>6754</v>
      </c>
      <c r="J1561" s="122">
        <v>45726</v>
      </c>
      <c r="K1561" s="110" t="str">
        <f t="shared" si="21"/>
        <v>https://Estud2024.sawtoothsoftware.com/cgi-bin/ciwweb.pl?studyname=Estud2024&amp;ID=1561</v>
      </c>
      <c r="L1561" s="113">
        <v>45727</v>
      </c>
      <c r="M1561" s="45" t="s">
        <v>246</v>
      </c>
    </row>
    <row r="1562" spans="1:13">
      <c r="A1562">
        <v>1562</v>
      </c>
      <c r="B1562" t="s">
        <v>84</v>
      </c>
      <c r="C1562">
        <v>4</v>
      </c>
      <c r="D1562" t="s">
        <v>188</v>
      </c>
      <c r="E1562">
        <v>56</v>
      </c>
      <c r="F1562" t="s">
        <v>10035</v>
      </c>
      <c r="G1562">
        <v>2</v>
      </c>
      <c r="H1562" t="s">
        <v>10036</v>
      </c>
      <c r="I1562" s="45" t="s">
        <v>6754</v>
      </c>
      <c r="J1562" s="122">
        <v>45726</v>
      </c>
      <c r="K1562" s="110" t="str">
        <f t="shared" si="21"/>
        <v>https://Estud2024.sawtoothsoftware.com/cgi-bin/ciwweb.pl?studyname=Estud2024&amp;ID=1562</v>
      </c>
      <c r="L1562" s="113">
        <v>45727</v>
      </c>
      <c r="M1562" s="45" t="s">
        <v>246</v>
      </c>
    </row>
    <row r="1563" spans="1:13">
      <c r="A1563">
        <v>1563</v>
      </c>
      <c r="B1563" t="s">
        <v>84</v>
      </c>
      <c r="C1563">
        <v>4</v>
      </c>
      <c r="D1563" t="s">
        <v>188</v>
      </c>
      <c r="E1563">
        <v>56</v>
      </c>
      <c r="F1563" t="s">
        <v>10037</v>
      </c>
      <c r="G1563">
        <v>2</v>
      </c>
      <c r="H1563" t="s">
        <v>10038</v>
      </c>
      <c r="I1563" s="45" t="s">
        <v>6754</v>
      </c>
      <c r="J1563" s="122">
        <v>45726</v>
      </c>
      <c r="K1563" s="110" t="str">
        <f t="shared" si="21"/>
        <v>https://Estud2024.sawtoothsoftware.com/cgi-bin/ciwweb.pl?studyname=Estud2024&amp;ID=1563</v>
      </c>
      <c r="L1563" s="113">
        <v>45727</v>
      </c>
      <c r="M1563" s="45" t="s">
        <v>246</v>
      </c>
    </row>
    <row r="1564" spans="1:13">
      <c r="A1564">
        <v>1564</v>
      </c>
      <c r="B1564" t="s">
        <v>84</v>
      </c>
      <c r="C1564">
        <v>4</v>
      </c>
      <c r="D1564" t="s">
        <v>188</v>
      </c>
      <c r="E1564">
        <v>56</v>
      </c>
      <c r="F1564" t="s">
        <v>10039</v>
      </c>
      <c r="G1564">
        <v>2</v>
      </c>
      <c r="H1564" t="s">
        <v>10040</v>
      </c>
      <c r="I1564" s="45" t="s">
        <v>6754</v>
      </c>
      <c r="J1564" s="122">
        <v>45726</v>
      </c>
      <c r="K1564" s="110" t="str">
        <f t="shared" si="21"/>
        <v>https://Estud2024.sawtoothsoftware.com/cgi-bin/ciwweb.pl?studyname=Estud2024&amp;ID=1564</v>
      </c>
      <c r="L1564" s="113">
        <v>45727</v>
      </c>
      <c r="M1564" s="45" t="s">
        <v>246</v>
      </c>
    </row>
    <row r="1565" spans="1:13">
      <c r="A1565">
        <v>1565</v>
      </c>
      <c r="B1565" t="s">
        <v>84</v>
      </c>
      <c r="C1565">
        <v>4</v>
      </c>
      <c r="D1565" t="s">
        <v>188</v>
      </c>
      <c r="E1565">
        <v>56</v>
      </c>
      <c r="F1565" t="s">
        <v>10041</v>
      </c>
      <c r="G1565">
        <v>2</v>
      </c>
      <c r="H1565" t="s">
        <v>10042</v>
      </c>
      <c r="I1565" s="45" t="s">
        <v>6754</v>
      </c>
      <c r="J1565" s="122">
        <v>45726</v>
      </c>
      <c r="K1565" s="110" t="str">
        <f t="shared" si="21"/>
        <v>https://Estud2024.sawtoothsoftware.com/cgi-bin/ciwweb.pl?studyname=Estud2024&amp;ID=1565</v>
      </c>
      <c r="L1565" s="113">
        <v>45727</v>
      </c>
      <c r="M1565" s="45" t="s">
        <v>246</v>
      </c>
    </row>
    <row r="1566" spans="1:13">
      <c r="A1566">
        <v>1566</v>
      </c>
      <c r="B1566" t="s">
        <v>84</v>
      </c>
      <c r="C1566">
        <v>4</v>
      </c>
      <c r="D1566" t="s">
        <v>188</v>
      </c>
      <c r="E1566">
        <v>56</v>
      </c>
      <c r="F1566" t="s">
        <v>10043</v>
      </c>
      <c r="G1566">
        <v>2</v>
      </c>
      <c r="H1566" t="s">
        <v>10044</v>
      </c>
      <c r="I1566" s="45" t="s">
        <v>6754</v>
      </c>
      <c r="J1566" s="122">
        <v>45726</v>
      </c>
      <c r="K1566" s="110" t="str">
        <f t="shared" si="21"/>
        <v>https://Estud2024.sawtoothsoftware.com/cgi-bin/ciwweb.pl?studyname=Estud2024&amp;ID=1566</v>
      </c>
      <c r="L1566" s="113">
        <v>45727</v>
      </c>
      <c r="M1566" s="45" t="s">
        <v>246</v>
      </c>
    </row>
    <row r="1567" spans="1:13">
      <c r="A1567">
        <v>1567</v>
      </c>
      <c r="B1567" t="s">
        <v>84</v>
      </c>
      <c r="D1567" t="s">
        <v>133</v>
      </c>
      <c r="F1567" t="s">
        <v>10045</v>
      </c>
      <c r="G1567">
        <v>1</v>
      </c>
      <c r="H1567" t="s">
        <v>10046</v>
      </c>
      <c r="I1567" s="45" t="s">
        <v>6754</v>
      </c>
      <c r="J1567" s="122">
        <v>45728</v>
      </c>
      <c r="K1567" s="110" t="str">
        <f t="shared" si="21"/>
        <v>https://Estud2024.sawtoothsoftware.com/cgi-bin/ciwweb.pl?studyname=Estud2024&amp;ID=1567</v>
      </c>
      <c r="L1567" s="113">
        <v>45730</v>
      </c>
      <c r="M1567" s="45" t="s">
        <v>247</v>
      </c>
    </row>
    <row r="1568" spans="1:13">
      <c r="A1568">
        <v>1568</v>
      </c>
      <c r="B1568" t="s">
        <v>84</v>
      </c>
      <c r="D1568" t="s">
        <v>133</v>
      </c>
      <c r="F1568" t="s">
        <v>10047</v>
      </c>
      <c r="G1568">
        <v>1</v>
      </c>
      <c r="H1568" s="63"/>
      <c r="I1568" s="45" t="s">
        <v>6754</v>
      </c>
      <c r="J1568" s="122">
        <v>45728</v>
      </c>
      <c r="K1568" s="110" t="str">
        <f t="shared" si="21"/>
        <v>https://Estud2024.sawtoothsoftware.com/cgi-bin/ciwweb.pl?studyname=Estud2024&amp;ID=1568</v>
      </c>
      <c r="L1568" s="113">
        <v>45730</v>
      </c>
      <c r="M1568" s="45" t="s">
        <v>247</v>
      </c>
    </row>
    <row r="1569" spans="1:13">
      <c r="A1569">
        <v>1569</v>
      </c>
      <c r="B1569" t="s">
        <v>84</v>
      </c>
      <c r="D1569" t="s">
        <v>133</v>
      </c>
      <c r="F1569" t="s">
        <v>10048</v>
      </c>
      <c r="G1569">
        <v>1</v>
      </c>
      <c r="H1569" t="s">
        <v>10049</v>
      </c>
      <c r="I1569" s="45" t="s">
        <v>6754</v>
      </c>
      <c r="J1569" s="122">
        <v>45728</v>
      </c>
      <c r="K1569" s="110" t="str">
        <f t="shared" si="21"/>
        <v>https://Estud2024.sawtoothsoftware.com/cgi-bin/ciwweb.pl?studyname=Estud2024&amp;ID=1569</v>
      </c>
      <c r="L1569" s="113">
        <v>45730</v>
      </c>
      <c r="M1569" s="45" t="s">
        <v>246</v>
      </c>
    </row>
    <row r="1570" spans="1:13">
      <c r="A1570">
        <v>1570</v>
      </c>
      <c r="B1570" t="s">
        <v>84</v>
      </c>
      <c r="D1570" t="s">
        <v>133</v>
      </c>
      <c r="F1570" t="s">
        <v>10050</v>
      </c>
      <c r="G1570">
        <v>1</v>
      </c>
      <c r="H1570" t="s">
        <v>10051</v>
      </c>
      <c r="I1570" s="45" t="s">
        <v>6754</v>
      </c>
      <c r="J1570" s="122">
        <v>45728</v>
      </c>
      <c r="K1570" s="110" t="str">
        <f t="shared" si="21"/>
        <v>https://Estud2024.sawtoothsoftware.com/cgi-bin/ciwweb.pl?studyname=Estud2024&amp;ID=1570</v>
      </c>
      <c r="L1570" s="113">
        <v>45730</v>
      </c>
      <c r="M1570" s="45" t="s">
        <v>247</v>
      </c>
    </row>
    <row r="1571" spans="1:13">
      <c r="A1571">
        <v>1571</v>
      </c>
      <c r="B1571" t="s">
        <v>84</v>
      </c>
      <c r="D1571" t="s">
        <v>133</v>
      </c>
      <c r="F1571" t="s">
        <v>10052</v>
      </c>
      <c r="G1571">
        <v>1</v>
      </c>
      <c r="H1571" t="s">
        <v>10053</v>
      </c>
      <c r="I1571" s="45" t="s">
        <v>6754</v>
      </c>
      <c r="J1571" s="122">
        <v>45728</v>
      </c>
      <c r="K1571" s="110" t="str">
        <f t="shared" si="21"/>
        <v>https://Estud2024.sawtoothsoftware.com/cgi-bin/ciwweb.pl?studyname=Estud2024&amp;ID=1571</v>
      </c>
      <c r="L1571" s="113">
        <v>45730</v>
      </c>
      <c r="M1571" s="45" t="s">
        <v>247</v>
      </c>
    </row>
    <row r="1572" spans="1:13">
      <c r="A1572">
        <v>1572</v>
      </c>
      <c r="B1572" t="s">
        <v>84</v>
      </c>
      <c r="D1572" t="s">
        <v>133</v>
      </c>
      <c r="F1572" t="s">
        <v>10054</v>
      </c>
      <c r="G1572">
        <v>1</v>
      </c>
      <c r="H1572" t="s">
        <v>10055</v>
      </c>
      <c r="I1572" s="45" t="s">
        <v>6754</v>
      </c>
      <c r="J1572" s="122">
        <v>45728</v>
      </c>
      <c r="K1572" s="110" t="str">
        <f t="shared" si="21"/>
        <v>https://Estud2024.sawtoothsoftware.com/cgi-bin/ciwweb.pl?studyname=Estud2024&amp;ID=1572</v>
      </c>
      <c r="L1572" s="113">
        <v>45730</v>
      </c>
      <c r="M1572" s="45" t="s">
        <v>246</v>
      </c>
    </row>
    <row r="1573" spans="1:13">
      <c r="A1573">
        <v>1573</v>
      </c>
      <c r="B1573" t="s">
        <v>84</v>
      </c>
      <c r="D1573" t="s">
        <v>133</v>
      </c>
      <c r="F1573" t="s">
        <v>10056</v>
      </c>
      <c r="G1573">
        <v>1</v>
      </c>
      <c r="H1573" t="s">
        <v>10057</v>
      </c>
      <c r="I1573" s="45" t="s">
        <v>6754</v>
      </c>
      <c r="J1573" s="122">
        <v>45728</v>
      </c>
      <c r="K1573" s="110" t="str">
        <f t="shared" si="21"/>
        <v>https://Estud2024.sawtoothsoftware.com/cgi-bin/ciwweb.pl?studyname=Estud2024&amp;ID=1573</v>
      </c>
      <c r="L1573" s="113">
        <v>45730</v>
      </c>
      <c r="M1573" s="45" t="s">
        <v>246</v>
      </c>
    </row>
    <row r="1574" spans="1:13">
      <c r="A1574">
        <v>1574</v>
      </c>
      <c r="B1574" t="s">
        <v>84</v>
      </c>
      <c r="D1574" t="s">
        <v>133</v>
      </c>
      <c r="F1574" t="s">
        <v>10058</v>
      </c>
      <c r="G1574">
        <v>1</v>
      </c>
      <c r="H1574" t="s">
        <v>10059</v>
      </c>
      <c r="I1574" s="45" t="s">
        <v>6754</v>
      </c>
      <c r="J1574" s="122">
        <v>45728</v>
      </c>
      <c r="K1574" s="110" t="str">
        <f t="shared" si="21"/>
        <v>https://Estud2024.sawtoothsoftware.com/cgi-bin/ciwweb.pl?studyname=Estud2024&amp;ID=1574</v>
      </c>
      <c r="L1574" s="113">
        <v>45730</v>
      </c>
      <c r="M1574" s="45" t="s">
        <v>247</v>
      </c>
    </row>
    <row r="1575" spans="1:13">
      <c r="A1575">
        <v>1575</v>
      </c>
      <c r="B1575" t="s">
        <v>84</v>
      </c>
      <c r="D1575" t="s">
        <v>133</v>
      </c>
      <c r="F1575" t="s">
        <v>10060</v>
      </c>
      <c r="G1575">
        <v>1</v>
      </c>
      <c r="H1575" t="s">
        <v>10061</v>
      </c>
      <c r="I1575" s="45" t="s">
        <v>6754</v>
      </c>
      <c r="J1575" s="122">
        <v>45728</v>
      </c>
      <c r="K1575" s="110" t="str">
        <f t="shared" si="21"/>
        <v>https://Estud2024.sawtoothsoftware.com/cgi-bin/ciwweb.pl?studyname=Estud2024&amp;ID=1575</v>
      </c>
      <c r="L1575" s="113">
        <v>45730</v>
      </c>
      <c r="M1575" s="45" t="s">
        <v>247</v>
      </c>
    </row>
    <row r="1576" spans="1:13">
      <c r="A1576">
        <v>1576</v>
      </c>
      <c r="B1576" t="s">
        <v>84</v>
      </c>
      <c r="D1576" t="s">
        <v>8674</v>
      </c>
      <c r="F1576" t="s">
        <v>10062</v>
      </c>
      <c r="G1576">
        <v>1</v>
      </c>
      <c r="H1576" t="s">
        <v>10063</v>
      </c>
      <c r="I1576" s="45" t="s">
        <v>6754</v>
      </c>
      <c r="J1576" s="122">
        <v>45728</v>
      </c>
      <c r="K1576" s="110" t="str">
        <f t="shared" si="21"/>
        <v>https://Estud2024.sawtoothsoftware.com/cgi-bin/ciwweb.pl?studyname=Estud2024&amp;ID=1576</v>
      </c>
      <c r="L1576" s="113">
        <v>45730</v>
      </c>
      <c r="M1576" s="45" t="s">
        <v>246</v>
      </c>
    </row>
    <row r="1577" spans="1:13">
      <c r="A1577">
        <v>1577</v>
      </c>
      <c r="B1577" t="s">
        <v>84</v>
      </c>
      <c r="D1577" t="s">
        <v>8674</v>
      </c>
      <c r="F1577" t="s">
        <v>10064</v>
      </c>
      <c r="G1577">
        <v>1</v>
      </c>
      <c r="H1577" t="s">
        <v>10065</v>
      </c>
      <c r="I1577" s="45" t="s">
        <v>6754</v>
      </c>
      <c r="J1577" s="122">
        <v>45728</v>
      </c>
      <c r="K1577" s="110" t="str">
        <f t="shared" si="21"/>
        <v>https://Estud2024.sawtoothsoftware.com/cgi-bin/ciwweb.pl?studyname=Estud2024&amp;ID=1577</v>
      </c>
      <c r="L1577" s="113">
        <v>45730</v>
      </c>
      <c r="M1577" s="45" t="s">
        <v>10066</v>
      </c>
    </row>
    <row r="1578" spans="1:13">
      <c r="A1578">
        <v>1578</v>
      </c>
      <c r="B1578" t="s">
        <v>84</v>
      </c>
      <c r="D1578" t="s">
        <v>8674</v>
      </c>
      <c r="F1578" t="s">
        <v>10067</v>
      </c>
      <c r="G1578">
        <v>1</v>
      </c>
      <c r="H1578" t="s">
        <v>10068</v>
      </c>
      <c r="I1578" s="45" t="s">
        <v>6754</v>
      </c>
      <c r="J1578" s="122">
        <v>45728</v>
      </c>
      <c r="K1578" s="110" t="str">
        <f t="shared" si="21"/>
        <v>https://Estud2024.sawtoothsoftware.com/cgi-bin/ciwweb.pl?studyname=Estud2024&amp;ID=1578</v>
      </c>
      <c r="L1578" s="113">
        <v>45730</v>
      </c>
      <c r="M1578" s="45" t="s">
        <v>10066</v>
      </c>
    </row>
    <row r="1579" spans="1:13">
      <c r="A1579">
        <v>1579</v>
      </c>
      <c r="B1579" t="s">
        <v>84</v>
      </c>
      <c r="D1579" t="s">
        <v>8674</v>
      </c>
      <c r="F1579" t="s">
        <v>10069</v>
      </c>
      <c r="G1579">
        <v>1</v>
      </c>
      <c r="H1579" t="s">
        <v>10070</v>
      </c>
      <c r="I1579" s="45" t="s">
        <v>6754</v>
      </c>
      <c r="J1579" s="122">
        <v>45728</v>
      </c>
      <c r="K1579" s="110" t="str">
        <f t="shared" si="21"/>
        <v>https://Estud2024.sawtoothsoftware.com/cgi-bin/ciwweb.pl?studyname=Estud2024&amp;ID=1579</v>
      </c>
      <c r="L1579" s="113">
        <v>45730</v>
      </c>
      <c r="M1579" s="45" t="s">
        <v>10066</v>
      </c>
    </row>
    <row r="1580" spans="1:13">
      <c r="A1580">
        <v>1580</v>
      </c>
      <c r="B1580" t="s">
        <v>84</v>
      </c>
      <c r="D1580" t="s">
        <v>8674</v>
      </c>
      <c r="F1580" t="s">
        <v>10071</v>
      </c>
      <c r="G1580">
        <v>1</v>
      </c>
      <c r="H1580" t="s">
        <v>10072</v>
      </c>
      <c r="I1580" s="45" t="s">
        <v>6754</v>
      </c>
      <c r="J1580" s="122">
        <v>45728</v>
      </c>
      <c r="K1580" s="110" t="str">
        <f t="shared" si="21"/>
        <v>https://Estud2024.sawtoothsoftware.com/cgi-bin/ciwweb.pl?studyname=Estud2024&amp;ID=1580</v>
      </c>
      <c r="L1580" s="113">
        <v>45730</v>
      </c>
      <c r="M1580" s="45" t="s">
        <v>246</v>
      </c>
    </row>
    <row r="1581" spans="1:13">
      <c r="A1581">
        <v>1581</v>
      </c>
      <c r="B1581" t="s">
        <v>84</v>
      </c>
      <c r="D1581" t="s">
        <v>8674</v>
      </c>
      <c r="F1581" t="s">
        <v>10073</v>
      </c>
      <c r="G1581">
        <v>1</v>
      </c>
      <c r="H1581" t="s">
        <v>10074</v>
      </c>
      <c r="I1581" s="45" t="s">
        <v>6754</v>
      </c>
      <c r="J1581" s="122">
        <v>45728</v>
      </c>
      <c r="K1581" s="110" t="str">
        <f t="shared" si="21"/>
        <v>https://Estud2024.sawtoothsoftware.com/cgi-bin/ciwweb.pl?studyname=Estud2024&amp;ID=1581</v>
      </c>
      <c r="L1581" s="113">
        <v>45730</v>
      </c>
      <c r="M1581" s="45" t="s">
        <v>246</v>
      </c>
    </row>
    <row r="1582" spans="1:13">
      <c r="A1582">
        <v>1582</v>
      </c>
      <c r="B1582" t="s">
        <v>84</v>
      </c>
      <c r="D1582" t="s">
        <v>8674</v>
      </c>
      <c r="F1582" t="s">
        <v>10075</v>
      </c>
      <c r="G1582">
        <v>1</v>
      </c>
      <c r="H1582" t="s">
        <v>10076</v>
      </c>
      <c r="I1582" s="45" t="s">
        <v>6754</v>
      </c>
      <c r="J1582" s="122">
        <v>45728</v>
      </c>
      <c r="K1582" s="110" t="str">
        <f t="shared" si="21"/>
        <v>https://Estud2024.sawtoothsoftware.com/cgi-bin/ciwweb.pl?studyname=Estud2024&amp;ID=1582</v>
      </c>
      <c r="L1582" s="113">
        <v>45730</v>
      </c>
      <c r="M1582" s="45" t="s">
        <v>247</v>
      </c>
    </row>
    <row r="1583" spans="1:13">
      <c r="A1583">
        <v>1583</v>
      </c>
      <c r="B1583" t="s">
        <v>84</v>
      </c>
      <c r="D1583" t="s">
        <v>8674</v>
      </c>
      <c r="F1583" t="s">
        <v>10077</v>
      </c>
      <c r="G1583">
        <v>1</v>
      </c>
      <c r="H1583" t="s">
        <v>10078</v>
      </c>
      <c r="I1583" s="45" t="s">
        <v>6754</v>
      </c>
      <c r="J1583" s="122">
        <v>45728</v>
      </c>
      <c r="K1583" s="110" t="str">
        <f t="shared" si="21"/>
        <v>https://Estud2024.sawtoothsoftware.com/cgi-bin/ciwweb.pl?studyname=Estud2024&amp;ID=1583</v>
      </c>
      <c r="L1583" s="113">
        <v>45730</v>
      </c>
      <c r="M1583" s="45" t="s">
        <v>10066</v>
      </c>
    </row>
    <row r="1584" spans="1:13">
      <c r="A1584">
        <v>1584</v>
      </c>
      <c r="B1584" t="s">
        <v>84</v>
      </c>
      <c r="D1584" t="s">
        <v>8674</v>
      </c>
      <c r="F1584" t="s">
        <v>10079</v>
      </c>
      <c r="G1584">
        <v>1</v>
      </c>
      <c r="H1584" t="s">
        <v>10080</v>
      </c>
      <c r="I1584" s="45" t="s">
        <v>6754</v>
      </c>
      <c r="J1584" s="122">
        <v>45728</v>
      </c>
      <c r="K1584" s="110" t="str">
        <f t="shared" si="21"/>
        <v>https://Estud2024.sawtoothsoftware.com/cgi-bin/ciwweb.pl?studyname=Estud2024&amp;ID=1584</v>
      </c>
      <c r="L1584" s="113">
        <v>45730</v>
      </c>
      <c r="M1584" s="45" t="s">
        <v>10066</v>
      </c>
    </row>
    <row r="1585" spans="1:13">
      <c r="A1585">
        <v>1585</v>
      </c>
      <c r="B1585" t="s">
        <v>84</v>
      </c>
      <c r="D1585" t="s">
        <v>8674</v>
      </c>
      <c r="F1585" t="s">
        <v>10081</v>
      </c>
      <c r="G1585">
        <v>1</v>
      </c>
      <c r="H1585" t="s">
        <v>10082</v>
      </c>
      <c r="I1585" s="45" t="s">
        <v>6754</v>
      </c>
      <c r="J1585" s="122">
        <v>45728</v>
      </c>
      <c r="K1585" s="110" t="str">
        <f t="shared" si="21"/>
        <v>https://Estud2024.sawtoothsoftware.com/cgi-bin/ciwweb.pl?studyname=Estud2024&amp;ID=1585</v>
      </c>
      <c r="L1585" s="113">
        <v>45730</v>
      </c>
      <c r="M1585" s="45" t="s">
        <v>10066</v>
      </c>
    </row>
    <row r="1586" spans="1:13">
      <c r="A1586">
        <v>1586</v>
      </c>
      <c r="B1586" t="s">
        <v>84</v>
      </c>
      <c r="D1586" t="s">
        <v>8674</v>
      </c>
      <c r="F1586" t="s">
        <v>10083</v>
      </c>
      <c r="G1586">
        <v>1</v>
      </c>
      <c r="H1586" t="s">
        <v>10084</v>
      </c>
      <c r="I1586" s="45" t="s">
        <v>6754</v>
      </c>
      <c r="J1586" s="122">
        <v>45728</v>
      </c>
      <c r="K1586" s="110" t="str">
        <f t="shared" si="21"/>
        <v>https://Estud2024.sawtoothsoftware.com/cgi-bin/ciwweb.pl?studyname=Estud2024&amp;ID=1586</v>
      </c>
      <c r="L1586" s="113">
        <v>45730</v>
      </c>
      <c r="M1586" s="45" t="s">
        <v>10066</v>
      </c>
    </row>
    <row r="1587" spans="1:13">
      <c r="A1587">
        <v>1587</v>
      </c>
      <c r="B1587" t="s">
        <v>84</v>
      </c>
      <c r="D1587" t="s">
        <v>8674</v>
      </c>
      <c r="F1587" t="s">
        <v>10085</v>
      </c>
      <c r="G1587">
        <v>1</v>
      </c>
      <c r="H1587" t="s">
        <v>10086</v>
      </c>
      <c r="I1587" s="45" t="s">
        <v>6754</v>
      </c>
      <c r="J1587" s="122">
        <v>45728</v>
      </c>
      <c r="K1587" s="110" t="str">
        <f t="shared" si="21"/>
        <v>https://Estud2024.sawtoothsoftware.com/cgi-bin/ciwweb.pl?studyname=Estud2024&amp;ID=1587</v>
      </c>
      <c r="L1587" s="113">
        <v>45730</v>
      </c>
      <c r="M1587" s="45" t="s">
        <v>247</v>
      </c>
    </row>
    <row r="1588" spans="1:13">
      <c r="A1588">
        <v>1588</v>
      </c>
      <c r="B1588" t="s">
        <v>84</v>
      </c>
      <c r="D1588" t="s">
        <v>8674</v>
      </c>
      <c r="F1588" t="s">
        <v>10087</v>
      </c>
      <c r="G1588">
        <v>1</v>
      </c>
      <c r="H1588" t="s">
        <v>10088</v>
      </c>
      <c r="I1588" s="45" t="s">
        <v>6754</v>
      </c>
      <c r="J1588" s="122">
        <v>45728</v>
      </c>
      <c r="K1588" s="110" t="str">
        <f t="shared" si="21"/>
        <v>https://Estud2024.sawtoothsoftware.com/cgi-bin/ciwweb.pl?studyname=Estud2024&amp;ID=1588</v>
      </c>
      <c r="L1588" s="113">
        <v>45730</v>
      </c>
      <c r="M1588" s="45" t="s">
        <v>10066</v>
      </c>
    </row>
    <row r="1589" spans="1:13">
      <c r="A1589">
        <v>1589</v>
      </c>
      <c r="B1589" t="s">
        <v>84</v>
      </c>
      <c r="D1589" t="s">
        <v>8674</v>
      </c>
      <c r="F1589" t="s">
        <v>10089</v>
      </c>
      <c r="G1589">
        <v>1</v>
      </c>
      <c r="H1589" t="s">
        <v>10090</v>
      </c>
      <c r="I1589" s="45" t="s">
        <v>6754</v>
      </c>
      <c r="J1589" s="122">
        <v>45728</v>
      </c>
      <c r="K1589" s="110" t="str">
        <f t="shared" si="21"/>
        <v>https://Estud2024.sawtoothsoftware.com/cgi-bin/ciwweb.pl?studyname=Estud2024&amp;ID=1589</v>
      </c>
      <c r="L1589" s="113">
        <v>45730</v>
      </c>
      <c r="M1589" s="45" t="s">
        <v>247</v>
      </c>
    </row>
    <row r="1590" spans="1:13">
      <c r="A1590">
        <v>1590</v>
      </c>
      <c r="B1590" t="s">
        <v>84</v>
      </c>
      <c r="D1590" t="s">
        <v>8674</v>
      </c>
      <c r="F1590" t="s">
        <v>10091</v>
      </c>
      <c r="G1590">
        <v>1</v>
      </c>
      <c r="H1590" t="s">
        <v>10092</v>
      </c>
      <c r="I1590" s="45" t="s">
        <v>6754</v>
      </c>
      <c r="J1590" s="122">
        <v>45728</v>
      </c>
      <c r="K1590" s="110" t="str">
        <f t="shared" si="21"/>
        <v>https://Estud2024.sawtoothsoftware.com/cgi-bin/ciwweb.pl?studyname=Estud2024&amp;ID=1590</v>
      </c>
      <c r="L1590" s="113">
        <v>45730</v>
      </c>
      <c r="M1590" s="45" t="s">
        <v>246</v>
      </c>
    </row>
    <row r="1591" spans="1:13">
      <c r="A1591">
        <v>1591</v>
      </c>
      <c r="B1591" t="s">
        <v>84</v>
      </c>
      <c r="D1591" t="s">
        <v>8674</v>
      </c>
      <c r="F1591" t="s">
        <v>10093</v>
      </c>
      <c r="G1591">
        <v>1</v>
      </c>
      <c r="H1591" t="s">
        <v>10094</v>
      </c>
      <c r="I1591" s="45" t="s">
        <v>6754</v>
      </c>
      <c r="J1591" s="122">
        <v>45728</v>
      </c>
      <c r="K1591" s="110" t="str">
        <f t="shared" si="21"/>
        <v>https://Estud2024.sawtoothsoftware.com/cgi-bin/ciwweb.pl?studyname=Estud2024&amp;ID=1591</v>
      </c>
      <c r="L1591" s="113">
        <v>45730</v>
      </c>
      <c r="M1591" s="45" t="s">
        <v>10066</v>
      </c>
    </row>
    <row r="1592" spans="1:13">
      <c r="A1592">
        <v>1592</v>
      </c>
      <c r="B1592" t="s">
        <v>84</v>
      </c>
      <c r="D1592" t="s">
        <v>8674</v>
      </c>
      <c r="F1592" t="s">
        <v>10095</v>
      </c>
      <c r="G1592">
        <v>1</v>
      </c>
      <c r="H1592" t="s">
        <v>10096</v>
      </c>
      <c r="I1592" s="45" t="s">
        <v>6754</v>
      </c>
      <c r="J1592" s="122">
        <v>45728</v>
      </c>
      <c r="K1592" s="110" t="str">
        <f t="shared" si="21"/>
        <v>https://Estud2024.sawtoothsoftware.com/cgi-bin/ciwweb.pl?studyname=Estud2024&amp;ID=1592</v>
      </c>
      <c r="L1592" s="113">
        <v>45730</v>
      </c>
      <c r="M1592" s="45" t="s">
        <v>10066</v>
      </c>
    </row>
    <row r="1593" spans="1:13">
      <c r="A1593">
        <v>1593</v>
      </c>
      <c r="B1593" t="s">
        <v>84</v>
      </c>
      <c r="D1593" t="s">
        <v>8674</v>
      </c>
      <c r="F1593" t="s">
        <v>10097</v>
      </c>
      <c r="G1593">
        <v>1</v>
      </c>
      <c r="H1593" t="s">
        <v>10098</v>
      </c>
      <c r="I1593" s="45" t="s">
        <v>6754</v>
      </c>
      <c r="J1593" s="122">
        <v>45728</v>
      </c>
      <c r="K1593" s="110" t="str">
        <f t="shared" si="21"/>
        <v>https://Estud2024.sawtoothsoftware.com/cgi-bin/ciwweb.pl?studyname=Estud2024&amp;ID=1593</v>
      </c>
      <c r="L1593" s="113">
        <v>45730</v>
      </c>
      <c r="M1593" s="45" t="s">
        <v>247</v>
      </c>
    </row>
    <row r="1594" spans="1:13">
      <c r="A1594">
        <v>1594</v>
      </c>
      <c r="B1594" t="s">
        <v>84</v>
      </c>
      <c r="D1594" t="s">
        <v>177</v>
      </c>
      <c r="F1594" t="s">
        <v>10099</v>
      </c>
      <c r="G1594">
        <v>1</v>
      </c>
      <c r="H1594" t="s">
        <v>10100</v>
      </c>
      <c r="I1594" s="45" t="s">
        <v>6754</v>
      </c>
      <c r="J1594" s="122">
        <v>45728</v>
      </c>
      <c r="K1594" s="110" t="str">
        <f t="shared" si="21"/>
        <v>https://Estud2024.sawtoothsoftware.com/cgi-bin/ciwweb.pl?studyname=Estud2024&amp;ID=1594</v>
      </c>
      <c r="L1594" s="113">
        <v>45730</v>
      </c>
      <c r="M1594" s="45" t="s">
        <v>247</v>
      </c>
    </row>
    <row r="1595" spans="1:13">
      <c r="A1595">
        <v>1595</v>
      </c>
      <c r="B1595" t="s">
        <v>84</v>
      </c>
      <c r="D1595" t="s">
        <v>177</v>
      </c>
      <c r="F1595" t="s">
        <v>10101</v>
      </c>
      <c r="G1595">
        <v>1</v>
      </c>
      <c r="H1595" t="s">
        <v>10102</v>
      </c>
      <c r="I1595" s="45" t="s">
        <v>6754</v>
      </c>
      <c r="J1595" s="122">
        <v>45728</v>
      </c>
      <c r="K1595" s="110" t="str">
        <f t="shared" si="21"/>
        <v>https://Estud2024.sawtoothsoftware.com/cgi-bin/ciwweb.pl?studyname=Estud2024&amp;ID=1595</v>
      </c>
      <c r="L1595" s="113">
        <v>45730</v>
      </c>
      <c r="M1595" s="45" t="s">
        <v>247</v>
      </c>
    </row>
    <row r="1596" spans="1:13">
      <c r="A1596">
        <v>1596</v>
      </c>
      <c r="B1596" t="s">
        <v>84</v>
      </c>
      <c r="D1596" t="s">
        <v>177</v>
      </c>
      <c r="F1596" t="s">
        <v>10103</v>
      </c>
      <c r="G1596">
        <v>1</v>
      </c>
      <c r="H1596" t="s">
        <v>10104</v>
      </c>
      <c r="I1596" s="45" t="s">
        <v>6754</v>
      </c>
      <c r="J1596" s="122">
        <v>45728</v>
      </c>
      <c r="K1596" s="110" t="str">
        <f t="shared" si="21"/>
        <v>https://Estud2024.sawtoothsoftware.com/cgi-bin/ciwweb.pl?studyname=Estud2024&amp;ID=1596</v>
      </c>
      <c r="L1596" s="113">
        <v>45730</v>
      </c>
      <c r="M1596" s="45" t="s">
        <v>247</v>
      </c>
    </row>
    <row r="1597" spans="1:13">
      <c r="A1597">
        <v>1597</v>
      </c>
      <c r="B1597" t="s">
        <v>84</v>
      </c>
      <c r="D1597" t="s">
        <v>177</v>
      </c>
      <c r="F1597" t="s">
        <v>10105</v>
      </c>
      <c r="G1597">
        <v>1</v>
      </c>
      <c r="H1597" t="s">
        <v>10106</v>
      </c>
      <c r="I1597" s="45" t="s">
        <v>6754</v>
      </c>
      <c r="J1597" s="122">
        <v>45728</v>
      </c>
      <c r="K1597" s="110" t="str">
        <f t="shared" si="21"/>
        <v>https://Estud2024.sawtoothsoftware.com/cgi-bin/ciwweb.pl?studyname=Estud2024&amp;ID=1597</v>
      </c>
      <c r="L1597" s="113">
        <v>45730</v>
      </c>
      <c r="M1597" s="45" t="s">
        <v>247</v>
      </c>
    </row>
    <row r="1598" spans="1:13">
      <c r="A1598">
        <v>1598</v>
      </c>
      <c r="B1598" t="s">
        <v>84</v>
      </c>
      <c r="D1598" t="s">
        <v>177</v>
      </c>
      <c r="F1598" t="s">
        <v>10107</v>
      </c>
      <c r="G1598">
        <v>1</v>
      </c>
      <c r="H1598" t="s">
        <v>10108</v>
      </c>
      <c r="I1598" s="45" t="s">
        <v>6754</v>
      </c>
      <c r="J1598" s="122">
        <v>45728</v>
      </c>
      <c r="K1598" s="110" t="str">
        <f t="shared" si="21"/>
        <v>https://Estud2024.sawtoothsoftware.com/cgi-bin/ciwweb.pl?studyname=Estud2024&amp;ID=1598</v>
      </c>
      <c r="L1598" s="113">
        <v>45730</v>
      </c>
      <c r="M1598" s="45" t="s">
        <v>247</v>
      </c>
    </row>
    <row r="1599" spans="1:13">
      <c r="A1599">
        <v>1599</v>
      </c>
      <c r="B1599" t="s">
        <v>84</v>
      </c>
      <c r="D1599" t="s">
        <v>177</v>
      </c>
      <c r="F1599" t="s">
        <v>10109</v>
      </c>
      <c r="G1599">
        <v>1</v>
      </c>
      <c r="H1599" t="s">
        <v>10110</v>
      </c>
      <c r="I1599" s="45" t="s">
        <v>6754</v>
      </c>
      <c r="J1599" s="122">
        <v>45728</v>
      </c>
      <c r="K1599" s="110" t="str">
        <f t="shared" si="21"/>
        <v>https://Estud2024.sawtoothsoftware.com/cgi-bin/ciwweb.pl?studyname=Estud2024&amp;ID=1599</v>
      </c>
      <c r="L1599" s="113">
        <v>45730</v>
      </c>
      <c r="M1599" s="45" t="s">
        <v>246</v>
      </c>
    </row>
    <row r="1600" spans="1:13">
      <c r="A1600">
        <v>1600</v>
      </c>
      <c r="B1600" t="s">
        <v>84</v>
      </c>
      <c r="D1600" t="s">
        <v>177</v>
      </c>
      <c r="F1600" t="s">
        <v>10111</v>
      </c>
      <c r="G1600">
        <v>1</v>
      </c>
      <c r="H1600" t="s">
        <v>10112</v>
      </c>
      <c r="I1600" s="45" t="s">
        <v>6754</v>
      </c>
      <c r="J1600" s="122">
        <v>45728</v>
      </c>
      <c r="K1600" s="110" t="str">
        <f t="shared" si="21"/>
        <v>https://Estud2024.sawtoothsoftware.com/cgi-bin/ciwweb.pl?studyname=Estud2024&amp;ID=1600</v>
      </c>
      <c r="L1600" s="113">
        <v>45730</v>
      </c>
      <c r="M1600" s="45" t="s">
        <v>247</v>
      </c>
    </row>
    <row r="1601" spans="1:13">
      <c r="A1601">
        <v>1601</v>
      </c>
      <c r="B1601" t="s">
        <v>84</v>
      </c>
      <c r="D1601" t="s">
        <v>177</v>
      </c>
      <c r="F1601" t="s">
        <v>10113</v>
      </c>
      <c r="G1601">
        <v>1</v>
      </c>
      <c r="H1601" t="s">
        <v>10114</v>
      </c>
      <c r="I1601" s="45" t="s">
        <v>6754</v>
      </c>
      <c r="J1601" s="122">
        <v>45728</v>
      </c>
      <c r="K1601" s="110" t="str">
        <f t="shared" si="21"/>
        <v>https://Estud2024.sawtoothsoftware.com/cgi-bin/ciwweb.pl?studyname=Estud2024&amp;ID=1601</v>
      </c>
      <c r="L1601" s="113">
        <v>45730</v>
      </c>
      <c r="M1601" s="45" t="s">
        <v>247</v>
      </c>
    </row>
    <row r="1602" spans="1:13">
      <c r="A1602">
        <v>1602</v>
      </c>
      <c r="B1602" t="s">
        <v>84</v>
      </c>
      <c r="D1602" t="s">
        <v>177</v>
      </c>
      <c r="F1602" t="s">
        <v>10115</v>
      </c>
      <c r="G1602">
        <v>1</v>
      </c>
      <c r="H1602" t="s">
        <v>10116</v>
      </c>
      <c r="I1602" s="45" t="s">
        <v>6754</v>
      </c>
      <c r="J1602" s="122">
        <v>45728</v>
      </c>
      <c r="K1602" s="110" t="str">
        <f t="shared" si="21"/>
        <v>https://Estud2024.sawtoothsoftware.com/cgi-bin/ciwweb.pl?studyname=Estud2024&amp;ID=1602</v>
      </c>
      <c r="L1602" s="113">
        <v>45730</v>
      </c>
      <c r="M1602" s="45" t="s">
        <v>247</v>
      </c>
    </row>
    <row r="1603" spans="1:13">
      <c r="A1603">
        <v>1603</v>
      </c>
      <c r="B1603" t="s">
        <v>84</v>
      </c>
      <c r="D1603" t="s">
        <v>177</v>
      </c>
      <c r="F1603" t="s">
        <v>10117</v>
      </c>
      <c r="G1603">
        <v>1</v>
      </c>
      <c r="H1603" t="s">
        <v>10118</v>
      </c>
      <c r="I1603" s="45" t="s">
        <v>6754</v>
      </c>
      <c r="J1603" s="122">
        <v>45728</v>
      </c>
      <c r="K1603" s="110" t="str">
        <f t="shared" si="21"/>
        <v>https://Estud2024.sawtoothsoftware.com/cgi-bin/ciwweb.pl?studyname=Estud2024&amp;ID=1603</v>
      </c>
      <c r="L1603" s="113">
        <v>45730</v>
      </c>
      <c r="M1603" s="45" t="s">
        <v>247</v>
      </c>
    </row>
    <row r="1604" spans="1:13">
      <c r="A1604">
        <v>1604</v>
      </c>
      <c r="B1604" t="s">
        <v>84</v>
      </c>
      <c r="D1604" t="s">
        <v>177</v>
      </c>
      <c r="F1604" t="s">
        <v>10119</v>
      </c>
      <c r="G1604">
        <v>1</v>
      </c>
      <c r="H1604" t="s">
        <v>10120</v>
      </c>
      <c r="I1604" s="45" t="s">
        <v>6754</v>
      </c>
      <c r="J1604" s="122">
        <v>45728</v>
      </c>
      <c r="K1604" s="110" t="str">
        <f t="shared" si="21"/>
        <v>https://Estud2024.sawtoothsoftware.com/cgi-bin/ciwweb.pl?studyname=Estud2024&amp;ID=1604</v>
      </c>
      <c r="L1604" s="113">
        <v>45730</v>
      </c>
      <c r="M1604" s="45" t="s">
        <v>247</v>
      </c>
    </row>
    <row r="1605" spans="1:13">
      <c r="A1605">
        <v>1605</v>
      </c>
      <c r="B1605" t="s">
        <v>84</v>
      </c>
      <c r="D1605" t="s">
        <v>177</v>
      </c>
      <c r="F1605" t="s">
        <v>10121</v>
      </c>
      <c r="G1605">
        <v>1</v>
      </c>
      <c r="H1605" t="s">
        <v>10122</v>
      </c>
      <c r="I1605" s="45" t="s">
        <v>6754</v>
      </c>
      <c r="J1605" s="122">
        <v>45728</v>
      </c>
      <c r="K1605" s="110" t="str">
        <f t="shared" si="21"/>
        <v>https://Estud2024.sawtoothsoftware.com/cgi-bin/ciwweb.pl?studyname=Estud2024&amp;ID=1605</v>
      </c>
      <c r="L1605" s="113">
        <v>45730</v>
      </c>
      <c r="M1605" s="45" t="s">
        <v>247</v>
      </c>
    </row>
    <row r="1606" spans="1:13">
      <c r="A1606">
        <v>1606</v>
      </c>
      <c r="B1606" t="s">
        <v>84</v>
      </c>
      <c r="D1606" t="s">
        <v>177</v>
      </c>
      <c r="F1606" t="s">
        <v>10123</v>
      </c>
      <c r="G1606">
        <v>1</v>
      </c>
      <c r="H1606" t="s">
        <v>10124</v>
      </c>
      <c r="I1606" s="45" t="s">
        <v>6754</v>
      </c>
      <c r="J1606" s="122">
        <v>45728</v>
      </c>
      <c r="K1606" s="110" t="str">
        <f t="shared" si="21"/>
        <v>https://Estud2024.sawtoothsoftware.com/cgi-bin/ciwweb.pl?studyname=Estud2024&amp;ID=1606</v>
      </c>
      <c r="L1606" s="113">
        <v>45730</v>
      </c>
      <c r="M1606" s="45" t="s">
        <v>247</v>
      </c>
    </row>
    <row r="1607" spans="1:13">
      <c r="A1607">
        <v>1607</v>
      </c>
      <c r="B1607" t="s">
        <v>84</v>
      </c>
      <c r="D1607" t="s">
        <v>177</v>
      </c>
      <c r="F1607" t="s">
        <v>10125</v>
      </c>
      <c r="G1607">
        <v>1</v>
      </c>
      <c r="H1607" t="s">
        <v>10126</v>
      </c>
      <c r="I1607" s="45" t="s">
        <v>6754</v>
      </c>
      <c r="J1607" s="122">
        <v>45728</v>
      </c>
      <c r="K1607" s="110" t="str">
        <f t="shared" si="21"/>
        <v>https://Estud2024.sawtoothsoftware.com/cgi-bin/ciwweb.pl?studyname=Estud2024&amp;ID=1607</v>
      </c>
      <c r="L1607" s="113">
        <v>45730</v>
      </c>
      <c r="M1607" s="45" t="s">
        <v>247</v>
      </c>
    </row>
    <row r="1608" spans="1:13">
      <c r="A1608">
        <v>1608</v>
      </c>
      <c r="B1608" t="s">
        <v>84</v>
      </c>
      <c r="D1608" t="s">
        <v>177</v>
      </c>
      <c r="F1608" t="s">
        <v>10127</v>
      </c>
      <c r="G1608">
        <v>1</v>
      </c>
      <c r="H1608" t="s">
        <v>10128</v>
      </c>
      <c r="I1608" s="45" t="s">
        <v>6754</v>
      </c>
      <c r="J1608" s="122">
        <v>45728</v>
      </c>
      <c r="K1608" s="110" t="str">
        <f t="shared" si="21"/>
        <v>https://Estud2024.sawtoothsoftware.com/cgi-bin/ciwweb.pl?studyname=Estud2024&amp;ID=1608</v>
      </c>
      <c r="L1608" s="113">
        <v>45730</v>
      </c>
      <c r="M1608" s="45" t="s">
        <v>247</v>
      </c>
    </row>
    <row r="1609" spans="1:13">
      <c r="A1609">
        <v>1609</v>
      </c>
      <c r="B1609" t="s">
        <v>84</v>
      </c>
      <c r="D1609" t="s">
        <v>177</v>
      </c>
      <c r="F1609" t="s">
        <v>10129</v>
      </c>
      <c r="G1609">
        <v>1</v>
      </c>
      <c r="H1609" t="s">
        <v>10130</v>
      </c>
      <c r="I1609" s="45" t="s">
        <v>6754</v>
      </c>
      <c r="J1609" s="122">
        <v>45728</v>
      </c>
      <c r="K1609" s="110" t="str">
        <f t="shared" si="21"/>
        <v>https://Estud2024.sawtoothsoftware.com/cgi-bin/ciwweb.pl?studyname=Estud2024&amp;ID=1609</v>
      </c>
      <c r="L1609" s="113">
        <v>45730</v>
      </c>
      <c r="M1609" s="45" t="s">
        <v>247</v>
      </c>
    </row>
    <row r="1610" spans="1:13">
      <c r="A1610">
        <v>1610</v>
      </c>
      <c r="B1610" t="s">
        <v>84</v>
      </c>
      <c r="D1610" t="s">
        <v>177</v>
      </c>
      <c r="F1610" t="s">
        <v>10131</v>
      </c>
      <c r="G1610">
        <v>1</v>
      </c>
      <c r="H1610" t="s">
        <v>10132</v>
      </c>
      <c r="I1610" s="45" t="s">
        <v>6754</v>
      </c>
      <c r="J1610" s="122">
        <v>45728</v>
      </c>
      <c r="K1610" s="110" t="str">
        <f t="shared" si="21"/>
        <v>https://Estud2024.sawtoothsoftware.com/cgi-bin/ciwweb.pl?studyname=Estud2024&amp;ID=1610</v>
      </c>
      <c r="L1610" s="113">
        <v>45730</v>
      </c>
      <c r="M1610" s="45" t="s">
        <v>247</v>
      </c>
    </row>
    <row r="1611" spans="1:13">
      <c r="A1611">
        <v>1611</v>
      </c>
      <c r="B1611" t="s">
        <v>84</v>
      </c>
      <c r="D1611" t="s">
        <v>177</v>
      </c>
      <c r="F1611" t="s">
        <v>10133</v>
      </c>
      <c r="G1611">
        <v>1</v>
      </c>
      <c r="H1611" t="s">
        <v>10134</v>
      </c>
      <c r="I1611" s="45" t="s">
        <v>6754</v>
      </c>
      <c r="J1611" s="122">
        <v>45728</v>
      </c>
      <c r="K1611" s="110" t="str">
        <f t="shared" si="21"/>
        <v>https://Estud2024.sawtoothsoftware.com/cgi-bin/ciwweb.pl?studyname=Estud2024&amp;ID=1611</v>
      </c>
      <c r="L1611" s="113">
        <v>45730</v>
      </c>
      <c r="M1611" s="45" t="s">
        <v>246</v>
      </c>
    </row>
    <row r="1612" spans="1:13">
      <c r="A1612">
        <v>1612</v>
      </c>
      <c r="B1612" t="s">
        <v>84</v>
      </c>
      <c r="D1612" t="s">
        <v>177</v>
      </c>
      <c r="F1612" t="s">
        <v>10135</v>
      </c>
      <c r="G1612">
        <v>1</v>
      </c>
      <c r="H1612" t="s">
        <v>10136</v>
      </c>
      <c r="I1612" s="45" t="s">
        <v>6754</v>
      </c>
      <c r="J1612" s="122">
        <v>45728</v>
      </c>
      <c r="K1612" s="110" t="str">
        <f t="shared" si="21"/>
        <v>https://Estud2024.sawtoothsoftware.com/cgi-bin/ciwweb.pl?studyname=Estud2024&amp;ID=1612</v>
      </c>
      <c r="L1612" s="113">
        <v>45730</v>
      </c>
      <c r="M1612" s="45" t="s">
        <v>246</v>
      </c>
    </row>
    <row r="1613" spans="1:13">
      <c r="A1613">
        <v>1613</v>
      </c>
      <c r="B1613" t="s">
        <v>84</v>
      </c>
      <c r="D1613" t="s">
        <v>177</v>
      </c>
      <c r="F1613" t="s">
        <v>10137</v>
      </c>
      <c r="G1613">
        <v>1</v>
      </c>
      <c r="H1613" t="s">
        <v>10138</v>
      </c>
      <c r="I1613" s="45" t="s">
        <v>6754</v>
      </c>
      <c r="J1613" s="122">
        <v>45728</v>
      </c>
      <c r="K1613" s="110" t="str">
        <f t="shared" si="21"/>
        <v>https://Estud2024.sawtoothsoftware.com/cgi-bin/ciwweb.pl?studyname=Estud2024&amp;ID=1613</v>
      </c>
      <c r="L1613" s="113">
        <v>45730</v>
      </c>
      <c r="M1613" s="45" t="s">
        <v>247</v>
      </c>
    </row>
    <row r="1614" spans="1:13">
      <c r="A1614">
        <v>1614</v>
      </c>
      <c r="B1614" t="s">
        <v>84</v>
      </c>
      <c r="D1614" t="s">
        <v>177</v>
      </c>
      <c r="F1614" t="s">
        <v>10139</v>
      </c>
      <c r="G1614">
        <v>1</v>
      </c>
      <c r="H1614" t="s">
        <v>10140</v>
      </c>
      <c r="I1614" s="45" t="s">
        <v>6754</v>
      </c>
      <c r="J1614" s="122">
        <v>45728</v>
      </c>
      <c r="K1614" s="110" t="str">
        <f t="shared" si="21"/>
        <v>https://Estud2024.sawtoothsoftware.com/cgi-bin/ciwweb.pl?studyname=Estud2024&amp;ID=1614</v>
      </c>
      <c r="L1614" s="113">
        <v>45730</v>
      </c>
      <c r="M1614" s="45" t="s">
        <v>247</v>
      </c>
    </row>
    <row r="1615" spans="1:13">
      <c r="A1615">
        <v>1615</v>
      </c>
      <c r="B1615" t="s">
        <v>84</v>
      </c>
      <c r="D1615" t="s">
        <v>177</v>
      </c>
      <c r="F1615" t="s">
        <v>10141</v>
      </c>
      <c r="G1615">
        <v>1</v>
      </c>
      <c r="H1615" t="s">
        <v>10142</v>
      </c>
      <c r="I1615" s="45" t="s">
        <v>6754</v>
      </c>
      <c r="J1615" s="122">
        <v>45728</v>
      </c>
      <c r="K1615" s="110" t="str">
        <f t="shared" si="21"/>
        <v>https://Estud2024.sawtoothsoftware.com/cgi-bin/ciwweb.pl?studyname=Estud2024&amp;ID=1615</v>
      </c>
      <c r="L1615" s="113">
        <v>45730</v>
      </c>
      <c r="M1615" s="45" t="s">
        <v>247</v>
      </c>
    </row>
    <row r="1616" spans="1:13">
      <c r="A1616">
        <v>1616</v>
      </c>
      <c r="B1616" t="s">
        <v>84</v>
      </c>
      <c r="D1616" t="s">
        <v>177</v>
      </c>
      <c r="F1616" t="s">
        <v>10143</v>
      </c>
      <c r="G1616">
        <v>1</v>
      </c>
      <c r="H1616" t="s">
        <v>10144</v>
      </c>
      <c r="I1616" s="45" t="s">
        <v>6754</v>
      </c>
      <c r="J1616" s="122">
        <v>45728</v>
      </c>
      <c r="K1616" s="110" t="str">
        <f t="shared" si="21"/>
        <v>https://Estud2024.sawtoothsoftware.com/cgi-bin/ciwweb.pl?studyname=Estud2024&amp;ID=1616</v>
      </c>
      <c r="L1616" s="113">
        <v>45730</v>
      </c>
      <c r="M1616" s="45" t="s">
        <v>246</v>
      </c>
    </row>
    <row r="1617" spans="1:13">
      <c r="A1617">
        <v>1617</v>
      </c>
      <c r="B1617" t="s">
        <v>84</v>
      </c>
      <c r="D1617" t="s">
        <v>177</v>
      </c>
      <c r="F1617" t="s">
        <v>10145</v>
      </c>
      <c r="G1617">
        <v>1</v>
      </c>
      <c r="H1617" t="s">
        <v>10146</v>
      </c>
      <c r="I1617" s="45" t="s">
        <v>6754</v>
      </c>
      <c r="J1617" s="122">
        <v>45728</v>
      </c>
      <c r="K1617" s="110" t="str">
        <f t="shared" si="21"/>
        <v>https://Estud2024.sawtoothsoftware.com/cgi-bin/ciwweb.pl?studyname=Estud2024&amp;ID=1617</v>
      </c>
      <c r="L1617" s="113">
        <v>45730</v>
      </c>
      <c r="M1617" s="45" t="s">
        <v>247</v>
      </c>
    </row>
    <row r="1618" spans="1:13">
      <c r="A1618">
        <v>1618</v>
      </c>
      <c r="B1618" t="s">
        <v>84</v>
      </c>
      <c r="D1618" t="s">
        <v>177</v>
      </c>
      <c r="F1618" t="s">
        <v>10147</v>
      </c>
      <c r="G1618">
        <v>1</v>
      </c>
      <c r="H1618" t="s">
        <v>10148</v>
      </c>
      <c r="I1618" s="45" t="s">
        <v>6754</v>
      </c>
      <c r="J1618" s="122">
        <v>45728</v>
      </c>
      <c r="K1618" s="110" t="str">
        <f t="shared" si="21"/>
        <v>https://Estud2024.sawtoothsoftware.com/cgi-bin/ciwweb.pl?studyname=Estud2024&amp;ID=1618</v>
      </c>
      <c r="L1618" s="113">
        <v>45730</v>
      </c>
      <c r="M1618" s="45" t="s">
        <v>247</v>
      </c>
    </row>
    <row r="1619" spans="1:13">
      <c r="A1619">
        <v>1619</v>
      </c>
      <c r="B1619" t="s">
        <v>84</v>
      </c>
      <c r="D1619" t="s">
        <v>177</v>
      </c>
      <c r="F1619" t="s">
        <v>10149</v>
      </c>
      <c r="G1619">
        <v>1</v>
      </c>
      <c r="H1619" t="s">
        <v>10150</v>
      </c>
      <c r="I1619" s="45" t="s">
        <v>6754</v>
      </c>
      <c r="J1619" s="122">
        <v>45728</v>
      </c>
      <c r="K1619" s="110" t="str">
        <f t="shared" si="21"/>
        <v>https://Estud2024.sawtoothsoftware.com/cgi-bin/ciwweb.pl?studyname=Estud2024&amp;ID=1619</v>
      </c>
      <c r="L1619" s="113">
        <v>45730</v>
      </c>
      <c r="M1619" s="45" t="s">
        <v>247</v>
      </c>
    </row>
    <row r="1620" spans="1:13">
      <c r="A1620">
        <v>1620</v>
      </c>
      <c r="B1620" t="s">
        <v>84</v>
      </c>
      <c r="D1620" t="s">
        <v>177</v>
      </c>
      <c r="F1620" t="s">
        <v>10151</v>
      </c>
      <c r="G1620">
        <v>1</v>
      </c>
      <c r="H1620" t="s">
        <v>10152</v>
      </c>
      <c r="I1620" s="45" t="s">
        <v>6754</v>
      </c>
      <c r="J1620" s="122">
        <v>45728</v>
      </c>
      <c r="K1620" s="110" t="str">
        <f t="shared" si="21"/>
        <v>https://Estud2024.sawtoothsoftware.com/cgi-bin/ciwweb.pl?studyname=Estud2024&amp;ID=1620</v>
      </c>
      <c r="L1620" s="113">
        <v>45730</v>
      </c>
      <c r="M1620" s="45" t="s">
        <v>247</v>
      </c>
    </row>
    <row r="1621" spans="1:13">
      <c r="A1621">
        <v>1621</v>
      </c>
      <c r="B1621" t="s">
        <v>84</v>
      </c>
      <c r="D1621" t="s">
        <v>177</v>
      </c>
      <c r="F1621" t="s">
        <v>10153</v>
      </c>
      <c r="G1621">
        <v>1</v>
      </c>
      <c r="H1621" t="s">
        <v>10154</v>
      </c>
      <c r="I1621" s="45" t="s">
        <v>6754</v>
      </c>
      <c r="J1621" s="122">
        <v>45728</v>
      </c>
      <c r="K1621" s="110" t="str">
        <f t="shared" si="21"/>
        <v>https://Estud2024.sawtoothsoftware.com/cgi-bin/ciwweb.pl?studyname=Estud2024&amp;ID=1621</v>
      </c>
      <c r="L1621" s="113">
        <v>45730</v>
      </c>
      <c r="M1621" s="45" t="s">
        <v>246</v>
      </c>
    </row>
    <row r="1622" spans="1:13">
      <c r="A1622">
        <v>1622</v>
      </c>
      <c r="B1622" t="s">
        <v>84</v>
      </c>
      <c r="D1622" t="s">
        <v>177</v>
      </c>
      <c r="F1622" t="s">
        <v>10155</v>
      </c>
      <c r="G1622">
        <v>1</v>
      </c>
      <c r="H1622" t="s">
        <v>10156</v>
      </c>
      <c r="I1622" s="45" t="s">
        <v>6754</v>
      </c>
      <c r="J1622" s="122">
        <v>45728</v>
      </c>
      <c r="K1622" s="110" t="str">
        <f t="shared" ref="K1622:K1685" si="22">CONCATENATE("https://Estud2024.sawtoothsoftware.com/cgi-bin/ciwweb.pl?studyname=Estud2024&amp;ID=",A1622)</f>
        <v>https://Estud2024.sawtoothsoftware.com/cgi-bin/ciwweb.pl?studyname=Estud2024&amp;ID=1622</v>
      </c>
      <c r="L1622" s="113">
        <v>45730</v>
      </c>
      <c r="M1622" s="45" t="s">
        <v>247</v>
      </c>
    </row>
    <row r="1623" spans="1:13">
      <c r="A1623">
        <v>1623</v>
      </c>
      <c r="B1623" t="s">
        <v>84</v>
      </c>
      <c r="D1623" t="s">
        <v>177</v>
      </c>
      <c r="F1623" t="s">
        <v>10157</v>
      </c>
      <c r="G1623">
        <v>1</v>
      </c>
      <c r="H1623" t="s">
        <v>10158</v>
      </c>
      <c r="I1623" s="45" t="s">
        <v>6754</v>
      </c>
      <c r="J1623" s="122">
        <v>45728</v>
      </c>
      <c r="K1623" s="110" t="str">
        <f t="shared" si="22"/>
        <v>https://Estud2024.sawtoothsoftware.com/cgi-bin/ciwweb.pl?studyname=Estud2024&amp;ID=1623</v>
      </c>
      <c r="L1623" s="113">
        <v>45730</v>
      </c>
      <c r="M1623" s="45" t="s">
        <v>247</v>
      </c>
    </row>
    <row r="1624" spans="1:13">
      <c r="A1624">
        <v>1624</v>
      </c>
      <c r="B1624" t="s">
        <v>84</v>
      </c>
      <c r="D1624" t="s">
        <v>177</v>
      </c>
      <c r="F1624" t="s">
        <v>10159</v>
      </c>
      <c r="G1624">
        <v>1</v>
      </c>
      <c r="H1624" t="s">
        <v>10160</v>
      </c>
      <c r="I1624" s="45" t="s">
        <v>6754</v>
      </c>
      <c r="J1624" s="122">
        <v>45728</v>
      </c>
      <c r="K1624" s="110" t="str">
        <f t="shared" si="22"/>
        <v>https://Estud2024.sawtoothsoftware.com/cgi-bin/ciwweb.pl?studyname=Estud2024&amp;ID=1624</v>
      </c>
      <c r="L1624" s="113">
        <v>45730</v>
      </c>
      <c r="M1624" s="45" t="s">
        <v>246</v>
      </c>
    </row>
    <row r="1625" spans="1:13">
      <c r="A1625">
        <v>1625</v>
      </c>
      <c r="B1625" t="s">
        <v>84</v>
      </c>
      <c r="D1625" t="s">
        <v>10161</v>
      </c>
      <c r="F1625" t="s">
        <v>10162</v>
      </c>
      <c r="G1625">
        <v>1</v>
      </c>
      <c r="H1625" t="s">
        <v>10163</v>
      </c>
      <c r="I1625" s="45" t="s">
        <v>6754</v>
      </c>
      <c r="J1625" s="122">
        <v>45728</v>
      </c>
      <c r="K1625" s="110" t="str">
        <f t="shared" si="22"/>
        <v>https://Estud2024.sawtoothsoftware.com/cgi-bin/ciwweb.pl?studyname=Estud2024&amp;ID=1625</v>
      </c>
      <c r="L1625" s="113">
        <v>45730</v>
      </c>
      <c r="M1625" s="45" t="s">
        <v>10066</v>
      </c>
    </row>
    <row r="1626" spans="1:13">
      <c r="A1626">
        <v>1626</v>
      </c>
      <c r="B1626" t="s">
        <v>84</v>
      </c>
      <c r="D1626" t="s">
        <v>10161</v>
      </c>
      <c r="F1626" t="s">
        <v>10164</v>
      </c>
      <c r="G1626">
        <v>1</v>
      </c>
      <c r="H1626" t="s">
        <v>10165</v>
      </c>
      <c r="I1626" s="45" t="s">
        <v>6754</v>
      </c>
      <c r="J1626" s="122">
        <v>45728</v>
      </c>
      <c r="K1626" s="110" t="str">
        <f t="shared" si="22"/>
        <v>https://Estud2024.sawtoothsoftware.com/cgi-bin/ciwweb.pl?studyname=Estud2024&amp;ID=1626</v>
      </c>
      <c r="L1626" s="113">
        <v>45730</v>
      </c>
      <c r="M1626" s="45" t="s">
        <v>10066</v>
      </c>
    </row>
    <row r="1627" spans="1:13">
      <c r="A1627">
        <v>1627</v>
      </c>
      <c r="B1627" t="s">
        <v>84</v>
      </c>
      <c r="D1627" t="s">
        <v>10161</v>
      </c>
      <c r="F1627" t="s">
        <v>10166</v>
      </c>
      <c r="G1627">
        <v>1</v>
      </c>
      <c r="H1627" t="s">
        <v>10167</v>
      </c>
      <c r="I1627" s="45" t="s">
        <v>6754</v>
      </c>
      <c r="J1627" s="122">
        <v>45728</v>
      </c>
      <c r="K1627" s="110" t="str">
        <f t="shared" si="22"/>
        <v>https://Estud2024.sawtoothsoftware.com/cgi-bin/ciwweb.pl?studyname=Estud2024&amp;ID=1627</v>
      </c>
      <c r="L1627" s="113">
        <v>45730</v>
      </c>
      <c r="M1627" s="45" t="s">
        <v>10066</v>
      </c>
    </row>
    <row r="1628" spans="1:13">
      <c r="A1628">
        <v>1628</v>
      </c>
      <c r="B1628" t="s">
        <v>84</v>
      </c>
      <c r="D1628" t="s">
        <v>10161</v>
      </c>
      <c r="F1628" t="s">
        <v>10168</v>
      </c>
      <c r="G1628">
        <v>1</v>
      </c>
      <c r="H1628" t="s">
        <v>10169</v>
      </c>
      <c r="I1628" s="45" t="s">
        <v>6754</v>
      </c>
      <c r="J1628" s="122">
        <v>45728</v>
      </c>
      <c r="K1628" s="110" t="str">
        <f t="shared" si="22"/>
        <v>https://Estud2024.sawtoothsoftware.com/cgi-bin/ciwweb.pl?studyname=Estud2024&amp;ID=1628</v>
      </c>
      <c r="L1628" s="113">
        <v>45730</v>
      </c>
      <c r="M1628" s="45" t="s">
        <v>247</v>
      </c>
    </row>
    <row r="1629" spans="1:13">
      <c r="A1629">
        <v>1629</v>
      </c>
      <c r="B1629" t="s">
        <v>84</v>
      </c>
      <c r="D1629" t="s">
        <v>10161</v>
      </c>
      <c r="F1629" t="s">
        <v>10170</v>
      </c>
      <c r="G1629">
        <v>1</v>
      </c>
      <c r="H1629" t="s">
        <v>10171</v>
      </c>
      <c r="I1629" s="45" t="s">
        <v>6754</v>
      </c>
      <c r="J1629" s="122">
        <v>45728</v>
      </c>
      <c r="K1629" s="110" t="str">
        <f t="shared" si="22"/>
        <v>https://Estud2024.sawtoothsoftware.com/cgi-bin/ciwweb.pl?studyname=Estud2024&amp;ID=1629</v>
      </c>
      <c r="L1629" s="113">
        <v>45730</v>
      </c>
      <c r="M1629" s="45" t="s">
        <v>10066</v>
      </c>
    </row>
    <row r="1630" spans="1:13">
      <c r="A1630">
        <v>1630</v>
      </c>
      <c r="B1630" t="s">
        <v>84</v>
      </c>
      <c r="D1630" t="s">
        <v>10161</v>
      </c>
      <c r="F1630" t="s">
        <v>10172</v>
      </c>
      <c r="G1630">
        <v>1</v>
      </c>
      <c r="H1630" t="s">
        <v>10173</v>
      </c>
      <c r="I1630" s="45" t="s">
        <v>6754</v>
      </c>
      <c r="J1630" s="122">
        <v>45728</v>
      </c>
      <c r="K1630" s="110" t="str">
        <f t="shared" si="22"/>
        <v>https://Estud2024.sawtoothsoftware.com/cgi-bin/ciwweb.pl?studyname=Estud2024&amp;ID=1630</v>
      </c>
      <c r="L1630" s="113">
        <v>45730</v>
      </c>
      <c r="M1630" s="45" t="s">
        <v>246</v>
      </c>
    </row>
    <row r="1631" spans="1:13">
      <c r="A1631">
        <v>1631</v>
      </c>
      <c r="B1631" t="s">
        <v>84</v>
      </c>
      <c r="D1631" t="s">
        <v>10161</v>
      </c>
      <c r="F1631" t="s">
        <v>10174</v>
      </c>
      <c r="G1631">
        <v>1</v>
      </c>
      <c r="H1631" t="s">
        <v>10175</v>
      </c>
      <c r="I1631" s="45" t="s">
        <v>6754</v>
      </c>
      <c r="J1631" s="122">
        <v>45728</v>
      </c>
      <c r="K1631" s="110" t="str">
        <f t="shared" si="22"/>
        <v>https://Estud2024.sawtoothsoftware.com/cgi-bin/ciwweb.pl?studyname=Estud2024&amp;ID=1631</v>
      </c>
      <c r="L1631" s="113">
        <v>45730</v>
      </c>
      <c r="M1631" s="45" t="s">
        <v>10066</v>
      </c>
    </row>
    <row r="1632" spans="1:13">
      <c r="A1632">
        <v>1632</v>
      </c>
      <c r="B1632" t="s">
        <v>84</v>
      </c>
      <c r="D1632" t="s">
        <v>10161</v>
      </c>
      <c r="F1632" t="s">
        <v>10176</v>
      </c>
      <c r="G1632">
        <v>1</v>
      </c>
      <c r="H1632" t="s">
        <v>10177</v>
      </c>
      <c r="I1632" s="45" t="s">
        <v>6754</v>
      </c>
      <c r="J1632" s="122">
        <v>45728</v>
      </c>
      <c r="K1632" s="110" t="str">
        <f t="shared" si="22"/>
        <v>https://Estud2024.sawtoothsoftware.com/cgi-bin/ciwweb.pl?studyname=Estud2024&amp;ID=1632</v>
      </c>
      <c r="L1632" s="113">
        <v>45730</v>
      </c>
      <c r="M1632" s="45" t="s">
        <v>10066</v>
      </c>
    </row>
    <row r="1633" spans="1:13">
      <c r="A1633">
        <v>1633</v>
      </c>
      <c r="B1633" t="s">
        <v>84</v>
      </c>
      <c r="D1633" t="s">
        <v>10161</v>
      </c>
      <c r="F1633" t="s">
        <v>10178</v>
      </c>
      <c r="G1633">
        <v>1</v>
      </c>
      <c r="H1633" t="s">
        <v>10179</v>
      </c>
      <c r="I1633" s="45" t="s">
        <v>6754</v>
      </c>
      <c r="J1633" s="122">
        <v>45728</v>
      </c>
      <c r="K1633" s="110" t="str">
        <f t="shared" si="22"/>
        <v>https://Estud2024.sawtoothsoftware.com/cgi-bin/ciwweb.pl?studyname=Estud2024&amp;ID=1633</v>
      </c>
      <c r="L1633" s="113">
        <v>45730</v>
      </c>
      <c r="M1633" s="45" t="s">
        <v>10066</v>
      </c>
    </row>
    <row r="1634" spans="1:13">
      <c r="A1634">
        <v>1634</v>
      </c>
      <c r="B1634" t="s">
        <v>84</v>
      </c>
      <c r="D1634" t="s">
        <v>10161</v>
      </c>
      <c r="F1634" t="s">
        <v>10180</v>
      </c>
      <c r="G1634">
        <v>1</v>
      </c>
      <c r="H1634" t="s">
        <v>10181</v>
      </c>
      <c r="I1634" s="45" t="s">
        <v>6754</v>
      </c>
      <c r="J1634" s="122">
        <v>45728</v>
      </c>
      <c r="K1634" s="110" t="str">
        <f t="shared" si="22"/>
        <v>https://Estud2024.sawtoothsoftware.com/cgi-bin/ciwweb.pl?studyname=Estud2024&amp;ID=1634</v>
      </c>
      <c r="L1634" s="113">
        <v>45730</v>
      </c>
      <c r="M1634" s="45" t="s">
        <v>247</v>
      </c>
    </row>
    <row r="1635" spans="1:13">
      <c r="A1635">
        <v>1635</v>
      </c>
      <c r="B1635" t="s">
        <v>84</v>
      </c>
      <c r="D1635" t="s">
        <v>10161</v>
      </c>
      <c r="F1635" t="s">
        <v>10182</v>
      </c>
      <c r="G1635">
        <v>1</v>
      </c>
      <c r="H1635" t="s">
        <v>10183</v>
      </c>
      <c r="I1635" s="45" t="s">
        <v>6754</v>
      </c>
      <c r="J1635" s="122">
        <v>45728</v>
      </c>
      <c r="K1635" s="110" t="str">
        <f t="shared" si="22"/>
        <v>https://Estud2024.sawtoothsoftware.com/cgi-bin/ciwweb.pl?studyname=Estud2024&amp;ID=1635</v>
      </c>
      <c r="L1635" s="113">
        <v>45730</v>
      </c>
      <c r="M1635" s="45" t="s">
        <v>247</v>
      </c>
    </row>
    <row r="1636" spans="1:13">
      <c r="A1636">
        <v>1636</v>
      </c>
      <c r="B1636" t="s">
        <v>84</v>
      </c>
      <c r="D1636" t="s">
        <v>10161</v>
      </c>
      <c r="F1636" t="s">
        <v>10184</v>
      </c>
      <c r="G1636">
        <v>1</v>
      </c>
      <c r="H1636" t="s">
        <v>10185</v>
      </c>
      <c r="I1636" s="45" t="s">
        <v>6754</v>
      </c>
      <c r="J1636" s="122">
        <v>45728</v>
      </c>
      <c r="K1636" s="110" t="str">
        <f t="shared" si="22"/>
        <v>https://Estud2024.sawtoothsoftware.com/cgi-bin/ciwweb.pl?studyname=Estud2024&amp;ID=1636</v>
      </c>
      <c r="L1636" s="113">
        <v>45730</v>
      </c>
      <c r="M1636" s="45" t="s">
        <v>10066</v>
      </c>
    </row>
    <row r="1637" spans="1:13">
      <c r="A1637">
        <v>1637</v>
      </c>
      <c r="B1637" t="s">
        <v>84</v>
      </c>
      <c r="D1637" t="s">
        <v>10161</v>
      </c>
      <c r="F1637" t="s">
        <v>10186</v>
      </c>
      <c r="G1637">
        <v>1</v>
      </c>
      <c r="H1637" t="s">
        <v>10187</v>
      </c>
      <c r="I1637" s="45" t="s">
        <v>6754</v>
      </c>
      <c r="J1637" s="122">
        <v>45728</v>
      </c>
      <c r="K1637" s="110" t="str">
        <f t="shared" si="22"/>
        <v>https://Estud2024.sawtoothsoftware.com/cgi-bin/ciwweb.pl?studyname=Estud2024&amp;ID=1637</v>
      </c>
      <c r="L1637" s="113">
        <v>45730</v>
      </c>
      <c r="M1637" s="45" t="s">
        <v>247</v>
      </c>
    </row>
    <row r="1638" spans="1:13">
      <c r="A1638">
        <v>1638</v>
      </c>
      <c r="B1638" t="s">
        <v>84</v>
      </c>
      <c r="D1638" t="s">
        <v>130</v>
      </c>
      <c r="F1638" t="s">
        <v>10188</v>
      </c>
      <c r="G1638">
        <v>1</v>
      </c>
      <c r="H1638" t="s">
        <v>10189</v>
      </c>
      <c r="I1638" s="45" t="s">
        <v>6754</v>
      </c>
      <c r="J1638" s="122">
        <v>45728</v>
      </c>
      <c r="K1638" s="110" t="str">
        <f t="shared" si="22"/>
        <v>https://Estud2024.sawtoothsoftware.com/cgi-bin/ciwweb.pl?studyname=Estud2024&amp;ID=1638</v>
      </c>
      <c r="L1638" s="113">
        <v>45730</v>
      </c>
      <c r="M1638" s="45" t="s">
        <v>247</v>
      </c>
    </row>
    <row r="1639" spans="1:13">
      <c r="A1639">
        <v>1639</v>
      </c>
      <c r="B1639" t="s">
        <v>84</v>
      </c>
      <c r="D1639" t="s">
        <v>130</v>
      </c>
      <c r="F1639" t="s">
        <v>10190</v>
      </c>
      <c r="G1639">
        <v>1</v>
      </c>
      <c r="H1639" t="s">
        <v>10191</v>
      </c>
      <c r="I1639" s="45" t="s">
        <v>6754</v>
      </c>
      <c r="J1639" s="122">
        <v>45728</v>
      </c>
      <c r="K1639" s="110" t="str">
        <f t="shared" si="22"/>
        <v>https://Estud2024.sawtoothsoftware.com/cgi-bin/ciwweb.pl?studyname=Estud2024&amp;ID=1639</v>
      </c>
      <c r="L1639" s="113">
        <v>45730</v>
      </c>
      <c r="M1639" s="45" t="s">
        <v>247</v>
      </c>
    </row>
    <row r="1640" spans="1:13">
      <c r="A1640">
        <v>1640</v>
      </c>
      <c r="B1640" t="s">
        <v>84</v>
      </c>
      <c r="D1640" t="s">
        <v>130</v>
      </c>
      <c r="F1640" t="s">
        <v>10192</v>
      </c>
      <c r="G1640">
        <v>1</v>
      </c>
      <c r="H1640" t="s">
        <v>10193</v>
      </c>
      <c r="I1640" s="45" t="s">
        <v>6754</v>
      </c>
      <c r="J1640" s="122">
        <v>45728</v>
      </c>
      <c r="K1640" s="110" t="str">
        <f t="shared" si="22"/>
        <v>https://Estud2024.sawtoothsoftware.com/cgi-bin/ciwweb.pl?studyname=Estud2024&amp;ID=1640</v>
      </c>
      <c r="L1640" s="113">
        <v>45730</v>
      </c>
      <c r="M1640" s="45" t="s">
        <v>247</v>
      </c>
    </row>
    <row r="1641" spans="1:13">
      <c r="A1641">
        <v>1641</v>
      </c>
      <c r="B1641" t="s">
        <v>84</v>
      </c>
      <c r="D1641" t="s">
        <v>130</v>
      </c>
      <c r="F1641" t="s">
        <v>10194</v>
      </c>
      <c r="G1641">
        <v>1</v>
      </c>
      <c r="H1641" t="s">
        <v>10195</v>
      </c>
      <c r="I1641" s="45" t="s">
        <v>6754</v>
      </c>
      <c r="J1641" s="122">
        <v>45728</v>
      </c>
      <c r="K1641" s="110" t="str">
        <f t="shared" si="22"/>
        <v>https://Estud2024.sawtoothsoftware.com/cgi-bin/ciwweb.pl?studyname=Estud2024&amp;ID=1641</v>
      </c>
      <c r="L1641" s="113">
        <v>45730</v>
      </c>
      <c r="M1641" s="45" t="s">
        <v>247</v>
      </c>
    </row>
    <row r="1642" spans="1:13">
      <c r="A1642">
        <v>1642</v>
      </c>
      <c r="B1642" t="s">
        <v>84</v>
      </c>
      <c r="D1642" t="s">
        <v>130</v>
      </c>
      <c r="F1642" t="s">
        <v>10196</v>
      </c>
      <c r="G1642">
        <v>1</v>
      </c>
      <c r="H1642" t="s">
        <v>10197</v>
      </c>
      <c r="I1642" s="45" t="s">
        <v>6754</v>
      </c>
      <c r="J1642" s="122">
        <v>45728</v>
      </c>
      <c r="K1642" s="110" t="str">
        <f t="shared" si="22"/>
        <v>https://Estud2024.sawtoothsoftware.com/cgi-bin/ciwweb.pl?studyname=Estud2024&amp;ID=1642</v>
      </c>
      <c r="L1642" s="113">
        <v>45730</v>
      </c>
      <c r="M1642" s="45" t="s">
        <v>247</v>
      </c>
    </row>
    <row r="1643" spans="1:13">
      <c r="A1643">
        <v>1643</v>
      </c>
      <c r="B1643" t="s">
        <v>84</v>
      </c>
      <c r="D1643" t="s">
        <v>130</v>
      </c>
      <c r="F1643" t="s">
        <v>10198</v>
      </c>
      <c r="G1643">
        <v>1</v>
      </c>
      <c r="H1643" t="s">
        <v>10199</v>
      </c>
      <c r="I1643" s="45" t="s">
        <v>6754</v>
      </c>
      <c r="J1643" s="122">
        <v>45728</v>
      </c>
      <c r="K1643" s="110" t="str">
        <f t="shared" si="22"/>
        <v>https://Estud2024.sawtoothsoftware.com/cgi-bin/ciwweb.pl?studyname=Estud2024&amp;ID=1643</v>
      </c>
      <c r="L1643" s="113">
        <v>45730</v>
      </c>
      <c r="M1643" s="45" t="s">
        <v>247</v>
      </c>
    </row>
    <row r="1644" spans="1:13">
      <c r="A1644">
        <v>1644</v>
      </c>
      <c r="B1644" t="s">
        <v>84</v>
      </c>
      <c r="D1644" t="s">
        <v>130</v>
      </c>
      <c r="F1644" t="s">
        <v>10200</v>
      </c>
      <c r="G1644">
        <v>1</v>
      </c>
      <c r="H1644" t="s">
        <v>10201</v>
      </c>
      <c r="I1644" s="45" t="s">
        <v>6754</v>
      </c>
      <c r="J1644" s="122">
        <v>45728</v>
      </c>
      <c r="K1644" s="110" t="str">
        <f t="shared" si="22"/>
        <v>https://Estud2024.sawtoothsoftware.com/cgi-bin/ciwweb.pl?studyname=Estud2024&amp;ID=1644</v>
      </c>
      <c r="L1644" s="113">
        <v>45730</v>
      </c>
      <c r="M1644" s="45" t="s">
        <v>247</v>
      </c>
    </row>
    <row r="1645" spans="1:13">
      <c r="A1645">
        <v>1645</v>
      </c>
      <c r="B1645" t="s">
        <v>84</v>
      </c>
      <c r="D1645" t="s">
        <v>130</v>
      </c>
      <c r="F1645" t="s">
        <v>10202</v>
      </c>
      <c r="G1645">
        <v>1</v>
      </c>
      <c r="H1645" t="s">
        <v>10203</v>
      </c>
      <c r="I1645" s="45" t="s">
        <v>6754</v>
      </c>
      <c r="J1645" s="122">
        <v>45728</v>
      </c>
      <c r="K1645" s="110" t="str">
        <f t="shared" si="22"/>
        <v>https://Estud2024.sawtoothsoftware.com/cgi-bin/ciwweb.pl?studyname=Estud2024&amp;ID=1645</v>
      </c>
      <c r="L1645" s="113">
        <v>45730</v>
      </c>
      <c r="M1645" s="45" t="s">
        <v>246</v>
      </c>
    </row>
    <row r="1646" spans="1:13">
      <c r="A1646">
        <v>1646</v>
      </c>
      <c r="B1646" t="s">
        <v>84</v>
      </c>
      <c r="D1646" t="s">
        <v>130</v>
      </c>
      <c r="F1646" t="s">
        <v>10204</v>
      </c>
      <c r="G1646">
        <v>1</v>
      </c>
      <c r="H1646" t="s">
        <v>10205</v>
      </c>
      <c r="I1646" s="45" t="s">
        <v>6754</v>
      </c>
      <c r="J1646" s="122">
        <v>45728</v>
      </c>
      <c r="K1646" s="110" t="str">
        <f t="shared" si="22"/>
        <v>https://Estud2024.sawtoothsoftware.com/cgi-bin/ciwweb.pl?studyname=Estud2024&amp;ID=1646</v>
      </c>
      <c r="L1646" s="113">
        <v>45730</v>
      </c>
      <c r="M1646" s="45" t="s">
        <v>247</v>
      </c>
    </row>
    <row r="1647" spans="1:13">
      <c r="A1647">
        <v>1647</v>
      </c>
      <c r="B1647" t="s">
        <v>84</v>
      </c>
      <c r="D1647" t="s">
        <v>130</v>
      </c>
      <c r="F1647" t="s">
        <v>10206</v>
      </c>
      <c r="G1647">
        <v>1</v>
      </c>
      <c r="H1647" t="s">
        <v>10207</v>
      </c>
      <c r="I1647" s="45" t="s">
        <v>6754</v>
      </c>
      <c r="J1647" s="122">
        <v>45728</v>
      </c>
      <c r="K1647" s="110" t="str">
        <f t="shared" si="22"/>
        <v>https://Estud2024.sawtoothsoftware.com/cgi-bin/ciwweb.pl?studyname=Estud2024&amp;ID=1647</v>
      </c>
      <c r="L1647" s="113">
        <v>45730</v>
      </c>
      <c r="M1647" s="45" t="s">
        <v>247</v>
      </c>
    </row>
    <row r="1648" spans="1:13">
      <c r="A1648">
        <v>1648</v>
      </c>
      <c r="B1648" t="s">
        <v>84</v>
      </c>
      <c r="D1648" t="s">
        <v>130</v>
      </c>
      <c r="F1648" t="s">
        <v>10208</v>
      </c>
      <c r="G1648">
        <v>1</v>
      </c>
      <c r="H1648" t="s">
        <v>10209</v>
      </c>
      <c r="I1648" s="45" t="s">
        <v>6754</v>
      </c>
      <c r="J1648" s="122">
        <v>45728</v>
      </c>
      <c r="K1648" s="110" t="str">
        <f t="shared" si="22"/>
        <v>https://Estud2024.sawtoothsoftware.com/cgi-bin/ciwweb.pl?studyname=Estud2024&amp;ID=1648</v>
      </c>
      <c r="L1648" s="113">
        <v>45730</v>
      </c>
      <c r="M1648" s="45" t="s">
        <v>247</v>
      </c>
    </row>
    <row r="1649" spans="1:13">
      <c r="A1649">
        <v>1649</v>
      </c>
      <c r="B1649" t="s">
        <v>84</v>
      </c>
      <c r="D1649" t="s">
        <v>130</v>
      </c>
      <c r="F1649" t="s">
        <v>10210</v>
      </c>
      <c r="G1649">
        <v>1</v>
      </c>
      <c r="H1649" t="s">
        <v>10211</v>
      </c>
      <c r="I1649" s="45" t="s">
        <v>6754</v>
      </c>
      <c r="J1649" s="122">
        <v>45728</v>
      </c>
      <c r="K1649" s="110" t="str">
        <f t="shared" si="22"/>
        <v>https://Estud2024.sawtoothsoftware.com/cgi-bin/ciwweb.pl?studyname=Estud2024&amp;ID=1649</v>
      </c>
      <c r="L1649" s="113">
        <v>45730</v>
      </c>
      <c r="M1649" s="45" t="s">
        <v>246</v>
      </c>
    </row>
    <row r="1650" spans="1:13">
      <c r="A1650">
        <v>1650</v>
      </c>
      <c r="B1650" t="s">
        <v>84</v>
      </c>
      <c r="D1650" t="s">
        <v>130</v>
      </c>
      <c r="F1650" t="s">
        <v>10212</v>
      </c>
      <c r="G1650">
        <v>1</v>
      </c>
      <c r="H1650" t="s">
        <v>10213</v>
      </c>
      <c r="I1650" s="45" t="s">
        <v>6754</v>
      </c>
      <c r="J1650" s="122">
        <v>45728</v>
      </c>
      <c r="K1650" s="110" t="str">
        <f t="shared" si="22"/>
        <v>https://Estud2024.sawtoothsoftware.com/cgi-bin/ciwweb.pl?studyname=Estud2024&amp;ID=1650</v>
      </c>
      <c r="L1650" s="113">
        <v>45730</v>
      </c>
      <c r="M1650" s="45" t="s">
        <v>246</v>
      </c>
    </row>
    <row r="1651" spans="1:13">
      <c r="A1651">
        <v>1651</v>
      </c>
      <c r="B1651" t="s">
        <v>84</v>
      </c>
      <c r="D1651" t="s">
        <v>130</v>
      </c>
      <c r="F1651" t="s">
        <v>10214</v>
      </c>
      <c r="G1651">
        <v>1</v>
      </c>
      <c r="H1651" t="s">
        <v>10215</v>
      </c>
      <c r="I1651" s="45" t="s">
        <v>6754</v>
      </c>
      <c r="J1651" s="122">
        <v>45728</v>
      </c>
      <c r="K1651" s="110" t="str">
        <f t="shared" si="22"/>
        <v>https://Estud2024.sawtoothsoftware.com/cgi-bin/ciwweb.pl?studyname=Estud2024&amp;ID=1651</v>
      </c>
      <c r="L1651" s="113">
        <v>45730</v>
      </c>
      <c r="M1651" s="45" t="s">
        <v>247</v>
      </c>
    </row>
    <row r="1652" spans="1:13">
      <c r="A1652">
        <v>1652</v>
      </c>
      <c r="B1652" t="s">
        <v>84</v>
      </c>
      <c r="D1652" t="s">
        <v>130</v>
      </c>
      <c r="F1652" t="s">
        <v>10216</v>
      </c>
      <c r="G1652">
        <v>1</v>
      </c>
      <c r="H1652" t="s">
        <v>10217</v>
      </c>
      <c r="I1652" s="45" t="s">
        <v>6754</v>
      </c>
      <c r="J1652" s="122">
        <v>45728</v>
      </c>
      <c r="K1652" s="110" t="str">
        <f t="shared" si="22"/>
        <v>https://Estud2024.sawtoothsoftware.com/cgi-bin/ciwweb.pl?studyname=Estud2024&amp;ID=1652</v>
      </c>
      <c r="L1652" s="113">
        <v>45730</v>
      </c>
      <c r="M1652" s="45" t="s">
        <v>247</v>
      </c>
    </row>
    <row r="1653" spans="1:13">
      <c r="A1653">
        <v>1653</v>
      </c>
      <c r="B1653" t="s">
        <v>84</v>
      </c>
      <c r="D1653" t="s">
        <v>130</v>
      </c>
      <c r="F1653" t="s">
        <v>10218</v>
      </c>
      <c r="G1653">
        <v>1</v>
      </c>
      <c r="H1653" t="s">
        <v>10219</v>
      </c>
      <c r="I1653" s="45" t="s">
        <v>6754</v>
      </c>
      <c r="J1653" s="122">
        <v>45728</v>
      </c>
      <c r="K1653" s="110" t="str">
        <f t="shared" si="22"/>
        <v>https://Estud2024.sawtoothsoftware.com/cgi-bin/ciwweb.pl?studyname=Estud2024&amp;ID=1653</v>
      </c>
      <c r="L1653" s="113">
        <v>45730</v>
      </c>
      <c r="M1653" s="45" t="s">
        <v>247</v>
      </c>
    </row>
    <row r="1654" spans="1:13">
      <c r="A1654">
        <v>1654</v>
      </c>
      <c r="B1654" t="s">
        <v>84</v>
      </c>
      <c r="D1654" t="s">
        <v>130</v>
      </c>
      <c r="F1654" t="s">
        <v>10220</v>
      </c>
      <c r="G1654">
        <v>1</v>
      </c>
      <c r="H1654" t="s">
        <v>10221</v>
      </c>
      <c r="I1654" s="45" t="s">
        <v>6754</v>
      </c>
      <c r="J1654" s="122">
        <v>45728</v>
      </c>
      <c r="K1654" s="110" t="str">
        <f t="shared" si="22"/>
        <v>https://Estud2024.sawtoothsoftware.com/cgi-bin/ciwweb.pl?studyname=Estud2024&amp;ID=1654</v>
      </c>
      <c r="L1654" s="113">
        <v>45730</v>
      </c>
      <c r="M1654" s="45" t="s">
        <v>247</v>
      </c>
    </row>
    <row r="1655" spans="1:13">
      <c r="A1655">
        <v>1655</v>
      </c>
      <c r="B1655" t="s">
        <v>84</v>
      </c>
      <c r="D1655" t="s">
        <v>130</v>
      </c>
      <c r="F1655" t="s">
        <v>10222</v>
      </c>
      <c r="G1655">
        <v>1</v>
      </c>
      <c r="H1655" t="s">
        <v>10223</v>
      </c>
      <c r="I1655" s="45" t="s">
        <v>6754</v>
      </c>
      <c r="J1655" s="122">
        <v>45728</v>
      </c>
      <c r="K1655" s="110" t="str">
        <f t="shared" si="22"/>
        <v>https://Estud2024.sawtoothsoftware.com/cgi-bin/ciwweb.pl?studyname=Estud2024&amp;ID=1655</v>
      </c>
      <c r="L1655" s="113">
        <v>45730</v>
      </c>
      <c r="M1655" s="45" t="s">
        <v>247</v>
      </c>
    </row>
    <row r="1656" spans="1:13">
      <c r="A1656">
        <v>1656</v>
      </c>
      <c r="B1656" t="s">
        <v>84</v>
      </c>
      <c r="D1656" t="s">
        <v>130</v>
      </c>
      <c r="F1656" t="s">
        <v>10224</v>
      </c>
      <c r="G1656">
        <v>1</v>
      </c>
      <c r="H1656" t="s">
        <v>10225</v>
      </c>
      <c r="I1656" s="45" t="s">
        <v>6754</v>
      </c>
      <c r="J1656" s="122">
        <v>45728</v>
      </c>
      <c r="K1656" s="110" t="str">
        <f t="shared" si="22"/>
        <v>https://Estud2024.sawtoothsoftware.com/cgi-bin/ciwweb.pl?studyname=Estud2024&amp;ID=1656</v>
      </c>
      <c r="L1656" s="113">
        <v>45730</v>
      </c>
      <c r="M1656" s="45" t="s">
        <v>247</v>
      </c>
    </row>
    <row r="1657" spans="1:13">
      <c r="A1657">
        <v>1657</v>
      </c>
      <c r="B1657" t="s">
        <v>84</v>
      </c>
      <c r="D1657" t="s">
        <v>132</v>
      </c>
      <c r="F1657" t="s">
        <v>10226</v>
      </c>
      <c r="G1657">
        <v>1</v>
      </c>
      <c r="H1657" t="s">
        <v>10227</v>
      </c>
      <c r="I1657" s="45" t="s">
        <v>6754</v>
      </c>
      <c r="J1657" s="122">
        <v>45728</v>
      </c>
      <c r="K1657" s="110" t="str">
        <f t="shared" si="22"/>
        <v>https://Estud2024.sawtoothsoftware.com/cgi-bin/ciwweb.pl?studyname=Estud2024&amp;ID=1657</v>
      </c>
      <c r="L1657" s="113">
        <v>45730</v>
      </c>
      <c r="M1657" s="45" t="s">
        <v>247</v>
      </c>
    </row>
    <row r="1658" spans="1:13">
      <c r="A1658">
        <v>1658</v>
      </c>
      <c r="B1658" t="s">
        <v>84</v>
      </c>
      <c r="D1658" t="s">
        <v>132</v>
      </c>
      <c r="F1658" t="s">
        <v>10228</v>
      </c>
      <c r="G1658">
        <v>1</v>
      </c>
      <c r="H1658" t="s">
        <v>10229</v>
      </c>
      <c r="I1658" s="45" t="s">
        <v>6754</v>
      </c>
      <c r="J1658" s="122">
        <v>45728</v>
      </c>
      <c r="K1658" s="110" t="str">
        <f t="shared" si="22"/>
        <v>https://Estud2024.sawtoothsoftware.com/cgi-bin/ciwweb.pl?studyname=Estud2024&amp;ID=1658</v>
      </c>
      <c r="L1658" s="113">
        <v>45730</v>
      </c>
      <c r="M1658" s="45" t="s">
        <v>247</v>
      </c>
    </row>
    <row r="1659" spans="1:13">
      <c r="A1659">
        <v>1659</v>
      </c>
      <c r="B1659" t="s">
        <v>84</v>
      </c>
      <c r="D1659" t="s">
        <v>132</v>
      </c>
      <c r="F1659" t="s">
        <v>10230</v>
      </c>
      <c r="G1659">
        <v>1</v>
      </c>
      <c r="H1659" t="s">
        <v>10231</v>
      </c>
      <c r="I1659" s="45" t="s">
        <v>6754</v>
      </c>
      <c r="J1659" s="122">
        <v>45728</v>
      </c>
      <c r="K1659" s="110" t="str">
        <f t="shared" si="22"/>
        <v>https://Estud2024.sawtoothsoftware.com/cgi-bin/ciwweb.pl?studyname=Estud2024&amp;ID=1659</v>
      </c>
      <c r="L1659" s="113">
        <v>45730</v>
      </c>
      <c r="M1659" s="45" t="s">
        <v>247</v>
      </c>
    </row>
    <row r="1660" spans="1:13">
      <c r="A1660">
        <v>1660</v>
      </c>
      <c r="B1660" t="s">
        <v>84</v>
      </c>
      <c r="D1660" t="s">
        <v>132</v>
      </c>
      <c r="F1660" t="s">
        <v>10232</v>
      </c>
      <c r="G1660">
        <v>1</v>
      </c>
      <c r="H1660" t="s">
        <v>10233</v>
      </c>
      <c r="I1660" s="45" t="s">
        <v>6754</v>
      </c>
      <c r="J1660" s="122">
        <v>45728</v>
      </c>
      <c r="K1660" s="110" t="str">
        <f t="shared" si="22"/>
        <v>https://Estud2024.sawtoothsoftware.com/cgi-bin/ciwweb.pl?studyname=Estud2024&amp;ID=1660</v>
      </c>
      <c r="L1660" s="113">
        <v>45730</v>
      </c>
      <c r="M1660" s="45" t="s">
        <v>247</v>
      </c>
    </row>
    <row r="1661" spans="1:13">
      <c r="A1661">
        <v>1661</v>
      </c>
      <c r="B1661" t="s">
        <v>84</v>
      </c>
      <c r="D1661" t="s">
        <v>132</v>
      </c>
      <c r="F1661" t="s">
        <v>10234</v>
      </c>
      <c r="G1661">
        <v>1</v>
      </c>
      <c r="H1661" t="s">
        <v>10235</v>
      </c>
      <c r="I1661" s="45" t="s">
        <v>6754</v>
      </c>
      <c r="J1661" s="122">
        <v>45728</v>
      </c>
      <c r="K1661" s="110" t="str">
        <f t="shared" si="22"/>
        <v>https://Estud2024.sawtoothsoftware.com/cgi-bin/ciwweb.pl?studyname=Estud2024&amp;ID=1661</v>
      </c>
      <c r="L1661" s="113">
        <v>45730</v>
      </c>
      <c r="M1661" s="45" t="s">
        <v>247</v>
      </c>
    </row>
    <row r="1662" spans="1:13">
      <c r="A1662">
        <v>1662</v>
      </c>
      <c r="B1662" t="s">
        <v>84</v>
      </c>
      <c r="D1662" t="s">
        <v>132</v>
      </c>
      <c r="F1662" t="s">
        <v>10236</v>
      </c>
      <c r="G1662">
        <v>1</v>
      </c>
      <c r="H1662" t="s">
        <v>10237</v>
      </c>
      <c r="I1662" s="45" t="s">
        <v>6754</v>
      </c>
      <c r="J1662" s="122">
        <v>45728</v>
      </c>
      <c r="K1662" s="110" t="str">
        <f t="shared" si="22"/>
        <v>https://Estud2024.sawtoothsoftware.com/cgi-bin/ciwweb.pl?studyname=Estud2024&amp;ID=1662</v>
      </c>
      <c r="L1662" s="113">
        <v>45730</v>
      </c>
      <c r="M1662" s="45" t="s">
        <v>247</v>
      </c>
    </row>
    <row r="1663" spans="1:13">
      <c r="A1663">
        <v>1663</v>
      </c>
      <c r="B1663" t="s">
        <v>84</v>
      </c>
      <c r="D1663" t="s">
        <v>132</v>
      </c>
      <c r="F1663" t="s">
        <v>10238</v>
      </c>
      <c r="G1663">
        <v>1</v>
      </c>
      <c r="H1663" t="s">
        <v>10239</v>
      </c>
      <c r="I1663" s="45" t="s">
        <v>6754</v>
      </c>
      <c r="J1663" s="122">
        <v>45728</v>
      </c>
      <c r="K1663" s="110" t="str">
        <f t="shared" si="22"/>
        <v>https://Estud2024.sawtoothsoftware.com/cgi-bin/ciwweb.pl?studyname=Estud2024&amp;ID=1663</v>
      </c>
      <c r="L1663" s="113">
        <v>45730</v>
      </c>
      <c r="M1663" s="45" t="s">
        <v>247</v>
      </c>
    </row>
    <row r="1664" spans="1:13">
      <c r="A1664">
        <v>1664</v>
      </c>
      <c r="B1664" t="s">
        <v>84</v>
      </c>
      <c r="D1664" t="s">
        <v>132</v>
      </c>
      <c r="F1664" t="s">
        <v>10240</v>
      </c>
      <c r="G1664">
        <v>1</v>
      </c>
      <c r="H1664" t="s">
        <v>10241</v>
      </c>
      <c r="I1664" s="45" t="s">
        <v>6754</v>
      </c>
      <c r="J1664" s="122">
        <v>45728</v>
      </c>
      <c r="K1664" s="110" t="str">
        <f t="shared" si="22"/>
        <v>https://Estud2024.sawtoothsoftware.com/cgi-bin/ciwweb.pl?studyname=Estud2024&amp;ID=1664</v>
      </c>
      <c r="L1664" s="113">
        <v>45730</v>
      </c>
      <c r="M1664" s="45" t="s">
        <v>246</v>
      </c>
    </row>
    <row r="1665" spans="1:13">
      <c r="A1665">
        <v>1665</v>
      </c>
      <c r="B1665" t="s">
        <v>84</v>
      </c>
      <c r="D1665" t="s">
        <v>132</v>
      </c>
      <c r="F1665" t="s">
        <v>10242</v>
      </c>
      <c r="G1665">
        <v>1</v>
      </c>
      <c r="H1665" t="s">
        <v>10243</v>
      </c>
      <c r="I1665" s="45" t="s">
        <v>6754</v>
      </c>
      <c r="J1665" s="122">
        <v>45728</v>
      </c>
      <c r="K1665" s="110" t="str">
        <f t="shared" si="22"/>
        <v>https://Estud2024.sawtoothsoftware.com/cgi-bin/ciwweb.pl?studyname=Estud2024&amp;ID=1665</v>
      </c>
      <c r="L1665" s="113">
        <v>45730</v>
      </c>
      <c r="M1665" s="45" t="s">
        <v>247</v>
      </c>
    </row>
    <row r="1666" spans="1:13">
      <c r="A1666">
        <v>1666</v>
      </c>
      <c r="B1666" t="s">
        <v>84</v>
      </c>
      <c r="D1666" t="s">
        <v>132</v>
      </c>
      <c r="F1666" t="s">
        <v>10244</v>
      </c>
      <c r="G1666">
        <v>1</v>
      </c>
      <c r="H1666" t="s">
        <v>10245</v>
      </c>
      <c r="I1666" s="45" t="s">
        <v>6754</v>
      </c>
      <c r="J1666" s="122">
        <v>45728</v>
      </c>
      <c r="K1666" s="110" t="str">
        <f t="shared" si="22"/>
        <v>https://Estud2024.sawtoothsoftware.com/cgi-bin/ciwweb.pl?studyname=Estud2024&amp;ID=1666</v>
      </c>
      <c r="L1666" s="113">
        <v>45730</v>
      </c>
      <c r="M1666" s="45" t="s">
        <v>247</v>
      </c>
    </row>
    <row r="1667" spans="1:13">
      <c r="A1667">
        <v>1667</v>
      </c>
      <c r="B1667" t="s">
        <v>84</v>
      </c>
      <c r="D1667" t="s">
        <v>132</v>
      </c>
      <c r="F1667" t="s">
        <v>10246</v>
      </c>
      <c r="G1667">
        <v>1</v>
      </c>
      <c r="H1667" t="s">
        <v>10247</v>
      </c>
      <c r="I1667" s="45" t="s">
        <v>6754</v>
      </c>
      <c r="J1667" s="122">
        <v>45728</v>
      </c>
      <c r="K1667" s="110" t="str">
        <f t="shared" si="22"/>
        <v>https://Estud2024.sawtoothsoftware.com/cgi-bin/ciwweb.pl?studyname=Estud2024&amp;ID=1667</v>
      </c>
      <c r="L1667" s="113">
        <v>45730</v>
      </c>
      <c r="M1667" s="45" t="s">
        <v>247</v>
      </c>
    </row>
    <row r="1668" spans="1:13">
      <c r="A1668">
        <v>1668</v>
      </c>
      <c r="B1668" t="s">
        <v>84</v>
      </c>
      <c r="D1668" t="s">
        <v>132</v>
      </c>
      <c r="F1668" t="s">
        <v>10248</v>
      </c>
      <c r="G1668">
        <v>1</v>
      </c>
      <c r="H1668" t="s">
        <v>10249</v>
      </c>
      <c r="I1668" s="45" t="s">
        <v>6754</v>
      </c>
      <c r="J1668" s="122">
        <v>45728</v>
      </c>
      <c r="K1668" s="110" t="str">
        <f t="shared" si="22"/>
        <v>https://Estud2024.sawtoothsoftware.com/cgi-bin/ciwweb.pl?studyname=Estud2024&amp;ID=1668</v>
      </c>
      <c r="L1668" s="113">
        <v>45730</v>
      </c>
      <c r="M1668" s="45" t="s">
        <v>247</v>
      </c>
    </row>
    <row r="1669" spans="1:13">
      <c r="A1669">
        <v>1669</v>
      </c>
      <c r="B1669" t="s">
        <v>84</v>
      </c>
      <c r="D1669" t="s">
        <v>132</v>
      </c>
      <c r="F1669" t="s">
        <v>10250</v>
      </c>
      <c r="G1669">
        <v>1</v>
      </c>
      <c r="H1669" t="s">
        <v>10251</v>
      </c>
      <c r="I1669" s="45" t="s">
        <v>6754</v>
      </c>
      <c r="J1669" s="122">
        <v>45728</v>
      </c>
      <c r="K1669" s="110" t="str">
        <f t="shared" si="22"/>
        <v>https://Estud2024.sawtoothsoftware.com/cgi-bin/ciwweb.pl?studyname=Estud2024&amp;ID=1669</v>
      </c>
      <c r="L1669" s="113">
        <v>45730</v>
      </c>
      <c r="M1669" s="45" t="s">
        <v>247</v>
      </c>
    </row>
    <row r="1670" spans="1:13">
      <c r="A1670">
        <v>1670</v>
      </c>
      <c r="B1670" t="s">
        <v>84</v>
      </c>
      <c r="D1670" t="s">
        <v>132</v>
      </c>
      <c r="F1670" t="s">
        <v>10252</v>
      </c>
      <c r="G1670">
        <v>1</v>
      </c>
      <c r="H1670" t="s">
        <v>10253</v>
      </c>
      <c r="I1670" s="45" t="s">
        <v>6754</v>
      </c>
      <c r="J1670" s="122">
        <v>45728</v>
      </c>
      <c r="K1670" s="110" t="str">
        <f t="shared" si="22"/>
        <v>https://Estud2024.sawtoothsoftware.com/cgi-bin/ciwweb.pl?studyname=Estud2024&amp;ID=1670</v>
      </c>
      <c r="L1670" s="113">
        <v>45730</v>
      </c>
      <c r="M1670" s="45" t="s">
        <v>247</v>
      </c>
    </row>
    <row r="1671" spans="1:13">
      <c r="A1671">
        <v>1671</v>
      </c>
      <c r="B1671" t="s">
        <v>84</v>
      </c>
      <c r="D1671" t="s">
        <v>132</v>
      </c>
      <c r="F1671" t="s">
        <v>10254</v>
      </c>
      <c r="G1671">
        <v>1</v>
      </c>
      <c r="H1671" t="s">
        <v>10255</v>
      </c>
      <c r="I1671" s="45" t="s">
        <v>6754</v>
      </c>
      <c r="J1671" s="122">
        <v>45728</v>
      </c>
      <c r="K1671" s="110" t="str">
        <f t="shared" si="22"/>
        <v>https://Estud2024.sawtoothsoftware.com/cgi-bin/ciwweb.pl?studyname=Estud2024&amp;ID=1671</v>
      </c>
      <c r="L1671" s="113">
        <v>45730</v>
      </c>
      <c r="M1671" s="45" t="s">
        <v>247</v>
      </c>
    </row>
    <row r="1672" spans="1:13">
      <c r="A1672">
        <v>1672</v>
      </c>
      <c r="B1672" t="s">
        <v>84</v>
      </c>
      <c r="D1672" t="s">
        <v>8742</v>
      </c>
      <c r="F1672" t="s">
        <v>10256</v>
      </c>
      <c r="G1672">
        <v>1</v>
      </c>
      <c r="H1672" t="s">
        <v>10257</v>
      </c>
      <c r="I1672" s="45" t="s">
        <v>6754</v>
      </c>
      <c r="J1672" s="122">
        <v>45728</v>
      </c>
      <c r="K1672" s="110" t="str">
        <f t="shared" si="22"/>
        <v>https://Estud2024.sawtoothsoftware.com/cgi-bin/ciwweb.pl?studyname=Estud2024&amp;ID=1672</v>
      </c>
      <c r="L1672" s="113">
        <v>45730</v>
      </c>
      <c r="M1672" s="45" t="s">
        <v>246</v>
      </c>
    </row>
    <row r="1673" spans="1:13">
      <c r="A1673">
        <v>1673</v>
      </c>
      <c r="B1673" t="s">
        <v>84</v>
      </c>
      <c r="D1673" t="s">
        <v>8742</v>
      </c>
      <c r="F1673" t="s">
        <v>10258</v>
      </c>
      <c r="G1673">
        <v>1</v>
      </c>
      <c r="H1673" t="s">
        <v>10259</v>
      </c>
      <c r="I1673" s="45" t="s">
        <v>6754</v>
      </c>
      <c r="J1673" s="122">
        <v>45728</v>
      </c>
      <c r="K1673" s="110" t="str">
        <f t="shared" si="22"/>
        <v>https://Estud2024.sawtoothsoftware.com/cgi-bin/ciwweb.pl?studyname=Estud2024&amp;ID=1673</v>
      </c>
      <c r="L1673" s="113">
        <v>45730</v>
      </c>
      <c r="M1673" s="45" t="s">
        <v>246</v>
      </c>
    </row>
    <row r="1674" spans="1:13">
      <c r="A1674">
        <v>1674</v>
      </c>
      <c r="B1674" t="s">
        <v>84</v>
      </c>
      <c r="D1674" t="s">
        <v>8742</v>
      </c>
      <c r="F1674" t="s">
        <v>10260</v>
      </c>
      <c r="G1674">
        <v>1</v>
      </c>
      <c r="H1674" t="s">
        <v>10261</v>
      </c>
      <c r="I1674" s="45" t="s">
        <v>6754</v>
      </c>
      <c r="J1674" s="122">
        <v>45728</v>
      </c>
      <c r="K1674" s="110" t="str">
        <f t="shared" si="22"/>
        <v>https://Estud2024.sawtoothsoftware.com/cgi-bin/ciwweb.pl?studyname=Estud2024&amp;ID=1674</v>
      </c>
      <c r="L1674" s="113">
        <v>45730</v>
      </c>
      <c r="M1674" s="45" t="s">
        <v>246</v>
      </c>
    </row>
    <row r="1675" spans="1:13">
      <c r="A1675">
        <v>1675</v>
      </c>
      <c r="B1675" t="s">
        <v>84</v>
      </c>
      <c r="D1675" t="s">
        <v>8742</v>
      </c>
      <c r="F1675" t="s">
        <v>10262</v>
      </c>
      <c r="G1675">
        <v>1</v>
      </c>
      <c r="H1675" t="s">
        <v>10263</v>
      </c>
      <c r="I1675" s="45" t="s">
        <v>6754</v>
      </c>
      <c r="J1675" s="122">
        <v>45728</v>
      </c>
      <c r="K1675" s="110" t="str">
        <f t="shared" si="22"/>
        <v>https://Estud2024.sawtoothsoftware.com/cgi-bin/ciwweb.pl?studyname=Estud2024&amp;ID=1675</v>
      </c>
      <c r="L1675" s="113">
        <v>45730</v>
      </c>
      <c r="M1675" s="45" t="s">
        <v>246</v>
      </c>
    </row>
    <row r="1676" spans="1:13">
      <c r="A1676">
        <v>1676</v>
      </c>
      <c r="B1676" t="s">
        <v>84</v>
      </c>
      <c r="D1676" t="s">
        <v>8742</v>
      </c>
      <c r="F1676" t="s">
        <v>10264</v>
      </c>
      <c r="G1676">
        <v>1</v>
      </c>
      <c r="H1676" t="s">
        <v>10265</v>
      </c>
      <c r="I1676" s="45" t="s">
        <v>6754</v>
      </c>
      <c r="J1676" s="122">
        <v>45728</v>
      </c>
      <c r="K1676" s="110" t="str">
        <f t="shared" si="22"/>
        <v>https://Estud2024.sawtoothsoftware.com/cgi-bin/ciwweb.pl?studyname=Estud2024&amp;ID=1676</v>
      </c>
      <c r="L1676" s="113">
        <v>45730</v>
      </c>
      <c r="M1676" s="45" t="s">
        <v>10066</v>
      </c>
    </row>
    <row r="1677" spans="1:13">
      <c r="A1677">
        <v>1677</v>
      </c>
      <c r="B1677" t="s">
        <v>84</v>
      </c>
      <c r="D1677" t="s">
        <v>8742</v>
      </c>
      <c r="F1677" t="s">
        <v>10266</v>
      </c>
      <c r="G1677">
        <v>1</v>
      </c>
      <c r="H1677" t="s">
        <v>10267</v>
      </c>
      <c r="I1677" s="45" t="s">
        <v>6754</v>
      </c>
      <c r="J1677" s="122">
        <v>45728</v>
      </c>
      <c r="K1677" s="110" t="str">
        <f t="shared" si="22"/>
        <v>https://Estud2024.sawtoothsoftware.com/cgi-bin/ciwweb.pl?studyname=Estud2024&amp;ID=1677</v>
      </c>
      <c r="L1677" s="113">
        <v>45730</v>
      </c>
      <c r="M1677" s="45" t="s">
        <v>10066</v>
      </c>
    </row>
    <row r="1678" spans="1:13">
      <c r="A1678">
        <v>1678</v>
      </c>
      <c r="B1678" t="s">
        <v>84</v>
      </c>
      <c r="D1678" t="s">
        <v>8742</v>
      </c>
      <c r="F1678" t="s">
        <v>10268</v>
      </c>
      <c r="G1678">
        <v>1</v>
      </c>
      <c r="H1678" t="s">
        <v>10269</v>
      </c>
      <c r="I1678" s="45" t="s">
        <v>6754</v>
      </c>
      <c r="J1678" s="122">
        <v>45728</v>
      </c>
      <c r="K1678" s="110" t="str">
        <f t="shared" si="22"/>
        <v>https://Estud2024.sawtoothsoftware.com/cgi-bin/ciwweb.pl?studyname=Estud2024&amp;ID=1678</v>
      </c>
      <c r="L1678" s="113">
        <v>45730</v>
      </c>
      <c r="M1678" s="45" t="s">
        <v>246</v>
      </c>
    </row>
    <row r="1679" spans="1:13">
      <c r="A1679">
        <v>1679</v>
      </c>
      <c r="B1679" t="s">
        <v>84</v>
      </c>
      <c r="D1679" t="s">
        <v>8742</v>
      </c>
      <c r="F1679" t="s">
        <v>10270</v>
      </c>
      <c r="G1679">
        <v>1</v>
      </c>
      <c r="H1679" t="s">
        <v>10271</v>
      </c>
      <c r="I1679" s="45" t="s">
        <v>6754</v>
      </c>
      <c r="J1679" s="122">
        <v>45728</v>
      </c>
      <c r="K1679" s="110" t="str">
        <f t="shared" si="22"/>
        <v>https://Estud2024.sawtoothsoftware.com/cgi-bin/ciwweb.pl?studyname=Estud2024&amp;ID=1679</v>
      </c>
      <c r="L1679" s="113">
        <v>45730</v>
      </c>
      <c r="M1679" s="45" t="s">
        <v>246</v>
      </c>
    </row>
    <row r="1680" spans="1:13">
      <c r="A1680">
        <v>1680</v>
      </c>
      <c r="B1680" t="s">
        <v>84</v>
      </c>
      <c r="D1680" t="s">
        <v>8742</v>
      </c>
      <c r="F1680" t="s">
        <v>10272</v>
      </c>
      <c r="G1680">
        <v>1</v>
      </c>
      <c r="H1680" t="s">
        <v>10273</v>
      </c>
      <c r="I1680" s="45" t="s">
        <v>6754</v>
      </c>
      <c r="J1680" s="122">
        <v>45728</v>
      </c>
      <c r="K1680" s="110" t="str">
        <f t="shared" si="22"/>
        <v>https://Estud2024.sawtoothsoftware.com/cgi-bin/ciwweb.pl?studyname=Estud2024&amp;ID=1680</v>
      </c>
      <c r="L1680" s="113">
        <v>45730</v>
      </c>
      <c r="M1680" s="45" t="s">
        <v>10066</v>
      </c>
    </row>
    <row r="1681" spans="1:13">
      <c r="A1681">
        <v>1681</v>
      </c>
      <c r="B1681" t="s">
        <v>84</v>
      </c>
      <c r="D1681" t="s">
        <v>8742</v>
      </c>
      <c r="F1681" t="s">
        <v>10274</v>
      </c>
      <c r="G1681">
        <v>1</v>
      </c>
      <c r="H1681" t="s">
        <v>10275</v>
      </c>
      <c r="I1681" s="45" t="s">
        <v>6754</v>
      </c>
      <c r="J1681" s="122">
        <v>45728</v>
      </c>
      <c r="K1681" s="110" t="str">
        <f t="shared" si="22"/>
        <v>https://Estud2024.sawtoothsoftware.com/cgi-bin/ciwweb.pl?studyname=Estud2024&amp;ID=1681</v>
      </c>
      <c r="L1681" s="113">
        <v>45730</v>
      </c>
      <c r="M1681" s="45" t="s">
        <v>10066</v>
      </c>
    </row>
    <row r="1682" spans="1:13">
      <c r="A1682">
        <v>1682</v>
      </c>
      <c r="B1682" t="s">
        <v>84</v>
      </c>
      <c r="D1682" t="s">
        <v>8742</v>
      </c>
      <c r="F1682" t="s">
        <v>10276</v>
      </c>
      <c r="G1682">
        <v>1</v>
      </c>
      <c r="H1682" t="s">
        <v>10277</v>
      </c>
      <c r="I1682" s="45" t="s">
        <v>6754</v>
      </c>
      <c r="J1682" s="122">
        <v>45728</v>
      </c>
      <c r="K1682" s="110" t="str">
        <f t="shared" si="22"/>
        <v>https://Estud2024.sawtoothsoftware.com/cgi-bin/ciwweb.pl?studyname=Estud2024&amp;ID=1682</v>
      </c>
      <c r="L1682" s="113">
        <v>45730</v>
      </c>
      <c r="M1682" s="45" t="s">
        <v>10066</v>
      </c>
    </row>
    <row r="1683" spans="1:13">
      <c r="A1683">
        <v>1683</v>
      </c>
      <c r="B1683" t="s">
        <v>84</v>
      </c>
      <c r="D1683" t="s">
        <v>8742</v>
      </c>
      <c r="F1683" t="s">
        <v>10278</v>
      </c>
      <c r="G1683">
        <v>1</v>
      </c>
      <c r="H1683" t="s">
        <v>10279</v>
      </c>
      <c r="I1683" s="45" t="s">
        <v>6754</v>
      </c>
      <c r="J1683" s="122">
        <v>45728</v>
      </c>
      <c r="K1683" s="110" t="str">
        <f t="shared" si="22"/>
        <v>https://Estud2024.sawtoothsoftware.com/cgi-bin/ciwweb.pl?studyname=Estud2024&amp;ID=1683</v>
      </c>
      <c r="L1683" s="113">
        <v>45730</v>
      </c>
      <c r="M1683" s="45" t="s">
        <v>10066</v>
      </c>
    </row>
    <row r="1684" spans="1:13">
      <c r="A1684">
        <v>1684</v>
      </c>
      <c r="B1684" t="s">
        <v>84</v>
      </c>
      <c r="D1684" t="s">
        <v>8742</v>
      </c>
      <c r="F1684" t="s">
        <v>10280</v>
      </c>
      <c r="G1684">
        <v>1</v>
      </c>
      <c r="H1684" t="s">
        <v>10281</v>
      </c>
      <c r="I1684" s="45" t="s">
        <v>6754</v>
      </c>
      <c r="J1684" s="122">
        <v>45728</v>
      </c>
      <c r="K1684" s="110" t="str">
        <f t="shared" si="22"/>
        <v>https://Estud2024.sawtoothsoftware.com/cgi-bin/ciwweb.pl?studyname=Estud2024&amp;ID=1684</v>
      </c>
      <c r="L1684" s="113">
        <v>45730</v>
      </c>
      <c r="M1684" s="45" t="s">
        <v>10066</v>
      </c>
    </row>
    <row r="1685" spans="1:13">
      <c r="A1685">
        <v>1685</v>
      </c>
      <c r="B1685" t="s">
        <v>84</v>
      </c>
      <c r="D1685" t="s">
        <v>8742</v>
      </c>
      <c r="F1685" t="s">
        <v>10282</v>
      </c>
      <c r="G1685">
        <v>1</v>
      </c>
      <c r="H1685" t="s">
        <v>10281</v>
      </c>
      <c r="I1685" s="45" t="s">
        <v>6754</v>
      </c>
      <c r="J1685" s="122">
        <v>45728</v>
      </c>
      <c r="K1685" s="110" t="str">
        <f t="shared" si="22"/>
        <v>https://Estud2024.sawtoothsoftware.com/cgi-bin/ciwweb.pl?studyname=Estud2024&amp;ID=1685</v>
      </c>
      <c r="L1685" s="113">
        <v>45730</v>
      </c>
      <c r="M1685" s="45" t="s">
        <v>247</v>
      </c>
    </row>
    <row r="1686" spans="1:13">
      <c r="A1686">
        <v>1686</v>
      </c>
      <c r="B1686" t="s">
        <v>84</v>
      </c>
      <c r="D1686" t="s">
        <v>8742</v>
      </c>
      <c r="F1686" t="s">
        <v>8765</v>
      </c>
      <c r="G1686">
        <v>1</v>
      </c>
      <c r="H1686" t="s">
        <v>8766</v>
      </c>
      <c r="I1686" s="45" t="s">
        <v>6754</v>
      </c>
      <c r="J1686" s="122">
        <v>45728</v>
      </c>
      <c r="K1686" s="110" t="str">
        <f t="shared" ref="K1686:K1749" si="23">CONCATENATE("https://Estud2024.sawtoothsoftware.com/cgi-bin/ciwweb.pl?studyname=Estud2024&amp;ID=",A1686)</f>
        <v>https://Estud2024.sawtoothsoftware.com/cgi-bin/ciwweb.pl?studyname=Estud2024&amp;ID=1686</v>
      </c>
      <c r="L1686" s="113">
        <v>45730</v>
      </c>
      <c r="M1686" s="45" t="s">
        <v>247</v>
      </c>
    </row>
    <row r="1687" spans="1:13">
      <c r="A1687">
        <v>1687</v>
      </c>
      <c r="B1687" t="s">
        <v>85</v>
      </c>
      <c r="D1687" t="s">
        <v>136</v>
      </c>
      <c r="F1687" t="s">
        <v>10283</v>
      </c>
      <c r="G1687">
        <v>2</v>
      </c>
      <c r="H1687" t="s">
        <v>10284</v>
      </c>
      <c r="I1687" s="45" t="s">
        <v>6754</v>
      </c>
      <c r="J1687" s="122">
        <v>45729</v>
      </c>
      <c r="K1687" s="110" t="str">
        <f t="shared" si="23"/>
        <v>https://Estud2024.sawtoothsoftware.com/cgi-bin/ciwweb.pl?studyname=Estud2024&amp;ID=1687</v>
      </c>
      <c r="L1687" s="113">
        <v>45733</v>
      </c>
      <c r="M1687" s="45" t="s">
        <v>247</v>
      </c>
    </row>
    <row r="1688" spans="1:13">
      <c r="A1688">
        <v>1688</v>
      </c>
      <c r="B1688" t="s">
        <v>85</v>
      </c>
      <c r="D1688" t="s">
        <v>136</v>
      </c>
      <c r="F1688" t="s">
        <v>10285</v>
      </c>
      <c r="G1688">
        <v>2</v>
      </c>
      <c r="H1688" t="s">
        <v>10286</v>
      </c>
      <c r="I1688" s="45" t="s">
        <v>6754</v>
      </c>
      <c r="J1688" s="122">
        <v>45729</v>
      </c>
      <c r="K1688" s="110" t="str">
        <f t="shared" si="23"/>
        <v>https://Estud2024.sawtoothsoftware.com/cgi-bin/ciwweb.pl?studyname=Estud2024&amp;ID=1688</v>
      </c>
      <c r="L1688" s="113">
        <v>45733</v>
      </c>
      <c r="M1688" s="45" t="s">
        <v>246</v>
      </c>
    </row>
    <row r="1689" spans="1:13">
      <c r="A1689">
        <v>1689</v>
      </c>
      <c r="B1689" t="s">
        <v>85</v>
      </c>
      <c r="D1689" t="s">
        <v>136</v>
      </c>
      <c r="F1689" t="s">
        <v>10287</v>
      </c>
      <c r="G1689">
        <v>2</v>
      </c>
      <c r="H1689" t="s">
        <v>10288</v>
      </c>
      <c r="I1689" s="45" t="s">
        <v>6754</v>
      </c>
      <c r="J1689" s="122">
        <v>45729</v>
      </c>
      <c r="K1689" s="110" t="str">
        <f t="shared" si="23"/>
        <v>https://Estud2024.sawtoothsoftware.com/cgi-bin/ciwweb.pl?studyname=Estud2024&amp;ID=1689</v>
      </c>
      <c r="L1689" s="113">
        <v>45733</v>
      </c>
      <c r="M1689" s="45" t="s">
        <v>247</v>
      </c>
    </row>
    <row r="1690" spans="1:13">
      <c r="A1690">
        <v>1690</v>
      </c>
      <c r="B1690" t="s">
        <v>85</v>
      </c>
      <c r="D1690" t="s">
        <v>136</v>
      </c>
      <c r="F1690" t="s">
        <v>10289</v>
      </c>
      <c r="G1690">
        <v>2</v>
      </c>
      <c r="H1690" t="s">
        <v>10290</v>
      </c>
      <c r="I1690" s="45" t="s">
        <v>6754</v>
      </c>
      <c r="J1690" s="122">
        <v>45729</v>
      </c>
      <c r="K1690" s="110" t="str">
        <f t="shared" si="23"/>
        <v>https://Estud2024.sawtoothsoftware.com/cgi-bin/ciwweb.pl?studyname=Estud2024&amp;ID=1690</v>
      </c>
      <c r="L1690" s="113">
        <v>45733</v>
      </c>
      <c r="M1690" s="45" t="s">
        <v>247</v>
      </c>
    </row>
    <row r="1691" spans="1:13">
      <c r="A1691">
        <v>1691</v>
      </c>
      <c r="B1691" t="s">
        <v>85</v>
      </c>
      <c r="D1691" t="s">
        <v>136</v>
      </c>
      <c r="F1691" t="s">
        <v>10291</v>
      </c>
      <c r="G1691">
        <v>2</v>
      </c>
      <c r="H1691" t="s">
        <v>10292</v>
      </c>
      <c r="I1691" s="45" t="s">
        <v>6754</v>
      </c>
      <c r="J1691" s="122">
        <v>45729</v>
      </c>
      <c r="K1691" s="110" t="str">
        <f t="shared" si="23"/>
        <v>https://Estud2024.sawtoothsoftware.com/cgi-bin/ciwweb.pl?studyname=Estud2024&amp;ID=1691</v>
      </c>
      <c r="L1691" s="113">
        <v>45733</v>
      </c>
      <c r="M1691" s="45" t="s">
        <v>247</v>
      </c>
    </row>
    <row r="1692" spans="1:13">
      <c r="A1692">
        <v>1692</v>
      </c>
      <c r="B1692" t="s">
        <v>85</v>
      </c>
      <c r="D1692" t="s">
        <v>136</v>
      </c>
      <c r="F1692" t="s">
        <v>10293</v>
      </c>
      <c r="G1692">
        <v>2</v>
      </c>
      <c r="H1692" t="s">
        <v>10294</v>
      </c>
      <c r="I1692" s="45" t="s">
        <v>6754</v>
      </c>
      <c r="J1692" s="122">
        <v>45729</v>
      </c>
      <c r="K1692" s="110" t="str">
        <f t="shared" si="23"/>
        <v>https://Estud2024.sawtoothsoftware.com/cgi-bin/ciwweb.pl?studyname=Estud2024&amp;ID=1692</v>
      </c>
      <c r="L1692" s="113">
        <v>45733</v>
      </c>
      <c r="M1692" s="45" t="s">
        <v>247</v>
      </c>
    </row>
    <row r="1693" spans="1:13">
      <c r="A1693">
        <v>1693</v>
      </c>
      <c r="B1693" t="s">
        <v>85</v>
      </c>
      <c r="D1693" t="s">
        <v>136</v>
      </c>
      <c r="F1693" t="s">
        <v>10295</v>
      </c>
      <c r="G1693">
        <v>2</v>
      </c>
      <c r="H1693" t="s">
        <v>10296</v>
      </c>
      <c r="I1693" s="45" t="s">
        <v>6754</v>
      </c>
      <c r="J1693" s="122">
        <v>45729</v>
      </c>
      <c r="K1693" s="110" t="str">
        <f t="shared" si="23"/>
        <v>https://Estud2024.sawtoothsoftware.com/cgi-bin/ciwweb.pl?studyname=Estud2024&amp;ID=1693</v>
      </c>
      <c r="L1693" s="113">
        <v>45733</v>
      </c>
      <c r="M1693" s="45" t="s">
        <v>247</v>
      </c>
    </row>
    <row r="1694" spans="1:13">
      <c r="A1694">
        <v>1694</v>
      </c>
      <c r="B1694" t="s">
        <v>85</v>
      </c>
      <c r="D1694" t="s">
        <v>191</v>
      </c>
      <c r="F1694" t="s">
        <v>10297</v>
      </c>
      <c r="G1694">
        <v>4</v>
      </c>
      <c r="H1694" t="s">
        <v>10298</v>
      </c>
      <c r="I1694" s="45" t="s">
        <v>6754</v>
      </c>
      <c r="J1694" s="122">
        <v>45729</v>
      </c>
      <c r="K1694" s="110" t="str">
        <f t="shared" si="23"/>
        <v>https://Estud2024.sawtoothsoftware.com/cgi-bin/ciwweb.pl?studyname=Estud2024&amp;ID=1694</v>
      </c>
      <c r="L1694" s="113">
        <v>45733</v>
      </c>
      <c r="M1694" s="45" t="s">
        <v>247</v>
      </c>
    </row>
    <row r="1695" spans="1:13">
      <c r="A1695">
        <v>1695</v>
      </c>
      <c r="B1695" t="s">
        <v>85</v>
      </c>
      <c r="D1695" t="s">
        <v>191</v>
      </c>
      <c r="F1695" t="s">
        <v>10299</v>
      </c>
      <c r="G1695">
        <v>4</v>
      </c>
      <c r="H1695" t="s">
        <v>10300</v>
      </c>
      <c r="I1695" s="45" t="s">
        <v>6754</v>
      </c>
      <c r="J1695" s="122">
        <v>45729</v>
      </c>
      <c r="K1695" s="110" t="str">
        <f t="shared" si="23"/>
        <v>https://Estud2024.sawtoothsoftware.com/cgi-bin/ciwweb.pl?studyname=Estud2024&amp;ID=1695</v>
      </c>
      <c r="L1695" s="113">
        <v>45733</v>
      </c>
      <c r="M1695" s="45" t="s">
        <v>246</v>
      </c>
    </row>
    <row r="1696" spans="1:13">
      <c r="A1696">
        <v>1696</v>
      </c>
      <c r="B1696" t="s">
        <v>85</v>
      </c>
      <c r="D1696" t="s">
        <v>191</v>
      </c>
      <c r="F1696" t="s">
        <v>10301</v>
      </c>
      <c r="G1696">
        <v>4</v>
      </c>
      <c r="H1696" t="s">
        <v>10302</v>
      </c>
      <c r="I1696" s="45" t="s">
        <v>6754</v>
      </c>
      <c r="J1696" s="122">
        <v>45729</v>
      </c>
      <c r="K1696" s="110" t="str">
        <f t="shared" si="23"/>
        <v>https://Estud2024.sawtoothsoftware.com/cgi-bin/ciwweb.pl?studyname=Estud2024&amp;ID=1696</v>
      </c>
      <c r="L1696" s="113">
        <v>45733</v>
      </c>
      <c r="M1696" s="45" t="s">
        <v>247</v>
      </c>
    </row>
    <row r="1697" spans="1:13">
      <c r="A1697">
        <v>1697</v>
      </c>
      <c r="B1697" t="s">
        <v>85</v>
      </c>
      <c r="D1697" t="s">
        <v>191</v>
      </c>
      <c r="F1697" t="s">
        <v>10303</v>
      </c>
      <c r="G1697">
        <v>4</v>
      </c>
      <c r="H1697" t="s">
        <v>10304</v>
      </c>
      <c r="I1697" s="45" t="s">
        <v>6754</v>
      </c>
      <c r="J1697" s="122">
        <v>45729</v>
      </c>
      <c r="K1697" s="110" t="str">
        <f t="shared" si="23"/>
        <v>https://Estud2024.sawtoothsoftware.com/cgi-bin/ciwweb.pl?studyname=Estud2024&amp;ID=1697</v>
      </c>
      <c r="L1697" s="113">
        <v>45733</v>
      </c>
      <c r="M1697" s="45" t="s">
        <v>247</v>
      </c>
    </row>
    <row r="1698" spans="1:13">
      <c r="A1698">
        <v>1698</v>
      </c>
      <c r="B1698" t="s">
        <v>85</v>
      </c>
      <c r="D1698" t="s">
        <v>191</v>
      </c>
      <c r="F1698" t="s">
        <v>10305</v>
      </c>
      <c r="G1698">
        <v>4</v>
      </c>
      <c r="H1698" t="s">
        <v>10306</v>
      </c>
      <c r="I1698" s="45" t="s">
        <v>6754</v>
      </c>
      <c r="J1698" s="122">
        <v>45729</v>
      </c>
      <c r="K1698" s="110" t="str">
        <f t="shared" si="23"/>
        <v>https://Estud2024.sawtoothsoftware.com/cgi-bin/ciwweb.pl?studyname=Estud2024&amp;ID=1698</v>
      </c>
      <c r="L1698" s="113">
        <v>45733</v>
      </c>
      <c r="M1698" s="45" t="s">
        <v>247</v>
      </c>
    </row>
    <row r="1699" spans="1:13">
      <c r="A1699">
        <v>1699</v>
      </c>
      <c r="B1699" t="s">
        <v>85</v>
      </c>
      <c r="D1699" t="s">
        <v>191</v>
      </c>
      <c r="F1699" t="s">
        <v>10307</v>
      </c>
      <c r="G1699">
        <v>4</v>
      </c>
      <c r="H1699" t="s">
        <v>10308</v>
      </c>
      <c r="I1699" s="45" t="s">
        <v>6754</v>
      </c>
      <c r="J1699" s="122">
        <v>45729</v>
      </c>
      <c r="K1699" s="110" t="str">
        <f t="shared" si="23"/>
        <v>https://Estud2024.sawtoothsoftware.com/cgi-bin/ciwweb.pl?studyname=Estud2024&amp;ID=1699</v>
      </c>
      <c r="L1699" s="113">
        <v>45733</v>
      </c>
      <c r="M1699" s="45" t="s">
        <v>246</v>
      </c>
    </row>
    <row r="1700" spans="1:13">
      <c r="A1700">
        <v>1700</v>
      </c>
      <c r="B1700" t="s">
        <v>85</v>
      </c>
      <c r="D1700" t="s">
        <v>191</v>
      </c>
      <c r="F1700" t="s">
        <v>10309</v>
      </c>
      <c r="G1700">
        <v>4</v>
      </c>
      <c r="H1700" t="s">
        <v>10310</v>
      </c>
      <c r="I1700" s="45" t="s">
        <v>6754</v>
      </c>
      <c r="J1700" s="122">
        <v>45729</v>
      </c>
      <c r="K1700" s="110" t="str">
        <f t="shared" si="23"/>
        <v>https://Estud2024.sawtoothsoftware.com/cgi-bin/ciwweb.pl?studyname=Estud2024&amp;ID=1700</v>
      </c>
      <c r="L1700" s="113">
        <v>45733</v>
      </c>
      <c r="M1700" s="45" t="s">
        <v>246</v>
      </c>
    </row>
    <row r="1701" spans="1:13">
      <c r="A1701">
        <v>1701</v>
      </c>
      <c r="B1701" t="s">
        <v>85</v>
      </c>
      <c r="D1701" t="s">
        <v>191</v>
      </c>
      <c r="F1701" t="s">
        <v>10311</v>
      </c>
      <c r="G1701">
        <v>4</v>
      </c>
      <c r="H1701" t="s">
        <v>10312</v>
      </c>
      <c r="I1701" s="45" t="s">
        <v>6754</v>
      </c>
      <c r="J1701" s="122">
        <v>45729</v>
      </c>
      <c r="K1701" s="110" t="str">
        <f t="shared" si="23"/>
        <v>https://Estud2024.sawtoothsoftware.com/cgi-bin/ciwweb.pl?studyname=Estud2024&amp;ID=1701</v>
      </c>
      <c r="L1701" s="113">
        <v>45733</v>
      </c>
      <c r="M1701" s="45" t="s">
        <v>247</v>
      </c>
    </row>
    <row r="1702" spans="1:13">
      <c r="A1702">
        <v>1702</v>
      </c>
      <c r="B1702" t="s">
        <v>85</v>
      </c>
      <c r="D1702" t="s">
        <v>191</v>
      </c>
      <c r="F1702" t="s">
        <v>10313</v>
      </c>
      <c r="G1702">
        <v>4</v>
      </c>
      <c r="H1702" t="s">
        <v>10314</v>
      </c>
      <c r="I1702" s="45" t="s">
        <v>6754</v>
      </c>
      <c r="J1702" s="122">
        <v>45729</v>
      </c>
      <c r="K1702" s="110" t="str">
        <f t="shared" si="23"/>
        <v>https://Estud2024.sawtoothsoftware.com/cgi-bin/ciwweb.pl?studyname=Estud2024&amp;ID=1702</v>
      </c>
      <c r="L1702" s="113">
        <v>45733</v>
      </c>
      <c r="M1702" s="45" t="s">
        <v>246</v>
      </c>
    </row>
    <row r="1703" spans="1:13">
      <c r="A1703">
        <v>1703</v>
      </c>
      <c r="B1703" t="s">
        <v>85</v>
      </c>
      <c r="D1703" t="s">
        <v>191</v>
      </c>
      <c r="F1703" t="s">
        <v>10315</v>
      </c>
      <c r="G1703">
        <v>4</v>
      </c>
      <c r="H1703" t="s">
        <v>10316</v>
      </c>
      <c r="I1703" s="45" t="s">
        <v>6754</v>
      </c>
      <c r="J1703" s="122">
        <v>45729</v>
      </c>
      <c r="K1703" s="110" t="str">
        <f t="shared" si="23"/>
        <v>https://Estud2024.sawtoothsoftware.com/cgi-bin/ciwweb.pl?studyname=Estud2024&amp;ID=1703</v>
      </c>
      <c r="L1703" s="113">
        <v>45733</v>
      </c>
      <c r="M1703" s="45" t="s">
        <v>247</v>
      </c>
    </row>
    <row r="1704" spans="1:13">
      <c r="A1704">
        <v>1704</v>
      </c>
      <c r="B1704" t="s">
        <v>85</v>
      </c>
      <c r="D1704" t="s">
        <v>191</v>
      </c>
      <c r="F1704" t="s">
        <v>10317</v>
      </c>
      <c r="G1704">
        <v>4</v>
      </c>
      <c r="H1704" t="s">
        <v>10318</v>
      </c>
      <c r="I1704" s="45" t="s">
        <v>6754</v>
      </c>
      <c r="J1704" s="122">
        <v>45729</v>
      </c>
      <c r="K1704" s="110" t="str">
        <f t="shared" si="23"/>
        <v>https://Estud2024.sawtoothsoftware.com/cgi-bin/ciwweb.pl?studyname=Estud2024&amp;ID=1704</v>
      </c>
      <c r="L1704" s="113">
        <v>45733</v>
      </c>
      <c r="M1704" s="45" t="s">
        <v>247</v>
      </c>
    </row>
    <row r="1705" spans="1:13">
      <c r="A1705">
        <v>1705</v>
      </c>
      <c r="B1705" t="s">
        <v>85</v>
      </c>
      <c r="D1705" t="s">
        <v>191</v>
      </c>
      <c r="F1705" t="s">
        <v>10319</v>
      </c>
      <c r="G1705">
        <v>4</v>
      </c>
      <c r="H1705" t="s">
        <v>10320</v>
      </c>
      <c r="I1705" s="45" t="s">
        <v>6754</v>
      </c>
      <c r="J1705" s="122">
        <v>45729</v>
      </c>
      <c r="K1705" s="110" t="str">
        <f t="shared" si="23"/>
        <v>https://Estud2024.sawtoothsoftware.com/cgi-bin/ciwweb.pl?studyname=Estud2024&amp;ID=1705</v>
      </c>
      <c r="L1705" s="113">
        <v>45733</v>
      </c>
      <c r="M1705" s="45" t="s">
        <v>246</v>
      </c>
    </row>
    <row r="1706" spans="1:13">
      <c r="A1706">
        <v>1706</v>
      </c>
      <c r="B1706" t="s">
        <v>85</v>
      </c>
      <c r="D1706" t="s">
        <v>191</v>
      </c>
      <c r="F1706" t="s">
        <v>10321</v>
      </c>
      <c r="G1706">
        <v>4</v>
      </c>
      <c r="H1706" t="s">
        <v>10322</v>
      </c>
      <c r="I1706" s="45" t="s">
        <v>6754</v>
      </c>
      <c r="J1706" s="122">
        <v>45729</v>
      </c>
      <c r="K1706" s="110" t="str">
        <f t="shared" si="23"/>
        <v>https://Estud2024.sawtoothsoftware.com/cgi-bin/ciwweb.pl?studyname=Estud2024&amp;ID=1706</v>
      </c>
      <c r="L1706" s="113">
        <v>45733</v>
      </c>
      <c r="M1706" s="45" t="s">
        <v>246</v>
      </c>
    </row>
    <row r="1707" spans="1:13">
      <c r="A1707">
        <v>1707</v>
      </c>
      <c r="B1707" t="s">
        <v>85</v>
      </c>
      <c r="D1707" t="s">
        <v>191</v>
      </c>
      <c r="F1707" t="s">
        <v>10323</v>
      </c>
      <c r="G1707">
        <v>4</v>
      </c>
      <c r="H1707" t="s">
        <v>10324</v>
      </c>
      <c r="I1707" s="45" t="s">
        <v>6754</v>
      </c>
      <c r="J1707" s="122">
        <v>45729</v>
      </c>
      <c r="K1707" s="110" t="str">
        <f t="shared" si="23"/>
        <v>https://Estud2024.sawtoothsoftware.com/cgi-bin/ciwweb.pl?studyname=Estud2024&amp;ID=1707</v>
      </c>
      <c r="L1707" s="113">
        <v>45733</v>
      </c>
      <c r="M1707" s="45" t="s">
        <v>247</v>
      </c>
    </row>
    <row r="1708" spans="1:13">
      <c r="A1708">
        <v>1708</v>
      </c>
      <c r="B1708" t="s">
        <v>85</v>
      </c>
      <c r="D1708" t="s">
        <v>191</v>
      </c>
      <c r="F1708" t="s">
        <v>10325</v>
      </c>
      <c r="G1708">
        <v>3</v>
      </c>
      <c r="H1708" t="s">
        <v>10326</v>
      </c>
      <c r="I1708" s="45" t="s">
        <v>6754</v>
      </c>
      <c r="J1708" s="122">
        <v>45729</v>
      </c>
      <c r="K1708" s="110" t="str">
        <f t="shared" si="23"/>
        <v>https://Estud2024.sawtoothsoftware.com/cgi-bin/ciwweb.pl?studyname=Estud2024&amp;ID=1708</v>
      </c>
      <c r="L1708" s="113">
        <v>45733</v>
      </c>
      <c r="M1708" s="45" t="s">
        <v>247</v>
      </c>
    </row>
    <row r="1709" spans="1:13">
      <c r="A1709">
        <v>1709</v>
      </c>
      <c r="B1709" t="s">
        <v>85</v>
      </c>
      <c r="D1709" t="s">
        <v>191</v>
      </c>
      <c r="F1709" t="s">
        <v>10327</v>
      </c>
      <c r="G1709">
        <v>3</v>
      </c>
      <c r="H1709" t="s">
        <v>10328</v>
      </c>
      <c r="I1709" s="45" t="s">
        <v>6754</v>
      </c>
      <c r="J1709" s="122">
        <v>45729</v>
      </c>
      <c r="K1709" s="110" t="str">
        <f t="shared" si="23"/>
        <v>https://Estud2024.sawtoothsoftware.com/cgi-bin/ciwweb.pl?studyname=Estud2024&amp;ID=1709</v>
      </c>
      <c r="L1709" s="113">
        <v>45733</v>
      </c>
      <c r="M1709" s="45" t="s">
        <v>247</v>
      </c>
    </row>
    <row r="1710" spans="1:13">
      <c r="A1710">
        <v>1710</v>
      </c>
      <c r="B1710" t="s">
        <v>85</v>
      </c>
      <c r="D1710" t="s">
        <v>191</v>
      </c>
      <c r="F1710" t="s">
        <v>10329</v>
      </c>
      <c r="G1710">
        <v>3</v>
      </c>
      <c r="H1710" t="s">
        <v>10330</v>
      </c>
      <c r="I1710" s="45" t="s">
        <v>6754</v>
      </c>
      <c r="J1710" s="122">
        <v>45729</v>
      </c>
      <c r="K1710" s="110" t="str">
        <f t="shared" si="23"/>
        <v>https://Estud2024.sawtoothsoftware.com/cgi-bin/ciwweb.pl?studyname=Estud2024&amp;ID=1710</v>
      </c>
      <c r="L1710" s="113">
        <v>45733</v>
      </c>
      <c r="M1710" s="45" t="s">
        <v>246</v>
      </c>
    </row>
    <row r="1711" spans="1:13">
      <c r="A1711">
        <v>1711</v>
      </c>
      <c r="B1711" t="s">
        <v>85</v>
      </c>
      <c r="D1711" t="s">
        <v>191</v>
      </c>
      <c r="F1711" t="s">
        <v>10331</v>
      </c>
      <c r="G1711">
        <v>3</v>
      </c>
      <c r="H1711" t="s">
        <v>10332</v>
      </c>
      <c r="I1711" s="45" t="s">
        <v>6754</v>
      </c>
      <c r="J1711" s="122">
        <v>45729</v>
      </c>
      <c r="K1711" s="110" t="str">
        <f t="shared" si="23"/>
        <v>https://Estud2024.sawtoothsoftware.com/cgi-bin/ciwweb.pl?studyname=Estud2024&amp;ID=1711</v>
      </c>
      <c r="L1711" s="113">
        <v>45733</v>
      </c>
      <c r="M1711" s="45" t="s">
        <v>246</v>
      </c>
    </row>
    <row r="1712" spans="1:13">
      <c r="A1712">
        <v>1712</v>
      </c>
      <c r="B1712" t="s">
        <v>85</v>
      </c>
      <c r="D1712" t="s">
        <v>191</v>
      </c>
      <c r="F1712" t="s">
        <v>10333</v>
      </c>
      <c r="G1712">
        <v>3</v>
      </c>
      <c r="H1712" t="s">
        <v>10334</v>
      </c>
      <c r="I1712" s="45" t="s">
        <v>6754</v>
      </c>
      <c r="J1712" s="122">
        <v>45729</v>
      </c>
      <c r="K1712" s="110" t="str">
        <f t="shared" si="23"/>
        <v>https://Estud2024.sawtoothsoftware.com/cgi-bin/ciwweb.pl?studyname=Estud2024&amp;ID=1712</v>
      </c>
      <c r="L1712" s="113">
        <v>45733</v>
      </c>
      <c r="M1712" s="45" t="s">
        <v>247</v>
      </c>
    </row>
    <row r="1713" spans="1:13">
      <c r="A1713">
        <v>1713</v>
      </c>
      <c r="B1713" t="s">
        <v>85</v>
      </c>
      <c r="D1713" t="s">
        <v>191</v>
      </c>
      <c r="F1713" t="s">
        <v>10335</v>
      </c>
      <c r="G1713">
        <v>3</v>
      </c>
      <c r="H1713" t="s">
        <v>10336</v>
      </c>
      <c r="I1713" s="45" t="s">
        <v>6754</v>
      </c>
      <c r="J1713" s="122">
        <v>45729</v>
      </c>
      <c r="K1713" s="110" t="str">
        <f t="shared" si="23"/>
        <v>https://Estud2024.sawtoothsoftware.com/cgi-bin/ciwweb.pl?studyname=Estud2024&amp;ID=1713</v>
      </c>
      <c r="L1713" s="113">
        <v>45733</v>
      </c>
      <c r="M1713" s="45" t="s">
        <v>246</v>
      </c>
    </row>
    <row r="1714" spans="1:13">
      <c r="A1714">
        <v>1714</v>
      </c>
      <c r="B1714" t="s">
        <v>85</v>
      </c>
      <c r="D1714" t="s">
        <v>191</v>
      </c>
      <c r="F1714" t="s">
        <v>10337</v>
      </c>
      <c r="G1714">
        <v>3</v>
      </c>
      <c r="H1714" t="s">
        <v>10338</v>
      </c>
      <c r="I1714" s="45" t="s">
        <v>6754</v>
      </c>
      <c r="J1714" s="122">
        <v>45729</v>
      </c>
      <c r="K1714" s="110" t="str">
        <f t="shared" si="23"/>
        <v>https://Estud2024.sawtoothsoftware.com/cgi-bin/ciwweb.pl?studyname=Estud2024&amp;ID=1714</v>
      </c>
      <c r="L1714" s="113">
        <v>45733</v>
      </c>
      <c r="M1714" s="45" t="s">
        <v>247</v>
      </c>
    </row>
    <row r="1715" spans="1:13">
      <c r="A1715">
        <v>1715</v>
      </c>
      <c r="B1715" t="s">
        <v>85</v>
      </c>
      <c r="D1715" t="s">
        <v>191</v>
      </c>
      <c r="F1715" t="s">
        <v>10339</v>
      </c>
      <c r="G1715">
        <v>3</v>
      </c>
      <c r="H1715" t="s">
        <v>10340</v>
      </c>
      <c r="I1715" s="45" t="s">
        <v>6754</v>
      </c>
      <c r="J1715" s="122">
        <v>45729</v>
      </c>
      <c r="K1715" s="110" t="str">
        <f t="shared" si="23"/>
        <v>https://Estud2024.sawtoothsoftware.com/cgi-bin/ciwweb.pl?studyname=Estud2024&amp;ID=1715</v>
      </c>
      <c r="L1715" s="113">
        <v>45733</v>
      </c>
      <c r="M1715" s="45" t="s">
        <v>247</v>
      </c>
    </row>
    <row r="1716" spans="1:13">
      <c r="A1716">
        <v>1716</v>
      </c>
      <c r="B1716" t="s">
        <v>85</v>
      </c>
      <c r="D1716" t="s">
        <v>191</v>
      </c>
      <c r="F1716" t="s">
        <v>10341</v>
      </c>
      <c r="G1716">
        <v>3</v>
      </c>
      <c r="H1716" t="s">
        <v>10342</v>
      </c>
      <c r="I1716" s="45" t="s">
        <v>6754</v>
      </c>
      <c r="J1716" s="122">
        <v>45729</v>
      </c>
      <c r="K1716" s="110" t="str">
        <f t="shared" si="23"/>
        <v>https://Estud2024.sawtoothsoftware.com/cgi-bin/ciwweb.pl?studyname=Estud2024&amp;ID=1716</v>
      </c>
      <c r="L1716" s="113">
        <v>45733</v>
      </c>
      <c r="M1716" s="45" t="s">
        <v>246</v>
      </c>
    </row>
    <row r="1717" spans="1:13">
      <c r="A1717">
        <v>1717</v>
      </c>
      <c r="B1717" t="s">
        <v>85</v>
      </c>
      <c r="D1717" t="s">
        <v>191</v>
      </c>
      <c r="F1717" t="s">
        <v>10343</v>
      </c>
      <c r="G1717">
        <v>2</v>
      </c>
      <c r="H1717" t="s">
        <v>10344</v>
      </c>
      <c r="I1717" s="45" t="s">
        <v>6754</v>
      </c>
      <c r="J1717" s="122">
        <v>45729</v>
      </c>
      <c r="K1717" s="110" t="str">
        <f t="shared" si="23"/>
        <v>https://Estud2024.sawtoothsoftware.com/cgi-bin/ciwweb.pl?studyname=Estud2024&amp;ID=1717</v>
      </c>
      <c r="L1717" s="113">
        <v>45733</v>
      </c>
      <c r="M1717" s="45" t="s">
        <v>247</v>
      </c>
    </row>
    <row r="1718" spans="1:13">
      <c r="A1718">
        <v>1718</v>
      </c>
      <c r="B1718" t="s">
        <v>85</v>
      </c>
      <c r="D1718" t="s">
        <v>191</v>
      </c>
      <c r="F1718" t="s">
        <v>10345</v>
      </c>
      <c r="G1718">
        <v>2</v>
      </c>
      <c r="H1718" t="s">
        <v>10346</v>
      </c>
      <c r="I1718" s="45" t="s">
        <v>6754</v>
      </c>
      <c r="J1718" s="122">
        <v>45729</v>
      </c>
      <c r="K1718" s="110" t="str">
        <f t="shared" si="23"/>
        <v>https://Estud2024.sawtoothsoftware.com/cgi-bin/ciwweb.pl?studyname=Estud2024&amp;ID=1718</v>
      </c>
      <c r="L1718" s="113">
        <v>45733</v>
      </c>
      <c r="M1718" s="45" t="s">
        <v>247</v>
      </c>
    </row>
    <row r="1719" spans="1:13">
      <c r="A1719">
        <v>1719</v>
      </c>
      <c r="B1719" t="s">
        <v>85</v>
      </c>
      <c r="D1719" t="s">
        <v>191</v>
      </c>
      <c r="F1719" t="s">
        <v>10347</v>
      </c>
      <c r="G1719">
        <v>2</v>
      </c>
      <c r="H1719" t="s">
        <v>10348</v>
      </c>
      <c r="I1719" s="45" t="s">
        <v>6754</v>
      </c>
      <c r="J1719" s="122">
        <v>45729</v>
      </c>
      <c r="K1719" s="110" t="str">
        <f t="shared" si="23"/>
        <v>https://Estud2024.sawtoothsoftware.com/cgi-bin/ciwweb.pl?studyname=Estud2024&amp;ID=1719</v>
      </c>
      <c r="L1719" s="113">
        <v>45733</v>
      </c>
      <c r="M1719" s="45" t="s">
        <v>247</v>
      </c>
    </row>
    <row r="1720" spans="1:13">
      <c r="A1720">
        <v>1720</v>
      </c>
      <c r="B1720" t="s">
        <v>85</v>
      </c>
      <c r="D1720" t="s">
        <v>191</v>
      </c>
      <c r="F1720" t="s">
        <v>10349</v>
      </c>
      <c r="G1720">
        <v>2</v>
      </c>
      <c r="H1720" t="s">
        <v>10350</v>
      </c>
      <c r="I1720" s="45" t="s">
        <v>6754</v>
      </c>
      <c r="J1720" s="122">
        <v>45729</v>
      </c>
      <c r="K1720" s="110" t="str">
        <f t="shared" si="23"/>
        <v>https://Estud2024.sawtoothsoftware.com/cgi-bin/ciwweb.pl?studyname=Estud2024&amp;ID=1720</v>
      </c>
      <c r="L1720" s="113">
        <v>45733</v>
      </c>
      <c r="M1720" s="45" t="s">
        <v>246</v>
      </c>
    </row>
    <row r="1721" spans="1:13">
      <c r="A1721">
        <v>1721</v>
      </c>
      <c r="B1721" t="s">
        <v>85</v>
      </c>
      <c r="D1721" t="s">
        <v>191</v>
      </c>
      <c r="F1721" t="s">
        <v>10351</v>
      </c>
      <c r="G1721">
        <v>2</v>
      </c>
      <c r="H1721" t="s">
        <v>10352</v>
      </c>
      <c r="I1721" s="45" t="s">
        <v>6754</v>
      </c>
      <c r="J1721" s="122">
        <v>45729</v>
      </c>
      <c r="K1721" s="110" t="str">
        <f t="shared" si="23"/>
        <v>https://Estud2024.sawtoothsoftware.com/cgi-bin/ciwweb.pl?studyname=Estud2024&amp;ID=1721</v>
      </c>
      <c r="L1721" s="113">
        <v>45733</v>
      </c>
      <c r="M1721" s="45" t="s">
        <v>246</v>
      </c>
    </row>
    <row r="1722" spans="1:13">
      <c r="A1722">
        <v>1722</v>
      </c>
      <c r="B1722" t="s">
        <v>85</v>
      </c>
      <c r="D1722" t="s">
        <v>189</v>
      </c>
      <c r="F1722" t="s">
        <v>10353</v>
      </c>
      <c r="G1722">
        <v>4</v>
      </c>
      <c r="H1722" t="s">
        <v>10354</v>
      </c>
      <c r="I1722" s="45" t="s">
        <v>6754</v>
      </c>
      <c r="J1722" s="122">
        <v>45729</v>
      </c>
      <c r="K1722" s="110" t="str">
        <f t="shared" si="23"/>
        <v>https://Estud2024.sawtoothsoftware.com/cgi-bin/ciwweb.pl?studyname=Estud2024&amp;ID=1722</v>
      </c>
      <c r="L1722" s="113">
        <v>45733</v>
      </c>
      <c r="M1722" s="45" t="s">
        <v>247</v>
      </c>
    </row>
    <row r="1723" spans="1:13">
      <c r="A1723">
        <v>1723</v>
      </c>
      <c r="B1723" t="s">
        <v>85</v>
      </c>
      <c r="D1723" t="s">
        <v>189</v>
      </c>
      <c r="F1723" t="s">
        <v>10355</v>
      </c>
      <c r="G1723">
        <v>4</v>
      </c>
      <c r="H1723" t="s">
        <v>10356</v>
      </c>
      <c r="I1723" s="45" t="s">
        <v>6754</v>
      </c>
      <c r="J1723" s="122">
        <v>45729</v>
      </c>
      <c r="K1723" s="110" t="str">
        <f t="shared" si="23"/>
        <v>https://Estud2024.sawtoothsoftware.com/cgi-bin/ciwweb.pl?studyname=Estud2024&amp;ID=1723</v>
      </c>
      <c r="L1723" s="113">
        <v>45733</v>
      </c>
      <c r="M1723" s="45" t="s">
        <v>247</v>
      </c>
    </row>
    <row r="1724" spans="1:13">
      <c r="A1724">
        <v>1724</v>
      </c>
      <c r="B1724" t="s">
        <v>85</v>
      </c>
      <c r="D1724" t="s">
        <v>189</v>
      </c>
      <c r="F1724" t="s">
        <v>10357</v>
      </c>
      <c r="G1724">
        <v>4</v>
      </c>
      <c r="H1724" t="s">
        <v>10358</v>
      </c>
      <c r="I1724" s="45" t="s">
        <v>6754</v>
      </c>
      <c r="J1724" s="122">
        <v>45729</v>
      </c>
      <c r="K1724" s="110" t="str">
        <f t="shared" si="23"/>
        <v>https://Estud2024.sawtoothsoftware.com/cgi-bin/ciwweb.pl?studyname=Estud2024&amp;ID=1724</v>
      </c>
      <c r="L1724" s="113">
        <v>45733</v>
      </c>
      <c r="M1724" s="45" t="s">
        <v>247</v>
      </c>
    </row>
    <row r="1725" spans="1:13">
      <c r="A1725">
        <v>1725</v>
      </c>
      <c r="B1725" t="s">
        <v>85</v>
      </c>
      <c r="D1725" t="s">
        <v>189</v>
      </c>
      <c r="F1725" t="s">
        <v>10359</v>
      </c>
      <c r="G1725">
        <v>4</v>
      </c>
      <c r="H1725" t="s">
        <v>10360</v>
      </c>
      <c r="I1725" s="45" t="s">
        <v>6754</v>
      </c>
      <c r="J1725" s="122">
        <v>45729</v>
      </c>
      <c r="K1725" s="110" t="str">
        <f t="shared" si="23"/>
        <v>https://Estud2024.sawtoothsoftware.com/cgi-bin/ciwweb.pl?studyname=Estud2024&amp;ID=1725</v>
      </c>
      <c r="L1725" s="113">
        <v>45733</v>
      </c>
      <c r="M1725" s="45" t="s">
        <v>247</v>
      </c>
    </row>
    <row r="1726" spans="1:13">
      <c r="A1726">
        <v>1726</v>
      </c>
      <c r="B1726" t="s">
        <v>85</v>
      </c>
      <c r="D1726" t="s">
        <v>189</v>
      </c>
      <c r="F1726" t="s">
        <v>10361</v>
      </c>
      <c r="G1726">
        <v>4</v>
      </c>
      <c r="H1726" t="s">
        <v>10362</v>
      </c>
      <c r="I1726" s="45" t="s">
        <v>6754</v>
      </c>
      <c r="J1726" s="122">
        <v>45729</v>
      </c>
      <c r="K1726" s="110" t="str">
        <f t="shared" si="23"/>
        <v>https://Estud2024.sawtoothsoftware.com/cgi-bin/ciwweb.pl?studyname=Estud2024&amp;ID=1726</v>
      </c>
      <c r="L1726" s="113">
        <v>45733</v>
      </c>
      <c r="M1726" s="45" t="s">
        <v>246</v>
      </c>
    </row>
    <row r="1727" spans="1:13">
      <c r="A1727">
        <v>1727</v>
      </c>
      <c r="B1727" t="s">
        <v>85</v>
      </c>
      <c r="D1727" t="s">
        <v>189</v>
      </c>
      <c r="F1727" t="s">
        <v>10363</v>
      </c>
      <c r="G1727">
        <v>4</v>
      </c>
      <c r="H1727" t="s">
        <v>10364</v>
      </c>
      <c r="I1727" s="45" t="s">
        <v>6754</v>
      </c>
      <c r="J1727" s="122">
        <v>45729</v>
      </c>
      <c r="K1727" s="110" t="str">
        <f t="shared" si="23"/>
        <v>https://Estud2024.sawtoothsoftware.com/cgi-bin/ciwweb.pl?studyname=Estud2024&amp;ID=1727</v>
      </c>
      <c r="L1727" s="113">
        <v>45733</v>
      </c>
      <c r="M1727" s="45" t="s">
        <v>246</v>
      </c>
    </row>
    <row r="1728" spans="1:13">
      <c r="A1728">
        <v>1728</v>
      </c>
      <c r="B1728" t="s">
        <v>85</v>
      </c>
      <c r="D1728" t="s">
        <v>189</v>
      </c>
      <c r="F1728" t="s">
        <v>10365</v>
      </c>
      <c r="G1728">
        <v>4</v>
      </c>
      <c r="H1728" t="s">
        <v>10366</v>
      </c>
      <c r="I1728" s="45" t="s">
        <v>6754</v>
      </c>
      <c r="J1728" s="122">
        <v>45729</v>
      </c>
      <c r="K1728" s="110" t="str">
        <f t="shared" si="23"/>
        <v>https://Estud2024.sawtoothsoftware.com/cgi-bin/ciwweb.pl?studyname=Estud2024&amp;ID=1728</v>
      </c>
      <c r="L1728" s="113">
        <v>45733</v>
      </c>
      <c r="M1728" s="45" t="s">
        <v>247</v>
      </c>
    </row>
    <row r="1729" spans="1:13">
      <c r="A1729">
        <v>1729</v>
      </c>
      <c r="B1729" t="s">
        <v>85</v>
      </c>
      <c r="D1729" t="s">
        <v>189</v>
      </c>
      <c r="F1729" t="s">
        <v>10367</v>
      </c>
      <c r="G1729">
        <v>4</v>
      </c>
      <c r="H1729" t="s">
        <v>10368</v>
      </c>
      <c r="I1729" s="45" t="s">
        <v>6754</v>
      </c>
      <c r="J1729" s="122">
        <v>45729</v>
      </c>
      <c r="K1729" s="110" t="str">
        <f t="shared" si="23"/>
        <v>https://Estud2024.sawtoothsoftware.com/cgi-bin/ciwweb.pl?studyname=Estud2024&amp;ID=1729</v>
      </c>
      <c r="L1729" s="113">
        <v>45733</v>
      </c>
      <c r="M1729" s="45" t="s">
        <v>246</v>
      </c>
    </row>
    <row r="1730" spans="1:13">
      <c r="A1730">
        <v>1730</v>
      </c>
      <c r="B1730" t="s">
        <v>85</v>
      </c>
      <c r="D1730" t="s">
        <v>189</v>
      </c>
      <c r="F1730" t="s">
        <v>10369</v>
      </c>
      <c r="G1730">
        <v>4</v>
      </c>
      <c r="H1730" t="s">
        <v>10370</v>
      </c>
      <c r="I1730" s="45" t="s">
        <v>6754</v>
      </c>
      <c r="J1730" s="122">
        <v>45729</v>
      </c>
      <c r="K1730" s="110" t="str">
        <f t="shared" si="23"/>
        <v>https://Estud2024.sawtoothsoftware.com/cgi-bin/ciwweb.pl?studyname=Estud2024&amp;ID=1730</v>
      </c>
      <c r="L1730" s="113">
        <v>45733</v>
      </c>
      <c r="M1730" s="45" t="s">
        <v>246</v>
      </c>
    </row>
    <row r="1731" spans="1:13">
      <c r="A1731">
        <v>1731</v>
      </c>
      <c r="B1731" t="s">
        <v>85</v>
      </c>
      <c r="D1731" t="s">
        <v>189</v>
      </c>
      <c r="F1731" t="s">
        <v>10371</v>
      </c>
      <c r="G1731">
        <v>4</v>
      </c>
      <c r="H1731" t="s">
        <v>10372</v>
      </c>
      <c r="I1731" s="45" t="s">
        <v>6754</v>
      </c>
      <c r="J1731" s="122">
        <v>45729</v>
      </c>
      <c r="K1731" s="110" t="str">
        <f t="shared" si="23"/>
        <v>https://Estud2024.sawtoothsoftware.com/cgi-bin/ciwweb.pl?studyname=Estud2024&amp;ID=1731</v>
      </c>
      <c r="L1731" s="113">
        <v>45733</v>
      </c>
      <c r="M1731" s="45" t="s">
        <v>246</v>
      </c>
    </row>
    <row r="1732" spans="1:13">
      <c r="A1732">
        <v>1732</v>
      </c>
      <c r="B1732" t="s">
        <v>85</v>
      </c>
      <c r="D1732" t="s">
        <v>189</v>
      </c>
      <c r="F1732" t="s">
        <v>10373</v>
      </c>
      <c r="G1732">
        <v>4</v>
      </c>
      <c r="H1732" t="s">
        <v>10374</v>
      </c>
      <c r="I1732" s="45" t="s">
        <v>6754</v>
      </c>
      <c r="J1732" s="122">
        <v>45729</v>
      </c>
      <c r="K1732" s="110" t="str">
        <f t="shared" si="23"/>
        <v>https://Estud2024.sawtoothsoftware.com/cgi-bin/ciwweb.pl?studyname=Estud2024&amp;ID=1732</v>
      </c>
      <c r="L1732" s="113">
        <v>45733</v>
      </c>
      <c r="M1732" s="45" t="s">
        <v>247</v>
      </c>
    </row>
    <row r="1733" spans="1:13">
      <c r="A1733">
        <v>1733</v>
      </c>
      <c r="B1733" t="s">
        <v>85</v>
      </c>
      <c r="D1733" t="s">
        <v>190</v>
      </c>
      <c r="F1733" t="s">
        <v>10375</v>
      </c>
      <c r="G1733">
        <v>4</v>
      </c>
      <c r="H1733" t="s">
        <v>10376</v>
      </c>
      <c r="I1733" s="45" t="s">
        <v>6754</v>
      </c>
      <c r="J1733" s="122">
        <v>45729</v>
      </c>
      <c r="K1733" s="110" t="str">
        <f t="shared" si="23"/>
        <v>https://Estud2024.sawtoothsoftware.com/cgi-bin/ciwweb.pl?studyname=Estud2024&amp;ID=1733</v>
      </c>
      <c r="L1733" s="113">
        <v>45733</v>
      </c>
      <c r="M1733" s="45" t="s">
        <v>247</v>
      </c>
    </row>
    <row r="1734" spans="1:13">
      <c r="A1734">
        <v>1734</v>
      </c>
      <c r="B1734" t="s">
        <v>85</v>
      </c>
      <c r="D1734" t="s">
        <v>190</v>
      </c>
      <c r="F1734" t="s">
        <v>10377</v>
      </c>
      <c r="G1734">
        <v>4</v>
      </c>
      <c r="H1734" t="s">
        <v>10378</v>
      </c>
      <c r="I1734" s="45" t="s">
        <v>6754</v>
      </c>
      <c r="J1734" s="122">
        <v>45729</v>
      </c>
      <c r="K1734" s="110" t="str">
        <f t="shared" si="23"/>
        <v>https://Estud2024.sawtoothsoftware.com/cgi-bin/ciwweb.pl?studyname=Estud2024&amp;ID=1734</v>
      </c>
      <c r="L1734" s="113">
        <v>45733</v>
      </c>
      <c r="M1734" s="45" t="s">
        <v>247</v>
      </c>
    </row>
    <row r="1735" spans="1:13">
      <c r="A1735">
        <v>1735</v>
      </c>
      <c r="B1735" t="s">
        <v>85</v>
      </c>
      <c r="D1735" t="s">
        <v>190</v>
      </c>
      <c r="F1735" t="s">
        <v>10379</v>
      </c>
      <c r="G1735">
        <v>4</v>
      </c>
      <c r="H1735" t="s">
        <v>10380</v>
      </c>
      <c r="I1735" s="45" t="s">
        <v>6754</v>
      </c>
      <c r="J1735" s="122">
        <v>45729</v>
      </c>
      <c r="K1735" s="110" t="str">
        <f t="shared" si="23"/>
        <v>https://Estud2024.sawtoothsoftware.com/cgi-bin/ciwweb.pl?studyname=Estud2024&amp;ID=1735</v>
      </c>
      <c r="L1735" s="113">
        <v>45733</v>
      </c>
      <c r="M1735" s="45" t="s">
        <v>247</v>
      </c>
    </row>
    <row r="1736" spans="1:13">
      <c r="A1736">
        <v>1736</v>
      </c>
      <c r="B1736" t="s">
        <v>85</v>
      </c>
      <c r="D1736" t="s">
        <v>190</v>
      </c>
      <c r="F1736" t="s">
        <v>10381</v>
      </c>
      <c r="G1736">
        <v>4</v>
      </c>
      <c r="H1736" t="s">
        <v>10382</v>
      </c>
      <c r="I1736" s="45" t="s">
        <v>6754</v>
      </c>
      <c r="J1736" s="122">
        <v>45729</v>
      </c>
      <c r="K1736" s="110" t="str">
        <f t="shared" si="23"/>
        <v>https://Estud2024.sawtoothsoftware.com/cgi-bin/ciwweb.pl?studyname=Estud2024&amp;ID=1736</v>
      </c>
      <c r="L1736" s="113">
        <v>45733</v>
      </c>
      <c r="M1736" s="45" t="s">
        <v>246</v>
      </c>
    </row>
    <row r="1737" spans="1:13">
      <c r="A1737">
        <v>1737</v>
      </c>
      <c r="B1737" t="s">
        <v>85</v>
      </c>
      <c r="D1737" t="s">
        <v>190</v>
      </c>
      <c r="F1737" t="s">
        <v>10383</v>
      </c>
      <c r="G1737">
        <v>4</v>
      </c>
      <c r="H1737" t="s">
        <v>10384</v>
      </c>
      <c r="I1737" s="45" t="s">
        <v>6754</v>
      </c>
      <c r="J1737" s="122">
        <v>45729</v>
      </c>
      <c r="K1737" s="110" t="str">
        <f t="shared" si="23"/>
        <v>https://Estud2024.sawtoothsoftware.com/cgi-bin/ciwweb.pl?studyname=Estud2024&amp;ID=1737</v>
      </c>
      <c r="L1737" s="113">
        <v>45733</v>
      </c>
      <c r="M1737" s="45" t="s">
        <v>247</v>
      </c>
    </row>
    <row r="1738" spans="1:13">
      <c r="A1738">
        <v>1738</v>
      </c>
      <c r="B1738" t="s">
        <v>85</v>
      </c>
      <c r="D1738" t="s">
        <v>190</v>
      </c>
      <c r="F1738" t="s">
        <v>10385</v>
      </c>
      <c r="G1738">
        <v>4</v>
      </c>
      <c r="H1738" t="s">
        <v>10386</v>
      </c>
      <c r="I1738" s="45" t="s">
        <v>6754</v>
      </c>
      <c r="J1738" s="122">
        <v>45729</v>
      </c>
      <c r="K1738" s="110" t="str">
        <f t="shared" si="23"/>
        <v>https://Estud2024.sawtoothsoftware.com/cgi-bin/ciwweb.pl?studyname=Estud2024&amp;ID=1738</v>
      </c>
      <c r="L1738" s="113">
        <v>45733</v>
      </c>
      <c r="M1738" s="45" t="s">
        <v>247</v>
      </c>
    </row>
    <row r="1739" spans="1:13">
      <c r="A1739">
        <v>1739</v>
      </c>
      <c r="B1739" t="s">
        <v>85</v>
      </c>
      <c r="D1739" t="s">
        <v>190</v>
      </c>
      <c r="F1739" t="s">
        <v>10387</v>
      </c>
      <c r="G1739">
        <v>4</v>
      </c>
      <c r="H1739" t="s">
        <v>10388</v>
      </c>
      <c r="I1739" s="45" t="s">
        <v>6754</v>
      </c>
      <c r="J1739" s="122">
        <v>45729</v>
      </c>
      <c r="K1739" s="110" t="str">
        <f t="shared" si="23"/>
        <v>https://Estud2024.sawtoothsoftware.com/cgi-bin/ciwweb.pl?studyname=Estud2024&amp;ID=1739</v>
      </c>
      <c r="L1739" s="113">
        <v>45733</v>
      </c>
      <c r="M1739" s="45" t="s">
        <v>247</v>
      </c>
    </row>
    <row r="1740" spans="1:13">
      <c r="A1740">
        <v>1740</v>
      </c>
      <c r="B1740" t="s">
        <v>85</v>
      </c>
      <c r="D1740" t="s">
        <v>190</v>
      </c>
      <c r="F1740" t="s">
        <v>10389</v>
      </c>
      <c r="G1740">
        <v>4</v>
      </c>
      <c r="H1740" t="s">
        <v>10390</v>
      </c>
      <c r="I1740" s="45" t="s">
        <v>6754</v>
      </c>
      <c r="J1740" s="122">
        <v>45729</v>
      </c>
      <c r="K1740" s="110" t="str">
        <f t="shared" si="23"/>
        <v>https://Estud2024.sawtoothsoftware.com/cgi-bin/ciwweb.pl?studyname=Estud2024&amp;ID=1740</v>
      </c>
      <c r="L1740" s="113">
        <v>45733</v>
      </c>
      <c r="M1740" s="45" t="s">
        <v>247</v>
      </c>
    </row>
    <row r="1741" spans="1:13">
      <c r="A1741">
        <v>1741</v>
      </c>
      <c r="B1741" t="s">
        <v>85</v>
      </c>
      <c r="D1741" t="s">
        <v>190</v>
      </c>
      <c r="F1741" t="s">
        <v>10391</v>
      </c>
      <c r="G1741">
        <v>4</v>
      </c>
      <c r="H1741" t="s">
        <v>10392</v>
      </c>
      <c r="I1741" s="45" t="s">
        <v>6754</v>
      </c>
      <c r="J1741" s="122">
        <v>45729</v>
      </c>
      <c r="K1741" s="110" t="str">
        <f t="shared" si="23"/>
        <v>https://Estud2024.sawtoothsoftware.com/cgi-bin/ciwweb.pl?studyname=Estud2024&amp;ID=1741</v>
      </c>
      <c r="L1741" s="113">
        <v>45733</v>
      </c>
      <c r="M1741" s="45" t="s">
        <v>247</v>
      </c>
    </row>
    <row r="1742" spans="1:13">
      <c r="A1742">
        <v>1742</v>
      </c>
      <c r="B1742" t="s">
        <v>85</v>
      </c>
      <c r="D1742" t="s">
        <v>190</v>
      </c>
      <c r="F1742" t="s">
        <v>10393</v>
      </c>
      <c r="G1742">
        <v>4</v>
      </c>
      <c r="H1742" t="s">
        <v>10394</v>
      </c>
      <c r="I1742" s="45" t="s">
        <v>6754</v>
      </c>
      <c r="J1742" s="122">
        <v>45729</v>
      </c>
      <c r="K1742" s="110" t="str">
        <f t="shared" si="23"/>
        <v>https://Estud2024.sawtoothsoftware.com/cgi-bin/ciwweb.pl?studyname=Estud2024&amp;ID=1742</v>
      </c>
      <c r="L1742" s="113">
        <v>45733</v>
      </c>
      <c r="M1742" s="45" t="s">
        <v>247</v>
      </c>
    </row>
    <row r="1743" spans="1:13">
      <c r="A1743">
        <v>1743</v>
      </c>
      <c r="B1743" t="s">
        <v>85</v>
      </c>
      <c r="D1743" t="s">
        <v>190</v>
      </c>
      <c r="F1743" t="s">
        <v>10395</v>
      </c>
      <c r="G1743">
        <v>4</v>
      </c>
      <c r="H1743" t="s">
        <v>10396</v>
      </c>
      <c r="I1743" s="45" t="s">
        <v>6754</v>
      </c>
      <c r="J1743" s="122">
        <v>45729</v>
      </c>
      <c r="K1743" s="110" t="str">
        <f t="shared" si="23"/>
        <v>https://Estud2024.sawtoothsoftware.com/cgi-bin/ciwweb.pl?studyname=Estud2024&amp;ID=1743</v>
      </c>
      <c r="L1743" s="113">
        <v>45733</v>
      </c>
      <c r="M1743" s="45" t="s">
        <v>247</v>
      </c>
    </row>
    <row r="1744" spans="1:13">
      <c r="A1744">
        <v>1744</v>
      </c>
      <c r="B1744" t="s">
        <v>85</v>
      </c>
      <c r="D1744" t="s">
        <v>190</v>
      </c>
      <c r="F1744" t="s">
        <v>10397</v>
      </c>
      <c r="G1744">
        <v>3</v>
      </c>
      <c r="H1744" t="s">
        <v>10398</v>
      </c>
      <c r="I1744" s="45" t="s">
        <v>6754</v>
      </c>
      <c r="J1744" s="122">
        <v>45729</v>
      </c>
      <c r="K1744" s="110" t="str">
        <f t="shared" si="23"/>
        <v>https://Estud2024.sawtoothsoftware.com/cgi-bin/ciwweb.pl?studyname=Estud2024&amp;ID=1744</v>
      </c>
      <c r="L1744" s="113">
        <v>45733</v>
      </c>
      <c r="M1744" s="45" t="s">
        <v>247</v>
      </c>
    </row>
    <row r="1745" spans="1:13">
      <c r="A1745">
        <v>1745</v>
      </c>
      <c r="B1745" t="s">
        <v>85</v>
      </c>
      <c r="D1745" t="s">
        <v>190</v>
      </c>
      <c r="F1745" t="s">
        <v>10399</v>
      </c>
      <c r="G1745">
        <v>3</v>
      </c>
      <c r="H1745" t="s">
        <v>10400</v>
      </c>
      <c r="I1745" s="45" t="s">
        <v>6754</v>
      </c>
      <c r="J1745" s="122">
        <v>45729</v>
      </c>
      <c r="K1745" s="110" t="str">
        <f t="shared" si="23"/>
        <v>https://Estud2024.sawtoothsoftware.com/cgi-bin/ciwweb.pl?studyname=Estud2024&amp;ID=1745</v>
      </c>
      <c r="L1745" s="113">
        <v>45733</v>
      </c>
      <c r="M1745" s="45" t="s">
        <v>247</v>
      </c>
    </row>
    <row r="1746" spans="1:13">
      <c r="A1746">
        <v>1746</v>
      </c>
      <c r="B1746" t="s">
        <v>85</v>
      </c>
      <c r="D1746" t="s">
        <v>190</v>
      </c>
      <c r="F1746" t="s">
        <v>10401</v>
      </c>
      <c r="G1746">
        <v>3</v>
      </c>
      <c r="H1746" t="s">
        <v>10402</v>
      </c>
      <c r="I1746" s="45" t="s">
        <v>6754</v>
      </c>
      <c r="J1746" s="122">
        <v>45729</v>
      </c>
      <c r="K1746" s="110" t="str">
        <f t="shared" si="23"/>
        <v>https://Estud2024.sawtoothsoftware.com/cgi-bin/ciwweb.pl?studyname=Estud2024&amp;ID=1746</v>
      </c>
      <c r="L1746" s="113">
        <v>45733</v>
      </c>
      <c r="M1746" s="45" t="s">
        <v>246</v>
      </c>
    </row>
    <row r="1747" spans="1:13">
      <c r="A1747">
        <v>1747</v>
      </c>
      <c r="B1747" t="s">
        <v>85</v>
      </c>
      <c r="D1747" t="s">
        <v>190</v>
      </c>
      <c r="F1747" t="s">
        <v>10403</v>
      </c>
      <c r="G1747">
        <v>2</v>
      </c>
      <c r="H1747" t="s">
        <v>10404</v>
      </c>
      <c r="I1747" s="45" t="s">
        <v>6754</v>
      </c>
      <c r="J1747" s="122">
        <v>45729</v>
      </c>
      <c r="K1747" s="110" t="str">
        <f t="shared" si="23"/>
        <v>https://Estud2024.sawtoothsoftware.com/cgi-bin/ciwweb.pl?studyname=Estud2024&amp;ID=1747</v>
      </c>
      <c r="L1747" s="113">
        <v>45733</v>
      </c>
      <c r="M1747" s="45" t="s">
        <v>247</v>
      </c>
    </row>
    <row r="1748" spans="1:13">
      <c r="A1748">
        <v>1748</v>
      </c>
      <c r="B1748" t="s">
        <v>85</v>
      </c>
      <c r="D1748" t="s">
        <v>190</v>
      </c>
      <c r="F1748" t="s">
        <v>10405</v>
      </c>
      <c r="G1748">
        <v>2</v>
      </c>
      <c r="H1748" t="s">
        <v>10406</v>
      </c>
      <c r="I1748" s="45" t="s">
        <v>6754</v>
      </c>
      <c r="J1748" s="122">
        <v>45729</v>
      </c>
      <c r="K1748" s="110" t="str">
        <f t="shared" si="23"/>
        <v>https://Estud2024.sawtoothsoftware.com/cgi-bin/ciwweb.pl?studyname=Estud2024&amp;ID=1748</v>
      </c>
      <c r="L1748" s="113">
        <v>45733</v>
      </c>
      <c r="M1748" s="45" t="s">
        <v>247</v>
      </c>
    </row>
    <row r="1749" spans="1:13">
      <c r="A1749">
        <v>1749</v>
      </c>
      <c r="B1749" t="s">
        <v>85</v>
      </c>
      <c r="D1749" t="s">
        <v>190</v>
      </c>
      <c r="F1749" t="s">
        <v>10407</v>
      </c>
      <c r="G1749">
        <v>2</v>
      </c>
      <c r="H1749" t="s">
        <v>10408</v>
      </c>
      <c r="I1749" s="45" t="s">
        <v>6754</v>
      </c>
      <c r="J1749" s="122">
        <v>45729</v>
      </c>
      <c r="K1749" s="110" t="str">
        <f t="shared" si="23"/>
        <v>https://Estud2024.sawtoothsoftware.com/cgi-bin/ciwweb.pl?studyname=Estud2024&amp;ID=1749</v>
      </c>
      <c r="L1749" s="113">
        <v>45733</v>
      </c>
      <c r="M1749" s="45" t="s">
        <v>246</v>
      </c>
    </row>
    <row r="1750" spans="1:13">
      <c r="A1750">
        <v>1750</v>
      </c>
      <c r="B1750" t="s">
        <v>85</v>
      </c>
      <c r="D1750" t="s">
        <v>209</v>
      </c>
      <c r="F1750" t="s">
        <v>10409</v>
      </c>
      <c r="G1750">
        <v>3</v>
      </c>
      <c r="H1750" t="s">
        <v>10410</v>
      </c>
      <c r="I1750" s="45" t="s">
        <v>6754</v>
      </c>
      <c r="J1750" s="122">
        <v>45729</v>
      </c>
      <c r="K1750" s="110" t="str">
        <f t="shared" ref="K1750:K1813" si="24">CONCATENATE("https://Estud2024.sawtoothsoftware.com/cgi-bin/ciwweb.pl?studyname=Estud2024&amp;ID=",A1750)</f>
        <v>https://Estud2024.sawtoothsoftware.com/cgi-bin/ciwweb.pl?studyname=Estud2024&amp;ID=1750</v>
      </c>
      <c r="L1750" s="113">
        <v>45733</v>
      </c>
      <c r="M1750" s="45" t="s">
        <v>247</v>
      </c>
    </row>
    <row r="1751" spans="1:13">
      <c r="A1751">
        <v>1751</v>
      </c>
      <c r="B1751" t="s">
        <v>85</v>
      </c>
      <c r="D1751" t="s">
        <v>209</v>
      </c>
      <c r="F1751" t="s">
        <v>10411</v>
      </c>
      <c r="G1751">
        <v>3</v>
      </c>
      <c r="H1751" t="s">
        <v>10412</v>
      </c>
      <c r="I1751" s="45" t="s">
        <v>6754</v>
      </c>
      <c r="J1751" s="122">
        <v>45729</v>
      </c>
      <c r="K1751" s="110" t="str">
        <f t="shared" si="24"/>
        <v>https://Estud2024.sawtoothsoftware.com/cgi-bin/ciwweb.pl?studyname=Estud2024&amp;ID=1751</v>
      </c>
      <c r="L1751" s="113">
        <v>45733</v>
      </c>
      <c r="M1751" s="45" t="s">
        <v>247</v>
      </c>
    </row>
    <row r="1752" spans="1:13">
      <c r="A1752">
        <v>1752</v>
      </c>
      <c r="B1752" t="s">
        <v>85</v>
      </c>
      <c r="D1752" t="s">
        <v>209</v>
      </c>
      <c r="F1752" t="s">
        <v>10413</v>
      </c>
      <c r="G1752">
        <v>3</v>
      </c>
      <c r="H1752" t="s">
        <v>10414</v>
      </c>
      <c r="I1752" s="45" t="s">
        <v>6754</v>
      </c>
      <c r="J1752" s="122">
        <v>45729</v>
      </c>
      <c r="K1752" s="110" t="str">
        <f t="shared" si="24"/>
        <v>https://Estud2024.sawtoothsoftware.com/cgi-bin/ciwweb.pl?studyname=Estud2024&amp;ID=1752</v>
      </c>
      <c r="L1752" s="113">
        <v>45733</v>
      </c>
      <c r="M1752" s="45" t="s">
        <v>247</v>
      </c>
    </row>
    <row r="1753" spans="1:13">
      <c r="A1753">
        <v>1753</v>
      </c>
      <c r="B1753" t="s">
        <v>85</v>
      </c>
      <c r="D1753" t="s">
        <v>209</v>
      </c>
      <c r="F1753" t="s">
        <v>10415</v>
      </c>
      <c r="G1753">
        <v>3</v>
      </c>
      <c r="H1753" t="s">
        <v>10416</v>
      </c>
      <c r="I1753" s="45" t="s">
        <v>6754</v>
      </c>
      <c r="J1753" s="122">
        <v>45729</v>
      </c>
      <c r="K1753" s="110" t="str">
        <f t="shared" si="24"/>
        <v>https://Estud2024.sawtoothsoftware.com/cgi-bin/ciwweb.pl?studyname=Estud2024&amp;ID=1753</v>
      </c>
      <c r="L1753" s="113">
        <v>45733</v>
      </c>
      <c r="M1753" s="45" t="s">
        <v>247</v>
      </c>
    </row>
    <row r="1754" spans="1:13">
      <c r="A1754">
        <v>1754</v>
      </c>
      <c r="B1754" t="s">
        <v>85</v>
      </c>
      <c r="D1754" t="s">
        <v>209</v>
      </c>
      <c r="F1754" t="s">
        <v>10417</v>
      </c>
      <c r="G1754">
        <v>3</v>
      </c>
      <c r="H1754" t="s">
        <v>10418</v>
      </c>
      <c r="I1754" s="45" t="s">
        <v>6754</v>
      </c>
      <c r="J1754" s="122">
        <v>45729</v>
      </c>
      <c r="K1754" s="110" t="str">
        <f t="shared" si="24"/>
        <v>https://Estud2024.sawtoothsoftware.com/cgi-bin/ciwweb.pl?studyname=Estud2024&amp;ID=1754</v>
      </c>
      <c r="L1754" s="113">
        <v>45733</v>
      </c>
      <c r="M1754" s="45" t="s">
        <v>247</v>
      </c>
    </row>
    <row r="1755" spans="1:13">
      <c r="A1755">
        <v>1755</v>
      </c>
      <c r="B1755" t="s">
        <v>85</v>
      </c>
      <c r="D1755" t="s">
        <v>209</v>
      </c>
      <c r="F1755" t="s">
        <v>10419</v>
      </c>
      <c r="G1755">
        <v>3</v>
      </c>
      <c r="H1755" t="s">
        <v>10420</v>
      </c>
      <c r="I1755" s="45" t="s">
        <v>6754</v>
      </c>
      <c r="J1755" s="122">
        <v>45729</v>
      </c>
      <c r="K1755" s="110" t="str">
        <f t="shared" si="24"/>
        <v>https://Estud2024.sawtoothsoftware.com/cgi-bin/ciwweb.pl?studyname=Estud2024&amp;ID=1755</v>
      </c>
      <c r="L1755" s="113">
        <v>45733</v>
      </c>
      <c r="M1755" s="45" t="s">
        <v>247</v>
      </c>
    </row>
    <row r="1756" spans="1:13">
      <c r="A1756">
        <v>1756</v>
      </c>
      <c r="B1756" t="s">
        <v>85</v>
      </c>
      <c r="D1756" t="s">
        <v>209</v>
      </c>
      <c r="F1756" t="s">
        <v>10421</v>
      </c>
      <c r="G1756">
        <v>3</v>
      </c>
      <c r="H1756" t="s">
        <v>10422</v>
      </c>
      <c r="I1756" s="45" t="s">
        <v>6754</v>
      </c>
      <c r="J1756" s="122">
        <v>45729</v>
      </c>
      <c r="K1756" s="110" t="str">
        <f t="shared" si="24"/>
        <v>https://Estud2024.sawtoothsoftware.com/cgi-bin/ciwweb.pl?studyname=Estud2024&amp;ID=1756</v>
      </c>
      <c r="L1756" s="113">
        <v>45733</v>
      </c>
      <c r="M1756" s="45" t="s">
        <v>247</v>
      </c>
    </row>
    <row r="1757" spans="1:13">
      <c r="A1757">
        <v>1757</v>
      </c>
      <c r="B1757" t="s">
        <v>85</v>
      </c>
      <c r="D1757" t="s">
        <v>209</v>
      </c>
      <c r="F1757" t="s">
        <v>10423</v>
      </c>
      <c r="G1757">
        <v>3</v>
      </c>
      <c r="H1757" t="s">
        <v>10424</v>
      </c>
      <c r="I1757" s="45" t="s">
        <v>6754</v>
      </c>
      <c r="J1757" s="122">
        <v>45729</v>
      </c>
      <c r="K1757" s="110" t="str">
        <f t="shared" si="24"/>
        <v>https://Estud2024.sawtoothsoftware.com/cgi-bin/ciwweb.pl?studyname=Estud2024&amp;ID=1757</v>
      </c>
      <c r="L1757" s="113">
        <v>45733</v>
      </c>
      <c r="M1757" s="45" t="s">
        <v>247</v>
      </c>
    </row>
    <row r="1758" spans="1:13">
      <c r="A1758">
        <v>1758</v>
      </c>
      <c r="B1758" t="s">
        <v>85</v>
      </c>
      <c r="D1758" t="s">
        <v>209</v>
      </c>
      <c r="F1758" t="s">
        <v>10425</v>
      </c>
      <c r="G1758">
        <v>3</v>
      </c>
      <c r="H1758" t="s">
        <v>10426</v>
      </c>
      <c r="I1758" s="45" t="s">
        <v>6754</v>
      </c>
      <c r="J1758" s="122">
        <v>45729</v>
      </c>
      <c r="K1758" s="110" t="str">
        <f t="shared" si="24"/>
        <v>https://Estud2024.sawtoothsoftware.com/cgi-bin/ciwweb.pl?studyname=Estud2024&amp;ID=1758</v>
      </c>
      <c r="L1758" s="113">
        <v>45733</v>
      </c>
      <c r="M1758" s="45" t="s">
        <v>247</v>
      </c>
    </row>
    <row r="1759" spans="1:13">
      <c r="A1759">
        <v>1759</v>
      </c>
      <c r="B1759" t="s">
        <v>85</v>
      </c>
      <c r="D1759" t="s">
        <v>209</v>
      </c>
      <c r="F1759" t="s">
        <v>10427</v>
      </c>
      <c r="G1759">
        <v>3</v>
      </c>
      <c r="H1759" t="s">
        <v>10428</v>
      </c>
      <c r="I1759" s="45" t="s">
        <v>6754</v>
      </c>
      <c r="J1759" s="122">
        <v>45729</v>
      </c>
      <c r="K1759" s="110" t="str">
        <f t="shared" si="24"/>
        <v>https://Estud2024.sawtoothsoftware.com/cgi-bin/ciwweb.pl?studyname=Estud2024&amp;ID=1759</v>
      </c>
      <c r="L1759" s="113">
        <v>45733</v>
      </c>
      <c r="M1759" s="45" t="s">
        <v>247</v>
      </c>
    </row>
    <row r="1760" spans="1:13">
      <c r="A1760">
        <v>1760</v>
      </c>
      <c r="B1760" t="s">
        <v>85</v>
      </c>
      <c r="D1760" t="s">
        <v>209</v>
      </c>
      <c r="F1760" t="s">
        <v>10429</v>
      </c>
      <c r="G1760">
        <v>3</v>
      </c>
      <c r="H1760" t="s">
        <v>10430</v>
      </c>
      <c r="I1760" s="45" t="s">
        <v>6754</v>
      </c>
      <c r="J1760" s="122">
        <v>45729</v>
      </c>
      <c r="K1760" s="110" t="str">
        <f t="shared" si="24"/>
        <v>https://Estud2024.sawtoothsoftware.com/cgi-bin/ciwweb.pl?studyname=Estud2024&amp;ID=1760</v>
      </c>
      <c r="L1760" s="113">
        <v>45733</v>
      </c>
      <c r="M1760" s="45" t="s">
        <v>247</v>
      </c>
    </row>
    <row r="1761" spans="1:13">
      <c r="A1761">
        <v>1761</v>
      </c>
      <c r="B1761" t="s">
        <v>85</v>
      </c>
      <c r="D1761" t="s">
        <v>209</v>
      </c>
      <c r="F1761" t="s">
        <v>10431</v>
      </c>
      <c r="G1761">
        <v>3</v>
      </c>
      <c r="H1761" t="s">
        <v>10432</v>
      </c>
      <c r="I1761" s="45" t="s">
        <v>6754</v>
      </c>
      <c r="J1761" s="122">
        <v>45729</v>
      </c>
      <c r="K1761" s="110" t="str">
        <f t="shared" si="24"/>
        <v>https://Estud2024.sawtoothsoftware.com/cgi-bin/ciwweb.pl?studyname=Estud2024&amp;ID=1761</v>
      </c>
      <c r="L1761" s="113">
        <v>45733</v>
      </c>
      <c r="M1761" s="45" t="s">
        <v>247</v>
      </c>
    </row>
    <row r="1762" spans="1:13">
      <c r="A1762">
        <v>1762</v>
      </c>
      <c r="B1762" t="s">
        <v>85</v>
      </c>
      <c r="D1762" t="s">
        <v>209</v>
      </c>
      <c r="F1762" t="s">
        <v>10433</v>
      </c>
      <c r="G1762">
        <v>3</v>
      </c>
      <c r="H1762" t="s">
        <v>10434</v>
      </c>
      <c r="I1762" s="45" t="s">
        <v>6754</v>
      </c>
      <c r="J1762" s="122">
        <v>45729</v>
      </c>
      <c r="K1762" s="110" t="str">
        <f t="shared" si="24"/>
        <v>https://Estud2024.sawtoothsoftware.com/cgi-bin/ciwweb.pl?studyname=Estud2024&amp;ID=1762</v>
      </c>
      <c r="L1762" s="113">
        <v>45733</v>
      </c>
      <c r="M1762" s="45" t="s">
        <v>247</v>
      </c>
    </row>
    <row r="1763" spans="1:13">
      <c r="A1763">
        <v>1763</v>
      </c>
      <c r="B1763" t="s">
        <v>85</v>
      </c>
      <c r="D1763" t="s">
        <v>209</v>
      </c>
      <c r="F1763" t="s">
        <v>10435</v>
      </c>
      <c r="G1763">
        <v>3</v>
      </c>
      <c r="H1763" t="s">
        <v>10436</v>
      </c>
      <c r="I1763" s="45" t="s">
        <v>6754</v>
      </c>
      <c r="J1763" s="122">
        <v>45729</v>
      </c>
      <c r="K1763" s="110" t="str">
        <f t="shared" si="24"/>
        <v>https://Estud2024.sawtoothsoftware.com/cgi-bin/ciwweb.pl?studyname=Estud2024&amp;ID=1763</v>
      </c>
      <c r="L1763" s="113">
        <v>45733</v>
      </c>
      <c r="M1763" s="45" t="s">
        <v>247</v>
      </c>
    </row>
    <row r="1764" spans="1:13">
      <c r="A1764">
        <v>1764</v>
      </c>
      <c r="B1764" t="s">
        <v>85</v>
      </c>
      <c r="D1764" t="s">
        <v>209</v>
      </c>
      <c r="F1764" t="s">
        <v>10437</v>
      </c>
      <c r="G1764">
        <v>3</v>
      </c>
      <c r="H1764" t="s">
        <v>10438</v>
      </c>
      <c r="I1764" s="45" t="s">
        <v>6754</v>
      </c>
      <c r="J1764" s="122">
        <v>45729</v>
      </c>
      <c r="K1764" s="110" t="str">
        <f t="shared" si="24"/>
        <v>https://Estud2024.sawtoothsoftware.com/cgi-bin/ciwweb.pl?studyname=Estud2024&amp;ID=1764</v>
      </c>
      <c r="L1764" s="113">
        <v>45733</v>
      </c>
      <c r="M1764" s="45" t="s">
        <v>247</v>
      </c>
    </row>
    <row r="1765" spans="1:13">
      <c r="A1765">
        <v>1765</v>
      </c>
      <c r="B1765" t="s">
        <v>85</v>
      </c>
      <c r="D1765" t="s">
        <v>209</v>
      </c>
      <c r="F1765" t="s">
        <v>10439</v>
      </c>
      <c r="G1765">
        <v>3</v>
      </c>
      <c r="H1765" t="s">
        <v>10440</v>
      </c>
      <c r="I1765" s="45" t="s">
        <v>6754</v>
      </c>
      <c r="J1765" s="122">
        <v>45729</v>
      </c>
      <c r="K1765" s="110" t="str">
        <f t="shared" si="24"/>
        <v>https://Estud2024.sawtoothsoftware.com/cgi-bin/ciwweb.pl?studyname=Estud2024&amp;ID=1765</v>
      </c>
      <c r="L1765" s="113">
        <v>45733</v>
      </c>
      <c r="M1765" s="45" t="s">
        <v>247</v>
      </c>
    </row>
    <row r="1766" spans="1:13">
      <c r="A1766">
        <v>1766</v>
      </c>
      <c r="B1766" t="s">
        <v>85</v>
      </c>
      <c r="D1766" t="s">
        <v>209</v>
      </c>
      <c r="F1766" t="s">
        <v>10441</v>
      </c>
      <c r="G1766">
        <v>3</v>
      </c>
      <c r="H1766" t="s">
        <v>10442</v>
      </c>
      <c r="I1766" s="45" t="s">
        <v>6754</v>
      </c>
      <c r="J1766" s="122">
        <v>45729</v>
      </c>
      <c r="K1766" s="110" t="str">
        <f t="shared" si="24"/>
        <v>https://Estud2024.sawtoothsoftware.com/cgi-bin/ciwweb.pl?studyname=Estud2024&amp;ID=1766</v>
      </c>
      <c r="L1766" s="113">
        <v>45733</v>
      </c>
      <c r="M1766" s="45" t="s">
        <v>246</v>
      </c>
    </row>
    <row r="1767" spans="1:13">
      <c r="A1767">
        <v>1767</v>
      </c>
      <c r="B1767" t="s">
        <v>85</v>
      </c>
      <c r="D1767" t="s">
        <v>209</v>
      </c>
      <c r="F1767" t="s">
        <v>10443</v>
      </c>
      <c r="G1767">
        <v>3</v>
      </c>
      <c r="H1767" t="s">
        <v>10444</v>
      </c>
      <c r="I1767" s="45" t="s">
        <v>6754</v>
      </c>
      <c r="J1767" s="122">
        <v>45729</v>
      </c>
      <c r="K1767" s="110" t="str">
        <f t="shared" si="24"/>
        <v>https://Estud2024.sawtoothsoftware.com/cgi-bin/ciwweb.pl?studyname=Estud2024&amp;ID=1767</v>
      </c>
      <c r="L1767" s="113">
        <v>45733</v>
      </c>
      <c r="M1767" s="45" t="s">
        <v>247</v>
      </c>
    </row>
    <row r="1768" spans="1:13">
      <c r="A1768">
        <v>1768</v>
      </c>
      <c r="B1768" t="s">
        <v>85</v>
      </c>
      <c r="D1768" t="s">
        <v>209</v>
      </c>
      <c r="F1768" t="s">
        <v>10445</v>
      </c>
      <c r="G1768">
        <v>3</v>
      </c>
      <c r="H1768" t="s">
        <v>10446</v>
      </c>
      <c r="I1768" s="45" t="s">
        <v>6754</v>
      </c>
      <c r="J1768" s="122">
        <v>45729</v>
      </c>
      <c r="K1768" s="110" t="str">
        <f t="shared" si="24"/>
        <v>https://Estud2024.sawtoothsoftware.com/cgi-bin/ciwweb.pl?studyname=Estud2024&amp;ID=1768</v>
      </c>
      <c r="L1768" s="113">
        <v>45733</v>
      </c>
      <c r="M1768" s="45" t="s">
        <v>246</v>
      </c>
    </row>
    <row r="1769" spans="1:13">
      <c r="A1769">
        <v>1769</v>
      </c>
      <c r="B1769" t="s">
        <v>85</v>
      </c>
      <c r="D1769" t="s">
        <v>209</v>
      </c>
      <c r="F1769" t="s">
        <v>10447</v>
      </c>
      <c r="G1769">
        <v>3</v>
      </c>
      <c r="H1769" t="s">
        <v>10448</v>
      </c>
      <c r="I1769" s="45" t="s">
        <v>6754</v>
      </c>
      <c r="J1769" s="122">
        <v>45729</v>
      </c>
      <c r="K1769" s="110" t="str">
        <f t="shared" si="24"/>
        <v>https://Estud2024.sawtoothsoftware.com/cgi-bin/ciwweb.pl?studyname=Estud2024&amp;ID=1769</v>
      </c>
      <c r="L1769" s="113">
        <v>45733</v>
      </c>
      <c r="M1769" s="45" t="s">
        <v>247</v>
      </c>
    </row>
    <row r="1770" spans="1:13">
      <c r="A1770">
        <v>1770</v>
      </c>
      <c r="B1770" t="s">
        <v>85</v>
      </c>
      <c r="D1770" t="s">
        <v>209</v>
      </c>
      <c r="F1770" t="s">
        <v>10449</v>
      </c>
      <c r="G1770">
        <v>3</v>
      </c>
      <c r="H1770" t="s">
        <v>10450</v>
      </c>
      <c r="I1770" s="45" t="s">
        <v>6754</v>
      </c>
      <c r="J1770" s="122">
        <v>45729</v>
      </c>
      <c r="K1770" s="110" t="str">
        <f t="shared" si="24"/>
        <v>https://Estud2024.sawtoothsoftware.com/cgi-bin/ciwweb.pl?studyname=Estud2024&amp;ID=1770</v>
      </c>
      <c r="L1770" s="113">
        <v>45733</v>
      </c>
      <c r="M1770" s="45" t="s">
        <v>247</v>
      </c>
    </row>
    <row r="1771" spans="1:13">
      <c r="A1771">
        <v>1771</v>
      </c>
      <c r="B1771" t="s">
        <v>85</v>
      </c>
      <c r="D1771" t="s">
        <v>209</v>
      </c>
      <c r="F1771" t="s">
        <v>10451</v>
      </c>
      <c r="G1771">
        <v>3</v>
      </c>
      <c r="H1771" t="s">
        <v>10452</v>
      </c>
      <c r="I1771" s="45" t="s">
        <v>6754</v>
      </c>
      <c r="J1771" s="122">
        <v>45729</v>
      </c>
      <c r="K1771" s="110" t="str">
        <f t="shared" si="24"/>
        <v>https://Estud2024.sawtoothsoftware.com/cgi-bin/ciwweb.pl?studyname=Estud2024&amp;ID=1771</v>
      </c>
      <c r="L1771" s="113">
        <v>45733</v>
      </c>
      <c r="M1771" s="45" t="s">
        <v>247</v>
      </c>
    </row>
    <row r="1772" spans="1:13">
      <c r="A1772">
        <v>1772</v>
      </c>
      <c r="B1772" t="s">
        <v>85</v>
      </c>
      <c r="D1772" t="s">
        <v>209</v>
      </c>
      <c r="F1772" t="s">
        <v>10453</v>
      </c>
      <c r="G1772">
        <v>3</v>
      </c>
      <c r="H1772" t="s">
        <v>10454</v>
      </c>
      <c r="I1772" s="45" t="s">
        <v>6754</v>
      </c>
      <c r="J1772" s="122">
        <v>45729</v>
      </c>
      <c r="K1772" s="110" t="str">
        <f t="shared" si="24"/>
        <v>https://Estud2024.sawtoothsoftware.com/cgi-bin/ciwweb.pl?studyname=Estud2024&amp;ID=1772</v>
      </c>
      <c r="L1772" s="113">
        <v>45733</v>
      </c>
      <c r="M1772" s="45" t="s">
        <v>247</v>
      </c>
    </row>
    <row r="1773" spans="1:13">
      <c r="A1773">
        <v>1773</v>
      </c>
      <c r="B1773" t="s">
        <v>85</v>
      </c>
      <c r="D1773" t="s">
        <v>209</v>
      </c>
      <c r="F1773" t="s">
        <v>10455</v>
      </c>
      <c r="G1773">
        <v>3</v>
      </c>
      <c r="H1773" t="s">
        <v>10456</v>
      </c>
      <c r="I1773" s="45" t="s">
        <v>6754</v>
      </c>
      <c r="J1773" s="122">
        <v>45729</v>
      </c>
      <c r="K1773" s="110" t="str">
        <f t="shared" si="24"/>
        <v>https://Estud2024.sawtoothsoftware.com/cgi-bin/ciwweb.pl?studyname=Estud2024&amp;ID=1773</v>
      </c>
      <c r="L1773" s="113">
        <v>45733</v>
      </c>
      <c r="M1773" s="45" t="s">
        <v>247</v>
      </c>
    </row>
    <row r="1774" spans="1:13">
      <c r="A1774">
        <v>1774</v>
      </c>
      <c r="B1774" t="s">
        <v>85</v>
      </c>
      <c r="D1774" t="s">
        <v>209</v>
      </c>
      <c r="F1774" t="s">
        <v>10457</v>
      </c>
      <c r="G1774">
        <v>3</v>
      </c>
      <c r="H1774" t="s">
        <v>10458</v>
      </c>
      <c r="I1774" s="45" t="s">
        <v>6754</v>
      </c>
      <c r="J1774" s="122">
        <v>45729</v>
      </c>
      <c r="K1774" s="110" t="str">
        <f t="shared" si="24"/>
        <v>https://Estud2024.sawtoothsoftware.com/cgi-bin/ciwweb.pl?studyname=Estud2024&amp;ID=1774</v>
      </c>
      <c r="L1774" s="113">
        <v>45733</v>
      </c>
      <c r="M1774" s="45" t="s">
        <v>247</v>
      </c>
    </row>
    <row r="1775" spans="1:13">
      <c r="A1775">
        <v>1775</v>
      </c>
      <c r="B1775" t="s">
        <v>85</v>
      </c>
      <c r="D1775" t="s">
        <v>209</v>
      </c>
      <c r="F1775" t="s">
        <v>10459</v>
      </c>
      <c r="G1775">
        <v>3</v>
      </c>
      <c r="H1775" t="s">
        <v>10460</v>
      </c>
      <c r="I1775" s="45" t="s">
        <v>6754</v>
      </c>
      <c r="J1775" s="122">
        <v>45729</v>
      </c>
      <c r="K1775" s="110" t="str">
        <f t="shared" si="24"/>
        <v>https://Estud2024.sawtoothsoftware.com/cgi-bin/ciwweb.pl?studyname=Estud2024&amp;ID=1775</v>
      </c>
      <c r="L1775" s="113">
        <v>45733</v>
      </c>
      <c r="M1775" s="45" t="s">
        <v>247</v>
      </c>
    </row>
    <row r="1776" spans="1:13">
      <c r="A1776">
        <v>1776</v>
      </c>
      <c r="B1776" t="s">
        <v>85</v>
      </c>
      <c r="D1776" t="s">
        <v>209</v>
      </c>
      <c r="F1776" t="s">
        <v>10461</v>
      </c>
      <c r="G1776">
        <v>3</v>
      </c>
      <c r="H1776" t="s">
        <v>10462</v>
      </c>
      <c r="I1776" s="45" t="s">
        <v>6754</v>
      </c>
      <c r="J1776" s="122">
        <v>45729</v>
      </c>
      <c r="K1776" s="110" t="str">
        <f t="shared" si="24"/>
        <v>https://Estud2024.sawtoothsoftware.com/cgi-bin/ciwweb.pl?studyname=Estud2024&amp;ID=1776</v>
      </c>
      <c r="L1776" s="113">
        <v>45733</v>
      </c>
      <c r="M1776" s="45" t="s">
        <v>246</v>
      </c>
    </row>
    <row r="1777" spans="1:13">
      <c r="A1777">
        <v>1777</v>
      </c>
      <c r="B1777" t="s">
        <v>85</v>
      </c>
      <c r="D1777" t="s">
        <v>209</v>
      </c>
      <c r="F1777" t="s">
        <v>10463</v>
      </c>
      <c r="G1777">
        <v>3</v>
      </c>
      <c r="H1777" t="s">
        <v>10464</v>
      </c>
      <c r="I1777" s="45" t="s">
        <v>6754</v>
      </c>
      <c r="J1777" s="122">
        <v>45729</v>
      </c>
      <c r="K1777" s="110" t="str">
        <f t="shared" si="24"/>
        <v>https://Estud2024.sawtoothsoftware.com/cgi-bin/ciwweb.pl?studyname=Estud2024&amp;ID=1777</v>
      </c>
      <c r="L1777" s="113">
        <v>45733</v>
      </c>
      <c r="M1777" s="45" t="s">
        <v>247</v>
      </c>
    </row>
    <row r="1778" spans="1:13">
      <c r="A1778">
        <v>1778</v>
      </c>
      <c r="B1778" t="s">
        <v>85</v>
      </c>
      <c r="D1778" t="s">
        <v>209</v>
      </c>
      <c r="F1778" t="s">
        <v>10465</v>
      </c>
      <c r="G1778">
        <v>3</v>
      </c>
      <c r="H1778" t="s">
        <v>10466</v>
      </c>
      <c r="I1778" s="45" t="s">
        <v>6754</v>
      </c>
      <c r="J1778" s="122">
        <v>45729</v>
      </c>
      <c r="K1778" s="110" t="str">
        <f t="shared" si="24"/>
        <v>https://Estud2024.sawtoothsoftware.com/cgi-bin/ciwweb.pl?studyname=Estud2024&amp;ID=1778</v>
      </c>
      <c r="L1778" s="113">
        <v>45733</v>
      </c>
      <c r="M1778" s="45" t="s">
        <v>247</v>
      </c>
    </row>
    <row r="1779" spans="1:13">
      <c r="A1779">
        <v>1779</v>
      </c>
      <c r="B1779" t="s">
        <v>85</v>
      </c>
      <c r="D1779" t="s">
        <v>209</v>
      </c>
      <c r="F1779" t="s">
        <v>10467</v>
      </c>
      <c r="G1779">
        <v>3</v>
      </c>
      <c r="H1779" t="s">
        <v>10468</v>
      </c>
      <c r="I1779" s="45" t="s">
        <v>6754</v>
      </c>
      <c r="J1779" s="122">
        <v>45729</v>
      </c>
      <c r="K1779" s="110" t="str">
        <f t="shared" si="24"/>
        <v>https://Estud2024.sawtoothsoftware.com/cgi-bin/ciwweb.pl?studyname=Estud2024&amp;ID=1779</v>
      </c>
      <c r="L1779" s="113">
        <v>45733</v>
      </c>
      <c r="M1779" s="45" t="s">
        <v>246</v>
      </c>
    </row>
    <row r="1780" spans="1:13">
      <c r="A1780">
        <v>1780</v>
      </c>
      <c r="B1780" t="s">
        <v>85</v>
      </c>
      <c r="D1780" t="s">
        <v>209</v>
      </c>
      <c r="F1780" t="s">
        <v>10469</v>
      </c>
      <c r="G1780">
        <v>3</v>
      </c>
      <c r="H1780" t="s">
        <v>10470</v>
      </c>
      <c r="I1780" s="45" t="s">
        <v>6754</v>
      </c>
      <c r="J1780" s="122">
        <v>45729</v>
      </c>
      <c r="K1780" s="110" t="str">
        <f t="shared" si="24"/>
        <v>https://Estud2024.sawtoothsoftware.com/cgi-bin/ciwweb.pl?studyname=Estud2024&amp;ID=1780</v>
      </c>
      <c r="L1780" s="113">
        <v>45733</v>
      </c>
      <c r="M1780" s="45" t="s">
        <v>247</v>
      </c>
    </row>
    <row r="1781" spans="1:13">
      <c r="A1781">
        <v>1781</v>
      </c>
      <c r="B1781" t="s">
        <v>85</v>
      </c>
      <c r="D1781" t="s">
        <v>209</v>
      </c>
      <c r="F1781" t="s">
        <v>10471</v>
      </c>
      <c r="G1781">
        <v>3</v>
      </c>
      <c r="H1781" t="s">
        <v>10472</v>
      </c>
      <c r="I1781" s="45" t="s">
        <v>6754</v>
      </c>
      <c r="J1781" s="122">
        <v>45729</v>
      </c>
      <c r="K1781" s="110" t="str">
        <f t="shared" si="24"/>
        <v>https://Estud2024.sawtoothsoftware.com/cgi-bin/ciwweb.pl?studyname=Estud2024&amp;ID=1781</v>
      </c>
      <c r="L1781" s="113">
        <v>45733</v>
      </c>
      <c r="M1781" s="45" t="s">
        <v>247</v>
      </c>
    </row>
    <row r="1782" spans="1:13">
      <c r="A1782">
        <v>1782</v>
      </c>
      <c r="B1782" t="s">
        <v>85</v>
      </c>
      <c r="D1782" t="s">
        <v>209</v>
      </c>
      <c r="F1782" t="s">
        <v>10473</v>
      </c>
      <c r="G1782">
        <v>3</v>
      </c>
      <c r="H1782" t="s">
        <v>10474</v>
      </c>
      <c r="I1782" s="45" t="s">
        <v>6754</v>
      </c>
      <c r="J1782" s="122">
        <v>45729</v>
      </c>
      <c r="K1782" s="110" t="str">
        <f t="shared" si="24"/>
        <v>https://Estud2024.sawtoothsoftware.com/cgi-bin/ciwweb.pl?studyname=Estud2024&amp;ID=1782</v>
      </c>
      <c r="L1782" s="113">
        <v>45733</v>
      </c>
      <c r="M1782" s="45" t="s">
        <v>247</v>
      </c>
    </row>
    <row r="1783" spans="1:13">
      <c r="A1783">
        <v>1783</v>
      </c>
      <c r="B1783" t="s">
        <v>85</v>
      </c>
      <c r="D1783" t="s">
        <v>209</v>
      </c>
      <c r="F1783" t="s">
        <v>10475</v>
      </c>
      <c r="G1783">
        <v>3</v>
      </c>
      <c r="H1783" t="s">
        <v>10476</v>
      </c>
      <c r="I1783" s="45" t="s">
        <v>6754</v>
      </c>
      <c r="J1783" s="122">
        <v>45729</v>
      </c>
      <c r="K1783" s="110" t="str">
        <f t="shared" si="24"/>
        <v>https://Estud2024.sawtoothsoftware.com/cgi-bin/ciwweb.pl?studyname=Estud2024&amp;ID=1783</v>
      </c>
      <c r="L1783" s="113">
        <v>45733</v>
      </c>
      <c r="M1783" s="45" t="s">
        <v>247</v>
      </c>
    </row>
    <row r="1784" spans="1:13">
      <c r="A1784">
        <v>1784</v>
      </c>
      <c r="B1784" t="s">
        <v>85</v>
      </c>
      <c r="D1784" t="s">
        <v>209</v>
      </c>
      <c r="F1784" t="s">
        <v>10477</v>
      </c>
      <c r="G1784">
        <v>3</v>
      </c>
      <c r="H1784" t="s">
        <v>10478</v>
      </c>
      <c r="I1784" s="45" t="s">
        <v>6754</v>
      </c>
      <c r="J1784" s="122">
        <v>45729</v>
      </c>
      <c r="K1784" s="110" t="str">
        <f t="shared" si="24"/>
        <v>https://Estud2024.sawtoothsoftware.com/cgi-bin/ciwweb.pl?studyname=Estud2024&amp;ID=1784</v>
      </c>
      <c r="L1784" s="113">
        <v>45733</v>
      </c>
      <c r="M1784" s="45" t="s">
        <v>247</v>
      </c>
    </row>
    <row r="1785" spans="1:13">
      <c r="A1785">
        <v>1785</v>
      </c>
      <c r="B1785" t="s">
        <v>85</v>
      </c>
      <c r="D1785" t="s">
        <v>209</v>
      </c>
      <c r="F1785" t="s">
        <v>10479</v>
      </c>
      <c r="G1785">
        <v>3</v>
      </c>
      <c r="H1785" t="s">
        <v>10480</v>
      </c>
      <c r="I1785" s="45" t="s">
        <v>6754</v>
      </c>
      <c r="J1785" s="122">
        <v>45729</v>
      </c>
      <c r="K1785" s="110" t="str">
        <f t="shared" si="24"/>
        <v>https://Estud2024.sawtoothsoftware.com/cgi-bin/ciwweb.pl?studyname=Estud2024&amp;ID=1785</v>
      </c>
      <c r="L1785" s="113">
        <v>45733</v>
      </c>
      <c r="M1785" s="45" t="s">
        <v>247</v>
      </c>
    </row>
    <row r="1786" spans="1:13">
      <c r="A1786">
        <v>1786</v>
      </c>
      <c r="B1786" t="s">
        <v>85</v>
      </c>
      <c r="D1786" t="s">
        <v>209</v>
      </c>
      <c r="F1786" t="s">
        <v>10481</v>
      </c>
      <c r="G1786">
        <v>3</v>
      </c>
      <c r="H1786" t="s">
        <v>10482</v>
      </c>
      <c r="I1786" s="45" t="s">
        <v>6754</v>
      </c>
      <c r="J1786" s="122">
        <v>45729</v>
      </c>
      <c r="K1786" s="110" t="str">
        <f t="shared" si="24"/>
        <v>https://Estud2024.sawtoothsoftware.com/cgi-bin/ciwweb.pl?studyname=Estud2024&amp;ID=1786</v>
      </c>
      <c r="L1786" s="113">
        <v>45733</v>
      </c>
      <c r="M1786" s="45" t="s">
        <v>246</v>
      </c>
    </row>
    <row r="1787" spans="1:13">
      <c r="A1787">
        <v>1787</v>
      </c>
      <c r="B1787" t="s">
        <v>85</v>
      </c>
      <c r="D1787" t="s">
        <v>209</v>
      </c>
      <c r="F1787" t="s">
        <v>10483</v>
      </c>
      <c r="G1787">
        <v>3</v>
      </c>
      <c r="H1787" t="s">
        <v>10484</v>
      </c>
      <c r="I1787" s="45" t="s">
        <v>6754</v>
      </c>
      <c r="J1787" s="122">
        <v>45729</v>
      </c>
      <c r="K1787" s="110" t="str">
        <f t="shared" si="24"/>
        <v>https://Estud2024.sawtoothsoftware.com/cgi-bin/ciwweb.pl?studyname=Estud2024&amp;ID=1787</v>
      </c>
      <c r="L1787" s="113">
        <v>45733</v>
      </c>
      <c r="M1787" s="45" t="s">
        <v>247</v>
      </c>
    </row>
    <row r="1788" spans="1:13">
      <c r="A1788">
        <v>1788</v>
      </c>
      <c r="B1788" t="s">
        <v>85</v>
      </c>
      <c r="D1788" t="s">
        <v>209</v>
      </c>
      <c r="F1788" t="s">
        <v>10485</v>
      </c>
      <c r="G1788">
        <v>3</v>
      </c>
      <c r="H1788" t="s">
        <v>10486</v>
      </c>
      <c r="I1788" s="45" t="s">
        <v>6754</v>
      </c>
      <c r="J1788" s="122">
        <v>45729</v>
      </c>
      <c r="K1788" s="110" t="str">
        <f t="shared" si="24"/>
        <v>https://Estud2024.sawtoothsoftware.com/cgi-bin/ciwweb.pl?studyname=Estud2024&amp;ID=1788</v>
      </c>
      <c r="L1788" s="113">
        <v>45733</v>
      </c>
      <c r="M1788" s="45" t="s">
        <v>247</v>
      </c>
    </row>
    <row r="1789" spans="1:13">
      <c r="A1789">
        <v>1789</v>
      </c>
      <c r="B1789" t="s">
        <v>85</v>
      </c>
      <c r="D1789" t="s">
        <v>209</v>
      </c>
      <c r="F1789" t="s">
        <v>10487</v>
      </c>
      <c r="G1789">
        <v>3</v>
      </c>
      <c r="H1789" t="s">
        <v>10488</v>
      </c>
      <c r="I1789" s="45" t="s">
        <v>6754</v>
      </c>
      <c r="J1789" s="122">
        <v>45729</v>
      </c>
      <c r="K1789" s="110" t="str">
        <f t="shared" si="24"/>
        <v>https://Estud2024.sawtoothsoftware.com/cgi-bin/ciwweb.pl?studyname=Estud2024&amp;ID=1789</v>
      </c>
      <c r="L1789" s="113">
        <v>45733</v>
      </c>
      <c r="M1789" s="45" t="s">
        <v>247</v>
      </c>
    </row>
    <row r="1790" spans="1:13">
      <c r="A1790">
        <v>1790</v>
      </c>
      <c r="B1790" t="s">
        <v>85</v>
      </c>
      <c r="D1790" t="s">
        <v>209</v>
      </c>
      <c r="F1790" t="s">
        <v>10489</v>
      </c>
      <c r="G1790">
        <v>3</v>
      </c>
      <c r="H1790" t="s">
        <v>10490</v>
      </c>
      <c r="I1790" s="45" t="s">
        <v>6754</v>
      </c>
      <c r="J1790" s="122">
        <v>45729</v>
      </c>
      <c r="K1790" s="110" t="str">
        <f t="shared" si="24"/>
        <v>https://Estud2024.sawtoothsoftware.com/cgi-bin/ciwweb.pl?studyname=Estud2024&amp;ID=1790</v>
      </c>
      <c r="L1790" s="113">
        <v>45733</v>
      </c>
      <c r="M1790" s="45" t="s">
        <v>247</v>
      </c>
    </row>
    <row r="1791" spans="1:13">
      <c r="A1791">
        <v>1791</v>
      </c>
      <c r="B1791" t="s">
        <v>85</v>
      </c>
      <c r="D1791" t="s">
        <v>209</v>
      </c>
      <c r="F1791" t="s">
        <v>10491</v>
      </c>
      <c r="G1791">
        <v>3</v>
      </c>
      <c r="H1791" t="s">
        <v>10492</v>
      </c>
      <c r="I1791" s="45" t="s">
        <v>6754</v>
      </c>
      <c r="J1791" s="122">
        <v>45729</v>
      </c>
      <c r="K1791" s="110" t="str">
        <f t="shared" si="24"/>
        <v>https://Estud2024.sawtoothsoftware.com/cgi-bin/ciwweb.pl?studyname=Estud2024&amp;ID=1791</v>
      </c>
      <c r="L1791" s="113">
        <v>45733</v>
      </c>
      <c r="M1791" s="45" t="s">
        <v>247</v>
      </c>
    </row>
    <row r="1792" spans="1:13">
      <c r="A1792">
        <v>1792</v>
      </c>
      <c r="B1792" t="s">
        <v>85</v>
      </c>
      <c r="D1792" t="s">
        <v>209</v>
      </c>
      <c r="F1792" t="s">
        <v>10493</v>
      </c>
      <c r="G1792">
        <v>3</v>
      </c>
      <c r="H1792" t="s">
        <v>10494</v>
      </c>
      <c r="I1792" s="45" t="s">
        <v>6754</v>
      </c>
      <c r="J1792" s="122">
        <v>45729</v>
      </c>
      <c r="K1792" s="110" t="str">
        <f t="shared" si="24"/>
        <v>https://Estud2024.sawtoothsoftware.com/cgi-bin/ciwweb.pl?studyname=Estud2024&amp;ID=1792</v>
      </c>
      <c r="L1792" s="113">
        <v>45733</v>
      </c>
      <c r="M1792" s="45" t="s">
        <v>247</v>
      </c>
    </row>
    <row r="1793" spans="1:13">
      <c r="A1793">
        <v>1793</v>
      </c>
      <c r="B1793" t="s">
        <v>85</v>
      </c>
      <c r="D1793" t="s">
        <v>209</v>
      </c>
      <c r="F1793" t="s">
        <v>10495</v>
      </c>
      <c r="G1793">
        <v>3</v>
      </c>
      <c r="H1793" t="s">
        <v>10496</v>
      </c>
      <c r="I1793" s="45" t="s">
        <v>6754</v>
      </c>
      <c r="J1793" s="122">
        <v>45729</v>
      </c>
      <c r="K1793" s="110" t="str">
        <f t="shared" si="24"/>
        <v>https://Estud2024.sawtoothsoftware.com/cgi-bin/ciwweb.pl?studyname=Estud2024&amp;ID=1793</v>
      </c>
      <c r="L1793" s="113">
        <v>45733</v>
      </c>
      <c r="M1793" s="45" t="s">
        <v>247</v>
      </c>
    </row>
    <row r="1794" spans="1:13">
      <c r="A1794">
        <v>1794</v>
      </c>
      <c r="B1794" t="s">
        <v>85</v>
      </c>
      <c r="D1794" t="s">
        <v>209</v>
      </c>
      <c r="F1794" t="s">
        <v>10497</v>
      </c>
      <c r="G1794">
        <v>3</v>
      </c>
      <c r="H1794" t="s">
        <v>10498</v>
      </c>
      <c r="I1794" s="45" t="s">
        <v>6754</v>
      </c>
      <c r="J1794" s="122">
        <v>45729</v>
      </c>
      <c r="K1794" s="110" t="str">
        <f t="shared" si="24"/>
        <v>https://Estud2024.sawtoothsoftware.com/cgi-bin/ciwweb.pl?studyname=Estud2024&amp;ID=1794</v>
      </c>
      <c r="L1794" s="113">
        <v>45733</v>
      </c>
      <c r="M1794" s="45" t="s">
        <v>247</v>
      </c>
    </row>
    <row r="1795" spans="1:13">
      <c r="A1795">
        <v>1795</v>
      </c>
      <c r="B1795" t="s">
        <v>85</v>
      </c>
      <c r="D1795" t="s">
        <v>209</v>
      </c>
      <c r="F1795" t="s">
        <v>10499</v>
      </c>
      <c r="G1795">
        <v>3</v>
      </c>
      <c r="H1795" t="s">
        <v>10500</v>
      </c>
      <c r="I1795" s="45" t="s">
        <v>6754</v>
      </c>
      <c r="J1795" s="122">
        <v>45729</v>
      </c>
      <c r="K1795" s="110" t="str">
        <f t="shared" si="24"/>
        <v>https://Estud2024.sawtoothsoftware.com/cgi-bin/ciwweb.pl?studyname=Estud2024&amp;ID=1795</v>
      </c>
      <c r="L1795" s="113">
        <v>45733</v>
      </c>
      <c r="M1795" s="45" t="s">
        <v>247</v>
      </c>
    </row>
    <row r="1796" spans="1:13">
      <c r="A1796">
        <v>1796</v>
      </c>
      <c r="B1796" t="s">
        <v>85</v>
      </c>
      <c r="D1796" t="s">
        <v>209</v>
      </c>
      <c r="F1796" t="s">
        <v>10501</v>
      </c>
      <c r="G1796">
        <v>3</v>
      </c>
      <c r="H1796" t="s">
        <v>10502</v>
      </c>
      <c r="I1796" s="45" t="s">
        <v>6754</v>
      </c>
      <c r="J1796" s="122">
        <v>45729</v>
      </c>
      <c r="K1796" s="110" t="str">
        <f t="shared" si="24"/>
        <v>https://Estud2024.sawtoothsoftware.com/cgi-bin/ciwweb.pl?studyname=Estud2024&amp;ID=1796</v>
      </c>
      <c r="L1796" s="113">
        <v>45733</v>
      </c>
      <c r="M1796" s="45" t="s">
        <v>247</v>
      </c>
    </row>
    <row r="1797" spans="1:13">
      <c r="A1797">
        <v>1797</v>
      </c>
      <c r="B1797" t="s">
        <v>85</v>
      </c>
      <c r="D1797" t="s">
        <v>209</v>
      </c>
      <c r="F1797" t="s">
        <v>10503</v>
      </c>
      <c r="G1797">
        <v>3</v>
      </c>
      <c r="H1797" t="s">
        <v>10504</v>
      </c>
      <c r="I1797" s="45" t="s">
        <v>6754</v>
      </c>
      <c r="J1797" s="122">
        <v>45729</v>
      </c>
      <c r="K1797" s="110" t="str">
        <f t="shared" si="24"/>
        <v>https://Estud2024.sawtoothsoftware.com/cgi-bin/ciwweb.pl?studyname=Estud2024&amp;ID=1797</v>
      </c>
      <c r="L1797" s="113">
        <v>45733</v>
      </c>
      <c r="M1797" s="45" t="s">
        <v>247</v>
      </c>
    </row>
    <row r="1798" spans="1:13">
      <c r="A1798">
        <v>1798</v>
      </c>
      <c r="B1798" t="s">
        <v>85</v>
      </c>
      <c r="D1798" t="s">
        <v>209</v>
      </c>
      <c r="F1798" t="s">
        <v>10505</v>
      </c>
      <c r="G1798">
        <v>3</v>
      </c>
      <c r="H1798" t="s">
        <v>10506</v>
      </c>
      <c r="I1798" s="45" t="s">
        <v>6754</v>
      </c>
      <c r="J1798" s="122">
        <v>45729</v>
      </c>
      <c r="K1798" s="110" t="str">
        <f t="shared" si="24"/>
        <v>https://Estud2024.sawtoothsoftware.com/cgi-bin/ciwweb.pl?studyname=Estud2024&amp;ID=1798</v>
      </c>
      <c r="L1798" s="113">
        <v>45733</v>
      </c>
      <c r="M1798" s="45" t="s">
        <v>247</v>
      </c>
    </row>
    <row r="1799" spans="1:13">
      <c r="A1799">
        <v>1799</v>
      </c>
      <c r="B1799" t="s">
        <v>85</v>
      </c>
      <c r="D1799" t="s">
        <v>209</v>
      </c>
      <c r="F1799" t="s">
        <v>10507</v>
      </c>
      <c r="G1799">
        <v>3</v>
      </c>
      <c r="H1799" t="s">
        <v>10508</v>
      </c>
      <c r="I1799" s="45" t="s">
        <v>6754</v>
      </c>
      <c r="J1799" s="122">
        <v>45729</v>
      </c>
      <c r="K1799" s="110" t="str">
        <f t="shared" si="24"/>
        <v>https://Estud2024.sawtoothsoftware.com/cgi-bin/ciwweb.pl?studyname=Estud2024&amp;ID=1799</v>
      </c>
      <c r="L1799" s="113">
        <v>45733</v>
      </c>
      <c r="M1799" s="45" t="s">
        <v>247</v>
      </c>
    </row>
    <row r="1800" spans="1:13">
      <c r="A1800">
        <v>1800</v>
      </c>
      <c r="B1800" t="s">
        <v>85</v>
      </c>
      <c r="D1800" t="s">
        <v>209</v>
      </c>
      <c r="F1800" t="s">
        <v>10509</v>
      </c>
      <c r="G1800">
        <v>3</v>
      </c>
      <c r="H1800" t="s">
        <v>10510</v>
      </c>
      <c r="I1800" s="45" t="s">
        <v>6754</v>
      </c>
      <c r="J1800" s="122">
        <v>45729</v>
      </c>
      <c r="K1800" s="110" t="str">
        <f t="shared" si="24"/>
        <v>https://Estud2024.sawtoothsoftware.com/cgi-bin/ciwweb.pl?studyname=Estud2024&amp;ID=1800</v>
      </c>
      <c r="L1800" s="113">
        <v>45733</v>
      </c>
      <c r="M1800" s="45" t="s">
        <v>247</v>
      </c>
    </row>
    <row r="1801" spans="1:13">
      <c r="A1801">
        <v>1801</v>
      </c>
      <c r="B1801" t="s">
        <v>85</v>
      </c>
      <c r="D1801" t="s">
        <v>209</v>
      </c>
      <c r="F1801" t="s">
        <v>10511</v>
      </c>
      <c r="G1801">
        <v>3</v>
      </c>
      <c r="H1801" t="s">
        <v>10512</v>
      </c>
      <c r="I1801" s="45" t="s">
        <v>6754</v>
      </c>
      <c r="J1801" s="122">
        <v>45729</v>
      </c>
      <c r="K1801" s="110" t="str">
        <f t="shared" si="24"/>
        <v>https://Estud2024.sawtoothsoftware.com/cgi-bin/ciwweb.pl?studyname=Estud2024&amp;ID=1801</v>
      </c>
      <c r="L1801" s="113">
        <v>45733</v>
      </c>
      <c r="M1801" s="45" t="s">
        <v>247</v>
      </c>
    </row>
    <row r="1802" spans="1:13">
      <c r="A1802">
        <v>1802</v>
      </c>
      <c r="B1802" t="s">
        <v>85</v>
      </c>
      <c r="D1802" t="s">
        <v>209</v>
      </c>
      <c r="F1802" t="s">
        <v>10513</v>
      </c>
      <c r="G1802">
        <v>3</v>
      </c>
      <c r="H1802" t="s">
        <v>10514</v>
      </c>
      <c r="I1802" s="45" t="s">
        <v>6754</v>
      </c>
      <c r="J1802" s="122">
        <v>45729</v>
      </c>
      <c r="K1802" s="110" t="str">
        <f t="shared" si="24"/>
        <v>https://Estud2024.sawtoothsoftware.com/cgi-bin/ciwweb.pl?studyname=Estud2024&amp;ID=1802</v>
      </c>
      <c r="L1802" s="113">
        <v>45733</v>
      </c>
      <c r="M1802" s="45" t="s">
        <v>247</v>
      </c>
    </row>
    <row r="1803" spans="1:13">
      <c r="A1803">
        <v>1803</v>
      </c>
      <c r="B1803" t="s">
        <v>85</v>
      </c>
      <c r="D1803" t="s">
        <v>209</v>
      </c>
      <c r="F1803" t="s">
        <v>10515</v>
      </c>
      <c r="G1803">
        <v>3</v>
      </c>
      <c r="H1803" t="s">
        <v>10516</v>
      </c>
      <c r="I1803" s="45" t="s">
        <v>6754</v>
      </c>
      <c r="J1803" s="122">
        <v>45729</v>
      </c>
      <c r="K1803" s="110" t="str">
        <f t="shared" si="24"/>
        <v>https://Estud2024.sawtoothsoftware.com/cgi-bin/ciwweb.pl?studyname=Estud2024&amp;ID=1803</v>
      </c>
      <c r="L1803" s="113">
        <v>45733</v>
      </c>
      <c r="M1803" s="45" t="s">
        <v>247</v>
      </c>
    </row>
    <row r="1804" spans="1:13">
      <c r="A1804">
        <v>1804</v>
      </c>
      <c r="B1804" t="s">
        <v>85</v>
      </c>
      <c r="D1804" t="s">
        <v>209</v>
      </c>
      <c r="F1804" t="s">
        <v>10517</v>
      </c>
      <c r="G1804">
        <v>3</v>
      </c>
      <c r="H1804" t="s">
        <v>10518</v>
      </c>
      <c r="I1804" s="45" t="s">
        <v>6754</v>
      </c>
      <c r="J1804" s="122">
        <v>45729</v>
      </c>
      <c r="K1804" s="110" t="str">
        <f t="shared" si="24"/>
        <v>https://Estud2024.sawtoothsoftware.com/cgi-bin/ciwweb.pl?studyname=Estud2024&amp;ID=1804</v>
      </c>
      <c r="L1804" s="113">
        <v>45733</v>
      </c>
      <c r="M1804" s="45" t="s">
        <v>247</v>
      </c>
    </row>
    <row r="1805" spans="1:13">
      <c r="A1805">
        <v>1805</v>
      </c>
      <c r="B1805" t="s">
        <v>85</v>
      </c>
      <c r="D1805" t="s">
        <v>209</v>
      </c>
      <c r="F1805" t="s">
        <v>10519</v>
      </c>
      <c r="G1805">
        <v>3</v>
      </c>
      <c r="H1805" t="s">
        <v>10520</v>
      </c>
      <c r="I1805" s="45" t="s">
        <v>6754</v>
      </c>
      <c r="J1805" s="122">
        <v>45729</v>
      </c>
      <c r="K1805" s="110" t="str">
        <f t="shared" si="24"/>
        <v>https://Estud2024.sawtoothsoftware.com/cgi-bin/ciwweb.pl?studyname=Estud2024&amp;ID=1805</v>
      </c>
      <c r="L1805" s="113">
        <v>45733</v>
      </c>
      <c r="M1805" s="45" t="s">
        <v>247</v>
      </c>
    </row>
    <row r="1806" spans="1:13">
      <c r="A1806">
        <v>1806</v>
      </c>
      <c r="B1806" t="s">
        <v>85</v>
      </c>
      <c r="D1806" t="s">
        <v>209</v>
      </c>
      <c r="F1806" t="s">
        <v>10521</v>
      </c>
      <c r="G1806">
        <v>3</v>
      </c>
      <c r="H1806" t="s">
        <v>10522</v>
      </c>
      <c r="I1806" s="45" t="s">
        <v>6754</v>
      </c>
      <c r="J1806" s="122">
        <v>45729</v>
      </c>
      <c r="K1806" s="110" t="str">
        <f t="shared" si="24"/>
        <v>https://Estud2024.sawtoothsoftware.com/cgi-bin/ciwweb.pl?studyname=Estud2024&amp;ID=1806</v>
      </c>
      <c r="L1806" s="113">
        <v>45733</v>
      </c>
      <c r="M1806" s="45" t="s">
        <v>247</v>
      </c>
    </row>
    <row r="1807" spans="1:13">
      <c r="A1807">
        <v>1807</v>
      </c>
      <c r="B1807" t="s">
        <v>85</v>
      </c>
      <c r="D1807" t="s">
        <v>209</v>
      </c>
      <c r="F1807" t="s">
        <v>10523</v>
      </c>
      <c r="G1807">
        <v>3</v>
      </c>
      <c r="H1807" t="s">
        <v>10524</v>
      </c>
      <c r="I1807" s="45" t="s">
        <v>6754</v>
      </c>
      <c r="J1807" s="122">
        <v>45729</v>
      </c>
      <c r="K1807" s="110" t="str">
        <f t="shared" si="24"/>
        <v>https://Estud2024.sawtoothsoftware.com/cgi-bin/ciwweb.pl?studyname=Estud2024&amp;ID=1807</v>
      </c>
      <c r="L1807" s="113">
        <v>45733</v>
      </c>
      <c r="M1807" s="45" t="s">
        <v>247</v>
      </c>
    </row>
    <row r="1808" spans="1:13">
      <c r="A1808">
        <v>1808</v>
      </c>
      <c r="B1808" t="s">
        <v>85</v>
      </c>
      <c r="D1808" t="s">
        <v>209</v>
      </c>
      <c r="F1808" t="s">
        <v>10525</v>
      </c>
      <c r="G1808">
        <v>3</v>
      </c>
      <c r="H1808" t="s">
        <v>10526</v>
      </c>
      <c r="I1808" s="45" t="s">
        <v>6754</v>
      </c>
      <c r="J1808" s="122">
        <v>45729</v>
      </c>
      <c r="K1808" s="110" t="str">
        <f t="shared" si="24"/>
        <v>https://Estud2024.sawtoothsoftware.com/cgi-bin/ciwweb.pl?studyname=Estud2024&amp;ID=1808</v>
      </c>
      <c r="L1808" s="113">
        <v>45733</v>
      </c>
      <c r="M1808" s="45" t="s">
        <v>247</v>
      </c>
    </row>
    <row r="1809" spans="1:13">
      <c r="A1809">
        <v>1809</v>
      </c>
      <c r="B1809" t="s">
        <v>85</v>
      </c>
      <c r="D1809" t="s">
        <v>209</v>
      </c>
      <c r="F1809" t="s">
        <v>10527</v>
      </c>
      <c r="G1809">
        <v>3</v>
      </c>
      <c r="H1809" t="s">
        <v>10528</v>
      </c>
      <c r="I1809" s="45" t="s">
        <v>6754</v>
      </c>
      <c r="J1809" s="122">
        <v>45729</v>
      </c>
      <c r="K1809" s="110" t="str">
        <f t="shared" si="24"/>
        <v>https://Estud2024.sawtoothsoftware.com/cgi-bin/ciwweb.pl?studyname=Estud2024&amp;ID=1809</v>
      </c>
      <c r="L1809" s="113">
        <v>45733</v>
      </c>
      <c r="M1809" s="45" t="s">
        <v>247</v>
      </c>
    </row>
    <row r="1810" spans="1:13">
      <c r="A1810">
        <v>1810</v>
      </c>
      <c r="B1810" t="s">
        <v>85</v>
      </c>
      <c r="D1810" t="s">
        <v>209</v>
      </c>
      <c r="F1810" t="s">
        <v>10529</v>
      </c>
      <c r="G1810">
        <v>3</v>
      </c>
      <c r="H1810" t="s">
        <v>10530</v>
      </c>
      <c r="I1810" s="45" t="s">
        <v>6754</v>
      </c>
      <c r="J1810" s="122">
        <v>45729</v>
      </c>
      <c r="K1810" s="110" t="str">
        <f t="shared" si="24"/>
        <v>https://Estud2024.sawtoothsoftware.com/cgi-bin/ciwweb.pl?studyname=Estud2024&amp;ID=1810</v>
      </c>
      <c r="L1810" s="113">
        <v>45733</v>
      </c>
      <c r="M1810" s="45" t="s">
        <v>246</v>
      </c>
    </row>
    <row r="1811" spans="1:13">
      <c r="A1811">
        <v>1811</v>
      </c>
      <c r="B1811" t="s">
        <v>85</v>
      </c>
      <c r="D1811" t="s">
        <v>192</v>
      </c>
      <c r="F1811" t="s">
        <v>10531</v>
      </c>
      <c r="G1811">
        <v>4</v>
      </c>
      <c r="H1811" t="s">
        <v>10532</v>
      </c>
      <c r="I1811" s="45" t="s">
        <v>6754</v>
      </c>
      <c r="J1811" s="122">
        <v>45729</v>
      </c>
      <c r="K1811" s="110" t="str">
        <f t="shared" si="24"/>
        <v>https://Estud2024.sawtoothsoftware.com/cgi-bin/ciwweb.pl?studyname=Estud2024&amp;ID=1811</v>
      </c>
      <c r="L1811" s="113">
        <v>45733</v>
      </c>
      <c r="M1811" s="45" t="s">
        <v>247</v>
      </c>
    </row>
    <row r="1812" spans="1:13">
      <c r="A1812">
        <v>1812</v>
      </c>
      <c r="B1812" t="s">
        <v>85</v>
      </c>
      <c r="D1812" t="s">
        <v>192</v>
      </c>
      <c r="F1812" t="s">
        <v>10533</v>
      </c>
      <c r="G1812">
        <v>4</v>
      </c>
      <c r="H1812" t="s">
        <v>10534</v>
      </c>
      <c r="I1812" s="45" t="s">
        <v>6754</v>
      </c>
      <c r="J1812" s="122">
        <v>45729</v>
      </c>
      <c r="K1812" s="110" t="str">
        <f t="shared" si="24"/>
        <v>https://Estud2024.sawtoothsoftware.com/cgi-bin/ciwweb.pl?studyname=Estud2024&amp;ID=1812</v>
      </c>
      <c r="L1812" s="113">
        <v>45733</v>
      </c>
      <c r="M1812" s="45" t="s">
        <v>247</v>
      </c>
    </row>
    <row r="1813" spans="1:13">
      <c r="A1813">
        <v>1813</v>
      </c>
      <c r="B1813" t="s">
        <v>85</v>
      </c>
      <c r="D1813" t="s">
        <v>192</v>
      </c>
      <c r="F1813" t="s">
        <v>10535</v>
      </c>
      <c r="G1813">
        <v>4</v>
      </c>
      <c r="H1813" t="s">
        <v>10536</v>
      </c>
      <c r="I1813" s="45" t="s">
        <v>6754</v>
      </c>
      <c r="J1813" s="122">
        <v>45729</v>
      </c>
      <c r="K1813" s="110" t="str">
        <f t="shared" si="24"/>
        <v>https://Estud2024.sawtoothsoftware.com/cgi-bin/ciwweb.pl?studyname=Estud2024&amp;ID=1813</v>
      </c>
      <c r="L1813" s="113">
        <v>45733</v>
      </c>
      <c r="M1813" s="45" t="s">
        <v>247</v>
      </c>
    </row>
    <row r="1814" spans="1:13">
      <c r="A1814">
        <v>1814</v>
      </c>
      <c r="B1814" t="s">
        <v>85</v>
      </c>
      <c r="D1814" t="s">
        <v>192</v>
      </c>
      <c r="F1814" t="s">
        <v>10537</v>
      </c>
      <c r="G1814">
        <v>4</v>
      </c>
      <c r="H1814" t="s">
        <v>10538</v>
      </c>
      <c r="I1814" s="45" t="s">
        <v>6754</v>
      </c>
      <c r="J1814" s="122">
        <v>45729</v>
      </c>
      <c r="K1814" s="110" t="str">
        <f t="shared" ref="K1814:K1877" si="25">CONCATENATE("https://Estud2024.sawtoothsoftware.com/cgi-bin/ciwweb.pl?studyname=Estud2024&amp;ID=",A1814)</f>
        <v>https://Estud2024.sawtoothsoftware.com/cgi-bin/ciwweb.pl?studyname=Estud2024&amp;ID=1814</v>
      </c>
      <c r="L1814" s="113">
        <v>45733</v>
      </c>
      <c r="M1814" s="45" t="s">
        <v>247</v>
      </c>
    </row>
    <row r="1815" spans="1:13">
      <c r="A1815">
        <v>1815</v>
      </c>
      <c r="B1815" t="s">
        <v>85</v>
      </c>
      <c r="D1815" t="s">
        <v>192</v>
      </c>
      <c r="F1815" t="s">
        <v>10539</v>
      </c>
      <c r="G1815">
        <v>4</v>
      </c>
      <c r="H1815" t="s">
        <v>10540</v>
      </c>
      <c r="I1815" s="45" t="s">
        <v>6754</v>
      </c>
      <c r="J1815" s="122">
        <v>45729</v>
      </c>
      <c r="K1815" s="110" t="str">
        <f t="shared" si="25"/>
        <v>https://Estud2024.sawtoothsoftware.com/cgi-bin/ciwweb.pl?studyname=Estud2024&amp;ID=1815</v>
      </c>
      <c r="L1815" s="113">
        <v>45733</v>
      </c>
      <c r="M1815" s="45" t="s">
        <v>247</v>
      </c>
    </row>
    <row r="1816" spans="1:13">
      <c r="A1816">
        <v>1816</v>
      </c>
      <c r="B1816" t="s">
        <v>85</v>
      </c>
      <c r="D1816" t="s">
        <v>192</v>
      </c>
      <c r="F1816" t="s">
        <v>10541</v>
      </c>
      <c r="G1816">
        <v>4</v>
      </c>
      <c r="H1816" t="s">
        <v>10542</v>
      </c>
      <c r="I1816" s="45" t="s">
        <v>6754</v>
      </c>
      <c r="J1816" s="122">
        <v>45729</v>
      </c>
      <c r="K1816" s="110" t="str">
        <f t="shared" si="25"/>
        <v>https://Estud2024.sawtoothsoftware.com/cgi-bin/ciwweb.pl?studyname=Estud2024&amp;ID=1816</v>
      </c>
      <c r="L1816" s="113">
        <v>45733</v>
      </c>
      <c r="M1816" s="45" t="s">
        <v>246</v>
      </c>
    </row>
    <row r="1817" spans="1:13">
      <c r="A1817">
        <v>1817</v>
      </c>
      <c r="B1817" t="s">
        <v>85</v>
      </c>
      <c r="D1817" t="s">
        <v>192</v>
      </c>
      <c r="F1817" t="s">
        <v>10543</v>
      </c>
      <c r="G1817">
        <v>4</v>
      </c>
      <c r="H1817" t="s">
        <v>10544</v>
      </c>
      <c r="I1817" s="45" t="s">
        <v>6754</v>
      </c>
      <c r="J1817" s="122">
        <v>45729</v>
      </c>
      <c r="K1817" s="110" t="str">
        <f t="shared" si="25"/>
        <v>https://Estud2024.sawtoothsoftware.com/cgi-bin/ciwweb.pl?studyname=Estud2024&amp;ID=1817</v>
      </c>
      <c r="L1817" s="113">
        <v>45733</v>
      </c>
      <c r="M1817" s="45" t="s">
        <v>247</v>
      </c>
    </row>
    <row r="1818" spans="1:13">
      <c r="A1818">
        <v>1818</v>
      </c>
      <c r="B1818" t="s">
        <v>85</v>
      </c>
      <c r="D1818" t="s">
        <v>192</v>
      </c>
      <c r="F1818" t="s">
        <v>10545</v>
      </c>
      <c r="G1818">
        <v>4</v>
      </c>
      <c r="H1818" t="s">
        <v>10546</v>
      </c>
      <c r="I1818" s="45" t="s">
        <v>6754</v>
      </c>
      <c r="J1818" s="122">
        <v>45729</v>
      </c>
      <c r="K1818" s="110" t="str">
        <f t="shared" si="25"/>
        <v>https://Estud2024.sawtoothsoftware.com/cgi-bin/ciwweb.pl?studyname=Estud2024&amp;ID=1818</v>
      </c>
      <c r="L1818" s="113">
        <v>45733</v>
      </c>
      <c r="M1818" s="45" t="s">
        <v>247</v>
      </c>
    </row>
    <row r="1819" spans="1:13">
      <c r="A1819">
        <v>1819</v>
      </c>
      <c r="B1819" t="s">
        <v>85</v>
      </c>
      <c r="D1819" t="s">
        <v>192</v>
      </c>
      <c r="F1819" t="s">
        <v>10547</v>
      </c>
      <c r="G1819">
        <v>4</v>
      </c>
      <c r="H1819" t="s">
        <v>10548</v>
      </c>
      <c r="I1819" s="45" t="s">
        <v>6754</v>
      </c>
      <c r="J1819" s="122">
        <v>45729</v>
      </c>
      <c r="K1819" s="110" t="str">
        <f t="shared" si="25"/>
        <v>https://Estud2024.sawtoothsoftware.com/cgi-bin/ciwweb.pl?studyname=Estud2024&amp;ID=1819</v>
      </c>
      <c r="L1819" s="113">
        <v>45733</v>
      </c>
      <c r="M1819" s="45" t="s">
        <v>247</v>
      </c>
    </row>
    <row r="1820" spans="1:13">
      <c r="A1820">
        <v>1820</v>
      </c>
      <c r="B1820" t="s">
        <v>85</v>
      </c>
      <c r="D1820" t="s">
        <v>192</v>
      </c>
      <c r="F1820" t="s">
        <v>10549</v>
      </c>
      <c r="G1820">
        <v>4</v>
      </c>
      <c r="H1820" t="s">
        <v>10550</v>
      </c>
      <c r="I1820" s="45" t="s">
        <v>6754</v>
      </c>
      <c r="J1820" s="122">
        <v>45729</v>
      </c>
      <c r="K1820" s="110" t="str">
        <f t="shared" si="25"/>
        <v>https://Estud2024.sawtoothsoftware.com/cgi-bin/ciwweb.pl?studyname=Estud2024&amp;ID=1820</v>
      </c>
      <c r="L1820" s="113">
        <v>45733</v>
      </c>
      <c r="M1820" s="45" t="s">
        <v>246</v>
      </c>
    </row>
    <row r="1821" spans="1:13">
      <c r="A1821">
        <v>1821</v>
      </c>
      <c r="B1821" t="s">
        <v>85</v>
      </c>
      <c r="D1821" t="s">
        <v>192</v>
      </c>
      <c r="F1821" t="s">
        <v>10551</v>
      </c>
      <c r="G1821">
        <v>4</v>
      </c>
      <c r="H1821" t="s">
        <v>10552</v>
      </c>
      <c r="I1821" s="45" t="s">
        <v>6754</v>
      </c>
      <c r="J1821" s="122">
        <v>45729</v>
      </c>
      <c r="K1821" s="110" t="str">
        <f t="shared" si="25"/>
        <v>https://Estud2024.sawtoothsoftware.com/cgi-bin/ciwweb.pl?studyname=Estud2024&amp;ID=1821</v>
      </c>
      <c r="L1821" s="113">
        <v>45733</v>
      </c>
      <c r="M1821" s="45" t="s">
        <v>247</v>
      </c>
    </row>
    <row r="1822" spans="1:13">
      <c r="A1822">
        <v>1822</v>
      </c>
      <c r="B1822" t="s">
        <v>85</v>
      </c>
      <c r="D1822" t="s">
        <v>192</v>
      </c>
      <c r="F1822" t="s">
        <v>10553</v>
      </c>
      <c r="G1822">
        <v>4</v>
      </c>
      <c r="H1822" t="s">
        <v>10554</v>
      </c>
      <c r="I1822" s="45" t="s">
        <v>6754</v>
      </c>
      <c r="J1822" s="122">
        <v>45729</v>
      </c>
      <c r="K1822" s="110" t="str">
        <f t="shared" si="25"/>
        <v>https://Estud2024.sawtoothsoftware.com/cgi-bin/ciwweb.pl?studyname=Estud2024&amp;ID=1822</v>
      </c>
      <c r="L1822" s="113">
        <v>45733</v>
      </c>
      <c r="M1822" s="45" t="s">
        <v>247</v>
      </c>
    </row>
    <row r="1823" spans="1:13">
      <c r="A1823">
        <v>1823</v>
      </c>
      <c r="B1823" t="s">
        <v>85</v>
      </c>
      <c r="D1823" t="s">
        <v>192</v>
      </c>
      <c r="F1823" t="s">
        <v>10555</v>
      </c>
      <c r="G1823">
        <v>4</v>
      </c>
      <c r="H1823" t="s">
        <v>10556</v>
      </c>
      <c r="I1823" s="45" t="s">
        <v>6754</v>
      </c>
      <c r="J1823" s="122">
        <v>45729</v>
      </c>
      <c r="K1823" s="110" t="str">
        <f t="shared" si="25"/>
        <v>https://Estud2024.sawtoothsoftware.com/cgi-bin/ciwweb.pl?studyname=Estud2024&amp;ID=1823</v>
      </c>
      <c r="L1823" s="113">
        <v>45733</v>
      </c>
      <c r="M1823" s="45" t="s">
        <v>246</v>
      </c>
    </row>
    <row r="1824" spans="1:13">
      <c r="A1824">
        <v>1824</v>
      </c>
      <c r="B1824" t="s">
        <v>85</v>
      </c>
      <c r="D1824" t="s">
        <v>192</v>
      </c>
      <c r="F1824" t="s">
        <v>10557</v>
      </c>
      <c r="G1824">
        <v>4</v>
      </c>
      <c r="H1824" t="s">
        <v>10558</v>
      </c>
      <c r="I1824" s="45" t="s">
        <v>6754</v>
      </c>
      <c r="J1824" s="122">
        <v>45729</v>
      </c>
      <c r="K1824" s="110" t="str">
        <f t="shared" si="25"/>
        <v>https://Estud2024.sawtoothsoftware.com/cgi-bin/ciwweb.pl?studyname=Estud2024&amp;ID=1824</v>
      </c>
      <c r="L1824" s="113">
        <v>45733</v>
      </c>
      <c r="M1824" s="45" t="s">
        <v>247</v>
      </c>
    </row>
    <row r="1825" spans="1:13">
      <c r="A1825">
        <v>1825</v>
      </c>
      <c r="B1825" t="s">
        <v>85</v>
      </c>
      <c r="D1825" t="s">
        <v>192</v>
      </c>
      <c r="F1825" t="s">
        <v>10559</v>
      </c>
      <c r="G1825">
        <v>4</v>
      </c>
      <c r="H1825" t="s">
        <v>10560</v>
      </c>
      <c r="I1825" s="45" t="s">
        <v>6754</v>
      </c>
      <c r="J1825" s="122">
        <v>45729</v>
      </c>
      <c r="K1825" s="110" t="str">
        <f t="shared" si="25"/>
        <v>https://Estud2024.sawtoothsoftware.com/cgi-bin/ciwweb.pl?studyname=Estud2024&amp;ID=1825</v>
      </c>
      <c r="L1825" s="113">
        <v>45733</v>
      </c>
      <c r="M1825" s="45" t="s">
        <v>247</v>
      </c>
    </row>
    <row r="1826" spans="1:13">
      <c r="A1826">
        <v>1826</v>
      </c>
      <c r="B1826" t="s">
        <v>85</v>
      </c>
      <c r="D1826" t="s">
        <v>192</v>
      </c>
      <c r="F1826" t="s">
        <v>10561</v>
      </c>
      <c r="G1826">
        <v>4</v>
      </c>
      <c r="H1826" t="s">
        <v>10562</v>
      </c>
      <c r="I1826" s="45" t="s">
        <v>6754</v>
      </c>
      <c r="J1826" s="122">
        <v>45729</v>
      </c>
      <c r="K1826" s="110" t="str">
        <f t="shared" si="25"/>
        <v>https://Estud2024.sawtoothsoftware.com/cgi-bin/ciwweb.pl?studyname=Estud2024&amp;ID=1826</v>
      </c>
      <c r="L1826" s="113">
        <v>45733</v>
      </c>
      <c r="M1826" s="45" t="s">
        <v>246</v>
      </c>
    </row>
    <row r="1827" spans="1:13">
      <c r="A1827">
        <v>1827</v>
      </c>
      <c r="B1827" t="s">
        <v>85</v>
      </c>
      <c r="D1827" t="s">
        <v>192</v>
      </c>
      <c r="F1827" t="s">
        <v>10563</v>
      </c>
      <c r="G1827">
        <v>4</v>
      </c>
      <c r="H1827" t="s">
        <v>10564</v>
      </c>
      <c r="I1827" s="45" t="s">
        <v>6754</v>
      </c>
      <c r="J1827" s="122">
        <v>45729</v>
      </c>
      <c r="K1827" s="110" t="str">
        <f t="shared" si="25"/>
        <v>https://Estud2024.sawtoothsoftware.com/cgi-bin/ciwweb.pl?studyname=Estud2024&amp;ID=1827</v>
      </c>
      <c r="L1827" s="113">
        <v>45733</v>
      </c>
      <c r="M1827" s="45" t="s">
        <v>246</v>
      </c>
    </row>
    <row r="1828" spans="1:13">
      <c r="A1828">
        <v>1828</v>
      </c>
      <c r="B1828" t="s">
        <v>85</v>
      </c>
      <c r="D1828" t="s">
        <v>192</v>
      </c>
      <c r="F1828" t="s">
        <v>10565</v>
      </c>
      <c r="G1828">
        <v>4</v>
      </c>
      <c r="H1828" t="s">
        <v>10566</v>
      </c>
      <c r="I1828" s="45" t="s">
        <v>6754</v>
      </c>
      <c r="J1828" s="122">
        <v>45729</v>
      </c>
      <c r="K1828" s="110" t="str">
        <f t="shared" si="25"/>
        <v>https://Estud2024.sawtoothsoftware.com/cgi-bin/ciwweb.pl?studyname=Estud2024&amp;ID=1828</v>
      </c>
      <c r="L1828" s="113">
        <v>45733</v>
      </c>
      <c r="M1828" s="45" t="s">
        <v>247</v>
      </c>
    </row>
    <row r="1829" spans="1:13">
      <c r="A1829">
        <v>1829</v>
      </c>
      <c r="B1829" t="s">
        <v>85</v>
      </c>
      <c r="D1829" t="s">
        <v>192</v>
      </c>
      <c r="F1829" t="s">
        <v>10567</v>
      </c>
      <c r="G1829">
        <v>4</v>
      </c>
      <c r="H1829" t="s">
        <v>10568</v>
      </c>
      <c r="I1829" s="45" t="s">
        <v>6754</v>
      </c>
      <c r="J1829" s="122">
        <v>45729</v>
      </c>
      <c r="K1829" s="110" t="str">
        <f t="shared" si="25"/>
        <v>https://Estud2024.sawtoothsoftware.com/cgi-bin/ciwweb.pl?studyname=Estud2024&amp;ID=1829</v>
      </c>
      <c r="L1829" s="113">
        <v>45733</v>
      </c>
      <c r="M1829" s="45" t="s">
        <v>247</v>
      </c>
    </row>
    <row r="1830" spans="1:13">
      <c r="A1830">
        <v>1830</v>
      </c>
      <c r="B1830" t="s">
        <v>85</v>
      </c>
      <c r="D1830" t="s">
        <v>192</v>
      </c>
      <c r="F1830" t="s">
        <v>10569</v>
      </c>
      <c r="G1830">
        <v>3</v>
      </c>
      <c r="H1830" t="s">
        <v>10570</v>
      </c>
      <c r="I1830" s="45" t="s">
        <v>6754</v>
      </c>
      <c r="J1830" s="122">
        <v>45729</v>
      </c>
      <c r="K1830" s="110" t="str">
        <f t="shared" si="25"/>
        <v>https://Estud2024.sawtoothsoftware.com/cgi-bin/ciwweb.pl?studyname=Estud2024&amp;ID=1830</v>
      </c>
      <c r="L1830" s="113">
        <v>45733</v>
      </c>
      <c r="M1830" s="45" t="s">
        <v>247</v>
      </c>
    </row>
    <row r="1831" spans="1:13">
      <c r="A1831">
        <v>1831</v>
      </c>
      <c r="B1831" t="s">
        <v>85</v>
      </c>
      <c r="D1831" t="s">
        <v>192</v>
      </c>
      <c r="F1831" t="s">
        <v>10571</v>
      </c>
      <c r="G1831">
        <v>3</v>
      </c>
      <c r="H1831" t="s">
        <v>10572</v>
      </c>
      <c r="I1831" s="45" t="s">
        <v>6754</v>
      </c>
      <c r="J1831" s="122">
        <v>45729</v>
      </c>
      <c r="K1831" s="110" t="str">
        <f t="shared" si="25"/>
        <v>https://Estud2024.sawtoothsoftware.com/cgi-bin/ciwweb.pl?studyname=Estud2024&amp;ID=1831</v>
      </c>
      <c r="L1831" s="113">
        <v>45733</v>
      </c>
      <c r="M1831" s="45" t="s">
        <v>246</v>
      </c>
    </row>
    <row r="1832" spans="1:13">
      <c r="A1832">
        <v>1832</v>
      </c>
      <c r="B1832" t="s">
        <v>85</v>
      </c>
      <c r="D1832" t="s">
        <v>192</v>
      </c>
      <c r="F1832" t="s">
        <v>10573</v>
      </c>
      <c r="G1832">
        <v>3</v>
      </c>
      <c r="H1832" t="s">
        <v>10574</v>
      </c>
      <c r="I1832" s="45" t="s">
        <v>6754</v>
      </c>
      <c r="J1832" s="122">
        <v>45729</v>
      </c>
      <c r="K1832" s="110" t="str">
        <f t="shared" si="25"/>
        <v>https://Estud2024.sawtoothsoftware.com/cgi-bin/ciwweb.pl?studyname=Estud2024&amp;ID=1832</v>
      </c>
      <c r="L1832" s="113">
        <v>45733</v>
      </c>
      <c r="M1832" s="45" t="s">
        <v>246</v>
      </c>
    </row>
    <row r="1833" spans="1:13">
      <c r="A1833">
        <v>1833</v>
      </c>
      <c r="B1833" t="s">
        <v>85</v>
      </c>
      <c r="D1833" t="s">
        <v>192</v>
      </c>
      <c r="F1833" t="s">
        <v>10575</v>
      </c>
      <c r="G1833">
        <v>3</v>
      </c>
      <c r="H1833" t="s">
        <v>10576</v>
      </c>
      <c r="I1833" s="45" t="s">
        <v>6754</v>
      </c>
      <c r="J1833" s="122">
        <v>45729</v>
      </c>
      <c r="K1833" s="110" t="str">
        <f t="shared" si="25"/>
        <v>https://Estud2024.sawtoothsoftware.com/cgi-bin/ciwweb.pl?studyname=Estud2024&amp;ID=1833</v>
      </c>
      <c r="L1833" s="113">
        <v>45733</v>
      </c>
      <c r="M1833" s="45" t="s">
        <v>246</v>
      </c>
    </row>
    <row r="1834" spans="1:13">
      <c r="A1834">
        <v>1834</v>
      </c>
      <c r="B1834" t="s">
        <v>85</v>
      </c>
      <c r="D1834" t="s">
        <v>192</v>
      </c>
      <c r="F1834" t="s">
        <v>10577</v>
      </c>
      <c r="G1834">
        <v>3</v>
      </c>
      <c r="H1834" t="s">
        <v>10578</v>
      </c>
      <c r="I1834" s="45" t="s">
        <v>6754</v>
      </c>
      <c r="J1834" s="122">
        <v>45729</v>
      </c>
      <c r="K1834" s="110" t="str">
        <f t="shared" si="25"/>
        <v>https://Estud2024.sawtoothsoftware.com/cgi-bin/ciwweb.pl?studyname=Estud2024&amp;ID=1834</v>
      </c>
      <c r="L1834" s="113">
        <v>45733</v>
      </c>
      <c r="M1834" s="45" t="s">
        <v>246</v>
      </c>
    </row>
    <row r="1835" spans="1:13">
      <c r="A1835">
        <v>1835</v>
      </c>
      <c r="B1835" t="s">
        <v>85</v>
      </c>
      <c r="D1835" t="s">
        <v>192</v>
      </c>
      <c r="F1835" t="s">
        <v>10579</v>
      </c>
      <c r="G1835">
        <v>3</v>
      </c>
      <c r="H1835" t="s">
        <v>10580</v>
      </c>
      <c r="I1835" s="45" t="s">
        <v>6754</v>
      </c>
      <c r="J1835" s="122">
        <v>45729</v>
      </c>
      <c r="K1835" s="110" t="str">
        <f t="shared" si="25"/>
        <v>https://Estud2024.sawtoothsoftware.com/cgi-bin/ciwweb.pl?studyname=Estud2024&amp;ID=1835</v>
      </c>
      <c r="L1835" s="113">
        <v>45733</v>
      </c>
      <c r="M1835" s="45" t="s">
        <v>247</v>
      </c>
    </row>
    <row r="1836" spans="1:13">
      <c r="A1836">
        <v>1836</v>
      </c>
      <c r="B1836" t="s">
        <v>85</v>
      </c>
      <c r="D1836" t="s">
        <v>192</v>
      </c>
      <c r="F1836" t="s">
        <v>10581</v>
      </c>
      <c r="G1836">
        <v>3</v>
      </c>
      <c r="H1836" t="s">
        <v>10582</v>
      </c>
      <c r="I1836" s="45" t="s">
        <v>6754</v>
      </c>
      <c r="J1836" s="122">
        <v>45729</v>
      </c>
      <c r="K1836" s="110" t="str">
        <f t="shared" si="25"/>
        <v>https://Estud2024.sawtoothsoftware.com/cgi-bin/ciwweb.pl?studyname=Estud2024&amp;ID=1836</v>
      </c>
      <c r="L1836" s="113">
        <v>45733</v>
      </c>
      <c r="M1836" s="45" t="s">
        <v>247</v>
      </c>
    </row>
    <row r="1837" spans="1:13">
      <c r="A1837">
        <v>1837</v>
      </c>
      <c r="B1837" t="s">
        <v>85</v>
      </c>
      <c r="D1837" t="s">
        <v>192</v>
      </c>
      <c r="F1837" t="s">
        <v>10583</v>
      </c>
      <c r="G1837">
        <v>3</v>
      </c>
      <c r="H1837" t="s">
        <v>10584</v>
      </c>
      <c r="I1837" s="45" t="s">
        <v>6754</v>
      </c>
      <c r="J1837" s="122">
        <v>45729</v>
      </c>
      <c r="K1837" s="110" t="str">
        <f t="shared" si="25"/>
        <v>https://Estud2024.sawtoothsoftware.com/cgi-bin/ciwweb.pl?studyname=Estud2024&amp;ID=1837</v>
      </c>
      <c r="L1837" s="113">
        <v>45733</v>
      </c>
      <c r="M1837" s="45" t="s">
        <v>247</v>
      </c>
    </row>
    <row r="1838" spans="1:13">
      <c r="A1838">
        <v>1838</v>
      </c>
      <c r="B1838" t="s">
        <v>85</v>
      </c>
      <c r="D1838" t="s">
        <v>192</v>
      </c>
      <c r="F1838" t="s">
        <v>10585</v>
      </c>
      <c r="G1838">
        <v>3</v>
      </c>
      <c r="H1838" t="s">
        <v>10586</v>
      </c>
      <c r="I1838" s="45" t="s">
        <v>6754</v>
      </c>
      <c r="J1838" s="122">
        <v>45729</v>
      </c>
      <c r="K1838" s="110" t="str">
        <f t="shared" si="25"/>
        <v>https://Estud2024.sawtoothsoftware.com/cgi-bin/ciwweb.pl?studyname=Estud2024&amp;ID=1838</v>
      </c>
      <c r="L1838" s="113">
        <v>45733</v>
      </c>
      <c r="M1838" s="45" t="s">
        <v>247</v>
      </c>
    </row>
    <row r="1839" spans="1:13">
      <c r="A1839">
        <v>1839</v>
      </c>
      <c r="B1839" t="s">
        <v>85</v>
      </c>
      <c r="D1839" t="s">
        <v>192</v>
      </c>
      <c r="F1839" t="s">
        <v>10587</v>
      </c>
      <c r="G1839">
        <v>3</v>
      </c>
      <c r="H1839" t="s">
        <v>10588</v>
      </c>
      <c r="I1839" s="45" t="s">
        <v>6754</v>
      </c>
      <c r="J1839" s="122">
        <v>45729</v>
      </c>
      <c r="K1839" s="110" t="str">
        <f t="shared" si="25"/>
        <v>https://Estud2024.sawtoothsoftware.com/cgi-bin/ciwweb.pl?studyname=Estud2024&amp;ID=1839</v>
      </c>
      <c r="L1839" s="113">
        <v>45733</v>
      </c>
      <c r="M1839" s="45" t="s">
        <v>246</v>
      </c>
    </row>
    <row r="1840" spans="1:13">
      <c r="A1840">
        <v>1840</v>
      </c>
      <c r="B1840" t="s">
        <v>85</v>
      </c>
      <c r="D1840" t="s">
        <v>192</v>
      </c>
      <c r="F1840" t="s">
        <v>10589</v>
      </c>
      <c r="G1840">
        <v>3</v>
      </c>
      <c r="H1840" t="s">
        <v>10590</v>
      </c>
      <c r="I1840" s="45" t="s">
        <v>6754</v>
      </c>
      <c r="J1840" s="122">
        <v>45729</v>
      </c>
      <c r="K1840" s="110" t="str">
        <f t="shared" si="25"/>
        <v>https://Estud2024.sawtoothsoftware.com/cgi-bin/ciwweb.pl?studyname=Estud2024&amp;ID=1840</v>
      </c>
      <c r="L1840" s="113">
        <v>45733</v>
      </c>
      <c r="M1840" s="45" t="s">
        <v>247</v>
      </c>
    </row>
    <row r="1841" spans="1:13">
      <c r="A1841">
        <v>1841</v>
      </c>
      <c r="B1841" t="s">
        <v>85</v>
      </c>
      <c r="D1841" t="s">
        <v>192</v>
      </c>
      <c r="F1841" t="s">
        <v>10591</v>
      </c>
      <c r="G1841">
        <v>3</v>
      </c>
      <c r="H1841" t="s">
        <v>10592</v>
      </c>
      <c r="I1841" s="45" t="s">
        <v>6754</v>
      </c>
      <c r="J1841" s="122">
        <v>45729</v>
      </c>
      <c r="K1841" s="110" t="str">
        <f t="shared" si="25"/>
        <v>https://Estud2024.sawtoothsoftware.com/cgi-bin/ciwweb.pl?studyname=Estud2024&amp;ID=1841</v>
      </c>
      <c r="L1841" s="113">
        <v>45733</v>
      </c>
      <c r="M1841" s="45" t="s">
        <v>247</v>
      </c>
    </row>
    <row r="1842" spans="1:13">
      <c r="A1842">
        <v>1842</v>
      </c>
      <c r="B1842" t="s">
        <v>85</v>
      </c>
      <c r="D1842" t="s">
        <v>192</v>
      </c>
      <c r="F1842" t="s">
        <v>10593</v>
      </c>
      <c r="G1842">
        <v>3</v>
      </c>
      <c r="H1842" t="s">
        <v>10594</v>
      </c>
      <c r="I1842" s="45" t="s">
        <v>6754</v>
      </c>
      <c r="J1842" s="122">
        <v>45729</v>
      </c>
      <c r="K1842" s="110" t="str">
        <f t="shared" si="25"/>
        <v>https://Estud2024.sawtoothsoftware.com/cgi-bin/ciwweb.pl?studyname=Estud2024&amp;ID=1842</v>
      </c>
      <c r="L1842" s="113">
        <v>45733</v>
      </c>
      <c r="M1842" s="45" t="s">
        <v>247</v>
      </c>
    </row>
    <row r="1843" spans="1:13">
      <c r="A1843">
        <v>1843</v>
      </c>
      <c r="B1843" t="s">
        <v>85</v>
      </c>
      <c r="D1843" t="s">
        <v>192</v>
      </c>
      <c r="F1843" t="s">
        <v>10595</v>
      </c>
      <c r="G1843">
        <v>3</v>
      </c>
      <c r="H1843" t="s">
        <v>10596</v>
      </c>
      <c r="I1843" s="45" t="s">
        <v>6754</v>
      </c>
      <c r="J1843" s="122">
        <v>45729</v>
      </c>
      <c r="K1843" s="110" t="str">
        <f t="shared" si="25"/>
        <v>https://Estud2024.sawtoothsoftware.com/cgi-bin/ciwweb.pl?studyname=Estud2024&amp;ID=1843</v>
      </c>
      <c r="L1843" s="113">
        <v>45733</v>
      </c>
      <c r="M1843" s="45" t="s">
        <v>246</v>
      </c>
    </row>
    <row r="1844" spans="1:13">
      <c r="A1844">
        <v>1844</v>
      </c>
      <c r="B1844" t="s">
        <v>85</v>
      </c>
      <c r="D1844" t="s">
        <v>210</v>
      </c>
      <c r="F1844" t="s">
        <v>10597</v>
      </c>
      <c r="G1844">
        <v>3</v>
      </c>
      <c r="H1844" t="s">
        <v>10598</v>
      </c>
      <c r="I1844" s="45" t="s">
        <v>6754</v>
      </c>
      <c r="J1844" s="122">
        <v>45729</v>
      </c>
      <c r="K1844" s="110" t="str">
        <f t="shared" si="25"/>
        <v>https://Estud2024.sawtoothsoftware.com/cgi-bin/ciwweb.pl?studyname=Estud2024&amp;ID=1844</v>
      </c>
      <c r="L1844" s="113">
        <v>45733</v>
      </c>
      <c r="M1844" s="45" t="s">
        <v>246</v>
      </c>
    </row>
    <row r="1845" spans="1:13">
      <c r="A1845">
        <v>1845</v>
      </c>
      <c r="B1845" t="s">
        <v>85</v>
      </c>
      <c r="D1845" t="s">
        <v>210</v>
      </c>
      <c r="F1845" t="s">
        <v>10599</v>
      </c>
      <c r="G1845">
        <v>3</v>
      </c>
      <c r="H1845" t="s">
        <v>10600</v>
      </c>
      <c r="I1845" s="45" t="s">
        <v>6754</v>
      </c>
      <c r="J1845" s="122">
        <v>45729</v>
      </c>
      <c r="K1845" s="110" t="str">
        <f t="shared" si="25"/>
        <v>https://Estud2024.sawtoothsoftware.com/cgi-bin/ciwweb.pl?studyname=Estud2024&amp;ID=1845</v>
      </c>
      <c r="L1845" s="113">
        <v>45733</v>
      </c>
      <c r="M1845" s="45" t="s">
        <v>247</v>
      </c>
    </row>
    <row r="1846" spans="1:13">
      <c r="A1846">
        <v>1846</v>
      </c>
      <c r="B1846" t="s">
        <v>85</v>
      </c>
      <c r="D1846" t="s">
        <v>210</v>
      </c>
      <c r="F1846" t="s">
        <v>10601</v>
      </c>
      <c r="G1846">
        <v>3</v>
      </c>
      <c r="H1846" t="s">
        <v>10602</v>
      </c>
      <c r="I1846" s="45" t="s">
        <v>6754</v>
      </c>
      <c r="J1846" s="122">
        <v>45729</v>
      </c>
      <c r="K1846" s="110" t="str">
        <f t="shared" si="25"/>
        <v>https://Estud2024.sawtoothsoftware.com/cgi-bin/ciwweb.pl?studyname=Estud2024&amp;ID=1846</v>
      </c>
      <c r="L1846" s="113">
        <v>45733</v>
      </c>
      <c r="M1846" s="45" t="s">
        <v>247</v>
      </c>
    </row>
    <row r="1847" spans="1:13">
      <c r="A1847">
        <v>1847</v>
      </c>
      <c r="B1847" t="s">
        <v>85</v>
      </c>
      <c r="D1847" t="s">
        <v>210</v>
      </c>
      <c r="F1847" t="s">
        <v>10603</v>
      </c>
      <c r="G1847">
        <v>3</v>
      </c>
      <c r="H1847" t="s">
        <v>10604</v>
      </c>
      <c r="I1847" s="45" t="s">
        <v>6754</v>
      </c>
      <c r="J1847" s="122">
        <v>45729</v>
      </c>
      <c r="K1847" s="110" t="str">
        <f t="shared" si="25"/>
        <v>https://Estud2024.sawtoothsoftware.com/cgi-bin/ciwweb.pl?studyname=Estud2024&amp;ID=1847</v>
      </c>
      <c r="L1847" s="113">
        <v>45733</v>
      </c>
      <c r="M1847" s="45" t="s">
        <v>247</v>
      </c>
    </row>
    <row r="1848" spans="1:13">
      <c r="A1848">
        <v>1848</v>
      </c>
      <c r="B1848" t="s">
        <v>85</v>
      </c>
      <c r="D1848" t="s">
        <v>210</v>
      </c>
      <c r="F1848" t="s">
        <v>10605</v>
      </c>
      <c r="G1848">
        <v>3</v>
      </c>
      <c r="H1848" t="s">
        <v>10606</v>
      </c>
      <c r="I1848" s="45" t="s">
        <v>6754</v>
      </c>
      <c r="J1848" s="122">
        <v>45729</v>
      </c>
      <c r="K1848" s="110" t="str">
        <f t="shared" si="25"/>
        <v>https://Estud2024.sawtoothsoftware.com/cgi-bin/ciwweb.pl?studyname=Estud2024&amp;ID=1848</v>
      </c>
      <c r="L1848" s="113">
        <v>45733</v>
      </c>
      <c r="M1848" s="45" t="s">
        <v>246</v>
      </c>
    </row>
    <row r="1849" spans="1:13">
      <c r="A1849">
        <v>1849</v>
      </c>
      <c r="B1849" t="s">
        <v>85</v>
      </c>
      <c r="D1849" t="s">
        <v>210</v>
      </c>
      <c r="F1849" t="s">
        <v>10607</v>
      </c>
      <c r="G1849">
        <v>3</v>
      </c>
      <c r="H1849" t="s">
        <v>10608</v>
      </c>
      <c r="I1849" s="45" t="s">
        <v>6754</v>
      </c>
      <c r="J1849" s="122">
        <v>45729</v>
      </c>
      <c r="K1849" s="110" t="str">
        <f t="shared" si="25"/>
        <v>https://Estud2024.sawtoothsoftware.com/cgi-bin/ciwweb.pl?studyname=Estud2024&amp;ID=1849</v>
      </c>
      <c r="L1849" s="113">
        <v>45733</v>
      </c>
      <c r="M1849" s="45" t="s">
        <v>246</v>
      </c>
    </row>
    <row r="1850" spans="1:13">
      <c r="A1850">
        <v>1850</v>
      </c>
      <c r="B1850" t="s">
        <v>85</v>
      </c>
      <c r="D1850" t="s">
        <v>210</v>
      </c>
      <c r="F1850" t="s">
        <v>10609</v>
      </c>
      <c r="G1850">
        <v>3</v>
      </c>
      <c r="H1850" t="s">
        <v>10610</v>
      </c>
      <c r="I1850" s="45" t="s">
        <v>6754</v>
      </c>
      <c r="J1850" s="122">
        <v>45729</v>
      </c>
      <c r="K1850" s="110" t="str">
        <f t="shared" si="25"/>
        <v>https://Estud2024.sawtoothsoftware.com/cgi-bin/ciwweb.pl?studyname=Estud2024&amp;ID=1850</v>
      </c>
      <c r="L1850" s="113">
        <v>45733</v>
      </c>
      <c r="M1850" s="45" t="s">
        <v>247</v>
      </c>
    </row>
    <row r="1851" spans="1:13">
      <c r="A1851">
        <v>1851</v>
      </c>
      <c r="B1851" t="s">
        <v>85</v>
      </c>
      <c r="D1851" t="s">
        <v>210</v>
      </c>
      <c r="F1851" t="s">
        <v>10611</v>
      </c>
      <c r="G1851">
        <v>3</v>
      </c>
      <c r="H1851" t="s">
        <v>10612</v>
      </c>
      <c r="I1851" s="45" t="s">
        <v>6754</v>
      </c>
      <c r="J1851" s="122">
        <v>45729</v>
      </c>
      <c r="K1851" s="110" t="str">
        <f t="shared" si="25"/>
        <v>https://Estud2024.sawtoothsoftware.com/cgi-bin/ciwweb.pl?studyname=Estud2024&amp;ID=1851</v>
      </c>
      <c r="L1851" s="113">
        <v>45733</v>
      </c>
      <c r="M1851" s="45" t="s">
        <v>247</v>
      </c>
    </row>
    <row r="1852" spans="1:13">
      <c r="A1852">
        <v>1852</v>
      </c>
      <c r="B1852" t="s">
        <v>85</v>
      </c>
      <c r="D1852" t="s">
        <v>210</v>
      </c>
      <c r="F1852" t="s">
        <v>10613</v>
      </c>
      <c r="G1852">
        <v>3</v>
      </c>
      <c r="H1852" t="s">
        <v>10614</v>
      </c>
      <c r="I1852" s="45" t="s">
        <v>6754</v>
      </c>
      <c r="J1852" s="122">
        <v>45729</v>
      </c>
      <c r="K1852" s="110" t="str">
        <f t="shared" si="25"/>
        <v>https://Estud2024.sawtoothsoftware.com/cgi-bin/ciwweb.pl?studyname=Estud2024&amp;ID=1852</v>
      </c>
      <c r="L1852" s="113">
        <v>45733</v>
      </c>
      <c r="M1852" s="45" t="s">
        <v>246</v>
      </c>
    </row>
    <row r="1853" spans="1:13">
      <c r="A1853">
        <v>1853</v>
      </c>
      <c r="B1853" t="s">
        <v>85</v>
      </c>
      <c r="D1853" t="s">
        <v>210</v>
      </c>
      <c r="F1853" t="s">
        <v>10615</v>
      </c>
      <c r="G1853">
        <v>3</v>
      </c>
      <c r="H1853" t="s">
        <v>10616</v>
      </c>
      <c r="I1853" s="45" t="s">
        <v>6754</v>
      </c>
      <c r="J1853" s="122">
        <v>45729</v>
      </c>
      <c r="K1853" s="110" t="str">
        <f t="shared" si="25"/>
        <v>https://Estud2024.sawtoothsoftware.com/cgi-bin/ciwweb.pl?studyname=Estud2024&amp;ID=1853</v>
      </c>
      <c r="L1853" s="113">
        <v>45733</v>
      </c>
      <c r="M1853" s="45" t="s">
        <v>247</v>
      </c>
    </row>
    <row r="1854" spans="1:13">
      <c r="A1854">
        <v>1854</v>
      </c>
      <c r="B1854" t="s">
        <v>85</v>
      </c>
      <c r="D1854" t="s">
        <v>210</v>
      </c>
      <c r="F1854" t="s">
        <v>10617</v>
      </c>
      <c r="G1854">
        <v>3</v>
      </c>
      <c r="H1854" t="s">
        <v>10618</v>
      </c>
      <c r="I1854" s="45" t="s">
        <v>6754</v>
      </c>
      <c r="J1854" s="122">
        <v>45729</v>
      </c>
      <c r="K1854" s="110" t="str">
        <f t="shared" si="25"/>
        <v>https://Estud2024.sawtoothsoftware.com/cgi-bin/ciwweb.pl?studyname=Estud2024&amp;ID=1854</v>
      </c>
      <c r="L1854" s="113">
        <v>45733</v>
      </c>
      <c r="M1854" s="45" t="s">
        <v>247</v>
      </c>
    </row>
    <row r="1855" spans="1:13">
      <c r="A1855">
        <v>1855</v>
      </c>
      <c r="B1855" t="s">
        <v>85</v>
      </c>
      <c r="D1855" t="s">
        <v>208</v>
      </c>
      <c r="F1855" t="s">
        <v>10619</v>
      </c>
      <c r="G1855">
        <v>3</v>
      </c>
      <c r="H1855" t="s">
        <v>10620</v>
      </c>
      <c r="I1855" s="45" t="s">
        <v>6754</v>
      </c>
      <c r="J1855" s="122">
        <v>45729</v>
      </c>
      <c r="K1855" s="110" t="str">
        <f t="shared" si="25"/>
        <v>https://Estud2024.sawtoothsoftware.com/cgi-bin/ciwweb.pl?studyname=Estud2024&amp;ID=1855</v>
      </c>
      <c r="L1855" s="113">
        <v>45733</v>
      </c>
      <c r="M1855" s="45" t="s">
        <v>247</v>
      </c>
    </row>
    <row r="1856" spans="1:13">
      <c r="A1856">
        <v>1856</v>
      </c>
      <c r="B1856" t="s">
        <v>85</v>
      </c>
      <c r="D1856" t="s">
        <v>208</v>
      </c>
      <c r="F1856" t="s">
        <v>10621</v>
      </c>
      <c r="G1856">
        <v>3</v>
      </c>
      <c r="H1856" t="s">
        <v>10622</v>
      </c>
      <c r="I1856" s="45" t="s">
        <v>6754</v>
      </c>
      <c r="J1856" s="122">
        <v>45729</v>
      </c>
      <c r="K1856" s="110" t="str">
        <f t="shared" si="25"/>
        <v>https://Estud2024.sawtoothsoftware.com/cgi-bin/ciwweb.pl?studyname=Estud2024&amp;ID=1856</v>
      </c>
      <c r="L1856" s="113">
        <v>45733</v>
      </c>
      <c r="M1856" s="45" t="s">
        <v>247</v>
      </c>
    </row>
    <row r="1857" spans="1:13">
      <c r="A1857">
        <v>1857</v>
      </c>
      <c r="B1857" t="s">
        <v>85</v>
      </c>
      <c r="D1857" t="s">
        <v>208</v>
      </c>
      <c r="F1857" t="s">
        <v>10623</v>
      </c>
      <c r="G1857">
        <v>3</v>
      </c>
      <c r="H1857" t="s">
        <v>10624</v>
      </c>
      <c r="I1857" s="45" t="s">
        <v>6754</v>
      </c>
      <c r="J1857" s="122">
        <v>45729</v>
      </c>
      <c r="K1857" s="110" t="str">
        <f t="shared" si="25"/>
        <v>https://Estud2024.sawtoothsoftware.com/cgi-bin/ciwweb.pl?studyname=Estud2024&amp;ID=1857</v>
      </c>
      <c r="L1857" s="113">
        <v>45733</v>
      </c>
      <c r="M1857" s="45" t="s">
        <v>247</v>
      </c>
    </row>
    <row r="1858" spans="1:13">
      <c r="A1858">
        <v>1858</v>
      </c>
      <c r="B1858" t="s">
        <v>85</v>
      </c>
      <c r="D1858" t="s">
        <v>208</v>
      </c>
      <c r="F1858" t="s">
        <v>10625</v>
      </c>
      <c r="G1858">
        <v>3</v>
      </c>
      <c r="H1858" t="s">
        <v>10626</v>
      </c>
      <c r="I1858" s="45" t="s">
        <v>6754</v>
      </c>
      <c r="J1858" s="122">
        <v>45729</v>
      </c>
      <c r="K1858" s="110" t="str">
        <f t="shared" si="25"/>
        <v>https://Estud2024.sawtoothsoftware.com/cgi-bin/ciwweb.pl?studyname=Estud2024&amp;ID=1858</v>
      </c>
      <c r="L1858" s="113">
        <v>45733</v>
      </c>
      <c r="M1858" s="45" t="s">
        <v>247</v>
      </c>
    </row>
    <row r="1859" spans="1:13">
      <c r="A1859">
        <v>1859</v>
      </c>
      <c r="B1859" t="s">
        <v>85</v>
      </c>
      <c r="D1859" t="s">
        <v>208</v>
      </c>
      <c r="F1859" t="s">
        <v>10627</v>
      </c>
      <c r="G1859">
        <v>3</v>
      </c>
      <c r="H1859" t="s">
        <v>10628</v>
      </c>
      <c r="I1859" s="45" t="s">
        <v>6754</v>
      </c>
      <c r="J1859" s="122">
        <v>45729</v>
      </c>
      <c r="K1859" s="110" t="str">
        <f t="shared" si="25"/>
        <v>https://Estud2024.sawtoothsoftware.com/cgi-bin/ciwweb.pl?studyname=Estud2024&amp;ID=1859</v>
      </c>
      <c r="L1859" s="113">
        <v>45733</v>
      </c>
      <c r="M1859" s="45" t="s">
        <v>247</v>
      </c>
    </row>
    <row r="1860" spans="1:13">
      <c r="A1860">
        <v>1860</v>
      </c>
      <c r="B1860" t="s">
        <v>85</v>
      </c>
      <c r="D1860" t="s">
        <v>208</v>
      </c>
      <c r="F1860" t="s">
        <v>10629</v>
      </c>
      <c r="G1860">
        <v>3</v>
      </c>
      <c r="H1860" t="s">
        <v>10630</v>
      </c>
      <c r="I1860" s="45" t="s">
        <v>6754</v>
      </c>
      <c r="J1860" s="122">
        <v>45729</v>
      </c>
      <c r="K1860" s="110" t="str">
        <f t="shared" si="25"/>
        <v>https://Estud2024.sawtoothsoftware.com/cgi-bin/ciwweb.pl?studyname=Estud2024&amp;ID=1860</v>
      </c>
      <c r="L1860" s="113">
        <v>45733</v>
      </c>
      <c r="M1860" s="45" t="s">
        <v>247</v>
      </c>
    </row>
    <row r="1861" spans="1:13">
      <c r="A1861">
        <v>1861</v>
      </c>
      <c r="B1861" t="s">
        <v>85</v>
      </c>
      <c r="D1861" t="s">
        <v>208</v>
      </c>
      <c r="F1861" t="s">
        <v>10631</v>
      </c>
      <c r="G1861">
        <v>3</v>
      </c>
      <c r="H1861" t="s">
        <v>10632</v>
      </c>
      <c r="I1861" s="45" t="s">
        <v>6754</v>
      </c>
      <c r="J1861" s="122">
        <v>45729</v>
      </c>
      <c r="K1861" s="110" t="str">
        <f t="shared" si="25"/>
        <v>https://Estud2024.sawtoothsoftware.com/cgi-bin/ciwweb.pl?studyname=Estud2024&amp;ID=1861</v>
      </c>
      <c r="L1861" s="113">
        <v>45733</v>
      </c>
      <c r="M1861" s="45" t="s">
        <v>247</v>
      </c>
    </row>
    <row r="1862" spans="1:13">
      <c r="A1862">
        <v>1862</v>
      </c>
      <c r="B1862" t="s">
        <v>85</v>
      </c>
      <c r="D1862" t="s">
        <v>208</v>
      </c>
      <c r="F1862" t="s">
        <v>10633</v>
      </c>
      <c r="G1862">
        <v>3</v>
      </c>
      <c r="H1862" t="s">
        <v>10634</v>
      </c>
      <c r="I1862" s="45" t="s">
        <v>6754</v>
      </c>
      <c r="J1862" s="122">
        <v>45729</v>
      </c>
      <c r="K1862" s="110" t="str">
        <f t="shared" si="25"/>
        <v>https://Estud2024.sawtoothsoftware.com/cgi-bin/ciwweb.pl?studyname=Estud2024&amp;ID=1862</v>
      </c>
      <c r="L1862" s="113">
        <v>45733</v>
      </c>
      <c r="M1862" s="45" t="s">
        <v>247</v>
      </c>
    </row>
    <row r="1863" spans="1:13">
      <c r="A1863">
        <v>1863</v>
      </c>
      <c r="B1863" t="s">
        <v>85</v>
      </c>
      <c r="D1863" t="s">
        <v>208</v>
      </c>
      <c r="F1863" t="s">
        <v>10635</v>
      </c>
      <c r="G1863">
        <v>3</v>
      </c>
      <c r="H1863" t="s">
        <v>10636</v>
      </c>
      <c r="I1863" s="45" t="s">
        <v>6754</v>
      </c>
      <c r="J1863" s="122">
        <v>45729</v>
      </c>
      <c r="K1863" s="110" t="str">
        <f t="shared" si="25"/>
        <v>https://Estud2024.sawtoothsoftware.com/cgi-bin/ciwweb.pl?studyname=Estud2024&amp;ID=1863</v>
      </c>
      <c r="L1863" s="113">
        <v>45733</v>
      </c>
      <c r="M1863" s="45" t="s">
        <v>247</v>
      </c>
    </row>
    <row r="1864" spans="1:13">
      <c r="A1864">
        <v>1864</v>
      </c>
      <c r="B1864" t="s">
        <v>85</v>
      </c>
      <c r="D1864" t="s">
        <v>208</v>
      </c>
      <c r="F1864" t="s">
        <v>10637</v>
      </c>
      <c r="G1864">
        <v>3</v>
      </c>
      <c r="H1864" t="s">
        <v>10638</v>
      </c>
      <c r="I1864" s="45" t="s">
        <v>6754</v>
      </c>
      <c r="J1864" s="122">
        <v>45729</v>
      </c>
      <c r="K1864" s="110" t="str">
        <f t="shared" si="25"/>
        <v>https://Estud2024.sawtoothsoftware.com/cgi-bin/ciwweb.pl?studyname=Estud2024&amp;ID=1864</v>
      </c>
      <c r="L1864" s="113">
        <v>45733</v>
      </c>
      <c r="M1864" s="45" t="s">
        <v>247</v>
      </c>
    </row>
    <row r="1865" spans="1:13">
      <c r="A1865">
        <v>1865</v>
      </c>
      <c r="B1865" t="s">
        <v>85</v>
      </c>
      <c r="D1865" t="s">
        <v>208</v>
      </c>
      <c r="F1865" t="s">
        <v>10639</v>
      </c>
      <c r="G1865">
        <v>3</v>
      </c>
      <c r="H1865" t="s">
        <v>10640</v>
      </c>
      <c r="I1865" s="45" t="s">
        <v>6754</v>
      </c>
      <c r="J1865" s="122">
        <v>45729</v>
      </c>
      <c r="K1865" s="110" t="str">
        <f t="shared" si="25"/>
        <v>https://Estud2024.sawtoothsoftware.com/cgi-bin/ciwweb.pl?studyname=Estud2024&amp;ID=1865</v>
      </c>
      <c r="L1865" s="113">
        <v>45733</v>
      </c>
      <c r="M1865" s="45" t="s">
        <v>247</v>
      </c>
    </row>
    <row r="1866" spans="1:13">
      <c r="A1866">
        <v>1866</v>
      </c>
      <c r="B1866" t="s">
        <v>85</v>
      </c>
      <c r="D1866" t="s">
        <v>208</v>
      </c>
      <c r="F1866" t="s">
        <v>10641</v>
      </c>
      <c r="G1866">
        <v>3</v>
      </c>
      <c r="H1866" t="s">
        <v>10642</v>
      </c>
      <c r="I1866" s="45" t="s">
        <v>6754</v>
      </c>
      <c r="J1866" s="122">
        <v>45729</v>
      </c>
      <c r="K1866" s="110" t="str">
        <f t="shared" si="25"/>
        <v>https://Estud2024.sawtoothsoftware.com/cgi-bin/ciwweb.pl?studyname=Estud2024&amp;ID=1866</v>
      </c>
      <c r="L1866" s="113">
        <v>45733</v>
      </c>
      <c r="M1866" s="45" t="s">
        <v>247</v>
      </c>
    </row>
    <row r="1867" spans="1:13">
      <c r="A1867">
        <v>1867</v>
      </c>
      <c r="B1867" t="s">
        <v>85</v>
      </c>
      <c r="D1867" t="s">
        <v>208</v>
      </c>
      <c r="F1867" t="s">
        <v>10643</v>
      </c>
      <c r="G1867">
        <v>3</v>
      </c>
      <c r="H1867" t="s">
        <v>10644</v>
      </c>
      <c r="I1867" s="45" t="s">
        <v>6754</v>
      </c>
      <c r="J1867" s="122">
        <v>45729</v>
      </c>
      <c r="K1867" s="110" t="str">
        <f t="shared" si="25"/>
        <v>https://Estud2024.sawtoothsoftware.com/cgi-bin/ciwweb.pl?studyname=Estud2024&amp;ID=1867</v>
      </c>
      <c r="L1867" s="113">
        <v>45733</v>
      </c>
      <c r="M1867" s="45" t="s">
        <v>247</v>
      </c>
    </row>
    <row r="1868" spans="1:13">
      <c r="A1868">
        <v>1868</v>
      </c>
      <c r="B1868" t="s">
        <v>85</v>
      </c>
      <c r="D1868" t="s">
        <v>208</v>
      </c>
      <c r="F1868" t="s">
        <v>10645</v>
      </c>
      <c r="G1868">
        <v>3</v>
      </c>
      <c r="H1868" t="s">
        <v>10646</v>
      </c>
      <c r="I1868" s="45" t="s">
        <v>6754</v>
      </c>
      <c r="J1868" s="122">
        <v>45729</v>
      </c>
      <c r="K1868" s="110" t="str">
        <f t="shared" si="25"/>
        <v>https://Estud2024.sawtoothsoftware.com/cgi-bin/ciwweb.pl?studyname=Estud2024&amp;ID=1868</v>
      </c>
      <c r="L1868" s="113">
        <v>45733</v>
      </c>
      <c r="M1868" s="45" t="s">
        <v>247</v>
      </c>
    </row>
    <row r="1869" spans="1:13">
      <c r="A1869">
        <v>1869</v>
      </c>
      <c r="B1869" t="s">
        <v>85</v>
      </c>
      <c r="D1869" t="s">
        <v>208</v>
      </c>
      <c r="F1869" t="s">
        <v>10647</v>
      </c>
      <c r="G1869">
        <v>3</v>
      </c>
      <c r="H1869" t="s">
        <v>10648</v>
      </c>
      <c r="I1869" s="45" t="s">
        <v>6754</v>
      </c>
      <c r="J1869" s="122">
        <v>45729</v>
      </c>
      <c r="K1869" s="110" t="str">
        <f t="shared" si="25"/>
        <v>https://Estud2024.sawtoothsoftware.com/cgi-bin/ciwweb.pl?studyname=Estud2024&amp;ID=1869</v>
      </c>
      <c r="L1869" s="113">
        <v>45733</v>
      </c>
      <c r="M1869" s="45" t="s">
        <v>247</v>
      </c>
    </row>
    <row r="1870" spans="1:13">
      <c r="A1870">
        <v>1870</v>
      </c>
      <c r="B1870" t="s">
        <v>85</v>
      </c>
      <c r="D1870" t="s">
        <v>208</v>
      </c>
      <c r="F1870" t="s">
        <v>10649</v>
      </c>
      <c r="G1870">
        <v>3</v>
      </c>
      <c r="H1870" t="s">
        <v>10650</v>
      </c>
      <c r="I1870" s="45" t="s">
        <v>6754</v>
      </c>
      <c r="J1870" s="122">
        <v>45729</v>
      </c>
      <c r="K1870" s="110" t="str">
        <f t="shared" si="25"/>
        <v>https://Estud2024.sawtoothsoftware.com/cgi-bin/ciwweb.pl?studyname=Estud2024&amp;ID=1870</v>
      </c>
      <c r="L1870" s="113">
        <v>45733</v>
      </c>
      <c r="M1870" s="45" t="s">
        <v>247</v>
      </c>
    </row>
    <row r="1871" spans="1:13">
      <c r="A1871">
        <v>1871</v>
      </c>
      <c r="B1871" t="s">
        <v>85</v>
      </c>
      <c r="D1871" t="s">
        <v>208</v>
      </c>
      <c r="F1871" t="s">
        <v>10651</v>
      </c>
      <c r="G1871">
        <v>3</v>
      </c>
      <c r="H1871" t="s">
        <v>10652</v>
      </c>
      <c r="I1871" s="45" t="s">
        <v>6754</v>
      </c>
      <c r="J1871" s="122">
        <v>45729</v>
      </c>
      <c r="K1871" s="110" t="str">
        <f t="shared" si="25"/>
        <v>https://Estud2024.sawtoothsoftware.com/cgi-bin/ciwweb.pl?studyname=Estud2024&amp;ID=1871</v>
      </c>
      <c r="L1871" s="113">
        <v>45733</v>
      </c>
      <c r="M1871" s="45" t="s">
        <v>247</v>
      </c>
    </row>
    <row r="1872" spans="1:13">
      <c r="A1872">
        <v>1872</v>
      </c>
      <c r="B1872" t="s">
        <v>85</v>
      </c>
      <c r="D1872" t="s">
        <v>208</v>
      </c>
      <c r="F1872" t="s">
        <v>10653</v>
      </c>
      <c r="G1872">
        <v>3</v>
      </c>
      <c r="H1872" t="s">
        <v>10654</v>
      </c>
      <c r="I1872" s="45" t="s">
        <v>6754</v>
      </c>
      <c r="J1872" s="122">
        <v>45729</v>
      </c>
      <c r="K1872" s="110" t="str">
        <f t="shared" si="25"/>
        <v>https://Estud2024.sawtoothsoftware.com/cgi-bin/ciwweb.pl?studyname=Estud2024&amp;ID=1872</v>
      </c>
      <c r="L1872" s="113">
        <v>45733</v>
      </c>
      <c r="M1872" s="45" t="s">
        <v>247</v>
      </c>
    </row>
    <row r="1873" spans="1:13">
      <c r="A1873">
        <v>1873</v>
      </c>
      <c r="B1873" t="s">
        <v>85</v>
      </c>
      <c r="D1873" t="s">
        <v>208</v>
      </c>
      <c r="F1873" t="s">
        <v>10655</v>
      </c>
      <c r="G1873">
        <v>3</v>
      </c>
      <c r="H1873" t="s">
        <v>10656</v>
      </c>
      <c r="I1873" s="45" t="s">
        <v>6754</v>
      </c>
      <c r="J1873" s="122">
        <v>45729</v>
      </c>
      <c r="K1873" s="110" t="str">
        <f t="shared" si="25"/>
        <v>https://Estud2024.sawtoothsoftware.com/cgi-bin/ciwweb.pl?studyname=Estud2024&amp;ID=1873</v>
      </c>
      <c r="L1873" s="113">
        <v>45733</v>
      </c>
      <c r="M1873" s="45" t="s">
        <v>247</v>
      </c>
    </row>
    <row r="1874" spans="1:13">
      <c r="A1874">
        <v>1874</v>
      </c>
      <c r="B1874" t="s">
        <v>85</v>
      </c>
      <c r="D1874" t="s">
        <v>208</v>
      </c>
      <c r="F1874" t="s">
        <v>10657</v>
      </c>
      <c r="G1874">
        <v>3</v>
      </c>
      <c r="H1874" t="s">
        <v>10658</v>
      </c>
      <c r="I1874" s="45" t="s">
        <v>6754</v>
      </c>
      <c r="J1874" s="122">
        <v>45729</v>
      </c>
      <c r="K1874" s="110" t="str">
        <f t="shared" si="25"/>
        <v>https://Estud2024.sawtoothsoftware.com/cgi-bin/ciwweb.pl?studyname=Estud2024&amp;ID=1874</v>
      </c>
      <c r="L1874" s="113">
        <v>45733</v>
      </c>
      <c r="M1874" s="45" t="s">
        <v>247</v>
      </c>
    </row>
    <row r="1875" spans="1:13">
      <c r="A1875">
        <v>1875</v>
      </c>
      <c r="B1875" t="s">
        <v>85</v>
      </c>
      <c r="D1875" t="s">
        <v>208</v>
      </c>
      <c r="F1875" t="s">
        <v>10659</v>
      </c>
      <c r="G1875">
        <v>3</v>
      </c>
      <c r="H1875" t="s">
        <v>10660</v>
      </c>
      <c r="I1875" s="45" t="s">
        <v>6754</v>
      </c>
      <c r="J1875" s="122">
        <v>45729</v>
      </c>
      <c r="K1875" s="110" t="str">
        <f t="shared" si="25"/>
        <v>https://Estud2024.sawtoothsoftware.com/cgi-bin/ciwweb.pl?studyname=Estud2024&amp;ID=1875</v>
      </c>
      <c r="L1875" s="113">
        <v>45733</v>
      </c>
      <c r="M1875" s="45" t="s">
        <v>247</v>
      </c>
    </row>
    <row r="1876" spans="1:13">
      <c r="A1876">
        <v>1876</v>
      </c>
      <c r="B1876" t="s">
        <v>85</v>
      </c>
      <c r="D1876" t="s">
        <v>208</v>
      </c>
      <c r="F1876" t="s">
        <v>10661</v>
      </c>
      <c r="G1876">
        <v>3</v>
      </c>
      <c r="H1876" t="s">
        <v>10662</v>
      </c>
      <c r="I1876" s="45" t="s">
        <v>6754</v>
      </c>
      <c r="J1876" s="122">
        <v>45729</v>
      </c>
      <c r="K1876" s="110" t="str">
        <f t="shared" si="25"/>
        <v>https://Estud2024.sawtoothsoftware.com/cgi-bin/ciwweb.pl?studyname=Estud2024&amp;ID=1876</v>
      </c>
      <c r="L1876" s="113">
        <v>45733</v>
      </c>
      <c r="M1876" s="45" t="s">
        <v>247</v>
      </c>
    </row>
    <row r="1877" spans="1:13">
      <c r="A1877">
        <v>1877</v>
      </c>
      <c r="B1877" t="s">
        <v>85</v>
      </c>
      <c r="D1877" t="s">
        <v>208</v>
      </c>
      <c r="F1877" t="s">
        <v>10663</v>
      </c>
      <c r="G1877">
        <v>3</v>
      </c>
      <c r="H1877" t="s">
        <v>10664</v>
      </c>
      <c r="I1877" s="45" t="s">
        <v>6754</v>
      </c>
      <c r="J1877" s="122">
        <v>45729</v>
      </c>
      <c r="K1877" s="110" t="str">
        <f t="shared" si="25"/>
        <v>https://Estud2024.sawtoothsoftware.com/cgi-bin/ciwweb.pl?studyname=Estud2024&amp;ID=1877</v>
      </c>
      <c r="L1877" s="113">
        <v>45733</v>
      </c>
      <c r="M1877" s="45" t="s">
        <v>247</v>
      </c>
    </row>
    <row r="1878" spans="1:13">
      <c r="A1878">
        <v>1878</v>
      </c>
      <c r="B1878" t="s">
        <v>85</v>
      </c>
      <c r="D1878" t="s">
        <v>208</v>
      </c>
      <c r="F1878" t="s">
        <v>10665</v>
      </c>
      <c r="G1878">
        <v>3</v>
      </c>
      <c r="H1878" t="s">
        <v>10666</v>
      </c>
      <c r="I1878" s="45" t="s">
        <v>6754</v>
      </c>
      <c r="J1878" s="122">
        <v>45729</v>
      </c>
      <c r="K1878" s="110" t="str">
        <f t="shared" ref="K1878:K1941" si="26">CONCATENATE("https://Estud2024.sawtoothsoftware.com/cgi-bin/ciwweb.pl?studyname=Estud2024&amp;ID=",A1878)</f>
        <v>https://Estud2024.sawtoothsoftware.com/cgi-bin/ciwweb.pl?studyname=Estud2024&amp;ID=1878</v>
      </c>
      <c r="L1878" s="113">
        <v>45733</v>
      </c>
      <c r="M1878" s="45" t="s">
        <v>247</v>
      </c>
    </row>
    <row r="1879" spans="1:13">
      <c r="A1879">
        <v>1879</v>
      </c>
      <c r="B1879" t="s">
        <v>85</v>
      </c>
      <c r="D1879" t="s">
        <v>208</v>
      </c>
      <c r="F1879" t="s">
        <v>10667</v>
      </c>
      <c r="G1879">
        <v>3</v>
      </c>
      <c r="H1879" t="s">
        <v>10668</v>
      </c>
      <c r="I1879" s="45" t="s">
        <v>6754</v>
      </c>
      <c r="J1879" s="122">
        <v>45729</v>
      </c>
      <c r="K1879" s="110" t="str">
        <f t="shared" si="26"/>
        <v>https://Estud2024.sawtoothsoftware.com/cgi-bin/ciwweb.pl?studyname=Estud2024&amp;ID=1879</v>
      </c>
      <c r="L1879" s="113">
        <v>45733</v>
      </c>
      <c r="M1879" s="45" t="s">
        <v>247</v>
      </c>
    </row>
    <row r="1880" spans="1:13">
      <c r="A1880">
        <v>1880</v>
      </c>
      <c r="B1880" t="s">
        <v>85</v>
      </c>
      <c r="D1880" t="s">
        <v>208</v>
      </c>
      <c r="F1880" t="s">
        <v>10669</v>
      </c>
      <c r="G1880">
        <v>3</v>
      </c>
      <c r="H1880" t="s">
        <v>10670</v>
      </c>
      <c r="I1880" s="45" t="s">
        <v>6754</v>
      </c>
      <c r="J1880" s="122">
        <v>45729</v>
      </c>
      <c r="K1880" s="110" t="str">
        <f t="shared" si="26"/>
        <v>https://Estud2024.sawtoothsoftware.com/cgi-bin/ciwweb.pl?studyname=Estud2024&amp;ID=1880</v>
      </c>
      <c r="L1880" s="113">
        <v>45733</v>
      </c>
      <c r="M1880" s="45" t="s">
        <v>247</v>
      </c>
    </row>
    <row r="1881" spans="1:13">
      <c r="A1881">
        <v>1881</v>
      </c>
      <c r="B1881" t="s">
        <v>85</v>
      </c>
      <c r="D1881" t="s">
        <v>208</v>
      </c>
      <c r="F1881" t="s">
        <v>10671</v>
      </c>
      <c r="G1881">
        <v>3</v>
      </c>
      <c r="H1881" t="s">
        <v>10672</v>
      </c>
      <c r="I1881" s="45" t="s">
        <v>6754</v>
      </c>
      <c r="J1881" s="122">
        <v>45729</v>
      </c>
      <c r="K1881" s="110" t="str">
        <f t="shared" si="26"/>
        <v>https://Estud2024.sawtoothsoftware.com/cgi-bin/ciwweb.pl?studyname=Estud2024&amp;ID=1881</v>
      </c>
      <c r="L1881" s="113">
        <v>45733</v>
      </c>
      <c r="M1881" s="45" t="s">
        <v>246</v>
      </c>
    </row>
    <row r="1882" spans="1:13">
      <c r="A1882">
        <v>1882</v>
      </c>
      <c r="B1882" t="s">
        <v>85</v>
      </c>
      <c r="D1882" t="s">
        <v>208</v>
      </c>
      <c r="F1882" t="s">
        <v>10673</v>
      </c>
      <c r="G1882">
        <v>3</v>
      </c>
      <c r="H1882" t="s">
        <v>10674</v>
      </c>
      <c r="I1882" s="45" t="s">
        <v>6754</v>
      </c>
      <c r="J1882" s="122">
        <v>45729</v>
      </c>
      <c r="K1882" s="110" t="str">
        <f t="shared" si="26"/>
        <v>https://Estud2024.sawtoothsoftware.com/cgi-bin/ciwweb.pl?studyname=Estud2024&amp;ID=1882</v>
      </c>
      <c r="L1882" s="113">
        <v>45733</v>
      </c>
      <c r="M1882" s="45" t="s">
        <v>247</v>
      </c>
    </row>
    <row r="1883" spans="1:13">
      <c r="A1883">
        <v>1883</v>
      </c>
      <c r="B1883" t="s">
        <v>85</v>
      </c>
      <c r="D1883" t="s">
        <v>208</v>
      </c>
      <c r="F1883" t="s">
        <v>10675</v>
      </c>
      <c r="G1883">
        <v>3</v>
      </c>
      <c r="H1883" t="s">
        <v>10676</v>
      </c>
      <c r="I1883" s="45" t="s">
        <v>6754</v>
      </c>
      <c r="J1883" s="122">
        <v>45729</v>
      </c>
      <c r="K1883" s="110" t="str">
        <f t="shared" si="26"/>
        <v>https://Estud2024.sawtoothsoftware.com/cgi-bin/ciwweb.pl?studyname=Estud2024&amp;ID=1883</v>
      </c>
      <c r="L1883" s="113">
        <v>45733</v>
      </c>
      <c r="M1883" s="45" t="s">
        <v>247</v>
      </c>
    </row>
    <row r="1884" spans="1:13">
      <c r="A1884">
        <v>1884</v>
      </c>
      <c r="B1884" t="s">
        <v>85</v>
      </c>
      <c r="D1884" t="s">
        <v>208</v>
      </c>
      <c r="F1884" t="s">
        <v>10677</v>
      </c>
      <c r="G1884">
        <v>3</v>
      </c>
      <c r="H1884" t="s">
        <v>10678</v>
      </c>
      <c r="I1884" s="45" t="s">
        <v>6754</v>
      </c>
      <c r="J1884" s="122">
        <v>45729</v>
      </c>
      <c r="K1884" s="110" t="str">
        <f t="shared" si="26"/>
        <v>https://Estud2024.sawtoothsoftware.com/cgi-bin/ciwweb.pl?studyname=Estud2024&amp;ID=1884</v>
      </c>
      <c r="L1884" s="113">
        <v>45733</v>
      </c>
      <c r="M1884" s="45" t="s">
        <v>247</v>
      </c>
    </row>
    <row r="1885" spans="1:13">
      <c r="A1885">
        <v>1885</v>
      </c>
      <c r="B1885" t="s">
        <v>85</v>
      </c>
      <c r="D1885" t="s">
        <v>208</v>
      </c>
      <c r="F1885" t="s">
        <v>10679</v>
      </c>
      <c r="G1885">
        <v>3</v>
      </c>
      <c r="H1885" t="s">
        <v>10680</v>
      </c>
      <c r="I1885" s="45" t="s">
        <v>6754</v>
      </c>
      <c r="J1885" s="122">
        <v>45729</v>
      </c>
      <c r="K1885" s="110" t="str">
        <f t="shared" si="26"/>
        <v>https://Estud2024.sawtoothsoftware.com/cgi-bin/ciwweb.pl?studyname=Estud2024&amp;ID=1885</v>
      </c>
      <c r="L1885" s="113">
        <v>45733</v>
      </c>
      <c r="M1885" s="45" t="s">
        <v>247</v>
      </c>
    </row>
    <row r="1886" spans="1:13">
      <c r="A1886">
        <v>1886</v>
      </c>
      <c r="B1886" t="s">
        <v>85</v>
      </c>
      <c r="D1886" t="s">
        <v>208</v>
      </c>
      <c r="F1886" t="s">
        <v>10681</v>
      </c>
      <c r="G1886">
        <v>3</v>
      </c>
      <c r="H1886" t="s">
        <v>10682</v>
      </c>
      <c r="I1886" s="45" t="s">
        <v>6754</v>
      </c>
      <c r="J1886" s="122">
        <v>45729</v>
      </c>
      <c r="K1886" s="110" t="str">
        <f t="shared" si="26"/>
        <v>https://Estud2024.sawtoothsoftware.com/cgi-bin/ciwweb.pl?studyname=Estud2024&amp;ID=1886</v>
      </c>
      <c r="L1886" s="113">
        <v>45733</v>
      </c>
      <c r="M1886" s="45" t="s">
        <v>247</v>
      </c>
    </row>
    <row r="1887" spans="1:13">
      <c r="A1887">
        <v>1887</v>
      </c>
      <c r="B1887" t="s">
        <v>85</v>
      </c>
      <c r="D1887" t="s">
        <v>208</v>
      </c>
      <c r="F1887" t="s">
        <v>10683</v>
      </c>
      <c r="G1887">
        <v>3</v>
      </c>
      <c r="H1887" t="s">
        <v>10684</v>
      </c>
      <c r="I1887" s="45" t="s">
        <v>6754</v>
      </c>
      <c r="J1887" s="122">
        <v>45729</v>
      </c>
      <c r="K1887" s="110" t="str">
        <f t="shared" si="26"/>
        <v>https://Estud2024.sawtoothsoftware.com/cgi-bin/ciwweb.pl?studyname=Estud2024&amp;ID=1887</v>
      </c>
      <c r="L1887" s="113">
        <v>45733</v>
      </c>
      <c r="M1887" s="45" t="s">
        <v>247</v>
      </c>
    </row>
    <row r="1888" spans="1:13">
      <c r="A1888">
        <v>1888</v>
      </c>
      <c r="B1888" t="s">
        <v>85</v>
      </c>
      <c r="D1888" t="s">
        <v>208</v>
      </c>
      <c r="F1888" t="s">
        <v>10685</v>
      </c>
      <c r="G1888">
        <v>3</v>
      </c>
      <c r="H1888" t="s">
        <v>10686</v>
      </c>
      <c r="I1888" s="45" t="s">
        <v>6754</v>
      </c>
      <c r="J1888" s="122">
        <v>45729</v>
      </c>
      <c r="K1888" s="110" t="str">
        <f t="shared" si="26"/>
        <v>https://Estud2024.sawtoothsoftware.com/cgi-bin/ciwweb.pl?studyname=Estud2024&amp;ID=1888</v>
      </c>
      <c r="L1888" s="113">
        <v>45733</v>
      </c>
      <c r="M1888" s="45" t="s">
        <v>247</v>
      </c>
    </row>
    <row r="1889" spans="1:13">
      <c r="A1889">
        <v>1889</v>
      </c>
      <c r="B1889" t="s">
        <v>85</v>
      </c>
      <c r="D1889" t="s">
        <v>208</v>
      </c>
      <c r="F1889" t="s">
        <v>10687</v>
      </c>
      <c r="G1889">
        <v>3</v>
      </c>
      <c r="H1889" t="s">
        <v>10688</v>
      </c>
      <c r="I1889" s="45" t="s">
        <v>6754</v>
      </c>
      <c r="J1889" s="122">
        <v>45729</v>
      </c>
      <c r="K1889" s="110" t="str">
        <f t="shared" si="26"/>
        <v>https://Estud2024.sawtoothsoftware.com/cgi-bin/ciwweb.pl?studyname=Estud2024&amp;ID=1889</v>
      </c>
      <c r="L1889" s="113">
        <v>45733</v>
      </c>
      <c r="M1889" s="45" t="s">
        <v>247</v>
      </c>
    </row>
    <row r="1890" spans="1:13">
      <c r="A1890">
        <v>1890</v>
      </c>
      <c r="B1890" t="s">
        <v>85</v>
      </c>
      <c r="D1890" t="s">
        <v>208</v>
      </c>
      <c r="F1890" t="s">
        <v>10689</v>
      </c>
      <c r="G1890">
        <v>3</v>
      </c>
      <c r="H1890" t="s">
        <v>10690</v>
      </c>
      <c r="I1890" s="45" t="s">
        <v>6754</v>
      </c>
      <c r="J1890" s="122">
        <v>45729</v>
      </c>
      <c r="K1890" s="110" t="str">
        <f t="shared" si="26"/>
        <v>https://Estud2024.sawtoothsoftware.com/cgi-bin/ciwweb.pl?studyname=Estud2024&amp;ID=1890</v>
      </c>
      <c r="L1890" s="113">
        <v>45733</v>
      </c>
      <c r="M1890" s="45" t="s">
        <v>247</v>
      </c>
    </row>
    <row r="1891" spans="1:13">
      <c r="A1891">
        <v>1891</v>
      </c>
      <c r="B1891" t="s">
        <v>85</v>
      </c>
      <c r="D1891" t="s">
        <v>208</v>
      </c>
      <c r="F1891" t="s">
        <v>10691</v>
      </c>
      <c r="G1891">
        <v>3</v>
      </c>
      <c r="H1891" t="s">
        <v>10692</v>
      </c>
      <c r="I1891" s="45" t="s">
        <v>6754</v>
      </c>
      <c r="J1891" s="122">
        <v>45729</v>
      </c>
      <c r="K1891" s="110" t="str">
        <f t="shared" si="26"/>
        <v>https://Estud2024.sawtoothsoftware.com/cgi-bin/ciwweb.pl?studyname=Estud2024&amp;ID=1891</v>
      </c>
      <c r="L1891" s="113">
        <v>45733</v>
      </c>
      <c r="M1891" s="45" t="s">
        <v>247</v>
      </c>
    </row>
    <row r="1892" spans="1:13">
      <c r="A1892">
        <v>1892</v>
      </c>
      <c r="B1892" t="s">
        <v>85</v>
      </c>
      <c r="D1892" t="s">
        <v>208</v>
      </c>
      <c r="F1892" t="s">
        <v>10693</v>
      </c>
      <c r="G1892">
        <v>3</v>
      </c>
      <c r="H1892" t="s">
        <v>10694</v>
      </c>
      <c r="I1892" s="45" t="s">
        <v>6754</v>
      </c>
      <c r="J1892" s="122">
        <v>45729</v>
      </c>
      <c r="K1892" s="110" t="str">
        <f t="shared" si="26"/>
        <v>https://Estud2024.sawtoothsoftware.com/cgi-bin/ciwweb.pl?studyname=Estud2024&amp;ID=1892</v>
      </c>
      <c r="L1892" s="113">
        <v>45733</v>
      </c>
      <c r="M1892" s="45" t="s">
        <v>247</v>
      </c>
    </row>
    <row r="1893" spans="1:13">
      <c r="A1893">
        <v>1893</v>
      </c>
      <c r="B1893" t="s">
        <v>85</v>
      </c>
      <c r="D1893" t="s">
        <v>208</v>
      </c>
      <c r="F1893" t="s">
        <v>10695</v>
      </c>
      <c r="G1893">
        <v>3</v>
      </c>
      <c r="H1893" t="s">
        <v>10696</v>
      </c>
      <c r="I1893" s="45" t="s">
        <v>6754</v>
      </c>
      <c r="J1893" s="122">
        <v>45729</v>
      </c>
      <c r="K1893" s="110" t="str">
        <f t="shared" si="26"/>
        <v>https://Estud2024.sawtoothsoftware.com/cgi-bin/ciwweb.pl?studyname=Estud2024&amp;ID=1893</v>
      </c>
      <c r="L1893" s="113">
        <v>45733</v>
      </c>
      <c r="M1893" s="45" t="s">
        <v>247</v>
      </c>
    </row>
    <row r="1894" spans="1:13">
      <c r="A1894">
        <v>1894</v>
      </c>
      <c r="B1894" t="s">
        <v>85</v>
      </c>
      <c r="D1894" t="s">
        <v>208</v>
      </c>
      <c r="F1894" t="s">
        <v>10697</v>
      </c>
      <c r="G1894">
        <v>3</v>
      </c>
      <c r="H1894" t="s">
        <v>10698</v>
      </c>
      <c r="I1894" s="45" t="s">
        <v>6754</v>
      </c>
      <c r="J1894" s="122">
        <v>45729</v>
      </c>
      <c r="K1894" s="110" t="str">
        <f t="shared" si="26"/>
        <v>https://Estud2024.sawtoothsoftware.com/cgi-bin/ciwweb.pl?studyname=Estud2024&amp;ID=1894</v>
      </c>
      <c r="L1894" s="113">
        <v>45733</v>
      </c>
      <c r="M1894" s="45" t="s">
        <v>247</v>
      </c>
    </row>
    <row r="1895" spans="1:13">
      <c r="A1895">
        <v>1895</v>
      </c>
      <c r="B1895" t="s">
        <v>85</v>
      </c>
      <c r="D1895" t="s">
        <v>208</v>
      </c>
      <c r="F1895" t="s">
        <v>10699</v>
      </c>
      <c r="G1895">
        <v>3</v>
      </c>
      <c r="H1895" t="s">
        <v>10700</v>
      </c>
      <c r="I1895" s="45" t="s">
        <v>6754</v>
      </c>
      <c r="J1895" s="122">
        <v>45729</v>
      </c>
      <c r="K1895" s="110" t="str">
        <f t="shared" si="26"/>
        <v>https://Estud2024.sawtoothsoftware.com/cgi-bin/ciwweb.pl?studyname=Estud2024&amp;ID=1895</v>
      </c>
      <c r="L1895" s="113">
        <v>45733</v>
      </c>
      <c r="M1895" s="45" t="s">
        <v>247</v>
      </c>
    </row>
    <row r="1896" spans="1:13">
      <c r="A1896">
        <v>1896</v>
      </c>
      <c r="B1896" t="s">
        <v>85</v>
      </c>
      <c r="D1896" t="s">
        <v>208</v>
      </c>
      <c r="F1896" t="s">
        <v>10701</v>
      </c>
      <c r="G1896">
        <v>3</v>
      </c>
      <c r="H1896" t="s">
        <v>10702</v>
      </c>
      <c r="I1896" s="45" t="s">
        <v>6754</v>
      </c>
      <c r="J1896" s="122">
        <v>45729</v>
      </c>
      <c r="K1896" s="110" t="str">
        <f t="shared" si="26"/>
        <v>https://Estud2024.sawtoothsoftware.com/cgi-bin/ciwweb.pl?studyname=Estud2024&amp;ID=1896</v>
      </c>
      <c r="L1896" s="113">
        <v>45733</v>
      </c>
      <c r="M1896" s="45" t="s">
        <v>247</v>
      </c>
    </row>
    <row r="1897" spans="1:13">
      <c r="A1897">
        <v>1897</v>
      </c>
      <c r="B1897" t="s">
        <v>85</v>
      </c>
      <c r="D1897" t="s">
        <v>208</v>
      </c>
      <c r="F1897" t="s">
        <v>10703</v>
      </c>
      <c r="G1897">
        <v>3</v>
      </c>
      <c r="H1897" t="s">
        <v>10704</v>
      </c>
      <c r="I1897" s="45" t="s">
        <v>6754</v>
      </c>
      <c r="J1897" s="122">
        <v>45729</v>
      </c>
      <c r="K1897" s="110" t="str">
        <f t="shared" si="26"/>
        <v>https://Estud2024.sawtoothsoftware.com/cgi-bin/ciwweb.pl?studyname=Estud2024&amp;ID=1897</v>
      </c>
      <c r="L1897" s="113">
        <v>45733</v>
      </c>
      <c r="M1897" s="45" t="s">
        <v>247</v>
      </c>
    </row>
    <row r="1898" spans="1:13">
      <c r="A1898">
        <v>1898</v>
      </c>
      <c r="B1898" t="s">
        <v>85</v>
      </c>
      <c r="D1898" t="s">
        <v>208</v>
      </c>
      <c r="F1898" t="s">
        <v>10705</v>
      </c>
      <c r="G1898">
        <v>3</v>
      </c>
      <c r="H1898" t="s">
        <v>10706</v>
      </c>
      <c r="I1898" s="45" t="s">
        <v>6754</v>
      </c>
      <c r="J1898" s="122">
        <v>45729</v>
      </c>
      <c r="K1898" s="110" t="str">
        <f t="shared" si="26"/>
        <v>https://Estud2024.sawtoothsoftware.com/cgi-bin/ciwweb.pl?studyname=Estud2024&amp;ID=1898</v>
      </c>
      <c r="L1898" s="113">
        <v>45733</v>
      </c>
      <c r="M1898" s="45" t="s">
        <v>247</v>
      </c>
    </row>
    <row r="1899" spans="1:13">
      <c r="A1899">
        <v>1899</v>
      </c>
      <c r="B1899" t="s">
        <v>85</v>
      </c>
      <c r="D1899" t="s">
        <v>208</v>
      </c>
      <c r="F1899" t="s">
        <v>10707</v>
      </c>
      <c r="G1899">
        <v>3</v>
      </c>
      <c r="H1899" t="s">
        <v>10708</v>
      </c>
      <c r="I1899" s="45" t="s">
        <v>6754</v>
      </c>
      <c r="J1899" s="122">
        <v>45729</v>
      </c>
      <c r="K1899" s="110" t="str">
        <f t="shared" si="26"/>
        <v>https://Estud2024.sawtoothsoftware.com/cgi-bin/ciwweb.pl?studyname=Estud2024&amp;ID=1899</v>
      </c>
      <c r="L1899" s="113">
        <v>45733</v>
      </c>
      <c r="M1899" s="45" t="s">
        <v>247</v>
      </c>
    </row>
    <row r="1900" spans="1:13">
      <c r="A1900">
        <v>1900</v>
      </c>
      <c r="B1900" t="s">
        <v>85</v>
      </c>
      <c r="D1900" t="s">
        <v>208</v>
      </c>
      <c r="F1900" t="s">
        <v>10709</v>
      </c>
      <c r="G1900">
        <v>3</v>
      </c>
      <c r="H1900" t="s">
        <v>10710</v>
      </c>
      <c r="I1900" s="45" t="s">
        <v>6754</v>
      </c>
      <c r="J1900" s="122">
        <v>45729</v>
      </c>
      <c r="K1900" s="110" t="str">
        <f t="shared" si="26"/>
        <v>https://Estud2024.sawtoothsoftware.com/cgi-bin/ciwweb.pl?studyname=Estud2024&amp;ID=1900</v>
      </c>
      <c r="L1900" s="113">
        <v>45733</v>
      </c>
      <c r="M1900" s="45" t="s">
        <v>247</v>
      </c>
    </row>
    <row r="1901" spans="1:13">
      <c r="A1901">
        <v>1901</v>
      </c>
      <c r="B1901" t="s">
        <v>85</v>
      </c>
      <c r="D1901" t="s">
        <v>208</v>
      </c>
      <c r="F1901" t="s">
        <v>10711</v>
      </c>
      <c r="G1901">
        <v>3</v>
      </c>
      <c r="H1901" t="s">
        <v>10712</v>
      </c>
      <c r="I1901" s="45" t="s">
        <v>6754</v>
      </c>
      <c r="J1901" s="122">
        <v>45729</v>
      </c>
      <c r="K1901" s="110" t="str">
        <f t="shared" si="26"/>
        <v>https://Estud2024.sawtoothsoftware.com/cgi-bin/ciwweb.pl?studyname=Estud2024&amp;ID=1901</v>
      </c>
      <c r="L1901" s="113">
        <v>45733</v>
      </c>
      <c r="M1901" s="45" t="s">
        <v>247</v>
      </c>
    </row>
    <row r="1902" spans="1:13">
      <c r="A1902">
        <v>1902</v>
      </c>
      <c r="B1902" t="s">
        <v>85</v>
      </c>
      <c r="D1902" t="s">
        <v>208</v>
      </c>
      <c r="F1902" t="s">
        <v>10713</v>
      </c>
      <c r="G1902">
        <v>3</v>
      </c>
      <c r="H1902" t="s">
        <v>10714</v>
      </c>
      <c r="I1902" s="45" t="s">
        <v>6754</v>
      </c>
      <c r="J1902" s="122">
        <v>45729</v>
      </c>
      <c r="K1902" s="110" t="str">
        <f t="shared" si="26"/>
        <v>https://Estud2024.sawtoothsoftware.com/cgi-bin/ciwweb.pl?studyname=Estud2024&amp;ID=1902</v>
      </c>
      <c r="L1902" s="113">
        <v>45733</v>
      </c>
      <c r="M1902" s="45" t="s">
        <v>247</v>
      </c>
    </row>
    <row r="1903" spans="1:13">
      <c r="A1903">
        <v>1903</v>
      </c>
      <c r="B1903" t="s">
        <v>85</v>
      </c>
      <c r="D1903" t="s">
        <v>208</v>
      </c>
      <c r="F1903" t="s">
        <v>10715</v>
      </c>
      <c r="G1903">
        <v>3</v>
      </c>
      <c r="H1903" t="s">
        <v>10716</v>
      </c>
      <c r="I1903" s="45" t="s">
        <v>6754</v>
      </c>
      <c r="J1903" s="122">
        <v>45729</v>
      </c>
      <c r="K1903" s="110" t="str">
        <f t="shared" si="26"/>
        <v>https://Estud2024.sawtoothsoftware.com/cgi-bin/ciwweb.pl?studyname=Estud2024&amp;ID=1903</v>
      </c>
      <c r="L1903" s="113">
        <v>45733</v>
      </c>
      <c r="M1903" s="45" t="s">
        <v>247</v>
      </c>
    </row>
    <row r="1904" spans="1:13">
      <c r="A1904">
        <v>1904</v>
      </c>
      <c r="B1904" t="s">
        <v>85</v>
      </c>
      <c r="D1904" t="s">
        <v>208</v>
      </c>
      <c r="F1904" t="s">
        <v>10717</v>
      </c>
      <c r="G1904">
        <v>3</v>
      </c>
      <c r="H1904" t="s">
        <v>10718</v>
      </c>
      <c r="I1904" s="45" t="s">
        <v>6754</v>
      </c>
      <c r="J1904" s="122">
        <v>45729</v>
      </c>
      <c r="K1904" s="110" t="str">
        <f t="shared" si="26"/>
        <v>https://Estud2024.sawtoothsoftware.com/cgi-bin/ciwweb.pl?studyname=Estud2024&amp;ID=1904</v>
      </c>
      <c r="L1904" s="113">
        <v>45733</v>
      </c>
      <c r="M1904" s="45" t="s">
        <v>247</v>
      </c>
    </row>
    <row r="1905" spans="1:13">
      <c r="A1905">
        <v>1905</v>
      </c>
      <c r="B1905" t="s">
        <v>85</v>
      </c>
      <c r="D1905" t="s">
        <v>208</v>
      </c>
      <c r="F1905" t="s">
        <v>10719</v>
      </c>
      <c r="G1905">
        <v>3</v>
      </c>
      <c r="H1905" t="s">
        <v>10720</v>
      </c>
      <c r="I1905" s="45" t="s">
        <v>6754</v>
      </c>
      <c r="J1905" s="122">
        <v>45729</v>
      </c>
      <c r="K1905" s="110" t="str">
        <f t="shared" si="26"/>
        <v>https://Estud2024.sawtoothsoftware.com/cgi-bin/ciwweb.pl?studyname=Estud2024&amp;ID=1905</v>
      </c>
      <c r="L1905" s="113">
        <v>45733</v>
      </c>
      <c r="M1905" s="45" t="s">
        <v>246</v>
      </c>
    </row>
    <row r="1906" spans="1:13">
      <c r="A1906">
        <v>1906</v>
      </c>
      <c r="B1906" t="s">
        <v>85</v>
      </c>
      <c r="D1906" t="s">
        <v>208</v>
      </c>
      <c r="F1906" t="s">
        <v>10721</v>
      </c>
      <c r="G1906">
        <v>3</v>
      </c>
      <c r="H1906" t="s">
        <v>10722</v>
      </c>
      <c r="I1906" s="45" t="s">
        <v>6754</v>
      </c>
      <c r="J1906" s="122">
        <v>45729</v>
      </c>
      <c r="K1906" s="110" t="str">
        <f t="shared" si="26"/>
        <v>https://Estud2024.sawtoothsoftware.com/cgi-bin/ciwweb.pl?studyname=Estud2024&amp;ID=1906</v>
      </c>
      <c r="L1906" s="113">
        <v>45733</v>
      </c>
      <c r="M1906" s="45" t="s">
        <v>247</v>
      </c>
    </row>
    <row r="1907" spans="1:13">
      <c r="A1907">
        <v>1907</v>
      </c>
      <c r="B1907" t="s">
        <v>85</v>
      </c>
      <c r="D1907" t="s">
        <v>208</v>
      </c>
      <c r="F1907" t="s">
        <v>10723</v>
      </c>
      <c r="G1907">
        <v>3</v>
      </c>
      <c r="H1907" t="s">
        <v>10724</v>
      </c>
      <c r="I1907" s="45" t="s">
        <v>6754</v>
      </c>
      <c r="J1907" s="122">
        <v>45729</v>
      </c>
      <c r="K1907" s="110" t="str">
        <f t="shared" si="26"/>
        <v>https://Estud2024.sawtoothsoftware.com/cgi-bin/ciwweb.pl?studyname=Estud2024&amp;ID=1907</v>
      </c>
      <c r="L1907" s="113">
        <v>45733</v>
      </c>
      <c r="M1907" s="45" t="s">
        <v>247</v>
      </c>
    </row>
    <row r="1908" spans="1:13">
      <c r="A1908">
        <v>1908</v>
      </c>
      <c r="B1908" t="s">
        <v>85</v>
      </c>
      <c r="D1908" t="s">
        <v>208</v>
      </c>
      <c r="F1908" t="s">
        <v>10725</v>
      </c>
      <c r="G1908">
        <v>3</v>
      </c>
      <c r="H1908" t="s">
        <v>10726</v>
      </c>
      <c r="I1908" s="45" t="s">
        <v>6754</v>
      </c>
      <c r="J1908" s="122">
        <v>45729</v>
      </c>
      <c r="K1908" s="110" t="str">
        <f t="shared" si="26"/>
        <v>https://Estud2024.sawtoothsoftware.com/cgi-bin/ciwweb.pl?studyname=Estud2024&amp;ID=1908</v>
      </c>
      <c r="L1908" s="113">
        <v>45733</v>
      </c>
      <c r="M1908" s="45" t="s">
        <v>247</v>
      </c>
    </row>
    <row r="1909" spans="1:13">
      <c r="A1909">
        <v>1909</v>
      </c>
      <c r="B1909" t="s">
        <v>85</v>
      </c>
      <c r="D1909" t="s">
        <v>208</v>
      </c>
      <c r="F1909" t="s">
        <v>10727</v>
      </c>
      <c r="G1909">
        <v>3</v>
      </c>
      <c r="H1909" t="s">
        <v>10728</v>
      </c>
      <c r="I1909" s="45" t="s">
        <v>6754</v>
      </c>
      <c r="J1909" s="122">
        <v>45729</v>
      </c>
      <c r="K1909" s="110" t="str">
        <f t="shared" si="26"/>
        <v>https://Estud2024.sawtoothsoftware.com/cgi-bin/ciwweb.pl?studyname=Estud2024&amp;ID=1909</v>
      </c>
      <c r="L1909" s="113">
        <v>45733</v>
      </c>
      <c r="M1909" s="45" t="s">
        <v>247</v>
      </c>
    </row>
    <row r="1910" spans="1:13">
      <c r="A1910">
        <v>1910</v>
      </c>
      <c r="B1910" t="s">
        <v>85</v>
      </c>
      <c r="D1910" t="s">
        <v>208</v>
      </c>
      <c r="F1910" t="s">
        <v>10729</v>
      </c>
      <c r="G1910">
        <v>3</v>
      </c>
      <c r="H1910" t="s">
        <v>10730</v>
      </c>
      <c r="I1910" s="45" t="s">
        <v>6754</v>
      </c>
      <c r="J1910" s="122">
        <v>45729</v>
      </c>
      <c r="K1910" s="110" t="str">
        <f t="shared" si="26"/>
        <v>https://Estud2024.sawtoothsoftware.com/cgi-bin/ciwweb.pl?studyname=Estud2024&amp;ID=1910</v>
      </c>
      <c r="L1910" s="113">
        <v>45733</v>
      </c>
      <c r="M1910" s="45" t="s">
        <v>247</v>
      </c>
    </row>
    <row r="1911" spans="1:13">
      <c r="A1911">
        <v>1911</v>
      </c>
      <c r="B1911" t="s">
        <v>85</v>
      </c>
      <c r="D1911" t="s">
        <v>208</v>
      </c>
      <c r="F1911" t="s">
        <v>10731</v>
      </c>
      <c r="G1911">
        <v>3</v>
      </c>
      <c r="H1911" t="s">
        <v>10732</v>
      </c>
      <c r="I1911" s="45" t="s">
        <v>6754</v>
      </c>
      <c r="J1911" s="122">
        <v>45729</v>
      </c>
      <c r="K1911" s="110" t="str">
        <f t="shared" si="26"/>
        <v>https://Estud2024.sawtoothsoftware.com/cgi-bin/ciwweb.pl?studyname=Estud2024&amp;ID=1911</v>
      </c>
      <c r="L1911" s="113">
        <v>45733</v>
      </c>
      <c r="M1911" s="45" t="s">
        <v>247</v>
      </c>
    </row>
    <row r="1912" spans="1:13">
      <c r="A1912">
        <v>1912</v>
      </c>
      <c r="B1912" t="s">
        <v>85</v>
      </c>
      <c r="D1912" t="s">
        <v>208</v>
      </c>
      <c r="F1912" t="s">
        <v>10733</v>
      </c>
      <c r="G1912">
        <v>3</v>
      </c>
      <c r="H1912" t="s">
        <v>10734</v>
      </c>
      <c r="I1912" s="45" t="s">
        <v>6754</v>
      </c>
      <c r="J1912" s="122">
        <v>45729</v>
      </c>
      <c r="K1912" s="110" t="str">
        <f t="shared" si="26"/>
        <v>https://Estud2024.sawtoothsoftware.com/cgi-bin/ciwweb.pl?studyname=Estud2024&amp;ID=1912</v>
      </c>
      <c r="L1912" s="113">
        <v>45733</v>
      </c>
      <c r="M1912" s="45" t="s">
        <v>246</v>
      </c>
    </row>
    <row r="1913" spans="1:13">
      <c r="A1913">
        <v>1913</v>
      </c>
      <c r="B1913" t="s">
        <v>85</v>
      </c>
      <c r="D1913" t="s">
        <v>208</v>
      </c>
      <c r="F1913" t="s">
        <v>10735</v>
      </c>
      <c r="G1913">
        <v>3</v>
      </c>
      <c r="H1913" t="s">
        <v>10736</v>
      </c>
      <c r="I1913" s="45" t="s">
        <v>6754</v>
      </c>
      <c r="J1913" s="122">
        <v>45729</v>
      </c>
      <c r="K1913" s="110" t="str">
        <f t="shared" si="26"/>
        <v>https://Estud2024.sawtoothsoftware.com/cgi-bin/ciwweb.pl?studyname=Estud2024&amp;ID=1913</v>
      </c>
      <c r="L1913" s="113">
        <v>45733</v>
      </c>
      <c r="M1913" s="45" t="s">
        <v>247</v>
      </c>
    </row>
    <row r="1914" spans="1:13">
      <c r="A1914">
        <v>1914</v>
      </c>
      <c r="B1914" t="s">
        <v>85</v>
      </c>
      <c r="D1914" t="s">
        <v>208</v>
      </c>
      <c r="F1914" t="s">
        <v>10737</v>
      </c>
      <c r="G1914">
        <v>3</v>
      </c>
      <c r="H1914" t="s">
        <v>10738</v>
      </c>
      <c r="I1914" s="45" t="s">
        <v>6754</v>
      </c>
      <c r="J1914" s="122">
        <v>45729</v>
      </c>
      <c r="K1914" s="110" t="str">
        <f t="shared" si="26"/>
        <v>https://Estud2024.sawtoothsoftware.com/cgi-bin/ciwweb.pl?studyname=Estud2024&amp;ID=1914</v>
      </c>
      <c r="L1914" s="113">
        <v>45733</v>
      </c>
      <c r="M1914" s="45" t="s">
        <v>247</v>
      </c>
    </row>
    <row r="1915" spans="1:13">
      <c r="A1915">
        <v>1915</v>
      </c>
      <c r="B1915" t="s">
        <v>85</v>
      </c>
      <c r="D1915" t="s">
        <v>208</v>
      </c>
      <c r="F1915" t="s">
        <v>10739</v>
      </c>
      <c r="G1915">
        <v>3</v>
      </c>
      <c r="H1915" t="s">
        <v>10740</v>
      </c>
      <c r="I1915" s="45" t="s">
        <v>6754</v>
      </c>
      <c r="J1915" s="122">
        <v>45729</v>
      </c>
      <c r="K1915" s="110" t="str">
        <f t="shared" si="26"/>
        <v>https://Estud2024.sawtoothsoftware.com/cgi-bin/ciwweb.pl?studyname=Estud2024&amp;ID=1915</v>
      </c>
      <c r="L1915" s="113">
        <v>45733</v>
      </c>
      <c r="M1915" s="45" t="s">
        <v>247</v>
      </c>
    </row>
    <row r="1916" spans="1:13">
      <c r="A1916">
        <v>1916</v>
      </c>
      <c r="B1916" t="s">
        <v>85</v>
      </c>
      <c r="D1916" t="s">
        <v>208</v>
      </c>
      <c r="F1916" t="s">
        <v>10741</v>
      </c>
      <c r="G1916">
        <v>3</v>
      </c>
      <c r="H1916" t="s">
        <v>10742</v>
      </c>
      <c r="I1916" s="45" t="s">
        <v>6754</v>
      </c>
      <c r="J1916" s="122">
        <v>45729</v>
      </c>
      <c r="K1916" s="110" t="str">
        <f t="shared" si="26"/>
        <v>https://Estud2024.sawtoothsoftware.com/cgi-bin/ciwweb.pl?studyname=Estud2024&amp;ID=1916</v>
      </c>
      <c r="L1916" s="113">
        <v>45733</v>
      </c>
      <c r="M1916" s="45" t="s">
        <v>246</v>
      </c>
    </row>
    <row r="1917" spans="1:13">
      <c r="A1917">
        <v>1917</v>
      </c>
      <c r="B1917" t="s">
        <v>85</v>
      </c>
      <c r="D1917" t="s">
        <v>208</v>
      </c>
      <c r="F1917" t="s">
        <v>10743</v>
      </c>
      <c r="G1917">
        <v>3</v>
      </c>
      <c r="H1917" t="s">
        <v>10744</v>
      </c>
      <c r="I1917" s="45" t="s">
        <v>6754</v>
      </c>
      <c r="J1917" s="122">
        <v>45729</v>
      </c>
      <c r="K1917" s="110" t="str">
        <f t="shared" si="26"/>
        <v>https://Estud2024.sawtoothsoftware.com/cgi-bin/ciwweb.pl?studyname=Estud2024&amp;ID=1917</v>
      </c>
      <c r="L1917" s="113">
        <v>45733</v>
      </c>
      <c r="M1917" s="45" t="s">
        <v>247</v>
      </c>
    </row>
    <row r="1918" spans="1:13">
      <c r="A1918">
        <v>1907</v>
      </c>
      <c r="B1918" t="s">
        <v>85</v>
      </c>
      <c r="D1918" t="s">
        <v>208</v>
      </c>
      <c r="F1918" t="s">
        <v>10723</v>
      </c>
      <c r="G1918">
        <v>3</v>
      </c>
      <c r="H1918" t="s">
        <v>10724</v>
      </c>
      <c r="I1918" s="45" t="s">
        <v>6754</v>
      </c>
      <c r="J1918" s="122">
        <v>45729</v>
      </c>
      <c r="K1918" s="110" t="str">
        <f t="shared" si="26"/>
        <v>https://Estud2024.sawtoothsoftware.com/cgi-bin/ciwweb.pl?studyname=Estud2024&amp;ID=1907</v>
      </c>
      <c r="L1918" s="113">
        <v>45733</v>
      </c>
      <c r="M1918" s="45" t="s">
        <v>247</v>
      </c>
    </row>
    <row r="1919" spans="1:13">
      <c r="A1919">
        <v>1908</v>
      </c>
      <c r="B1919" t="s">
        <v>85</v>
      </c>
      <c r="D1919" t="s">
        <v>208</v>
      </c>
      <c r="F1919" t="s">
        <v>10725</v>
      </c>
      <c r="G1919">
        <v>3</v>
      </c>
      <c r="H1919" t="s">
        <v>10726</v>
      </c>
      <c r="I1919" s="45" t="s">
        <v>6754</v>
      </c>
      <c r="J1919" s="122">
        <v>45729</v>
      </c>
      <c r="K1919" s="110" t="str">
        <f t="shared" si="26"/>
        <v>https://Estud2024.sawtoothsoftware.com/cgi-bin/ciwweb.pl?studyname=Estud2024&amp;ID=1908</v>
      </c>
      <c r="L1919" s="113">
        <v>45733</v>
      </c>
      <c r="M1919" s="45" t="s">
        <v>247</v>
      </c>
    </row>
    <row r="1920" spans="1:13">
      <c r="A1920">
        <v>1909</v>
      </c>
      <c r="B1920" t="s">
        <v>85</v>
      </c>
      <c r="D1920" t="s">
        <v>208</v>
      </c>
      <c r="F1920" t="s">
        <v>10727</v>
      </c>
      <c r="G1920">
        <v>3</v>
      </c>
      <c r="H1920" t="s">
        <v>10728</v>
      </c>
      <c r="I1920" s="45" t="s">
        <v>6754</v>
      </c>
      <c r="J1920" s="122">
        <v>45729</v>
      </c>
      <c r="K1920" s="110" t="str">
        <f t="shared" si="26"/>
        <v>https://Estud2024.sawtoothsoftware.com/cgi-bin/ciwweb.pl?studyname=Estud2024&amp;ID=1909</v>
      </c>
      <c r="L1920" s="113">
        <v>45733</v>
      </c>
      <c r="M1920" s="45" t="s">
        <v>247</v>
      </c>
    </row>
    <row r="1921" spans="1:13">
      <c r="A1921">
        <v>1910</v>
      </c>
      <c r="B1921" t="s">
        <v>85</v>
      </c>
      <c r="D1921" t="s">
        <v>208</v>
      </c>
      <c r="F1921" t="s">
        <v>10729</v>
      </c>
      <c r="G1921">
        <v>3</v>
      </c>
      <c r="H1921" t="s">
        <v>10730</v>
      </c>
      <c r="I1921" s="45" t="s">
        <v>6754</v>
      </c>
      <c r="J1921" s="122">
        <v>45729</v>
      </c>
      <c r="K1921" s="110" t="str">
        <f t="shared" si="26"/>
        <v>https://Estud2024.sawtoothsoftware.com/cgi-bin/ciwweb.pl?studyname=Estud2024&amp;ID=1910</v>
      </c>
      <c r="L1921" s="113">
        <v>45733</v>
      </c>
      <c r="M1921" s="45" t="s">
        <v>247</v>
      </c>
    </row>
    <row r="1922" spans="1:13">
      <c r="A1922">
        <v>1911</v>
      </c>
      <c r="B1922" t="s">
        <v>85</v>
      </c>
      <c r="D1922" t="s">
        <v>208</v>
      </c>
      <c r="F1922" t="s">
        <v>10731</v>
      </c>
      <c r="G1922">
        <v>3</v>
      </c>
      <c r="H1922" t="s">
        <v>10732</v>
      </c>
      <c r="I1922" s="45" t="s">
        <v>6754</v>
      </c>
      <c r="J1922" s="122">
        <v>45729</v>
      </c>
      <c r="K1922" s="110" t="str">
        <f t="shared" si="26"/>
        <v>https://Estud2024.sawtoothsoftware.com/cgi-bin/ciwweb.pl?studyname=Estud2024&amp;ID=1911</v>
      </c>
      <c r="L1922" s="113">
        <v>45733</v>
      </c>
      <c r="M1922" s="45" t="s">
        <v>247</v>
      </c>
    </row>
    <row r="1923" spans="1:13">
      <c r="A1923">
        <v>1912</v>
      </c>
      <c r="B1923" t="s">
        <v>85</v>
      </c>
      <c r="D1923" t="s">
        <v>208</v>
      </c>
      <c r="F1923" t="s">
        <v>10733</v>
      </c>
      <c r="G1923">
        <v>3</v>
      </c>
      <c r="H1923" t="s">
        <v>10734</v>
      </c>
      <c r="I1923" s="45" t="s">
        <v>6754</v>
      </c>
      <c r="J1923" s="122">
        <v>45729</v>
      </c>
      <c r="K1923" s="110" t="str">
        <f t="shared" si="26"/>
        <v>https://Estud2024.sawtoothsoftware.com/cgi-bin/ciwweb.pl?studyname=Estud2024&amp;ID=1912</v>
      </c>
      <c r="L1923" s="113">
        <v>45733</v>
      </c>
      <c r="M1923" s="45" t="s">
        <v>246</v>
      </c>
    </row>
    <row r="1924" spans="1:13">
      <c r="A1924">
        <v>1913</v>
      </c>
      <c r="B1924" t="s">
        <v>85</v>
      </c>
      <c r="D1924" t="s">
        <v>208</v>
      </c>
      <c r="F1924" t="s">
        <v>10735</v>
      </c>
      <c r="G1924">
        <v>3</v>
      </c>
      <c r="H1924" t="s">
        <v>10736</v>
      </c>
      <c r="I1924" s="45" t="s">
        <v>6754</v>
      </c>
      <c r="J1924" s="122">
        <v>45729</v>
      </c>
      <c r="K1924" s="110" t="str">
        <f t="shared" si="26"/>
        <v>https://Estud2024.sawtoothsoftware.com/cgi-bin/ciwweb.pl?studyname=Estud2024&amp;ID=1913</v>
      </c>
      <c r="L1924" s="113">
        <v>45733</v>
      </c>
      <c r="M1924" s="45" t="s">
        <v>247</v>
      </c>
    </row>
    <row r="1925" spans="1:13">
      <c r="A1925">
        <v>1914</v>
      </c>
      <c r="B1925" t="s">
        <v>85</v>
      </c>
      <c r="D1925" t="s">
        <v>208</v>
      </c>
      <c r="F1925" t="s">
        <v>10737</v>
      </c>
      <c r="G1925">
        <v>3</v>
      </c>
      <c r="H1925" t="s">
        <v>10738</v>
      </c>
      <c r="I1925" s="45" t="s">
        <v>6754</v>
      </c>
      <c r="J1925" s="122">
        <v>45729</v>
      </c>
      <c r="K1925" s="110" t="str">
        <f t="shared" si="26"/>
        <v>https://Estud2024.sawtoothsoftware.com/cgi-bin/ciwweb.pl?studyname=Estud2024&amp;ID=1914</v>
      </c>
      <c r="L1925" s="113">
        <v>45733</v>
      </c>
      <c r="M1925" s="45" t="s">
        <v>247</v>
      </c>
    </row>
    <row r="1926" spans="1:13">
      <c r="A1926">
        <v>1915</v>
      </c>
      <c r="B1926" t="s">
        <v>85</v>
      </c>
      <c r="D1926" t="s">
        <v>208</v>
      </c>
      <c r="F1926" t="s">
        <v>10739</v>
      </c>
      <c r="G1926">
        <v>3</v>
      </c>
      <c r="H1926" t="s">
        <v>10740</v>
      </c>
      <c r="I1926" s="45" t="s">
        <v>6754</v>
      </c>
      <c r="J1926" s="122">
        <v>45729</v>
      </c>
      <c r="K1926" s="110" t="str">
        <f t="shared" si="26"/>
        <v>https://Estud2024.sawtoothsoftware.com/cgi-bin/ciwweb.pl?studyname=Estud2024&amp;ID=1915</v>
      </c>
      <c r="L1926" s="113">
        <v>45733</v>
      </c>
      <c r="M1926" s="45" t="s">
        <v>247</v>
      </c>
    </row>
    <row r="1927" spans="1:13">
      <c r="A1927">
        <v>1916</v>
      </c>
      <c r="B1927" t="s">
        <v>85</v>
      </c>
      <c r="D1927" t="s">
        <v>208</v>
      </c>
      <c r="F1927" t="s">
        <v>10741</v>
      </c>
      <c r="G1927">
        <v>3</v>
      </c>
      <c r="H1927" t="s">
        <v>10742</v>
      </c>
      <c r="I1927" s="45" t="s">
        <v>6754</v>
      </c>
      <c r="J1927" s="122">
        <v>45729</v>
      </c>
      <c r="K1927" s="110" t="str">
        <f t="shared" si="26"/>
        <v>https://Estud2024.sawtoothsoftware.com/cgi-bin/ciwweb.pl?studyname=Estud2024&amp;ID=1916</v>
      </c>
      <c r="L1927" s="113">
        <v>45733</v>
      </c>
      <c r="M1927" s="45" t="s">
        <v>246</v>
      </c>
    </row>
    <row r="1928" spans="1:13">
      <c r="A1928">
        <v>1917</v>
      </c>
      <c r="B1928" t="s">
        <v>85</v>
      </c>
      <c r="D1928" t="s">
        <v>208</v>
      </c>
      <c r="F1928" t="s">
        <v>10743</v>
      </c>
      <c r="G1928">
        <v>3</v>
      </c>
      <c r="H1928" t="s">
        <v>10744</v>
      </c>
      <c r="I1928" s="45" t="s">
        <v>6754</v>
      </c>
      <c r="J1928" s="122">
        <v>45729</v>
      </c>
      <c r="K1928" s="110" t="str">
        <f t="shared" si="26"/>
        <v>https://Estud2024.sawtoothsoftware.com/cgi-bin/ciwweb.pl?studyname=Estud2024&amp;ID=1917</v>
      </c>
      <c r="L1928" s="113">
        <v>45733</v>
      </c>
      <c r="M1928" s="45" t="s">
        <v>247</v>
      </c>
    </row>
    <row r="1929" spans="1:13">
      <c r="A1929">
        <v>1918</v>
      </c>
      <c r="B1929" t="s">
        <v>138</v>
      </c>
      <c r="D1929" t="s">
        <v>169</v>
      </c>
      <c r="F1929" t="s">
        <v>10745</v>
      </c>
      <c r="G1929">
        <v>1</v>
      </c>
      <c r="H1929" t="s">
        <v>10746</v>
      </c>
      <c r="I1929" s="45" t="s">
        <v>6754</v>
      </c>
      <c r="J1929" s="122">
        <v>45734</v>
      </c>
      <c r="K1929" s="110" t="str">
        <f t="shared" si="26"/>
        <v>https://Estud2024.sawtoothsoftware.com/cgi-bin/ciwweb.pl?studyname=Estud2024&amp;ID=1918</v>
      </c>
      <c r="L1929" s="113">
        <v>45734</v>
      </c>
      <c r="M1929" s="45" t="s">
        <v>246</v>
      </c>
    </row>
    <row r="1930" spans="1:13">
      <c r="A1930">
        <v>1919</v>
      </c>
      <c r="B1930" t="s">
        <v>138</v>
      </c>
      <c r="D1930" t="s">
        <v>169</v>
      </c>
      <c r="F1930" t="s">
        <v>10747</v>
      </c>
      <c r="G1930">
        <v>1</v>
      </c>
      <c r="H1930" t="s">
        <v>10748</v>
      </c>
      <c r="I1930" s="45" t="s">
        <v>6754</v>
      </c>
      <c r="J1930" s="122">
        <v>45734</v>
      </c>
      <c r="K1930" s="110" t="str">
        <f t="shared" si="26"/>
        <v>https://Estud2024.sawtoothsoftware.com/cgi-bin/ciwweb.pl?studyname=Estud2024&amp;ID=1919</v>
      </c>
      <c r="L1930" s="113">
        <v>45734</v>
      </c>
      <c r="M1930" s="45" t="s">
        <v>246</v>
      </c>
    </row>
    <row r="1931" spans="1:13">
      <c r="A1931">
        <v>1920</v>
      </c>
      <c r="B1931" t="s">
        <v>138</v>
      </c>
      <c r="D1931" t="s">
        <v>169</v>
      </c>
      <c r="F1931" t="s">
        <v>10749</v>
      </c>
      <c r="G1931">
        <v>1</v>
      </c>
      <c r="H1931" t="s">
        <v>10750</v>
      </c>
      <c r="I1931" s="45" t="s">
        <v>6754</v>
      </c>
      <c r="J1931" s="122">
        <v>45734</v>
      </c>
      <c r="K1931" s="110" t="str">
        <f t="shared" si="26"/>
        <v>https://Estud2024.sawtoothsoftware.com/cgi-bin/ciwweb.pl?studyname=Estud2024&amp;ID=1920</v>
      </c>
      <c r="L1931" s="113">
        <v>45734</v>
      </c>
      <c r="M1931" s="45" t="s">
        <v>246</v>
      </c>
    </row>
    <row r="1932" spans="1:13">
      <c r="A1932">
        <v>1921</v>
      </c>
      <c r="B1932" t="s">
        <v>138</v>
      </c>
      <c r="D1932" t="s">
        <v>169</v>
      </c>
      <c r="F1932" t="s">
        <v>10751</v>
      </c>
      <c r="G1932">
        <v>1</v>
      </c>
      <c r="H1932" t="s">
        <v>10752</v>
      </c>
      <c r="I1932" s="45" t="s">
        <v>6754</v>
      </c>
      <c r="J1932" s="122">
        <v>45734</v>
      </c>
      <c r="K1932" s="110" t="str">
        <f t="shared" si="26"/>
        <v>https://Estud2024.sawtoothsoftware.com/cgi-bin/ciwweb.pl?studyname=Estud2024&amp;ID=1921</v>
      </c>
      <c r="L1932" s="113">
        <v>45734</v>
      </c>
      <c r="M1932" s="45" t="s">
        <v>246</v>
      </c>
    </row>
    <row r="1933" spans="1:13">
      <c r="A1933">
        <v>1922</v>
      </c>
      <c r="B1933" t="s">
        <v>138</v>
      </c>
      <c r="D1933" t="s">
        <v>169</v>
      </c>
      <c r="F1933" t="s">
        <v>10753</v>
      </c>
      <c r="G1933">
        <v>1</v>
      </c>
      <c r="H1933" t="s">
        <v>10754</v>
      </c>
      <c r="I1933" s="45" t="s">
        <v>6754</v>
      </c>
      <c r="J1933" s="122">
        <v>45734</v>
      </c>
      <c r="K1933" s="110" t="str">
        <f t="shared" si="26"/>
        <v>https://Estud2024.sawtoothsoftware.com/cgi-bin/ciwweb.pl?studyname=Estud2024&amp;ID=1922</v>
      </c>
      <c r="L1933" s="113">
        <v>45734</v>
      </c>
      <c r="M1933" s="45" t="s">
        <v>246</v>
      </c>
    </row>
    <row r="1934" spans="1:13">
      <c r="A1934">
        <v>1923</v>
      </c>
      <c r="B1934" t="s">
        <v>138</v>
      </c>
      <c r="D1934" t="s">
        <v>169</v>
      </c>
      <c r="F1934" t="s">
        <v>10755</v>
      </c>
      <c r="G1934">
        <v>1</v>
      </c>
      <c r="H1934" t="s">
        <v>10756</v>
      </c>
      <c r="I1934" s="45" t="s">
        <v>6754</v>
      </c>
      <c r="J1934" s="122">
        <v>45734</v>
      </c>
      <c r="K1934" s="110" t="str">
        <f t="shared" si="26"/>
        <v>https://Estud2024.sawtoothsoftware.com/cgi-bin/ciwweb.pl?studyname=Estud2024&amp;ID=1923</v>
      </c>
      <c r="L1934" s="113">
        <v>45734</v>
      </c>
      <c r="M1934" s="45" t="s">
        <v>246</v>
      </c>
    </row>
    <row r="1935" spans="1:13">
      <c r="A1935">
        <v>1924</v>
      </c>
      <c r="B1935" t="s">
        <v>138</v>
      </c>
      <c r="D1935" t="s">
        <v>169</v>
      </c>
      <c r="F1935" t="s">
        <v>10757</v>
      </c>
      <c r="G1935">
        <v>1</v>
      </c>
      <c r="H1935" t="s">
        <v>10758</v>
      </c>
      <c r="I1935" s="45" t="s">
        <v>6754</v>
      </c>
      <c r="J1935" s="122">
        <v>45734</v>
      </c>
      <c r="K1935" s="110" t="str">
        <f t="shared" si="26"/>
        <v>https://Estud2024.sawtoothsoftware.com/cgi-bin/ciwweb.pl?studyname=Estud2024&amp;ID=1924</v>
      </c>
      <c r="L1935" s="113">
        <v>45734</v>
      </c>
      <c r="M1935" s="45" t="s">
        <v>246</v>
      </c>
    </row>
    <row r="1936" spans="1:13">
      <c r="A1936">
        <v>1925</v>
      </c>
      <c r="B1936" t="s">
        <v>138</v>
      </c>
      <c r="D1936" t="s">
        <v>169</v>
      </c>
      <c r="F1936" t="s">
        <v>10759</v>
      </c>
      <c r="G1936">
        <v>1</v>
      </c>
      <c r="H1936" t="s">
        <v>10760</v>
      </c>
      <c r="I1936" s="45" t="s">
        <v>6754</v>
      </c>
      <c r="J1936" s="122">
        <v>45734</v>
      </c>
      <c r="K1936" s="110" t="str">
        <f t="shared" si="26"/>
        <v>https://Estud2024.sawtoothsoftware.com/cgi-bin/ciwweb.pl?studyname=Estud2024&amp;ID=1925</v>
      </c>
      <c r="L1936" s="113">
        <v>45734</v>
      </c>
      <c r="M1936" s="45" t="s">
        <v>246</v>
      </c>
    </row>
    <row r="1937" spans="1:13">
      <c r="A1937">
        <v>1926</v>
      </c>
      <c r="B1937" t="s">
        <v>138</v>
      </c>
      <c r="D1937" t="s">
        <v>169</v>
      </c>
      <c r="F1937" t="s">
        <v>10761</v>
      </c>
      <c r="G1937">
        <v>1</v>
      </c>
      <c r="H1937" t="s">
        <v>10762</v>
      </c>
      <c r="I1937" s="45" t="s">
        <v>6754</v>
      </c>
      <c r="J1937" s="122">
        <v>45734</v>
      </c>
      <c r="K1937" s="110" t="str">
        <f t="shared" si="26"/>
        <v>https://Estud2024.sawtoothsoftware.com/cgi-bin/ciwweb.pl?studyname=Estud2024&amp;ID=1926</v>
      </c>
      <c r="L1937" s="113">
        <v>45734</v>
      </c>
      <c r="M1937" s="45" t="s">
        <v>246</v>
      </c>
    </row>
    <row r="1938" spans="1:13">
      <c r="A1938">
        <v>1927</v>
      </c>
      <c r="B1938" t="s">
        <v>138</v>
      </c>
      <c r="D1938" t="s">
        <v>169</v>
      </c>
      <c r="F1938" t="s">
        <v>10763</v>
      </c>
      <c r="G1938">
        <v>1</v>
      </c>
      <c r="H1938" t="s">
        <v>10764</v>
      </c>
      <c r="I1938" s="45" t="s">
        <v>6754</v>
      </c>
      <c r="J1938" s="122">
        <v>45734</v>
      </c>
      <c r="K1938" s="110" t="str">
        <f t="shared" si="26"/>
        <v>https://Estud2024.sawtoothsoftware.com/cgi-bin/ciwweb.pl?studyname=Estud2024&amp;ID=1927</v>
      </c>
      <c r="L1938" s="113">
        <v>45734</v>
      </c>
      <c r="M1938" s="45" t="s">
        <v>247</v>
      </c>
    </row>
    <row r="1939" spans="1:13">
      <c r="A1939">
        <v>1928</v>
      </c>
      <c r="B1939" t="s">
        <v>138</v>
      </c>
      <c r="D1939" t="s">
        <v>169</v>
      </c>
      <c r="F1939" t="s">
        <v>10765</v>
      </c>
      <c r="G1939">
        <v>1</v>
      </c>
      <c r="H1939" t="s">
        <v>10766</v>
      </c>
      <c r="I1939" s="45" t="s">
        <v>6754</v>
      </c>
      <c r="J1939" s="122">
        <v>45734</v>
      </c>
      <c r="K1939" s="110" t="str">
        <f t="shared" si="26"/>
        <v>https://Estud2024.sawtoothsoftware.com/cgi-bin/ciwweb.pl?studyname=Estud2024&amp;ID=1928</v>
      </c>
      <c r="L1939" s="113">
        <v>45734</v>
      </c>
      <c r="M1939" s="45" t="s">
        <v>246</v>
      </c>
    </row>
    <row r="1940" spans="1:13">
      <c r="A1940">
        <v>1929</v>
      </c>
      <c r="B1940" t="s">
        <v>138</v>
      </c>
      <c r="D1940" t="s">
        <v>169</v>
      </c>
      <c r="F1940" t="s">
        <v>10767</v>
      </c>
      <c r="G1940">
        <v>1</v>
      </c>
      <c r="H1940" t="s">
        <v>10768</v>
      </c>
      <c r="I1940" s="45" t="s">
        <v>6754</v>
      </c>
      <c r="J1940" s="122">
        <v>45734</v>
      </c>
      <c r="K1940" s="110" t="str">
        <f t="shared" si="26"/>
        <v>https://Estud2024.sawtoothsoftware.com/cgi-bin/ciwweb.pl?studyname=Estud2024&amp;ID=1929</v>
      </c>
      <c r="L1940" s="113">
        <v>45734</v>
      </c>
      <c r="M1940" s="45" t="s">
        <v>246</v>
      </c>
    </row>
    <row r="1941" spans="1:13">
      <c r="A1941">
        <v>1930</v>
      </c>
      <c r="B1941" t="s">
        <v>138</v>
      </c>
      <c r="D1941" t="s">
        <v>169</v>
      </c>
      <c r="F1941" t="s">
        <v>10769</v>
      </c>
      <c r="G1941">
        <v>1</v>
      </c>
      <c r="H1941" t="s">
        <v>10770</v>
      </c>
      <c r="I1941" s="45" t="s">
        <v>6754</v>
      </c>
      <c r="J1941" s="122">
        <v>45734</v>
      </c>
      <c r="K1941" s="110" t="str">
        <f t="shared" si="26"/>
        <v>https://Estud2024.sawtoothsoftware.com/cgi-bin/ciwweb.pl?studyname=Estud2024&amp;ID=1930</v>
      </c>
      <c r="L1941" s="113">
        <v>45734</v>
      </c>
      <c r="M1941" s="45" t="s">
        <v>246</v>
      </c>
    </row>
    <row r="1942" spans="1:13">
      <c r="A1942">
        <v>1931</v>
      </c>
      <c r="B1942" t="s">
        <v>85</v>
      </c>
      <c r="D1942" t="s">
        <v>161</v>
      </c>
      <c r="F1942" t="s">
        <v>10771</v>
      </c>
      <c r="G1942">
        <v>2</v>
      </c>
      <c r="H1942" t="s">
        <v>10772</v>
      </c>
      <c r="I1942" s="45" t="s">
        <v>6754</v>
      </c>
      <c r="J1942" s="122">
        <v>45734</v>
      </c>
      <c r="K1942" s="110" t="str">
        <f t="shared" ref="K1942:K2005" si="27">CONCATENATE("https://Estud2024.sawtoothsoftware.com/cgi-bin/ciwweb.pl?studyname=Estud2024&amp;ID=",A1942)</f>
        <v>https://Estud2024.sawtoothsoftware.com/cgi-bin/ciwweb.pl?studyname=Estud2024&amp;ID=1931</v>
      </c>
      <c r="L1942" s="113">
        <v>45735</v>
      </c>
      <c r="M1942" s="45" t="s">
        <v>246</v>
      </c>
    </row>
    <row r="1943" spans="1:13">
      <c r="A1943">
        <v>1932</v>
      </c>
      <c r="B1943" t="s">
        <v>85</v>
      </c>
      <c r="D1943" t="s">
        <v>161</v>
      </c>
      <c r="F1943" t="s">
        <v>10773</v>
      </c>
      <c r="G1943">
        <v>2</v>
      </c>
      <c r="H1943" t="s">
        <v>10774</v>
      </c>
      <c r="I1943" s="45" t="s">
        <v>6754</v>
      </c>
      <c r="J1943" s="122">
        <v>45734</v>
      </c>
      <c r="K1943" s="110" t="str">
        <f t="shared" si="27"/>
        <v>https://Estud2024.sawtoothsoftware.com/cgi-bin/ciwweb.pl?studyname=Estud2024&amp;ID=1932</v>
      </c>
      <c r="L1943" s="113">
        <v>45735</v>
      </c>
      <c r="M1943" s="45" t="s">
        <v>246</v>
      </c>
    </row>
    <row r="1944" spans="1:13">
      <c r="A1944">
        <v>1933</v>
      </c>
      <c r="B1944" t="s">
        <v>85</v>
      </c>
      <c r="D1944" t="s">
        <v>161</v>
      </c>
      <c r="F1944" t="s">
        <v>10775</v>
      </c>
      <c r="G1944">
        <v>2</v>
      </c>
      <c r="H1944" t="s">
        <v>10776</v>
      </c>
      <c r="I1944" s="45" t="s">
        <v>6754</v>
      </c>
      <c r="J1944" s="122">
        <v>45734</v>
      </c>
      <c r="K1944" s="110" t="str">
        <f t="shared" si="27"/>
        <v>https://Estud2024.sawtoothsoftware.com/cgi-bin/ciwweb.pl?studyname=Estud2024&amp;ID=1933</v>
      </c>
      <c r="L1944" s="113">
        <v>45735</v>
      </c>
      <c r="M1944" s="45" t="s">
        <v>246</v>
      </c>
    </row>
    <row r="1945" spans="1:13">
      <c r="A1945">
        <v>1934</v>
      </c>
      <c r="B1945" t="s">
        <v>85</v>
      </c>
      <c r="D1945" t="s">
        <v>161</v>
      </c>
      <c r="F1945" t="s">
        <v>10777</v>
      </c>
      <c r="G1945">
        <v>2</v>
      </c>
      <c r="H1945" t="s">
        <v>10778</v>
      </c>
      <c r="I1945" s="45" t="s">
        <v>6754</v>
      </c>
      <c r="J1945" s="122">
        <v>45734</v>
      </c>
      <c r="K1945" s="110" t="str">
        <f t="shared" si="27"/>
        <v>https://Estud2024.sawtoothsoftware.com/cgi-bin/ciwweb.pl?studyname=Estud2024&amp;ID=1934</v>
      </c>
      <c r="L1945" s="113">
        <v>45735</v>
      </c>
      <c r="M1945" s="45" t="s">
        <v>247</v>
      </c>
    </row>
    <row r="1946" spans="1:13">
      <c r="A1946">
        <v>1935</v>
      </c>
      <c r="B1946" t="s">
        <v>85</v>
      </c>
      <c r="D1946" t="s">
        <v>161</v>
      </c>
      <c r="F1946" t="s">
        <v>10779</v>
      </c>
      <c r="G1946">
        <v>2</v>
      </c>
      <c r="H1946" t="s">
        <v>10780</v>
      </c>
      <c r="I1946" s="45" t="s">
        <v>6754</v>
      </c>
      <c r="J1946" s="122">
        <v>45734</v>
      </c>
      <c r="K1946" s="110" t="str">
        <f t="shared" si="27"/>
        <v>https://Estud2024.sawtoothsoftware.com/cgi-bin/ciwweb.pl?studyname=Estud2024&amp;ID=1935</v>
      </c>
      <c r="L1946" s="113">
        <v>45735</v>
      </c>
      <c r="M1946" s="45" t="s">
        <v>247</v>
      </c>
    </row>
    <row r="1947" spans="1:13">
      <c r="A1947">
        <v>1936</v>
      </c>
      <c r="B1947" t="s">
        <v>85</v>
      </c>
      <c r="D1947" t="s">
        <v>161</v>
      </c>
      <c r="F1947" t="s">
        <v>10781</v>
      </c>
      <c r="G1947">
        <v>2</v>
      </c>
      <c r="H1947" t="s">
        <v>10782</v>
      </c>
      <c r="I1947" s="45" t="s">
        <v>6754</v>
      </c>
      <c r="J1947" s="122">
        <v>45734</v>
      </c>
      <c r="K1947" s="110" t="str">
        <f t="shared" si="27"/>
        <v>https://Estud2024.sawtoothsoftware.com/cgi-bin/ciwweb.pl?studyname=Estud2024&amp;ID=1936</v>
      </c>
      <c r="L1947" s="113">
        <v>45735</v>
      </c>
      <c r="M1947" s="45" t="s">
        <v>246</v>
      </c>
    </row>
    <row r="1948" spans="1:13">
      <c r="A1948">
        <v>1937</v>
      </c>
      <c r="B1948" t="s">
        <v>85</v>
      </c>
      <c r="D1948" t="s">
        <v>161</v>
      </c>
      <c r="F1948" t="s">
        <v>10783</v>
      </c>
      <c r="G1948">
        <v>2</v>
      </c>
      <c r="H1948" t="s">
        <v>10784</v>
      </c>
      <c r="I1948" s="45" t="s">
        <v>6754</v>
      </c>
      <c r="J1948" s="122">
        <v>45734</v>
      </c>
      <c r="K1948" s="110" t="str">
        <f t="shared" si="27"/>
        <v>https://Estud2024.sawtoothsoftware.com/cgi-bin/ciwweb.pl?studyname=Estud2024&amp;ID=1937</v>
      </c>
      <c r="L1948" s="113">
        <v>45735</v>
      </c>
      <c r="M1948" s="45" t="s">
        <v>246</v>
      </c>
    </row>
    <row r="1949" spans="1:13">
      <c r="A1949">
        <v>1938</v>
      </c>
      <c r="B1949" t="s">
        <v>85</v>
      </c>
      <c r="D1949" t="s">
        <v>161</v>
      </c>
      <c r="F1949" t="s">
        <v>10785</v>
      </c>
      <c r="G1949">
        <v>2</v>
      </c>
      <c r="H1949" t="s">
        <v>10786</v>
      </c>
      <c r="I1949" s="45" t="s">
        <v>6754</v>
      </c>
      <c r="J1949" s="122">
        <v>45734</v>
      </c>
      <c r="K1949" s="110" t="str">
        <f t="shared" si="27"/>
        <v>https://Estud2024.sawtoothsoftware.com/cgi-bin/ciwweb.pl?studyname=Estud2024&amp;ID=1938</v>
      </c>
      <c r="L1949" s="113">
        <v>45735</v>
      </c>
      <c r="M1949" s="45" t="s">
        <v>246</v>
      </c>
    </row>
    <row r="1950" spans="1:13">
      <c r="A1950">
        <v>1939</v>
      </c>
      <c r="B1950" t="s">
        <v>85</v>
      </c>
      <c r="D1950" t="s">
        <v>161</v>
      </c>
      <c r="F1950" t="s">
        <v>10787</v>
      </c>
      <c r="G1950">
        <v>2</v>
      </c>
      <c r="H1950" t="s">
        <v>10788</v>
      </c>
      <c r="I1950" s="45" t="s">
        <v>6754</v>
      </c>
      <c r="J1950" s="122">
        <v>45734</v>
      </c>
      <c r="K1950" s="110" t="str">
        <f t="shared" si="27"/>
        <v>https://Estud2024.sawtoothsoftware.com/cgi-bin/ciwweb.pl?studyname=Estud2024&amp;ID=1939</v>
      </c>
      <c r="L1950" s="113">
        <v>45735</v>
      </c>
      <c r="M1950" s="45" t="s">
        <v>246</v>
      </c>
    </row>
    <row r="1951" spans="1:13">
      <c r="A1951">
        <v>1940</v>
      </c>
      <c r="B1951" t="s">
        <v>85</v>
      </c>
      <c r="D1951" t="s">
        <v>161</v>
      </c>
      <c r="F1951" t="s">
        <v>10789</v>
      </c>
      <c r="G1951">
        <v>2</v>
      </c>
      <c r="H1951" t="s">
        <v>10790</v>
      </c>
      <c r="I1951" s="45" t="s">
        <v>6754</v>
      </c>
      <c r="J1951" s="122">
        <v>45734</v>
      </c>
      <c r="K1951" s="110" t="str">
        <f t="shared" si="27"/>
        <v>https://Estud2024.sawtoothsoftware.com/cgi-bin/ciwweb.pl?studyname=Estud2024&amp;ID=1940</v>
      </c>
      <c r="L1951" s="113">
        <v>45735</v>
      </c>
      <c r="M1951" s="45" t="s">
        <v>246</v>
      </c>
    </row>
    <row r="1952" spans="1:13">
      <c r="A1952">
        <v>1941</v>
      </c>
      <c r="B1952" t="s">
        <v>90</v>
      </c>
      <c r="D1952" t="s">
        <v>193</v>
      </c>
      <c r="F1952" t="s">
        <v>10791</v>
      </c>
      <c r="G1952">
        <v>2</v>
      </c>
      <c r="H1952" t="s">
        <v>10792</v>
      </c>
      <c r="I1952" s="45" t="s">
        <v>6754</v>
      </c>
      <c r="J1952" s="122">
        <v>45734</v>
      </c>
      <c r="K1952" s="110" t="str">
        <f t="shared" si="27"/>
        <v>https://Estud2024.sawtoothsoftware.com/cgi-bin/ciwweb.pl?studyname=Estud2024&amp;ID=1941</v>
      </c>
      <c r="L1952" s="113">
        <v>45735</v>
      </c>
      <c r="M1952" s="45" t="s">
        <v>247</v>
      </c>
    </row>
    <row r="1953" spans="1:13">
      <c r="A1953">
        <v>1942</v>
      </c>
      <c r="B1953" t="s">
        <v>90</v>
      </c>
      <c r="D1953" t="s">
        <v>193</v>
      </c>
      <c r="F1953" t="s">
        <v>10793</v>
      </c>
      <c r="G1953">
        <v>2</v>
      </c>
      <c r="H1953" t="s">
        <v>10794</v>
      </c>
      <c r="I1953" s="45" t="s">
        <v>6754</v>
      </c>
      <c r="J1953" s="122">
        <v>45734</v>
      </c>
      <c r="K1953" s="110" t="str">
        <f t="shared" si="27"/>
        <v>https://Estud2024.sawtoothsoftware.com/cgi-bin/ciwweb.pl?studyname=Estud2024&amp;ID=1942</v>
      </c>
      <c r="L1953" s="113">
        <v>45735</v>
      </c>
      <c r="M1953" s="45" t="s">
        <v>247</v>
      </c>
    </row>
    <row r="1954" spans="1:13">
      <c r="A1954">
        <v>1943</v>
      </c>
      <c r="B1954" t="s">
        <v>90</v>
      </c>
      <c r="D1954" t="s">
        <v>193</v>
      </c>
      <c r="F1954" t="s">
        <v>10795</v>
      </c>
      <c r="G1954">
        <v>2</v>
      </c>
      <c r="H1954" t="s">
        <v>10796</v>
      </c>
      <c r="I1954" s="45" t="s">
        <v>6754</v>
      </c>
      <c r="J1954" s="122">
        <v>45734</v>
      </c>
      <c r="K1954" s="110" t="str">
        <f t="shared" si="27"/>
        <v>https://Estud2024.sawtoothsoftware.com/cgi-bin/ciwweb.pl?studyname=Estud2024&amp;ID=1943</v>
      </c>
      <c r="L1954" s="113">
        <v>45735</v>
      </c>
      <c r="M1954" s="45" t="s">
        <v>247</v>
      </c>
    </row>
    <row r="1955" spans="1:13">
      <c r="A1955">
        <v>1944</v>
      </c>
      <c r="B1955" t="s">
        <v>90</v>
      </c>
      <c r="D1955" t="s">
        <v>193</v>
      </c>
      <c r="F1955" t="s">
        <v>10797</v>
      </c>
      <c r="G1955">
        <v>2</v>
      </c>
      <c r="H1955" t="s">
        <v>10798</v>
      </c>
      <c r="I1955" s="45" t="s">
        <v>6754</v>
      </c>
      <c r="J1955" s="122">
        <v>45734</v>
      </c>
      <c r="K1955" s="110" t="str">
        <f t="shared" si="27"/>
        <v>https://Estud2024.sawtoothsoftware.com/cgi-bin/ciwweb.pl?studyname=Estud2024&amp;ID=1944</v>
      </c>
      <c r="L1955" s="113">
        <v>45735</v>
      </c>
      <c r="M1955" s="45" t="s">
        <v>247</v>
      </c>
    </row>
    <row r="1956" spans="1:13">
      <c r="A1956">
        <v>1945</v>
      </c>
      <c r="B1956" t="s">
        <v>90</v>
      </c>
      <c r="D1956" t="s">
        <v>193</v>
      </c>
      <c r="F1956" t="s">
        <v>10799</v>
      </c>
      <c r="G1956">
        <v>2</v>
      </c>
      <c r="H1956" t="s">
        <v>10800</v>
      </c>
      <c r="I1956" s="45" t="s">
        <v>6754</v>
      </c>
      <c r="J1956" s="122">
        <v>45734</v>
      </c>
      <c r="K1956" s="110" t="str">
        <f t="shared" si="27"/>
        <v>https://Estud2024.sawtoothsoftware.com/cgi-bin/ciwweb.pl?studyname=Estud2024&amp;ID=1945</v>
      </c>
      <c r="L1956" s="113">
        <v>45735</v>
      </c>
      <c r="M1956" s="45" t="s">
        <v>247</v>
      </c>
    </row>
    <row r="1957" spans="1:13">
      <c r="A1957">
        <v>1946</v>
      </c>
      <c r="B1957" t="s">
        <v>90</v>
      </c>
      <c r="D1957" t="s">
        <v>193</v>
      </c>
      <c r="F1957" t="s">
        <v>10801</v>
      </c>
      <c r="G1957">
        <v>2</v>
      </c>
      <c r="H1957" t="s">
        <v>10802</v>
      </c>
      <c r="I1957" s="45" t="s">
        <v>6754</v>
      </c>
      <c r="J1957" s="122">
        <v>45734</v>
      </c>
      <c r="K1957" s="110" t="str">
        <f t="shared" si="27"/>
        <v>https://Estud2024.sawtoothsoftware.com/cgi-bin/ciwweb.pl?studyname=Estud2024&amp;ID=1946</v>
      </c>
      <c r="L1957" s="113">
        <v>45735</v>
      </c>
      <c r="M1957" s="45" t="s">
        <v>247</v>
      </c>
    </row>
    <row r="1958" spans="1:13">
      <c r="A1958">
        <v>1947</v>
      </c>
      <c r="B1958" t="s">
        <v>90</v>
      </c>
      <c r="D1958" t="s">
        <v>193</v>
      </c>
      <c r="F1958" t="s">
        <v>10803</v>
      </c>
      <c r="G1958">
        <v>2</v>
      </c>
      <c r="H1958" t="s">
        <v>10804</v>
      </c>
      <c r="I1958" s="45" t="s">
        <v>6754</v>
      </c>
      <c r="J1958" s="122">
        <v>45734</v>
      </c>
      <c r="K1958" s="110" t="str">
        <f t="shared" si="27"/>
        <v>https://Estud2024.sawtoothsoftware.com/cgi-bin/ciwweb.pl?studyname=Estud2024&amp;ID=1947</v>
      </c>
      <c r="L1958" s="113">
        <v>45735</v>
      </c>
      <c r="M1958" s="45" t="s">
        <v>247</v>
      </c>
    </row>
    <row r="1959" spans="1:13">
      <c r="A1959">
        <v>1948</v>
      </c>
      <c r="B1959" t="s">
        <v>90</v>
      </c>
      <c r="D1959" t="s">
        <v>193</v>
      </c>
      <c r="F1959" t="s">
        <v>10805</v>
      </c>
      <c r="G1959">
        <v>2</v>
      </c>
      <c r="H1959" t="s">
        <v>10806</v>
      </c>
      <c r="I1959" s="45" t="s">
        <v>6754</v>
      </c>
      <c r="J1959" s="122">
        <v>45734</v>
      </c>
      <c r="K1959" s="110" t="str">
        <f t="shared" si="27"/>
        <v>https://Estud2024.sawtoothsoftware.com/cgi-bin/ciwweb.pl?studyname=Estud2024&amp;ID=1948</v>
      </c>
      <c r="L1959" s="113">
        <v>45735</v>
      </c>
      <c r="M1959" s="45" t="s">
        <v>247</v>
      </c>
    </row>
    <row r="1960" spans="1:13">
      <c r="A1960">
        <v>1949</v>
      </c>
      <c r="B1960" t="s">
        <v>90</v>
      </c>
      <c r="D1960" t="s">
        <v>193</v>
      </c>
      <c r="F1960" t="s">
        <v>10807</v>
      </c>
      <c r="G1960">
        <v>2</v>
      </c>
      <c r="H1960" t="s">
        <v>10808</v>
      </c>
      <c r="I1960" s="45" t="s">
        <v>6754</v>
      </c>
      <c r="J1960" s="122">
        <v>45734</v>
      </c>
      <c r="K1960" s="110" t="str">
        <f t="shared" si="27"/>
        <v>https://Estud2024.sawtoothsoftware.com/cgi-bin/ciwweb.pl?studyname=Estud2024&amp;ID=1949</v>
      </c>
      <c r="L1960" s="113">
        <v>45735</v>
      </c>
      <c r="M1960" s="45" t="s">
        <v>246</v>
      </c>
    </row>
    <row r="1961" spans="1:13">
      <c r="A1961">
        <v>1950</v>
      </c>
      <c r="B1961" t="s">
        <v>90</v>
      </c>
      <c r="D1961" t="s">
        <v>193</v>
      </c>
      <c r="F1961" t="s">
        <v>10809</v>
      </c>
      <c r="G1961">
        <v>2</v>
      </c>
      <c r="H1961" t="s">
        <v>10810</v>
      </c>
      <c r="I1961" s="45" t="s">
        <v>6754</v>
      </c>
      <c r="J1961" s="122">
        <v>45734</v>
      </c>
      <c r="K1961" s="110" t="str">
        <f t="shared" si="27"/>
        <v>https://Estud2024.sawtoothsoftware.com/cgi-bin/ciwweb.pl?studyname=Estud2024&amp;ID=1950</v>
      </c>
      <c r="L1961" s="113">
        <v>45735</v>
      </c>
      <c r="M1961" s="45" t="s">
        <v>247</v>
      </c>
    </row>
    <row r="1962" spans="1:13">
      <c r="A1962">
        <v>1951</v>
      </c>
      <c r="B1962" t="s">
        <v>90</v>
      </c>
      <c r="D1962" t="s">
        <v>193</v>
      </c>
      <c r="F1962" t="s">
        <v>10811</v>
      </c>
      <c r="G1962">
        <v>2</v>
      </c>
      <c r="H1962" t="s">
        <v>10812</v>
      </c>
      <c r="I1962" s="45" t="s">
        <v>6754</v>
      </c>
      <c r="J1962" s="122">
        <v>45734</v>
      </c>
      <c r="K1962" s="110" t="str">
        <f t="shared" si="27"/>
        <v>https://Estud2024.sawtoothsoftware.com/cgi-bin/ciwweb.pl?studyname=Estud2024&amp;ID=1951</v>
      </c>
      <c r="L1962" s="113">
        <v>45735</v>
      </c>
      <c r="M1962" s="45" t="s">
        <v>247</v>
      </c>
    </row>
    <row r="1963" spans="1:13">
      <c r="A1963">
        <v>1952</v>
      </c>
      <c r="B1963" t="s">
        <v>90</v>
      </c>
      <c r="D1963" t="s">
        <v>193</v>
      </c>
      <c r="F1963" t="s">
        <v>10813</v>
      </c>
      <c r="G1963">
        <v>2</v>
      </c>
      <c r="H1963" t="s">
        <v>10814</v>
      </c>
      <c r="I1963" s="45" t="s">
        <v>6754</v>
      </c>
      <c r="J1963" s="122">
        <v>45734</v>
      </c>
      <c r="K1963" s="110" t="str">
        <f t="shared" si="27"/>
        <v>https://Estud2024.sawtoothsoftware.com/cgi-bin/ciwweb.pl?studyname=Estud2024&amp;ID=1952</v>
      </c>
      <c r="L1963" s="113">
        <v>45735</v>
      </c>
      <c r="M1963" s="45" t="s">
        <v>247</v>
      </c>
    </row>
    <row r="1964" spans="1:13">
      <c r="A1964">
        <v>1953</v>
      </c>
      <c r="B1964" t="s">
        <v>90</v>
      </c>
      <c r="D1964" t="s">
        <v>193</v>
      </c>
      <c r="F1964" t="s">
        <v>10815</v>
      </c>
      <c r="G1964">
        <v>2</v>
      </c>
      <c r="H1964" t="s">
        <v>10816</v>
      </c>
      <c r="I1964" s="45" t="s">
        <v>6754</v>
      </c>
      <c r="J1964" s="122">
        <v>45734</v>
      </c>
      <c r="K1964" s="110" t="str">
        <f t="shared" si="27"/>
        <v>https://Estud2024.sawtoothsoftware.com/cgi-bin/ciwweb.pl?studyname=Estud2024&amp;ID=1953</v>
      </c>
      <c r="L1964" s="113">
        <v>45735</v>
      </c>
      <c r="M1964" s="45" t="s">
        <v>247</v>
      </c>
    </row>
    <row r="1965" spans="1:13">
      <c r="A1965">
        <v>1954</v>
      </c>
      <c r="B1965" t="s">
        <v>90</v>
      </c>
      <c r="D1965" t="s">
        <v>193</v>
      </c>
      <c r="F1965" t="s">
        <v>10817</v>
      </c>
      <c r="G1965">
        <v>2</v>
      </c>
      <c r="H1965" t="s">
        <v>10818</v>
      </c>
      <c r="I1965" s="45" t="s">
        <v>6754</v>
      </c>
      <c r="J1965" s="122">
        <v>45734</v>
      </c>
      <c r="K1965" s="110" t="str">
        <f t="shared" si="27"/>
        <v>https://Estud2024.sawtoothsoftware.com/cgi-bin/ciwweb.pl?studyname=Estud2024&amp;ID=1954</v>
      </c>
      <c r="L1965" s="113">
        <v>45735</v>
      </c>
      <c r="M1965" s="45" t="s">
        <v>246</v>
      </c>
    </row>
    <row r="1966" spans="1:13">
      <c r="A1966">
        <v>1955</v>
      </c>
      <c r="B1966" t="s">
        <v>90</v>
      </c>
      <c r="D1966" t="s">
        <v>193</v>
      </c>
      <c r="F1966" t="s">
        <v>10819</v>
      </c>
      <c r="G1966">
        <v>2</v>
      </c>
      <c r="H1966" t="s">
        <v>10820</v>
      </c>
      <c r="I1966" s="45" t="s">
        <v>6754</v>
      </c>
      <c r="J1966" s="122">
        <v>45734</v>
      </c>
      <c r="K1966" s="110" t="str">
        <f t="shared" si="27"/>
        <v>https://Estud2024.sawtoothsoftware.com/cgi-bin/ciwweb.pl?studyname=Estud2024&amp;ID=1955</v>
      </c>
      <c r="L1966" s="113">
        <v>45735</v>
      </c>
      <c r="M1966" s="45" t="s">
        <v>247</v>
      </c>
    </row>
    <row r="1967" spans="1:13">
      <c r="A1967">
        <v>1956</v>
      </c>
      <c r="B1967" t="s">
        <v>90</v>
      </c>
      <c r="D1967" t="s">
        <v>193</v>
      </c>
      <c r="F1967" t="s">
        <v>10821</v>
      </c>
      <c r="G1967">
        <v>2</v>
      </c>
      <c r="H1967" t="s">
        <v>10822</v>
      </c>
      <c r="I1967" s="45" t="s">
        <v>6754</v>
      </c>
      <c r="J1967" s="122">
        <v>45734</v>
      </c>
      <c r="K1967" s="110" t="str">
        <f t="shared" si="27"/>
        <v>https://Estud2024.sawtoothsoftware.com/cgi-bin/ciwweb.pl?studyname=Estud2024&amp;ID=1956</v>
      </c>
      <c r="L1967" s="113">
        <v>45735</v>
      </c>
      <c r="M1967" s="45" t="s">
        <v>247</v>
      </c>
    </row>
    <row r="1968" spans="1:13">
      <c r="A1968">
        <v>1957</v>
      </c>
      <c r="B1968" t="s">
        <v>90</v>
      </c>
      <c r="D1968" t="s">
        <v>193</v>
      </c>
      <c r="F1968" t="s">
        <v>10823</v>
      </c>
      <c r="G1968">
        <v>2</v>
      </c>
      <c r="H1968" t="s">
        <v>10824</v>
      </c>
      <c r="I1968" s="45" t="s">
        <v>6754</v>
      </c>
      <c r="J1968" s="122">
        <v>45734</v>
      </c>
      <c r="K1968" s="110" t="str">
        <f t="shared" si="27"/>
        <v>https://Estud2024.sawtoothsoftware.com/cgi-bin/ciwweb.pl?studyname=Estud2024&amp;ID=1957</v>
      </c>
      <c r="L1968" s="113">
        <v>45735</v>
      </c>
      <c r="M1968" s="45" t="s">
        <v>247</v>
      </c>
    </row>
    <row r="1969" spans="1:13">
      <c r="A1969">
        <v>1958</v>
      </c>
      <c r="B1969" t="s">
        <v>90</v>
      </c>
      <c r="D1969" t="s">
        <v>193</v>
      </c>
      <c r="F1969" t="s">
        <v>10825</v>
      </c>
      <c r="G1969">
        <v>2</v>
      </c>
      <c r="H1969" t="s">
        <v>10826</v>
      </c>
      <c r="I1969" s="45" t="s">
        <v>6754</v>
      </c>
      <c r="J1969" s="122">
        <v>45734</v>
      </c>
      <c r="K1969" s="110" t="str">
        <f t="shared" si="27"/>
        <v>https://Estud2024.sawtoothsoftware.com/cgi-bin/ciwweb.pl?studyname=Estud2024&amp;ID=1958</v>
      </c>
      <c r="L1969" s="113">
        <v>45735</v>
      </c>
      <c r="M1969" s="45" t="s">
        <v>247</v>
      </c>
    </row>
    <row r="1970" spans="1:13">
      <c r="A1970">
        <v>1959</v>
      </c>
      <c r="B1970" t="s">
        <v>90</v>
      </c>
      <c r="D1970" t="s">
        <v>193</v>
      </c>
      <c r="F1970" t="s">
        <v>10827</v>
      </c>
      <c r="G1970">
        <v>4</v>
      </c>
      <c r="H1970" t="s">
        <v>10828</v>
      </c>
      <c r="I1970" s="45" t="s">
        <v>6754</v>
      </c>
      <c r="J1970" s="122">
        <v>45734</v>
      </c>
      <c r="K1970" s="110" t="str">
        <f t="shared" si="27"/>
        <v>https://Estud2024.sawtoothsoftware.com/cgi-bin/ciwweb.pl?studyname=Estud2024&amp;ID=1959</v>
      </c>
      <c r="L1970" s="113">
        <v>45735</v>
      </c>
      <c r="M1970" s="45" t="s">
        <v>247</v>
      </c>
    </row>
    <row r="1971" spans="1:13">
      <c r="A1971">
        <v>1960</v>
      </c>
      <c r="B1971" t="s">
        <v>90</v>
      </c>
      <c r="D1971" t="s">
        <v>193</v>
      </c>
      <c r="F1971" t="s">
        <v>10829</v>
      </c>
      <c r="G1971">
        <v>4</v>
      </c>
      <c r="H1971" t="s">
        <v>10830</v>
      </c>
      <c r="I1971" s="45" t="s">
        <v>6754</v>
      </c>
      <c r="J1971" s="122">
        <v>45734</v>
      </c>
      <c r="K1971" s="110" t="str">
        <f t="shared" si="27"/>
        <v>https://Estud2024.sawtoothsoftware.com/cgi-bin/ciwweb.pl?studyname=Estud2024&amp;ID=1960</v>
      </c>
      <c r="L1971" s="113">
        <v>45735</v>
      </c>
      <c r="M1971" s="45" t="s">
        <v>247</v>
      </c>
    </row>
    <row r="1972" spans="1:13">
      <c r="A1972">
        <v>1961</v>
      </c>
      <c r="B1972" t="s">
        <v>90</v>
      </c>
      <c r="D1972" t="s">
        <v>193</v>
      </c>
      <c r="F1972" t="s">
        <v>10831</v>
      </c>
      <c r="G1972">
        <v>4</v>
      </c>
      <c r="H1972" t="s">
        <v>10832</v>
      </c>
      <c r="I1972" s="45" t="s">
        <v>6754</v>
      </c>
      <c r="J1972" s="122">
        <v>45734</v>
      </c>
      <c r="K1972" s="110" t="str">
        <f t="shared" si="27"/>
        <v>https://Estud2024.sawtoothsoftware.com/cgi-bin/ciwweb.pl?studyname=Estud2024&amp;ID=1961</v>
      </c>
      <c r="L1972" s="113">
        <v>45735</v>
      </c>
      <c r="M1972" s="45" t="s">
        <v>247</v>
      </c>
    </row>
    <row r="1973" spans="1:13">
      <c r="A1973">
        <v>1962</v>
      </c>
      <c r="B1973" t="s">
        <v>90</v>
      </c>
      <c r="D1973" t="s">
        <v>193</v>
      </c>
      <c r="F1973" t="s">
        <v>10833</v>
      </c>
      <c r="G1973">
        <v>4</v>
      </c>
      <c r="H1973" t="s">
        <v>10834</v>
      </c>
      <c r="I1973" s="45" t="s">
        <v>6754</v>
      </c>
      <c r="J1973" s="122">
        <v>45734</v>
      </c>
      <c r="K1973" s="110" t="str">
        <f t="shared" si="27"/>
        <v>https://Estud2024.sawtoothsoftware.com/cgi-bin/ciwweb.pl?studyname=Estud2024&amp;ID=1962</v>
      </c>
      <c r="L1973" s="113">
        <v>45735</v>
      </c>
      <c r="M1973" s="45" t="s">
        <v>246</v>
      </c>
    </row>
    <row r="1974" spans="1:13">
      <c r="A1974">
        <v>1963</v>
      </c>
      <c r="B1974" t="s">
        <v>90</v>
      </c>
      <c r="D1974" t="s">
        <v>193</v>
      </c>
      <c r="F1974" t="s">
        <v>10835</v>
      </c>
      <c r="G1974">
        <v>4</v>
      </c>
      <c r="H1974" t="s">
        <v>10836</v>
      </c>
      <c r="I1974" s="45" t="s">
        <v>6754</v>
      </c>
      <c r="J1974" s="122">
        <v>45734</v>
      </c>
      <c r="K1974" s="110" t="str">
        <f t="shared" si="27"/>
        <v>https://Estud2024.sawtoothsoftware.com/cgi-bin/ciwweb.pl?studyname=Estud2024&amp;ID=1963</v>
      </c>
      <c r="L1974" s="113">
        <v>45735</v>
      </c>
      <c r="M1974" s="45" t="s">
        <v>247</v>
      </c>
    </row>
    <row r="1975" spans="1:13">
      <c r="A1975">
        <v>1964</v>
      </c>
      <c r="B1975" t="s">
        <v>90</v>
      </c>
      <c r="D1975" t="s">
        <v>193</v>
      </c>
      <c r="F1975" t="s">
        <v>10837</v>
      </c>
      <c r="G1975">
        <v>4</v>
      </c>
      <c r="H1975" t="s">
        <v>10838</v>
      </c>
      <c r="I1975" s="45" t="s">
        <v>6754</v>
      </c>
      <c r="J1975" s="122">
        <v>45734</v>
      </c>
      <c r="K1975" s="110" t="str">
        <f t="shared" si="27"/>
        <v>https://Estud2024.sawtoothsoftware.com/cgi-bin/ciwweb.pl?studyname=Estud2024&amp;ID=1964</v>
      </c>
      <c r="L1975" s="113">
        <v>45735</v>
      </c>
      <c r="M1975" s="45" t="s">
        <v>247</v>
      </c>
    </row>
    <row r="1976" spans="1:13">
      <c r="A1976">
        <v>1965</v>
      </c>
      <c r="B1976" t="s">
        <v>90</v>
      </c>
      <c r="D1976" t="s">
        <v>193</v>
      </c>
      <c r="F1976" t="s">
        <v>10839</v>
      </c>
      <c r="G1976">
        <v>4</v>
      </c>
      <c r="H1976" t="s">
        <v>10840</v>
      </c>
      <c r="I1976" s="45" t="s">
        <v>6754</v>
      </c>
      <c r="J1976" s="122">
        <v>45734</v>
      </c>
      <c r="K1976" s="110" t="str">
        <f t="shared" si="27"/>
        <v>https://Estud2024.sawtoothsoftware.com/cgi-bin/ciwweb.pl?studyname=Estud2024&amp;ID=1965</v>
      </c>
      <c r="L1976" s="113">
        <v>45735</v>
      </c>
      <c r="M1976" s="45" t="s">
        <v>247</v>
      </c>
    </row>
    <row r="1977" spans="1:13">
      <c r="A1977">
        <v>1966</v>
      </c>
      <c r="B1977" t="s">
        <v>90</v>
      </c>
      <c r="D1977" t="s">
        <v>193</v>
      </c>
      <c r="F1977" t="s">
        <v>10841</v>
      </c>
      <c r="G1977">
        <v>4</v>
      </c>
      <c r="H1977" t="s">
        <v>10842</v>
      </c>
      <c r="I1977" s="45" t="s">
        <v>6754</v>
      </c>
      <c r="J1977" s="122">
        <v>45734</v>
      </c>
      <c r="K1977" s="110" t="str">
        <f t="shared" si="27"/>
        <v>https://Estud2024.sawtoothsoftware.com/cgi-bin/ciwweb.pl?studyname=Estud2024&amp;ID=1966</v>
      </c>
      <c r="L1977" s="113">
        <v>45735</v>
      </c>
      <c r="M1977" s="45" t="s">
        <v>247</v>
      </c>
    </row>
    <row r="1978" spans="1:13">
      <c r="A1978">
        <v>1967</v>
      </c>
      <c r="B1978" t="s">
        <v>138</v>
      </c>
      <c r="D1978" t="s">
        <v>10843</v>
      </c>
      <c r="F1978" t="s">
        <v>10844</v>
      </c>
      <c r="G1978">
        <v>2</v>
      </c>
      <c r="H1978" t="s">
        <v>10845</v>
      </c>
      <c r="I1978" s="45" t="s">
        <v>6754</v>
      </c>
      <c r="J1978" s="122">
        <v>45735</v>
      </c>
      <c r="K1978" s="110" t="str">
        <f t="shared" si="27"/>
        <v>https://Estud2024.sawtoothsoftware.com/cgi-bin/ciwweb.pl?studyname=Estud2024&amp;ID=1967</v>
      </c>
      <c r="L1978" s="113">
        <v>45737</v>
      </c>
      <c r="M1978" s="45" t="s">
        <v>247</v>
      </c>
    </row>
    <row r="1979" spans="1:13">
      <c r="A1979">
        <v>1968</v>
      </c>
      <c r="B1979" t="s">
        <v>138</v>
      </c>
      <c r="D1979" t="s">
        <v>10843</v>
      </c>
      <c r="F1979" t="s">
        <v>10846</v>
      </c>
      <c r="G1979">
        <v>2</v>
      </c>
      <c r="H1979" t="s">
        <v>10847</v>
      </c>
      <c r="I1979" s="45" t="s">
        <v>6754</v>
      </c>
      <c r="J1979" s="122">
        <v>45735</v>
      </c>
      <c r="K1979" s="110" t="str">
        <f t="shared" si="27"/>
        <v>https://Estud2024.sawtoothsoftware.com/cgi-bin/ciwweb.pl?studyname=Estud2024&amp;ID=1968</v>
      </c>
      <c r="L1979" s="113">
        <v>45737</v>
      </c>
      <c r="M1979" s="45" t="s">
        <v>246</v>
      </c>
    </row>
    <row r="1980" spans="1:13">
      <c r="A1980">
        <v>1969</v>
      </c>
      <c r="B1980" t="s">
        <v>138</v>
      </c>
      <c r="D1980" t="s">
        <v>10843</v>
      </c>
      <c r="F1980" t="s">
        <v>10848</v>
      </c>
      <c r="G1980">
        <v>2</v>
      </c>
      <c r="H1980" t="s">
        <v>10849</v>
      </c>
      <c r="I1980" s="45" t="s">
        <v>6754</v>
      </c>
      <c r="J1980" s="122">
        <v>45735</v>
      </c>
      <c r="K1980" s="110" t="str">
        <f t="shared" si="27"/>
        <v>https://Estud2024.sawtoothsoftware.com/cgi-bin/ciwweb.pl?studyname=Estud2024&amp;ID=1969</v>
      </c>
      <c r="L1980" s="113">
        <v>45737</v>
      </c>
      <c r="M1980" s="45" t="s">
        <v>247</v>
      </c>
    </row>
    <row r="1981" spans="1:13">
      <c r="A1981">
        <v>1970</v>
      </c>
      <c r="B1981" t="s">
        <v>138</v>
      </c>
      <c r="D1981" t="s">
        <v>10843</v>
      </c>
      <c r="F1981" t="s">
        <v>10850</v>
      </c>
      <c r="G1981">
        <v>2</v>
      </c>
      <c r="H1981" t="s">
        <v>10851</v>
      </c>
      <c r="I1981" s="45" t="s">
        <v>6754</v>
      </c>
      <c r="J1981" s="122">
        <v>45735</v>
      </c>
      <c r="K1981" s="110" t="str">
        <f t="shared" si="27"/>
        <v>https://Estud2024.sawtoothsoftware.com/cgi-bin/ciwweb.pl?studyname=Estud2024&amp;ID=1970</v>
      </c>
      <c r="L1981" s="113">
        <v>45737</v>
      </c>
      <c r="M1981" s="45" t="s">
        <v>247</v>
      </c>
    </row>
    <row r="1982" spans="1:13">
      <c r="A1982">
        <v>1971</v>
      </c>
      <c r="B1982" t="s">
        <v>138</v>
      </c>
      <c r="D1982" t="s">
        <v>10843</v>
      </c>
      <c r="F1982" t="s">
        <v>10852</v>
      </c>
      <c r="G1982">
        <v>2</v>
      </c>
      <c r="H1982" t="s">
        <v>10853</v>
      </c>
      <c r="I1982" s="45" t="s">
        <v>6754</v>
      </c>
      <c r="J1982" s="122">
        <v>45735</v>
      </c>
      <c r="K1982" s="110" t="str">
        <f t="shared" si="27"/>
        <v>https://Estud2024.sawtoothsoftware.com/cgi-bin/ciwweb.pl?studyname=Estud2024&amp;ID=1971</v>
      </c>
      <c r="L1982" s="113">
        <v>45737</v>
      </c>
      <c r="M1982" s="45" t="s">
        <v>247</v>
      </c>
    </row>
    <row r="1983" spans="1:13">
      <c r="A1983">
        <v>1972</v>
      </c>
      <c r="B1983" t="s">
        <v>138</v>
      </c>
      <c r="D1983" t="s">
        <v>10843</v>
      </c>
      <c r="F1983" t="s">
        <v>10854</v>
      </c>
      <c r="G1983">
        <v>2</v>
      </c>
      <c r="H1983" t="s">
        <v>10855</v>
      </c>
      <c r="I1983" s="45" t="s">
        <v>6754</v>
      </c>
      <c r="J1983" s="122">
        <v>45735</v>
      </c>
      <c r="K1983" s="110" t="str">
        <f t="shared" si="27"/>
        <v>https://Estud2024.sawtoothsoftware.com/cgi-bin/ciwweb.pl?studyname=Estud2024&amp;ID=1972</v>
      </c>
      <c r="L1983" s="113">
        <v>45737</v>
      </c>
      <c r="M1983" s="45" t="s">
        <v>247</v>
      </c>
    </row>
    <row r="1984" spans="1:13">
      <c r="A1984">
        <v>1973</v>
      </c>
      <c r="B1984" t="s">
        <v>138</v>
      </c>
      <c r="D1984" t="s">
        <v>10843</v>
      </c>
      <c r="F1984" t="s">
        <v>10856</v>
      </c>
      <c r="G1984">
        <v>2</v>
      </c>
      <c r="H1984" t="s">
        <v>10857</v>
      </c>
      <c r="I1984" s="45" t="s">
        <v>6754</v>
      </c>
      <c r="J1984" s="122">
        <v>45735</v>
      </c>
      <c r="K1984" s="110" t="str">
        <f t="shared" si="27"/>
        <v>https://Estud2024.sawtoothsoftware.com/cgi-bin/ciwweb.pl?studyname=Estud2024&amp;ID=1973</v>
      </c>
      <c r="L1984" s="113">
        <v>45737</v>
      </c>
      <c r="M1984" s="45" t="s">
        <v>247</v>
      </c>
    </row>
    <row r="1985" spans="1:13">
      <c r="A1985">
        <v>1974</v>
      </c>
      <c r="B1985" t="s">
        <v>138</v>
      </c>
      <c r="D1985" t="s">
        <v>10843</v>
      </c>
      <c r="F1985" t="s">
        <v>10858</v>
      </c>
      <c r="G1985">
        <v>2</v>
      </c>
      <c r="H1985" t="s">
        <v>10859</v>
      </c>
      <c r="I1985" s="45" t="s">
        <v>6754</v>
      </c>
      <c r="J1985" s="122">
        <v>45735</v>
      </c>
      <c r="K1985" s="110" t="str">
        <f t="shared" si="27"/>
        <v>https://Estud2024.sawtoothsoftware.com/cgi-bin/ciwweb.pl?studyname=Estud2024&amp;ID=1974</v>
      </c>
      <c r="L1985" s="113">
        <v>45737</v>
      </c>
      <c r="M1985" s="45" t="s">
        <v>247</v>
      </c>
    </row>
    <row r="1986" spans="1:13">
      <c r="A1986">
        <v>1975</v>
      </c>
      <c r="B1986" t="s">
        <v>138</v>
      </c>
      <c r="D1986" t="s">
        <v>10843</v>
      </c>
      <c r="F1986" t="s">
        <v>10860</v>
      </c>
      <c r="G1986">
        <v>2</v>
      </c>
      <c r="H1986" t="s">
        <v>10861</v>
      </c>
      <c r="I1986" s="45" t="s">
        <v>6754</v>
      </c>
      <c r="J1986" s="122">
        <v>45735</v>
      </c>
      <c r="K1986" s="110" t="str">
        <f t="shared" si="27"/>
        <v>https://Estud2024.sawtoothsoftware.com/cgi-bin/ciwweb.pl?studyname=Estud2024&amp;ID=1975</v>
      </c>
      <c r="L1986" s="113">
        <v>45737</v>
      </c>
      <c r="M1986" s="45" t="s">
        <v>247</v>
      </c>
    </row>
    <row r="1987" spans="1:13">
      <c r="A1987">
        <v>1976</v>
      </c>
      <c r="B1987" t="s">
        <v>138</v>
      </c>
      <c r="D1987" t="s">
        <v>10843</v>
      </c>
      <c r="F1987" t="s">
        <v>10862</v>
      </c>
      <c r="G1987">
        <v>2</v>
      </c>
      <c r="H1987" t="s">
        <v>10863</v>
      </c>
      <c r="I1987" s="45" t="s">
        <v>6754</v>
      </c>
      <c r="J1987" s="122">
        <v>45735</v>
      </c>
      <c r="K1987" s="110" t="str">
        <f t="shared" si="27"/>
        <v>https://Estud2024.sawtoothsoftware.com/cgi-bin/ciwweb.pl?studyname=Estud2024&amp;ID=1976</v>
      </c>
      <c r="L1987" s="113">
        <v>45737</v>
      </c>
      <c r="M1987" s="45" t="s">
        <v>247</v>
      </c>
    </row>
    <row r="1988" spans="1:13">
      <c r="A1988">
        <v>1977</v>
      </c>
      <c r="B1988" t="s">
        <v>138</v>
      </c>
      <c r="D1988" t="s">
        <v>10843</v>
      </c>
      <c r="F1988" t="s">
        <v>10864</v>
      </c>
      <c r="G1988">
        <v>2</v>
      </c>
      <c r="H1988" t="s">
        <v>10865</v>
      </c>
      <c r="I1988" s="45" t="s">
        <v>6754</v>
      </c>
      <c r="J1988" s="122">
        <v>45735</v>
      </c>
      <c r="K1988" s="110" t="str">
        <f t="shared" si="27"/>
        <v>https://Estud2024.sawtoothsoftware.com/cgi-bin/ciwweb.pl?studyname=Estud2024&amp;ID=1977</v>
      </c>
      <c r="L1988" s="113">
        <v>45737</v>
      </c>
      <c r="M1988" s="45" t="s">
        <v>247</v>
      </c>
    </row>
    <row r="1989" spans="1:13">
      <c r="A1989">
        <v>1978</v>
      </c>
      <c r="B1989" t="s">
        <v>138</v>
      </c>
      <c r="D1989" t="s">
        <v>10843</v>
      </c>
      <c r="F1989" t="s">
        <v>10866</v>
      </c>
      <c r="G1989">
        <v>2</v>
      </c>
      <c r="H1989" t="s">
        <v>10867</v>
      </c>
      <c r="I1989" s="45" t="s">
        <v>6754</v>
      </c>
      <c r="J1989" s="122">
        <v>45735</v>
      </c>
      <c r="K1989" s="110" t="str">
        <f t="shared" si="27"/>
        <v>https://Estud2024.sawtoothsoftware.com/cgi-bin/ciwweb.pl?studyname=Estud2024&amp;ID=1978</v>
      </c>
      <c r="L1989" s="113">
        <v>45737</v>
      </c>
      <c r="M1989" s="45" t="s">
        <v>247</v>
      </c>
    </row>
    <row r="1990" spans="1:13">
      <c r="A1990">
        <v>1979</v>
      </c>
      <c r="B1990" t="s">
        <v>138</v>
      </c>
      <c r="D1990" t="s">
        <v>10843</v>
      </c>
      <c r="F1990" t="s">
        <v>10868</v>
      </c>
      <c r="G1990">
        <v>2</v>
      </c>
      <c r="H1990" t="s">
        <v>10869</v>
      </c>
      <c r="I1990" s="45" t="s">
        <v>6754</v>
      </c>
      <c r="J1990" s="122">
        <v>45735</v>
      </c>
      <c r="K1990" s="110" t="str">
        <f t="shared" si="27"/>
        <v>https://Estud2024.sawtoothsoftware.com/cgi-bin/ciwweb.pl?studyname=Estud2024&amp;ID=1979</v>
      </c>
      <c r="L1990" s="113">
        <v>45737</v>
      </c>
      <c r="M1990" s="45" t="s">
        <v>247</v>
      </c>
    </row>
    <row r="1991" spans="1:13">
      <c r="A1991">
        <v>1980</v>
      </c>
      <c r="B1991" t="s">
        <v>138</v>
      </c>
      <c r="D1991" t="s">
        <v>10843</v>
      </c>
      <c r="F1991" t="s">
        <v>10870</v>
      </c>
      <c r="G1991">
        <v>2</v>
      </c>
      <c r="H1991" t="s">
        <v>10871</v>
      </c>
      <c r="I1991" s="45" t="s">
        <v>6754</v>
      </c>
      <c r="J1991" s="122">
        <v>45735</v>
      </c>
      <c r="K1991" s="110" t="str">
        <f t="shared" si="27"/>
        <v>https://Estud2024.sawtoothsoftware.com/cgi-bin/ciwweb.pl?studyname=Estud2024&amp;ID=1980</v>
      </c>
      <c r="L1991" s="113">
        <v>45737</v>
      </c>
      <c r="M1991" s="45" t="s">
        <v>247</v>
      </c>
    </row>
    <row r="1992" spans="1:13">
      <c r="A1992">
        <v>1981</v>
      </c>
      <c r="B1992" t="s">
        <v>77</v>
      </c>
      <c r="D1992" t="s">
        <v>98</v>
      </c>
      <c r="F1992" t="s">
        <v>10872</v>
      </c>
      <c r="G1992">
        <v>2</v>
      </c>
      <c r="H1992" t="s">
        <v>10873</v>
      </c>
      <c r="I1992" s="45" t="s">
        <v>6754</v>
      </c>
      <c r="J1992" s="122">
        <v>45736</v>
      </c>
      <c r="K1992" s="110" t="str">
        <f t="shared" si="27"/>
        <v>https://Estud2024.sawtoothsoftware.com/cgi-bin/ciwweb.pl?studyname=Estud2024&amp;ID=1981</v>
      </c>
      <c r="L1992" s="113">
        <v>45737</v>
      </c>
      <c r="M1992" s="45" t="s">
        <v>246</v>
      </c>
    </row>
    <row r="1993" spans="1:13">
      <c r="A1993">
        <v>1982</v>
      </c>
      <c r="B1993" t="s">
        <v>77</v>
      </c>
      <c r="D1993" t="s">
        <v>98</v>
      </c>
      <c r="F1993" t="s">
        <v>10874</v>
      </c>
      <c r="G1993">
        <v>2</v>
      </c>
      <c r="H1993" t="s">
        <v>10875</v>
      </c>
      <c r="I1993" s="45" t="s">
        <v>6754</v>
      </c>
      <c r="J1993" s="122">
        <v>45736</v>
      </c>
      <c r="K1993" s="110" t="str">
        <f t="shared" si="27"/>
        <v>https://Estud2024.sawtoothsoftware.com/cgi-bin/ciwweb.pl?studyname=Estud2024&amp;ID=1982</v>
      </c>
      <c r="L1993" s="113">
        <v>45737</v>
      </c>
      <c r="M1993" s="45" t="s">
        <v>246</v>
      </c>
    </row>
    <row r="1994" spans="1:13">
      <c r="A1994">
        <v>1983</v>
      </c>
      <c r="B1994" t="s">
        <v>77</v>
      </c>
      <c r="D1994" t="s">
        <v>98</v>
      </c>
      <c r="F1994" t="s">
        <v>10876</v>
      </c>
      <c r="G1994">
        <v>2</v>
      </c>
      <c r="H1994" t="s">
        <v>10877</v>
      </c>
      <c r="I1994" s="45" t="s">
        <v>6754</v>
      </c>
      <c r="J1994" s="122">
        <v>45736</v>
      </c>
      <c r="K1994" s="110" t="str">
        <f t="shared" si="27"/>
        <v>https://Estud2024.sawtoothsoftware.com/cgi-bin/ciwweb.pl?studyname=Estud2024&amp;ID=1983</v>
      </c>
      <c r="L1994" s="113">
        <v>45737</v>
      </c>
      <c r="M1994" s="45" t="s">
        <v>246</v>
      </c>
    </row>
    <row r="1995" spans="1:13">
      <c r="A1995">
        <v>1984</v>
      </c>
      <c r="B1995" t="s">
        <v>77</v>
      </c>
      <c r="D1995" t="s">
        <v>98</v>
      </c>
      <c r="F1995" t="s">
        <v>10878</v>
      </c>
      <c r="G1995">
        <v>2</v>
      </c>
      <c r="H1995" t="s">
        <v>10879</v>
      </c>
      <c r="I1995" s="45" t="s">
        <v>6754</v>
      </c>
      <c r="J1995" s="122">
        <v>45736</v>
      </c>
      <c r="K1995" s="110" t="str">
        <f t="shared" si="27"/>
        <v>https://Estud2024.sawtoothsoftware.com/cgi-bin/ciwweb.pl?studyname=Estud2024&amp;ID=1984</v>
      </c>
      <c r="L1995" s="113">
        <v>45737</v>
      </c>
      <c r="M1995" s="45" t="s">
        <v>246</v>
      </c>
    </row>
    <row r="1996" spans="1:13">
      <c r="A1996">
        <v>1985</v>
      </c>
      <c r="B1996" t="s">
        <v>77</v>
      </c>
      <c r="D1996" t="s">
        <v>98</v>
      </c>
      <c r="F1996" t="s">
        <v>10880</v>
      </c>
      <c r="G1996">
        <v>4</v>
      </c>
      <c r="H1996" t="s">
        <v>10881</v>
      </c>
      <c r="I1996" s="45" t="s">
        <v>6754</v>
      </c>
      <c r="J1996" s="122">
        <v>45736</v>
      </c>
      <c r="K1996" s="110" t="str">
        <f t="shared" si="27"/>
        <v>https://Estud2024.sawtoothsoftware.com/cgi-bin/ciwweb.pl?studyname=Estud2024&amp;ID=1985</v>
      </c>
      <c r="L1996" s="113">
        <v>45737</v>
      </c>
      <c r="M1996" s="45" t="s">
        <v>246</v>
      </c>
    </row>
    <row r="1997" spans="1:13">
      <c r="A1997">
        <v>1986</v>
      </c>
      <c r="B1997" t="s">
        <v>77</v>
      </c>
      <c r="D1997" t="s">
        <v>98</v>
      </c>
      <c r="F1997" t="s">
        <v>10882</v>
      </c>
      <c r="G1997">
        <v>4</v>
      </c>
      <c r="H1997" t="s">
        <v>10883</v>
      </c>
      <c r="I1997" s="45" t="s">
        <v>6754</v>
      </c>
      <c r="J1997" s="122">
        <v>45736</v>
      </c>
      <c r="K1997" s="110" t="str">
        <f t="shared" si="27"/>
        <v>https://Estud2024.sawtoothsoftware.com/cgi-bin/ciwweb.pl?studyname=Estud2024&amp;ID=1986</v>
      </c>
      <c r="L1997" s="113">
        <v>45737</v>
      </c>
      <c r="M1997" s="45" t="s">
        <v>246</v>
      </c>
    </row>
    <row r="1998" spans="1:13">
      <c r="A1998">
        <v>1987</v>
      </c>
      <c r="B1998" t="s">
        <v>77</v>
      </c>
      <c r="D1998" t="s">
        <v>98</v>
      </c>
      <c r="F1998" t="s">
        <v>10884</v>
      </c>
      <c r="G1998">
        <v>4</v>
      </c>
      <c r="H1998" t="s">
        <v>10885</v>
      </c>
      <c r="I1998" s="45" t="s">
        <v>6754</v>
      </c>
      <c r="J1998" s="122">
        <v>45736</v>
      </c>
      <c r="K1998" s="110" t="str">
        <f t="shared" si="27"/>
        <v>https://Estud2024.sawtoothsoftware.com/cgi-bin/ciwweb.pl?studyname=Estud2024&amp;ID=1987</v>
      </c>
      <c r="L1998" s="113">
        <v>45737</v>
      </c>
      <c r="M1998" s="45" t="s">
        <v>247</v>
      </c>
    </row>
    <row r="1999" spans="1:13">
      <c r="A1999">
        <v>1988</v>
      </c>
      <c r="B1999" t="s">
        <v>77</v>
      </c>
      <c r="D1999" t="s">
        <v>98</v>
      </c>
      <c r="F1999" t="s">
        <v>10886</v>
      </c>
      <c r="G1999">
        <v>6</v>
      </c>
      <c r="H1999" t="s">
        <v>10887</v>
      </c>
      <c r="I1999" s="45" t="s">
        <v>6754</v>
      </c>
      <c r="J1999" s="122">
        <v>45736</v>
      </c>
      <c r="K1999" s="110" t="str">
        <f t="shared" si="27"/>
        <v>https://Estud2024.sawtoothsoftware.com/cgi-bin/ciwweb.pl?studyname=Estud2024&amp;ID=1988</v>
      </c>
      <c r="L1999" s="113">
        <v>45737</v>
      </c>
      <c r="M1999" s="45" t="s">
        <v>246</v>
      </c>
    </row>
    <row r="2000" spans="1:13">
      <c r="A2000">
        <v>1989</v>
      </c>
      <c r="B2000" t="s">
        <v>77</v>
      </c>
      <c r="D2000" t="s">
        <v>98</v>
      </c>
      <c r="F2000" t="s">
        <v>10888</v>
      </c>
      <c r="G2000">
        <v>6</v>
      </c>
      <c r="H2000" t="s">
        <v>10889</v>
      </c>
      <c r="I2000" s="45" t="s">
        <v>6754</v>
      </c>
      <c r="J2000" s="122">
        <v>45736</v>
      </c>
      <c r="K2000" s="110" t="str">
        <f t="shared" si="27"/>
        <v>https://Estud2024.sawtoothsoftware.com/cgi-bin/ciwweb.pl?studyname=Estud2024&amp;ID=1989</v>
      </c>
      <c r="L2000" s="113">
        <v>45737</v>
      </c>
      <c r="M2000" s="45" t="s">
        <v>246</v>
      </c>
    </row>
    <row r="2001" spans="1:13">
      <c r="A2001">
        <v>1990</v>
      </c>
      <c r="B2001" t="s">
        <v>77</v>
      </c>
      <c r="D2001" t="s">
        <v>98</v>
      </c>
      <c r="F2001" t="s">
        <v>10890</v>
      </c>
      <c r="G2001">
        <v>2</v>
      </c>
      <c r="H2001" t="s">
        <v>10891</v>
      </c>
      <c r="I2001" s="45" t="s">
        <v>6754</v>
      </c>
      <c r="J2001" s="122">
        <v>45736</v>
      </c>
      <c r="K2001" s="110" t="str">
        <f t="shared" si="27"/>
        <v>https://Estud2024.sawtoothsoftware.com/cgi-bin/ciwweb.pl?studyname=Estud2024&amp;ID=1990</v>
      </c>
      <c r="L2001" s="113">
        <v>45737</v>
      </c>
      <c r="M2001" s="45" t="s">
        <v>246</v>
      </c>
    </row>
    <row r="2002" spans="1:13">
      <c r="A2002">
        <v>1991</v>
      </c>
      <c r="B2002" t="s">
        <v>84</v>
      </c>
      <c r="D2002" t="s">
        <v>185</v>
      </c>
      <c r="F2002" t="s">
        <v>10892</v>
      </c>
      <c r="G2002">
        <v>2</v>
      </c>
      <c r="H2002" t="s">
        <v>10893</v>
      </c>
      <c r="I2002" s="45" t="s">
        <v>6754</v>
      </c>
      <c r="J2002" s="122">
        <v>45737</v>
      </c>
      <c r="K2002" s="110" t="str">
        <f t="shared" si="27"/>
        <v>https://Estud2024.sawtoothsoftware.com/cgi-bin/ciwweb.pl?studyname=Estud2024&amp;ID=1991</v>
      </c>
      <c r="L2002" s="113">
        <v>45742</v>
      </c>
      <c r="M2002" s="45" t="s">
        <v>247</v>
      </c>
    </row>
    <row r="2003" spans="1:13">
      <c r="A2003">
        <v>1992</v>
      </c>
      <c r="B2003" t="s">
        <v>84</v>
      </c>
      <c r="D2003" t="s">
        <v>185</v>
      </c>
      <c r="F2003" t="s">
        <v>10894</v>
      </c>
      <c r="G2003">
        <v>2</v>
      </c>
      <c r="H2003" t="s">
        <v>10895</v>
      </c>
      <c r="I2003" s="45" t="s">
        <v>6754</v>
      </c>
      <c r="J2003" s="122">
        <v>45737</v>
      </c>
      <c r="K2003" s="110" t="str">
        <f t="shared" si="27"/>
        <v>https://Estud2024.sawtoothsoftware.com/cgi-bin/ciwweb.pl?studyname=Estud2024&amp;ID=1992</v>
      </c>
      <c r="L2003" s="113">
        <v>45742</v>
      </c>
      <c r="M2003" s="45" t="s">
        <v>246</v>
      </c>
    </row>
    <row r="2004" spans="1:13">
      <c r="A2004">
        <v>1993</v>
      </c>
      <c r="B2004" t="s">
        <v>84</v>
      </c>
      <c r="D2004" t="s">
        <v>185</v>
      </c>
      <c r="F2004" t="s">
        <v>10896</v>
      </c>
      <c r="G2004">
        <v>2</v>
      </c>
      <c r="H2004" t="s">
        <v>10897</v>
      </c>
      <c r="I2004" s="45" t="s">
        <v>6754</v>
      </c>
      <c r="J2004" s="122">
        <v>45737</v>
      </c>
      <c r="K2004" s="110" t="str">
        <f t="shared" si="27"/>
        <v>https://Estud2024.sawtoothsoftware.com/cgi-bin/ciwweb.pl?studyname=Estud2024&amp;ID=1993</v>
      </c>
      <c r="L2004" s="113">
        <v>45742</v>
      </c>
      <c r="M2004" s="45" t="s">
        <v>246</v>
      </c>
    </row>
    <row r="2005" spans="1:13">
      <c r="A2005">
        <v>1994</v>
      </c>
      <c r="B2005" t="s">
        <v>84</v>
      </c>
      <c r="D2005" t="s">
        <v>185</v>
      </c>
      <c r="F2005" t="s">
        <v>10898</v>
      </c>
      <c r="G2005">
        <v>2</v>
      </c>
      <c r="H2005" t="s">
        <v>10899</v>
      </c>
      <c r="I2005" s="45" t="s">
        <v>6754</v>
      </c>
      <c r="J2005" s="122">
        <v>45737</v>
      </c>
      <c r="K2005" s="110" t="str">
        <f t="shared" si="27"/>
        <v>https://Estud2024.sawtoothsoftware.com/cgi-bin/ciwweb.pl?studyname=Estud2024&amp;ID=1994</v>
      </c>
      <c r="L2005" s="113">
        <v>45742</v>
      </c>
      <c r="M2005" s="45" t="s">
        <v>247</v>
      </c>
    </row>
    <row r="2006" spans="1:13">
      <c r="A2006">
        <v>1995</v>
      </c>
      <c r="B2006" t="s">
        <v>84</v>
      </c>
      <c r="D2006" t="s">
        <v>185</v>
      </c>
      <c r="F2006" t="s">
        <v>10900</v>
      </c>
      <c r="G2006">
        <v>2</v>
      </c>
      <c r="H2006" t="s">
        <v>10901</v>
      </c>
      <c r="I2006" s="45" t="s">
        <v>6754</v>
      </c>
      <c r="J2006" s="122">
        <v>45737</v>
      </c>
      <c r="K2006" s="110" t="str">
        <f t="shared" ref="K2006:K2069" si="28">CONCATENATE("https://Estud2024.sawtoothsoftware.com/cgi-bin/ciwweb.pl?studyname=Estud2024&amp;ID=",A2006)</f>
        <v>https://Estud2024.sawtoothsoftware.com/cgi-bin/ciwweb.pl?studyname=Estud2024&amp;ID=1995</v>
      </c>
      <c r="L2006" s="113">
        <v>45742</v>
      </c>
      <c r="M2006" s="45" t="s">
        <v>247</v>
      </c>
    </row>
    <row r="2007" spans="1:13">
      <c r="A2007">
        <v>1996</v>
      </c>
      <c r="B2007" t="s">
        <v>84</v>
      </c>
      <c r="D2007" t="s">
        <v>185</v>
      </c>
      <c r="F2007" t="s">
        <v>10902</v>
      </c>
      <c r="G2007">
        <v>2</v>
      </c>
      <c r="H2007" t="s">
        <v>10903</v>
      </c>
      <c r="I2007" s="45" t="s">
        <v>6754</v>
      </c>
      <c r="J2007" s="122">
        <v>45737</v>
      </c>
      <c r="K2007" s="110" t="str">
        <f t="shared" si="28"/>
        <v>https://Estud2024.sawtoothsoftware.com/cgi-bin/ciwweb.pl?studyname=Estud2024&amp;ID=1996</v>
      </c>
      <c r="L2007" s="113">
        <v>45742</v>
      </c>
      <c r="M2007" s="45" t="s">
        <v>246</v>
      </c>
    </row>
    <row r="2008" spans="1:13">
      <c r="A2008">
        <v>1997</v>
      </c>
      <c r="B2008" t="s">
        <v>84</v>
      </c>
      <c r="D2008" t="s">
        <v>185</v>
      </c>
      <c r="F2008" t="s">
        <v>10904</v>
      </c>
      <c r="G2008">
        <v>2</v>
      </c>
      <c r="H2008" t="s">
        <v>10905</v>
      </c>
      <c r="I2008" s="45" t="s">
        <v>6754</v>
      </c>
      <c r="J2008" s="122">
        <v>45737</v>
      </c>
      <c r="K2008" s="110" t="str">
        <f t="shared" si="28"/>
        <v>https://Estud2024.sawtoothsoftware.com/cgi-bin/ciwweb.pl?studyname=Estud2024&amp;ID=1997</v>
      </c>
      <c r="L2008" s="113">
        <v>45742</v>
      </c>
      <c r="M2008" s="45" t="s">
        <v>246</v>
      </c>
    </row>
    <row r="2009" spans="1:13">
      <c r="A2009">
        <v>1998</v>
      </c>
      <c r="B2009" t="s">
        <v>84</v>
      </c>
      <c r="D2009" t="s">
        <v>185</v>
      </c>
      <c r="F2009" t="s">
        <v>10906</v>
      </c>
      <c r="G2009">
        <v>2</v>
      </c>
      <c r="H2009" t="s">
        <v>10907</v>
      </c>
      <c r="I2009" t="s">
        <v>6754</v>
      </c>
      <c r="J2009" s="122">
        <v>45737</v>
      </c>
      <c r="K2009" s="110" t="str">
        <f t="shared" si="28"/>
        <v>https://Estud2024.sawtoothsoftware.com/cgi-bin/ciwweb.pl?studyname=Estud2024&amp;ID=1998</v>
      </c>
      <c r="L2009" s="113">
        <v>45742</v>
      </c>
      <c r="M2009" s="45" t="s">
        <v>246</v>
      </c>
    </row>
    <row r="2010" spans="1:13">
      <c r="A2010">
        <v>1999</v>
      </c>
      <c r="B2010" t="s">
        <v>84</v>
      </c>
      <c r="D2010" t="s">
        <v>185</v>
      </c>
      <c r="F2010" t="s">
        <v>10908</v>
      </c>
      <c r="G2010">
        <v>2</v>
      </c>
      <c r="H2010" t="s">
        <v>10909</v>
      </c>
      <c r="I2010" t="s">
        <v>6754</v>
      </c>
      <c r="J2010" s="122">
        <v>45737</v>
      </c>
      <c r="K2010" s="110" t="str">
        <f t="shared" si="28"/>
        <v>https://Estud2024.sawtoothsoftware.com/cgi-bin/ciwweb.pl?studyname=Estud2024&amp;ID=1999</v>
      </c>
      <c r="L2010" s="113">
        <v>45742</v>
      </c>
      <c r="M2010" s="45" t="s">
        <v>247</v>
      </c>
    </row>
    <row r="2011" spans="1:13">
      <c r="A2011">
        <v>2000</v>
      </c>
      <c r="B2011" t="s">
        <v>84</v>
      </c>
      <c r="D2011" t="s">
        <v>185</v>
      </c>
      <c r="F2011" t="s">
        <v>10910</v>
      </c>
      <c r="G2011">
        <v>3</v>
      </c>
      <c r="H2011" t="s">
        <v>10911</v>
      </c>
      <c r="I2011" t="s">
        <v>6754</v>
      </c>
      <c r="J2011" s="122">
        <v>45737</v>
      </c>
      <c r="K2011" s="110" t="str">
        <f t="shared" si="28"/>
        <v>https://Estud2024.sawtoothsoftware.com/cgi-bin/ciwweb.pl?studyname=Estud2024&amp;ID=2000</v>
      </c>
      <c r="L2011" s="113">
        <v>45742</v>
      </c>
      <c r="M2011" s="45" t="s">
        <v>246</v>
      </c>
    </row>
    <row r="2012" spans="1:13">
      <c r="A2012">
        <v>2001</v>
      </c>
      <c r="B2012" t="s">
        <v>84</v>
      </c>
      <c r="D2012" t="s">
        <v>185</v>
      </c>
      <c r="F2012" t="s">
        <v>10912</v>
      </c>
      <c r="G2012">
        <v>3</v>
      </c>
      <c r="H2012" t="s">
        <v>10913</v>
      </c>
      <c r="I2012" t="s">
        <v>6754</v>
      </c>
      <c r="J2012" s="122">
        <v>45737</v>
      </c>
      <c r="K2012" s="110" t="str">
        <f t="shared" si="28"/>
        <v>https://Estud2024.sawtoothsoftware.com/cgi-bin/ciwweb.pl?studyname=Estud2024&amp;ID=2001</v>
      </c>
      <c r="L2012" s="113">
        <v>45742</v>
      </c>
      <c r="M2012" s="45" t="s">
        <v>246</v>
      </c>
    </row>
    <row r="2013" spans="1:13">
      <c r="A2013">
        <v>2002</v>
      </c>
      <c r="B2013" t="s">
        <v>84</v>
      </c>
      <c r="D2013" t="s">
        <v>185</v>
      </c>
      <c r="F2013" t="s">
        <v>10914</v>
      </c>
      <c r="G2013">
        <v>3</v>
      </c>
      <c r="H2013" t="s">
        <v>10915</v>
      </c>
      <c r="I2013" t="s">
        <v>6754</v>
      </c>
      <c r="J2013" s="122">
        <v>45737</v>
      </c>
      <c r="K2013" s="110" t="str">
        <f t="shared" si="28"/>
        <v>https://Estud2024.sawtoothsoftware.com/cgi-bin/ciwweb.pl?studyname=Estud2024&amp;ID=2002</v>
      </c>
      <c r="L2013" s="113">
        <v>45742</v>
      </c>
      <c r="M2013" s="45" t="s">
        <v>246</v>
      </c>
    </row>
    <row r="2014" spans="1:13">
      <c r="A2014">
        <v>2003</v>
      </c>
      <c r="B2014" t="s">
        <v>84</v>
      </c>
      <c r="D2014" t="s">
        <v>185</v>
      </c>
      <c r="F2014" t="s">
        <v>10916</v>
      </c>
      <c r="G2014">
        <v>3</v>
      </c>
      <c r="H2014" t="s">
        <v>10917</v>
      </c>
      <c r="I2014" t="s">
        <v>6754</v>
      </c>
      <c r="J2014" s="122">
        <v>45737</v>
      </c>
      <c r="K2014" s="110" t="str">
        <f t="shared" si="28"/>
        <v>https://Estud2024.sawtoothsoftware.com/cgi-bin/ciwweb.pl?studyname=Estud2024&amp;ID=2003</v>
      </c>
      <c r="L2014" s="113">
        <v>45742</v>
      </c>
      <c r="M2014" s="45" t="s">
        <v>246</v>
      </c>
    </row>
    <row r="2015" spans="1:13">
      <c r="A2015">
        <v>2004</v>
      </c>
      <c r="B2015" t="s">
        <v>84</v>
      </c>
      <c r="D2015" t="s">
        <v>185</v>
      </c>
      <c r="F2015" t="s">
        <v>10918</v>
      </c>
      <c r="G2015">
        <v>3</v>
      </c>
      <c r="H2015" t="s">
        <v>10919</v>
      </c>
      <c r="I2015" t="s">
        <v>6754</v>
      </c>
      <c r="J2015" s="122">
        <v>45737</v>
      </c>
      <c r="K2015" s="110" t="str">
        <f t="shared" si="28"/>
        <v>https://Estud2024.sawtoothsoftware.com/cgi-bin/ciwweb.pl?studyname=Estud2024&amp;ID=2004</v>
      </c>
      <c r="L2015" s="113">
        <v>45742</v>
      </c>
      <c r="M2015" s="45" t="s">
        <v>246</v>
      </c>
    </row>
    <row r="2016" spans="1:13">
      <c r="A2016">
        <v>2005</v>
      </c>
      <c r="B2016" t="s">
        <v>84</v>
      </c>
      <c r="D2016" t="s">
        <v>185</v>
      </c>
      <c r="F2016" t="s">
        <v>10920</v>
      </c>
      <c r="G2016">
        <v>3</v>
      </c>
      <c r="H2016" t="s">
        <v>10921</v>
      </c>
      <c r="I2016" t="s">
        <v>6754</v>
      </c>
      <c r="J2016" s="122">
        <v>45737</v>
      </c>
      <c r="K2016" s="110" t="str">
        <f t="shared" si="28"/>
        <v>https://Estud2024.sawtoothsoftware.com/cgi-bin/ciwweb.pl?studyname=Estud2024&amp;ID=2005</v>
      </c>
      <c r="L2016" s="113">
        <v>45742</v>
      </c>
      <c r="M2016" s="45" t="s">
        <v>246</v>
      </c>
    </row>
    <row r="2017" spans="1:13">
      <c r="A2017">
        <v>2006</v>
      </c>
      <c r="B2017" t="s">
        <v>84</v>
      </c>
      <c r="D2017" t="s">
        <v>185</v>
      </c>
      <c r="F2017" t="s">
        <v>10922</v>
      </c>
      <c r="G2017">
        <v>3</v>
      </c>
      <c r="H2017" t="s">
        <v>10923</v>
      </c>
      <c r="I2017" t="s">
        <v>6754</v>
      </c>
      <c r="J2017" s="122">
        <v>45737</v>
      </c>
      <c r="K2017" s="110" t="str">
        <f t="shared" si="28"/>
        <v>https://Estud2024.sawtoothsoftware.com/cgi-bin/ciwweb.pl?studyname=Estud2024&amp;ID=2006</v>
      </c>
      <c r="L2017" s="113">
        <v>45742</v>
      </c>
      <c r="M2017" s="45" t="s">
        <v>246</v>
      </c>
    </row>
    <row r="2018" spans="1:13">
      <c r="A2018">
        <v>2007</v>
      </c>
      <c r="B2018" t="s">
        <v>84</v>
      </c>
      <c r="D2018" t="s">
        <v>185</v>
      </c>
      <c r="F2018" t="s">
        <v>10924</v>
      </c>
      <c r="G2018">
        <v>3</v>
      </c>
      <c r="H2018" t="s">
        <v>10925</v>
      </c>
      <c r="I2018" t="s">
        <v>6754</v>
      </c>
      <c r="J2018" s="122">
        <v>45737</v>
      </c>
      <c r="K2018" s="110" t="str">
        <f t="shared" si="28"/>
        <v>https://Estud2024.sawtoothsoftware.com/cgi-bin/ciwweb.pl?studyname=Estud2024&amp;ID=2007</v>
      </c>
      <c r="L2018" s="113">
        <v>45742</v>
      </c>
      <c r="M2018" s="45" t="s">
        <v>246</v>
      </c>
    </row>
    <row r="2019" spans="1:13">
      <c r="A2019">
        <v>2008</v>
      </c>
      <c r="B2019" t="s">
        <v>84</v>
      </c>
      <c r="D2019" t="s">
        <v>185</v>
      </c>
      <c r="F2019" t="s">
        <v>10926</v>
      </c>
      <c r="G2019">
        <v>3</v>
      </c>
      <c r="H2019" t="s">
        <v>10927</v>
      </c>
      <c r="I2019" t="s">
        <v>6754</v>
      </c>
      <c r="J2019" s="122">
        <v>45737</v>
      </c>
      <c r="K2019" s="110" t="str">
        <f t="shared" si="28"/>
        <v>https://Estud2024.sawtoothsoftware.com/cgi-bin/ciwweb.pl?studyname=Estud2024&amp;ID=2008</v>
      </c>
      <c r="L2019" s="113">
        <v>45742</v>
      </c>
      <c r="M2019" s="45" t="s">
        <v>246</v>
      </c>
    </row>
    <row r="2020" spans="1:13">
      <c r="A2020">
        <v>2009</v>
      </c>
      <c r="B2020" t="s">
        <v>84</v>
      </c>
      <c r="D2020" t="s">
        <v>185</v>
      </c>
      <c r="F2020" t="s">
        <v>10928</v>
      </c>
      <c r="G2020">
        <v>3</v>
      </c>
      <c r="H2020" t="s">
        <v>10929</v>
      </c>
      <c r="I2020" t="s">
        <v>6754</v>
      </c>
      <c r="J2020" s="122">
        <v>45737</v>
      </c>
      <c r="K2020" s="110" t="str">
        <f t="shared" si="28"/>
        <v>https://Estud2024.sawtoothsoftware.com/cgi-bin/ciwweb.pl?studyname=Estud2024&amp;ID=2009</v>
      </c>
      <c r="L2020" s="113">
        <v>45742</v>
      </c>
      <c r="M2020" s="45" t="s">
        <v>246</v>
      </c>
    </row>
    <row r="2021" spans="1:13">
      <c r="A2021">
        <v>2010</v>
      </c>
      <c r="B2021" t="s">
        <v>84</v>
      </c>
      <c r="D2021" t="s">
        <v>185</v>
      </c>
      <c r="F2021" t="s">
        <v>10930</v>
      </c>
      <c r="G2021">
        <v>3</v>
      </c>
      <c r="H2021" t="s">
        <v>10931</v>
      </c>
      <c r="I2021" t="s">
        <v>6754</v>
      </c>
      <c r="J2021" s="122">
        <v>45737</v>
      </c>
      <c r="K2021" s="110" t="str">
        <f t="shared" si="28"/>
        <v>https://Estud2024.sawtoothsoftware.com/cgi-bin/ciwweb.pl?studyname=Estud2024&amp;ID=2010</v>
      </c>
      <c r="L2021" s="113">
        <v>45742</v>
      </c>
      <c r="M2021" s="45" t="s">
        <v>247</v>
      </c>
    </row>
    <row r="2022" spans="1:13">
      <c r="A2022">
        <v>2011</v>
      </c>
      <c r="B2022" t="s">
        <v>84</v>
      </c>
      <c r="D2022" t="s">
        <v>185</v>
      </c>
      <c r="F2022" t="s">
        <v>10932</v>
      </c>
      <c r="G2022">
        <v>3</v>
      </c>
      <c r="H2022" t="s">
        <v>10933</v>
      </c>
      <c r="I2022" t="s">
        <v>6754</v>
      </c>
      <c r="J2022" s="122">
        <v>45737</v>
      </c>
      <c r="K2022" s="110" t="str">
        <f t="shared" si="28"/>
        <v>https://Estud2024.sawtoothsoftware.com/cgi-bin/ciwweb.pl?studyname=Estud2024&amp;ID=2011</v>
      </c>
      <c r="L2022" s="113">
        <v>45742</v>
      </c>
      <c r="M2022" s="45" t="s">
        <v>246</v>
      </c>
    </row>
    <row r="2023" spans="1:13">
      <c r="A2023">
        <v>2012</v>
      </c>
      <c r="B2023" t="s">
        <v>84</v>
      </c>
      <c r="D2023" t="s">
        <v>185</v>
      </c>
      <c r="F2023" t="s">
        <v>10934</v>
      </c>
      <c r="G2023">
        <v>3</v>
      </c>
      <c r="H2023" t="s">
        <v>10935</v>
      </c>
      <c r="I2023" t="s">
        <v>6754</v>
      </c>
      <c r="J2023" s="122">
        <v>45737</v>
      </c>
      <c r="K2023" s="110" t="str">
        <f t="shared" si="28"/>
        <v>https://Estud2024.sawtoothsoftware.com/cgi-bin/ciwweb.pl?studyname=Estud2024&amp;ID=2012</v>
      </c>
      <c r="L2023" s="113">
        <v>45742</v>
      </c>
      <c r="M2023" s="45" t="s">
        <v>246</v>
      </c>
    </row>
    <row r="2024" spans="1:13">
      <c r="A2024">
        <v>2013</v>
      </c>
      <c r="B2024" t="s">
        <v>84</v>
      </c>
      <c r="D2024" t="s">
        <v>185</v>
      </c>
      <c r="F2024" t="s">
        <v>10936</v>
      </c>
      <c r="G2024">
        <v>3</v>
      </c>
      <c r="H2024" t="s">
        <v>10937</v>
      </c>
      <c r="I2024" t="s">
        <v>6754</v>
      </c>
      <c r="J2024" s="122">
        <v>45737</v>
      </c>
      <c r="K2024" s="110" t="str">
        <f t="shared" si="28"/>
        <v>https://Estud2024.sawtoothsoftware.com/cgi-bin/ciwweb.pl?studyname=Estud2024&amp;ID=2013</v>
      </c>
      <c r="L2024" s="113">
        <v>45742</v>
      </c>
      <c r="M2024" s="45" t="s">
        <v>246</v>
      </c>
    </row>
    <row r="2025" spans="1:13">
      <c r="A2025">
        <v>2014</v>
      </c>
      <c r="B2025" t="s">
        <v>84</v>
      </c>
      <c r="D2025" t="s">
        <v>185</v>
      </c>
      <c r="F2025" t="s">
        <v>10938</v>
      </c>
      <c r="G2025">
        <v>3</v>
      </c>
      <c r="H2025" t="s">
        <v>10939</v>
      </c>
      <c r="I2025" t="s">
        <v>6754</v>
      </c>
      <c r="J2025" s="122">
        <v>45737</v>
      </c>
      <c r="K2025" s="110" t="str">
        <f t="shared" si="28"/>
        <v>https://Estud2024.sawtoothsoftware.com/cgi-bin/ciwweb.pl?studyname=Estud2024&amp;ID=2014</v>
      </c>
      <c r="L2025" s="113">
        <v>45742</v>
      </c>
      <c r="M2025" s="45" t="s">
        <v>246</v>
      </c>
    </row>
    <row r="2026" spans="1:13">
      <c r="A2026">
        <v>2015</v>
      </c>
      <c r="B2026" t="s">
        <v>84</v>
      </c>
      <c r="D2026" t="s">
        <v>185</v>
      </c>
      <c r="F2026" t="s">
        <v>10940</v>
      </c>
      <c r="G2026">
        <v>3</v>
      </c>
      <c r="H2026" t="s">
        <v>10941</v>
      </c>
      <c r="I2026" t="s">
        <v>6754</v>
      </c>
      <c r="J2026" s="122">
        <v>45737</v>
      </c>
      <c r="K2026" s="110" t="str">
        <f t="shared" si="28"/>
        <v>https://Estud2024.sawtoothsoftware.com/cgi-bin/ciwweb.pl?studyname=Estud2024&amp;ID=2015</v>
      </c>
      <c r="L2026" s="113">
        <v>45742</v>
      </c>
      <c r="M2026" s="45" t="s">
        <v>246</v>
      </c>
    </row>
    <row r="2027" spans="1:13">
      <c r="A2027">
        <v>2016</v>
      </c>
      <c r="B2027" t="s">
        <v>84</v>
      </c>
      <c r="D2027" t="s">
        <v>185</v>
      </c>
      <c r="F2027" t="s">
        <v>10942</v>
      </c>
      <c r="G2027">
        <v>4</v>
      </c>
      <c r="H2027" t="s">
        <v>10943</v>
      </c>
      <c r="I2027" t="s">
        <v>6754</v>
      </c>
      <c r="J2027" s="122">
        <v>45737</v>
      </c>
      <c r="K2027" s="110" t="str">
        <f t="shared" si="28"/>
        <v>https://Estud2024.sawtoothsoftware.com/cgi-bin/ciwweb.pl?studyname=Estud2024&amp;ID=2016</v>
      </c>
      <c r="L2027" s="113">
        <v>45742</v>
      </c>
      <c r="M2027" s="45" t="s">
        <v>247</v>
      </c>
    </row>
    <row r="2028" spans="1:13">
      <c r="A2028">
        <v>2017</v>
      </c>
      <c r="B2028" t="s">
        <v>84</v>
      </c>
      <c r="D2028" t="s">
        <v>185</v>
      </c>
      <c r="F2028" t="s">
        <v>10944</v>
      </c>
      <c r="G2028">
        <v>4</v>
      </c>
      <c r="H2028" t="s">
        <v>10945</v>
      </c>
      <c r="I2028" t="s">
        <v>6754</v>
      </c>
      <c r="J2028" s="122">
        <v>45737</v>
      </c>
      <c r="K2028" s="110" t="str">
        <f t="shared" si="28"/>
        <v>https://Estud2024.sawtoothsoftware.com/cgi-bin/ciwweb.pl?studyname=Estud2024&amp;ID=2017</v>
      </c>
      <c r="L2028" s="113">
        <v>45742</v>
      </c>
      <c r="M2028" s="45" t="s">
        <v>246</v>
      </c>
    </row>
    <row r="2029" spans="1:13">
      <c r="A2029">
        <v>2018</v>
      </c>
      <c r="B2029" t="s">
        <v>84</v>
      </c>
      <c r="D2029" t="s">
        <v>185</v>
      </c>
      <c r="F2029" t="s">
        <v>10946</v>
      </c>
      <c r="G2029">
        <v>4</v>
      </c>
      <c r="H2029" t="s">
        <v>10947</v>
      </c>
      <c r="I2029" t="s">
        <v>6754</v>
      </c>
      <c r="J2029" s="122">
        <v>45737</v>
      </c>
      <c r="K2029" s="110" t="str">
        <f t="shared" si="28"/>
        <v>https://Estud2024.sawtoothsoftware.com/cgi-bin/ciwweb.pl?studyname=Estud2024&amp;ID=2018</v>
      </c>
      <c r="L2029" s="113">
        <v>45742</v>
      </c>
      <c r="M2029" s="45" t="s">
        <v>246</v>
      </c>
    </row>
    <row r="2030" spans="1:13">
      <c r="A2030">
        <v>2019</v>
      </c>
      <c r="B2030" t="s">
        <v>84</v>
      </c>
      <c r="D2030" t="s">
        <v>185</v>
      </c>
      <c r="F2030" t="s">
        <v>10948</v>
      </c>
      <c r="G2030">
        <v>4</v>
      </c>
      <c r="H2030" t="s">
        <v>10949</v>
      </c>
      <c r="I2030" t="s">
        <v>6754</v>
      </c>
      <c r="J2030" s="122">
        <v>45737</v>
      </c>
      <c r="K2030" s="110" t="str">
        <f t="shared" si="28"/>
        <v>https://Estud2024.sawtoothsoftware.com/cgi-bin/ciwweb.pl?studyname=Estud2024&amp;ID=2019</v>
      </c>
      <c r="L2030" s="113">
        <v>45742</v>
      </c>
      <c r="M2030" s="45" t="s">
        <v>247</v>
      </c>
    </row>
    <row r="2031" spans="1:13">
      <c r="A2031">
        <v>2020</v>
      </c>
      <c r="B2031" t="s">
        <v>84</v>
      </c>
      <c r="D2031" t="s">
        <v>185</v>
      </c>
      <c r="F2031" t="s">
        <v>10950</v>
      </c>
      <c r="G2031">
        <v>4</v>
      </c>
      <c r="H2031" t="s">
        <v>10951</v>
      </c>
      <c r="I2031" t="s">
        <v>6754</v>
      </c>
      <c r="J2031" s="122">
        <v>45737</v>
      </c>
      <c r="K2031" s="110" t="str">
        <f t="shared" si="28"/>
        <v>https://Estud2024.sawtoothsoftware.com/cgi-bin/ciwweb.pl?studyname=Estud2024&amp;ID=2020</v>
      </c>
      <c r="L2031" s="113">
        <v>45742</v>
      </c>
      <c r="M2031" s="45" t="s">
        <v>246</v>
      </c>
    </row>
    <row r="2032" spans="1:13">
      <c r="A2032">
        <v>2021</v>
      </c>
      <c r="B2032" t="s">
        <v>84</v>
      </c>
      <c r="D2032" t="s">
        <v>185</v>
      </c>
      <c r="F2032" t="s">
        <v>10952</v>
      </c>
      <c r="G2032">
        <v>4</v>
      </c>
      <c r="H2032" t="s">
        <v>10953</v>
      </c>
      <c r="I2032" t="s">
        <v>6754</v>
      </c>
      <c r="J2032" s="122">
        <v>45737</v>
      </c>
      <c r="K2032" s="110" t="str">
        <f t="shared" si="28"/>
        <v>https://Estud2024.sawtoothsoftware.com/cgi-bin/ciwweb.pl?studyname=Estud2024&amp;ID=2021</v>
      </c>
      <c r="L2032" s="113">
        <v>45742</v>
      </c>
      <c r="M2032" s="45" t="s">
        <v>246</v>
      </c>
    </row>
    <row r="2033" spans="1:13">
      <c r="A2033">
        <v>2022</v>
      </c>
      <c r="B2033" t="s">
        <v>84</v>
      </c>
      <c r="D2033" t="s">
        <v>185</v>
      </c>
      <c r="F2033" t="s">
        <v>10954</v>
      </c>
      <c r="G2033">
        <v>4</v>
      </c>
      <c r="H2033" t="s">
        <v>10955</v>
      </c>
      <c r="I2033" t="s">
        <v>6754</v>
      </c>
      <c r="J2033" s="122">
        <v>45737</v>
      </c>
      <c r="K2033" s="110" t="str">
        <f t="shared" si="28"/>
        <v>https://Estud2024.sawtoothsoftware.com/cgi-bin/ciwweb.pl?studyname=Estud2024&amp;ID=2022</v>
      </c>
      <c r="L2033" s="113">
        <v>45742</v>
      </c>
      <c r="M2033" s="45" t="s">
        <v>247</v>
      </c>
    </row>
    <row r="2034" spans="1:13">
      <c r="A2034">
        <v>2023</v>
      </c>
      <c r="B2034" t="s">
        <v>84</v>
      </c>
      <c r="D2034" t="s">
        <v>185</v>
      </c>
      <c r="F2034" t="s">
        <v>10956</v>
      </c>
      <c r="G2034">
        <v>4</v>
      </c>
      <c r="H2034" t="s">
        <v>10957</v>
      </c>
      <c r="I2034" t="s">
        <v>6754</v>
      </c>
      <c r="J2034" s="122">
        <v>45737</v>
      </c>
      <c r="K2034" s="110" t="str">
        <f t="shared" si="28"/>
        <v>https://Estud2024.sawtoothsoftware.com/cgi-bin/ciwweb.pl?studyname=Estud2024&amp;ID=2023</v>
      </c>
      <c r="L2034" s="113">
        <v>45742</v>
      </c>
      <c r="M2034" s="45" t="s">
        <v>246</v>
      </c>
    </row>
    <row r="2035" spans="1:13">
      <c r="A2035">
        <v>2024</v>
      </c>
      <c r="B2035" t="s">
        <v>84</v>
      </c>
      <c r="D2035" t="s">
        <v>185</v>
      </c>
      <c r="F2035" t="s">
        <v>10958</v>
      </c>
      <c r="G2035">
        <v>4</v>
      </c>
      <c r="H2035" t="s">
        <v>10959</v>
      </c>
      <c r="I2035" t="s">
        <v>6754</v>
      </c>
      <c r="J2035" s="122">
        <v>45737</v>
      </c>
      <c r="K2035" s="110" t="str">
        <f t="shared" si="28"/>
        <v>https://Estud2024.sawtoothsoftware.com/cgi-bin/ciwweb.pl?studyname=Estud2024&amp;ID=2024</v>
      </c>
      <c r="L2035" s="113">
        <v>45742</v>
      </c>
      <c r="M2035" s="45" t="s">
        <v>246</v>
      </c>
    </row>
    <row r="2036" spans="1:13">
      <c r="A2036">
        <v>2025</v>
      </c>
      <c r="B2036" t="s">
        <v>84</v>
      </c>
      <c r="D2036" t="s">
        <v>185</v>
      </c>
      <c r="F2036" t="s">
        <v>10960</v>
      </c>
      <c r="G2036">
        <v>4</v>
      </c>
      <c r="H2036" t="s">
        <v>10961</v>
      </c>
      <c r="I2036" t="s">
        <v>6754</v>
      </c>
      <c r="J2036" s="122">
        <v>45737</v>
      </c>
      <c r="K2036" s="110" t="str">
        <f t="shared" si="28"/>
        <v>https://Estud2024.sawtoothsoftware.com/cgi-bin/ciwweb.pl?studyname=Estud2024&amp;ID=2025</v>
      </c>
      <c r="L2036" s="113">
        <v>45742</v>
      </c>
      <c r="M2036" s="45" t="s">
        <v>246</v>
      </c>
    </row>
    <row r="2037" spans="1:13">
      <c r="A2037">
        <v>2026</v>
      </c>
      <c r="B2037" t="s">
        <v>84</v>
      </c>
      <c r="D2037" t="s">
        <v>185</v>
      </c>
      <c r="F2037" t="s">
        <v>10962</v>
      </c>
      <c r="G2037">
        <v>4</v>
      </c>
      <c r="H2037" t="s">
        <v>10963</v>
      </c>
      <c r="I2037" t="s">
        <v>6754</v>
      </c>
      <c r="J2037" s="122">
        <v>45737</v>
      </c>
      <c r="K2037" s="110" t="str">
        <f t="shared" si="28"/>
        <v>https://Estud2024.sawtoothsoftware.com/cgi-bin/ciwweb.pl?studyname=Estud2024&amp;ID=2026</v>
      </c>
      <c r="L2037" s="113">
        <v>45742</v>
      </c>
      <c r="M2037" s="45" t="s">
        <v>246</v>
      </c>
    </row>
    <row r="2038" spans="1:13">
      <c r="A2038">
        <v>2027</v>
      </c>
      <c r="B2038" t="s">
        <v>84</v>
      </c>
      <c r="D2038" t="s">
        <v>185</v>
      </c>
      <c r="F2038" t="s">
        <v>10964</v>
      </c>
      <c r="G2038">
        <v>4</v>
      </c>
      <c r="H2038" t="s">
        <v>10965</v>
      </c>
      <c r="I2038" t="s">
        <v>6754</v>
      </c>
      <c r="J2038" s="122">
        <v>45737</v>
      </c>
      <c r="K2038" s="110" t="str">
        <f t="shared" si="28"/>
        <v>https://Estud2024.sawtoothsoftware.com/cgi-bin/ciwweb.pl?studyname=Estud2024&amp;ID=2027</v>
      </c>
      <c r="L2038" s="113">
        <v>45742</v>
      </c>
      <c r="M2038" s="45" t="s">
        <v>246</v>
      </c>
    </row>
    <row r="2039" spans="1:13">
      <c r="A2039">
        <v>2028</v>
      </c>
      <c r="B2039" t="s">
        <v>84</v>
      </c>
      <c r="D2039" t="s">
        <v>185</v>
      </c>
      <c r="F2039" t="s">
        <v>10966</v>
      </c>
      <c r="G2039">
        <v>4</v>
      </c>
      <c r="H2039" t="s">
        <v>10967</v>
      </c>
      <c r="I2039" t="s">
        <v>6754</v>
      </c>
      <c r="J2039" s="122">
        <v>45737</v>
      </c>
      <c r="K2039" s="110" t="str">
        <f t="shared" si="28"/>
        <v>https://Estud2024.sawtoothsoftware.com/cgi-bin/ciwweb.pl?studyname=Estud2024&amp;ID=2028</v>
      </c>
      <c r="L2039" s="113">
        <v>45742</v>
      </c>
      <c r="M2039" s="45" t="s">
        <v>246</v>
      </c>
    </row>
    <row r="2040" spans="1:13">
      <c r="A2040">
        <v>2029</v>
      </c>
      <c r="B2040" t="s">
        <v>84</v>
      </c>
      <c r="D2040" t="s">
        <v>185</v>
      </c>
      <c r="F2040" t="s">
        <v>10968</v>
      </c>
      <c r="G2040">
        <v>4</v>
      </c>
      <c r="H2040" t="s">
        <v>10969</v>
      </c>
      <c r="I2040" t="s">
        <v>6754</v>
      </c>
      <c r="J2040" s="122">
        <v>45737</v>
      </c>
      <c r="K2040" s="110" t="str">
        <f t="shared" si="28"/>
        <v>https://Estud2024.sawtoothsoftware.com/cgi-bin/ciwweb.pl?studyname=Estud2024&amp;ID=2029</v>
      </c>
      <c r="L2040" s="113">
        <v>45742</v>
      </c>
      <c r="M2040" s="45" t="s">
        <v>246</v>
      </c>
    </row>
    <row r="2041" spans="1:13">
      <c r="A2041">
        <v>2030</v>
      </c>
      <c r="B2041" t="s">
        <v>84</v>
      </c>
      <c r="D2041" t="s">
        <v>185</v>
      </c>
      <c r="F2041" t="s">
        <v>10970</v>
      </c>
      <c r="G2041">
        <v>4</v>
      </c>
      <c r="H2041" t="s">
        <v>10971</v>
      </c>
      <c r="I2041" t="s">
        <v>6754</v>
      </c>
      <c r="J2041" s="122">
        <v>45737</v>
      </c>
      <c r="K2041" s="110" t="str">
        <f t="shared" si="28"/>
        <v>https://Estud2024.sawtoothsoftware.com/cgi-bin/ciwweb.pl?studyname=Estud2024&amp;ID=2030</v>
      </c>
      <c r="L2041" s="113">
        <v>45742</v>
      </c>
      <c r="M2041" s="45" t="s">
        <v>246</v>
      </c>
    </row>
    <row r="2042" spans="1:13">
      <c r="A2042">
        <v>2031</v>
      </c>
      <c r="B2042" t="s">
        <v>84</v>
      </c>
      <c r="D2042" t="s">
        <v>185</v>
      </c>
      <c r="F2042" t="s">
        <v>10972</v>
      </c>
      <c r="G2042">
        <v>4</v>
      </c>
      <c r="H2042" t="s">
        <v>10973</v>
      </c>
      <c r="I2042" t="s">
        <v>6754</v>
      </c>
      <c r="J2042" s="122">
        <v>45737</v>
      </c>
      <c r="K2042" s="110" t="str">
        <f t="shared" si="28"/>
        <v>https://Estud2024.sawtoothsoftware.com/cgi-bin/ciwweb.pl?studyname=Estud2024&amp;ID=2031</v>
      </c>
      <c r="L2042" s="113">
        <v>45742</v>
      </c>
      <c r="M2042" s="45" t="s">
        <v>246</v>
      </c>
    </row>
    <row r="2043" spans="1:13">
      <c r="A2043">
        <v>2032</v>
      </c>
      <c r="B2043" t="s">
        <v>84</v>
      </c>
      <c r="D2043" t="s">
        <v>185</v>
      </c>
      <c r="F2043" t="s">
        <v>10974</v>
      </c>
      <c r="G2043">
        <v>4</v>
      </c>
      <c r="H2043" t="s">
        <v>10975</v>
      </c>
      <c r="I2043" t="s">
        <v>6754</v>
      </c>
      <c r="J2043" s="122">
        <v>45737</v>
      </c>
      <c r="K2043" s="110" t="str">
        <f t="shared" si="28"/>
        <v>https://Estud2024.sawtoothsoftware.com/cgi-bin/ciwweb.pl?studyname=Estud2024&amp;ID=2032</v>
      </c>
      <c r="L2043" s="113">
        <v>45742</v>
      </c>
      <c r="M2043" s="45" t="s">
        <v>246</v>
      </c>
    </row>
    <row r="2044" spans="1:13">
      <c r="A2044">
        <v>2033</v>
      </c>
      <c r="B2044" t="s">
        <v>84</v>
      </c>
      <c r="D2044" t="s">
        <v>185</v>
      </c>
      <c r="F2044" t="s">
        <v>10976</v>
      </c>
      <c r="G2044">
        <v>4</v>
      </c>
      <c r="H2044" t="s">
        <v>10977</v>
      </c>
      <c r="I2044" t="s">
        <v>6754</v>
      </c>
      <c r="J2044" s="122">
        <v>45737</v>
      </c>
      <c r="K2044" s="110" t="str">
        <f t="shared" si="28"/>
        <v>https://Estud2024.sawtoothsoftware.com/cgi-bin/ciwweb.pl?studyname=Estud2024&amp;ID=2033</v>
      </c>
      <c r="L2044" s="113">
        <v>45742</v>
      </c>
      <c r="M2044" s="45" t="s">
        <v>246</v>
      </c>
    </row>
    <row r="2045" spans="1:13">
      <c r="A2045">
        <v>2034</v>
      </c>
      <c r="B2045" t="s">
        <v>84</v>
      </c>
      <c r="D2045" t="s">
        <v>185</v>
      </c>
      <c r="F2045" t="s">
        <v>10978</v>
      </c>
      <c r="G2045">
        <v>4</v>
      </c>
      <c r="H2045" t="s">
        <v>10979</v>
      </c>
      <c r="I2045" t="s">
        <v>6754</v>
      </c>
      <c r="J2045" s="122">
        <v>45737</v>
      </c>
      <c r="K2045" s="110" t="str">
        <f t="shared" si="28"/>
        <v>https://Estud2024.sawtoothsoftware.com/cgi-bin/ciwweb.pl?studyname=Estud2024&amp;ID=2034</v>
      </c>
      <c r="L2045" s="113">
        <v>45742</v>
      </c>
      <c r="M2045" s="45" t="s">
        <v>247</v>
      </c>
    </row>
    <row r="2046" spans="1:13">
      <c r="A2046">
        <v>2035</v>
      </c>
      <c r="B2046" t="s">
        <v>84</v>
      </c>
      <c r="D2046" t="s">
        <v>185</v>
      </c>
      <c r="F2046" t="s">
        <v>10980</v>
      </c>
      <c r="G2046">
        <v>4</v>
      </c>
      <c r="H2046" t="s">
        <v>10981</v>
      </c>
      <c r="I2046" t="s">
        <v>6754</v>
      </c>
      <c r="J2046" s="122">
        <v>45737</v>
      </c>
      <c r="K2046" s="110" t="str">
        <f t="shared" si="28"/>
        <v>https://Estud2024.sawtoothsoftware.com/cgi-bin/ciwweb.pl?studyname=Estud2024&amp;ID=2035</v>
      </c>
      <c r="L2046" s="113">
        <v>45742</v>
      </c>
      <c r="M2046" s="45" t="s">
        <v>246</v>
      </c>
    </row>
    <row r="2047" spans="1:13">
      <c r="A2047">
        <v>2036</v>
      </c>
      <c r="B2047" t="s">
        <v>84</v>
      </c>
      <c r="D2047" t="s">
        <v>185</v>
      </c>
      <c r="F2047" t="s">
        <v>10982</v>
      </c>
      <c r="G2047">
        <v>4</v>
      </c>
      <c r="H2047" t="s">
        <v>10983</v>
      </c>
      <c r="I2047" t="s">
        <v>6754</v>
      </c>
      <c r="J2047" s="122">
        <v>45737</v>
      </c>
      <c r="K2047" s="110" t="str">
        <f t="shared" si="28"/>
        <v>https://Estud2024.sawtoothsoftware.com/cgi-bin/ciwweb.pl?studyname=Estud2024&amp;ID=2036</v>
      </c>
      <c r="L2047" s="113">
        <v>45742</v>
      </c>
      <c r="M2047" s="45" t="s">
        <v>246</v>
      </c>
    </row>
    <row r="2048" spans="1:13">
      <c r="A2048">
        <v>2037</v>
      </c>
      <c r="B2048" t="s">
        <v>84</v>
      </c>
      <c r="D2048" t="s">
        <v>185</v>
      </c>
      <c r="F2048" t="s">
        <v>10984</v>
      </c>
      <c r="G2048">
        <v>4</v>
      </c>
      <c r="H2048" t="s">
        <v>10985</v>
      </c>
      <c r="I2048" t="s">
        <v>6754</v>
      </c>
      <c r="J2048" s="122">
        <v>45737</v>
      </c>
      <c r="K2048" s="110" t="str">
        <f t="shared" si="28"/>
        <v>https://Estud2024.sawtoothsoftware.com/cgi-bin/ciwweb.pl?studyname=Estud2024&amp;ID=2037</v>
      </c>
      <c r="L2048" s="113">
        <v>45742</v>
      </c>
      <c r="M2048" s="45" t="s">
        <v>246</v>
      </c>
    </row>
    <row r="2049" spans="1:13">
      <c r="A2049">
        <v>2038</v>
      </c>
      <c r="B2049" t="s">
        <v>84</v>
      </c>
      <c r="D2049" t="s">
        <v>185</v>
      </c>
      <c r="F2049" t="s">
        <v>10986</v>
      </c>
      <c r="G2049">
        <v>4</v>
      </c>
      <c r="H2049" t="s">
        <v>10987</v>
      </c>
      <c r="I2049" t="s">
        <v>6754</v>
      </c>
      <c r="J2049" s="122">
        <v>45737</v>
      </c>
      <c r="K2049" s="110" t="str">
        <f t="shared" si="28"/>
        <v>https://Estud2024.sawtoothsoftware.com/cgi-bin/ciwweb.pl?studyname=Estud2024&amp;ID=2038</v>
      </c>
      <c r="L2049" s="113">
        <v>45742</v>
      </c>
      <c r="M2049" s="45" t="s">
        <v>246</v>
      </c>
    </row>
    <row r="2050" spans="1:13">
      <c r="A2050">
        <v>2039</v>
      </c>
      <c r="B2050" t="s">
        <v>84</v>
      </c>
      <c r="D2050" t="s">
        <v>185</v>
      </c>
      <c r="F2050" t="s">
        <v>10988</v>
      </c>
      <c r="G2050">
        <v>4</v>
      </c>
      <c r="H2050" t="s">
        <v>10989</v>
      </c>
      <c r="I2050" t="s">
        <v>6754</v>
      </c>
      <c r="J2050" s="122">
        <v>45737</v>
      </c>
      <c r="K2050" s="110" t="str">
        <f t="shared" si="28"/>
        <v>https://Estud2024.sawtoothsoftware.com/cgi-bin/ciwweb.pl?studyname=Estud2024&amp;ID=2039</v>
      </c>
      <c r="L2050" s="113">
        <v>45742</v>
      </c>
      <c r="M2050" s="45" t="s">
        <v>246</v>
      </c>
    </row>
    <row r="2051" spans="1:13">
      <c r="A2051">
        <v>2040</v>
      </c>
      <c r="B2051" t="s">
        <v>84</v>
      </c>
      <c r="D2051" t="s">
        <v>185</v>
      </c>
      <c r="F2051" t="s">
        <v>10990</v>
      </c>
      <c r="G2051">
        <v>4</v>
      </c>
      <c r="H2051" t="s">
        <v>10991</v>
      </c>
      <c r="I2051" t="s">
        <v>6754</v>
      </c>
      <c r="J2051" s="122">
        <v>45737</v>
      </c>
      <c r="K2051" s="110" t="str">
        <f t="shared" si="28"/>
        <v>https://Estud2024.sawtoothsoftware.com/cgi-bin/ciwweb.pl?studyname=Estud2024&amp;ID=2040</v>
      </c>
      <c r="L2051" s="113">
        <v>45742</v>
      </c>
      <c r="M2051" s="45" t="s">
        <v>246</v>
      </c>
    </row>
    <row r="2052" spans="1:13">
      <c r="A2052">
        <v>2041</v>
      </c>
      <c r="B2052" t="s">
        <v>84</v>
      </c>
      <c r="D2052" t="s">
        <v>185</v>
      </c>
      <c r="F2052" t="s">
        <v>10992</v>
      </c>
      <c r="G2052">
        <v>4</v>
      </c>
      <c r="H2052" t="s">
        <v>10993</v>
      </c>
      <c r="I2052" t="s">
        <v>6754</v>
      </c>
      <c r="J2052" s="122">
        <v>45737</v>
      </c>
      <c r="K2052" s="110" t="str">
        <f t="shared" si="28"/>
        <v>https://Estud2024.sawtoothsoftware.com/cgi-bin/ciwweb.pl?studyname=Estud2024&amp;ID=2041</v>
      </c>
      <c r="L2052" s="113">
        <v>45742</v>
      </c>
      <c r="M2052" s="45" t="s">
        <v>246</v>
      </c>
    </row>
    <row r="2053" spans="1:13">
      <c r="A2053">
        <v>2042</v>
      </c>
      <c r="B2053" t="s">
        <v>84</v>
      </c>
      <c r="D2053" t="s">
        <v>185</v>
      </c>
      <c r="F2053" t="s">
        <v>10994</v>
      </c>
      <c r="G2053">
        <v>4</v>
      </c>
      <c r="H2053" t="s">
        <v>10995</v>
      </c>
      <c r="I2053" t="s">
        <v>6754</v>
      </c>
      <c r="J2053" s="122">
        <v>45737</v>
      </c>
      <c r="K2053" s="110" t="str">
        <f t="shared" si="28"/>
        <v>https://Estud2024.sawtoothsoftware.com/cgi-bin/ciwweb.pl?studyname=Estud2024&amp;ID=2042</v>
      </c>
      <c r="L2053" s="113">
        <v>45742</v>
      </c>
      <c r="M2053" s="45" t="s">
        <v>246</v>
      </c>
    </row>
    <row r="2054" spans="1:13">
      <c r="A2054">
        <v>2043</v>
      </c>
      <c r="B2054" t="s">
        <v>84</v>
      </c>
      <c r="D2054" t="s">
        <v>185</v>
      </c>
      <c r="F2054" t="s">
        <v>10996</v>
      </c>
      <c r="G2054">
        <v>4</v>
      </c>
      <c r="H2054" t="s">
        <v>10997</v>
      </c>
      <c r="I2054" t="s">
        <v>6754</v>
      </c>
      <c r="J2054" s="122">
        <v>45737</v>
      </c>
      <c r="K2054" s="110" t="str">
        <f t="shared" si="28"/>
        <v>https://Estud2024.sawtoothsoftware.com/cgi-bin/ciwweb.pl?studyname=Estud2024&amp;ID=2043</v>
      </c>
      <c r="L2054" s="113">
        <v>45742</v>
      </c>
      <c r="M2054" s="45" t="s">
        <v>246</v>
      </c>
    </row>
    <row r="2055" spans="1:13">
      <c r="A2055">
        <v>2044</v>
      </c>
      <c r="B2055" t="s">
        <v>84</v>
      </c>
      <c r="D2055" t="s">
        <v>185</v>
      </c>
      <c r="F2055" t="s">
        <v>10998</v>
      </c>
      <c r="G2055">
        <v>4</v>
      </c>
      <c r="H2055" t="s">
        <v>10999</v>
      </c>
      <c r="I2055" t="s">
        <v>6754</v>
      </c>
      <c r="J2055" s="122">
        <v>45737</v>
      </c>
      <c r="K2055" s="110" t="str">
        <f t="shared" si="28"/>
        <v>https://Estud2024.sawtoothsoftware.com/cgi-bin/ciwweb.pl?studyname=Estud2024&amp;ID=2044</v>
      </c>
      <c r="L2055" s="113">
        <v>45742</v>
      </c>
      <c r="M2055" s="45" t="s">
        <v>246</v>
      </c>
    </row>
    <row r="2056" spans="1:13">
      <c r="A2056">
        <v>2045</v>
      </c>
      <c r="B2056" t="s">
        <v>84</v>
      </c>
      <c r="D2056" t="s">
        <v>185</v>
      </c>
      <c r="F2056" t="s">
        <v>11000</v>
      </c>
      <c r="G2056">
        <v>4</v>
      </c>
      <c r="H2056" t="s">
        <v>11001</v>
      </c>
      <c r="I2056" t="s">
        <v>6754</v>
      </c>
      <c r="J2056" s="122">
        <v>45737</v>
      </c>
      <c r="K2056" s="110" t="str">
        <f t="shared" si="28"/>
        <v>https://Estud2024.sawtoothsoftware.com/cgi-bin/ciwweb.pl?studyname=Estud2024&amp;ID=2045</v>
      </c>
      <c r="L2056" s="113">
        <v>45742</v>
      </c>
      <c r="M2056" s="45" t="s">
        <v>247</v>
      </c>
    </row>
    <row r="2057" spans="1:13">
      <c r="A2057">
        <v>2046</v>
      </c>
      <c r="B2057" t="s">
        <v>83</v>
      </c>
      <c r="D2057" t="s">
        <v>135</v>
      </c>
      <c r="F2057" t="s">
        <v>11002</v>
      </c>
      <c r="G2057">
        <v>2</v>
      </c>
      <c r="H2057" t="s">
        <v>11003</v>
      </c>
      <c r="I2057" t="s">
        <v>6754</v>
      </c>
      <c r="J2057" s="122">
        <v>45748</v>
      </c>
      <c r="K2057" s="110" t="str">
        <f t="shared" si="28"/>
        <v>https://Estud2024.sawtoothsoftware.com/cgi-bin/ciwweb.pl?studyname=Estud2024&amp;ID=2046</v>
      </c>
      <c r="L2057" s="113">
        <v>45720</v>
      </c>
      <c r="M2057" s="45" t="s">
        <v>246</v>
      </c>
    </row>
    <row r="2058" spans="1:13">
      <c r="A2058">
        <v>2047</v>
      </c>
      <c r="B2058" t="s">
        <v>83</v>
      </c>
      <c r="D2058" t="s">
        <v>135</v>
      </c>
      <c r="F2058" t="s">
        <v>11004</v>
      </c>
      <c r="G2058">
        <v>2</v>
      </c>
      <c r="H2058" t="s">
        <v>11005</v>
      </c>
      <c r="I2058" t="s">
        <v>6754</v>
      </c>
      <c r="J2058" s="122">
        <v>45748</v>
      </c>
      <c r="K2058" s="110" t="str">
        <f t="shared" si="28"/>
        <v>https://Estud2024.sawtoothsoftware.com/cgi-bin/ciwweb.pl?studyname=Estud2024&amp;ID=2047</v>
      </c>
      <c r="L2058" s="113">
        <v>45720</v>
      </c>
      <c r="M2058" s="45" t="s">
        <v>247</v>
      </c>
    </row>
    <row r="2059" spans="1:13">
      <c r="A2059">
        <v>2048</v>
      </c>
      <c r="B2059" t="s">
        <v>83</v>
      </c>
      <c r="D2059" t="s">
        <v>135</v>
      </c>
      <c r="F2059" t="s">
        <v>11006</v>
      </c>
      <c r="G2059">
        <v>2</v>
      </c>
      <c r="H2059" t="s">
        <v>11007</v>
      </c>
      <c r="I2059" t="s">
        <v>6754</v>
      </c>
      <c r="J2059" s="122">
        <v>45748</v>
      </c>
      <c r="K2059" s="110" t="str">
        <f t="shared" si="28"/>
        <v>https://Estud2024.sawtoothsoftware.com/cgi-bin/ciwweb.pl?studyname=Estud2024&amp;ID=2048</v>
      </c>
      <c r="L2059" s="113">
        <v>45720</v>
      </c>
      <c r="M2059" s="45" t="s">
        <v>246</v>
      </c>
    </row>
    <row r="2060" spans="1:13">
      <c r="A2060">
        <v>2049</v>
      </c>
      <c r="B2060" t="s">
        <v>83</v>
      </c>
      <c r="D2060" t="s">
        <v>135</v>
      </c>
      <c r="F2060" t="s">
        <v>11008</v>
      </c>
      <c r="G2060">
        <v>2</v>
      </c>
      <c r="H2060" t="s">
        <v>11009</v>
      </c>
      <c r="I2060" t="s">
        <v>6754</v>
      </c>
      <c r="J2060" s="122">
        <v>45748</v>
      </c>
      <c r="K2060" s="110" t="str">
        <f t="shared" si="28"/>
        <v>https://Estud2024.sawtoothsoftware.com/cgi-bin/ciwweb.pl?studyname=Estud2024&amp;ID=2049</v>
      </c>
      <c r="L2060" s="113">
        <v>45720</v>
      </c>
      <c r="M2060" s="45" t="s">
        <v>246</v>
      </c>
    </row>
    <row r="2061" spans="1:13">
      <c r="A2061">
        <v>2050</v>
      </c>
      <c r="B2061" t="s">
        <v>83</v>
      </c>
      <c r="D2061" t="s">
        <v>135</v>
      </c>
      <c r="F2061" t="s">
        <v>11010</v>
      </c>
      <c r="G2061">
        <v>2</v>
      </c>
      <c r="H2061" t="s">
        <v>11011</v>
      </c>
      <c r="I2061" t="s">
        <v>6754</v>
      </c>
      <c r="J2061" s="122">
        <v>45748</v>
      </c>
      <c r="K2061" s="110" t="str">
        <f t="shared" si="28"/>
        <v>https://Estud2024.sawtoothsoftware.com/cgi-bin/ciwweb.pl?studyname=Estud2024&amp;ID=2050</v>
      </c>
      <c r="L2061" s="113">
        <v>45720</v>
      </c>
      <c r="M2061" s="45" t="s">
        <v>10066</v>
      </c>
    </row>
    <row r="2062" spans="1:13">
      <c r="A2062">
        <v>2051</v>
      </c>
      <c r="B2062" t="s">
        <v>83</v>
      </c>
      <c r="D2062" t="s">
        <v>135</v>
      </c>
      <c r="F2062" t="s">
        <v>11012</v>
      </c>
      <c r="G2062">
        <v>2</v>
      </c>
      <c r="H2062" t="s">
        <v>11013</v>
      </c>
      <c r="I2062" t="s">
        <v>6754</v>
      </c>
      <c r="J2062" s="122">
        <v>45748</v>
      </c>
      <c r="K2062" s="110" t="str">
        <f t="shared" si="28"/>
        <v>https://Estud2024.sawtoothsoftware.com/cgi-bin/ciwweb.pl?studyname=Estud2024&amp;ID=2051</v>
      </c>
      <c r="L2062" s="113">
        <v>45720</v>
      </c>
      <c r="M2062" s="45" t="s">
        <v>246</v>
      </c>
    </row>
    <row r="2063" spans="1:13">
      <c r="A2063">
        <v>2052</v>
      </c>
      <c r="B2063" t="s">
        <v>83</v>
      </c>
      <c r="D2063" t="s">
        <v>135</v>
      </c>
      <c r="F2063" t="s">
        <v>11014</v>
      </c>
      <c r="G2063">
        <v>2</v>
      </c>
      <c r="H2063" t="s">
        <v>11015</v>
      </c>
      <c r="I2063" t="s">
        <v>6754</v>
      </c>
      <c r="J2063" s="122">
        <v>45748</v>
      </c>
      <c r="K2063" s="110" t="str">
        <f t="shared" si="28"/>
        <v>https://Estud2024.sawtoothsoftware.com/cgi-bin/ciwweb.pl?studyname=Estud2024&amp;ID=2052</v>
      </c>
      <c r="L2063" s="113">
        <v>45720</v>
      </c>
      <c r="M2063" s="45" t="s">
        <v>246</v>
      </c>
    </row>
    <row r="2064" spans="1:13">
      <c r="A2064">
        <v>2053</v>
      </c>
      <c r="B2064" t="s">
        <v>83</v>
      </c>
      <c r="D2064" t="s">
        <v>135</v>
      </c>
      <c r="F2064" t="s">
        <v>11016</v>
      </c>
      <c r="G2064">
        <v>2</v>
      </c>
      <c r="H2064" t="s">
        <v>11017</v>
      </c>
      <c r="I2064" t="s">
        <v>6754</v>
      </c>
      <c r="J2064" s="122">
        <v>45748</v>
      </c>
      <c r="K2064" s="110" t="str">
        <f t="shared" si="28"/>
        <v>https://Estud2024.sawtoothsoftware.com/cgi-bin/ciwweb.pl?studyname=Estud2024&amp;ID=2053</v>
      </c>
      <c r="L2064" s="113">
        <v>45720</v>
      </c>
      <c r="M2064" s="45" t="s">
        <v>10066</v>
      </c>
    </row>
    <row r="2065" spans="1:13">
      <c r="A2065">
        <v>2054</v>
      </c>
      <c r="B2065" t="s">
        <v>83</v>
      </c>
      <c r="D2065" t="s">
        <v>135</v>
      </c>
      <c r="F2065" t="s">
        <v>11018</v>
      </c>
      <c r="G2065">
        <v>2</v>
      </c>
      <c r="H2065" t="s">
        <v>11019</v>
      </c>
      <c r="I2065" t="s">
        <v>6754</v>
      </c>
      <c r="J2065" s="122">
        <v>45748</v>
      </c>
      <c r="K2065" s="110" t="str">
        <f t="shared" si="28"/>
        <v>https://Estud2024.sawtoothsoftware.com/cgi-bin/ciwweb.pl?studyname=Estud2024&amp;ID=2054</v>
      </c>
      <c r="L2065" s="113">
        <v>45720</v>
      </c>
      <c r="M2065" s="45" t="s">
        <v>246</v>
      </c>
    </row>
    <row r="2066" spans="1:13">
      <c r="A2066">
        <v>2055</v>
      </c>
      <c r="B2066" t="s">
        <v>83</v>
      </c>
      <c r="D2066" t="s">
        <v>135</v>
      </c>
      <c r="F2066" t="s">
        <v>11020</v>
      </c>
      <c r="G2066">
        <v>2</v>
      </c>
      <c r="H2066" t="s">
        <v>11021</v>
      </c>
      <c r="I2066" t="s">
        <v>6754</v>
      </c>
      <c r="J2066" s="122">
        <v>45748</v>
      </c>
      <c r="K2066" s="110" t="str">
        <f t="shared" si="28"/>
        <v>https://Estud2024.sawtoothsoftware.com/cgi-bin/ciwweb.pl?studyname=Estud2024&amp;ID=2055</v>
      </c>
      <c r="L2066" s="113">
        <v>45720</v>
      </c>
      <c r="M2066" s="45" t="s">
        <v>247</v>
      </c>
    </row>
    <row r="2067" spans="1:13">
      <c r="A2067">
        <v>2056</v>
      </c>
      <c r="B2067" t="s">
        <v>83</v>
      </c>
      <c r="D2067" t="s">
        <v>135</v>
      </c>
      <c r="F2067" t="s">
        <v>11022</v>
      </c>
      <c r="G2067">
        <v>2</v>
      </c>
      <c r="H2067" t="s">
        <v>11023</v>
      </c>
      <c r="I2067" t="s">
        <v>6754</v>
      </c>
      <c r="J2067" s="122">
        <v>45748</v>
      </c>
      <c r="K2067" s="110" t="str">
        <f t="shared" si="28"/>
        <v>https://Estud2024.sawtoothsoftware.com/cgi-bin/ciwweb.pl?studyname=Estud2024&amp;ID=2056</v>
      </c>
      <c r="L2067" s="113">
        <v>45720</v>
      </c>
      <c r="M2067" s="45" t="s">
        <v>10066</v>
      </c>
    </row>
    <row r="2068" spans="1:13">
      <c r="A2068">
        <v>2057</v>
      </c>
      <c r="B2068" t="s">
        <v>83</v>
      </c>
      <c r="D2068" t="s">
        <v>135</v>
      </c>
      <c r="F2068" t="s">
        <v>11024</v>
      </c>
      <c r="G2068">
        <v>2</v>
      </c>
      <c r="H2068" t="s">
        <v>11025</v>
      </c>
      <c r="I2068" t="s">
        <v>6754</v>
      </c>
      <c r="J2068" s="122">
        <v>45748</v>
      </c>
      <c r="K2068" s="110" t="str">
        <f t="shared" si="28"/>
        <v>https://Estud2024.sawtoothsoftware.com/cgi-bin/ciwweb.pl?studyname=Estud2024&amp;ID=2057</v>
      </c>
      <c r="L2068" s="113">
        <v>45720</v>
      </c>
      <c r="M2068" s="45" t="s">
        <v>246</v>
      </c>
    </row>
    <row r="2069" spans="1:13">
      <c r="A2069">
        <v>2058</v>
      </c>
      <c r="B2069" t="s">
        <v>83</v>
      </c>
      <c r="D2069" t="s">
        <v>135</v>
      </c>
      <c r="F2069" t="s">
        <v>11026</v>
      </c>
      <c r="G2069">
        <v>2</v>
      </c>
      <c r="H2069" t="s">
        <v>11027</v>
      </c>
      <c r="I2069" t="s">
        <v>6754</v>
      </c>
      <c r="J2069" s="122">
        <v>45748</v>
      </c>
      <c r="K2069" s="110" t="str">
        <f t="shared" si="28"/>
        <v>https://Estud2024.sawtoothsoftware.com/cgi-bin/ciwweb.pl?studyname=Estud2024&amp;ID=2058</v>
      </c>
      <c r="L2069" s="113">
        <v>45720</v>
      </c>
      <c r="M2069" s="45" t="s">
        <v>246</v>
      </c>
    </row>
    <row r="2070" spans="1:13">
      <c r="A2070">
        <v>2059</v>
      </c>
      <c r="B2070" t="s">
        <v>83</v>
      </c>
      <c r="D2070" t="s">
        <v>135</v>
      </c>
      <c r="F2070" t="s">
        <v>11028</v>
      </c>
      <c r="G2070">
        <v>2</v>
      </c>
      <c r="H2070" t="s">
        <v>11029</v>
      </c>
      <c r="I2070" t="s">
        <v>6754</v>
      </c>
      <c r="J2070" s="122">
        <v>45748</v>
      </c>
      <c r="K2070" s="110" t="str">
        <f t="shared" ref="K2070:K2133" si="29">CONCATENATE("https://Estud2024.sawtoothsoftware.com/cgi-bin/ciwweb.pl?studyname=Estud2024&amp;ID=",A2070)</f>
        <v>https://Estud2024.sawtoothsoftware.com/cgi-bin/ciwweb.pl?studyname=Estud2024&amp;ID=2059</v>
      </c>
      <c r="L2070" s="113">
        <v>45720</v>
      </c>
      <c r="M2070" s="45" t="s">
        <v>246</v>
      </c>
    </row>
    <row r="2071" spans="1:13">
      <c r="A2071">
        <v>2060</v>
      </c>
      <c r="B2071" t="s">
        <v>83</v>
      </c>
      <c r="D2071" t="s">
        <v>135</v>
      </c>
      <c r="F2071" t="s">
        <v>11030</v>
      </c>
      <c r="G2071">
        <v>2</v>
      </c>
      <c r="H2071" t="s">
        <v>11031</v>
      </c>
      <c r="I2071" t="s">
        <v>6754</v>
      </c>
      <c r="J2071" s="122">
        <v>45748</v>
      </c>
      <c r="K2071" s="110" t="str">
        <f t="shared" si="29"/>
        <v>https://Estud2024.sawtoothsoftware.com/cgi-bin/ciwweb.pl?studyname=Estud2024&amp;ID=2060</v>
      </c>
      <c r="L2071" s="113">
        <v>45720</v>
      </c>
      <c r="M2071" s="45" t="s">
        <v>246</v>
      </c>
    </row>
    <row r="2072" spans="1:13">
      <c r="A2072">
        <v>2061</v>
      </c>
      <c r="B2072" t="s">
        <v>83</v>
      </c>
      <c r="D2072" t="s">
        <v>135</v>
      </c>
      <c r="F2072" t="s">
        <v>11032</v>
      </c>
      <c r="G2072">
        <v>2</v>
      </c>
      <c r="H2072" t="s">
        <v>11033</v>
      </c>
      <c r="I2072" t="s">
        <v>6754</v>
      </c>
      <c r="J2072" s="122">
        <v>45748</v>
      </c>
      <c r="K2072" s="110" t="str">
        <f t="shared" si="29"/>
        <v>https://Estud2024.sawtoothsoftware.com/cgi-bin/ciwweb.pl?studyname=Estud2024&amp;ID=2061</v>
      </c>
      <c r="L2072" s="113">
        <v>45720</v>
      </c>
      <c r="M2072" s="45" t="s">
        <v>246</v>
      </c>
    </row>
    <row r="2073" spans="1:13">
      <c r="A2073">
        <v>2062</v>
      </c>
      <c r="B2073" t="s">
        <v>83</v>
      </c>
      <c r="D2073" t="s">
        <v>135</v>
      </c>
      <c r="F2073" t="s">
        <v>11034</v>
      </c>
      <c r="G2073">
        <v>2</v>
      </c>
      <c r="H2073" t="s">
        <v>11035</v>
      </c>
      <c r="I2073" t="s">
        <v>6754</v>
      </c>
      <c r="J2073" s="122">
        <v>45748</v>
      </c>
      <c r="K2073" s="110" t="str">
        <f t="shared" si="29"/>
        <v>https://Estud2024.sawtoothsoftware.com/cgi-bin/ciwweb.pl?studyname=Estud2024&amp;ID=2062</v>
      </c>
      <c r="L2073" s="113">
        <v>45720</v>
      </c>
      <c r="M2073" s="45" t="s">
        <v>246</v>
      </c>
    </row>
    <row r="2074" spans="1:13">
      <c r="A2074">
        <v>2063</v>
      </c>
      <c r="B2074" t="s">
        <v>83</v>
      </c>
      <c r="D2074" t="s">
        <v>183</v>
      </c>
      <c r="F2074" t="s">
        <v>11036</v>
      </c>
      <c r="G2074">
        <v>2</v>
      </c>
      <c r="H2074" t="s">
        <v>11037</v>
      </c>
      <c r="I2074" t="s">
        <v>6754</v>
      </c>
      <c r="J2074" s="122">
        <v>45748</v>
      </c>
      <c r="K2074" s="110" t="str">
        <f t="shared" si="29"/>
        <v>https://Estud2024.sawtoothsoftware.com/cgi-bin/ciwweb.pl?studyname=Estud2024&amp;ID=2063</v>
      </c>
      <c r="L2074" s="113">
        <v>45720</v>
      </c>
      <c r="M2074" s="45" t="s">
        <v>247</v>
      </c>
    </row>
    <row r="2075" spans="1:13">
      <c r="A2075">
        <v>2064</v>
      </c>
      <c r="B2075" t="s">
        <v>83</v>
      </c>
      <c r="D2075" t="s">
        <v>183</v>
      </c>
      <c r="F2075" t="s">
        <v>11038</v>
      </c>
      <c r="G2075">
        <v>2</v>
      </c>
      <c r="H2075" t="s">
        <v>11039</v>
      </c>
      <c r="I2075" t="s">
        <v>6754</v>
      </c>
      <c r="J2075" s="122">
        <v>45748</v>
      </c>
      <c r="K2075" s="110" t="str">
        <f t="shared" si="29"/>
        <v>https://Estud2024.sawtoothsoftware.com/cgi-bin/ciwweb.pl?studyname=Estud2024&amp;ID=2064</v>
      </c>
      <c r="L2075" s="113">
        <v>45720</v>
      </c>
      <c r="M2075" s="45" t="s">
        <v>247</v>
      </c>
    </row>
    <row r="2076" spans="1:13">
      <c r="A2076">
        <v>2065</v>
      </c>
      <c r="B2076" t="s">
        <v>83</v>
      </c>
      <c r="D2076" t="s">
        <v>183</v>
      </c>
      <c r="F2076" t="s">
        <v>11040</v>
      </c>
      <c r="G2076">
        <v>2</v>
      </c>
      <c r="H2076" t="s">
        <v>11041</v>
      </c>
      <c r="I2076" t="s">
        <v>6754</v>
      </c>
      <c r="J2076" s="122">
        <v>45748</v>
      </c>
      <c r="K2076" s="110" t="str">
        <f t="shared" si="29"/>
        <v>https://Estud2024.sawtoothsoftware.com/cgi-bin/ciwweb.pl?studyname=Estud2024&amp;ID=2065</v>
      </c>
      <c r="L2076" s="113">
        <v>45720</v>
      </c>
      <c r="M2076" s="45" t="s">
        <v>247</v>
      </c>
    </row>
    <row r="2077" spans="1:13">
      <c r="A2077">
        <v>2066</v>
      </c>
      <c r="B2077" t="s">
        <v>83</v>
      </c>
      <c r="D2077" t="s">
        <v>183</v>
      </c>
      <c r="F2077" t="s">
        <v>11042</v>
      </c>
      <c r="G2077">
        <v>2</v>
      </c>
      <c r="H2077" t="s">
        <v>11043</v>
      </c>
      <c r="I2077" t="s">
        <v>6754</v>
      </c>
      <c r="J2077" s="122">
        <v>45748</v>
      </c>
      <c r="K2077" s="110" t="str">
        <f t="shared" si="29"/>
        <v>https://Estud2024.sawtoothsoftware.com/cgi-bin/ciwweb.pl?studyname=Estud2024&amp;ID=2066</v>
      </c>
      <c r="L2077" s="113">
        <v>45720</v>
      </c>
      <c r="M2077" s="45" t="s">
        <v>247</v>
      </c>
    </row>
    <row r="2078" spans="1:13">
      <c r="A2078">
        <v>2067</v>
      </c>
      <c r="B2078" t="s">
        <v>83</v>
      </c>
      <c r="D2078" t="s">
        <v>183</v>
      </c>
      <c r="F2078" t="s">
        <v>11044</v>
      </c>
      <c r="G2078">
        <v>2</v>
      </c>
      <c r="H2078" t="s">
        <v>11045</v>
      </c>
      <c r="I2078" t="s">
        <v>6754</v>
      </c>
      <c r="J2078" s="122">
        <v>45748</v>
      </c>
      <c r="K2078" s="110" t="str">
        <f t="shared" si="29"/>
        <v>https://Estud2024.sawtoothsoftware.com/cgi-bin/ciwweb.pl?studyname=Estud2024&amp;ID=2067</v>
      </c>
      <c r="L2078" s="113">
        <v>45720</v>
      </c>
      <c r="M2078" s="45" t="s">
        <v>247</v>
      </c>
    </row>
    <row r="2079" spans="1:13">
      <c r="A2079">
        <v>2068</v>
      </c>
      <c r="B2079" t="s">
        <v>83</v>
      </c>
      <c r="D2079" t="s">
        <v>183</v>
      </c>
      <c r="F2079" t="s">
        <v>11046</v>
      </c>
      <c r="G2079">
        <v>2</v>
      </c>
      <c r="H2079" t="s">
        <v>11047</v>
      </c>
      <c r="I2079" t="s">
        <v>6754</v>
      </c>
      <c r="J2079" s="122">
        <v>45748</v>
      </c>
      <c r="K2079" s="110" t="str">
        <f t="shared" si="29"/>
        <v>https://Estud2024.sawtoothsoftware.com/cgi-bin/ciwweb.pl?studyname=Estud2024&amp;ID=2068</v>
      </c>
      <c r="L2079" s="113">
        <v>45720</v>
      </c>
      <c r="M2079" s="45" t="s">
        <v>246</v>
      </c>
    </row>
    <row r="2080" spans="1:13">
      <c r="A2080">
        <v>2069</v>
      </c>
      <c r="B2080" t="s">
        <v>83</v>
      </c>
      <c r="D2080" t="s">
        <v>183</v>
      </c>
      <c r="F2080" t="s">
        <v>11048</v>
      </c>
      <c r="G2080">
        <v>2</v>
      </c>
      <c r="H2080" t="s">
        <v>11049</v>
      </c>
      <c r="I2080" t="s">
        <v>6754</v>
      </c>
      <c r="J2080" s="122">
        <v>45748</v>
      </c>
      <c r="K2080" s="110" t="str">
        <f t="shared" si="29"/>
        <v>https://Estud2024.sawtoothsoftware.com/cgi-bin/ciwweb.pl?studyname=Estud2024&amp;ID=2069</v>
      </c>
      <c r="L2080" s="113">
        <v>45720</v>
      </c>
      <c r="M2080" s="45" t="s">
        <v>247</v>
      </c>
    </row>
    <row r="2081" spans="1:13">
      <c r="A2081">
        <v>2070</v>
      </c>
      <c r="B2081" t="s">
        <v>83</v>
      </c>
      <c r="D2081" t="s">
        <v>183</v>
      </c>
      <c r="F2081" t="s">
        <v>11050</v>
      </c>
      <c r="G2081">
        <v>2</v>
      </c>
      <c r="H2081" t="s">
        <v>11051</v>
      </c>
      <c r="I2081" t="s">
        <v>6754</v>
      </c>
      <c r="J2081" s="122">
        <v>45748</v>
      </c>
      <c r="K2081" s="110" t="str">
        <f t="shared" si="29"/>
        <v>https://Estud2024.sawtoothsoftware.com/cgi-bin/ciwweb.pl?studyname=Estud2024&amp;ID=2070</v>
      </c>
      <c r="L2081" s="113">
        <v>45720</v>
      </c>
      <c r="M2081" s="45" t="s">
        <v>247</v>
      </c>
    </row>
    <row r="2082" spans="1:13">
      <c r="A2082">
        <v>2071</v>
      </c>
      <c r="B2082" t="s">
        <v>83</v>
      </c>
      <c r="D2082" t="s">
        <v>183</v>
      </c>
      <c r="F2082" t="s">
        <v>11052</v>
      </c>
      <c r="G2082">
        <v>2</v>
      </c>
      <c r="H2082" t="s">
        <v>11053</v>
      </c>
      <c r="I2082" t="s">
        <v>6754</v>
      </c>
      <c r="J2082" s="122">
        <v>45748</v>
      </c>
      <c r="K2082" s="110" t="str">
        <f t="shared" si="29"/>
        <v>https://Estud2024.sawtoothsoftware.com/cgi-bin/ciwweb.pl?studyname=Estud2024&amp;ID=2071</v>
      </c>
      <c r="L2082" s="113">
        <v>45720</v>
      </c>
      <c r="M2082" s="45" t="s">
        <v>247</v>
      </c>
    </row>
    <row r="2083" spans="1:13">
      <c r="A2083">
        <v>2072</v>
      </c>
      <c r="B2083" t="s">
        <v>83</v>
      </c>
      <c r="D2083" t="s">
        <v>183</v>
      </c>
      <c r="F2083" t="s">
        <v>11054</v>
      </c>
      <c r="G2083">
        <v>2</v>
      </c>
      <c r="H2083" t="s">
        <v>11055</v>
      </c>
      <c r="I2083" t="s">
        <v>6754</v>
      </c>
      <c r="J2083" s="122">
        <v>45748</v>
      </c>
      <c r="K2083" s="110" t="str">
        <f t="shared" si="29"/>
        <v>https://Estud2024.sawtoothsoftware.com/cgi-bin/ciwweb.pl?studyname=Estud2024&amp;ID=2072</v>
      </c>
      <c r="L2083" s="113">
        <v>45720</v>
      </c>
      <c r="M2083" s="45" t="s">
        <v>247</v>
      </c>
    </row>
    <row r="2084" spans="1:13">
      <c r="A2084">
        <v>2073</v>
      </c>
      <c r="B2084" t="s">
        <v>83</v>
      </c>
      <c r="D2084" t="s">
        <v>183</v>
      </c>
      <c r="F2084" t="s">
        <v>11056</v>
      </c>
      <c r="G2084">
        <v>2</v>
      </c>
      <c r="H2084" t="s">
        <v>11057</v>
      </c>
      <c r="I2084" t="s">
        <v>6754</v>
      </c>
      <c r="J2084" s="122">
        <v>45748</v>
      </c>
      <c r="K2084" s="110" t="str">
        <f t="shared" si="29"/>
        <v>https://Estud2024.sawtoothsoftware.com/cgi-bin/ciwweb.pl?studyname=Estud2024&amp;ID=2073</v>
      </c>
      <c r="L2084" s="113">
        <v>45720</v>
      </c>
      <c r="M2084" s="45" t="s">
        <v>247</v>
      </c>
    </row>
    <row r="2085" spans="1:13">
      <c r="A2085">
        <v>2074</v>
      </c>
      <c r="B2085" t="s">
        <v>83</v>
      </c>
      <c r="D2085" t="s">
        <v>183</v>
      </c>
      <c r="F2085" t="s">
        <v>11058</v>
      </c>
      <c r="G2085">
        <v>2</v>
      </c>
      <c r="H2085" t="s">
        <v>11059</v>
      </c>
      <c r="I2085" t="s">
        <v>6754</v>
      </c>
      <c r="J2085" s="122">
        <v>45748</v>
      </c>
      <c r="K2085" s="110" t="str">
        <f t="shared" si="29"/>
        <v>https://Estud2024.sawtoothsoftware.com/cgi-bin/ciwweb.pl?studyname=Estud2024&amp;ID=2074</v>
      </c>
      <c r="L2085" s="113">
        <v>45720</v>
      </c>
      <c r="M2085" s="45" t="s">
        <v>247</v>
      </c>
    </row>
    <row r="2086" spans="1:13">
      <c r="A2086">
        <v>2075</v>
      </c>
      <c r="B2086" t="s">
        <v>83</v>
      </c>
      <c r="D2086" t="s">
        <v>183</v>
      </c>
      <c r="F2086" t="s">
        <v>11060</v>
      </c>
      <c r="G2086">
        <v>2</v>
      </c>
      <c r="H2086" t="s">
        <v>11061</v>
      </c>
      <c r="I2086" t="s">
        <v>6754</v>
      </c>
      <c r="J2086" s="122">
        <v>45748</v>
      </c>
      <c r="K2086" s="110" t="str">
        <f t="shared" si="29"/>
        <v>https://Estud2024.sawtoothsoftware.com/cgi-bin/ciwweb.pl?studyname=Estud2024&amp;ID=2075</v>
      </c>
      <c r="L2086" s="113">
        <v>45720</v>
      </c>
      <c r="M2086" s="45" t="s">
        <v>247</v>
      </c>
    </row>
    <row r="2087" spans="1:13">
      <c r="A2087">
        <v>2076</v>
      </c>
      <c r="B2087" t="s">
        <v>83</v>
      </c>
      <c r="D2087" t="s">
        <v>183</v>
      </c>
      <c r="F2087" t="s">
        <v>11062</v>
      </c>
      <c r="G2087">
        <v>2</v>
      </c>
      <c r="H2087" t="s">
        <v>11063</v>
      </c>
      <c r="I2087" t="s">
        <v>6754</v>
      </c>
      <c r="J2087" s="122">
        <v>45748</v>
      </c>
      <c r="K2087" s="110" t="str">
        <f t="shared" si="29"/>
        <v>https://Estud2024.sawtoothsoftware.com/cgi-bin/ciwweb.pl?studyname=Estud2024&amp;ID=2076</v>
      </c>
      <c r="L2087" s="113">
        <v>45720</v>
      </c>
      <c r="M2087" s="45" t="s">
        <v>247</v>
      </c>
    </row>
    <row r="2088" spans="1:13">
      <c r="A2088">
        <v>2077</v>
      </c>
      <c r="B2088" t="s">
        <v>83</v>
      </c>
      <c r="D2088" t="s">
        <v>183</v>
      </c>
      <c r="F2088" t="s">
        <v>11064</v>
      </c>
      <c r="G2088">
        <v>4</v>
      </c>
      <c r="H2088" t="s">
        <v>11065</v>
      </c>
      <c r="I2088" t="s">
        <v>6754</v>
      </c>
      <c r="J2088" s="122">
        <v>45748</v>
      </c>
      <c r="K2088" s="110" t="str">
        <f t="shared" si="29"/>
        <v>https://Estud2024.sawtoothsoftware.com/cgi-bin/ciwweb.pl?studyname=Estud2024&amp;ID=2077</v>
      </c>
      <c r="L2088" s="113">
        <v>45720</v>
      </c>
      <c r="M2088" s="45" t="s">
        <v>246</v>
      </c>
    </row>
    <row r="2089" spans="1:13">
      <c r="A2089">
        <v>2078</v>
      </c>
      <c r="B2089" t="s">
        <v>83</v>
      </c>
      <c r="D2089" t="s">
        <v>183</v>
      </c>
      <c r="F2089" t="s">
        <v>11066</v>
      </c>
      <c r="G2089">
        <v>4</v>
      </c>
      <c r="H2089" t="s">
        <v>11067</v>
      </c>
      <c r="I2089" t="s">
        <v>6754</v>
      </c>
      <c r="J2089" s="122">
        <v>45748</v>
      </c>
      <c r="K2089" s="110" t="str">
        <f t="shared" si="29"/>
        <v>https://Estud2024.sawtoothsoftware.com/cgi-bin/ciwweb.pl?studyname=Estud2024&amp;ID=2078</v>
      </c>
      <c r="L2089" s="113">
        <v>45720</v>
      </c>
      <c r="M2089" s="45" t="s">
        <v>247</v>
      </c>
    </row>
    <row r="2090" spans="1:13">
      <c r="A2090">
        <v>2079</v>
      </c>
      <c r="B2090" t="s">
        <v>83</v>
      </c>
      <c r="D2090" t="s">
        <v>183</v>
      </c>
      <c r="F2090" t="s">
        <v>11068</v>
      </c>
      <c r="G2090">
        <v>4</v>
      </c>
      <c r="H2090" t="s">
        <v>11069</v>
      </c>
      <c r="I2090" t="s">
        <v>6754</v>
      </c>
      <c r="J2090" s="122">
        <v>45748</v>
      </c>
      <c r="K2090" s="110" t="str">
        <f t="shared" si="29"/>
        <v>https://Estud2024.sawtoothsoftware.com/cgi-bin/ciwweb.pl?studyname=Estud2024&amp;ID=2079</v>
      </c>
      <c r="L2090" s="113">
        <v>45720</v>
      </c>
      <c r="M2090" s="45" t="s">
        <v>247</v>
      </c>
    </row>
    <row r="2091" spans="1:13">
      <c r="A2091">
        <v>2080</v>
      </c>
      <c r="B2091" t="s">
        <v>83</v>
      </c>
      <c r="D2091" t="s">
        <v>183</v>
      </c>
      <c r="F2091" t="s">
        <v>11070</v>
      </c>
      <c r="G2091">
        <v>4</v>
      </c>
      <c r="H2091" t="s">
        <v>11071</v>
      </c>
      <c r="I2091" t="s">
        <v>6754</v>
      </c>
      <c r="J2091" s="122">
        <v>45748</v>
      </c>
      <c r="K2091" s="110" t="str">
        <f t="shared" si="29"/>
        <v>https://Estud2024.sawtoothsoftware.com/cgi-bin/ciwweb.pl?studyname=Estud2024&amp;ID=2080</v>
      </c>
      <c r="L2091" s="113">
        <v>45720</v>
      </c>
      <c r="M2091" s="45" t="s">
        <v>246</v>
      </c>
    </row>
    <row r="2092" spans="1:13">
      <c r="A2092">
        <v>2081</v>
      </c>
      <c r="B2092" t="s">
        <v>83</v>
      </c>
      <c r="D2092" t="s">
        <v>183</v>
      </c>
      <c r="F2092" t="s">
        <v>11072</v>
      </c>
      <c r="G2092">
        <v>4</v>
      </c>
      <c r="H2092" t="s">
        <v>11073</v>
      </c>
      <c r="I2092" t="s">
        <v>6754</v>
      </c>
      <c r="J2092" s="122">
        <v>45748</v>
      </c>
      <c r="K2092" s="110" t="str">
        <f t="shared" si="29"/>
        <v>https://Estud2024.sawtoothsoftware.com/cgi-bin/ciwweb.pl?studyname=Estud2024&amp;ID=2081</v>
      </c>
      <c r="L2092" s="113">
        <v>45720</v>
      </c>
      <c r="M2092" s="45" t="s">
        <v>246</v>
      </c>
    </row>
    <row r="2093" spans="1:13">
      <c r="A2093">
        <v>2082</v>
      </c>
      <c r="B2093" t="s">
        <v>83</v>
      </c>
      <c r="D2093" t="s">
        <v>183</v>
      </c>
      <c r="F2093" t="s">
        <v>11074</v>
      </c>
      <c r="G2093">
        <v>4</v>
      </c>
      <c r="H2093" t="s">
        <v>11075</v>
      </c>
      <c r="I2093" t="s">
        <v>6754</v>
      </c>
      <c r="J2093" s="122">
        <v>45748</v>
      </c>
      <c r="K2093" s="110" t="str">
        <f t="shared" si="29"/>
        <v>https://Estud2024.sawtoothsoftware.com/cgi-bin/ciwweb.pl?studyname=Estud2024&amp;ID=2082</v>
      </c>
      <c r="L2093" s="113">
        <v>45720</v>
      </c>
      <c r="M2093" s="45" t="s">
        <v>247</v>
      </c>
    </row>
    <row r="2094" spans="1:13">
      <c r="A2094">
        <v>2083</v>
      </c>
      <c r="B2094" t="s">
        <v>83</v>
      </c>
      <c r="D2094" t="s">
        <v>183</v>
      </c>
      <c r="F2094" t="s">
        <v>11076</v>
      </c>
      <c r="G2094">
        <v>4</v>
      </c>
      <c r="H2094" t="s">
        <v>11077</v>
      </c>
      <c r="I2094" t="s">
        <v>6754</v>
      </c>
      <c r="J2094" s="122">
        <v>45748</v>
      </c>
      <c r="K2094" s="110" t="str">
        <f t="shared" si="29"/>
        <v>https://Estud2024.sawtoothsoftware.com/cgi-bin/ciwweb.pl?studyname=Estud2024&amp;ID=2083</v>
      </c>
      <c r="L2094" s="113">
        <v>45720</v>
      </c>
      <c r="M2094" s="45" t="s">
        <v>247</v>
      </c>
    </row>
    <row r="2095" spans="1:13">
      <c r="A2095">
        <v>2084</v>
      </c>
      <c r="B2095" t="s">
        <v>83</v>
      </c>
      <c r="D2095" t="s">
        <v>183</v>
      </c>
      <c r="F2095" t="s">
        <v>11078</v>
      </c>
      <c r="G2095">
        <v>4</v>
      </c>
      <c r="H2095" t="s">
        <v>11079</v>
      </c>
      <c r="I2095" t="s">
        <v>6754</v>
      </c>
      <c r="J2095" s="122">
        <v>45748</v>
      </c>
      <c r="K2095" s="110" t="str">
        <f t="shared" si="29"/>
        <v>https://Estud2024.sawtoothsoftware.com/cgi-bin/ciwweb.pl?studyname=Estud2024&amp;ID=2084</v>
      </c>
      <c r="L2095" s="113">
        <v>45720</v>
      </c>
      <c r="M2095" s="45" t="s">
        <v>247</v>
      </c>
    </row>
    <row r="2096" spans="1:13">
      <c r="A2096">
        <v>2085</v>
      </c>
      <c r="B2096" t="s">
        <v>83</v>
      </c>
      <c r="D2096" t="s">
        <v>183</v>
      </c>
      <c r="F2096" t="s">
        <v>11080</v>
      </c>
      <c r="G2096">
        <v>4</v>
      </c>
      <c r="H2096" t="s">
        <v>11081</v>
      </c>
      <c r="I2096" t="s">
        <v>6754</v>
      </c>
      <c r="J2096" s="122">
        <v>45748</v>
      </c>
      <c r="K2096" s="110" t="str">
        <f t="shared" si="29"/>
        <v>https://Estud2024.sawtoothsoftware.com/cgi-bin/ciwweb.pl?studyname=Estud2024&amp;ID=2085</v>
      </c>
      <c r="L2096" s="113">
        <v>45720</v>
      </c>
      <c r="M2096" s="45" t="s">
        <v>246</v>
      </c>
    </row>
    <row r="2097" spans="1:13">
      <c r="A2097">
        <v>2086</v>
      </c>
      <c r="B2097" t="s">
        <v>83</v>
      </c>
      <c r="D2097" t="s">
        <v>183</v>
      </c>
      <c r="F2097" t="s">
        <v>11082</v>
      </c>
      <c r="G2097">
        <v>4</v>
      </c>
      <c r="H2097" t="s">
        <v>11083</v>
      </c>
      <c r="I2097" t="s">
        <v>6754</v>
      </c>
      <c r="J2097" s="122">
        <v>45748</v>
      </c>
      <c r="K2097" s="110" t="str">
        <f t="shared" si="29"/>
        <v>https://Estud2024.sawtoothsoftware.com/cgi-bin/ciwweb.pl?studyname=Estud2024&amp;ID=2086</v>
      </c>
      <c r="L2097" s="113">
        <v>45720</v>
      </c>
      <c r="M2097" s="45" t="s">
        <v>247</v>
      </c>
    </row>
    <row r="2098" spans="1:13">
      <c r="A2098">
        <v>2087</v>
      </c>
      <c r="B2098" t="s">
        <v>83</v>
      </c>
      <c r="D2098" t="s">
        <v>183</v>
      </c>
      <c r="F2098" t="s">
        <v>11084</v>
      </c>
      <c r="G2098">
        <v>4</v>
      </c>
      <c r="H2098" t="s">
        <v>11085</v>
      </c>
      <c r="I2098" t="s">
        <v>6754</v>
      </c>
      <c r="J2098" s="122">
        <v>45748</v>
      </c>
      <c r="K2098" s="110" t="str">
        <f t="shared" si="29"/>
        <v>https://Estud2024.sawtoothsoftware.com/cgi-bin/ciwweb.pl?studyname=Estud2024&amp;ID=2087</v>
      </c>
      <c r="L2098" s="113">
        <v>45720</v>
      </c>
      <c r="M2098" s="45" t="s">
        <v>247</v>
      </c>
    </row>
    <row r="2099" spans="1:13">
      <c r="A2099">
        <v>2088</v>
      </c>
      <c r="B2099" t="s">
        <v>83</v>
      </c>
      <c r="D2099" t="s">
        <v>183</v>
      </c>
      <c r="F2099" t="s">
        <v>11086</v>
      </c>
      <c r="G2099">
        <v>4</v>
      </c>
      <c r="H2099" t="s">
        <v>11087</v>
      </c>
      <c r="I2099" t="s">
        <v>6754</v>
      </c>
      <c r="J2099" s="122">
        <v>45748</v>
      </c>
      <c r="K2099" s="110" t="str">
        <f t="shared" si="29"/>
        <v>https://Estud2024.sawtoothsoftware.com/cgi-bin/ciwweb.pl?studyname=Estud2024&amp;ID=2088</v>
      </c>
      <c r="L2099" s="113">
        <v>45720</v>
      </c>
      <c r="M2099" s="45" t="s">
        <v>246</v>
      </c>
    </row>
    <row r="2100" spans="1:13">
      <c r="A2100">
        <v>2089</v>
      </c>
      <c r="B2100" t="s">
        <v>83</v>
      </c>
      <c r="D2100" t="s">
        <v>183</v>
      </c>
      <c r="F2100" t="s">
        <v>11088</v>
      </c>
      <c r="G2100">
        <v>4</v>
      </c>
      <c r="H2100" t="s">
        <v>11089</v>
      </c>
      <c r="I2100" t="s">
        <v>6754</v>
      </c>
      <c r="J2100" s="122">
        <v>45748</v>
      </c>
      <c r="K2100" s="110" t="str">
        <f t="shared" si="29"/>
        <v>https://Estud2024.sawtoothsoftware.com/cgi-bin/ciwweb.pl?studyname=Estud2024&amp;ID=2089</v>
      </c>
      <c r="L2100" s="113">
        <v>45720</v>
      </c>
      <c r="M2100" s="45" t="s">
        <v>246</v>
      </c>
    </row>
    <row r="2101" spans="1:13">
      <c r="A2101">
        <v>2090</v>
      </c>
      <c r="B2101" t="s">
        <v>85</v>
      </c>
      <c r="D2101" t="s">
        <v>216</v>
      </c>
      <c r="F2101" t="s">
        <v>11090</v>
      </c>
      <c r="G2101">
        <v>4</v>
      </c>
      <c r="H2101" t="s">
        <v>11091</v>
      </c>
      <c r="I2101" t="s">
        <v>6754</v>
      </c>
      <c r="J2101" s="122">
        <v>45748</v>
      </c>
      <c r="K2101" s="110" t="str">
        <f t="shared" si="29"/>
        <v>https://Estud2024.sawtoothsoftware.com/cgi-bin/ciwweb.pl?studyname=Estud2024&amp;ID=2090</v>
      </c>
      <c r="L2101" s="113">
        <v>45720</v>
      </c>
      <c r="M2101" s="45" t="s">
        <v>10066</v>
      </c>
    </row>
    <row r="2102" spans="1:13">
      <c r="A2102">
        <v>2091</v>
      </c>
      <c r="B2102" t="s">
        <v>85</v>
      </c>
      <c r="D2102" t="s">
        <v>216</v>
      </c>
      <c r="F2102" t="s">
        <v>11092</v>
      </c>
      <c r="G2102">
        <v>4</v>
      </c>
      <c r="H2102" t="s">
        <v>11093</v>
      </c>
      <c r="I2102" t="s">
        <v>6754</v>
      </c>
      <c r="J2102" s="122">
        <v>45748</v>
      </c>
      <c r="K2102" s="110" t="str">
        <f t="shared" si="29"/>
        <v>https://Estud2024.sawtoothsoftware.com/cgi-bin/ciwweb.pl?studyname=Estud2024&amp;ID=2091</v>
      </c>
      <c r="L2102" s="113">
        <v>45720</v>
      </c>
      <c r="M2102" s="45" t="s">
        <v>247</v>
      </c>
    </row>
    <row r="2103" spans="1:13">
      <c r="A2103">
        <v>2092</v>
      </c>
      <c r="B2103" t="s">
        <v>85</v>
      </c>
      <c r="D2103" t="s">
        <v>216</v>
      </c>
      <c r="F2103" t="s">
        <v>11094</v>
      </c>
      <c r="G2103">
        <v>4</v>
      </c>
      <c r="H2103" t="s">
        <v>11095</v>
      </c>
      <c r="I2103" t="s">
        <v>6754</v>
      </c>
      <c r="J2103" s="122">
        <v>45748</v>
      </c>
      <c r="K2103" s="110" t="str">
        <f t="shared" si="29"/>
        <v>https://Estud2024.sawtoothsoftware.com/cgi-bin/ciwweb.pl?studyname=Estud2024&amp;ID=2092</v>
      </c>
      <c r="L2103" s="113">
        <v>45720</v>
      </c>
      <c r="M2103" s="45" t="s">
        <v>10066</v>
      </c>
    </row>
    <row r="2104" spans="1:13">
      <c r="A2104">
        <v>2093</v>
      </c>
      <c r="B2104" t="s">
        <v>85</v>
      </c>
      <c r="D2104" t="s">
        <v>216</v>
      </c>
      <c r="F2104" t="s">
        <v>11096</v>
      </c>
      <c r="G2104">
        <v>4</v>
      </c>
      <c r="H2104" t="s">
        <v>11097</v>
      </c>
      <c r="I2104" t="s">
        <v>6754</v>
      </c>
      <c r="J2104" s="122">
        <v>45748</v>
      </c>
      <c r="K2104" s="110" t="str">
        <f t="shared" si="29"/>
        <v>https://Estud2024.sawtoothsoftware.com/cgi-bin/ciwweb.pl?studyname=Estud2024&amp;ID=2093</v>
      </c>
      <c r="L2104" s="113">
        <v>45720</v>
      </c>
      <c r="M2104" s="45" t="s">
        <v>247</v>
      </c>
    </row>
    <row r="2105" spans="1:13">
      <c r="A2105">
        <v>2094</v>
      </c>
      <c r="B2105" t="s">
        <v>85</v>
      </c>
      <c r="D2105" t="s">
        <v>216</v>
      </c>
      <c r="F2105" t="s">
        <v>11098</v>
      </c>
      <c r="G2105">
        <v>4</v>
      </c>
      <c r="H2105" t="s">
        <v>11099</v>
      </c>
      <c r="I2105" t="s">
        <v>6754</v>
      </c>
      <c r="J2105" s="122">
        <v>45748</v>
      </c>
      <c r="K2105" s="110" t="str">
        <f t="shared" si="29"/>
        <v>https://Estud2024.sawtoothsoftware.com/cgi-bin/ciwweb.pl?studyname=Estud2024&amp;ID=2094</v>
      </c>
      <c r="L2105" s="113">
        <v>45720</v>
      </c>
      <c r="M2105" s="45" t="s">
        <v>10066</v>
      </c>
    </row>
    <row r="2106" spans="1:13">
      <c r="A2106">
        <v>2095</v>
      </c>
      <c r="B2106" t="s">
        <v>85</v>
      </c>
      <c r="D2106" t="s">
        <v>216</v>
      </c>
      <c r="F2106" t="s">
        <v>11100</v>
      </c>
      <c r="G2106">
        <v>4</v>
      </c>
      <c r="H2106" t="s">
        <v>11101</v>
      </c>
      <c r="I2106" t="s">
        <v>6754</v>
      </c>
      <c r="J2106" s="122">
        <v>45748</v>
      </c>
      <c r="K2106" s="110" t="str">
        <f t="shared" si="29"/>
        <v>https://Estud2024.sawtoothsoftware.com/cgi-bin/ciwweb.pl?studyname=Estud2024&amp;ID=2095</v>
      </c>
      <c r="L2106" s="113">
        <v>45720</v>
      </c>
      <c r="M2106" s="45" t="s">
        <v>10066</v>
      </c>
    </row>
    <row r="2107" spans="1:13">
      <c r="A2107">
        <v>2096</v>
      </c>
      <c r="B2107" t="s">
        <v>85</v>
      </c>
      <c r="D2107" t="s">
        <v>216</v>
      </c>
      <c r="F2107" t="s">
        <v>11102</v>
      </c>
      <c r="G2107">
        <v>4</v>
      </c>
      <c r="H2107" t="s">
        <v>11103</v>
      </c>
      <c r="I2107" t="s">
        <v>6754</v>
      </c>
      <c r="J2107" s="122">
        <v>45748</v>
      </c>
      <c r="K2107" s="110" t="str">
        <f t="shared" si="29"/>
        <v>https://Estud2024.sawtoothsoftware.com/cgi-bin/ciwweb.pl?studyname=Estud2024&amp;ID=2096</v>
      </c>
      <c r="L2107" s="113">
        <v>45720</v>
      </c>
      <c r="M2107" s="45" t="s">
        <v>10066</v>
      </c>
    </row>
    <row r="2108" spans="1:13">
      <c r="A2108">
        <v>2097</v>
      </c>
      <c r="B2108" t="s">
        <v>85</v>
      </c>
      <c r="D2108" t="s">
        <v>216</v>
      </c>
      <c r="F2108" t="s">
        <v>11104</v>
      </c>
      <c r="G2108">
        <v>4</v>
      </c>
      <c r="H2108" t="s">
        <v>11105</v>
      </c>
      <c r="I2108" t="s">
        <v>6754</v>
      </c>
      <c r="J2108" s="122">
        <v>45748</v>
      </c>
      <c r="K2108" s="110" t="str">
        <f t="shared" si="29"/>
        <v>https://Estud2024.sawtoothsoftware.com/cgi-bin/ciwweb.pl?studyname=Estud2024&amp;ID=2097</v>
      </c>
      <c r="L2108" s="113">
        <v>45720</v>
      </c>
      <c r="M2108" s="45" t="s">
        <v>247</v>
      </c>
    </row>
    <row r="2109" spans="1:13">
      <c r="A2109">
        <v>2098</v>
      </c>
      <c r="B2109" t="s">
        <v>85</v>
      </c>
      <c r="D2109" t="s">
        <v>216</v>
      </c>
      <c r="F2109" t="s">
        <v>11106</v>
      </c>
      <c r="G2109">
        <v>4</v>
      </c>
      <c r="H2109" t="s">
        <v>11107</v>
      </c>
      <c r="I2109" t="s">
        <v>6754</v>
      </c>
      <c r="J2109" s="122">
        <v>45748</v>
      </c>
      <c r="K2109" s="110" t="str">
        <f t="shared" si="29"/>
        <v>https://Estud2024.sawtoothsoftware.com/cgi-bin/ciwweb.pl?studyname=Estud2024&amp;ID=2098</v>
      </c>
      <c r="L2109" s="113">
        <v>45720</v>
      </c>
      <c r="M2109" s="45" t="s">
        <v>10066</v>
      </c>
    </row>
    <row r="2110" spans="1:13">
      <c r="A2110">
        <v>2099</v>
      </c>
      <c r="B2110" t="s">
        <v>85</v>
      </c>
      <c r="D2110" t="s">
        <v>216</v>
      </c>
      <c r="F2110" t="s">
        <v>11108</v>
      </c>
      <c r="G2110">
        <v>4</v>
      </c>
      <c r="H2110" t="s">
        <v>11109</v>
      </c>
      <c r="I2110" t="s">
        <v>6754</v>
      </c>
      <c r="J2110" s="122">
        <v>45748</v>
      </c>
      <c r="K2110" s="110" t="str">
        <f t="shared" si="29"/>
        <v>https://Estud2024.sawtoothsoftware.com/cgi-bin/ciwweb.pl?studyname=Estud2024&amp;ID=2099</v>
      </c>
      <c r="L2110" s="113">
        <v>45720</v>
      </c>
      <c r="M2110" s="45" t="s">
        <v>10066</v>
      </c>
    </row>
    <row r="2111" spans="1:13">
      <c r="A2111">
        <v>2100</v>
      </c>
      <c r="B2111" t="s">
        <v>85</v>
      </c>
      <c r="D2111" t="s">
        <v>216</v>
      </c>
      <c r="F2111" t="s">
        <v>11110</v>
      </c>
      <c r="G2111">
        <v>3</v>
      </c>
      <c r="H2111" t="s">
        <v>11111</v>
      </c>
      <c r="I2111" t="s">
        <v>6754</v>
      </c>
      <c r="J2111" s="122">
        <v>45748</v>
      </c>
      <c r="K2111" s="110" t="str">
        <f t="shared" si="29"/>
        <v>https://Estud2024.sawtoothsoftware.com/cgi-bin/ciwweb.pl?studyname=Estud2024&amp;ID=2100</v>
      </c>
      <c r="L2111" s="113">
        <v>45720</v>
      </c>
      <c r="M2111" s="45" t="s">
        <v>10066</v>
      </c>
    </row>
    <row r="2112" spans="1:13">
      <c r="A2112">
        <v>2101</v>
      </c>
      <c r="B2112" t="s">
        <v>89</v>
      </c>
      <c r="D2112" t="s">
        <v>99</v>
      </c>
      <c r="F2112" t="s">
        <v>11112</v>
      </c>
      <c r="G2112">
        <v>2</v>
      </c>
      <c r="H2112" t="s">
        <v>7942</v>
      </c>
      <c r="I2112" t="s">
        <v>6754</v>
      </c>
      <c r="J2112" s="122">
        <v>45748</v>
      </c>
      <c r="K2112" s="110" t="str">
        <f t="shared" si="29"/>
        <v>https://Estud2024.sawtoothsoftware.com/cgi-bin/ciwweb.pl?studyname=Estud2024&amp;ID=2101</v>
      </c>
      <c r="L2112" s="113">
        <v>45720</v>
      </c>
      <c r="M2112" s="45" t="s">
        <v>247</v>
      </c>
    </row>
    <row r="2113" spans="1:13">
      <c r="A2113">
        <v>2102</v>
      </c>
      <c r="B2113" t="s">
        <v>89</v>
      </c>
      <c r="D2113" t="s">
        <v>99</v>
      </c>
      <c r="F2113" t="s">
        <v>11113</v>
      </c>
      <c r="G2113">
        <v>2</v>
      </c>
      <c r="H2113" t="s">
        <v>11114</v>
      </c>
      <c r="I2113" t="s">
        <v>6754</v>
      </c>
      <c r="J2113" s="122">
        <v>45748</v>
      </c>
      <c r="K2113" s="110" t="str">
        <f t="shared" si="29"/>
        <v>https://Estud2024.sawtoothsoftware.com/cgi-bin/ciwweb.pl?studyname=Estud2024&amp;ID=2102</v>
      </c>
      <c r="L2113" s="113">
        <v>45720</v>
      </c>
      <c r="M2113" s="45" t="s">
        <v>247</v>
      </c>
    </row>
    <row r="2114" spans="1:13">
      <c r="A2114">
        <v>2103</v>
      </c>
      <c r="B2114" t="s">
        <v>89</v>
      </c>
      <c r="D2114" t="s">
        <v>99</v>
      </c>
      <c r="F2114" t="s">
        <v>11115</v>
      </c>
      <c r="G2114">
        <v>2</v>
      </c>
      <c r="H2114" t="s">
        <v>7949</v>
      </c>
      <c r="I2114" t="s">
        <v>6754</v>
      </c>
      <c r="J2114" s="122">
        <v>45748</v>
      </c>
      <c r="K2114" s="110" t="str">
        <f t="shared" si="29"/>
        <v>https://Estud2024.sawtoothsoftware.com/cgi-bin/ciwweb.pl?studyname=Estud2024&amp;ID=2103</v>
      </c>
      <c r="L2114" s="113">
        <v>45720</v>
      </c>
      <c r="M2114" s="45" t="s">
        <v>247</v>
      </c>
    </row>
    <row r="2115" spans="1:13">
      <c r="A2115">
        <v>2104</v>
      </c>
      <c r="B2115" t="s">
        <v>89</v>
      </c>
      <c r="D2115" t="s">
        <v>99</v>
      </c>
      <c r="F2115" t="s">
        <v>11116</v>
      </c>
      <c r="G2115">
        <v>2</v>
      </c>
      <c r="H2115" t="s">
        <v>7955</v>
      </c>
      <c r="I2115" t="s">
        <v>6754</v>
      </c>
      <c r="J2115" s="122">
        <v>45748</v>
      </c>
      <c r="K2115" s="110" t="str">
        <f t="shared" si="29"/>
        <v>https://Estud2024.sawtoothsoftware.com/cgi-bin/ciwweb.pl?studyname=Estud2024&amp;ID=2104</v>
      </c>
      <c r="L2115" s="113">
        <v>45720</v>
      </c>
      <c r="M2115" s="45" t="s">
        <v>247</v>
      </c>
    </row>
    <row r="2116" spans="1:13">
      <c r="A2116">
        <v>2105</v>
      </c>
      <c r="B2116" t="s">
        <v>89</v>
      </c>
      <c r="D2116" t="s">
        <v>99</v>
      </c>
      <c r="F2116" t="s">
        <v>11117</v>
      </c>
      <c r="G2116">
        <v>2</v>
      </c>
      <c r="H2116" t="s">
        <v>7951</v>
      </c>
      <c r="I2116" t="s">
        <v>6754</v>
      </c>
      <c r="J2116" s="122">
        <v>45748</v>
      </c>
      <c r="K2116" s="110" t="str">
        <f t="shared" si="29"/>
        <v>https://Estud2024.sawtoothsoftware.com/cgi-bin/ciwweb.pl?studyname=Estud2024&amp;ID=2105</v>
      </c>
      <c r="L2116" s="113">
        <v>45720</v>
      </c>
      <c r="M2116" s="45" t="s">
        <v>247</v>
      </c>
    </row>
    <row r="2117" spans="1:13">
      <c r="A2117">
        <v>2106</v>
      </c>
      <c r="B2117" t="s">
        <v>89</v>
      </c>
      <c r="D2117" t="s">
        <v>99</v>
      </c>
      <c r="F2117" t="s">
        <v>11118</v>
      </c>
      <c r="G2117">
        <v>2</v>
      </c>
      <c r="H2117" t="s">
        <v>7953</v>
      </c>
      <c r="I2117" t="s">
        <v>6754</v>
      </c>
      <c r="J2117" s="122">
        <v>45748</v>
      </c>
      <c r="K2117" s="110" t="str">
        <f t="shared" si="29"/>
        <v>https://Estud2024.sawtoothsoftware.com/cgi-bin/ciwweb.pl?studyname=Estud2024&amp;ID=2106</v>
      </c>
      <c r="L2117" s="113">
        <v>45720</v>
      </c>
      <c r="M2117" s="45" t="s">
        <v>247</v>
      </c>
    </row>
    <row r="2118" spans="1:13">
      <c r="A2118">
        <v>2107</v>
      </c>
      <c r="B2118" t="s">
        <v>89</v>
      </c>
      <c r="D2118" t="s">
        <v>99</v>
      </c>
      <c r="F2118" t="s">
        <v>11119</v>
      </c>
      <c r="G2118">
        <v>2</v>
      </c>
      <c r="H2118" t="s">
        <v>11120</v>
      </c>
      <c r="I2118" t="s">
        <v>6754</v>
      </c>
      <c r="J2118" s="122">
        <v>45748</v>
      </c>
      <c r="K2118" s="110" t="str">
        <f t="shared" si="29"/>
        <v>https://Estud2024.sawtoothsoftware.com/cgi-bin/ciwweb.pl?studyname=Estud2024&amp;ID=2107</v>
      </c>
      <c r="L2118" s="113">
        <v>45720</v>
      </c>
      <c r="M2118" s="45" t="s">
        <v>247</v>
      </c>
    </row>
    <row r="2119" spans="1:13">
      <c r="A2119">
        <v>2108</v>
      </c>
      <c r="B2119" t="s">
        <v>89</v>
      </c>
      <c r="D2119" t="s">
        <v>99</v>
      </c>
      <c r="F2119" t="s">
        <v>11121</v>
      </c>
      <c r="G2119">
        <v>2</v>
      </c>
      <c r="H2119" t="s">
        <v>11122</v>
      </c>
      <c r="I2119" t="s">
        <v>6754</v>
      </c>
      <c r="J2119" s="122">
        <v>45748</v>
      </c>
      <c r="K2119" s="110" t="str">
        <f t="shared" si="29"/>
        <v>https://Estud2024.sawtoothsoftware.com/cgi-bin/ciwweb.pl?studyname=Estud2024&amp;ID=2108</v>
      </c>
      <c r="L2119" s="113">
        <v>45720</v>
      </c>
      <c r="M2119" s="45" t="s">
        <v>247</v>
      </c>
    </row>
    <row r="2120" spans="1:13">
      <c r="A2120">
        <v>2109</v>
      </c>
      <c r="B2120" t="s">
        <v>89</v>
      </c>
      <c r="D2120" t="s">
        <v>99</v>
      </c>
      <c r="F2120" t="s">
        <v>11123</v>
      </c>
      <c r="G2120">
        <v>2</v>
      </c>
      <c r="H2120" t="s">
        <v>11124</v>
      </c>
      <c r="I2120" t="s">
        <v>6754</v>
      </c>
      <c r="J2120" s="122">
        <v>45748</v>
      </c>
      <c r="K2120" s="110" t="str">
        <f t="shared" si="29"/>
        <v>https://Estud2024.sawtoothsoftware.com/cgi-bin/ciwweb.pl?studyname=Estud2024&amp;ID=2109</v>
      </c>
      <c r="L2120" s="113">
        <v>45720</v>
      </c>
      <c r="M2120" s="45" t="s">
        <v>247</v>
      </c>
    </row>
    <row r="2121" spans="1:13">
      <c r="A2121">
        <v>2110</v>
      </c>
      <c r="B2121" t="s">
        <v>89</v>
      </c>
      <c r="D2121" t="s">
        <v>99</v>
      </c>
      <c r="F2121" t="s">
        <v>11125</v>
      </c>
      <c r="G2121">
        <v>2</v>
      </c>
      <c r="H2121" t="s">
        <v>9403</v>
      </c>
      <c r="I2121" t="s">
        <v>6754</v>
      </c>
      <c r="J2121" s="122">
        <v>45748</v>
      </c>
      <c r="K2121" s="110" t="str">
        <f t="shared" si="29"/>
        <v>https://Estud2024.sawtoothsoftware.com/cgi-bin/ciwweb.pl?studyname=Estud2024&amp;ID=2110</v>
      </c>
      <c r="L2121" s="113">
        <v>45720</v>
      </c>
      <c r="M2121" s="45" t="s">
        <v>247</v>
      </c>
    </row>
    <row r="2122" spans="1:13">
      <c r="A2122">
        <v>2111</v>
      </c>
      <c r="B2122" t="s">
        <v>89</v>
      </c>
      <c r="D2122" t="s">
        <v>99</v>
      </c>
      <c r="F2122" t="s">
        <v>11126</v>
      </c>
      <c r="G2122">
        <v>2</v>
      </c>
      <c r="H2122" t="s">
        <v>9405</v>
      </c>
      <c r="I2122" t="s">
        <v>6754</v>
      </c>
      <c r="J2122" s="122">
        <v>45748</v>
      </c>
      <c r="K2122" s="110" t="str">
        <f t="shared" si="29"/>
        <v>https://Estud2024.sawtoothsoftware.com/cgi-bin/ciwweb.pl?studyname=Estud2024&amp;ID=2111</v>
      </c>
      <c r="L2122" s="113">
        <v>45720</v>
      </c>
      <c r="M2122" s="45" t="s">
        <v>247</v>
      </c>
    </row>
    <row r="2123" spans="1:13">
      <c r="A2123">
        <v>2112</v>
      </c>
      <c r="B2123" t="s">
        <v>89</v>
      </c>
      <c r="D2123" t="s">
        <v>99</v>
      </c>
      <c r="F2123" t="s">
        <v>11127</v>
      </c>
      <c r="G2123">
        <v>3</v>
      </c>
      <c r="H2123" t="s">
        <v>7944</v>
      </c>
      <c r="I2123" t="s">
        <v>6754</v>
      </c>
      <c r="J2123" s="122">
        <v>45748</v>
      </c>
      <c r="K2123" s="110" t="str">
        <f t="shared" si="29"/>
        <v>https://Estud2024.sawtoothsoftware.com/cgi-bin/ciwweb.pl?studyname=Estud2024&amp;ID=2112</v>
      </c>
      <c r="L2123" s="113">
        <v>45720</v>
      </c>
      <c r="M2123" s="45" t="s">
        <v>247</v>
      </c>
    </row>
    <row r="2124" spans="1:13">
      <c r="A2124">
        <v>2113</v>
      </c>
      <c r="B2124" t="s">
        <v>89</v>
      </c>
      <c r="D2124" t="s">
        <v>99</v>
      </c>
      <c r="F2124" t="s">
        <v>11128</v>
      </c>
      <c r="G2124">
        <v>3</v>
      </c>
      <c r="H2124" t="s">
        <v>7946</v>
      </c>
      <c r="I2124" t="s">
        <v>6754</v>
      </c>
      <c r="J2124" s="122">
        <v>45748</v>
      </c>
      <c r="K2124" s="110" t="str">
        <f t="shared" si="29"/>
        <v>https://Estud2024.sawtoothsoftware.com/cgi-bin/ciwweb.pl?studyname=Estud2024&amp;ID=2113</v>
      </c>
      <c r="L2124" s="113">
        <v>45720</v>
      </c>
      <c r="M2124" s="45" t="s">
        <v>247</v>
      </c>
    </row>
    <row r="2125" spans="1:13">
      <c r="A2125">
        <v>2114</v>
      </c>
      <c r="B2125" t="s">
        <v>89</v>
      </c>
      <c r="D2125" t="s">
        <v>99</v>
      </c>
      <c r="F2125" t="s">
        <v>11129</v>
      </c>
      <c r="G2125">
        <v>3</v>
      </c>
      <c r="H2125" t="s">
        <v>7938</v>
      </c>
      <c r="I2125" t="s">
        <v>6754</v>
      </c>
      <c r="J2125" s="122">
        <v>45748</v>
      </c>
      <c r="K2125" s="110" t="str">
        <f t="shared" si="29"/>
        <v>https://Estud2024.sawtoothsoftware.com/cgi-bin/ciwweb.pl?studyname=Estud2024&amp;ID=2114</v>
      </c>
      <c r="L2125" s="113">
        <v>45720</v>
      </c>
      <c r="M2125" s="45" t="s">
        <v>247</v>
      </c>
    </row>
    <row r="2126" spans="1:13">
      <c r="A2126">
        <v>2115</v>
      </c>
      <c r="B2126" t="s">
        <v>89</v>
      </c>
      <c r="D2126" t="s">
        <v>99</v>
      </c>
      <c r="F2126" t="s">
        <v>11130</v>
      </c>
      <c r="G2126">
        <v>3</v>
      </c>
      <c r="H2126" t="s">
        <v>11131</v>
      </c>
      <c r="I2126" t="s">
        <v>6754</v>
      </c>
      <c r="J2126" s="122">
        <v>45748</v>
      </c>
      <c r="K2126" s="110" t="str">
        <f t="shared" si="29"/>
        <v>https://Estud2024.sawtoothsoftware.com/cgi-bin/ciwweb.pl?studyname=Estud2024&amp;ID=2115</v>
      </c>
      <c r="L2126" s="113">
        <v>45720</v>
      </c>
      <c r="M2126" s="45" t="s">
        <v>246</v>
      </c>
    </row>
    <row r="2127" spans="1:13">
      <c r="A2127">
        <v>2116</v>
      </c>
      <c r="B2127" t="s">
        <v>89</v>
      </c>
      <c r="D2127" t="s">
        <v>99</v>
      </c>
      <c r="F2127" t="s">
        <v>11132</v>
      </c>
      <c r="G2127">
        <v>3</v>
      </c>
      <c r="H2127" t="s">
        <v>11133</v>
      </c>
      <c r="I2127" t="s">
        <v>6754</v>
      </c>
      <c r="J2127" s="122">
        <v>45748</v>
      </c>
      <c r="K2127" s="110" t="str">
        <f t="shared" si="29"/>
        <v>https://Estud2024.sawtoothsoftware.com/cgi-bin/ciwweb.pl?studyname=Estud2024&amp;ID=2116</v>
      </c>
      <c r="L2127" s="113">
        <v>45720</v>
      </c>
      <c r="M2127" s="45" t="s">
        <v>247</v>
      </c>
    </row>
    <row r="2128" spans="1:13">
      <c r="A2128">
        <v>2117</v>
      </c>
      <c r="B2128" t="s">
        <v>89</v>
      </c>
      <c r="D2128" t="s">
        <v>99</v>
      </c>
      <c r="F2128" t="s">
        <v>11134</v>
      </c>
      <c r="G2128">
        <v>3</v>
      </c>
      <c r="H2128" t="s">
        <v>11135</v>
      </c>
      <c r="I2128" t="s">
        <v>6754</v>
      </c>
      <c r="J2128" s="122">
        <v>45748</v>
      </c>
      <c r="K2128" s="110" t="str">
        <f t="shared" si="29"/>
        <v>https://Estud2024.sawtoothsoftware.com/cgi-bin/ciwweb.pl?studyname=Estud2024&amp;ID=2117</v>
      </c>
      <c r="L2128" s="113">
        <v>45720</v>
      </c>
      <c r="M2128" s="45" t="s">
        <v>247</v>
      </c>
    </row>
    <row r="2129" spans="1:13">
      <c r="A2129">
        <v>2118</v>
      </c>
      <c r="B2129" t="s">
        <v>89</v>
      </c>
      <c r="D2129" t="s">
        <v>99</v>
      </c>
      <c r="F2129" t="s">
        <v>11136</v>
      </c>
      <c r="G2129">
        <v>3</v>
      </c>
      <c r="H2129" t="s">
        <v>11137</v>
      </c>
      <c r="I2129" t="s">
        <v>6754</v>
      </c>
      <c r="J2129" s="122">
        <v>45748</v>
      </c>
      <c r="K2129" s="110" t="str">
        <f t="shared" si="29"/>
        <v>https://Estud2024.sawtoothsoftware.com/cgi-bin/ciwweb.pl?studyname=Estud2024&amp;ID=2118</v>
      </c>
      <c r="L2129" s="113">
        <v>45720</v>
      </c>
      <c r="M2129" s="45" t="s">
        <v>246</v>
      </c>
    </row>
    <row r="2130" spans="1:13">
      <c r="A2130">
        <v>2119</v>
      </c>
      <c r="B2130" t="s">
        <v>89</v>
      </c>
      <c r="D2130" t="s">
        <v>99</v>
      </c>
      <c r="F2130" t="s">
        <v>11138</v>
      </c>
      <c r="G2130">
        <v>3</v>
      </c>
      <c r="H2130" t="s">
        <v>11139</v>
      </c>
      <c r="I2130" t="s">
        <v>6754</v>
      </c>
      <c r="J2130" s="122">
        <v>45748</v>
      </c>
      <c r="K2130" s="110" t="str">
        <f t="shared" si="29"/>
        <v>https://Estud2024.sawtoothsoftware.com/cgi-bin/ciwweb.pl?studyname=Estud2024&amp;ID=2119</v>
      </c>
      <c r="L2130" s="113">
        <v>45720</v>
      </c>
      <c r="M2130" s="45" t="s">
        <v>247</v>
      </c>
    </row>
    <row r="2131" spans="1:13">
      <c r="A2131">
        <v>2120</v>
      </c>
      <c r="B2131" t="s">
        <v>89</v>
      </c>
      <c r="D2131" t="s">
        <v>99</v>
      </c>
      <c r="F2131" t="s">
        <v>11140</v>
      </c>
      <c r="G2131">
        <v>3</v>
      </c>
      <c r="H2131" t="s">
        <v>9397</v>
      </c>
      <c r="I2131" t="s">
        <v>6754</v>
      </c>
      <c r="J2131" s="122">
        <v>45748</v>
      </c>
      <c r="K2131" s="110" t="str">
        <f t="shared" si="29"/>
        <v>https://Estud2024.sawtoothsoftware.com/cgi-bin/ciwweb.pl?studyname=Estud2024&amp;ID=2120</v>
      </c>
      <c r="L2131" s="113">
        <v>45720</v>
      </c>
      <c r="M2131" s="45" t="s">
        <v>247</v>
      </c>
    </row>
    <row r="2132" spans="1:13">
      <c r="A2132">
        <v>2121</v>
      </c>
      <c r="B2132" t="s">
        <v>89</v>
      </c>
      <c r="D2132" t="s">
        <v>99</v>
      </c>
      <c r="F2132" t="s">
        <v>11141</v>
      </c>
      <c r="G2132">
        <v>3</v>
      </c>
      <c r="H2132" t="s">
        <v>9399</v>
      </c>
      <c r="I2132" t="s">
        <v>6754</v>
      </c>
      <c r="J2132" s="122">
        <v>45748</v>
      </c>
      <c r="K2132" s="110" t="str">
        <f t="shared" si="29"/>
        <v>https://Estud2024.sawtoothsoftware.com/cgi-bin/ciwweb.pl?studyname=Estud2024&amp;ID=2121</v>
      </c>
      <c r="L2132" s="113">
        <v>45720</v>
      </c>
      <c r="M2132" s="45" t="s">
        <v>247</v>
      </c>
    </row>
    <row r="2133" spans="1:13">
      <c r="A2133">
        <v>2122</v>
      </c>
      <c r="B2133" t="s">
        <v>89</v>
      </c>
      <c r="D2133" t="s">
        <v>99</v>
      </c>
      <c r="F2133" t="s">
        <v>11142</v>
      </c>
      <c r="G2133">
        <v>3</v>
      </c>
      <c r="H2133" t="s">
        <v>9401</v>
      </c>
      <c r="I2133" t="s">
        <v>6754</v>
      </c>
      <c r="J2133" s="122">
        <v>45748</v>
      </c>
      <c r="K2133" s="110" t="str">
        <f t="shared" si="29"/>
        <v>https://Estud2024.sawtoothsoftware.com/cgi-bin/ciwweb.pl?studyname=Estud2024&amp;ID=2122</v>
      </c>
      <c r="L2133" s="113">
        <v>45720</v>
      </c>
      <c r="M2133" s="45" t="s">
        <v>247</v>
      </c>
    </row>
    <row r="2134" spans="1:13">
      <c r="A2134">
        <v>2123</v>
      </c>
      <c r="B2134" t="s">
        <v>89</v>
      </c>
      <c r="D2134" t="s">
        <v>99</v>
      </c>
      <c r="F2134" t="s">
        <v>11143</v>
      </c>
      <c r="G2134">
        <v>4</v>
      </c>
      <c r="H2134" t="s">
        <v>7940</v>
      </c>
      <c r="I2134" t="s">
        <v>6754</v>
      </c>
      <c r="J2134" s="122">
        <v>45748</v>
      </c>
      <c r="K2134" s="110" t="str">
        <f t="shared" ref="K2134:K2197" si="30">CONCATENATE("https://Estud2024.sawtoothsoftware.com/cgi-bin/ciwweb.pl?studyname=Estud2024&amp;ID=",A2134)</f>
        <v>https://Estud2024.sawtoothsoftware.com/cgi-bin/ciwweb.pl?studyname=Estud2024&amp;ID=2123</v>
      </c>
      <c r="L2134" s="113">
        <v>45720</v>
      </c>
      <c r="M2134" s="45" t="s">
        <v>247</v>
      </c>
    </row>
    <row r="2135" spans="1:13">
      <c r="A2135">
        <v>2124</v>
      </c>
      <c r="B2135" t="s">
        <v>89</v>
      </c>
      <c r="D2135" t="s">
        <v>99</v>
      </c>
      <c r="F2135" t="s">
        <v>11144</v>
      </c>
      <c r="G2135">
        <v>4</v>
      </c>
      <c r="H2135" t="s">
        <v>11145</v>
      </c>
      <c r="I2135" t="s">
        <v>6754</v>
      </c>
      <c r="J2135" s="122">
        <v>45748</v>
      </c>
      <c r="K2135" s="110" t="str">
        <f t="shared" si="30"/>
        <v>https://Estud2024.sawtoothsoftware.com/cgi-bin/ciwweb.pl?studyname=Estud2024&amp;ID=2124</v>
      </c>
      <c r="L2135" s="113">
        <v>45720</v>
      </c>
      <c r="M2135" s="45" t="s">
        <v>246</v>
      </c>
    </row>
    <row r="2136" spans="1:13">
      <c r="A2136">
        <v>2125</v>
      </c>
      <c r="B2136" t="s">
        <v>89</v>
      </c>
      <c r="D2136" t="s">
        <v>99</v>
      </c>
      <c r="F2136" t="s">
        <v>11146</v>
      </c>
      <c r="G2136">
        <v>4</v>
      </c>
      <c r="H2136" t="s">
        <v>11147</v>
      </c>
      <c r="I2136" t="s">
        <v>6754</v>
      </c>
      <c r="J2136" s="122">
        <v>45748</v>
      </c>
      <c r="K2136" s="110" t="str">
        <f t="shared" si="30"/>
        <v>https://Estud2024.sawtoothsoftware.com/cgi-bin/ciwweb.pl?studyname=Estud2024&amp;ID=2125</v>
      </c>
      <c r="L2136" s="113">
        <v>45720</v>
      </c>
      <c r="M2136" s="45" t="s">
        <v>247</v>
      </c>
    </row>
    <row r="2137" spans="1:13">
      <c r="A2137">
        <v>2126</v>
      </c>
      <c r="B2137" t="s">
        <v>89</v>
      </c>
      <c r="D2137" t="s">
        <v>99</v>
      </c>
      <c r="F2137" t="s">
        <v>11148</v>
      </c>
      <c r="G2137">
        <v>5</v>
      </c>
      <c r="H2137" t="s">
        <v>7930</v>
      </c>
      <c r="I2137" t="s">
        <v>6754</v>
      </c>
      <c r="J2137" s="122">
        <v>45748</v>
      </c>
      <c r="K2137" s="110" t="str">
        <f t="shared" si="30"/>
        <v>https://Estud2024.sawtoothsoftware.com/cgi-bin/ciwweb.pl?studyname=Estud2024&amp;ID=2126</v>
      </c>
      <c r="L2137" s="113">
        <v>45720</v>
      </c>
      <c r="M2137" s="45" t="s">
        <v>247</v>
      </c>
    </row>
    <row r="2138" spans="1:13">
      <c r="A2138">
        <v>2127</v>
      </c>
      <c r="B2138" t="s">
        <v>89</v>
      </c>
      <c r="D2138" t="s">
        <v>99</v>
      </c>
      <c r="F2138" t="s">
        <v>11149</v>
      </c>
      <c r="G2138">
        <v>5</v>
      </c>
      <c r="H2138" t="s">
        <v>7932</v>
      </c>
      <c r="I2138" t="s">
        <v>6754</v>
      </c>
      <c r="J2138" s="122">
        <v>45748</v>
      </c>
      <c r="K2138" s="110" t="str">
        <f t="shared" si="30"/>
        <v>https://Estud2024.sawtoothsoftware.com/cgi-bin/ciwweb.pl?studyname=Estud2024&amp;ID=2127</v>
      </c>
      <c r="L2138" s="113">
        <v>45720</v>
      </c>
      <c r="M2138" s="45" t="s">
        <v>247</v>
      </c>
    </row>
    <row r="2139" spans="1:13">
      <c r="A2139">
        <v>2128</v>
      </c>
      <c r="B2139" t="s">
        <v>89</v>
      </c>
      <c r="D2139" t="s">
        <v>99</v>
      </c>
      <c r="F2139" t="s">
        <v>11150</v>
      </c>
      <c r="G2139">
        <v>5</v>
      </c>
      <c r="H2139" t="s">
        <v>7934</v>
      </c>
      <c r="I2139" t="s">
        <v>6754</v>
      </c>
      <c r="J2139" s="122">
        <v>45748</v>
      </c>
      <c r="K2139" s="110" t="str">
        <f t="shared" si="30"/>
        <v>https://Estud2024.sawtoothsoftware.com/cgi-bin/ciwweb.pl?studyname=Estud2024&amp;ID=2128</v>
      </c>
      <c r="L2139" s="113">
        <v>45720</v>
      </c>
      <c r="M2139" s="45" t="s">
        <v>247</v>
      </c>
    </row>
    <row r="2140" spans="1:13">
      <c r="A2140">
        <v>2129</v>
      </c>
      <c r="B2140" t="s">
        <v>89</v>
      </c>
      <c r="D2140" t="s">
        <v>99</v>
      </c>
      <c r="F2140" t="s">
        <v>11151</v>
      </c>
      <c r="G2140">
        <v>5</v>
      </c>
      <c r="H2140" t="s">
        <v>11152</v>
      </c>
      <c r="I2140" t="s">
        <v>6754</v>
      </c>
      <c r="J2140" s="122">
        <v>45748</v>
      </c>
      <c r="K2140" s="110" t="str">
        <f t="shared" si="30"/>
        <v>https://Estud2024.sawtoothsoftware.com/cgi-bin/ciwweb.pl?studyname=Estud2024&amp;ID=2129</v>
      </c>
      <c r="L2140" s="113">
        <v>45720</v>
      </c>
      <c r="M2140" s="45" t="s">
        <v>247</v>
      </c>
    </row>
    <row r="2141" spans="1:13">
      <c r="A2141">
        <v>2130</v>
      </c>
      <c r="B2141" t="s">
        <v>89</v>
      </c>
      <c r="D2141" t="s">
        <v>99</v>
      </c>
      <c r="F2141" t="s">
        <v>11153</v>
      </c>
      <c r="G2141">
        <v>5</v>
      </c>
      <c r="H2141" t="s">
        <v>11154</v>
      </c>
      <c r="I2141" t="s">
        <v>6754</v>
      </c>
      <c r="J2141" s="122">
        <v>45748</v>
      </c>
      <c r="K2141" s="110" t="str">
        <f t="shared" si="30"/>
        <v>https://Estud2024.sawtoothsoftware.com/cgi-bin/ciwweb.pl?studyname=Estud2024&amp;ID=2130</v>
      </c>
      <c r="L2141" s="113">
        <v>45720</v>
      </c>
      <c r="M2141" s="45" t="s">
        <v>247</v>
      </c>
    </row>
    <row r="2142" spans="1:13">
      <c r="A2142">
        <v>2131</v>
      </c>
      <c r="B2142" t="s">
        <v>89</v>
      </c>
      <c r="D2142" t="s">
        <v>99</v>
      </c>
      <c r="F2142" t="s">
        <v>11155</v>
      </c>
      <c r="G2142">
        <v>5</v>
      </c>
      <c r="H2142" t="s">
        <v>11156</v>
      </c>
      <c r="I2142" t="s">
        <v>6754</v>
      </c>
      <c r="J2142" s="122">
        <v>45748</v>
      </c>
      <c r="K2142" s="110" t="str">
        <f t="shared" si="30"/>
        <v>https://Estud2024.sawtoothsoftware.com/cgi-bin/ciwweb.pl?studyname=Estud2024&amp;ID=2131</v>
      </c>
      <c r="L2142" s="113">
        <v>45720</v>
      </c>
      <c r="M2142" s="45" t="s">
        <v>247</v>
      </c>
    </row>
    <row r="2143" spans="1:13">
      <c r="A2143">
        <v>2132</v>
      </c>
      <c r="B2143" t="s">
        <v>89</v>
      </c>
      <c r="D2143" t="s">
        <v>99</v>
      </c>
      <c r="F2143" t="s">
        <v>11157</v>
      </c>
      <c r="G2143">
        <v>5</v>
      </c>
      <c r="H2143" t="s">
        <v>11158</v>
      </c>
      <c r="I2143" t="s">
        <v>6754</v>
      </c>
      <c r="J2143" s="122">
        <v>45748</v>
      </c>
      <c r="K2143" s="110" t="str">
        <f t="shared" si="30"/>
        <v>https://Estud2024.sawtoothsoftware.com/cgi-bin/ciwweb.pl?studyname=Estud2024&amp;ID=2132</v>
      </c>
      <c r="L2143" s="113">
        <v>45720</v>
      </c>
      <c r="M2143" s="45" t="s">
        <v>247</v>
      </c>
    </row>
    <row r="2144" spans="1:13">
      <c r="A2144">
        <v>2133</v>
      </c>
      <c r="B2144" t="s">
        <v>89</v>
      </c>
      <c r="D2144" t="s">
        <v>99</v>
      </c>
      <c r="F2144" t="s">
        <v>11159</v>
      </c>
      <c r="G2144">
        <v>5</v>
      </c>
      <c r="H2144" t="s">
        <v>11160</v>
      </c>
      <c r="I2144" t="s">
        <v>6754</v>
      </c>
      <c r="J2144" s="122">
        <v>45748</v>
      </c>
      <c r="K2144" s="110" t="str">
        <f t="shared" si="30"/>
        <v>https://Estud2024.sawtoothsoftware.com/cgi-bin/ciwweb.pl?studyname=Estud2024&amp;ID=2133</v>
      </c>
      <c r="L2144" s="113">
        <v>45720</v>
      </c>
      <c r="M2144" s="45" t="s">
        <v>247</v>
      </c>
    </row>
    <row r="2145" spans="1:13">
      <c r="A2145">
        <v>2134</v>
      </c>
      <c r="B2145" t="s">
        <v>89</v>
      </c>
      <c r="D2145" t="s">
        <v>99</v>
      </c>
      <c r="F2145" t="s">
        <v>11161</v>
      </c>
      <c r="G2145">
        <v>5</v>
      </c>
      <c r="H2145" t="s">
        <v>11162</v>
      </c>
      <c r="I2145" t="s">
        <v>6754</v>
      </c>
      <c r="J2145" s="122">
        <v>45748</v>
      </c>
      <c r="K2145" s="110" t="str">
        <f t="shared" si="30"/>
        <v>https://Estud2024.sawtoothsoftware.com/cgi-bin/ciwweb.pl?studyname=Estud2024&amp;ID=2134</v>
      </c>
      <c r="L2145" s="113">
        <v>45720</v>
      </c>
      <c r="M2145" s="45" t="s">
        <v>247</v>
      </c>
    </row>
    <row r="2146" spans="1:13">
      <c r="A2146">
        <v>2135</v>
      </c>
      <c r="B2146" t="s">
        <v>89</v>
      </c>
      <c r="D2146" t="s">
        <v>99</v>
      </c>
      <c r="F2146" t="s">
        <v>11163</v>
      </c>
      <c r="G2146">
        <v>5</v>
      </c>
      <c r="H2146" t="s">
        <v>1911</v>
      </c>
      <c r="I2146" t="s">
        <v>6754</v>
      </c>
      <c r="J2146" s="122">
        <v>45748</v>
      </c>
      <c r="K2146" s="110" t="str">
        <f t="shared" si="30"/>
        <v>https://Estud2024.sawtoothsoftware.com/cgi-bin/ciwweb.pl?studyname=Estud2024&amp;ID=2135</v>
      </c>
      <c r="L2146" s="113">
        <v>45720</v>
      </c>
      <c r="M2146" s="45" t="s">
        <v>247</v>
      </c>
    </row>
    <row r="2147" spans="1:13">
      <c r="A2147">
        <v>2136</v>
      </c>
      <c r="B2147" t="s">
        <v>89</v>
      </c>
      <c r="D2147" t="s">
        <v>99</v>
      </c>
      <c r="F2147" t="s">
        <v>11164</v>
      </c>
      <c r="G2147">
        <v>5</v>
      </c>
      <c r="H2147" t="s">
        <v>9393</v>
      </c>
      <c r="I2147" t="s">
        <v>6754</v>
      </c>
      <c r="J2147" s="122">
        <v>45748</v>
      </c>
      <c r="K2147" s="110" t="str">
        <f t="shared" si="30"/>
        <v>https://Estud2024.sawtoothsoftware.com/cgi-bin/ciwweb.pl?studyname=Estud2024&amp;ID=2136</v>
      </c>
      <c r="L2147" s="113">
        <v>45720</v>
      </c>
      <c r="M2147" s="45" t="s">
        <v>247</v>
      </c>
    </row>
    <row r="2148" spans="1:13">
      <c r="A2148">
        <v>2137</v>
      </c>
      <c r="B2148" t="s">
        <v>89</v>
      </c>
      <c r="D2148" t="s">
        <v>99</v>
      </c>
      <c r="F2148" t="s">
        <v>11165</v>
      </c>
      <c r="G2148">
        <v>5</v>
      </c>
      <c r="H2148" t="s">
        <v>9395</v>
      </c>
      <c r="I2148" t="s">
        <v>6754</v>
      </c>
      <c r="J2148" s="122">
        <v>45748</v>
      </c>
      <c r="K2148" s="110" t="str">
        <f t="shared" si="30"/>
        <v>https://Estud2024.sawtoothsoftware.com/cgi-bin/ciwweb.pl?studyname=Estud2024&amp;ID=2137</v>
      </c>
      <c r="L2148" s="113">
        <v>45720</v>
      </c>
      <c r="M2148" s="45" t="s">
        <v>247</v>
      </c>
    </row>
    <row r="2149" spans="1:13">
      <c r="A2149">
        <v>2138</v>
      </c>
      <c r="B2149" t="s">
        <v>89</v>
      </c>
      <c r="D2149" t="s">
        <v>99</v>
      </c>
      <c r="F2149" t="s">
        <v>11166</v>
      </c>
      <c r="G2149">
        <v>5</v>
      </c>
      <c r="H2149" t="s">
        <v>9389</v>
      </c>
      <c r="I2149" t="s">
        <v>6754</v>
      </c>
      <c r="J2149" s="122">
        <v>45748</v>
      </c>
      <c r="K2149" s="110" t="str">
        <f t="shared" si="30"/>
        <v>https://Estud2024.sawtoothsoftware.com/cgi-bin/ciwweb.pl?studyname=Estud2024&amp;ID=2138</v>
      </c>
      <c r="L2149" s="113">
        <v>45720</v>
      </c>
      <c r="M2149" s="45" t="s">
        <v>247</v>
      </c>
    </row>
    <row r="2150" spans="1:13">
      <c r="A2150">
        <v>2139</v>
      </c>
      <c r="B2150" t="s">
        <v>89</v>
      </c>
      <c r="D2150" t="s">
        <v>99</v>
      </c>
      <c r="F2150" t="s">
        <v>11167</v>
      </c>
      <c r="G2150">
        <v>5</v>
      </c>
      <c r="H2150" t="s">
        <v>9391</v>
      </c>
      <c r="I2150" t="s">
        <v>6754</v>
      </c>
      <c r="J2150" s="122">
        <v>45748</v>
      </c>
      <c r="K2150" s="110" t="str">
        <f t="shared" si="30"/>
        <v>https://Estud2024.sawtoothsoftware.com/cgi-bin/ciwweb.pl?studyname=Estud2024&amp;ID=2139</v>
      </c>
      <c r="L2150" s="113">
        <v>45720</v>
      </c>
      <c r="M2150" s="45" t="s">
        <v>247</v>
      </c>
    </row>
    <row r="2151" spans="1:13">
      <c r="A2151">
        <v>2140</v>
      </c>
      <c r="B2151" t="s">
        <v>89</v>
      </c>
      <c r="D2151" t="s">
        <v>99</v>
      </c>
      <c r="F2151" t="s">
        <v>11168</v>
      </c>
      <c r="G2151">
        <v>6</v>
      </c>
      <c r="H2151" t="s">
        <v>11169</v>
      </c>
      <c r="I2151" t="s">
        <v>6754</v>
      </c>
      <c r="J2151" s="122">
        <v>45748</v>
      </c>
      <c r="K2151" s="110" t="str">
        <f t="shared" si="30"/>
        <v>https://Estud2024.sawtoothsoftware.com/cgi-bin/ciwweb.pl?studyname=Estud2024&amp;ID=2140</v>
      </c>
      <c r="L2151" s="113">
        <v>45720</v>
      </c>
      <c r="M2151" s="45" t="s">
        <v>247</v>
      </c>
    </row>
    <row r="2152" spans="1:13">
      <c r="A2152">
        <v>2141</v>
      </c>
      <c r="B2152" t="s">
        <v>89</v>
      </c>
      <c r="D2152" t="s">
        <v>99</v>
      </c>
      <c r="F2152" t="s">
        <v>11170</v>
      </c>
      <c r="G2152">
        <v>6</v>
      </c>
      <c r="H2152" t="s">
        <v>7936</v>
      </c>
      <c r="I2152" t="s">
        <v>6754</v>
      </c>
      <c r="J2152" s="122">
        <v>45748</v>
      </c>
      <c r="K2152" s="110" t="str">
        <f t="shared" si="30"/>
        <v>https://Estud2024.sawtoothsoftware.com/cgi-bin/ciwweb.pl?studyname=Estud2024&amp;ID=2141</v>
      </c>
      <c r="L2152" s="113">
        <v>45720</v>
      </c>
      <c r="M2152" s="45" t="s">
        <v>247</v>
      </c>
    </row>
    <row r="2153" spans="1:13">
      <c r="A2153">
        <v>2142</v>
      </c>
      <c r="B2153" t="s">
        <v>89</v>
      </c>
      <c r="D2153" t="s">
        <v>99</v>
      </c>
      <c r="F2153" t="s">
        <v>11171</v>
      </c>
      <c r="G2153">
        <v>6</v>
      </c>
      <c r="H2153" t="s">
        <v>11172</v>
      </c>
      <c r="I2153" t="s">
        <v>6754</v>
      </c>
      <c r="J2153" s="122">
        <v>45748</v>
      </c>
      <c r="K2153" s="110" t="str">
        <f t="shared" si="30"/>
        <v>https://Estud2024.sawtoothsoftware.com/cgi-bin/ciwweb.pl?studyname=Estud2024&amp;ID=2142</v>
      </c>
      <c r="L2153" s="113">
        <v>45720</v>
      </c>
      <c r="M2153" s="45" t="s">
        <v>247</v>
      </c>
    </row>
    <row r="2154" spans="1:13">
      <c r="A2154">
        <v>2143</v>
      </c>
      <c r="B2154" t="s">
        <v>89</v>
      </c>
      <c r="D2154" t="s">
        <v>99</v>
      </c>
      <c r="F2154" t="s">
        <v>11173</v>
      </c>
      <c r="G2154">
        <v>6</v>
      </c>
      <c r="H2154" t="s">
        <v>5225</v>
      </c>
      <c r="I2154" t="s">
        <v>6754</v>
      </c>
      <c r="J2154" s="122">
        <v>45748</v>
      </c>
      <c r="K2154" s="110" t="str">
        <f t="shared" si="30"/>
        <v>https://Estud2024.sawtoothsoftware.com/cgi-bin/ciwweb.pl?studyname=Estud2024&amp;ID=2143</v>
      </c>
      <c r="L2154" s="113">
        <v>45720</v>
      </c>
      <c r="M2154" s="45" t="s">
        <v>247</v>
      </c>
    </row>
    <row r="2155" spans="1:13">
      <c r="A2155">
        <v>2144</v>
      </c>
      <c r="B2155" t="s">
        <v>89</v>
      </c>
      <c r="D2155" t="s">
        <v>99</v>
      </c>
      <c r="F2155" t="s">
        <v>11174</v>
      </c>
      <c r="G2155">
        <v>6</v>
      </c>
      <c r="H2155" t="s">
        <v>11175</v>
      </c>
      <c r="I2155" t="s">
        <v>6754</v>
      </c>
      <c r="J2155" s="122">
        <v>45748</v>
      </c>
      <c r="K2155" s="110" t="str">
        <f t="shared" si="30"/>
        <v>https://Estud2024.sawtoothsoftware.com/cgi-bin/ciwweb.pl?studyname=Estud2024&amp;ID=2144</v>
      </c>
      <c r="L2155" s="113">
        <v>45720</v>
      </c>
      <c r="M2155" s="45" t="s">
        <v>246</v>
      </c>
    </row>
    <row r="2156" spans="1:13">
      <c r="A2156">
        <v>2145</v>
      </c>
      <c r="B2156" t="s">
        <v>89</v>
      </c>
      <c r="D2156" t="s">
        <v>99</v>
      </c>
      <c r="F2156" t="s">
        <v>11176</v>
      </c>
      <c r="G2156">
        <v>7</v>
      </c>
      <c r="H2156" t="s">
        <v>9387</v>
      </c>
      <c r="I2156" t="s">
        <v>6754</v>
      </c>
      <c r="J2156" s="122">
        <v>45748</v>
      </c>
      <c r="K2156" s="110" t="str">
        <f t="shared" si="30"/>
        <v>https://Estud2024.sawtoothsoftware.com/cgi-bin/ciwweb.pl?studyname=Estud2024&amp;ID=2145</v>
      </c>
      <c r="L2156" s="113">
        <v>45720</v>
      </c>
      <c r="M2156" s="45" t="s">
        <v>247</v>
      </c>
    </row>
    <row r="2157" spans="1:13">
      <c r="A2157">
        <v>2146</v>
      </c>
      <c r="B2157" t="s">
        <v>89</v>
      </c>
      <c r="D2157" t="s">
        <v>99</v>
      </c>
      <c r="F2157" t="s">
        <v>11177</v>
      </c>
      <c r="G2157">
        <v>7</v>
      </c>
      <c r="H2157" t="s">
        <v>9385</v>
      </c>
      <c r="I2157" t="s">
        <v>6754</v>
      </c>
      <c r="J2157" s="122">
        <v>45748</v>
      </c>
      <c r="K2157" s="110" t="str">
        <f t="shared" si="30"/>
        <v>https://Estud2024.sawtoothsoftware.com/cgi-bin/ciwweb.pl?studyname=Estud2024&amp;ID=2146</v>
      </c>
      <c r="L2157" s="113">
        <v>45720</v>
      </c>
      <c r="M2157" s="45" t="s">
        <v>247</v>
      </c>
    </row>
    <row r="2158" spans="1:13">
      <c r="A2158">
        <v>2147</v>
      </c>
      <c r="B2158" t="s">
        <v>89</v>
      </c>
      <c r="D2158" t="s">
        <v>99</v>
      </c>
      <c r="F2158" t="s">
        <v>11178</v>
      </c>
      <c r="G2158">
        <v>8</v>
      </c>
      <c r="H2158" t="s">
        <v>11179</v>
      </c>
      <c r="I2158" t="s">
        <v>6754</v>
      </c>
      <c r="J2158" s="122">
        <v>45748</v>
      </c>
      <c r="K2158" s="110" t="str">
        <f t="shared" si="30"/>
        <v>https://Estud2024.sawtoothsoftware.com/cgi-bin/ciwweb.pl?studyname=Estud2024&amp;ID=2147</v>
      </c>
      <c r="L2158" s="113">
        <v>45720</v>
      </c>
      <c r="M2158" s="45" t="s">
        <v>247</v>
      </c>
    </row>
    <row r="2159" spans="1:13">
      <c r="A2159">
        <v>2148</v>
      </c>
      <c r="B2159" t="s">
        <v>89</v>
      </c>
      <c r="D2159" t="s">
        <v>99</v>
      </c>
      <c r="F2159" t="s">
        <v>11180</v>
      </c>
      <c r="G2159">
        <v>8</v>
      </c>
      <c r="H2159" t="s">
        <v>11181</v>
      </c>
      <c r="I2159" t="s">
        <v>6754</v>
      </c>
      <c r="J2159" s="122">
        <v>45748</v>
      </c>
      <c r="K2159" s="110" t="str">
        <f t="shared" si="30"/>
        <v>https://Estud2024.sawtoothsoftware.com/cgi-bin/ciwweb.pl?studyname=Estud2024&amp;ID=2148</v>
      </c>
      <c r="L2159" s="113">
        <v>45720</v>
      </c>
      <c r="M2159" s="45" t="s">
        <v>246</v>
      </c>
    </row>
    <row r="2160" spans="1:13">
      <c r="A2160">
        <v>2149</v>
      </c>
      <c r="B2160" t="s">
        <v>89</v>
      </c>
      <c r="D2160" t="s">
        <v>99</v>
      </c>
      <c r="F2160" t="s">
        <v>11182</v>
      </c>
      <c r="G2160">
        <v>8</v>
      </c>
      <c r="H2160" t="s">
        <v>11183</v>
      </c>
      <c r="I2160" t="s">
        <v>6754</v>
      </c>
      <c r="J2160" s="122">
        <v>45748</v>
      </c>
      <c r="K2160" s="110" t="str">
        <f t="shared" si="30"/>
        <v>https://Estud2024.sawtoothsoftware.com/cgi-bin/ciwweb.pl?studyname=Estud2024&amp;ID=2149</v>
      </c>
      <c r="L2160" s="113">
        <v>45720</v>
      </c>
      <c r="M2160" s="45" t="s">
        <v>246</v>
      </c>
    </row>
    <row r="2161" spans="1:13">
      <c r="A2161">
        <v>2150</v>
      </c>
      <c r="B2161" t="s">
        <v>89</v>
      </c>
      <c r="D2161" t="s">
        <v>99</v>
      </c>
      <c r="F2161" t="s">
        <v>11184</v>
      </c>
      <c r="G2161">
        <v>8</v>
      </c>
      <c r="H2161" t="s">
        <v>9381</v>
      </c>
      <c r="I2161" t="s">
        <v>6754</v>
      </c>
      <c r="J2161" s="122">
        <v>45748</v>
      </c>
      <c r="K2161" s="110" t="str">
        <f t="shared" si="30"/>
        <v>https://Estud2024.sawtoothsoftware.com/cgi-bin/ciwweb.pl?studyname=Estud2024&amp;ID=2150</v>
      </c>
      <c r="L2161" s="113">
        <v>45720</v>
      </c>
      <c r="M2161" s="45" t="s">
        <v>247</v>
      </c>
    </row>
    <row r="2162" spans="1:13">
      <c r="A2162">
        <v>2151</v>
      </c>
      <c r="B2162" t="s">
        <v>89</v>
      </c>
      <c r="D2162" t="s">
        <v>99</v>
      </c>
      <c r="F2162" t="s">
        <v>11185</v>
      </c>
      <c r="G2162">
        <v>8</v>
      </c>
      <c r="H2162" t="s">
        <v>9383</v>
      </c>
      <c r="I2162" t="s">
        <v>6754</v>
      </c>
      <c r="J2162" s="122">
        <v>45748</v>
      </c>
      <c r="K2162" s="110" t="str">
        <f t="shared" si="30"/>
        <v>https://Estud2024.sawtoothsoftware.com/cgi-bin/ciwweb.pl?studyname=Estud2024&amp;ID=2151</v>
      </c>
      <c r="L2162" s="113">
        <v>45720</v>
      </c>
      <c r="M2162" s="45" t="s">
        <v>247</v>
      </c>
    </row>
    <row r="2163" spans="1:13">
      <c r="A2163">
        <v>2152</v>
      </c>
      <c r="B2163" t="s">
        <v>138</v>
      </c>
      <c r="D2163" t="s">
        <v>11186</v>
      </c>
      <c r="F2163" t="s">
        <v>11187</v>
      </c>
      <c r="G2163">
        <v>1</v>
      </c>
      <c r="H2163" t="s">
        <v>11188</v>
      </c>
      <c r="I2163" t="s">
        <v>6754</v>
      </c>
      <c r="J2163" s="122">
        <v>45748</v>
      </c>
      <c r="K2163" s="110" t="str">
        <f t="shared" si="30"/>
        <v>https://Estud2024.sawtoothsoftware.com/cgi-bin/ciwweb.pl?studyname=Estud2024&amp;ID=2152</v>
      </c>
      <c r="L2163" s="113">
        <v>45720</v>
      </c>
      <c r="M2163" s="45" t="s">
        <v>10066</v>
      </c>
    </row>
    <row r="2164" spans="1:13">
      <c r="A2164">
        <v>2153</v>
      </c>
      <c r="B2164" t="s">
        <v>138</v>
      </c>
      <c r="D2164" t="s">
        <v>11186</v>
      </c>
      <c r="F2164" t="s">
        <v>11189</v>
      </c>
      <c r="G2164">
        <v>1</v>
      </c>
      <c r="H2164" t="s">
        <v>11190</v>
      </c>
      <c r="I2164" t="s">
        <v>6754</v>
      </c>
      <c r="J2164" s="122">
        <v>45748</v>
      </c>
      <c r="K2164" s="110" t="str">
        <f t="shared" si="30"/>
        <v>https://Estud2024.sawtoothsoftware.com/cgi-bin/ciwweb.pl?studyname=Estud2024&amp;ID=2153</v>
      </c>
      <c r="L2164" s="113">
        <v>45720</v>
      </c>
      <c r="M2164" s="45" t="s">
        <v>246</v>
      </c>
    </row>
    <row r="2165" spans="1:13">
      <c r="A2165">
        <v>2154</v>
      </c>
      <c r="B2165" t="s">
        <v>138</v>
      </c>
      <c r="D2165" t="s">
        <v>11186</v>
      </c>
      <c r="F2165" t="s">
        <v>11191</v>
      </c>
      <c r="G2165">
        <v>1</v>
      </c>
      <c r="H2165" t="s">
        <v>11192</v>
      </c>
      <c r="I2165" t="s">
        <v>6754</v>
      </c>
      <c r="J2165" s="122">
        <v>45748</v>
      </c>
      <c r="K2165" s="110" t="str">
        <f t="shared" si="30"/>
        <v>https://Estud2024.sawtoothsoftware.com/cgi-bin/ciwweb.pl?studyname=Estud2024&amp;ID=2154</v>
      </c>
      <c r="L2165" s="113">
        <v>45720</v>
      </c>
      <c r="M2165" s="45" t="s">
        <v>10066</v>
      </c>
    </row>
    <row r="2166" spans="1:13">
      <c r="A2166">
        <v>2155</v>
      </c>
      <c r="B2166" t="s">
        <v>138</v>
      </c>
      <c r="D2166" t="s">
        <v>11186</v>
      </c>
      <c r="F2166" t="s">
        <v>11193</v>
      </c>
      <c r="G2166">
        <v>1</v>
      </c>
      <c r="H2166" t="s">
        <v>11194</v>
      </c>
      <c r="I2166" t="s">
        <v>6754</v>
      </c>
      <c r="J2166" s="122">
        <v>45748</v>
      </c>
      <c r="K2166" s="110" t="str">
        <f t="shared" si="30"/>
        <v>https://Estud2024.sawtoothsoftware.com/cgi-bin/ciwweb.pl?studyname=Estud2024&amp;ID=2155</v>
      </c>
      <c r="L2166" s="113">
        <v>45720</v>
      </c>
      <c r="M2166" s="45" t="s">
        <v>247</v>
      </c>
    </row>
    <row r="2167" spans="1:13">
      <c r="A2167">
        <v>2156</v>
      </c>
      <c r="B2167" t="s">
        <v>138</v>
      </c>
      <c r="D2167" t="s">
        <v>11186</v>
      </c>
      <c r="F2167" t="s">
        <v>11195</v>
      </c>
      <c r="G2167">
        <v>1</v>
      </c>
      <c r="H2167" t="s">
        <v>11196</v>
      </c>
      <c r="I2167" t="s">
        <v>6754</v>
      </c>
      <c r="J2167" s="122">
        <v>45748</v>
      </c>
      <c r="K2167" s="110" t="str">
        <f t="shared" si="30"/>
        <v>https://Estud2024.sawtoothsoftware.com/cgi-bin/ciwweb.pl?studyname=Estud2024&amp;ID=2156</v>
      </c>
      <c r="L2167" s="113">
        <v>45720</v>
      </c>
      <c r="M2167" s="45" t="s">
        <v>10066</v>
      </c>
    </row>
    <row r="2168" spans="1:13">
      <c r="A2168">
        <v>2157</v>
      </c>
      <c r="B2168" t="s">
        <v>138</v>
      </c>
      <c r="D2168" t="s">
        <v>11186</v>
      </c>
      <c r="F2168" t="s">
        <v>11197</v>
      </c>
      <c r="G2168">
        <v>1</v>
      </c>
      <c r="H2168" t="s">
        <v>11198</v>
      </c>
      <c r="I2168" t="s">
        <v>6754</v>
      </c>
      <c r="J2168" s="122">
        <v>45748</v>
      </c>
      <c r="K2168" s="110" t="str">
        <f t="shared" si="30"/>
        <v>https://Estud2024.sawtoothsoftware.com/cgi-bin/ciwweb.pl?studyname=Estud2024&amp;ID=2157</v>
      </c>
      <c r="L2168" s="113">
        <v>45720</v>
      </c>
      <c r="M2168" s="45" t="s">
        <v>10066</v>
      </c>
    </row>
    <row r="2169" spans="1:13">
      <c r="A2169">
        <v>2158</v>
      </c>
      <c r="B2169" t="s">
        <v>138</v>
      </c>
      <c r="D2169" t="s">
        <v>11186</v>
      </c>
      <c r="F2169" t="s">
        <v>11199</v>
      </c>
      <c r="G2169">
        <v>1</v>
      </c>
      <c r="H2169" t="s">
        <v>11200</v>
      </c>
      <c r="I2169" t="s">
        <v>6754</v>
      </c>
      <c r="J2169" s="122">
        <v>45748</v>
      </c>
      <c r="K2169" s="110" t="str">
        <f t="shared" si="30"/>
        <v>https://Estud2024.sawtoothsoftware.com/cgi-bin/ciwweb.pl?studyname=Estud2024&amp;ID=2158</v>
      </c>
      <c r="L2169" s="113">
        <v>45720</v>
      </c>
      <c r="M2169" s="45" t="s">
        <v>246</v>
      </c>
    </row>
    <row r="2170" spans="1:13">
      <c r="A2170">
        <v>2159</v>
      </c>
      <c r="B2170" t="s">
        <v>138</v>
      </c>
      <c r="D2170" t="s">
        <v>11186</v>
      </c>
      <c r="F2170" t="s">
        <v>11201</v>
      </c>
      <c r="G2170">
        <v>1</v>
      </c>
      <c r="H2170" t="s">
        <v>11202</v>
      </c>
      <c r="I2170" t="s">
        <v>6754</v>
      </c>
      <c r="J2170" s="122">
        <v>45748</v>
      </c>
      <c r="K2170" s="110" t="str">
        <f t="shared" si="30"/>
        <v>https://Estud2024.sawtoothsoftware.com/cgi-bin/ciwweb.pl?studyname=Estud2024&amp;ID=2159</v>
      </c>
      <c r="L2170" s="113">
        <v>45720</v>
      </c>
      <c r="M2170" s="45" t="s">
        <v>10066</v>
      </c>
    </row>
    <row r="2171" spans="1:13">
      <c r="A2171">
        <v>2160</v>
      </c>
      <c r="B2171" t="s">
        <v>138</v>
      </c>
      <c r="D2171" t="s">
        <v>11186</v>
      </c>
      <c r="F2171" t="s">
        <v>11203</v>
      </c>
      <c r="G2171">
        <v>1</v>
      </c>
      <c r="H2171" t="s">
        <v>11204</v>
      </c>
      <c r="I2171" t="s">
        <v>6754</v>
      </c>
      <c r="J2171" s="122">
        <v>45748</v>
      </c>
      <c r="K2171" s="110" t="str">
        <f t="shared" si="30"/>
        <v>https://Estud2024.sawtoothsoftware.com/cgi-bin/ciwweb.pl?studyname=Estud2024&amp;ID=2160</v>
      </c>
      <c r="L2171" s="113">
        <v>45720</v>
      </c>
      <c r="M2171" s="45" t="s">
        <v>247</v>
      </c>
    </row>
    <row r="2172" spans="1:13">
      <c r="A2172">
        <v>2161</v>
      </c>
      <c r="B2172" t="s">
        <v>138</v>
      </c>
      <c r="D2172" t="s">
        <v>11186</v>
      </c>
      <c r="F2172" t="s">
        <v>11205</v>
      </c>
      <c r="G2172">
        <v>1</v>
      </c>
      <c r="H2172" t="s">
        <v>11206</v>
      </c>
      <c r="I2172" t="s">
        <v>6754</v>
      </c>
      <c r="J2172" s="122">
        <v>45748</v>
      </c>
      <c r="K2172" s="110" t="str">
        <f t="shared" si="30"/>
        <v>https://Estud2024.sawtoothsoftware.com/cgi-bin/ciwweb.pl?studyname=Estud2024&amp;ID=2161</v>
      </c>
      <c r="L2172" s="113">
        <v>45720</v>
      </c>
      <c r="M2172" s="45" t="s">
        <v>10066</v>
      </c>
    </row>
    <row r="2173" spans="1:13">
      <c r="A2173">
        <v>2162</v>
      </c>
      <c r="B2173" t="s">
        <v>138</v>
      </c>
      <c r="D2173" t="s">
        <v>11186</v>
      </c>
      <c r="F2173" t="s">
        <v>11207</v>
      </c>
      <c r="G2173">
        <v>1</v>
      </c>
      <c r="H2173" t="s">
        <v>11208</v>
      </c>
      <c r="I2173" t="s">
        <v>6754</v>
      </c>
      <c r="J2173" s="122">
        <v>45748</v>
      </c>
      <c r="K2173" s="110" t="str">
        <f t="shared" si="30"/>
        <v>https://Estud2024.sawtoothsoftware.com/cgi-bin/ciwweb.pl?studyname=Estud2024&amp;ID=2162</v>
      </c>
      <c r="L2173" s="113">
        <v>45720</v>
      </c>
      <c r="M2173" s="45" t="s">
        <v>10066</v>
      </c>
    </row>
    <row r="2174" spans="1:13">
      <c r="A2174">
        <v>2163</v>
      </c>
      <c r="B2174" t="s">
        <v>138</v>
      </c>
      <c r="D2174" t="s">
        <v>11186</v>
      </c>
      <c r="F2174" t="s">
        <v>11209</v>
      </c>
      <c r="G2174">
        <v>1</v>
      </c>
      <c r="H2174" t="s">
        <v>11210</v>
      </c>
      <c r="I2174" t="s">
        <v>6754</v>
      </c>
      <c r="J2174" s="122">
        <v>45748</v>
      </c>
      <c r="K2174" s="110" t="str">
        <f t="shared" si="30"/>
        <v>https://Estud2024.sawtoothsoftware.com/cgi-bin/ciwweb.pl?studyname=Estud2024&amp;ID=2163</v>
      </c>
      <c r="L2174" s="113">
        <v>45720</v>
      </c>
      <c r="M2174" s="45" t="s">
        <v>10066</v>
      </c>
    </row>
    <row r="2175" spans="1:13">
      <c r="A2175">
        <v>2164</v>
      </c>
      <c r="B2175" t="s">
        <v>138</v>
      </c>
      <c r="D2175" t="s">
        <v>11186</v>
      </c>
      <c r="F2175" t="s">
        <v>11211</v>
      </c>
      <c r="G2175">
        <v>1</v>
      </c>
      <c r="H2175" t="s">
        <v>11212</v>
      </c>
      <c r="I2175" t="s">
        <v>6754</v>
      </c>
      <c r="J2175" s="122">
        <v>45748</v>
      </c>
      <c r="K2175" s="110" t="str">
        <f t="shared" si="30"/>
        <v>https://Estud2024.sawtoothsoftware.com/cgi-bin/ciwweb.pl?studyname=Estud2024&amp;ID=2164</v>
      </c>
      <c r="L2175" s="113">
        <v>45720</v>
      </c>
      <c r="M2175" s="45" t="s">
        <v>10066</v>
      </c>
    </row>
    <row r="2176" spans="1:13">
      <c r="A2176">
        <v>2165</v>
      </c>
      <c r="B2176" t="s">
        <v>138</v>
      </c>
      <c r="D2176" t="s">
        <v>11186</v>
      </c>
      <c r="F2176" t="s">
        <v>11213</v>
      </c>
      <c r="G2176">
        <v>1</v>
      </c>
      <c r="H2176" t="s">
        <v>11214</v>
      </c>
      <c r="I2176" t="s">
        <v>6754</v>
      </c>
      <c r="J2176" s="122">
        <v>45748</v>
      </c>
      <c r="K2176" s="110" t="str">
        <f t="shared" si="30"/>
        <v>https://Estud2024.sawtoothsoftware.com/cgi-bin/ciwweb.pl?studyname=Estud2024&amp;ID=2165</v>
      </c>
      <c r="L2176" s="113">
        <v>45720</v>
      </c>
      <c r="M2176" s="45" t="s">
        <v>10066</v>
      </c>
    </row>
    <row r="2177" spans="1:13">
      <c r="A2177">
        <v>2166</v>
      </c>
      <c r="B2177" t="s">
        <v>138</v>
      </c>
      <c r="D2177" t="s">
        <v>11186</v>
      </c>
      <c r="F2177" t="s">
        <v>11215</v>
      </c>
      <c r="G2177">
        <v>1</v>
      </c>
      <c r="H2177" t="s">
        <v>11216</v>
      </c>
      <c r="I2177" t="s">
        <v>6754</v>
      </c>
      <c r="J2177" s="122">
        <v>45748</v>
      </c>
      <c r="K2177" s="110" t="str">
        <f t="shared" si="30"/>
        <v>https://Estud2024.sawtoothsoftware.com/cgi-bin/ciwweb.pl?studyname=Estud2024&amp;ID=2166</v>
      </c>
      <c r="L2177" s="113">
        <v>45720</v>
      </c>
      <c r="M2177" s="45" t="s">
        <v>10066</v>
      </c>
    </row>
    <row r="2178" spans="1:13">
      <c r="A2178">
        <v>2167</v>
      </c>
      <c r="B2178" t="s">
        <v>138</v>
      </c>
      <c r="D2178" t="s">
        <v>11186</v>
      </c>
      <c r="F2178" t="s">
        <v>11217</v>
      </c>
      <c r="G2178">
        <v>1</v>
      </c>
      <c r="H2178" t="s">
        <v>11218</v>
      </c>
      <c r="I2178" t="s">
        <v>6754</v>
      </c>
      <c r="J2178" s="122">
        <v>45748</v>
      </c>
      <c r="K2178" s="110" t="str">
        <f t="shared" si="30"/>
        <v>https://Estud2024.sawtoothsoftware.com/cgi-bin/ciwweb.pl?studyname=Estud2024&amp;ID=2167</v>
      </c>
      <c r="L2178" s="113">
        <v>45720</v>
      </c>
      <c r="M2178" s="45" t="s">
        <v>246</v>
      </c>
    </row>
    <row r="2179" spans="1:13">
      <c r="A2179">
        <v>2168</v>
      </c>
      <c r="B2179" t="s">
        <v>138</v>
      </c>
      <c r="D2179" t="s">
        <v>11186</v>
      </c>
      <c r="F2179" t="s">
        <v>11219</v>
      </c>
      <c r="G2179">
        <v>1</v>
      </c>
      <c r="H2179" t="s">
        <v>11220</v>
      </c>
      <c r="I2179" t="s">
        <v>6754</v>
      </c>
      <c r="J2179" s="122">
        <v>45748</v>
      </c>
      <c r="K2179" s="110" t="str">
        <f t="shared" si="30"/>
        <v>https://Estud2024.sawtoothsoftware.com/cgi-bin/ciwweb.pl?studyname=Estud2024&amp;ID=2168</v>
      </c>
      <c r="L2179" s="113">
        <v>45720</v>
      </c>
      <c r="M2179" s="45" t="s">
        <v>10066</v>
      </c>
    </row>
    <row r="2180" spans="1:13">
      <c r="A2180">
        <v>2169</v>
      </c>
      <c r="B2180" t="s">
        <v>138</v>
      </c>
      <c r="D2180" t="s">
        <v>11186</v>
      </c>
      <c r="F2180" t="s">
        <v>11221</v>
      </c>
      <c r="G2180">
        <v>1</v>
      </c>
      <c r="H2180" t="s">
        <v>11222</v>
      </c>
      <c r="I2180" t="s">
        <v>6754</v>
      </c>
      <c r="J2180" s="122">
        <v>45748</v>
      </c>
      <c r="K2180" s="110" t="str">
        <f t="shared" si="30"/>
        <v>https://Estud2024.sawtoothsoftware.com/cgi-bin/ciwweb.pl?studyname=Estud2024&amp;ID=2169</v>
      </c>
      <c r="L2180" s="113">
        <v>45720</v>
      </c>
      <c r="M2180" s="45" t="s">
        <v>10066</v>
      </c>
    </row>
    <row r="2181" spans="1:13">
      <c r="A2181">
        <v>2170</v>
      </c>
      <c r="B2181" t="s">
        <v>138</v>
      </c>
      <c r="D2181" t="s">
        <v>11186</v>
      </c>
      <c r="F2181" t="s">
        <v>11223</v>
      </c>
      <c r="G2181">
        <v>1</v>
      </c>
      <c r="H2181" t="s">
        <v>11224</v>
      </c>
      <c r="I2181" t="s">
        <v>6754</v>
      </c>
      <c r="J2181" s="122">
        <v>45748</v>
      </c>
      <c r="K2181" s="110" t="str">
        <f t="shared" si="30"/>
        <v>https://Estud2024.sawtoothsoftware.com/cgi-bin/ciwweb.pl?studyname=Estud2024&amp;ID=2170</v>
      </c>
      <c r="L2181" s="113">
        <v>45720</v>
      </c>
      <c r="M2181" s="45" t="s">
        <v>246</v>
      </c>
    </row>
    <row r="2182" spans="1:13">
      <c r="A2182">
        <v>2171</v>
      </c>
      <c r="B2182" t="s">
        <v>138</v>
      </c>
      <c r="D2182" t="s">
        <v>11225</v>
      </c>
      <c r="F2182" t="s">
        <v>11226</v>
      </c>
      <c r="G2182">
        <v>2</v>
      </c>
      <c r="H2182" t="s">
        <v>11227</v>
      </c>
      <c r="I2182" t="s">
        <v>6754</v>
      </c>
      <c r="J2182" s="122">
        <v>45748</v>
      </c>
      <c r="K2182" s="110" t="str">
        <f t="shared" si="30"/>
        <v>https://Estud2024.sawtoothsoftware.com/cgi-bin/ciwweb.pl?studyname=Estud2024&amp;ID=2171</v>
      </c>
      <c r="L2182" s="113">
        <v>45720</v>
      </c>
      <c r="M2182" s="45" t="s">
        <v>246</v>
      </c>
    </row>
    <row r="2183" spans="1:13">
      <c r="A2183">
        <v>2172</v>
      </c>
      <c r="B2183" t="s">
        <v>138</v>
      </c>
      <c r="D2183" t="s">
        <v>11225</v>
      </c>
      <c r="F2183" t="s">
        <v>11228</v>
      </c>
      <c r="G2183">
        <v>2</v>
      </c>
      <c r="H2183" t="s">
        <v>11229</v>
      </c>
      <c r="I2183" t="s">
        <v>6754</v>
      </c>
      <c r="J2183" s="122">
        <v>45748</v>
      </c>
      <c r="K2183" s="110" t="str">
        <f t="shared" si="30"/>
        <v>https://Estud2024.sawtoothsoftware.com/cgi-bin/ciwweb.pl?studyname=Estud2024&amp;ID=2172</v>
      </c>
      <c r="L2183" s="113">
        <v>45720</v>
      </c>
      <c r="M2183" s="45" t="s">
        <v>246</v>
      </c>
    </row>
    <row r="2184" spans="1:13">
      <c r="A2184">
        <v>2173</v>
      </c>
      <c r="B2184" t="s">
        <v>138</v>
      </c>
      <c r="D2184" t="s">
        <v>11225</v>
      </c>
      <c r="F2184" t="s">
        <v>11230</v>
      </c>
      <c r="G2184">
        <v>2</v>
      </c>
      <c r="H2184" t="s">
        <v>11231</v>
      </c>
      <c r="I2184" t="s">
        <v>6754</v>
      </c>
      <c r="J2184" s="122">
        <v>45748</v>
      </c>
      <c r="K2184" s="110" t="str">
        <f t="shared" si="30"/>
        <v>https://Estud2024.sawtoothsoftware.com/cgi-bin/ciwweb.pl?studyname=Estud2024&amp;ID=2173</v>
      </c>
      <c r="L2184" s="113">
        <v>45720</v>
      </c>
      <c r="M2184" s="45" t="s">
        <v>10066</v>
      </c>
    </row>
    <row r="2185" spans="1:13">
      <c r="A2185">
        <v>2174</v>
      </c>
      <c r="B2185" t="s">
        <v>138</v>
      </c>
      <c r="D2185" t="s">
        <v>11225</v>
      </c>
      <c r="F2185" t="s">
        <v>11232</v>
      </c>
      <c r="G2185">
        <v>2</v>
      </c>
      <c r="H2185" t="s">
        <v>11233</v>
      </c>
      <c r="I2185" t="s">
        <v>6754</v>
      </c>
      <c r="J2185" s="122">
        <v>45748</v>
      </c>
      <c r="K2185" s="110" t="str">
        <f t="shared" si="30"/>
        <v>https://Estud2024.sawtoothsoftware.com/cgi-bin/ciwweb.pl?studyname=Estud2024&amp;ID=2174</v>
      </c>
      <c r="L2185" s="113">
        <v>45720</v>
      </c>
      <c r="M2185" s="45" t="s">
        <v>10066</v>
      </c>
    </row>
    <row r="2186" spans="1:13">
      <c r="A2186">
        <v>2175</v>
      </c>
      <c r="B2186" t="s">
        <v>138</v>
      </c>
      <c r="D2186" t="s">
        <v>11225</v>
      </c>
      <c r="F2186" t="s">
        <v>11234</v>
      </c>
      <c r="G2186">
        <v>2</v>
      </c>
      <c r="H2186" t="s">
        <v>11235</v>
      </c>
      <c r="I2186" t="s">
        <v>6754</v>
      </c>
      <c r="J2186" s="122">
        <v>45748</v>
      </c>
      <c r="K2186" s="110" t="str">
        <f t="shared" si="30"/>
        <v>https://Estud2024.sawtoothsoftware.com/cgi-bin/ciwweb.pl?studyname=Estud2024&amp;ID=2175</v>
      </c>
      <c r="L2186" s="113">
        <v>45720</v>
      </c>
      <c r="M2186" s="45" t="s">
        <v>246</v>
      </c>
    </row>
    <row r="2187" spans="1:13">
      <c r="A2187">
        <v>2176</v>
      </c>
      <c r="B2187" t="s">
        <v>138</v>
      </c>
      <c r="D2187" t="s">
        <v>11225</v>
      </c>
      <c r="F2187" t="s">
        <v>11236</v>
      </c>
      <c r="G2187">
        <v>2</v>
      </c>
      <c r="H2187" t="s">
        <v>11237</v>
      </c>
      <c r="I2187" t="s">
        <v>6754</v>
      </c>
      <c r="J2187" s="122">
        <v>45748</v>
      </c>
      <c r="K2187" s="110" t="str">
        <f t="shared" si="30"/>
        <v>https://Estud2024.sawtoothsoftware.com/cgi-bin/ciwweb.pl?studyname=Estud2024&amp;ID=2176</v>
      </c>
      <c r="L2187" s="113">
        <v>45720</v>
      </c>
      <c r="M2187" s="45" t="s">
        <v>247</v>
      </c>
    </row>
    <row r="2188" spans="1:13">
      <c r="A2188">
        <v>2177</v>
      </c>
      <c r="B2188" t="s">
        <v>138</v>
      </c>
      <c r="D2188" t="s">
        <v>11225</v>
      </c>
      <c r="F2188" t="s">
        <v>11238</v>
      </c>
      <c r="G2188">
        <v>2</v>
      </c>
      <c r="H2188" t="s">
        <v>11239</v>
      </c>
      <c r="I2188" t="s">
        <v>6754</v>
      </c>
      <c r="J2188" s="122">
        <v>45748</v>
      </c>
      <c r="K2188" s="110" t="str">
        <f t="shared" si="30"/>
        <v>https://Estud2024.sawtoothsoftware.com/cgi-bin/ciwweb.pl?studyname=Estud2024&amp;ID=2177</v>
      </c>
      <c r="L2188" s="113">
        <v>45720</v>
      </c>
      <c r="M2188" s="45" t="s">
        <v>246</v>
      </c>
    </row>
    <row r="2189" spans="1:13">
      <c r="A2189">
        <v>2178</v>
      </c>
      <c r="B2189" t="s">
        <v>138</v>
      </c>
      <c r="D2189" t="s">
        <v>11225</v>
      </c>
      <c r="F2189" t="s">
        <v>11240</v>
      </c>
      <c r="G2189">
        <v>2</v>
      </c>
      <c r="H2189" t="s">
        <v>11241</v>
      </c>
      <c r="I2189" t="s">
        <v>6754</v>
      </c>
      <c r="J2189" s="122">
        <v>45748</v>
      </c>
      <c r="K2189" s="110" t="str">
        <f t="shared" si="30"/>
        <v>https://Estud2024.sawtoothsoftware.com/cgi-bin/ciwweb.pl?studyname=Estud2024&amp;ID=2178</v>
      </c>
      <c r="L2189" s="113">
        <v>45720</v>
      </c>
      <c r="M2189" s="45" t="s">
        <v>10066</v>
      </c>
    </row>
    <row r="2190" spans="1:13">
      <c r="A2190">
        <v>2179</v>
      </c>
      <c r="B2190" t="s">
        <v>138</v>
      </c>
      <c r="D2190" t="s">
        <v>11225</v>
      </c>
      <c r="F2190" t="s">
        <v>11242</v>
      </c>
      <c r="G2190">
        <v>2</v>
      </c>
      <c r="H2190" t="s">
        <v>11243</v>
      </c>
      <c r="I2190" t="s">
        <v>6754</v>
      </c>
      <c r="J2190" s="122">
        <v>45748</v>
      </c>
      <c r="K2190" s="110" t="str">
        <f t="shared" si="30"/>
        <v>https://Estud2024.sawtoothsoftware.com/cgi-bin/ciwweb.pl?studyname=Estud2024&amp;ID=2179</v>
      </c>
      <c r="L2190" s="113">
        <v>45720</v>
      </c>
      <c r="M2190" s="45" t="s">
        <v>10066</v>
      </c>
    </row>
    <row r="2191" spans="1:13">
      <c r="A2191">
        <v>2180</v>
      </c>
      <c r="B2191" t="s">
        <v>138</v>
      </c>
      <c r="D2191" t="s">
        <v>11225</v>
      </c>
      <c r="F2191" t="s">
        <v>11244</v>
      </c>
      <c r="G2191">
        <v>2</v>
      </c>
      <c r="H2191" t="s">
        <v>11245</v>
      </c>
      <c r="I2191" t="s">
        <v>6754</v>
      </c>
      <c r="J2191" s="122">
        <v>45748</v>
      </c>
      <c r="K2191" s="110" t="str">
        <f t="shared" si="30"/>
        <v>https://Estud2024.sawtoothsoftware.com/cgi-bin/ciwweb.pl?studyname=Estud2024&amp;ID=2180</v>
      </c>
      <c r="L2191" s="113">
        <v>45720</v>
      </c>
      <c r="M2191" s="45" t="s">
        <v>247</v>
      </c>
    </row>
    <row r="2192" spans="1:13">
      <c r="A2192">
        <v>2181</v>
      </c>
      <c r="B2192" t="s">
        <v>138</v>
      </c>
      <c r="D2192" t="s">
        <v>11225</v>
      </c>
      <c r="F2192" t="s">
        <v>11246</v>
      </c>
      <c r="G2192">
        <v>2</v>
      </c>
      <c r="H2192" t="s">
        <v>11247</v>
      </c>
      <c r="I2192" t="s">
        <v>6754</v>
      </c>
      <c r="J2192" s="122">
        <v>45748</v>
      </c>
      <c r="K2192" s="110" t="str">
        <f t="shared" si="30"/>
        <v>https://Estud2024.sawtoothsoftware.com/cgi-bin/ciwweb.pl?studyname=Estud2024&amp;ID=2181</v>
      </c>
      <c r="L2192" s="113">
        <v>45720</v>
      </c>
      <c r="M2192" s="45" t="s">
        <v>10066</v>
      </c>
    </row>
    <row r="2193" spans="1:13">
      <c r="A2193">
        <v>2182</v>
      </c>
      <c r="B2193" t="s">
        <v>138</v>
      </c>
      <c r="D2193" t="s">
        <v>11225</v>
      </c>
      <c r="F2193" t="s">
        <v>11248</v>
      </c>
      <c r="G2193">
        <v>2</v>
      </c>
      <c r="H2193" t="s">
        <v>11249</v>
      </c>
      <c r="I2193" t="s">
        <v>6754</v>
      </c>
      <c r="J2193" s="122">
        <v>45748</v>
      </c>
      <c r="K2193" s="110" t="str">
        <f t="shared" si="30"/>
        <v>https://Estud2024.sawtoothsoftware.com/cgi-bin/ciwweb.pl?studyname=Estud2024&amp;ID=2182</v>
      </c>
      <c r="L2193" s="113">
        <v>45720</v>
      </c>
      <c r="M2193" s="45" t="s">
        <v>246</v>
      </c>
    </row>
    <row r="2194" spans="1:13">
      <c r="A2194">
        <v>2183</v>
      </c>
      <c r="B2194" t="s">
        <v>138</v>
      </c>
      <c r="D2194" t="s">
        <v>11225</v>
      </c>
      <c r="F2194" t="s">
        <v>11250</v>
      </c>
      <c r="G2194">
        <v>1</v>
      </c>
      <c r="H2194" t="s">
        <v>11251</v>
      </c>
      <c r="I2194" t="s">
        <v>6754</v>
      </c>
      <c r="J2194" s="122">
        <v>45748</v>
      </c>
      <c r="K2194" s="110" t="str">
        <f t="shared" si="30"/>
        <v>https://Estud2024.sawtoothsoftware.com/cgi-bin/ciwweb.pl?studyname=Estud2024&amp;ID=2183</v>
      </c>
      <c r="L2194" s="113">
        <v>45720</v>
      </c>
      <c r="M2194" s="45" t="s">
        <v>10066</v>
      </c>
    </row>
    <row r="2195" spans="1:13">
      <c r="A2195">
        <v>2184</v>
      </c>
      <c r="B2195" t="s">
        <v>138</v>
      </c>
      <c r="D2195" t="s">
        <v>11225</v>
      </c>
      <c r="F2195" t="s">
        <v>11252</v>
      </c>
      <c r="G2195">
        <v>1</v>
      </c>
      <c r="H2195" t="s">
        <v>11253</v>
      </c>
      <c r="I2195" t="s">
        <v>6754</v>
      </c>
      <c r="J2195" s="122">
        <v>45748</v>
      </c>
      <c r="K2195" s="110" t="str">
        <f t="shared" si="30"/>
        <v>https://Estud2024.sawtoothsoftware.com/cgi-bin/ciwweb.pl?studyname=Estud2024&amp;ID=2184</v>
      </c>
      <c r="L2195" s="113">
        <v>45720</v>
      </c>
      <c r="M2195" s="45" t="s">
        <v>10066</v>
      </c>
    </row>
    <row r="2196" spans="1:13">
      <c r="A2196">
        <v>2185</v>
      </c>
      <c r="B2196" t="s">
        <v>138</v>
      </c>
      <c r="D2196" t="s">
        <v>11225</v>
      </c>
      <c r="F2196" t="s">
        <v>11254</v>
      </c>
      <c r="G2196">
        <v>1</v>
      </c>
      <c r="H2196" t="s">
        <v>11255</v>
      </c>
      <c r="I2196" t="s">
        <v>6754</v>
      </c>
      <c r="J2196" s="122">
        <v>45748</v>
      </c>
      <c r="K2196" s="110" t="str">
        <f t="shared" si="30"/>
        <v>https://Estud2024.sawtoothsoftware.com/cgi-bin/ciwweb.pl?studyname=Estud2024&amp;ID=2185</v>
      </c>
      <c r="L2196" s="113">
        <v>45720</v>
      </c>
      <c r="M2196" s="45" t="s">
        <v>10066</v>
      </c>
    </row>
    <row r="2197" spans="1:13">
      <c r="A2197">
        <v>2186</v>
      </c>
      <c r="B2197" t="s">
        <v>138</v>
      </c>
      <c r="D2197" t="s">
        <v>11225</v>
      </c>
      <c r="F2197" t="s">
        <v>11256</v>
      </c>
      <c r="G2197">
        <v>1</v>
      </c>
      <c r="H2197" t="s">
        <v>11257</v>
      </c>
      <c r="I2197" t="s">
        <v>6754</v>
      </c>
      <c r="J2197" s="122">
        <v>45748</v>
      </c>
      <c r="K2197" s="110" t="str">
        <f t="shared" si="30"/>
        <v>https://Estud2024.sawtoothsoftware.com/cgi-bin/ciwweb.pl?studyname=Estud2024&amp;ID=2186</v>
      </c>
      <c r="L2197" s="113">
        <v>45720</v>
      </c>
      <c r="M2197" s="45" t="s">
        <v>10066</v>
      </c>
    </row>
    <row r="2198" spans="1:13">
      <c r="A2198">
        <v>2187</v>
      </c>
      <c r="B2198" t="s">
        <v>138</v>
      </c>
      <c r="D2198" t="s">
        <v>11225</v>
      </c>
      <c r="F2198" t="s">
        <v>11258</v>
      </c>
      <c r="G2198">
        <v>1</v>
      </c>
      <c r="H2198" t="s">
        <v>11259</v>
      </c>
      <c r="I2198" t="s">
        <v>6754</v>
      </c>
      <c r="J2198" s="122">
        <v>45748</v>
      </c>
      <c r="K2198" s="110" t="str">
        <f t="shared" ref="K2198:K2261" si="31">CONCATENATE("https://Estud2024.sawtoothsoftware.com/cgi-bin/ciwweb.pl?studyname=Estud2024&amp;ID=",A2198)</f>
        <v>https://Estud2024.sawtoothsoftware.com/cgi-bin/ciwweb.pl?studyname=Estud2024&amp;ID=2187</v>
      </c>
      <c r="L2198" s="113">
        <v>45720</v>
      </c>
      <c r="M2198" s="45" t="s">
        <v>10066</v>
      </c>
    </row>
    <row r="2199" spans="1:13">
      <c r="A2199">
        <v>2188</v>
      </c>
      <c r="B2199" t="s">
        <v>138</v>
      </c>
      <c r="D2199" t="s">
        <v>11225</v>
      </c>
      <c r="F2199" t="s">
        <v>11260</v>
      </c>
      <c r="G2199">
        <v>1</v>
      </c>
      <c r="H2199" t="s">
        <v>11261</v>
      </c>
      <c r="I2199" t="s">
        <v>6754</v>
      </c>
      <c r="J2199" s="122">
        <v>45748</v>
      </c>
      <c r="K2199" s="110" t="str">
        <f t="shared" si="31"/>
        <v>https://Estud2024.sawtoothsoftware.com/cgi-bin/ciwweb.pl?studyname=Estud2024&amp;ID=2188</v>
      </c>
      <c r="L2199" s="113">
        <v>45720</v>
      </c>
      <c r="M2199" s="45" t="s">
        <v>247</v>
      </c>
    </row>
    <row r="2200" spans="1:13">
      <c r="A2200">
        <v>2189</v>
      </c>
      <c r="B2200" t="s">
        <v>138</v>
      </c>
      <c r="D2200" t="s">
        <v>11225</v>
      </c>
      <c r="F2200" t="s">
        <v>11262</v>
      </c>
      <c r="G2200">
        <v>1</v>
      </c>
      <c r="H2200" t="s">
        <v>11263</v>
      </c>
      <c r="I2200" t="s">
        <v>6754</v>
      </c>
      <c r="J2200" s="122">
        <v>45748</v>
      </c>
      <c r="K2200" s="110" t="str">
        <f t="shared" si="31"/>
        <v>https://Estud2024.sawtoothsoftware.com/cgi-bin/ciwweb.pl?studyname=Estud2024&amp;ID=2189</v>
      </c>
      <c r="L2200" s="113">
        <v>45720</v>
      </c>
      <c r="M2200" s="45" t="s">
        <v>10066</v>
      </c>
    </row>
    <row r="2201" spans="1:13">
      <c r="A2201">
        <v>2190</v>
      </c>
      <c r="B2201" t="s">
        <v>138</v>
      </c>
      <c r="D2201" t="s">
        <v>11225</v>
      </c>
      <c r="F2201" t="s">
        <v>11264</v>
      </c>
      <c r="G2201">
        <v>1</v>
      </c>
      <c r="H2201" t="s">
        <v>11265</v>
      </c>
      <c r="I2201" t="s">
        <v>6754</v>
      </c>
      <c r="J2201" s="122">
        <v>45748</v>
      </c>
      <c r="K2201" s="110" t="str">
        <f t="shared" si="31"/>
        <v>https://Estud2024.sawtoothsoftware.com/cgi-bin/ciwweb.pl?studyname=Estud2024&amp;ID=2190</v>
      </c>
      <c r="L2201" s="113">
        <v>45720</v>
      </c>
      <c r="M2201" s="45" t="s">
        <v>10066</v>
      </c>
    </row>
    <row r="2202" spans="1:13">
      <c r="A2202">
        <v>2191</v>
      </c>
      <c r="B2202" t="s">
        <v>138</v>
      </c>
      <c r="D2202" t="s">
        <v>11225</v>
      </c>
      <c r="F2202" t="s">
        <v>11266</v>
      </c>
      <c r="G2202">
        <v>1</v>
      </c>
      <c r="H2202" t="s">
        <v>11267</v>
      </c>
      <c r="I2202" t="s">
        <v>6754</v>
      </c>
      <c r="J2202" s="122">
        <v>45748</v>
      </c>
      <c r="K2202" s="110" t="str">
        <f t="shared" si="31"/>
        <v>https://Estud2024.sawtoothsoftware.com/cgi-bin/ciwweb.pl?studyname=Estud2024&amp;ID=2191</v>
      </c>
      <c r="L2202" s="113">
        <v>45720</v>
      </c>
      <c r="M2202" s="45" t="s">
        <v>10066</v>
      </c>
    </row>
    <row r="2203" spans="1:13">
      <c r="A2203">
        <v>2192</v>
      </c>
      <c r="B2203" t="s">
        <v>138</v>
      </c>
      <c r="D2203" t="s">
        <v>11225</v>
      </c>
      <c r="F2203" t="s">
        <v>11268</v>
      </c>
      <c r="G2203">
        <v>1</v>
      </c>
      <c r="H2203" t="s">
        <v>11269</v>
      </c>
      <c r="I2203" t="s">
        <v>6754</v>
      </c>
      <c r="J2203" s="122">
        <v>45748</v>
      </c>
      <c r="K2203" s="110" t="str">
        <f t="shared" si="31"/>
        <v>https://Estud2024.sawtoothsoftware.com/cgi-bin/ciwweb.pl?studyname=Estud2024&amp;ID=2192</v>
      </c>
      <c r="L2203" s="113">
        <v>45720</v>
      </c>
      <c r="M2203" s="45" t="s">
        <v>10066</v>
      </c>
    </row>
    <row r="2204" spans="1:13">
      <c r="A2204">
        <v>2193</v>
      </c>
      <c r="B2204" t="s">
        <v>138</v>
      </c>
      <c r="D2204" t="s">
        <v>11225</v>
      </c>
      <c r="F2204" t="s">
        <v>11270</v>
      </c>
      <c r="G2204">
        <v>1</v>
      </c>
      <c r="H2204" t="s">
        <v>11271</v>
      </c>
      <c r="I2204" t="s">
        <v>6754</v>
      </c>
      <c r="J2204" s="122">
        <v>45748</v>
      </c>
      <c r="K2204" s="110" t="str">
        <f t="shared" si="31"/>
        <v>https://Estud2024.sawtoothsoftware.com/cgi-bin/ciwweb.pl?studyname=Estud2024&amp;ID=2193</v>
      </c>
      <c r="L2204" s="113">
        <v>45720</v>
      </c>
      <c r="M2204" s="45" t="s">
        <v>247</v>
      </c>
    </row>
    <row r="2205" spans="1:13">
      <c r="A2205">
        <v>2194</v>
      </c>
      <c r="B2205" t="s">
        <v>138</v>
      </c>
      <c r="D2205" t="s">
        <v>11225</v>
      </c>
      <c r="F2205" t="s">
        <v>11272</v>
      </c>
      <c r="G2205">
        <v>1</v>
      </c>
      <c r="H2205" t="s">
        <v>11273</v>
      </c>
      <c r="I2205" t="s">
        <v>6754</v>
      </c>
      <c r="J2205" s="122">
        <v>45748</v>
      </c>
      <c r="K2205" s="110" t="str">
        <f t="shared" si="31"/>
        <v>https://Estud2024.sawtoothsoftware.com/cgi-bin/ciwweb.pl?studyname=Estud2024&amp;ID=2194</v>
      </c>
      <c r="L2205" s="113">
        <v>45720</v>
      </c>
      <c r="M2205" s="45" t="s">
        <v>10066</v>
      </c>
    </row>
    <row r="2206" spans="1:13">
      <c r="A2206">
        <v>2195</v>
      </c>
      <c r="B2206" t="s">
        <v>138</v>
      </c>
      <c r="D2206" t="s">
        <v>11225</v>
      </c>
      <c r="F2206" t="s">
        <v>11274</v>
      </c>
      <c r="G2206">
        <v>1</v>
      </c>
      <c r="H2206" t="s">
        <v>11275</v>
      </c>
      <c r="I2206" t="s">
        <v>6754</v>
      </c>
      <c r="J2206" s="122">
        <v>45748</v>
      </c>
      <c r="K2206" s="110" t="str">
        <f t="shared" si="31"/>
        <v>https://Estud2024.sawtoothsoftware.com/cgi-bin/ciwweb.pl?studyname=Estud2024&amp;ID=2195</v>
      </c>
      <c r="L2206" s="113">
        <v>45720</v>
      </c>
      <c r="M2206" s="45" t="s">
        <v>10066</v>
      </c>
    </row>
    <row r="2207" spans="1:13">
      <c r="A2207">
        <v>2196</v>
      </c>
      <c r="B2207" t="s">
        <v>138</v>
      </c>
      <c r="D2207" t="s">
        <v>11225</v>
      </c>
      <c r="F2207" t="s">
        <v>11276</v>
      </c>
      <c r="G2207">
        <v>1</v>
      </c>
      <c r="H2207" t="s">
        <v>11277</v>
      </c>
      <c r="I2207" t="s">
        <v>6754</v>
      </c>
      <c r="J2207" s="122">
        <v>45748</v>
      </c>
      <c r="K2207" s="110" t="str">
        <f t="shared" si="31"/>
        <v>https://Estud2024.sawtoothsoftware.com/cgi-bin/ciwweb.pl?studyname=Estud2024&amp;ID=2196</v>
      </c>
      <c r="L2207" s="113">
        <v>45720</v>
      </c>
      <c r="M2207" s="45" t="s">
        <v>247</v>
      </c>
    </row>
    <row r="2208" spans="1:13">
      <c r="A2208">
        <v>2197</v>
      </c>
      <c r="B2208" t="s">
        <v>138</v>
      </c>
      <c r="D2208" t="s">
        <v>11225</v>
      </c>
      <c r="F2208" t="s">
        <v>11278</v>
      </c>
      <c r="G2208">
        <v>1</v>
      </c>
      <c r="H2208" t="s">
        <v>11279</v>
      </c>
      <c r="I2208" t="s">
        <v>6754</v>
      </c>
      <c r="J2208" s="122">
        <v>45748</v>
      </c>
      <c r="K2208" s="110" t="str">
        <f t="shared" si="31"/>
        <v>https://Estud2024.sawtoothsoftware.com/cgi-bin/ciwweb.pl?studyname=Estud2024&amp;ID=2197</v>
      </c>
      <c r="L2208" s="113">
        <v>45720</v>
      </c>
      <c r="M2208" s="45" t="s">
        <v>10066</v>
      </c>
    </row>
    <row r="2209" spans="1:13">
      <c r="A2209">
        <v>2198</v>
      </c>
      <c r="B2209" t="s">
        <v>138</v>
      </c>
      <c r="D2209" t="s">
        <v>11280</v>
      </c>
      <c r="F2209" t="s">
        <v>11281</v>
      </c>
      <c r="G2209">
        <v>1</v>
      </c>
      <c r="H2209" t="s">
        <v>11282</v>
      </c>
      <c r="I2209" t="s">
        <v>6754</v>
      </c>
      <c r="J2209" s="122">
        <v>45748</v>
      </c>
      <c r="K2209" s="110" t="str">
        <f t="shared" si="31"/>
        <v>https://Estud2024.sawtoothsoftware.com/cgi-bin/ciwweb.pl?studyname=Estud2024&amp;ID=2198</v>
      </c>
      <c r="L2209" s="113">
        <v>45720</v>
      </c>
      <c r="M2209" s="45" t="s">
        <v>247</v>
      </c>
    </row>
    <row r="2210" spans="1:13">
      <c r="A2210">
        <v>2199</v>
      </c>
      <c r="B2210" t="s">
        <v>138</v>
      </c>
      <c r="D2210" t="s">
        <v>11280</v>
      </c>
      <c r="F2210" t="s">
        <v>11283</v>
      </c>
      <c r="G2210">
        <v>1</v>
      </c>
      <c r="H2210" t="s">
        <v>11284</v>
      </c>
      <c r="I2210" t="s">
        <v>6754</v>
      </c>
      <c r="J2210" s="122">
        <v>45748</v>
      </c>
      <c r="K2210" s="110" t="str">
        <f t="shared" si="31"/>
        <v>https://Estud2024.sawtoothsoftware.com/cgi-bin/ciwweb.pl?studyname=Estud2024&amp;ID=2199</v>
      </c>
      <c r="L2210" s="113">
        <v>45720</v>
      </c>
      <c r="M2210" s="45" t="s">
        <v>10066</v>
      </c>
    </row>
    <row r="2211" spans="1:13">
      <c r="A2211">
        <v>2200</v>
      </c>
      <c r="B2211" t="s">
        <v>138</v>
      </c>
      <c r="D2211" t="s">
        <v>11280</v>
      </c>
      <c r="F2211" t="s">
        <v>11285</v>
      </c>
      <c r="G2211">
        <v>1</v>
      </c>
      <c r="H2211" t="s">
        <v>11286</v>
      </c>
      <c r="I2211" t="s">
        <v>6754</v>
      </c>
      <c r="J2211" s="122">
        <v>45748</v>
      </c>
      <c r="K2211" s="110" t="str">
        <f t="shared" si="31"/>
        <v>https://Estud2024.sawtoothsoftware.com/cgi-bin/ciwweb.pl?studyname=Estud2024&amp;ID=2200</v>
      </c>
      <c r="L2211" s="113">
        <v>45720</v>
      </c>
      <c r="M2211" s="45" t="s">
        <v>10066</v>
      </c>
    </row>
    <row r="2212" spans="1:13">
      <c r="A2212">
        <v>2201</v>
      </c>
      <c r="B2212" t="s">
        <v>138</v>
      </c>
      <c r="D2212" t="s">
        <v>11280</v>
      </c>
      <c r="F2212" t="s">
        <v>11287</v>
      </c>
      <c r="G2212">
        <v>1</v>
      </c>
      <c r="H2212" t="s">
        <v>11288</v>
      </c>
      <c r="I2212" t="s">
        <v>6754</v>
      </c>
      <c r="J2212" s="122">
        <v>45748</v>
      </c>
      <c r="K2212" s="110" t="str">
        <f t="shared" si="31"/>
        <v>https://Estud2024.sawtoothsoftware.com/cgi-bin/ciwweb.pl?studyname=Estud2024&amp;ID=2201</v>
      </c>
      <c r="L2212" s="113">
        <v>45720</v>
      </c>
      <c r="M2212" s="45" t="s">
        <v>10066</v>
      </c>
    </row>
    <row r="2213" spans="1:13">
      <c r="A2213">
        <v>2202</v>
      </c>
      <c r="B2213" t="s">
        <v>138</v>
      </c>
      <c r="D2213" t="s">
        <v>11280</v>
      </c>
      <c r="F2213" t="s">
        <v>11289</v>
      </c>
      <c r="G2213">
        <v>1</v>
      </c>
      <c r="H2213" t="s">
        <v>11290</v>
      </c>
      <c r="I2213" t="s">
        <v>6754</v>
      </c>
      <c r="J2213" s="122">
        <v>45748</v>
      </c>
      <c r="K2213" s="110" t="str">
        <f t="shared" si="31"/>
        <v>https://Estud2024.sawtoothsoftware.com/cgi-bin/ciwweb.pl?studyname=Estud2024&amp;ID=2202</v>
      </c>
      <c r="L2213" s="113">
        <v>45720</v>
      </c>
      <c r="M2213" s="45" t="s">
        <v>246</v>
      </c>
    </row>
    <row r="2214" spans="1:13">
      <c r="A2214">
        <v>2203</v>
      </c>
      <c r="B2214" t="s">
        <v>138</v>
      </c>
      <c r="D2214" t="s">
        <v>11280</v>
      </c>
      <c r="F2214" t="s">
        <v>11291</v>
      </c>
      <c r="G2214">
        <v>1</v>
      </c>
      <c r="H2214" t="s">
        <v>11292</v>
      </c>
      <c r="I2214" t="s">
        <v>6754</v>
      </c>
      <c r="J2214" s="122">
        <v>45748</v>
      </c>
      <c r="K2214" s="110" t="str">
        <f t="shared" si="31"/>
        <v>https://Estud2024.sawtoothsoftware.com/cgi-bin/ciwweb.pl?studyname=Estud2024&amp;ID=2203</v>
      </c>
      <c r="L2214" s="113">
        <v>45720</v>
      </c>
      <c r="M2214" s="45" t="s">
        <v>10066</v>
      </c>
    </row>
    <row r="2215" spans="1:13">
      <c r="A2215">
        <v>2204</v>
      </c>
      <c r="B2215" t="s">
        <v>138</v>
      </c>
      <c r="D2215" t="s">
        <v>11280</v>
      </c>
      <c r="F2215" t="s">
        <v>11293</v>
      </c>
      <c r="G2215">
        <v>1</v>
      </c>
      <c r="H2215" t="s">
        <v>11294</v>
      </c>
      <c r="I2215" t="s">
        <v>6754</v>
      </c>
      <c r="J2215" s="122">
        <v>45748</v>
      </c>
      <c r="K2215" s="110" t="str">
        <f t="shared" si="31"/>
        <v>https://Estud2024.sawtoothsoftware.com/cgi-bin/ciwweb.pl?studyname=Estud2024&amp;ID=2204</v>
      </c>
      <c r="L2215" s="113">
        <v>45720</v>
      </c>
      <c r="M2215" s="45" t="s">
        <v>10066</v>
      </c>
    </row>
    <row r="2216" spans="1:13">
      <c r="A2216">
        <v>2205</v>
      </c>
      <c r="B2216" t="s">
        <v>138</v>
      </c>
      <c r="D2216" t="s">
        <v>11280</v>
      </c>
      <c r="F2216" t="s">
        <v>11295</v>
      </c>
      <c r="G2216">
        <v>1</v>
      </c>
      <c r="H2216" t="s">
        <v>11296</v>
      </c>
      <c r="I2216" t="s">
        <v>6754</v>
      </c>
      <c r="J2216" s="122">
        <v>45748</v>
      </c>
      <c r="K2216" s="110" t="str">
        <f t="shared" si="31"/>
        <v>https://Estud2024.sawtoothsoftware.com/cgi-bin/ciwweb.pl?studyname=Estud2024&amp;ID=2205</v>
      </c>
      <c r="L2216" s="113">
        <v>45720</v>
      </c>
      <c r="M2216" s="45" t="s">
        <v>10066</v>
      </c>
    </row>
    <row r="2217" spans="1:13">
      <c r="A2217">
        <v>2206</v>
      </c>
      <c r="B2217" t="s">
        <v>138</v>
      </c>
      <c r="D2217" t="s">
        <v>11280</v>
      </c>
      <c r="F2217" t="s">
        <v>11297</v>
      </c>
      <c r="G2217">
        <v>2</v>
      </c>
      <c r="H2217" t="s">
        <v>11298</v>
      </c>
      <c r="I2217" t="s">
        <v>6754</v>
      </c>
      <c r="J2217" s="122">
        <v>45748</v>
      </c>
      <c r="K2217" s="110" t="str">
        <f t="shared" si="31"/>
        <v>https://Estud2024.sawtoothsoftware.com/cgi-bin/ciwweb.pl?studyname=Estud2024&amp;ID=2206</v>
      </c>
      <c r="L2217" s="113">
        <v>45720</v>
      </c>
      <c r="M2217" s="45" t="s">
        <v>10066</v>
      </c>
    </row>
    <row r="2218" spans="1:13">
      <c r="A2218">
        <v>2207</v>
      </c>
      <c r="B2218" t="s">
        <v>138</v>
      </c>
      <c r="D2218" t="s">
        <v>11280</v>
      </c>
      <c r="F2218" t="s">
        <v>11299</v>
      </c>
      <c r="G2218">
        <v>2</v>
      </c>
      <c r="H2218" t="s">
        <v>11300</v>
      </c>
      <c r="I2218" t="s">
        <v>6754</v>
      </c>
      <c r="J2218" s="122">
        <v>45748</v>
      </c>
      <c r="K2218" s="110" t="str">
        <f t="shared" si="31"/>
        <v>https://Estud2024.sawtoothsoftware.com/cgi-bin/ciwweb.pl?studyname=Estud2024&amp;ID=2207</v>
      </c>
      <c r="L2218" s="113">
        <v>45720</v>
      </c>
      <c r="M2218" s="45" t="s">
        <v>246</v>
      </c>
    </row>
    <row r="2219" spans="1:13">
      <c r="A2219">
        <v>2208</v>
      </c>
      <c r="B2219" t="s">
        <v>138</v>
      </c>
      <c r="D2219" t="s">
        <v>11280</v>
      </c>
      <c r="F2219" t="s">
        <v>11301</v>
      </c>
      <c r="G2219">
        <v>2</v>
      </c>
      <c r="H2219" t="s">
        <v>11302</v>
      </c>
      <c r="I2219" t="s">
        <v>6754</v>
      </c>
      <c r="J2219" s="122">
        <v>45748</v>
      </c>
      <c r="K2219" s="110" t="str">
        <f t="shared" si="31"/>
        <v>https://Estud2024.sawtoothsoftware.com/cgi-bin/ciwweb.pl?studyname=Estud2024&amp;ID=2208</v>
      </c>
      <c r="L2219" s="113">
        <v>45720</v>
      </c>
      <c r="M2219" s="45" t="s">
        <v>10066</v>
      </c>
    </row>
    <row r="2220" spans="1:13">
      <c r="A2220">
        <v>2209</v>
      </c>
      <c r="B2220" t="s">
        <v>138</v>
      </c>
      <c r="D2220" t="s">
        <v>11280</v>
      </c>
      <c r="F2220" t="s">
        <v>11303</v>
      </c>
      <c r="G2220">
        <v>2</v>
      </c>
      <c r="H2220" t="s">
        <v>11304</v>
      </c>
      <c r="I2220" t="s">
        <v>6754</v>
      </c>
      <c r="J2220" s="122">
        <v>45748</v>
      </c>
      <c r="K2220" s="110" t="str">
        <f t="shared" si="31"/>
        <v>https://Estud2024.sawtoothsoftware.com/cgi-bin/ciwweb.pl?studyname=Estud2024&amp;ID=2209</v>
      </c>
      <c r="L2220" s="113">
        <v>45720</v>
      </c>
      <c r="M2220" s="45" t="s">
        <v>10066</v>
      </c>
    </row>
    <row r="2221" spans="1:13">
      <c r="A2221">
        <v>2210</v>
      </c>
      <c r="B2221" t="s">
        <v>138</v>
      </c>
      <c r="D2221" t="s">
        <v>11280</v>
      </c>
      <c r="F2221" t="s">
        <v>11305</v>
      </c>
      <c r="G2221">
        <v>2</v>
      </c>
      <c r="H2221" t="s">
        <v>11306</v>
      </c>
      <c r="I2221" t="s">
        <v>6754</v>
      </c>
      <c r="J2221" s="122">
        <v>45748</v>
      </c>
      <c r="K2221" s="110" t="str">
        <f t="shared" si="31"/>
        <v>https://Estud2024.sawtoothsoftware.com/cgi-bin/ciwweb.pl?studyname=Estud2024&amp;ID=2210</v>
      </c>
      <c r="L2221" s="113">
        <v>45720</v>
      </c>
      <c r="M2221" s="45" t="s">
        <v>10066</v>
      </c>
    </row>
    <row r="2222" spans="1:13">
      <c r="A2222">
        <v>2211</v>
      </c>
      <c r="B2222" t="s">
        <v>138</v>
      </c>
      <c r="D2222" t="s">
        <v>11280</v>
      </c>
      <c r="F2222" t="s">
        <v>11307</v>
      </c>
      <c r="G2222">
        <v>2</v>
      </c>
      <c r="H2222" t="s">
        <v>11308</v>
      </c>
      <c r="I2222" t="s">
        <v>6754</v>
      </c>
      <c r="J2222" s="122">
        <v>45748</v>
      </c>
      <c r="K2222" s="110" t="str">
        <f t="shared" si="31"/>
        <v>https://Estud2024.sawtoothsoftware.com/cgi-bin/ciwweb.pl?studyname=Estud2024&amp;ID=2211</v>
      </c>
      <c r="L2222" s="113">
        <v>45720</v>
      </c>
      <c r="M2222" s="45" t="s">
        <v>10066</v>
      </c>
    </row>
    <row r="2223" spans="1:13">
      <c r="A2223">
        <v>2212</v>
      </c>
      <c r="B2223" t="s">
        <v>138</v>
      </c>
      <c r="D2223" t="s">
        <v>11280</v>
      </c>
      <c r="F2223" t="s">
        <v>11309</v>
      </c>
      <c r="G2223">
        <v>2</v>
      </c>
      <c r="H2223" t="s">
        <v>11310</v>
      </c>
      <c r="I2223" t="s">
        <v>6754</v>
      </c>
      <c r="J2223" s="122">
        <v>45748</v>
      </c>
      <c r="K2223" s="110" t="str">
        <f t="shared" si="31"/>
        <v>https://Estud2024.sawtoothsoftware.com/cgi-bin/ciwweb.pl?studyname=Estud2024&amp;ID=2212</v>
      </c>
      <c r="L2223" s="113">
        <v>45720</v>
      </c>
      <c r="M2223" s="45" t="s">
        <v>247</v>
      </c>
    </row>
    <row r="2224" spans="1:13">
      <c r="A2224">
        <v>2213</v>
      </c>
      <c r="B2224" t="s">
        <v>138</v>
      </c>
      <c r="D2224" t="s">
        <v>11280</v>
      </c>
      <c r="F2224" t="s">
        <v>11311</v>
      </c>
      <c r="G2224">
        <v>2</v>
      </c>
      <c r="H2224" t="s">
        <v>11312</v>
      </c>
      <c r="I2224" t="s">
        <v>6754</v>
      </c>
      <c r="J2224" s="122">
        <v>45748</v>
      </c>
      <c r="K2224" s="110" t="str">
        <f t="shared" si="31"/>
        <v>https://Estud2024.sawtoothsoftware.com/cgi-bin/ciwweb.pl?studyname=Estud2024&amp;ID=2213</v>
      </c>
      <c r="L2224" s="113">
        <v>45720</v>
      </c>
      <c r="M2224" s="45" t="s">
        <v>10066</v>
      </c>
    </row>
    <row r="2225" spans="1:13">
      <c r="A2225">
        <v>2214</v>
      </c>
      <c r="B2225" t="s">
        <v>138</v>
      </c>
      <c r="D2225" t="s">
        <v>11280</v>
      </c>
      <c r="F2225" t="s">
        <v>11313</v>
      </c>
      <c r="G2225">
        <v>2</v>
      </c>
      <c r="H2225" t="s">
        <v>11314</v>
      </c>
      <c r="I2225" t="s">
        <v>6754</v>
      </c>
      <c r="J2225" s="122">
        <v>45748</v>
      </c>
      <c r="K2225" s="110" t="str">
        <f t="shared" si="31"/>
        <v>https://Estud2024.sawtoothsoftware.com/cgi-bin/ciwweb.pl?studyname=Estud2024&amp;ID=2214</v>
      </c>
      <c r="L2225" s="113">
        <v>45720</v>
      </c>
      <c r="M2225" s="45" t="s">
        <v>10066</v>
      </c>
    </row>
    <row r="2226" spans="1:13">
      <c r="A2226">
        <v>2215</v>
      </c>
      <c r="B2226" t="s">
        <v>138</v>
      </c>
      <c r="D2226" t="s">
        <v>11280</v>
      </c>
      <c r="F2226" t="s">
        <v>11315</v>
      </c>
      <c r="G2226">
        <v>2</v>
      </c>
      <c r="H2226" t="s">
        <v>11316</v>
      </c>
      <c r="I2226" t="s">
        <v>6754</v>
      </c>
      <c r="J2226" s="122">
        <v>45748</v>
      </c>
      <c r="K2226" s="110" t="str">
        <f t="shared" si="31"/>
        <v>https://Estud2024.sawtoothsoftware.com/cgi-bin/ciwweb.pl?studyname=Estud2024&amp;ID=2215</v>
      </c>
      <c r="L2226" s="113">
        <v>45720</v>
      </c>
      <c r="M2226" s="45" t="s">
        <v>247</v>
      </c>
    </row>
    <row r="2227" spans="1:13">
      <c r="A2227">
        <v>2216</v>
      </c>
      <c r="B2227" t="s">
        <v>138</v>
      </c>
      <c r="D2227" t="s">
        <v>11280</v>
      </c>
      <c r="F2227" t="s">
        <v>11317</v>
      </c>
      <c r="G2227">
        <v>2</v>
      </c>
      <c r="H2227" t="s">
        <v>11318</v>
      </c>
      <c r="I2227" t="s">
        <v>6754</v>
      </c>
      <c r="J2227" s="122">
        <v>45748</v>
      </c>
      <c r="K2227" s="110" t="str">
        <f t="shared" si="31"/>
        <v>https://Estud2024.sawtoothsoftware.com/cgi-bin/ciwweb.pl?studyname=Estud2024&amp;ID=2216</v>
      </c>
      <c r="L2227" s="113">
        <v>45720</v>
      </c>
      <c r="M2227" s="45" t="s">
        <v>246</v>
      </c>
    </row>
    <row r="2228" spans="1:13">
      <c r="A2228">
        <v>2217</v>
      </c>
      <c r="B2228" t="s">
        <v>138</v>
      </c>
      <c r="D2228" t="s">
        <v>11280</v>
      </c>
      <c r="F2228" t="s">
        <v>11319</v>
      </c>
      <c r="G2228">
        <v>2</v>
      </c>
      <c r="H2228" t="s">
        <v>11320</v>
      </c>
      <c r="I2228" t="s">
        <v>6754</v>
      </c>
      <c r="J2228" s="122">
        <v>45748</v>
      </c>
      <c r="K2228" s="110" t="str">
        <f t="shared" si="31"/>
        <v>https://Estud2024.sawtoothsoftware.com/cgi-bin/ciwweb.pl?studyname=Estud2024&amp;ID=2217</v>
      </c>
      <c r="L2228" s="113">
        <v>45720</v>
      </c>
      <c r="M2228" s="45" t="s">
        <v>10066</v>
      </c>
    </row>
    <row r="2229" spans="1:13">
      <c r="A2229">
        <v>2218</v>
      </c>
      <c r="B2229" t="s">
        <v>138</v>
      </c>
      <c r="D2229" t="s">
        <v>11280</v>
      </c>
      <c r="F2229" t="s">
        <v>11321</v>
      </c>
      <c r="G2229">
        <v>2</v>
      </c>
      <c r="H2229" t="s">
        <v>11322</v>
      </c>
      <c r="I2229" t="s">
        <v>6754</v>
      </c>
      <c r="J2229" s="122">
        <v>45748</v>
      </c>
      <c r="K2229" s="110" t="str">
        <f t="shared" si="31"/>
        <v>https://Estud2024.sawtoothsoftware.com/cgi-bin/ciwweb.pl?studyname=Estud2024&amp;ID=2218</v>
      </c>
      <c r="L2229" s="113">
        <v>45720</v>
      </c>
      <c r="M2229" s="45" t="s">
        <v>10066</v>
      </c>
    </row>
    <row r="2230" spans="1:13">
      <c r="A2230">
        <v>2219</v>
      </c>
      <c r="B2230" t="s">
        <v>138</v>
      </c>
      <c r="D2230" t="s">
        <v>11280</v>
      </c>
      <c r="F2230" t="s">
        <v>11323</v>
      </c>
      <c r="G2230">
        <v>2</v>
      </c>
      <c r="H2230" t="s">
        <v>11324</v>
      </c>
      <c r="I2230" t="s">
        <v>6754</v>
      </c>
      <c r="J2230" s="122">
        <v>45748</v>
      </c>
      <c r="K2230" s="110" t="str">
        <f t="shared" si="31"/>
        <v>https://Estud2024.sawtoothsoftware.com/cgi-bin/ciwweb.pl?studyname=Estud2024&amp;ID=2219</v>
      </c>
      <c r="L2230" s="113">
        <v>45720</v>
      </c>
      <c r="M2230" s="45" t="s">
        <v>246</v>
      </c>
    </row>
    <row r="2231" spans="1:13">
      <c r="A2231">
        <v>2220</v>
      </c>
      <c r="B2231" t="s">
        <v>138</v>
      </c>
      <c r="D2231" t="s">
        <v>11325</v>
      </c>
      <c r="F2231" t="s">
        <v>11326</v>
      </c>
      <c r="G2231">
        <v>2</v>
      </c>
      <c r="H2231" t="s">
        <v>11327</v>
      </c>
      <c r="I2231" t="s">
        <v>6754</v>
      </c>
      <c r="J2231" s="122">
        <v>45748</v>
      </c>
      <c r="K2231" s="110" t="str">
        <f t="shared" si="31"/>
        <v>https://Estud2024.sawtoothsoftware.com/cgi-bin/ciwweb.pl?studyname=Estud2024&amp;ID=2220</v>
      </c>
      <c r="L2231" s="113">
        <v>45720</v>
      </c>
      <c r="M2231" s="45" t="s">
        <v>246</v>
      </c>
    </row>
    <row r="2232" spans="1:13">
      <c r="A2232">
        <v>2221</v>
      </c>
      <c r="B2232" t="s">
        <v>138</v>
      </c>
      <c r="D2232" t="s">
        <v>11325</v>
      </c>
      <c r="F2232" t="s">
        <v>11328</v>
      </c>
      <c r="G2232">
        <v>2</v>
      </c>
      <c r="H2232" t="s">
        <v>11329</v>
      </c>
      <c r="I2232" t="s">
        <v>6754</v>
      </c>
      <c r="J2232" s="122">
        <v>45748</v>
      </c>
      <c r="K2232" s="110" t="str">
        <f t="shared" si="31"/>
        <v>https://Estud2024.sawtoothsoftware.com/cgi-bin/ciwweb.pl?studyname=Estud2024&amp;ID=2221</v>
      </c>
      <c r="L2232" s="113">
        <v>45720</v>
      </c>
      <c r="M2232" s="45" t="s">
        <v>247</v>
      </c>
    </row>
    <row r="2233" spans="1:13">
      <c r="A2233">
        <v>2222</v>
      </c>
      <c r="B2233" t="s">
        <v>138</v>
      </c>
      <c r="D2233" t="s">
        <v>11325</v>
      </c>
      <c r="F2233" t="s">
        <v>11330</v>
      </c>
      <c r="G2233">
        <v>2</v>
      </c>
      <c r="H2233" t="s">
        <v>11331</v>
      </c>
      <c r="I2233" t="s">
        <v>6754</v>
      </c>
      <c r="J2233" s="122">
        <v>45748</v>
      </c>
      <c r="K2233" s="110" t="str">
        <f t="shared" si="31"/>
        <v>https://Estud2024.sawtoothsoftware.com/cgi-bin/ciwweb.pl?studyname=Estud2024&amp;ID=2222</v>
      </c>
      <c r="L2233" s="113">
        <v>45720</v>
      </c>
      <c r="M2233" s="45" t="s">
        <v>246</v>
      </c>
    </row>
    <row r="2234" spans="1:13">
      <c r="A2234">
        <v>2223</v>
      </c>
      <c r="B2234" t="s">
        <v>138</v>
      </c>
      <c r="D2234" t="s">
        <v>11325</v>
      </c>
      <c r="F2234" t="s">
        <v>11332</v>
      </c>
      <c r="G2234">
        <v>2</v>
      </c>
      <c r="H2234" t="s">
        <v>11333</v>
      </c>
      <c r="I2234" t="s">
        <v>6754</v>
      </c>
      <c r="J2234" s="122">
        <v>45748</v>
      </c>
      <c r="K2234" s="110" t="str">
        <f t="shared" si="31"/>
        <v>https://Estud2024.sawtoothsoftware.com/cgi-bin/ciwweb.pl?studyname=Estud2024&amp;ID=2223</v>
      </c>
      <c r="L2234" s="113">
        <v>45720</v>
      </c>
      <c r="M2234" s="45" t="s">
        <v>247</v>
      </c>
    </row>
    <row r="2235" spans="1:13">
      <c r="A2235">
        <v>2224</v>
      </c>
      <c r="B2235" t="s">
        <v>138</v>
      </c>
      <c r="D2235" t="s">
        <v>11325</v>
      </c>
      <c r="F2235" t="s">
        <v>11334</v>
      </c>
      <c r="G2235">
        <v>2</v>
      </c>
      <c r="H2235" t="s">
        <v>11335</v>
      </c>
      <c r="I2235" t="s">
        <v>6754</v>
      </c>
      <c r="J2235" s="122">
        <v>45748</v>
      </c>
      <c r="K2235" s="110" t="str">
        <f t="shared" si="31"/>
        <v>https://Estud2024.sawtoothsoftware.com/cgi-bin/ciwweb.pl?studyname=Estud2024&amp;ID=2224</v>
      </c>
      <c r="L2235" s="113">
        <v>45720</v>
      </c>
      <c r="M2235" s="45" t="s">
        <v>246</v>
      </c>
    </row>
    <row r="2236" spans="1:13">
      <c r="A2236">
        <v>2225</v>
      </c>
      <c r="B2236" t="s">
        <v>138</v>
      </c>
      <c r="D2236" t="s">
        <v>11325</v>
      </c>
      <c r="F2236" t="s">
        <v>11336</v>
      </c>
      <c r="G2236">
        <v>2</v>
      </c>
      <c r="H2236" t="s">
        <v>11337</v>
      </c>
      <c r="I2236" t="s">
        <v>6754</v>
      </c>
      <c r="J2236" s="122">
        <v>45748</v>
      </c>
      <c r="K2236" s="110" t="str">
        <f t="shared" si="31"/>
        <v>https://Estud2024.sawtoothsoftware.com/cgi-bin/ciwweb.pl?studyname=Estud2024&amp;ID=2225</v>
      </c>
      <c r="L2236" s="113">
        <v>45720</v>
      </c>
      <c r="M2236" s="45" t="s">
        <v>247</v>
      </c>
    </row>
    <row r="2237" spans="1:13">
      <c r="A2237">
        <v>2226</v>
      </c>
      <c r="B2237" t="s">
        <v>138</v>
      </c>
      <c r="D2237" t="s">
        <v>11325</v>
      </c>
      <c r="F2237" t="s">
        <v>11338</v>
      </c>
      <c r="G2237">
        <v>2</v>
      </c>
      <c r="H2237" t="s">
        <v>11339</v>
      </c>
      <c r="I2237" t="s">
        <v>6754</v>
      </c>
      <c r="J2237" s="122">
        <v>45748</v>
      </c>
      <c r="K2237" s="110" t="str">
        <f t="shared" si="31"/>
        <v>https://Estud2024.sawtoothsoftware.com/cgi-bin/ciwweb.pl?studyname=Estud2024&amp;ID=2226</v>
      </c>
      <c r="L2237" s="113">
        <v>45720</v>
      </c>
      <c r="M2237" s="45" t="s">
        <v>246</v>
      </c>
    </row>
    <row r="2238" spans="1:13">
      <c r="A2238">
        <v>2227</v>
      </c>
      <c r="B2238" t="s">
        <v>138</v>
      </c>
      <c r="D2238" t="s">
        <v>11325</v>
      </c>
      <c r="F2238" t="s">
        <v>11340</v>
      </c>
      <c r="G2238">
        <v>2</v>
      </c>
      <c r="H2238" t="s">
        <v>11341</v>
      </c>
      <c r="I2238" t="s">
        <v>6754</v>
      </c>
      <c r="J2238" s="122">
        <v>45748</v>
      </c>
      <c r="K2238" s="110" t="str">
        <f t="shared" si="31"/>
        <v>https://Estud2024.sawtoothsoftware.com/cgi-bin/ciwweb.pl?studyname=Estud2024&amp;ID=2227</v>
      </c>
      <c r="L2238" s="113">
        <v>45720</v>
      </c>
      <c r="M2238" s="45" t="s">
        <v>247</v>
      </c>
    </row>
    <row r="2239" spans="1:13">
      <c r="A2239">
        <v>2228</v>
      </c>
      <c r="B2239" t="s">
        <v>138</v>
      </c>
      <c r="D2239" t="s">
        <v>11325</v>
      </c>
      <c r="F2239" t="s">
        <v>11342</v>
      </c>
      <c r="G2239">
        <v>2</v>
      </c>
      <c r="H2239" t="s">
        <v>11343</v>
      </c>
      <c r="I2239" t="s">
        <v>6754</v>
      </c>
      <c r="J2239" s="122">
        <v>45748</v>
      </c>
      <c r="K2239" s="110" t="str">
        <f t="shared" si="31"/>
        <v>https://Estud2024.sawtoothsoftware.com/cgi-bin/ciwweb.pl?studyname=Estud2024&amp;ID=2228</v>
      </c>
      <c r="L2239" s="113">
        <v>45720</v>
      </c>
      <c r="M2239" s="45" t="s">
        <v>247</v>
      </c>
    </row>
    <row r="2240" spans="1:13">
      <c r="A2240">
        <v>2229</v>
      </c>
      <c r="B2240" t="s">
        <v>138</v>
      </c>
      <c r="D2240" t="s">
        <v>11325</v>
      </c>
      <c r="F2240" t="s">
        <v>11344</v>
      </c>
      <c r="G2240">
        <v>2</v>
      </c>
      <c r="H2240" t="s">
        <v>11345</v>
      </c>
      <c r="I2240" t="s">
        <v>6754</v>
      </c>
      <c r="J2240" s="122">
        <v>45748</v>
      </c>
      <c r="K2240" s="110" t="str">
        <f t="shared" si="31"/>
        <v>https://Estud2024.sawtoothsoftware.com/cgi-bin/ciwweb.pl?studyname=Estud2024&amp;ID=2229</v>
      </c>
      <c r="L2240" s="113">
        <v>45720</v>
      </c>
      <c r="M2240" s="45" t="s">
        <v>246</v>
      </c>
    </row>
    <row r="2241" spans="1:13">
      <c r="A2241">
        <v>2230</v>
      </c>
      <c r="B2241" t="s">
        <v>138</v>
      </c>
      <c r="D2241" t="s">
        <v>11325</v>
      </c>
      <c r="F2241" t="s">
        <v>11346</v>
      </c>
      <c r="G2241">
        <v>2</v>
      </c>
      <c r="H2241" t="s">
        <v>11347</v>
      </c>
      <c r="I2241" t="s">
        <v>6754</v>
      </c>
      <c r="J2241" s="122">
        <v>45748</v>
      </c>
      <c r="K2241" s="110" t="str">
        <f t="shared" si="31"/>
        <v>https://Estud2024.sawtoothsoftware.com/cgi-bin/ciwweb.pl?studyname=Estud2024&amp;ID=2230</v>
      </c>
      <c r="L2241" s="113">
        <v>45720</v>
      </c>
      <c r="M2241" s="45" t="s">
        <v>246</v>
      </c>
    </row>
    <row r="2242" spans="1:13">
      <c r="A2242">
        <v>2231</v>
      </c>
      <c r="B2242" t="s">
        <v>138</v>
      </c>
      <c r="D2242" t="s">
        <v>11325</v>
      </c>
      <c r="F2242" t="s">
        <v>11348</v>
      </c>
      <c r="G2242">
        <v>2</v>
      </c>
      <c r="H2242" t="s">
        <v>11349</v>
      </c>
      <c r="I2242" t="s">
        <v>6754</v>
      </c>
      <c r="J2242" s="122">
        <v>45748</v>
      </c>
      <c r="K2242" s="110" t="str">
        <f t="shared" si="31"/>
        <v>https://Estud2024.sawtoothsoftware.com/cgi-bin/ciwweb.pl?studyname=Estud2024&amp;ID=2231</v>
      </c>
      <c r="L2242" s="113">
        <v>45720</v>
      </c>
      <c r="M2242" s="45" t="s">
        <v>247</v>
      </c>
    </row>
    <row r="2243" spans="1:13">
      <c r="A2243">
        <v>2232</v>
      </c>
      <c r="B2243" t="s">
        <v>138</v>
      </c>
      <c r="D2243" t="s">
        <v>11325</v>
      </c>
      <c r="F2243" t="s">
        <v>11350</v>
      </c>
      <c r="G2243">
        <v>2</v>
      </c>
      <c r="H2243" t="s">
        <v>11351</v>
      </c>
      <c r="I2243" t="s">
        <v>6754</v>
      </c>
      <c r="J2243" s="122">
        <v>45748</v>
      </c>
      <c r="K2243" s="110" t="str">
        <f t="shared" si="31"/>
        <v>https://Estud2024.sawtoothsoftware.com/cgi-bin/ciwweb.pl?studyname=Estud2024&amp;ID=2232</v>
      </c>
      <c r="L2243" s="113">
        <v>45720</v>
      </c>
      <c r="M2243" s="45" t="s">
        <v>247</v>
      </c>
    </row>
    <row r="2244" spans="1:13">
      <c r="A2244">
        <v>2233</v>
      </c>
      <c r="B2244" t="s">
        <v>84</v>
      </c>
      <c r="D2244" t="s">
        <v>102</v>
      </c>
      <c r="F2244" t="s">
        <v>11352</v>
      </c>
      <c r="G2244">
        <v>2</v>
      </c>
      <c r="H2244" t="s">
        <v>11353</v>
      </c>
      <c r="I2244" t="s">
        <v>6754</v>
      </c>
      <c r="J2244" s="122">
        <v>45749</v>
      </c>
      <c r="K2244" s="110" t="str">
        <f t="shared" si="31"/>
        <v>https://Estud2024.sawtoothsoftware.com/cgi-bin/ciwweb.pl?studyname=Estud2024&amp;ID=2233</v>
      </c>
      <c r="L2244" s="113">
        <v>45720</v>
      </c>
      <c r="M2244" s="45" t="s">
        <v>247</v>
      </c>
    </row>
    <row r="2245" spans="1:13">
      <c r="A2245">
        <v>2234</v>
      </c>
      <c r="B2245" t="s">
        <v>84</v>
      </c>
      <c r="D2245" t="s">
        <v>102</v>
      </c>
      <c r="F2245" t="s">
        <v>11354</v>
      </c>
      <c r="G2245">
        <v>2</v>
      </c>
      <c r="H2245" t="s">
        <v>11355</v>
      </c>
      <c r="I2245" t="s">
        <v>6754</v>
      </c>
      <c r="J2245" s="122">
        <v>45749</v>
      </c>
      <c r="K2245" s="110" t="str">
        <f t="shared" si="31"/>
        <v>https://Estud2024.sawtoothsoftware.com/cgi-bin/ciwweb.pl?studyname=Estud2024&amp;ID=2234</v>
      </c>
      <c r="L2245" s="113">
        <v>45720</v>
      </c>
      <c r="M2245" s="45" t="s">
        <v>246</v>
      </c>
    </row>
    <row r="2246" spans="1:13">
      <c r="A2246">
        <v>2235</v>
      </c>
      <c r="B2246" t="s">
        <v>84</v>
      </c>
      <c r="D2246" t="s">
        <v>102</v>
      </c>
      <c r="F2246" t="s">
        <v>11356</v>
      </c>
      <c r="G2246">
        <v>2</v>
      </c>
      <c r="H2246" t="s">
        <v>11357</v>
      </c>
      <c r="I2246" t="s">
        <v>6754</v>
      </c>
      <c r="J2246" s="122">
        <v>45749</v>
      </c>
      <c r="K2246" s="110" t="str">
        <f t="shared" si="31"/>
        <v>https://Estud2024.sawtoothsoftware.com/cgi-bin/ciwweb.pl?studyname=Estud2024&amp;ID=2235</v>
      </c>
      <c r="L2246" s="113">
        <v>45720</v>
      </c>
      <c r="M2246" s="45" t="s">
        <v>247</v>
      </c>
    </row>
    <row r="2247" spans="1:13">
      <c r="A2247">
        <v>2236</v>
      </c>
      <c r="B2247" t="s">
        <v>84</v>
      </c>
      <c r="D2247" t="s">
        <v>102</v>
      </c>
      <c r="F2247" t="s">
        <v>11358</v>
      </c>
      <c r="G2247">
        <v>2</v>
      </c>
      <c r="H2247" t="s">
        <v>11359</v>
      </c>
      <c r="I2247" t="s">
        <v>6754</v>
      </c>
      <c r="J2247" s="122">
        <v>45749</v>
      </c>
      <c r="K2247" s="110" t="str">
        <f t="shared" si="31"/>
        <v>https://Estud2024.sawtoothsoftware.com/cgi-bin/ciwweb.pl?studyname=Estud2024&amp;ID=2236</v>
      </c>
      <c r="L2247" s="113">
        <v>45720</v>
      </c>
      <c r="M2247" s="45" t="s">
        <v>247</v>
      </c>
    </row>
    <row r="2248" spans="1:13">
      <c r="A2248">
        <v>2237</v>
      </c>
      <c r="B2248" t="s">
        <v>84</v>
      </c>
      <c r="D2248" t="s">
        <v>102</v>
      </c>
      <c r="F2248" t="s">
        <v>11360</v>
      </c>
      <c r="G2248">
        <v>5</v>
      </c>
      <c r="H2248" t="s">
        <v>11361</v>
      </c>
      <c r="I2248" t="s">
        <v>6754</v>
      </c>
      <c r="J2248" s="122">
        <v>45749</v>
      </c>
      <c r="K2248" s="110" t="str">
        <f t="shared" si="31"/>
        <v>https://Estud2024.sawtoothsoftware.com/cgi-bin/ciwweb.pl?studyname=Estud2024&amp;ID=2237</v>
      </c>
      <c r="L2248" s="113">
        <v>45720</v>
      </c>
      <c r="M2248" s="45" t="s">
        <v>247</v>
      </c>
    </row>
    <row r="2249" spans="1:13">
      <c r="A2249">
        <v>2238</v>
      </c>
      <c r="B2249" t="s">
        <v>84</v>
      </c>
      <c r="D2249" t="s">
        <v>102</v>
      </c>
      <c r="F2249" t="s">
        <v>11362</v>
      </c>
      <c r="G2249">
        <v>5</v>
      </c>
      <c r="H2249" t="s">
        <v>11363</v>
      </c>
      <c r="I2249" t="s">
        <v>6754</v>
      </c>
      <c r="J2249" s="122">
        <v>45749</v>
      </c>
      <c r="K2249" s="110" t="str">
        <f t="shared" si="31"/>
        <v>https://Estud2024.sawtoothsoftware.com/cgi-bin/ciwweb.pl?studyname=Estud2024&amp;ID=2238</v>
      </c>
      <c r="L2249" s="113">
        <v>45720</v>
      </c>
      <c r="M2249" s="45" t="s">
        <v>247</v>
      </c>
    </row>
    <row r="2250" spans="1:13">
      <c r="A2250">
        <v>2239</v>
      </c>
      <c r="B2250" t="s">
        <v>84</v>
      </c>
      <c r="D2250" t="s">
        <v>102</v>
      </c>
      <c r="F2250" t="s">
        <v>11364</v>
      </c>
      <c r="G2250">
        <v>5</v>
      </c>
      <c r="H2250" t="s">
        <v>11365</v>
      </c>
      <c r="I2250" t="s">
        <v>6754</v>
      </c>
      <c r="J2250" s="122">
        <v>45749</v>
      </c>
      <c r="K2250" s="110" t="str">
        <f t="shared" si="31"/>
        <v>https://Estud2024.sawtoothsoftware.com/cgi-bin/ciwweb.pl?studyname=Estud2024&amp;ID=2239</v>
      </c>
      <c r="L2250" s="113">
        <v>45720</v>
      </c>
      <c r="M2250" s="45" t="s">
        <v>246</v>
      </c>
    </row>
    <row r="2251" spans="1:13">
      <c r="A2251">
        <v>2240</v>
      </c>
      <c r="B2251" t="s">
        <v>84</v>
      </c>
      <c r="D2251" t="s">
        <v>102</v>
      </c>
      <c r="F2251" t="s">
        <v>11366</v>
      </c>
      <c r="G2251">
        <v>7</v>
      </c>
      <c r="H2251" t="s">
        <v>11367</v>
      </c>
      <c r="I2251" t="s">
        <v>6754</v>
      </c>
      <c r="J2251" s="122">
        <v>45749</v>
      </c>
      <c r="K2251" s="110" t="str">
        <f t="shared" si="31"/>
        <v>https://Estud2024.sawtoothsoftware.com/cgi-bin/ciwweb.pl?studyname=Estud2024&amp;ID=2240</v>
      </c>
      <c r="L2251" s="113">
        <v>45720</v>
      </c>
      <c r="M2251" s="45" t="s">
        <v>247</v>
      </c>
    </row>
    <row r="2252" spans="1:13">
      <c r="A2252">
        <v>2241</v>
      </c>
      <c r="B2252" t="s">
        <v>84</v>
      </c>
      <c r="D2252" t="s">
        <v>102</v>
      </c>
      <c r="F2252" t="s">
        <v>11368</v>
      </c>
      <c r="G2252">
        <v>7</v>
      </c>
      <c r="H2252" t="s">
        <v>11369</v>
      </c>
      <c r="I2252" t="s">
        <v>6754</v>
      </c>
      <c r="J2252" s="122">
        <v>45749</v>
      </c>
      <c r="K2252" s="110" t="str">
        <f t="shared" si="31"/>
        <v>https://Estud2024.sawtoothsoftware.com/cgi-bin/ciwweb.pl?studyname=Estud2024&amp;ID=2241</v>
      </c>
      <c r="L2252" s="113">
        <v>45720</v>
      </c>
      <c r="M2252" s="45" t="s">
        <v>247</v>
      </c>
    </row>
    <row r="2253" spans="1:13">
      <c r="A2253">
        <v>2242</v>
      </c>
      <c r="B2253" t="s">
        <v>84</v>
      </c>
      <c r="D2253" t="s">
        <v>102</v>
      </c>
      <c r="F2253" t="s">
        <v>11370</v>
      </c>
      <c r="G2253">
        <v>7</v>
      </c>
      <c r="H2253" t="s">
        <v>11371</v>
      </c>
      <c r="I2253" t="s">
        <v>6754</v>
      </c>
      <c r="J2253" s="122">
        <v>45749</v>
      </c>
      <c r="K2253" s="110" t="str">
        <f t="shared" si="31"/>
        <v>https://Estud2024.sawtoothsoftware.com/cgi-bin/ciwweb.pl?studyname=Estud2024&amp;ID=2242</v>
      </c>
      <c r="L2253" s="113">
        <v>45720</v>
      </c>
      <c r="M2253" s="45" t="s">
        <v>247</v>
      </c>
    </row>
    <row r="2254" spans="1:13">
      <c r="A2254">
        <v>2243</v>
      </c>
      <c r="B2254" t="s">
        <v>138</v>
      </c>
      <c r="D2254" t="s">
        <v>162</v>
      </c>
      <c r="F2254" t="s">
        <v>11372</v>
      </c>
      <c r="G2254">
        <v>2</v>
      </c>
      <c r="H2254" t="s">
        <v>11373</v>
      </c>
      <c r="I2254" t="s">
        <v>6754</v>
      </c>
      <c r="J2254" s="122">
        <v>45755</v>
      </c>
      <c r="K2254" s="110" t="str">
        <f t="shared" si="31"/>
        <v>https://Estud2024.sawtoothsoftware.com/cgi-bin/ciwweb.pl?studyname=Estud2024&amp;ID=2243</v>
      </c>
      <c r="L2254" s="113">
        <v>45934</v>
      </c>
      <c r="M2254" s="45" t="s">
        <v>247</v>
      </c>
    </row>
    <row r="2255" spans="1:13">
      <c r="A2255">
        <v>2244</v>
      </c>
      <c r="B2255" t="s">
        <v>138</v>
      </c>
      <c r="D2255" t="s">
        <v>162</v>
      </c>
      <c r="F2255" t="s">
        <v>11374</v>
      </c>
      <c r="G2255">
        <v>2</v>
      </c>
      <c r="H2255" t="s">
        <v>11375</v>
      </c>
      <c r="I2255" t="s">
        <v>6754</v>
      </c>
      <c r="J2255" s="122">
        <v>45755</v>
      </c>
      <c r="K2255" s="110" t="str">
        <f t="shared" si="31"/>
        <v>https://Estud2024.sawtoothsoftware.com/cgi-bin/ciwweb.pl?studyname=Estud2024&amp;ID=2244</v>
      </c>
      <c r="L2255" s="113">
        <v>45934</v>
      </c>
      <c r="M2255" s="45" t="s">
        <v>10066</v>
      </c>
    </row>
    <row r="2256" spans="1:13">
      <c r="A2256">
        <v>2245</v>
      </c>
      <c r="B2256" t="s">
        <v>138</v>
      </c>
      <c r="D2256" t="s">
        <v>162</v>
      </c>
      <c r="F2256" t="s">
        <v>11376</v>
      </c>
      <c r="G2256">
        <v>2</v>
      </c>
      <c r="H2256" t="s">
        <v>11377</v>
      </c>
      <c r="I2256" t="s">
        <v>6754</v>
      </c>
      <c r="J2256" s="122">
        <v>45755</v>
      </c>
      <c r="K2256" s="110" t="str">
        <f t="shared" si="31"/>
        <v>https://Estud2024.sawtoothsoftware.com/cgi-bin/ciwweb.pl?studyname=Estud2024&amp;ID=2245</v>
      </c>
      <c r="L2256" s="113">
        <v>45934</v>
      </c>
      <c r="M2256" s="45" t="s">
        <v>10066</v>
      </c>
    </row>
    <row r="2257" spans="1:13">
      <c r="A2257">
        <v>2246</v>
      </c>
      <c r="B2257" t="s">
        <v>138</v>
      </c>
      <c r="D2257" t="s">
        <v>162</v>
      </c>
      <c r="F2257" t="s">
        <v>11378</v>
      </c>
      <c r="G2257">
        <v>2</v>
      </c>
      <c r="H2257" t="s">
        <v>11379</v>
      </c>
      <c r="I2257" t="s">
        <v>6754</v>
      </c>
      <c r="J2257" s="122">
        <v>45755</v>
      </c>
      <c r="K2257" s="110" t="str">
        <f t="shared" si="31"/>
        <v>https://Estud2024.sawtoothsoftware.com/cgi-bin/ciwweb.pl?studyname=Estud2024&amp;ID=2246</v>
      </c>
      <c r="L2257" s="113">
        <v>45934</v>
      </c>
      <c r="M2257" s="45" t="s">
        <v>10066</v>
      </c>
    </row>
    <row r="2258" spans="1:13">
      <c r="A2258">
        <v>2247</v>
      </c>
      <c r="B2258" t="s">
        <v>138</v>
      </c>
      <c r="D2258" t="s">
        <v>162</v>
      </c>
      <c r="F2258" t="s">
        <v>11380</v>
      </c>
      <c r="G2258">
        <v>2</v>
      </c>
      <c r="H2258" t="s">
        <v>11381</v>
      </c>
      <c r="I2258" t="s">
        <v>6754</v>
      </c>
      <c r="J2258" s="122">
        <v>45755</v>
      </c>
      <c r="K2258" s="110" t="str">
        <f t="shared" si="31"/>
        <v>https://Estud2024.sawtoothsoftware.com/cgi-bin/ciwweb.pl?studyname=Estud2024&amp;ID=2247</v>
      </c>
      <c r="L2258" s="113">
        <v>45934</v>
      </c>
      <c r="M2258" s="45" t="s">
        <v>10066</v>
      </c>
    </row>
    <row r="2259" spans="1:13">
      <c r="A2259">
        <v>2248</v>
      </c>
      <c r="B2259" t="s">
        <v>138</v>
      </c>
      <c r="D2259" t="s">
        <v>162</v>
      </c>
      <c r="F2259" t="s">
        <v>11382</v>
      </c>
      <c r="G2259">
        <v>2</v>
      </c>
      <c r="H2259" t="s">
        <v>11383</v>
      </c>
      <c r="I2259" t="s">
        <v>6754</v>
      </c>
      <c r="J2259" s="122">
        <v>45755</v>
      </c>
      <c r="K2259" s="110" t="str">
        <f t="shared" si="31"/>
        <v>https://Estud2024.sawtoothsoftware.com/cgi-bin/ciwweb.pl?studyname=Estud2024&amp;ID=2248</v>
      </c>
      <c r="L2259" s="113">
        <v>45934</v>
      </c>
      <c r="M2259" s="45" t="s">
        <v>10066</v>
      </c>
    </row>
    <row r="2260" spans="1:13">
      <c r="A2260">
        <v>2249</v>
      </c>
      <c r="B2260" t="s">
        <v>138</v>
      </c>
      <c r="D2260" t="s">
        <v>162</v>
      </c>
      <c r="F2260" t="s">
        <v>11384</v>
      </c>
      <c r="G2260">
        <v>2</v>
      </c>
      <c r="H2260" t="s">
        <v>11385</v>
      </c>
      <c r="I2260" t="s">
        <v>6754</v>
      </c>
      <c r="J2260" s="122">
        <v>45755</v>
      </c>
      <c r="K2260" s="110" t="str">
        <f t="shared" si="31"/>
        <v>https://Estud2024.sawtoothsoftware.com/cgi-bin/ciwweb.pl?studyname=Estud2024&amp;ID=2249</v>
      </c>
      <c r="L2260" s="113">
        <v>45934</v>
      </c>
      <c r="M2260" s="45" t="s">
        <v>10066</v>
      </c>
    </row>
    <row r="2261" spans="1:13">
      <c r="A2261">
        <v>2250</v>
      </c>
      <c r="B2261" t="s">
        <v>138</v>
      </c>
      <c r="D2261" t="s">
        <v>162</v>
      </c>
      <c r="F2261" t="s">
        <v>11386</v>
      </c>
      <c r="G2261">
        <v>2</v>
      </c>
      <c r="H2261" t="s">
        <v>11387</v>
      </c>
      <c r="I2261" t="s">
        <v>6754</v>
      </c>
      <c r="J2261" s="122">
        <v>45755</v>
      </c>
      <c r="K2261" s="110" t="str">
        <f t="shared" si="31"/>
        <v>https://Estud2024.sawtoothsoftware.com/cgi-bin/ciwweb.pl?studyname=Estud2024&amp;ID=2250</v>
      </c>
      <c r="L2261" s="113">
        <v>45934</v>
      </c>
      <c r="M2261" s="45" t="s">
        <v>10066</v>
      </c>
    </row>
    <row r="2262" spans="1:13">
      <c r="A2262">
        <v>2251</v>
      </c>
      <c r="B2262" t="s">
        <v>138</v>
      </c>
      <c r="D2262" t="s">
        <v>162</v>
      </c>
      <c r="F2262" t="s">
        <v>11388</v>
      </c>
      <c r="G2262">
        <v>2</v>
      </c>
      <c r="H2262" t="s">
        <v>11389</v>
      </c>
      <c r="I2262" t="s">
        <v>6754</v>
      </c>
      <c r="J2262" s="122">
        <v>45755</v>
      </c>
      <c r="K2262" s="110" t="str">
        <f t="shared" ref="K2262:K2274" si="32">CONCATENATE("https://Estud2024.sawtoothsoftware.com/cgi-bin/ciwweb.pl?studyname=Estud2024&amp;ID=",A2262)</f>
        <v>https://Estud2024.sawtoothsoftware.com/cgi-bin/ciwweb.pl?studyname=Estud2024&amp;ID=2251</v>
      </c>
      <c r="L2262" s="113">
        <v>45934</v>
      </c>
      <c r="M2262" s="45" t="s">
        <v>10066</v>
      </c>
    </row>
    <row r="2263" spans="1:13">
      <c r="A2263">
        <v>2252</v>
      </c>
      <c r="B2263" t="s">
        <v>138</v>
      </c>
      <c r="D2263" t="s">
        <v>162</v>
      </c>
      <c r="F2263" t="s">
        <v>11390</v>
      </c>
      <c r="G2263">
        <v>2</v>
      </c>
      <c r="H2263" t="s">
        <v>11391</v>
      </c>
      <c r="I2263" t="s">
        <v>6754</v>
      </c>
      <c r="J2263" s="122">
        <v>45755</v>
      </c>
      <c r="K2263" s="110" t="str">
        <f t="shared" si="32"/>
        <v>https://Estud2024.sawtoothsoftware.com/cgi-bin/ciwweb.pl?studyname=Estud2024&amp;ID=2252</v>
      </c>
      <c r="L2263" s="113">
        <v>45934</v>
      </c>
      <c r="M2263" s="45" t="s">
        <v>10066</v>
      </c>
    </row>
    <row r="2264" spans="1:13">
      <c r="A2264">
        <v>2253</v>
      </c>
      <c r="B2264" t="s">
        <v>138</v>
      </c>
      <c r="D2264" t="s">
        <v>162</v>
      </c>
      <c r="F2264" t="s">
        <v>11392</v>
      </c>
      <c r="G2264">
        <v>2</v>
      </c>
      <c r="H2264" t="s">
        <v>11393</v>
      </c>
      <c r="I2264" t="s">
        <v>6754</v>
      </c>
      <c r="J2264" s="122">
        <v>45755</v>
      </c>
      <c r="K2264" s="110" t="str">
        <f t="shared" si="32"/>
        <v>https://Estud2024.sawtoothsoftware.com/cgi-bin/ciwweb.pl?studyname=Estud2024&amp;ID=2253</v>
      </c>
      <c r="L2264" s="113">
        <v>45934</v>
      </c>
      <c r="M2264" s="45" t="s">
        <v>10066</v>
      </c>
    </row>
    <row r="2265" spans="1:13">
      <c r="A2265">
        <v>2254</v>
      </c>
      <c r="B2265" t="s">
        <v>138</v>
      </c>
      <c r="D2265" t="s">
        <v>162</v>
      </c>
      <c r="F2265" t="s">
        <v>11394</v>
      </c>
      <c r="G2265">
        <v>2</v>
      </c>
      <c r="H2265" t="s">
        <v>11395</v>
      </c>
      <c r="I2265" t="s">
        <v>6754</v>
      </c>
      <c r="J2265" s="122">
        <v>45755</v>
      </c>
      <c r="K2265" s="110" t="str">
        <f t="shared" si="32"/>
        <v>https://Estud2024.sawtoothsoftware.com/cgi-bin/ciwweb.pl?studyname=Estud2024&amp;ID=2254</v>
      </c>
      <c r="L2265" s="113">
        <v>45934</v>
      </c>
      <c r="M2265" s="45" t="s">
        <v>10066</v>
      </c>
    </row>
    <row r="2266" spans="1:13">
      <c r="A2266">
        <v>2255</v>
      </c>
      <c r="B2266" t="s">
        <v>138</v>
      </c>
      <c r="D2266" t="s">
        <v>162</v>
      </c>
      <c r="F2266" t="s">
        <v>11396</v>
      </c>
      <c r="G2266">
        <v>2</v>
      </c>
      <c r="H2266" t="s">
        <v>11397</v>
      </c>
      <c r="I2266" t="s">
        <v>6754</v>
      </c>
      <c r="J2266" s="122">
        <v>45755</v>
      </c>
      <c r="K2266" s="110" t="str">
        <f t="shared" si="32"/>
        <v>https://Estud2024.sawtoothsoftware.com/cgi-bin/ciwweb.pl?studyname=Estud2024&amp;ID=2255</v>
      </c>
      <c r="L2266" s="113">
        <v>45934</v>
      </c>
      <c r="M2266" s="45" t="s">
        <v>247</v>
      </c>
    </row>
    <row r="2267" spans="1:13">
      <c r="A2267">
        <v>2256</v>
      </c>
      <c r="B2267" t="s">
        <v>138</v>
      </c>
      <c r="D2267" t="s">
        <v>162</v>
      </c>
      <c r="F2267" t="s">
        <v>11398</v>
      </c>
      <c r="G2267">
        <v>2</v>
      </c>
      <c r="H2267" t="s">
        <v>11399</v>
      </c>
      <c r="I2267" t="s">
        <v>6754</v>
      </c>
      <c r="J2267" s="122">
        <v>45755</v>
      </c>
      <c r="K2267" s="110" t="str">
        <f t="shared" si="32"/>
        <v>https://Estud2024.sawtoothsoftware.com/cgi-bin/ciwweb.pl?studyname=Estud2024&amp;ID=2256</v>
      </c>
      <c r="L2267" s="113">
        <v>45934</v>
      </c>
      <c r="M2267" s="45" t="s">
        <v>10066</v>
      </c>
    </row>
    <row r="2268" spans="1:13">
      <c r="A2268">
        <v>2257</v>
      </c>
      <c r="B2268" t="s">
        <v>138</v>
      </c>
      <c r="D2268" t="s">
        <v>162</v>
      </c>
      <c r="F2268" t="s">
        <v>11400</v>
      </c>
      <c r="G2268">
        <v>2</v>
      </c>
      <c r="H2268" t="s">
        <v>11401</v>
      </c>
      <c r="I2268" t="s">
        <v>6754</v>
      </c>
      <c r="J2268" s="122">
        <v>45755</v>
      </c>
      <c r="K2268" s="110" t="str">
        <f t="shared" si="32"/>
        <v>https://Estud2024.sawtoothsoftware.com/cgi-bin/ciwweb.pl?studyname=Estud2024&amp;ID=2257</v>
      </c>
      <c r="L2268" s="113">
        <v>45934</v>
      </c>
      <c r="M2268" s="45" t="s">
        <v>246</v>
      </c>
    </row>
    <row r="2269" spans="1:13">
      <c r="A2269">
        <v>2258</v>
      </c>
      <c r="B2269" t="s">
        <v>138</v>
      </c>
      <c r="D2269" t="s">
        <v>162</v>
      </c>
      <c r="F2269" t="s">
        <v>11402</v>
      </c>
      <c r="G2269">
        <v>2</v>
      </c>
      <c r="H2269" t="s">
        <v>11403</v>
      </c>
      <c r="I2269" t="s">
        <v>6754</v>
      </c>
      <c r="J2269" s="122">
        <v>45755</v>
      </c>
      <c r="K2269" s="110" t="str">
        <f t="shared" si="32"/>
        <v>https://Estud2024.sawtoothsoftware.com/cgi-bin/ciwweb.pl?studyname=Estud2024&amp;ID=2258</v>
      </c>
      <c r="L2269" s="113">
        <v>45934</v>
      </c>
      <c r="M2269" s="45" t="s">
        <v>247</v>
      </c>
    </row>
    <row r="2270" spans="1:13">
      <c r="A2270">
        <v>2259</v>
      </c>
      <c r="B2270" t="s">
        <v>138</v>
      </c>
      <c r="D2270" t="s">
        <v>162</v>
      </c>
      <c r="F2270" t="s">
        <v>11404</v>
      </c>
      <c r="G2270">
        <v>2</v>
      </c>
      <c r="H2270" t="s">
        <v>11405</v>
      </c>
      <c r="I2270" t="s">
        <v>6754</v>
      </c>
      <c r="J2270" s="122">
        <v>45755</v>
      </c>
      <c r="K2270" s="110" t="str">
        <f t="shared" si="32"/>
        <v>https://Estud2024.sawtoothsoftware.com/cgi-bin/ciwweb.pl?studyname=Estud2024&amp;ID=2259</v>
      </c>
      <c r="L2270" s="113">
        <v>45934</v>
      </c>
      <c r="M2270" s="45" t="s">
        <v>10066</v>
      </c>
    </row>
    <row r="2271" spans="1:13">
      <c r="A2271">
        <v>2260</v>
      </c>
      <c r="B2271" t="s">
        <v>138</v>
      </c>
      <c r="D2271" t="s">
        <v>162</v>
      </c>
      <c r="F2271" t="s">
        <v>11406</v>
      </c>
      <c r="G2271">
        <v>2</v>
      </c>
      <c r="H2271" t="s">
        <v>11407</v>
      </c>
      <c r="I2271" t="s">
        <v>6754</v>
      </c>
      <c r="J2271" s="122">
        <v>45755</v>
      </c>
      <c r="K2271" s="110" t="str">
        <f t="shared" si="32"/>
        <v>https://Estud2024.sawtoothsoftware.com/cgi-bin/ciwweb.pl?studyname=Estud2024&amp;ID=2260</v>
      </c>
      <c r="L2271" s="113">
        <v>45934</v>
      </c>
      <c r="M2271" s="45" t="s">
        <v>10066</v>
      </c>
    </row>
    <row r="2272" spans="1:13">
      <c r="A2272">
        <v>2261</v>
      </c>
      <c r="B2272" t="s">
        <v>138</v>
      </c>
      <c r="D2272" t="s">
        <v>162</v>
      </c>
      <c r="F2272" t="s">
        <v>11408</v>
      </c>
      <c r="G2272">
        <v>2</v>
      </c>
      <c r="H2272" t="s">
        <v>11409</v>
      </c>
      <c r="I2272" t="s">
        <v>6754</v>
      </c>
      <c r="J2272" s="122">
        <v>45755</v>
      </c>
      <c r="K2272" s="110" t="str">
        <f t="shared" si="32"/>
        <v>https://Estud2024.sawtoothsoftware.com/cgi-bin/ciwweb.pl?studyname=Estud2024&amp;ID=2261</v>
      </c>
      <c r="L2272" s="113">
        <v>45934</v>
      </c>
      <c r="M2272" s="45" t="s">
        <v>10066</v>
      </c>
    </row>
    <row r="2273" spans="1:13">
      <c r="A2273">
        <v>2262</v>
      </c>
      <c r="B2273" t="s">
        <v>138</v>
      </c>
      <c r="D2273" t="s">
        <v>162</v>
      </c>
      <c r="F2273" t="s">
        <v>11410</v>
      </c>
      <c r="G2273">
        <v>2</v>
      </c>
      <c r="H2273" t="s">
        <v>11411</v>
      </c>
      <c r="I2273" t="s">
        <v>6754</v>
      </c>
      <c r="J2273" s="122">
        <v>45755</v>
      </c>
      <c r="K2273" s="110" t="str">
        <f t="shared" si="32"/>
        <v>https://Estud2024.sawtoothsoftware.com/cgi-bin/ciwweb.pl?studyname=Estud2024&amp;ID=2262</v>
      </c>
      <c r="L2273" s="113">
        <v>45934</v>
      </c>
      <c r="M2273" s="45" t="s">
        <v>10066</v>
      </c>
    </row>
    <row r="2274" spans="1:13">
      <c r="A2274">
        <v>2263</v>
      </c>
      <c r="B2274" t="s">
        <v>138</v>
      </c>
      <c r="D2274" t="s">
        <v>162</v>
      </c>
      <c r="F2274" t="s">
        <v>11412</v>
      </c>
      <c r="G2274">
        <v>2</v>
      </c>
      <c r="H2274" t="s">
        <v>11413</v>
      </c>
      <c r="I2274" t="s">
        <v>6754</v>
      </c>
      <c r="J2274" s="122">
        <v>45755</v>
      </c>
      <c r="K2274" s="110" t="str">
        <f t="shared" si="32"/>
        <v>https://Estud2024.sawtoothsoftware.com/cgi-bin/ciwweb.pl?studyname=Estud2024&amp;ID=2263</v>
      </c>
      <c r="L2274" s="113">
        <v>45934</v>
      </c>
      <c r="M2274" s="45" t="s">
        <v>10066</v>
      </c>
    </row>
  </sheetData>
  <autoFilter ref="A1:M2274" xr:uid="{00000000-0009-0000-0000-00000E000000}"/>
  <dataValidations count="1">
    <dataValidation type="list" allowBlank="1" showInputMessage="1" showErrorMessage="1" sqref="I2:I212 J213:J352 I352:I1566" xr:uid="{00000000-0002-0000-0E00-000000000000}"/>
  </dataValidations>
  <hyperlinks>
    <hyperlink ref="H44" r:id="rId1" xr:uid="{00000000-0004-0000-0E00-000000000000}"/>
    <hyperlink ref="H23" r:id="rId2" xr:uid="{00000000-0004-0000-0E00-000001000000}"/>
    <hyperlink ref="H47" r:id="rId3" xr:uid="{00000000-0004-0000-0E00-000002000000}"/>
    <hyperlink ref="K212" r:id="rId4" xr:uid="{00000000-0004-0000-0E00-000003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6"/>
  <sheetViews>
    <sheetView zoomScale="90" zoomScaleNormal="90" workbookViewId="0">
      <pane ySplit="1" topLeftCell="A2" activePane="bottomLeft" state="frozen"/>
      <selection pane="bottomLeft" activeCell="A163" sqref="A163"/>
    </sheetView>
  </sheetViews>
  <sheetFormatPr defaultColWidth="11.42578125" defaultRowHeight="15"/>
  <cols>
    <col min="1" max="1" width="87.5703125" bestFit="1" customWidth="1"/>
    <col min="2" max="2" width="92.42578125" bestFit="1" customWidth="1"/>
    <col min="3" max="3" width="55.5703125" customWidth="1"/>
  </cols>
  <sheetData>
    <row r="1" spans="1:2">
      <c r="A1" s="101" t="s">
        <v>11414</v>
      </c>
      <c r="B1" s="101" t="s">
        <v>11415</v>
      </c>
    </row>
    <row r="2" spans="1:2">
      <c r="A2" t="s">
        <v>417</v>
      </c>
      <c r="B2" t="s">
        <v>231</v>
      </c>
    </row>
    <row r="3" spans="1:2">
      <c r="A3" t="s">
        <v>418</v>
      </c>
      <c r="B3" t="s">
        <v>232</v>
      </c>
    </row>
    <row r="4" spans="1:2">
      <c r="A4" t="s">
        <v>630</v>
      </c>
      <c r="B4" t="s">
        <v>250</v>
      </c>
    </row>
    <row r="5" spans="1:2">
      <c r="A5" s="125" t="s">
        <v>93</v>
      </c>
      <c r="B5" s="125" t="s">
        <v>252</v>
      </c>
    </row>
    <row r="6" spans="1:2">
      <c r="A6" t="s">
        <v>535</v>
      </c>
      <c r="B6" t="s">
        <v>40</v>
      </c>
    </row>
    <row r="7" spans="1:2">
      <c r="A7" t="s">
        <v>430</v>
      </c>
      <c r="B7" t="s">
        <v>26</v>
      </c>
    </row>
    <row r="8" spans="1:2">
      <c r="A8" t="s">
        <v>424</v>
      </c>
      <c r="B8" t="s">
        <v>24</v>
      </c>
    </row>
    <row r="9" spans="1:2">
      <c r="A9" t="s">
        <v>426</v>
      </c>
      <c r="B9" t="s">
        <v>23</v>
      </c>
    </row>
    <row r="10" spans="1:2">
      <c r="A10" t="s">
        <v>428</v>
      </c>
      <c r="B10" t="s">
        <v>25</v>
      </c>
    </row>
    <row r="11" spans="1:2">
      <c r="A11" t="s">
        <v>95</v>
      </c>
      <c r="B11" t="s">
        <v>251</v>
      </c>
    </row>
    <row r="12" spans="1:2">
      <c r="A12" t="s">
        <v>431</v>
      </c>
      <c r="B12" t="s">
        <v>27</v>
      </c>
    </row>
    <row r="13" spans="1:2">
      <c r="A13" t="s">
        <v>531</v>
      </c>
      <c r="B13" t="s">
        <v>98</v>
      </c>
    </row>
    <row r="14" spans="1:2">
      <c r="A14" t="s">
        <v>2926</v>
      </c>
      <c r="B14" t="s">
        <v>99</v>
      </c>
    </row>
    <row r="15" spans="1:2">
      <c r="A15" t="s">
        <v>498</v>
      </c>
      <c r="B15" t="s">
        <v>101</v>
      </c>
    </row>
    <row r="16" spans="1:2">
      <c r="A16" t="s">
        <v>102</v>
      </c>
      <c r="B16" t="s">
        <v>102</v>
      </c>
    </row>
    <row r="17" spans="1:3">
      <c r="A17" t="s">
        <v>499</v>
      </c>
      <c r="B17" t="s">
        <v>103</v>
      </c>
    </row>
    <row r="18" spans="1:3">
      <c r="A18" t="s">
        <v>3003</v>
      </c>
      <c r="B18" t="s">
        <v>104</v>
      </c>
    </row>
    <row r="19" spans="1:3">
      <c r="A19" t="s">
        <v>538</v>
      </c>
      <c r="B19" t="s">
        <v>105</v>
      </c>
    </row>
    <row r="20" spans="1:3">
      <c r="A20" t="s">
        <v>540</v>
      </c>
      <c r="B20" t="s">
        <v>106</v>
      </c>
    </row>
    <row r="21" spans="1:3">
      <c r="A21" t="s">
        <v>537</v>
      </c>
      <c r="B21" t="s">
        <v>108</v>
      </c>
    </row>
    <row r="22" spans="1:3">
      <c r="A22" t="s">
        <v>2549</v>
      </c>
      <c r="B22" t="s">
        <v>107</v>
      </c>
    </row>
    <row r="23" spans="1:3">
      <c r="A23" t="s">
        <v>419</v>
      </c>
      <c r="B23" t="s">
        <v>233</v>
      </c>
    </row>
    <row r="24" spans="1:3">
      <c r="A24" t="s">
        <v>436</v>
      </c>
      <c r="B24" t="s">
        <v>29</v>
      </c>
    </row>
    <row r="25" spans="1:3">
      <c r="A25" t="s">
        <v>488</v>
      </c>
      <c r="B25" t="s">
        <v>109</v>
      </c>
    </row>
    <row r="26" spans="1:3">
      <c r="B26" s="100" t="s">
        <v>112</v>
      </c>
      <c r="C26" t="s">
        <v>11416</v>
      </c>
    </row>
    <row r="27" spans="1:3">
      <c r="A27" t="s">
        <v>1290</v>
      </c>
      <c r="B27" t="s">
        <v>110</v>
      </c>
    </row>
    <row r="28" spans="1:3">
      <c r="A28" t="s">
        <v>1063</v>
      </c>
      <c r="B28" t="s">
        <v>129</v>
      </c>
    </row>
    <row r="29" spans="1:3">
      <c r="A29" t="s">
        <v>611</v>
      </c>
      <c r="B29" t="s">
        <v>176</v>
      </c>
    </row>
    <row r="30" spans="1:3">
      <c r="A30" t="s">
        <v>612</v>
      </c>
      <c r="B30" t="s">
        <v>177</v>
      </c>
    </row>
    <row r="31" spans="1:3">
      <c r="A31" t="s">
        <v>1447</v>
      </c>
      <c r="B31" t="s">
        <v>111</v>
      </c>
    </row>
    <row r="32" spans="1:3">
      <c r="A32" t="s">
        <v>2170</v>
      </c>
      <c r="B32" t="s">
        <v>130</v>
      </c>
    </row>
    <row r="33" spans="1:2">
      <c r="A33" t="s">
        <v>781</v>
      </c>
      <c r="B33" t="s">
        <v>131</v>
      </c>
    </row>
    <row r="34" spans="1:2">
      <c r="A34" t="s">
        <v>1226</v>
      </c>
      <c r="B34" t="s">
        <v>132</v>
      </c>
    </row>
    <row r="35" spans="1:2">
      <c r="A35" t="s">
        <v>2099</v>
      </c>
      <c r="B35" t="s">
        <v>113</v>
      </c>
    </row>
    <row r="36" spans="1:2">
      <c r="A36" s="125" t="s">
        <v>968</v>
      </c>
      <c r="B36" s="125" t="s">
        <v>137</v>
      </c>
    </row>
    <row r="37" spans="1:2">
      <c r="A37" s="125" t="s">
        <v>673</v>
      </c>
      <c r="B37" s="125" t="s">
        <v>137</v>
      </c>
    </row>
    <row r="38" spans="1:2">
      <c r="A38" t="s">
        <v>709</v>
      </c>
      <c r="B38" t="s">
        <v>153</v>
      </c>
    </row>
    <row r="39" spans="1:2">
      <c r="A39" t="s">
        <v>951</v>
      </c>
      <c r="B39" t="s">
        <v>114</v>
      </c>
    </row>
    <row r="40" spans="1:2">
      <c r="A40" t="s">
        <v>1215</v>
      </c>
      <c r="B40" t="s">
        <v>139</v>
      </c>
    </row>
    <row r="41" spans="1:2">
      <c r="A41" t="s">
        <v>2075</v>
      </c>
      <c r="B41" t="s">
        <v>116</v>
      </c>
    </row>
    <row r="42" spans="1:2">
      <c r="A42" t="s">
        <v>1222</v>
      </c>
      <c r="B42" t="s">
        <v>156</v>
      </c>
    </row>
    <row r="43" spans="1:2">
      <c r="A43" t="s">
        <v>2591</v>
      </c>
      <c r="B43" t="s">
        <v>167</v>
      </c>
    </row>
    <row r="44" spans="1:2">
      <c r="A44" t="s">
        <v>2435</v>
      </c>
      <c r="B44" t="s">
        <v>168</v>
      </c>
    </row>
    <row r="45" spans="1:2">
      <c r="A45" t="s">
        <v>1716</v>
      </c>
      <c r="B45" t="s">
        <v>140</v>
      </c>
    </row>
    <row r="46" spans="1:2">
      <c r="A46" t="s">
        <v>2278</v>
      </c>
      <c r="B46" t="s">
        <v>165</v>
      </c>
    </row>
    <row r="47" spans="1:2">
      <c r="A47" t="s">
        <v>2950</v>
      </c>
      <c r="B47" t="s">
        <v>166</v>
      </c>
    </row>
    <row r="48" spans="1:2">
      <c r="A48" t="s">
        <v>696</v>
      </c>
      <c r="B48" t="s">
        <v>164</v>
      </c>
    </row>
    <row r="49" spans="1:3">
      <c r="A49" t="s">
        <v>2422</v>
      </c>
      <c r="B49" t="s">
        <v>135</v>
      </c>
    </row>
    <row r="50" spans="1:3">
      <c r="A50" t="s">
        <v>2330</v>
      </c>
      <c r="B50" t="s">
        <v>141</v>
      </c>
    </row>
    <row r="51" spans="1:3">
      <c r="A51" t="s">
        <v>1652</v>
      </c>
      <c r="B51" t="s">
        <v>155</v>
      </c>
    </row>
    <row r="52" spans="1:3">
      <c r="A52" t="s">
        <v>1490</v>
      </c>
      <c r="B52" t="s">
        <v>142</v>
      </c>
    </row>
    <row r="53" spans="1:3">
      <c r="A53" t="s">
        <v>882</v>
      </c>
      <c r="B53" t="s">
        <v>143</v>
      </c>
    </row>
    <row r="54" spans="1:3">
      <c r="A54" t="s">
        <v>699</v>
      </c>
      <c r="B54" t="s">
        <v>144</v>
      </c>
    </row>
    <row r="55" spans="1:3">
      <c r="A55" s="125" t="s">
        <v>504</v>
      </c>
      <c r="B55" s="125" t="s">
        <v>136</v>
      </c>
    </row>
    <row r="56" spans="1:3">
      <c r="A56" s="125" t="s">
        <v>2058</v>
      </c>
      <c r="B56" s="125" t="s">
        <v>136</v>
      </c>
    </row>
    <row r="57" spans="1:3">
      <c r="B57" s="100" t="s">
        <v>159</v>
      </c>
      <c r="C57" t="s">
        <v>11417</v>
      </c>
    </row>
    <row r="58" spans="1:3">
      <c r="A58" t="s">
        <v>2946</v>
      </c>
      <c r="B58" t="s">
        <v>163</v>
      </c>
    </row>
    <row r="59" spans="1:3">
      <c r="A59" t="s">
        <v>2905</v>
      </c>
      <c r="B59" t="s">
        <v>169</v>
      </c>
    </row>
    <row r="60" spans="1:3">
      <c r="A60" t="s">
        <v>978</v>
      </c>
      <c r="B60" t="s">
        <v>170</v>
      </c>
    </row>
    <row r="61" spans="1:3">
      <c r="A61" s="125" t="s">
        <v>975</v>
      </c>
      <c r="B61" s="125" t="s">
        <v>145</v>
      </c>
    </row>
    <row r="62" spans="1:3">
      <c r="A62" s="125" t="s">
        <v>3469</v>
      </c>
      <c r="B62" s="125" t="s">
        <v>145</v>
      </c>
    </row>
    <row r="63" spans="1:3">
      <c r="A63" t="s">
        <v>2485</v>
      </c>
      <c r="B63" t="s">
        <v>146</v>
      </c>
    </row>
    <row r="64" spans="1:3">
      <c r="A64" t="s">
        <v>1394</v>
      </c>
      <c r="B64" t="s">
        <v>173</v>
      </c>
    </row>
    <row r="65" spans="1:3">
      <c r="A65" t="s">
        <v>958</v>
      </c>
      <c r="B65" t="s">
        <v>174</v>
      </c>
    </row>
    <row r="66" spans="1:3">
      <c r="A66" t="s">
        <v>1244</v>
      </c>
      <c r="B66" t="s">
        <v>175</v>
      </c>
    </row>
    <row r="67" spans="1:3">
      <c r="A67" t="s">
        <v>1202</v>
      </c>
      <c r="B67" t="s">
        <v>158</v>
      </c>
    </row>
    <row r="68" spans="1:3">
      <c r="A68" t="s">
        <v>1218</v>
      </c>
      <c r="B68" t="s">
        <v>147</v>
      </c>
    </row>
    <row r="69" spans="1:3">
      <c r="A69" t="s">
        <v>1454</v>
      </c>
      <c r="B69" t="s">
        <v>157</v>
      </c>
    </row>
    <row r="70" spans="1:3">
      <c r="A70" t="s">
        <v>2482</v>
      </c>
      <c r="B70" t="s">
        <v>171</v>
      </c>
    </row>
    <row r="71" spans="1:3">
      <c r="A71" t="s">
        <v>2210</v>
      </c>
      <c r="B71" t="s">
        <v>148</v>
      </c>
    </row>
    <row r="72" spans="1:3">
      <c r="A72" t="s">
        <v>2089</v>
      </c>
      <c r="B72" t="s">
        <v>160</v>
      </c>
    </row>
    <row r="73" spans="1:3">
      <c r="B73" s="100" t="s">
        <v>162</v>
      </c>
      <c r="C73" t="s">
        <v>11417</v>
      </c>
    </row>
    <row r="74" spans="1:3">
      <c r="A74" t="s">
        <v>740</v>
      </c>
      <c r="B74" t="s">
        <v>172</v>
      </c>
    </row>
    <row r="75" spans="1:3">
      <c r="A75" t="s">
        <v>888</v>
      </c>
      <c r="B75" t="s">
        <v>149</v>
      </c>
    </row>
    <row r="76" spans="1:3">
      <c r="A76" t="s">
        <v>492</v>
      </c>
      <c r="B76" t="s">
        <v>115</v>
      </c>
    </row>
    <row r="77" spans="1:3">
      <c r="A77" t="s">
        <v>702</v>
      </c>
      <c r="B77" t="s">
        <v>150</v>
      </c>
    </row>
    <row r="78" spans="1:3">
      <c r="A78" s="125" t="s">
        <v>2115</v>
      </c>
      <c r="B78" s="125" t="s">
        <v>117</v>
      </c>
      <c r="C78" t="s">
        <v>11418</v>
      </c>
    </row>
    <row r="79" spans="1:3">
      <c r="A79" t="s">
        <v>3138</v>
      </c>
      <c r="B79" t="s">
        <v>118</v>
      </c>
    </row>
    <row r="80" spans="1:3">
      <c r="A80" t="s">
        <v>1119</v>
      </c>
      <c r="B80" t="s">
        <v>119</v>
      </c>
    </row>
    <row r="81" spans="1:2">
      <c r="A81" t="s">
        <v>2827</v>
      </c>
      <c r="B81" t="s">
        <v>120</v>
      </c>
    </row>
    <row r="82" spans="1:2">
      <c r="A82" t="s">
        <v>495</v>
      </c>
      <c r="B82" t="s">
        <v>121</v>
      </c>
    </row>
    <row r="83" spans="1:2">
      <c r="A83" s="125" t="s">
        <v>944</v>
      </c>
      <c r="B83" s="125" t="s">
        <v>122</v>
      </c>
    </row>
    <row r="84" spans="1:2">
      <c r="A84" s="125" t="s">
        <v>4601</v>
      </c>
      <c r="B84" s="125" t="s">
        <v>122</v>
      </c>
    </row>
    <row r="85" spans="1:2">
      <c r="A85" t="s">
        <v>2157</v>
      </c>
      <c r="B85" t="s">
        <v>123</v>
      </c>
    </row>
    <row r="86" spans="1:2">
      <c r="A86" t="s">
        <v>2065</v>
      </c>
      <c r="B86" t="s">
        <v>124</v>
      </c>
    </row>
    <row r="87" spans="1:2">
      <c r="A87" t="s">
        <v>2198</v>
      </c>
      <c r="B87" t="s">
        <v>125</v>
      </c>
    </row>
    <row r="88" spans="1:2">
      <c r="A88" s="125" t="s">
        <v>2309</v>
      </c>
      <c r="B88" s="125" t="s">
        <v>161</v>
      </c>
    </row>
    <row r="89" spans="1:2">
      <c r="A89" s="125" t="s">
        <v>518</v>
      </c>
      <c r="B89" s="125" t="s">
        <v>161</v>
      </c>
    </row>
    <row r="90" spans="1:2">
      <c r="A90" t="s">
        <v>1277</v>
      </c>
      <c r="B90" t="s">
        <v>126</v>
      </c>
    </row>
    <row r="91" spans="1:2">
      <c r="A91" t="s">
        <v>507</v>
      </c>
      <c r="B91" t="s">
        <v>151</v>
      </c>
    </row>
    <row r="92" spans="1:2">
      <c r="A92" t="s">
        <v>508</v>
      </c>
      <c r="B92" t="s">
        <v>152</v>
      </c>
    </row>
    <row r="93" spans="1:2">
      <c r="A93" t="s">
        <v>2266</v>
      </c>
      <c r="B93" t="s">
        <v>127</v>
      </c>
    </row>
    <row r="94" spans="1:2">
      <c r="A94" t="s">
        <v>692</v>
      </c>
      <c r="B94" t="s">
        <v>133</v>
      </c>
    </row>
    <row r="95" spans="1:2">
      <c r="A95" t="s">
        <v>497</v>
      </c>
      <c r="B95" t="s">
        <v>128</v>
      </c>
    </row>
    <row r="96" spans="1:2">
      <c r="A96" t="s">
        <v>1573</v>
      </c>
      <c r="B96" t="s">
        <v>134</v>
      </c>
    </row>
    <row r="97" spans="1:2">
      <c r="A97" t="s">
        <v>712</v>
      </c>
      <c r="B97" t="s">
        <v>154</v>
      </c>
    </row>
    <row r="98" spans="1:2">
      <c r="A98" t="s">
        <v>439</v>
      </c>
      <c r="B98" t="s">
        <v>31</v>
      </c>
    </row>
    <row r="99" spans="1:2">
      <c r="A99" t="s">
        <v>234</v>
      </c>
      <c r="B99" t="s">
        <v>234</v>
      </c>
    </row>
    <row r="100" spans="1:2">
      <c r="A100" t="s">
        <v>437</v>
      </c>
      <c r="B100" t="s">
        <v>30</v>
      </c>
    </row>
    <row r="101" spans="1:2">
      <c r="A101" t="s">
        <v>420</v>
      </c>
      <c r="B101" t="s">
        <v>235</v>
      </c>
    </row>
    <row r="102" spans="1:2" ht="15.75" thickBot="1">
      <c r="A102" t="s">
        <v>441</v>
      </c>
      <c r="B102" t="s">
        <v>32</v>
      </c>
    </row>
    <row r="103" spans="1:2">
      <c r="A103" s="126" t="s">
        <v>534</v>
      </c>
      <c r="B103" s="127" t="s">
        <v>36</v>
      </c>
    </row>
    <row r="104" spans="1:2" ht="15.75" thickBot="1">
      <c r="A104" s="128" t="s">
        <v>11419</v>
      </c>
      <c r="B104" s="129" t="s">
        <v>36</v>
      </c>
    </row>
    <row r="105" spans="1:2">
      <c r="A105" s="126" t="s">
        <v>444</v>
      </c>
      <c r="B105" s="127" t="s">
        <v>33</v>
      </c>
    </row>
    <row r="106" spans="1:2" ht="15.75" thickBot="1">
      <c r="A106" s="128" t="s">
        <v>11420</v>
      </c>
      <c r="B106" s="129" t="s">
        <v>33</v>
      </c>
    </row>
    <row r="107" spans="1:2">
      <c r="A107" s="126" t="s">
        <v>4343</v>
      </c>
      <c r="B107" s="127" t="s">
        <v>34</v>
      </c>
    </row>
    <row r="108" spans="1:2" ht="15.75" thickBot="1">
      <c r="A108" s="128" t="s">
        <v>446</v>
      </c>
      <c r="B108" s="129" t="s">
        <v>34</v>
      </c>
    </row>
    <row r="109" spans="1:2">
      <c r="A109" t="s">
        <v>448</v>
      </c>
      <c r="B109" t="s">
        <v>35</v>
      </c>
    </row>
    <row r="110" spans="1:2">
      <c r="A110" t="s">
        <v>450</v>
      </c>
      <c r="B110" t="s">
        <v>37</v>
      </c>
    </row>
    <row r="111" spans="1:2">
      <c r="A111" t="s">
        <v>421</v>
      </c>
      <c r="B111" t="s">
        <v>236</v>
      </c>
    </row>
    <row r="112" spans="1:2">
      <c r="A112" t="s">
        <v>432</v>
      </c>
      <c r="B112" t="s">
        <v>41</v>
      </c>
    </row>
    <row r="113" spans="1:2">
      <c r="A113" t="s">
        <v>434</v>
      </c>
      <c r="B113" t="s">
        <v>28</v>
      </c>
    </row>
    <row r="114" spans="1:2" ht="15.75" thickBot="1">
      <c r="A114" t="s">
        <v>747</v>
      </c>
      <c r="B114" t="s">
        <v>178</v>
      </c>
    </row>
    <row r="115" spans="1:2">
      <c r="A115" s="126" t="s">
        <v>721</v>
      </c>
      <c r="B115" s="127" t="s">
        <v>181</v>
      </c>
    </row>
    <row r="116" spans="1:2" ht="15.75" thickBot="1">
      <c r="A116" s="128" t="s">
        <v>486</v>
      </c>
      <c r="B116" s="129" t="s">
        <v>181</v>
      </c>
    </row>
    <row r="117" spans="1:2">
      <c r="A117" t="s">
        <v>471</v>
      </c>
      <c r="B117" t="s">
        <v>196</v>
      </c>
    </row>
    <row r="118" spans="1:2">
      <c r="A118" t="s">
        <v>2415</v>
      </c>
      <c r="B118" t="s">
        <v>183</v>
      </c>
    </row>
    <row r="119" spans="1:2">
      <c r="A119" t="s">
        <v>456</v>
      </c>
      <c r="B119" t="s">
        <v>185</v>
      </c>
    </row>
    <row r="120" spans="1:2">
      <c r="A120" t="s">
        <v>457</v>
      </c>
      <c r="B120" t="s">
        <v>186</v>
      </c>
    </row>
    <row r="121" spans="1:2">
      <c r="A121" t="s">
        <v>458</v>
      </c>
      <c r="B121" t="s">
        <v>187</v>
      </c>
    </row>
    <row r="122" spans="1:2">
      <c r="A122" t="s">
        <v>459</v>
      </c>
      <c r="B122" t="s">
        <v>188</v>
      </c>
    </row>
    <row r="123" spans="1:2" ht="15.75" thickBot="1">
      <c r="A123" t="s">
        <v>460</v>
      </c>
      <c r="B123" t="s">
        <v>189</v>
      </c>
    </row>
    <row r="124" spans="1:2">
      <c r="A124" s="126" t="s">
        <v>543</v>
      </c>
      <c r="B124" s="127" t="s">
        <v>209</v>
      </c>
    </row>
    <row r="125" spans="1:2" ht="15.75" thickBot="1">
      <c r="A125" s="128" t="s">
        <v>909</v>
      </c>
      <c r="B125" s="129" t="s">
        <v>209</v>
      </c>
    </row>
    <row r="126" spans="1:2">
      <c r="A126" s="126" t="s">
        <v>544</v>
      </c>
      <c r="B126" s="127" t="s">
        <v>216</v>
      </c>
    </row>
    <row r="127" spans="1:2" ht="15.75" thickBot="1">
      <c r="A127" s="128" t="s">
        <v>481</v>
      </c>
      <c r="B127" s="129" t="s">
        <v>216</v>
      </c>
    </row>
    <row r="128" spans="1:2" ht="15.75" thickBot="1">
      <c r="A128" t="s">
        <v>462</v>
      </c>
      <c r="B128" t="s">
        <v>190</v>
      </c>
    </row>
    <row r="129" spans="1:2">
      <c r="A129" s="126" t="s">
        <v>1625</v>
      </c>
      <c r="B129" s="127" t="s">
        <v>208</v>
      </c>
    </row>
    <row r="130" spans="1:2" ht="15.75" thickBot="1">
      <c r="A130" s="128" t="s">
        <v>525</v>
      </c>
      <c r="B130" s="129" t="s">
        <v>208</v>
      </c>
    </row>
    <row r="131" spans="1:2">
      <c r="A131" t="s">
        <v>2046</v>
      </c>
      <c r="B131" t="s">
        <v>179</v>
      </c>
    </row>
    <row r="132" spans="1:2">
      <c r="A132" t="s">
        <v>463</v>
      </c>
      <c r="B132" t="s">
        <v>191</v>
      </c>
    </row>
    <row r="133" spans="1:2">
      <c r="A133" t="s">
        <v>2229</v>
      </c>
      <c r="B133" t="s">
        <v>193</v>
      </c>
    </row>
    <row r="134" spans="1:2">
      <c r="A134" t="s">
        <v>715</v>
      </c>
      <c r="B134" t="s">
        <v>197</v>
      </c>
    </row>
    <row r="135" spans="1:2">
      <c r="A135" t="s">
        <v>718</v>
      </c>
      <c r="B135" t="s">
        <v>212</v>
      </c>
    </row>
    <row r="136" spans="1:2" ht="15.75" thickBot="1">
      <c r="A136" t="s">
        <v>1434</v>
      </c>
      <c r="B136" t="s">
        <v>195</v>
      </c>
    </row>
    <row r="137" spans="1:2">
      <c r="A137" s="126" t="s">
        <v>546</v>
      </c>
      <c r="B137" s="127" t="s">
        <v>211</v>
      </c>
    </row>
    <row r="138" spans="1:2" ht="15.75" thickBot="1">
      <c r="A138" s="128" t="s">
        <v>545</v>
      </c>
      <c r="B138" s="129" t="s">
        <v>211</v>
      </c>
    </row>
    <row r="139" spans="1:2">
      <c r="A139" s="126" t="s">
        <v>3096</v>
      </c>
      <c r="B139" s="127" t="s">
        <v>180</v>
      </c>
    </row>
    <row r="140" spans="1:2" ht="15.75" thickBot="1">
      <c r="A140" s="128" t="s">
        <v>678</v>
      </c>
      <c r="B140" s="129" t="s">
        <v>180</v>
      </c>
    </row>
    <row r="141" spans="1:2">
      <c r="A141" t="s">
        <v>785</v>
      </c>
      <c r="B141" t="s">
        <v>198</v>
      </c>
    </row>
    <row r="142" spans="1:2">
      <c r="A142" t="s">
        <v>788</v>
      </c>
      <c r="B142" t="s">
        <v>214</v>
      </c>
    </row>
    <row r="143" spans="1:2">
      <c r="A143" t="s">
        <v>1094</v>
      </c>
      <c r="B143" t="s">
        <v>199</v>
      </c>
    </row>
    <row r="144" spans="1:2">
      <c r="A144" t="s">
        <v>1461</v>
      </c>
      <c r="B144" t="s">
        <v>200</v>
      </c>
    </row>
    <row r="145" spans="1:3">
      <c r="A145" t="s">
        <v>859</v>
      </c>
      <c r="B145" t="s">
        <v>201</v>
      </c>
    </row>
    <row r="146" spans="1:3">
      <c r="A146" t="s">
        <v>878</v>
      </c>
      <c r="B146" t="s">
        <v>202</v>
      </c>
    </row>
    <row r="147" spans="1:3" ht="15.75" thickBot="1">
      <c r="A147" t="s">
        <v>474</v>
      </c>
      <c r="B147" t="s">
        <v>204</v>
      </c>
    </row>
    <row r="148" spans="1:3">
      <c r="A148" s="126" t="s">
        <v>482</v>
      </c>
      <c r="B148" s="85" t="s">
        <v>217</v>
      </c>
    </row>
    <row r="149" spans="1:3" ht="15.75" thickBot="1">
      <c r="A149" s="128" t="s">
        <v>484</v>
      </c>
      <c r="B149" s="88" t="s">
        <v>217</v>
      </c>
      <c r="C149" s="63"/>
    </row>
    <row r="150" spans="1:3" ht="15.75" thickBot="1">
      <c r="A150" s="130" t="s">
        <v>1046</v>
      </c>
      <c r="B150" s="131" t="s">
        <v>213</v>
      </c>
      <c r="C150" t="s">
        <v>5157</v>
      </c>
    </row>
    <row r="151" spans="1:3" ht="15.75" thickBot="1">
      <c r="A151" t="s">
        <v>464</v>
      </c>
      <c r="B151" t="s">
        <v>192</v>
      </c>
    </row>
    <row r="152" spans="1:3">
      <c r="A152" s="126" t="s">
        <v>2497</v>
      </c>
      <c r="B152" s="127" t="s">
        <v>210</v>
      </c>
    </row>
    <row r="153" spans="1:3" ht="15.75" thickBot="1">
      <c r="A153" s="128" t="s">
        <v>1347</v>
      </c>
      <c r="B153" s="129" t="s">
        <v>210</v>
      </c>
    </row>
    <row r="154" spans="1:3">
      <c r="A154" s="126" t="s">
        <v>2535</v>
      </c>
      <c r="B154" s="127" t="s">
        <v>215</v>
      </c>
    </row>
    <row r="155" spans="1:3" ht="15.75" thickBot="1">
      <c r="A155" s="128" t="s">
        <v>483</v>
      </c>
      <c r="B155" s="129" t="s">
        <v>215</v>
      </c>
    </row>
    <row r="156" spans="1:3">
      <c r="A156" t="s">
        <v>934</v>
      </c>
      <c r="B156" t="s">
        <v>184</v>
      </c>
    </row>
    <row r="157" spans="1:3">
      <c r="A157" t="s">
        <v>475</v>
      </c>
      <c r="B157" t="s">
        <v>205</v>
      </c>
    </row>
    <row r="158" spans="1:3">
      <c r="A158" t="s">
        <v>2552</v>
      </c>
      <c r="B158" t="s">
        <v>206</v>
      </c>
    </row>
    <row r="159" spans="1:3">
      <c r="A159" t="s">
        <v>476</v>
      </c>
      <c r="B159" t="s">
        <v>207</v>
      </c>
    </row>
    <row r="160" spans="1:3">
      <c r="A160" t="s">
        <v>1122</v>
      </c>
      <c r="B160" t="s">
        <v>194</v>
      </c>
    </row>
    <row r="161" spans="1:2">
      <c r="A161" t="s">
        <v>921</v>
      </c>
      <c r="B161" t="s">
        <v>203</v>
      </c>
    </row>
    <row r="162" spans="1:2">
      <c r="A162" t="s">
        <v>451</v>
      </c>
      <c r="B162" t="s">
        <v>38</v>
      </c>
    </row>
    <row r="163" spans="1:2">
      <c r="A163" t="s">
        <v>237</v>
      </c>
      <c r="B163" t="s">
        <v>237</v>
      </c>
    </row>
    <row r="164" spans="1:2">
      <c r="A164" t="s">
        <v>422</v>
      </c>
      <c r="B164" t="s">
        <v>238</v>
      </c>
    </row>
    <row r="165" spans="1:2">
      <c r="A165" t="s">
        <v>453</v>
      </c>
      <c r="B165" t="s">
        <v>39</v>
      </c>
    </row>
    <row r="166" spans="1:2">
      <c r="A166" t="s">
        <v>239</v>
      </c>
      <c r="B166" t="s">
        <v>239</v>
      </c>
    </row>
  </sheetData>
  <conditionalFormatting sqref="B169:B1048576 B1:B167">
    <cfRule type="duplicateValues" dxfId="1" priority="3"/>
  </conditionalFormatting>
  <conditionalFormatting sqref="D149">
    <cfRule type="duplicateValues" dxfId="0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48"/>
  <sheetViews>
    <sheetView workbookViewId="0">
      <selection activeCell="B2" sqref="B2:B20"/>
    </sheetView>
  </sheetViews>
  <sheetFormatPr defaultColWidth="11.42578125" defaultRowHeight="15"/>
  <sheetData>
    <row r="1" spans="1:14">
      <c r="A1" t="s">
        <v>11421</v>
      </c>
      <c r="B1" t="s">
        <v>5159</v>
      </c>
      <c r="M1">
        <v>1</v>
      </c>
      <c r="N1" t="s">
        <v>90</v>
      </c>
    </row>
    <row r="2" spans="1:14">
      <c r="A2">
        <v>1</v>
      </c>
      <c r="B2" t="s">
        <v>257</v>
      </c>
      <c r="M2">
        <v>2</v>
      </c>
      <c r="N2" t="s">
        <v>77</v>
      </c>
    </row>
    <row r="3" spans="1:14">
      <c r="A3">
        <v>2</v>
      </c>
      <c r="B3" t="s">
        <v>258</v>
      </c>
      <c r="M3">
        <v>3</v>
      </c>
      <c r="N3" t="s">
        <v>83</v>
      </c>
    </row>
    <row r="4" spans="1:14">
      <c r="A4">
        <v>3</v>
      </c>
      <c r="B4" t="s">
        <v>259</v>
      </c>
      <c r="M4">
        <v>4</v>
      </c>
      <c r="N4" t="s">
        <v>84</v>
      </c>
    </row>
    <row r="5" spans="1:14">
      <c r="A5">
        <v>4</v>
      </c>
      <c r="B5" t="s">
        <v>260</v>
      </c>
      <c r="M5">
        <v>5</v>
      </c>
      <c r="N5" t="s">
        <v>85</v>
      </c>
    </row>
    <row r="6" spans="1:14">
      <c r="A6">
        <v>5</v>
      </c>
      <c r="B6" t="s">
        <v>261</v>
      </c>
      <c r="M6">
        <v>6</v>
      </c>
      <c r="N6" t="s">
        <v>87</v>
      </c>
    </row>
    <row r="7" spans="1:14">
      <c r="A7">
        <v>6</v>
      </c>
      <c r="B7" t="s">
        <v>262</v>
      </c>
      <c r="M7">
        <v>7</v>
      </c>
      <c r="N7" t="s">
        <v>88</v>
      </c>
    </row>
    <row r="8" spans="1:14">
      <c r="A8">
        <v>7</v>
      </c>
      <c r="B8" t="s">
        <v>263</v>
      </c>
      <c r="M8">
        <v>8</v>
      </c>
      <c r="N8" t="s">
        <v>89</v>
      </c>
    </row>
    <row r="9" spans="1:14">
      <c r="A9">
        <v>8</v>
      </c>
      <c r="B9" t="s">
        <v>264</v>
      </c>
      <c r="M9">
        <v>9</v>
      </c>
      <c r="N9" t="s">
        <v>91</v>
      </c>
    </row>
    <row r="10" spans="1:14">
      <c r="A10">
        <v>9</v>
      </c>
      <c r="B10" t="s">
        <v>265</v>
      </c>
      <c r="M10">
        <v>10</v>
      </c>
      <c r="N10" t="s">
        <v>182</v>
      </c>
    </row>
    <row r="11" spans="1:14">
      <c r="A11">
        <v>10</v>
      </c>
      <c r="B11" t="s">
        <v>266</v>
      </c>
      <c r="M11">
        <v>11</v>
      </c>
      <c r="N11" t="s">
        <v>138</v>
      </c>
    </row>
    <row r="12" spans="1:14">
      <c r="A12">
        <v>11</v>
      </c>
      <c r="B12" t="s">
        <v>267</v>
      </c>
      <c r="M12">
        <v>12</v>
      </c>
      <c r="N12" t="s">
        <v>11422</v>
      </c>
    </row>
    <row r="13" spans="1:14">
      <c r="A13">
        <v>12</v>
      </c>
      <c r="B13" t="s">
        <v>268</v>
      </c>
      <c r="M13">
        <v>13</v>
      </c>
      <c r="N13" t="s">
        <v>95</v>
      </c>
    </row>
    <row r="14" spans="1:14">
      <c r="A14">
        <v>13</v>
      </c>
      <c r="B14" t="s">
        <v>269</v>
      </c>
      <c r="M14">
        <v>14</v>
      </c>
      <c r="N14" t="s">
        <v>528</v>
      </c>
    </row>
    <row r="15" spans="1:14">
      <c r="A15">
        <v>14</v>
      </c>
      <c r="B15" t="s">
        <v>270</v>
      </c>
      <c r="M15">
        <v>15</v>
      </c>
      <c r="N15" t="s">
        <v>93</v>
      </c>
    </row>
    <row r="16" spans="1:14">
      <c r="A16">
        <v>15</v>
      </c>
      <c r="B16" t="s">
        <v>271</v>
      </c>
      <c r="M16">
        <v>16</v>
      </c>
      <c r="N16" t="s">
        <v>1471</v>
      </c>
    </row>
    <row r="17" spans="1:2">
      <c r="A17">
        <v>16</v>
      </c>
      <c r="B17" t="s">
        <v>272</v>
      </c>
    </row>
    <row r="18" spans="1:2">
      <c r="A18">
        <v>17</v>
      </c>
      <c r="B18" t="s">
        <v>273</v>
      </c>
    </row>
    <row r="19" spans="1:2">
      <c r="A19">
        <v>18</v>
      </c>
      <c r="B19" t="s">
        <v>274</v>
      </c>
    </row>
    <row r="20" spans="1:2">
      <c r="A20">
        <v>19</v>
      </c>
      <c r="B20" t="s">
        <v>275</v>
      </c>
    </row>
    <row r="21" spans="1:2">
      <c r="A21">
        <v>20</v>
      </c>
      <c r="B21" t="s">
        <v>17</v>
      </c>
    </row>
    <row r="22" spans="1:2">
      <c r="A22">
        <v>21</v>
      </c>
      <c r="B22" t="s">
        <v>18</v>
      </c>
    </row>
    <row r="23" spans="1:2">
      <c r="A23">
        <v>22</v>
      </c>
      <c r="B23" t="s">
        <v>19</v>
      </c>
    </row>
    <row r="24" spans="1:2">
      <c r="A24">
        <v>23</v>
      </c>
      <c r="B24" t="s">
        <v>20</v>
      </c>
    </row>
    <row r="25" spans="1:2">
      <c r="A25">
        <v>24</v>
      </c>
      <c r="B25" t="s">
        <v>21</v>
      </c>
    </row>
    <row r="26" spans="1:2">
      <c r="A26">
        <v>25</v>
      </c>
      <c r="B26" t="s">
        <v>22</v>
      </c>
    </row>
    <row r="27" spans="1:2">
      <c r="A27">
        <v>26</v>
      </c>
      <c r="B27" t="s">
        <v>23</v>
      </c>
    </row>
    <row r="28" spans="1:2">
      <c r="A28">
        <v>27</v>
      </c>
      <c r="B28" t="s">
        <v>24</v>
      </c>
    </row>
    <row r="29" spans="1:2">
      <c r="A29">
        <v>28</v>
      </c>
      <c r="B29" t="s">
        <v>25</v>
      </c>
    </row>
    <row r="30" spans="1:2">
      <c r="A30">
        <v>29</v>
      </c>
      <c r="B30" t="s">
        <v>26</v>
      </c>
    </row>
    <row r="31" spans="1:2">
      <c r="A31">
        <v>30</v>
      </c>
      <c r="B31" t="s">
        <v>27</v>
      </c>
    </row>
    <row r="32" spans="1:2">
      <c r="A32">
        <v>31</v>
      </c>
      <c r="B32" t="s">
        <v>41</v>
      </c>
    </row>
    <row r="33" spans="1:2">
      <c r="A33">
        <v>32</v>
      </c>
      <c r="B33" t="s">
        <v>28</v>
      </c>
    </row>
    <row r="34" spans="1:2">
      <c r="A34">
        <v>33</v>
      </c>
      <c r="B34" t="s">
        <v>29</v>
      </c>
    </row>
    <row r="35" spans="1:2">
      <c r="A35">
        <v>34</v>
      </c>
      <c r="B35" t="s">
        <v>30</v>
      </c>
    </row>
    <row r="36" spans="1:2">
      <c r="A36">
        <v>35</v>
      </c>
      <c r="B36" t="s">
        <v>31</v>
      </c>
    </row>
    <row r="37" spans="1:2">
      <c r="A37">
        <v>36</v>
      </c>
      <c r="B37" t="s">
        <v>32</v>
      </c>
    </row>
    <row r="38" spans="1:2">
      <c r="A38">
        <v>37</v>
      </c>
      <c r="B38" t="s">
        <v>276</v>
      </c>
    </row>
    <row r="39" spans="1:2">
      <c r="A39">
        <v>38</v>
      </c>
      <c r="B39" t="s">
        <v>33</v>
      </c>
    </row>
    <row r="40" spans="1:2">
      <c r="A40">
        <v>39</v>
      </c>
      <c r="B40" t="s">
        <v>34</v>
      </c>
    </row>
    <row r="41" spans="1:2">
      <c r="A41">
        <v>40</v>
      </c>
      <c r="B41" t="s">
        <v>35</v>
      </c>
    </row>
    <row r="42" spans="1:2">
      <c r="A42">
        <v>41</v>
      </c>
      <c r="B42" t="s">
        <v>37</v>
      </c>
    </row>
    <row r="43" spans="1:2">
      <c r="A43">
        <v>42</v>
      </c>
      <c r="B43" t="s">
        <v>38</v>
      </c>
    </row>
    <row r="44" spans="1:2">
      <c r="A44">
        <v>43</v>
      </c>
      <c r="B44" t="s">
        <v>39</v>
      </c>
    </row>
    <row r="45" spans="1:2">
      <c r="A45">
        <v>44</v>
      </c>
      <c r="B45" t="s">
        <v>277</v>
      </c>
    </row>
    <row r="46" spans="1:2">
      <c r="A46">
        <v>45</v>
      </c>
      <c r="B46" t="s">
        <v>278</v>
      </c>
    </row>
    <row r="47" spans="1:2">
      <c r="A47">
        <v>46</v>
      </c>
      <c r="B47" t="s">
        <v>279</v>
      </c>
    </row>
    <row r="48" spans="1:2">
      <c r="A48">
        <v>47</v>
      </c>
      <c r="B48" t="s">
        <v>280</v>
      </c>
    </row>
    <row r="49" spans="1:2">
      <c r="A49">
        <v>48</v>
      </c>
      <c r="B49" t="s">
        <v>281</v>
      </c>
    </row>
    <row r="50" spans="1:2">
      <c r="A50">
        <v>49</v>
      </c>
      <c r="B50" t="s">
        <v>282</v>
      </c>
    </row>
    <row r="51" spans="1:2">
      <c r="A51">
        <v>50</v>
      </c>
      <c r="B51" t="s">
        <v>283</v>
      </c>
    </row>
    <row r="52" spans="1:2">
      <c r="A52">
        <v>51</v>
      </c>
      <c r="B52" t="s">
        <v>284</v>
      </c>
    </row>
    <row r="53" spans="1:2">
      <c r="A53">
        <v>52</v>
      </c>
      <c r="B53" t="s">
        <v>285</v>
      </c>
    </row>
    <row r="54" spans="1:2">
      <c r="A54">
        <v>53</v>
      </c>
      <c r="B54" t="s">
        <v>286</v>
      </c>
    </row>
    <row r="55" spans="1:2">
      <c r="A55">
        <v>54</v>
      </c>
      <c r="B55" t="s">
        <v>287</v>
      </c>
    </row>
    <row r="56" spans="1:2">
      <c r="A56">
        <v>55</v>
      </c>
      <c r="B56" t="s">
        <v>11423</v>
      </c>
    </row>
    <row r="57" spans="1:2">
      <c r="A57">
        <v>56</v>
      </c>
      <c r="B57" t="s">
        <v>289</v>
      </c>
    </row>
    <row r="58" spans="1:2">
      <c r="A58">
        <v>57</v>
      </c>
      <c r="B58" t="s">
        <v>290</v>
      </c>
    </row>
    <row r="59" spans="1:2">
      <c r="A59">
        <v>58</v>
      </c>
      <c r="B59" t="s">
        <v>291</v>
      </c>
    </row>
    <row r="60" spans="1:2">
      <c r="A60">
        <v>59</v>
      </c>
      <c r="B60" t="s">
        <v>292</v>
      </c>
    </row>
    <row r="61" spans="1:2">
      <c r="A61">
        <v>60</v>
      </c>
      <c r="B61" t="s">
        <v>293</v>
      </c>
    </row>
    <row r="62" spans="1:2">
      <c r="A62">
        <v>61</v>
      </c>
      <c r="B62" t="s">
        <v>294</v>
      </c>
    </row>
    <row r="63" spans="1:2">
      <c r="A63">
        <v>62</v>
      </c>
      <c r="B63" t="s">
        <v>295</v>
      </c>
    </row>
    <row r="64" spans="1:2">
      <c r="A64">
        <v>63</v>
      </c>
      <c r="B64" t="s">
        <v>297</v>
      </c>
    </row>
    <row r="65" spans="1:2">
      <c r="A65">
        <v>64</v>
      </c>
      <c r="B65" t="s">
        <v>298</v>
      </c>
    </row>
    <row r="66" spans="1:2">
      <c r="A66">
        <v>65</v>
      </c>
      <c r="B66" t="s">
        <v>299</v>
      </c>
    </row>
    <row r="67" spans="1:2">
      <c r="A67">
        <v>66</v>
      </c>
      <c r="B67" t="s">
        <v>300</v>
      </c>
    </row>
    <row r="68" spans="1:2">
      <c r="A68">
        <v>67</v>
      </c>
      <c r="B68" t="s">
        <v>301</v>
      </c>
    </row>
    <row r="69" spans="1:2">
      <c r="A69">
        <v>68</v>
      </c>
      <c r="B69" t="s">
        <v>302</v>
      </c>
    </row>
    <row r="70" spans="1:2">
      <c r="A70">
        <v>69</v>
      </c>
      <c r="B70" t="s">
        <v>303</v>
      </c>
    </row>
    <row r="71" spans="1:2">
      <c r="A71">
        <v>70</v>
      </c>
      <c r="B71" t="s">
        <v>304</v>
      </c>
    </row>
    <row r="72" spans="1:2">
      <c r="A72">
        <v>71</v>
      </c>
      <c r="B72" t="s">
        <v>305</v>
      </c>
    </row>
    <row r="73" spans="1:2">
      <c r="A73">
        <v>72</v>
      </c>
      <c r="B73" t="s">
        <v>306</v>
      </c>
    </row>
    <row r="74" spans="1:2">
      <c r="A74">
        <v>73</v>
      </c>
      <c r="B74" t="s">
        <v>307</v>
      </c>
    </row>
    <row r="75" spans="1:2">
      <c r="A75">
        <v>74</v>
      </c>
      <c r="B75" t="s">
        <v>308</v>
      </c>
    </row>
    <row r="76" spans="1:2">
      <c r="A76">
        <v>75</v>
      </c>
      <c r="B76" t="s">
        <v>309</v>
      </c>
    </row>
    <row r="77" spans="1:2">
      <c r="A77">
        <v>76</v>
      </c>
      <c r="B77" t="s">
        <v>310</v>
      </c>
    </row>
    <row r="78" spans="1:2">
      <c r="A78">
        <v>77</v>
      </c>
      <c r="B78" t="s">
        <v>311</v>
      </c>
    </row>
    <row r="79" spans="1:2">
      <c r="A79">
        <v>78</v>
      </c>
      <c r="B79" t="s">
        <v>312</v>
      </c>
    </row>
    <row r="80" spans="1:2">
      <c r="A80">
        <v>79</v>
      </c>
      <c r="B80" t="s">
        <v>313</v>
      </c>
    </row>
    <row r="81" spans="1:2">
      <c r="A81">
        <v>80</v>
      </c>
      <c r="B81" t="s">
        <v>314</v>
      </c>
    </row>
    <row r="82" spans="1:2">
      <c r="A82">
        <v>81</v>
      </c>
      <c r="B82" t="s">
        <v>315</v>
      </c>
    </row>
    <row r="83" spans="1:2">
      <c r="A83">
        <v>82</v>
      </c>
      <c r="B83" t="s">
        <v>316</v>
      </c>
    </row>
    <row r="84" spans="1:2">
      <c r="A84">
        <v>83</v>
      </c>
      <c r="B84" t="s">
        <v>11424</v>
      </c>
    </row>
    <row r="85" spans="1:2">
      <c r="A85">
        <v>84</v>
      </c>
      <c r="B85" t="s">
        <v>319</v>
      </c>
    </row>
    <row r="86" spans="1:2">
      <c r="A86">
        <v>85</v>
      </c>
      <c r="B86" t="s">
        <v>320</v>
      </c>
    </row>
    <row r="87" spans="1:2">
      <c r="A87">
        <v>86</v>
      </c>
      <c r="B87" t="s">
        <v>321</v>
      </c>
    </row>
    <row r="88" spans="1:2">
      <c r="A88">
        <v>87</v>
      </c>
      <c r="B88" t="s">
        <v>322</v>
      </c>
    </row>
    <row r="89" spans="1:2">
      <c r="A89">
        <v>88</v>
      </c>
      <c r="B89" t="s">
        <v>323</v>
      </c>
    </row>
    <row r="90" spans="1:2">
      <c r="A90">
        <v>89</v>
      </c>
      <c r="B90" t="s">
        <v>325</v>
      </c>
    </row>
    <row r="91" spans="1:2">
      <c r="A91">
        <v>90</v>
      </c>
      <c r="B91" t="s">
        <v>326</v>
      </c>
    </row>
    <row r="92" spans="1:2">
      <c r="A92">
        <v>91</v>
      </c>
      <c r="B92" t="s">
        <v>327</v>
      </c>
    </row>
    <row r="93" spans="1:2">
      <c r="A93">
        <v>92</v>
      </c>
      <c r="B93" t="s">
        <v>328</v>
      </c>
    </row>
    <row r="94" spans="1:2">
      <c r="A94">
        <v>93</v>
      </c>
      <c r="B94" t="s">
        <v>329</v>
      </c>
    </row>
    <row r="95" spans="1:2">
      <c r="A95">
        <v>94</v>
      </c>
      <c r="B95" t="s">
        <v>330</v>
      </c>
    </row>
    <row r="96" spans="1:2">
      <c r="A96">
        <v>95</v>
      </c>
      <c r="B96" t="s">
        <v>331</v>
      </c>
    </row>
    <row r="97" spans="1:2">
      <c r="A97">
        <v>96</v>
      </c>
      <c r="B97" t="s">
        <v>332</v>
      </c>
    </row>
    <row r="98" spans="1:2">
      <c r="A98">
        <v>97</v>
      </c>
      <c r="B98" t="s">
        <v>333</v>
      </c>
    </row>
    <row r="99" spans="1:2">
      <c r="A99">
        <v>98</v>
      </c>
      <c r="B99" t="s">
        <v>334</v>
      </c>
    </row>
    <row r="100" spans="1:2">
      <c r="A100">
        <v>99</v>
      </c>
      <c r="B100" t="s">
        <v>335</v>
      </c>
    </row>
    <row r="101" spans="1:2">
      <c r="A101">
        <v>100</v>
      </c>
      <c r="B101" t="s">
        <v>336</v>
      </c>
    </row>
    <row r="102" spans="1:2">
      <c r="A102">
        <v>101</v>
      </c>
      <c r="B102" t="s">
        <v>337</v>
      </c>
    </row>
    <row r="103" spans="1:2">
      <c r="A103">
        <v>102</v>
      </c>
      <c r="B103" t="s">
        <v>338</v>
      </c>
    </row>
    <row r="104" spans="1:2">
      <c r="A104">
        <v>103</v>
      </c>
      <c r="B104" t="s">
        <v>339</v>
      </c>
    </row>
    <row r="105" spans="1:2">
      <c r="A105">
        <v>104</v>
      </c>
      <c r="B105" t="s">
        <v>340</v>
      </c>
    </row>
    <row r="106" spans="1:2">
      <c r="A106">
        <v>105</v>
      </c>
      <c r="B106" t="s">
        <v>341</v>
      </c>
    </row>
    <row r="107" spans="1:2">
      <c r="A107">
        <v>106</v>
      </c>
      <c r="B107" t="s">
        <v>342</v>
      </c>
    </row>
    <row r="108" spans="1:2">
      <c r="A108">
        <v>107</v>
      </c>
      <c r="B108" t="s">
        <v>11425</v>
      </c>
    </row>
    <row r="109" spans="1:2">
      <c r="A109">
        <v>108</v>
      </c>
      <c r="B109" t="s">
        <v>11426</v>
      </c>
    </row>
    <row r="110" spans="1:2">
      <c r="A110">
        <v>109</v>
      </c>
      <c r="B110" t="s">
        <v>345</v>
      </c>
    </row>
    <row r="111" spans="1:2">
      <c r="A111">
        <v>110</v>
      </c>
      <c r="B111" t="s">
        <v>346</v>
      </c>
    </row>
    <row r="112" spans="1:2">
      <c r="A112">
        <v>111</v>
      </c>
      <c r="B112" t="s">
        <v>347</v>
      </c>
    </row>
    <row r="113" spans="1:2">
      <c r="A113">
        <v>112</v>
      </c>
      <c r="B113" t="s">
        <v>11427</v>
      </c>
    </row>
    <row r="114" spans="1:2">
      <c r="A114">
        <v>113</v>
      </c>
      <c r="B114" t="s">
        <v>11428</v>
      </c>
    </row>
    <row r="115" spans="1:2">
      <c r="A115">
        <v>114</v>
      </c>
      <c r="B115" t="s">
        <v>350</v>
      </c>
    </row>
    <row r="116" spans="1:2">
      <c r="A116">
        <v>115</v>
      </c>
      <c r="B116" t="s">
        <v>351</v>
      </c>
    </row>
    <row r="117" spans="1:2">
      <c r="A117">
        <v>116</v>
      </c>
      <c r="B117" t="s">
        <v>352</v>
      </c>
    </row>
    <row r="118" spans="1:2">
      <c r="A118">
        <v>117</v>
      </c>
      <c r="B118" t="s">
        <v>353</v>
      </c>
    </row>
    <row r="119" spans="1:2">
      <c r="A119">
        <v>118</v>
      </c>
      <c r="B119" t="s">
        <v>354</v>
      </c>
    </row>
    <row r="120" spans="1:2">
      <c r="A120">
        <v>119</v>
      </c>
      <c r="B120" t="s">
        <v>355</v>
      </c>
    </row>
    <row r="121" spans="1:2">
      <c r="A121">
        <v>120</v>
      </c>
      <c r="B121" t="s">
        <v>356</v>
      </c>
    </row>
    <row r="122" spans="1:2">
      <c r="A122">
        <v>121</v>
      </c>
      <c r="B122" t="s">
        <v>11429</v>
      </c>
    </row>
    <row r="123" spans="1:2">
      <c r="A123">
        <v>122</v>
      </c>
      <c r="B123" t="s">
        <v>358</v>
      </c>
    </row>
    <row r="124" spans="1:2">
      <c r="A124">
        <v>123</v>
      </c>
      <c r="B124" t="s">
        <v>359</v>
      </c>
    </row>
    <row r="125" spans="1:2">
      <c r="A125">
        <v>124</v>
      </c>
      <c r="B125" t="s">
        <v>360</v>
      </c>
    </row>
    <row r="126" spans="1:2">
      <c r="A126">
        <v>125</v>
      </c>
      <c r="B126" t="s">
        <v>11430</v>
      </c>
    </row>
    <row r="127" spans="1:2">
      <c r="A127">
        <v>126</v>
      </c>
      <c r="B127" t="s">
        <v>362</v>
      </c>
    </row>
    <row r="128" spans="1:2">
      <c r="A128">
        <v>127</v>
      </c>
      <c r="B128" t="s">
        <v>363</v>
      </c>
    </row>
    <row r="129" spans="1:2">
      <c r="A129">
        <v>128</v>
      </c>
      <c r="B129" t="s">
        <v>364</v>
      </c>
    </row>
    <row r="130" spans="1:2">
      <c r="A130">
        <v>129</v>
      </c>
      <c r="B130" t="s">
        <v>365</v>
      </c>
    </row>
    <row r="131" spans="1:2">
      <c r="A131">
        <v>130</v>
      </c>
      <c r="B131" t="s">
        <v>366</v>
      </c>
    </row>
    <row r="132" spans="1:2">
      <c r="A132">
        <v>131</v>
      </c>
      <c r="B132" t="s">
        <v>367</v>
      </c>
    </row>
    <row r="133" spans="1:2">
      <c r="A133">
        <v>132</v>
      </c>
      <c r="B133" t="s">
        <v>368</v>
      </c>
    </row>
    <row r="134" spans="1:2">
      <c r="A134">
        <v>133</v>
      </c>
      <c r="B134" t="s">
        <v>369</v>
      </c>
    </row>
    <row r="135" spans="1:2">
      <c r="A135">
        <v>134</v>
      </c>
      <c r="B135" t="s">
        <v>370</v>
      </c>
    </row>
    <row r="136" spans="1:2">
      <c r="A136">
        <v>135</v>
      </c>
      <c r="B136" t="s">
        <v>371</v>
      </c>
    </row>
    <row r="137" spans="1:2">
      <c r="A137">
        <v>136</v>
      </c>
      <c r="B137" t="s">
        <v>372</v>
      </c>
    </row>
    <row r="138" spans="1:2">
      <c r="A138">
        <v>137</v>
      </c>
      <c r="B138" t="s">
        <v>373</v>
      </c>
    </row>
    <row r="139" spans="1:2">
      <c r="A139">
        <v>138</v>
      </c>
      <c r="B139" t="s">
        <v>374</v>
      </c>
    </row>
    <row r="140" spans="1:2">
      <c r="A140">
        <v>139</v>
      </c>
      <c r="B140" t="s">
        <v>375</v>
      </c>
    </row>
    <row r="141" spans="1:2">
      <c r="A141">
        <v>140</v>
      </c>
      <c r="B141" t="s">
        <v>376</v>
      </c>
    </row>
    <row r="142" spans="1:2">
      <c r="A142">
        <v>141</v>
      </c>
      <c r="B142" t="s">
        <v>377</v>
      </c>
    </row>
    <row r="143" spans="1:2">
      <c r="A143">
        <v>142</v>
      </c>
      <c r="B143" t="s">
        <v>378</v>
      </c>
    </row>
    <row r="144" spans="1:2">
      <c r="A144">
        <v>143</v>
      </c>
      <c r="B144" t="s">
        <v>379</v>
      </c>
    </row>
    <row r="145" spans="1:2">
      <c r="A145">
        <v>145</v>
      </c>
      <c r="B145" t="s">
        <v>381</v>
      </c>
    </row>
    <row r="146" spans="1:2">
      <c r="A146">
        <v>146</v>
      </c>
      <c r="B146" t="s">
        <v>43</v>
      </c>
    </row>
    <row r="147" spans="1:2">
      <c r="A147">
        <v>147</v>
      </c>
      <c r="B147" t="s">
        <v>42</v>
      </c>
    </row>
    <row r="148" spans="1:2">
      <c r="A148">
        <v>148</v>
      </c>
      <c r="B14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MAFT</dc:creator>
  <cp:keywords/>
  <dc:description/>
  <cp:lastModifiedBy>Daniel Santiago Ramirez Chinchilla</cp:lastModifiedBy>
  <cp:revision/>
  <dcterms:created xsi:type="dcterms:W3CDTF">2022-02-14T19:44:55Z</dcterms:created>
  <dcterms:modified xsi:type="dcterms:W3CDTF">2026-02-20T17:07:37Z</dcterms:modified>
  <cp:category/>
  <cp:contentStatus/>
</cp:coreProperties>
</file>